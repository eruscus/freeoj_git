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O:\TeamFolders\freeoj\Results\"/>
    </mc:Choice>
  </mc:AlternateContent>
  <bookViews>
    <workbookView xWindow="0" yWindow="45" windowWidth="15480" windowHeight="11640" firstSheet="3" activeTab="5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  <sheet name="annual_report" sheetId="19" r:id="rId6"/>
    <sheet name="grove" sheetId="18" r:id="rId7"/>
    <sheet name="P07" sheetId="17" r:id="rId8"/>
    <sheet name="S44" sheetId="16" r:id="rId9"/>
    <sheet name="S51" sheetId="15" r:id="rId10"/>
    <sheet name="S68" sheetId="14" r:id="rId11"/>
    <sheet name="ORA" sheetId="13" r:id="rId12"/>
    <sheet name="POJ" sheetId="12" r:id="rId13"/>
    <sheet name="ROJ" sheetId="11" r:id="rId14"/>
    <sheet name="FCOJ" sheetId="10" r:id="rId15"/>
    <sheet name="market" sheetId="9" r:id="rId16"/>
  </sheets>
  <definedNames>
    <definedName name="AddColumn1">shipping_manufacturing!$H$4:$H$12</definedName>
    <definedName name="AddColumn2">shipping_manufacturing!$E$16:$E$20</definedName>
    <definedName name="AddColumn3">shipping_manufacturing!$F$24:$F$31</definedName>
    <definedName name="AddRow3">shipping_manufacturing!$B$31</definedName>
    <definedName name="AddRow4">shipping_manufacturing!$B$40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shipping_manufacturing!$B$35</definedName>
  </definedNames>
  <calcPr calcId="152511"/>
</workbook>
</file>

<file path=xl/calcChain.xml><?xml version="1.0" encoding="utf-8"?>
<calcChain xmlns="http://schemas.openxmlformats.org/spreadsheetml/2006/main">
  <c r="S37" i="19" l="1"/>
  <c r="S16" i="19"/>
  <c r="S15" i="19"/>
  <c r="S14" i="19"/>
  <c r="S8" i="19"/>
  <c r="H40" i="19"/>
  <c r="H39" i="19"/>
  <c r="S39" i="19" s="1"/>
  <c r="H38" i="19"/>
  <c r="H35" i="19"/>
  <c r="S42" i="19" s="1"/>
  <c r="H34" i="19"/>
  <c r="H33" i="19"/>
  <c r="H30" i="19"/>
  <c r="H29" i="19"/>
  <c r="H28" i="19"/>
  <c r="H27" i="19"/>
  <c r="H24" i="19"/>
  <c r="H23" i="19"/>
  <c r="H15" i="19"/>
  <c r="H14" i="19"/>
  <c r="H13" i="19"/>
  <c r="H8" i="19"/>
  <c r="AZ170" i="14"/>
  <c r="AZ121" i="14"/>
  <c r="AZ108" i="14"/>
  <c r="AZ99" i="14"/>
  <c r="AZ92" i="14"/>
  <c r="AZ170" i="15"/>
  <c r="AZ121" i="15"/>
  <c r="AZ108" i="15"/>
  <c r="AZ99" i="15"/>
  <c r="AZ92" i="15"/>
  <c r="AZ170" i="16"/>
  <c r="AZ121" i="16"/>
  <c r="AZ108" i="16"/>
  <c r="AZ99" i="16"/>
  <c r="AZ92" i="16"/>
  <c r="AZ42" i="17"/>
  <c r="AZ43" i="17"/>
  <c r="AZ53" i="17"/>
  <c r="AZ54" i="17"/>
  <c r="AZ64" i="17"/>
  <c r="AZ65" i="17"/>
  <c r="T25" i="19"/>
  <c r="D109" i="10"/>
  <c r="E109" i="10"/>
  <c r="F109" i="10"/>
  <c r="G109" i="10"/>
  <c r="H109" i="10"/>
  <c r="I109" i="10"/>
  <c r="J109" i="10"/>
  <c r="K109" i="10"/>
  <c r="L109" i="10"/>
  <c r="M109" i="10"/>
  <c r="N109" i="10"/>
  <c r="O109" i="10"/>
  <c r="D110" i="10"/>
  <c r="E110" i="10"/>
  <c r="F110" i="10"/>
  <c r="G110" i="10"/>
  <c r="H110" i="10"/>
  <c r="I110" i="10"/>
  <c r="J110" i="10"/>
  <c r="K110" i="10"/>
  <c r="L110" i="10"/>
  <c r="M110" i="10"/>
  <c r="N110" i="10"/>
  <c r="O110" i="10"/>
  <c r="D111" i="10"/>
  <c r="E111" i="10"/>
  <c r="F111" i="10"/>
  <c r="G111" i="10"/>
  <c r="H111" i="10"/>
  <c r="I111" i="10"/>
  <c r="J111" i="10"/>
  <c r="K111" i="10"/>
  <c r="L111" i="10"/>
  <c r="M111" i="10"/>
  <c r="N111" i="10"/>
  <c r="O111" i="10"/>
  <c r="D112" i="10"/>
  <c r="E112" i="10"/>
  <c r="F112" i="10"/>
  <c r="G112" i="10"/>
  <c r="H112" i="10"/>
  <c r="I112" i="10"/>
  <c r="J112" i="10"/>
  <c r="K112" i="10"/>
  <c r="L112" i="10"/>
  <c r="M112" i="10"/>
  <c r="N112" i="10"/>
  <c r="O112" i="10"/>
  <c r="D113" i="10"/>
  <c r="E113" i="10"/>
  <c r="F113" i="10"/>
  <c r="G113" i="10"/>
  <c r="H113" i="10"/>
  <c r="I113" i="10"/>
  <c r="J113" i="10"/>
  <c r="K113" i="10"/>
  <c r="L113" i="10"/>
  <c r="M113" i="10"/>
  <c r="N113" i="10"/>
  <c r="O113" i="10"/>
  <c r="D114" i="10"/>
  <c r="E114" i="10"/>
  <c r="F114" i="10"/>
  <c r="G114" i="10"/>
  <c r="H114" i="10"/>
  <c r="I114" i="10"/>
  <c r="J114" i="10"/>
  <c r="K114" i="10"/>
  <c r="L114" i="10"/>
  <c r="M114" i="10"/>
  <c r="N114" i="10"/>
  <c r="O114" i="10"/>
  <c r="D115" i="10"/>
  <c r="E115" i="10"/>
  <c r="F115" i="10"/>
  <c r="G115" i="10"/>
  <c r="H115" i="10"/>
  <c r="I115" i="10"/>
  <c r="J115" i="10"/>
  <c r="K115" i="10"/>
  <c r="L115" i="10"/>
  <c r="M115" i="10"/>
  <c r="N115" i="10"/>
  <c r="O115" i="10"/>
  <c r="D116" i="10"/>
  <c r="E116" i="10"/>
  <c r="F116" i="10"/>
  <c r="G116" i="10"/>
  <c r="H116" i="10"/>
  <c r="I116" i="10"/>
  <c r="J116" i="10"/>
  <c r="K116" i="10"/>
  <c r="L116" i="10"/>
  <c r="M116" i="10"/>
  <c r="N116" i="10"/>
  <c r="O116" i="10"/>
  <c r="D120" i="10"/>
  <c r="E120" i="10"/>
  <c r="F120" i="10"/>
  <c r="G120" i="10"/>
  <c r="H120" i="10"/>
  <c r="I120" i="10"/>
  <c r="J120" i="10"/>
  <c r="K120" i="10"/>
  <c r="L120" i="10"/>
  <c r="M120" i="10"/>
  <c r="N120" i="10"/>
  <c r="O120" i="10"/>
  <c r="D121" i="10"/>
  <c r="E121" i="10"/>
  <c r="F121" i="10"/>
  <c r="G121" i="10"/>
  <c r="H121" i="10"/>
  <c r="I121" i="10"/>
  <c r="J121" i="10"/>
  <c r="K121" i="10"/>
  <c r="L121" i="10"/>
  <c r="M121" i="10"/>
  <c r="N121" i="10"/>
  <c r="O121" i="10"/>
  <c r="D122" i="10"/>
  <c r="E122" i="10"/>
  <c r="F122" i="10"/>
  <c r="G122" i="10"/>
  <c r="H122" i="10"/>
  <c r="I122" i="10"/>
  <c r="J122" i="10"/>
  <c r="K122" i="10"/>
  <c r="L122" i="10"/>
  <c r="M122" i="10"/>
  <c r="N122" i="10"/>
  <c r="O122" i="10"/>
  <c r="D123" i="10"/>
  <c r="E123" i="10"/>
  <c r="F123" i="10"/>
  <c r="G123" i="10"/>
  <c r="H123" i="10"/>
  <c r="I123" i="10"/>
  <c r="J123" i="10"/>
  <c r="K123" i="10"/>
  <c r="L123" i="10"/>
  <c r="M123" i="10"/>
  <c r="N123" i="10"/>
  <c r="O123" i="10"/>
  <c r="D124" i="10"/>
  <c r="E124" i="10"/>
  <c r="F124" i="10"/>
  <c r="G124" i="10"/>
  <c r="H124" i="10"/>
  <c r="I124" i="10"/>
  <c r="J124" i="10"/>
  <c r="K124" i="10"/>
  <c r="L124" i="10"/>
  <c r="M124" i="10"/>
  <c r="N124" i="10"/>
  <c r="O124" i="10"/>
  <c r="D125" i="10"/>
  <c r="E125" i="10"/>
  <c r="F125" i="10"/>
  <c r="G125" i="10"/>
  <c r="H125" i="10"/>
  <c r="I125" i="10"/>
  <c r="J125" i="10"/>
  <c r="K125" i="10"/>
  <c r="L125" i="10"/>
  <c r="M125" i="10"/>
  <c r="N125" i="10"/>
  <c r="O125" i="10"/>
  <c r="D126" i="10"/>
  <c r="E126" i="10"/>
  <c r="F126" i="10"/>
  <c r="G126" i="10"/>
  <c r="H126" i="10"/>
  <c r="I126" i="10"/>
  <c r="J126" i="10"/>
  <c r="K126" i="10"/>
  <c r="L126" i="10"/>
  <c r="M126" i="10"/>
  <c r="N126" i="10"/>
  <c r="O126" i="10"/>
  <c r="D127" i="10"/>
  <c r="E127" i="10"/>
  <c r="F127" i="10"/>
  <c r="G127" i="10"/>
  <c r="H127" i="10"/>
  <c r="I127" i="10"/>
  <c r="J127" i="10"/>
  <c r="K127" i="10"/>
  <c r="L127" i="10"/>
  <c r="M127" i="10"/>
  <c r="N127" i="10"/>
  <c r="O127" i="10"/>
  <c r="D131" i="10"/>
  <c r="E131" i="10"/>
  <c r="F131" i="10"/>
  <c r="G131" i="10"/>
  <c r="H131" i="10"/>
  <c r="I131" i="10"/>
  <c r="J131" i="10"/>
  <c r="K131" i="10"/>
  <c r="L131" i="10"/>
  <c r="M131" i="10"/>
  <c r="N131" i="10"/>
  <c r="O131" i="10"/>
  <c r="D132" i="10"/>
  <c r="E132" i="10"/>
  <c r="F132" i="10"/>
  <c r="G132" i="10"/>
  <c r="H132" i="10"/>
  <c r="I132" i="10"/>
  <c r="J132" i="10"/>
  <c r="K132" i="10"/>
  <c r="L132" i="10"/>
  <c r="M132" i="10"/>
  <c r="N132" i="10"/>
  <c r="O132" i="10"/>
  <c r="D133" i="10"/>
  <c r="E133" i="10"/>
  <c r="F133" i="10"/>
  <c r="G133" i="10"/>
  <c r="H133" i="10"/>
  <c r="I133" i="10"/>
  <c r="J133" i="10"/>
  <c r="K133" i="10"/>
  <c r="L133" i="10"/>
  <c r="M133" i="10"/>
  <c r="N133" i="10"/>
  <c r="O133" i="10"/>
  <c r="D134" i="10"/>
  <c r="E134" i="10"/>
  <c r="F134" i="10"/>
  <c r="G134" i="10"/>
  <c r="H134" i="10"/>
  <c r="I134" i="10"/>
  <c r="J134" i="10"/>
  <c r="K134" i="10"/>
  <c r="L134" i="10"/>
  <c r="M134" i="10"/>
  <c r="N134" i="10"/>
  <c r="O134" i="10"/>
  <c r="D135" i="10"/>
  <c r="E135" i="10"/>
  <c r="F135" i="10"/>
  <c r="G135" i="10"/>
  <c r="H135" i="10"/>
  <c r="I135" i="10"/>
  <c r="J135" i="10"/>
  <c r="K135" i="10"/>
  <c r="L135" i="10"/>
  <c r="M135" i="10"/>
  <c r="N135" i="10"/>
  <c r="O135" i="10"/>
  <c r="D136" i="10"/>
  <c r="E136" i="10"/>
  <c r="F136" i="10"/>
  <c r="G136" i="10"/>
  <c r="H136" i="10"/>
  <c r="I136" i="10"/>
  <c r="J136" i="10"/>
  <c r="K136" i="10"/>
  <c r="L136" i="10"/>
  <c r="M136" i="10"/>
  <c r="N136" i="10"/>
  <c r="O136" i="10"/>
  <c r="D137" i="10"/>
  <c r="E137" i="10"/>
  <c r="F137" i="10"/>
  <c r="G137" i="10"/>
  <c r="H137" i="10"/>
  <c r="I137" i="10"/>
  <c r="J137" i="10"/>
  <c r="K137" i="10"/>
  <c r="L137" i="10"/>
  <c r="M137" i="10"/>
  <c r="N137" i="10"/>
  <c r="O137" i="10"/>
  <c r="D138" i="10"/>
  <c r="E138" i="10"/>
  <c r="F138" i="10"/>
  <c r="G138" i="10"/>
  <c r="H138" i="10"/>
  <c r="I138" i="10"/>
  <c r="J138" i="10"/>
  <c r="K138" i="10"/>
  <c r="L138" i="10"/>
  <c r="M138" i="10"/>
  <c r="N138" i="10"/>
  <c r="O138" i="10"/>
  <c r="D109" i="11"/>
  <c r="E109" i="11"/>
  <c r="F109" i="11"/>
  <c r="G109" i="11"/>
  <c r="H109" i="11"/>
  <c r="I109" i="11"/>
  <c r="J109" i="11"/>
  <c r="K109" i="11"/>
  <c r="L109" i="11"/>
  <c r="M109" i="11"/>
  <c r="N109" i="11"/>
  <c r="O109" i="11"/>
  <c r="D110" i="11"/>
  <c r="E110" i="11"/>
  <c r="F110" i="11"/>
  <c r="G110" i="11"/>
  <c r="H110" i="11"/>
  <c r="I110" i="11"/>
  <c r="J110" i="11"/>
  <c r="K110" i="11"/>
  <c r="L110" i="11"/>
  <c r="M110" i="11"/>
  <c r="N110" i="11"/>
  <c r="O110" i="11"/>
  <c r="D111" i="11"/>
  <c r="E111" i="11"/>
  <c r="F111" i="11"/>
  <c r="G111" i="11"/>
  <c r="H111" i="11"/>
  <c r="I111" i="11"/>
  <c r="J111" i="11"/>
  <c r="K111" i="11"/>
  <c r="L111" i="11"/>
  <c r="M111" i="11"/>
  <c r="N111" i="11"/>
  <c r="O111" i="11"/>
  <c r="D112" i="11"/>
  <c r="E112" i="11"/>
  <c r="F112" i="11"/>
  <c r="G112" i="11"/>
  <c r="H112" i="11"/>
  <c r="I112" i="11"/>
  <c r="J112" i="11"/>
  <c r="K112" i="11"/>
  <c r="L112" i="11"/>
  <c r="M112" i="11"/>
  <c r="N112" i="11"/>
  <c r="O112" i="11"/>
  <c r="D113" i="11"/>
  <c r="E113" i="11"/>
  <c r="F113" i="11"/>
  <c r="G113" i="11"/>
  <c r="H113" i="11"/>
  <c r="I113" i="11"/>
  <c r="J113" i="11"/>
  <c r="K113" i="11"/>
  <c r="L113" i="11"/>
  <c r="M113" i="11"/>
  <c r="N113" i="11"/>
  <c r="O113" i="11"/>
  <c r="D114" i="11"/>
  <c r="E114" i="11"/>
  <c r="F114" i="11"/>
  <c r="G114" i="11"/>
  <c r="H114" i="11"/>
  <c r="I114" i="11"/>
  <c r="J114" i="11"/>
  <c r="K114" i="11"/>
  <c r="L114" i="11"/>
  <c r="M114" i="11"/>
  <c r="N114" i="11"/>
  <c r="O114" i="11"/>
  <c r="D115" i="11"/>
  <c r="E115" i="11"/>
  <c r="F115" i="11"/>
  <c r="G115" i="11"/>
  <c r="H115" i="11"/>
  <c r="I115" i="11"/>
  <c r="J115" i="11"/>
  <c r="K115" i="11"/>
  <c r="L115" i="11"/>
  <c r="M115" i="11"/>
  <c r="N115" i="11"/>
  <c r="O115" i="11"/>
  <c r="D116" i="11"/>
  <c r="E116" i="11"/>
  <c r="F116" i="11"/>
  <c r="G116" i="11"/>
  <c r="H116" i="11"/>
  <c r="I116" i="11"/>
  <c r="J116" i="11"/>
  <c r="K116" i="11"/>
  <c r="L116" i="11"/>
  <c r="M116" i="11"/>
  <c r="N116" i="11"/>
  <c r="O116" i="11"/>
  <c r="D120" i="11"/>
  <c r="E120" i="11"/>
  <c r="F120" i="11"/>
  <c r="G120" i="11"/>
  <c r="H120" i="11"/>
  <c r="I120" i="11"/>
  <c r="J120" i="11"/>
  <c r="K120" i="11"/>
  <c r="L120" i="11"/>
  <c r="M120" i="11"/>
  <c r="N120" i="11"/>
  <c r="O120" i="11"/>
  <c r="D121" i="11"/>
  <c r="E121" i="11"/>
  <c r="F121" i="11"/>
  <c r="G121" i="11"/>
  <c r="H121" i="11"/>
  <c r="I121" i="11"/>
  <c r="J121" i="11"/>
  <c r="K121" i="11"/>
  <c r="L121" i="11"/>
  <c r="M121" i="11"/>
  <c r="N121" i="11"/>
  <c r="O121" i="11"/>
  <c r="D122" i="11"/>
  <c r="E122" i="11"/>
  <c r="F122" i="11"/>
  <c r="G122" i="11"/>
  <c r="H122" i="11"/>
  <c r="I122" i="11"/>
  <c r="J122" i="11"/>
  <c r="K122" i="11"/>
  <c r="L122" i="11"/>
  <c r="M122" i="11"/>
  <c r="N122" i="11"/>
  <c r="O122" i="11"/>
  <c r="D123" i="11"/>
  <c r="E123" i="11"/>
  <c r="F123" i="11"/>
  <c r="G123" i="11"/>
  <c r="H123" i="11"/>
  <c r="I123" i="11"/>
  <c r="J123" i="11"/>
  <c r="K123" i="11"/>
  <c r="L123" i="11"/>
  <c r="M123" i="11"/>
  <c r="N123" i="11"/>
  <c r="O123" i="11"/>
  <c r="D124" i="11"/>
  <c r="E124" i="11"/>
  <c r="F124" i="11"/>
  <c r="G124" i="11"/>
  <c r="H124" i="11"/>
  <c r="I124" i="11"/>
  <c r="J124" i="11"/>
  <c r="K124" i="11"/>
  <c r="L124" i="11"/>
  <c r="M124" i="11"/>
  <c r="N124" i="11"/>
  <c r="O124" i="11"/>
  <c r="D125" i="11"/>
  <c r="E125" i="11"/>
  <c r="F125" i="11"/>
  <c r="G125" i="11"/>
  <c r="H125" i="11"/>
  <c r="I125" i="11"/>
  <c r="J125" i="11"/>
  <c r="K125" i="11"/>
  <c r="L125" i="11"/>
  <c r="M125" i="11"/>
  <c r="N125" i="11"/>
  <c r="O125" i="11"/>
  <c r="D126" i="11"/>
  <c r="E126" i="11"/>
  <c r="F126" i="11"/>
  <c r="G126" i="11"/>
  <c r="H126" i="11"/>
  <c r="I126" i="11"/>
  <c r="J126" i="11"/>
  <c r="K126" i="11"/>
  <c r="L126" i="11"/>
  <c r="M126" i="11"/>
  <c r="N126" i="11"/>
  <c r="O126" i="11"/>
  <c r="D127" i="11"/>
  <c r="S9" i="19" s="1"/>
  <c r="E127" i="11"/>
  <c r="F127" i="11"/>
  <c r="G127" i="11"/>
  <c r="H127" i="11"/>
  <c r="I127" i="11"/>
  <c r="J127" i="11"/>
  <c r="K127" i="11"/>
  <c r="L127" i="11"/>
  <c r="M127" i="11"/>
  <c r="N127" i="11"/>
  <c r="O127" i="11"/>
  <c r="D131" i="11"/>
  <c r="E131" i="11"/>
  <c r="F131" i="11"/>
  <c r="G131" i="11"/>
  <c r="H131" i="11"/>
  <c r="I131" i="11"/>
  <c r="J131" i="11"/>
  <c r="K131" i="11"/>
  <c r="L131" i="11"/>
  <c r="M131" i="11"/>
  <c r="N131" i="11"/>
  <c r="O131" i="11"/>
  <c r="D132" i="11"/>
  <c r="E132" i="11"/>
  <c r="F132" i="11"/>
  <c r="G132" i="11"/>
  <c r="H132" i="11"/>
  <c r="I132" i="11"/>
  <c r="J132" i="11"/>
  <c r="K132" i="11"/>
  <c r="L132" i="11"/>
  <c r="M132" i="11"/>
  <c r="N132" i="11"/>
  <c r="O132" i="11"/>
  <c r="D133" i="11"/>
  <c r="E133" i="11"/>
  <c r="F133" i="11"/>
  <c r="G133" i="11"/>
  <c r="H133" i="11"/>
  <c r="I133" i="11"/>
  <c r="J133" i="11"/>
  <c r="K133" i="11"/>
  <c r="L133" i="11"/>
  <c r="M133" i="11"/>
  <c r="N133" i="11"/>
  <c r="O133" i="11"/>
  <c r="D134" i="11"/>
  <c r="E134" i="11"/>
  <c r="F134" i="11"/>
  <c r="G134" i="11"/>
  <c r="H134" i="11"/>
  <c r="I134" i="11"/>
  <c r="J134" i="11"/>
  <c r="K134" i="11"/>
  <c r="L134" i="11"/>
  <c r="M134" i="11"/>
  <c r="N134" i="11"/>
  <c r="O134" i="11"/>
  <c r="D135" i="11"/>
  <c r="E135" i="11"/>
  <c r="F135" i="11"/>
  <c r="G135" i="11"/>
  <c r="H135" i="11"/>
  <c r="I135" i="11"/>
  <c r="J135" i="11"/>
  <c r="K135" i="11"/>
  <c r="L135" i="11"/>
  <c r="M135" i="11"/>
  <c r="N135" i="11"/>
  <c r="O135" i="11"/>
  <c r="D136" i="11"/>
  <c r="E136" i="11"/>
  <c r="F136" i="11"/>
  <c r="G136" i="11"/>
  <c r="H136" i="11"/>
  <c r="I136" i="11"/>
  <c r="J136" i="11"/>
  <c r="K136" i="11"/>
  <c r="L136" i="11"/>
  <c r="M136" i="11"/>
  <c r="N136" i="11"/>
  <c r="O136" i="11"/>
  <c r="D137" i="11"/>
  <c r="E137" i="11"/>
  <c r="F137" i="11"/>
  <c r="G137" i="11"/>
  <c r="H137" i="11"/>
  <c r="I137" i="11"/>
  <c r="J137" i="11"/>
  <c r="K137" i="11"/>
  <c r="L137" i="11"/>
  <c r="M137" i="11"/>
  <c r="N137" i="11"/>
  <c r="O137" i="11"/>
  <c r="D138" i="11"/>
  <c r="E138" i="11"/>
  <c r="F138" i="11"/>
  <c r="G138" i="11"/>
  <c r="H138" i="11"/>
  <c r="I138" i="11"/>
  <c r="J138" i="11"/>
  <c r="K138" i="11"/>
  <c r="L138" i="11"/>
  <c r="M138" i="11"/>
  <c r="N138" i="11"/>
  <c r="O138" i="11"/>
  <c r="D109" i="12"/>
  <c r="E109" i="12"/>
  <c r="F109" i="12"/>
  <c r="G109" i="12"/>
  <c r="H109" i="12"/>
  <c r="I109" i="12"/>
  <c r="J109" i="12"/>
  <c r="K109" i="12"/>
  <c r="L109" i="12"/>
  <c r="M109" i="12"/>
  <c r="N109" i="12"/>
  <c r="O109" i="12"/>
  <c r="D110" i="12"/>
  <c r="E110" i="12"/>
  <c r="F110" i="12"/>
  <c r="G110" i="12"/>
  <c r="H110" i="12"/>
  <c r="I110" i="12"/>
  <c r="J110" i="12"/>
  <c r="K110" i="12"/>
  <c r="L110" i="12"/>
  <c r="M110" i="12"/>
  <c r="N110" i="12"/>
  <c r="O110" i="12"/>
  <c r="D111" i="12"/>
  <c r="E111" i="12"/>
  <c r="F111" i="12"/>
  <c r="G111" i="12"/>
  <c r="H111" i="12"/>
  <c r="I111" i="12"/>
  <c r="J111" i="12"/>
  <c r="K111" i="12"/>
  <c r="L111" i="12"/>
  <c r="M111" i="12"/>
  <c r="N111" i="12"/>
  <c r="O111" i="12"/>
  <c r="D112" i="12"/>
  <c r="E112" i="12"/>
  <c r="F112" i="12"/>
  <c r="G112" i="12"/>
  <c r="H112" i="12"/>
  <c r="I112" i="12"/>
  <c r="J112" i="12"/>
  <c r="K112" i="12"/>
  <c r="L112" i="12"/>
  <c r="M112" i="12"/>
  <c r="N112" i="12"/>
  <c r="O112" i="12"/>
  <c r="D113" i="12"/>
  <c r="E113" i="12"/>
  <c r="F113" i="12"/>
  <c r="G113" i="12"/>
  <c r="H113" i="12"/>
  <c r="I113" i="12"/>
  <c r="J113" i="12"/>
  <c r="K113" i="12"/>
  <c r="L113" i="12"/>
  <c r="M113" i="12"/>
  <c r="N113" i="12"/>
  <c r="O113" i="12"/>
  <c r="D114" i="12"/>
  <c r="E114" i="12"/>
  <c r="F114" i="12"/>
  <c r="G114" i="12"/>
  <c r="H114" i="12"/>
  <c r="I114" i="12"/>
  <c r="J114" i="12"/>
  <c r="K114" i="12"/>
  <c r="L114" i="12"/>
  <c r="M114" i="12"/>
  <c r="N114" i="12"/>
  <c r="O114" i="12"/>
  <c r="D115" i="12"/>
  <c r="E115" i="12"/>
  <c r="F115" i="12"/>
  <c r="G115" i="12"/>
  <c r="H115" i="12"/>
  <c r="I115" i="12"/>
  <c r="J115" i="12"/>
  <c r="K115" i="12"/>
  <c r="L115" i="12"/>
  <c r="M115" i="12"/>
  <c r="N115" i="12"/>
  <c r="O115" i="12"/>
  <c r="D116" i="12"/>
  <c r="E116" i="12"/>
  <c r="F116" i="12"/>
  <c r="G116" i="12"/>
  <c r="H116" i="12"/>
  <c r="I116" i="12"/>
  <c r="J116" i="12"/>
  <c r="K116" i="12"/>
  <c r="L116" i="12"/>
  <c r="M116" i="12"/>
  <c r="N116" i="12"/>
  <c r="O116" i="12"/>
  <c r="D120" i="12"/>
  <c r="E120" i="12"/>
  <c r="F120" i="12"/>
  <c r="G120" i="12"/>
  <c r="H120" i="12"/>
  <c r="I120" i="12"/>
  <c r="J120" i="12"/>
  <c r="K120" i="12"/>
  <c r="L120" i="12"/>
  <c r="M120" i="12"/>
  <c r="N120" i="12"/>
  <c r="O120" i="12"/>
  <c r="D121" i="12"/>
  <c r="E121" i="12"/>
  <c r="F121" i="12"/>
  <c r="G121" i="12"/>
  <c r="H121" i="12"/>
  <c r="I121" i="12"/>
  <c r="J121" i="12"/>
  <c r="K121" i="12"/>
  <c r="L121" i="12"/>
  <c r="M121" i="12"/>
  <c r="N121" i="12"/>
  <c r="O121" i="12"/>
  <c r="D122" i="12"/>
  <c r="E122" i="12"/>
  <c r="F122" i="12"/>
  <c r="G122" i="12"/>
  <c r="H122" i="12"/>
  <c r="I122" i="12"/>
  <c r="J122" i="12"/>
  <c r="K122" i="12"/>
  <c r="L122" i="12"/>
  <c r="M122" i="12"/>
  <c r="N122" i="12"/>
  <c r="O122" i="12"/>
  <c r="D123" i="12"/>
  <c r="E123" i="12"/>
  <c r="F123" i="12"/>
  <c r="G123" i="12"/>
  <c r="H123" i="12"/>
  <c r="I123" i="12"/>
  <c r="J123" i="12"/>
  <c r="K123" i="12"/>
  <c r="L123" i="12"/>
  <c r="M123" i="12"/>
  <c r="N123" i="12"/>
  <c r="O123" i="12"/>
  <c r="D124" i="12"/>
  <c r="E124" i="12"/>
  <c r="F124" i="12"/>
  <c r="G124" i="12"/>
  <c r="H124" i="12"/>
  <c r="I124" i="12"/>
  <c r="J124" i="12"/>
  <c r="K124" i="12"/>
  <c r="L124" i="12"/>
  <c r="M124" i="12"/>
  <c r="N124" i="12"/>
  <c r="O124" i="12"/>
  <c r="D125" i="12"/>
  <c r="E125" i="12"/>
  <c r="F125" i="12"/>
  <c r="G125" i="12"/>
  <c r="H125" i="12"/>
  <c r="I125" i="12"/>
  <c r="J125" i="12"/>
  <c r="K125" i="12"/>
  <c r="L125" i="12"/>
  <c r="M125" i="12"/>
  <c r="N125" i="12"/>
  <c r="O125" i="12"/>
  <c r="D126" i="12"/>
  <c r="E126" i="12"/>
  <c r="F126" i="12"/>
  <c r="G126" i="12"/>
  <c r="H126" i="12"/>
  <c r="I126" i="12"/>
  <c r="J126" i="12"/>
  <c r="K126" i="12"/>
  <c r="L126" i="12"/>
  <c r="M126" i="12"/>
  <c r="N126" i="12"/>
  <c r="O126" i="12"/>
  <c r="D127" i="12"/>
  <c r="E127" i="12"/>
  <c r="F127" i="12"/>
  <c r="G127" i="12"/>
  <c r="H127" i="12"/>
  <c r="I127" i="12"/>
  <c r="J127" i="12"/>
  <c r="K127" i="12"/>
  <c r="L127" i="12"/>
  <c r="M127" i="12"/>
  <c r="N127" i="12"/>
  <c r="O127" i="12"/>
  <c r="D131" i="12"/>
  <c r="E131" i="12"/>
  <c r="F131" i="12"/>
  <c r="G131" i="12"/>
  <c r="H131" i="12"/>
  <c r="I131" i="12"/>
  <c r="J131" i="12"/>
  <c r="K131" i="12"/>
  <c r="L131" i="12"/>
  <c r="M131" i="12"/>
  <c r="N131" i="12"/>
  <c r="O131" i="12"/>
  <c r="D132" i="12"/>
  <c r="E132" i="12"/>
  <c r="F132" i="12"/>
  <c r="G132" i="12"/>
  <c r="H132" i="12"/>
  <c r="I132" i="12"/>
  <c r="J132" i="12"/>
  <c r="K132" i="12"/>
  <c r="L132" i="12"/>
  <c r="M132" i="12"/>
  <c r="N132" i="12"/>
  <c r="O132" i="12"/>
  <c r="D133" i="12"/>
  <c r="E133" i="12"/>
  <c r="F133" i="12"/>
  <c r="G133" i="12"/>
  <c r="H133" i="12"/>
  <c r="I133" i="12"/>
  <c r="J133" i="12"/>
  <c r="K133" i="12"/>
  <c r="L133" i="12"/>
  <c r="M133" i="12"/>
  <c r="N133" i="12"/>
  <c r="O133" i="12"/>
  <c r="D134" i="12"/>
  <c r="E134" i="12"/>
  <c r="F134" i="12"/>
  <c r="G134" i="12"/>
  <c r="H134" i="12"/>
  <c r="I134" i="12"/>
  <c r="J134" i="12"/>
  <c r="K134" i="12"/>
  <c r="L134" i="12"/>
  <c r="M134" i="12"/>
  <c r="N134" i="12"/>
  <c r="O134" i="12"/>
  <c r="D135" i="12"/>
  <c r="E135" i="12"/>
  <c r="F135" i="12"/>
  <c r="G135" i="12"/>
  <c r="H135" i="12"/>
  <c r="I135" i="12"/>
  <c r="J135" i="12"/>
  <c r="K135" i="12"/>
  <c r="L135" i="12"/>
  <c r="M135" i="12"/>
  <c r="N135" i="12"/>
  <c r="O135" i="12"/>
  <c r="D136" i="12"/>
  <c r="E136" i="12"/>
  <c r="F136" i="12"/>
  <c r="G136" i="12"/>
  <c r="H136" i="12"/>
  <c r="I136" i="12"/>
  <c r="J136" i="12"/>
  <c r="K136" i="12"/>
  <c r="L136" i="12"/>
  <c r="M136" i="12"/>
  <c r="N136" i="12"/>
  <c r="O136" i="12"/>
  <c r="D137" i="12"/>
  <c r="E137" i="12"/>
  <c r="F137" i="12"/>
  <c r="G137" i="12"/>
  <c r="H137" i="12"/>
  <c r="I137" i="12"/>
  <c r="J137" i="12"/>
  <c r="K137" i="12"/>
  <c r="L137" i="12"/>
  <c r="M137" i="12"/>
  <c r="N137" i="12"/>
  <c r="O137" i="12"/>
  <c r="D138" i="12"/>
  <c r="E138" i="12"/>
  <c r="F138" i="12"/>
  <c r="G138" i="12"/>
  <c r="H138" i="12"/>
  <c r="I138" i="12"/>
  <c r="J138" i="12"/>
  <c r="K138" i="12"/>
  <c r="L138" i="12"/>
  <c r="M138" i="12"/>
  <c r="N138" i="12"/>
  <c r="O138" i="12"/>
  <c r="D109" i="13"/>
  <c r="E109" i="13"/>
  <c r="F109" i="13"/>
  <c r="G109" i="13"/>
  <c r="H109" i="13"/>
  <c r="I109" i="13"/>
  <c r="J109" i="13"/>
  <c r="K109" i="13"/>
  <c r="L109" i="13"/>
  <c r="M109" i="13"/>
  <c r="N109" i="13"/>
  <c r="O109" i="13"/>
  <c r="D110" i="13"/>
  <c r="E110" i="13"/>
  <c r="F110" i="13"/>
  <c r="G110" i="13"/>
  <c r="H110" i="13"/>
  <c r="I110" i="13"/>
  <c r="J110" i="13"/>
  <c r="K110" i="13"/>
  <c r="L110" i="13"/>
  <c r="M110" i="13"/>
  <c r="N110" i="13"/>
  <c r="O110" i="13"/>
  <c r="D111" i="13"/>
  <c r="E111" i="13"/>
  <c r="F111" i="13"/>
  <c r="G111" i="13"/>
  <c r="H111" i="13"/>
  <c r="I111" i="13"/>
  <c r="J111" i="13"/>
  <c r="K111" i="13"/>
  <c r="L111" i="13"/>
  <c r="M111" i="13"/>
  <c r="N111" i="13"/>
  <c r="O111" i="13"/>
  <c r="D112" i="13"/>
  <c r="E112" i="13"/>
  <c r="F112" i="13"/>
  <c r="G112" i="13"/>
  <c r="H112" i="13"/>
  <c r="I112" i="13"/>
  <c r="J112" i="13"/>
  <c r="K112" i="13"/>
  <c r="L112" i="13"/>
  <c r="M112" i="13"/>
  <c r="N112" i="13"/>
  <c r="O112" i="13"/>
  <c r="D113" i="13"/>
  <c r="E113" i="13"/>
  <c r="F113" i="13"/>
  <c r="G113" i="13"/>
  <c r="H113" i="13"/>
  <c r="I113" i="13"/>
  <c r="J113" i="13"/>
  <c r="K113" i="13"/>
  <c r="L113" i="13"/>
  <c r="M113" i="13"/>
  <c r="N113" i="13"/>
  <c r="O113" i="13"/>
  <c r="D114" i="13"/>
  <c r="E114" i="13"/>
  <c r="F114" i="13"/>
  <c r="G114" i="13"/>
  <c r="H114" i="13"/>
  <c r="I114" i="13"/>
  <c r="J114" i="13"/>
  <c r="K114" i="13"/>
  <c r="L114" i="13"/>
  <c r="M114" i="13"/>
  <c r="N114" i="13"/>
  <c r="O114" i="13"/>
  <c r="D115" i="13"/>
  <c r="E115" i="13"/>
  <c r="F115" i="13"/>
  <c r="G115" i="13"/>
  <c r="H115" i="13"/>
  <c r="I115" i="13"/>
  <c r="J115" i="13"/>
  <c r="K115" i="13"/>
  <c r="L115" i="13"/>
  <c r="M115" i="13"/>
  <c r="N115" i="13"/>
  <c r="O115" i="13"/>
  <c r="D116" i="13"/>
  <c r="E116" i="13"/>
  <c r="F116" i="13"/>
  <c r="G116" i="13"/>
  <c r="H116" i="13"/>
  <c r="I116" i="13"/>
  <c r="J116" i="13"/>
  <c r="K116" i="13"/>
  <c r="L116" i="13"/>
  <c r="M116" i="13"/>
  <c r="N116" i="13"/>
  <c r="O116" i="13"/>
  <c r="D120" i="13"/>
  <c r="E120" i="13"/>
  <c r="F120" i="13"/>
  <c r="G120" i="13"/>
  <c r="H120" i="13"/>
  <c r="I120" i="13"/>
  <c r="J120" i="13"/>
  <c r="K120" i="13"/>
  <c r="L120" i="13"/>
  <c r="M120" i="13"/>
  <c r="N120" i="13"/>
  <c r="O120" i="13"/>
  <c r="D121" i="13"/>
  <c r="E121" i="13"/>
  <c r="F121" i="13"/>
  <c r="G121" i="13"/>
  <c r="H121" i="13"/>
  <c r="I121" i="13"/>
  <c r="J121" i="13"/>
  <c r="K121" i="13"/>
  <c r="L121" i="13"/>
  <c r="M121" i="13"/>
  <c r="N121" i="13"/>
  <c r="O121" i="13"/>
  <c r="D122" i="13"/>
  <c r="E122" i="13"/>
  <c r="F122" i="13"/>
  <c r="G122" i="13"/>
  <c r="H122" i="13"/>
  <c r="I122" i="13"/>
  <c r="J122" i="13"/>
  <c r="K122" i="13"/>
  <c r="L122" i="13"/>
  <c r="M122" i="13"/>
  <c r="N122" i="13"/>
  <c r="O122" i="13"/>
  <c r="D123" i="13"/>
  <c r="E123" i="13"/>
  <c r="F123" i="13"/>
  <c r="G123" i="13"/>
  <c r="H123" i="13"/>
  <c r="I123" i="13"/>
  <c r="J123" i="13"/>
  <c r="K123" i="13"/>
  <c r="L123" i="13"/>
  <c r="M123" i="13"/>
  <c r="N123" i="13"/>
  <c r="O123" i="13"/>
  <c r="D124" i="13"/>
  <c r="E124" i="13"/>
  <c r="F124" i="13"/>
  <c r="G124" i="13"/>
  <c r="H124" i="13"/>
  <c r="I124" i="13"/>
  <c r="J124" i="13"/>
  <c r="K124" i="13"/>
  <c r="L124" i="13"/>
  <c r="M124" i="13"/>
  <c r="N124" i="13"/>
  <c r="O124" i="13"/>
  <c r="D125" i="13"/>
  <c r="E125" i="13"/>
  <c r="F125" i="13"/>
  <c r="G125" i="13"/>
  <c r="H125" i="13"/>
  <c r="I125" i="13"/>
  <c r="J125" i="13"/>
  <c r="K125" i="13"/>
  <c r="L125" i="13"/>
  <c r="M125" i="13"/>
  <c r="N125" i="13"/>
  <c r="O125" i="13"/>
  <c r="D126" i="13"/>
  <c r="E126" i="13"/>
  <c r="F126" i="13"/>
  <c r="G126" i="13"/>
  <c r="H126" i="13"/>
  <c r="I126" i="13"/>
  <c r="J126" i="13"/>
  <c r="K126" i="13"/>
  <c r="L126" i="13"/>
  <c r="M126" i="13"/>
  <c r="N126" i="13"/>
  <c r="O126" i="13"/>
  <c r="D127" i="13"/>
  <c r="E127" i="13"/>
  <c r="F127" i="13"/>
  <c r="G127" i="13"/>
  <c r="H127" i="13"/>
  <c r="I127" i="13"/>
  <c r="J127" i="13"/>
  <c r="K127" i="13"/>
  <c r="L127" i="13"/>
  <c r="M127" i="13"/>
  <c r="N127" i="13"/>
  <c r="O127" i="13"/>
  <c r="D131" i="13"/>
  <c r="E131" i="13"/>
  <c r="F131" i="13"/>
  <c r="G131" i="13"/>
  <c r="H131" i="13"/>
  <c r="I131" i="13"/>
  <c r="J131" i="13"/>
  <c r="K131" i="13"/>
  <c r="L131" i="13"/>
  <c r="M131" i="13"/>
  <c r="N131" i="13"/>
  <c r="O131" i="13"/>
  <c r="D132" i="13"/>
  <c r="E132" i="13"/>
  <c r="F132" i="13"/>
  <c r="G132" i="13"/>
  <c r="H132" i="13"/>
  <c r="I132" i="13"/>
  <c r="J132" i="13"/>
  <c r="K132" i="13"/>
  <c r="L132" i="13"/>
  <c r="M132" i="13"/>
  <c r="N132" i="13"/>
  <c r="O132" i="13"/>
  <c r="D133" i="13"/>
  <c r="E133" i="13"/>
  <c r="F133" i="13"/>
  <c r="G133" i="13"/>
  <c r="H133" i="13"/>
  <c r="I133" i="13"/>
  <c r="J133" i="13"/>
  <c r="K133" i="13"/>
  <c r="L133" i="13"/>
  <c r="M133" i="13"/>
  <c r="N133" i="13"/>
  <c r="O133" i="13"/>
  <c r="D134" i="13"/>
  <c r="E134" i="13"/>
  <c r="F134" i="13"/>
  <c r="G134" i="13"/>
  <c r="H134" i="13"/>
  <c r="I134" i="13"/>
  <c r="J134" i="13"/>
  <c r="K134" i="13"/>
  <c r="L134" i="13"/>
  <c r="M134" i="13"/>
  <c r="N134" i="13"/>
  <c r="O134" i="13"/>
  <c r="D135" i="13"/>
  <c r="E135" i="13"/>
  <c r="F135" i="13"/>
  <c r="G135" i="13"/>
  <c r="H135" i="13"/>
  <c r="I135" i="13"/>
  <c r="J135" i="13"/>
  <c r="K135" i="13"/>
  <c r="L135" i="13"/>
  <c r="M135" i="13"/>
  <c r="N135" i="13"/>
  <c r="O135" i="13"/>
  <c r="D136" i="13"/>
  <c r="E136" i="13"/>
  <c r="F136" i="13"/>
  <c r="G136" i="13"/>
  <c r="H136" i="13"/>
  <c r="I136" i="13"/>
  <c r="J136" i="13"/>
  <c r="K136" i="13"/>
  <c r="L136" i="13"/>
  <c r="M136" i="13"/>
  <c r="N136" i="13"/>
  <c r="O136" i="13"/>
  <c r="D137" i="13"/>
  <c r="E137" i="13"/>
  <c r="F137" i="13"/>
  <c r="G137" i="13"/>
  <c r="H137" i="13"/>
  <c r="I137" i="13"/>
  <c r="J137" i="13"/>
  <c r="K137" i="13"/>
  <c r="L137" i="13"/>
  <c r="M137" i="13"/>
  <c r="N137" i="13"/>
  <c r="O137" i="13"/>
  <c r="D138" i="13"/>
  <c r="E138" i="13"/>
  <c r="F138" i="13"/>
  <c r="G138" i="13"/>
  <c r="H138" i="13"/>
  <c r="I138" i="13"/>
  <c r="J138" i="13"/>
  <c r="K138" i="13"/>
  <c r="L138" i="13"/>
  <c r="M138" i="13"/>
  <c r="N138" i="13"/>
  <c r="O138" i="13"/>
  <c r="AY259" i="14"/>
  <c r="AZ14" i="14"/>
  <c r="AY181" i="14"/>
  <c r="AY179" i="14"/>
  <c r="AY177" i="14"/>
  <c r="AY175" i="14"/>
  <c r="AX259" i="14"/>
  <c r="AY14" i="14"/>
  <c r="AX181" i="14"/>
  <c r="AX179" i="14"/>
  <c r="AX260" i="14" s="1"/>
  <c r="AX177" i="14"/>
  <c r="AX175" i="14"/>
  <c r="AX14" i="14"/>
  <c r="AW259" i="14" s="1"/>
  <c r="AW181" i="14"/>
  <c r="AW179" i="14"/>
  <c r="AW177" i="14"/>
  <c r="AW175" i="14"/>
  <c r="AW260" i="14" s="1"/>
  <c r="AW14" i="14"/>
  <c r="AV259" i="14" s="1"/>
  <c r="AV181" i="14"/>
  <c r="AV179" i="14"/>
  <c r="AV177" i="14"/>
  <c r="AV175" i="14"/>
  <c r="AV260" i="14" s="1"/>
  <c r="AU259" i="14"/>
  <c r="AV14" i="14"/>
  <c r="AU181" i="14"/>
  <c r="AU179" i="14"/>
  <c r="AU177" i="14"/>
  <c r="AU175" i="14"/>
  <c r="AT259" i="14"/>
  <c r="AU14" i="14"/>
  <c r="AT181" i="14"/>
  <c r="AT179" i="14"/>
  <c r="AT260" i="14" s="1"/>
  <c r="AT177" i="14"/>
  <c r="AT175" i="14"/>
  <c r="AT14" i="14"/>
  <c r="AS259" i="14" s="1"/>
  <c r="AS181" i="14"/>
  <c r="AS179" i="14"/>
  <c r="AS177" i="14"/>
  <c r="AS175" i="14"/>
  <c r="AS260" i="14" s="1"/>
  <c r="AS14" i="14"/>
  <c r="AR259" i="14" s="1"/>
  <c r="AR181" i="14"/>
  <c r="AR179" i="14"/>
  <c r="AR177" i="14"/>
  <c r="AR175" i="14"/>
  <c r="AQ259" i="14"/>
  <c r="AR14" i="14"/>
  <c r="AQ181" i="14"/>
  <c r="AQ179" i="14"/>
  <c r="AQ260" i="14" s="1"/>
  <c r="AQ177" i="14"/>
  <c r="AQ175" i="14"/>
  <c r="AP259" i="14"/>
  <c r="AQ14" i="14"/>
  <c r="AP181" i="14"/>
  <c r="AP179" i="14"/>
  <c r="AP177" i="14"/>
  <c r="AP260" i="14" s="1"/>
  <c r="AP175" i="14"/>
  <c r="AO259" i="14"/>
  <c r="AP14" i="14"/>
  <c r="AO181" i="14"/>
  <c r="AO179" i="14"/>
  <c r="AO177" i="14"/>
  <c r="AO175" i="14"/>
  <c r="AO14" i="14"/>
  <c r="AN259" i="14" s="1"/>
  <c r="AN181" i="14"/>
  <c r="AN179" i="14"/>
  <c r="AN177" i="14"/>
  <c r="AN175" i="14"/>
  <c r="AM259" i="14"/>
  <c r="AN14" i="14"/>
  <c r="AM181" i="14"/>
  <c r="AM179" i="14"/>
  <c r="AM260" i="14" s="1"/>
  <c r="AM177" i="14"/>
  <c r="AM175" i="14"/>
  <c r="AL259" i="14"/>
  <c r="AM14" i="14"/>
  <c r="AL181" i="14"/>
  <c r="AL179" i="14"/>
  <c r="AL177" i="14"/>
  <c r="AL260" i="14" s="1"/>
  <c r="AL175" i="14"/>
  <c r="AL14" i="14"/>
  <c r="AK259" i="14" s="1"/>
  <c r="AK181" i="14"/>
  <c r="AK179" i="14"/>
  <c r="AK177" i="14"/>
  <c r="AK175" i="14"/>
  <c r="AK260" i="14" s="1"/>
  <c r="AK14" i="14"/>
  <c r="AJ259" i="14" s="1"/>
  <c r="AJ181" i="14"/>
  <c r="AJ179" i="14"/>
  <c r="AJ177" i="14"/>
  <c r="AJ175" i="14"/>
  <c r="AI259" i="14"/>
  <c r="AJ14" i="14"/>
  <c r="AI181" i="14"/>
  <c r="AI179" i="14"/>
  <c r="AI260" i="14" s="1"/>
  <c r="AI177" i="14"/>
  <c r="AI175" i="14"/>
  <c r="AH259" i="14"/>
  <c r="AI14" i="14"/>
  <c r="AH181" i="14"/>
  <c r="AH179" i="14"/>
  <c r="AH177" i="14"/>
  <c r="AH260" i="14" s="1"/>
  <c r="AH175" i="14"/>
  <c r="AG259" i="14"/>
  <c r="AH14" i="14"/>
  <c r="AG181" i="14"/>
  <c r="AG179" i="14"/>
  <c r="AG177" i="14"/>
  <c r="AG175" i="14"/>
  <c r="AG14" i="14"/>
  <c r="AF259" i="14" s="1"/>
  <c r="AF181" i="14"/>
  <c r="AF179" i="14"/>
  <c r="AF177" i="14"/>
  <c r="AF175" i="14"/>
  <c r="AF260" i="14" s="1"/>
  <c r="AE259" i="14"/>
  <c r="AF14" i="14"/>
  <c r="AE181" i="14"/>
  <c r="AE179" i="14"/>
  <c r="AE260" i="14" s="1"/>
  <c r="AE177" i="14"/>
  <c r="AE175" i="14"/>
  <c r="AD259" i="14"/>
  <c r="AE14" i="14"/>
  <c r="AD181" i="14"/>
  <c r="AD179" i="14"/>
  <c r="AD260" i="14" s="1"/>
  <c r="AD177" i="14"/>
  <c r="AD175" i="14"/>
  <c r="AC259" i="14"/>
  <c r="AD14" i="14"/>
  <c r="AC181" i="14"/>
  <c r="AC179" i="14"/>
  <c r="AC177" i="14"/>
  <c r="AC175" i="14"/>
  <c r="AC14" i="14"/>
  <c r="AB259" i="14" s="1"/>
  <c r="AB181" i="14"/>
  <c r="AB179" i="14"/>
  <c r="AB177" i="14"/>
  <c r="AB175" i="14"/>
  <c r="AA259" i="14"/>
  <c r="AB14" i="14"/>
  <c r="AA181" i="14"/>
  <c r="AA179" i="14"/>
  <c r="AA260" i="14" s="1"/>
  <c r="AA177" i="14"/>
  <c r="AA175" i="14"/>
  <c r="Z259" i="14"/>
  <c r="AA14" i="14"/>
  <c r="Z181" i="14"/>
  <c r="Z179" i="14"/>
  <c r="Z177" i="14"/>
  <c r="Z260" i="14" s="1"/>
  <c r="Z175" i="14"/>
  <c r="Y259" i="14"/>
  <c r="Z14" i="14"/>
  <c r="Y181" i="14"/>
  <c r="Y179" i="14"/>
  <c r="Y177" i="14"/>
  <c r="Y175" i="14"/>
  <c r="Y14" i="14"/>
  <c r="X259" i="14" s="1"/>
  <c r="X181" i="14"/>
  <c r="X179" i="14"/>
  <c r="X177" i="14"/>
  <c r="X175" i="14"/>
  <c r="X260" i="14" s="1"/>
  <c r="W259" i="14"/>
  <c r="X14" i="14"/>
  <c r="W181" i="14"/>
  <c r="W179" i="14"/>
  <c r="W260" i="14" s="1"/>
  <c r="W177" i="14"/>
  <c r="W175" i="14"/>
  <c r="V259" i="14"/>
  <c r="W14" i="14"/>
  <c r="V181" i="14"/>
  <c r="V179" i="14"/>
  <c r="V260" i="14" s="1"/>
  <c r="V177" i="14"/>
  <c r="V175" i="14"/>
  <c r="V14" i="14"/>
  <c r="U259" i="14" s="1"/>
  <c r="U181" i="14"/>
  <c r="U179" i="14"/>
  <c r="U177" i="14"/>
  <c r="U175" i="14"/>
  <c r="U260" i="14" s="1"/>
  <c r="U14" i="14"/>
  <c r="T259" i="14" s="1"/>
  <c r="T181" i="14"/>
  <c r="T179" i="14"/>
  <c r="T177" i="14"/>
  <c r="T175" i="14"/>
  <c r="T260" i="14" s="1"/>
  <c r="S259" i="14"/>
  <c r="T14" i="14"/>
  <c r="S181" i="14"/>
  <c r="S179" i="14"/>
  <c r="S260" i="14" s="1"/>
  <c r="S177" i="14"/>
  <c r="S175" i="14"/>
  <c r="R259" i="14"/>
  <c r="S14" i="14"/>
  <c r="R181" i="14"/>
  <c r="R179" i="14"/>
  <c r="R260" i="14" s="1"/>
  <c r="R177" i="14"/>
  <c r="R175" i="14"/>
  <c r="R14" i="14"/>
  <c r="Q259" i="14" s="1"/>
  <c r="Q181" i="14"/>
  <c r="Q179" i="14"/>
  <c r="Q177" i="14"/>
  <c r="Q175" i="14"/>
  <c r="Q260" i="14" s="1"/>
  <c r="Q14" i="14"/>
  <c r="P259" i="14" s="1"/>
  <c r="P181" i="14"/>
  <c r="P179" i="14"/>
  <c r="P177" i="14"/>
  <c r="P175" i="14"/>
  <c r="P260" i="14" s="1"/>
  <c r="O259" i="14"/>
  <c r="P14" i="14"/>
  <c r="O181" i="14"/>
  <c r="O179" i="14"/>
  <c r="O260" i="14" s="1"/>
  <c r="O177" i="14"/>
  <c r="O175" i="14"/>
  <c r="N259" i="14"/>
  <c r="O14" i="14"/>
  <c r="N181" i="14"/>
  <c r="N179" i="14"/>
  <c r="N260" i="14" s="1"/>
  <c r="N177" i="14"/>
  <c r="N175" i="14"/>
  <c r="N14" i="14"/>
  <c r="M259" i="14" s="1"/>
  <c r="M181" i="14"/>
  <c r="M179" i="14"/>
  <c r="M177" i="14"/>
  <c r="M175" i="14"/>
  <c r="M260" i="14" s="1"/>
  <c r="M14" i="14"/>
  <c r="L259" i="14" s="1"/>
  <c r="L181" i="14"/>
  <c r="L179" i="14"/>
  <c r="L177" i="14"/>
  <c r="L175" i="14"/>
  <c r="K259" i="14"/>
  <c r="L14" i="14"/>
  <c r="K181" i="14"/>
  <c r="K179" i="14"/>
  <c r="K260" i="14" s="1"/>
  <c r="K177" i="14"/>
  <c r="K175" i="14"/>
  <c r="J259" i="14"/>
  <c r="K14" i="14"/>
  <c r="J181" i="14"/>
  <c r="J179" i="14"/>
  <c r="J177" i="14"/>
  <c r="J260" i="14" s="1"/>
  <c r="J175" i="14"/>
  <c r="I259" i="14"/>
  <c r="J14" i="14"/>
  <c r="I181" i="14"/>
  <c r="I179" i="14"/>
  <c r="I177" i="14"/>
  <c r="I175" i="14"/>
  <c r="I14" i="14"/>
  <c r="H259" i="14" s="1"/>
  <c r="H181" i="14"/>
  <c r="H179" i="14"/>
  <c r="H177" i="14"/>
  <c r="H175" i="14"/>
  <c r="G259" i="14"/>
  <c r="H14" i="14"/>
  <c r="G181" i="14"/>
  <c r="G179" i="14"/>
  <c r="G260" i="14" s="1"/>
  <c r="G177" i="14"/>
  <c r="G175" i="14"/>
  <c r="F259" i="14"/>
  <c r="G14" i="14"/>
  <c r="F181" i="14"/>
  <c r="F179" i="14"/>
  <c r="F177" i="14"/>
  <c r="F260" i="14" s="1"/>
  <c r="F175" i="14"/>
  <c r="F14" i="14"/>
  <c r="E259" i="14" s="1"/>
  <c r="E181" i="14"/>
  <c r="E179" i="14"/>
  <c r="E177" i="14"/>
  <c r="E175" i="14"/>
  <c r="E260" i="14" s="1"/>
  <c r="E14" i="14"/>
  <c r="D181" i="14"/>
  <c r="D179" i="14"/>
  <c r="D177" i="14"/>
  <c r="D175" i="14"/>
  <c r="AY259" i="15"/>
  <c r="AZ14" i="15"/>
  <c r="AY181" i="15"/>
  <c r="AY179" i="15"/>
  <c r="AY260" i="15" s="1"/>
  <c r="AY177" i="15"/>
  <c r="AY175" i="15"/>
  <c r="AX259" i="15"/>
  <c r="AY14" i="15"/>
  <c r="AX181" i="15"/>
  <c r="AX179" i="15"/>
  <c r="AX177" i="15"/>
  <c r="AX260" i="15" s="1"/>
  <c r="AX175" i="15"/>
  <c r="AW259" i="15"/>
  <c r="AX14" i="15"/>
  <c r="AW181" i="15"/>
  <c r="AW179" i="15"/>
  <c r="AW177" i="15"/>
  <c r="AW175" i="15"/>
  <c r="AW14" i="15"/>
  <c r="AV259" i="15" s="1"/>
  <c r="AV181" i="15"/>
  <c r="AV179" i="15"/>
  <c r="AV177" i="15"/>
  <c r="AV175" i="15"/>
  <c r="AV260" i="15" s="1"/>
  <c r="AU259" i="15"/>
  <c r="AV14" i="15"/>
  <c r="AU181" i="15"/>
  <c r="AU179" i="15"/>
  <c r="AU260" i="15" s="1"/>
  <c r="AU177" i="15"/>
  <c r="AU175" i="15"/>
  <c r="AT259" i="15"/>
  <c r="AU14" i="15"/>
  <c r="AT181" i="15"/>
  <c r="AT179" i="15"/>
  <c r="AT260" i="15" s="1"/>
  <c r="AT177" i="15"/>
  <c r="AT175" i="15"/>
  <c r="AS259" i="15"/>
  <c r="AT14" i="15"/>
  <c r="AS181" i="15"/>
  <c r="AS179" i="15"/>
  <c r="AS177" i="15"/>
  <c r="AS175" i="15"/>
  <c r="AS14" i="15"/>
  <c r="AR259" i="15" s="1"/>
  <c r="AR181" i="15"/>
  <c r="AR179" i="15"/>
  <c r="AR177" i="15"/>
  <c r="AR175" i="15"/>
  <c r="AQ259" i="15"/>
  <c r="AR14" i="15"/>
  <c r="AQ181" i="15"/>
  <c r="AQ179" i="15"/>
  <c r="AQ260" i="15" s="1"/>
  <c r="AQ177" i="15"/>
  <c r="AQ175" i="15"/>
  <c r="AP259" i="15"/>
  <c r="AQ14" i="15"/>
  <c r="AP181" i="15"/>
  <c r="AP179" i="15"/>
  <c r="AP177" i="15"/>
  <c r="AP260" i="15" s="1"/>
  <c r="AP175" i="15"/>
  <c r="AO259" i="15"/>
  <c r="AP14" i="15"/>
  <c r="AO181" i="15"/>
  <c r="AO179" i="15"/>
  <c r="AO177" i="15"/>
  <c r="AO175" i="15"/>
  <c r="AO14" i="15"/>
  <c r="AN259" i="15" s="1"/>
  <c r="AN181" i="15"/>
  <c r="AN179" i="15"/>
  <c r="AN177" i="15"/>
  <c r="AN175" i="15"/>
  <c r="AN260" i="15" s="1"/>
  <c r="AM259" i="15"/>
  <c r="AN14" i="15"/>
  <c r="AM181" i="15"/>
  <c r="AM179" i="15"/>
  <c r="AM177" i="15"/>
  <c r="AM175" i="15"/>
  <c r="AL259" i="15"/>
  <c r="AM14" i="15"/>
  <c r="AL181" i="15"/>
  <c r="AL179" i="15"/>
  <c r="AL260" i="15" s="1"/>
  <c r="AL177" i="15"/>
  <c r="AL175" i="15"/>
  <c r="AL14" i="15"/>
  <c r="AK259" i="15" s="1"/>
  <c r="AK181" i="15"/>
  <c r="AK179" i="15"/>
  <c r="AK177" i="15"/>
  <c r="AK175" i="15"/>
  <c r="AK260" i="15" s="1"/>
  <c r="AK14" i="15"/>
  <c r="AJ259" i="15" s="1"/>
  <c r="AJ181" i="15"/>
  <c r="AJ179" i="15"/>
  <c r="AJ177" i="15"/>
  <c r="AJ175" i="15"/>
  <c r="AJ260" i="15" s="1"/>
  <c r="AI259" i="15"/>
  <c r="AJ14" i="15"/>
  <c r="AI181" i="15"/>
  <c r="AI179" i="15"/>
  <c r="AI177" i="15"/>
  <c r="AI175" i="15"/>
  <c r="AH259" i="15"/>
  <c r="AI14" i="15"/>
  <c r="AH181" i="15"/>
  <c r="AH179" i="15"/>
  <c r="AH260" i="15" s="1"/>
  <c r="AH177" i="15"/>
  <c r="AH175" i="15"/>
  <c r="AH14" i="15"/>
  <c r="AG259" i="15" s="1"/>
  <c r="AG181" i="15"/>
  <c r="AG179" i="15"/>
  <c r="AG177" i="15"/>
  <c r="AG175" i="15"/>
  <c r="AG260" i="15" s="1"/>
  <c r="AG14" i="15"/>
  <c r="AF259" i="15" s="1"/>
  <c r="AF181" i="15"/>
  <c r="AF179" i="15"/>
  <c r="AF177" i="15"/>
  <c r="AF175" i="15"/>
  <c r="AF260" i="15" s="1"/>
  <c r="AE259" i="15"/>
  <c r="AF14" i="15"/>
  <c r="AE181" i="15"/>
  <c r="AE179" i="15"/>
  <c r="AE177" i="15"/>
  <c r="AE175" i="15"/>
  <c r="AD259" i="15"/>
  <c r="AE14" i="15"/>
  <c r="AD181" i="15"/>
  <c r="AD179" i="15"/>
  <c r="AD260" i="15" s="1"/>
  <c r="AD177" i="15"/>
  <c r="AD175" i="15"/>
  <c r="AD14" i="15"/>
  <c r="AC259" i="15" s="1"/>
  <c r="AC181" i="15"/>
  <c r="AC179" i="15"/>
  <c r="AC177" i="15"/>
  <c r="AC175" i="15"/>
  <c r="AC260" i="15" s="1"/>
  <c r="AC14" i="15"/>
  <c r="AB259" i="15" s="1"/>
  <c r="AB181" i="15"/>
  <c r="AB179" i="15"/>
  <c r="AB177" i="15"/>
  <c r="AB175" i="15"/>
  <c r="AA259" i="15"/>
  <c r="AB14" i="15"/>
  <c r="AA181" i="15"/>
  <c r="AA179" i="15"/>
  <c r="AA260" i="15" s="1"/>
  <c r="AA177" i="15"/>
  <c r="AA175" i="15"/>
  <c r="Z259" i="15"/>
  <c r="AA14" i="15"/>
  <c r="Z181" i="15"/>
  <c r="Z179" i="15"/>
  <c r="Z177" i="15"/>
  <c r="Z260" i="15" s="1"/>
  <c r="Z175" i="15"/>
  <c r="Y259" i="15"/>
  <c r="Z14" i="15"/>
  <c r="Y181" i="15"/>
  <c r="Y179" i="15"/>
  <c r="Y177" i="15"/>
  <c r="Y175" i="15"/>
  <c r="Y14" i="15"/>
  <c r="X259" i="15" s="1"/>
  <c r="X181" i="15"/>
  <c r="X179" i="15"/>
  <c r="X177" i="15"/>
  <c r="X175" i="15"/>
  <c r="W259" i="15"/>
  <c r="X14" i="15"/>
  <c r="W181" i="15"/>
  <c r="W179" i="15"/>
  <c r="W260" i="15" s="1"/>
  <c r="W177" i="15"/>
  <c r="W175" i="15"/>
  <c r="V259" i="15"/>
  <c r="W14" i="15"/>
  <c r="V181" i="15"/>
  <c r="V179" i="15"/>
  <c r="V177" i="15"/>
  <c r="V260" i="15" s="1"/>
  <c r="V175" i="15"/>
  <c r="V14" i="15"/>
  <c r="U259" i="15" s="1"/>
  <c r="U181" i="15"/>
  <c r="U179" i="15"/>
  <c r="U177" i="15"/>
  <c r="U175" i="15"/>
  <c r="U260" i="15" s="1"/>
  <c r="U14" i="15"/>
  <c r="T259" i="15" s="1"/>
  <c r="T181" i="15"/>
  <c r="T179" i="15"/>
  <c r="T177" i="15"/>
  <c r="T175" i="15"/>
  <c r="S259" i="15"/>
  <c r="T14" i="15"/>
  <c r="S181" i="15"/>
  <c r="S179" i="15"/>
  <c r="S260" i="15" s="1"/>
  <c r="S177" i="15"/>
  <c r="S175" i="15"/>
  <c r="R259" i="15"/>
  <c r="S14" i="15"/>
  <c r="R181" i="15"/>
  <c r="R179" i="15"/>
  <c r="R177" i="15"/>
  <c r="R260" i="15" s="1"/>
  <c r="R175" i="15"/>
  <c r="Q259" i="15"/>
  <c r="R14" i="15"/>
  <c r="Q181" i="15"/>
  <c r="Q179" i="15"/>
  <c r="Q177" i="15"/>
  <c r="Q175" i="15"/>
  <c r="Q14" i="15"/>
  <c r="P259" i="15" s="1"/>
  <c r="P181" i="15"/>
  <c r="P179" i="15"/>
  <c r="P177" i="15"/>
  <c r="P175" i="15"/>
  <c r="P260" i="15" s="1"/>
  <c r="O259" i="15"/>
  <c r="P14" i="15"/>
  <c r="O181" i="15"/>
  <c r="O179" i="15"/>
  <c r="O260" i="15" s="1"/>
  <c r="O177" i="15"/>
  <c r="O175" i="15"/>
  <c r="N259" i="15"/>
  <c r="O14" i="15"/>
  <c r="N181" i="15"/>
  <c r="N179" i="15"/>
  <c r="N260" i="15" s="1"/>
  <c r="N177" i="15"/>
  <c r="N175" i="15"/>
  <c r="M259" i="15"/>
  <c r="N14" i="15"/>
  <c r="M181" i="15"/>
  <c r="M179" i="15"/>
  <c r="M177" i="15"/>
  <c r="M175" i="15"/>
  <c r="M14" i="15"/>
  <c r="L259" i="15" s="1"/>
  <c r="L181" i="15"/>
  <c r="L179" i="15"/>
  <c r="L177" i="15"/>
  <c r="L175" i="15"/>
  <c r="K259" i="15"/>
  <c r="L14" i="15"/>
  <c r="K181" i="15"/>
  <c r="K179" i="15"/>
  <c r="K260" i="15" s="1"/>
  <c r="K177" i="15"/>
  <c r="K175" i="15"/>
  <c r="J259" i="15"/>
  <c r="K14" i="15"/>
  <c r="J181" i="15"/>
  <c r="J179" i="15"/>
  <c r="J177" i="15"/>
  <c r="J260" i="15" s="1"/>
  <c r="J175" i="15"/>
  <c r="I259" i="15"/>
  <c r="J14" i="15"/>
  <c r="I181" i="15"/>
  <c r="I179" i="15"/>
  <c r="I177" i="15"/>
  <c r="I175" i="15"/>
  <c r="I14" i="15"/>
  <c r="H259" i="15" s="1"/>
  <c r="H181" i="15"/>
  <c r="H179" i="15"/>
  <c r="H177" i="15"/>
  <c r="H175" i="15"/>
  <c r="H260" i="15" s="1"/>
  <c r="G259" i="15"/>
  <c r="H14" i="15"/>
  <c r="G181" i="15"/>
  <c r="G179" i="15"/>
  <c r="G260" i="15" s="1"/>
  <c r="G177" i="15"/>
  <c r="G175" i="15"/>
  <c r="F259" i="15"/>
  <c r="G14" i="15"/>
  <c r="F181" i="15"/>
  <c r="F179" i="15"/>
  <c r="F260" i="15" s="1"/>
  <c r="F177" i="15"/>
  <c r="F175" i="15"/>
  <c r="F14" i="15"/>
  <c r="E259" i="15" s="1"/>
  <c r="E181" i="15"/>
  <c r="E179" i="15"/>
  <c r="E177" i="15"/>
  <c r="E175" i="15"/>
  <c r="E260" i="15" s="1"/>
  <c r="E14" i="15"/>
  <c r="D181" i="15"/>
  <c r="D179" i="15"/>
  <c r="D177" i="15"/>
  <c r="D175" i="15"/>
  <c r="D260" i="15" s="1"/>
  <c r="AY259" i="16"/>
  <c r="AZ14" i="16"/>
  <c r="AY181" i="16"/>
  <c r="AY179" i="16"/>
  <c r="AY260" i="16" s="1"/>
  <c r="AY177" i="16"/>
  <c r="AY175" i="16"/>
  <c r="AX260" i="16"/>
  <c r="AX259" i="16"/>
  <c r="AY14" i="16"/>
  <c r="AX181" i="16"/>
  <c r="AX179" i="16"/>
  <c r="AX177" i="16"/>
  <c r="AX175" i="16"/>
  <c r="AX14" i="16"/>
  <c r="AW259" i="16" s="1"/>
  <c r="AW181" i="16"/>
  <c r="AW179" i="16"/>
  <c r="AW177" i="16"/>
  <c r="AW175" i="16"/>
  <c r="AW260" i="16" s="1"/>
  <c r="AW14" i="16"/>
  <c r="AV259" i="16" s="1"/>
  <c r="AV181" i="16"/>
  <c r="AV179" i="16"/>
  <c r="AV177" i="16"/>
  <c r="AV175" i="16"/>
  <c r="AV260" i="16" s="1"/>
  <c r="AU259" i="16"/>
  <c r="AV14" i="16"/>
  <c r="AU181" i="16"/>
  <c r="AU179" i="16"/>
  <c r="AU260" i="16" s="1"/>
  <c r="AU177" i="16"/>
  <c r="AU175" i="16"/>
  <c r="AT259" i="16"/>
  <c r="AU14" i="16"/>
  <c r="AT181" i="16"/>
  <c r="AT179" i="16"/>
  <c r="AT260" i="16" s="1"/>
  <c r="AT177" i="16"/>
  <c r="AT175" i="16"/>
  <c r="AT14" i="16"/>
  <c r="AS259" i="16" s="1"/>
  <c r="AS181" i="16"/>
  <c r="AS179" i="16"/>
  <c r="AS177" i="16"/>
  <c r="AS175" i="16"/>
  <c r="AS260" i="16" s="1"/>
  <c r="AS14" i="16"/>
  <c r="AR259" i="16" s="1"/>
  <c r="AR181" i="16"/>
  <c r="AR179" i="16"/>
  <c r="AR177" i="16"/>
  <c r="AR175" i="16"/>
  <c r="AQ259" i="16"/>
  <c r="AR14" i="16"/>
  <c r="AQ181" i="16"/>
  <c r="AQ179" i="16"/>
  <c r="AQ260" i="16" s="1"/>
  <c r="AQ177" i="16"/>
  <c r="AQ175" i="16"/>
  <c r="AP259" i="16"/>
  <c r="AQ14" i="16"/>
  <c r="AP181" i="16"/>
  <c r="AP179" i="16"/>
  <c r="AP177" i="16"/>
  <c r="AP260" i="16" s="1"/>
  <c r="AP175" i="16"/>
  <c r="AO259" i="16"/>
  <c r="AP14" i="16"/>
  <c r="AO181" i="16"/>
  <c r="AO179" i="16"/>
  <c r="AO177" i="16"/>
  <c r="AO175" i="16"/>
  <c r="AO14" i="16"/>
  <c r="AN259" i="16" s="1"/>
  <c r="AN181" i="16"/>
  <c r="AN179" i="16"/>
  <c r="AN177" i="16"/>
  <c r="AN175" i="16"/>
  <c r="AM259" i="16"/>
  <c r="AN14" i="16"/>
  <c r="AM181" i="16"/>
  <c r="AM179" i="16"/>
  <c r="AM260" i="16" s="1"/>
  <c r="AM177" i="16"/>
  <c r="AM175" i="16"/>
  <c r="AL259" i="16"/>
  <c r="AM14" i="16"/>
  <c r="AL181" i="16"/>
  <c r="AL179" i="16"/>
  <c r="AL177" i="16"/>
  <c r="AL260" i="16" s="1"/>
  <c r="AL175" i="16"/>
  <c r="AL14" i="16"/>
  <c r="AK259" i="16" s="1"/>
  <c r="AK181" i="16"/>
  <c r="AK179" i="16"/>
  <c r="AK177" i="16"/>
  <c r="AK175" i="16"/>
  <c r="AK260" i="16" s="1"/>
  <c r="AK14" i="16"/>
  <c r="AJ259" i="16" s="1"/>
  <c r="AJ181" i="16"/>
  <c r="AJ179" i="16"/>
  <c r="AJ177" i="16"/>
  <c r="AJ175" i="16"/>
  <c r="AI259" i="16"/>
  <c r="AJ14" i="16"/>
  <c r="AI181" i="16"/>
  <c r="AI179" i="16"/>
  <c r="AI260" i="16" s="1"/>
  <c r="AI177" i="16"/>
  <c r="AI175" i="16"/>
  <c r="AH259" i="16"/>
  <c r="AI14" i="16"/>
  <c r="AH181" i="16"/>
  <c r="AH179" i="16"/>
  <c r="AH177" i="16"/>
  <c r="AH260" i="16" s="1"/>
  <c r="AH175" i="16"/>
  <c r="AG259" i="16"/>
  <c r="AH14" i="16"/>
  <c r="AG181" i="16"/>
  <c r="AG179" i="16"/>
  <c r="AG177" i="16"/>
  <c r="AG175" i="16"/>
  <c r="AG14" i="16"/>
  <c r="AF259" i="16" s="1"/>
  <c r="AF181" i="16"/>
  <c r="AF179" i="16"/>
  <c r="AF177" i="16"/>
  <c r="AF175" i="16"/>
  <c r="AF260" i="16" s="1"/>
  <c r="AE259" i="16"/>
  <c r="AF14" i="16"/>
  <c r="AE181" i="16"/>
  <c r="AE179" i="16"/>
  <c r="AE260" i="16" s="1"/>
  <c r="AE177" i="16"/>
  <c r="AE175" i="16"/>
  <c r="AD259" i="16"/>
  <c r="AE14" i="16"/>
  <c r="AD181" i="16"/>
  <c r="AD179" i="16"/>
  <c r="AD260" i="16" s="1"/>
  <c r="AD177" i="16"/>
  <c r="AD175" i="16"/>
  <c r="AC259" i="16"/>
  <c r="AD14" i="16"/>
  <c r="AC181" i="16"/>
  <c r="AC179" i="16"/>
  <c r="AC177" i="16"/>
  <c r="AC175" i="16"/>
  <c r="AC14" i="16"/>
  <c r="AB259" i="16" s="1"/>
  <c r="AB181" i="16"/>
  <c r="AB179" i="16"/>
  <c r="AB177" i="16"/>
  <c r="AB175" i="16"/>
  <c r="AA259" i="16"/>
  <c r="AB14" i="16"/>
  <c r="AA181" i="16"/>
  <c r="AA179" i="16"/>
  <c r="AA177" i="16"/>
  <c r="AA260" i="16" s="1"/>
  <c r="AA175" i="16"/>
  <c r="Z259" i="16"/>
  <c r="AA14" i="16"/>
  <c r="Z181" i="16"/>
  <c r="Z179" i="16"/>
  <c r="Z177" i="16"/>
  <c r="Z175" i="16"/>
  <c r="Y259" i="16"/>
  <c r="Z14" i="16"/>
  <c r="Y181" i="16"/>
  <c r="Y179" i="16"/>
  <c r="Y177" i="16"/>
  <c r="Y175" i="16"/>
  <c r="Y14" i="16"/>
  <c r="X259" i="16" s="1"/>
  <c r="X181" i="16"/>
  <c r="X260" i="16" s="1"/>
  <c r="X179" i="16"/>
  <c r="X177" i="16"/>
  <c r="X175" i="16"/>
  <c r="W259" i="16"/>
  <c r="X14" i="16"/>
  <c r="W181" i="16"/>
  <c r="W179" i="16"/>
  <c r="W260" i="16" s="1"/>
  <c r="W177" i="16"/>
  <c r="W175" i="16"/>
  <c r="V259" i="16"/>
  <c r="W14" i="16"/>
  <c r="V181" i="16"/>
  <c r="V179" i="16"/>
  <c r="V177" i="16"/>
  <c r="V260" i="16" s="1"/>
  <c r="V175" i="16"/>
  <c r="U259" i="16"/>
  <c r="V14" i="16"/>
  <c r="U181" i="16"/>
  <c r="U179" i="16"/>
  <c r="U177" i="16"/>
  <c r="U175" i="16"/>
  <c r="T260" i="16"/>
  <c r="U14" i="16"/>
  <c r="T259" i="16" s="1"/>
  <c r="T181" i="16"/>
  <c r="T179" i="16"/>
  <c r="T177" i="16"/>
  <c r="T175" i="16"/>
  <c r="S259" i="16"/>
  <c r="T14" i="16"/>
  <c r="S181" i="16"/>
  <c r="S179" i="16"/>
  <c r="S260" i="16" s="1"/>
  <c r="S177" i="16"/>
  <c r="S175" i="16"/>
  <c r="R259" i="16"/>
  <c r="S14" i="16"/>
  <c r="R181" i="16"/>
  <c r="R179" i="16"/>
  <c r="R177" i="16"/>
  <c r="R175" i="16"/>
  <c r="Q259" i="16"/>
  <c r="R14" i="16"/>
  <c r="Q181" i="16"/>
  <c r="Q179" i="16"/>
  <c r="Q177" i="16"/>
  <c r="Q175" i="16"/>
  <c r="P260" i="16"/>
  <c r="Q14" i="16"/>
  <c r="P259" i="16" s="1"/>
  <c r="P181" i="16"/>
  <c r="P179" i="16"/>
  <c r="P177" i="16"/>
  <c r="P175" i="16"/>
  <c r="O259" i="16"/>
  <c r="P14" i="16"/>
  <c r="O181" i="16"/>
  <c r="O179" i="16"/>
  <c r="O177" i="16"/>
  <c r="O175" i="16"/>
  <c r="N259" i="16"/>
  <c r="O14" i="16"/>
  <c r="N181" i="16"/>
  <c r="N179" i="16"/>
  <c r="N260" i="16" s="1"/>
  <c r="N177" i="16"/>
  <c r="N175" i="16"/>
  <c r="M259" i="16"/>
  <c r="N14" i="16"/>
  <c r="M181" i="16"/>
  <c r="M179" i="16"/>
  <c r="M177" i="16"/>
  <c r="M175" i="16"/>
  <c r="M14" i="16"/>
  <c r="L259" i="16" s="1"/>
  <c r="L181" i="16"/>
  <c r="L179" i="16"/>
  <c r="L260" i="16" s="1"/>
  <c r="L177" i="16"/>
  <c r="L175" i="16"/>
  <c r="K259" i="16"/>
  <c r="L14" i="16"/>
  <c r="K181" i="16"/>
  <c r="K179" i="16"/>
  <c r="K177" i="16"/>
  <c r="K260" i="16" s="1"/>
  <c r="K175" i="16"/>
  <c r="J259" i="16"/>
  <c r="K14" i="16"/>
  <c r="J181" i="16"/>
  <c r="J179" i="16"/>
  <c r="J177" i="16"/>
  <c r="J175" i="16"/>
  <c r="I259" i="16"/>
  <c r="J14" i="16"/>
  <c r="I181" i="16"/>
  <c r="I179" i="16"/>
  <c r="I177" i="16"/>
  <c r="I175" i="16"/>
  <c r="I14" i="16"/>
  <c r="H259" i="16" s="1"/>
  <c r="H181" i="16"/>
  <c r="H260" i="16" s="1"/>
  <c r="H179" i="16"/>
  <c r="H177" i="16"/>
  <c r="H175" i="16"/>
  <c r="G259" i="16"/>
  <c r="H14" i="16"/>
  <c r="G181" i="16"/>
  <c r="G179" i="16"/>
  <c r="G260" i="16" s="1"/>
  <c r="G177" i="16"/>
  <c r="G175" i="16"/>
  <c r="F259" i="16"/>
  <c r="G14" i="16"/>
  <c r="F181" i="16"/>
  <c r="F179" i="16"/>
  <c r="F177" i="16"/>
  <c r="F260" i="16" s="1"/>
  <c r="F175" i="16"/>
  <c r="E259" i="16"/>
  <c r="F14" i="16"/>
  <c r="E181" i="16"/>
  <c r="E179" i="16"/>
  <c r="E177" i="16"/>
  <c r="E175" i="16"/>
  <c r="D260" i="16"/>
  <c r="E14" i="16"/>
  <c r="D259" i="16" s="1"/>
  <c r="D181" i="16"/>
  <c r="D179" i="16"/>
  <c r="D177" i="16"/>
  <c r="D175" i="16"/>
  <c r="AY14" i="17"/>
  <c r="AY10" i="17" s="1"/>
  <c r="AY13" i="17" s="1"/>
  <c r="AY15" i="17"/>
  <c r="AY16" i="17"/>
  <c r="AY17" i="17"/>
  <c r="AY29" i="17"/>
  <c r="AX14" i="17"/>
  <c r="AX15" i="17"/>
  <c r="AX16" i="17"/>
  <c r="AX17" i="17"/>
  <c r="AX29" i="17"/>
  <c r="AW14" i="17"/>
  <c r="AW15" i="17"/>
  <c r="AW16" i="17"/>
  <c r="AW10" i="17" s="1"/>
  <c r="AW13" i="17" s="1"/>
  <c r="AW17" i="17"/>
  <c r="AW29" i="17"/>
  <c r="AV14" i="17"/>
  <c r="AV15" i="17"/>
  <c r="AV16" i="17"/>
  <c r="AV10" i="17"/>
  <c r="AV13" i="17" s="1"/>
  <c r="AV17" i="17"/>
  <c r="AV29" i="17"/>
  <c r="AU14" i="17"/>
  <c r="AU15" i="17"/>
  <c r="AU16" i="17"/>
  <c r="AU10" i="17"/>
  <c r="AU13" i="17" s="1"/>
  <c r="AU17" i="17"/>
  <c r="AU29" i="17"/>
  <c r="AT14" i="17"/>
  <c r="AT10" i="17" s="1"/>
  <c r="AT13" i="17" s="1"/>
  <c r="AT15" i="17"/>
  <c r="AT16" i="17"/>
  <c r="AT17" i="17"/>
  <c r="AT21" i="17"/>
  <c r="AT29" i="17"/>
  <c r="AS14" i="17"/>
  <c r="AS15" i="17"/>
  <c r="AS16" i="17"/>
  <c r="AS10" i="17" s="1"/>
  <c r="AS13" i="17" s="1"/>
  <c r="AS17" i="17"/>
  <c r="AS29" i="17"/>
  <c r="AR14" i="17"/>
  <c r="AR10" i="17" s="1"/>
  <c r="AR15" i="17"/>
  <c r="AR16" i="17"/>
  <c r="AR13" i="17"/>
  <c r="AR17" i="17"/>
  <c r="AR29" i="17"/>
  <c r="AQ14" i="17"/>
  <c r="AQ15" i="17"/>
  <c r="AQ16" i="17"/>
  <c r="AQ10" i="17"/>
  <c r="AQ13" i="17" s="1"/>
  <c r="AQ17" i="17"/>
  <c r="AQ29" i="17"/>
  <c r="AP14" i="17"/>
  <c r="AP10" i="17" s="1"/>
  <c r="AP15" i="17"/>
  <c r="AP16" i="17"/>
  <c r="AP13" i="17"/>
  <c r="AQ21" i="17" s="1"/>
  <c r="AQ33" i="17" s="1"/>
  <c r="AP17" i="17"/>
  <c r="AP29" i="17"/>
  <c r="AO14" i="17"/>
  <c r="AO15" i="17"/>
  <c r="AO16" i="17"/>
  <c r="AO10" i="17"/>
  <c r="AO13" i="17" s="1"/>
  <c r="AO17" i="17"/>
  <c r="AO29" i="17"/>
  <c r="AN14" i="17"/>
  <c r="AN10" i="17" s="1"/>
  <c r="AN13" i="17" s="1"/>
  <c r="AN15" i="17"/>
  <c r="AN16" i="17"/>
  <c r="AN17" i="17"/>
  <c r="AN29" i="17"/>
  <c r="AM14" i="17"/>
  <c r="AM15" i="17"/>
  <c r="AM16" i="17"/>
  <c r="AM10" i="17"/>
  <c r="AM13" i="17" s="1"/>
  <c r="AM17" i="17"/>
  <c r="AM29" i="17"/>
  <c r="AL14" i="17"/>
  <c r="AL15" i="17"/>
  <c r="AL16" i="17"/>
  <c r="AL17" i="17"/>
  <c r="AL29" i="17"/>
  <c r="AK14" i="17"/>
  <c r="AK15" i="17"/>
  <c r="AK16" i="17"/>
  <c r="AK10" i="17"/>
  <c r="AK13" i="17" s="1"/>
  <c r="AK17" i="17"/>
  <c r="AK29" i="17"/>
  <c r="AJ14" i="17"/>
  <c r="AJ15" i="17"/>
  <c r="AJ16" i="17"/>
  <c r="AJ17" i="17"/>
  <c r="AJ29" i="17"/>
  <c r="AI14" i="17"/>
  <c r="AI15" i="17"/>
  <c r="AI16" i="17"/>
  <c r="AI10" i="17"/>
  <c r="AI13" i="17" s="1"/>
  <c r="AI17" i="17"/>
  <c r="AI29" i="17"/>
  <c r="AH14" i="17"/>
  <c r="AH10" i="17" s="1"/>
  <c r="AH15" i="17"/>
  <c r="AH16" i="17"/>
  <c r="AH13" i="17"/>
  <c r="AI21" i="17" s="1"/>
  <c r="AI33" i="17" s="1"/>
  <c r="AH17" i="17"/>
  <c r="AH29" i="17"/>
  <c r="AG14" i="17"/>
  <c r="AG15" i="17"/>
  <c r="AG16" i="17"/>
  <c r="AG10" i="17"/>
  <c r="AG13" i="17" s="1"/>
  <c r="AG17" i="17"/>
  <c r="AG29" i="17"/>
  <c r="AF14" i="17"/>
  <c r="AF10" i="17" s="1"/>
  <c r="AF13" i="17" s="1"/>
  <c r="AF15" i="17"/>
  <c r="AF16" i="17"/>
  <c r="AF17" i="17"/>
  <c r="AF29" i="17"/>
  <c r="AE14" i="17"/>
  <c r="AE10" i="17" s="1"/>
  <c r="AE15" i="17"/>
  <c r="AE16" i="17"/>
  <c r="AE13" i="17"/>
  <c r="AE17" i="17"/>
  <c r="AE29" i="17"/>
  <c r="AD14" i="17"/>
  <c r="AD15" i="17"/>
  <c r="AD16" i="17"/>
  <c r="AD17" i="17"/>
  <c r="AD29" i="17"/>
  <c r="AC14" i="17"/>
  <c r="AC10" i="17" s="1"/>
  <c r="AC13" i="17" s="1"/>
  <c r="AC15" i="17"/>
  <c r="AC16" i="17"/>
  <c r="AC17" i="17"/>
  <c r="AC29" i="17"/>
  <c r="AB14" i="17"/>
  <c r="AB15" i="17"/>
  <c r="AB16" i="17"/>
  <c r="AB17" i="17"/>
  <c r="AB29" i="17"/>
  <c r="AA14" i="17"/>
  <c r="AA10" i="17" s="1"/>
  <c r="AA15" i="17"/>
  <c r="AA16" i="17"/>
  <c r="AA13" i="17"/>
  <c r="AA17" i="17"/>
  <c r="AA29" i="17"/>
  <c r="Z14" i="17"/>
  <c r="Z15" i="17"/>
  <c r="Z16" i="17"/>
  <c r="Z10" i="17" s="1"/>
  <c r="Z13" i="17" s="1"/>
  <c r="Z17" i="17"/>
  <c r="Z29" i="17"/>
  <c r="Y15" i="17"/>
  <c r="Y16" i="17"/>
  <c r="Y21" i="17"/>
  <c r="Y23" i="17" s="1"/>
  <c r="Y22" i="17"/>
  <c r="Y29" i="17"/>
  <c r="Y44" i="17"/>
  <c r="X14" i="17"/>
  <c r="X15" i="17"/>
  <c r="X16" i="17"/>
  <c r="Y17" i="17" s="1"/>
  <c r="X10" i="17"/>
  <c r="X13" i="17" s="1"/>
  <c r="Y14" i="17" s="1"/>
  <c r="Y10" i="17" s="1"/>
  <c r="Y13" i="17" s="1"/>
  <c r="Z21" i="17" s="1"/>
  <c r="Z23" i="17" s="1"/>
  <c r="X17" i="17"/>
  <c r="X29" i="17"/>
  <c r="W14" i="17"/>
  <c r="W15" i="17"/>
  <c r="W16" i="17"/>
  <c r="W17" i="17"/>
  <c r="W29" i="17"/>
  <c r="V14" i="17"/>
  <c r="V15" i="17"/>
  <c r="V16" i="17"/>
  <c r="V10" i="17"/>
  <c r="V13" i="17" s="1"/>
  <c r="W21" i="17" s="1"/>
  <c r="V17" i="17"/>
  <c r="V29" i="17"/>
  <c r="U14" i="17"/>
  <c r="U15" i="17"/>
  <c r="U16" i="17"/>
  <c r="U17" i="17"/>
  <c r="U29" i="17"/>
  <c r="T14" i="17"/>
  <c r="T15" i="17"/>
  <c r="T16" i="17"/>
  <c r="T10" i="17"/>
  <c r="T13" i="17" s="1"/>
  <c r="U22" i="17" s="1"/>
  <c r="T17" i="17"/>
  <c r="T29" i="17"/>
  <c r="S14" i="17"/>
  <c r="S15" i="17"/>
  <c r="S10" i="17" s="1"/>
  <c r="S13" i="17" s="1"/>
  <c r="S16" i="17"/>
  <c r="S17" i="17"/>
  <c r="S29" i="17"/>
  <c r="R14" i="17"/>
  <c r="R15" i="17"/>
  <c r="R16" i="17"/>
  <c r="R10" i="17"/>
  <c r="R13" i="17" s="1"/>
  <c r="S21" i="17" s="1"/>
  <c r="R17" i="17"/>
  <c r="R29" i="17"/>
  <c r="Q14" i="17"/>
  <c r="Q15" i="17"/>
  <c r="Q10" i="17" s="1"/>
  <c r="Q13" i="17" s="1"/>
  <c r="Q16" i="17"/>
  <c r="Q17" i="17"/>
  <c r="Q29" i="17"/>
  <c r="P14" i="17"/>
  <c r="P15" i="17"/>
  <c r="P16" i="17"/>
  <c r="P10" i="17"/>
  <c r="P13" i="17" s="1"/>
  <c r="Q21" i="17" s="1"/>
  <c r="P17" i="17"/>
  <c r="P29" i="17"/>
  <c r="O14" i="17"/>
  <c r="O15" i="17"/>
  <c r="O16" i="17"/>
  <c r="O17" i="17"/>
  <c r="O29" i="17"/>
  <c r="N14" i="17"/>
  <c r="N15" i="17"/>
  <c r="N16" i="17"/>
  <c r="N10" i="17"/>
  <c r="N13" i="17" s="1"/>
  <c r="O21" i="17" s="1"/>
  <c r="N17" i="17"/>
  <c r="N29" i="17"/>
  <c r="M15" i="17"/>
  <c r="M21" i="17"/>
  <c r="M23" i="17" s="1"/>
  <c r="M22" i="17"/>
  <c r="M56" i="17" s="1"/>
  <c r="M62" i="17" s="1"/>
  <c r="M29" i="17"/>
  <c r="M33" i="17"/>
  <c r="M34" i="17"/>
  <c r="M40" i="17" s="1"/>
  <c r="M44" i="17"/>
  <c r="M45" i="17"/>
  <c r="M51" i="17" s="1"/>
  <c r="M55" i="17"/>
  <c r="M61" i="17" s="1"/>
  <c r="L14" i="17"/>
  <c r="L15" i="17"/>
  <c r="L10" i="17" s="1"/>
  <c r="L13" i="17" s="1"/>
  <c r="M14" i="17" s="1"/>
  <c r="L16" i="17"/>
  <c r="M17" i="17" s="1"/>
  <c r="L17" i="17"/>
  <c r="L29" i="17"/>
  <c r="K14" i="17"/>
  <c r="K15" i="17"/>
  <c r="K16" i="17"/>
  <c r="K10" i="17" s="1"/>
  <c r="K13" i="17" s="1"/>
  <c r="K17" i="17"/>
  <c r="K21" i="17"/>
  <c r="K55" i="17" s="1"/>
  <c r="K29" i="17"/>
  <c r="J14" i="17"/>
  <c r="J15" i="17"/>
  <c r="J16" i="17"/>
  <c r="J10" i="17"/>
  <c r="J13" i="17" s="1"/>
  <c r="K22" i="17" s="1"/>
  <c r="J17" i="17"/>
  <c r="J29" i="17"/>
  <c r="I14" i="17"/>
  <c r="I15" i="17"/>
  <c r="I16" i="17"/>
  <c r="I10" i="17"/>
  <c r="I13" i="17" s="1"/>
  <c r="I17" i="17"/>
  <c r="I29" i="17"/>
  <c r="H14" i="17"/>
  <c r="H15" i="17"/>
  <c r="H16" i="17"/>
  <c r="H10" i="17" s="1"/>
  <c r="H13" i="17" s="1"/>
  <c r="H17" i="17"/>
  <c r="H29" i="17"/>
  <c r="G14" i="17"/>
  <c r="G15" i="17"/>
  <c r="G16" i="17"/>
  <c r="G10" i="17" s="1"/>
  <c r="G13" i="17" s="1"/>
  <c r="G17" i="17"/>
  <c r="G21" i="17"/>
  <c r="G55" i="17" s="1"/>
  <c r="G29" i="17"/>
  <c r="F14" i="17"/>
  <c r="F15" i="17"/>
  <c r="F16" i="17"/>
  <c r="F10" i="17"/>
  <c r="F13" i="17" s="1"/>
  <c r="F17" i="17"/>
  <c r="F29" i="17"/>
  <c r="E14" i="17"/>
  <c r="E15" i="17"/>
  <c r="E16" i="17"/>
  <c r="E10" i="17"/>
  <c r="E13" i="17" s="1"/>
  <c r="F22" i="17" s="1"/>
  <c r="E17" i="17"/>
  <c r="E29" i="17"/>
  <c r="D14" i="17"/>
  <c r="D15" i="17"/>
  <c r="D16" i="17"/>
  <c r="D10" i="17" s="1"/>
  <c r="D17" i="17"/>
  <c r="D21" i="17"/>
  <c r="D27" i="17"/>
  <c r="D30" i="17" s="1"/>
  <c r="D29" i="17"/>
  <c r="E27" i="17" s="1"/>
  <c r="B21" i="17"/>
  <c r="B22" i="17" s="1"/>
  <c r="D127" i="18"/>
  <c r="E127" i="18"/>
  <c r="F127" i="18"/>
  <c r="G127" i="18"/>
  <c r="H127" i="18"/>
  <c r="I127" i="18"/>
  <c r="J127" i="18"/>
  <c r="K127" i="18"/>
  <c r="L127" i="18"/>
  <c r="M127" i="18"/>
  <c r="N127" i="18"/>
  <c r="O127" i="18"/>
  <c r="P127" i="18"/>
  <c r="Q127" i="18"/>
  <c r="R127" i="18"/>
  <c r="S127" i="18"/>
  <c r="T127" i="18"/>
  <c r="U127" i="18"/>
  <c r="V127" i="18"/>
  <c r="W127" i="18"/>
  <c r="X127" i="18"/>
  <c r="Y127" i="18"/>
  <c r="Z127" i="18"/>
  <c r="AA127" i="18"/>
  <c r="AB127" i="18"/>
  <c r="AC127" i="18"/>
  <c r="AD127" i="18"/>
  <c r="AE127" i="18"/>
  <c r="AF127" i="18"/>
  <c r="AG127" i="18"/>
  <c r="AH127" i="18"/>
  <c r="AI127" i="18"/>
  <c r="AJ127" i="18"/>
  <c r="AK127" i="18"/>
  <c r="AL127" i="18"/>
  <c r="AM127" i="18"/>
  <c r="AN127" i="18"/>
  <c r="AO127" i="18"/>
  <c r="AP127" i="18"/>
  <c r="AQ127" i="18"/>
  <c r="AR127" i="18"/>
  <c r="AS127" i="18"/>
  <c r="AT127" i="18"/>
  <c r="AU127" i="18"/>
  <c r="AV127" i="18"/>
  <c r="AW127" i="18"/>
  <c r="AX127" i="18"/>
  <c r="C127" i="18"/>
  <c r="D122" i="18"/>
  <c r="E122" i="18"/>
  <c r="F122" i="18"/>
  <c r="G122" i="18"/>
  <c r="H122" i="18"/>
  <c r="I122" i="18"/>
  <c r="J122" i="18"/>
  <c r="K122" i="18"/>
  <c r="L122" i="18"/>
  <c r="M122" i="18"/>
  <c r="N122" i="18"/>
  <c r="O122" i="18"/>
  <c r="P122" i="18"/>
  <c r="Q122" i="18"/>
  <c r="R122" i="18"/>
  <c r="S122" i="18"/>
  <c r="T122" i="18"/>
  <c r="U122" i="18"/>
  <c r="V122" i="18"/>
  <c r="W122" i="18"/>
  <c r="X122" i="18"/>
  <c r="Y122" i="18"/>
  <c r="Z122" i="18"/>
  <c r="AA122" i="18"/>
  <c r="AB122" i="18"/>
  <c r="AC122" i="18"/>
  <c r="AD122" i="18"/>
  <c r="AE122" i="18"/>
  <c r="AF122" i="18"/>
  <c r="AG122" i="18"/>
  <c r="AH122" i="18"/>
  <c r="AI122" i="18"/>
  <c r="AJ122" i="18"/>
  <c r="AK122" i="18"/>
  <c r="AL122" i="18"/>
  <c r="AM122" i="18"/>
  <c r="AN122" i="18"/>
  <c r="AO122" i="18"/>
  <c r="AP122" i="18"/>
  <c r="AQ122" i="18"/>
  <c r="AR122" i="18"/>
  <c r="AS122" i="18"/>
  <c r="AT122" i="18"/>
  <c r="AU122" i="18"/>
  <c r="AV122" i="18"/>
  <c r="AW122" i="18"/>
  <c r="AX122" i="18"/>
  <c r="C122" i="18"/>
  <c r="D117" i="18"/>
  <c r="E117" i="18"/>
  <c r="F117" i="18"/>
  <c r="G117" i="18"/>
  <c r="H117" i="18"/>
  <c r="I117" i="18"/>
  <c r="J117" i="18"/>
  <c r="K117" i="18"/>
  <c r="L117" i="18"/>
  <c r="M117" i="18"/>
  <c r="N117" i="18"/>
  <c r="O117" i="18"/>
  <c r="P117" i="18"/>
  <c r="Q117" i="18"/>
  <c r="R117" i="18"/>
  <c r="S117" i="18"/>
  <c r="T117" i="18"/>
  <c r="U117" i="18"/>
  <c r="V117" i="18"/>
  <c r="W117" i="18"/>
  <c r="X117" i="18"/>
  <c r="Y117" i="18"/>
  <c r="Z117" i="18"/>
  <c r="AA117" i="18"/>
  <c r="AB117" i="18"/>
  <c r="AC117" i="18"/>
  <c r="AD117" i="18"/>
  <c r="AE117" i="18"/>
  <c r="AF117" i="18"/>
  <c r="AG117" i="18"/>
  <c r="AH117" i="18"/>
  <c r="AI117" i="18"/>
  <c r="AJ117" i="18"/>
  <c r="AK117" i="18"/>
  <c r="AL117" i="18"/>
  <c r="AM117" i="18"/>
  <c r="AN117" i="18"/>
  <c r="AO117" i="18"/>
  <c r="AP117" i="18"/>
  <c r="AQ117" i="18"/>
  <c r="AR117" i="18"/>
  <c r="AS117" i="18"/>
  <c r="AT117" i="18"/>
  <c r="AU117" i="18"/>
  <c r="AV117" i="18"/>
  <c r="AW117" i="18"/>
  <c r="AX117" i="18"/>
  <c r="C117" i="18"/>
  <c r="D112" i="18"/>
  <c r="E112" i="18"/>
  <c r="F112" i="18"/>
  <c r="G112" i="18"/>
  <c r="H112" i="18"/>
  <c r="I112" i="18"/>
  <c r="J112" i="18"/>
  <c r="K112" i="18"/>
  <c r="L112" i="18"/>
  <c r="M112" i="18"/>
  <c r="N112" i="18"/>
  <c r="O112" i="18"/>
  <c r="P112" i="18"/>
  <c r="Q112" i="18"/>
  <c r="R112" i="18"/>
  <c r="S112" i="18"/>
  <c r="T112" i="18"/>
  <c r="U112" i="18"/>
  <c r="V112" i="18"/>
  <c r="W112" i="18"/>
  <c r="X112" i="18"/>
  <c r="Y112" i="18"/>
  <c r="Z112" i="18"/>
  <c r="AA112" i="18"/>
  <c r="AB112" i="18"/>
  <c r="AC112" i="18"/>
  <c r="AD112" i="18"/>
  <c r="AE112" i="18"/>
  <c r="AF112" i="18"/>
  <c r="AG112" i="18"/>
  <c r="AH112" i="18"/>
  <c r="AI112" i="18"/>
  <c r="AJ112" i="18"/>
  <c r="AK112" i="18"/>
  <c r="AL112" i="18"/>
  <c r="AM112" i="18"/>
  <c r="AN112" i="18"/>
  <c r="AO112" i="18"/>
  <c r="AP112" i="18"/>
  <c r="AQ112" i="18"/>
  <c r="AR112" i="18"/>
  <c r="AS112" i="18"/>
  <c r="AT112" i="18"/>
  <c r="AU112" i="18"/>
  <c r="AV112" i="18"/>
  <c r="AW112" i="18"/>
  <c r="AX112" i="18"/>
  <c r="C112" i="18"/>
  <c r="D107" i="18"/>
  <c r="E107" i="18"/>
  <c r="F107" i="18"/>
  <c r="G107" i="18"/>
  <c r="H107" i="18"/>
  <c r="I107" i="18"/>
  <c r="J107" i="18"/>
  <c r="K107" i="18"/>
  <c r="L107" i="18"/>
  <c r="M107" i="18"/>
  <c r="N107" i="18"/>
  <c r="O107" i="18"/>
  <c r="P107" i="18"/>
  <c r="Q107" i="18"/>
  <c r="R107" i="18"/>
  <c r="S107" i="18"/>
  <c r="T107" i="18"/>
  <c r="U107" i="18"/>
  <c r="V107" i="18"/>
  <c r="W107" i="18"/>
  <c r="X107" i="18"/>
  <c r="Y107" i="18"/>
  <c r="Z107" i="18"/>
  <c r="AA107" i="18"/>
  <c r="AB107" i="18"/>
  <c r="AC107" i="18"/>
  <c r="AD107" i="18"/>
  <c r="AE107" i="18"/>
  <c r="AF107" i="18"/>
  <c r="AG107" i="18"/>
  <c r="AH107" i="18"/>
  <c r="AI107" i="18"/>
  <c r="AJ107" i="18"/>
  <c r="AK107" i="18"/>
  <c r="AL107" i="18"/>
  <c r="AM107" i="18"/>
  <c r="AN107" i="18"/>
  <c r="AO107" i="18"/>
  <c r="AP107" i="18"/>
  <c r="AQ107" i="18"/>
  <c r="AR107" i="18"/>
  <c r="AS107" i="18"/>
  <c r="AT107" i="18"/>
  <c r="AU107" i="18"/>
  <c r="AV107" i="18"/>
  <c r="AW107" i="18"/>
  <c r="AX107" i="18"/>
  <c r="C107" i="18"/>
  <c r="D102" i="18"/>
  <c r="E102" i="18"/>
  <c r="F102" i="18"/>
  <c r="G102" i="18"/>
  <c r="H102" i="18"/>
  <c r="I102" i="18"/>
  <c r="J102" i="18"/>
  <c r="K102" i="18"/>
  <c r="L102" i="18"/>
  <c r="M102" i="18"/>
  <c r="N102" i="18"/>
  <c r="O102" i="18"/>
  <c r="P102" i="18"/>
  <c r="Q102" i="18"/>
  <c r="R102" i="18"/>
  <c r="S102" i="18"/>
  <c r="T102" i="18"/>
  <c r="U102" i="18"/>
  <c r="V102" i="18"/>
  <c r="W102" i="18"/>
  <c r="X102" i="18"/>
  <c r="Y102" i="18"/>
  <c r="Z102" i="18"/>
  <c r="AA102" i="18"/>
  <c r="AB102" i="18"/>
  <c r="AC102" i="18"/>
  <c r="AD102" i="18"/>
  <c r="AE102" i="18"/>
  <c r="AF102" i="18"/>
  <c r="AG102" i="18"/>
  <c r="AH102" i="18"/>
  <c r="AI102" i="18"/>
  <c r="AJ102" i="18"/>
  <c r="AK102" i="18"/>
  <c r="AL102" i="18"/>
  <c r="AM102" i="18"/>
  <c r="AN102" i="18"/>
  <c r="AO102" i="18"/>
  <c r="AP102" i="18"/>
  <c r="AQ102" i="18"/>
  <c r="AR102" i="18"/>
  <c r="AS102" i="18"/>
  <c r="AT102" i="18"/>
  <c r="AU102" i="18"/>
  <c r="AV102" i="18"/>
  <c r="AW102" i="18"/>
  <c r="AX102" i="18"/>
  <c r="C102" i="18"/>
  <c r="C88" i="18"/>
  <c r="D88" i="18"/>
  <c r="E88" i="18"/>
  <c r="F88" i="18"/>
  <c r="G88" i="18"/>
  <c r="H88" i="18"/>
  <c r="I88" i="18"/>
  <c r="J88" i="18"/>
  <c r="K88" i="18"/>
  <c r="L88" i="18"/>
  <c r="M88" i="18"/>
  <c r="N88" i="18"/>
  <c r="O88" i="18"/>
  <c r="P88" i="18"/>
  <c r="Q88" i="18"/>
  <c r="R88" i="18"/>
  <c r="S88" i="18"/>
  <c r="T88" i="18"/>
  <c r="U88" i="18"/>
  <c r="V88" i="18"/>
  <c r="W88" i="18"/>
  <c r="X88" i="18"/>
  <c r="Y88" i="18"/>
  <c r="Z88" i="18"/>
  <c r="AA88" i="18"/>
  <c r="AB88" i="18"/>
  <c r="AC88" i="18"/>
  <c r="AD88" i="18"/>
  <c r="AE88" i="18"/>
  <c r="AF88" i="18"/>
  <c r="AG88" i="18"/>
  <c r="AH88" i="18"/>
  <c r="AI88" i="18"/>
  <c r="AJ88" i="18"/>
  <c r="AK88" i="18"/>
  <c r="AL88" i="18"/>
  <c r="AM88" i="18"/>
  <c r="AN88" i="18"/>
  <c r="AO88" i="18"/>
  <c r="AP88" i="18"/>
  <c r="AQ88" i="18"/>
  <c r="AR88" i="18"/>
  <c r="AS88" i="18"/>
  <c r="AT88" i="18"/>
  <c r="AU88" i="18"/>
  <c r="AV88" i="18"/>
  <c r="AW88" i="18"/>
  <c r="AX88" i="18"/>
  <c r="C89" i="18"/>
  <c r="D89" i="18"/>
  <c r="E89" i="18"/>
  <c r="F89" i="18"/>
  <c r="G89" i="18"/>
  <c r="H89" i="18"/>
  <c r="I89" i="18"/>
  <c r="J89" i="18"/>
  <c r="K89" i="18"/>
  <c r="L89" i="18"/>
  <c r="M89" i="18"/>
  <c r="N89" i="18"/>
  <c r="O89" i="18"/>
  <c r="P89" i="18"/>
  <c r="Q89" i="18"/>
  <c r="R89" i="18"/>
  <c r="S89" i="18"/>
  <c r="T89" i="18"/>
  <c r="U89" i="18"/>
  <c r="V89" i="18"/>
  <c r="W89" i="18"/>
  <c r="X89" i="18"/>
  <c r="Y89" i="18"/>
  <c r="Z89" i="18"/>
  <c r="AA89" i="18"/>
  <c r="AB89" i="18"/>
  <c r="AC89" i="18"/>
  <c r="AD89" i="18"/>
  <c r="AE89" i="18"/>
  <c r="AF89" i="18"/>
  <c r="AG89" i="18"/>
  <c r="AH89" i="18"/>
  <c r="AI89" i="18"/>
  <c r="AJ89" i="18"/>
  <c r="AK89" i="18"/>
  <c r="AL89" i="18"/>
  <c r="AM89" i="18"/>
  <c r="AN89" i="18"/>
  <c r="AO89" i="18"/>
  <c r="AP89" i="18"/>
  <c r="AQ89" i="18"/>
  <c r="AR89" i="18"/>
  <c r="AS89" i="18"/>
  <c r="AT89" i="18"/>
  <c r="AU89" i="18"/>
  <c r="AV89" i="18"/>
  <c r="AW89" i="18"/>
  <c r="AX89" i="18"/>
  <c r="C90" i="18"/>
  <c r="D90" i="18"/>
  <c r="E90" i="18"/>
  <c r="F90" i="18"/>
  <c r="G90" i="18"/>
  <c r="H90" i="18"/>
  <c r="I90" i="18"/>
  <c r="J90" i="18"/>
  <c r="K90" i="18"/>
  <c r="L90" i="18"/>
  <c r="M90" i="18"/>
  <c r="N90" i="18"/>
  <c r="O90" i="18"/>
  <c r="P90" i="18"/>
  <c r="Q90" i="18"/>
  <c r="R90" i="18"/>
  <c r="S90" i="18"/>
  <c r="T90" i="18"/>
  <c r="U90" i="18"/>
  <c r="V90" i="18"/>
  <c r="W90" i="18"/>
  <c r="X90" i="18"/>
  <c r="Y90" i="18"/>
  <c r="Z90" i="18"/>
  <c r="AA90" i="18"/>
  <c r="AB90" i="18"/>
  <c r="AC90" i="18"/>
  <c r="AD90" i="18"/>
  <c r="AE90" i="18"/>
  <c r="AF90" i="18"/>
  <c r="AG90" i="18"/>
  <c r="AH90" i="18"/>
  <c r="AI90" i="18"/>
  <c r="AJ90" i="18"/>
  <c r="AK90" i="18"/>
  <c r="AL90" i="18"/>
  <c r="AM90" i="18"/>
  <c r="AN90" i="18"/>
  <c r="AO90" i="18"/>
  <c r="AP90" i="18"/>
  <c r="AQ90" i="18"/>
  <c r="AR90" i="18"/>
  <c r="AS90" i="18"/>
  <c r="AT90" i="18"/>
  <c r="AU90" i="18"/>
  <c r="AV90" i="18"/>
  <c r="AW90" i="18"/>
  <c r="AX90" i="18"/>
  <c r="C91" i="18"/>
  <c r="D91" i="18"/>
  <c r="E91" i="18"/>
  <c r="F91" i="18"/>
  <c r="G91" i="18"/>
  <c r="H91" i="18"/>
  <c r="I91" i="18"/>
  <c r="J91" i="18"/>
  <c r="K91" i="18"/>
  <c r="L91" i="18"/>
  <c r="M91" i="18"/>
  <c r="N91" i="18"/>
  <c r="O91" i="18"/>
  <c r="P91" i="18"/>
  <c r="Q91" i="18"/>
  <c r="R91" i="18"/>
  <c r="S91" i="18"/>
  <c r="T91" i="18"/>
  <c r="U91" i="18"/>
  <c r="V91" i="18"/>
  <c r="W91" i="18"/>
  <c r="X91" i="18"/>
  <c r="Y91" i="18"/>
  <c r="Z91" i="18"/>
  <c r="AA91" i="18"/>
  <c r="AB91" i="18"/>
  <c r="AC91" i="18"/>
  <c r="AD91" i="18"/>
  <c r="AE91" i="18"/>
  <c r="AF91" i="18"/>
  <c r="AG91" i="18"/>
  <c r="AH91" i="18"/>
  <c r="AI91" i="18"/>
  <c r="AJ91" i="18"/>
  <c r="AK91" i="18"/>
  <c r="AL91" i="18"/>
  <c r="AM91" i="18"/>
  <c r="AN91" i="18"/>
  <c r="AO91" i="18"/>
  <c r="AP91" i="18"/>
  <c r="AQ91" i="18"/>
  <c r="AR91" i="18"/>
  <c r="AS91" i="18"/>
  <c r="AT91" i="18"/>
  <c r="AU91" i="18"/>
  <c r="AV91" i="18"/>
  <c r="AW91" i="18"/>
  <c r="AX91" i="18"/>
  <c r="C92" i="18"/>
  <c r="D92" i="18"/>
  <c r="E92" i="18"/>
  <c r="F92" i="18"/>
  <c r="G92" i="18"/>
  <c r="H92" i="18"/>
  <c r="I92" i="18"/>
  <c r="J92" i="18"/>
  <c r="K92" i="18"/>
  <c r="L92" i="18"/>
  <c r="M92" i="18"/>
  <c r="N92" i="18"/>
  <c r="O92" i="18"/>
  <c r="P92" i="18"/>
  <c r="Q92" i="18"/>
  <c r="R92" i="18"/>
  <c r="S92" i="18"/>
  <c r="T92" i="18"/>
  <c r="U92" i="18"/>
  <c r="V92" i="18"/>
  <c r="W92" i="18"/>
  <c r="X92" i="18"/>
  <c r="Y92" i="18"/>
  <c r="Z92" i="18"/>
  <c r="AA92" i="18"/>
  <c r="AB92" i="18"/>
  <c r="AC92" i="18"/>
  <c r="AD92" i="18"/>
  <c r="AE92" i="18"/>
  <c r="AF92" i="18"/>
  <c r="AG92" i="18"/>
  <c r="AH92" i="18"/>
  <c r="AI92" i="18"/>
  <c r="AJ92" i="18"/>
  <c r="AK92" i="18"/>
  <c r="AL92" i="18"/>
  <c r="AM92" i="18"/>
  <c r="AN92" i="18"/>
  <c r="AO92" i="18"/>
  <c r="AP92" i="18"/>
  <c r="AQ92" i="18"/>
  <c r="AR92" i="18"/>
  <c r="AS92" i="18"/>
  <c r="AT92" i="18"/>
  <c r="AU92" i="18"/>
  <c r="AV92" i="18"/>
  <c r="AW92" i="18"/>
  <c r="AX92" i="18"/>
  <c r="C93" i="18"/>
  <c r="D93" i="18"/>
  <c r="E93" i="18"/>
  <c r="F93" i="18"/>
  <c r="G93" i="18"/>
  <c r="H93" i="18"/>
  <c r="I93" i="18"/>
  <c r="J93" i="18"/>
  <c r="K93" i="18"/>
  <c r="L93" i="18"/>
  <c r="M93" i="18"/>
  <c r="N93" i="18"/>
  <c r="O93" i="18"/>
  <c r="P93" i="18"/>
  <c r="Q93" i="18"/>
  <c r="R93" i="18"/>
  <c r="S93" i="18"/>
  <c r="T93" i="18"/>
  <c r="U93" i="18"/>
  <c r="V93" i="18"/>
  <c r="W93" i="18"/>
  <c r="X93" i="18"/>
  <c r="Y93" i="18"/>
  <c r="Z93" i="18"/>
  <c r="AA93" i="18"/>
  <c r="AB93" i="18"/>
  <c r="AC93" i="18"/>
  <c r="AD93" i="18"/>
  <c r="AE93" i="18"/>
  <c r="AF93" i="18"/>
  <c r="AG93" i="18"/>
  <c r="AH93" i="18"/>
  <c r="AI93" i="18"/>
  <c r="AJ93" i="18"/>
  <c r="AK93" i="18"/>
  <c r="AL93" i="18"/>
  <c r="AM93" i="18"/>
  <c r="AN93" i="18"/>
  <c r="AO93" i="18"/>
  <c r="AP93" i="18"/>
  <c r="AQ93" i="18"/>
  <c r="AR93" i="18"/>
  <c r="AS93" i="18"/>
  <c r="AT93" i="18"/>
  <c r="AU93" i="18"/>
  <c r="AV93" i="18"/>
  <c r="AW93" i="18"/>
  <c r="AX93" i="18"/>
  <c r="C19" i="18"/>
  <c r="C28" i="18" s="1"/>
  <c r="D19" i="18"/>
  <c r="D28" i="18" s="1"/>
  <c r="E19" i="18"/>
  <c r="E28" i="18" s="1"/>
  <c r="F19" i="18"/>
  <c r="F28" i="18" s="1"/>
  <c r="G19" i="18"/>
  <c r="G28" i="18" s="1"/>
  <c r="H19" i="18"/>
  <c r="H28" i="18" s="1"/>
  <c r="I19" i="18"/>
  <c r="I28" i="18" s="1"/>
  <c r="J19" i="18"/>
  <c r="J28" i="18" s="1"/>
  <c r="K19" i="18"/>
  <c r="K28" i="18" s="1"/>
  <c r="L19" i="18"/>
  <c r="L28" i="18" s="1"/>
  <c r="M19" i="18"/>
  <c r="M28" i="18" s="1"/>
  <c r="N19" i="18"/>
  <c r="N28" i="18" s="1"/>
  <c r="C20" i="18"/>
  <c r="C29" i="18" s="1"/>
  <c r="D20" i="18"/>
  <c r="D29" i="18" s="1"/>
  <c r="E20" i="18"/>
  <c r="E29" i="18" s="1"/>
  <c r="F20" i="18"/>
  <c r="F29" i="18" s="1"/>
  <c r="G20" i="18"/>
  <c r="G29" i="18" s="1"/>
  <c r="H20" i="18"/>
  <c r="H29" i="18" s="1"/>
  <c r="I20" i="18"/>
  <c r="I29" i="18" s="1"/>
  <c r="J20" i="18"/>
  <c r="J29" i="18" s="1"/>
  <c r="K20" i="18"/>
  <c r="K29" i="18" s="1"/>
  <c r="L20" i="18"/>
  <c r="L29" i="18" s="1"/>
  <c r="M20" i="18"/>
  <c r="M29" i="18" s="1"/>
  <c r="N20" i="18"/>
  <c r="N29" i="18" s="1"/>
  <c r="C21" i="18"/>
  <c r="C30" i="18" s="1"/>
  <c r="D21" i="18"/>
  <c r="D30" i="18" s="1"/>
  <c r="E21" i="18"/>
  <c r="E30" i="18" s="1"/>
  <c r="F21" i="18"/>
  <c r="F30" i="18" s="1"/>
  <c r="G21" i="18"/>
  <c r="G30" i="18" s="1"/>
  <c r="H21" i="18"/>
  <c r="H30" i="18" s="1"/>
  <c r="I21" i="18"/>
  <c r="I30" i="18" s="1"/>
  <c r="J21" i="18"/>
  <c r="J30" i="18" s="1"/>
  <c r="K21" i="18"/>
  <c r="K30" i="18" s="1"/>
  <c r="L21" i="18"/>
  <c r="L30" i="18" s="1"/>
  <c r="M21" i="18"/>
  <c r="M30" i="18" s="1"/>
  <c r="N21" i="18"/>
  <c r="N30" i="18" s="1"/>
  <c r="C22" i="18"/>
  <c r="C31" i="18" s="1"/>
  <c r="D22" i="18"/>
  <c r="D31" i="18" s="1"/>
  <c r="E22" i="18"/>
  <c r="E31" i="18" s="1"/>
  <c r="F22" i="18"/>
  <c r="F31" i="18" s="1"/>
  <c r="G22" i="18"/>
  <c r="G31" i="18" s="1"/>
  <c r="H22" i="18"/>
  <c r="H31" i="18" s="1"/>
  <c r="I22" i="18"/>
  <c r="I31" i="18" s="1"/>
  <c r="J22" i="18"/>
  <c r="J31" i="18" s="1"/>
  <c r="K22" i="18"/>
  <c r="K31" i="18" s="1"/>
  <c r="L22" i="18"/>
  <c r="L31" i="18" s="1"/>
  <c r="M22" i="18"/>
  <c r="M31" i="18" s="1"/>
  <c r="N22" i="18"/>
  <c r="N31" i="18" s="1"/>
  <c r="C23" i="18"/>
  <c r="C32" i="18" s="1"/>
  <c r="D23" i="18"/>
  <c r="D32" i="18" s="1"/>
  <c r="E23" i="18"/>
  <c r="E32" i="18" s="1"/>
  <c r="F23" i="18"/>
  <c r="F32" i="18" s="1"/>
  <c r="G23" i="18"/>
  <c r="G32" i="18" s="1"/>
  <c r="H23" i="18"/>
  <c r="H32" i="18" s="1"/>
  <c r="I23" i="18"/>
  <c r="I32" i="18" s="1"/>
  <c r="J23" i="18"/>
  <c r="J32" i="18" s="1"/>
  <c r="K23" i="18"/>
  <c r="K32" i="18" s="1"/>
  <c r="L23" i="18"/>
  <c r="L32" i="18" s="1"/>
  <c r="M23" i="18"/>
  <c r="M32" i="18" s="1"/>
  <c r="N23" i="18"/>
  <c r="N32" i="18" s="1"/>
  <c r="C24" i="18"/>
  <c r="C33" i="18" s="1"/>
  <c r="D24" i="18"/>
  <c r="D33" i="18" s="1"/>
  <c r="E24" i="18"/>
  <c r="E33" i="18" s="1"/>
  <c r="F24" i="18"/>
  <c r="F33" i="18" s="1"/>
  <c r="G24" i="18"/>
  <c r="G33" i="18" s="1"/>
  <c r="H24" i="18"/>
  <c r="H33" i="18" s="1"/>
  <c r="I24" i="18"/>
  <c r="I33" i="18" s="1"/>
  <c r="J24" i="18"/>
  <c r="J33" i="18" s="1"/>
  <c r="K24" i="18"/>
  <c r="K33" i="18" s="1"/>
  <c r="L24" i="18"/>
  <c r="L33" i="18" s="1"/>
  <c r="M24" i="18"/>
  <c r="M33" i="18" s="1"/>
  <c r="N24" i="18"/>
  <c r="N33" i="18" s="1"/>
  <c r="L22" i="17" l="1"/>
  <c r="L21" i="17"/>
  <c r="U56" i="17"/>
  <c r="U62" i="17" s="1"/>
  <c r="U24" i="17"/>
  <c r="U34" i="17"/>
  <c r="U40" i="17" s="1"/>
  <c r="U45" i="17"/>
  <c r="U51" i="17" s="1"/>
  <c r="AG21" i="17"/>
  <c r="AG22" i="17"/>
  <c r="H21" i="17"/>
  <c r="H22" i="17"/>
  <c r="S23" i="17"/>
  <c r="S33" i="17"/>
  <c r="S55" i="17"/>
  <c r="S44" i="17"/>
  <c r="AI39" i="17"/>
  <c r="AO21" i="17"/>
  <c r="AO22" i="17"/>
  <c r="I21" i="17"/>
  <c r="I22" i="17"/>
  <c r="Q23" i="17"/>
  <c r="Q33" i="17"/>
  <c r="Q55" i="17"/>
  <c r="Q44" i="17"/>
  <c r="AQ39" i="17"/>
  <c r="F24" i="17"/>
  <c r="F56" i="17"/>
  <c r="F62" i="17" s="1"/>
  <c r="F45" i="17"/>
  <c r="F51" i="17" s="1"/>
  <c r="F34" i="17"/>
  <c r="F40" i="17" s="1"/>
  <c r="AD21" i="17"/>
  <c r="AD22" i="17"/>
  <c r="K24" i="17"/>
  <c r="K56" i="17"/>
  <c r="K62" i="17" s="1"/>
  <c r="K45" i="17"/>
  <c r="K51" i="17" s="1"/>
  <c r="K34" i="17"/>
  <c r="K40" i="17" s="1"/>
  <c r="AS22" i="17"/>
  <c r="AB22" i="17"/>
  <c r="W22" i="17"/>
  <c r="O22" i="17"/>
  <c r="Z22" i="17"/>
  <c r="D22" i="17"/>
  <c r="Q22" i="17"/>
  <c r="G22" i="17"/>
  <c r="K61" i="17"/>
  <c r="M10" i="17"/>
  <c r="M13" i="17" s="1"/>
  <c r="AA21" i="17"/>
  <c r="AA22" i="17"/>
  <c r="E30" i="17"/>
  <c r="F27" i="17"/>
  <c r="D13" i="17"/>
  <c r="G61" i="17"/>
  <c r="J22" i="17"/>
  <c r="O23" i="17"/>
  <c r="O44" i="17"/>
  <c r="O33" i="17"/>
  <c r="O55" i="17"/>
  <c r="W23" i="17"/>
  <c r="W44" i="17"/>
  <c r="W33" i="17"/>
  <c r="W55" i="17"/>
  <c r="D33" i="17"/>
  <c r="Y56" i="17"/>
  <c r="Y62" i="17" s="1"/>
  <c r="Y24" i="17"/>
  <c r="Y34" i="17"/>
  <c r="Y40" i="17" s="1"/>
  <c r="Y45" i="17"/>
  <c r="Y51" i="17" s="1"/>
  <c r="AW22" i="17"/>
  <c r="AW21" i="17"/>
  <c r="D55" i="17"/>
  <c r="D44" i="17"/>
  <c r="F21" i="17"/>
  <c r="J21" i="17"/>
  <c r="M57" i="17"/>
  <c r="S22" i="17"/>
  <c r="T22" i="17"/>
  <c r="T21" i="17"/>
  <c r="U21" i="17"/>
  <c r="Z44" i="17"/>
  <c r="AB21" i="17"/>
  <c r="AF21" i="17"/>
  <c r="AF22" i="17"/>
  <c r="AN21" i="17"/>
  <c r="AN22" i="17"/>
  <c r="AT22" i="17"/>
  <c r="AV21" i="17"/>
  <c r="G33" i="17"/>
  <c r="G23" i="17"/>
  <c r="K33" i="17"/>
  <c r="K23" i="17"/>
  <c r="M39" i="17"/>
  <c r="M35" i="17"/>
  <c r="R22" i="17"/>
  <c r="R21" i="17"/>
  <c r="Y46" i="17"/>
  <c r="Y50" i="17"/>
  <c r="D259" i="15"/>
  <c r="AZ259" i="15" s="1"/>
  <c r="BA14" i="15"/>
  <c r="O10" i="17"/>
  <c r="O13" i="17" s="1"/>
  <c r="W10" i="17"/>
  <c r="W13" i="17" s="1"/>
  <c r="Z55" i="17"/>
  <c r="Z33" i="17"/>
  <c r="AI44" i="17"/>
  <c r="AI23" i="17"/>
  <c r="AL21" i="17"/>
  <c r="AL22" i="17"/>
  <c r="AL10" i="17"/>
  <c r="AL13" i="17" s="1"/>
  <c r="AQ44" i="17"/>
  <c r="AQ23" i="17"/>
  <c r="AT33" i="17"/>
  <c r="AT44" i="17"/>
  <c r="AT55" i="17"/>
  <c r="AT23" i="17"/>
  <c r="AU21" i="17"/>
  <c r="AU22" i="17"/>
  <c r="AX22" i="17"/>
  <c r="AX21" i="17"/>
  <c r="D23" i="17"/>
  <c r="G44" i="17"/>
  <c r="K44" i="17"/>
  <c r="M46" i="17"/>
  <c r="M50" i="17"/>
  <c r="M24" i="17"/>
  <c r="M16" i="17"/>
  <c r="U10" i="17"/>
  <c r="U13" i="17" s="1"/>
  <c r="Y55" i="17"/>
  <c r="Y33" i="17"/>
  <c r="AI55" i="17"/>
  <c r="AI22" i="17"/>
  <c r="AQ55" i="17"/>
  <c r="AQ22" i="17"/>
  <c r="AV22" i="17"/>
  <c r="AH21" i="17"/>
  <c r="AH22" i="17"/>
  <c r="AP21" i="17"/>
  <c r="AP22" i="17"/>
  <c r="AS21" i="17"/>
  <c r="BA14" i="16"/>
  <c r="AZ17" i="17"/>
  <c r="AB10" i="17"/>
  <c r="AB13" i="17" s="1"/>
  <c r="AD10" i="17"/>
  <c r="AD13" i="17" s="1"/>
  <c r="AJ21" i="17"/>
  <c r="AJ22" i="17"/>
  <c r="AJ10" i="17"/>
  <c r="AJ13" i="17" s="1"/>
  <c r="AR22" i="17"/>
  <c r="AR21" i="17"/>
  <c r="M260" i="16"/>
  <c r="AX10" i="17"/>
  <c r="AX13" i="17" s="1"/>
  <c r="O260" i="16"/>
  <c r="R260" i="16"/>
  <c r="AI260" i="15"/>
  <c r="AY260" i="14"/>
  <c r="E260" i="16"/>
  <c r="J260" i="16"/>
  <c r="AZ260" i="16" s="1"/>
  <c r="AC260" i="16"/>
  <c r="AG260" i="16"/>
  <c r="AJ260" i="16"/>
  <c r="AN260" i="16"/>
  <c r="AM260" i="15"/>
  <c r="AS260" i="15"/>
  <c r="AW260" i="15"/>
  <c r="D260" i="14"/>
  <c r="D259" i="14"/>
  <c r="AZ259" i="14" s="1"/>
  <c r="BA14" i="14"/>
  <c r="H260" i="14"/>
  <c r="U260" i="16"/>
  <c r="Z260" i="16"/>
  <c r="M260" i="15"/>
  <c r="Q260" i="15"/>
  <c r="T260" i="15"/>
  <c r="X260" i="15"/>
  <c r="AE260" i="15"/>
  <c r="AC260" i="14"/>
  <c r="AG260" i="14"/>
  <c r="AJ260" i="14"/>
  <c r="AN260" i="14"/>
  <c r="AU260" i="14"/>
  <c r="S31" i="19"/>
  <c r="T32" i="19" s="1"/>
  <c r="S7" i="19"/>
  <c r="H7" i="19"/>
  <c r="H9" i="19"/>
  <c r="S10" i="19"/>
  <c r="H10" i="19"/>
  <c r="S40" i="19"/>
  <c r="T19" i="19"/>
  <c r="AZ259" i="16"/>
  <c r="I260" i="16"/>
  <c r="Q260" i="16"/>
  <c r="Y260" i="16"/>
  <c r="AB260" i="16"/>
  <c r="AO260" i="16"/>
  <c r="AR260" i="16"/>
  <c r="I260" i="15"/>
  <c r="AZ260" i="15" s="1"/>
  <c r="L260" i="15"/>
  <c r="Y260" i="15"/>
  <c r="AB260" i="15"/>
  <c r="AO260" i="15"/>
  <c r="AR260" i="15"/>
  <c r="I260" i="14"/>
  <c r="L260" i="14"/>
  <c r="Y260" i="14"/>
  <c r="AB260" i="14"/>
  <c r="AO260" i="14"/>
  <c r="AR260" i="14"/>
  <c r="S36" i="19"/>
  <c r="T43" i="19" s="1"/>
  <c r="AZ260" i="14" l="1"/>
  <c r="AJ34" i="17"/>
  <c r="AJ40" i="17" s="1"/>
  <c r="AJ45" i="17"/>
  <c r="AJ51" i="17" s="1"/>
  <c r="AJ56" i="17"/>
  <c r="AJ62" i="17" s="1"/>
  <c r="AJ24" i="17"/>
  <c r="AQ34" i="17"/>
  <c r="AQ24" i="17"/>
  <c r="AQ45" i="17"/>
  <c r="AQ51" i="17" s="1"/>
  <c r="AQ56" i="17"/>
  <c r="AQ62" i="17" s="1"/>
  <c r="Y39" i="17"/>
  <c r="Y35" i="17"/>
  <c r="G50" i="17"/>
  <c r="AU24" i="17"/>
  <c r="AU45" i="17"/>
  <c r="AU51" i="17" s="1"/>
  <c r="AU56" i="17"/>
  <c r="AU62" i="17" s="1"/>
  <c r="AU34" i="17"/>
  <c r="AU40" i="17" s="1"/>
  <c r="AT50" i="17"/>
  <c r="AT46" i="17"/>
  <c r="P22" i="17"/>
  <c r="P21" i="17"/>
  <c r="G39" i="17"/>
  <c r="G35" i="17"/>
  <c r="AN44" i="17"/>
  <c r="AN23" i="17"/>
  <c r="AN33" i="17"/>
  <c r="AN55" i="17"/>
  <c r="S56" i="17"/>
  <c r="S62" i="17" s="1"/>
  <c r="S24" i="17"/>
  <c r="S34" i="17"/>
  <c r="S40" i="17" s="1"/>
  <c r="S45" i="17"/>
  <c r="S51" i="17" s="1"/>
  <c r="D50" i="17"/>
  <c r="AW24" i="17"/>
  <c r="AW34" i="17"/>
  <c r="AW40" i="17" s="1"/>
  <c r="AW45" i="17"/>
  <c r="AW51" i="17" s="1"/>
  <c r="AW56" i="17"/>
  <c r="AW62" i="17" s="1"/>
  <c r="W39" i="17"/>
  <c r="W35" i="17"/>
  <c r="O39" i="17"/>
  <c r="N22" i="17"/>
  <c r="N21" i="17"/>
  <c r="Q56" i="17"/>
  <c r="Q62" i="17" s="1"/>
  <c r="Q24" i="17"/>
  <c r="Q34" i="17"/>
  <c r="Q40" i="17" s="1"/>
  <c r="Q45" i="17"/>
  <c r="Q51" i="17" s="1"/>
  <c r="W56" i="17"/>
  <c r="W62" i="17" s="1"/>
  <c r="W24" i="17"/>
  <c r="W34" i="17"/>
  <c r="W40" i="17" s="1"/>
  <c r="W45" i="17"/>
  <c r="W51" i="17" s="1"/>
  <c r="AD44" i="17"/>
  <c r="AD23" i="17"/>
  <c r="AD33" i="17"/>
  <c r="AD55" i="17"/>
  <c r="Q61" i="17"/>
  <c r="I33" i="17"/>
  <c r="I23" i="17"/>
  <c r="I55" i="17"/>
  <c r="I44" i="17"/>
  <c r="AR44" i="17"/>
  <c r="AR33" i="17"/>
  <c r="AR55" i="17"/>
  <c r="AR23" i="17"/>
  <c r="AQ61" i="17"/>
  <c r="AQ57" i="17"/>
  <c r="Y61" i="17"/>
  <c r="Y57" i="17"/>
  <c r="AU33" i="17"/>
  <c r="AU44" i="17"/>
  <c r="AU55" i="17"/>
  <c r="AU23" i="17"/>
  <c r="AL34" i="17"/>
  <c r="AL40" i="17" s="1"/>
  <c r="AL45" i="17"/>
  <c r="AL51" i="17" s="1"/>
  <c r="AL56" i="17"/>
  <c r="AL62" i="17" s="1"/>
  <c r="AL24" i="17"/>
  <c r="R23" i="17"/>
  <c r="R33" i="17"/>
  <c r="R44" i="17"/>
  <c r="R55" i="17"/>
  <c r="AV33" i="17"/>
  <c r="AV44" i="17"/>
  <c r="AV23" i="17"/>
  <c r="AV55" i="17"/>
  <c r="U23" i="17"/>
  <c r="U44" i="17"/>
  <c r="U33" i="17"/>
  <c r="U55" i="17"/>
  <c r="D39" i="17"/>
  <c r="W50" i="17"/>
  <c r="O50" i="17"/>
  <c r="D24" i="17"/>
  <c r="D34" i="17"/>
  <c r="D40" i="17" s="1"/>
  <c r="D45" i="17"/>
  <c r="D51" i="17" s="1"/>
  <c r="D56" i="17"/>
  <c r="D62" i="17" s="1"/>
  <c r="AB34" i="17"/>
  <c r="AB40" i="17" s="1"/>
  <c r="AB45" i="17"/>
  <c r="AB51" i="17" s="1"/>
  <c r="AB56" i="17"/>
  <c r="AB62" i="17" s="1"/>
  <c r="AB24" i="17"/>
  <c r="Q39" i="17"/>
  <c r="Q35" i="17"/>
  <c r="AO34" i="17"/>
  <c r="AO40" i="17" s="1"/>
  <c r="AO24" i="17"/>
  <c r="AO45" i="17"/>
  <c r="AO51" i="17" s="1"/>
  <c r="AO56" i="17"/>
  <c r="AO62" i="17" s="1"/>
  <c r="S46" i="17"/>
  <c r="S50" i="17"/>
  <c r="H24" i="17"/>
  <c r="H56" i="17"/>
  <c r="H62" i="17" s="1"/>
  <c r="H45" i="17"/>
  <c r="H51" i="17" s="1"/>
  <c r="H34" i="17"/>
  <c r="H40" i="17" s="1"/>
  <c r="L23" i="17"/>
  <c r="L33" i="17"/>
  <c r="L44" i="17"/>
  <c r="L55" i="17"/>
  <c r="AY21" i="17"/>
  <c r="AY22" i="17"/>
  <c r="AR24" i="17"/>
  <c r="AR34" i="17"/>
  <c r="AR40" i="17" s="1"/>
  <c r="AR45" i="17"/>
  <c r="AR51" i="17" s="1"/>
  <c r="AR56" i="17"/>
  <c r="AR62" i="17" s="1"/>
  <c r="AE21" i="17"/>
  <c r="AE22" i="17"/>
  <c r="AS33" i="17"/>
  <c r="AS23" i="17"/>
  <c r="AS44" i="17"/>
  <c r="AS55" i="17"/>
  <c r="AH44" i="17"/>
  <c r="AH23" i="17"/>
  <c r="AH33" i="17"/>
  <c r="AH55" i="17"/>
  <c r="AI34" i="17"/>
  <c r="AI24" i="17"/>
  <c r="AI45" i="17"/>
  <c r="AI51" i="17" s="1"/>
  <c r="AI56" i="17"/>
  <c r="AI62" i="17" s="1"/>
  <c r="V22" i="17"/>
  <c r="V21" i="17"/>
  <c r="AX33" i="17"/>
  <c r="AX44" i="17"/>
  <c r="AX55" i="17"/>
  <c r="AX23" i="17"/>
  <c r="AL44" i="17"/>
  <c r="AL23" i="17"/>
  <c r="AL33" i="17"/>
  <c r="AL55" i="17"/>
  <c r="Z61" i="17"/>
  <c r="R56" i="17"/>
  <c r="R62" i="17" s="1"/>
  <c r="R24" i="17"/>
  <c r="R45" i="17"/>
  <c r="R51" i="17" s="1"/>
  <c r="R34" i="17"/>
  <c r="R40" i="17" s="1"/>
  <c r="K39" i="17"/>
  <c r="K35" i="17"/>
  <c r="AT24" i="17"/>
  <c r="AT56" i="17"/>
  <c r="AT62" i="17" s="1"/>
  <c r="AT45" i="17"/>
  <c r="AT51" i="17" s="1"/>
  <c r="AT34" i="17"/>
  <c r="AT40" i="17" s="1"/>
  <c r="AF44" i="17"/>
  <c r="AF23" i="17"/>
  <c r="AF33" i="17"/>
  <c r="AF55" i="17"/>
  <c r="T23" i="17"/>
  <c r="T33" i="17"/>
  <c r="T44" i="17"/>
  <c r="T55" i="17"/>
  <c r="J33" i="17"/>
  <c r="J23" i="17"/>
  <c r="J55" i="17"/>
  <c r="J44" i="17"/>
  <c r="E21" i="17"/>
  <c r="E22" i="17"/>
  <c r="AA34" i="17"/>
  <c r="AA40" i="17" s="1"/>
  <c r="AA56" i="17"/>
  <c r="AA62" i="17" s="1"/>
  <c r="AA45" i="17"/>
  <c r="AA51" i="17" s="1"/>
  <c r="AA24" i="17"/>
  <c r="K57" i="17"/>
  <c r="Z56" i="17"/>
  <c r="Z62" i="17" s="1"/>
  <c r="Z45" i="17"/>
  <c r="Z51" i="17" s="1"/>
  <c r="Z24" i="17"/>
  <c r="Z34" i="17"/>
  <c r="Z40" i="17" s="1"/>
  <c r="AS24" i="17"/>
  <c r="AS34" i="17"/>
  <c r="AS40" i="17" s="1"/>
  <c r="AS45" i="17"/>
  <c r="AS51" i="17" s="1"/>
  <c r="AS56" i="17"/>
  <c r="AS62" i="17" s="1"/>
  <c r="AO44" i="17"/>
  <c r="AO55" i="17"/>
  <c r="AO23" i="17"/>
  <c r="AO33" i="17"/>
  <c r="S61" i="17"/>
  <c r="S57" i="17"/>
  <c r="H33" i="17"/>
  <c r="H23" i="17"/>
  <c r="H44" i="17"/>
  <c r="H55" i="17"/>
  <c r="L56" i="17"/>
  <c r="L62" i="17" s="1"/>
  <c r="L24" i="17"/>
  <c r="L34" i="17"/>
  <c r="L40" i="17" s="1"/>
  <c r="L45" i="17"/>
  <c r="L51" i="17" s="1"/>
  <c r="AP44" i="17"/>
  <c r="AP23" i="17"/>
  <c r="AP33" i="17"/>
  <c r="AP55" i="17"/>
  <c r="AM21" i="17"/>
  <c r="AM22" i="17"/>
  <c r="AI50" i="17"/>
  <c r="AI46" i="17"/>
  <c r="Z50" i="17"/>
  <c r="F30" i="17"/>
  <c r="G27" i="17"/>
  <c r="AG44" i="17"/>
  <c r="AG55" i="17"/>
  <c r="AG23" i="17"/>
  <c r="AG33" i="17"/>
  <c r="AJ44" i="17"/>
  <c r="AJ23" i="17"/>
  <c r="AJ33" i="17"/>
  <c r="AJ55" i="17"/>
  <c r="AH34" i="17"/>
  <c r="AH40" i="17" s="1"/>
  <c r="AH45" i="17"/>
  <c r="AH51" i="17" s="1"/>
  <c r="AH56" i="17"/>
  <c r="AH62" i="17" s="1"/>
  <c r="AH24" i="17"/>
  <c r="AT39" i="17"/>
  <c r="AT35" i="17"/>
  <c r="Z39" i="17"/>
  <c r="Z35" i="17"/>
  <c r="AF34" i="17"/>
  <c r="AF40" i="17" s="1"/>
  <c r="AF45" i="17"/>
  <c r="AF51" i="17" s="1"/>
  <c r="AF56" i="17"/>
  <c r="AF62" i="17" s="1"/>
  <c r="AF24" i="17"/>
  <c r="D57" i="17"/>
  <c r="D61" i="17"/>
  <c r="T11" i="19"/>
  <c r="T45" i="19" s="1"/>
  <c r="AK21" i="17"/>
  <c r="AK22" i="17"/>
  <c r="AC21" i="17"/>
  <c r="AC22" i="17"/>
  <c r="AP34" i="17"/>
  <c r="AP40" i="17" s="1"/>
  <c r="AP45" i="17"/>
  <c r="AP51" i="17" s="1"/>
  <c r="AP56" i="17"/>
  <c r="AP62" i="17" s="1"/>
  <c r="AP24" i="17"/>
  <c r="AV24" i="17"/>
  <c r="AV56" i="17"/>
  <c r="AV62" i="17" s="1"/>
  <c r="AV34" i="17"/>
  <c r="AV40" i="17" s="1"/>
  <c r="AV45" i="17"/>
  <c r="AV51" i="17" s="1"/>
  <c r="AI61" i="17"/>
  <c r="K50" i="17"/>
  <c r="K46" i="17"/>
  <c r="AX24" i="17"/>
  <c r="AX34" i="17"/>
  <c r="AX40" i="17" s="1"/>
  <c r="AX45" i="17"/>
  <c r="AX51" i="17" s="1"/>
  <c r="AX56" i="17"/>
  <c r="AX62" i="17" s="1"/>
  <c r="AT57" i="17"/>
  <c r="AT61" i="17"/>
  <c r="AQ50" i="17"/>
  <c r="AQ46" i="17"/>
  <c r="X22" i="17"/>
  <c r="X21" i="17"/>
  <c r="AN34" i="17"/>
  <c r="AN40" i="17" s="1"/>
  <c r="AN45" i="17"/>
  <c r="AN51" i="17" s="1"/>
  <c r="AN56" i="17"/>
  <c r="AN62" i="17" s="1"/>
  <c r="AN24" i="17"/>
  <c r="AB44" i="17"/>
  <c r="AB23" i="17"/>
  <c r="AB33" i="17"/>
  <c r="AB55" i="17"/>
  <c r="T56" i="17"/>
  <c r="T62" i="17" s="1"/>
  <c r="T34" i="17"/>
  <c r="T40" i="17" s="1"/>
  <c r="T24" i="17"/>
  <c r="T45" i="17"/>
  <c r="T51" i="17" s="1"/>
  <c r="F33" i="17"/>
  <c r="F23" i="17"/>
  <c r="F55" i="17"/>
  <c r="F44" i="17"/>
  <c r="AW33" i="17"/>
  <c r="AW23" i="17"/>
  <c r="AW55" i="17"/>
  <c r="AW44" i="17"/>
  <c r="W61" i="17"/>
  <c r="W57" i="17"/>
  <c r="O61" i="17"/>
  <c r="J24" i="17"/>
  <c r="J56" i="17"/>
  <c r="J62" i="17" s="1"/>
  <c r="J34" i="17"/>
  <c r="J40" i="17" s="1"/>
  <c r="J45" i="17"/>
  <c r="J51" i="17" s="1"/>
  <c r="AZ10" i="17"/>
  <c r="AA23" i="17"/>
  <c r="AA33" i="17"/>
  <c r="AA44" i="17"/>
  <c r="AA55" i="17"/>
  <c r="G24" i="17"/>
  <c r="G56" i="17"/>
  <c r="G45" i="17"/>
  <c r="G51" i="17" s="1"/>
  <c r="G34" i="17"/>
  <c r="G40" i="17" s="1"/>
  <c r="O56" i="17"/>
  <c r="O62" i="17" s="1"/>
  <c r="O24" i="17"/>
  <c r="O34" i="17"/>
  <c r="O40" i="17" s="1"/>
  <c r="O45" i="17"/>
  <c r="O51" i="17" s="1"/>
  <c r="AD34" i="17"/>
  <c r="AD40" i="17" s="1"/>
  <c r="AD45" i="17"/>
  <c r="AD51" i="17" s="1"/>
  <c r="AD56" i="17"/>
  <c r="AD62" i="17" s="1"/>
  <c r="AD24" i="17"/>
  <c r="Q46" i="17"/>
  <c r="Q50" i="17"/>
  <c r="I24" i="17"/>
  <c r="I56" i="17"/>
  <c r="I62" i="17" s="1"/>
  <c r="I34" i="17"/>
  <c r="I40" i="17" s="1"/>
  <c r="I45" i="17"/>
  <c r="I51" i="17" s="1"/>
  <c r="S39" i="17"/>
  <c r="S35" i="17"/>
  <c r="AG34" i="17"/>
  <c r="AG40" i="17" s="1"/>
  <c r="AG24" i="17"/>
  <c r="AG45" i="17"/>
  <c r="AG51" i="17" s="1"/>
  <c r="AG56" i="17"/>
  <c r="AG62" i="17" s="1"/>
  <c r="AC34" i="17" l="1"/>
  <c r="AC40" i="17" s="1"/>
  <c r="AC45" i="17"/>
  <c r="AC51" i="17" s="1"/>
  <c r="AC56" i="17"/>
  <c r="AC62" i="17" s="1"/>
  <c r="AC24" i="17"/>
  <c r="AJ61" i="17"/>
  <c r="AJ57" i="17"/>
  <c r="AG39" i="17"/>
  <c r="AG35" i="17"/>
  <c r="H57" i="17"/>
  <c r="H61" i="17"/>
  <c r="J39" i="17"/>
  <c r="J35" i="17"/>
  <c r="AF46" i="17"/>
  <c r="AF50" i="17"/>
  <c r="AL50" i="17"/>
  <c r="AL46" i="17"/>
  <c r="AX35" i="17"/>
  <c r="AX39" i="17"/>
  <c r="AH39" i="17"/>
  <c r="AH35" i="17"/>
  <c r="AE44" i="17"/>
  <c r="AE23" i="17"/>
  <c r="AE33" i="17"/>
  <c r="AE55" i="17"/>
  <c r="L46" i="17"/>
  <c r="L50" i="17"/>
  <c r="AV50" i="17"/>
  <c r="AV46" i="17"/>
  <c r="AU50" i="17"/>
  <c r="AU46" i="17"/>
  <c r="AR39" i="17"/>
  <c r="AR35" i="17"/>
  <c r="AD61" i="17"/>
  <c r="AD57" i="17"/>
  <c r="N23" i="17"/>
  <c r="N33" i="17"/>
  <c r="N44" i="17"/>
  <c r="N55" i="17"/>
  <c r="AN61" i="17"/>
  <c r="AN57" i="17"/>
  <c r="AW39" i="17"/>
  <c r="AW35" i="17"/>
  <c r="F39" i="17"/>
  <c r="F35" i="17"/>
  <c r="AB46" i="17"/>
  <c r="AB50" i="17"/>
  <c r="AC44" i="17"/>
  <c r="AC23" i="17"/>
  <c r="AC33" i="17"/>
  <c r="AC55" i="17"/>
  <c r="AJ39" i="17"/>
  <c r="AJ35" i="17"/>
  <c r="AP39" i="17"/>
  <c r="AP35" i="17"/>
  <c r="H50" i="17"/>
  <c r="H46" i="17"/>
  <c r="AO50" i="17"/>
  <c r="AO46" i="17"/>
  <c r="J50" i="17"/>
  <c r="J46" i="17"/>
  <c r="T57" i="17"/>
  <c r="T61" i="17"/>
  <c r="AF61" i="17"/>
  <c r="AF57" i="17"/>
  <c r="AL61" i="17"/>
  <c r="AL57" i="17"/>
  <c r="V23" i="17"/>
  <c r="V33" i="17"/>
  <c r="V44" i="17"/>
  <c r="V55" i="17"/>
  <c r="AY24" i="17"/>
  <c r="AY34" i="17"/>
  <c r="AY40" i="17" s="1"/>
  <c r="AY45" i="17"/>
  <c r="AY51" i="17" s="1"/>
  <c r="AY56" i="17"/>
  <c r="AY62" i="17" s="1"/>
  <c r="L39" i="17"/>
  <c r="L35" i="17"/>
  <c r="O46" i="17"/>
  <c r="D35" i="17"/>
  <c r="AV35" i="17"/>
  <c r="AV39" i="17"/>
  <c r="AU39" i="17"/>
  <c r="AU35" i="17"/>
  <c r="AR46" i="17"/>
  <c r="AR50" i="17"/>
  <c r="I39" i="17"/>
  <c r="I35" i="17"/>
  <c r="AD35" i="17"/>
  <c r="AD39" i="17"/>
  <c r="N56" i="17"/>
  <c r="N62" i="17" s="1"/>
  <c r="N34" i="17"/>
  <c r="N40" i="17" s="1"/>
  <c r="N24" i="17"/>
  <c r="N45" i="17"/>
  <c r="N51" i="17" s="1"/>
  <c r="AN35" i="17"/>
  <c r="AN39" i="17"/>
  <c r="AQ40" i="17"/>
  <c r="AQ35" i="17"/>
  <c r="AA46" i="17"/>
  <c r="AA50" i="17"/>
  <c r="O57" i="17"/>
  <c r="AW50" i="17"/>
  <c r="AW46" i="17"/>
  <c r="F50" i="17"/>
  <c r="F46" i="17"/>
  <c r="AB61" i="17"/>
  <c r="AB57" i="17"/>
  <c r="X23" i="17"/>
  <c r="X33" i="17"/>
  <c r="X44" i="17"/>
  <c r="X55" i="17"/>
  <c r="AI57" i="17"/>
  <c r="AK34" i="17"/>
  <c r="AK40" i="17" s="1"/>
  <c r="AK24" i="17"/>
  <c r="AK56" i="17"/>
  <c r="AK62" i="17" s="1"/>
  <c r="AK45" i="17"/>
  <c r="AK51" i="17" s="1"/>
  <c r="AG61" i="17"/>
  <c r="AG57" i="17"/>
  <c r="AM34" i="17"/>
  <c r="AM40" i="17" s="1"/>
  <c r="AM24" i="17"/>
  <c r="AM56" i="17"/>
  <c r="AM62" i="17" s="1"/>
  <c r="AM45" i="17"/>
  <c r="AM51" i="17" s="1"/>
  <c r="AO39" i="17"/>
  <c r="AO35" i="17"/>
  <c r="J57" i="17"/>
  <c r="J61" i="17"/>
  <c r="T46" i="17"/>
  <c r="T50" i="17"/>
  <c r="AF35" i="17"/>
  <c r="AF39" i="17"/>
  <c r="AL35" i="17"/>
  <c r="AL39" i="17"/>
  <c r="AX57" i="17"/>
  <c r="AX61" i="17"/>
  <c r="V56" i="17"/>
  <c r="V62" i="17" s="1"/>
  <c r="V34" i="17"/>
  <c r="V40" i="17" s="1"/>
  <c r="V24" i="17"/>
  <c r="V45" i="17"/>
  <c r="V51" i="17" s="1"/>
  <c r="AI40" i="17"/>
  <c r="AI35" i="17"/>
  <c r="AH46" i="17"/>
  <c r="AH50" i="17"/>
  <c r="AS35" i="17"/>
  <c r="AS39" i="17"/>
  <c r="AY23" i="17"/>
  <c r="AY33" i="17"/>
  <c r="AY55" i="17"/>
  <c r="AY44" i="17"/>
  <c r="AZ24" i="17"/>
  <c r="U61" i="17"/>
  <c r="U57" i="17"/>
  <c r="AV57" i="17"/>
  <c r="AV61" i="17"/>
  <c r="R61" i="17"/>
  <c r="R57" i="17"/>
  <c r="I50" i="17"/>
  <c r="I46" i="17"/>
  <c r="Q57" i="17"/>
  <c r="O35" i="17"/>
  <c r="D46" i="17"/>
  <c r="P23" i="17"/>
  <c r="P33" i="17"/>
  <c r="P44" i="17"/>
  <c r="P55" i="17"/>
  <c r="G46" i="17"/>
  <c r="G30" i="17"/>
  <c r="H27" i="17"/>
  <c r="AP61" i="17"/>
  <c r="AP57" i="17"/>
  <c r="AO61" i="17"/>
  <c r="AO57" i="17"/>
  <c r="E33" i="17"/>
  <c r="E23" i="17"/>
  <c r="AZ23" i="17" s="1"/>
  <c r="E55" i="17"/>
  <c r="E44" i="17"/>
  <c r="AZ21" i="17"/>
  <c r="AS50" i="17"/>
  <c r="AS46" i="17"/>
  <c r="U46" i="17"/>
  <c r="U50" i="17"/>
  <c r="R39" i="17"/>
  <c r="R35" i="17"/>
  <c r="AA57" i="17"/>
  <c r="AA61" i="17"/>
  <c r="G62" i="17"/>
  <c r="G57" i="17"/>
  <c r="AA39" i="17"/>
  <c r="AA35" i="17"/>
  <c r="AW57" i="17"/>
  <c r="AW61" i="17"/>
  <c r="F57" i="17"/>
  <c r="F61" i="17"/>
  <c r="AB35" i="17"/>
  <c r="AB39" i="17"/>
  <c r="X56" i="17"/>
  <c r="X62" i="17" s="1"/>
  <c r="X45" i="17"/>
  <c r="X51" i="17" s="1"/>
  <c r="X34" i="17"/>
  <c r="X40" i="17" s="1"/>
  <c r="X24" i="17"/>
  <c r="AK44" i="17"/>
  <c r="AK23" i="17"/>
  <c r="AK33" i="17"/>
  <c r="AK55" i="17"/>
  <c r="AJ46" i="17"/>
  <c r="AJ50" i="17"/>
  <c r="AG50" i="17"/>
  <c r="AG46" i="17"/>
  <c r="Z46" i="17"/>
  <c r="AM44" i="17"/>
  <c r="AM33" i="17"/>
  <c r="AM55" i="17"/>
  <c r="AM23" i="17"/>
  <c r="AP46" i="17"/>
  <c r="AP50" i="17"/>
  <c r="H39" i="17"/>
  <c r="H35" i="17"/>
  <c r="E24" i="17"/>
  <c r="E56" i="17"/>
  <c r="E62" i="17" s="1"/>
  <c r="E34" i="17"/>
  <c r="E40" i="17" s="1"/>
  <c r="E45" i="17"/>
  <c r="E51" i="17" s="1"/>
  <c r="T39" i="17"/>
  <c r="T35" i="17"/>
  <c r="Z57" i="17"/>
  <c r="AX50" i="17"/>
  <c r="AX46" i="17"/>
  <c r="AH61" i="17"/>
  <c r="AH57" i="17"/>
  <c r="AS57" i="17"/>
  <c r="AS61" i="17"/>
  <c r="AE34" i="17"/>
  <c r="AE40" i="17" s="1"/>
  <c r="AE45" i="17"/>
  <c r="AE51" i="17" s="1"/>
  <c r="AE24" i="17"/>
  <c r="AE56" i="17"/>
  <c r="AE62" i="17" s="1"/>
  <c r="L57" i="17"/>
  <c r="L61" i="17"/>
  <c r="AZ22" i="17"/>
  <c r="W46" i="17"/>
  <c r="U39" i="17"/>
  <c r="U35" i="17"/>
  <c r="R46" i="17"/>
  <c r="R50" i="17"/>
  <c r="AU57" i="17"/>
  <c r="AU61" i="17"/>
  <c r="AR61" i="17"/>
  <c r="AR57" i="17"/>
  <c r="I57" i="17"/>
  <c r="I61" i="17"/>
  <c r="AD46" i="17"/>
  <c r="AD50" i="17"/>
  <c r="AN50" i="17"/>
  <c r="AN46" i="17"/>
  <c r="P56" i="17"/>
  <c r="P62" i="17" s="1"/>
  <c r="P45" i="17"/>
  <c r="P51" i="17" s="1"/>
  <c r="P34" i="17"/>
  <c r="P40" i="17" s="1"/>
  <c r="P24" i="17"/>
  <c r="AM39" i="17" l="1"/>
  <c r="AM35" i="17"/>
  <c r="X39" i="17"/>
  <c r="X35" i="17"/>
  <c r="AC50" i="17"/>
  <c r="AC46" i="17"/>
  <c r="AE39" i="17"/>
  <c r="AE35" i="17"/>
  <c r="AM50" i="17"/>
  <c r="AM46" i="17"/>
  <c r="P57" i="17"/>
  <c r="P61" i="17"/>
  <c r="AY50" i="17"/>
  <c r="AY46" i="17"/>
  <c r="V57" i="17"/>
  <c r="V61" i="17"/>
  <c r="AC61" i="17"/>
  <c r="AC57" i="17"/>
  <c r="N57" i="17"/>
  <c r="N61" i="17"/>
  <c r="AK50" i="17"/>
  <c r="AK46" i="17"/>
  <c r="E50" i="17"/>
  <c r="E46" i="17"/>
  <c r="H30" i="17"/>
  <c r="I27" i="17"/>
  <c r="P46" i="17"/>
  <c r="P50" i="17"/>
  <c r="AY57" i="17"/>
  <c r="AY61" i="17"/>
  <c r="X61" i="17"/>
  <c r="X57" i="17"/>
  <c r="V46" i="17"/>
  <c r="V50" i="17"/>
  <c r="AC39" i="17"/>
  <c r="AC35" i="17"/>
  <c r="N46" i="17"/>
  <c r="N50" i="17"/>
  <c r="AE50" i="17"/>
  <c r="AE46" i="17"/>
  <c r="AK39" i="17"/>
  <c r="AK35" i="17"/>
  <c r="E39" i="17"/>
  <c r="E35" i="17"/>
  <c r="AM61" i="17"/>
  <c r="AM57" i="17"/>
  <c r="AK61" i="17"/>
  <c r="AK57" i="17"/>
  <c r="E57" i="17"/>
  <c r="E61" i="17"/>
  <c r="P39" i="17"/>
  <c r="P35" i="17"/>
  <c r="AY39" i="17"/>
  <c r="AY35" i="17"/>
  <c r="X46" i="17"/>
  <c r="X50" i="17"/>
  <c r="V39" i="17"/>
  <c r="V35" i="17"/>
  <c r="N39" i="17"/>
  <c r="N35" i="17"/>
  <c r="AE61" i="17"/>
  <c r="AE57" i="17"/>
  <c r="I30" i="17" l="1"/>
  <c r="J27" i="17"/>
  <c r="J30" i="17" l="1"/>
  <c r="K27" i="17"/>
  <c r="K30" i="17" l="1"/>
  <c r="L27" i="17"/>
  <c r="L30" i="17" l="1"/>
  <c r="M27" i="17"/>
  <c r="M30" i="17" l="1"/>
  <c r="N27" i="17"/>
  <c r="N30" i="17" l="1"/>
  <c r="O27" i="17"/>
  <c r="O30" i="17" l="1"/>
  <c r="P27" i="17"/>
  <c r="P30" i="17" l="1"/>
  <c r="Q27" i="17"/>
  <c r="Q30" i="17" l="1"/>
  <c r="R27" i="17"/>
  <c r="R30" i="17" l="1"/>
  <c r="S27" i="17"/>
  <c r="S30" i="17" l="1"/>
  <c r="T27" i="17"/>
  <c r="T30" i="17" l="1"/>
  <c r="U27" i="17"/>
  <c r="U30" i="17" l="1"/>
  <c r="V27" i="17"/>
  <c r="V30" i="17" l="1"/>
  <c r="W27" i="17"/>
  <c r="W30" i="17" l="1"/>
  <c r="X27" i="17"/>
  <c r="X30" i="17" l="1"/>
  <c r="Y27" i="17"/>
  <c r="Y30" i="17" l="1"/>
  <c r="Z27" i="17"/>
  <c r="AA27" i="17" l="1"/>
  <c r="Z30" i="17"/>
  <c r="AB27" i="17" l="1"/>
  <c r="AA30" i="17"/>
  <c r="AC27" i="17" l="1"/>
  <c r="AB30" i="17"/>
  <c r="AD27" i="17" l="1"/>
  <c r="AC30" i="17"/>
  <c r="AE27" i="17" l="1"/>
  <c r="AD30" i="17"/>
  <c r="AF27" i="17" l="1"/>
  <c r="AE30" i="17"/>
  <c r="AG27" i="17" l="1"/>
  <c r="AF30" i="17"/>
  <c r="AH27" i="17" l="1"/>
  <c r="AG30" i="17"/>
  <c r="AI27" i="17" l="1"/>
  <c r="AH30" i="17"/>
  <c r="AJ27" i="17" l="1"/>
  <c r="AI30" i="17"/>
  <c r="AK27" i="17" l="1"/>
  <c r="AJ30" i="17"/>
  <c r="AL27" i="17" l="1"/>
  <c r="AK30" i="17"/>
  <c r="AM27" i="17" l="1"/>
  <c r="AL30" i="17"/>
  <c r="AN27" i="17" l="1"/>
  <c r="AM30" i="17"/>
  <c r="AO27" i="17" l="1"/>
  <c r="AN30" i="17"/>
  <c r="AP27" i="17" l="1"/>
  <c r="AO30" i="17"/>
  <c r="AQ27" i="17" l="1"/>
  <c r="AP30" i="17"/>
  <c r="AR27" i="17" l="1"/>
  <c r="AQ30" i="17"/>
  <c r="AR30" i="17" l="1"/>
  <c r="AS27" i="17"/>
  <c r="AT27" i="17" l="1"/>
  <c r="AS30" i="17"/>
  <c r="AT30" i="17" l="1"/>
  <c r="AU27" i="17"/>
  <c r="AV27" i="17" l="1"/>
  <c r="AU30" i="17"/>
  <c r="AW27" i="17" l="1"/>
  <c r="AV30" i="17"/>
  <c r="AW30" i="17" l="1"/>
  <c r="AX27" i="17"/>
  <c r="AY27" i="17" l="1"/>
  <c r="AY30" i="17" s="1"/>
  <c r="AX30" i="17"/>
  <c r="AZ30" i="17" l="1"/>
  <c r="E30" i="7" l="1"/>
  <c r="D30" i="7"/>
  <c r="C30" i="7"/>
  <c r="D19" i="7"/>
  <c r="G11" i="7"/>
  <c r="G10" i="7"/>
  <c r="G9" i="7"/>
  <c r="G8" i="7"/>
  <c r="G7" i="7"/>
  <c r="G6" i="7"/>
  <c r="G12" i="5" l="1"/>
  <c r="G9" i="5"/>
  <c r="D16" i="5"/>
  <c r="P36" i="6" l="1"/>
  <c r="P30" i="6"/>
  <c r="G21" i="5"/>
  <c r="G6" i="5"/>
  <c r="G7" i="5"/>
  <c r="H7" i="5" s="1"/>
  <c r="G8" i="5"/>
  <c r="H8" i="5" s="1"/>
  <c r="H9" i="5"/>
  <c r="G10" i="5"/>
  <c r="H10" i="5" s="1"/>
  <c r="G11" i="5"/>
  <c r="H11" i="5" s="1"/>
  <c r="H12" i="5"/>
  <c r="G13" i="5"/>
  <c r="H13" i="5" s="1"/>
  <c r="G14" i="5"/>
  <c r="H14" i="5" s="1"/>
  <c r="G15" i="5"/>
  <c r="H15" i="5" s="1"/>
  <c r="G22" i="5"/>
  <c r="G23" i="5"/>
  <c r="G24" i="5"/>
  <c r="G25" i="5"/>
  <c r="G26" i="5"/>
  <c r="G27" i="5"/>
  <c r="G28" i="5"/>
  <c r="G29" i="5"/>
  <c r="G30" i="5"/>
  <c r="D31" i="5"/>
  <c r="G36" i="5"/>
  <c r="G37" i="5"/>
  <c r="H37" i="5"/>
  <c r="G38" i="5"/>
  <c r="H38" i="5" s="1"/>
  <c r="G39" i="5"/>
  <c r="H39" i="5"/>
  <c r="G40" i="5"/>
  <c r="H40" i="5" s="1"/>
  <c r="G41" i="5"/>
  <c r="H41" i="5"/>
  <c r="G42" i="5"/>
  <c r="H42" i="5" s="1"/>
  <c r="G43" i="5"/>
  <c r="H43" i="5" s="1"/>
  <c r="G44" i="5"/>
  <c r="H44" i="5" s="1"/>
  <c r="G45" i="5"/>
  <c r="H45" i="5"/>
  <c r="G46" i="5"/>
  <c r="H46" i="5" s="1"/>
  <c r="G47" i="5"/>
  <c r="H47" i="5" s="1"/>
  <c r="G48" i="5"/>
  <c r="H48" i="5" s="1"/>
  <c r="G49" i="5"/>
  <c r="H49" i="5" s="1"/>
  <c r="G50" i="5"/>
  <c r="H50" i="5" s="1"/>
  <c r="G51" i="5"/>
  <c r="H51" i="5"/>
  <c r="G52" i="5"/>
  <c r="H52" i="5" s="1"/>
  <c r="G53" i="5"/>
  <c r="H53" i="5"/>
  <c r="G54" i="5"/>
  <c r="H54" i="5" s="1"/>
  <c r="G55" i="5"/>
  <c r="H55" i="5"/>
  <c r="G56" i="5"/>
  <c r="H56" i="5" s="1"/>
  <c r="G57" i="5"/>
  <c r="H57" i="5"/>
  <c r="G58" i="5"/>
  <c r="H58" i="5" s="1"/>
  <c r="G59" i="5"/>
  <c r="H59" i="5" s="1"/>
  <c r="G60" i="5"/>
  <c r="H60" i="5" s="1"/>
  <c r="G61" i="5"/>
  <c r="H61" i="5"/>
  <c r="G62" i="5"/>
  <c r="H62" i="5" s="1"/>
  <c r="G63" i="5"/>
  <c r="H63" i="5" s="1"/>
  <c r="G64" i="5"/>
  <c r="H64" i="5" s="1"/>
  <c r="G65" i="5"/>
  <c r="H65" i="5" s="1"/>
  <c r="G66" i="5"/>
  <c r="H66" i="5" s="1"/>
  <c r="G67" i="5"/>
  <c r="H67" i="5"/>
  <c r="G68" i="5"/>
  <c r="H68" i="5" s="1"/>
  <c r="G69" i="5"/>
  <c r="H69" i="5"/>
  <c r="G70" i="5"/>
  <c r="H70" i="5" s="1"/>
  <c r="G71" i="5"/>
  <c r="H71" i="5"/>
  <c r="G72" i="5"/>
  <c r="H72" i="5" s="1"/>
  <c r="G73" i="5"/>
  <c r="H73" i="5"/>
  <c r="G74" i="5"/>
  <c r="H74" i="5" s="1"/>
  <c r="G75" i="5"/>
  <c r="H75" i="5" s="1"/>
  <c r="G76" i="5"/>
  <c r="H76" i="5" s="1"/>
  <c r="G77" i="5"/>
  <c r="H77" i="5" s="1"/>
  <c r="G78" i="5"/>
  <c r="H78" i="5" s="1"/>
  <c r="G79" i="5"/>
  <c r="H79" i="5" s="1"/>
  <c r="G80" i="5"/>
  <c r="H80" i="5" s="1"/>
  <c r="G81" i="5"/>
  <c r="H81" i="5" s="1"/>
  <c r="G82" i="5"/>
  <c r="H82" i="5" s="1"/>
  <c r="G83" i="5"/>
  <c r="H83" i="5" s="1"/>
  <c r="G84" i="5"/>
  <c r="H84" i="5" s="1"/>
  <c r="G85" i="5"/>
  <c r="H85" i="5"/>
  <c r="G86" i="5"/>
  <c r="H86" i="5" s="1"/>
  <c r="G87" i="5"/>
  <c r="H87" i="5"/>
  <c r="G88" i="5"/>
  <c r="H88" i="5" s="1"/>
  <c r="G89" i="5"/>
  <c r="H89" i="5"/>
  <c r="G90" i="5"/>
  <c r="H90" i="5" s="1"/>
  <c r="G91" i="5"/>
  <c r="H91" i="5" s="1"/>
  <c r="G92" i="5"/>
  <c r="H92" i="5" s="1"/>
  <c r="G93" i="5"/>
  <c r="H93" i="5" s="1"/>
  <c r="G94" i="5"/>
  <c r="H94" i="5" s="1"/>
  <c r="G95" i="5"/>
  <c r="H95" i="5" s="1"/>
  <c r="G96" i="5"/>
  <c r="H96" i="5" s="1"/>
  <c r="G97" i="5"/>
  <c r="H97" i="5" s="1"/>
  <c r="G98" i="5"/>
  <c r="H98" i="5" s="1"/>
  <c r="G99" i="5"/>
  <c r="H99" i="5"/>
  <c r="G100" i="5"/>
  <c r="H100" i="5" s="1"/>
  <c r="G101" i="5"/>
  <c r="H101" i="5"/>
  <c r="G102" i="5"/>
  <c r="H102" i="5" s="1"/>
  <c r="G103" i="5"/>
  <c r="H103" i="5"/>
  <c r="G104" i="5"/>
  <c r="H104" i="5" s="1"/>
  <c r="G105" i="5"/>
  <c r="H105" i="5"/>
  <c r="G106" i="5"/>
  <c r="H106" i="5" s="1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 l="1"/>
  <c r="H36" i="5"/>
  <c r="H6" i="5"/>
  <c r="G16" i="5"/>
</calcChain>
</file>

<file path=xl/sharedStrings.xml><?xml version="1.0" encoding="utf-8"?>
<sst xmlns="http://schemas.openxmlformats.org/spreadsheetml/2006/main" count="2494" uniqueCount="414">
  <si>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</si>
  <si>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</si>
  <si>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</si>
  <si>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</si>
  <si>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</si>
  <si>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</si>
  <si>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</si>
  <si>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</si>
  <si>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</si>
  <si>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</si>
  <si>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</si>
  <si>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</si>
  <si>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</si>
  <si>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</si>
  <si>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</si>
  <si>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</si>
  <si>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</si>
  <si>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</si>
  <si>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</si>
  <si>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</si>
  <si>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</si>
  <si>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</si>
  <si>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</si>
  <si>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</si>
  <si>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</si>
  <si>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</si>
  <si>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</si>
  <si>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</si>
  <si>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</si>
  <si>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</si>
  <si>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</si>
  <si>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</si>
  <si>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</si>
  <si>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</si>
  <si>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</si>
  <si>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</si>
  <si>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</si>
  <si>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</si>
  <si>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</si>
  <si>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</si>
  <si>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</si>
  <si>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</si>
  <si>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</si>
  <si>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</si>
  <si>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</si>
  <si>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</si>
  <si>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</si>
  <si>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</si>
  <si>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</si>
  <si>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</si>
  <si>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</si>
  <si>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</si>
  <si>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</si>
  <si>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</si>
  <si>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</si>
  <si>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</si>
  <si>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</si>
  <si>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</si>
  <si>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</si>
  <si>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</si>
  <si>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</si>
  <si>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</si>
  <si>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</si>
  <si>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</si>
  <si>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</si>
  <si>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</si>
  <si>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</si>
  <si>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</si>
  <si>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</si>
  <si>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</si>
  <si>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</si>
  <si>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</si>
  <si>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</si>
  <si>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</si>
  <si>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</si>
  <si>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</si>
  <si>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</si>
  <si>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</si>
  <si>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</si>
  <si>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</si>
  <si>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</si>
  <si>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</si>
  <si>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</si>
  <si>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</si>
  <si>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</si>
  <si>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</si>
  <si>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</si>
  <si>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</si>
  <si>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</si>
  <si>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</si>
  <si>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</si>
  <si>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</si>
  <si>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</si>
  <si>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</si>
  <si>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</si>
  <si>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</si>
  <si>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</si>
  <si>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</si>
  <si>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</si>
  <si>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</si>
  <si>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</si>
  <si>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</si>
  <si>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</si>
  <si>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</si>
  <si>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</si>
  <si>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</si>
  <si>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</si>
  <si>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</si>
  <si>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</si>
  <si>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</si>
  <si>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</si>
  <si>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</si>
  <si>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</si>
  <si>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</si>
  <si>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</si>
  <si>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</si>
  <si>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</si>
  <si>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</si>
  <si>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</si>
  <si>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</si>
  <si>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</si>
  <si>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</si>
  <si>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</si>
  <si>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</si>
  <si>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</si>
  <si>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</si>
  <si>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</si>
  <si>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</si>
  <si>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</si>
  <si>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</si>
  <si>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</si>
  <si>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</si>
  <si>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</si>
  <si>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</si>
  <si>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</si>
  <si>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</si>
  <si>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</si>
  <si>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</si>
  <si>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</si>
  <si>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</si>
  <si>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</si>
  <si>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</si>
  <si>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</si>
  <si>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</si>
  <si>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</si>
  <si>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</si>
  <si>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</si>
  <si>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</si>
  <si>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</si>
  <si>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</si>
  <si>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</si>
  <si>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</si>
  <si>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</si>
  <si>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</si>
  <si>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</si>
  <si>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</si>
  <si>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</si>
  <si>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</si>
  <si>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</si>
  <si>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</si>
  <si>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</si>
  <si>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</si>
  <si>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</si>
  <si>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</si>
  <si>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</si>
  <si>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freeoj</t>
  </si>
  <si>
    <t/>
  </si>
  <si>
    <t>Region</t>
  </si>
  <si>
    <t>Market</t>
  </si>
  <si>
    <t>Nearest Storage</t>
  </si>
  <si>
    <t>Distance(miles)</t>
  </si>
  <si>
    <t>Transportation Cost($/ton)</t>
  </si>
  <si>
    <t>ANY</t>
  </si>
  <si>
    <t>BOS</t>
  </si>
  <si>
    <t>CLP</t>
  </si>
  <si>
    <t>KEE</t>
  </si>
  <si>
    <t>LAK</t>
  </si>
  <si>
    <t>MBK</t>
  </si>
  <si>
    <t>MVY</t>
  </si>
  <si>
    <t>PGH</t>
  </si>
  <si>
    <t>PHI</t>
  </si>
  <si>
    <t>PVD</t>
  </si>
  <si>
    <t>RER</t>
  </si>
  <si>
    <t>SCR</t>
  </si>
  <si>
    <t>SMS</t>
  </si>
  <si>
    <t>SUP</t>
  </si>
  <si>
    <t>CRS</t>
  </si>
  <si>
    <t>CVE</t>
  </si>
  <si>
    <t>CWV</t>
  </si>
  <si>
    <t>DTN</t>
  </si>
  <si>
    <t>FRY</t>
  </si>
  <si>
    <t>HIP</t>
  </si>
  <si>
    <t>JTC</t>
  </si>
  <si>
    <t>LXK</t>
  </si>
  <si>
    <t>MAO</t>
  </si>
  <si>
    <t>MAY</t>
  </si>
  <si>
    <t>MSD</t>
  </si>
  <si>
    <t>MSP</t>
  </si>
  <si>
    <t>MTH</t>
  </si>
  <si>
    <t>RCH</t>
  </si>
  <si>
    <t>RRN</t>
  </si>
  <si>
    <t>SHK</t>
  </si>
  <si>
    <t>TIL</t>
  </si>
  <si>
    <t>CHR</t>
  </si>
  <si>
    <t>DAY</t>
  </si>
  <si>
    <t>FPR</t>
  </si>
  <si>
    <t>FSC</t>
  </si>
  <si>
    <t>GRN</t>
  </si>
  <si>
    <t>HVA</t>
  </si>
  <si>
    <t>JFL</t>
  </si>
  <si>
    <t>MTG</t>
  </si>
  <si>
    <t>OCL</t>
  </si>
  <si>
    <t>PAN</t>
  </si>
  <si>
    <t>WPB</t>
  </si>
  <si>
    <t>YEM</t>
  </si>
  <si>
    <t>ABL</t>
  </si>
  <si>
    <t>BYO</t>
  </si>
  <si>
    <t>CED</t>
  </si>
  <si>
    <t>CUP</t>
  </si>
  <si>
    <t>ELK</t>
  </si>
  <si>
    <t>FWA</t>
  </si>
  <si>
    <t>GBW</t>
  </si>
  <si>
    <t>GEE</t>
  </si>
  <si>
    <t>GFK</t>
  </si>
  <si>
    <t>HER</t>
  </si>
  <si>
    <t>JAC</t>
  </si>
  <si>
    <t>LSL</t>
  </si>
  <si>
    <t>MAS</t>
  </si>
  <si>
    <t>MND</t>
  </si>
  <si>
    <t>NLW</t>
  </si>
  <si>
    <t>OWT</t>
  </si>
  <si>
    <t>SDL</t>
  </si>
  <si>
    <t>SHL</t>
  </si>
  <si>
    <t>SJF</t>
  </si>
  <si>
    <t>STP</t>
  </si>
  <si>
    <t>SWI</t>
  </si>
  <si>
    <t>TRV</t>
  </si>
  <si>
    <t>BST</t>
  </si>
  <si>
    <t>DEL</t>
  </si>
  <si>
    <t>ELP</t>
  </si>
  <si>
    <t>FTW</t>
  </si>
  <si>
    <t>GRL</t>
  </si>
  <si>
    <t>LAF</t>
  </si>
  <si>
    <t>LRO</t>
  </si>
  <si>
    <t>MCX</t>
  </si>
  <si>
    <t>MKO</t>
  </si>
  <si>
    <t>MRE</t>
  </si>
  <si>
    <t>PRA</t>
  </si>
  <si>
    <t>RSW</t>
  </si>
  <si>
    <t>SGE</t>
  </si>
  <si>
    <t>SME</t>
  </si>
  <si>
    <t>SNA</t>
  </si>
  <si>
    <t>TYE</t>
  </si>
  <si>
    <t>BTT</t>
  </si>
  <si>
    <t>DIM</t>
  </si>
  <si>
    <t>EUG</t>
  </si>
  <si>
    <t>LEW</t>
  </si>
  <si>
    <t>PCO</t>
  </si>
  <si>
    <t>RSP</t>
  </si>
  <si>
    <t>TWF</t>
  </si>
  <si>
    <t>YKM</t>
  </si>
  <si>
    <t>BKR</t>
  </si>
  <si>
    <t>DOZ</t>
  </si>
  <si>
    <t>FSO</t>
  </si>
  <si>
    <t>GRU</t>
  </si>
  <si>
    <t>HUL</t>
  </si>
  <si>
    <t>LOS</t>
  </si>
  <si>
    <t>RFE</t>
  </si>
  <si>
    <t>RNE</t>
  </si>
  <si>
    <t>SCM</t>
  </si>
  <si>
    <t>SFC</t>
  </si>
  <si>
    <t>TCY</t>
  </si>
  <si>
    <t>Sales</t>
  </si>
  <si>
    <t>Sales For FCOJ(tons)(1st Column), Transportation Cost($)(2nd Column) (by market and week)</t>
  </si>
  <si>
    <t>Month</t>
  </si>
  <si>
    <t>Mar:Week</t>
  </si>
  <si>
    <t>Sales(tons) (by region and month)</t>
  </si>
  <si>
    <t>Reg:Mon</t>
  </si>
  <si>
    <t>Total</t>
  </si>
  <si>
    <t>Sales Revenue($) (by region and month)</t>
  </si>
  <si>
    <t>Transportation Cost from storages to markets($) (by region and month)</t>
  </si>
  <si>
    <t>Sales For ROJ(tons)(1st Column), Transportation Cost($)(2nd Column) (by market and week)</t>
  </si>
  <si>
    <t>Sales For POJ(tons)(1st Column), Transportation Cost($)(2nd Column) (by market and week)</t>
  </si>
  <si>
    <t>Sales For ORA(tons)(1st Column), Transportation Cost($)(2nd Column) (by market and week)</t>
  </si>
  <si>
    <t>Storage</t>
  </si>
  <si>
    <t>Storage:</t>
  </si>
  <si>
    <t>Capacity:</t>
  </si>
  <si>
    <t>Time (beginning of week)</t>
  </si>
  <si>
    <t>|-------</t>
  </si>
  <si>
    <t xml:space="preserve"> -------|-------</t>
  </si>
  <si>
    <t xml:space="preserve"> -------|</t>
  </si>
  <si>
    <t>Scheduled to ship in/Sum</t>
  </si>
  <si>
    <t>Shipped In + Reconstituted</t>
  </si>
  <si>
    <t xml:space="preserve"> -</t>
  </si>
  <si>
    <t>Toss Out</t>
  </si>
  <si>
    <t>Inventory</t>
  </si>
  <si>
    <t>rotten</t>
  </si>
  <si>
    <t>% of FCOJ</t>
  </si>
  <si>
    <t>Available</t>
  </si>
  <si>
    <t>Sold</t>
  </si>
  <si>
    <t>Ship Out</t>
  </si>
  <si>
    <t>Costs at storage</t>
  </si>
  <si>
    <t>Hold Inventory</t>
  </si>
  <si>
    <t>Plant:</t>
  </si>
  <si>
    <t>Shipped In</t>
  </si>
  <si>
    <t>Breakdown?</t>
  </si>
  <si>
    <t>(Yes/"")</t>
  </si>
  <si>
    <t>Cost for POJ</t>
  </si>
  <si>
    <t>Cost for FCOJ</t>
  </si>
  <si>
    <t>At home</t>
  </si>
  <si>
    <t>Going out</t>
  </si>
  <si>
    <t>Coming home</t>
  </si>
  <si>
    <t>Hold Cost</t>
  </si>
  <si>
    <t>Grove</t>
  </si>
  <si>
    <r>
      <t xml:space="preserve">Prices of oranges at the Spot Market(Currency/lb) </t>
    </r>
    <r>
      <rPr>
        <i/>
        <u/>
        <sz val="10"/>
        <rFont val="Arial"/>
        <family val="2"/>
      </rPr>
      <t>ORA</t>
    </r>
  </si>
  <si>
    <t>Foreign Exchange Rate: US$ value of 1 BRA Real or 1 SPA Euro ($/BRL)($/EUR)</t>
  </si>
  <si>
    <t>Currency:Month</t>
  </si>
  <si>
    <t>BRA Real</t>
  </si>
  <si>
    <t>SPA Euro</t>
  </si>
  <si>
    <r>
      <t xml:space="preserve">US$ Prices of oranges at the Spot Market($/lb) </t>
    </r>
    <r>
      <rPr>
        <i/>
        <u/>
        <sz val="10"/>
        <rFont val="Arial"/>
        <family val="2"/>
      </rPr>
      <t>ORA</t>
    </r>
  </si>
  <si>
    <t>Actual Quantity Multiplier(unit)</t>
  </si>
  <si>
    <t>Gro:Mon</t>
  </si>
  <si>
    <r>
      <t xml:space="preserve">Amount of oranges harvested(tons) </t>
    </r>
    <r>
      <rPr>
        <i/>
        <u/>
        <sz val="10"/>
        <rFont val="Arial"/>
        <family val="2"/>
      </rPr>
      <t>ORA</t>
    </r>
  </si>
  <si>
    <t>Gro:Week</t>
  </si>
  <si>
    <r>
      <t xml:space="preserve">Actual amount of oranges purchased(tons) </t>
    </r>
    <r>
      <rPr>
        <i/>
        <u/>
        <sz val="10"/>
        <rFont val="Arial"/>
        <family val="2"/>
      </rPr>
      <t>ORA</t>
    </r>
  </si>
  <si>
    <t>Gro:Wk</t>
  </si>
  <si>
    <r>
      <t xml:space="preserve">Purchasing cost of oranges($) </t>
    </r>
    <r>
      <rPr>
        <i/>
        <u/>
        <sz val="10"/>
        <rFont val="Arial"/>
        <family val="2"/>
      </rPr>
      <t>ORA</t>
    </r>
  </si>
  <si>
    <r>
      <t xml:space="preserve">Amount of matured futures products(tons) </t>
    </r>
    <r>
      <rPr>
        <i/>
        <u/>
        <sz val="10"/>
        <rFont val="Arial"/>
        <family val="2"/>
      </rPr>
      <t>ORA Futures, FCOJ Futures</t>
    </r>
  </si>
  <si>
    <t>from FLA:Month</t>
  </si>
  <si>
    <t>ORA Futures</t>
  </si>
  <si>
    <t>FCOJ Futures</t>
  </si>
  <si>
    <r>
      <t xml:space="preserve">Transportation Cost($) for shipping </t>
    </r>
    <r>
      <rPr>
        <i/>
        <u/>
        <sz val="10"/>
        <rFont val="Arial"/>
        <family val="2"/>
      </rPr>
      <t>FCOJ Futures</t>
    </r>
  </si>
  <si>
    <t>Month:Storage</t>
  </si>
  <si>
    <r>
      <t xml:space="preserve">Actual amount of oranges shipped out from groves(tons) </t>
    </r>
    <r>
      <rPr>
        <i/>
        <u/>
        <sz val="10"/>
        <rFont val="Arial"/>
        <family val="2"/>
      </rPr>
      <t>ORA, ORA Futures</t>
    </r>
  </si>
  <si>
    <t>from Grove:Week</t>
  </si>
  <si>
    <r>
      <t xml:space="preserve">Transportation Cost($) for shipping </t>
    </r>
    <r>
      <rPr>
        <i/>
        <u/>
        <sz val="10"/>
        <rFont val="Arial"/>
        <family val="2"/>
      </rPr>
      <t>ORA + ORA Futures</t>
    </r>
  </si>
  <si>
    <t>To</t>
  </si>
  <si>
    <t>plants</t>
  </si>
  <si>
    <t>storages</t>
  </si>
  <si>
    <t>Yes</t>
  </si>
  <si>
    <t>Distance:</t>
  </si>
  <si>
    <t>POJ to ship</t>
  </si>
  <si>
    <t>FCOJ to ship</t>
  </si>
  <si>
    <t>OJ to ship (Sum)</t>
  </si>
  <si>
    <t>POJ by TankCars</t>
  </si>
  <si>
    <t>FCOJ by TankCars</t>
  </si>
  <si>
    <t>No. TankCars</t>
  </si>
  <si>
    <t>POJ by Carrier</t>
  </si>
  <si>
    <t>FCOJ by Carrier</t>
  </si>
  <si>
    <t>No. Weeks</t>
  </si>
  <si>
    <t>Cost by TankCars</t>
  </si>
  <si>
    <t>Cost by Carrier</t>
  </si>
  <si>
    <t>Activities</t>
  </si>
  <si>
    <t>Earnings</t>
  </si>
  <si>
    <t>Sales (tons)</t>
  </si>
  <si>
    <t>Sales Revenue</t>
  </si>
  <si>
    <t>Fresh Oranges (ORA)</t>
  </si>
  <si>
    <t>Premium Orange Juice (POJ)</t>
  </si>
  <si>
    <t>Reconstituted Orange Juice (ROJ)</t>
  </si>
  <si>
    <t>Frozen Concentrated Orange Juice (FCOJ)</t>
  </si>
  <si>
    <t>Total Revenue</t>
  </si>
  <si>
    <t>Materials Acquisitions &amp; Losses (tons)</t>
  </si>
  <si>
    <t>Oranges Harvested</t>
  </si>
  <si>
    <t>Materials Costs</t>
  </si>
  <si>
    <t>ORA Futures Matured</t>
  </si>
  <si>
    <t xml:space="preserve">Orange (ORA) Purchases </t>
  </si>
  <si>
    <t>FCOJ Futures Matured</t>
  </si>
  <si>
    <t>ORA Futures Costs</t>
  </si>
  <si>
    <t>Premium Orange Juice (POJ) Manufactured</t>
  </si>
  <si>
    <t>FCOJ Futures Costs</t>
  </si>
  <si>
    <t>Frozen Concentrated Orange Juice (FCOJ) Manufactured</t>
  </si>
  <si>
    <t>Transportation Costs from Groves (ORA &amp; ORA futures)</t>
  </si>
  <si>
    <t>Reconstituted Orange Juice (ROJ) Manufactured</t>
  </si>
  <si>
    <t>Transportation Costs from Groves (FCOJ futures)</t>
  </si>
  <si>
    <t>Products Lost due to Capacity Shortage</t>
  </si>
  <si>
    <t>Total Materials Costs</t>
  </si>
  <si>
    <t>(</t>
  </si>
  <si>
    <t>)</t>
  </si>
  <si>
    <t>Products Lost due to Spoilage</t>
  </si>
  <si>
    <t>Manufacturing Costs</t>
  </si>
  <si>
    <t>Futures Contracts Purchases (tons)</t>
  </si>
  <si>
    <t>POJ Manufacturing Costs</t>
  </si>
  <si>
    <t>ORA Futures Contracts</t>
  </si>
  <si>
    <t>FCOJ Manufacturing Costs</t>
  </si>
  <si>
    <t>FCOJ Futures Contracts</t>
  </si>
  <si>
    <t>ROJ Reconstitution Costs</t>
  </si>
  <si>
    <t>Total Processing Costs</t>
  </si>
  <si>
    <t>Facilities Adjustment (tons of capacity)</t>
  </si>
  <si>
    <t>Processing Plants Capacity Upgrade</t>
  </si>
  <si>
    <t>Transportation Costs from Plants and Storages &amp; Inventory Hold Costs</t>
  </si>
  <si>
    <t>Storage Centers Capacity Upgrade</t>
  </si>
  <si>
    <t>Transportation Costs from Plants (TankCars)</t>
  </si>
  <si>
    <t>Processing Plants Capacity Downgrade</t>
  </si>
  <si>
    <t>Transportation Costs from Plants (Carriers)</t>
  </si>
  <si>
    <t>Storage Centers Capacity Downgrade</t>
  </si>
  <si>
    <t>Inventory Hold Costs at Storages</t>
  </si>
  <si>
    <t>Transportation Costs from Storages</t>
  </si>
  <si>
    <t>Facilities Acquisitions (unit)</t>
  </si>
  <si>
    <t>Total Transportation and Storage Costs</t>
  </si>
  <si>
    <t>Processing Plants</t>
  </si>
  <si>
    <t>Storage Centers</t>
  </si>
  <si>
    <t>Facilities Adjustment &amp; Maintenance Costs</t>
  </si>
  <si>
    <t>Processing Plant Maintenance Costs</t>
  </si>
  <si>
    <t>Costs(/Gains) of Acquiring(/Selling) Processing Plant</t>
  </si>
  <si>
    <t>Facilities Sold (unit)</t>
  </si>
  <si>
    <t>Processing Plant Capacity Adjustment Costs(/Gains)</t>
  </si>
  <si>
    <t>Storage Center Maintenance Costs</t>
  </si>
  <si>
    <t>Costs(/Gains) of Acquiring(/Selling) Storage Center</t>
  </si>
  <si>
    <t>Storage Center Capacity Adjustment Costs(/Gains)</t>
  </si>
  <si>
    <t>TankCars Hold Costs</t>
  </si>
  <si>
    <t>TankCars Purchase Costs(/Selling Gains)</t>
  </si>
  <si>
    <t>Total Facilities Costs</t>
  </si>
  <si>
    <t>Net Profit</t>
  </si>
  <si>
    <t>Annual Report for the year ending August 31st,  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</si>
</sst>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"/>
  </numFmts>
  <fonts count="14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i/>
      <u/>
      <sz val="10"/>
      <name val="Arial"/>
      <family val="2"/>
    </font>
    <font>
      <b/>
      <sz val="12"/>
      <name val="Times New Roman"/>
      <family val="1"/>
    </font>
    <font>
      <u/>
      <sz val="12"/>
      <name val="Times New Roman"/>
      <family val="1"/>
    </font>
    <font>
      <sz val="10"/>
      <name val="Times New Roman"/>
      <family val="1"/>
    </font>
    <font>
      <u/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b/>
      <i/>
      <sz val="10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4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2">
    <xf numFmtId="0" fontId="0" fillId="0" borderId="0"/>
    <xf numFmtId="0" fontId="4" fillId="0" borderId="0"/>
  </cellStyleXfs>
  <cellXfs count="208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4" fillId="5" borderId="0" xfId="1" applyFill="1"/>
    <xf numFmtId="0" fontId="4" fillId="0" borderId="0" xfId="1"/>
    <xf numFmtId="0" fontId="4" fillId="0" borderId="0" xfId="1" applyFill="1"/>
    <xf numFmtId="0" fontId="1" fillId="0" borderId="0" xfId="1" applyFont="1"/>
    <xf numFmtId="0" fontId="2" fillId="0" borderId="0" xfId="1" applyFont="1"/>
    <xf numFmtId="0" fontId="2" fillId="0" borderId="0" xfId="1" applyFont="1" applyFill="1"/>
    <xf numFmtId="0" fontId="4" fillId="6" borderId="0" xfId="1" applyFill="1"/>
    <xf numFmtId="0" fontId="4" fillId="0" borderId="0" xfId="1" applyFill="1" applyBorder="1"/>
    <xf numFmtId="0" fontId="4" fillId="0" borderId="5" xfId="1" applyBorder="1"/>
    <xf numFmtId="0" fontId="4" fillId="0" borderId="11" xfId="1" applyBorder="1"/>
    <xf numFmtId="0" fontId="4" fillId="0" borderId="6" xfId="1" applyBorder="1"/>
    <xf numFmtId="0" fontId="4" fillId="0" borderId="0" xfId="1" applyBorder="1"/>
    <xf numFmtId="0" fontId="4" fillId="0" borderId="0" xfId="1" applyAlignment="1"/>
    <xf numFmtId="0" fontId="4" fillId="0" borderId="0" xfId="1" applyAlignment="1">
      <alignment horizontal="center"/>
    </xf>
    <xf numFmtId="0" fontId="4" fillId="0" borderId="0" xfId="1" applyBorder="1" applyAlignment="1">
      <alignment horizontal="right"/>
    </xf>
    <xf numFmtId="0" fontId="4" fillId="0" borderId="8" xfId="1" applyFill="1" applyBorder="1"/>
    <xf numFmtId="0" fontId="4" fillId="5" borderId="13" xfId="1" applyFill="1" applyBorder="1" applyAlignment="1">
      <alignment horizontal="right"/>
    </xf>
    <xf numFmtId="0" fontId="4" fillId="7" borderId="8" xfId="1" applyFill="1" applyBorder="1"/>
    <xf numFmtId="0" fontId="4" fillId="0" borderId="13" xfId="1" applyBorder="1"/>
    <xf numFmtId="0" fontId="4" fillId="5" borderId="0" xfId="1" applyFill="1" applyAlignment="1">
      <alignment horizontal="right"/>
    </xf>
    <xf numFmtId="0" fontId="4" fillId="7" borderId="0" xfId="1" applyFill="1" applyBorder="1"/>
    <xf numFmtId="0" fontId="4" fillId="2" borderId="0" xfId="1" applyFill="1" applyBorder="1"/>
    <xf numFmtId="0" fontId="4" fillId="7" borderId="13" xfId="1" applyFill="1" applyBorder="1"/>
    <xf numFmtId="0" fontId="4" fillId="5" borderId="9" xfId="1" applyFill="1" applyBorder="1" applyAlignment="1">
      <alignment horizontal="right"/>
    </xf>
    <xf numFmtId="0" fontId="4" fillId="7" borderId="9" xfId="1" applyFill="1" applyBorder="1"/>
    <xf numFmtId="0" fontId="4" fillId="0" borderId="9" xfId="1" applyBorder="1"/>
    <xf numFmtId="0" fontId="4" fillId="0" borderId="8" xfId="1" applyBorder="1"/>
    <xf numFmtId="0" fontId="4" fillId="5" borderId="1" xfId="1" applyFill="1" applyBorder="1" applyAlignment="1">
      <alignment horizontal="right"/>
    </xf>
    <xf numFmtId="0" fontId="4" fillId="3" borderId="0" xfId="1" applyFill="1" applyBorder="1"/>
    <xf numFmtId="0" fontId="4" fillId="0" borderId="3" xfId="1" applyBorder="1"/>
    <xf numFmtId="0" fontId="4" fillId="8" borderId="8" xfId="1" applyFill="1" applyBorder="1"/>
    <xf numFmtId="0" fontId="4" fillId="8" borderId="0" xfId="1" applyFill="1" applyBorder="1"/>
    <xf numFmtId="0" fontId="4" fillId="5" borderId="6" xfId="1" applyFill="1" applyBorder="1" applyAlignment="1">
      <alignment horizontal="right"/>
    </xf>
    <xf numFmtId="0" fontId="4" fillId="9" borderId="8" xfId="1" applyFill="1" applyBorder="1" applyAlignment="1">
      <alignment horizontal="right"/>
    </xf>
    <xf numFmtId="0" fontId="4" fillId="5" borderId="13" xfId="1" applyFill="1" applyBorder="1"/>
    <xf numFmtId="10" fontId="4" fillId="0" borderId="13" xfId="1" applyNumberFormat="1" applyBorder="1"/>
    <xf numFmtId="0" fontId="4" fillId="5" borderId="9" xfId="1" applyFill="1" applyBorder="1"/>
    <xf numFmtId="0" fontId="4" fillId="5" borderId="8" xfId="1" applyFill="1" applyBorder="1"/>
    <xf numFmtId="0" fontId="4" fillId="6" borderId="9" xfId="1" applyFill="1" applyBorder="1"/>
    <xf numFmtId="0" fontId="4" fillId="0" borderId="9" xfId="1" applyFill="1" applyBorder="1"/>
    <xf numFmtId="0" fontId="4" fillId="0" borderId="10" xfId="1" applyFill="1" applyBorder="1"/>
    <xf numFmtId="0" fontId="4" fillId="6" borderId="8" xfId="1" applyFill="1" applyBorder="1"/>
    <xf numFmtId="0" fontId="4" fillId="0" borderId="15" xfId="1" applyFill="1" applyBorder="1"/>
    <xf numFmtId="0" fontId="4" fillId="0" borderId="0" xfId="1" applyFill="1" applyBorder="1" applyAlignment="1">
      <alignment horizontal="left"/>
    </xf>
    <xf numFmtId="0" fontId="4" fillId="7" borderId="13" xfId="1" applyFill="1" applyBorder="1" applyAlignment="1">
      <alignment horizontal="right"/>
    </xf>
    <xf numFmtId="0" fontId="4" fillId="0" borderId="13" xfId="1" applyFill="1" applyBorder="1"/>
    <xf numFmtId="0" fontId="4" fillId="0" borderId="9" xfId="1" applyFont="1" applyFill="1" applyBorder="1"/>
    <xf numFmtId="0" fontId="4" fillId="0" borderId="0" xfId="1" applyFont="1" applyFill="1" applyBorder="1" applyAlignment="1">
      <alignment horizontal="right"/>
    </xf>
    <xf numFmtId="0" fontId="4" fillId="0" borderId="0" xfId="1" applyFont="1" applyFill="1" applyBorder="1"/>
    <xf numFmtId="0" fontId="4" fillId="0" borderId="0" xfId="1" applyFont="1" applyFill="1" applyBorder="1" applyAlignment="1"/>
    <xf numFmtId="0" fontId="4" fillId="5" borderId="13" xfId="1" applyFont="1" applyFill="1" applyBorder="1" applyAlignment="1">
      <alignment horizontal="right"/>
    </xf>
    <xf numFmtId="0" fontId="4" fillId="7" borderId="13" xfId="1" applyFont="1" applyFill="1" applyBorder="1" applyAlignment="1"/>
    <xf numFmtId="0" fontId="4" fillId="0" borderId="5" xfId="1" applyFill="1" applyBorder="1"/>
    <xf numFmtId="0" fontId="1" fillId="0" borderId="0" xfId="1" applyFont="1" applyBorder="1"/>
    <xf numFmtId="0" fontId="4" fillId="0" borderId="9" xfId="1" applyFill="1" applyBorder="1" applyAlignment="1">
      <alignment horizontal="right"/>
    </xf>
    <xf numFmtId="10" fontId="4" fillId="5" borderId="13" xfId="1" applyNumberFormat="1" applyFill="1" applyBorder="1"/>
    <xf numFmtId="0" fontId="4" fillId="5" borderId="0" xfId="1" applyFill="1" applyBorder="1" applyAlignment="1">
      <alignment horizontal="right"/>
    </xf>
    <xf numFmtId="10" fontId="4" fillId="0" borderId="0" xfId="1" applyNumberFormat="1" applyFill="1" applyBorder="1"/>
    <xf numFmtId="0" fontId="4" fillId="0" borderId="12" xfId="1" applyFill="1" applyBorder="1"/>
    <xf numFmtId="0" fontId="4" fillId="5" borderId="8" xfId="1" applyFill="1" applyBorder="1" applyAlignment="1">
      <alignment horizontal="right"/>
    </xf>
    <xf numFmtId="10" fontId="4" fillId="0" borderId="8" xfId="1" applyNumberFormat="1" applyFill="1" applyBorder="1"/>
    <xf numFmtId="0" fontId="4" fillId="6" borderId="9" xfId="1" applyFill="1" applyBorder="1" applyAlignment="1">
      <alignment horizontal="right"/>
    </xf>
    <xf numFmtId="0" fontId="4" fillId="6" borderId="8" xfId="1" applyFill="1" applyBorder="1" applyAlignment="1">
      <alignment horizontal="right"/>
    </xf>
    <xf numFmtId="0" fontId="4" fillId="0" borderId="8" xfId="1" applyNumberFormat="1" applyFill="1" applyBorder="1"/>
    <xf numFmtId="0" fontId="1" fillId="0" borderId="0" xfId="1" applyFont="1" applyFill="1" applyBorder="1" applyAlignment="1"/>
    <xf numFmtId="0" fontId="4" fillId="0" borderId="2" xfId="1" applyBorder="1"/>
    <xf numFmtId="0" fontId="4" fillId="5" borderId="0" xfId="1" applyFill="1" applyBorder="1"/>
    <xf numFmtId="0" fontId="4" fillId="0" borderId="7" xfId="1" applyBorder="1"/>
    <xf numFmtId="0" fontId="4" fillId="0" borderId="4" xfId="1" applyBorder="1"/>
    <xf numFmtId="0" fontId="4" fillId="0" borderId="3" xfId="1" applyFill="1" applyBorder="1"/>
    <xf numFmtId="0" fontId="4" fillId="6" borderId="13" xfId="1" applyFill="1" applyBorder="1" applyAlignment="1">
      <alignment horizontal="right"/>
    </xf>
    <xf numFmtId="0" fontId="4" fillId="10" borderId="0" xfId="1" applyFill="1"/>
    <xf numFmtId="0" fontId="4" fillId="10" borderId="0" xfId="1" applyFont="1" applyFill="1"/>
    <xf numFmtId="0" fontId="4" fillId="0" borderId="0" xfId="1" applyFont="1" applyFill="1"/>
    <xf numFmtId="0" fontId="4" fillId="5" borderId="0" xfId="1" applyFont="1" applyFill="1"/>
    <xf numFmtId="0" fontId="2" fillId="0" borderId="0" xfId="1" applyNumberFormat="1" applyFont="1" applyFill="1" applyAlignment="1"/>
    <xf numFmtId="0" fontId="4" fillId="0" borderId="0" xfId="1" applyNumberFormat="1" applyAlignment="1"/>
    <xf numFmtId="0" fontId="4" fillId="6" borderId="0" xfId="1" applyNumberFormat="1" applyFill="1" applyAlignment="1"/>
    <xf numFmtId="0" fontId="4" fillId="0" borderId="0" xfId="1" applyAlignment="1">
      <alignment horizontal="right"/>
    </xf>
    <xf numFmtId="0" fontId="4" fillId="6" borderId="0" xfId="1" applyFill="1" applyBorder="1"/>
    <xf numFmtId="0" fontId="4" fillId="0" borderId="0" xfId="1" applyNumberFormat="1"/>
    <xf numFmtId="0" fontId="7" fillId="0" borderId="0" xfId="1" applyFont="1" applyAlignment="1">
      <alignment horizontal="center"/>
    </xf>
    <xf numFmtId="0" fontId="7" fillId="0" borderId="0" xfId="1" applyFont="1"/>
    <xf numFmtId="0" fontId="8" fillId="0" borderId="0" xfId="1" applyFont="1"/>
    <xf numFmtId="0" fontId="9" fillId="0" borderId="0" xfId="1" applyFont="1"/>
    <xf numFmtId="0" fontId="10" fillId="0" borderId="0" xfId="1" applyFont="1"/>
    <xf numFmtId="0" fontId="11" fillId="0" borderId="0" xfId="1" applyFont="1"/>
    <xf numFmtId="0" fontId="12" fillId="0" borderId="0" xfId="1" applyNumberFormat="1" applyFont="1" applyAlignment="1">
      <alignment horizontal="left"/>
    </xf>
    <xf numFmtId="1" fontId="4" fillId="0" borderId="10" xfId="1" applyNumberFormat="1" applyBorder="1"/>
    <xf numFmtId="164" fontId="4" fillId="0" borderId="10" xfId="1" applyNumberFormat="1" applyBorder="1"/>
    <xf numFmtId="1" fontId="4" fillId="0" borderId="12" xfId="1" applyNumberFormat="1" applyBorder="1"/>
    <xf numFmtId="164" fontId="4" fillId="0" borderId="12" xfId="1" applyNumberFormat="1" applyBorder="1"/>
    <xf numFmtId="1" fontId="4" fillId="0" borderId="15" xfId="1" applyNumberFormat="1" applyBorder="1"/>
    <xf numFmtId="164" fontId="4" fillId="0" borderId="15" xfId="1" applyNumberFormat="1" applyBorder="1"/>
    <xf numFmtId="164" fontId="4" fillId="0" borderId="13" xfId="1" applyNumberFormat="1" applyBorder="1"/>
    <xf numFmtId="1" fontId="4" fillId="0" borderId="5" xfId="1" applyNumberFormat="1" applyBorder="1"/>
    <xf numFmtId="1" fontId="4" fillId="0" borderId="10" xfId="1" applyNumberFormat="1" applyFill="1" applyBorder="1"/>
    <xf numFmtId="1" fontId="4" fillId="0" borderId="12" xfId="1" applyNumberFormat="1" applyFill="1" applyBorder="1"/>
    <xf numFmtId="1" fontId="4" fillId="0" borderId="15" xfId="1" applyNumberFormat="1" applyFill="1" applyBorder="1"/>
    <xf numFmtId="0" fontId="4" fillId="0" borderId="9" xfId="1" applyBorder="1" applyAlignment="1">
      <alignment horizontal="right"/>
    </xf>
    <xf numFmtId="164" fontId="4" fillId="0" borderId="0" xfId="1" applyNumberFormat="1"/>
    <xf numFmtId="0" fontId="13" fillId="0" borderId="0" xfId="1" applyFont="1"/>
    <xf numFmtId="164" fontId="4" fillId="0" borderId="27" xfId="1" applyNumberFormat="1" applyBorder="1"/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F12"/>
  <sheetViews>
    <sheetView showGridLines="0" workbookViewId="0"/>
  </sheetViews>
  <sheetFormatPr defaultRowHeight="12.75" x14ac:dyDescent="0.2"/>
  <cols>
    <col min="1" max="1" width="4.7109375" customWidth="1"/>
  </cols>
  <sheetData>
    <row r="2" spans="2:6" x14ac:dyDescent="0.2">
      <c r="B2" s="1" t="s">
        <v>0</v>
      </c>
    </row>
    <row r="3" spans="2:6" x14ac:dyDescent="0.2">
      <c r="B3" s="2"/>
      <c r="C3" s="3"/>
      <c r="D3" s="3"/>
      <c r="E3" s="3"/>
      <c r="F3" s="3"/>
    </row>
    <row r="4" spans="2:6" x14ac:dyDescent="0.2">
      <c r="B4" s="4"/>
      <c r="C4" s="5" t="s">
        <v>1</v>
      </c>
      <c r="D4" s="99" t="s">
        <v>165</v>
      </c>
      <c r="E4" s="100"/>
      <c r="F4" s="101"/>
    </row>
    <row r="5" spans="2:6" x14ac:dyDescent="0.2">
      <c r="B5" s="6"/>
      <c r="C5" s="7" t="s">
        <v>111</v>
      </c>
      <c r="D5" s="102">
        <v>2018</v>
      </c>
      <c r="E5" s="103"/>
      <c r="F5" s="104"/>
    </row>
    <row r="6" spans="2:6" x14ac:dyDescent="0.2">
      <c r="B6" s="3"/>
      <c r="C6" s="3"/>
      <c r="D6" s="3"/>
      <c r="E6" s="3"/>
      <c r="F6" s="3"/>
    </row>
    <row r="8" spans="2:6" x14ac:dyDescent="0.2">
      <c r="B8">
        <v>1</v>
      </c>
      <c r="C8" t="s">
        <v>337</v>
      </c>
      <c r="D8">
        <v>3</v>
      </c>
      <c r="E8" t="s">
        <v>338</v>
      </c>
    </row>
    <row r="10" spans="2:6" x14ac:dyDescent="0.2">
      <c r="C10" t="s">
        <v>12</v>
      </c>
      <c r="E10" t="s">
        <v>42</v>
      </c>
    </row>
    <row r="11" spans="2:6" x14ac:dyDescent="0.2">
      <c r="E11" t="s">
        <v>49</v>
      </c>
    </row>
    <row r="12" spans="2:6" x14ac:dyDescent="0.2">
      <c r="E12" t="s">
        <v>66</v>
      </c>
    </row>
  </sheetData>
  <mergeCells count="2">
    <mergeCell ref="D4:F4"/>
    <mergeCell ref="D5:F5"/>
  </mergeCells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H107"/>
  <sheetViews>
    <sheetView showGridLines="0" topLeftCell="A66" workbookViewId="0">
      <selection activeCell="G66" sqref="G66"/>
    </sheetView>
  </sheetViews>
  <sheetFormatPr defaultColWidth="9.140625" defaultRowHeight="12.75" x14ac:dyDescent="0.2"/>
  <cols>
    <col min="1" max="1" width="4.7109375" style="9" customWidth="1"/>
    <col min="2" max="2" width="8" style="9" bestFit="1" customWidth="1"/>
    <col min="3" max="3" width="15.7109375" style="9" bestFit="1" customWidth="1"/>
    <col min="4" max="4" width="8.7109375" style="9" customWidth="1"/>
    <col min="5" max="5" width="4.42578125" style="9" customWidth="1"/>
    <col min="6" max="6" width="3.28515625" style="9" bestFit="1" customWidth="1"/>
    <col min="7" max="7" width="8.7109375" style="9" customWidth="1"/>
    <col min="8" max="8" width="9.42578125" style="9" customWidth="1"/>
    <col min="9" max="16384" width="9.140625" style="9"/>
  </cols>
  <sheetData>
    <row r="2" spans="2:8" x14ac:dyDescent="0.2">
      <c r="B2" s="8" t="s">
        <v>2</v>
      </c>
    </row>
    <row r="3" spans="2:8" x14ac:dyDescent="0.2">
      <c r="B3" s="10" t="s">
        <v>155</v>
      </c>
    </row>
    <row r="4" spans="2:8" x14ac:dyDescent="0.2">
      <c r="B4" s="11"/>
      <c r="C4" s="12"/>
      <c r="D4" s="12"/>
      <c r="E4" s="12"/>
      <c r="F4" s="12"/>
      <c r="G4" s="12"/>
      <c r="H4" s="12"/>
    </row>
    <row r="5" spans="2:8" x14ac:dyDescent="0.2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 x14ac:dyDescent="0.2">
      <c r="B6" s="14" t="s">
        <v>5</v>
      </c>
      <c r="C6" s="84"/>
      <c r="D6" s="15">
        <v>0</v>
      </c>
      <c r="E6" s="15" t="s">
        <v>166</v>
      </c>
      <c r="F6" s="15" t="s">
        <v>6</v>
      </c>
      <c r="G6" s="15">
        <f t="shared" ref="G6:G15" si="0">$D6+$C6</f>
        <v>0</v>
      </c>
      <c r="H6" s="16" t="str">
        <f t="shared" ref="H6:H15" si="1">IF(AND($D6=0, $G6&gt;0),"new", IF(AND($D6&gt;0, $G6=0),"sold",""))</f>
        <v/>
      </c>
    </row>
    <row r="7" spans="2:8" x14ac:dyDescent="0.2">
      <c r="B7" s="14" t="s">
        <v>7</v>
      </c>
      <c r="C7" s="84"/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 x14ac:dyDescent="0.2">
      <c r="B8" s="14" t="s">
        <v>8</v>
      </c>
      <c r="C8" s="84"/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 x14ac:dyDescent="0.2">
      <c r="B9" s="14" t="s">
        <v>9</v>
      </c>
      <c r="C9" s="84"/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 x14ac:dyDescent="0.2">
      <c r="B10" s="14" t="s">
        <v>10</v>
      </c>
      <c r="C10" s="84"/>
      <c r="D10" s="15">
        <v>0</v>
      </c>
      <c r="E10" s="15" t="s">
        <v>166</v>
      </c>
      <c r="F10" s="15" t="s">
        <v>6</v>
      </c>
      <c r="G10" s="15">
        <f t="shared" si="0"/>
        <v>0</v>
      </c>
      <c r="H10" s="17" t="str">
        <f t="shared" si="1"/>
        <v/>
      </c>
    </row>
    <row r="11" spans="2:8" x14ac:dyDescent="0.2">
      <c r="B11" s="14" t="s">
        <v>11</v>
      </c>
      <c r="C11" s="84"/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 x14ac:dyDescent="0.2">
      <c r="B12" s="14" t="s">
        <v>12</v>
      </c>
      <c r="C12" s="84"/>
      <c r="D12" s="15">
        <v>1748</v>
      </c>
      <c r="E12" s="15" t="s">
        <v>166</v>
      </c>
      <c r="F12" s="15" t="s">
        <v>6</v>
      </c>
      <c r="G12" s="15">
        <f t="shared" si="0"/>
        <v>1748</v>
      </c>
      <c r="H12" s="17" t="str">
        <f t="shared" si="1"/>
        <v/>
      </c>
    </row>
    <row r="13" spans="2:8" x14ac:dyDescent="0.2">
      <c r="B13" s="14" t="s">
        <v>13</v>
      </c>
      <c r="C13" s="84"/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 x14ac:dyDescent="0.2">
      <c r="B14" s="14" t="s">
        <v>14</v>
      </c>
      <c r="C14" s="84"/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 x14ac:dyDescent="0.2">
      <c r="B15" s="18" t="s">
        <v>15</v>
      </c>
      <c r="C15" s="84"/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 x14ac:dyDescent="0.2">
      <c r="B16" s="21"/>
      <c r="C16" s="21"/>
      <c r="D16" s="21">
        <f>COUNTIF($D$6:$D$15,"&gt;0")</f>
        <v>1</v>
      </c>
      <c r="E16" s="21" t="s">
        <v>16</v>
      </c>
      <c r="F16" s="12"/>
      <c r="G16" s="21">
        <f>COUNTIF(G6:G15,"&gt;0")</f>
        <v>1</v>
      </c>
      <c r="H16" s="82" t="s">
        <v>16</v>
      </c>
    </row>
    <row r="18" spans="2:8" x14ac:dyDescent="0.2">
      <c r="B18" s="10" t="s">
        <v>148</v>
      </c>
    </row>
    <row r="19" spans="2:8" x14ac:dyDescent="0.2">
      <c r="B19" s="11"/>
      <c r="C19" s="12"/>
      <c r="D19" s="12"/>
      <c r="E19" s="12"/>
      <c r="F19" s="12"/>
      <c r="G19" s="12"/>
      <c r="H19" s="12"/>
    </row>
    <row r="20" spans="2:8" x14ac:dyDescent="0.2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 x14ac:dyDescent="0.2">
      <c r="B21" s="14" t="s">
        <v>5</v>
      </c>
      <c r="C21" s="85"/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 x14ac:dyDescent="0.2">
      <c r="B22" s="14" t="s">
        <v>7</v>
      </c>
      <c r="C22" s="85"/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 x14ac:dyDescent="0.2">
      <c r="B23" s="14" t="s">
        <v>8</v>
      </c>
      <c r="C23" s="85"/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 x14ac:dyDescent="0.2">
      <c r="B24" s="14" t="s">
        <v>9</v>
      </c>
      <c r="C24" s="85"/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 x14ac:dyDescent="0.2">
      <c r="B25" s="14" t="s">
        <v>10</v>
      </c>
      <c r="C25" s="85"/>
      <c r="D25" s="15">
        <v>0</v>
      </c>
      <c r="E25" s="15"/>
      <c r="F25" s="15" t="s">
        <v>6</v>
      </c>
      <c r="G25" s="15">
        <f t="shared" si="2"/>
        <v>0</v>
      </c>
      <c r="H25" s="17"/>
    </row>
    <row r="26" spans="2:8" x14ac:dyDescent="0.2">
      <c r="B26" s="14" t="s">
        <v>11</v>
      </c>
      <c r="C26" s="85"/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 x14ac:dyDescent="0.2">
      <c r="B27" s="14" t="s">
        <v>12</v>
      </c>
      <c r="C27" s="85"/>
      <c r="D27" s="15">
        <v>20</v>
      </c>
      <c r="E27" s="15"/>
      <c r="F27" s="15" t="s">
        <v>6</v>
      </c>
      <c r="G27" s="15">
        <f t="shared" si="2"/>
        <v>20</v>
      </c>
      <c r="H27" s="17"/>
    </row>
    <row r="28" spans="2:8" x14ac:dyDescent="0.2">
      <c r="B28" s="14" t="s">
        <v>13</v>
      </c>
      <c r="C28" s="85"/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 x14ac:dyDescent="0.2">
      <c r="B29" s="14" t="s">
        <v>14</v>
      </c>
      <c r="C29" s="85"/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 x14ac:dyDescent="0.2">
      <c r="B30" s="18" t="s">
        <v>15</v>
      </c>
      <c r="C30" s="85"/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 x14ac:dyDescent="0.2">
      <c r="B31" s="21"/>
      <c r="C31" s="21"/>
      <c r="D31" s="21">
        <f>SUM($D$21:$D$30)</f>
        <v>20</v>
      </c>
      <c r="E31" s="21" t="s">
        <v>18</v>
      </c>
      <c r="F31" s="21"/>
      <c r="G31" s="21"/>
      <c r="H31" s="22"/>
    </row>
    <row r="33" spans="2:8" x14ac:dyDescent="0.2">
      <c r="B33" s="10" t="s">
        <v>156</v>
      </c>
    </row>
    <row r="34" spans="2:8" x14ac:dyDescent="0.2">
      <c r="B34" s="11"/>
      <c r="C34" s="12"/>
      <c r="D34" s="12"/>
      <c r="E34" s="12"/>
      <c r="F34" s="12"/>
      <c r="G34" s="12"/>
      <c r="H34" s="12"/>
    </row>
    <row r="35" spans="2:8" x14ac:dyDescent="0.2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 x14ac:dyDescent="0.2">
      <c r="B36" s="25" t="s">
        <v>19</v>
      </c>
      <c r="C36" s="84"/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 x14ac:dyDescent="0.2">
      <c r="B37" s="14" t="s">
        <v>20</v>
      </c>
      <c r="C37" s="84"/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 x14ac:dyDescent="0.2">
      <c r="B38" s="14" t="s">
        <v>21</v>
      </c>
      <c r="C38" s="84"/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 x14ac:dyDescent="0.2">
      <c r="B39" s="14" t="s">
        <v>22</v>
      </c>
      <c r="C39" s="84"/>
      <c r="D39" s="14">
        <v>0</v>
      </c>
      <c r="E39" s="15" t="s">
        <v>166</v>
      </c>
      <c r="F39" s="15" t="s">
        <v>6</v>
      </c>
      <c r="G39" s="15">
        <f t="shared" si="3"/>
        <v>0</v>
      </c>
      <c r="H39" s="17" t="str">
        <f t="shared" si="4"/>
        <v/>
      </c>
    </row>
    <row r="40" spans="2:8" x14ac:dyDescent="0.2">
      <c r="B40" s="14" t="s">
        <v>23</v>
      </c>
      <c r="C40" s="84"/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 x14ac:dyDescent="0.2">
      <c r="B41" s="14" t="s">
        <v>24</v>
      </c>
      <c r="C41" s="84"/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 x14ac:dyDescent="0.2">
      <c r="B42" s="14" t="s">
        <v>25</v>
      </c>
      <c r="C42" s="84"/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 x14ac:dyDescent="0.2">
      <c r="B43" s="14" t="s">
        <v>26</v>
      </c>
      <c r="C43" s="84"/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 x14ac:dyDescent="0.2">
      <c r="B44" s="14" t="s">
        <v>27</v>
      </c>
      <c r="C44" s="84"/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 x14ac:dyDescent="0.2">
      <c r="B45" s="14" t="s">
        <v>28</v>
      </c>
      <c r="C45" s="84"/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 x14ac:dyDescent="0.2">
      <c r="B46" s="14" t="s">
        <v>29</v>
      </c>
      <c r="C46" s="84"/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 x14ac:dyDescent="0.2">
      <c r="B47" s="14" t="s">
        <v>30</v>
      </c>
      <c r="C47" s="84"/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 x14ac:dyDescent="0.2">
      <c r="B48" s="14" t="s">
        <v>31</v>
      </c>
      <c r="C48" s="84"/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 x14ac:dyDescent="0.2">
      <c r="B49" s="14" t="s">
        <v>32</v>
      </c>
      <c r="C49" s="84"/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 x14ac:dyDescent="0.2">
      <c r="B50" s="14" t="s">
        <v>33</v>
      </c>
      <c r="C50" s="84"/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 x14ac:dyDescent="0.2">
      <c r="B51" s="14" t="s">
        <v>34</v>
      </c>
      <c r="C51" s="84"/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 x14ac:dyDescent="0.2">
      <c r="B52" s="14" t="s">
        <v>35</v>
      </c>
      <c r="C52" s="84"/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 x14ac:dyDescent="0.2">
      <c r="B53" s="14" t="s">
        <v>36</v>
      </c>
      <c r="C53" s="84"/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 x14ac:dyDescent="0.2">
      <c r="B54" s="14" t="s">
        <v>37</v>
      </c>
      <c r="C54" s="84"/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 x14ac:dyDescent="0.2">
      <c r="B55" s="14" t="s">
        <v>38</v>
      </c>
      <c r="C55" s="84"/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 x14ac:dyDescent="0.2">
      <c r="B56" s="14" t="s">
        <v>39</v>
      </c>
      <c r="C56" s="84"/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 x14ac:dyDescent="0.2">
      <c r="B57" s="14" t="s">
        <v>40</v>
      </c>
      <c r="C57" s="84"/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 x14ac:dyDescent="0.2">
      <c r="B58" s="14" t="s">
        <v>41</v>
      </c>
      <c r="C58" s="84"/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 x14ac:dyDescent="0.2">
      <c r="B59" s="14" t="s">
        <v>42</v>
      </c>
      <c r="C59" s="84">
        <v>-4468</v>
      </c>
      <c r="D59" s="14">
        <v>8484</v>
      </c>
      <c r="E59" s="15" t="s">
        <v>166</v>
      </c>
      <c r="F59" s="15" t="s">
        <v>6</v>
      </c>
      <c r="G59" s="15">
        <f t="shared" si="3"/>
        <v>4016</v>
      </c>
      <c r="H59" s="17" t="str">
        <f t="shared" si="4"/>
        <v/>
      </c>
    </row>
    <row r="60" spans="2:8" x14ac:dyDescent="0.2">
      <c r="B60" s="14" t="s">
        <v>43</v>
      </c>
      <c r="C60" s="84"/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 x14ac:dyDescent="0.2">
      <c r="B61" s="14" t="s">
        <v>44</v>
      </c>
      <c r="C61" s="85"/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 x14ac:dyDescent="0.2">
      <c r="B62" s="14" t="s">
        <v>45</v>
      </c>
      <c r="C62" s="85"/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 x14ac:dyDescent="0.2">
      <c r="B63" s="14" t="s">
        <v>46</v>
      </c>
      <c r="C63" s="85"/>
      <c r="D63" s="15">
        <v>0</v>
      </c>
      <c r="E63" s="15" t="s">
        <v>166</v>
      </c>
      <c r="F63" s="15" t="s">
        <v>6</v>
      </c>
      <c r="G63" s="15">
        <f t="shared" si="3"/>
        <v>0</v>
      </c>
      <c r="H63" s="17" t="str">
        <f t="shared" si="4"/>
        <v/>
      </c>
    </row>
    <row r="64" spans="2:8" x14ac:dyDescent="0.2">
      <c r="B64" s="14" t="s">
        <v>47</v>
      </c>
      <c r="C64" s="85"/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 x14ac:dyDescent="0.2">
      <c r="B65" s="14" t="s">
        <v>48</v>
      </c>
      <c r="C65" s="85"/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 x14ac:dyDescent="0.2">
      <c r="B66" s="14" t="s">
        <v>49</v>
      </c>
      <c r="C66" s="85">
        <v>-4768</v>
      </c>
      <c r="D66" s="15">
        <v>13204</v>
      </c>
      <c r="E66" s="15" t="s">
        <v>166</v>
      </c>
      <c r="F66" s="15" t="s">
        <v>6</v>
      </c>
      <c r="G66" s="15">
        <f t="shared" si="3"/>
        <v>8436</v>
      </c>
      <c r="H66" s="17" t="str">
        <f t="shared" si="4"/>
        <v/>
      </c>
    </row>
    <row r="67" spans="2:8" x14ac:dyDescent="0.2">
      <c r="B67" s="14" t="s">
        <v>50</v>
      </c>
      <c r="C67" s="85"/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 x14ac:dyDescent="0.2">
      <c r="B68" s="14" t="s">
        <v>51</v>
      </c>
      <c r="C68" s="85"/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 x14ac:dyDescent="0.2">
      <c r="B69" s="14" t="s">
        <v>52</v>
      </c>
      <c r="C69" s="85"/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 x14ac:dyDescent="0.2">
      <c r="B70" s="14" t="s">
        <v>53</v>
      </c>
      <c r="C70" s="85"/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 x14ac:dyDescent="0.2">
      <c r="B71" s="14" t="s">
        <v>54</v>
      </c>
      <c r="C71" s="85"/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 x14ac:dyDescent="0.2">
      <c r="B72" s="14" t="s">
        <v>55</v>
      </c>
      <c r="C72" s="85"/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 x14ac:dyDescent="0.2">
      <c r="B73" s="14" t="s">
        <v>56</v>
      </c>
      <c r="C73" s="85"/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 x14ac:dyDescent="0.2">
      <c r="B74" s="14" t="s">
        <v>57</v>
      </c>
      <c r="C74" s="85"/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 x14ac:dyDescent="0.2">
      <c r="B75" s="14" t="s">
        <v>58</v>
      </c>
      <c r="C75" s="85"/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 x14ac:dyDescent="0.2">
      <c r="B76" s="14" t="s">
        <v>59</v>
      </c>
      <c r="C76" s="85"/>
      <c r="D76" s="15">
        <v>0</v>
      </c>
      <c r="E76" s="15" t="s">
        <v>166</v>
      </c>
      <c r="F76" s="15" t="s">
        <v>6</v>
      </c>
      <c r="G76" s="15">
        <f t="shared" si="5"/>
        <v>0</v>
      </c>
      <c r="H76" s="17" t="str">
        <f t="shared" si="6"/>
        <v/>
      </c>
    </row>
    <row r="77" spans="2:8" x14ac:dyDescent="0.2">
      <c r="B77" s="14" t="s">
        <v>60</v>
      </c>
      <c r="C77" s="85"/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 x14ac:dyDescent="0.2">
      <c r="B78" s="14" t="s">
        <v>61</v>
      </c>
      <c r="C78" s="85"/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 x14ac:dyDescent="0.2">
      <c r="B79" s="14" t="s">
        <v>62</v>
      </c>
      <c r="C79" s="85"/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 x14ac:dyDescent="0.2">
      <c r="B80" s="14" t="s">
        <v>63</v>
      </c>
      <c r="C80" s="85"/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 x14ac:dyDescent="0.2">
      <c r="B81" s="14" t="s">
        <v>64</v>
      </c>
      <c r="C81" s="85"/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 x14ac:dyDescent="0.2">
      <c r="B82" s="14" t="s">
        <v>65</v>
      </c>
      <c r="C82" s="85"/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 x14ac:dyDescent="0.2">
      <c r="B83" s="27" t="s">
        <v>66</v>
      </c>
      <c r="C83" s="85">
        <v>-4569</v>
      </c>
      <c r="D83" s="14">
        <v>5458</v>
      </c>
      <c r="E83" s="15" t="s">
        <v>166</v>
      </c>
      <c r="F83" s="15" t="s">
        <v>6</v>
      </c>
      <c r="G83" s="15">
        <f t="shared" si="5"/>
        <v>889</v>
      </c>
      <c r="H83" s="17" t="str">
        <f t="shared" si="6"/>
        <v/>
      </c>
    </row>
    <row r="84" spans="2:8" x14ac:dyDescent="0.2">
      <c r="B84" s="14" t="s">
        <v>67</v>
      </c>
      <c r="C84" s="85"/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 x14ac:dyDescent="0.2">
      <c r="B85" s="14" t="s">
        <v>68</v>
      </c>
      <c r="C85" s="85"/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 x14ac:dyDescent="0.2">
      <c r="B86" s="14" t="s">
        <v>69</v>
      </c>
      <c r="C86" s="85"/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 x14ac:dyDescent="0.2">
      <c r="B87" s="14" t="s">
        <v>70</v>
      </c>
      <c r="C87" s="85"/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 x14ac:dyDescent="0.2">
      <c r="B88" s="14" t="s">
        <v>71</v>
      </c>
      <c r="C88" s="85"/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 x14ac:dyDescent="0.2">
      <c r="B89" s="14" t="s">
        <v>72</v>
      </c>
      <c r="C89" s="85"/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 x14ac:dyDescent="0.2">
      <c r="B90" s="14" t="s">
        <v>73</v>
      </c>
      <c r="C90" s="85"/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 x14ac:dyDescent="0.2">
      <c r="B91" s="14" t="s">
        <v>74</v>
      </c>
      <c r="C91" s="85"/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 x14ac:dyDescent="0.2">
      <c r="B92" s="14" t="s">
        <v>75</v>
      </c>
      <c r="C92" s="85"/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 x14ac:dyDescent="0.2">
      <c r="B93" s="14" t="s">
        <v>76</v>
      </c>
      <c r="C93" s="85"/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 x14ac:dyDescent="0.2">
      <c r="B94" s="14" t="s">
        <v>77</v>
      </c>
      <c r="C94" s="85"/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 x14ac:dyDescent="0.2">
      <c r="B95" s="14" t="s">
        <v>78</v>
      </c>
      <c r="C95" s="85"/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 x14ac:dyDescent="0.2">
      <c r="B96" s="14" t="s">
        <v>79</v>
      </c>
      <c r="C96" s="85"/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 x14ac:dyDescent="0.2">
      <c r="B97" s="14" t="s">
        <v>80</v>
      </c>
      <c r="C97" s="85"/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 x14ac:dyDescent="0.2">
      <c r="B98" s="14" t="s">
        <v>81</v>
      </c>
      <c r="C98" s="85"/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 x14ac:dyDescent="0.2">
      <c r="B99" s="14" t="s">
        <v>82</v>
      </c>
      <c r="C99" s="85"/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 x14ac:dyDescent="0.2">
      <c r="B100" s="14" t="s">
        <v>83</v>
      </c>
      <c r="C100" s="85"/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 x14ac:dyDescent="0.2">
      <c r="B101" s="14" t="s">
        <v>84</v>
      </c>
      <c r="C101" s="85"/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 x14ac:dyDescent="0.2">
      <c r="B102" s="14" t="s">
        <v>85</v>
      </c>
      <c r="C102" s="85"/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 x14ac:dyDescent="0.2">
      <c r="B103" s="14" t="s">
        <v>86</v>
      </c>
      <c r="C103" s="85"/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 x14ac:dyDescent="0.2">
      <c r="B104" s="14" t="s">
        <v>87</v>
      </c>
      <c r="C104" s="85"/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 x14ac:dyDescent="0.2">
      <c r="B105" s="14" t="s">
        <v>88</v>
      </c>
      <c r="C105" s="85"/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 x14ac:dyDescent="0.2">
      <c r="B106" s="18" t="s">
        <v>89</v>
      </c>
      <c r="C106" s="85"/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 x14ac:dyDescent="0.2">
      <c r="B107" s="12"/>
      <c r="C107" s="12"/>
      <c r="D107" s="12">
        <f>COUNTIF($D$36:$D$106,"&gt;0")</f>
        <v>3</v>
      </c>
      <c r="E107" s="12" t="s">
        <v>90</v>
      </c>
      <c r="F107" s="12"/>
      <c r="G107" s="12">
        <f>COUNTIF(G36:G106,"&gt;0")</f>
        <v>3</v>
      </c>
      <c r="H107" s="83" t="s">
        <v>90</v>
      </c>
    </row>
  </sheetData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AG49"/>
  <sheetViews>
    <sheetView showGridLines="0" topLeftCell="A22" workbookViewId="0">
      <selection activeCell="O47" sqref="O47"/>
    </sheetView>
  </sheetViews>
  <sheetFormatPr defaultColWidth="9.140625" defaultRowHeight="12.75" x14ac:dyDescent="0.2"/>
  <cols>
    <col min="1" max="1" width="4.7109375" style="29" customWidth="1"/>
    <col min="2" max="2" width="16.7109375" style="29" customWidth="1"/>
    <col min="3" max="14" width="8.7109375" style="29" customWidth="1"/>
    <col min="15" max="16384" width="9.140625" style="29"/>
  </cols>
  <sheetData>
    <row r="2" spans="2:14" x14ac:dyDescent="0.2">
      <c r="B2" s="28" t="s">
        <v>140</v>
      </c>
    </row>
    <row r="3" spans="2:14" x14ac:dyDescent="0.2">
      <c r="B3" s="30" t="s">
        <v>164</v>
      </c>
    </row>
    <row r="4" spans="2:14" x14ac:dyDescent="0.2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 x14ac:dyDescent="0.2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 x14ac:dyDescent="0.2">
      <c r="B6" s="36" t="s">
        <v>104</v>
      </c>
      <c r="C6" s="86">
        <v>0</v>
      </c>
      <c r="D6" s="87">
        <v>3314.5347056389201</v>
      </c>
      <c r="E6" s="87">
        <v>0</v>
      </c>
      <c r="F6" s="87">
        <v>3738.7288785437099</v>
      </c>
      <c r="G6" s="87">
        <v>2403.0046699771601</v>
      </c>
      <c r="H6" s="87">
        <v>2856.69201365244</v>
      </c>
      <c r="I6" s="87">
        <v>2757.10833037777</v>
      </c>
      <c r="J6" s="87">
        <v>3515.97732144767</v>
      </c>
      <c r="K6" s="87">
        <v>0</v>
      </c>
      <c r="L6" s="87">
        <v>0</v>
      </c>
      <c r="M6" s="87">
        <v>3714.3881873036999</v>
      </c>
      <c r="N6" s="87">
        <v>2309.2759712889701</v>
      </c>
    </row>
    <row r="7" spans="2:14" x14ac:dyDescent="0.2">
      <c r="B7" s="36" t="s">
        <v>105</v>
      </c>
      <c r="C7" s="88">
        <v>0</v>
      </c>
      <c r="D7" s="89">
        <v>0</v>
      </c>
      <c r="E7" s="89">
        <v>0</v>
      </c>
      <c r="F7" s="89">
        <v>180.375</v>
      </c>
      <c r="G7" s="89">
        <v>0</v>
      </c>
      <c r="H7" s="89">
        <v>243.125</v>
      </c>
      <c r="I7" s="89">
        <v>0</v>
      </c>
      <c r="J7" s="89">
        <v>197</v>
      </c>
      <c r="K7" s="89">
        <v>0</v>
      </c>
      <c r="L7" s="89">
        <v>226.875</v>
      </c>
      <c r="M7" s="89">
        <v>268.75</v>
      </c>
      <c r="N7" s="89">
        <v>259.875</v>
      </c>
    </row>
    <row r="8" spans="2:14" x14ac:dyDescent="0.2">
      <c r="B8" s="36" t="s">
        <v>106</v>
      </c>
      <c r="C8" s="88">
        <v>0</v>
      </c>
      <c r="D8" s="89">
        <v>0</v>
      </c>
      <c r="E8" s="89">
        <v>0</v>
      </c>
      <c r="F8" s="89">
        <v>0</v>
      </c>
      <c r="G8" s="89">
        <v>907.617740754279</v>
      </c>
      <c r="H8" s="89">
        <v>0</v>
      </c>
      <c r="I8" s="89">
        <v>0</v>
      </c>
      <c r="J8" s="89">
        <v>0</v>
      </c>
      <c r="K8" s="89">
        <v>0</v>
      </c>
      <c r="L8" s="89">
        <v>647.44149390620396</v>
      </c>
      <c r="M8" s="89">
        <v>0</v>
      </c>
      <c r="N8" s="89">
        <v>0</v>
      </c>
    </row>
    <row r="9" spans="2:14" x14ac:dyDescent="0.2">
      <c r="B9" s="36" t="s">
        <v>107</v>
      </c>
      <c r="C9" s="88">
        <v>324.25</v>
      </c>
      <c r="D9" s="89">
        <v>311.75</v>
      </c>
      <c r="E9" s="89">
        <v>202.625</v>
      </c>
      <c r="F9" s="89">
        <v>0</v>
      </c>
      <c r="G9" s="89">
        <v>207.5</v>
      </c>
      <c r="H9" s="89">
        <v>0</v>
      </c>
      <c r="I9" s="89">
        <v>221.25</v>
      </c>
      <c r="J9" s="89">
        <v>0</v>
      </c>
      <c r="K9" s="89">
        <v>194.625</v>
      </c>
      <c r="L9" s="89">
        <v>0</v>
      </c>
      <c r="M9" s="89">
        <v>0</v>
      </c>
      <c r="N9" s="89">
        <v>0</v>
      </c>
    </row>
    <row r="10" spans="2:14" x14ac:dyDescent="0.2">
      <c r="B10" s="36" t="s">
        <v>108</v>
      </c>
      <c r="C10" s="88">
        <v>2002.95172272081</v>
      </c>
      <c r="D10" s="89">
        <v>0</v>
      </c>
      <c r="E10" s="89">
        <v>3753.9284861691399</v>
      </c>
      <c r="F10" s="89">
        <v>0</v>
      </c>
      <c r="G10" s="89">
        <v>0</v>
      </c>
      <c r="H10" s="89">
        <v>0</v>
      </c>
      <c r="I10" s="89">
        <v>0</v>
      </c>
      <c r="J10" s="89">
        <v>0</v>
      </c>
      <c r="K10" s="89">
        <v>3401.0553362993401</v>
      </c>
      <c r="L10" s="89">
        <v>3104.90049720558</v>
      </c>
      <c r="M10" s="89">
        <v>0</v>
      </c>
      <c r="N10" s="89">
        <v>0</v>
      </c>
    </row>
    <row r="11" spans="2:14" x14ac:dyDescent="0.2">
      <c r="B11" s="37" t="s">
        <v>109</v>
      </c>
      <c r="C11" s="88">
        <v>0</v>
      </c>
      <c r="D11" s="89">
        <v>0</v>
      </c>
      <c r="E11" s="89">
        <v>0</v>
      </c>
      <c r="F11" s="89">
        <v>0</v>
      </c>
      <c r="G11" s="89">
        <v>0</v>
      </c>
      <c r="H11" s="89">
        <v>0</v>
      </c>
      <c r="I11" s="89">
        <v>0</v>
      </c>
      <c r="J11" s="89">
        <v>0</v>
      </c>
      <c r="K11" s="89">
        <v>0</v>
      </c>
      <c r="L11" s="89">
        <v>0</v>
      </c>
      <c r="M11" s="89">
        <v>0</v>
      </c>
      <c r="N11" s="89">
        <v>0</v>
      </c>
    </row>
    <row r="12" spans="2:14" x14ac:dyDescent="0.2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 x14ac:dyDescent="0.2">
      <c r="B14" s="30" t="s">
        <v>157</v>
      </c>
    </row>
    <row r="15" spans="2:14" x14ac:dyDescent="0.2">
      <c r="B15" s="31"/>
      <c r="C15" s="32"/>
      <c r="D15" s="32"/>
      <c r="E15" s="51"/>
      <c r="F15" s="32"/>
      <c r="G15" s="32"/>
      <c r="H15" s="32"/>
    </row>
    <row r="16" spans="2:14" x14ac:dyDescent="0.2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 x14ac:dyDescent="0.2">
      <c r="B17" s="41" t="s">
        <v>104</v>
      </c>
      <c r="C17" s="90">
        <v>1</v>
      </c>
      <c r="D17" s="90">
        <v>0</v>
      </c>
      <c r="E17" s="90">
        <v>1</v>
      </c>
      <c r="F17" s="90">
        <v>0.90367320059652101</v>
      </c>
      <c r="G17" s="90">
        <v>0.5</v>
      </c>
      <c r="H17" s="90">
        <v>1.2327643696707</v>
      </c>
      <c r="I17" s="29" t="s">
        <v>110</v>
      </c>
    </row>
    <row r="18" spans="2:33" x14ac:dyDescent="0.2">
      <c r="B18" s="36" t="s">
        <v>105</v>
      </c>
      <c r="C18" s="91">
        <v>1</v>
      </c>
      <c r="D18" s="91">
        <v>0</v>
      </c>
      <c r="E18" s="91">
        <v>1</v>
      </c>
      <c r="F18" s="91">
        <v>0.805596049146861</v>
      </c>
      <c r="G18" s="91">
        <v>0.5</v>
      </c>
      <c r="H18" s="91">
        <v>1.0274178607328499</v>
      </c>
      <c r="I18" s="29" t="s">
        <v>110</v>
      </c>
    </row>
    <row r="19" spans="2:33" x14ac:dyDescent="0.2">
      <c r="B19" s="36" t="s">
        <v>106</v>
      </c>
      <c r="C19" s="91">
        <v>1</v>
      </c>
      <c r="D19" s="91">
        <v>0</v>
      </c>
      <c r="E19" s="91">
        <v>1</v>
      </c>
      <c r="F19" s="91">
        <v>0.80052064659107003</v>
      </c>
      <c r="G19" s="91">
        <v>0.5</v>
      </c>
      <c r="H19" s="91">
        <v>1.0543063566120701</v>
      </c>
      <c r="I19" s="29" t="s">
        <v>110</v>
      </c>
    </row>
    <row r="20" spans="2:33" x14ac:dyDescent="0.2">
      <c r="B20" s="36" t="s">
        <v>107</v>
      </c>
      <c r="C20" s="91">
        <v>1</v>
      </c>
      <c r="D20" s="91">
        <v>0</v>
      </c>
      <c r="E20" s="91">
        <v>1</v>
      </c>
      <c r="F20" s="91">
        <v>0.81644505221786801</v>
      </c>
      <c r="G20" s="91">
        <v>0.5</v>
      </c>
      <c r="H20" s="91">
        <v>1.1522020884626101</v>
      </c>
    </row>
    <row r="21" spans="2:33" x14ac:dyDescent="0.2">
      <c r="B21" s="36" t="s">
        <v>108</v>
      </c>
      <c r="C21" s="91">
        <v>1</v>
      </c>
      <c r="D21" s="91">
        <v>0</v>
      </c>
      <c r="E21" s="91">
        <v>1</v>
      </c>
      <c r="F21" s="91">
        <v>0.85422380820064503</v>
      </c>
      <c r="G21" s="91">
        <v>0.5</v>
      </c>
      <c r="H21" s="91">
        <v>0.92510663495370005</v>
      </c>
    </row>
    <row r="22" spans="2:33" x14ac:dyDescent="0.2">
      <c r="B22" s="37" t="s">
        <v>109</v>
      </c>
      <c r="C22" s="91">
        <v>1</v>
      </c>
      <c r="D22" s="91">
        <v>0</v>
      </c>
      <c r="E22" s="91">
        <v>1</v>
      </c>
      <c r="F22" s="91">
        <v>0.82784178535694142</v>
      </c>
      <c r="G22" s="91">
        <v>0.5</v>
      </c>
      <c r="H22" s="91">
        <v>1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 x14ac:dyDescent="0.2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 x14ac:dyDescent="0.2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 x14ac:dyDescent="0.2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 x14ac:dyDescent="0.2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 x14ac:dyDescent="0.2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 x14ac:dyDescent="0.2">
      <c r="D28" s="45">
        <f>basic_info!$D$5-5</f>
        <v>2013</v>
      </c>
      <c r="E28" s="49"/>
      <c r="F28" s="45">
        <f>basic_info!$D$5-4</f>
        <v>2014</v>
      </c>
      <c r="G28" s="49"/>
      <c r="H28" s="45">
        <f>basic_info!$D$5-3</f>
        <v>2015</v>
      </c>
      <c r="I28" s="49"/>
      <c r="J28" s="45">
        <f>basic_info!$D$5-2</f>
        <v>2016</v>
      </c>
      <c r="K28" s="49"/>
      <c r="L28" s="45">
        <f>basic_info!$D$5-1</f>
        <v>2017</v>
      </c>
      <c r="N28" s="45">
        <f>basic_info!$D$5</f>
        <v>2018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 x14ac:dyDescent="0.2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 x14ac:dyDescent="0.2">
      <c r="B30" s="41" t="s">
        <v>112</v>
      </c>
      <c r="C30" s="36">
        <f>basic_info!$D$5</f>
        <v>2018</v>
      </c>
      <c r="D30" s="44">
        <v>0.71662753591933626</v>
      </c>
      <c r="E30" s="35">
        <v>0</v>
      </c>
      <c r="F30" s="47">
        <v>0.7118064307683698</v>
      </c>
      <c r="G30" s="46">
        <v>0</v>
      </c>
      <c r="H30" s="47">
        <v>0.65742258166301204</v>
      </c>
      <c r="I30" s="46">
        <v>0</v>
      </c>
      <c r="J30" s="47">
        <v>0.8608485705892801</v>
      </c>
      <c r="K30" s="46"/>
      <c r="L30" s="47">
        <v>0.91910454752448723</v>
      </c>
      <c r="M30" s="46">
        <v>9278.5749892425192</v>
      </c>
      <c r="N30" s="60"/>
      <c r="O30" s="71" t="s">
        <v>162</v>
      </c>
      <c r="P30" s="41">
        <f>M30+K30+I30+E30+G30</f>
        <v>9278.5749892425192</v>
      </c>
      <c r="Q30" s="70"/>
    </row>
    <row r="31" spans="2:33" x14ac:dyDescent="0.2">
      <c r="B31" s="36"/>
      <c r="C31" s="47">
        <f>basic_info!$D$5+1</f>
        <v>2019</v>
      </c>
      <c r="D31" s="76"/>
      <c r="E31" s="75"/>
      <c r="F31" s="69">
        <v>0.68616087553988669</v>
      </c>
      <c r="G31" s="79">
        <v>0</v>
      </c>
      <c r="H31" s="61">
        <v>0.64171751702829749</v>
      </c>
      <c r="I31" s="62">
        <v>0</v>
      </c>
      <c r="J31" s="61">
        <v>0.8295043288750632</v>
      </c>
      <c r="K31" s="62"/>
      <c r="L31" s="61">
        <v>0.85195298768145433</v>
      </c>
      <c r="M31" s="62">
        <v>9278.5749892425192</v>
      </c>
      <c r="N31" s="63">
        <v>0.87181858933515421</v>
      </c>
      <c r="O31" s="89"/>
      <c r="P31" s="63">
        <f>O31+M31+K31+I31+G31</f>
        <v>9278.5749892425192</v>
      </c>
    </row>
    <row r="32" spans="2:33" x14ac:dyDescent="0.2">
      <c r="B32" s="36"/>
      <c r="C32" s="47">
        <f>basic_info!$D$5+2</f>
        <v>2020</v>
      </c>
      <c r="D32" s="76"/>
      <c r="E32" s="75"/>
      <c r="F32" s="75"/>
      <c r="G32" s="75"/>
      <c r="H32" s="69">
        <v>0.65376248745918275</v>
      </c>
      <c r="I32" s="79">
        <v>0</v>
      </c>
      <c r="J32" s="61">
        <v>0.84540928358710421</v>
      </c>
      <c r="K32" s="62"/>
      <c r="L32" s="61">
        <v>0.79341974686465555</v>
      </c>
      <c r="M32" s="62">
        <v>9278.5749892425192</v>
      </c>
      <c r="N32" s="63">
        <v>0.87729954875381289</v>
      </c>
      <c r="O32" s="89"/>
      <c r="P32" s="63">
        <f>O32+M32+K32+I32</f>
        <v>9278.5749892425192</v>
      </c>
    </row>
    <row r="33" spans="2:17" x14ac:dyDescent="0.2">
      <c r="B33" s="36"/>
      <c r="C33" s="47">
        <f>basic_info!$D$5+3</f>
        <v>2021</v>
      </c>
      <c r="D33" s="76"/>
      <c r="E33" s="75"/>
      <c r="F33" s="75"/>
      <c r="G33" s="75"/>
      <c r="H33" s="75"/>
      <c r="I33" s="75"/>
      <c r="J33" s="69">
        <v>0.76962524616122252</v>
      </c>
      <c r="K33" s="79"/>
      <c r="L33" s="61">
        <v>0.75112057603575599</v>
      </c>
      <c r="M33" s="62">
        <v>9278.5749892425192</v>
      </c>
      <c r="N33" s="63">
        <v>0.80188642998529402</v>
      </c>
      <c r="O33" s="89"/>
      <c r="P33" s="63">
        <f>O33+M33+K33</f>
        <v>9278.5749892425192</v>
      </c>
    </row>
    <row r="34" spans="2:17" x14ac:dyDescent="0.2">
      <c r="B34" s="36"/>
      <c r="C34" s="47">
        <f>basic_info!$D$5+4</f>
        <v>2022</v>
      </c>
      <c r="D34" s="76"/>
      <c r="E34" s="75"/>
      <c r="F34" s="75"/>
      <c r="G34" s="75"/>
      <c r="H34" s="75"/>
      <c r="I34" s="75"/>
      <c r="J34" s="75"/>
      <c r="K34" s="75"/>
      <c r="L34" s="69">
        <v>0.73914561780691146</v>
      </c>
      <c r="M34" s="79">
        <v>9278.5749892425192</v>
      </c>
      <c r="N34" s="63">
        <v>0.73716643524096881</v>
      </c>
      <c r="O34" s="89"/>
      <c r="P34" s="63">
        <f>O34+M34</f>
        <v>9278.5749892425192</v>
      </c>
    </row>
    <row r="35" spans="2:17" x14ac:dyDescent="0.2">
      <c r="B35" s="37"/>
      <c r="C35" s="72">
        <f>basic_info!$D$5+5</f>
        <v>2023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0.67792213259339329</v>
      </c>
      <c r="O35" s="89">
        <v>9278.5750000000007</v>
      </c>
      <c r="P35" s="65">
        <f>O35</f>
        <v>9278.5750000000007</v>
      </c>
    </row>
    <row r="36" spans="2:17" x14ac:dyDescent="0.2">
      <c r="B36" s="41" t="s">
        <v>113</v>
      </c>
      <c r="C36" s="36">
        <f>basic_info!$D$5</f>
        <v>2018</v>
      </c>
      <c r="D36" s="44">
        <v>1.0587453955633634</v>
      </c>
      <c r="E36" s="35">
        <v>0</v>
      </c>
      <c r="F36" s="73">
        <v>1.0938135695671274</v>
      </c>
      <c r="G36" s="74">
        <v>0</v>
      </c>
      <c r="H36" s="73">
        <v>1.1014713588815135</v>
      </c>
      <c r="I36" s="74">
        <v>0</v>
      </c>
      <c r="J36" s="73">
        <v>1.042842908637313</v>
      </c>
      <c r="K36" s="74">
        <v>12367.633400000001</v>
      </c>
      <c r="L36" s="66">
        <v>1.1390647533197611</v>
      </c>
      <c r="M36" s="67">
        <v>37632.366600000001</v>
      </c>
      <c r="N36" s="68"/>
      <c r="O36" s="71" t="s">
        <v>162</v>
      </c>
      <c r="P36" s="41">
        <f>M36+K36+I36+E36+G36</f>
        <v>50000</v>
      </c>
      <c r="Q36" s="70"/>
    </row>
    <row r="37" spans="2:17" x14ac:dyDescent="0.2">
      <c r="B37" s="36"/>
      <c r="C37" s="47">
        <f>basic_info!$D$5+1</f>
        <v>2019</v>
      </c>
      <c r="D37" s="76"/>
      <c r="E37" s="75"/>
      <c r="F37" s="69">
        <v>1.0288140534879155</v>
      </c>
      <c r="G37" s="79">
        <v>0</v>
      </c>
      <c r="H37" s="61">
        <v>1.0108999284690923</v>
      </c>
      <c r="I37" s="62">
        <v>0</v>
      </c>
      <c r="J37" s="61">
        <v>1.0032828986441651</v>
      </c>
      <c r="K37" s="62">
        <v>8834.0238599999993</v>
      </c>
      <c r="L37" s="61">
        <v>1.0357981248188022</v>
      </c>
      <c r="M37" s="62">
        <v>41165.976139999999</v>
      </c>
      <c r="N37" s="61">
        <v>0.97406708065219405</v>
      </c>
      <c r="O37" s="89"/>
      <c r="P37" s="63">
        <f>O37+M37+K37+I37+G37</f>
        <v>50000</v>
      </c>
    </row>
    <row r="38" spans="2:17" x14ac:dyDescent="0.2">
      <c r="B38" s="36"/>
      <c r="C38" s="47">
        <f>basic_info!$D$5+2</f>
        <v>2020</v>
      </c>
      <c r="D38" s="76"/>
      <c r="E38" s="75"/>
      <c r="F38" s="75"/>
      <c r="G38" s="75"/>
      <c r="H38" s="69">
        <v>0.98955166281759732</v>
      </c>
      <c r="I38" s="79">
        <v>0</v>
      </c>
      <c r="J38" s="61">
        <v>0.95103433990902408</v>
      </c>
      <c r="K38" s="62">
        <v>5300.4143100000001</v>
      </c>
      <c r="L38" s="61">
        <v>0.9919351074281193</v>
      </c>
      <c r="M38" s="62">
        <v>44699.58569</v>
      </c>
      <c r="N38" s="61">
        <v>0.94692158975803442</v>
      </c>
      <c r="O38" s="89"/>
      <c r="P38" s="63">
        <f>O38+M38+K38+I38</f>
        <v>50000</v>
      </c>
    </row>
    <row r="39" spans="2:17" x14ac:dyDescent="0.2">
      <c r="B39" s="36"/>
      <c r="C39" s="47">
        <f>basic_info!$D$5+3</f>
        <v>2021</v>
      </c>
      <c r="D39" s="76"/>
      <c r="E39" s="75"/>
      <c r="F39" s="75"/>
      <c r="G39" s="75"/>
      <c r="H39" s="75"/>
      <c r="I39" s="75"/>
      <c r="J39" s="69">
        <v>0.9180320969671012</v>
      </c>
      <c r="K39" s="79">
        <v>3533.6095399999999</v>
      </c>
      <c r="L39" s="61">
        <v>0.95493263137485418</v>
      </c>
      <c r="M39" s="62">
        <v>46466.390460000002</v>
      </c>
      <c r="N39" s="61">
        <v>0.93709078332824058</v>
      </c>
      <c r="O39" s="89"/>
      <c r="P39" s="63">
        <f>O39+M39+K39</f>
        <v>50000</v>
      </c>
    </row>
    <row r="40" spans="2:17" x14ac:dyDescent="0.2">
      <c r="B40" s="36"/>
      <c r="C40" s="47">
        <f>basic_info!$D$5+4</f>
        <v>2022</v>
      </c>
      <c r="D40" s="76"/>
      <c r="E40" s="75"/>
      <c r="F40" s="75"/>
      <c r="G40" s="75"/>
      <c r="H40" s="75"/>
      <c r="I40" s="75"/>
      <c r="J40" s="75"/>
      <c r="K40" s="75"/>
      <c r="L40" s="69">
        <v>0.9100411573201419</v>
      </c>
      <c r="M40" s="79">
        <v>50000</v>
      </c>
      <c r="N40" s="61">
        <v>0.92721692835977987</v>
      </c>
      <c r="O40" s="89"/>
      <c r="P40" s="63">
        <f>O40+M40</f>
        <v>50000</v>
      </c>
    </row>
    <row r="41" spans="2:17" x14ac:dyDescent="0.2">
      <c r="B41" s="37"/>
      <c r="C41" s="72">
        <f>basic_info!$D$5+5</f>
        <v>2023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0.89172850017249583</v>
      </c>
      <c r="O41" s="89">
        <v>50000</v>
      </c>
      <c r="P41" s="64">
        <f>O41</f>
        <v>50000</v>
      </c>
    </row>
    <row r="42" spans="2:17" x14ac:dyDescent="0.2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 x14ac:dyDescent="0.2">
      <c r="B44" s="30" t="s">
        <v>153</v>
      </c>
    </row>
    <row r="45" spans="2:17" x14ac:dyDescent="0.2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 x14ac:dyDescent="0.2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 x14ac:dyDescent="0.2">
      <c r="B47" s="41" t="s">
        <v>112</v>
      </c>
      <c r="C47" s="92">
        <v>54.704242128326001</v>
      </c>
      <c r="D47" s="92">
        <v>45.295757871673899</v>
      </c>
      <c r="E47" s="92">
        <v>0</v>
      </c>
      <c r="F47" s="92">
        <v>0</v>
      </c>
      <c r="G47" s="92">
        <v>0</v>
      </c>
      <c r="H47" s="92">
        <v>0</v>
      </c>
      <c r="I47" s="92">
        <v>0</v>
      </c>
      <c r="J47" s="92">
        <v>0</v>
      </c>
      <c r="K47" s="92">
        <v>0</v>
      </c>
      <c r="L47" s="92">
        <v>0</v>
      </c>
      <c r="M47" s="92">
        <v>0</v>
      </c>
      <c r="N47" s="92">
        <v>0</v>
      </c>
      <c r="O47" s="33">
        <f>SUM(C47:N47)</f>
        <v>99.999999999999901</v>
      </c>
    </row>
    <row r="48" spans="2:17" x14ac:dyDescent="0.2">
      <c r="B48" s="37" t="s">
        <v>113</v>
      </c>
      <c r="C48" s="92">
        <v>11.3228465241235</v>
      </c>
      <c r="D48" s="92">
        <v>8.2457731475589195</v>
      </c>
      <c r="E48" s="92">
        <v>2.0079999999999898</v>
      </c>
      <c r="F48" s="92">
        <v>1.76849999999999</v>
      </c>
      <c r="G48" s="92">
        <v>7.29009229199999</v>
      </c>
      <c r="H48" s="92">
        <v>10.8988163959999</v>
      </c>
      <c r="I48" s="92">
        <v>4.1199999999999903</v>
      </c>
      <c r="J48" s="92">
        <v>6.0694999999999899</v>
      </c>
      <c r="K48" s="92">
        <v>14.7871251161939</v>
      </c>
      <c r="L48" s="92">
        <v>15.111999999999901</v>
      </c>
      <c r="M48" s="92">
        <v>6.8269999999999902</v>
      </c>
      <c r="N48" s="92">
        <v>11.550346524123499</v>
      </c>
      <c r="O48" s="33">
        <f>SUM(C48:N48)</f>
        <v>99.999999999999545</v>
      </c>
    </row>
    <row r="49" spans="2:15" x14ac:dyDescent="0.2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X65"/>
  <sheetViews>
    <sheetView showGridLines="0" topLeftCell="A13" workbookViewId="0">
      <selection activeCell="B35" sqref="B35"/>
    </sheetView>
  </sheetViews>
  <sheetFormatPr defaultColWidth="9.140625" defaultRowHeight="12.75" x14ac:dyDescent="0.2"/>
  <cols>
    <col min="1" max="1" width="4.7109375" style="29" customWidth="1"/>
    <col min="2" max="2" width="17.28515625" style="29" customWidth="1"/>
    <col min="3" max="16384" width="9.140625" style="29"/>
  </cols>
  <sheetData>
    <row r="2" spans="2:16" x14ac:dyDescent="0.2">
      <c r="B2" s="28" t="s">
        <v>114</v>
      </c>
    </row>
    <row r="3" spans="2:16" x14ac:dyDescent="0.2">
      <c r="B3" s="30" t="s">
        <v>144</v>
      </c>
    </row>
    <row r="4" spans="2:16" x14ac:dyDescent="0.2">
      <c r="B4" s="48"/>
      <c r="C4" s="48"/>
      <c r="D4" s="48"/>
      <c r="E4" s="48"/>
      <c r="F4" s="48"/>
      <c r="G4" s="48"/>
      <c r="H4" s="49"/>
      <c r="I4" s="49"/>
      <c r="J4" s="49"/>
      <c r="K4" s="49"/>
      <c r="L4" s="49"/>
      <c r="M4" s="49"/>
    </row>
    <row r="5" spans="2:16" x14ac:dyDescent="0.2">
      <c r="B5" s="45" t="s">
        <v>115</v>
      </c>
      <c r="C5" s="45" t="s">
        <v>12</v>
      </c>
      <c r="D5" s="45" t="s">
        <v>42</v>
      </c>
      <c r="E5" s="45" t="s">
        <v>49</v>
      </c>
      <c r="F5" s="45" t="s">
        <v>66</v>
      </c>
      <c r="G5" s="45" t="s">
        <v>150</v>
      </c>
      <c r="H5" s="50"/>
      <c r="I5" s="50"/>
      <c r="J5" s="50"/>
      <c r="K5" s="50"/>
      <c r="L5" s="50"/>
      <c r="M5" s="50"/>
      <c r="N5" s="50"/>
      <c r="O5" s="50"/>
      <c r="P5" s="50"/>
    </row>
    <row r="6" spans="2:16" x14ac:dyDescent="0.2">
      <c r="B6" s="45" t="s">
        <v>163</v>
      </c>
      <c r="C6" s="93">
        <v>40.0848103828897</v>
      </c>
      <c r="D6" s="93">
        <v>18.628083870615299</v>
      </c>
      <c r="E6" s="93">
        <v>41.287105746494802</v>
      </c>
      <c r="F6" s="93">
        <v>0</v>
      </c>
      <c r="G6" s="97">
        <f>SUM($C$6:$F$6)</f>
        <v>99.999999999999801</v>
      </c>
      <c r="H6" s="49"/>
      <c r="I6" s="49"/>
      <c r="J6" s="49"/>
      <c r="K6" s="49"/>
      <c r="L6" s="49"/>
      <c r="M6" s="49"/>
      <c r="N6" s="50"/>
      <c r="O6" s="50"/>
      <c r="P6" s="50"/>
    </row>
    <row r="7" spans="2:16" x14ac:dyDescent="0.2">
      <c r="B7" s="45" t="s">
        <v>105</v>
      </c>
      <c r="C7" s="93">
        <v>0</v>
      </c>
      <c r="D7" s="93">
        <v>0</v>
      </c>
      <c r="E7" s="93">
        <v>0</v>
      </c>
      <c r="F7" s="93">
        <v>100</v>
      </c>
      <c r="G7" s="97">
        <f>SUM($C$7:$F$7)</f>
        <v>100</v>
      </c>
      <c r="H7" s="49"/>
      <c r="I7" s="49"/>
      <c r="J7" s="49"/>
      <c r="K7" s="49"/>
      <c r="L7" s="49"/>
      <c r="M7" s="49"/>
      <c r="N7" s="50"/>
      <c r="O7" s="50"/>
      <c r="P7" s="50"/>
    </row>
    <row r="8" spans="2:16" x14ac:dyDescent="0.2">
      <c r="B8" s="45" t="s">
        <v>106</v>
      </c>
      <c r="C8" s="93">
        <v>0</v>
      </c>
      <c r="D8" s="93">
        <v>100</v>
      </c>
      <c r="E8" s="93">
        <v>0</v>
      </c>
      <c r="F8" s="93">
        <v>0</v>
      </c>
      <c r="G8" s="97">
        <f>SUM($C$8:$F$8)</f>
        <v>100</v>
      </c>
      <c r="H8" s="49"/>
      <c r="I8" s="49"/>
      <c r="J8" s="49"/>
      <c r="K8" s="49"/>
      <c r="L8" s="49"/>
      <c r="M8" s="49"/>
      <c r="N8" s="50"/>
      <c r="O8" s="50"/>
      <c r="P8" s="50"/>
    </row>
    <row r="9" spans="2:16" x14ac:dyDescent="0.2">
      <c r="B9" s="45" t="s">
        <v>107</v>
      </c>
      <c r="C9" s="93">
        <v>0</v>
      </c>
      <c r="D9" s="93">
        <v>0</v>
      </c>
      <c r="E9" s="93">
        <v>0</v>
      </c>
      <c r="F9" s="93">
        <v>100</v>
      </c>
      <c r="G9" s="97">
        <f>SUM($C$9:$F$9)</f>
        <v>100</v>
      </c>
      <c r="H9" s="49"/>
      <c r="I9" s="49"/>
      <c r="J9" s="49"/>
      <c r="K9" s="49"/>
      <c r="L9" s="49"/>
      <c r="M9" s="49"/>
      <c r="N9" s="50"/>
      <c r="O9" s="50"/>
      <c r="P9" s="50"/>
    </row>
    <row r="10" spans="2:16" x14ac:dyDescent="0.2">
      <c r="B10" s="45" t="s">
        <v>108</v>
      </c>
      <c r="C10" s="93">
        <v>41.5333604257549</v>
      </c>
      <c r="D10" s="93">
        <v>17.4123902468334</v>
      </c>
      <c r="E10" s="93">
        <v>41.054249327411597</v>
      </c>
      <c r="F10" s="93">
        <v>0</v>
      </c>
      <c r="G10" s="97">
        <f>SUM($C$10:$F$10)</f>
        <v>99.999999999999901</v>
      </c>
      <c r="H10" s="49"/>
      <c r="I10" s="49"/>
      <c r="J10" s="49"/>
      <c r="K10" s="49"/>
      <c r="L10" s="49"/>
      <c r="M10" s="49"/>
      <c r="N10" s="50"/>
      <c r="O10" s="50"/>
      <c r="P10" s="50"/>
    </row>
    <row r="11" spans="2:16" x14ac:dyDescent="0.2">
      <c r="B11" s="45" t="s">
        <v>109</v>
      </c>
      <c r="C11" s="94">
        <v>0</v>
      </c>
      <c r="D11" s="94">
        <v>0</v>
      </c>
      <c r="E11" s="94">
        <v>0</v>
      </c>
      <c r="F11" s="94">
        <v>0</v>
      </c>
      <c r="G11" s="96">
        <f>SUM($C$11:$F$11)</f>
        <v>0</v>
      </c>
      <c r="H11" s="49"/>
      <c r="I11" s="49"/>
      <c r="J11" s="49"/>
      <c r="K11" s="49"/>
      <c r="L11" s="49"/>
      <c r="M11" s="49"/>
      <c r="N11" s="50"/>
      <c r="O11" s="50"/>
      <c r="P11" s="50"/>
    </row>
    <row r="12" spans="2:16" x14ac:dyDescent="0.2">
      <c r="B12" s="51"/>
      <c r="C12" s="51"/>
      <c r="D12" s="51"/>
      <c r="E12" s="51"/>
      <c r="F12" s="51"/>
      <c r="G12" s="51"/>
      <c r="H12" s="49"/>
      <c r="I12" s="49"/>
      <c r="J12" s="49"/>
      <c r="K12" s="49"/>
      <c r="L12" s="49"/>
      <c r="M12" s="49"/>
      <c r="N12" s="50"/>
      <c r="O12" s="50"/>
      <c r="P12" s="50"/>
    </row>
    <row r="13" spans="2:16" x14ac:dyDescent="0.2">
      <c r="C13" s="49"/>
      <c r="D13" s="49"/>
      <c r="E13" s="49"/>
      <c r="F13" s="49"/>
      <c r="G13" s="49"/>
      <c r="H13" s="49"/>
      <c r="I13" s="50"/>
      <c r="J13" s="50"/>
      <c r="K13" s="50"/>
    </row>
    <row r="14" spans="2:16" x14ac:dyDescent="0.2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6" x14ac:dyDescent="0.2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6" x14ac:dyDescent="0.2">
      <c r="B16" s="31"/>
      <c r="C16" s="31"/>
      <c r="D16" s="31"/>
      <c r="E16" s="50"/>
      <c r="F16" s="50"/>
      <c r="G16" s="50"/>
      <c r="H16" s="50"/>
      <c r="K16" s="50"/>
      <c r="L16" s="50"/>
      <c r="M16" s="50"/>
    </row>
    <row r="17" spans="2:14" x14ac:dyDescent="0.2">
      <c r="B17" s="45" t="s">
        <v>118</v>
      </c>
      <c r="C17" s="45" t="s">
        <v>12</v>
      </c>
      <c r="D17" s="45"/>
      <c r="E17" s="50"/>
      <c r="F17" s="50"/>
      <c r="G17" s="50"/>
      <c r="H17" s="50"/>
      <c r="K17" s="50"/>
      <c r="L17" s="50"/>
      <c r="M17" s="50"/>
    </row>
    <row r="18" spans="2:14" x14ac:dyDescent="0.2">
      <c r="B18" s="45" t="s">
        <v>119</v>
      </c>
      <c r="C18" s="45" t="s">
        <v>133</v>
      </c>
      <c r="D18" s="45" t="s">
        <v>123</v>
      </c>
      <c r="E18" s="50"/>
      <c r="F18" s="50"/>
      <c r="G18" s="50"/>
      <c r="H18" s="50"/>
      <c r="I18" s="50"/>
      <c r="K18" s="50"/>
      <c r="L18" s="50"/>
      <c r="M18" s="50"/>
    </row>
    <row r="19" spans="2:14" x14ac:dyDescent="0.2">
      <c r="B19" s="45" t="s">
        <v>120</v>
      </c>
      <c r="C19" s="94">
        <v>28.648535662252701</v>
      </c>
      <c r="D19" s="33">
        <f>100-$C$19</f>
        <v>71.351464337747302</v>
      </c>
      <c r="K19" s="50"/>
      <c r="L19" s="50"/>
      <c r="M19" s="50"/>
    </row>
    <row r="20" spans="2:14" x14ac:dyDescent="0.2">
      <c r="B20" s="54"/>
      <c r="C20" s="54"/>
      <c r="D20" s="54"/>
      <c r="E20" s="50"/>
      <c r="F20" s="50"/>
      <c r="G20" s="50"/>
      <c r="H20" s="50"/>
      <c r="K20" s="50"/>
      <c r="L20" s="50"/>
      <c r="M20" s="50"/>
    </row>
    <row r="21" spans="2:14" x14ac:dyDescent="0.2">
      <c r="I21" s="50"/>
      <c r="J21" s="50"/>
      <c r="K21" s="50"/>
    </row>
    <row r="22" spans="2:14" x14ac:dyDescent="0.2">
      <c r="B22" s="52" t="s">
        <v>114</v>
      </c>
      <c r="I22" s="50"/>
      <c r="J22" s="50"/>
      <c r="K22" s="50"/>
    </row>
    <row r="23" spans="2:14" x14ac:dyDescent="0.2">
      <c r="B23" s="55" t="s">
        <v>145</v>
      </c>
      <c r="I23" s="50"/>
      <c r="J23" s="50"/>
      <c r="K23" s="50"/>
    </row>
    <row r="24" spans="2:14" x14ac:dyDescent="0.2">
      <c r="B24" s="31"/>
      <c r="C24" s="31"/>
      <c r="D24" s="31"/>
      <c r="E24" s="31"/>
      <c r="L24" s="50"/>
      <c r="M24" s="50"/>
      <c r="N24" s="50"/>
    </row>
    <row r="25" spans="2:14" x14ac:dyDescent="0.2">
      <c r="B25" s="45" t="s">
        <v>121</v>
      </c>
      <c r="C25" s="45" t="s">
        <v>122</v>
      </c>
      <c r="D25" s="45" t="s">
        <v>12</v>
      </c>
      <c r="E25" s="45"/>
      <c r="L25" s="50"/>
      <c r="M25" s="50"/>
      <c r="N25" s="50"/>
    </row>
    <row r="26" spans="2:14" x14ac:dyDescent="0.2">
      <c r="B26" s="45" t="s">
        <v>119</v>
      </c>
      <c r="C26" s="45" t="s">
        <v>123</v>
      </c>
      <c r="D26" s="45" t="s">
        <v>133</v>
      </c>
      <c r="E26" s="45" t="s">
        <v>123</v>
      </c>
      <c r="L26" s="50"/>
      <c r="M26" s="50"/>
      <c r="N26" s="50"/>
    </row>
    <row r="27" spans="2:14" x14ac:dyDescent="0.2">
      <c r="B27" s="45" t="s">
        <v>42</v>
      </c>
      <c r="C27" s="93">
        <v>17.377255851296699</v>
      </c>
      <c r="D27" s="93">
        <v>65.265139386733907</v>
      </c>
      <c r="E27" s="95">
        <v>38.943317989247298</v>
      </c>
      <c r="L27" s="50"/>
      <c r="M27" s="50"/>
      <c r="N27" s="50"/>
    </row>
    <row r="28" spans="2:14" x14ac:dyDescent="0.2">
      <c r="B28" s="45" t="s">
        <v>49</v>
      </c>
      <c r="C28" s="93">
        <v>82.622744148703205</v>
      </c>
      <c r="D28" s="93">
        <v>27.242666526379299</v>
      </c>
      <c r="E28" s="95">
        <v>53.135687112206703</v>
      </c>
      <c r="L28" s="50"/>
      <c r="M28" s="50"/>
      <c r="N28" s="50"/>
    </row>
    <row r="29" spans="2:14" x14ac:dyDescent="0.2">
      <c r="B29" s="45" t="s">
        <v>66</v>
      </c>
      <c r="C29" s="93">
        <v>0</v>
      </c>
      <c r="D29" s="93">
        <v>7.4921940868867098</v>
      </c>
      <c r="E29" s="95">
        <v>7.9209948985459402</v>
      </c>
      <c r="L29" s="50"/>
      <c r="M29" s="50"/>
      <c r="N29" s="50"/>
    </row>
    <row r="30" spans="2:14" x14ac:dyDescent="0.2">
      <c r="B30" s="45" t="s">
        <v>150</v>
      </c>
      <c r="C30" s="98">
        <f>SUM($C$27:$C$29)</f>
        <v>99.999999999999901</v>
      </c>
      <c r="D30" s="98">
        <f>SUM($D$27:$D$29)</f>
        <v>99.999999999999915</v>
      </c>
      <c r="E30" s="96">
        <f>SUM($E$27:$E$29)</f>
        <v>99.999999999999943</v>
      </c>
      <c r="L30" s="50"/>
      <c r="M30" s="50"/>
      <c r="N30" s="50"/>
    </row>
    <row r="31" spans="2:14" x14ac:dyDescent="0.2">
      <c r="B31" s="54"/>
      <c r="C31" s="54"/>
      <c r="D31" s="54"/>
      <c r="E31" s="54"/>
      <c r="L31" s="50"/>
      <c r="M31" s="50"/>
      <c r="N31" s="50"/>
    </row>
    <row r="32" spans="2:14" x14ac:dyDescent="0.2">
      <c r="I32" s="50"/>
      <c r="J32" s="50"/>
      <c r="K32" s="50"/>
    </row>
    <row r="33" spans="2:14" x14ac:dyDescent="0.2">
      <c r="B33" s="52" t="s">
        <v>124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 x14ac:dyDescent="0.2">
      <c r="B34" s="53" t="s">
        <v>143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 x14ac:dyDescent="0.2"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</row>
    <row r="36" spans="2:14" x14ac:dyDescent="0.2">
      <c r="B36" s="45" t="s">
        <v>147</v>
      </c>
      <c r="C36" s="45" t="s">
        <v>92</v>
      </c>
      <c r="D36" s="45" t="s">
        <v>93</v>
      </c>
      <c r="E36" s="45" t="s">
        <v>94</v>
      </c>
      <c r="F36" s="45" t="s">
        <v>95</v>
      </c>
      <c r="G36" s="45" t="s">
        <v>96</v>
      </c>
      <c r="H36" s="45" t="s">
        <v>97</v>
      </c>
      <c r="I36" s="45" t="s">
        <v>98</v>
      </c>
      <c r="J36" s="45" t="s">
        <v>99</v>
      </c>
      <c r="K36" s="45" t="s">
        <v>100</v>
      </c>
      <c r="L36" s="45" t="s">
        <v>101</v>
      </c>
      <c r="M36" s="45" t="s">
        <v>102</v>
      </c>
      <c r="N36" s="45" t="s">
        <v>103</v>
      </c>
    </row>
    <row r="37" spans="2:14" x14ac:dyDescent="0.2">
      <c r="B37" s="45" t="s">
        <v>42</v>
      </c>
      <c r="C37" s="93">
        <v>51.908497856819402</v>
      </c>
      <c r="D37" s="93">
        <v>45.964418006046202</v>
      </c>
      <c r="E37" s="93">
        <v>23.654089296772899</v>
      </c>
      <c r="F37" s="93">
        <v>29.409681846182799</v>
      </c>
      <c r="G37" s="93">
        <v>31.005989065686901</v>
      </c>
      <c r="H37" s="93">
        <v>20.571549871790701</v>
      </c>
      <c r="I37" s="93">
        <v>14.5272462476755</v>
      </c>
      <c r="J37" s="93">
        <v>53.933382441796702</v>
      </c>
      <c r="K37" s="93">
        <v>52.004946894467203</v>
      </c>
      <c r="L37" s="93">
        <v>35.363407517214497</v>
      </c>
      <c r="M37" s="93">
        <v>52.368814613779399</v>
      </c>
      <c r="N37" s="95">
        <v>53.105356930719502</v>
      </c>
    </row>
    <row r="38" spans="2:14" x14ac:dyDescent="0.2">
      <c r="B38" s="45" t="s">
        <v>49</v>
      </c>
      <c r="C38" s="93">
        <v>31.473436017871101</v>
      </c>
      <c r="D38" s="93">
        <v>35.243535134214902</v>
      </c>
      <c r="E38" s="93">
        <v>41.667093936841603</v>
      </c>
      <c r="F38" s="93">
        <v>57.299282763612098</v>
      </c>
      <c r="G38" s="93">
        <v>53.8983889628838</v>
      </c>
      <c r="H38" s="93">
        <v>58.024572591360197</v>
      </c>
      <c r="I38" s="93">
        <v>63.173408321595403</v>
      </c>
      <c r="J38" s="93">
        <v>69.154092259053797</v>
      </c>
      <c r="K38" s="93">
        <v>75.750071799988106</v>
      </c>
      <c r="L38" s="93">
        <v>84.829901550922898</v>
      </c>
      <c r="M38" s="93">
        <v>85.814382398987505</v>
      </c>
      <c r="N38" s="95">
        <v>65.8822155193903</v>
      </c>
    </row>
    <row r="39" spans="2:14" x14ac:dyDescent="0.2">
      <c r="B39" s="45" t="s">
        <v>66</v>
      </c>
      <c r="C39" s="94">
        <v>63.662772236954197</v>
      </c>
      <c r="D39" s="94">
        <v>29.028742179390701</v>
      </c>
      <c r="E39" s="94">
        <v>98.500246627754095</v>
      </c>
      <c r="F39" s="94">
        <v>60.456067389524598</v>
      </c>
      <c r="G39" s="94">
        <v>61.8719369359019</v>
      </c>
      <c r="H39" s="94">
        <v>65.473127404636799</v>
      </c>
      <c r="I39" s="94">
        <v>63.732853356673303</v>
      </c>
      <c r="J39" s="94">
        <v>12.5581504157339</v>
      </c>
      <c r="K39" s="94">
        <v>0</v>
      </c>
      <c r="L39" s="94">
        <v>1.86077391088712</v>
      </c>
      <c r="M39" s="94">
        <v>33.756612440755902</v>
      </c>
      <c r="N39" s="89">
        <v>63.024640440927897</v>
      </c>
    </row>
    <row r="40" spans="2:14" x14ac:dyDescent="0.2"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</row>
    <row r="41" spans="2:14" x14ac:dyDescent="0.2">
      <c r="I41" s="50"/>
      <c r="J41" s="50"/>
      <c r="K41" s="50"/>
    </row>
    <row r="42" spans="2:14" x14ac:dyDescent="0.2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 x14ac:dyDescent="0.2"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 x14ac:dyDescent="0.2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 x14ac:dyDescent="0.2">
      <c r="B45" s="56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 x14ac:dyDescent="0.2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 x14ac:dyDescent="0.2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 x14ac:dyDescent="0.2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 x14ac:dyDescent="0.2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1" spans="2:24" x14ac:dyDescent="0.2">
      <c r="P51" s="50"/>
      <c r="Q51" s="50"/>
      <c r="R51" s="50"/>
      <c r="S51" s="50"/>
      <c r="T51" s="50"/>
      <c r="U51" s="50"/>
      <c r="V51" s="50"/>
      <c r="W51" s="50"/>
      <c r="X51" s="50"/>
    </row>
    <row r="63" spans="2:24" x14ac:dyDescent="0.2">
      <c r="I63" s="50"/>
      <c r="J63" s="50"/>
    </row>
    <row r="64" spans="2:24" x14ac:dyDescent="0.2">
      <c r="I64" s="50"/>
      <c r="J64" s="50"/>
    </row>
    <row r="65" spans="9:10" x14ac:dyDescent="0.2">
      <c r="I65" s="50"/>
      <c r="J65" s="50"/>
    </row>
  </sheetData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F11 C19 C27:E29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7:N39">
      <formula1>0</formula1>
      <formula2>100</formula2>
    </dataValidation>
  </dataValidations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O41"/>
  <sheetViews>
    <sheetView showGridLines="0" workbookViewId="0">
      <selection activeCell="E17" sqref="E17"/>
    </sheetView>
  </sheetViews>
  <sheetFormatPr defaultColWidth="9.140625" defaultRowHeight="12.75" x14ac:dyDescent="0.2"/>
  <cols>
    <col min="1" max="2" width="4.7109375" style="29" customWidth="1"/>
    <col min="3" max="3" width="12.7109375" style="29" customWidth="1"/>
    <col min="4" max="15" width="8.7109375" style="29" customWidth="1"/>
    <col min="16" max="16384" width="9.140625" style="29"/>
  </cols>
  <sheetData>
    <row r="2" spans="2:15" x14ac:dyDescent="0.2">
      <c r="C2" s="28" t="s">
        <v>158</v>
      </c>
    </row>
    <row r="3" spans="2:15" x14ac:dyDescent="0.2">
      <c r="C3" s="30" t="s">
        <v>138</v>
      </c>
    </row>
    <row r="4" spans="2:15" x14ac:dyDescent="0.2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 x14ac:dyDescent="0.2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 x14ac:dyDescent="0.2">
      <c r="C6" s="41" t="s">
        <v>126</v>
      </c>
      <c r="D6" s="89">
        <v>1.7701</v>
      </c>
      <c r="E6" s="89">
        <v>1.5493977814914499</v>
      </c>
      <c r="F6" s="89">
        <v>1.3481000000000001</v>
      </c>
      <c r="G6" s="89">
        <v>2.3127604310988898</v>
      </c>
      <c r="H6" s="89">
        <v>1.488</v>
      </c>
      <c r="I6" s="89">
        <v>1.3675999999999999</v>
      </c>
      <c r="J6" s="89">
        <v>1.5059</v>
      </c>
      <c r="K6" s="89">
        <v>1.18034074032215</v>
      </c>
      <c r="L6" s="89">
        <v>1.1836134875412101</v>
      </c>
      <c r="M6" s="89">
        <v>1.4628000000000001</v>
      </c>
      <c r="N6" s="89">
        <v>2.1292</v>
      </c>
      <c r="O6" s="89">
        <v>1.6937</v>
      </c>
    </row>
    <row r="7" spans="2:15" x14ac:dyDescent="0.2">
      <c r="C7" s="36" t="s">
        <v>127</v>
      </c>
      <c r="D7" s="89">
        <v>1.0254798266349301</v>
      </c>
      <c r="E7" s="89">
        <v>1.0254798266349301</v>
      </c>
      <c r="F7" s="89">
        <v>1.7340923472207399</v>
      </c>
      <c r="G7" s="89">
        <v>1.6687000000000001</v>
      </c>
      <c r="H7" s="89">
        <v>1.5938000000000001</v>
      </c>
      <c r="I7" s="89">
        <v>1.4575</v>
      </c>
      <c r="J7" s="89">
        <v>1.9581999999999999</v>
      </c>
      <c r="K7" s="89">
        <v>1.5217402909440001</v>
      </c>
      <c r="L7" s="89">
        <v>1.5552595742556501</v>
      </c>
      <c r="M7" s="89">
        <v>1.73865132875565</v>
      </c>
      <c r="N7" s="89">
        <v>1.73219798082957</v>
      </c>
      <c r="O7" s="89">
        <v>1.7014447406659401</v>
      </c>
    </row>
    <row r="8" spans="2:15" x14ac:dyDescent="0.2">
      <c r="C8" s="36" t="s">
        <v>128</v>
      </c>
      <c r="D8" s="89">
        <v>2.1596000000000002</v>
      </c>
      <c r="E8" s="89">
        <v>2.1791622943485902</v>
      </c>
      <c r="F8" s="89">
        <v>2.18096313945603</v>
      </c>
      <c r="G8" s="89">
        <v>1.54466852545603</v>
      </c>
      <c r="H8" s="89">
        <v>1.7424999999999999</v>
      </c>
      <c r="I8" s="89">
        <v>1.3234286246673801</v>
      </c>
      <c r="J8" s="89">
        <v>1.6651</v>
      </c>
      <c r="K8" s="89">
        <v>1.59577897</v>
      </c>
      <c r="L8" s="89">
        <v>1.6113999999999999</v>
      </c>
      <c r="M8" s="89">
        <v>2.2441</v>
      </c>
      <c r="N8" s="89">
        <v>2.1566387365648598</v>
      </c>
      <c r="O8" s="89">
        <v>2.1258854964012301</v>
      </c>
    </row>
    <row r="9" spans="2:15" x14ac:dyDescent="0.2">
      <c r="C9" s="36" t="s">
        <v>129</v>
      </c>
      <c r="D9" s="89">
        <v>2.2498</v>
      </c>
      <c r="E9" s="89">
        <v>1.96517843314914</v>
      </c>
      <c r="F9" s="89">
        <v>1.58165462525658</v>
      </c>
      <c r="G9" s="89">
        <v>1.5567</v>
      </c>
      <c r="H9" s="89">
        <v>1.395106</v>
      </c>
      <c r="I9" s="89">
        <v>1.9752087121737301</v>
      </c>
      <c r="J9" s="89">
        <v>2.1802999999999999</v>
      </c>
      <c r="K9" s="89">
        <v>1.97985084545123</v>
      </c>
      <c r="L9" s="89">
        <v>1.6475973500000001</v>
      </c>
      <c r="M9" s="89">
        <v>2.3713000000000002</v>
      </c>
      <c r="N9" s="89">
        <v>1.67443533478225</v>
      </c>
      <c r="O9" s="89">
        <v>1.724</v>
      </c>
    </row>
    <row r="10" spans="2:15" x14ac:dyDescent="0.2">
      <c r="C10" s="36" t="s">
        <v>130</v>
      </c>
      <c r="D10" s="89">
        <v>1.3416993420000001</v>
      </c>
      <c r="E10" s="89">
        <v>1.3352506209999999</v>
      </c>
      <c r="F10" s="89">
        <v>1.753900872</v>
      </c>
      <c r="G10" s="89">
        <v>1.9326898699999999</v>
      </c>
      <c r="H10" s="89">
        <v>1.408654589</v>
      </c>
      <c r="I10" s="89">
        <v>1.2179255929999999</v>
      </c>
      <c r="J10" s="89">
        <v>2.1697000000000002</v>
      </c>
      <c r="K10" s="89">
        <v>2.3073999999999999</v>
      </c>
      <c r="L10" s="89">
        <v>2.4354</v>
      </c>
      <c r="M10" s="89">
        <v>1.4709137940000001</v>
      </c>
      <c r="N10" s="89">
        <v>2.3464999999999998</v>
      </c>
      <c r="O10" s="89">
        <v>2.8391615959999998</v>
      </c>
    </row>
    <row r="11" spans="2:15" x14ac:dyDescent="0.2">
      <c r="C11" s="36" t="s">
        <v>131</v>
      </c>
      <c r="D11" s="89">
        <v>2.1274999999999999</v>
      </c>
      <c r="E11" s="89">
        <v>2.5488639910000002</v>
      </c>
      <c r="F11" s="89">
        <v>2.4933314059999998</v>
      </c>
      <c r="G11" s="89">
        <v>1.965308863</v>
      </c>
      <c r="H11" s="89">
        <v>2.1535739149999999</v>
      </c>
      <c r="I11" s="89">
        <v>1.6484483379999999</v>
      </c>
      <c r="J11" s="89">
        <v>1.6606000000000001</v>
      </c>
      <c r="K11" s="89">
        <v>2.2540319040000001</v>
      </c>
      <c r="L11" s="89">
        <v>1.7444894609999999</v>
      </c>
      <c r="M11" s="89">
        <v>2.4036405369999998</v>
      </c>
      <c r="N11" s="89">
        <v>1.5851</v>
      </c>
      <c r="O11" s="89">
        <v>1.7985</v>
      </c>
    </row>
    <row r="12" spans="2:15" x14ac:dyDescent="0.2">
      <c r="C12" s="37" t="s">
        <v>132</v>
      </c>
      <c r="D12" s="89">
        <v>1.934653714</v>
      </c>
      <c r="E12" s="89">
        <v>1.3411483470000001</v>
      </c>
      <c r="F12" s="89">
        <v>1.8428000120000001</v>
      </c>
      <c r="G12" s="89">
        <v>2.6980786019999998</v>
      </c>
      <c r="H12" s="89">
        <v>2.4302417799999998</v>
      </c>
      <c r="I12" s="89">
        <v>3.437541366</v>
      </c>
      <c r="J12" s="89">
        <v>2.4366815759999998</v>
      </c>
      <c r="K12" s="89">
        <v>2.375443953</v>
      </c>
      <c r="L12" s="89">
        <v>3.3448877420000001</v>
      </c>
      <c r="M12" s="89">
        <v>2.3444296750000002</v>
      </c>
      <c r="N12" s="89">
        <v>2.9793412369999901</v>
      </c>
      <c r="O12" s="89">
        <v>2.37177266</v>
      </c>
    </row>
    <row r="13" spans="2:15" x14ac:dyDescent="0.2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 x14ac:dyDescent="0.2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 x14ac:dyDescent="0.2">
      <c r="C15" s="41" t="s">
        <v>126</v>
      </c>
      <c r="D15" s="89">
        <v>4</v>
      </c>
      <c r="E15" s="89">
        <v>4</v>
      </c>
      <c r="F15" s="89">
        <v>2.5797205567580401</v>
      </c>
      <c r="G15" s="89">
        <v>4</v>
      </c>
      <c r="H15" s="89">
        <v>2.7430654736132301</v>
      </c>
      <c r="I15" s="89">
        <v>4</v>
      </c>
      <c r="J15" s="89">
        <v>4</v>
      </c>
      <c r="K15" s="89">
        <v>2.6562601166575801</v>
      </c>
      <c r="L15" s="89">
        <v>4</v>
      </c>
      <c r="M15" s="89">
        <v>2.96353088258169</v>
      </c>
      <c r="N15" s="89">
        <v>4</v>
      </c>
      <c r="O15" s="89">
        <v>4</v>
      </c>
    </row>
    <row r="16" spans="2:15" x14ac:dyDescent="0.2">
      <c r="C16" s="36" t="s">
        <v>127</v>
      </c>
      <c r="D16" s="89">
        <v>4</v>
      </c>
      <c r="E16" s="89">
        <v>4</v>
      </c>
      <c r="F16" s="89">
        <v>4</v>
      </c>
      <c r="G16" s="89">
        <v>2.3110383615493602</v>
      </c>
      <c r="H16" s="89">
        <v>2.9682704148777801</v>
      </c>
      <c r="I16" s="89">
        <v>4</v>
      </c>
      <c r="J16" s="89">
        <v>4</v>
      </c>
      <c r="K16" s="89">
        <v>2.3349503338852799</v>
      </c>
      <c r="L16" s="89">
        <v>2.5249437851769998</v>
      </c>
      <c r="M16" s="89">
        <v>2.5650170100021898</v>
      </c>
      <c r="N16" s="89">
        <v>4</v>
      </c>
      <c r="O16" s="89">
        <v>4</v>
      </c>
    </row>
    <row r="17" spans="2:15" x14ac:dyDescent="0.2">
      <c r="C17" s="36" t="s">
        <v>128</v>
      </c>
      <c r="D17" s="89">
        <v>4</v>
      </c>
      <c r="E17" s="89">
        <v>4</v>
      </c>
      <c r="F17" s="89">
        <v>4</v>
      </c>
      <c r="G17" s="89">
        <v>4</v>
      </c>
      <c r="H17" s="89">
        <v>3.10751877995212</v>
      </c>
      <c r="I17" s="89">
        <v>4</v>
      </c>
      <c r="J17" s="89">
        <v>4</v>
      </c>
      <c r="K17" s="89">
        <v>4</v>
      </c>
      <c r="L17" s="89">
        <v>4</v>
      </c>
      <c r="M17" s="89">
        <v>4</v>
      </c>
      <c r="N17" s="89">
        <v>4</v>
      </c>
      <c r="O17" s="89">
        <v>4</v>
      </c>
    </row>
    <row r="18" spans="2:15" x14ac:dyDescent="0.2">
      <c r="C18" s="36" t="s">
        <v>129</v>
      </c>
      <c r="D18" s="89">
        <v>4</v>
      </c>
      <c r="E18" s="89">
        <v>2.7428747260000002</v>
      </c>
      <c r="F18" s="89">
        <v>3.1444445459999999</v>
      </c>
      <c r="G18" s="89">
        <v>3.4949747339999999</v>
      </c>
      <c r="H18" s="89">
        <v>4</v>
      </c>
      <c r="I18" s="89">
        <v>4</v>
      </c>
      <c r="J18" s="89">
        <v>4</v>
      </c>
      <c r="K18" s="89">
        <v>4</v>
      </c>
      <c r="L18" s="89">
        <v>4</v>
      </c>
      <c r="M18" s="89">
        <v>4</v>
      </c>
      <c r="N18" s="89">
        <v>4</v>
      </c>
      <c r="O18" s="89">
        <v>2.6231237599999999</v>
      </c>
    </row>
    <row r="19" spans="2:15" x14ac:dyDescent="0.2">
      <c r="C19" s="36" t="s">
        <v>130</v>
      </c>
      <c r="D19" s="89">
        <v>2.6238197099999998</v>
      </c>
      <c r="E19" s="89">
        <v>4</v>
      </c>
      <c r="F19" s="89">
        <v>2.5652036429999998</v>
      </c>
      <c r="G19" s="89">
        <v>2.9158347899999999</v>
      </c>
      <c r="H19" s="89">
        <v>3.471471857</v>
      </c>
      <c r="I19" s="89">
        <v>4</v>
      </c>
      <c r="J19" s="89">
        <v>3.5922344919999998</v>
      </c>
      <c r="K19" s="89">
        <v>4</v>
      </c>
      <c r="L19" s="89">
        <v>3.4060127530000002</v>
      </c>
      <c r="M19" s="89">
        <v>2.7432400490000002</v>
      </c>
      <c r="N19" s="89">
        <v>3.3272437250000002</v>
      </c>
      <c r="O19" s="89">
        <v>2.9399225169999998</v>
      </c>
    </row>
    <row r="20" spans="2:15" x14ac:dyDescent="0.2">
      <c r="C20" s="36" t="s">
        <v>131</v>
      </c>
      <c r="D20" s="89">
        <v>4</v>
      </c>
      <c r="E20" s="89">
        <v>4</v>
      </c>
      <c r="F20" s="89">
        <v>4</v>
      </c>
      <c r="G20" s="89">
        <v>4</v>
      </c>
      <c r="H20" s="89">
        <v>4</v>
      </c>
      <c r="I20" s="89">
        <v>4</v>
      </c>
      <c r="J20" s="89">
        <v>4</v>
      </c>
      <c r="K20" s="89">
        <v>4</v>
      </c>
      <c r="L20" s="89">
        <v>4</v>
      </c>
      <c r="M20" s="89">
        <v>4</v>
      </c>
      <c r="N20" s="89">
        <v>4</v>
      </c>
      <c r="O20" s="89">
        <v>3.4435498619999998</v>
      </c>
    </row>
    <row r="21" spans="2:15" x14ac:dyDescent="0.2">
      <c r="C21" s="37" t="s">
        <v>132</v>
      </c>
      <c r="D21" s="89">
        <v>4</v>
      </c>
      <c r="E21" s="89">
        <v>4</v>
      </c>
      <c r="F21" s="89">
        <v>4</v>
      </c>
      <c r="G21" s="89">
        <v>4</v>
      </c>
      <c r="H21" s="89">
        <v>4</v>
      </c>
      <c r="I21" s="89">
        <v>4</v>
      </c>
      <c r="J21" s="89">
        <v>4</v>
      </c>
      <c r="K21" s="89">
        <v>4</v>
      </c>
      <c r="L21" s="89">
        <v>4</v>
      </c>
      <c r="M21" s="89">
        <v>4</v>
      </c>
      <c r="N21" s="89">
        <v>4</v>
      </c>
      <c r="O21" s="89">
        <v>4</v>
      </c>
    </row>
    <row r="22" spans="2:15" x14ac:dyDescent="0.2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 x14ac:dyDescent="0.2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 x14ac:dyDescent="0.2">
      <c r="C24" s="41" t="s">
        <v>126</v>
      </c>
      <c r="D24" s="89">
        <v>2.6433426960279198</v>
      </c>
      <c r="E24" s="89">
        <v>4</v>
      </c>
      <c r="F24" s="89">
        <v>2.7552347250000002</v>
      </c>
      <c r="G24" s="89">
        <v>2.7885856840000001</v>
      </c>
      <c r="H24" s="89">
        <v>3.467193371</v>
      </c>
      <c r="I24" s="89">
        <v>3.2283519100000002</v>
      </c>
      <c r="J24" s="89">
        <v>4</v>
      </c>
      <c r="K24" s="89">
        <v>4</v>
      </c>
      <c r="L24" s="89">
        <v>3.145605325</v>
      </c>
      <c r="M24" s="89">
        <v>1.1306978910000001</v>
      </c>
      <c r="N24" s="89">
        <v>2.2926476139999998</v>
      </c>
      <c r="O24" s="89">
        <v>2.9631187639999998</v>
      </c>
    </row>
    <row r="25" spans="2:15" x14ac:dyDescent="0.2">
      <c r="C25" s="36" t="s">
        <v>127</v>
      </c>
      <c r="D25" s="89">
        <v>2.2096391739999999</v>
      </c>
      <c r="E25" s="89">
        <v>2.130761358</v>
      </c>
      <c r="F25" s="89">
        <v>2.6128792129999998</v>
      </c>
      <c r="G25" s="89">
        <v>3.0532780179999999</v>
      </c>
      <c r="H25" s="89">
        <v>3.1895991669999999</v>
      </c>
      <c r="I25" s="89">
        <v>3.2161853329999999</v>
      </c>
      <c r="J25" s="89">
        <v>3.2373553949999998</v>
      </c>
      <c r="K25" s="89">
        <v>2.152089868</v>
      </c>
      <c r="L25" s="89">
        <v>2.5557028879999999</v>
      </c>
      <c r="M25" s="89">
        <v>2.1555457709999999</v>
      </c>
      <c r="N25" s="89">
        <v>1.2154733360000001</v>
      </c>
      <c r="O25" s="89">
        <v>1.615986637</v>
      </c>
    </row>
    <row r="26" spans="2:15" x14ac:dyDescent="0.2">
      <c r="C26" s="36" t="s">
        <v>128</v>
      </c>
      <c r="D26" s="89">
        <v>4</v>
      </c>
      <c r="E26" s="89">
        <v>4</v>
      </c>
      <c r="F26" s="89">
        <v>2.7996430010000002</v>
      </c>
      <c r="G26" s="89">
        <v>2.799471917</v>
      </c>
      <c r="H26" s="89">
        <v>2.9585740500000002</v>
      </c>
      <c r="I26" s="89">
        <v>3.5645209910000002</v>
      </c>
      <c r="J26" s="89">
        <v>2.96246104</v>
      </c>
      <c r="K26" s="89">
        <v>4</v>
      </c>
      <c r="L26" s="89">
        <v>4</v>
      </c>
      <c r="M26" s="89">
        <v>3.2689630709999999</v>
      </c>
      <c r="N26" s="89">
        <v>4</v>
      </c>
      <c r="O26" s="89">
        <v>2.4519797919999999</v>
      </c>
    </row>
    <row r="27" spans="2:15" x14ac:dyDescent="0.2">
      <c r="C27" s="36" t="s">
        <v>129</v>
      </c>
      <c r="D27" s="89">
        <v>2.8676951088022</v>
      </c>
      <c r="E27" s="89">
        <v>4</v>
      </c>
      <c r="F27" s="89">
        <v>4</v>
      </c>
      <c r="G27" s="89">
        <v>3.350375799</v>
      </c>
      <c r="H27" s="89">
        <v>3.1501048960000002</v>
      </c>
      <c r="I27" s="89">
        <v>2.8385865899999998</v>
      </c>
      <c r="J27" s="89">
        <v>4</v>
      </c>
      <c r="K27" s="89">
        <v>3.2361728840000001</v>
      </c>
      <c r="L27" s="89">
        <v>3.3060748119999999</v>
      </c>
      <c r="M27" s="89">
        <v>2.779058289</v>
      </c>
      <c r="N27" s="89">
        <v>2.6099633720000002</v>
      </c>
      <c r="O27" s="89">
        <v>4</v>
      </c>
    </row>
    <row r="28" spans="2:15" x14ac:dyDescent="0.2">
      <c r="C28" s="36" t="s">
        <v>130</v>
      </c>
      <c r="D28" s="89">
        <v>2.5533921660000001</v>
      </c>
      <c r="E28" s="89">
        <v>3.530298712</v>
      </c>
      <c r="F28" s="89">
        <v>4</v>
      </c>
      <c r="G28" s="89">
        <v>4</v>
      </c>
      <c r="H28" s="89">
        <v>4</v>
      </c>
      <c r="I28" s="89">
        <v>4</v>
      </c>
      <c r="J28" s="89">
        <v>3.28431769</v>
      </c>
      <c r="K28" s="89">
        <v>3.0832947184021902</v>
      </c>
      <c r="L28" s="89">
        <v>2.8455451869999999</v>
      </c>
      <c r="M28" s="89">
        <v>2.9543354220000002</v>
      </c>
      <c r="N28" s="89">
        <v>2.43362336637301</v>
      </c>
      <c r="O28" s="89">
        <v>3.1502299730000001</v>
      </c>
    </row>
    <row r="29" spans="2:15" x14ac:dyDescent="0.2">
      <c r="C29" s="36" t="s">
        <v>131</v>
      </c>
      <c r="D29" s="89">
        <v>3.3994657959999999</v>
      </c>
      <c r="E29" s="89">
        <v>4</v>
      </c>
      <c r="F29" s="89">
        <v>4</v>
      </c>
      <c r="G29" s="89">
        <v>2.9876998800000001</v>
      </c>
      <c r="H29" s="89">
        <v>3.0343193400000001</v>
      </c>
      <c r="I29" s="89">
        <v>3.0348945220000001</v>
      </c>
      <c r="J29" s="89">
        <v>4</v>
      </c>
      <c r="K29" s="89">
        <v>4</v>
      </c>
      <c r="L29" s="89">
        <v>4</v>
      </c>
      <c r="M29" s="89">
        <v>4</v>
      </c>
      <c r="N29" s="89">
        <v>4</v>
      </c>
      <c r="O29" s="89">
        <v>3.237657649</v>
      </c>
    </row>
    <row r="30" spans="2:15" x14ac:dyDescent="0.2">
      <c r="C30" s="37" t="s">
        <v>132</v>
      </c>
      <c r="D30" s="89">
        <v>3.2767955381821401</v>
      </c>
      <c r="E30" s="89">
        <v>4</v>
      </c>
      <c r="F30" s="89">
        <v>4</v>
      </c>
      <c r="G30" s="89">
        <v>4</v>
      </c>
      <c r="H30" s="89">
        <v>3.4422890800000001</v>
      </c>
      <c r="I30" s="89">
        <v>4</v>
      </c>
      <c r="J30" s="89">
        <v>4</v>
      </c>
      <c r="K30" s="89">
        <v>4</v>
      </c>
      <c r="L30" s="89">
        <v>4</v>
      </c>
      <c r="M30" s="89">
        <v>4</v>
      </c>
      <c r="N30" s="89">
        <v>4</v>
      </c>
      <c r="O30" s="89">
        <v>4</v>
      </c>
    </row>
    <row r="31" spans="2:15" x14ac:dyDescent="0.2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 x14ac:dyDescent="0.2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 x14ac:dyDescent="0.2">
      <c r="C33" s="41" t="s">
        <v>126</v>
      </c>
      <c r="D33" s="89">
        <v>1.53564271862096</v>
      </c>
      <c r="E33" s="89">
        <v>1.53564271862096</v>
      </c>
      <c r="F33" s="89">
        <v>2.22545507733768</v>
      </c>
      <c r="G33" s="89">
        <v>2.0498477439473599</v>
      </c>
      <c r="H33" s="89">
        <v>2.1301000000000001</v>
      </c>
      <c r="I33" s="89">
        <v>2.5627832499999998</v>
      </c>
      <c r="J33" s="89">
        <v>2.0885333517564599</v>
      </c>
      <c r="K33" s="89">
        <v>1.97897283003221</v>
      </c>
      <c r="L33" s="89">
        <v>2.67801206408671</v>
      </c>
      <c r="M33" s="89">
        <v>2.1501999999999999</v>
      </c>
      <c r="N33" s="89">
        <v>2.03256436954605</v>
      </c>
      <c r="O33" s="89">
        <v>1.9068995217176401</v>
      </c>
    </row>
    <row r="34" spans="3:15" x14ac:dyDescent="0.2">
      <c r="C34" s="36" t="s">
        <v>127</v>
      </c>
      <c r="D34" s="89">
        <v>3.1187354319999998</v>
      </c>
      <c r="E34" s="89">
        <v>4</v>
      </c>
      <c r="F34" s="89">
        <v>1.9876</v>
      </c>
      <c r="G34" s="89">
        <v>2.0781999999999998</v>
      </c>
      <c r="H34" s="89">
        <v>1.9892174014777499</v>
      </c>
      <c r="I34" s="89">
        <v>2.1702509399999999</v>
      </c>
      <c r="J34" s="89">
        <v>2.1764000000000001</v>
      </c>
      <c r="K34" s="89">
        <v>4</v>
      </c>
      <c r="L34" s="89">
        <v>2.2029000000000001</v>
      </c>
      <c r="M34" s="89">
        <v>2.60762895310374</v>
      </c>
      <c r="N34" s="89">
        <v>2.70155164876557</v>
      </c>
      <c r="O34" s="89">
        <v>1.80512168803005</v>
      </c>
    </row>
    <row r="35" spans="3:15" x14ac:dyDescent="0.2">
      <c r="C35" s="36" t="s">
        <v>128</v>
      </c>
      <c r="D35" s="89">
        <v>2.283804714</v>
      </c>
      <c r="E35" s="89">
        <v>4</v>
      </c>
      <c r="F35" s="89">
        <v>1.42908307457059</v>
      </c>
      <c r="G35" s="89">
        <v>4</v>
      </c>
      <c r="H35" s="89">
        <v>4</v>
      </c>
      <c r="I35" s="89">
        <v>2.7901921329399002</v>
      </c>
      <c r="J35" s="89">
        <v>2.7455779585780098</v>
      </c>
      <c r="K35" s="89">
        <v>4</v>
      </c>
      <c r="L35" s="89">
        <v>4</v>
      </c>
      <c r="M35" s="89">
        <v>4</v>
      </c>
      <c r="N35" s="89">
        <v>2.28697697286916</v>
      </c>
      <c r="O35" s="89">
        <v>2.76623566687537</v>
      </c>
    </row>
    <row r="36" spans="3:15" x14ac:dyDescent="0.2">
      <c r="C36" s="36" t="s">
        <v>129</v>
      </c>
      <c r="D36" s="89">
        <v>2.6253456270000002</v>
      </c>
      <c r="E36" s="89">
        <v>2.46803222</v>
      </c>
      <c r="F36" s="89">
        <v>3.1288152189999998</v>
      </c>
      <c r="G36" s="89">
        <v>2.3400248549999998</v>
      </c>
      <c r="H36" s="89">
        <v>2.463524015</v>
      </c>
      <c r="I36" s="89">
        <v>3.0489756589999999</v>
      </c>
      <c r="J36" s="89">
        <v>2.4423246989999998</v>
      </c>
      <c r="K36" s="89">
        <v>2.9370608730000001</v>
      </c>
      <c r="L36" s="89">
        <v>3.35441916</v>
      </c>
      <c r="M36" s="89">
        <v>1.6775680131362101</v>
      </c>
      <c r="N36" s="89">
        <v>4</v>
      </c>
      <c r="O36" s="89">
        <v>3.3048840340000001</v>
      </c>
    </row>
    <row r="37" spans="3:15" x14ac:dyDescent="0.2">
      <c r="C37" s="36" t="s">
        <v>130</v>
      </c>
      <c r="D37" s="89">
        <v>4</v>
      </c>
      <c r="E37" s="89">
        <v>2.3037855955084101</v>
      </c>
      <c r="F37" s="89">
        <v>2.469392139</v>
      </c>
      <c r="G37" s="89">
        <v>2.124323789</v>
      </c>
      <c r="H37" s="89">
        <v>2.754499493</v>
      </c>
      <c r="I37" s="89">
        <v>1.226027472</v>
      </c>
      <c r="J37" s="89">
        <v>1.0298822190000001</v>
      </c>
      <c r="K37" s="89">
        <v>2.6746915900000001</v>
      </c>
      <c r="L37" s="89">
        <v>2.8630117099999999</v>
      </c>
      <c r="M37" s="89">
        <v>2.755913354</v>
      </c>
      <c r="N37" s="89">
        <v>2.04669807376807</v>
      </c>
      <c r="O37" s="89">
        <v>3.0779060110000001</v>
      </c>
    </row>
    <row r="38" spans="3:15" x14ac:dyDescent="0.2">
      <c r="C38" s="36" t="s">
        <v>131</v>
      </c>
      <c r="D38" s="89">
        <v>4</v>
      </c>
      <c r="E38" s="89">
        <v>4</v>
      </c>
      <c r="F38" s="89">
        <v>4</v>
      </c>
      <c r="G38" s="89">
        <v>2.8383148899999999</v>
      </c>
      <c r="H38" s="89">
        <v>3.3899873409999999</v>
      </c>
      <c r="I38" s="89">
        <v>4</v>
      </c>
      <c r="J38" s="89">
        <v>4</v>
      </c>
      <c r="K38" s="89">
        <v>2.9696607089999998</v>
      </c>
      <c r="L38" s="89">
        <v>4</v>
      </c>
      <c r="M38" s="89">
        <v>4</v>
      </c>
      <c r="N38" s="89">
        <v>2.9162770400000002</v>
      </c>
      <c r="O38" s="89">
        <v>4</v>
      </c>
    </row>
    <row r="39" spans="3:15" x14ac:dyDescent="0.2">
      <c r="C39" s="37" t="s">
        <v>132</v>
      </c>
      <c r="D39" s="89">
        <v>3.0865806418247699</v>
      </c>
      <c r="E39" s="89">
        <v>3.4895359269999999</v>
      </c>
      <c r="F39" s="89">
        <v>4</v>
      </c>
      <c r="G39" s="89">
        <v>4</v>
      </c>
      <c r="H39" s="89">
        <v>4</v>
      </c>
      <c r="I39" s="89">
        <v>3.4761585629999998</v>
      </c>
      <c r="J39" s="89">
        <v>4</v>
      </c>
      <c r="K39" s="89">
        <v>4</v>
      </c>
      <c r="L39" s="89">
        <v>3.0395580240000002</v>
      </c>
      <c r="M39" s="89">
        <v>4</v>
      </c>
      <c r="N39" s="89">
        <v>3.4854130780000001</v>
      </c>
      <c r="O39" s="89">
        <v>3.29252981</v>
      </c>
    </row>
    <row r="40" spans="3:15" x14ac:dyDescent="0.2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 x14ac:dyDescent="0.2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350"/>
  <sheetViews>
    <sheetView showGridLines="0" tabSelected="1" workbookViewId="0"/>
  </sheetViews>
  <sheetFormatPr defaultRowHeight="12.75" x14ac:dyDescent="0.2"/>
  <cols>
    <col min="1" max="1" width="4.7109375" style="106" customWidth="1"/>
    <col min="2" max="6" width="9.140625" style="106"/>
    <col min="7" max="7" width="2.7109375" style="106" customWidth="1"/>
    <col min="8" max="8" width="11.140625" style="106" customWidth="1"/>
    <col min="9" max="10" width="9.140625" style="106"/>
    <col min="11" max="12" width="4.7109375" style="106" customWidth="1"/>
    <col min="13" max="17" width="9.140625" style="106"/>
    <col min="18" max="18" width="2.7109375" style="106" customWidth="1"/>
    <col min="19" max="19" width="14.7109375" style="106" customWidth="1"/>
    <col min="20" max="20" width="16.7109375" style="106" customWidth="1"/>
    <col min="21" max="21" width="4.7109375" style="106" customWidth="1"/>
    <col min="22" max="16384" width="9.140625" style="106"/>
  </cols>
  <sheetData>
    <row r="1" spans="1:20" x14ac:dyDescent="0.2">
      <c r="A1" s="185"/>
    </row>
    <row r="2" spans="1:20" ht="15.75" x14ac:dyDescent="0.25">
      <c r="C2" s="186" t="s">
        <v>165</v>
      </c>
      <c r="D2" s="186"/>
      <c r="E2" s="186"/>
      <c r="F2" s="186"/>
      <c r="G2" s="186"/>
      <c r="H2" s="186"/>
    </row>
    <row r="3" spans="1:20" ht="18.75" x14ac:dyDescent="0.25">
      <c r="C3" s="187" t="s">
        <v>413</v>
      </c>
      <c r="D3" s="187"/>
      <c r="E3" s="187"/>
      <c r="F3" s="187"/>
      <c r="G3" s="187"/>
    </row>
    <row r="5" spans="1:20" ht="15.75" x14ac:dyDescent="0.25">
      <c r="A5" s="188" t="s">
        <v>352</v>
      </c>
      <c r="B5" s="189"/>
      <c r="G5" s="190"/>
      <c r="L5" s="188" t="s">
        <v>353</v>
      </c>
      <c r="M5" s="189"/>
      <c r="R5" s="190"/>
    </row>
    <row r="6" spans="1:20" x14ac:dyDescent="0.2">
      <c r="A6" s="191" t="s">
        <v>354</v>
      </c>
      <c r="B6" s="189"/>
      <c r="G6" s="192"/>
      <c r="H6" s="116"/>
      <c r="L6" s="191" t="s">
        <v>355</v>
      </c>
      <c r="M6" s="189"/>
      <c r="S6" s="131"/>
    </row>
    <row r="7" spans="1:20" x14ac:dyDescent="0.2">
      <c r="A7" s="189"/>
      <c r="B7" s="189" t="s">
        <v>356</v>
      </c>
      <c r="G7" s="192"/>
      <c r="H7" s="193">
        <f>SUM(ORA!$D$116:$O$116)</f>
        <v>95812.169866936005</v>
      </c>
      <c r="L7" s="189"/>
      <c r="M7" s="189" t="s">
        <v>356</v>
      </c>
      <c r="S7" s="194">
        <f>SUM(ORA!$D$127:$O$127)</f>
        <v>307761834.71085811</v>
      </c>
    </row>
    <row r="8" spans="1:20" x14ac:dyDescent="0.2">
      <c r="A8" s="189"/>
      <c r="B8" s="189" t="s">
        <v>357</v>
      </c>
      <c r="G8" s="192"/>
      <c r="H8" s="195">
        <f>SUM(POJ!$D$116:$O$116)</f>
        <v>17534.24991675618</v>
      </c>
      <c r="L8" s="189"/>
      <c r="M8" s="189" t="s">
        <v>357</v>
      </c>
      <c r="S8" s="196">
        <f>SUM(POJ!$D$127:$O$127)</f>
        <v>116019370.29920377</v>
      </c>
    </row>
    <row r="9" spans="1:20" x14ac:dyDescent="0.2">
      <c r="A9" s="189"/>
      <c r="B9" s="189" t="s">
        <v>358</v>
      </c>
      <c r="G9" s="192"/>
      <c r="H9" s="195">
        <f>SUM(ROJ!$D$116:$O$116)</f>
        <v>54884.841025756476</v>
      </c>
      <c r="L9" s="189"/>
      <c r="M9" s="189" t="s">
        <v>358</v>
      </c>
      <c r="S9" s="196">
        <f>SUM(ROJ!$D$127:$O$127)</f>
        <v>264798749.8639577</v>
      </c>
    </row>
    <row r="10" spans="1:20" x14ac:dyDescent="0.2">
      <c r="A10" s="189"/>
      <c r="B10" s="189" t="s">
        <v>359</v>
      </c>
      <c r="G10" s="192"/>
      <c r="H10" s="197">
        <f>SUM(FCOJ!$D$116:$O$116)</f>
        <v>30099.226679340514</v>
      </c>
      <c r="L10" s="189"/>
      <c r="M10" s="189" t="s">
        <v>359</v>
      </c>
      <c r="S10" s="198">
        <f>SUM(FCOJ!$D$127:$O$127)</f>
        <v>134852995.78477171</v>
      </c>
    </row>
    <row r="11" spans="1:20" x14ac:dyDescent="0.2">
      <c r="A11" s="189"/>
      <c r="B11" s="189"/>
      <c r="G11" s="192"/>
      <c r="M11" s="189" t="s">
        <v>360</v>
      </c>
      <c r="T11" s="199">
        <f>SUM($S$7:$S$10)</f>
        <v>823432950.6587913</v>
      </c>
    </row>
    <row r="12" spans="1:20" x14ac:dyDescent="0.2">
      <c r="A12" s="191" t="s">
        <v>361</v>
      </c>
      <c r="B12" s="189"/>
      <c r="G12" s="192"/>
    </row>
    <row r="13" spans="1:20" x14ac:dyDescent="0.2">
      <c r="A13" s="189"/>
      <c r="B13" s="189" t="s">
        <v>362</v>
      </c>
      <c r="G13" s="192"/>
      <c r="H13" s="200">
        <f>SUM(grove!$C$48:$AX$53)</f>
        <v>159607.91208118855</v>
      </c>
      <c r="L13" s="191" t="s">
        <v>363</v>
      </c>
      <c r="M13" s="189"/>
    </row>
    <row r="14" spans="1:20" x14ac:dyDescent="0.2">
      <c r="A14" s="189"/>
      <c r="B14" s="189" t="s">
        <v>364</v>
      </c>
      <c r="G14" s="192"/>
      <c r="H14" s="193">
        <f>raw_materials!$P$30</f>
        <v>9278.5749892425192</v>
      </c>
      <c r="L14" s="189"/>
      <c r="M14" s="189" t="s">
        <v>365</v>
      </c>
      <c r="S14" s="194">
        <f>SUM(grove!$C$58:$AX$63)</f>
        <v>213941905.35479903</v>
      </c>
    </row>
    <row r="15" spans="1:20" x14ac:dyDescent="0.2">
      <c r="A15" s="189"/>
      <c r="B15" s="189" t="s">
        <v>366</v>
      </c>
      <c r="G15" s="192"/>
      <c r="H15" s="197">
        <f>raw_materials!$P$36</f>
        <v>50000</v>
      </c>
      <c r="L15" s="189"/>
      <c r="M15" s="189" t="s">
        <v>367</v>
      </c>
      <c r="S15" s="196">
        <f>(raw_materials!D30*raw_materials!E30+raw_materials!F30*raw_materials!G30+raw_materials!H30*raw_materials!I30+raw_materials!J30*raw_materials!K30+raw_materials!L30*raw_materials!M30)*2000</f>
        <v>17055960.934319541</v>
      </c>
    </row>
    <row r="16" spans="1:20" x14ac:dyDescent="0.2">
      <c r="A16" s="189"/>
      <c r="B16" s="189" t="s">
        <v>368</v>
      </c>
      <c r="G16" s="192"/>
      <c r="H16" s="201">
        <v>17340.155217407038</v>
      </c>
      <c r="L16" s="189"/>
      <c r="M16" s="189" t="s">
        <v>369</v>
      </c>
      <c r="S16" s="196">
        <f>(raw_materials!D36*raw_materials!E36+raw_materials!F36*raw_materials!G36+raw_materials!H36*raw_materials!I36+raw_materials!J36*raw_materials!K36+raw_materials!L36*raw_materials!M36)*2000</f>
        <v>111526402.3317676</v>
      </c>
    </row>
    <row r="17" spans="1:21" x14ac:dyDescent="0.2">
      <c r="A17" s="189"/>
      <c r="B17" s="189" t="s">
        <v>370</v>
      </c>
      <c r="G17" s="192"/>
      <c r="H17" s="202">
        <v>43187.04038461607</v>
      </c>
      <c r="L17" s="189"/>
      <c r="M17" s="189" t="s">
        <v>371</v>
      </c>
      <c r="S17" s="196">
        <v>38581472.680957459</v>
      </c>
    </row>
    <row r="18" spans="1:21" x14ac:dyDescent="0.2">
      <c r="A18" s="189"/>
      <c r="B18" s="189" t="s">
        <v>372</v>
      </c>
      <c r="G18" s="192"/>
      <c r="H18" s="203">
        <v>70325.501622274853</v>
      </c>
      <c r="L18" s="189"/>
      <c r="M18" s="189" t="s">
        <v>373</v>
      </c>
      <c r="S18" s="198">
        <v>11198980.454230877</v>
      </c>
    </row>
    <row r="19" spans="1:21" x14ac:dyDescent="0.2">
      <c r="A19" s="189"/>
      <c r="B19" s="189" t="s">
        <v>374</v>
      </c>
      <c r="G19" s="192"/>
      <c r="H19" s="202">
        <v>15079.121353839279</v>
      </c>
      <c r="L19" s="189"/>
      <c r="M19" s="189" t="s">
        <v>375</v>
      </c>
      <c r="S19" s="204" t="s">
        <v>376</v>
      </c>
      <c r="T19" s="205">
        <f>SUM($S$14:$S$18)</f>
        <v>392304721.75607455</v>
      </c>
      <c r="U19" s="106" t="s">
        <v>377</v>
      </c>
    </row>
    <row r="20" spans="1:21" x14ac:dyDescent="0.2">
      <c r="A20" s="189"/>
      <c r="B20" s="189" t="s">
        <v>378</v>
      </c>
      <c r="G20" s="192"/>
      <c r="H20" s="197">
        <v>14780.178472252272</v>
      </c>
      <c r="L20" s="189"/>
      <c r="M20" s="189"/>
    </row>
    <row r="21" spans="1:21" x14ac:dyDescent="0.2">
      <c r="A21" s="189"/>
      <c r="B21" s="189"/>
      <c r="G21" s="192"/>
      <c r="L21" s="191" t="s">
        <v>379</v>
      </c>
      <c r="M21" s="189"/>
      <c r="S21" s="131"/>
    </row>
    <row r="22" spans="1:21" x14ac:dyDescent="0.2">
      <c r="A22" s="191" t="s">
        <v>380</v>
      </c>
      <c r="B22" s="189"/>
      <c r="G22" s="192"/>
      <c r="L22" s="189"/>
      <c r="M22" s="189" t="s">
        <v>381</v>
      </c>
      <c r="S22" s="196">
        <v>34680310.434814066</v>
      </c>
    </row>
    <row r="23" spans="1:21" x14ac:dyDescent="0.2">
      <c r="A23" s="189"/>
      <c r="B23" s="189" t="s">
        <v>382</v>
      </c>
      <c r="G23" s="192"/>
      <c r="H23" s="193">
        <f>SUM(raw_materials!$O$31:$O$35)</f>
        <v>9278.5750000000007</v>
      </c>
      <c r="L23" s="189"/>
      <c r="M23" s="189" t="s">
        <v>383</v>
      </c>
      <c r="S23" s="196">
        <v>43187040.384616069</v>
      </c>
    </row>
    <row r="24" spans="1:21" x14ac:dyDescent="0.2">
      <c r="A24" s="189"/>
      <c r="B24" s="189" t="s">
        <v>384</v>
      </c>
      <c r="G24" s="192"/>
      <c r="H24" s="197">
        <f>SUM(raw_materials!$O$37:$O$41)</f>
        <v>50000</v>
      </c>
      <c r="L24" s="189"/>
      <c r="M24" s="189" t="s">
        <v>385</v>
      </c>
      <c r="S24" s="198">
        <v>45711576.054478653</v>
      </c>
    </row>
    <row r="25" spans="1:21" x14ac:dyDescent="0.2">
      <c r="A25" s="189"/>
      <c r="B25" s="189"/>
      <c r="G25" s="192"/>
      <c r="L25" s="189"/>
      <c r="M25" s="189" t="s">
        <v>386</v>
      </c>
      <c r="S25" s="204" t="s">
        <v>376</v>
      </c>
      <c r="T25" s="205">
        <f>SUM($S$22:$S$24)</f>
        <v>123578926.87390879</v>
      </c>
      <c r="U25" s="106" t="s">
        <v>377</v>
      </c>
    </row>
    <row r="26" spans="1:21" x14ac:dyDescent="0.2">
      <c r="A26" s="191" t="s">
        <v>387</v>
      </c>
      <c r="B26" s="189"/>
      <c r="G26" s="192"/>
      <c r="L26" s="189"/>
      <c r="M26" s="189"/>
    </row>
    <row r="27" spans="1:21" x14ac:dyDescent="0.2">
      <c r="A27" s="189"/>
      <c r="B27" s="189" t="s">
        <v>388</v>
      </c>
      <c r="G27" s="192"/>
      <c r="H27" s="193">
        <f>SUMIF(facilities!$C$6:$C$15,"&gt;0",facilities!$C$6:$C$15)</f>
        <v>0</v>
      </c>
      <c r="L27" s="191" t="s">
        <v>389</v>
      </c>
      <c r="M27" s="189"/>
    </row>
    <row r="28" spans="1:21" x14ac:dyDescent="0.2">
      <c r="A28" s="189"/>
      <c r="B28" s="189" t="s">
        <v>390</v>
      </c>
      <c r="G28" s="192"/>
      <c r="H28" s="195">
        <f>SUMIF(facilities!$C$36:$C$106,"&gt;0",facilities!$C$36:$C$106)</f>
        <v>0</v>
      </c>
      <c r="L28" s="189"/>
      <c r="M28" s="189" t="s">
        <v>391</v>
      </c>
      <c r="S28" s="194">
        <v>9831672</v>
      </c>
    </row>
    <row r="29" spans="1:21" x14ac:dyDescent="0.2">
      <c r="A29" s="189"/>
      <c r="B29" s="189" t="s">
        <v>392</v>
      </c>
      <c r="G29" s="192"/>
      <c r="H29" s="195">
        <f>SUMIF(facilities!$C$6:$C$15,"&lt;0",facilities!$C$6:$C$15)</f>
        <v>0</v>
      </c>
      <c r="L29" s="189"/>
      <c r="M29" s="189" t="s">
        <v>393</v>
      </c>
      <c r="S29" s="196">
        <v>20633946.370252021</v>
      </c>
    </row>
    <row r="30" spans="1:21" x14ac:dyDescent="0.2">
      <c r="A30" s="189"/>
      <c r="B30" s="189" t="s">
        <v>394</v>
      </c>
      <c r="G30" s="192"/>
      <c r="H30" s="197">
        <f>SUMIF(facilities!$C$36:$C$106,"&lt;0",facilities!$C$36:$C$106)</f>
        <v>-13805</v>
      </c>
      <c r="L30" s="189"/>
      <c r="M30" s="189" t="s">
        <v>395</v>
      </c>
      <c r="S30" s="196">
        <v>40513687.472162351</v>
      </c>
    </row>
    <row r="31" spans="1:21" x14ac:dyDescent="0.2">
      <c r="L31" s="189"/>
      <c r="M31" s="189" t="s">
        <v>396</v>
      </c>
      <c r="S31" s="198">
        <f>SUM(ORA!D138:O138)+SUM(POJ!D138:O138)+SUM(ROJ!D138:O138)+SUM(FCOJ!D138:O138)</f>
        <v>107726351.78787337</v>
      </c>
    </row>
    <row r="32" spans="1:21" x14ac:dyDescent="0.2">
      <c r="A32" s="191" t="s">
        <v>397</v>
      </c>
      <c r="B32" s="189"/>
      <c r="G32" s="192"/>
      <c r="L32" s="189"/>
      <c r="M32" s="189" t="s">
        <v>398</v>
      </c>
      <c r="S32" s="119" t="s">
        <v>376</v>
      </c>
      <c r="T32" s="205">
        <f>SUM($S$28:$S$31)</f>
        <v>178705657.63028777</v>
      </c>
      <c r="U32" s="106" t="s">
        <v>377</v>
      </c>
    </row>
    <row r="33" spans="1:21" x14ac:dyDescent="0.2">
      <c r="A33" s="189"/>
      <c r="B33" s="189" t="s">
        <v>399</v>
      </c>
      <c r="G33" s="192"/>
      <c r="H33" s="193">
        <f>COUNTIF(facilities!$H$6:$H$15,"=new")</f>
        <v>0</v>
      </c>
      <c r="M33" s="189"/>
    </row>
    <row r="34" spans="1:21" x14ac:dyDescent="0.2">
      <c r="A34" s="189"/>
      <c r="B34" s="189" t="s">
        <v>400</v>
      </c>
      <c r="G34" s="192"/>
      <c r="H34" s="195">
        <f>COUNTIF(facilities!$H$36:$H$106,"=new")</f>
        <v>0</v>
      </c>
      <c r="L34" s="191" t="s">
        <v>401</v>
      </c>
      <c r="M34" s="189"/>
    </row>
    <row r="35" spans="1:21" x14ac:dyDescent="0.2">
      <c r="B35" s="189" t="s">
        <v>18</v>
      </c>
      <c r="H35" s="197">
        <f>SUMIF(facilities!$C$21:$C$30,"&gt;0",facilities!$C$21:$C$30)</f>
        <v>0</v>
      </c>
      <c r="L35" s="189"/>
      <c r="M35" s="189" t="s">
        <v>402</v>
      </c>
      <c r="S35" s="194">
        <v>12370000</v>
      </c>
    </row>
    <row r="36" spans="1:21" x14ac:dyDescent="0.2">
      <c r="L36" s="189"/>
      <c r="M36" s="189" t="s">
        <v>403</v>
      </c>
      <c r="S36" s="196">
        <f>H33*12000000-H38*70/100*12000000</f>
        <v>0</v>
      </c>
    </row>
    <row r="37" spans="1:21" x14ac:dyDescent="0.2">
      <c r="A37" s="191" t="s">
        <v>404</v>
      </c>
      <c r="L37" s="189"/>
      <c r="M37" s="189" t="s">
        <v>405</v>
      </c>
      <c r="S37" s="196">
        <f>H27*8000+H29*70/100*8000</f>
        <v>0</v>
      </c>
    </row>
    <row r="38" spans="1:21" x14ac:dyDescent="0.2">
      <c r="B38" s="189" t="s">
        <v>399</v>
      </c>
      <c r="H38" s="193">
        <f>COUNTIF(facilities!$H$6:$H$15,"=sold")</f>
        <v>0</v>
      </c>
      <c r="L38" s="189"/>
      <c r="M38" s="189" t="s">
        <v>406</v>
      </c>
      <c r="S38" s="196">
        <v>40144900</v>
      </c>
    </row>
    <row r="39" spans="1:21" x14ac:dyDescent="0.2">
      <c r="B39" s="189" t="s">
        <v>400</v>
      </c>
      <c r="H39" s="195">
        <f>COUNTIF(facilities!$H$36:$H$106,"=sold")</f>
        <v>0</v>
      </c>
      <c r="L39" s="189"/>
      <c r="M39" s="189" t="s">
        <v>407</v>
      </c>
      <c r="S39" s="196">
        <f>H34*9000000-H39*80/100*9000000</f>
        <v>0</v>
      </c>
    </row>
    <row r="40" spans="1:21" x14ac:dyDescent="0.2">
      <c r="B40" s="189" t="s">
        <v>18</v>
      </c>
      <c r="H40" s="197">
        <f>-SUMIF(facilities!$C$21:$C$30,"&lt;0",facilities!$C$21:$C$30)</f>
        <v>0</v>
      </c>
      <c r="L40" s="189"/>
      <c r="M40" s="189" t="s">
        <v>408</v>
      </c>
      <c r="S40" s="196">
        <f>H28*6000+H30*80/100*6000</f>
        <v>-66264000</v>
      </c>
    </row>
    <row r="41" spans="1:21" x14ac:dyDescent="0.2">
      <c r="L41" s="189"/>
      <c r="M41" s="189" t="s">
        <v>409</v>
      </c>
      <c r="S41" s="196">
        <v>4820</v>
      </c>
    </row>
    <row r="42" spans="1:21" x14ac:dyDescent="0.2">
      <c r="L42" s="189"/>
      <c r="M42" s="189" t="s">
        <v>410</v>
      </c>
      <c r="S42" s="198">
        <f>H35*100000-H40*60/100*100000</f>
        <v>0</v>
      </c>
    </row>
    <row r="43" spans="1:21" x14ac:dyDescent="0.2">
      <c r="L43" s="189"/>
      <c r="M43" s="189" t="s">
        <v>411</v>
      </c>
      <c r="S43" s="183" t="s">
        <v>376</v>
      </c>
      <c r="T43" s="205">
        <f>SUM($S$35:$S$42)</f>
        <v>-13744280</v>
      </c>
      <c r="U43" s="106" t="s">
        <v>377</v>
      </c>
    </row>
    <row r="44" spans="1:21" x14ac:dyDescent="0.2">
      <c r="L44" s="189"/>
      <c r="S44" s="116"/>
    </row>
    <row r="45" spans="1:21" ht="14.25" thickBot="1" x14ac:dyDescent="0.3">
      <c r="L45" s="206" t="s">
        <v>412</v>
      </c>
      <c r="M45" s="189"/>
      <c r="T45" s="207">
        <f>$T$11-$T$19-$T$25-$T$32-$T$43</f>
        <v>142587924.39852023</v>
      </c>
    </row>
    <row r="46" spans="1:21" ht="13.5" thickTop="1" x14ac:dyDescent="0.2">
      <c r="M46" s="189"/>
    </row>
    <row r="316" spans="1:1" x14ac:dyDescent="0.2">
      <c r="A316" s="185"/>
    </row>
    <row r="317" spans="1:1" x14ac:dyDescent="0.2">
      <c r="A317" s="185"/>
    </row>
    <row r="318" spans="1:1" x14ac:dyDescent="0.2">
      <c r="A318" s="185"/>
    </row>
    <row r="319" spans="1:1" x14ac:dyDescent="0.2">
      <c r="A319" s="185"/>
    </row>
    <row r="320" spans="1:1" x14ac:dyDescent="0.2">
      <c r="A320" s="185"/>
    </row>
    <row r="321" spans="1:1" x14ac:dyDescent="0.2">
      <c r="A321" s="185"/>
    </row>
    <row r="322" spans="1:1" x14ac:dyDescent="0.2">
      <c r="A322" s="185"/>
    </row>
    <row r="323" spans="1:1" x14ac:dyDescent="0.2">
      <c r="A323" s="185"/>
    </row>
    <row r="325" spans="1:1" x14ac:dyDescent="0.2">
      <c r="A325" s="185"/>
    </row>
    <row r="326" spans="1:1" x14ac:dyDescent="0.2">
      <c r="A326" s="185"/>
    </row>
    <row r="327" spans="1:1" x14ac:dyDescent="0.2">
      <c r="A327" s="185"/>
    </row>
    <row r="328" spans="1:1" x14ac:dyDescent="0.2">
      <c r="A328" s="185"/>
    </row>
    <row r="329" spans="1:1" x14ac:dyDescent="0.2">
      <c r="A329" s="185"/>
    </row>
    <row r="330" spans="1:1" x14ac:dyDescent="0.2">
      <c r="A330" s="185"/>
    </row>
    <row r="331" spans="1:1" x14ac:dyDescent="0.2">
      <c r="A331" s="185"/>
    </row>
    <row r="332" spans="1:1" x14ac:dyDescent="0.2">
      <c r="A332" s="185"/>
    </row>
    <row r="334" spans="1:1" x14ac:dyDescent="0.2">
      <c r="A334" s="185"/>
    </row>
    <row r="335" spans="1:1" x14ac:dyDescent="0.2">
      <c r="A335" s="185"/>
    </row>
    <row r="336" spans="1:1" x14ac:dyDescent="0.2">
      <c r="A336" s="185"/>
    </row>
    <row r="337" spans="1:1" x14ac:dyDescent="0.2">
      <c r="A337" s="185"/>
    </row>
    <row r="338" spans="1:1" x14ac:dyDescent="0.2">
      <c r="A338" s="185"/>
    </row>
    <row r="339" spans="1:1" x14ac:dyDescent="0.2">
      <c r="A339" s="185"/>
    </row>
    <row r="340" spans="1:1" x14ac:dyDescent="0.2">
      <c r="A340" s="185"/>
    </row>
    <row r="341" spans="1:1" x14ac:dyDescent="0.2">
      <c r="A341" s="185"/>
    </row>
    <row r="343" spans="1:1" x14ac:dyDescent="0.2">
      <c r="A343" s="185"/>
    </row>
    <row r="344" spans="1:1" x14ac:dyDescent="0.2">
      <c r="A344" s="185"/>
    </row>
    <row r="345" spans="1:1" x14ac:dyDescent="0.2">
      <c r="A345" s="185"/>
    </row>
    <row r="346" spans="1:1" x14ac:dyDescent="0.2">
      <c r="A346" s="185"/>
    </row>
    <row r="347" spans="1:1" x14ac:dyDescent="0.2">
      <c r="A347" s="185"/>
    </row>
    <row r="348" spans="1:1" x14ac:dyDescent="0.2">
      <c r="A348" s="185"/>
    </row>
    <row r="349" spans="1:1" x14ac:dyDescent="0.2">
      <c r="A349" s="185"/>
    </row>
    <row r="350" spans="1:1" x14ac:dyDescent="0.2">
      <c r="A350" s="185"/>
    </row>
  </sheetData>
  <mergeCells count="1">
    <mergeCell ref="C2:H2"/>
  </mergeCells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Y127"/>
  <sheetViews>
    <sheetView workbookViewId="0">
      <selection activeCell="C38" sqref="C38:AX43"/>
    </sheetView>
  </sheetViews>
  <sheetFormatPr defaultRowHeight="12.75" x14ac:dyDescent="0.2"/>
  <cols>
    <col min="1" max="1" width="4.7109375" style="106" customWidth="1"/>
    <col min="2" max="2" width="15.7109375" style="106" customWidth="1"/>
    <col min="3" max="16384" width="9.140625" style="106"/>
  </cols>
  <sheetData>
    <row r="2" spans="2:14" x14ac:dyDescent="0.2">
      <c r="B2" s="108" t="s">
        <v>313</v>
      </c>
    </row>
    <row r="3" spans="2:14" x14ac:dyDescent="0.2">
      <c r="B3" s="109" t="s">
        <v>314</v>
      </c>
    </row>
    <row r="4" spans="2:14" x14ac:dyDescent="0.2">
      <c r="B4" s="176" t="s">
        <v>91</v>
      </c>
      <c r="C4" s="176" t="s">
        <v>92</v>
      </c>
      <c r="D4" s="176" t="s">
        <v>93</v>
      </c>
      <c r="E4" s="176" t="s">
        <v>94</v>
      </c>
      <c r="F4" s="176" t="s">
        <v>95</v>
      </c>
      <c r="G4" s="176" t="s">
        <v>96</v>
      </c>
      <c r="H4" s="176" t="s">
        <v>97</v>
      </c>
      <c r="I4" s="176" t="s">
        <v>98</v>
      </c>
      <c r="J4" s="176" t="s">
        <v>99</v>
      </c>
      <c r="K4" s="176" t="s">
        <v>100</v>
      </c>
      <c r="L4" s="176" t="s">
        <v>101</v>
      </c>
      <c r="M4" s="176" t="s">
        <v>102</v>
      </c>
      <c r="N4" s="176" t="s">
        <v>103</v>
      </c>
    </row>
    <row r="5" spans="2:14" x14ac:dyDescent="0.2">
      <c r="B5" s="177" t="s">
        <v>104</v>
      </c>
      <c r="C5" s="106">
        <v>0.6956776926667162</v>
      </c>
      <c r="D5" s="106">
        <v>0.70893771579435316</v>
      </c>
      <c r="E5" s="106">
        <v>0.67513404971840119</v>
      </c>
      <c r="F5" s="106">
        <v>0.68907855068396406</v>
      </c>
      <c r="G5" s="106">
        <v>0.91155978361089207</v>
      </c>
      <c r="H5" s="106">
        <v>0.57359344981269089</v>
      </c>
      <c r="I5" s="106">
        <v>0.6822598726056387</v>
      </c>
      <c r="J5" s="106">
        <v>0.66468835128811843</v>
      </c>
      <c r="K5" s="106">
        <v>0.76683331412070888</v>
      </c>
      <c r="L5" s="106">
        <v>0.65992305890336511</v>
      </c>
      <c r="M5" s="106">
        <v>0.62523898566967995</v>
      </c>
      <c r="N5" s="106">
        <v>0.54769675105215843</v>
      </c>
    </row>
    <row r="6" spans="2:14" x14ac:dyDescent="0.2">
      <c r="B6" s="177" t="s">
        <v>105</v>
      </c>
      <c r="C6" s="106">
        <v>0.67720933546487072</v>
      </c>
      <c r="D6" s="106">
        <v>0.73743969299697476</v>
      </c>
      <c r="E6" s="106">
        <v>0.67819143902170453</v>
      </c>
      <c r="F6" s="106">
        <v>0.74410380454096259</v>
      </c>
      <c r="G6" s="106">
        <v>0.77421059855592955</v>
      </c>
      <c r="H6" s="106">
        <v>0.71009494666300721</v>
      </c>
      <c r="I6" s="106">
        <v>0.73053028130024378</v>
      </c>
      <c r="J6" s="106">
        <v>0.72226679137160299</v>
      </c>
      <c r="K6" s="106">
        <v>0.66435578683880925</v>
      </c>
      <c r="L6" s="106">
        <v>0.69154565952031744</v>
      </c>
      <c r="M6" s="106">
        <v>0.73025494978980754</v>
      </c>
      <c r="N6" s="106">
        <v>0.66364164939638304</v>
      </c>
    </row>
    <row r="7" spans="2:14" x14ac:dyDescent="0.2">
      <c r="B7" s="177" t="s">
        <v>106</v>
      </c>
      <c r="C7" s="106">
        <v>0.78429756049083499</v>
      </c>
      <c r="D7" s="106">
        <v>0.74026198392049813</v>
      </c>
      <c r="E7" s="106">
        <v>0.68906069839674056</v>
      </c>
      <c r="F7" s="106">
        <v>0.70282562058970943</v>
      </c>
      <c r="G7" s="106">
        <v>0.74870003453191958</v>
      </c>
      <c r="H7" s="106">
        <v>0.67832171492994686</v>
      </c>
      <c r="I7" s="106">
        <v>0.77689781696284954</v>
      </c>
      <c r="J7" s="106">
        <v>0.95750067177995035</v>
      </c>
      <c r="K7" s="106">
        <v>0.6999546565966337</v>
      </c>
      <c r="L7" s="106">
        <v>0.75450204280241329</v>
      </c>
      <c r="M7" s="106">
        <v>0.80625058998164845</v>
      </c>
      <c r="N7" s="106">
        <v>0.74936342438128234</v>
      </c>
    </row>
    <row r="8" spans="2:14" x14ac:dyDescent="0.2">
      <c r="B8" s="177" t="s">
        <v>107</v>
      </c>
      <c r="C8" s="106">
        <v>0.82686478616593861</v>
      </c>
      <c r="D8" s="106">
        <v>0.77720537521499833</v>
      </c>
      <c r="E8" s="106">
        <v>0.70862843717851665</v>
      </c>
      <c r="F8" s="106">
        <v>0.9567003867028564</v>
      </c>
      <c r="G8" s="106">
        <v>0.6759725694345049</v>
      </c>
      <c r="H8" s="106">
        <v>0.66714753876946375</v>
      </c>
      <c r="I8" s="106">
        <v>0.66499383683211599</v>
      </c>
      <c r="J8" s="106">
        <v>0.66490505621163776</v>
      </c>
      <c r="K8" s="106">
        <v>0.66870438638762031</v>
      </c>
      <c r="L8" s="106">
        <v>0.706971601268927</v>
      </c>
      <c r="M8" s="106">
        <v>0.69987468565327593</v>
      </c>
      <c r="N8" s="106">
        <v>0.67123754563270754</v>
      </c>
    </row>
    <row r="9" spans="2:14" x14ac:dyDescent="0.2">
      <c r="B9" s="177" t="s">
        <v>108</v>
      </c>
      <c r="C9" s="106">
        <v>2.0209003543853759</v>
      </c>
      <c r="D9" s="106">
        <v>2.0102072036266327</v>
      </c>
      <c r="E9" s="106">
        <v>2.0549026226997378</v>
      </c>
      <c r="F9" s="106">
        <v>2.1017184650897982</v>
      </c>
      <c r="G9" s="106">
        <v>2.0623146390914919</v>
      </c>
      <c r="H9" s="106">
        <v>2.0461450135707855</v>
      </c>
      <c r="I9" s="106">
        <v>2.0915472006797793</v>
      </c>
      <c r="J9" s="106">
        <v>2.0834107077121735</v>
      </c>
      <c r="K9" s="106">
        <v>2.0673599815368653</v>
      </c>
      <c r="L9" s="106">
        <v>2.1056427752971651</v>
      </c>
      <c r="M9" s="106">
        <v>2.0141525483131408</v>
      </c>
      <c r="N9" s="106">
        <v>2.0372987663745881</v>
      </c>
    </row>
    <row r="10" spans="2:14" x14ac:dyDescent="0.2">
      <c r="B10" s="177" t="s">
        <v>109</v>
      </c>
      <c r="C10" s="106">
        <v>0.65558350086212158</v>
      </c>
      <c r="D10" s="106">
        <v>0.6463091313838959</v>
      </c>
      <c r="E10" s="106">
        <v>0.64114273786544806</v>
      </c>
      <c r="F10" s="106">
        <v>0.67436042428016663</v>
      </c>
      <c r="G10" s="106">
        <v>0.66530184745788579</v>
      </c>
      <c r="H10" s="106">
        <v>0.68944413065910337</v>
      </c>
      <c r="I10" s="106">
        <v>0.61986762285232544</v>
      </c>
      <c r="J10" s="106">
        <v>0.6387961208820343</v>
      </c>
      <c r="K10" s="106">
        <v>0.69516370296478269</v>
      </c>
      <c r="L10" s="106">
        <v>0.65535172820091248</v>
      </c>
      <c r="M10" s="106">
        <v>0.68066533803939822</v>
      </c>
      <c r="N10" s="106">
        <v>0.60584145188331606</v>
      </c>
    </row>
    <row r="11" spans="2:14" x14ac:dyDescent="0.2">
      <c r="B11" s="178"/>
      <c r="C11" s="107"/>
      <c r="D11" s="107"/>
      <c r="E11" s="107"/>
      <c r="F11" s="107"/>
      <c r="G11" s="107"/>
    </row>
    <row r="12" spans="2:14" x14ac:dyDescent="0.2">
      <c r="B12" s="110" t="s">
        <v>315</v>
      </c>
      <c r="C12" s="107"/>
      <c r="D12" s="107"/>
      <c r="E12" s="107"/>
      <c r="F12" s="107"/>
      <c r="G12" s="107"/>
    </row>
    <row r="13" spans="2:14" x14ac:dyDescent="0.2">
      <c r="B13" s="177" t="s">
        <v>316</v>
      </c>
      <c r="C13" s="177" t="s">
        <v>92</v>
      </c>
      <c r="D13" s="177" t="s">
        <v>93</v>
      </c>
      <c r="E13" s="176" t="s">
        <v>94</v>
      </c>
      <c r="F13" s="176" t="s">
        <v>95</v>
      </c>
      <c r="G13" s="176" t="s">
        <v>96</v>
      </c>
      <c r="H13" s="176" t="s">
        <v>97</v>
      </c>
      <c r="I13" s="176" t="s">
        <v>98</v>
      </c>
      <c r="J13" s="176" t="s">
        <v>99</v>
      </c>
      <c r="K13" s="176" t="s">
        <v>100</v>
      </c>
      <c r="L13" s="176" t="s">
        <v>101</v>
      </c>
      <c r="M13" s="176" t="s">
        <v>102</v>
      </c>
      <c r="N13" s="176" t="s">
        <v>103</v>
      </c>
    </row>
    <row r="14" spans="2:14" x14ac:dyDescent="0.2">
      <c r="B14" s="176" t="s">
        <v>317</v>
      </c>
      <c r="C14" s="107">
        <v>0.31771439095431936</v>
      </c>
      <c r="D14" s="107">
        <v>0.31889370661536615</v>
      </c>
      <c r="E14" s="107">
        <v>0.32006970389762912</v>
      </c>
      <c r="F14" s="107">
        <v>0.32123907375963617</v>
      </c>
      <c r="G14" s="107">
        <v>0.3223985258082645</v>
      </c>
      <c r="H14" s="106">
        <v>0.32354479755730625</v>
      </c>
      <c r="I14" s="106">
        <v>0.32467466360750824</v>
      </c>
      <c r="J14" s="106">
        <v>0.325784944722256</v>
      </c>
      <c r="K14" s="106">
        <v>0.32687251677336499</v>
      </c>
      <c r="L14" s="106">
        <v>0.32793431953180618</v>
      </c>
      <c r="M14" s="106">
        <v>0.32896736527863163</v>
      </c>
      <c r="N14" s="106">
        <v>0.32996874721186953</v>
      </c>
    </row>
    <row r="15" spans="2:14" x14ac:dyDescent="0.2">
      <c r="B15" s="176" t="s">
        <v>318</v>
      </c>
      <c r="C15" s="106">
        <v>1.1743297908781802</v>
      </c>
      <c r="D15" s="106">
        <v>1.1774433364152281</v>
      </c>
      <c r="E15" s="106">
        <v>1.1805481210040469</v>
      </c>
      <c r="F15" s="106">
        <v>1.1836354083481142</v>
      </c>
      <c r="G15" s="106">
        <v>1.1866965113849581</v>
      </c>
      <c r="H15" s="106">
        <v>1.1897228167299625</v>
      </c>
      <c r="I15" s="106">
        <v>1.1927058089128579</v>
      </c>
      <c r="J15" s="106">
        <v>1.195637094338698</v>
      </c>
      <c r="K15" s="106">
        <v>1.1985084249059039</v>
      </c>
      <c r="L15" s="106">
        <v>1.201311721214914</v>
      </c>
      <c r="M15" s="106">
        <v>1.2040390953021365</v>
      </c>
      <c r="N15" s="106">
        <v>1.2066828728352406</v>
      </c>
    </row>
    <row r="16" spans="2:14" x14ac:dyDescent="0.2">
      <c r="B16" s="107"/>
    </row>
    <row r="17" spans="2:14" x14ac:dyDescent="0.2">
      <c r="B17" s="109" t="s">
        <v>319</v>
      </c>
    </row>
    <row r="18" spans="2:14" x14ac:dyDescent="0.2">
      <c r="B18" s="105" t="s">
        <v>91</v>
      </c>
      <c r="C18" s="105" t="s">
        <v>92</v>
      </c>
      <c r="D18" s="105" t="s">
        <v>93</v>
      </c>
      <c r="E18" s="105" t="s">
        <v>94</v>
      </c>
      <c r="F18" s="105" t="s">
        <v>95</v>
      </c>
      <c r="G18" s="105" t="s">
        <v>96</v>
      </c>
      <c r="H18" s="105" t="s">
        <v>97</v>
      </c>
      <c r="I18" s="105" t="s">
        <v>98</v>
      </c>
      <c r="J18" s="105" t="s">
        <v>99</v>
      </c>
      <c r="K18" s="105" t="s">
        <v>100</v>
      </c>
      <c r="L18" s="105" t="s">
        <v>101</v>
      </c>
      <c r="M18" s="105" t="s">
        <v>102</v>
      </c>
      <c r="N18" s="105" t="s">
        <v>103</v>
      </c>
    </row>
    <row r="19" spans="2:14" x14ac:dyDescent="0.2">
      <c r="B19" s="179" t="s">
        <v>104</v>
      </c>
      <c r="C19" s="106">
        <f>C5</f>
        <v>0.6956776926667162</v>
      </c>
      <c r="D19" s="106">
        <f t="shared" ref="D19:N20" si="0">D5</f>
        <v>0.70893771579435316</v>
      </c>
      <c r="E19" s="106">
        <f t="shared" si="0"/>
        <v>0.67513404971840119</v>
      </c>
      <c r="F19" s="106">
        <f t="shared" si="0"/>
        <v>0.68907855068396406</v>
      </c>
      <c r="G19" s="106">
        <f t="shared" si="0"/>
        <v>0.91155978361089207</v>
      </c>
      <c r="H19" s="106">
        <f t="shared" si="0"/>
        <v>0.57359344981269089</v>
      </c>
      <c r="I19" s="106">
        <f t="shared" si="0"/>
        <v>0.6822598726056387</v>
      </c>
      <c r="J19" s="106">
        <f t="shared" si="0"/>
        <v>0.66468835128811843</v>
      </c>
      <c r="K19" s="106">
        <f t="shared" si="0"/>
        <v>0.76683331412070888</v>
      </c>
      <c r="L19" s="106">
        <f t="shared" si="0"/>
        <v>0.65992305890336511</v>
      </c>
      <c r="M19" s="106">
        <f t="shared" si="0"/>
        <v>0.62523898566967995</v>
      </c>
      <c r="N19" s="106">
        <f t="shared" si="0"/>
        <v>0.54769675105215843</v>
      </c>
    </row>
    <row r="20" spans="2:14" x14ac:dyDescent="0.2">
      <c r="B20" s="179" t="s">
        <v>105</v>
      </c>
      <c r="C20" s="106">
        <f>C6</f>
        <v>0.67720933546487072</v>
      </c>
      <c r="D20" s="106">
        <f t="shared" si="0"/>
        <v>0.73743969299697476</v>
      </c>
      <c r="E20" s="106">
        <f t="shared" si="0"/>
        <v>0.67819143902170453</v>
      </c>
      <c r="F20" s="106">
        <f t="shared" si="0"/>
        <v>0.74410380454096259</v>
      </c>
      <c r="G20" s="106">
        <f t="shared" si="0"/>
        <v>0.77421059855592955</v>
      </c>
      <c r="H20" s="106">
        <f t="shared" si="0"/>
        <v>0.71009494666300721</v>
      </c>
      <c r="I20" s="106">
        <f t="shared" si="0"/>
        <v>0.73053028130024378</v>
      </c>
      <c r="J20" s="106">
        <f t="shared" si="0"/>
        <v>0.72226679137160299</v>
      </c>
      <c r="K20" s="106">
        <f t="shared" si="0"/>
        <v>0.66435578683880925</v>
      </c>
      <c r="L20" s="106">
        <f t="shared" si="0"/>
        <v>0.69154565952031744</v>
      </c>
      <c r="M20" s="106">
        <f t="shared" si="0"/>
        <v>0.73025494978980754</v>
      </c>
      <c r="N20" s="106">
        <f t="shared" si="0"/>
        <v>0.66364164939638304</v>
      </c>
    </row>
    <row r="21" spans="2:14" x14ac:dyDescent="0.2">
      <c r="B21" s="179" t="s">
        <v>106</v>
      </c>
      <c r="C21" s="106">
        <f t="shared" ref="C21:N22" si="1">C7</f>
        <v>0.78429756049083499</v>
      </c>
      <c r="D21" s="106">
        <f t="shared" si="1"/>
        <v>0.74026198392049813</v>
      </c>
      <c r="E21" s="106">
        <f t="shared" si="1"/>
        <v>0.68906069839674056</v>
      </c>
      <c r="F21" s="106">
        <f t="shared" si="1"/>
        <v>0.70282562058970943</v>
      </c>
      <c r="G21" s="106">
        <f t="shared" si="1"/>
        <v>0.74870003453191958</v>
      </c>
      <c r="H21" s="106">
        <f t="shared" si="1"/>
        <v>0.67832171492994686</v>
      </c>
      <c r="I21" s="106">
        <f t="shared" si="1"/>
        <v>0.77689781696284954</v>
      </c>
      <c r="J21" s="106">
        <f t="shared" si="1"/>
        <v>0.95750067177995035</v>
      </c>
      <c r="K21" s="106">
        <f t="shared" si="1"/>
        <v>0.6999546565966337</v>
      </c>
      <c r="L21" s="106">
        <f t="shared" si="1"/>
        <v>0.75450204280241329</v>
      </c>
      <c r="M21" s="106">
        <f t="shared" si="1"/>
        <v>0.80625058998164845</v>
      </c>
      <c r="N21" s="106">
        <f t="shared" si="1"/>
        <v>0.74936342438128234</v>
      </c>
    </row>
    <row r="22" spans="2:14" x14ac:dyDescent="0.2">
      <c r="B22" s="179" t="s">
        <v>107</v>
      </c>
      <c r="C22" s="106">
        <f t="shared" si="1"/>
        <v>0.82686478616593861</v>
      </c>
      <c r="D22" s="106">
        <f t="shared" si="1"/>
        <v>0.77720537521499833</v>
      </c>
      <c r="E22" s="106">
        <f t="shared" si="1"/>
        <v>0.70862843717851665</v>
      </c>
      <c r="F22" s="106">
        <f t="shared" si="1"/>
        <v>0.9567003867028564</v>
      </c>
      <c r="G22" s="106">
        <f t="shared" si="1"/>
        <v>0.6759725694345049</v>
      </c>
      <c r="H22" s="106">
        <f t="shared" si="1"/>
        <v>0.66714753876946375</v>
      </c>
      <c r="I22" s="106">
        <f t="shared" si="1"/>
        <v>0.66499383683211599</v>
      </c>
      <c r="J22" s="106">
        <f t="shared" si="1"/>
        <v>0.66490505621163776</v>
      </c>
      <c r="K22" s="106">
        <f t="shared" si="1"/>
        <v>0.66870438638762031</v>
      </c>
      <c r="L22" s="106">
        <f t="shared" si="1"/>
        <v>0.706971601268927</v>
      </c>
      <c r="M22" s="106">
        <f t="shared" si="1"/>
        <v>0.69987468565327593</v>
      </c>
      <c r="N22" s="106">
        <f t="shared" si="1"/>
        <v>0.67123754563270754</v>
      </c>
    </row>
    <row r="23" spans="2:14" x14ac:dyDescent="0.2">
      <c r="B23" s="179" t="s">
        <v>108</v>
      </c>
      <c r="C23" s="106">
        <f>C9*C14</f>
        <v>0.64206912527291782</v>
      </c>
      <c r="D23" s="106">
        <f t="shared" ref="D23:N24" si="2">D9*D14</f>
        <v>0.64104242622940699</v>
      </c>
      <c r="E23" s="106">
        <f t="shared" si="2"/>
        <v>0.65771207398596654</v>
      </c>
      <c r="F23" s="106">
        <f t="shared" si="2"/>
        <v>0.675154093028971</v>
      </c>
      <c r="G23" s="106">
        <f t="shared" si="2"/>
        <v>0.66488719939590002</v>
      </c>
      <c r="H23" s="106">
        <f t="shared" si="2"/>
        <v>0.66201957418865143</v>
      </c>
      <c r="I23" s="106">
        <f t="shared" si="2"/>
        <v>0.67907238379993284</v>
      </c>
      <c r="J23" s="106">
        <f t="shared" si="2"/>
        <v>0.67874384224576667</v>
      </c>
      <c r="K23" s="106">
        <f t="shared" si="2"/>
        <v>0.67576316024149252</v>
      </c>
      <c r="L23" s="106">
        <f t="shared" si="2"/>
        <v>0.69051253069413976</v>
      </c>
      <c r="M23" s="106">
        <f t="shared" si="2"/>
        <v>0.66259045708781572</v>
      </c>
      <c r="N23" s="106">
        <f t="shared" si="2"/>
        <v>0.67224492163691008</v>
      </c>
    </row>
    <row r="24" spans="2:14" x14ac:dyDescent="0.2">
      <c r="B24" s="179" t="s">
        <v>109</v>
      </c>
      <c r="C24" s="106">
        <f>C10*C15</f>
        <v>0.76987123547060055</v>
      </c>
      <c r="D24" s="106">
        <f t="shared" si="2"/>
        <v>0.76099238001228242</v>
      </c>
      <c r="E24" s="106">
        <f t="shared" si="2"/>
        <v>0.7568998544824449</v>
      </c>
      <c r="F24" s="106">
        <f t="shared" si="2"/>
        <v>0.79819687616666257</v>
      </c>
      <c r="G24" s="106">
        <f t="shared" si="2"/>
        <v>0.78951138139624066</v>
      </c>
      <c r="H24" s="106">
        <f t="shared" si="2"/>
        <v>0.82024741310568872</v>
      </c>
      <c r="I24" s="106">
        <f t="shared" si="2"/>
        <v>0.73931971453297318</v>
      </c>
      <c r="J24" s="106">
        <f t="shared" si="2"/>
        <v>0.76376833784622722</v>
      </c>
      <c r="K24" s="106">
        <f t="shared" si="2"/>
        <v>0.83315955469207736</v>
      </c>
      <c r="L24" s="106">
        <f t="shared" si="2"/>
        <v>0.78728171260620672</v>
      </c>
      <c r="M24" s="106">
        <f t="shared" si="2"/>
        <v>0.81954767781647997</v>
      </c>
      <c r="N24" s="106">
        <f t="shared" si="2"/>
        <v>0.73105850364123304</v>
      </c>
    </row>
    <row r="25" spans="2:14" x14ac:dyDescent="0.2">
      <c r="B25" s="178"/>
    </row>
    <row r="26" spans="2:14" x14ac:dyDescent="0.2">
      <c r="B26" s="110" t="s">
        <v>320</v>
      </c>
    </row>
    <row r="27" spans="2:14" x14ac:dyDescent="0.2">
      <c r="B27" s="105" t="s">
        <v>321</v>
      </c>
      <c r="C27" s="105" t="s">
        <v>92</v>
      </c>
      <c r="D27" s="105" t="s">
        <v>93</v>
      </c>
      <c r="E27" s="105" t="s">
        <v>94</v>
      </c>
      <c r="F27" s="105" t="s">
        <v>95</v>
      </c>
      <c r="G27" s="105" t="s">
        <v>96</v>
      </c>
      <c r="H27" s="105" t="s">
        <v>97</v>
      </c>
      <c r="I27" s="105" t="s">
        <v>98</v>
      </c>
      <c r="J27" s="105" t="s">
        <v>99</v>
      </c>
      <c r="K27" s="105" t="s">
        <v>100</v>
      </c>
      <c r="L27" s="105" t="s">
        <v>101</v>
      </c>
      <c r="M27" s="105" t="s">
        <v>102</v>
      </c>
      <c r="N27" s="105" t="s">
        <v>103</v>
      </c>
    </row>
    <row r="28" spans="2:14" x14ac:dyDescent="0.2">
      <c r="B28" s="105" t="s">
        <v>104</v>
      </c>
      <c r="C28" s="106">
        <f>IF(C19&lt;=raw_materials!$D17,raw_materials!$C17,IF(C19&lt;=raw_materials!$F17,raw_materials!$E17,IF(C19&lt;=raw_materials!$H17,raw_materials!$G17,0)))</f>
        <v>1</v>
      </c>
      <c r="D28" s="106">
        <f>IF(D19&lt;=raw_materials!$D17,raw_materials!$C17,IF(D19&lt;=raw_materials!$F17,raw_materials!$E17,IF(D19&lt;=raw_materials!$H17,raw_materials!$G17,0)))</f>
        <v>1</v>
      </c>
      <c r="E28" s="106">
        <f>IF(E19&lt;=raw_materials!$D17,raw_materials!$C17,IF(E19&lt;=raw_materials!$F17,raw_materials!$E17,IF(E19&lt;=raw_materials!$H17,raw_materials!$G17,0)))</f>
        <v>1</v>
      </c>
      <c r="F28" s="106">
        <f>IF(F19&lt;=raw_materials!$D17,raw_materials!$C17,IF(F19&lt;=raw_materials!$F17,raw_materials!$E17,IF(F19&lt;=raw_materials!$H17,raw_materials!$G17,0)))</f>
        <v>1</v>
      </c>
      <c r="G28" s="106">
        <f>IF(G19&lt;=raw_materials!$D17,raw_materials!$C17,IF(G19&lt;=raw_materials!$F17,raw_materials!$E17,IF(G19&lt;=raw_materials!$H17,raw_materials!$G17,0)))</f>
        <v>0.5</v>
      </c>
      <c r="H28" s="106">
        <f>IF(H19&lt;=raw_materials!$D17,raw_materials!$C17,IF(H19&lt;=raw_materials!$F17,raw_materials!$E17,IF(H19&lt;=raw_materials!$H17,raw_materials!$G17,0)))</f>
        <v>1</v>
      </c>
      <c r="I28" s="106">
        <f>IF(I19&lt;=raw_materials!$D17,raw_materials!$C17,IF(I19&lt;=raw_materials!$F17,raw_materials!$E17,IF(I19&lt;=raw_materials!$H17,raw_materials!$G17,0)))</f>
        <v>1</v>
      </c>
      <c r="J28" s="106">
        <f>IF(J19&lt;=raw_materials!$D17,raw_materials!$C17,IF(J19&lt;=raw_materials!$F17,raw_materials!$E17,IF(J19&lt;=raw_materials!$H17,raw_materials!$G17,0)))</f>
        <v>1</v>
      </c>
      <c r="K28" s="106">
        <f>IF(K19&lt;=raw_materials!$D17,raw_materials!$C17,IF(K19&lt;=raw_materials!$F17,raw_materials!$E17,IF(K19&lt;=raw_materials!$H17,raw_materials!$G17,0)))</f>
        <v>1</v>
      </c>
      <c r="L28" s="106">
        <f>IF(L19&lt;=raw_materials!$D17,raw_materials!$C17,IF(L19&lt;=raw_materials!$F17,raw_materials!$E17,IF(L19&lt;=raw_materials!$H17,raw_materials!$G17,0)))</f>
        <v>1</v>
      </c>
      <c r="M28" s="106">
        <f>IF(M19&lt;=raw_materials!$D17,raw_materials!$C17,IF(M19&lt;=raw_materials!$F17,raw_materials!$E17,IF(M19&lt;=raw_materials!$H17,raw_materials!$G17,0)))</f>
        <v>1</v>
      </c>
      <c r="N28" s="106">
        <f>IF(N19&lt;=raw_materials!$D17,raw_materials!$C17,IF(N19&lt;=raw_materials!$F17,raw_materials!$E17,IF(N19&lt;=raw_materials!$H17,raw_materials!$G17,0)))</f>
        <v>1</v>
      </c>
    </row>
    <row r="29" spans="2:14" x14ac:dyDescent="0.2">
      <c r="B29" s="105" t="s">
        <v>105</v>
      </c>
      <c r="C29" s="106">
        <f>IF(C20&lt;=raw_materials!$D18,raw_materials!$C18,IF(C20&lt;=raw_materials!$F18,raw_materials!$E18,IF(C20&lt;=raw_materials!$H18,raw_materials!$G18,0)))</f>
        <v>1</v>
      </c>
      <c r="D29" s="106">
        <f>IF(D20&lt;=raw_materials!$D18,raw_materials!$C18,IF(D20&lt;=raw_materials!$F18,raw_materials!$E18,IF(D20&lt;=raw_materials!$H18,raw_materials!$G18,0)))</f>
        <v>1</v>
      </c>
      <c r="E29" s="106">
        <f>IF(E20&lt;=raw_materials!$D18,raw_materials!$C18,IF(E20&lt;=raw_materials!$F18,raw_materials!$E18,IF(E20&lt;=raw_materials!$H18,raw_materials!$G18,0)))</f>
        <v>1</v>
      </c>
      <c r="F29" s="106">
        <f>IF(F20&lt;=raw_materials!$D18,raw_materials!$C18,IF(F20&lt;=raw_materials!$F18,raw_materials!$E18,IF(F20&lt;=raw_materials!$H18,raw_materials!$G18,0)))</f>
        <v>1</v>
      </c>
      <c r="G29" s="106">
        <f>IF(G20&lt;=raw_materials!$D18,raw_materials!$C18,IF(G20&lt;=raw_materials!$F18,raw_materials!$E18,IF(G20&lt;=raw_materials!$H18,raw_materials!$G18,0)))</f>
        <v>1</v>
      </c>
      <c r="H29" s="106">
        <f>IF(H20&lt;=raw_materials!$D18,raw_materials!$C18,IF(H20&lt;=raw_materials!$F18,raw_materials!$E18,IF(H20&lt;=raw_materials!$H18,raw_materials!$G18,0)))</f>
        <v>1</v>
      </c>
      <c r="I29" s="106">
        <f>IF(I20&lt;=raw_materials!$D18,raw_materials!$C18,IF(I20&lt;=raw_materials!$F18,raw_materials!$E18,IF(I20&lt;=raw_materials!$H18,raw_materials!$G18,0)))</f>
        <v>1</v>
      </c>
      <c r="J29" s="106">
        <f>IF(J20&lt;=raw_materials!$D18,raw_materials!$C18,IF(J20&lt;=raw_materials!$F18,raw_materials!$E18,IF(J20&lt;=raw_materials!$H18,raw_materials!$G18,0)))</f>
        <v>1</v>
      </c>
      <c r="K29" s="106">
        <f>IF(K20&lt;=raw_materials!$D18,raw_materials!$C18,IF(K20&lt;=raw_materials!$F18,raw_materials!$E18,IF(K20&lt;=raw_materials!$H18,raw_materials!$G18,0)))</f>
        <v>1</v>
      </c>
      <c r="L29" s="106">
        <f>IF(L20&lt;=raw_materials!$D18,raw_materials!$C18,IF(L20&lt;=raw_materials!$F18,raw_materials!$E18,IF(L20&lt;=raw_materials!$H18,raw_materials!$G18,0)))</f>
        <v>1</v>
      </c>
      <c r="M29" s="106">
        <f>IF(M20&lt;=raw_materials!$D18,raw_materials!$C18,IF(M20&lt;=raw_materials!$F18,raw_materials!$E18,IF(M20&lt;=raw_materials!$H18,raw_materials!$G18,0)))</f>
        <v>1</v>
      </c>
      <c r="N29" s="106">
        <f>IF(N20&lt;=raw_materials!$D18,raw_materials!$C18,IF(N20&lt;=raw_materials!$F18,raw_materials!$E18,IF(N20&lt;=raw_materials!$H18,raw_materials!$G18,0)))</f>
        <v>1</v>
      </c>
    </row>
    <row r="30" spans="2:14" x14ac:dyDescent="0.2">
      <c r="B30" s="105" t="s">
        <v>106</v>
      </c>
      <c r="C30" s="106">
        <f>IF(C21&lt;=raw_materials!$D19,raw_materials!$C19,IF(C21&lt;=raw_materials!$F19,raw_materials!$E19,IF(C21&lt;=raw_materials!$H19,raw_materials!$G19,0)))</f>
        <v>1</v>
      </c>
      <c r="D30" s="106">
        <f>IF(D21&lt;=raw_materials!$D19,raw_materials!$C19,IF(D21&lt;=raw_materials!$F19,raw_materials!$E19,IF(D21&lt;=raw_materials!$H19,raw_materials!$G19,0)))</f>
        <v>1</v>
      </c>
      <c r="E30" s="106">
        <f>IF(E21&lt;=raw_materials!$D19,raw_materials!$C19,IF(E21&lt;=raw_materials!$F19,raw_materials!$E19,IF(E21&lt;=raw_materials!$H19,raw_materials!$G19,0)))</f>
        <v>1</v>
      </c>
      <c r="F30" s="106">
        <f>IF(F21&lt;=raw_materials!$D19,raw_materials!$C19,IF(F21&lt;=raw_materials!$F19,raw_materials!$E19,IF(F21&lt;=raw_materials!$H19,raw_materials!$G19,0)))</f>
        <v>1</v>
      </c>
      <c r="G30" s="106">
        <f>IF(G21&lt;=raw_materials!$D19,raw_materials!$C19,IF(G21&lt;=raw_materials!$F19,raw_materials!$E19,IF(G21&lt;=raw_materials!$H19,raw_materials!$G19,0)))</f>
        <v>1</v>
      </c>
      <c r="H30" s="106">
        <f>IF(H21&lt;=raw_materials!$D19,raw_materials!$C19,IF(H21&lt;=raw_materials!$F19,raw_materials!$E19,IF(H21&lt;=raw_materials!$H19,raw_materials!$G19,0)))</f>
        <v>1</v>
      </c>
      <c r="I30" s="106">
        <f>IF(I21&lt;=raw_materials!$D19,raw_materials!$C19,IF(I21&lt;=raw_materials!$F19,raw_materials!$E19,IF(I21&lt;=raw_materials!$H19,raw_materials!$G19,0)))</f>
        <v>1</v>
      </c>
      <c r="J30" s="106">
        <f>IF(J21&lt;=raw_materials!$D19,raw_materials!$C19,IF(J21&lt;=raw_materials!$F19,raw_materials!$E19,IF(J21&lt;=raw_materials!$H19,raw_materials!$G19,0)))</f>
        <v>0.5</v>
      </c>
      <c r="K30" s="106">
        <f>IF(K21&lt;=raw_materials!$D19,raw_materials!$C19,IF(K21&lt;=raw_materials!$F19,raw_materials!$E19,IF(K21&lt;=raw_materials!$H19,raw_materials!$G19,0)))</f>
        <v>1</v>
      </c>
      <c r="L30" s="106">
        <f>IF(L21&lt;=raw_materials!$D19,raw_materials!$C19,IF(L21&lt;=raw_materials!$F19,raw_materials!$E19,IF(L21&lt;=raw_materials!$H19,raw_materials!$G19,0)))</f>
        <v>1</v>
      </c>
      <c r="M30" s="106">
        <f>IF(M21&lt;=raw_materials!$D19,raw_materials!$C19,IF(M21&lt;=raw_materials!$F19,raw_materials!$E19,IF(M21&lt;=raw_materials!$H19,raw_materials!$G19,0)))</f>
        <v>0.5</v>
      </c>
      <c r="N30" s="106">
        <f>IF(N21&lt;=raw_materials!$D19,raw_materials!$C19,IF(N21&lt;=raw_materials!$F19,raw_materials!$E19,IF(N21&lt;=raw_materials!$H19,raw_materials!$G19,0)))</f>
        <v>1</v>
      </c>
    </row>
    <row r="31" spans="2:14" x14ac:dyDescent="0.2">
      <c r="B31" s="105" t="s">
        <v>107</v>
      </c>
      <c r="C31" s="106">
        <f>IF(C22&lt;=raw_materials!$D20,raw_materials!$C20,IF(C22&lt;=raw_materials!$F20,raw_materials!$E20,IF(C22&lt;=raw_materials!$H20,raw_materials!$G20,0)))</f>
        <v>0.5</v>
      </c>
      <c r="D31" s="106">
        <f>IF(D22&lt;=raw_materials!$D20,raw_materials!$C20,IF(D22&lt;=raw_materials!$F20,raw_materials!$E20,IF(D22&lt;=raw_materials!$H20,raw_materials!$G20,0)))</f>
        <v>1</v>
      </c>
      <c r="E31" s="106">
        <f>IF(E22&lt;=raw_materials!$D20,raw_materials!$C20,IF(E22&lt;=raw_materials!$F20,raw_materials!$E20,IF(E22&lt;=raw_materials!$H20,raw_materials!$G20,0)))</f>
        <v>1</v>
      </c>
      <c r="F31" s="106">
        <f>IF(F22&lt;=raw_materials!$D20,raw_materials!$C20,IF(F22&lt;=raw_materials!$F20,raw_materials!$E20,IF(F22&lt;=raw_materials!$H20,raw_materials!$G20,0)))</f>
        <v>0.5</v>
      </c>
      <c r="G31" s="106">
        <f>IF(G22&lt;=raw_materials!$D20,raw_materials!$C20,IF(G22&lt;=raw_materials!$F20,raw_materials!$E20,IF(G22&lt;=raw_materials!$H20,raw_materials!$G20,0)))</f>
        <v>1</v>
      </c>
      <c r="H31" s="106">
        <f>IF(H22&lt;=raw_materials!$D20,raw_materials!$C20,IF(H22&lt;=raw_materials!$F20,raw_materials!$E20,IF(H22&lt;=raw_materials!$H20,raw_materials!$G20,0)))</f>
        <v>1</v>
      </c>
      <c r="I31" s="106">
        <f>IF(I22&lt;=raw_materials!$D20,raw_materials!$C20,IF(I22&lt;=raw_materials!$F20,raw_materials!$E20,IF(I22&lt;=raw_materials!$H20,raw_materials!$G20,0)))</f>
        <v>1</v>
      </c>
      <c r="J31" s="106">
        <f>IF(J22&lt;=raw_materials!$D20,raw_materials!$C20,IF(J22&lt;=raw_materials!$F20,raw_materials!$E20,IF(J22&lt;=raw_materials!$H20,raw_materials!$G20,0)))</f>
        <v>1</v>
      </c>
      <c r="K31" s="106">
        <f>IF(K22&lt;=raw_materials!$D20,raw_materials!$C20,IF(K22&lt;=raw_materials!$F20,raw_materials!$E20,IF(K22&lt;=raw_materials!$H20,raw_materials!$G20,0)))</f>
        <v>1</v>
      </c>
      <c r="L31" s="106">
        <f>IF(L22&lt;=raw_materials!$D20,raw_materials!$C20,IF(L22&lt;=raw_materials!$F20,raw_materials!$E20,IF(L22&lt;=raw_materials!$H20,raw_materials!$G20,0)))</f>
        <v>1</v>
      </c>
      <c r="M31" s="106">
        <f>IF(M22&lt;=raw_materials!$D20,raw_materials!$C20,IF(M22&lt;=raw_materials!$F20,raw_materials!$E20,IF(M22&lt;=raw_materials!$H20,raw_materials!$G20,0)))</f>
        <v>1</v>
      </c>
      <c r="N31" s="106">
        <f>IF(N22&lt;=raw_materials!$D20,raw_materials!$C20,IF(N22&lt;=raw_materials!$F20,raw_materials!$E20,IF(N22&lt;=raw_materials!$H20,raw_materials!$G20,0)))</f>
        <v>1</v>
      </c>
    </row>
    <row r="32" spans="2:14" x14ac:dyDescent="0.2">
      <c r="B32" s="105" t="s">
        <v>108</v>
      </c>
      <c r="C32" s="106">
        <f>IF(C23&lt;=raw_materials!$D21,raw_materials!$C21,IF(C23&lt;=raw_materials!$F21,raw_materials!$E21,IF(C23&lt;=raw_materials!$H21,raw_materials!$G21,0)))</f>
        <v>1</v>
      </c>
      <c r="D32" s="106">
        <f>IF(D23&lt;=raw_materials!$D21,raw_materials!$C21,IF(D23&lt;=raw_materials!$F21,raw_materials!$E21,IF(D23&lt;=raw_materials!$H21,raw_materials!$G21,0)))</f>
        <v>1</v>
      </c>
      <c r="E32" s="106">
        <f>IF(E23&lt;=raw_materials!$D21,raw_materials!$C21,IF(E23&lt;=raw_materials!$F21,raw_materials!$E21,IF(E23&lt;=raw_materials!$H21,raw_materials!$G21,0)))</f>
        <v>1</v>
      </c>
      <c r="F32" s="106">
        <f>IF(F23&lt;=raw_materials!$D21,raw_materials!$C21,IF(F23&lt;=raw_materials!$F21,raw_materials!$E21,IF(F23&lt;=raw_materials!$H21,raw_materials!$G21,0)))</f>
        <v>1</v>
      </c>
      <c r="G32" s="106">
        <f>IF(G23&lt;=raw_materials!$D21,raw_materials!$C21,IF(G23&lt;=raw_materials!$F21,raw_materials!$E21,IF(G23&lt;=raw_materials!$H21,raw_materials!$G21,0)))</f>
        <v>1</v>
      </c>
      <c r="H32" s="106">
        <f>IF(H23&lt;=raw_materials!$D21,raw_materials!$C21,IF(H23&lt;=raw_materials!$F21,raw_materials!$E21,IF(H23&lt;=raw_materials!$H21,raw_materials!$G21,0)))</f>
        <v>1</v>
      </c>
      <c r="I32" s="106">
        <f>IF(I23&lt;=raw_materials!$D21,raw_materials!$C21,IF(I23&lt;=raw_materials!$F21,raw_materials!$E21,IF(I23&lt;=raw_materials!$H21,raw_materials!$G21,0)))</f>
        <v>1</v>
      </c>
      <c r="J32" s="106">
        <f>IF(J23&lt;=raw_materials!$D21,raw_materials!$C21,IF(J23&lt;=raw_materials!$F21,raw_materials!$E21,IF(J23&lt;=raw_materials!$H21,raw_materials!$G21,0)))</f>
        <v>1</v>
      </c>
      <c r="K32" s="106">
        <f>IF(K23&lt;=raw_materials!$D21,raw_materials!$C21,IF(K23&lt;=raw_materials!$F21,raw_materials!$E21,IF(K23&lt;=raw_materials!$H21,raw_materials!$G21,0)))</f>
        <v>1</v>
      </c>
      <c r="L32" s="106">
        <f>IF(L23&lt;=raw_materials!$D21,raw_materials!$C21,IF(L23&lt;=raw_materials!$F21,raw_materials!$E21,IF(L23&lt;=raw_materials!$H21,raw_materials!$G21,0)))</f>
        <v>1</v>
      </c>
      <c r="M32" s="106">
        <f>IF(M23&lt;=raw_materials!$D21,raw_materials!$C21,IF(M23&lt;=raw_materials!$F21,raw_materials!$E21,IF(M23&lt;=raw_materials!$H21,raw_materials!$G21,0)))</f>
        <v>1</v>
      </c>
      <c r="N32" s="106">
        <f>IF(N23&lt;=raw_materials!$D21,raw_materials!$C21,IF(N23&lt;=raw_materials!$F21,raw_materials!$E21,IF(N23&lt;=raw_materials!$H21,raw_materials!$G21,0)))</f>
        <v>1</v>
      </c>
    </row>
    <row r="33" spans="2:50" x14ac:dyDescent="0.2">
      <c r="B33" s="105" t="s">
        <v>109</v>
      </c>
      <c r="C33" s="106">
        <f>IF(C24&lt;=raw_materials!$D22,raw_materials!$C22,IF(C24&lt;=raw_materials!$F22,raw_materials!$E22,IF(C24&lt;=raw_materials!$H22,raw_materials!$G22,0)))</f>
        <v>1</v>
      </c>
      <c r="D33" s="106">
        <f>IF(D24&lt;=raw_materials!$D22,raw_materials!$C22,IF(D24&lt;=raw_materials!$F22,raw_materials!$E22,IF(D24&lt;=raw_materials!$H22,raw_materials!$G22,0)))</f>
        <v>1</v>
      </c>
      <c r="E33" s="106">
        <f>IF(E24&lt;=raw_materials!$D22,raw_materials!$C22,IF(E24&lt;=raw_materials!$F22,raw_materials!$E22,IF(E24&lt;=raw_materials!$H22,raw_materials!$G22,0)))</f>
        <v>1</v>
      </c>
      <c r="F33" s="106">
        <f>IF(F24&lt;=raw_materials!$D22,raw_materials!$C22,IF(F24&lt;=raw_materials!$F22,raw_materials!$E22,IF(F24&lt;=raw_materials!$H22,raw_materials!$G22,0)))</f>
        <v>1</v>
      </c>
      <c r="G33" s="106">
        <f>IF(G24&lt;=raw_materials!$D22,raw_materials!$C22,IF(G24&lt;=raw_materials!$F22,raw_materials!$E22,IF(G24&lt;=raw_materials!$H22,raw_materials!$G22,0)))</f>
        <v>1</v>
      </c>
      <c r="H33" s="106">
        <f>IF(H24&lt;=raw_materials!$D22,raw_materials!$C22,IF(H24&lt;=raw_materials!$F22,raw_materials!$E22,IF(H24&lt;=raw_materials!$H22,raw_materials!$G22,0)))</f>
        <v>1</v>
      </c>
      <c r="I33" s="106">
        <f>IF(I24&lt;=raw_materials!$D22,raw_materials!$C22,IF(I24&lt;=raw_materials!$F22,raw_materials!$E22,IF(I24&lt;=raw_materials!$H22,raw_materials!$G22,0)))</f>
        <v>1</v>
      </c>
      <c r="J33" s="106">
        <f>IF(J24&lt;=raw_materials!$D22,raw_materials!$C22,IF(J24&lt;=raw_materials!$F22,raw_materials!$E22,IF(J24&lt;=raw_materials!$H22,raw_materials!$G22,0)))</f>
        <v>1</v>
      </c>
      <c r="K33" s="106">
        <f>IF(K24&lt;=raw_materials!$D22,raw_materials!$C22,IF(K24&lt;=raw_materials!$F22,raw_materials!$E22,IF(K24&lt;=raw_materials!$H22,raw_materials!$G22,0)))</f>
        <v>0.5</v>
      </c>
      <c r="L33" s="106">
        <f>IF(L24&lt;=raw_materials!$D22,raw_materials!$C22,IF(L24&lt;=raw_materials!$F22,raw_materials!$E22,IF(L24&lt;=raw_materials!$H22,raw_materials!$G22,0)))</f>
        <v>1</v>
      </c>
      <c r="M33" s="106">
        <f>IF(M24&lt;=raw_materials!$D22,raw_materials!$C22,IF(M24&lt;=raw_materials!$F22,raw_materials!$E22,IF(M24&lt;=raw_materials!$H22,raw_materials!$G22,0)))</f>
        <v>1</v>
      </c>
      <c r="N33" s="106">
        <f>IF(N24&lt;=raw_materials!$D22,raw_materials!$C22,IF(N24&lt;=raw_materials!$F22,raw_materials!$E22,IF(N24&lt;=raw_materials!$H22,raw_materials!$G22,0)))</f>
        <v>1</v>
      </c>
    </row>
    <row r="35" spans="2:50" x14ac:dyDescent="0.2">
      <c r="B35" s="109" t="s">
        <v>322</v>
      </c>
    </row>
    <row r="36" spans="2:50" x14ac:dyDescent="0.2">
      <c r="B36" s="176" t="s">
        <v>274</v>
      </c>
      <c r="C36" s="176" t="s">
        <v>92</v>
      </c>
      <c r="D36" s="107"/>
      <c r="E36" s="107"/>
      <c r="F36" s="107"/>
      <c r="G36" s="176" t="s">
        <v>93</v>
      </c>
      <c r="H36" s="107"/>
      <c r="I36" s="107"/>
      <c r="J36" s="107"/>
      <c r="K36" s="176" t="s">
        <v>94</v>
      </c>
      <c r="L36" s="107"/>
      <c r="M36" s="107"/>
      <c r="N36" s="107"/>
      <c r="O36" s="176" t="s">
        <v>95</v>
      </c>
      <c r="P36" s="107"/>
      <c r="Q36" s="107"/>
      <c r="R36" s="107"/>
      <c r="S36" s="176" t="s">
        <v>96</v>
      </c>
      <c r="T36" s="107"/>
      <c r="U36" s="107"/>
      <c r="V36" s="107"/>
      <c r="W36" s="176" t="s">
        <v>97</v>
      </c>
      <c r="X36" s="107"/>
      <c r="Y36" s="107"/>
      <c r="Z36" s="107"/>
      <c r="AA36" s="176" t="s">
        <v>98</v>
      </c>
      <c r="AB36" s="107"/>
      <c r="AC36" s="107"/>
      <c r="AD36" s="107"/>
      <c r="AE36" s="176" t="s">
        <v>99</v>
      </c>
      <c r="AF36" s="107"/>
      <c r="AG36" s="107"/>
      <c r="AH36" s="107"/>
      <c r="AI36" s="176" t="s">
        <v>100</v>
      </c>
      <c r="AJ36" s="107"/>
      <c r="AK36" s="107"/>
      <c r="AL36" s="107"/>
      <c r="AM36" s="176" t="s">
        <v>101</v>
      </c>
      <c r="AN36" s="107"/>
      <c r="AO36" s="107"/>
      <c r="AP36" s="107"/>
      <c r="AQ36" s="176" t="s">
        <v>102</v>
      </c>
      <c r="AR36" s="107"/>
      <c r="AS36" s="107"/>
      <c r="AT36" s="107"/>
      <c r="AU36" s="176" t="s">
        <v>103</v>
      </c>
      <c r="AV36" s="107"/>
      <c r="AW36" s="107"/>
      <c r="AX36" s="107"/>
    </row>
    <row r="37" spans="2:50" x14ac:dyDescent="0.2">
      <c r="B37" s="176" t="s">
        <v>323</v>
      </c>
      <c r="C37" s="176">
        <v>1</v>
      </c>
      <c r="D37" s="176">
        <v>2</v>
      </c>
      <c r="E37" s="176">
        <v>3</v>
      </c>
      <c r="F37" s="176">
        <v>4</v>
      </c>
      <c r="G37" s="176">
        <v>1</v>
      </c>
      <c r="H37" s="176">
        <v>2</v>
      </c>
      <c r="I37" s="176">
        <v>3</v>
      </c>
      <c r="J37" s="176">
        <v>4</v>
      </c>
      <c r="K37" s="176">
        <v>1</v>
      </c>
      <c r="L37" s="176">
        <v>2</v>
      </c>
      <c r="M37" s="176">
        <v>3</v>
      </c>
      <c r="N37" s="176">
        <v>4</v>
      </c>
      <c r="O37" s="176">
        <v>1</v>
      </c>
      <c r="P37" s="176">
        <v>2</v>
      </c>
      <c r="Q37" s="176">
        <v>3</v>
      </c>
      <c r="R37" s="176">
        <v>4</v>
      </c>
      <c r="S37" s="176">
        <v>1</v>
      </c>
      <c r="T37" s="176">
        <v>2</v>
      </c>
      <c r="U37" s="176">
        <v>3</v>
      </c>
      <c r="V37" s="176">
        <v>4</v>
      </c>
      <c r="W37" s="176">
        <v>1</v>
      </c>
      <c r="X37" s="176">
        <v>2</v>
      </c>
      <c r="Y37" s="176">
        <v>3</v>
      </c>
      <c r="Z37" s="176">
        <v>4</v>
      </c>
      <c r="AA37" s="176">
        <v>1</v>
      </c>
      <c r="AB37" s="176">
        <v>2</v>
      </c>
      <c r="AC37" s="176">
        <v>3</v>
      </c>
      <c r="AD37" s="176">
        <v>4</v>
      </c>
      <c r="AE37" s="176">
        <v>1</v>
      </c>
      <c r="AF37" s="176">
        <v>2</v>
      </c>
      <c r="AG37" s="176">
        <v>3</v>
      </c>
      <c r="AH37" s="176">
        <v>4</v>
      </c>
      <c r="AI37" s="176">
        <v>1</v>
      </c>
      <c r="AJ37" s="176">
        <v>2</v>
      </c>
      <c r="AK37" s="176">
        <v>3</v>
      </c>
      <c r="AL37" s="176">
        <v>4</v>
      </c>
      <c r="AM37" s="176">
        <v>1</v>
      </c>
      <c r="AN37" s="176">
        <v>2</v>
      </c>
      <c r="AO37" s="176">
        <v>3</v>
      </c>
      <c r="AP37" s="176">
        <v>4</v>
      </c>
      <c r="AQ37" s="176">
        <v>1</v>
      </c>
      <c r="AR37" s="176">
        <v>2</v>
      </c>
      <c r="AS37" s="176">
        <v>3</v>
      </c>
      <c r="AT37" s="176">
        <v>4</v>
      </c>
      <c r="AU37" s="176">
        <v>1</v>
      </c>
      <c r="AV37" s="176">
        <v>2</v>
      </c>
      <c r="AW37" s="176">
        <v>3</v>
      </c>
      <c r="AX37" s="176">
        <v>4</v>
      </c>
    </row>
    <row r="38" spans="2:50" x14ac:dyDescent="0.2">
      <c r="B38" s="176" t="s">
        <v>104</v>
      </c>
      <c r="C38" s="106">
        <v>25054.902514011505</v>
      </c>
      <c r="D38" s="106">
        <v>25109.81675262624</v>
      </c>
      <c r="E38" s="106">
        <v>25164.733912812586</v>
      </c>
      <c r="F38" s="106">
        <v>17653.751630931863</v>
      </c>
      <c r="G38" s="106">
        <v>25274.541764850626</v>
      </c>
      <c r="H38" s="106">
        <v>17730.590384044619</v>
      </c>
      <c r="I38" s="106">
        <v>17768.978908664292</v>
      </c>
      <c r="J38" s="106">
        <v>25439.055203174696</v>
      </c>
      <c r="K38" s="106">
        <v>25493.804885647136</v>
      </c>
      <c r="L38" s="106">
        <v>25548.495829201689</v>
      </c>
      <c r="M38" s="106">
        <v>25603.119238151201</v>
      </c>
      <c r="N38" s="106">
        <v>25657.666324691218</v>
      </c>
      <c r="O38" s="106">
        <v>25712.128310447646</v>
      </c>
      <c r="P38" s="106">
        <v>25766.496428023554</v>
      </c>
      <c r="Q38" s="106">
        <v>25820.761922544945</v>
      </c>
      <c r="R38" s="106">
        <v>25874.916053205223</v>
      </c>
      <c r="S38" s="106">
        <v>10371.580037923221</v>
      </c>
      <c r="T38" s="106">
        <v>10393.142135723308</v>
      </c>
      <c r="U38" s="106">
        <v>10414.649238940299</v>
      </c>
      <c r="V38" s="106">
        <v>26090.24469980675</v>
      </c>
      <c r="W38" s="106">
        <v>26143.711499307632</v>
      </c>
      <c r="X38" s="106">
        <v>26197.014871775551</v>
      </c>
      <c r="Y38" s="106">
        <v>26250.146217950878</v>
      </c>
      <c r="Z38" s="106">
        <v>26303.096964916222</v>
      </c>
      <c r="AA38" s="106">
        <v>26355.858567616488</v>
      </c>
      <c r="AB38" s="106">
        <v>26408.422510375025</v>
      </c>
      <c r="AC38" s="106">
        <v>26460.780308405316</v>
      </c>
      <c r="AD38" s="106">
        <v>26512.923509318131</v>
      </c>
      <c r="AE38" s="106">
        <v>26564.8436946238</v>
      </c>
      <c r="AF38" s="106">
        <v>26616.532481229282</v>
      </c>
      <c r="AG38" s="106">
        <v>26667.981522929855</v>
      </c>
      <c r="AH38" s="106">
        <v>26719.182511895149</v>
      </c>
      <c r="AI38" s="106">
        <v>18739.089026104397</v>
      </c>
      <c r="AJ38" s="106">
        <v>18774.565110730822</v>
      </c>
      <c r="AK38" s="106">
        <v>18809.850283509291</v>
      </c>
      <c r="AL38" s="106">
        <v>18844.938846722496</v>
      </c>
      <c r="AM38" s="106">
        <v>18879.825134649927</v>
      </c>
      <c r="AN38" s="106">
        <v>27020.719306543244</v>
      </c>
      <c r="AO38" s="106">
        <v>27069.954839740756</v>
      </c>
      <c r="AP38" s="106">
        <v>27118.877415268147</v>
      </c>
      <c r="AQ38" s="106">
        <v>27167.47913646403</v>
      </c>
      <c r="AR38" s="106">
        <v>27215.752159530173</v>
      </c>
      <c r="AS38" s="106">
        <v>27263.688694937566</v>
      </c>
      <c r="AT38" s="106">
        <v>27311.281008823513</v>
      </c>
      <c r="AU38" s="106">
        <v>27358.521424379818</v>
      </c>
      <c r="AV38" s="106">
        <v>27405.40232323145</v>
      </c>
      <c r="AW38" s="106">
        <v>27451.916146805794</v>
      </c>
      <c r="AX38" s="106">
        <v>27498.055397691911</v>
      </c>
    </row>
    <row r="39" spans="2:50" x14ac:dyDescent="0.2">
      <c r="B39" s="176" t="s">
        <v>105</v>
      </c>
      <c r="C39" s="106">
        <v>15032.941508406904</v>
      </c>
      <c r="D39" s="106">
        <v>15065.890051575743</v>
      </c>
      <c r="E39" s="106">
        <v>15098.84034768755</v>
      </c>
      <c r="F39" s="106">
        <v>15131.787112227312</v>
      </c>
      <c r="G39" s="106">
        <v>15164.725058910377</v>
      </c>
      <c r="H39" s="106">
        <v>15197.648900609674</v>
      </c>
      <c r="I39" s="106">
        <v>15230.553350283679</v>
      </c>
      <c r="J39" s="106">
        <v>10684.403185333371</v>
      </c>
      <c r="K39" s="106">
        <v>15296.282931388283</v>
      </c>
      <c r="L39" s="106">
        <v>15329.097497521014</v>
      </c>
      <c r="M39" s="106">
        <v>15361.87154289072</v>
      </c>
      <c r="N39" s="106">
        <v>15394.599794814729</v>
      </c>
      <c r="O39" s="106">
        <v>1542.7276986268589</v>
      </c>
      <c r="P39" s="106">
        <v>15459.897856814132</v>
      </c>
      <c r="Q39" s="106">
        <v>15492.457153526968</v>
      </c>
      <c r="R39" s="106">
        <v>15524.949631923135</v>
      </c>
      <c r="S39" s="106">
        <v>6222.9480227539325</v>
      </c>
      <c r="T39" s="106">
        <v>15589.713203584963</v>
      </c>
      <c r="U39" s="106">
        <v>15621.973858410449</v>
      </c>
      <c r="V39" s="106">
        <v>15654.14681988405</v>
      </c>
      <c r="W39" s="106">
        <v>15686.226899584581</v>
      </c>
      <c r="X39" s="106">
        <v>15718.208923065331</v>
      </c>
      <c r="Y39" s="106">
        <v>15750.087730770527</v>
      </c>
      <c r="Z39" s="106">
        <v>15781.858178949733</v>
      </c>
      <c r="AA39" s="106">
        <v>15813.515140569893</v>
      </c>
      <c r="AB39" s="106">
        <v>15845.053506225015</v>
      </c>
      <c r="AC39" s="106">
        <v>6350.5872740172754</v>
      </c>
      <c r="AD39" s="106">
        <v>15907.754105590879</v>
      </c>
      <c r="AE39" s="106">
        <v>15938.90621677428</v>
      </c>
      <c r="AF39" s="106">
        <v>15969.919488737569</v>
      </c>
      <c r="AG39" s="106">
        <v>16000.788913757913</v>
      </c>
      <c r="AH39" s="106">
        <v>16031.509507137089</v>
      </c>
      <c r="AI39" s="106">
        <v>16062.076308089485</v>
      </c>
      <c r="AJ39" s="106">
        <v>16092.48438062642</v>
      </c>
      <c r="AK39" s="106">
        <v>16122.728814436536</v>
      </c>
      <c r="AL39" s="106">
        <v>16152.80472576214</v>
      </c>
      <c r="AM39" s="106">
        <v>16182.707258271368</v>
      </c>
      <c r="AN39" s="106">
        <v>16212.431583925947</v>
      </c>
      <c r="AO39" s="106">
        <v>16241.972903844453</v>
      </c>
      <c r="AP39" s="106">
        <v>16271.326449160888</v>
      </c>
      <c r="AQ39" s="106">
        <v>11410.341237314891</v>
      </c>
      <c r="AR39" s="106">
        <v>16329.451295718105</v>
      </c>
      <c r="AS39" s="106">
        <v>16358.213216962538</v>
      </c>
      <c r="AT39" s="106">
        <v>16386.768605294106</v>
      </c>
      <c r="AU39" s="106">
        <v>16415.112854627889</v>
      </c>
      <c r="AV39" s="106">
        <v>16443.241393938872</v>
      </c>
      <c r="AW39" s="106">
        <v>16471.149688083475</v>
      </c>
      <c r="AX39" s="106">
        <v>16498.833238615145</v>
      </c>
    </row>
    <row r="40" spans="2:50" x14ac:dyDescent="0.2">
      <c r="B40" s="176" t="s">
        <v>106</v>
      </c>
      <c r="C40" s="106">
        <v>3507.6863519616104</v>
      </c>
      <c r="D40" s="106">
        <v>5021.9633505252477</v>
      </c>
      <c r="E40" s="106">
        <v>5032.946782562517</v>
      </c>
      <c r="F40" s="106">
        <v>5043.9290374091042</v>
      </c>
      <c r="G40" s="106">
        <v>5054.9083529701256</v>
      </c>
      <c r="H40" s="106">
        <v>5065.8829668698918</v>
      </c>
      <c r="I40" s="106">
        <v>5076.851116761226</v>
      </c>
      <c r="J40" s="106">
        <v>5087.8110406349388</v>
      </c>
      <c r="K40" s="106">
        <v>5098.7609771294274</v>
      </c>
      <c r="L40" s="106">
        <v>5109.6991658403376</v>
      </c>
      <c r="M40" s="106">
        <v>5120.6238476302397</v>
      </c>
      <c r="N40" s="106">
        <v>5131.5332649382435</v>
      </c>
      <c r="O40" s="106">
        <v>5142.4256620895294</v>
      </c>
      <c r="P40" s="106">
        <v>5153.2992856047113</v>
      </c>
      <c r="Q40" s="106">
        <v>5164.1523845089887</v>
      </c>
      <c r="R40" s="106">
        <v>5174.9832106410449</v>
      </c>
      <c r="S40" s="106">
        <v>5185.7900189616103</v>
      </c>
      <c r="T40" s="106">
        <v>5196.5710678616542</v>
      </c>
      <c r="U40" s="106">
        <v>5207.3246194701496</v>
      </c>
      <c r="V40" s="106">
        <v>5218.0489399613498</v>
      </c>
      <c r="W40" s="106">
        <v>5228.7422998615266</v>
      </c>
      <c r="X40" s="106">
        <v>5239.40297435511</v>
      </c>
      <c r="Y40" s="106">
        <v>5250.0292435901756</v>
      </c>
      <c r="Z40" s="106">
        <v>5260.6193929832443</v>
      </c>
      <c r="AA40" s="106">
        <v>5271.1717135232975</v>
      </c>
      <c r="AB40" s="106">
        <v>5281.6845020750052</v>
      </c>
      <c r="AC40" s="106">
        <v>2116.8624246724253</v>
      </c>
      <c r="AD40" s="106">
        <v>5302.5847018636268</v>
      </c>
      <c r="AE40" s="106">
        <v>531.29687389247601</v>
      </c>
      <c r="AF40" s="106">
        <v>532.3306496245857</v>
      </c>
      <c r="AG40" s="106">
        <v>5333.5963045859717</v>
      </c>
      <c r="AH40" s="106">
        <v>5343.8365023790293</v>
      </c>
      <c r="AI40" s="106">
        <v>5354.0254360298286</v>
      </c>
      <c r="AJ40" s="106">
        <v>3754.9130221461646</v>
      </c>
      <c r="AK40" s="106">
        <v>5374.2429381455113</v>
      </c>
      <c r="AL40" s="106">
        <v>5384.2682419207131</v>
      </c>
      <c r="AM40" s="106">
        <v>3775.9650269299855</v>
      </c>
      <c r="AN40" s="106">
        <v>5404.1438613086484</v>
      </c>
      <c r="AO40" s="106">
        <v>5413.9909679481507</v>
      </c>
      <c r="AP40" s="106">
        <v>5423.7754830536296</v>
      </c>
      <c r="AQ40" s="106">
        <v>5433.4958272928061</v>
      </c>
      <c r="AR40" s="106">
        <v>544.31504319060355</v>
      </c>
      <c r="AS40" s="106">
        <v>5452.7377389875128</v>
      </c>
      <c r="AT40" s="106">
        <v>5462.2562017647024</v>
      </c>
      <c r="AU40" s="106">
        <v>5471.7042848759638</v>
      </c>
      <c r="AV40" s="106">
        <v>5481.0804646462902</v>
      </c>
      <c r="AW40" s="106">
        <v>2196.1532917444638</v>
      </c>
      <c r="AX40" s="106">
        <v>5499.611079538382</v>
      </c>
    </row>
    <row r="41" spans="2:50" x14ac:dyDescent="0.2">
      <c r="B41" s="176" t="s">
        <v>107</v>
      </c>
      <c r="C41" s="106">
        <v>3006.5883016813805</v>
      </c>
      <c r="D41" s="106">
        <v>3013.1780103151486</v>
      </c>
      <c r="E41" s="106">
        <v>301.97680695375101</v>
      </c>
      <c r="F41" s="106">
        <v>3026.3574224454624</v>
      </c>
      <c r="G41" s="106">
        <v>3032.9450117820752</v>
      </c>
      <c r="H41" s="106">
        <v>3039.5297801219349</v>
      </c>
      <c r="I41" s="106">
        <v>3046.1106700567357</v>
      </c>
      <c r="J41" s="106">
        <v>1221.0746497523855</v>
      </c>
      <c r="K41" s="106">
        <v>3059.2565862776564</v>
      </c>
      <c r="L41" s="106">
        <v>3065.8194995042027</v>
      </c>
      <c r="M41" s="106">
        <v>3072.3743085781439</v>
      </c>
      <c r="N41" s="106">
        <v>3078.9199589629461</v>
      </c>
      <c r="O41" s="106">
        <v>3085.4553972537178</v>
      </c>
      <c r="P41" s="106">
        <v>3091.9795713628264</v>
      </c>
      <c r="Q41" s="106">
        <v>309.84914307053936</v>
      </c>
      <c r="R41" s="106">
        <v>310.49899263846271</v>
      </c>
      <c r="S41" s="106">
        <v>3111.4740113769658</v>
      </c>
      <c r="T41" s="106">
        <v>3117.9426407169926</v>
      </c>
      <c r="U41" s="106">
        <v>3124.3947716820899</v>
      </c>
      <c r="V41" s="106">
        <v>3130.8293639768099</v>
      </c>
      <c r="W41" s="106">
        <v>3137.2453799169161</v>
      </c>
      <c r="X41" s="106">
        <v>3143.6417846130662</v>
      </c>
      <c r="Y41" s="106">
        <v>3150.0175461541053</v>
      </c>
      <c r="Z41" s="106">
        <v>3156.3716357899466</v>
      </c>
      <c r="AA41" s="106">
        <v>3162.7030281139782</v>
      </c>
      <c r="AB41" s="106">
        <v>3169.010701245003</v>
      </c>
      <c r="AC41" s="106">
        <v>3175.2936370086377</v>
      </c>
      <c r="AD41" s="106">
        <v>3181.5508211181759</v>
      </c>
      <c r="AE41" s="106">
        <v>3187.7812433548561</v>
      </c>
      <c r="AF41" s="106">
        <v>3193.9838977475138</v>
      </c>
      <c r="AG41" s="106">
        <v>3200.1577827515825</v>
      </c>
      <c r="AH41" s="106">
        <v>3206.3019014274178</v>
      </c>
      <c r="AI41" s="106">
        <v>3212.4152616178967</v>
      </c>
      <c r="AJ41" s="106">
        <v>3218.496876125284</v>
      </c>
      <c r="AK41" s="106">
        <v>3224.5457628873069</v>
      </c>
      <c r="AL41" s="106">
        <v>3230.5609451524278</v>
      </c>
      <c r="AM41" s="106">
        <v>3236.5414516542737</v>
      </c>
      <c r="AN41" s="106">
        <v>3242.486316785189</v>
      </c>
      <c r="AO41" s="106">
        <v>3248.3945807688906</v>
      </c>
      <c r="AP41" s="106">
        <v>3254.2652898321776</v>
      </c>
      <c r="AQ41" s="106">
        <v>3260.0974963756835</v>
      </c>
      <c r="AR41" s="106">
        <v>3265.8902591436208</v>
      </c>
      <c r="AS41" s="106">
        <v>3271.6426433925076</v>
      </c>
      <c r="AT41" s="106">
        <v>3277.3537210588215</v>
      </c>
      <c r="AU41" s="106">
        <v>3283.0225709255783</v>
      </c>
      <c r="AV41" s="106">
        <v>3288.648278787774</v>
      </c>
      <c r="AW41" s="106">
        <v>3294.2299376166952</v>
      </c>
      <c r="AX41" s="106">
        <v>3299.7666477230291</v>
      </c>
    </row>
    <row r="42" spans="2:50" x14ac:dyDescent="0.2">
      <c r="B42" s="176" t="s">
        <v>108</v>
      </c>
      <c r="C42" s="106">
        <v>10000000</v>
      </c>
      <c r="D42" s="106">
        <v>10000000</v>
      </c>
      <c r="E42" s="106">
        <v>10000000</v>
      </c>
      <c r="F42" s="106">
        <v>10000000</v>
      </c>
      <c r="G42" s="106">
        <v>10000000</v>
      </c>
      <c r="H42" s="106">
        <v>10000000</v>
      </c>
      <c r="I42" s="106">
        <v>10000000</v>
      </c>
      <c r="J42" s="106">
        <v>10000000</v>
      </c>
      <c r="K42" s="106">
        <v>10000000</v>
      </c>
      <c r="L42" s="106">
        <v>10000000</v>
      </c>
      <c r="M42" s="106">
        <v>10000000</v>
      </c>
      <c r="N42" s="106">
        <v>10000000</v>
      </c>
      <c r="O42" s="106">
        <v>10000000</v>
      </c>
      <c r="P42" s="106">
        <v>10000000</v>
      </c>
      <c r="Q42" s="106">
        <v>10000000</v>
      </c>
      <c r="R42" s="106">
        <v>10000000</v>
      </c>
      <c r="S42" s="106">
        <v>10000000</v>
      </c>
      <c r="T42" s="106">
        <v>10000000</v>
      </c>
      <c r="U42" s="106">
        <v>10000000</v>
      </c>
      <c r="V42" s="106">
        <v>10000000</v>
      </c>
      <c r="W42" s="106">
        <v>10000000</v>
      </c>
      <c r="X42" s="106">
        <v>10000000</v>
      </c>
      <c r="Y42" s="106">
        <v>10000000</v>
      </c>
      <c r="Z42" s="106">
        <v>10000000</v>
      </c>
      <c r="AA42" s="106">
        <v>10000000</v>
      </c>
      <c r="AB42" s="106">
        <v>10000000</v>
      </c>
      <c r="AC42" s="106">
        <v>10000000</v>
      </c>
      <c r="AD42" s="106">
        <v>10000000</v>
      </c>
      <c r="AE42" s="106">
        <v>10000000</v>
      </c>
      <c r="AF42" s="106">
        <v>10000000</v>
      </c>
      <c r="AG42" s="106">
        <v>10000000</v>
      </c>
      <c r="AH42" s="106">
        <v>10000000</v>
      </c>
      <c r="AI42" s="106">
        <v>10000000</v>
      </c>
      <c r="AJ42" s="106">
        <v>10000000</v>
      </c>
      <c r="AK42" s="106">
        <v>10000000</v>
      </c>
      <c r="AL42" s="106">
        <v>10000000</v>
      </c>
      <c r="AM42" s="106">
        <v>10000000</v>
      </c>
      <c r="AN42" s="106">
        <v>10000000</v>
      </c>
      <c r="AO42" s="106">
        <v>10000000</v>
      </c>
      <c r="AP42" s="106">
        <v>10000000</v>
      </c>
      <c r="AQ42" s="106">
        <v>10000000</v>
      </c>
      <c r="AR42" s="106">
        <v>10000000</v>
      </c>
      <c r="AS42" s="106">
        <v>10000000</v>
      </c>
      <c r="AT42" s="106">
        <v>10000000</v>
      </c>
      <c r="AU42" s="106">
        <v>10000000</v>
      </c>
      <c r="AV42" s="106">
        <v>10000000</v>
      </c>
      <c r="AW42" s="106">
        <v>10000000</v>
      </c>
      <c r="AX42" s="106">
        <v>10000000</v>
      </c>
    </row>
    <row r="43" spans="2:50" x14ac:dyDescent="0.2">
      <c r="B43" s="176" t="s">
        <v>109</v>
      </c>
      <c r="C43" s="106">
        <v>10000000</v>
      </c>
      <c r="D43" s="106">
        <v>10000000</v>
      </c>
      <c r="E43" s="106">
        <v>10000000</v>
      </c>
      <c r="F43" s="106">
        <v>10000000</v>
      </c>
      <c r="G43" s="106">
        <v>10000000</v>
      </c>
      <c r="H43" s="106">
        <v>10000000</v>
      </c>
      <c r="I43" s="106">
        <v>10000000</v>
      </c>
      <c r="J43" s="106">
        <v>10000000</v>
      </c>
      <c r="K43" s="106">
        <v>10000000</v>
      </c>
      <c r="L43" s="106">
        <v>10000000</v>
      </c>
      <c r="M43" s="106">
        <v>10000000</v>
      </c>
      <c r="N43" s="106">
        <v>10000000</v>
      </c>
      <c r="O43" s="106">
        <v>10000000</v>
      </c>
      <c r="P43" s="106">
        <v>10000000</v>
      </c>
      <c r="Q43" s="106">
        <v>10000000</v>
      </c>
      <c r="R43" s="106">
        <v>10000000</v>
      </c>
      <c r="S43" s="106">
        <v>10000000</v>
      </c>
      <c r="T43" s="106">
        <v>10000000</v>
      </c>
      <c r="U43" s="106">
        <v>10000000</v>
      </c>
      <c r="V43" s="106">
        <v>10000000</v>
      </c>
      <c r="W43" s="106">
        <v>10000000</v>
      </c>
      <c r="X43" s="106">
        <v>10000000</v>
      </c>
      <c r="Y43" s="106">
        <v>10000000</v>
      </c>
      <c r="Z43" s="106">
        <v>10000000</v>
      </c>
      <c r="AA43" s="106">
        <v>10000000</v>
      </c>
      <c r="AB43" s="106">
        <v>10000000</v>
      </c>
      <c r="AC43" s="106">
        <v>10000000</v>
      </c>
      <c r="AD43" s="106">
        <v>10000000</v>
      </c>
      <c r="AE43" s="106">
        <v>10000000</v>
      </c>
      <c r="AF43" s="106">
        <v>10000000</v>
      </c>
      <c r="AG43" s="106">
        <v>10000000</v>
      </c>
      <c r="AH43" s="106">
        <v>10000000</v>
      </c>
      <c r="AI43" s="106">
        <v>10000000</v>
      </c>
      <c r="AJ43" s="106">
        <v>10000000</v>
      </c>
      <c r="AK43" s="106">
        <v>10000000</v>
      </c>
      <c r="AL43" s="106">
        <v>10000000</v>
      </c>
      <c r="AM43" s="106">
        <v>10000000</v>
      </c>
      <c r="AN43" s="106">
        <v>10000000</v>
      </c>
      <c r="AO43" s="106">
        <v>10000000</v>
      </c>
      <c r="AP43" s="106">
        <v>10000000</v>
      </c>
      <c r="AQ43" s="106">
        <v>10000000</v>
      </c>
      <c r="AR43" s="106">
        <v>10000000</v>
      </c>
      <c r="AS43" s="106">
        <v>10000000</v>
      </c>
      <c r="AT43" s="106">
        <v>10000000</v>
      </c>
      <c r="AU43" s="106">
        <v>10000000</v>
      </c>
      <c r="AV43" s="106">
        <v>10000000</v>
      </c>
      <c r="AW43" s="106">
        <v>10000000</v>
      </c>
      <c r="AX43" s="106">
        <v>10000000</v>
      </c>
    </row>
    <row r="45" spans="2:50" x14ac:dyDescent="0.2">
      <c r="B45" s="109" t="s">
        <v>324</v>
      </c>
    </row>
    <row r="46" spans="2:50" x14ac:dyDescent="0.2">
      <c r="B46" s="105" t="s">
        <v>274</v>
      </c>
      <c r="C46" s="105" t="s">
        <v>92</v>
      </c>
      <c r="D46" s="107"/>
      <c r="E46" s="107"/>
      <c r="F46" s="107"/>
      <c r="G46" s="105" t="s">
        <v>93</v>
      </c>
      <c r="H46" s="107"/>
      <c r="I46" s="107"/>
      <c r="J46" s="107"/>
      <c r="K46" s="105" t="s">
        <v>94</v>
      </c>
      <c r="L46" s="107"/>
      <c r="M46" s="107"/>
      <c r="N46" s="107"/>
      <c r="O46" s="105" t="s">
        <v>95</v>
      </c>
      <c r="P46" s="107"/>
      <c r="Q46" s="107"/>
      <c r="R46" s="107"/>
      <c r="S46" s="105" t="s">
        <v>96</v>
      </c>
      <c r="T46" s="107"/>
      <c r="U46" s="107"/>
      <c r="V46" s="107"/>
      <c r="W46" s="105" t="s">
        <v>97</v>
      </c>
      <c r="X46" s="107"/>
      <c r="Y46" s="107"/>
      <c r="Z46" s="107"/>
      <c r="AA46" s="105" t="s">
        <v>98</v>
      </c>
      <c r="AB46" s="107"/>
      <c r="AC46" s="107"/>
      <c r="AD46" s="107"/>
      <c r="AE46" s="105" t="s">
        <v>99</v>
      </c>
      <c r="AF46" s="107"/>
      <c r="AG46" s="107"/>
      <c r="AH46" s="107"/>
      <c r="AI46" s="105" t="s">
        <v>100</v>
      </c>
      <c r="AJ46" s="107"/>
      <c r="AK46" s="107"/>
      <c r="AL46" s="107"/>
      <c r="AM46" s="105" t="s">
        <v>101</v>
      </c>
      <c r="AN46" s="107"/>
      <c r="AO46" s="107"/>
      <c r="AP46" s="107"/>
      <c r="AQ46" s="105" t="s">
        <v>102</v>
      </c>
      <c r="AR46" s="107"/>
      <c r="AS46" s="107"/>
      <c r="AT46" s="107"/>
      <c r="AU46" s="105" t="s">
        <v>103</v>
      </c>
      <c r="AV46" s="107"/>
      <c r="AW46" s="107"/>
    </row>
    <row r="47" spans="2:50" x14ac:dyDescent="0.2">
      <c r="B47" s="105" t="s">
        <v>325</v>
      </c>
      <c r="C47" s="105">
        <v>1</v>
      </c>
      <c r="D47" s="105">
        <v>2</v>
      </c>
      <c r="E47" s="105">
        <v>3</v>
      </c>
      <c r="F47" s="105">
        <v>4</v>
      </c>
      <c r="G47" s="105">
        <v>1</v>
      </c>
      <c r="H47" s="105">
        <v>2</v>
      </c>
      <c r="I47" s="105">
        <v>3</v>
      </c>
      <c r="J47" s="105">
        <v>4</v>
      </c>
      <c r="K47" s="105">
        <v>1</v>
      </c>
      <c r="L47" s="105">
        <v>2</v>
      </c>
      <c r="M47" s="105">
        <v>3</v>
      </c>
      <c r="N47" s="105">
        <v>4</v>
      </c>
      <c r="O47" s="105">
        <v>1</v>
      </c>
      <c r="P47" s="105">
        <v>2</v>
      </c>
      <c r="Q47" s="105">
        <v>3</v>
      </c>
      <c r="R47" s="105">
        <v>4</v>
      </c>
      <c r="S47" s="105">
        <v>1</v>
      </c>
      <c r="T47" s="105">
        <v>2</v>
      </c>
      <c r="U47" s="105">
        <v>3</v>
      </c>
      <c r="V47" s="105">
        <v>4</v>
      </c>
      <c r="W47" s="105">
        <v>1</v>
      </c>
      <c r="X47" s="105">
        <v>2</v>
      </c>
      <c r="Y47" s="105">
        <v>3</v>
      </c>
      <c r="Z47" s="105">
        <v>4</v>
      </c>
      <c r="AA47" s="105">
        <v>1</v>
      </c>
      <c r="AB47" s="105">
        <v>2</v>
      </c>
      <c r="AC47" s="105">
        <v>3</v>
      </c>
      <c r="AD47" s="105">
        <v>4</v>
      </c>
      <c r="AE47" s="105">
        <v>1</v>
      </c>
      <c r="AF47" s="105">
        <v>2</v>
      </c>
      <c r="AG47" s="105">
        <v>3</v>
      </c>
      <c r="AH47" s="105">
        <v>4</v>
      </c>
      <c r="AI47" s="105">
        <v>1</v>
      </c>
      <c r="AJ47" s="105">
        <v>2</v>
      </c>
      <c r="AK47" s="105">
        <v>3</v>
      </c>
      <c r="AL47" s="105">
        <v>4</v>
      </c>
      <c r="AM47" s="105">
        <v>1</v>
      </c>
      <c r="AN47" s="105">
        <v>2</v>
      </c>
      <c r="AO47" s="105">
        <v>3</v>
      </c>
      <c r="AP47" s="105">
        <v>4</v>
      </c>
      <c r="AQ47" s="105">
        <v>1</v>
      </c>
      <c r="AR47" s="105">
        <v>2</v>
      </c>
      <c r="AS47" s="105">
        <v>3</v>
      </c>
      <c r="AT47" s="105">
        <v>4</v>
      </c>
      <c r="AU47" s="105">
        <v>1</v>
      </c>
      <c r="AV47" s="105">
        <v>2</v>
      </c>
      <c r="AW47" s="105">
        <v>3</v>
      </c>
      <c r="AX47" s="105">
        <v>4</v>
      </c>
    </row>
    <row r="48" spans="2:50" x14ac:dyDescent="0.2">
      <c r="B48" s="105" t="s">
        <v>104</v>
      </c>
      <c r="C48" s="106">
        <v>0</v>
      </c>
      <c r="D48" s="106">
        <v>0</v>
      </c>
      <c r="E48" s="106">
        <v>0</v>
      </c>
      <c r="F48" s="106">
        <v>0</v>
      </c>
      <c r="G48" s="106">
        <v>3314.5347056389201</v>
      </c>
      <c r="H48" s="106">
        <v>3314.5347056389201</v>
      </c>
      <c r="I48" s="106">
        <v>3314.5347056389201</v>
      </c>
      <c r="J48" s="106">
        <v>3314.5347056389201</v>
      </c>
      <c r="K48" s="106">
        <v>0</v>
      </c>
      <c r="L48" s="106">
        <v>0</v>
      </c>
      <c r="M48" s="106">
        <v>0</v>
      </c>
      <c r="N48" s="106">
        <v>0</v>
      </c>
      <c r="O48" s="106">
        <v>3738.7288785437099</v>
      </c>
      <c r="P48" s="106">
        <v>3738.7288785437099</v>
      </c>
      <c r="Q48" s="106">
        <v>3738.7288785437099</v>
      </c>
      <c r="R48" s="106">
        <v>3738.7288785437099</v>
      </c>
      <c r="S48" s="106">
        <v>1201.5023349885801</v>
      </c>
      <c r="T48" s="106">
        <v>1201.5023349885801</v>
      </c>
      <c r="U48" s="106">
        <v>1201.5023349885801</v>
      </c>
      <c r="V48" s="106">
        <v>1201.5023349885801</v>
      </c>
      <c r="W48" s="106">
        <v>2856.69201365244</v>
      </c>
      <c r="X48" s="106">
        <v>2856.69201365244</v>
      </c>
      <c r="Y48" s="106">
        <v>2856.69201365244</v>
      </c>
      <c r="Z48" s="106">
        <v>2856.69201365244</v>
      </c>
      <c r="AA48" s="106">
        <v>2757.10833037777</v>
      </c>
      <c r="AB48" s="106">
        <v>2757.10833037777</v>
      </c>
      <c r="AC48" s="106">
        <v>2757.10833037777</v>
      </c>
      <c r="AD48" s="106">
        <v>2757.10833037777</v>
      </c>
      <c r="AE48" s="106">
        <v>3515.97732144767</v>
      </c>
      <c r="AF48" s="106">
        <v>3515.97732144767</v>
      </c>
      <c r="AG48" s="106">
        <v>3515.97732144767</v>
      </c>
      <c r="AH48" s="106">
        <v>3515.97732144767</v>
      </c>
      <c r="AI48" s="106">
        <v>0</v>
      </c>
      <c r="AJ48" s="106">
        <v>0</v>
      </c>
      <c r="AK48" s="106">
        <v>0</v>
      </c>
      <c r="AL48" s="106">
        <v>0</v>
      </c>
      <c r="AM48" s="106">
        <v>0</v>
      </c>
      <c r="AN48" s="106">
        <v>0</v>
      </c>
      <c r="AO48" s="106">
        <v>0</v>
      </c>
      <c r="AP48" s="106">
        <v>0</v>
      </c>
      <c r="AQ48" s="106">
        <v>3714.3881873036999</v>
      </c>
      <c r="AR48" s="106">
        <v>3714.3881873036999</v>
      </c>
      <c r="AS48" s="106">
        <v>3714.3881873036999</v>
      </c>
      <c r="AT48" s="106">
        <v>3714.3881873036999</v>
      </c>
      <c r="AU48" s="106">
        <v>2309.2759712889701</v>
      </c>
      <c r="AV48" s="106">
        <v>2309.2759712889701</v>
      </c>
      <c r="AW48" s="106">
        <v>2309.2759712889701</v>
      </c>
      <c r="AX48" s="106">
        <v>2309.2759712889701</v>
      </c>
    </row>
    <row r="49" spans="2:51" x14ac:dyDescent="0.2">
      <c r="B49" s="105" t="s">
        <v>105</v>
      </c>
      <c r="C49" s="106">
        <v>0</v>
      </c>
      <c r="D49" s="106">
        <v>0</v>
      </c>
      <c r="E49" s="106">
        <v>0</v>
      </c>
      <c r="F49" s="106">
        <v>0</v>
      </c>
      <c r="G49" s="106">
        <v>0</v>
      </c>
      <c r="H49" s="106">
        <v>0</v>
      </c>
      <c r="I49" s="106">
        <v>0</v>
      </c>
      <c r="J49" s="106">
        <v>0</v>
      </c>
      <c r="K49" s="106">
        <v>0</v>
      </c>
      <c r="L49" s="106">
        <v>0</v>
      </c>
      <c r="M49" s="106">
        <v>0</v>
      </c>
      <c r="N49" s="106">
        <v>0</v>
      </c>
      <c r="O49" s="106">
        <v>180.375</v>
      </c>
      <c r="P49" s="106">
        <v>180.375</v>
      </c>
      <c r="Q49" s="106">
        <v>180.375</v>
      </c>
      <c r="R49" s="106">
        <v>180.375</v>
      </c>
      <c r="S49" s="106">
        <v>0</v>
      </c>
      <c r="T49" s="106">
        <v>0</v>
      </c>
      <c r="U49" s="106">
        <v>0</v>
      </c>
      <c r="V49" s="106">
        <v>0</v>
      </c>
      <c r="W49" s="106">
        <v>243.125</v>
      </c>
      <c r="X49" s="106">
        <v>243.125</v>
      </c>
      <c r="Y49" s="106">
        <v>243.125</v>
      </c>
      <c r="Z49" s="106">
        <v>243.125</v>
      </c>
      <c r="AA49" s="106">
        <v>0</v>
      </c>
      <c r="AB49" s="106">
        <v>0</v>
      </c>
      <c r="AC49" s="106">
        <v>0</v>
      </c>
      <c r="AD49" s="106">
        <v>0</v>
      </c>
      <c r="AE49" s="106">
        <v>197</v>
      </c>
      <c r="AF49" s="106">
        <v>197</v>
      </c>
      <c r="AG49" s="106">
        <v>197</v>
      </c>
      <c r="AH49" s="106">
        <v>197</v>
      </c>
      <c r="AI49" s="106">
        <v>0</v>
      </c>
      <c r="AJ49" s="106">
        <v>0</v>
      </c>
      <c r="AK49" s="106">
        <v>0</v>
      </c>
      <c r="AL49" s="106">
        <v>0</v>
      </c>
      <c r="AM49" s="106">
        <v>226.875</v>
      </c>
      <c r="AN49" s="106">
        <v>226.875</v>
      </c>
      <c r="AO49" s="106">
        <v>226.875</v>
      </c>
      <c r="AP49" s="106">
        <v>226.875</v>
      </c>
      <c r="AQ49" s="106">
        <v>268.75</v>
      </c>
      <c r="AR49" s="106">
        <v>268.75</v>
      </c>
      <c r="AS49" s="106">
        <v>268.75</v>
      </c>
      <c r="AT49" s="106">
        <v>268.75</v>
      </c>
      <c r="AU49" s="106">
        <v>259.875</v>
      </c>
      <c r="AV49" s="106">
        <v>259.875</v>
      </c>
      <c r="AW49" s="106">
        <v>259.875</v>
      </c>
      <c r="AX49" s="106">
        <v>259.875</v>
      </c>
    </row>
    <row r="50" spans="2:51" x14ac:dyDescent="0.2">
      <c r="B50" s="105" t="s">
        <v>106</v>
      </c>
      <c r="C50" s="106">
        <v>0</v>
      </c>
      <c r="D50" s="106">
        <v>0</v>
      </c>
      <c r="E50" s="106">
        <v>0</v>
      </c>
      <c r="F50" s="106">
        <v>0</v>
      </c>
      <c r="G50" s="106">
        <v>0</v>
      </c>
      <c r="H50" s="106">
        <v>0</v>
      </c>
      <c r="I50" s="106">
        <v>0</v>
      </c>
      <c r="J50" s="106">
        <v>0</v>
      </c>
      <c r="K50" s="106">
        <v>0</v>
      </c>
      <c r="L50" s="106">
        <v>0</v>
      </c>
      <c r="M50" s="106">
        <v>0</v>
      </c>
      <c r="N50" s="106">
        <v>0</v>
      </c>
      <c r="O50" s="106">
        <v>0</v>
      </c>
      <c r="P50" s="106">
        <v>0</v>
      </c>
      <c r="Q50" s="106">
        <v>0</v>
      </c>
      <c r="R50" s="106">
        <v>0</v>
      </c>
      <c r="S50" s="106">
        <v>907.617740754279</v>
      </c>
      <c r="T50" s="106">
        <v>907.617740754279</v>
      </c>
      <c r="U50" s="106">
        <v>907.617740754279</v>
      </c>
      <c r="V50" s="106">
        <v>907.617740754279</v>
      </c>
      <c r="W50" s="106">
        <v>0</v>
      </c>
      <c r="X50" s="106">
        <v>0</v>
      </c>
      <c r="Y50" s="106">
        <v>0</v>
      </c>
      <c r="Z50" s="106">
        <v>0</v>
      </c>
      <c r="AA50" s="106">
        <v>0</v>
      </c>
      <c r="AB50" s="106">
        <v>0</v>
      </c>
      <c r="AC50" s="106">
        <v>0</v>
      </c>
      <c r="AD50" s="106">
        <v>0</v>
      </c>
      <c r="AE50" s="106">
        <v>0</v>
      </c>
      <c r="AF50" s="106">
        <v>0</v>
      </c>
      <c r="AG50" s="106">
        <v>0</v>
      </c>
      <c r="AH50" s="106">
        <v>0</v>
      </c>
      <c r="AI50" s="106">
        <v>0</v>
      </c>
      <c r="AJ50" s="106">
        <v>0</v>
      </c>
      <c r="AK50" s="106">
        <v>0</v>
      </c>
      <c r="AL50" s="106">
        <v>0</v>
      </c>
      <c r="AM50" s="106">
        <v>647.44149390620396</v>
      </c>
      <c r="AN50" s="106">
        <v>647.44149390620396</v>
      </c>
      <c r="AO50" s="106">
        <v>647.44149390620396</v>
      </c>
      <c r="AP50" s="106">
        <v>647.44149390620396</v>
      </c>
      <c r="AQ50" s="106">
        <v>0</v>
      </c>
      <c r="AR50" s="106">
        <v>0</v>
      </c>
      <c r="AS50" s="106">
        <v>0</v>
      </c>
      <c r="AT50" s="106">
        <v>0</v>
      </c>
      <c r="AU50" s="106">
        <v>0</v>
      </c>
      <c r="AV50" s="106">
        <v>0</v>
      </c>
      <c r="AW50" s="106">
        <v>0</v>
      </c>
      <c r="AX50" s="106">
        <v>0</v>
      </c>
      <c r="AY50" s="118"/>
    </row>
    <row r="51" spans="2:51" x14ac:dyDescent="0.2">
      <c r="B51" s="105" t="s">
        <v>107</v>
      </c>
      <c r="C51" s="106">
        <v>162.125</v>
      </c>
      <c r="D51" s="106">
        <v>162.125</v>
      </c>
      <c r="E51" s="106">
        <v>162.125</v>
      </c>
      <c r="F51" s="106">
        <v>162.125</v>
      </c>
      <c r="G51" s="106">
        <v>311.75</v>
      </c>
      <c r="H51" s="106">
        <v>311.75</v>
      </c>
      <c r="I51" s="106">
        <v>311.75</v>
      </c>
      <c r="J51" s="106">
        <v>311.75</v>
      </c>
      <c r="K51" s="106">
        <v>202.625</v>
      </c>
      <c r="L51" s="106">
        <v>202.625</v>
      </c>
      <c r="M51" s="106">
        <v>202.625</v>
      </c>
      <c r="N51" s="106">
        <v>202.625</v>
      </c>
      <c r="O51" s="106">
        <v>0</v>
      </c>
      <c r="P51" s="106">
        <v>0</v>
      </c>
      <c r="Q51" s="106">
        <v>0</v>
      </c>
      <c r="R51" s="106">
        <v>0</v>
      </c>
      <c r="S51" s="106">
        <v>207.5</v>
      </c>
      <c r="T51" s="106">
        <v>207.5</v>
      </c>
      <c r="U51" s="106">
        <v>207.5</v>
      </c>
      <c r="V51" s="106">
        <v>207.5</v>
      </c>
      <c r="W51" s="106">
        <v>0</v>
      </c>
      <c r="X51" s="106">
        <v>0</v>
      </c>
      <c r="Y51" s="106">
        <v>0</v>
      </c>
      <c r="Z51" s="106">
        <v>0</v>
      </c>
      <c r="AA51" s="106">
        <v>221.25</v>
      </c>
      <c r="AB51" s="106">
        <v>221.25</v>
      </c>
      <c r="AC51" s="106">
        <v>221.25</v>
      </c>
      <c r="AD51" s="106">
        <v>221.25</v>
      </c>
      <c r="AE51" s="106">
        <v>0</v>
      </c>
      <c r="AF51" s="106">
        <v>0</v>
      </c>
      <c r="AG51" s="106">
        <v>0</v>
      </c>
      <c r="AH51" s="106">
        <v>0</v>
      </c>
      <c r="AI51" s="106">
        <v>194.625</v>
      </c>
      <c r="AJ51" s="106">
        <v>194.625</v>
      </c>
      <c r="AK51" s="106">
        <v>194.625</v>
      </c>
      <c r="AL51" s="106">
        <v>194.625</v>
      </c>
      <c r="AM51" s="106">
        <v>0</v>
      </c>
      <c r="AN51" s="106">
        <v>0</v>
      </c>
      <c r="AO51" s="106">
        <v>0</v>
      </c>
      <c r="AP51" s="106">
        <v>0</v>
      </c>
      <c r="AQ51" s="106">
        <v>0</v>
      </c>
      <c r="AR51" s="106">
        <v>0</v>
      </c>
      <c r="AS51" s="106">
        <v>0</v>
      </c>
      <c r="AT51" s="106">
        <v>0</v>
      </c>
      <c r="AU51" s="106">
        <v>0</v>
      </c>
      <c r="AV51" s="106">
        <v>0</v>
      </c>
      <c r="AW51" s="106">
        <v>0</v>
      </c>
      <c r="AX51" s="106">
        <v>0</v>
      </c>
      <c r="AY51" s="117"/>
    </row>
    <row r="52" spans="2:51" x14ac:dyDescent="0.2">
      <c r="B52" s="105" t="s">
        <v>108</v>
      </c>
      <c r="C52" s="106">
        <v>2002.95172272081</v>
      </c>
      <c r="D52" s="106">
        <v>2002.95172272081</v>
      </c>
      <c r="E52" s="106">
        <v>2002.95172272081</v>
      </c>
      <c r="F52" s="106">
        <v>2002.95172272081</v>
      </c>
      <c r="G52" s="106">
        <v>0</v>
      </c>
      <c r="H52" s="106">
        <v>0</v>
      </c>
      <c r="I52" s="106">
        <v>0</v>
      </c>
      <c r="J52" s="106">
        <v>0</v>
      </c>
      <c r="K52" s="106">
        <v>3753.9284861691399</v>
      </c>
      <c r="L52" s="106">
        <v>3753.9284861691399</v>
      </c>
      <c r="M52" s="106">
        <v>3753.9284861691399</v>
      </c>
      <c r="N52" s="106">
        <v>3753.9284861691399</v>
      </c>
      <c r="O52" s="106">
        <v>0</v>
      </c>
      <c r="P52" s="106">
        <v>0</v>
      </c>
      <c r="Q52" s="106">
        <v>0</v>
      </c>
      <c r="R52" s="106">
        <v>0</v>
      </c>
      <c r="S52" s="106">
        <v>0</v>
      </c>
      <c r="T52" s="106">
        <v>0</v>
      </c>
      <c r="U52" s="106">
        <v>0</v>
      </c>
      <c r="V52" s="106">
        <v>0</v>
      </c>
      <c r="W52" s="106">
        <v>0</v>
      </c>
      <c r="X52" s="106">
        <v>0</v>
      </c>
      <c r="Y52" s="106">
        <v>0</v>
      </c>
      <c r="Z52" s="106">
        <v>0</v>
      </c>
      <c r="AA52" s="106">
        <v>0</v>
      </c>
      <c r="AB52" s="106">
        <v>0</v>
      </c>
      <c r="AC52" s="106">
        <v>0</v>
      </c>
      <c r="AD52" s="106">
        <v>0</v>
      </c>
      <c r="AE52" s="106">
        <v>0</v>
      </c>
      <c r="AF52" s="106">
        <v>0</v>
      </c>
      <c r="AG52" s="106">
        <v>0</v>
      </c>
      <c r="AH52" s="106">
        <v>0</v>
      </c>
      <c r="AI52" s="106">
        <v>3401.0553362993401</v>
      </c>
      <c r="AJ52" s="106">
        <v>3401.0553362993401</v>
      </c>
      <c r="AK52" s="106">
        <v>3401.0553362993401</v>
      </c>
      <c r="AL52" s="106">
        <v>3401.0553362993401</v>
      </c>
      <c r="AM52" s="106">
        <v>3104.90049720558</v>
      </c>
      <c r="AN52" s="106">
        <v>3104.90049720558</v>
      </c>
      <c r="AO52" s="106">
        <v>3104.90049720558</v>
      </c>
      <c r="AP52" s="106">
        <v>3104.90049720558</v>
      </c>
      <c r="AQ52" s="106">
        <v>0</v>
      </c>
      <c r="AR52" s="106">
        <v>0</v>
      </c>
      <c r="AS52" s="106">
        <v>0</v>
      </c>
      <c r="AT52" s="106">
        <v>0</v>
      </c>
      <c r="AU52" s="106">
        <v>0</v>
      </c>
      <c r="AV52" s="106">
        <v>0</v>
      </c>
      <c r="AW52" s="106">
        <v>0</v>
      </c>
      <c r="AX52" s="106">
        <v>0</v>
      </c>
    </row>
    <row r="53" spans="2:51" x14ac:dyDescent="0.2">
      <c r="B53" s="105" t="s">
        <v>109</v>
      </c>
      <c r="C53" s="106">
        <v>0</v>
      </c>
      <c r="D53" s="106">
        <v>0</v>
      </c>
      <c r="E53" s="106">
        <v>0</v>
      </c>
      <c r="F53" s="106">
        <v>0</v>
      </c>
      <c r="G53" s="106">
        <v>0</v>
      </c>
      <c r="H53" s="106">
        <v>0</v>
      </c>
      <c r="I53" s="106">
        <v>0</v>
      </c>
      <c r="J53" s="106">
        <v>0</v>
      </c>
      <c r="K53" s="106">
        <v>0</v>
      </c>
      <c r="L53" s="106">
        <v>0</v>
      </c>
      <c r="M53" s="106">
        <v>0</v>
      </c>
      <c r="N53" s="106">
        <v>0</v>
      </c>
      <c r="O53" s="106">
        <v>0</v>
      </c>
      <c r="P53" s="106">
        <v>0</v>
      </c>
      <c r="Q53" s="106">
        <v>0</v>
      </c>
      <c r="R53" s="106">
        <v>0</v>
      </c>
      <c r="S53" s="106">
        <v>0</v>
      </c>
      <c r="T53" s="106">
        <v>0</v>
      </c>
      <c r="U53" s="106">
        <v>0</v>
      </c>
      <c r="V53" s="106">
        <v>0</v>
      </c>
      <c r="W53" s="106">
        <v>0</v>
      </c>
      <c r="X53" s="106">
        <v>0</v>
      </c>
      <c r="Y53" s="106">
        <v>0</v>
      </c>
      <c r="Z53" s="106">
        <v>0</v>
      </c>
      <c r="AA53" s="106">
        <v>0</v>
      </c>
      <c r="AB53" s="106">
        <v>0</v>
      </c>
      <c r="AC53" s="106">
        <v>0</v>
      </c>
      <c r="AD53" s="106">
        <v>0</v>
      </c>
      <c r="AE53" s="106">
        <v>0</v>
      </c>
      <c r="AF53" s="106">
        <v>0</v>
      </c>
      <c r="AG53" s="106">
        <v>0</v>
      </c>
      <c r="AH53" s="106">
        <v>0</v>
      </c>
      <c r="AI53" s="106">
        <v>0</v>
      </c>
      <c r="AJ53" s="106">
        <v>0</v>
      </c>
      <c r="AK53" s="106">
        <v>0</v>
      </c>
      <c r="AL53" s="106">
        <v>0</v>
      </c>
      <c r="AM53" s="106">
        <v>0</v>
      </c>
      <c r="AN53" s="106">
        <v>0</v>
      </c>
      <c r="AO53" s="106">
        <v>0</v>
      </c>
      <c r="AP53" s="106">
        <v>0</v>
      </c>
      <c r="AQ53" s="106">
        <v>0</v>
      </c>
      <c r="AR53" s="106">
        <v>0</v>
      </c>
      <c r="AS53" s="106">
        <v>0</v>
      </c>
      <c r="AT53" s="106">
        <v>0</v>
      </c>
      <c r="AU53" s="106">
        <v>0</v>
      </c>
      <c r="AV53" s="106">
        <v>0</v>
      </c>
      <c r="AW53" s="106">
        <v>0</v>
      </c>
      <c r="AX53" s="106">
        <v>0</v>
      </c>
    </row>
    <row r="55" spans="2:51" x14ac:dyDescent="0.2">
      <c r="B55" s="180" t="s">
        <v>326</v>
      </c>
      <c r="C55" s="181"/>
      <c r="D55" s="181"/>
      <c r="E55" s="181"/>
      <c r="F55" s="181"/>
      <c r="G55" s="181"/>
      <c r="H55" s="181"/>
      <c r="I55" s="181"/>
      <c r="J55" s="181"/>
      <c r="K55" s="181"/>
      <c r="L55" s="181"/>
      <c r="M55" s="181"/>
      <c r="N55" s="181"/>
      <c r="O55" s="181"/>
      <c r="P55" s="181"/>
      <c r="Q55" s="181"/>
      <c r="R55" s="181"/>
      <c r="S55" s="181"/>
      <c r="T55" s="181"/>
      <c r="U55" s="181"/>
      <c r="V55" s="181"/>
      <c r="W55" s="181"/>
      <c r="X55" s="181"/>
      <c r="Y55" s="181"/>
      <c r="Z55" s="181"/>
      <c r="AA55" s="181"/>
      <c r="AB55" s="181"/>
      <c r="AC55" s="181"/>
      <c r="AD55" s="181"/>
      <c r="AE55" s="181"/>
      <c r="AF55" s="181"/>
      <c r="AG55" s="181"/>
      <c r="AH55" s="181"/>
      <c r="AI55" s="181"/>
      <c r="AJ55" s="181"/>
      <c r="AK55" s="181"/>
      <c r="AL55" s="181"/>
      <c r="AM55" s="181"/>
      <c r="AN55" s="181"/>
      <c r="AO55" s="181"/>
      <c r="AP55" s="181"/>
      <c r="AQ55" s="181"/>
      <c r="AR55" s="181"/>
      <c r="AS55" s="181"/>
      <c r="AT55" s="181"/>
      <c r="AU55" s="181"/>
      <c r="AV55" s="181"/>
      <c r="AW55" s="181"/>
      <c r="AX55" s="181"/>
    </row>
    <row r="56" spans="2:51" x14ac:dyDescent="0.2">
      <c r="B56" s="111" t="s">
        <v>274</v>
      </c>
      <c r="C56" s="111" t="s">
        <v>92</v>
      </c>
      <c r="D56" s="107"/>
      <c r="E56" s="107"/>
      <c r="F56" s="107"/>
      <c r="G56" s="111" t="s">
        <v>93</v>
      </c>
      <c r="H56" s="107"/>
      <c r="I56" s="107"/>
      <c r="J56" s="107"/>
      <c r="K56" s="111" t="s">
        <v>94</v>
      </c>
      <c r="L56" s="107"/>
      <c r="M56" s="107"/>
      <c r="N56" s="107"/>
      <c r="O56" s="111" t="s">
        <v>95</v>
      </c>
      <c r="P56" s="107"/>
      <c r="Q56" s="107"/>
      <c r="R56" s="107"/>
      <c r="S56" s="111" t="s">
        <v>96</v>
      </c>
      <c r="T56" s="107"/>
      <c r="U56" s="107"/>
      <c r="V56" s="107"/>
      <c r="W56" s="111" t="s">
        <v>97</v>
      </c>
      <c r="X56" s="107"/>
      <c r="Y56" s="107"/>
      <c r="Z56" s="107"/>
      <c r="AA56" s="111" t="s">
        <v>98</v>
      </c>
      <c r="AB56" s="107"/>
      <c r="AC56" s="107"/>
      <c r="AD56" s="107"/>
      <c r="AE56" s="111" t="s">
        <v>99</v>
      </c>
      <c r="AF56" s="107"/>
      <c r="AG56" s="107"/>
      <c r="AH56" s="107"/>
      <c r="AI56" s="111" t="s">
        <v>100</v>
      </c>
      <c r="AJ56" s="107"/>
      <c r="AK56" s="107"/>
      <c r="AL56" s="107"/>
      <c r="AM56" s="111" t="s">
        <v>101</v>
      </c>
      <c r="AN56" s="107"/>
      <c r="AO56" s="107"/>
      <c r="AP56" s="107"/>
      <c r="AQ56" s="111" t="s">
        <v>102</v>
      </c>
      <c r="AR56" s="107"/>
      <c r="AS56" s="107"/>
      <c r="AT56" s="107"/>
      <c r="AU56" s="111" t="s">
        <v>103</v>
      </c>
      <c r="AV56" s="107"/>
      <c r="AW56" s="107"/>
    </row>
    <row r="57" spans="2:51" x14ac:dyDescent="0.2">
      <c r="B57" s="111" t="s">
        <v>325</v>
      </c>
      <c r="C57" s="111">
        <v>1</v>
      </c>
      <c r="D57" s="111">
        <v>2</v>
      </c>
      <c r="E57" s="111">
        <v>3</v>
      </c>
      <c r="F57" s="111">
        <v>4</v>
      </c>
      <c r="G57" s="111">
        <v>1</v>
      </c>
      <c r="H57" s="111">
        <v>2</v>
      </c>
      <c r="I57" s="111">
        <v>3</v>
      </c>
      <c r="J57" s="111">
        <v>4</v>
      </c>
      <c r="K57" s="111">
        <v>1</v>
      </c>
      <c r="L57" s="111">
        <v>2</v>
      </c>
      <c r="M57" s="111">
        <v>3</v>
      </c>
      <c r="N57" s="111">
        <v>4</v>
      </c>
      <c r="O57" s="111">
        <v>1</v>
      </c>
      <c r="P57" s="111">
        <v>2</v>
      </c>
      <c r="Q57" s="111">
        <v>3</v>
      </c>
      <c r="R57" s="111">
        <v>4</v>
      </c>
      <c r="S57" s="111">
        <v>1</v>
      </c>
      <c r="T57" s="111">
        <v>2</v>
      </c>
      <c r="U57" s="111">
        <v>3</v>
      </c>
      <c r="V57" s="111">
        <v>4</v>
      </c>
      <c r="W57" s="111">
        <v>1</v>
      </c>
      <c r="X57" s="111">
        <v>2</v>
      </c>
      <c r="Y57" s="111">
        <v>3</v>
      </c>
      <c r="Z57" s="111">
        <v>4</v>
      </c>
      <c r="AA57" s="111">
        <v>1</v>
      </c>
      <c r="AB57" s="111">
        <v>2</v>
      </c>
      <c r="AC57" s="111">
        <v>3</v>
      </c>
      <c r="AD57" s="111">
        <v>4</v>
      </c>
      <c r="AE57" s="111">
        <v>1</v>
      </c>
      <c r="AF57" s="111">
        <v>2</v>
      </c>
      <c r="AG57" s="111">
        <v>3</v>
      </c>
      <c r="AH57" s="111">
        <v>4</v>
      </c>
      <c r="AI57" s="111">
        <v>1</v>
      </c>
      <c r="AJ57" s="111">
        <v>2</v>
      </c>
      <c r="AK57" s="111">
        <v>3</v>
      </c>
      <c r="AL57" s="111">
        <v>4</v>
      </c>
      <c r="AM57" s="111">
        <v>1</v>
      </c>
      <c r="AN57" s="111">
        <v>2</v>
      </c>
      <c r="AO57" s="111">
        <v>3</v>
      </c>
      <c r="AP57" s="111">
        <v>4</v>
      </c>
      <c r="AQ57" s="111">
        <v>1</v>
      </c>
      <c r="AR57" s="111">
        <v>2</v>
      </c>
      <c r="AS57" s="111">
        <v>3</v>
      </c>
      <c r="AT57" s="111">
        <v>4</v>
      </c>
      <c r="AU57" s="111">
        <v>1</v>
      </c>
      <c r="AV57" s="111">
        <v>2</v>
      </c>
      <c r="AW57" s="111">
        <v>3</v>
      </c>
      <c r="AX57" s="111">
        <v>4</v>
      </c>
    </row>
    <row r="58" spans="2:51" x14ac:dyDescent="0.2">
      <c r="B58" s="111" t="s">
        <v>104</v>
      </c>
      <c r="C58" s="106">
        <v>0</v>
      </c>
      <c r="D58" s="106">
        <v>0</v>
      </c>
      <c r="E58" s="106">
        <v>0</v>
      </c>
      <c r="F58" s="106">
        <v>0</v>
      </c>
      <c r="G58" s="106">
        <v>4699597.3262735298</v>
      </c>
      <c r="H58" s="106">
        <v>4699597.3262735298</v>
      </c>
      <c r="I58" s="106">
        <v>4699597.3262735298</v>
      </c>
      <c r="J58" s="106">
        <v>4699597.3262735298</v>
      </c>
      <c r="K58" s="106">
        <v>0</v>
      </c>
      <c r="L58" s="106">
        <v>0</v>
      </c>
      <c r="M58" s="106">
        <v>0</v>
      </c>
      <c r="N58" s="106">
        <v>0</v>
      </c>
      <c r="O58" s="106">
        <v>5152555.7540543638</v>
      </c>
      <c r="P58" s="106">
        <v>5152555.7540543638</v>
      </c>
      <c r="Q58" s="106">
        <v>5152555.7540543638</v>
      </c>
      <c r="R58" s="106">
        <v>5152555.7540543638</v>
      </c>
      <c r="S58" s="106">
        <v>2190482.4169803434</v>
      </c>
      <c r="T58" s="106">
        <v>2190482.4169803434</v>
      </c>
      <c r="U58" s="106">
        <v>2190482.4169803434</v>
      </c>
      <c r="V58" s="106">
        <v>2190482.4169803434</v>
      </c>
      <c r="W58" s="106">
        <v>3277159.6543265316</v>
      </c>
      <c r="X58" s="106">
        <v>3277159.6543265316</v>
      </c>
      <c r="Y58" s="106">
        <v>3277159.6543265316</v>
      </c>
      <c r="Z58" s="106">
        <v>3277159.6543265316</v>
      </c>
      <c r="AA58" s="106">
        <v>3762128.7564869653</v>
      </c>
      <c r="AB58" s="106">
        <v>3762128.7564869653</v>
      </c>
      <c r="AC58" s="106">
        <v>3762128.7564869653</v>
      </c>
      <c r="AD58" s="106">
        <v>3762128.7564869653</v>
      </c>
      <c r="AE58" s="106">
        <v>4674058.3379189325</v>
      </c>
      <c r="AF58" s="106">
        <v>4674058.3379189325</v>
      </c>
      <c r="AG58" s="106">
        <v>4674058.3379189325</v>
      </c>
      <c r="AH58" s="106">
        <v>4674058.3379189325</v>
      </c>
      <c r="AI58" s="106">
        <v>0</v>
      </c>
      <c r="AJ58" s="106">
        <v>0</v>
      </c>
      <c r="AK58" s="106">
        <v>0</v>
      </c>
      <c r="AL58" s="106">
        <v>0</v>
      </c>
      <c r="AM58" s="106">
        <v>0</v>
      </c>
      <c r="AN58" s="106">
        <v>0</v>
      </c>
      <c r="AO58" s="106">
        <v>0</v>
      </c>
      <c r="AP58" s="106">
        <v>0</v>
      </c>
      <c r="AQ58" s="106">
        <v>4644760.6052264124</v>
      </c>
      <c r="AR58" s="106">
        <v>4644760.6052264124</v>
      </c>
      <c r="AS58" s="106">
        <v>4644760.6052264124</v>
      </c>
      <c r="AT58" s="106">
        <v>4644760.6052264124</v>
      </c>
      <c r="AU58" s="106">
        <v>2529565.8935155729</v>
      </c>
      <c r="AV58" s="106">
        <v>2529565.8935155729</v>
      </c>
      <c r="AW58" s="106">
        <v>2529565.8935155729</v>
      </c>
      <c r="AX58" s="106">
        <v>2529565.8935155729</v>
      </c>
    </row>
    <row r="59" spans="2:51" x14ac:dyDescent="0.2">
      <c r="B59" s="111" t="s">
        <v>105</v>
      </c>
      <c r="C59" s="106">
        <v>0</v>
      </c>
      <c r="D59" s="106">
        <v>0</v>
      </c>
      <c r="E59" s="106">
        <v>0</v>
      </c>
      <c r="F59" s="106">
        <v>0</v>
      </c>
      <c r="G59" s="106">
        <v>0</v>
      </c>
      <c r="H59" s="106">
        <v>0</v>
      </c>
      <c r="I59" s="106">
        <v>0</v>
      </c>
      <c r="J59" s="106">
        <v>0</v>
      </c>
      <c r="K59" s="106">
        <v>0</v>
      </c>
      <c r="L59" s="106">
        <v>0</v>
      </c>
      <c r="M59" s="106">
        <v>0</v>
      </c>
      <c r="N59" s="106">
        <v>0</v>
      </c>
      <c r="O59" s="106">
        <v>268435.44748815225</v>
      </c>
      <c r="P59" s="106">
        <v>268435.44748815225</v>
      </c>
      <c r="Q59" s="106">
        <v>268435.44748815225</v>
      </c>
      <c r="R59" s="106">
        <v>268435.44748815225</v>
      </c>
      <c r="S59" s="106">
        <v>0</v>
      </c>
      <c r="T59" s="106">
        <v>0</v>
      </c>
      <c r="U59" s="106">
        <v>0</v>
      </c>
      <c r="V59" s="106">
        <v>0</v>
      </c>
      <c r="W59" s="106">
        <v>345283.6678148873</v>
      </c>
      <c r="X59" s="106">
        <v>345283.6678148873</v>
      </c>
      <c r="Y59" s="106">
        <v>345283.6678148873</v>
      </c>
      <c r="Z59" s="106">
        <v>345283.6678148873</v>
      </c>
      <c r="AA59" s="106">
        <v>0</v>
      </c>
      <c r="AB59" s="106">
        <v>0</v>
      </c>
      <c r="AC59" s="106">
        <v>0</v>
      </c>
      <c r="AD59" s="106">
        <v>0</v>
      </c>
      <c r="AE59" s="106">
        <v>284573.11580041156</v>
      </c>
      <c r="AF59" s="106">
        <v>284573.11580041156</v>
      </c>
      <c r="AG59" s="106">
        <v>284573.11580041156</v>
      </c>
      <c r="AH59" s="106">
        <v>284573.11580041156</v>
      </c>
      <c r="AI59" s="106">
        <v>0</v>
      </c>
      <c r="AJ59" s="106">
        <v>0</v>
      </c>
      <c r="AK59" s="106">
        <v>0</v>
      </c>
      <c r="AL59" s="106">
        <v>0</v>
      </c>
      <c r="AM59" s="106">
        <v>313788.84300734405</v>
      </c>
      <c r="AN59" s="106">
        <v>313788.84300734405</v>
      </c>
      <c r="AO59" s="106">
        <v>313788.84300734405</v>
      </c>
      <c r="AP59" s="106">
        <v>313788.84300734405</v>
      </c>
      <c r="AQ59" s="106">
        <v>392512.03551202157</v>
      </c>
      <c r="AR59" s="106">
        <v>392512.03551202157</v>
      </c>
      <c r="AS59" s="106">
        <v>392512.03551202157</v>
      </c>
      <c r="AT59" s="106">
        <v>392512.03551202157</v>
      </c>
      <c r="AU59" s="106">
        <v>344927.7472737701</v>
      </c>
      <c r="AV59" s="106">
        <v>344927.7472737701</v>
      </c>
      <c r="AW59" s="106">
        <v>344927.7472737701</v>
      </c>
      <c r="AX59" s="106">
        <v>344927.7472737701</v>
      </c>
    </row>
    <row r="60" spans="2:51" x14ac:dyDescent="0.2">
      <c r="B60" s="111" t="s">
        <v>106</v>
      </c>
      <c r="C60" s="106">
        <v>0</v>
      </c>
      <c r="D60" s="106">
        <v>0</v>
      </c>
      <c r="E60" s="106">
        <v>0</v>
      </c>
      <c r="F60" s="106">
        <v>0</v>
      </c>
      <c r="G60" s="106">
        <v>0</v>
      </c>
      <c r="H60" s="106">
        <v>0</v>
      </c>
      <c r="I60" s="106">
        <v>0</v>
      </c>
      <c r="J60" s="106">
        <v>0</v>
      </c>
      <c r="K60" s="106">
        <v>0</v>
      </c>
      <c r="L60" s="106">
        <v>0</v>
      </c>
      <c r="M60" s="106">
        <v>0</v>
      </c>
      <c r="N60" s="106">
        <v>0</v>
      </c>
      <c r="O60" s="106">
        <v>0</v>
      </c>
      <c r="P60" s="106">
        <v>0</v>
      </c>
      <c r="Q60" s="106">
        <v>0</v>
      </c>
      <c r="R60" s="106">
        <v>0</v>
      </c>
      <c r="S60" s="106">
        <v>1359066.867689023</v>
      </c>
      <c r="T60" s="106">
        <v>1359066.867689023</v>
      </c>
      <c r="U60" s="106">
        <v>1359066.867689023</v>
      </c>
      <c r="V60" s="106">
        <v>1359066.867689023</v>
      </c>
      <c r="W60" s="106">
        <v>0</v>
      </c>
      <c r="X60" s="106">
        <v>0</v>
      </c>
      <c r="Y60" s="106">
        <v>0</v>
      </c>
      <c r="Z60" s="106">
        <v>0</v>
      </c>
      <c r="AA60" s="106">
        <v>0</v>
      </c>
      <c r="AB60" s="106">
        <v>0</v>
      </c>
      <c r="AC60" s="106">
        <v>0</v>
      </c>
      <c r="AD60" s="106">
        <v>0</v>
      </c>
      <c r="AE60" s="106">
        <v>0</v>
      </c>
      <c r="AF60" s="106">
        <v>0</v>
      </c>
      <c r="AG60" s="106">
        <v>0</v>
      </c>
      <c r="AH60" s="106">
        <v>0</v>
      </c>
      <c r="AI60" s="106">
        <v>0</v>
      </c>
      <c r="AJ60" s="106">
        <v>0</v>
      </c>
      <c r="AK60" s="106">
        <v>0</v>
      </c>
      <c r="AL60" s="106">
        <v>0</v>
      </c>
      <c r="AM60" s="106">
        <v>976991.85949455423</v>
      </c>
      <c r="AN60" s="106">
        <v>976991.85949455423</v>
      </c>
      <c r="AO60" s="106">
        <v>976991.85949455423</v>
      </c>
      <c r="AP60" s="106">
        <v>976991.85949455423</v>
      </c>
      <c r="AQ60" s="106">
        <v>0</v>
      </c>
      <c r="AR60" s="106">
        <v>0</v>
      </c>
      <c r="AS60" s="106">
        <v>0</v>
      </c>
      <c r="AT60" s="106">
        <v>0</v>
      </c>
      <c r="AU60" s="106">
        <v>0</v>
      </c>
      <c r="AV60" s="106">
        <v>0</v>
      </c>
      <c r="AW60" s="106">
        <v>0</v>
      </c>
      <c r="AX60" s="106">
        <v>0</v>
      </c>
    </row>
    <row r="61" spans="2:51" x14ac:dyDescent="0.2">
      <c r="B61" s="111" t="s">
        <v>107</v>
      </c>
      <c r="C61" s="106">
        <v>268110.90691430558</v>
      </c>
      <c r="D61" s="106">
        <v>268110.90691430558</v>
      </c>
      <c r="E61" s="106">
        <v>268110.90691430558</v>
      </c>
      <c r="F61" s="106">
        <v>268110.90691430558</v>
      </c>
      <c r="G61" s="106">
        <v>484587.55144655146</v>
      </c>
      <c r="H61" s="106">
        <v>484587.55144655146</v>
      </c>
      <c r="I61" s="106">
        <v>484587.55144655146</v>
      </c>
      <c r="J61" s="106">
        <v>484587.55144655146</v>
      </c>
      <c r="K61" s="106">
        <v>287171.67416659382</v>
      </c>
      <c r="L61" s="106">
        <v>287171.67416659382</v>
      </c>
      <c r="M61" s="106">
        <v>287171.67416659382</v>
      </c>
      <c r="N61" s="106">
        <v>287171.67416659382</v>
      </c>
      <c r="O61" s="106">
        <v>0</v>
      </c>
      <c r="P61" s="106">
        <v>0</v>
      </c>
      <c r="Q61" s="106">
        <v>0</v>
      </c>
      <c r="R61" s="106">
        <v>0</v>
      </c>
      <c r="S61" s="106">
        <v>280528.61631531955</v>
      </c>
      <c r="T61" s="106">
        <v>280528.61631531955</v>
      </c>
      <c r="U61" s="106">
        <v>280528.61631531955</v>
      </c>
      <c r="V61" s="106">
        <v>280528.61631531955</v>
      </c>
      <c r="W61" s="106">
        <v>0</v>
      </c>
      <c r="X61" s="106">
        <v>0</v>
      </c>
      <c r="Y61" s="106">
        <v>0</v>
      </c>
      <c r="Z61" s="106">
        <v>0</v>
      </c>
      <c r="AA61" s="106">
        <v>294259.77279821131</v>
      </c>
      <c r="AB61" s="106">
        <v>294259.77279821131</v>
      </c>
      <c r="AC61" s="106">
        <v>294259.77279821131</v>
      </c>
      <c r="AD61" s="106">
        <v>294259.77279821131</v>
      </c>
      <c r="AE61" s="106">
        <v>0</v>
      </c>
      <c r="AF61" s="106">
        <v>0</v>
      </c>
      <c r="AG61" s="106">
        <v>0</v>
      </c>
      <c r="AH61" s="106">
        <v>0</v>
      </c>
      <c r="AI61" s="106">
        <v>260293.18240138123</v>
      </c>
      <c r="AJ61" s="106">
        <v>260293.18240138123</v>
      </c>
      <c r="AK61" s="106">
        <v>260293.18240138123</v>
      </c>
      <c r="AL61" s="106">
        <v>260293.18240138123</v>
      </c>
      <c r="AM61" s="106">
        <v>0</v>
      </c>
      <c r="AN61" s="106">
        <v>0</v>
      </c>
      <c r="AO61" s="106">
        <v>0</v>
      </c>
      <c r="AP61" s="106">
        <v>0</v>
      </c>
      <c r="AQ61" s="106">
        <v>0</v>
      </c>
      <c r="AR61" s="106">
        <v>0</v>
      </c>
      <c r="AS61" s="106">
        <v>0</v>
      </c>
      <c r="AT61" s="106">
        <v>0</v>
      </c>
      <c r="AU61" s="106">
        <v>0</v>
      </c>
      <c r="AV61" s="106">
        <v>0</v>
      </c>
      <c r="AW61" s="106">
        <v>0</v>
      </c>
      <c r="AX61" s="106">
        <v>0</v>
      </c>
    </row>
    <row r="62" spans="2:51" x14ac:dyDescent="0.2">
      <c r="B62" s="111" t="s">
        <v>108</v>
      </c>
      <c r="C62" s="106">
        <v>2572066.9211424687</v>
      </c>
      <c r="D62" s="106">
        <v>2572066.9211424687</v>
      </c>
      <c r="E62" s="106">
        <v>2572066.9211424687</v>
      </c>
      <c r="F62" s="106">
        <v>2572066.9211424687</v>
      </c>
      <c r="G62" s="106">
        <v>0</v>
      </c>
      <c r="H62" s="106">
        <v>0</v>
      </c>
      <c r="I62" s="106">
        <v>0</v>
      </c>
      <c r="J62" s="106">
        <v>0</v>
      </c>
      <c r="K62" s="106">
        <v>4938008.18046661</v>
      </c>
      <c r="L62" s="106">
        <v>4938008.18046661</v>
      </c>
      <c r="M62" s="106">
        <v>4938008.18046661</v>
      </c>
      <c r="N62" s="106">
        <v>4938008.18046661</v>
      </c>
      <c r="O62" s="106">
        <v>0</v>
      </c>
      <c r="P62" s="106">
        <v>0</v>
      </c>
      <c r="Q62" s="106">
        <v>0</v>
      </c>
      <c r="R62" s="106">
        <v>0</v>
      </c>
      <c r="S62" s="106">
        <v>0</v>
      </c>
      <c r="T62" s="106">
        <v>0</v>
      </c>
      <c r="U62" s="106">
        <v>0</v>
      </c>
      <c r="V62" s="106">
        <v>0</v>
      </c>
      <c r="W62" s="106">
        <v>0</v>
      </c>
      <c r="X62" s="106">
        <v>0</v>
      </c>
      <c r="Y62" s="106">
        <v>0</v>
      </c>
      <c r="Z62" s="106">
        <v>0</v>
      </c>
      <c r="AA62" s="106">
        <v>0</v>
      </c>
      <c r="AB62" s="106">
        <v>0</v>
      </c>
      <c r="AC62" s="106">
        <v>0</v>
      </c>
      <c r="AD62" s="106">
        <v>0</v>
      </c>
      <c r="AE62" s="106">
        <v>0</v>
      </c>
      <c r="AF62" s="106">
        <v>0</v>
      </c>
      <c r="AG62" s="106">
        <v>0</v>
      </c>
      <c r="AH62" s="106">
        <v>0</v>
      </c>
      <c r="AI62" s="106">
        <v>4596615.8044276685</v>
      </c>
      <c r="AJ62" s="106">
        <v>4596615.8044276685</v>
      </c>
      <c r="AK62" s="106">
        <v>4596615.8044276685</v>
      </c>
      <c r="AL62" s="106">
        <v>4596615.8044276685</v>
      </c>
      <c r="AM62" s="106">
        <v>4287945.399757836</v>
      </c>
      <c r="AN62" s="106">
        <v>4287945.399757836</v>
      </c>
      <c r="AO62" s="106">
        <v>4287945.399757836</v>
      </c>
      <c r="AP62" s="106">
        <v>4287945.399757836</v>
      </c>
      <c r="AQ62" s="106">
        <v>0</v>
      </c>
      <c r="AR62" s="106">
        <v>0</v>
      </c>
      <c r="AS62" s="106">
        <v>0</v>
      </c>
      <c r="AT62" s="106">
        <v>0</v>
      </c>
      <c r="AU62" s="106">
        <v>0</v>
      </c>
      <c r="AV62" s="106">
        <v>0</v>
      </c>
      <c r="AW62" s="106">
        <v>0</v>
      </c>
      <c r="AX62" s="106">
        <v>0</v>
      </c>
    </row>
    <row r="63" spans="2:51" x14ac:dyDescent="0.2">
      <c r="B63" s="111" t="s">
        <v>109</v>
      </c>
      <c r="C63" s="106">
        <v>0</v>
      </c>
      <c r="D63" s="106">
        <v>0</v>
      </c>
      <c r="E63" s="106">
        <v>0</v>
      </c>
      <c r="F63" s="106">
        <v>0</v>
      </c>
      <c r="G63" s="106">
        <v>0</v>
      </c>
      <c r="H63" s="106">
        <v>0</v>
      </c>
      <c r="I63" s="106">
        <v>0</v>
      </c>
      <c r="J63" s="106">
        <v>0</v>
      </c>
      <c r="K63" s="106">
        <v>0</v>
      </c>
      <c r="L63" s="106">
        <v>0</v>
      </c>
      <c r="M63" s="106">
        <v>0</v>
      </c>
      <c r="N63" s="106">
        <v>0</v>
      </c>
      <c r="O63" s="106">
        <v>0</v>
      </c>
      <c r="P63" s="106">
        <v>0</v>
      </c>
      <c r="Q63" s="106">
        <v>0</v>
      </c>
      <c r="R63" s="106">
        <v>0</v>
      </c>
      <c r="S63" s="106">
        <v>0</v>
      </c>
      <c r="T63" s="106">
        <v>0</v>
      </c>
      <c r="U63" s="106">
        <v>0</v>
      </c>
      <c r="V63" s="106">
        <v>0</v>
      </c>
      <c r="W63" s="106">
        <v>0</v>
      </c>
      <c r="X63" s="106">
        <v>0</v>
      </c>
      <c r="Y63" s="106">
        <v>0</v>
      </c>
      <c r="Z63" s="106">
        <v>0</v>
      </c>
      <c r="AA63" s="106">
        <v>0</v>
      </c>
      <c r="AB63" s="106">
        <v>0</v>
      </c>
      <c r="AC63" s="106">
        <v>0</v>
      </c>
      <c r="AD63" s="106">
        <v>0</v>
      </c>
      <c r="AE63" s="106">
        <v>0</v>
      </c>
      <c r="AF63" s="106">
        <v>0</v>
      </c>
      <c r="AG63" s="106">
        <v>0</v>
      </c>
      <c r="AH63" s="106">
        <v>0</v>
      </c>
      <c r="AI63" s="106">
        <v>0</v>
      </c>
      <c r="AJ63" s="106">
        <v>0</v>
      </c>
      <c r="AK63" s="106">
        <v>0</v>
      </c>
      <c r="AL63" s="106">
        <v>0</v>
      </c>
      <c r="AM63" s="106">
        <v>0</v>
      </c>
      <c r="AN63" s="106">
        <v>0</v>
      </c>
      <c r="AO63" s="106">
        <v>0</v>
      </c>
      <c r="AP63" s="106">
        <v>0</v>
      </c>
      <c r="AQ63" s="106">
        <v>0</v>
      </c>
      <c r="AR63" s="106">
        <v>0</v>
      </c>
      <c r="AS63" s="106">
        <v>0</v>
      </c>
      <c r="AT63" s="106">
        <v>0</v>
      </c>
      <c r="AU63" s="106">
        <v>0</v>
      </c>
      <c r="AV63" s="106">
        <v>0</v>
      </c>
      <c r="AW63" s="106">
        <v>0</v>
      </c>
      <c r="AX63" s="106">
        <v>0</v>
      </c>
    </row>
    <row r="64" spans="2:51" x14ac:dyDescent="0.2">
      <c r="B64" s="107"/>
    </row>
    <row r="65" spans="1:14" x14ac:dyDescent="0.2">
      <c r="B65" s="110" t="s">
        <v>327</v>
      </c>
    </row>
    <row r="66" spans="1:14" x14ac:dyDescent="0.2">
      <c r="B66" s="105" t="s">
        <v>328</v>
      </c>
      <c r="C66" s="105" t="s">
        <v>92</v>
      </c>
      <c r="D66" s="105" t="s">
        <v>93</v>
      </c>
      <c r="E66" s="105" t="s">
        <v>94</v>
      </c>
      <c r="F66" s="105" t="s">
        <v>95</v>
      </c>
      <c r="G66" s="105" t="s">
        <v>96</v>
      </c>
      <c r="H66" s="105" t="s">
        <v>97</v>
      </c>
      <c r="I66" s="105" t="s">
        <v>98</v>
      </c>
      <c r="J66" s="105" t="s">
        <v>99</v>
      </c>
      <c r="K66" s="105" t="s">
        <v>100</v>
      </c>
      <c r="L66" s="105" t="s">
        <v>101</v>
      </c>
      <c r="M66" s="105" t="s">
        <v>102</v>
      </c>
      <c r="N66" s="105" t="s">
        <v>103</v>
      </c>
    </row>
    <row r="67" spans="1:14" x14ac:dyDescent="0.2">
      <c r="B67" s="105" t="s">
        <v>329</v>
      </c>
      <c r="C67" s="106">
        <v>5075.7741281735252</v>
      </c>
      <c r="D67" s="106">
        <v>4202.800861068984</v>
      </c>
      <c r="E67" s="106">
        <v>0</v>
      </c>
      <c r="F67" s="106">
        <v>0</v>
      </c>
      <c r="G67" s="106">
        <v>0</v>
      </c>
      <c r="H67" s="106">
        <v>0</v>
      </c>
      <c r="I67" s="106">
        <v>0</v>
      </c>
      <c r="J67" s="106">
        <v>0</v>
      </c>
      <c r="K67" s="106">
        <v>0</v>
      </c>
      <c r="L67" s="106">
        <v>0</v>
      </c>
      <c r="M67" s="106">
        <v>0</v>
      </c>
      <c r="N67" s="106">
        <v>0</v>
      </c>
    </row>
    <row r="68" spans="1:14" x14ac:dyDescent="0.2">
      <c r="B68" s="105" t="s">
        <v>330</v>
      </c>
      <c r="C68" s="106">
        <v>5661.4232620617504</v>
      </c>
      <c r="D68" s="106">
        <v>4122.8865737794595</v>
      </c>
      <c r="E68" s="106">
        <v>1003.9999999999949</v>
      </c>
      <c r="F68" s="106">
        <v>884.249999999995</v>
      </c>
      <c r="G68" s="106">
        <v>3645.0461459999951</v>
      </c>
      <c r="H68" s="106">
        <v>5449.4081979999492</v>
      </c>
      <c r="I68" s="106">
        <v>2059.999999999995</v>
      </c>
      <c r="J68" s="106">
        <v>3034.7499999999945</v>
      </c>
      <c r="K68" s="106">
        <v>7393.5625580969499</v>
      </c>
      <c r="L68" s="106">
        <v>7555.99999999995</v>
      </c>
      <c r="M68" s="106">
        <v>3413.4999999999955</v>
      </c>
      <c r="N68" s="106">
        <v>5775.1732620617504</v>
      </c>
    </row>
    <row r="70" spans="1:14" x14ac:dyDescent="0.2">
      <c r="B70" s="110" t="s">
        <v>331</v>
      </c>
    </row>
    <row r="71" spans="1:14" x14ac:dyDescent="0.2">
      <c r="A71" s="111" t="s">
        <v>121</v>
      </c>
      <c r="B71" s="111" t="s">
        <v>332</v>
      </c>
      <c r="C71" s="111" t="s">
        <v>42</v>
      </c>
      <c r="D71" s="111" t="s">
        <v>49</v>
      </c>
      <c r="E71" s="111" t="s">
        <v>66</v>
      </c>
    </row>
    <row r="72" spans="1:14" x14ac:dyDescent="0.2">
      <c r="A72" s="111" t="s">
        <v>104</v>
      </c>
      <c r="B72" s="111" t="s">
        <v>92</v>
      </c>
      <c r="C72" s="106">
        <v>272925.79740743432</v>
      </c>
      <c r="D72" s="106">
        <v>995117.57169172214</v>
      </c>
      <c r="E72" s="106">
        <v>0</v>
      </c>
    </row>
    <row r="73" spans="1:14" x14ac:dyDescent="0.2">
      <c r="B73" s="111" t="s">
        <v>93</v>
      </c>
      <c r="C73" s="106">
        <v>198756.04661280499</v>
      </c>
      <c r="D73" s="106">
        <v>724686.47648254049</v>
      </c>
      <c r="E73" s="106">
        <v>0</v>
      </c>
    </row>
    <row r="74" spans="1:14" x14ac:dyDescent="0.2">
      <c r="B74" s="111" t="s">
        <v>94</v>
      </c>
      <c r="C74" s="106">
        <v>48400.815115397723</v>
      </c>
      <c r="D74" s="106">
        <v>176474.71240555812</v>
      </c>
      <c r="E74" s="106">
        <v>0</v>
      </c>
    </row>
    <row r="75" spans="1:14" x14ac:dyDescent="0.2">
      <c r="B75" s="111" t="s">
        <v>95</v>
      </c>
      <c r="C75" s="106">
        <v>42627.909129273321</v>
      </c>
      <c r="D75" s="106">
        <v>155426.06020379948</v>
      </c>
      <c r="E75" s="106">
        <v>0</v>
      </c>
    </row>
    <row r="76" spans="1:14" x14ac:dyDescent="0.2">
      <c r="B76" s="111" t="s">
        <v>96</v>
      </c>
      <c r="C76" s="106">
        <v>175720.32330641404</v>
      </c>
      <c r="D76" s="106">
        <v>640695.68757006025</v>
      </c>
      <c r="E76" s="106">
        <v>0</v>
      </c>
    </row>
    <row r="77" spans="1:14" x14ac:dyDescent="0.2">
      <c r="B77" s="111" t="s">
        <v>97</v>
      </c>
      <c r="C77" s="106">
        <v>262704.9787646709</v>
      </c>
      <c r="D77" s="106">
        <v>957851.33916587313</v>
      </c>
      <c r="E77" s="106">
        <v>0</v>
      </c>
    </row>
    <row r="78" spans="1:14" x14ac:dyDescent="0.2">
      <c r="B78" s="111" t="s">
        <v>98</v>
      </c>
      <c r="C78" s="106">
        <v>99308.445356294396</v>
      </c>
      <c r="D78" s="106">
        <v>362089.54935801862</v>
      </c>
      <c r="E78" s="106">
        <v>0</v>
      </c>
    </row>
    <row r="79" spans="1:14" x14ac:dyDescent="0.2">
      <c r="B79" s="111" t="s">
        <v>99</v>
      </c>
      <c r="C79" s="106">
        <v>146299.17696359934</v>
      </c>
      <c r="D79" s="106">
        <v>533422.94170594553</v>
      </c>
      <c r="E79" s="106">
        <v>0</v>
      </c>
    </row>
    <row r="80" spans="1:14" x14ac:dyDescent="0.2">
      <c r="B80" s="111" t="s">
        <v>100</v>
      </c>
      <c r="C80" s="106">
        <v>356428.73946073645</v>
      </c>
      <c r="D80" s="106">
        <v>1299578.5120444905</v>
      </c>
      <c r="E80" s="106">
        <v>0</v>
      </c>
    </row>
    <row r="81" spans="2:50" x14ac:dyDescent="0.2">
      <c r="B81" s="111" t="s">
        <v>101</v>
      </c>
      <c r="C81" s="106">
        <v>364259.52092823171</v>
      </c>
      <c r="D81" s="106">
        <v>1328130.4053151344</v>
      </c>
      <c r="E81" s="106">
        <v>0</v>
      </c>
    </row>
    <row r="82" spans="2:50" x14ac:dyDescent="0.2">
      <c r="B82" s="111" t="s">
        <v>102</v>
      </c>
      <c r="C82" s="106">
        <v>164557.95059403463</v>
      </c>
      <c r="D82" s="106">
        <v>599996.44501630962</v>
      </c>
      <c r="E82" s="106">
        <v>0</v>
      </c>
    </row>
    <row r="83" spans="2:50" x14ac:dyDescent="0.2">
      <c r="B83" s="111" t="s">
        <v>103</v>
      </c>
      <c r="C83" s="106">
        <v>278409.45549446275</v>
      </c>
      <c r="D83" s="106">
        <v>1015111.5941380693</v>
      </c>
      <c r="E83" s="106">
        <v>0</v>
      </c>
    </row>
    <row r="85" spans="2:50" x14ac:dyDescent="0.2">
      <c r="B85" s="109" t="s">
        <v>333</v>
      </c>
    </row>
    <row r="86" spans="2:50" x14ac:dyDescent="0.2">
      <c r="B86" s="105" t="s">
        <v>274</v>
      </c>
      <c r="C86" s="105" t="s">
        <v>92</v>
      </c>
      <c r="D86" s="107"/>
      <c r="E86" s="107"/>
      <c r="F86" s="107"/>
      <c r="G86" s="105" t="s">
        <v>93</v>
      </c>
      <c r="H86" s="107"/>
      <c r="I86" s="107"/>
      <c r="J86" s="107"/>
      <c r="K86" s="105" t="s">
        <v>94</v>
      </c>
      <c r="L86" s="107"/>
      <c r="M86" s="107"/>
      <c r="N86" s="107"/>
      <c r="O86" s="105" t="s">
        <v>95</v>
      </c>
      <c r="P86" s="107"/>
      <c r="Q86" s="107"/>
      <c r="R86" s="107"/>
      <c r="S86" s="105" t="s">
        <v>96</v>
      </c>
      <c r="T86" s="107"/>
      <c r="U86" s="107"/>
      <c r="V86" s="107"/>
      <c r="W86" s="105" t="s">
        <v>97</v>
      </c>
      <c r="X86" s="107"/>
      <c r="Y86" s="107"/>
      <c r="Z86" s="107"/>
      <c r="AA86" s="105" t="s">
        <v>98</v>
      </c>
      <c r="AB86" s="107"/>
      <c r="AC86" s="107"/>
      <c r="AD86" s="107"/>
      <c r="AE86" s="105" t="s">
        <v>99</v>
      </c>
      <c r="AF86" s="107"/>
      <c r="AG86" s="107"/>
      <c r="AH86" s="107"/>
      <c r="AI86" s="105" t="s">
        <v>100</v>
      </c>
      <c r="AJ86" s="107"/>
      <c r="AK86" s="107"/>
      <c r="AL86" s="107"/>
      <c r="AM86" s="105" t="s">
        <v>101</v>
      </c>
      <c r="AN86" s="107"/>
      <c r="AO86" s="107"/>
      <c r="AP86" s="107"/>
      <c r="AQ86" s="105" t="s">
        <v>102</v>
      </c>
      <c r="AR86" s="107"/>
      <c r="AS86" s="107"/>
      <c r="AT86" s="107"/>
      <c r="AU86" s="105" t="s">
        <v>103</v>
      </c>
      <c r="AV86" s="107"/>
      <c r="AW86" s="107"/>
    </row>
    <row r="87" spans="2:50" x14ac:dyDescent="0.2">
      <c r="B87" s="105" t="s">
        <v>334</v>
      </c>
      <c r="C87" s="105">
        <v>1</v>
      </c>
      <c r="D87" s="105">
        <v>2</v>
      </c>
      <c r="E87" s="105">
        <v>3</v>
      </c>
      <c r="F87" s="105">
        <v>4</v>
      </c>
      <c r="G87" s="105">
        <v>1</v>
      </c>
      <c r="H87" s="105">
        <v>2</v>
      </c>
      <c r="I87" s="105">
        <v>3</v>
      </c>
      <c r="J87" s="105">
        <v>4</v>
      </c>
      <c r="K87" s="105">
        <v>1</v>
      </c>
      <c r="L87" s="105">
        <v>2</v>
      </c>
      <c r="M87" s="105">
        <v>3</v>
      </c>
      <c r="N87" s="105">
        <v>4</v>
      </c>
      <c r="O87" s="105">
        <v>1</v>
      </c>
      <c r="P87" s="105">
        <v>2</v>
      </c>
      <c r="Q87" s="105">
        <v>3</v>
      </c>
      <c r="R87" s="105">
        <v>4</v>
      </c>
      <c r="S87" s="105">
        <v>1</v>
      </c>
      <c r="T87" s="105">
        <v>2</v>
      </c>
      <c r="U87" s="105">
        <v>3</v>
      </c>
      <c r="V87" s="105">
        <v>4</v>
      </c>
      <c r="W87" s="105">
        <v>1</v>
      </c>
      <c r="X87" s="105">
        <v>2</v>
      </c>
      <c r="Y87" s="105">
        <v>3</v>
      </c>
      <c r="Z87" s="105">
        <v>4</v>
      </c>
      <c r="AA87" s="105">
        <v>1</v>
      </c>
      <c r="AB87" s="105">
        <v>2</v>
      </c>
      <c r="AC87" s="105">
        <v>3</v>
      </c>
      <c r="AD87" s="105">
        <v>4</v>
      </c>
      <c r="AE87" s="105">
        <v>1</v>
      </c>
      <c r="AF87" s="105">
        <v>2</v>
      </c>
      <c r="AG87" s="105">
        <v>3</v>
      </c>
      <c r="AH87" s="105">
        <v>4</v>
      </c>
      <c r="AI87" s="105">
        <v>1</v>
      </c>
      <c r="AJ87" s="105">
        <v>2</v>
      </c>
      <c r="AK87" s="105">
        <v>3</v>
      </c>
      <c r="AL87" s="105">
        <v>4</v>
      </c>
      <c r="AM87" s="105">
        <v>1</v>
      </c>
      <c r="AN87" s="105">
        <v>2</v>
      </c>
      <c r="AO87" s="105">
        <v>3</v>
      </c>
      <c r="AP87" s="105">
        <v>4</v>
      </c>
      <c r="AQ87" s="105">
        <v>1</v>
      </c>
      <c r="AR87" s="105">
        <v>2</v>
      </c>
      <c r="AS87" s="105">
        <v>3</v>
      </c>
      <c r="AT87" s="105">
        <v>4</v>
      </c>
      <c r="AU87" s="105">
        <v>1</v>
      </c>
      <c r="AV87" s="105">
        <v>2</v>
      </c>
      <c r="AW87" s="105">
        <v>3</v>
      </c>
      <c r="AX87" s="105">
        <v>4</v>
      </c>
    </row>
    <row r="88" spans="2:50" x14ac:dyDescent="0.2">
      <c r="B88" s="105" t="s">
        <v>104</v>
      </c>
      <c r="C88" s="106">
        <f>C48+$C$67/4</f>
        <v>1268.9435320433813</v>
      </c>
      <c r="D88" s="106">
        <f>D48+$C$67/4</f>
        <v>1268.9435320433813</v>
      </c>
      <c r="E88" s="106">
        <f>E48+$C$67/4</f>
        <v>1268.9435320433813</v>
      </c>
      <c r="F88" s="106">
        <f>F48+$C$67/4</f>
        <v>1268.9435320433813</v>
      </c>
      <c r="G88" s="106">
        <f>G48+$D$67/4</f>
        <v>4365.2349209061658</v>
      </c>
      <c r="H88" s="106">
        <f>H48+$D$67/4</f>
        <v>4365.2349209061658</v>
      </c>
      <c r="I88" s="106">
        <f>I48+$D$67/4</f>
        <v>4365.2349209061658</v>
      </c>
      <c r="J88" s="106">
        <f>J48+$D$67/4</f>
        <v>4365.2349209061658</v>
      </c>
      <c r="K88" s="106">
        <f>K48+$E$67/4</f>
        <v>0</v>
      </c>
      <c r="L88" s="106">
        <f>L48+$E$67/4</f>
        <v>0</v>
      </c>
      <c r="M88" s="106">
        <f>M48+$E$67/4</f>
        <v>0</v>
      </c>
      <c r="N88" s="106">
        <f>N48+$E$67/4</f>
        <v>0</v>
      </c>
      <c r="O88" s="106">
        <f>O48+$F$67/4</f>
        <v>3738.7288785437099</v>
      </c>
      <c r="P88" s="106">
        <f>P48+$F$67/4</f>
        <v>3738.7288785437099</v>
      </c>
      <c r="Q88" s="106">
        <f>Q48+$F$67/4</f>
        <v>3738.7288785437099</v>
      </c>
      <c r="R88" s="106">
        <f>R48+$F$67/4</f>
        <v>3738.7288785437099</v>
      </c>
      <c r="S88" s="106">
        <f>S48+$G$67/4</f>
        <v>1201.5023349885801</v>
      </c>
      <c r="T88" s="106">
        <f>T48+$G$67/4</f>
        <v>1201.5023349885801</v>
      </c>
      <c r="U88" s="106">
        <f>U48+$G$67/4</f>
        <v>1201.5023349885801</v>
      </c>
      <c r="V88" s="106">
        <f>V48+$G$67/4</f>
        <v>1201.5023349885801</v>
      </c>
      <c r="W88" s="106">
        <f>W48+$H$67/4</f>
        <v>2856.69201365244</v>
      </c>
      <c r="X88" s="106">
        <f>X48+$H$67/4</f>
        <v>2856.69201365244</v>
      </c>
      <c r="Y88" s="106">
        <f>Y48+$H$67/4</f>
        <v>2856.69201365244</v>
      </c>
      <c r="Z88" s="106">
        <f>Z48+$H$67/4</f>
        <v>2856.69201365244</v>
      </c>
      <c r="AA88" s="106">
        <f>AA48+$I$67/4</f>
        <v>2757.10833037777</v>
      </c>
      <c r="AB88" s="106">
        <f>AB48+$I$67/4</f>
        <v>2757.10833037777</v>
      </c>
      <c r="AC88" s="106">
        <f>AC48+$I$67/4</f>
        <v>2757.10833037777</v>
      </c>
      <c r="AD88" s="106">
        <f>AD48+$I$67/4</f>
        <v>2757.10833037777</v>
      </c>
      <c r="AE88" s="106">
        <f>AE48+$J$67/4</f>
        <v>3515.97732144767</v>
      </c>
      <c r="AF88" s="106">
        <f>AF48+$J$67/4</f>
        <v>3515.97732144767</v>
      </c>
      <c r="AG88" s="106">
        <f>AG48+$J$67/4</f>
        <v>3515.97732144767</v>
      </c>
      <c r="AH88" s="106">
        <f>AH48+$J$67/4</f>
        <v>3515.97732144767</v>
      </c>
      <c r="AI88" s="106">
        <f>AI48+$K$67/4</f>
        <v>0</v>
      </c>
      <c r="AJ88" s="106">
        <f>AJ48+$K$67/4</f>
        <v>0</v>
      </c>
      <c r="AK88" s="106">
        <f>AK48+$K$67/4</f>
        <v>0</v>
      </c>
      <c r="AL88" s="106">
        <f>AL48+$K$67/4</f>
        <v>0</v>
      </c>
      <c r="AM88" s="106">
        <f>AM48+$L$67/4</f>
        <v>0</v>
      </c>
      <c r="AN88" s="106">
        <f>AN48+$L$67/4</f>
        <v>0</v>
      </c>
      <c r="AO88" s="106">
        <f>AO48+$L$67/4</f>
        <v>0</v>
      </c>
      <c r="AP88" s="106">
        <f>AP48+$L$67/4</f>
        <v>0</v>
      </c>
      <c r="AQ88" s="106">
        <f>AQ48+$M$67/4</f>
        <v>3714.3881873036999</v>
      </c>
      <c r="AR88" s="106">
        <f>AR48+$M$67/4</f>
        <v>3714.3881873036999</v>
      </c>
      <c r="AS88" s="106">
        <f>AS48+$M$67/4</f>
        <v>3714.3881873036999</v>
      </c>
      <c r="AT88" s="106">
        <f>AT48+$M$67/4</f>
        <v>3714.3881873036999</v>
      </c>
      <c r="AU88" s="106">
        <f>AU48+$N$67/4</f>
        <v>2309.2759712889701</v>
      </c>
      <c r="AV88" s="106">
        <f>AV48+$N$67/4</f>
        <v>2309.2759712889701</v>
      </c>
      <c r="AW88" s="106">
        <f>AW48+$N$67/4</f>
        <v>2309.2759712889701</v>
      </c>
      <c r="AX88" s="106">
        <f>AX48+$N$67/4</f>
        <v>2309.2759712889701</v>
      </c>
    </row>
    <row r="89" spans="2:50" x14ac:dyDescent="0.2">
      <c r="B89" s="105" t="s">
        <v>105</v>
      </c>
      <c r="C89" s="106">
        <f>C49</f>
        <v>0</v>
      </c>
      <c r="D89" s="106">
        <f t="shared" ref="D89:AX93" si="3">D49</f>
        <v>0</v>
      </c>
      <c r="E89" s="106">
        <f t="shared" si="3"/>
        <v>0</v>
      </c>
      <c r="F89" s="106">
        <f t="shared" si="3"/>
        <v>0</v>
      </c>
      <c r="G89" s="106">
        <f t="shared" si="3"/>
        <v>0</v>
      </c>
      <c r="H89" s="106">
        <f t="shared" si="3"/>
        <v>0</v>
      </c>
      <c r="I89" s="106">
        <f t="shared" si="3"/>
        <v>0</v>
      </c>
      <c r="J89" s="106">
        <f t="shared" si="3"/>
        <v>0</v>
      </c>
      <c r="K89" s="106">
        <f t="shared" si="3"/>
        <v>0</v>
      </c>
      <c r="L89" s="106">
        <f t="shared" si="3"/>
        <v>0</v>
      </c>
      <c r="M89" s="106">
        <f t="shared" si="3"/>
        <v>0</v>
      </c>
      <c r="N89" s="106">
        <f t="shared" si="3"/>
        <v>0</v>
      </c>
      <c r="O89" s="106">
        <f t="shared" si="3"/>
        <v>180.375</v>
      </c>
      <c r="P89" s="106">
        <f t="shared" si="3"/>
        <v>180.375</v>
      </c>
      <c r="Q89" s="106">
        <f t="shared" si="3"/>
        <v>180.375</v>
      </c>
      <c r="R89" s="106">
        <f t="shared" si="3"/>
        <v>180.375</v>
      </c>
      <c r="S89" s="106">
        <f t="shared" si="3"/>
        <v>0</v>
      </c>
      <c r="T89" s="106">
        <f t="shared" si="3"/>
        <v>0</v>
      </c>
      <c r="U89" s="106">
        <f t="shared" si="3"/>
        <v>0</v>
      </c>
      <c r="V89" s="106">
        <f t="shared" si="3"/>
        <v>0</v>
      </c>
      <c r="W89" s="106">
        <f t="shared" si="3"/>
        <v>243.125</v>
      </c>
      <c r="X89" s="106">
        <f t="shared" si="3"/>
        <v>243.125</v>
      </c>
      <c r="Y89" s="106">
        <f t="shared" si="3"/>
        <v>243.125</v>
      </c>
      <c r="Z89" s="106">
        <f t="shared" si="3"/>
        <v>243.125</v>
      </c>
      <c r="AA89" s="106">
        <f t="shared" si="3"/>
        <v>0</v>
      </c>
      <c r="AB89" s="106">
        <f t="shared" si="3"/>
        <v>0</v>
      </c>
      <c r="AC89" s="106">
        <f t="shared" si="3"/>
        <v>0</v>
      </c>
      <c r="AD89" s="106">
        <f t="shared" si="3"/>
        <v>0</v>
      </c>
      <c r="AE89" s="106">
        <f t="shared" si="3"/>
        <v>197</v>
      </c>
      <c r="AF89" s="106">
        <f t="shared" si="3"/>
        <v>197</v>
      </c>
      <c r="AG89" s="106">
        <f t="shared" si="3"/>
        <v>197</v>
      </c>
      <c r="AH89" s="106">
        <f t="shared" si="3"/>
        <v>197</v>
      </c>
      <c r="AI89" s="106">
        <f t="shared" si="3"/>
        <v>0</v>
      </c>
      <c r="AJ89" s="106">
        <f t="shared" si="3"/>
        <v>0</v>
      </c>
      <c r="AK89" s="106">
        <f t="shared" si="3"/>
        <v>0</v>
      </c>
      <c r="AL89" s="106">
        <f t="shared" si="3"/>
        <v>0</v>
      </c>
      <c r="AM89" s="106">
        <f t="shared" si="3"/>
        <v>226.875</v>
      </c>
      <c r="AN89" s="106">
        <f t="shared" si="3"/>
        <v>226.875</v>
      </c>
      <c r="AO89" s="106">
        <f t="shared" si="3"/>
        <v>226.875</v>
      </c>
      <c r="AP89" s="106">
        <f t="shared" si="3"/>
        <v>226.875</v>
      </c>
      <c r="AQ89" s="106">
        <f t="shared" si="3"/>
        <v>268.75</v>
      </c>
      <c r="AR89" s="106">
        <f t="shared" si="3"/>
        <v>268.75</v>
      </c>
      <c r="AS89" s="106">
        <f t="shared" si="3"/>
        <v>268.75</v>
      </c>
      <c r="AT89" s="106">
        <f t="shared" si="3"/>
        <v>268.75</v>
      </c>
      <c r="AU89" s="106">
        <f t="shared" si="3"/>
        <v>259.875</v>
      </c>
      <c r="AV89" s="106">
        <f t="shared" si="3"/>
        <v>259.875</v>
      </c>
      <c r="AW89" s="106">
        <f t="shared" si="3"/>
        <v>259.875</v>
      </c>
      <c r="AX89" s="106">
        <f t="shared" si="3"/>
        <v>259.875</v>
      </c>
    </row>
    <row r="90" spans="2:50" x14ac:dyDescent="0.2">
      <c r="B90" s="105" t="s">
        <v>106</v>
      </c>
      <c r="C90" s="106">
        <f t="shared" ref="C90:R93" si="4">C50</f>
        <v>0</v>
      </c>
      <c r="D90" s="106">
        <f t="shared" si="4"/>
        <v>0</v>
      </c>
      <c r="E90" s="106">
        <f t="shared" si="4"/>
        <v>0</v>
      </c>
      <c r="F90" s="106">
        <f t="shared" si="4"/>
        <v>0</v>
      </c>
      <c r="G90" s="106">
        <f t="shared" si="4"/>
        <v>0</v>
      </c>
      <c r="H90" s="106">
        <f t="shared" si="4"/>
        <v>0</v>
      </c>
      <c r="I90" s="106">
        <f t="shared" si="4"/>
        <v>0</v>
      </c>
      <c r="J90" s="106">
        <f t="shared" si="4"/>
        <v>0</v>
      </c>
      <c r="K90" s="106">
        <f t="shared" si="4"/>
        <v>0</v>
      </c>
      <c r="L90" s="106">
        <f t="shared" si="4"/>
        <v>0</v>
      </c>
      <c r="M90" s="106">
        <f t="shared" si="4"/>
        <v>0</v>
      </c>
      <c r="N90" s="106">
        <f t="shared" si="4"/>
        <v>0</v>
      </c>
      <c r="O90" s="106">
        <f t="shared" si="4"/>
        <v>0</v>
      </c>
      <c r="P90" s="106">
        <f t="shared" si="4"/>
        <v>0</v>
      </c>
      <c r="Q90" s="106">
        <f t="shared" si="4"/>
        <v>0</v>
      </c>
      <c r="R90" s="106">
        <f t="shared" si="4"/>
        <v>0</v>
      </c>
      <c r="S90" s="106">
        <f t="shared" si="3"/>
        <v>907.617740754279</v>
      </c>
      <c r="T90" s="106">
        <f t="shared" si="3"/>
        <v>907.617740754279</v>
      </c>
      <c r="U90" s="106">
        <f t="shared" si="3"/>
        <v>907.617740754279</v>
      </c>
      <c r="V90" s="106">
        <f t="shared" si="3"/>
        <v>907.617740754279</v>
      </c>
      <c r="W90" s="106">
        <f t="shared" si="3"/>
        <v>0</v>
      </c>
      <c r="X90" s="106">
        <f t="shared" si="3"/>
        <v>0</v>
      </c>
      <c r="Y90" s="106">
        <f t="shared" si="3"/>
        <v>0</v>
      </c>
      <c r="Z90" s="106">
        <f t="shared" si="3"/>
        <v>0</v>
      </c>
      <c r="AA90" s="106">
        <f t="shared" si="3"/>
        <v>0</v>
      </c>
      <c r="AB90" s="106">
        <f t="shared" si="3"/>
        <v>0</v>
      </c>
      <c r="AC90" s="106">
        <f t="shared" si="3"/>
        <v>0</v>
      </c>
      <c r="AD90" s="106">
        <f t="shared" si="3"/>
        <v>0</v>
      </c>
      <c r="AE90" s="106">
        <f t="shared" si="3"/>
        <v>0</v>
      </c>
      <c r="AF90" s="106">
        <f t="shared" si="3"/>
        <v>0</v>
      </c>
      <c r="AG90" s="106">
        <f t="shared" si="3"/>
        <v>0</v>
      </c>
      <c r="AH90" s="106">
        <f t="shared" si="3"/>
        <v>0</v>
      </c>
      <c r="AI90" s="106">
        <f t="shared" si="3"/>
        <v>0</v>
      </c>
      <c r="AJ90" s="106">
        <f t="shared" si="3"/>
        <v>0</v>
      </c>
      <c r="AK90" s="106">
        <f t="shared" si="3"/>
        <v>0</v>
      </c>
      <c r="AL90" s="106">
        <f t="shared" si="3"/>
        <v>0</v>
      </c>
      <c r="AM90" s="106">
        <f t="shared" si="3"/>
        <v>647.44149390620396</v>
      </c>
      <c r="AN90" s="106">
        <f t="shared" si="3"/>
        <v>647.44149390620396</v>
      </c>
      <c r="AO90" s="106">
        <f t="shared" si="3"/>
        <v>647.44149390620396</v>
      </c>
      <c r="AP90" s="106">
        <f t="shared" si="3"/>
        <v>647.44149390620396</v>
      </c>
      <c r="AQ90" s="106">
        <f t="shared" si="3"/>
        <v>0</v>
      </c>
      <c r="AR90" s="106">
        <f t="shared" si="3"/>
        <v>0</v>
      </c>
      <c r="AS90" s="106">
        <f t="shared" si="3"/>
        <v>0</v>
      </c>
      <c r="AT90" s="106">
        <f t="shared" si="3"/>
        <v>0</v>
      </c>
      <c r="AU90" s="106">
        <f t="shared" si="3"/>
        <v>0</v>
      </c>
      <c r="AV90" s="106">
        <f t="shared" si="3"/>
        <v>0</v>
      </c>
      <c r="AW90" s="106">
        <f t="shared" si="3"/>
        <v>0</v>
      </c>
      <c r="AX90" s="106">
        <f t="shared" si="3"/>
        <v>0</v>
      </c>
    </row>
    <row r="91" spans="2:50" x14ac:dyDescent="0.2">
      <c r="B91" s="105" t="s">
        <v>107</v>
      </c>
      <c r="C91" s="106">
        <f t="shared" si="4"/>
        <v>162.125</v>
      </c>
      <c r="D91" s="106">
        <f t="shared" si="3"/>
        <v>162.125</v>
      </c>
      <c r="E91" s="106">
        <f t="shared" si="3"/>
        <v>162.125</v>
      </c>
      <c r="F91" s="106">
        <f t="shared" si="3"/>
        <v>162.125</v>
      </c>
      <c r="G91" s="106">
        <f t="shared" si="3"/>
        <v>311.75</v>
      </c>
      <c r="H91" s="106">
        <f t="shared" si="3"/>
        <v>311.75</v>
      </c>
      <c r="I91" s="106">
        <f t="shared" si="3"/>
        <v>311.75</v>
      </c>
      <c r="J91" s="106">
        <f t="shared" si="3"/>
        <v>311.75</v>
      </c>
      <c r="K91" s="106">
        <f t="shared" si="3"/>
        <v>202.625</v>
      </c>
      <c r="L91" s="106">
        <f t="shared" si="3"/>
        <v>202.625</v>
      </c>
      <c r="M91" s="106">
        <f t="shared" si="3"/>
        <v>202.625</v>
      </c>
      <c r="N91" s="106">
        <f t="shared" si="3"/>
        <v>202.625</v>
      </c>
      <c r="O91" s="106">
        <f t="shared" si="3"/>
        <v>0</v>
      </c>
      <c r="P91" s="106">
        <f t="shared" si="3"/>
        <v>0</v>
      </c>
      <c r="Q91" s="106">
        <f t="shared" si="3"/>
        <v>0</v>
      </c>
      <c r="R91" s="106">
        <f t="shared" si="3"/>
        <v>0</v>
      </c>
      <c r="S91" s="106">
        <f t="shared" si="3"/>
        <v>207.5</v>
      </c>
      <c r="T91" s="106">
        <f t="shared" si="3"/>
        <v>207.5</v>
      </c>
      <c r="U91" s="106">
        <f t="shared" si="3"/>
        <v>207.5</v>
      </c>
      <c r="V91" s="106">
        <f t="shared" si="3"/>
        <v>207.5</v>
      </c>
      <c r="W91" s="106">
        <f t="shared" si="3"/>
        <v>0</v>
      </c>
      <c r="X91" s="106">
        <f t="shared" si="3"/>
        <v>0</v>
      </c>
      <c r="Y91" s="106">
        <f t="shared" si="3"/>
        <v>0</v>
      </c>
      <c r="Z91" s="106">
        <f t="shared" si="3"/>
        <v>0</v>
      </c>
      <c r="AA91" s="106">
        <f t="shared" si="3"/>
        <v>221.25</v>
      </c>
      <c r="AB91" s="106">
        <f t="shared" si="3"/>
        <v>221.25</v>
      </c>
      <c r="AC91" s="106">
        <f t="shared" si="3"/>
        <v>221.25</v>
      </c>
      <c r="AD91" s="106">
        <f t="shared" si="3"/>
        <v>221.25</v>
      </c>
      <c r="AE91" s="106">
        <f t="shared" si="3"/>
        <v>0</v>
      </c>
      <c r="AF91" s="106">
        <f t="shared" si="3"/>
        <v>0</v>
      </c>
      <c r="AG91" s="106">
        <f t="shared" si="3"/>
        <v>0</v>
      </c>
      <c r="AH91" s="106">
        <f t="shared" si="3"/>
        <v>0</v>
      </c>
      <c r="AI91" s="106">
        <f t="shared" si="3"/>
        <v>194.625</v>
      </c>
      <c r="AJ91" s="106">
        <f t="shared" si="3"/>
        <v>194.625</v>
      </c>
      <c r="AK91" s="106">
        <f t="shared" si="3"/>
        <v>194.625</v>
      </c>
      <c r="AL91" s="106">
        <f t="shared" si="3"/>
        <v>194.625</v>
      </c>
      <c r="AM91" s="106">
        <f t="shared" si="3"/>
        <v>0</v>
      </c>
      <c r="AN91" s="106">
        <f t="shared" si="3"/>
        <v>0</v>
      </c>
      <c r="AO91" s="106">
        <f t="shared" si="3"/>
        <v>0</v>
      </c>
      <c r="AP91" s="106">
        <f t="shared" si="3"/>
        <v>0</v>
      </c>
      <c r="AQ91" s="106">
        <f t="shared" si="3"/>
        <v>0</v>
      </c>
      <c r="AR91" s="106">
        <f t="shared" si="3"/>
        <v>0</v>
      </c>
      <c r="AS91" s="106">
        <f t="shared" si="3"/>
        <v>0</v>
      </c>
      <c r="AT91" s="106">
        <f t="shared" si="3"/>
        <v>0</v>
      </c>
      <c r="AU91" s="106">
        <f t="shared" si="3"/>
        <v>0</v>
      </c>
      <c r="AV91" s="106">
        <f t="shared" si="3"/>
        <v>0</v>
      </c>
      <c r="AW91" s="106">
        <f t="shared" si="3"/>
        <v>0</v>
      </c>
      <c r="AX91" s="106">
        <f t="shared" si="3"/>
        <v>0</v>
      </c>
    </row>
    <row r="92" spans="2:50" x14ac:dyDescent="0.2">
      <c r="B92" s="105" t="s">
        <v>108</v>
      </c>
      <c r="C92" s="106">
        <f t="shared" si="4"/>
        <v>2002.95172272081</v>
      </c>
      <c r="D92" s="106">
        <f t="shared" si="4"/>
        <v>2002.95172272081</v>
      </c>
      <c r="E92" s="106">
        <f t="shared" si="4"/>
        <v>2002.95172272081</v>
      </c>
      <c r="F92" s="106">
        <f t="shared" si="4"/>
        <v>2002.95172272081</v>
      </c>
      <c r="G92" s="106">
        <f t="shared" si="4"/>
        <v>0</v>
      </c>
      <c r="H92" s="106">
        <f t="shared" si="4"/>
        <v>0</v>
      </c>
      <c r="I92" s="106">
        <f t="shared" si="4"/>
        <v>0</v>
      </c>
      <c r="J92" s="106">
        <f t="shared" si="4"/>
        <v>0</v>
      </c>
      <c r="K92" s="106">
        <f t="shared" si="4"/>
        <v>3753.9284861691399</v>
      </c>
      <c r="L92" s="106">
        <f t="shared" si="4"/>
        <v>3753.9284861691399</v>
      </c>
      <c r="M92" s="106">
        <f t="shared" si="4"/>
        <v>3753.9284861691399</v>
      </c>
      <c r="N92" s="106">
        <f t="shared" si="4"/>
        <v>3753.9284861691399</v>
      </c>
      <c r="O92" s="106">
        <f t="shared" si="4"/>
        <v>0</v>
      </c>
      <c r="P92" s="106">
        <f t="shared" si="4"/>
        <v>0</v>
      </c>
      <c r="Q92" s="106">
        <f t="shared" si="4"/>
        <v>0</v>
      </c>
      <c r="R92" s="106">
        <f t="shared" si="4"/>
        <v>0</v>
      </c>
      <c r="S92" s="106">
        <f t="shared" si="3"/>
        <v>0</v>
      </c>
      <c r="T92" s="106">
        <f t="shared" si="3"/>
        <v>0</v>
      </c>
      <c r="U92" s="106">
        <f t="shared" si="3"/>
        <v>0</v>
      </c>
      <c r="V92" s="106">
        <f t="shared" si="3"/>
        <v>0</v>
      </c>
      <c r="W92" s="106">
        <f t="shared" si="3"/>
        <v>0</v>
      </c>
      <c r="X92" s="106">
        <f t="shared" si="3"/>
        <v>0</v>
      </c>
      <c r="Y92" s="106">
        <f t="shared" si="3"/>
        <v>0</v>
      </c>
      <c r="Z92" s="106">
        <f t="shared" si="3"/>
        <v>0</v>
      </c>
      <c r="AA92" s="106">
        <f t="shared" si="3"/>
        <v>0</v>
      </c>
      <c r="AB92" s="106">
        <f t="shared" si="3"/>
        <v>0</v>
      </c>
      <c r="AC92" s="106">
        <f t="shared" si="3"/>
        <v>0</v>
      </c>
      <c r="AD92" s="106">
        <f t="shared" si="3"/>
        <v>0</v>
      </c>
      <c r="AE92" s="106">
        <f t="shared" si="3"/>
        <v>0</v>
      </c>
      <c r="AF92" s="106">
        <f t="shared" si="3"/>
        <v>0</v>
      </c>
      <c r="AG92" s="106">
        <f t="shared" si="3"/>
        <v>0</v>
      </c>
      <c r="AH92" s="106">
        <f t="shared" si="3"/>
        <v>0</v>
      </c>
      <c r="AI92" s="106">
        <f t="shared" si="3"/>
        <v>3401.0553362993401</v>
      </c>
      <c r="AJ92" s="106">
        <f t="shared" si="3"/>
        <v>3401.0553362993401</v>
      </c>
      <c r="AK92" s="106">
        <f t="shared" si="3"/>
        <v>3401.0553362993401</v>
      </c>
      <c r="AL92" s="106">
        <f t="shared" si="3"/>
        <v>3401.0553362993401</v>
      </c>
      <c r="AM92" s="106">
        <f t="shared" si="3"/>
        <v>3104.90049720558</v>
      </c>
      <c r="AN92" s="106">
        <f t="shared" si="3"/>
        <v>3104.90049720558</v>
      </c>
      <c r="AO92" s="106">
        <f t="shared" si="3"/>
        <v>3104.90049720558</v>
      </c>
      <c r="AP92" s="106">
        <f t="shared" si="3"/>
        <v>3104.90049720558</v>
      </c>
      <c r="AQ92" s="106">
        <f t="shared" si="3"/>
        <v>0</v>
      </c>
      <c r="AR92" s="106">
        <f t="shared" si="3"/>
        <v>0</v>
      </c>
      <c r="AS92" s="106">
        <f t="shared" si="3"/>
        <v>0</v>
      </c>
      <c r="AT92" s="106">
        <f t="shared" si="3"/>
        <v>0</v>
      </c>
      <c r="AU92" s="106">
        <f t="shared" si="3"/>
        <v>0</v>
      </c>
      <c r="AV92" s="106">
        <f t="shared" si="3"/>
        <v>0</v>
      </c>
      <c r="AW92" s="106">
        <f t="shared" si="3"/>
        <v>0</v>
      </c>
      <c r="AX92" s="106">
        <f t="shared" si="3"/>
        <v>0</v>
      </c>
    </row>
    <row r="93" spans="2:50" x14ac:dyDescent="0.2">
      <c r="B93" s="105" t="s">
        <v>109</v>
      </c>
      <c r="C93" s="106">
        <f t="shared" si="4"/>
        <v>0</v>
      </c>
      <c r="D93" s="106">
        <f t="shared" si="4"/>
        <v>0</v>
      </c>
      <c r="E93" s="106">
        <f t="shared" si="4"/>
        <v>0</v>
      </c>
      <c r="F93" s="106">
        <f t="shared" si="4"/>
        <v>0</v>
      </c>
      <c r="G93" s="106">
        <f t="shared" si="4"/>
        <v>0</v>
      </c>
      <c r="H93" s="106">
        <f t="shared" si="4"/>
        <v>0</v>
      </c>
      <c r="I93" s="106">
        <f t="shared" si="4"/>
        <v>0</v>
      </c>
      <c r="J93" s="106">
        <f t="shared" si="4"/>
        <v>0</v>
      </c>
      <c r="K93" s="106">
        <f t="shared" si="4"/>
        <v>0</v>
      </c>
      <c r="L93" s="106">
        <f t="shared" si="4"/>
        <v>0</v>
      </c>
      <c r="M93" s="106">
        <f t="shared" si="4"/>
        <v>0</v>
      </c>
      <c r="N93" s="106">
        <f t="shared" si="4"/>
        <v>0</v>
      </c>
      <c r="O93" s="106">
        <f t="shared" si="4"/>
        <v>0</v>
      </c>
      <c r="P93" s="106">
        <f t="shared" si="4"/>
        <v>0</v>
      </c>
      <c r="Q93" s="106">
        <f t="shared" si="4"/>
        <v>0</v>
      </c>
      <c r="R93" s="106">
        <f t="shared" si="4"/>
        <v>0</v>
      </c>
      <c r="S93" s="106">
        <f t="shared" si="3"/>
        <v>0</v>
      </c>
      <c r="T93" s="106">
        <f t="shared" si="3"/>
        <v>0</v>
      </c>
      <c r="U93" s="106">
        <f t="shared" si="3"/>
        <v>0</v>
      </c>
      <c r="V93" s="106">
        <f t="shared" si="3"/>
        <v>0</v>
      </c>
      <c r="W93" s="106">
        <f t="shared" si="3"/>
        <v>0</v>
      </c>
      <c r="X93" s="106">
        <f t="shared" si="3"/>
        <v>0</v>
      </c>
      <c r="Y93" s="106">
        <f t="shared" si="3"/>
        <v>0</v>
      </c>
      <c r="Z93" s="106">
        <f t="shared" si="3"/>
        <v>0</v>
      </c>
      <c r="AA93" s="106">
        <f t="shared" si="3"/>
        <v>0</v>
      </c>
      <c r="AB93" s="106">
        <f t="shared" si="3"/>
        <v>0</v>
      </c>
      <c r="AC93" s="106">
        <f t="shared" si="3"/>
        <v>0</v>
      </c>
      <c r="AD93" s="106">
        <f t="shared" si="3"/>
        <v>0</v>
      </c>
      <c r="AE93" s="106">
        <f t="shared" si="3"/>
        <v>0</v>
      </c>
      <c r="AF93" s="106">
        <f t="shared" si="3"/>
        <v>0</v>
      </c>
      <c r="AG93" s="106">
        <f t="shared" si="3"/>
        <v>0</v>
      </c>
      <c r="AH93" s="106">
        <f t="shared" si="3"/>
        <v>0</v>
      </c>
      <c r="AI93" s="106">
        <f t="shared" si="3"/>
        <v>0</v>
      </c>
      <c r="AJ93" s="106">
        <f t="shared" si="3"/>
        <v>0</v>
      </c>
      <c r="AK93" s="106">
        <f t="shared" si="3"/>
        <v>0</v>
      </c>
      <c r="AL93" s="106">
        <f t="shared" si="3"/>
        <v>0</v>
      </c>
      <c r="AM93" s="106">
        <f t="shared" si="3"/>
        <v>0</v>
      </c>
      <c r="AN93" s="106">
        <f t="shared" si="3"/>
        <v>0</v>
      </c>
      <c r="AO93" s="106">
        <f t="shared" si="3"/>
        <v>0</v>
      </c>
      <c r="AP93" s="106">
        <f t="shared" si="3"/>
        <v>0</v>
      </c>
      <c r="AQ93" s="106">
        <f t="shared" si="3"/>
        <v>0</v>
      </c>
      <c r="AR93" s="106">
        <f t="shared" si="3"/>
        <v>0</v>
      </c>
      <c r="AS93" s="106">
        <f t="shared" si="3"/>
        <v>0</v>
      </c>
      <c r="AT93" s="106">
        <f t="shared" si="3"/>
        <v>0</v>
      </c>
      <c r="AU93" s="106">
        <f t="shared" si="3"/>
        <v>0</v>
      </c>
      <c r="AV93" s="106">
        <f t="shared" si="3"/>
        <v>0</v>
      </c>
      <c r="AW93" s="106">
        <f t="shared" si="3"/>
        <v>0</v>
      </c>
      <c r="AX93" s="106">
        <f t="shared" si="3"/>
        <v>0</v>
      </c>
    </row>
    <row r="94" spans="2:50" x14ac:dyDescent="0.2">
      <c r="B94" s="107"/>
    </row>
    <row r="95" spans="2:50" x14ac:dyDescent="0.2">
      <c r="B95" s="180" t="s">
        <v>335</v>
      </c>
    </row>
    <row r="96" spans="2:50" x14ac:dyDescent="0.2">
      <c r="B96" s="181"/>
      <c r="C96" s="111" t="s">
        <v>92</v>
      </c>
      <c r="D96" s="107"/>
      <c r="E96" s="107"/>
      <c r="F96" s="107"/>
      <c r="G96" s="111" t="s">
        <v>93</v>
      </c>
      <c r="H96" s="107"/>
      <c r="I96" s="107"/>
      <c r="J96" s="107"/>
      <c r="K96" s="111" t="s">
        <v>94</v>
      </c>
      <c r="L96" s="107"/>
      <c r="M96" s="107"/>
      <c r="N96" s="107"/>
      <c r="O96" s="111" t="s">
        <v>95</v>
      </c>
      <c r="P96" s="107"/>
      <c r="Q96" s="107"/>
      <c r="R96" s="107"/>
      <c r="S96" s="111" t="s">
        <v>96</v>
      </c>
      <c r="T96" s="107"/>
      <c r="U96" s="107"/>
      <c r="V96" s="107"/>
      <c r="W96" s="111" t="s">
        <v>97</v>
      </c>
      <c r="X96" s="107"/>
      <c r="Y96" s="107"/>
      <c r="Z96" s="107"/>
      <c r="AA96" s="111" t="s">
        <v>98</v>
      </c>
      <c r="AB96" s="107"/>
      <c r="AC96" s="107"/>
      <c r="AD96" s="107"/>
      <c r="AE96" s="111" t="s">
        <v>99</v>
      </c>
      <c r="AF96" s="107"/>
      <c r="AG96" s="107"/>
      <c r="AH96" s="107"/>
      <c r="AI96" s="111" t="s">
        <v>100</v>
      </c>
      <c r="AJ96" s="107"/>
      <c r="AK96" s="107"/>
      <c r="AL96" s="107"/>
      <c r="AM96" s="111" t="s">
        <v>101</v>
      </c>
      <c r="AN96" s="107"/>
      <c r="AO96" s="107"/>
      <c r="AP96" s="107"/>
      <c r="AQ96" s="111" t="s">
        <v>102</v>
      </c>
      <c r="AR96" s="107"/>
      <c r="AS96" s="107"/>
      <c r="AT96" s="107"/>
      <c r="AU96" s="111" t="s">
        <v>103</v>
      </c>
      <c r="AV96" s="107"/>
      <c r="AW96" s="107"/>
    </row>
    <row r="97" spans="1:50" x14ac:dyDescent="0.2">
      <c r="A97" s="182" t="s">
        <v>121</v>
      </c>
      <c r="B97" s="182" t="s">
        <v>336</v>
      </c>
      <c r="C97" s="111">
        <v>1</v>
      </c>
      <c r="D97" s="111">
        <v>2</v>
      </c>
      <c r="E97" s="111">
        <v>3</v>
      </c>
      <c r="F97" s="111">
        <v>4</v>
      </c>
      <c r="G97" s="111">
        <v>1</v>
      </c>
      <c r="H97" s="111">
        <v>2</v>
      </c>
      <c r="I97" s="111">
        <v>3</v>
      </c>
      <c r="J97" s="111">
        <v>4</v>
      </c>
      <c r="K97" s="111">
        <v>1</v>
      </c>
      <c r="L97" s="111">
        <v>2</v>
      </c>
      <c r="M97" s="111">
        <v>3</v>
      </c>
      <c r="N97" s="111">
        <v>4</v>
      </c>
      <c r="O97" s="111">
        <v>1</v>
      </c>
      <c r="P97" s="111">
        <v>2</v>
      </c>
      <c r="Q97" s="111">
        <v>3</v>
      </c>
      <c r="R97" s="111">
        <v>4</v>
      </c>
      <c r="S97" s="111">
        <v>1</v>
      </c>
      <c r="T97" s="111">
        <v>2</v>
      </c>
      <c r="U97" s="111">
        <v>3</v>
      </c>
      <c r="V97" s="111">
        <v>4</v>
      </c>
      <c r="W97" s="111">
        <v>1</v>
      </c>
      <c r="X97" s="111">
        <v>2</v>
      </c>
      <c r="Y97" s="111">
        <v>3</v>
      </c>
      <c r="Z97" s="111">
        <v>4</v>
      </c>
      <c r="AA97" s="111">
        <v>1</v>
      </c>
      <c r="AB97" s="111">
        <v>2</v>
      </c>
      <c r="AC97" s="111">
        <v>3</v>
      </c>
      <c r="AD97" s="111">
        <v>4</v>
      </c>
      <c r="AE97" s="111">
        <v>1</v>
      </c>
      <c r="AF97" s="111">
        <v>2</v>
      </c>
      <c r="AG97" s="111">
        <v>3</v>
      </c>
      <c r="AH97" s="111">
        <v>4</v>
      </c>
      <c r="AI97" s="111">
        <v>1</v>
      </c>
      <c r="AJ97" s="111">
        <v>2</v>
      </c>
      <c r="AK97" s="111">
        <v>3</v>
      </c>
      <c r="AL97" s="111">
        <v>4</v>
      </c>
      <c r="AM97" s="111">
        <v>1</v>
      </c>
      <c r="AN97" s="111">
        <v>2</v>
      </c>
      <c r="AO97" s="111">
        <v>3</v>
      </c>
      <c r="AP97" s="111">
        <v>4</v>
      </c>
      <c r="AQ97" s="111">
        <v>1</v>
      </c>
      <c r="AR97" s="111">
        <v>2</v>
      </c>
      <c r="AS97" s="111">
        <v>3</v>
      </c>
      <c r="AT97" s="111">
        <v>4</v>
      </c>
      <c r="AU97" s="111">
        <v>1</v>
      </c>
      <c r="AV97" s="111">
        <v>2</v>
      </c>
      <c r="AW97" s="111">
        <v>3</v>
      </c>
      <c r="AX97" s="111">
        <v>4</v>
      </c>
    </row>
    <row r="98" spans="1:50" x14ac:dyDescent="0.2">
      <c r="A98" s="111" t="s">
        <v>104</v>
      </c>
      <c r="B98" s="111" t="s">
        <v>12</v>
      </c>
      <c r="C98" s="106">
        <v>129920.30473045874</v>
      </c>
      <c r="D98" s="106">
        <v>129920.30473045874</v>
      </c>
      <c r="E98" s="106">
        <v>129920.30473045874</v>
      </c>
      <c r="F98" s="106">
        <v>129920.30473045874</v>
      </c>
      <c r="G98" s="106">
        <v>446932.93028643646</v>
      </c>
      <c r="H98" s="106">
        <v>446932.93028643646</v>
      </c>
      <c r="I98" s="106">
        <v>446932.93028643646</v>
      </c>
      <c r="J98" s="106">
        <v>446932.93028643646</v>
      </c>
      <c r="K98" s="106">
        <v>0</v>
      </c>
      <c r="L98" s="106">
        <v>0</v>
      </c>
      <c r="M98" s="106">
        <v>0</v>
      </c>
      <c r="N98" s="106">
        <v>0</v>
      </c>
      <c r="O98" s="106">
        <v>382788.34553243086</v>
      </c>
      <c r="P98" s="106">
        <v>382788.34553243086</v>
      </c>
      <c r="Q98" s="106">
        <v>382788.34553243086</v>
      </c>
      <c r="R98" s="106">
        <v>382788.34553243086</v>
      </c>
      <c r="S98" s="106">
        <v>123015.36321691696</v>
      </c>
      <c r="T98" s="106">
        <v>123015.36321691696</v>
      </c>
      <c r="U98" s="106">
        <v>123015.36321691696</v>
      </c>
      <c r="V98" s="106">
        <v>123015.36321691696</v>
      </c>
      <c r="W98" s="106">
        <v>292481.33393070841</v>
      </c>
      <c r="X98" s="106">
        <v>292481.33393070841</v>
      </c>
      <c r="Y98" s="106">
        <v>292481.33393070841</v>
      </c>
      <c r="Z98" s="106">
        <v>292481.33393070841</v>
      </c>
      <c r="AA98" s="106">
        <v>282285.49609354901</v>
      </c>
      <c r="AB98" s="106">
        <v>282285.49609354901</v>
      </c>
      <c r="AC98" s="106">
        <v>282285.49609354901</v>
      </c>
      <c r="AD98" s="106">
        <v>282285.49609354901</v>
      </c>
      <c r="AE98" s="106">
        <v>359982.01140777546</v>
      </c>
      <c r="AF98" s="106">
        <v>359982.01140777546</v>
      </c>
      <c r="AG98" s="106">
        <v>359982.01140777546</v>
      </c>
      <c r="AH98" s="106">
        <v>359982.01140777546</v>
      </c>
      <c r="AI98" s="106">
        <v>0</v>
      </c>
      <c r="AJ98" s="106">
        <v>0</v>
      </c>
      <c r="AK98" s="106">
        <v>0</v>
      </c>
      <c r="AL98" s="106">
        <v>0</v>
      </c>
      <c r="AM98" s="106">
        <v>0</v>
      </c>
      <c r="AN98" s="106">
        <v>0</v>
      </c>
      <c r="AO98" s="106">
        <v>0</v>
      </c>
      <c r="AP98" s="106">
        <v>0</v>
      </c>
      <c r="AQ98" s="106">
        <v>380296.23304405261</v>
      </c>
      <c r="AR98" s="106">
        <v>380296.23304405261</v>
      </c>
      <c r="AS98" s="106">
        <v>380296.23304405261</v>
      </c>
      <c r="AT98" s="106">
        <v>380296.23304405261</v>
      </c>
      <c r="AU98" s="106">
        <v>236434.34898435834</v>
      </c>
      <c r="AV98" s="106">
        <v>236434.34898435834</v>
      </c>
      <c r="AW98" s="106">
        <v>236434.34898435834</v>
      </c>
      <c r="AX98" s="106">
        <v>236434.34898435834</v>
      </c>
    </row>
    <row r="99" spans="1:50" x14ac:dyDescent="0.2">
      <c r="B99" s="111" t="s">
        <v>42</v>
      </c>
      <c r="C99" s="106">
        <v>65576.502264757917</v>
      </c>
      <c r="D99" s="106">
        <v>65576.502264757917</v>
      </c>
      <c r="E99" s="106">
        <v>65576.502264757917</v>
      </c>
      <c r="F99" s="106">
        <v>65576.502264757917</v>
      </c>
      <c r="G99" s="106">
        <v>225586.74239510391</v>
      </c>
      <c r="H99" s="106">
        <v>225586.74239510391</v>
      </c>
      <c r="I99" s="106">
        <v>225586.74239510391</v>
      </c>
      <c r="J99" s="106">
        <v>225586.74239510391</v>
      </c>
      <c r="K99" s="106">
        <v>0</v>
      </c>
      <c r="L99" s="106">
        <v>0</v>
      </c>
      <c r="M99" s="106">
        <v>0</v>
      </c>
      <c r="N99" s="106">
        <v>0</v>
      </c>
      <c r="O99" s="106">
        <v>193210.14417114013</v>
      </c>
      <c r="P99" s="106">
        <v>193210.14417114013</v>
      </c>
      <c r="Q99" s="106">
        <v>193210.14417114013</v>
      </c>
      <c r="R99" s="106">
        <v>193210.14417114013</v>
      </c>
      <c r="S99" s="106">
        <v>62091.274041654477</v>
      </c>
      <c r="T99" s="106">
        <v>62091.274041654477</v>
      </c>
      <c r="U99" s="106">
        <v>62091.274041654477</v>
      </c>
      <c r="V99" s="106">
        <v>62091.274041654477</v>
      </c>
      <c r="W99" s="106">
        <v>147628.21636462762</v>
      </c>
      <c r="X99" s="106">
        <v>147628.21636462762</v>
      </c>
      <c r="Y99" s="106">
        <v>147628.21636462762</v>
      </c>
      <c r="Z99" s="106">
        <v>147628.21636462762</v>
      </c>
      <c r="AA99" s="106">
        <v>142481.92776557666</v>
      </c>
      <c r="AB99" s="106">
        <v>142481.92776557666</v>
      </c>
      <c r="AC99" s="106">
        <v>142481.92776557666</v>
      </c>
      <c r="AD99" s="106">
        <v>142481.92776557666</v>
      </c>
      <c r="AE99" s="106">
        <v>181698.78245998127</v>
      </c>
      <c r="AF99" s="106">
        <v>181698.78245998127</v>
      </c>
      <c r="AG99" s="106">
        <v>181698.78245998127</v>
      </c>
      <c r="AH99" s="106">
        <v>181698.78245998127</v>
      </c>
      <c r="AI99" s="106">
        <v>0</v>
      </c>
      <c r="AJ99" s="106">
        <v>0</v>
      </c>
      <c r="AK99" s="106">
        <v>0</v>
      </c>
      <c r="AL99" s="106">
        <v>0</v>
      </c>
      <c r="AM99" s="106">
        <v>0</v>
      </c>
      <c r="AN99" s="106">
        <v>0</v>
      </c>
      <c r="AO99" s="106">
        <v>0</v>
      </c>
      <c r="AP99" s="106">
        <v>0</v>
      </c>
      <c r="AQ99" s="106">
        <v>191952.26519235215</v>
      </c>
      <c r="AR99" s="106">
        <v>191952.26519235215</v>
      </c>
      <c r="AS99" s="106">
        <v>191952.26519235215</v>
      </c>
      <c r="AT99" s="106">
        <v>191952.26519235215</v>
      </c>
      <c r="AU99" s="106">
        <v>119338.83355497109</v>
      </c>
      <c r="AV99" s="106">
        <v>119338.83355497109</v>
      </c>
      <c r="AW99" s="106">
        <v>119338.83355497109</v>
      </c>
      <c r="AX99" s="106">
        <v>119338.83355497109</v>
      </c>
    </row>
    <row r="100" spans="1:50" x14ac:dyDescent="0.2">
      <c r="B100" s="111" t="s">
        <v>49</v>
      </c>
      <c r="C100" s="106">
        <v>111456.62572574224</v>
      </c>
      <c r="D100" s="106">
        <v>111456.62572574224</v>
      </c>
      <c r="E100" s="106">
        <v>111456.62572574224</v>
      </c>
      <c r="F100" s="106">
        <v>111456.62572574224</v>
      </c>
      <c r="G100" s="106">
        <v>383416.86804684816</v>
      </c>
      <c r="H100" s="106">
        <v>383416.86804684816</v>
      </c>
      <c r="I100" s="106">
        <v>383416.86804684816</v>
      </c>
      <c r="J100" s="106">
        <v>383416.86804684816</v>
      </c>
      <c r="K100" s="106">
        <v>0</v>
      </c>
      <c r="L100" s="106">
        <v>0</v>
      </c>
      <c r="M100" s="106">
        <v>0</v>
      </c>
      <c r="N100" s="106">
        <v>0</v>
      </c>
      <c r="O100" s="106">
        <v>328388.21805951279</v>
      </c>
      <c r="P100" s="106">
        <v>328388.21805951279</v>
      </c>
      <c r="Q100" s="106">
        <v>328388.21805951279</v>
      </c>
      <c r="R100" s="106">
        <v>328388.21805951279</v>
      </c>
      <c r="S100" s="106">
        <v>105532.98289308698</v>
      </c>
      <c r="T100" s="106">
        <v>105532.98289308698</v>
      </c>
      <c r="U100" s="106">
        <v>105532.98289308698</v>
      </c>
      <c r="V100" s="106">
        <v>105532.98289308698</v>
      </c>
      <c r="W100" s="106">
        <v>250915.22557088212</v>
      </c>
      <c r="X100" s="106">
        <v>250915.22557088212</v>
      </c>
      <c r="Y100" s="106">
        <v>250915.22557088212</v>
      </c>
      <c r="Z100" s="106">
        <v>250915.22557088212</v>
      </c>
      <c r="AA100" s="106">
        <v>242168.37353621153</v>
      </c>
      <c r="AB100" s="106">
        <v>242168.37353621153</v>
      </c>
      <c r="AC100" s="106">
        <v>242168.37353621153</v>
      </c>
      <c r="AD100" s="106">
        <v>242168.37353621153</v>
      </c>
      <c r="AE100" s="106">
        <v>308823.01574582083</v>
      </c>
      <c r="AF100" s="106">
        <v>308823.01574582083</v>
      </c>
      <c r="AG100" s="106">
        <v>308823.01574582083</v>
      </c>
      <c r="AH100" s="106">
        <v>308823.01574582083</v>
      </c>
      <c r="AI100" s="106">
        <v>0</v>
      </c>
      <c r="AJ100" s="106">
        <v>0</v>
      </c>
      <c r="AK100" s="106">
        <v>0</v>
      </c>
      <c r="AL100" s="106">
        <v>0</v>
      </c>
      <c r="AM100" s="106">
        <v>0</v>
      </c>
      <c r="AN100" s="106">
        <v>0</v>
      </c>
      <c r="AO100" s="106">
        <v>0</v>
      </c>
      <c r="AP100" s="106">
        <v>0</v>
      </c>
      <c r="AQ100" s="106">
        <v>326250.27319046494</v>
      </c>
      <c r="AR100" s="106">
        <v>326250.27319046494</v>
      </c>
      <c r="AS100" s="106">
        <v>326250.27319046494</v>
      </c>
      <c r="AT100" s="106">
        <v>326250.27319046494</v>
      </c>
      <c r="AU100" s="106">
        <v>202833.38157288896</v>
      </c>
      <c r="AV100" s="106">
        <v>202833.38157288896</v>
      </c>
      <c r="AW100" s="106">
        <v>202833.38157288896</v>
      </c>
      <c r="AX100" s="106">
        <v>202833.38157288896</v>
      </c>
    </row>
    <row r="101" spans="1:50" x14ac:dyDescent="0.2">
      <c r="B101" s="111" t="s">
        <v>66</v>
      </c>
      <c r="C101" s="106">
        <v>0</v>
      </c>
      <c r="D101" s="106">
        <v>0</v>
      </c>
      <c r="E101" s="106">
        <v>0</v>
      </c>
      <c r="F101" s="106">
        <v>0</v>
      </c>
      <c r="G101" s="106">
        <v>0</v>
      </c>
      <c r="H101" s="106">
        <v>0</v>
      </c>
      <c r="I101" s="106">
        <v>0</v>
      </c>
      <c r="J101" s="106">
        <v>0</v>
      </c>
      <c r="K101" s="106">
        <v>0</v>
      </c>
      <c r="L101" s="106">
        <v>0</v>
      </c>
      <c r="M101" s="106">
        <v>0</v>
      </c>
      <c r="N101" s="106">
        <v>0</v>
      </c>
      <c r="O101" s="106">
        <v>0</v>
      </c>
      <c r="P101" s="106">
        <v>0</v>
      </c>
      <c r="Q101" s="106">
        <v>0</v>
      </c>
      <c r="R101" s="106">
        <v>0</v>
      </c>
      <c r="S101" s="106">
        <v>0</v>
      </c>
      <c r="T101" s="106">
        <v>0</v>
      </c>
      <c r="U101" s="106">
        <v>0</v>
      </c>
      <c r="V101" s="106">
        <v>0</v>
      </c>
      <c r="W101" s="106">
        <v>0</v>
      </c>
      <c r="X101" s="106">
        <v>0</v>
      </c>
      <c r="Y101" s="106">
        <v>0</v>
      </c>
      <c r="Z101" s="106">
        <v>0</v>
      </c>
      <c r="AA101" s="106">
        <v>0</v>
      </c>
      <c r="AB101" s="106">
        <v>0</v>
      </c>
      <c r="AC101" s="106">
        <v>0</v>
      </c>
      <c r="AD101" s="106">
        <v>0</v>
      </c>
      <c r="AE101" s="106">
        <v>0</v>
      </c>
      <c r="AF101" s="106">
        <v>0</v>
      </c>
      <c r="AG101" s="106">
        <v>0</v>
      </c>
      <c r="AH101" s="106">
        <v>0</v>
      </c>
      <c r="AI101" s="106">
        <v>0</v>
      </c>
      <c r="AJ101" s="106">
        <v>0</v>
      </c>
      <c r="AK101" s="106">
        <v>0</v>
      </c>
      <c r="AL101" s="106">
        <v>0</v>
      </c>
      <c r="AM101" s="106">
        <v>0</v>
      </c>
      <c r="AN101" s="106">
        <v>0</v>
      </c>
      <c r="AO101" s="106">
        <v>0</v>
      </c>
      <c r="AP101" s="106">
        <v>0</v>
      </c>
      <c r="AQ101" s="106">
        <v>0</v>
      </c>
      <c r="AR101" s="106">
        <v>0</v>
      </c>
      <c r="AS101" s="106">
        <v>0</v>
      </c>
      <c r="AT101" s="106">
        <v>0</v>
      </c>
      <c r="AU101" s="106">
        <v>0</v>
      </c>
      <c r="AV101" s="106">
        <v>0</v>
      </c>
      <c r="AW101" s="106">
        <v>0</v>
      </c>
      <c r="AX101" s="106">
        <v>0</v>
      </c>
    </row>
    <row r="102" spans="1:50" x14ac:dyDescent="0.2">
      <c r="B102" s="106" t="s">
        <v>278</v>
      </c>
      <c r="C102" s="111">
        <f>SUM(C$98:C$101)</f>
        <v>306953.4327209589</v>
      </c>
      <c r="D102" s="111">
        <f t="shared" ref="D102:AX102" si="5">SUM(D$98:D$101)</f>
        <v>306953.4327209589</v>
      </c>
      <c r="E102" s="111">
        <f t="shared" si="5"/>
        <v>306953.4327209589</v>
      </c>
      <c r="F102" s="111">
        <f t="shared" si="5"/>
        <v>306953.4327209589</v>
      </c>
      <c r="G102" s="111">
        <f t="shared" si="5"/>
        <v>1055936.5407283886</v>
      </c>
      <c r="H102" s="111">
        <f t="shared" si="5"/>
        <v>1055936.5407283886</v>
      </c>
      <c r="I102" s="111">
        <f t="shared" si="5"/>
        <v>1055936.5407283886</v>
      </c>
      <c r="J102" s="111">
        <f t="shared" si="5"/>
        <v>1055936.5407283886</v>
      </c>
      <c r="K102" s="111">
        <f t="shared" si="5"/>
        <v>0</v>
      </c>
      <c r="L102" s="111">
        <f t="shared" si="5"/>
        <v>0</v>
      </c>
      <c r="M102" s="111">
        <f t="shared" si="5"/>
        <v>0</v>
      </c>
      <c r="N102" s="111">
        <f t="shared" si="5"/>
        <v>0</v>
      </c>
      <c r="O102" s="111">
        <f t="shared" si="5"/>
        <v>904386.70776308374</v>
      </c>
      <c r="P102" s="111">
        <f t="shared" si="5"/>
        <v>904386.70776308374</v>
      </c>
      <c r="Q102" s="111">
        <f t="shared" si="5"/>
        <v>904386.70776308374</v>
      </c>
      <c r="R102" s="111">
        <f t="shared" si="5"/>
        <v>904386.70776308374</v>
      </c>
      <c r="S102" s="111">
        <f t="shared" si="5"/>
        <v>290639.62015165843</v>
      </c>
      <c r="T102" s="111">
        <f t="shared" si="5"/>
        <v>290639.62015165843</v>
      </c>
      <c r="U102" s="111">
        <f t="shared" si="5"/>
        <v>290639.62015165843</v>
      </c>
      <c r="V102" s="111">
        <f t="shared" si="5"/>
        <v>290639.62015165843</v>
      </c>
      <c r="W102" s="111">
        <f t="shared" si="5"/>
        <v>691024.77586621814</v>
      </c>
      <c r="X102" s="111">
        <f t="shared" si="5"/>
        <v>691024.77586621814</v>
      </c>
      <c r="Y102" s="111">
        <f t="shared" si="5"/>
        <v>691024.77586621814</v>
      </c>
      <c r="Z102" s="111">
        <f t="shared" si="5"/>
        <v>691024.77586621814</v>
      </c>
      <c r="AA102" s="111">
        <f t="shared" si="5"/>
        <v>666935.79739533726</v>
      </c>
      <c r="AB102" s="111">
        <f t="shared" si="5"/>
        <v>666935.79739533726</v>
      </c>
      <c r="AC102" s="111">
        <f t="shared" si="5"/>
        <v>666935.79739533726</v>
      </c>
      <c r="AD102" s="111">
        <f t="shared" si="5"/>
        <v>666935.79739533726</v>
      </c>
      <c r="AE102" s="111">
        <f t="shared" si="5"/>
        <v>850503.80961357756</v>
      </c>
      <c r="AF102" s="111">
        <f t="shared" si="5"/>
        <v>850503.80961357756</v>
      </c>
      <c r="AG102" s="111">
        <f t="shared" si="5"/>
        <v>850503.80961357756</v>
      </c>
      <c r="AH102" s="111">
        <f t="shared" si="5"/>
        <v>850503.80961357756</v>
      </c>
      <c r="AI102" s="111">
        <f t="shared" si="5"/>
        <v>0</v>
      </c>
      <c r="AJ102" s="111">
        <f t="shared" si="5"/>
        <v>0</v>
      </c>
      <c r="AK102" s="111">
        <f t="shared" si="5"/>
        <v>0</v>
      </c>
      <c r="AL102" s="111">
        <f t="shared" si="5"/>
        <v>0</v>
      </c>
      <c r="AM102" s="111">
        <f t="shared" si="5"/>
        <v>0</v>
      </c>
      <c r="AN102" s="111">
        <f t="shared" si="5"/>
        <v>0</v>
      </c>
      <c r="AO102" s="111">
        <f t="shared" si="5"/>
        <v>0</v>
      </c>
      <c r="AP102" s="111">
        <f t="shared" si="5"/>
        <v>0</v>
      </c>
      <c r="AQ102" s="111">
        <f t="shared" si="5"/>
        <v>898498.77142686967</v>
      </c>
      <c r="AR102" s="111">
        <f t="shared" si="5"/>
        <v>898498.77142686967</v>
      </c>
      <c r="AS102" s="111">
        <f t="shared" si="5"/>
        <v>898498.77142686967</v>
      </c>
      <c r="AT102" s="111">
        <f t="shared" si="5"/>
        <v>898498.77142686967</v>
      </c>
      <c r="AU102" s="111">
        <f t="shared" si="5"/>
        <v>558606.56411221833</v>
      </c>
      <c r="AV102" s="111">
        <f t="shared" si="5"/>
        <v>558606.56411221833</v>
      </c>
      <c r="AW102" s="111">
        <f t="shared" si="5"/>
        <v>558606.56411221833</v>
      </c>
      <c r="AX102" s="111">
        <f t="shared" si="5"/>
        <v>558606.56411221833</v>
      </c>
    </row>
    <row r="103" spans="1:50" x14ac:dyDescent="0.2">
      <c r="A103" s="111" t="s">
        <v>105</v>
      </c>
      <c r="B103" s="111" t="s">
        <v>12</v>
      </c>
      <c r="C103" s="106">
        <v>0</v>
      </c>
      <c r="D103" s="106">
        <v>0</v>
      </c>
      <c r="E103" s="106">
        <v>0</v>
      </c>
      <c r="F103" s="106">
        <v>0</v>
      </c>
      <c r="G103" s="106">
        <v>0</v>
      </c>
      <c r="H103" s="106">
        <v>0</v>
      </c>
      <c r="I103" s="106">
        <v>0</v>
      </c>
      <c r="J103" s="106">
        <v>0</v>
      </c>
      <c r="K103" s="106">
        <v>0</v>
      </c>
      <c r="L103" s="106">
        <v>0</v>
      </c>
      <c r="M103" s="106">
        <v>0</v>
      </c>
      <c r="N103" s="106">
        <v>0</v>
      </c>
      <c r="O103" s="106">
        <v>0</v>
      </c>
      <c r="P103" s="106">
        <v>0</v>
      </c>
      <c r="Q103" s="106">
        <v>0</v>
      </c>
      <c r="R103" s="106">
        <v>0</v>
      </c>
      <c r="S103" s="106">
        <v>0</v>
      </c>
      <c r="T103" s="106">
        <v>0</v>
      </c>
      <c r="U103" s="106">
        <v>0</v>
      </c>
      <c r="V103" s="106">
        <v>0</v>
      </c>
      <c r="W103" s="106">
        <v>0</v>
      </c>
      <c r="X103" s="106">
        <v>0</v>
      </c>
      <c r="Y103" s="106">
        <v>0</v>
      </c>
      <c r="Z103" s="106">
        <v>0</v>
      </c>
      <c r="AA103" s="106">
        <v>0</v>
      </c>
      <c r="AB103" s="106">
        <v>0</v>
      </c>
      <c r="AC103" s="106">
        <v>0</v>
      </c>
      <c r="AD103" s="106">
        <v>0</v>
      </c>
      <c r="AE103" s="106">
        <v>0</v>
      </c>
      <c r="AF103" s="106">
        <v>0</v>
      </c>
      <c r="AG103" s="106">
        <v>0</v>
      </c>
      <c r="AH103" s="106">
        <v>0</v>
      </c>
      <c r="AI103" s="106">
        <v>0</v>
      </c>
      <c r="AJ103" s="106">
        <v>0</v>
      </c>
      <c r="AK103" s="106">
        <v>0</v>
      </c>
      <c r="AL103" s="106">
        <v>0</v>
      </c>
      <c r="AM103" s="106">
        <v>0</v>
      </c>
      <c r="AN103" s="106">
        <v>0</v>
      </c>
      <c r="AO103" s="106">
        <v>0</v>
      </c>
      <c r="AP103" s="106">
        <v>0</v>
      </c>
      <c r="AQ103" s="106">
        <v>0</v>
      </c>
      <c r="AR103" s="106">
        <v>0</v>
      </c>
      <c r="AS103" s="106">
        <v>0</v>
      </c>
      <c r="AT103" s="106">
        <v>0</v>
      </c>
      <c r="AU103" s="106">
        <v>0</v>
      </c>
      <c r="AV103" s="106">
        <v>0</v>
      </c>
      <c r="AW103" s="106">
        <v>0</v>
      </c>
      <c r="AX103" s="106">
        <v>0</v>
      </c>
    </row>
    <row r="104" spans="1:50" x14ac:dyDescent="0.2">
      <c r="B104" s="111" t="s">
        <v>42</v>
      </c>
      <c r="C104" s="106">
        <v>0</v>
      </c>
      <c r="D104" s="106">
        <v>0</v>
      </c>
      <c r="E104" s="106">
        <v>0</v>
      </c>
      <c r="F104" s="106">
        <v>0</v>
      </c>
      <c r="G104" s="106">
        <v>0</v>
      </c>
      <c r="H104" s="106">
        <v>0</v>
      </c>
      <c r="I104" s="106">
        <v>0</v>
      </c>
      <c r="J104" s="106">
        <v>0</v>
      </c>
      <c r="K104" s="106">
        <v>0</v>
      </c>
      <c r="L104" s="106">
        <v>0</v>
      </c>
      <c r="M104" s="106">
        <v>0</v>
      </c>
      <c r="N104" s="106">
        <v>0</v>
      </c>
      <c r="O104" s="106">
        <v>0</v>
      </c>
      <c r="P104" s="106">
        <v>0</v>
      </c>
      <c r="Q104" s="106">
        <v>0</v>
      </c>
      <c r="R104" s="106">
        <v>0</v>
      </c>
      <c r="S104" s="106">
        <v>0</v>
      </c>
      <c r="T104" s="106">
        <v>0</v>
      </c>
      <c r="U104" s="106">
        <v>0</v>
      </c>
      <c r="V104" s="106">
        <v>0</v>
      </c>
      <c r="W104" s="106">
        <v>0</v>
      </c>
      <c r="X104" s="106">
        <v>0</v>
      </c>
      <c r="Y104" s="106">
        <v>0</v>
      </c>
      <c r="Z104" s="106">
        <v>0</v>
      </c>
      <c r="AA104" s="106">
        <v>0</v>
      </c>
      <c r="AB104" s="106">
        <v>0</v>
      </c>
      <c r="AC104" s="106">
        <v>0</v>
      </c>
      <c r="AD104" s="106">
        <v>0</v>
      </c>
      <c r="AE104" s="106">
        <v>0</v>
      </c>
      <c r="AF104" s="106">
        <v>0</v>
      </c>
      <c r="AG104" s="106">
        <v>0</v>
      </c>
      <c r="AH104" s="106">
        <v>0</v>
      </c>
      <c r="AI104" s="106">
        <v>0</v>
      </c>
      <c r="AJ104" s="106">
        <v>0</v>
      </c>
      <c r="AK104" s="106">
        <v>0</v>
      </c>
      <c r="AL104" s="106">
        <v>0</v>
      </c>
      <c r="AM104" s="106">
        <v>0</v>
      </c>
      <c r="AN104" s="106">
        <v>0</v>
      </c>
      <c r="AO104" s="106">
        <v>0</v>
      </c>
      <c r="AP104" s="106">
        <v>0</v>
      </c>
      <c r="AQ104" s="106">
        <v>0</v>
      </c>
      <c r="AR104" s="106">
        <v>0</v>
      </c>
      <c r="AS104" s="106">
        <v>0</v>
      </c>
      <c r="AT104" s="106">
        <v>0</v>
      </c>
      <c r="AU104" s="106">
        <v>0</v>
      </c>
      <c r="AV104" s="106">
        <v>0</v>
      </c>
      <c r="AW104" s="106">
        <v>0</v>
      </c>
      <c r="AX104" s="106">
        <v>0</v>
      </c>
    </row>
    <row r="105" spans="1:50" x14ac:dyDescent="0.2">
      <c r="B105" s="111" t="s">
        <v>49</v>
      </c>
      <c r="C105" s="106">
        <v>0</v>
      </c>
      <c r="D105" s="106">
        <v>0</v>
      </c>
      <c r="E105" s="106">
        <v>0</v>
      </c>
      <c r="F105" s="106">
        <v>0</v>
      </c>
      <c r="G105" s="106">
        <v>0</v>
      </c>
      <c r="H105" s="106">
        <v>0</v>
      </c>
      <c r="I105" s="106">
        <v>0</v>
      </c>
      <c r="J105" s="106">
        <v>0</v>
      </c>
      <c r="K105" s="106">
        <v>0</v>
      </c>
      <c r="L105" s="106">
        <v>0</v>
      </c>
      <c r="M105" s="106">
        <v>0</v>
      </c>
      <c r="N105" s="106">
        <v>0</v>
      </c>
      <c r="O105" s="106">
        <v>0</v>
      </c>
      <c r="P105" s="106">
        <v>0</v>
      </c>
      <c r="Q105" s="106">
        <v>0</v>
      </c>
      <c r="R105" s="106">
        <v>0</v>
      </c>
      <c r="S105" s="106">
        <v>0</v>
      </c>
      <c r="T105" s="106">
        <v>0</v>
      </c>
      <c r="U105" s="106">
        <v>0</v>
      </c>
      <c r="V105" s="106">
        <v>0</v>
      </c>
      <c r="W105" s="106">
        <v>0</v>
      </c>
      <c r="X105" s="106">
        <v>0</v>
      </c>
      <c r="Y105" s="106">
        <v>0</v>
      </c>
      <c r="Z105" s="106">
        <v>0</v>
      </c>
      <c r="AA105" s="106">
        <v>0</v>
      </c>
      <c r="AB105" s="106">
        <v>0</v>
      </c>
      <c r="AC105" s="106">
        <v>0</v>
      </c>
      <c r="AD105" s="106">
        <v>0</v>
      </c>
      <c r="AE105" s="106">
        <v>0</v>
      </c>
      <c r="AF105" s="106">
        <v>0</v>
      </c>
      <c r="AG105" s="106">
        <v>0</v>
      </c>
      <c r="AH105" s="106">
        <v>0</v>
      </c>
      <c r="AI105" s="106">
        <v>0</v>
      </c>
      <c r="AJ105" s="106">
        <v>0</v>
      </c>
      <c r="AK105" s="106">
        <v>0</v>
      </c>
      <c r="AL105" s="106">
        <v>0</v>
      </c>
      <c r="AM105" s="106">
        <v>0</v>
      </c>
      <c r="AN105" s="106">
        <v>0</v>
      </c>
      <c r="AO105" s="106">
        <v>0</v>
      </c>
      <c r="AP105" s="106">
        <v>0</v>
      </c>
      <c r="AQ105" s="106">
        <v>0</v>
      </c>
      <c r="AR105" s="106">
        <v>0</v>
      </c>
      <c r="AS105" s="106">
        <v>0</v>
      </c>
      <c r="AT105" s="106">
        <v>0</v>
      </c>
      <c r="AU105" s="106">
        <v>0</v>
      </c>
      <c r="AV105" s="106">
        <v>0</v>
      </c>
      <c r="AW105" s="106">
        <v>0</v>
      </c>
      <c r="AX105" s="106">
        <v>0</v>
      </c>
    </row>
    <row r="106" spans="1:50" x14ac:dyDescent="0.2">
      <c r="B106" s="111" t="s">
        <v>66</v>
      </c>
      <c r="C106" s="106">
        <v>0</v>
      </c>
      <c r="D106" s="106">
        <v>0</v>
      </c>
      <c r="E106" s="106">
        <v>0</v>
      </c>
      <c r="F106" s="106">
        <v>0</v>
      </c>
      <c r="G106" s="106">
        <v>0</v>
      </c>
      <c r="H106" s="106">
        <v>0</v>
      </c>
      <c r="I106" s="106">
        <v>0</v>
      </c>
      <c r="J106" s="106">
        <v>0</v>
      </c>
      <c r="K106" s="106">
        <v>0</v>
      </c>
      <c r="L106" s="106">
        <v>0</v>
      </c>
      <c r="M106" s="106">
        <v>0</v>
      </c>
      <c r="N106" s="106">
        <v>0</v>
      </c>
      <c r="O106" s="106">
        <v>19087.282500000001</v>
      </c>
      <c r="P106" s="106">
        <v>19087.282500000001</v>
      </c>
      <c r="Q106" s="106">
        <v>19087.282500000001</v>
      </c>
      <c r="R106" s="106">
        <v>19087.282500000001</v>
      </c>
      <c r="S106" s="106">
        <v>0</v>
      </c>
      <c r="T106" s="106">
        <v>0</v>
      </c>
      <c r="U106" s="106">
        <v>0</v>
      </c>
      <c r="V106" s="106">
        <v>0</v>
      </c>
      <c r="W106" s="106">
        <v>25727.487499999999</v>
      </c>
      <c r="X106" s="106">
        <v>25727.487499999999</v>
      </c>
      <c r="Y106" s="106">
        <v>25727.487499999999</v>
      </c>
      <c r="Z106" s="106">
        <v>25727.487499999999</v>
      </c>
      <c r="AA106" s="106">
        <v>0</v>
      </c>
      <c r="AB106" s="106">
        <v>0</v>
      </c>
      <c r="AC106" s="106">
        <v>0</v>
      </c>
      <c r="AD106" s="106">
        <v>0</v>
      </c>
      <c r="AE106" s="106">
        <v>20846.54</v>
      </c>
      <c r="AF106" s="106">
        <v>20846.54</v>
      </c>
      <c r="AG106" s="106">
        <v>20846.54</v>
      </c>
      <c r="AH106" s="106">
        <v>20846.54</v>
      </c>
      <c r="AI106" s="106">
        <v>0</v>
      </c>
      <c r="AJ106" s="106">
        <v>0</v>
      </c>
      <c r="AK106" s="106">
        <v>0</v>
      </c>
      <c r="AL106" s="106">
        <v>0</v>
      </c>
      <c r="AM106" s="106">
        <v>24007.912499999999</v>
      </c>
      <c r="AN106" s="106">
        <v>24007.912499999999</v>
      </c>
      <c r="AO106" s="106">
        <v>24007.912499999999</v>
      </c>
      <c r="AP106" s="106">
        <v>24007.912499999999</v>
      </c>
      <c r="AQ106" s="106">
        <v>28439.125</v>
      </c>
      <c r="AR106" s="106">
        <v>28439.125</v>
      </c>
      <c r="AS106" s="106">
        <v>28439.125</v>
      </c>
      <c r="AT106" s="106">
        <v>28439.125</v>
      </c>
      <c r="AU106" s="106">
        <v>27499.9725</v>
      </c>
      <c r="AV106" s="106">
        <v>27499.9725</v>
      </c>
      <c r="AW106" s="106">
        <v>27499.9725</v>
      </c>
      <c r="AX106" s="106">
        <v>27499.9725</v>
      </c>
    </row>
    <row r="107" spans="1:50" x14ac:dyDescent="0.2">
      <c r="B107" s="107" t="s">
        <v>278</v>
      </c>
      <c r="C107" s="111">
        <f>SUM(C$103:C$106)</f>
        <v>0</v>
      </c>
      <c r="D107" s="111">
        <f t="shared" ref="D107:AX107" si="6">SUM(D$103:D$106)</f>
        <v>0</v>
      </c>
      <c r="E107" s="111">
        <f t="shared" si="6"/>
        <v>0</v>
      </c>
      <c r="F107" s="111">
        <f t="shared" si="6"/>
        <v>0</v>
      </c>
      <c r="G107" s="111">
        <f t="shared" si="6"/>
        <v>0</v>
      </c>
      <c r="H107" s="111">
        <f t="shared" si="6"/>
        <v>0</v>
      </c>
      <c r="I107" s="111">
        <f t="shared" si="6"/>
        <v>0</v>
      </c>
      <c r="J107" s="111">
        <f t="shared" si="6"/>
        <v>0</v>
      </c>
      <c r="K107" s="111">
        <f t="shared" si="6"/>
        <v>0</v>
      </c>
      <c r="L107" s="111">
        <f t="shared" si="6"/>
        <v>0</v>
      </c>
      <c r="M107" s="111">
        <f t="shared" si="6"/>
        <v>0</v>
      </c>
      <c r="N107" s="111">
        <f t="shared" si="6"/>
        <v>0</v>
      </c>
      <c r="O107" s="111">
        <f t="shared" si="6"/>
        <v>19087.282500000001</v>
      </c>
      <c r="P107" s="111">
        <f t="shared" si="6"/>
        <v>19087.282500000001</v>
      </c>
      <c r="Q107" s="111">
        <f t="shared" si="6"/>
        <v>19087.282500000001</v>
      </c>
      <c r="R107" s="111">
        <f t="shared" si="6"/>
        <v>19087.282500000001</v>
      </c>
      <c r="S107" s="111">
        <f t="shared" si="6"/>
        <v>0</v>
      </c>
      <c r="T107" s="111">
        <f t="shared" si="6"/>
        <v>0</v>
      </c>
      <c r="U107" s="111">
        <f t="shared" si="6"/>
        <v>0</v>
      </c>
      <c r="V107" s="111">
        <f t="shared" si="6"/>
        <v>0</v>
      </c>
      <c r="W107" s="111">
        <f t="shared" si="6"/>
        <v>25727.487499999999</v>
      </c>
      <c r="X107" s="111">
        <f t="shared" si="6"/>
        <v>25727.487499999999</v>
      </c>
      <c r="Y107" s="111">
        <f t="shared" si="6"/>
        <v>25727.487499999999</v>
      </c>
      <c r="Z107" s="111">
        <f t="shared" si="6"/>
        <v>25727.487499999999</v>
      </c>
      <c r="AA107" s="111">
        <f t="shared" si="6"/>
        <v>0</v>
      </c>
      <c r="AB107" s="111">
        <f t="shared" si="6"/>
        <v>0</v>
      </c>
      <c r="AC107" s="111">
        <f t="shared" si="6"/>
        <v>0</v>
      </c>
      <c r="AD107" s="111">
        <f t="shared" si="6"/>
        <v>0</v>
      </c>
      <c r="AE107" s="111">
        <f t="shared" si="6"/>
        <v>20846.54</v>
      </c>
      <c r="AF107" s="111">
        <f t="shared" si="6"/>
        <v>20846.54</v>
      </c>
      <c r="AG107" s="111">
        <f t="shared" si="6"/>
        <v>20846.54</v>
      </c>
      <c r="AH107" s="111">
        <f t="shared" si="6"/>
        <v>20846.54</v>
      </c>
      <c r="AI107" s="111">
        <f t="shared" si="6"/>
        <v>0</v>
      </c>
      <c r="AJ107" s="111">
        <f t="shared" si="6"/>
        <v>0</v>
      </c>
      <c r="AK107" s="111">
        <f t="shared" si="6"/>
        <v>0</v>
      </c>
      <c r="AL107" s="111">
        <f t="shared" si="6"/>
        <v>0</v>
      </c>
      <c r="AM107" s="111">
        <f t="shared" si="6"/>
        <v>24007.912499999999</v>
      </c>
      <c r="AN107" s="111">
        <f t="shared" si="6"/>
        <v>24007.912499999999</v>
      </c>
      <c r="AO107" s="111">
        <f t="shared" si="6"/>
        <v>24007.912499999999</v>
      </c>
      <c r="AP107" s="111">
        <f t="shared" si="6"/>
        <v>24007.912499999999</v>
      </c>
      <c r="AQ107" s="111">
        <f t="shared" si="6"/>
        <v>28439.125</v>
      </c>
      <c r="AR107" s="111">
        <f t="shared" si="6"/>
        <v>28439.125</v>
      </c>
      <c r="AS107" s="111">
        <f t="shared" si="6"/>
        <v>28439.125</v>
      </c>
      <c r="AT107" s="111">
        <f t="shared" si="6"/>
        <v>28439.125</v>
      </c>
      <c r="AU107" s="111">
        <f t="shared" si="6"/>
        <v>27499.9725</v>
      </c>
      <c r="AV107" s="111">
        <f t="shared" si="6"/>
        <v>27499.9725</v>
      </c>
      <c r="AW107" s="111">
        <f t="shared" si="6"/>
        <v>27499.9725</v>
      </c>
      <c r="AX107" s="111">
        <f t="shared" si="6"/>
        <v>27499.9725</v>
      </c>
    </row>
    <row r="108" spans="1:50" x14ac:dyDescent="0.2">
      <c r="A108" s="111" t="s">
        <v>106</v>
      </c>
      <c r="B108" s="111" t="s">
        <v>12</v>
      </c>
      <c r="C108" s="106">
        <v>0</v>
      </c>
      <c r="D108" s="106">
        <v>0</v>
      </c>
      <c r="E108" s="106">
        <v>0</v>
      </c>
      <c r="F108" s="106">
        <v>0</v>
      </c>
      <c r="G108" s="106">
        <v>0</v>
      </c>
      <c r="H108" s="106">
        <v>0</v>
      </c>
      <c r="I108" s="106">
        <v>0</v>
      </c>
      <c r="J108" s="106">
        <v>0</v>
      </c>
      <c r="K108" s="106">
        <v>0</v>
      </c>
      <c r="L108" s="106">
        <v>0</v>
      </c>
      <c r="M108" s="106">
        <v>0</v>
      </c>
      <c r="N108" s="106">
        <v>0</v>
      </c>
      <c r="O108" s="106">
        <v>0</v>
      </c>
      <c r="P108" s="106">
        <v>0</v>
      </c>
      <c r="Q108" s="106">
        <v>0</v>
      </c>
      <c r="R108" s="106">
        <v>0</v>
      </c>
      <c r="S108" s="106">
        <v>0</v>
      </c>
      <c r="T108" s="106">
        <v>0</v>
      </c>
      <c r="U108" s="106">
        <v>0</v>
      </c>
      <c r="V108" s="106">
        <v>0</v>
      </c>
      <c r="W108" s="106">
        <v>0</v>
      </c>
      <c r="X108" s="106">
        <v>0</v>
      </c>
      <c r="Y108" s="106">
        <v>0</v>
      </c>
      <c r="Z108" s="106">
        <v>0</v>
      </c>
      <c r="AA108" s="106">
        <v>0</v>
      </c>
      <c r="AB108" s="106">
        <v>0</v>
      </c>
      <c r="AC108" s="106">
        <v>0</v>
      </c>
      <c r="AD108" s="106">
        <v>0</v>
      </c>
      <c r="AE108" s="106">
        <v>0</v>
      </c>
      <c r="AF108" s="106">
        <v>0</v>
      </c>
      <c r="AG108" s="106">
        <v>0</v>
      </c>
      <c r="AH108" s="106">
        <v>0</v>
      </c>
      <c r="AI108" s="106">
        <v>0</v>
      </c>
      <c r="AJ108" s="106">
        <v>0</v>
      </c>
      <c r="AK108" s="106">
        <v>0</v>
      </c>
      <c r="AL108" s="106">
        <v>0</v>
      </c>
      <c r="AM108" s="106">
        <v>0</v>
      </c>
      <c r="AN108" s="106">
        <v>0</v>
      </c>
      <c r="AO108" s="106">
        <v>0</v>
      </c>
      <c r="AP108" s="106">
        <v>0</v>
      </c>
      <c r="AQ108" s="106">
        <v>0</v>
      </c>
      <c r="AR108" s="106">
        <v>0</v>
      </c>
      <c r="AS108" s="106">
        <v>0</v>
      </c>
      <c r="AT108" s="106">
        <v>0</v>
      </c>
      <c r="AU108" s="106">
        <v>0</v>
      </c>
      <c r="AV108" s="106">
        <v>0</v>
      </c>
      <c r="AW108" s="106">
        <v>0</v>
      </c>
      <c r="AX108" s="106">
        <v>0</v>
      </c>
    </row>
    <row r="109" spans="1:50" x14ac:dyDescent="0.2">
      <c r="B109" s="111" t="s">
        <v>42</v>
      </c>
      <c r="C109" s="106">
        <v>0</v>
      </c>
      <c r="D109" s="106">
        <v>0</v>
      </c>
      <c r="E109" s="106">
        <v>0</v>
      </c>
      <c r="F109" s="106">
        <v>0</v>
      </c>
      <c r="G109" s="106">
        <v>0</v>
      </c>
      <c r="H109" s="106">
        <v>0</v>
      </c>
      <c r="I109" s="106">
        <v>0</v>
      </c>
      <c r="J109" s="106">
        <v>0</v>
      </c>
      <c r="K109" s="106">
        <v>0</v>
      </c>
      <c r="L109" s="106">
        <v>0</v>
      </c>
      <c r="M109" s="106">
        <v>0</v>
      </c>
      <c r="N109" s="106">
        <v>0</v>
      </c>
      <c r="O109" s="106">
        <v>0</v>
      </c>
      <c r="P109" s="106">
        <v>0</v>
      </c>
      <c r="Q109" s="106">
        <v>0</v>
      </c>
      <c r="R109" s="106">
        <v>0</v>
      </c>
      <c r="S109" s="106">
        <v>108823.36711643806</v>
      </c>
      <c r="T109" s="106">
        <v>108823.36711643806</v>
      </c>
      <c r="U109" s="106">
        <v>108823.36711643806</v>
      </c>
      <c r="V109" s="106">
        <v>108823.36711643806</v>
      </c>
      <c r="W109" s="106">
        <v>0</v>
      </c>
      <c r="X109" s="106">
        <v>0</v>
      </c>
      <c r="Y109" s="106">
        <v>0</v>
      </c>
      <c r="Z109" s="106">
        <v>0</v>
      </c>
      <c r="AA109" s="106">
        <v>0</v>
      </c>
      <c r="AB109" s="106">
        <v>0</v>
      </c>
      <c r="AC109" s="106">
        <v>0</v>
      </c>
      <c r="AD109" s="106">
        <v>0</v>
      </c>
      <c r="AE109" s="106">
        <v>0</v>
      </c>
      <c r="AF109" s="106">
        <v>0</v>
      </c>
      <c r="AG109" s="106">
        <v>0</v>
      </c>
      <c r="AH109" s="106">
        <v>0</v>
      </c>
      <c r="AI109" s="106">
        <v>0</v>
      </c>
      <c r="AJ109" s="106">
        <v>0</v>
      </c>
      <c r="AK109" s="106">
        <v>0</v>
      </c>
      <c r="AL109" s="106">
        <v>0</v>
      </c>
      <c r="AM109" s="106">
        <v>77628.235119353863</v>
      </c>
      <c r="AN109" s="106">
        <v>77628.235119353863</v>
      </c>
      <c r="AO109" s="106">
        <v>77628.235119353863</v>
      </c>
      <c r="AP109" s="106">
        <v>77628.235119353863</v>
      </c>
      <c r="AQ109" s="106">
        <v>0</v>
      </c>
      <c r="AR109" s="106">
        <v>0</v>
      </c>
      <c r="AS109" s="106">
        <v>0</v>
      </c>
      <c r="AT109" s="106">
        <v>0</v>
      </c>
      <c r="AU109" s="106">
        <v>0</v>
      </c>
      <c r="AV109" s="106">
        <v>0</v>
      </c>
      <c r="AW109" s="106">
        <v>0</v>
      </c>
      <c r="AX109" s="106">
        <v>0</v>
      </c>
    </row>
    <row r="110" spans="1:50" x14ac:dyDescent="0.2">
      <c r="B110" s="111" t="s">
        <v>49</v>
      </c>
      <c r="C110" s="106">
        <v>0</v>
      </c>
      <c r="D110" s="106">
        <v>0</v>
      </c>
      <c r="E110" s="106">
        <v>0</v>
      </c>
      <c r="F110" s="106">
        <v>0</v>
      </c>
      <c r="G110" s="106">
        <v>0</v>
      </c>
      <c r="H110" s="106">
        <v>0</v>
      </c>
      <c r="I110" s="106">
        <v>0</v>
      </c>
      <c r="J110" s="106">
        <v>0</v>
      </c>
      <c r="K110" s="106">
        <v>0</v>
      </c>
      <c r="L110" s="106">
        <v>0</v>
      </c>
      <c r="M110" s="106">
        <v>0</v>
      </c>
      <c r="N110" s="106">
        <v>0</v>
      </c>
      <c r="O110" s="106">
        <v>0</v>
      </c>
      <c r="P110" s="106">
        <v>0</v>
      </c>
      <c r="Q110" s="106">
        <v>0</v>
      </c>
      <c r="R110" s="106">
        <v>0</v>
      </c>
      <c r="S110" s="106">
        <v>0</v>
      </c>
      <c r="T110" s="106">
        <v>0</v>
      </c>
      <c r="U110" s="106">
        <v>0</v>
      </c>
      <c r="V110" s="106">
        <v>0</v>
      </c>
      <c r="W110" s="106">
        <v>0</v>
      </c>
      <c r="X110" s="106">
        <v>0</v>
      </c>
      <c r="Y110" s="106">
        <v>0</v>
      </c>
      <c r="Z110" s="106">
        <v>0</v>
      </c>
      <c r="AA110" s="106">
        <v>0</v>
      </c>
      <c r="AB110" s="106">
        <v>0</v>
      </c>
      <c r="AC110" s="106">
        <v>0</v>
      </c>
      <c r="AD110" s="106">
        <v>0</v>
      </c>
      <c r="AE110" s="106">
        <v>0</v>
      </c>
      <c r="AF110" s="106">
        <v>0</v>
      </c>
      <c r="AG110" s="106">
        <v>0</v>
      </c>
      <c r="AH110" s="106">
        <v>0</v>
      </c>
      <c r="AI110" s="106">
        <v>0</v>
      </c>
      <c r="AJ110" s="106">
        <v>0</v>
      </c>
      <c r="AK110" s="106">
        <v>0</v>
      </c>
      <c r="AL110" s="106">
        <v>0</v>
      </c>
      <c r="AM110" s="106">
        <v>0</v>
      </c>
      <c r="AN110" s="106">
        <v>0</v>
      </c>
      <c r="AO110" s="106">
        <v>0</v>
      </c>
      <c r="AP110" s="106">
        <v>0</v>
      </c>
      <c r="AQ110" s="106">
        <v>0</v>
      </c>
      <c r="AR110" s="106">
        <v>0</v>
      </c>
      <c r="AS110" s="106">
        <v>0</v>
      </c>
      <c r="AT110" s="106">
        <v>0</v>
      </c>
      <c r="AU110" s="106">
        <v>0</v>
      </c>
      <c r="AV110" s="106">
        <v>0</v>
      </c>
      <c r="AW110" s="106">
        <v>0</v>
      </c>
      <c r="AX110" s="106">
        <v>0</v>
      </c>
    </row>
    <row r="111" spans="1:50" x14ac:dyDescent="0.2">
      <c r="B111" s="111" t="s">
        <v>66</v>
      </c>
      <c r="C111" s="106">
        <v>0</v>
      </c>
      <c r="D111" s="106">
        <v>0</v>
      </c>
      <c r="E111" s="106">
        <v>0</v>
      </c>
      <c r="F111" s="106">
        <v>0</v>
      </c>
      <c r="G111" s="106">
        <v>0</v>
      </c>
      <c r="H111" s="106">
        <v>0</v>
      </c>
      <c r="I111" s="106">
        <v>0</v>
      </c>
      <c r="J111" s="106">
        <v>0</v>
      </c>
      <c r="K111" s="106">
        <v>0</v>
      </c>
      <c r="L111" s="106">
        <v>0</v>
      </c>
      <c r="M111" s="106">
        <v>0</v>
      </c>
      <c r="N111" s="106">
        <v>0</v>
      </c>
      <c r="O111" s="106">
        <v>0</v>
      </c>
      <c r="P111" s="106">
        <v>0</v>
      </c>
      <c r="Q111" s="106">
        <v>0</v>
      </c>
      <c r="R111" s="106">
        <v>0</v>
      </c>
      <c r="S111" s="106">
        <v>0</v>
      </c>
      <c r="T111" s="106">
        <v>0</v>
      </c>
      <c r="U111" s="106">
        <v>0</v>
      </c>
      <c r="V111" s="106">
        <v>0</v>
      </c>
      <c r="W111" s="106">
        <v>0</v>
      </c>
      <c r="X111" s="106">
        <v>0</v>
      </c>
      <c r="Y111" s="106">
        <v>0</v>
      </c>
      <c r="Z111" s="106">
        <v>0</v>
      </c>
      <c r="AA111" s="106">
        <v>0</v>
      </c>
      <c r="AB111" s="106">
        <v>0</v>
      </c>
      <c r="AC111" s="106">
        <v>0</v>
      </c>
      <c r="AD111" s="106">
        <v>0</v>
      </c>
      <c r="AE111" s="106">
        <v>0</v>
      </c>
      <c r="AF111" s="106">
        <v>0</v>
      </c>
      <c r="AG111" s="106">
        <v>0</v>
      </c>
      <c r="AH111" s="106">
        <v>0</v>
      </c>
      <c r="AI111" s="106">
        <v>0</v>
      </c>
      <c r="AJ111" s="106">
        <v>0</v>
      </c>
      <c r="AK111" s="106">
        <v>0</v>
      </c>
      <c r="AL111" s="106">
        <v>0</v>
      </c>
      <c r="AM111" s="106">
        <v>0</v>
      </c>
      <c r="AN111" s="106">
        <v>0</v>
      </c>
      <c r="AO111" s="106">
        <v>0</v>
      </c>
      <c r="AP111" s="106">
        <v>0</v>
      </c>
      <c r="AQ111" s="106">
        <v>0</v>
      </c>
      <c r="AR111" s="106">
        <v>0</v>
      </c>
      <c r="AS111" s="106">
        <v>0</v>
      </c>
      <c r="AT111" s="106">
        <v>0</v>
      </c>
      <c r="AU111" s="106">
        <v>0</v>
      </c>
      <c r="AV111" s="106">
        <v>0</v>
      </c>
      <c r="AW111" s="106">
        <v>0</v>
      </c>
      <c r="AX111" s="106">
        <v>0</v>
      </c>
    </row>
    <row r="112" spans="1:50" x14ac:dyDescent="0.2">
      <c r="B112" s="107" t="s">
        <v>278</v>
      </c>
      <c r="C112" s="111">
        <f>SUM(C$108:C$111)</f>
        <v>0</v>
      </c>
      <c r="D112" s="111">
        <f t="shared" ref="D112:AX112" si="7">SUM(D$108:D$111)</f>
        <v>0</v>
      </c>
      <c r="E112" s="111">
        <f t="shared" si="7"/>
        <v>0</v>
      </c>
      <c r="F112" s="111">
        <f t="shared" si="7"/>
        <v>0</v>
      </c>
      <c r="G112" s="111">
        <f t="shared" si="7"/>
        <v>0</v>
      </c>
      <c r="H112" s="111">
        <f t="shared" si="7"/>
        <v>0</v>
      </c>
      <c r="I112" s="111">
        <f t="shared" si="7"/>
        <v>0</v>
      </c>
      <c r="J112" s="111">
        <f t="shared" si="7"/>
        <v>0</v>
      </c>
      <c r="K112" s="111">
        <f t="shared" si="7"/>
        <v>0</v>
      </c>
      <c r="L112" s="111">
        <f t="shared" si="7"/>
        <v>0</v>
      </c>
      <c r="M112" s="111">
        <f t="shared" si="7"/>
        <v>0</v>
      </c>
      <c r="N112" s="111">
        <f t="shared" si="7"/>
        <v>0</v>
      </c>
      <c r="O112" s="111">
        <f t="shared" si="7"/>
        <v>0</v>
      </c>
      <c r="P112" s="111">
        <f t="shared" si="7"/>
        <v>0</v>
      </c>
      <c r="Q112" s="111">
        <f t="shared" si="7"/>
        <v>0</v>
      </c>
      <c r="R112" s="111">
        <f t="shared" si="7"/>
        <v>0</v>
      </c>
      <c r="S112" s="111">
        <f t="shared" si="7"/>
        <v>108823.36711643806</v>
      </c>
      <c r="T112" s="111">
        <f t="shared" si="7"/>
        <v>108823.36711643806</v>
      </c>
      <c r="U112" s="111">
        <f t="shared" si="7"/>
        <v>108823.36711643806</v>
      </c>
      <c r="V112" s="111">
        <f t="shared" si="7"/>
        <v>108823.36711643806</v>
      </c>
      <c r="W112" s="111">
        <f t="shared" si="7"/>
        <v>0</v>
      </c>
      <c r="X112" s="111">
        <f t="shared" si="7"/>
        <v>0</v>
      </c>
      <c r="Y112" s="111">
        <f t="shared" si="7"/>
        <v>0</v>
      </c>
      <c r="Z112" s="111">
        <f t="shared" si="7"/>
        <v>0</v>
      </c>
      <c r="AA112" s="111">
        <f t="shared" si="7"/>
        <v>0</v>
      </c>
      <c r="AB112" s="111">
        <f t="shared" si="7"/>
        <v>0</v>
      </c>
      <c r="AC112" s="111">
        <f t="shared" si="7"/>
        <v>0</v>
      </c>
      <c r="AD112" s="111">
        <f t="shared" si="7"/>
        <v>0</v>
      </c>
      <c r="AE112" s="111">
        <f t="shared" si="7"/>
        <v>0</v>
      </c>
      <c r="AF112" s="111">
        <f t="shared" si="7"/>
        <v>0</v>
      </c>
      <c r="AG112" s="111">
        <f t="shared" si="7"/>
        <v>0</v>
      </c>
      <c r="AH112" s="111">
        <f t="shared" si="7"/>
        <v>0</v>
      </c>
      <c r="AI112" s="111">
        <f t="shared" si="7"/>
        <v>0</v>
      </c>
      <c r="AJ112" s="111">
        <f t="shared" si="7"/>
        <v>0</v>
      </c>
      <c r="AK112" s="111">
        <f t="shared" si="7"/>
        <v>0</v>
      </c>
      <c r="AL112" s="111">
        <f t="shared" si="7"/>
        <v>0</v>
      </c>
      <c r="AM112" s="111">
        <f t="shared" si="7"/>
        <v>77628.235119353863</v>
      </c>
      <c r="AN112" s="111">
        <f t="shared" si="7"/>
        <v>77628.235119353863</v>
      </c>
      <c r="AO112" s="111">
        <f t="shared" si="7"/>
        <v>77628.235119353863</v>
      </c>
      <c r="AP112" s="111">
        <f t="shared" si="7"/>
        <v>77628.235119353863</v>
      </c>
      <c r="AQ112" s="111">
        <f t="shared" si="7"/>
        <v>0</v>
      </c>
      <c r="AR112" s="111">
        <f t="shared" si="7"/>
        <v>0</v>
      </c>
      <c r="AS112" s="111">
        <f t="shared" si="7"/>
        <v>0</v>
      </c>
      <c r="AT112" s="111">
        <f t="shared" si="7"/>
        <v>0</v>
      </c>
      <c r="AU112" s="111">
        <f t="shared" si="7"/>
        <v>0</v>
      </c>
      <c r="AV112" s="111">
        <f t="shared" si="7"/>
        <v>0</v>
      </c>
      <c r="AW112" s="111">
        <f t="shared" si="7"/>
        <v>0</v>
      </c>
      <c r="AX112" s="111">
        <f t="shared" si="7"/>
        <v>0</v>
      </c>
    </row>
    <row r="113" spans="1:50" x14ac:dyDescent="0.2">
      <c r="A113" s="111" t="s">
        <v>107</v>
      </c>
      <c r="B113" s="111" t="s">
        <v>12</v>
      </c>
      <c r="C113" s="106">
        <v>0</v>
      </c>
      <c r="D113" s="106">
        <v>0</v>
      </c>
      <c r="E113" s="106">
        <v>0</v>
      </c>
      <c r="F113" s="106">
        <v>0</v>
      </c>
      <c r="G113" s="106">
        <v>0</v>
      </c>
      <c r="H113" s="106">
        <v>0</v>
      </c>
      <c r="I113" s="106">
        <v>0</v>
      </c>
      <c r="J113" s="106">
        <v>0</v>
      </c>
      <c r="K113" s="106">
        <v>0</v>
      </c>
      <c r="L113" s="106">
        <v>0</v>
      </c>
      <c r="M113" s="106">
        <v>0</v>
      </c>
      <c r="N113" s="106">
        <v>0</v>
      </c>
      <c r="O113" s="106">
        <v>0</v>
      </c>
      <c r="P113" s="106">
        <v>0</v>
      </c>
      <c r="Q113" s="106">
        <v>0</v>
      </c>
      <c r="R113" s="106">
        <v>0</v>
      </c>
      <c r="S113" s="106">
        <v>0</v>
      </c>
      <c r="T113" s="106">
        <v>0</v>
      </c>
      <c r="U113" s="106">
        <v>0</v>
      </c>
      <c r="V113" s="106">
        <v>0</v>
      </c>
      <c r="W113" s="106">
        <v>0</v>
      </c>
      <c r="X113" s="106">
        <v>0</v>
      </c>
      <c r="Y113" s="106">
        <v>0</v>
      </c>
      <c r="Z113" s="106">
        <v>0</v>
      </c>
      <c r="AA113" s="106">
        <v>0</v>
      </c>
      <c r="AB113" s="106">
        <v>0</v>
      </c>
      <c r="AC113" s="106">
        <v>0</v>
      </c>
      <c r="AD113" s="106">
        <v>0</v>
      </c>
      <c r="AE113" s="106">
        <v>0</v>
      </c>
      <c r="AF113" s="106">
        <v>0</v>
      </c>
      <c r="AG113" s="106">
        <v>0</v>
      </c>
      <c r="AH113" s="106">
        <v>0</v>
      </c>
      <c r="AI113" s="106">
        <v>0</v>
      </c>
      <c r="AJ113" s="106">
        <v>0</v>
      </c>
      <c r="AK113" s="106">
        <v>0</v>
      </c>
      <c r="AL113" s="106">
        <v>0</v>
      </c>
      <c r="AM113" s="106">
        <v>0</v>
      </c>
      <c r="AN113" s="106">
        <v>0</v>
      </c>
      <c r="AO113" s="106">
        <v>0</v>
      </c>
      <c r="AP113" s="106">
        <v>0</v>
      </c>
      <c r="AQ113" s="106">
        <v>0</v>
      </c>
      <c r="AR113" s="106">
        <v>0</v>
      </c>
      <c r="AS113" s="106">
        <v>0</v>
      </c>
      <c r="AT113" s="106">
        <v>0</v>
      </c>
      <c r="AU113" s="106">
        <v>0</v>
      </c>
      <c r="AV113" s="106">
        <v>0</v>
      </c>
      <c r="AW113" s="106">
        <v>0</v>
      </c>
      <c r="AX113" s="106">
        <v>0</v>
      </c>
    </row>
    <row r="114" spans="1:50" x14ac:dyDescent="0.2">
      <c r="B114" s="111" t="s">
        <v>42</v>
      </c>
      <c r="C114" s="106">
        <v>0</v>
      </c>
      <c r="D114" s="106">
        <v>0</v>
      </c>
      <c r="E114" s="106">
        <v>0</v>
      </c>
      <c r="F114" s="106">
        <v>0</v>
      </c>
      <c r="G114" s="106">
        <v>0</v>
      </c>
      <c r="H114" s="106">
        <v>0</v>
      </c>
      <c r="I114" s="106">
        <v>0</v>
      </c>
      <c r="J114" s="106">
        <v>0</v>
      </c>
      <c r="K114" s="106">
        <v>0</v>
      </c>
      <c r="L114" s="106">
        <v>0</v>
      </c>
      <c r="M114" s="106">
        <v>0</v>
      </c>
      <c r="N114" s="106">
        <v>0</v>
      </c>
      <c r="O114" s="106">
        <v>0</v>
      </c>
      <c r="P114" s="106">
        <v>0</v>
      </c>
      <c r="Q114" s="106">
        <v>0</v>
      </c>
      <c r="R114" s="106">
        <v>0</v>
      </c>
      <c r="S114" s="106">
        <v>0</v>
      </c>
      <c r="T114" s="106">
        <v>0</v>
      </c>
      <c r="U114" s="106">
        <v>0</v>
      </c>
      <c r="V114" s="106">
        <v>0</v>
      </c>
      <c r="W114" s="106">
        <v>0</v>
      </c>
      <c r="X114" s="106">
        <v>0</v>
      </c>
      <c r="Y114" s="106">
        <v>0</v>
      </c>
      <c r="Z114" s="106">
        <v>0</v>
      </c>
      <c r="AA114" s="106">
        <v>0</v>
      </c>
      <c r="AB114" s="106">
        <v>0</v>
      </c>
      <c r="AC114" s="106">
        <v>0</v>
      </c>
      <c r="AD114" s="106">
        <v>0</v>
      </c>
      <c r="AE114" s="106">
        <v>0</v>
      </c>
      <c r="AF114" s="106">
        <v>0</v>
      </c>
      <c r="AG114" s="106">
        <v>0</v>
      </c>
      <c r="AH114" s="106">
        <v>0</v>
      </c>
      <c r="AI114" s="106">
        <v>0</v>
      </c>
      <c r="AJ114" s="106">
        <v>0</v>
      </c>
      <c r="AK114" s="106">
        <v>0</v>
      </c>
      <c r="AL114" s="106">
        <v>0</v>
      </c>
      <c r="AM114" s="106">
        <v>0</v>
      </c>
      <c r="AN114" s="106">
        <v>0</v>
      </c>
      <c r="AO114" s="106">
        <v>0</v>
      </c>
      <c r="AP114" s="106">
        <v>0</v>
      </c>
      <c r="AQ114" s="106">
        <v>0</v>
      </c>
      <c r="AR114" s="106">
        <v>0</v>
      </c>
      <c r="AS114" s="106">
        <v>0</v>
      </c>
      <c r="AT114" s="106">
        <v>0</v>
      </c>
      <c r="AU114" s="106">
        <v>0</v>
      </c>
      <c r="AV114" s="106">
        <v>0</v>
      </c>
      <c r="AW114" s="106">
        <v>0</v>
      </c>
      <c r="AX114" s="106">
        <v>0</v>
      </c>
    </row>
    <row r="115" spans="1:50" x14ac:dyDescent="0.2">
      <c r="B115" s="111" t="s">
        <v>49</v>
      </c>
      <c r="C115" s="106">
        <v>0</v>
      </c>
      <c r="D115" s="106">
        <v>0</v>
      </c>
      <c r="E115" s="106">
        <v>0</v>
      </c>
      <c r="F115" s="106">
        <v>0</v>
      </c>
      <c r="G115" s="106">
        <v>0</v>
      </c>
      <c r="H115" s="106">
        <v>0</v>
      </c>
      <c r="I115" s="106">
        <v>0</v>
      </c>
      <c r="J115" s="106">
        <v>0</v>
      </c>
      <c r="K115" s="106">
        <v>0</v>
      </c>
      <c r="L115" s="106">
        <v>0</v>
      </c>
      <c r="M115" s="106">
        <v>0</v>
      </c>
      <c r="N115" s="106">
        <v>0</v>
      </c>
      <c r="O115" s="106">
        <v>0</v>
      </c>
      <c r="P115" s="106">
        <v>0</v>
      </c>
      <c r="Q115" s="106">
        <v>0</v>
      </c>
      <c r="R115" s="106">
        <v>0</v>
      </c>
      <c r="S115" s="106">
        <v>0</v>
      </c>
      <c r="T115" s="106">
        <v>0</v>
      </c>
      <c r="U115" s="106">
        <v>0</v>
      </c>
      <c r="V115" s="106">
        <v>0</v>
      </c>
      <c r="W115" s="106">
        <v>0</v>
      </c>
      <c r="X115" s="106">
        <v>0</v>
      </c>
      <c r="Y115" s="106">
        <v>0</v>
      </c>
      <c r="Z115" s="106">
        <v>0</v>
      </c>
      <c r="AA115" s="106">
        <v>0</v>
      </c>
      <c r="AB115" s="106">
        <v>0</v>
      </c>
      <c r="AC115" s="106">
        <v>0</v>
      </c>
      <c r="AD115" s="106">
        <v>0</v>
      </c>
      <c r="AE115" s="106">
        <v>0</v>
      </c>
      <c r="AF115" s="106">
        <v>0</v>
      </c>
      <c r="AG115" s="106">
        <v>0</v>
      </c>
      <c r="AH115" s="106">
        <v>0</v>
      </c>
      <c r="AI115" s="106">
        <v>0</v>
      </c>
      <c r="AJ115" s="106">
        <v>0</v>
      </c>
      <c r="AK115" s="106">
        <v>0</v>
      </c>
      <c r="AL115" s="106">
        <v>0</v>
      </c>
      <c r="AM115" s="106">
        <v>0</v>
      </c>
      <c r="AN115" s="106">
        <v>0</v>
      </c>
      <c r="AO115" s="106">
        <v>0</v>
      </c>
      <c r="AP115" s="106">
        <v>0</v>
      </c>
      <c r="AQ115" s="106">
        <v>0</v>
      </c>
      <c r="AR115" s="106">
        <v>0</v>
      </c>
      <c r="AS115" s="106">
        <v>0</v>
      </c>
      <c r="AT115" s="106">
        <v>0</v>
      </c>
      <c r="AU115" s="106">
        <v>0</v>
      </c>
      <c r="AV115" s="106">
        <v>0</v>
      </c>
      <c r="AW115" s="106">
        <v>0</v>
      </c>
      <c r="AX115" s="106">
        <v>0</v>
      </c>
    </row>
    <row r="116" spans="1:50" x14ac:dyDescent="0.2">
      <c r="B116" s="111" t="s">
        <v>66</v>
      </c>
      <c r="C116" s="106">
        <v>15658.032499999999</v>
      </c>
      <c r="D116" s="106">
        <v>15658.032499999999</v>
      </c>
      <c r="E116" s="106">
        <v>15658.032499999999</v>
      </c>
      <c r="F116" s="106">
        <v>15658.032499999999</v>
      </c>
      <c r="G116" s="106">
        <v>30108.814999999999</v>
      </c>
      <c r="H116" s="106">
        <v>30108.814999999999</v>
      </c>
      <c r="I116" s="106">
        <v>30108.814999999999</v>
      </c>
      <c r="J116" s="106">
        <v>30108.814999999999</v>
      </c>
      <c r="K116" s="106">
        <v>19569.522499999999</v>
      </c>
      <c r="L116" s="106">
        <v>19569.522499999999</v>
      </c>
      <c r="M116" s="106">
        <v>19569.522499999999</v>
      </c>
      <c r="N116" s="106">
        <v>19569.522499999999</v>
      </c>
      <c r="O116" s="106">
        <v>0</v>
      </c>
      <c r="P116" s="106">
        <v>0</v>
      </c>
      <c r="Q116" s="106">
        <v>0</v>
      </c>
      <c r="R116" s="106">
        <v>0</v>
      </c>
      <c r="S116" s="106">
        <v>20040.349999999999</v>
      </c>
      <c r="T116" s="106">
        <v>20040.349999999999</v>
      </c>
      <c r="U116" s="106">
        <v>20040.349999999999</v>
      </c>
      <c r="V116" s="106">
        <v>20040.349999999999</v>
      </c>
      <c r="W116" s="106">
        <v>0</v>
      </c>
      <c r="X116" s="106">
        <v>0</v>
      </c>
      <c r="Y116" s="106">
        <v>0</v>
      </c>
      <c r="Z116" s="106">
        <v>0</v>
      </c>
      <c r="AA116" s="106">
        <v>21368.325000000001</v>
      </c>
      <c r="AB116" s="106">
        <v>21368.325000000001</v>
      </c>
      <c r="AC116" s="106">
        <v>21368.325000000001</v>
      </c>
      <c r="AD116" s="106">
        <v>21368.325000000001</v>
      </c>
      <c r="AE116" s="106">
        <v>0</v>
      </c>
      <c r="AF116" s="106">
        <v>0</v>
      </c>
      <c r="AG116" s="106">
        <v>0</v>
      </c>
      <c r="AH116" s="106">
        <v>0</v>
      </c>
      <c r="AI116" s="106">
        <v>18796.8825</v>
      </c>
      <c r="AJ116" s="106">
        <v>18796.8825</v>
      </c>
      <c r="AK116" s="106">
        <v>18796.8825</v>
      </c>
      <c r="AL116" s="106">
        <v>18796.8825</v>
      </c>
      <c r="AM116" s="106">
        <v>0</v>
      </c>
      <c r="AN116" s="106">
        <v>0</v>
      </c>
      <c r="AO116" s="106">
        <v>0</v>
      </c>
      <c r="AP116" s="106">
        <v>0</v>
      </c>
      <c r="AQ116" s="106">
        <v>0</v>
      </c>
      <c r="AR116" s="106">
        <v>0</v>
      </c>
      <c r="AS116" s="106">
        <v>0</v>
      </c>
      <c r="AT116" s="106">
        <v>0</v>
      </c>
      <c r="AU116" s="106">
        <v>0</v>
      </c>
      <c r="AV116" s="106">
        <v>0</v>
      </c>
      <c r="AW116" s="106">
        <v>0</v>
      </c>
      <c r="AX116" s="106">
        <v>0</v>
      </c>
    </row>
    <row r="117" spans="1:50" x14ac:dyDescent="0.2">
      <c r="B117" s="106" t="s">
        <v>278</v>
      </c>
      <c r="C117" s="111">
        <f>SUM(C$113:C$116)</f>
        <v>15658.032499999999</v>
      </c>
      <c r="D117" s="111">
        <f t="shared" ref="D117:AX117" si="8">SUM(D$113:D$116)</f>
        <v>15658.032499999999</v>
      </c>
      <c r="E117" s="111">
        <f t="shared" si="8"/>
        <v>15658.032499999999</v>
      </c>
      <c r="F117" s="111">
        <f t="shared" si="8"/>
        <v>15658.032499999999</v>
      </c>
      <c r="G117" s="111">
        <f t="shared" si="8"/>
        <v>30108.814999999999</v>
      </c>
      <c r="H117" s="111">
        <f t="shared" si="8"/>
        <v>30108.814999999999</v>
      </c>
      <c r="I117" s="111">
        <f t="shared" si="8"/>
        <v>30108.814999999999</v>
      </c>
      <c r="J117" s="111">
        <f t="shared" si="8"/>
        <v>30108.814999999999</v>
      </c>
      <c r="K117" s="111">
        <f t="shared" si="8"/>
        <v>19569.522499999999</v>
      </c>
      <c r="L117" s="111">
        <f t="shared" si="8"/>
        <v>19569.522499999999</v>
      </c>
      <c r="M117" s="111">
        <f t="shared" si="8"/>
        <v>19569.522499999999</v>
      </c>
      <c r="N117" s="111">
        <f t="shared" si="8"/>
        <v>19569.522499999999</v>
      </c>
      <c r="O117" s="111">
        <f t="shared" si="8"/>
        <v>0</v>
      </c>
      <c r="P117" s="111">
        <f t="shared" si="8"/>
        <v>0</v>
      </c>
      <c r="Q117" s="111">
        <f t="shared" si="8"/>
        <v>0</v>
      </c>
      <c r="R117" s="111">
        <f t="shared" si="8"/>
        <v>0</v>
      </c>
      <c r="S117" s="111">
        <f t="shared" si="8"/>
        <v>20040.349999999999</v>
      </c>
      <c r="T117" s="111">
        <f t="shared" si="8"/>
        <v>20040.349999999999</v>
      </c>
      <c r="U117" s="111">
        <f t="shared" si="8"/>
        <v>20040.349999999999</v>
      </c>
      <c r="V117" s="111">
        <f t="shared" si="8"/>
        <v>20040.349999999999</v>
      </c>
      <c r="W117" s="111">
        <f t="shared" si="8"/>
        <v>0</v>
      </c>
      <c r="X117" s="111">
        <f t="shared" si="8"/>
        <v>0</v>
      </c>
      <c r="Y117" s="111">
        <f t="shared" si="8"/>
        <v>0</v>
      </c>
      <c r="Z117" s="111">
        <f t="shared" si="8"/>
        <v>0</v>
      </c>
      <c r="AA117" s="111">
        <f t="shared" si="8"/>
        <v>21368.325000000001</v>
      </c>
      <c r="AB117" s="111">
        <f t="shared" si="8"/>
        <v>21368.325000000001</v>
      </c>
      <c r="AC117" s="111">
        <f t="shared" si="8"/>
        <v>21368.325000000001</v>
      </c>
      <c r="AD117" s="111">
        <f t="shared" si="8"/>
        <v>21368.325000000001</v>
      </c>
      <c r="AE117" s="111">
        <f t="shared" si="8"/>
        <v>0</v>
      </c>
      <c r="AF117" s="111">
        <f t="shared" si="8"/>
        <v>0</v>
      </c>
      <c r="AG117" s="111">
        <f t="shared" si="8"/>
        <v>0</v>
      </c>
      <c r="AH117" s="111">
        <f t="shared" si="8"/>
        <v>0</v>
      </c>
      <c r="AI117" s="111">
        <f t="shared" si="8"/>
        <v>18796.8825</v>
      </c>
      <c r="AJ117" s="111">
        <f t="shared" si="8"/>
        <v>18796.8825</v>
      </c>
      <c r="AK117" s="111">
        <f t="shared" si="8"/>
        <v>18796.8825</v>
      </c>
      <c r="AL117" s="111">
        <f t="shared" si="8"/>
        <v>18796.8825</v>
      </c>
      <c r="AM117" s="111">
        <f t="shared" si="8"/>
        <v>0</v>
      </c>
      <c r="AN117" s="111">
        <f t="shared" si="8"/>
        <v>0</v>
      </c>
      <c r="AO117" s="111">
        <f t="shared" si="8"/>
        <v>0</v>
      </c>
      <c r="AP117" s="111">
        <f t="shared" si="8"/>
        <v>0</v>
      </c>
      <c r="AQ117" s="111">
        <f t="shared" si="8"/>
        <v>0</v>
      </c>
      <c r="AR117" s="111">
        <f t="shared" si="8"/>
        <v>0</v>
      </c>
      <c r="AS117" s="111">
        <f t="shared" si="8"/>
        <v>0</v>
      </c>
      <c r="AT117" s="111">
        <f t="shared" si="8"/>
        <v>0</v>
      </c>
      <c r="AU117" s="111">
        <f t="shared" si="8"/>
        <v>0</v>
      </c>
      <c r="AV117" s="111">
        <f t="shared" si="8"/>
        <v>0</v>
      </c>
      <c r="AW117" s="111">
        <f t="shared" si="8"/>
        <v>0</v>
      </c>
      <c r="AX117" s="111">
        <f t="shared" si="8"/>
        <v>0</v>
      </c>
    </row>
    <row r="118" spans="1:50" x14ac:dyDescent="0.2">
      <c r="A118" s="111" t="s">
        <v>108</v>
      </c>
      <c r="B118" s="111" t="s">
        <v>12</v>
      </c>
      <c r="C118" s="106">
        <v>212482.1504550564</v>
      </c>
      <c r="D118" s="106">
        <v>212482.1504550564</v>
      </c>
      <c r="E118" s="106">
        <v>212482.1504550564</v>
      </c>
      <c r="F118" s="106">
        <v>212482.1504550564</v>
      </c>
      <c r="G118" s="106">
        <v>0</v>
      </c>
      <c r="H118" s="106">
        <v>0</v>
      </c>
      <c r="I118" s="106">
        <v>0</v>
      </c>
      <c r="J118" s="106">
        <v>0</v>
      </c>
      <c r="K118" s="106">
        <v>398233.66102513694</v>
      </c>
      <c r="L118" s="106">
        <v>398233.66102513694</v>
      </c>
      <c r="M118" s="106">
        <v>398233.66102513694</v>
      </c>
      <c r="N118" s="106">
        <v>398233.66102513694</v>
      </c>
      <c r="O118" s="106">
        <v>0</v>
      </c>
      <c r="P118" s="106">
        <v>0</v>
      </c>
      <c r="Q118" s="106">
        <v>0</v>
      </c>
      <c r="R118" s="106">
        <v>0</v>
      </c>
      <c r="S118" s="106">
        <v>0</v>
      </c>
      <c r="T118" s="106">
        <v>0</v>
      </c>
      <c r="U118" s="106">
        <v>0</v>
      </c>
      <c r="V118" s="106">
        <v>0</v>
      </c>
      <c r="W118" s="106">
        <v>0</v>
      </c>
      <c r="X118" s="106">
        <v>0</v>
      </c>
      <c r="Y118" s="106">
        <v>0</v>
      </c>
      <c r="Z118" s="106">
        <v>0</v>
      </c>
      <c r="AA118" s="106">
        <v>0</v>
      </c>
      <c r="AB118" s="106">
        <v>0</v>
      </c>
      <c r="AC118" s="106">
        <v>0</v>
      </c>
      <c r="AD118" s="106">
        <v>0</v>
      </c>
      <c r="AE118" s="106">
        <v>0</v>
      </c>
      <c r="AF118" s="106">
        <v>0</v>
      </c>
      <c r="AG118" s="106">
        <v>0</v>
      </c>
      <c r="AH118" s="106">
        <v>0</v>
      </c>
      <c r="AI118" s="106">
        <v>360799.28611153067</v>
      </c>
      <c r="AJ118" s="106">
        <v>360799.28611153067</v>
      </c>
      <c r="AK118" s="106">
        <v>360799.28611153067</v>
      </c>
      <c r="AL118" s="106">
        <v>360799.28611153067</v>
      </c>
      <c r="AM118" s="106">
        <v>329381.84535922308</v>
      </c>
      <c r="AN118" s="106">
        <v>329381.84535922308</v>
      </c>
      <c r="AO118" s="106">
        <v>329381.84535922308</v>
      </c>
      <c r="AP118" s="106">
        <v>329381.84535922308</v>
      </c>
      <c r="AQ118" s="106">
        <v>0</v>
      </c>
      <c r="AR118" s="106">
        <v>0</v>
      </c>
      <c r="AS118" s="106">
        <v>0</v>
      </c>
      <c r="AT118" s="106">
        <v>0</v>
      </c>
      <c r="AU118" s="106">
        <v>0</v>
      </c>
      <c r="AV118" s="106">
        <v>0</v>
      </c>
      <c r="AW118" s="106">
        <v>0</v>
      </c>
      <c r="AX118" s="106">
        <v>0</v>
      </c>
    </row>
    <row r="119" spans="1:50" x14ac:dyDescent="0.2">
      <c r="B119" s="111" t="s">
        <v>42</v>
      </c>
      <c r="C119" s="106">
        <v>96753.49034875675</v>
      </c>
      <c r="D119" s="106">
        <v>96753.49034875675</v>
      </c>
      <c r="E119" s="106">
        <v>96753.49034875675</v>
      </c>
      <c r="F119" s="106">
        <v>96753.49034875675</v>
      </c>
      <c r="G119" s="106">
        <v>0</v>
      </c>
      <c r="H119" s="106">
        <v>0</v>
      </c>
      <c r="I119" s="106">
        <v>0</v>
      </c>
      <c r="J119" s="106">
        <v>0</v>
      </c>
      <c r="K119" s="106">
        <v>181335.21613946353</v>
      </c>
      <c r="L119" s="106">
        <v>181335.21613946353</v>
      </c>
      <c r="M119" s="106">
        <v>181335.21613946353</v>
      </c>
      <c r="N119" s="106">
        <v>181335.21613946353</v>
      </c>
      <c r="O119" s="106">
        <v>0</v>
      </c>
      <c r="P119" s="106">
        <v>0</v>
      </c>
      <c r="Q119" s="106">
        <v>0</v>
      </c>
      <c r="R119" s="106">
        <v>0</v>
      </c>
      <c r="S119" s="106">
        <v>0</v>
      </c>
      <c r="T119" s="106">
        <v>0</v>
      </c>
      <c r="U119" s="106">
        <v>0</v>
      </c>
      <c r="V119" s="106">
        <v>0</v>
      </c>
      <c r="W119" s="106">
        <v>0</v>
      </c>
      <c r="X119" s="106">
        <v>0</v>
      </c>
      <c r="Y119" s="106">
        <v>0</v>
      </c>
      <c r="Z119" s="106">
        <v>0</v>
      </c>
      <c r="AA119" s="106">
        <v>0</v>
      </c>
      <c r="AB119" s="106">
        <v>0</v>
      </c>
      <c r="AC119" s="106">
        <v>0</v>
      </c>
      <c r="AD119" s="106">
        <v>0</v>
      </c>
      <c r="AE119" s="106">
        <v>0</v>
      </c>
      <c r="AF119" s="106">
        <v>0</v>
      </c>
      <c r="AG119" s="106">
        <v>0</v>
      </c>
      <c r="AH119" s="106">
        <v>0</v>
      </c>
      <c r="AI119" s="106">
        <v>164289.51877543275</v>
      </c>
      <c r="AJ119" s="106">
        <v>164289.51877543275</v>
      </c>
      <c r="AK119" s="106">
        <v>164289.51877543275</v>
      </c>
      <c r="AL119" s="106">
        <v>164289.51877543275</v>
      </c>
      <c r="AM119" s="106">
        <v>149983.62510812451</v>
      </c>
      <c r="AN119" s="106">
        <v>149983.62510812451</v>
      </c>
      <c r="AO119" s="106">
        <v>149983.62510812451</v>
      </c>
      <c r="AP119" s="106">
        <v>149983.62510812451</v>
      </c>
      <c r="AQ119" s="106">
        <v>0</v>
      </c>
      <c r="AR119" s="106">
        <v>0</v>
      </c>
      <c r="AS119" s="106">
        <v>0</v>
      </c>
      <c r="AT119" s="106">
        <v>0</v>
      </c>
      <c r="AU119" s="106">
        <v>0</v>
      </c>
      <c r="AV119" s="106">
        <v>0</v>
      </c>
      <c r="AW119" s="106">
        <v>0</v>
      </c>
      <c r="AX119" s="106">
        <v>0</v>
      </c>
    </row>
    <row r="120" spans="1:50" x14ac:dyDescent="0.2">
      <c r="B120" s="111" t="s">
        <v>49</v>
      </c>
      <c r="C120" s="106">
        <v>174935.41998821285</v>
      </c>
      <c r="D120" s="106">
        <v>174935.41998821285</v>
      </c>
      <c r="E120" s="106">
        <v>174935.41998821285</v>
      </c>
      <c r="F120" s="106">
        <v>174935.41998821285</v>
      </c>
      <c r="G120" s="106">
        <v>0</v>
      </c>
      <c r="H120" s="106">
        <v>0</v>
      </c>
      <c r="I120" s="106">
        <v>0</v>
      </c>
      <c r="J120" s="106">
        <v>0</v>
      </c>
      <c r="K120" s="106">
        <v>327863.64687894715</v>
      </c>
      <c r="L120" s="106">
        <v>327863.64687894715</v>
      </c>
      <c r="M120" s="106">
        <v>327863.64687894715</v>
      </c>
      <c r="N120" s="106">
        <v>327863.64687894715</v>
      </c>
      <c r="O120" s="106">
        <v>0</v>
      </c>
      <c r="P120" s="106">
        <v>0</v>
      </c>
      <c r="Q120" s="106">
        <v>0</v>
      </c>
      <c r="R120" s="106">
        <v>0</v>
      </c>
      <c r="S120" s="106">
        <v>0</v>
      </c>
      <c r="T120" s="106">
        <v>0</v>
      </c>
      <c r="U120" s="106">
        <v>0</v>
      </c>
      <c r="V120" s="106">
        <v>0</v>
      </c>
      <c r="W120" s="106">
        <v>0</v>
      </c>
      <c r="X120" s="106">
        <v>0</v>
      </c>
      <c r="Y120" s="106">
        <v>0</v>
      </c>
      <c r="Z120" s="106">
        <v>0</v>
      </c>
      <c r="AA120" s="106">
        <v>0</v>
      </c>
      <c r="AB120" s="106">
        <v>0</v>
      </c>
      <c r="AC120" s="106">
        <v>0</v>
      </c>
      <c r="AD120" s="106">
        <v>0</v>
      </c>
      <c r="AE120" s="106">
        <v>0</v>
      </c>
      <c r="AF120" s="106">
        <v>0</v>
      </c>
      <c r="AG120" s="106">
        <v>0</v>
      </c>
      <c r="AH120" s="106">
        <v>0</v>
      </c>
      <c r="AI120" s="106">
        <v>297044.1258816148</v>
      </c>
      <c r="AJ120" s="106">
        <v>297044.1258816148</v>
      </c>
      <c r="AK120" s="106">
        <v>297044.1258816148</v>
      </c>
      <c r="AL120" s="106">
        <v>297044.1258816148</v>
      </c>
      <c r="AM120" s="106">
        <v>271178.31465375726</v>
      </c>
      <c r="AN120" s="106">
        <v>271178.31465375726</v>
      </c>
      <c r="AO120" s="106">
        <v>271178.31465375726</v>
      </c>
      <c r="AP120" s="106">
        <v>271178.31465375726</v>
      </c>
      <c r="AQ120" s="106">
        <v>0</v>
      </c>
      <c r="AR120" s="106">
        <v>0</v>
      </c>
      <c r="AS120" s="106">
        <v>0</v>
      </c>
      <c r="AT120" s="106">
        <v>0</v>
      </c>
      <c r="AU120" s="106">
        <v>0</v>
      </c>
      <c r="AV120" s="106">
        <v>0</v>
      </c>
      <c r="AW120" s="106">
        <v>0</v>
      </c>
      <c r="AX120" s="106">
        <v>0</v>
      </c>
    </row>
    <row r="121" spans="1:50" x14ac:dyDescent="0.2">
      <c r="B121" s="111" t="s">
        <v>66</v>
      </c>
      <c r="C121" s="106">
        <v>0</v>
      </c>
      <c r="D121" s="106">
        <v>0</v>
      </c>
      <c r="E121" s="106">
        <v>0</v>
      </c>
      <c r="F121" s="106">
        <v>0</v>
      </c>
      <c r="G121" s="106">
        <v>0</v>
      </c>
      <c r="H121" s="106">
        <v>0</v>
      </c>
      <c r="I121" s="106">
        <v>0</v>
      </c>
      <c r="J121" s="106">
        <v>0</v>
      </c>
      <c r="K121" s="106">
        <v>0</v>
      </c>
      <c r="L121" s="106">
        <v>0</v>
      </c>
      <c r="M121" s="106">
        <v>0</v>
      </c>
      <c r="N121" s="106">
        <v>0</v>
      </c>
      <c r="O121" s="106">
        <v>0</v>
      </c>
      <c r="P121" s="106">
        <v>0</v>
      </c>
      <c r="Q121" s="106">
        <v>0</v>
      </c>
      <c r="R121" s="106">
        <v>0</v>
      </c>
      <c r="S121" s="106">
        <v>0</v>
      </c>
      <c r="T121" s="106">
        <v>0</v>
      </c>
      <c r="U121" s="106">
        <v>0</v>
      </c>
      <c r="V121" s="106">
        <v>0</v>
      </c>
      <c r="W121" s="106">
        <v>0</v>
      </c>
      <c r="X121" s="106">
        <v>0</v>
      </c>
      <c r="Y121" s="106">
        <v>0</v>
      </c>
      <c r="Z121" s="106">
        <v>0</v>
      </c>
      <c r="AA121" s="106">
        <v>0</v>
      </c>
      <c r="AB121" s="106">
        <v>0</v>
      </c>
      <c r="AC121" s="106">
        <v>0</v>
      </c>
      <c r="AD121" s="106">
        <v>0</v>
      </c>
      <c r="AE121" s="106">
        <v>0</v>
      </c>
      <c r="AF121" s="106">
        <v>0</v>
      </c>
      <c r="AG121" s="106">
        <v>0</v>
      </c>
      <c r="AH121" s="106">
        <v>0</v>
      </c>
      <c r="AI121" s="106">
        <v>0</v>
      </c>
      <c r="AJ121" s="106">
        <v>0</v>
      </c>
      <c r="AK121" s="106">
        <v>0</v>
      </c>
      <c r="AL121" s="106">
        <v>0</v>
      </c>
      <c r="AM121" s="106">
        <v>0</v>
      </c>
      <c r="AN121" s="106">
        <v>0</v>
      </c>
      <c r="AO121" s="106">
        <v>0</v>
      </c>
      <c r="AP121" s="106">
        <v>0</v>
      </c>
      <c r="AQ121" s="106">
        <v>0</v>
      </c>
      <c r="AR121" s="106">
        <v>0</v>
      </c>
      <c r="AS121" s="106">
        <v>0</v>
      </c>
      <c r="AT121" s="106">
        <v>0</v>
      </c>
      <c r="AU121" s="106">
        <v>0</v>
      </c>
      <c r="AV121" s="106">
        <v>0</v>
      </c>
      <c r="AW121" s="106">
        <v>0</v>
      </c>
      <c r="AX121" s="106">
        <v>0</v>
      </c>
    </row>
    <row r="122" spans="1:50" x14ac:dyDescent="0.2">
      <c r="B122" s="106" t="s">
        <v>278</v>
      </c>
      <c r="C122" s="111">
        <f>SUM(C$118:C$121)</f>
        <v>484171.06079202599</v>
      </c>
      <c r="D122" s="111">
        <f t="shared" ref="D122:AX122" si="9">SUM(D$118:D$121)</f>
        <v>484171.06079202599</v>
      </c>
      <c r="E122" s="111">
        <f t="shared" si="9"/>
        <v>484171.06079202599</v>
      </c>
      <c r="F122" s="111">
        <f t="shared" si="9"/>
        <v>484171.06079202599</v>
      </c>
      <c r="G122" s="111">
        <f t="shared" si="9"/>
        <v>0</v>
      </c>
      <c r="H122" s="111">
        <f t="shared" si="9"/>
        <v>0</v>
      </c>
      <c r="I122" s="111">
        <f t="shared" si="9"/>
        <v>0</v>
      </c>
      <c r="J122" s="111">
        <f t="shared" si="9"/>
        <v>0</v>
      </c>
      <c r="K122" s="111">
        <f t="shared" si="9"/>
        <v>907432.52404354757</v>
      </c>
      <c r="L122" s="111">
        <f t="shared" si="9"/>
        <v>907432.52404354757</v>
      </c>
      <c r="M122" s="111">
        <f t="shared" si="9"/>
        <v>907432.52404354757</v>
      </c>
      <c r="N122" s="111">
        <f t="shared" si="9"/>
        <v>907432.52404354757</v>
      </c>
      <c r="O122" s="111">
        <f t="shared" si="9"/>
        <v>0</v>
      </c>
      <c r="P122" s="111">
        <f t="shared" si="9"/>
        <v>0</v>
      </c>
      <c r="Q122" s="111">
        <f t="shared" si="9"/>
        <v>0</v>
      </c>
      <c r="R122" s="111">
        <f t="shared" si="9"/>
        <v>0</v>
      </c>
      <c r="S122" s="111">
        <f t="shared" si="9"/>
        <v>0</v>
      </c>
      <c r="T122" s="111">
        <f t="shared" si="9"/>
        <v>0</v>
      </c>
      <c r="U122" s="111">
        <f t="shared" si="9"/>
        <v>0</v>
      </c>
      <c r="V122" s="111">
        <f t="shared" si="9"/>
        <v>0</v>
      </c>
      <c r="W122" s="111">
        <f t="shared" si="9"/>
        <v>0</v>
      </c>
      <c r="X122" s="111">
        <f t="shared" si="9"/>
        <v>0</v>
      </c>
      <c r="Y122" s="111">
        <f t="shared" si="9"/>
        <v>0</v>
      </c>
      <c r="Z122" s="111">
        <f t="shared" si="9"/>
        <v>0</v>
      </c>
      <c r="AA122" s="111">
        <f t="shared" si="9"/>
        <v>0</v>
      </c>
      <c r="AB122" s="111">
        <f t="shared" si="9"/>
        <v>0</v>
      </c>
      <c r="AC122" s="111">
        <f t="shared" si="9"/>
        <v>0</v>
      </c>
      <c r="AD122" s="111">
        <f t="shared" si="9"/>
        <v>0</v>
      </c>
      <c r="AE122" s="111">
        <f t="shared" si="9"/>
        <v>0</v>
      </c>
      <c r="AF122" s="111">
        <f t="shared" si="9"/>
        <v>0</v>
      </c>
      <c r="AG122" s="111">
        <f t="shared" si="9"/>
        <v>0</v>
      </c>
      <c r="AH122" s="111">
        <f t="shared" si="9"/>
        <v>0</v>
      </c>
      <c r="AI122" s="111">
        <f t="shared" si="9"/>
        <v>822132.93076857831</v>
      </c>
      <c r="AJ122" s="111">
        <f t="shared" si="9"/>
        <v>822132.93076857831</v>
      </c>
      <c r="AK122" s="111">
        <f t="shared" si="9"/>
        <v>822132.93076857831</v>
      </c>
      <c r="AL122" s="111">
        <f t="shared" si="9"/>
        <v>822132.93076857831</v>
      </c>
      <c r="AM122" s="111">
        <f t="shared" si="9"/>
        <v>750543.78512110491</v>
      </c>
      <c r="AN122" s="111">
        <f t="shared" si="9"/>
        <v>750543.78512110491</v>
      </c>
      <c r="AO122" s="111">
        <f t="shared" si="9"/>
        <v>750543.78512110491</v>
      </c>
      <c r="AP122" s="111">
        <f t="shared" si="9"/>
        <v>750543.78512110491</v>
      </c>
      <c r="AQ122" s="111">
        <f t="shared" si="9"/>
        <v>0</v>
      </c>
      <c r="AR122" s="111">
        <f t="shared" si="9"/>
        <v>0</v>
      </c>
      <c r="AS122" s="111">
        <f t="shared" si="9"/>
        <v>0</v>
      </c>
      <c r="AT122" s="111">
        <f t="shared" si="9"/>
        <v>0</v>
      </c>
      <c r="AU122" s="111">
        <f t="shared" si="9"/>
        <v>0</v>
      </c>
      <c r="AV122" s="111">
        <f t="shared" si="9"/>
        <v>0</v>
      </c>
      <c r="AW122" s="111">
        <f t="shared" si="9"/>
        <v>0</v>
      </c>
      <c r="AX122" s="111">
        <f t="shared" si="9"/>
        <v>0</v>
      </c>
    </row>
    <row r="123" spans="1:50" x14ac:dyDescent="0.2">
      <c r="A123" s="111" t="s">
        <v>109</v>
      </c>
      <c r="B123" s="111" t="s">
        <v>12</v>
      </c>
      <c r="C123" s="106">
        <v>0</v>
      </c>
      <c r="D123" s="106">
        <v>0</v>
      </c>
      <c r="E123" s="106">
        <v>0</v>
      </c>
      <c r="F123" s="106">
        <v>0</v>
      </c>
      <c r="G123" s="106">
        <v>0</v>
      </c>
      <c r="H123" s="106">
        <v>0</v>
      </c>
      <c r="I123" s="106">
        <v>0</v>
      </c>
      <c r="J123" s="106">
        <v>0</v>
      </c>
      <c r="K123" s="106">
        <v>0</v>
      </c>
      <c r="L123" s="106">
        <v>0</v>
      </c>
      <c r="M123" s="106">
        <v>0</v>
      </c>
      <c r="N123" s="106">
        <v>0</v>
      </c>
      <c r="O123" s="106">
        <v>0</v>
      </c>
      <c r="P123" s="106">
        <v>0</v>
      </c>
      <c r="Q123" s="106">
        <v>0</v>
      </c>
      <c r="R123" s="106">
        <v>0</v>
      </c>
      <c r="S123" s="106">
        <v>0</v>
      </c>
      <c r="T123" s="106">
        <v>0</v>
      </c>
      <c r="U123" s="106">
        <v>0</v>
      </c>
      <c r="V123" s="106">
        <v>0</v>
      </c>
      <c r="W123" s="106">
        <v>0</v>
      </c>
      <c r="X123" s="106">
        <v>0</v>
      </c>
      <c r="Y123" s="106">
        <v>0</v>
      </c>
      <c r="Z123" s="106">
        <v>0</v>
      </c>
      <c r="AA123" s="106">
        <v>0</v>
      </c>
      <c r="AB123" s="106">
        <v>0</v>
      </c>
      <c r="AC123" s="106">
        <v>0</v>
      </c>
      <c r="AD123" s="106">
        <v>0</v>
      </c>
      <c r="AE123" s="106">
        <v>0</v>
      </c>
      <c r="AF123" s="106">
        <v>0</v>
      </c>
      <c r="AG123" s="106">
        <v>0</v>
      </c>
      <c r="AH123" s="106">
        <v>0</v>
      </c>
      <c r="AI123" s="106">
        <v>0</v>
      </c>
      <c r="AJ123" s="106">
        <v>0</v>
      </c>
      <c r="AK123" s="106">
        <v>0</v>
      </c>
      <c r="AL123" s="106">
        <v>0</v>
      </c>
      <c r="AM123" s="106">
        <v>0</v>
      </c>
      <c r="AN123" s="106">
        <v>0</v>
      </c>
      <c r="AO123" s="106">
        <v>0</v>
      </c>
      <c r="AP123" s="106">
        <v>0</v>
      </c>
      <c r="AQ123" s="106">
        <v>0</v>
      </c>
      <c r="AR123" s="106">
        <v>0</v>
      </c>
      <c r="AS123" s="106">
        <v>0</v>
      </c>
      <c r="AT123" s="106">
        <v>0</v>
      </c>
      <c r="AU123" s="106">
        <v>0</v>
      </c>
      <c r="AV123" s="106">
        <v>0</v>
      </c>
      <c r="AW123" s="106">
        <v>0</v>
      </c>
      <c r="AX123" s="106">
        <v>0</v>
      </c>
    </row>
    <row r="124" spans="1:50" x14ac:dyDescent="0.2">
      <c r="B124" s="111" t="s">
        <v>42</v>
      </c>
      <c r="C124" s="106">
        <v>0</v>
      </c>
      <c r="D124" s="106">
        <v>0</v>
      </c>
      <c r="E124" s="106">
        <v>0</v>
      </c>
      <c r="F124" s="106">
        <v>0</v>
      </c>
      <c r="G124" s="106">
        <v>0</v>
      </c>
      <c r="H124" s="106">
        <v>0</v>
      </c>
      <c r="I124" s="106">
        <v>0</v>
      </c>
      <c r="J124" s="106">
        <v>0</v>
      </c>
      <c r="K124" s="106">
        <v>0</v>
      </c>
      <c r="L124" s="106">
        <v>0</v>
      </c>
      <c r="M124" s="106">
        <v>0</v>
      </c>
      <c r="N124" s="106">
        <v>0</v>
      </c>
      <c r="O124" s="106">
        <v>0</v>
      </c>
      <c r="P124" s="106">
        <v>0</v>
      </c>
      <c r="Q124" s="106">
        <v>0</v>
      </c>
      <c r="R124" s="106">
        <v>0</v>
      </c>
      <c r="S124" s="106">
        <v>0</v>
      </c>
      <c r="T124" s="106">
        <v>0</v>
      </c>
      <c r="U124" s="106">
        <v>0</v>
      </c>
      <c r="V124" s="106">
        <v>0</v>
      </c>
      <c r="W124" s="106">
        <v>0</v>
      </c>
      <c r="X124" s="106">
        <v>0</v>
      </c>
      <c r="Y124" s="106">
        <v>0</v>
      </c>
      <c r="Z124" s="106">
        <v>0</v>
      </c>
      <c r="AA124" s="106">
        <v>0</v>
      </c>
      <c r="AB124" s="106">
        <v>0</v>
      </c>
      <c r="AC124" s="106">
        <v>0</v>
      </c>
      <c r="AD124" s="106">
        <v>0</v>
      </c>
      <c r="AE124" s="106">
        <v>0</v>
      </c>
      <c r="AF124" s="106">
        <v>0</v>
      </c>
      <c r="AG124" s="106">
        <v>0</v>
      </c>
      <c r="AH124" s="106">
        <v>0</v>
      </c>
      <c r="AI124" s="106">
        <v>0</v>
      </c>
      <c r="AJ124" s="106">
        <v>0</v>
      </c>
      <c r="AK124" s="106">
        <v>0</v>
      </c>
      <c r="AL124" s="106">
        <v>0</v>
      </c>
      <c r="AM124" s="106">
        <v>0</v>
      </c>
      <c r="AN124" s="106">
        <v>0</v>
      </c>
      <c r="AO124" s="106">
        <v>0</v>
      </c>
      <c r="AP124" s="106">
        <v>0</v>
      </c>
      <c r="AQ124" s="106">
        <v>0</v>
      </c>
      <c r="AR124" s="106">
        <v>0</v>
      </c>
      <c r="AS124" s="106">
        <v>0</v>
      </c>
      <c r="AT124" s="106">
        <v>0</v>
      </c>
      <c r="AU124" s="106">
        <v>0</v>
      </c>
      <c r="AV124" s="106">
        <v>0</v>
      </c>
      <c r="AW124" s="106">
        <v>0</v>
      </c>
      <c r="AX124" s="106">
        <v>0</v>
      </c>
    </row>
    <row r="125" spans="1:50" x14ac:dyDescent="0.2">
      <c r="B125" s="111" t="s">
        <v>49</v>
      </c>
      <c r="C125" s="106">
        <v>0</v>
      </c>
      <c r="D125" s="106">
        <v>0</v>
      </c>
      <c r="E125" s="106">
        <v>0</v>
      </c>
      <c r="F125" s="106">
        <v>0</v>
      </c>
      <c r="G125" s="106">
        <v>0</v>
      </c>
      <c r="H125" s="106">
        <v>0</v>
      </c>
      <c r="I125" s="106">
        <v>0</v>
      </c>
      <c r="J125" s="106">
        <v>0</v>
      </c>
      <c r="K125" s="106">
        <v>0</v>
      </c>
      <c r="L125" s="106">
        <v>0</v>
      </c>
      <c r="M125" s="106">
        <v>0</v>
      </c>
      <c r="N125" s="106">
        <v>0</v>
      </c>
      <c r="O125" s="106">
        <v>0</v>
      </c>
      <c r="P125" s="106">
        <v>0</v>
      </c>
      <c r="Q125" s="106">
        <v>0</v>
      </c>
      <c r="R125" s="106">
        <v>0</v>
      </c>
      <c r="S125" s="106">
        <v>0</v>
      </c>
      <c r="T125" s="106">
        <v>0</v>
      </c>
      <c r="U125" s="106">
        <v>0</v>
      </c>
      <c r="V125" s="106">
        <v>0</v>
      </c>
      <c r="W125" s="106">
        <v>0</v>
      </c>
      <c r="X125" s="106">
        <v>0</v>
      </c>
      <c r="Y125" s="106">
        <v>0</v>
      </c>
      <c r="Z125" s="106">
        <v>0</v>
      </c>
      <c r="AA125" s="106">
        <v>0</v>
      </c>
      <c r="AB125" s="106">
        <v>0</v>
      </c>
      <c r="AC125" s="106">
        <v>0</v>
      </c>
      <c r="AD125" s="106">
        <v>0</v>
      </c>
      <c r="AE125" s="106">
        <v>0</v>
      </c>
      <c r="AF125" s="106">
        <v>0</v>
      </c>
      <c r="AG125" s="106">
        <v>0</v>
      </c>
      <c r="AH125" s="106">
        <v>0</v>
      </c>
      <c r="AI125" s="106">
        <v>0</v>
      </c>
      <c r="AJ125" s="106">
        <v>0</v>
      </c>
      <c r="AK125" s="106">
        <v>0</v>
      </c>
      <c r="AL125" s="106">
        <v>0</v>
      </c>
      <c r="AM125" s="106">
        <v>0</v>
      </c>
      <c r="AN125" s="106">
        <v>0</v>
      </c>
      <c r="AO125" s="106">
        <v>0</v>
      </c>
      <c r="AP125" s="106">
        <v>0</v>
      </c>
      <c r="AQ125" s="106">
        <v>0</v>
      </c>
      <c r="AR125" s="106">
        <v>0</v>
      </c>
      <c r="AS125" s="106">
        <v>0</v>
      </c>
      <c r="AT125" s="106">
        <v>0</v>
      </c>
      <c r="AU125" s="106">
        <v>0</v>
      </c>
      <c r="AV125" s="106">
        <v>0</v>
      </c>
      <c r="AW125" s="106">
        <v>0</v>
      </c>
      <c r="AX125" s="106">
        <v>0</v>
      </c>
    </row>
    <row r="126" spans="1:50" x14ac:dyDescent="0.2">
      <c r="B126" s="111" t="s">
        <v>66</v>
      </c>
      <c r="C126" s="106">
        <v>0</v>
      </c>
      <c r="D126" s="106">
        <v>0</v>
      </c>
      <c r="E126" s="106">
        <v>0</v>
      </c>
      <c r="F126" s="106">
        <v>0</v>
      </c>
      <c r="G126" s="106">
        <v>0</v>
      </c>
      <c r="H126" s="106">
        <v>0</v>
      </c>
      <c r="I126" s="106">
        <v>0</v>
      </c>
      <c r="J126" s="106">
        <v>0</v>
      </c>
      <c r="K126" s="106">
        <v>0</v>
      </c>
      <c r="L126" s="106">
        <v>0</v>
      </c>
      <c r="M126" s="106">
        <v>0</v>
      </c>
      <c r="N126" s="106">
        <v>0</v>
      </c>
      <c r="O126" s="106">
        <v>0</v>
      </c>
      <c r="P126" s="106">
        <v>0</v>
      </c>
      <c r="Q126" s="106">
        <v>0</v>
      </c>
      <c r="R126" s="106">
        <v>0</v>
      </c>
      <c r="S126" s="106">
        <v>0</v>
      </c>
      <c r="T126" s="106">
        <v>0</v>
      </c>
      <c r="U126" s="106">
        <v>0</v>
      </c>
      <c r="V126" s="106">
        <v>0</v>
      </c>
      <c r="W126" s="106">
        <v>0</v>
      </c>
      <c r="X126" s="106">
        <v>0</v>
      </c>
      <c r="Y126" s="106">
        <v>0</v>
      </c>
      <c r="Z126" s="106">
        <v>0</v>
      </c>
      <c r="AA126" s="106">
        <v>0</v>
      </c>
      <c r="AB126" s="106">
        <v>0</v>
      </c>
      <c r="AC126" s="106">
        <v>0</v>
      </c>
      <c r="AD126" s="106">
        <v>0</v>
      </c>
      <c r="AE126" s="106">
        <v>0</v>
      </c>
      <c r="AF126" s="106">
        <v>0</v>
      </c>
      <c r="AG126" s="106">
        <v>0</v>
      </c>
      <c r="AH126" s="106">
        <v>0</v>
      </c>
      <c r="AI126" s="106">
        <v>0</v>
      </c>
      <c r="AJ126" s="106">
        <v>0</v>
      </c>
      <c r="AK126" s="106">
        <v>0</v>
      </c>
      <c r="AL126" s="106">
        <v>0</v>
      </c>
      <c r="AM126" s="106">
        <v>0</v>
      </c>
      <c r="AN126" s="106">
        <v>0</v>
      </c>
      <c r="AO126" s="106">
        <v>0</v>
      </c>
      <c r="AP126" s="106">
        <v>0</v>
      </c>
      <c r="AQ126" s="106">
        <v>0</v>
      </c>
      <c r="AR126" s="106">
        <v>0</v>
      </c>
      <c r="AS126" s="106">
        <v>0</v>
      </c>
      <c r="AT126" s="106">
        <v>0</v>
      </c>
      <c r="AU126" s="106">
        <v>0</v>
      </c>
      <c r="AV126" s="106">
        <v>0</v>
      </c>
      <c r="AW126" s="106">
        <v>0</v>
      </c>
      <c r="AX126" s="106">
        <v>0</v>
      </c>
    </row>
    <row r="127" spans="1:50" x14ac:dyDescent="0.2">
      <c r="B127" s="106" t="s">
        <v>278</v>
      </c>
      <c r="C127" s="111">
        <f>SUM(C$123:C$126)</f>
        <v>0</v>
      </c>
      <c r="D127" s="111">
        <f t="shared" ref="D127:AX127" si="10">SUM(D$123:D$126)</f>
        <v>0</v>
      </c>
      <c r="E127" s="111">
        <f t="shared" si="10"/>
        <v>0</v>
      </c>
      <c r="F127" s="111">
        <f t="shared" si="10"/>
        <v>0</v>
      </c>
      <c r="G127" s="111">
        <f t="shared" si="10"/>
        <v>0</v>
      </c>
      <c r="H127" s="111">
        <f t="shared" si="10"/>
        <v>0</v>
      </c>
      <c r="I127" s="111">
        <f t="shared" si="10"/>
        <v>0</v>
      </c>
      <c r="J127" s="111">
        <f t="shared" si="10"/>
        <v>0</v>
      </c>
      <c r="K127" s="111">
        <f t="shared" si="10"/>
        <v>0</v>
      </c>
      <c r="L127" s="111">
        <f t="shared" si="10"/>
        <v>0</v>
      </c>
      <c r="M127" s="111">
        <f t="shared" si="10"/>
        <v>0</v>
      </c>
      <c r="N127" s="111">
        <f t="shared" si="10"/>
        <v>0</v>
      </c>
      <c r="O127" s="111">
        <f t="shared" si="10"/>
        <v>0</v>
      </c>
      <c r="P127" s="111">
        <f t="shared" si="10"/>
        <v>0</v>
      </c>
      <c r="Q127" s="111">
        <f t="shared" si="10"/>
        <v>0</v>
      </c>
      <c r="R127" s="111">
        <f t="shared" si="10"/>
        <v>0</v>
      </c>
      <c r="S127" s="111">
        <f t="shared" si="10"/>
        <v>0</v>
      </c>
      <c r="T127" s="111">
        <f t="shared" si="10"/>
        <v>0</v>
      </c>
      <c r="U127" s="111">
        <f t="shared" si="10"/>
        <v>0</v>
      </c>
      <c r="V127" s="111">
        <f t="shared" si="10"/>
        <v>0</v>
      </c>
      <c r="W127" s="111">
        <f t="shared" si="10"/>
        <v>0</v>
      </c>
      <c r="X127" s="111">
        <f t="shared" si="10"/>
        <v>0</v>
      </c>
      <c r="Y127" s="111">
        <f t="shared" si="10"/>
        <v>0</v>
      </c>
      <c r="Z127" s="111">
        <f t="shared" si="10"/>
        <v>0</v>
      </c>
      <c r="AA127" s="111">
        <f t="shared" si="10"/>
        <v>0</v>
      </c>
      <c r="AB127" s="111">
        <f t="shared" si="10"/>
        <v>0</v>
      </c>
      <c r="AC127" s="111">
        <f t="shared" si="10"/>
        <v>0</v>
      </c>
      <c r="AD127" s="111">
        <f t="shared" si="10"/>
        <v>0</v>
      </c>
      <c r="AE127" s="111">
        <f t="shared" si="10"/>
        <v>0</v>
      </c>
      <c r="AF127" s="111">
        <f t="shared" si="10"/>
        <v>0</v>
      </c>
      <c r="AG127" s="111">
        <f t="shared" si="10"/>
        <v>0</v>
      </c>
      <c r="AH127" s="111">
        <f t="shared" si="10"/>
        <v>0</v>
      </c>
      <c r="AI127" s="111">
        <f t="shared" si="10"/>
        <v>0</v>
      </c>
      <c r="AJ127" s="111">
        <f t="shared" si="10"/>
        <v>0</v>
      </c>
      <c r="AK127" s="111">
        <f t="shared" si="10"/>
        <v>0</v>
      </c>
      <c r="AL127" s="111">
        <f t="shared" si="10"/>
        <v>0</v>
      </c>
      <c r="AM127" s="111">
        <f t="shared" si="10"/>
        <v>0</v>
      </c>
      <c r="AN127" s="111">
        <f t="shared" si="10"/>
        <v>0</v>
      </c>
      <c r="AO127" s="111">
        <f t="shared" si="10"/>
        <v>0</v>
      </c>
      <c r="AP127" s="111">
        <f t="shared" si="10"/>
        <v>0</v>
      </c>
      <c r="AQ127" s="111">
        <f t="shared" si="10"/>
        <v>0</v>
      </c>
      <c r="AR127" s="111">
        <f t="shared" si="10"/>
        <v>0</v>
      </c>
      <c r="AS127" s="111">
        <f t="shared" si="10"/>
        <v>0</v>
      </c>
      <c r="AT127" s="111">
        <f t="shared" si="10"/>
        <v>0</v>
      </c>
      <c r="AU127" s="111">
        <f t="shared" si="10"/>
        <v>0</v>
      </c>
      <c r="AV127" s="111">
        <f t="shared" si="10"/>
        <v>0</v>
      </c>
      <c r="AW127" s="111">
        <f t="shared" si="10"/>
        <v>0</v>
      </c>
      <c r="AX127" s="111">
        <f t="shared" si="10"/>
        <v>0</v>
      </c>
    </row>
  </sheetData>
  <pageMargins left="0.75" right="0.75" top="1" bottom="1" header="0.5" footer="0.5"/>
  <pageSetup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65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defaultRowHeight="12.75" x14ac:dyDescent="0.2"/>
  <cols>
    <col min="1" max="1" width="14.7109375" style="106" customWidth="1"/>
    <col min="2" max="2" width="17.7109375" style="106" customWidth="1"/>
    <col min="3" max="51" width="9.140625" style="106"/>
    <col min="52" max="52" width="10.7109375" style="106" customWidth="1"/>
    <col min="53" max="16384" width="9.140625" style="106"/>
  </cols>
  <sheetData>
    <row r="1" spans="1:52" x14ac:dyDescent="0.2">
      <c r="A1" s="108" t="s">
        <v>118</v>
      </c>
    </row>
    <row r="2" spans="1:52" x14ac:dyDescent="0.2">
      <c r="A2" s="106" t="s">
        <v>303</v>
      </c>
      <c r="B2" s="113" t="s">
        <v>12</v>
      </c>
      <c r="E2" s="116"/>
    </row>
    <row r="3" spans="1:52" x14ac:dyDescent="0.2">
      <c r="A3" s="106" t="s">
        <v>286</v>
      </c>
      <c r="B3" s="113">
        <v>1748</v>
      </c>
      <c r="E3" s="116"/>
    </row>
    <row r="4" spans="1:52" x14ac:dyDescent="0.2">
      <c r="A4" s="108"/>
      <c r="C4" s="117" t="s">
        <v>287</v>
      </c>
    </row>
    <row r="5" spans="1:52" x14ac:dyDescent="0.2">
      <c r="B5" s="112"/>
      <c r="C5" s="118">
        <v>0</v>
      </c>
      <c r="D5" s="118">
        <v>1</v>
      </c>
      <c r="E5" s="118">
        <v>2</v>
      </c>
      <c r="F5" s="118">
        <v>3</v>
      </c>
      <c r="G5" s="118">
        <v>4</v>
      </c>
      <c r="H5" s="118">
        <v>5</v>
      </c>
      <c r="I5" s="118">
        <v>6</v>
      </c>
      <c r="J5" s="118">
        <v>7</v>
      </c>
      <c r="K5" s="118">
        <v>8</v>
      </c>
      <c r="L5" s="118">
        <v>9</v>
      </c>
      <c r="M5" s="118">
        <v>10</v>
      </c>
      <c r="N5" s="118">
        <v>11</v>
      </c>
      <c r="O5" s="118">
        <v>12</v>
      </c>
      <c r="P5" s="118">
        <v>13</v>
      </c>
      <c r="Q5" s="118">
        <v>14</v>
      </c>
      <c r="R5" s="118">
        <v>15</v>
      </c>
      <c r="S5" s="118">
        <v>16</v>
      </c>
      <c r="T5" s="118">
        <v>17</v>
      </c>
      <c r="U5" s="118">
        <v>18</v>
      </c>
      <c r="V5" s="118">
        <v>19</v>
      </c>
      <c r="W5" s="118">
        <v>20</v>
      </c>
      <c r="X5" s="118">
        <v>21</v>
      </c>
      <c r="Y5" s="118">
        <v>22</v>
      </c>
      <c r="Z5" s="118">
        <v>23</v>
      </c>
      <c r="AA5" s="118">
        <v>24</v>
      </c>
      <c r="AB5" s="118">
        <v>25</v>
      </c>
      <c r="AC5" s="118">
        <v>26</v>
      </c>
      <c r="AD5" s="118">
        <v>27</v>
      </c>
      <c r="AE5" s="118">
        <v>28</v>
      </c>
      <c r="AF5" s="118">
        <v>29</v>
      </c>
      <c r="AG5" s="118">
        <v>30</v>
      </c>
      <c r="AH5" s="118">
        <v>31</v>
      </c>
      <c r="AI5" s="118">
        <v>32</v>
      </c>
      <c r="AJ5" s="118">
        <v>33</v>
      </c>
      <c r="AK5" s="118">
        <v>34</v>
      </c>
      <c r="AL5" s="118">
        <v>35</v>
      </c>
      <c r="AM5" s="118">
        <v>36</v>
      </c>
      <c r="AN5" s="118">
        <v>37</v>
      </c>
      <c r="AO5" s="118">
        <v>38</v>
      </c>
      <c r="AP5" s="118">
        <v>39</v>
      </c>
      <c r="AQ5" s="118">
        <v>40</v>
      </c>
      <c r="AR5" s="118">
        <v>41</v>
      </c>
      <c r="AS5" s="118">
        <v>42</v>
      </c>
      <c r="AT5" s="118">
        <v>43</v>
      </c>
      <c r="AU5" s="118">
        <v>44</v>
      </c>
      <c r="AV5" s="118">
        <v>45</v>
      </c>
      <c r="AW5" s="118">
        <v>46</v>
      </c>
      <c r="AX5" s="118">
        <v>47</v>
      </c>
      <c r="AY5" s="118">
        <v>48</v>
      </c>
    </row>
    <row r="6" spans="1:52" x14ac:dyDescent="0.2">
      <c r="A6" s="108" t="s">
        <v>304</v>
      </c>
      <c r="B6" s="120"/>
      <c r="C6" s="119" t="s">
        <v>288</v>
      </c>
      <c r="D6" s="118" t="s">
        <v>289</v>
      </c>
      <c r="E6" s="118" t="s">
        <v>289</v>
      </c>
      <c r="F6" s="118" t="s">
        <v>289</v>
      </c>
      <c r="G6" s="118" t="s">
        <v>289</v>
      </c>
      <c r="H6" s="118" t="s">
        <v>289</v>
      </c>
      <c r="I6" s="118" t="s">
        <v>289</v>
      </c>
      <c r="J6" s="118" t="s">
        <v>289</v>
      </c>
      <c r="K6" s="118" t="s">
        <v>289</v>
      </c>
      <c r="L6" s="118" t="s">
        <v>289</v>
      </c>
      <c r="M6" s="118" t="s">
        <v>289</v>
      </c>
      <c r="N6" s="118" t="s">
        <v>289</v>
      </c>
      <c r="O6" s="118" t="s">
        <v>289</v>
      </c>
      <c r="P6" s="118" t="s">
        <v>289</v>
      </c>
      <c r="Q6" s="118" t="s">
        <v>289</v>
      </c>
      <c r="R6" s="118" t="s">
        <v>289</v>
      </c>
      <c r="S6" s="118" t="s">
        <v>289</v>
      </c>
      <c r="T6" s="118" t="s">
        <v>289</v>
      </c>
      <c r="U6" s="118" t="s">
        <v>289</v>
      </c>
      <c r="V6" s="118" t="s">
        <v>289</v>
      </c>
      <c r="W6" s="118" t="s">
        <v>289</v>
      </c>
      <c r="X6" s="118" t="s">
        <v>289</v>
      </c>
      <c r="Y6" s="118" t="s">
        <v>289</v>
      </c>
      <c r="Z6" s="118" t="s">
        <v>289</v>
      </c>
      <c r="AA6" s="118" t="s">
        <v>289</v>
      </c>
      <c r="AB6" s="118" t="s">
        <v>289</v>
      </c>
      <c r="AC6" s="118" t="s">
        <v>289</v>
      </c>
      <c r="AD6" s="118" t="s">
        <v>289</v>
      </c>
      <c r="AE6" s="118" t="s">
        <v>289</v>
      </c>
      <c r="AF6" s="118" t="s">
        <v>289</v>
      </c>
      <c r="AG6" s="118" t="s">
        <v>289</v>
      </c>
      <c r="AH6" s="118" t="s">
        <v>289</v>
      </c>
      <c r="AI6" s="118" t="s">
        <v>289</v>
      </c>
      <c r="AJ6" s="118" t="s">
        <v>289</v>
      </c>
      <c r="AK6" s="118" t="s">
        <v>289</v>
      </c>
      <c r="AL6" s="118" t="s">
        <v>289</v>
      </c>
      <c r="AM6" s="118" t="s">
        <v>289</v>
      </c>
      <c r="AN6" s="118" t="s">
        <v>289</v>
      </c>
      <c r="AO6" s="118" t="s">
        <v>289</v>
      </c>
      <c r="AP6" s="118" t="s">
        <v>289</v>
      </c>
      <c r="AQ6" s="118" t="s">
        <v>289</v>
      </c>
      <c r="AR6" s="118" t="s">
        <v>289</v>
      </c>
      <c r="AS6" s="118" t="s">
        <v>289</v>
      </c>
      <c r="AT6" s="118" t="s">
        <v>289</v>
      </c>
      <c r="AU6" s="118" t="s">
        <v>289</v>
      </c>
      <c r="AV6" s="118" t="s">
        <v>289</v>
      </c>
      <c r="AW6" s="118" t="s">
        <v>289</v>
      </c>
      <c r="AX6" s="118" t="s">
        <v>289</v>
      </c>
      <c r="AY6" s="117" t="s">
        <v>290</v>
      </c>
      <c r="AZ6" s="148" t="s">
        <v>150</v>
      </c>
    </row>
    <row r="7" spans="1:52" x14ac:dyDescent="0.2">
      <c r="A7" s="121" t="s">
        <v>125</v>
      </c>
      <c r="B7" s="149">
        <v>1</v>
      </c>
      <c r="C7" s="150" t="s">
        <v>293</v>
      </c>
      <c r="D7" s="150">
        <v>1340.5467668370336</v>
      </c>
      <c r="E7" s="150">
        <v>1340.5467668370336</v>
      </c>
      <c r="F7" s="150">
        <v>1340.5467668370336</v>
      </c>
      <c r="G7" s="150">
        <v>1340.5467668370336</v>
      </c>
      <c r="H7" s="150">
        <v>1749.7961408129217</v>
      </c>
      <c r="I7" s="150">
        <v>1749.7961408129217</v>
      </c>
      <c r="J7" s="150">
        <v>1749.7961408129217</v>
      </c>
      <c r="K7" s="150">
        <v>1749.7961408129217</v>
      </c>
      <c r="L7" s="150">
        <v>1559.1326482857135</v>
      </c>
      <c r="M7" s="150">
        <v>1559.1326482857135</v>
      </c>
      <c r="N7" s="150">
        <v>1559.1326482857135</v>
      </c>
      <c r="O7" s="150">
        <v>1559.1326482857135</v>
      </c>
      <c r="P7" s="150">
        <v>1498.6623816945848</v>
      </c>
      <c r="Q7" s="150">
        <v>1498.6623816945848</v>
      </c>
      <c r="R7" s="150">
        <v>1498.6623816945848</v>
      </c>
      <c r="S7" s="150">
        <v>1498.6623816945848</v>
      </c>
      <c r="T7" s="150">
        <v>481.61993272616456</v>
      </c>
      <c r="U7" s="150">
        <v>481.61993272616456</v>
      </c>
      <c r="V7" s="150">
        <v>481.61993272616456</v>
      </c>
      <c r="W7" s="150">
        <v>481.61993272616456</v>
      </c>
      <c r="X7" s="150">
        <v>1145.0995768957341</v>
      </c>
      <c r="Y7" s="150">
        <v>1145.0995768957341</v>
      </c>
      <c r="Z7" s="150">
        <v>1145.0995768957341</v>
      </c>
      <c r="AA7" s="150">
        <v>1145.0995768957341</v>
      </c>
      <c r="AB7" s="150">
        <v>1105.1816462827853</v>
      </c>
      <c r="AC7" s="150">
        <v>1105.1816462827853</v>
      </c>
      <c r="AD7" s="150">
        <v>1105.1816462827853</v>
      </c>
      <c r="AE7" s="150">
        <v>1105.1816462827853</v>
      </c>
      <c r="AF7" s="150">
        <v>1409.3728424077028</v>
      </c>
      <c r="AG7" s="150">
        <v>1409.3728424077028</v>
      </c>
      <c r="AH7" s="150">
        <v>1409.3728424077028</v>
      </c>
      <c r="AI7" s="150">
        <v>1409.3728424077028</v>
      </c>
      <c r="AJ7" s="150">
        <v>1412.5725711045754</v>
      </c>
      <c r="AK7" s="150">
        <v>1412.5725711045754</v>
      </c>
      <c r="AL7" s="150">
        <v>1412.5725711045754</v>
      </c>
      <c r="AM7" s="150">
        <v>1412.5725711045754</v>
      </c>
      <c r="AN7" s="150">
        <v>1289.5695143654495</v>
      </c>
      <c r="AO7" s="150">
        <v>1289.5695143654495</v>
      </c>
      <c r="AP7" s="150">
        <v>1289.5695143654495</v>
      </c>
      <c r="AQ7" s="150">
        <v>1289.5695143654495</v>
      </c>
      <c r="AR7" s="150">
        <v>1488.905461765142</v>
      </c>
      <c r="AS7" s="150">
        <v>1488.905461765142</v>
      </c>
      <c r="AT7" s="150">
        <v>1488.905461765142</v>
      </c>
      <c r="AU7" s="150">
        <v>1488.905461765142</v>
      </c>
      <c r="AV7" s="150">
        <v>925.66889430881815</v>
      </c>
      <c r="AW7" s="150">
        <v>925.66889430881815</v>
      </c>
      <c r="AX7" s="150">
        <v>925.66889430881815</v>
      </c>
      <c r="AY7" s="150">
        <v>925.66889430881815</v>
      </c>
      <c r="AZ7" s="112"/>
    </row>
    <row r="8" spans="1:52" x14ac:dyDescent="0.2">
      <c r="A8" s="151"/>
      <c r="B8" s="152"/>
      <c r="C8" s="151"/>
      <c r="D8" s="151"/>
      <c r="E8" s="151"/>
      <c r="F8" s="151"/>
      <c r="G8" s="151"/>
      <c r="H8" s="151"/>
      <c r="I8" s="151"/>
      <c r="J8" s="151"/>
      <c r="K8" s="151"/>
      <c r="L8" s="151"/>
      <c r="M8" s="151"/>
      <c r="N8" s="151"/>
      <c r="O8" s="151"/>
      <c r="P8" s="151"/>
      <c r="Q8" s="151"/>
      <c r="R8" s="151"/>
      <c r="S8" s="151"/>
      <c r="T8" s="151"/>
      <c r="U8" s="151"/>
      <c r="V8" s="151"/>
      <c r="W8" s="151"/>
      <c r="X8" s="151"/>
      <c r="Y8" s="151"/>
      <c r="Z8" s="151"/>
      <c r="AA8" s="151"/>
      <c r="AB8" s="151"/>
      <c r="AC8" s="151"/>
      <c r="AD8" s="151"/>
      <c r="AE8" s="151"/>
      <c r="AF8" s="151"/>
      <c r="AG8" s="151"/>
      <c r="AH8" s="151"/>
      <c r="AI8" s="151"/>
      <c r="AJ8" s="151"/>
      <c r="AK8" s="151"/>
      <c r="AL8" s="151"/>
      <c r="AM8" s="151"/>
      <c r="AN8" s="151"/>
      <c r="AO8" s="151"/>
      <c r="AP8" s="151"/>
      <c r="AQ8" s="151"/>
      <c r="AR8" s="151"/>
      <c r="AS8" s="151"/>
      <c r="AT8" s="151"/>
      <c r="AU8" s="151"/>
      <c r="AV8" s="151"/>
      <c r="AW8" s="151"/>
      <c r="AX8" s="151"/>
      <c r="AY8" s="151"/>
      <c r="AZ8" s="153"/>
    </row>
    <row r="9" spans="1:52" x14ac:dyDescent="0.2">
      <c r="A9" s="108" t="s">
        <v>294</v>
      </c>
      <c r="B9" s="154"/>
      <c r="C9" s="112"/>
      <c r="D9" s="112"/>
      <c r="E9" s="112"/>
      <c r="F9" s="112"/>
      <c r="G9" s="112"/>
      <c r="H9" s="112"/>
      <c r="I9" s="112"/>
      <c r="J9" s="112"/>
      <c r="K9" s="112"/>
      <c r="L9" s="112"/>
      <c r="M9" s="112"/>
      <c r="N9" s="112"/>
      <c r="O9" s="112"/>
      <c r="P9" s="112"/>
      <c r="Q9" s="112"/>
      <c r="R9" s="112"/>
      <c r="S9" s="112"/>
      <c r="T9" s="112"/>
      <c r="U9" s="112"/>
      <c r="V9" s="112"/>
      <c r="W9" s="112"/>
      <c r="X9" s="112"/>
      <c r="Y9" s="112"/>
      <c r="Z9" s="112"/>
      <c r="AA9" s="112"/>
      <c r="AB9" s="112"/>
      <c r="AC9" s="112"/>
      <c r="AD9" s="112"/>
      <c r="AE9" s="112"/>
      <c r="AF9" s="112"/>
      <c r="AG9" s="112"/>
      <c r="AH9" s="112"/>
      <c r="AI9" s="112"/>
      <c r="AJ9" s="112"/>
      <c r="AK9" s="112"/>
      <c r="AL9" s="112"/>
      <c r="AM9" s="112"/>
      <c r="AN9" s="112"/>
      <c r="AO9" s="112"/>
      <c r="AP9" s="112"/>
      <c r="AQ9" s="112"/>
      <c r="AR9" s="112"/>
      <c r="AS9" s="112"/>
      <c r="AT9" s="112"/>
      <c r="AU9" s="112"/>
      <c r="AV9" s="112"/>
      <c r="AW9" s="112"/>
      <c r="AX9" s="112"/>
      <c r="AY9" s="112"/>
      <c r="AZ9" s="112"/>
    </row>
    <row r="10" spans="1:52" x14ac:dyDescent="0.2">
      <c r="A10" s="155" t="s">
        <v>125</v>
      </c>
      <c r="B10" s="156">
        <v>1</v>
      </c>
      <c r="C10" s="150" t="s">
        <v>293</v>
      </c>
      <c r="D10" s="150">
        <f t="shared" ref="D10:AY10" si="0">MAX(SUM(D$14:D$16)+D$7-$B$3,0)</f>
        <v>0</v>
      </c>
      <c r="E10" s="150">
        <f t="shared" si="0"/>
        <v>0</v>
      </c>
      <c r="F10" s="150">
        <f t="shared" si="0"/>
        <v>0</v>
      </c>
      <c r="G10" s="150">
        <f t="shared" si="0"/>
        <v>0</v>
      </c>
      <c r="H10" s="150">
        <f t="shared" si="0"/>
        <v>1.7961408129217489</v>
      </c>
      <c r="I10" s="150">
        <f t="shared" si="0"/>
        <v>1.7961408129217489</v>
      </c>
      <c r="J10" s="150">
        <f t="shared" si="0"/>
        <v>1.7961408129217489</v>
      </c>
      <c r="K10" s="150">
        <f t="shared" si="0"/>
        <v>1.7961408129217489</v>
      </c>
      <c r="L10" s="150">
        <f t="shared" si="0"/>
        <v>0</v>
      </c>
      <c r="M10" s="150">
        <f t="shared" si="0"/>
        <v>1370.2652965714269</v>
      </c>
      <c r="N10" s="150">
        <f t="shared" si="0"/>
        <v>0</v>
      </c>
      <c r="O10" s="150">
        <f t="shared" si="0"/>
        <v>0</v>
      </c>
      <c r="P10" s="150">
        <f t="shared" si="0"/>
        <v>0</v>
      </c>
      <c r="Q10" s="150">
        <f t="shared" si="0"/>
        <v>0</v>
      </c>
      <c r="R10" s="150">
        <f t="shared" si="0"/>
        <v>0</v>
      </c>
      <c r="S10" s="150">
        <f t="shared" si="0"/>
        <v>0</v>
      </c>
      <c r="T10" s="150">
        <f t="shared" si="0"/>
        <v>0</v>
      </c>
      <c r="U10" s="150">
        <f t="shared" si="0"/>
        <v>0</v>
      </c>
      <c r="V10" s="150">
        <f t="shared" si="0"/>
        <v>0</v>
      </c>
      <c r="W10" s="150">
        <f t="shared" si="0"/>
        <v>0</v>
      </c>
      <c r="X10" s="150">
        <f t="shared" si="0"/>
        <v>0</v>
      </c>
      <c r="Y10" s="150">
        <f t="shared" si="0"/>
        <v>542.19915379146823</v>
      </c>
      <c r="Z10" s="150">
        <f t="shared" si="0"/>
        <v>0</v>
      </c>
      <c r="AA10" s="150">
        <f t="shared" si="0"/>
        <v>0</v>
      </c>
      <c r="AB10" s="150">
        <f t="shared" si="0"/>
        <v>0</v>
      </c>
      <c r="AC10" s="150">
        <f t="shared" si="0"/>
        <v>0</v>
      </c>
      <c r="AD10" s="150">
        <f t="shared" si="0"/>
        <v>0</v>
      </c>
      <c r="AE10" s="150">
        <f t="shared" si="0"/>
        <v>0</v>
      </c>
      <c r="AF10" s="150">
        <f t="shared" si="0"/>
        <v>0</v>
      </c>
      <c r="AG10" s="150">
        <f t="shared" si="0"/>
        <v>0</v>
      </c>
      <c r="AH10" s="150">
        <f t="shared" si="0"/>
        <v>0</v>
      </c>
      <c r="AI10" s="150">
        <f t="shared" si="0"/>
        <v>0</v>
      </c>
      <c r="AJ10" s="150">
        <f t="shared" si="0"/>
        <v>0</v>
      </c>
      <c r="AK10" s="150">
        <f t="shared" si="0"/>
        <v>0</v>
      </c>
      <c r="AL10" s="150">
        <f t="shared" si="0"/>
        <v>0</v>
      </c>
      <c r="AM10" s="150">
        <f t="shared" si="0"/>
        <v>0</v>
      </c>
      <c r="AN10" s="150">
        <f t="shared" si="0"/>
        <v>0</v>
      </c>
      <c r="AO10" s="150">
        <f t="shared" si="0"/>
        <v>0</v>
      </c>
      <c r="AP10" s="150">
        <f t="shared" si="0"/>
        <v>0</v>
      </c>
      <c r="AQ10" s="150">
        <f t="shared" si="0"/>
        <v>0</v>
      </c>
      <c r="AR10" s="150">
        <f t="shared" si="0"/>
        <v>0</v>
      </c>
      <c r="AS10" s="150">
        <f t="shared" si="0"/>
        <v>0</v>
      </c>
      <c r="AT10" s="150">
        <f t="shared" si="0"/>
        <v>0</v>
      </c>
      <c r="AU10" s="150">
        <f t="shared" si="0"/>
        <v>0</v>
      </c>
      <c r="AV10" s="150">
        <f t="shared" si="0"/>
        <v>0</v>
      </c>
      <c r="AW10" s="150">
        <f t="shared" si="0"/>
        <v>0</v>
      </c>
      <c r="AX10" s="150">
        <f t="shared" si="0"/>
        <v>0</v>
      </c>
      <c r="AY10" s="150">
        <f t="shared" si="0"/>
        <v>0</v>
      </c>
      <c r="AZ10" s="157">
        <f>SUM($D10:$AY10)</f>
        <v>1919.6490136145821</v>
      </c>
    </row>
    <row r="11" spans="1:52" x14ac:dyDescent="0.2">
      <c r="C11" s="116"/>
    </row>
    <row r="12" spans="1:52" x14ac:dyDescent="0.2">
      <c r="A12" s="158" t="s">
        <v>295</v>
      </c>
      <c r="B12" s="152"/>
      <c r="C12" s="116"/>
    </row>
    <row r="13" spans="1:52" x14ac:dyDescent="0.2">
      <c r="A13" s="128" t="s">
        <v>125</v>
      </c>
      <c r="B13" s="129">
        <v>1</v>
      </c>
      <c r="C13" s="130">
        <v>1748</v>
      </c>
      <c r="D13" s="144">
        <f t="shared" ref="D13:AY13" si="1">D$7-D$10</f>
        <v>1340.5467668370336</v>
      </c>
      <c r="E13" s="144">
        <f t="shared" si="1"/>
        <v>1340.5467668370336</v>
      </c>
      <c r="F13" s="144">
        <f t="shared" si="1"/>
        <v>1340.5467668370336</v>
      </c>
      <c r="G13" s="144">
        <f t="shared" si="1"/>
        <v>1340.5467668370336</v>
      </c>
      <c r="H13" s="144">
        <f t="shared" si="1"/>
        <v>1748</v>
      </c>
      <c r="I13" s="144">
        <f t="shared" si="1"/>
        <v>1748</v>
      </c>
      <c r="J13" s="144">
        <f t="shared" si="1"/>
        <v>1748</v>
      </c>
      <c r="K13" s="144">
        <f t="shared" si="1"/>
        <v>1748</v>
      </c>
      <c r="L13" s="144">
        <f t="shared" si="1"/>
        <v>1559.1326482857135</v>
      </c>
      <c r="M13" s="144">
        <f t="shared" si="1"/>
        <v>188.86735171428654</v>
      </c>
      <c r="N13" s="144">
        <f t="shared" si="1"/>
        <v>1559.1326482857135</v>
      </c>
      <c r="O13" s="144">
        <f t="shared" si="1"/>
        <v>1559.1326482857135</v>
      </c>
      <c r="P13" s="144">
        <f t="shared" si="1"/>
        <v>1498.6623816945848</v>
      </c>
      <c r="Q13" s="144">
        <f t="shared" si="1"/>
        <v>1498.6623816945848</v>
      </c>
      <c r="R13" s="144">
        <f t="shared" si="1"/>
        <v>1498.6623816945848</v>
      </c>
      <c r="S13" s="144">
        <f t="shared" si="1"/>
        <v>1498.6623816945848</v>
      </c>
      <c r="T13" s="144">
        <f t="shared" si="1"/>
        <v>481.61993272616456</v>
      </c>
      <c r="U13" s="144">
        <f t="shared" si="1"/>
        <v>481.61993272616456</v>
      </c>
      <c r="V13" s="144">
        <f t="shared" si="1"/>
        <v>481.61993272616456</v>
      </c>
      <c r="W13" s="144">
        <f t="shared" si="1"/>
        <v>481.61993272616456</v>
      </c>
      <c r="X13" s="144">
        <f t="shared" si="1"/>
        <v>1145.0995768957341</v>
      </c>
      <c r="Y13" s="144">
        <f t="shared" si="1"/>
        <v>602.90042310426588</v>
      </c>
      <c r="Z13" s="144">
        <f t="shared" si="1"/>
        <v>1145.0995768957341</v>
      </c>
      <c r="AA13" s="144">
        <f t="shared" si="1"/>
        <v>1145.0995768957341</v>
      </c>
      <c r="AB13" s="144">
        <f t="shared" si="1"/>
        <v>1105.1816462827853</v>
      </c>
      <c r="AC13" s="144">
        <f t="shared" si="1"/>
        <v>1105.1816462827853</v>
      </c>
      <c r="AD13" s="144">
        <f t="shared" si="1"/>
        <v>1105.1816462827853</v>
      </c>
      <c r="AE13" s="144">
        <f t="shared" si="1"/>
        <v>1105.1816462827853</v>
      </c>
      <c r="AF13" s="144">
        <f t="shared" si="1"/>
        <v>1409.3728424077028</v>
      </c>
      <c r="AG13" s="144">
        <f t="shared" si="1"/>
        <v>1409.3728424077028</v>
      </c>
      <c r="AH13" s="144">
        <f t="shared" si="1"/>
        <v>1409.3728424077028</v>
      </c>
      <c r="AI13" s="144">
        <f t="shared" si="1"/>
        <v>1409.3728424077028</v>
      </c>
      <c r="AJ13" s="144">
        <f t="shared" si="1"/>
        <v>1412.5725711045754</v>
      </c>
      <c r="AK13" s="144">
        <f t="shared" si="1"/>
        <v>1412.5725711045754</v>
      </c>
      <c r="AL13" s="144">
        <f t="shared" si="1"/>
        <v>1412.5725711045754</v>
      </c>
      <c r="AM13" s="144">
        <f t="shared" si="1"/>
        <v>1412.5725711045754</v>
      </c>
      <c r="AN13" s="144">
        <f t="shared" si="1"/>
        <v>1289.5695143654495</v>
      </c>
      <c r="AO13" s="144">
        <f t="shared" si="1"/>
        <v>1289.5695143654495</v>
      </c>
      <c r="AP13" s="144">
        <f t="shared" si="1"/>
        <v>1289.5695143654495</v>
      </c>
      <c r="AQ13" s="144">
        <f t="shared" si="1"/>
        <v>1289.5695143654495</v>
      </c>
      <c r="AR13" s="144">
        <f t="shared" si="1"/>
        <v>1488.905461765142</v>
      </c>
      <c r="AS13" s="144">
        <f t="shared" si="1"/>
        <v>1488.905461765142</v>
      </c>
      <c r="AT13" s="144">
        <f t="shared" si="1"/>
        <v>1488.905461765142</v>
      </c>
      <c r="AU13" s="144">
        <f t="shared" si="1"/>
        <v>1488.905461765142</v>
      </c>
      <c r="AV13" s="144">
        <f t="shared" si="1"/>
        <v>925.66889430881815</v>
      </c>
      <c r="AW13" s="144">
        <f t="shared" si="1"/>
        <v>925.66889430881815</v>
      </c>
      <c r="AX13" s="144">
        <f t="shared" si="1"/>
        <v>925.66889430881815</v>
      </c>
      <c r="AY13" s="144">
        <f t="shared" si="1"/>
        <v>925.66889430881815</v>
      </c>
      <c r="AZ13" s="115"/>
    </row>
    <row r="14" spans="1:52" x14ac:dyDescent="0.2">
      <c r="A14" s="116"/>
      <c r="B14" s="126">
        <v>2</v>
      </c>
      <c r="C14" s="116">
        <v>0</v>
      </c>
      <c r="D14" s="112">
        <f>IF(C$20="Yes",C13,0)</f>
        <v>0</v>
      </c>
      <c r="E14" s="112">
        <f t="shared" ref="E14:AY17" si="2">IF(D$20="Yes",D13,0)</f>
        <v>0</v>
      </c>
      <c r="F14" s="112">
        <f t="shared" si="2"/>
        <v>0</v>
      </c>
      <c r="G14" s="112">
        <f t="shared" si="2"/>
        <v>0</v>
      </c>
      <c r="H14" s="112">
        <f t="shared" si="2"/>
        <v>0</v>
      </c>
      <c r="I14" s="112">
        <f t="shared" si="2"/>
        <v>0</v>
      </c>
      <c r="J14" s="112">
        <f t="shared" si="2"/>
        <v>0</v>
      </c>
      <c r="K14" s="112">
        <f t="shared" si="2"/>
        <v>0</v>
      </c>
      <c r="L14" s="112">
        <f t="shared" si="2"/>
        <v>0</v>
      </c>
      <c r="M14" s="112">
        <f t="shared" si="2"/>
        <v>1559.1326482857135</v>
      </c>
      <c r="N14" s="112">
        <f t="shared" si="2"/>
        <v>0</v>
      </c>
      <c r="O14" s="112">
        <f t="shared" si="2"/>
        <v>0</v>
      </c>
      <c r="P14" s="112">
        <f t="shared" si="2"/>
        <v>0</v>
      </c>
      <c r="Q14" s="112">
        <f t="shared" si="2"/>
        <v>0</v>
      </c>
      <c r="R14" s="112">
        <f t="shared" si="2"/>
        <v>0</v>
      </c>
      <c r="S14" s="112">
        <f t="shared" si="2"/>
        <v>0</v>
      </c>
      <c r="T14" s="112">
        <f t="shared" si="2"/>
        <v>0</v>
      </c>
      <c r="U14" s="112">
        <f t="shared" si="2"/>
        <v>0</v>
      </c>
      <c r="V14" s="112">
        <f t="shared" si="2"/>
        <v>0</v>
      </c>
      <c r="W14" s="112">
        <f t="shared" si="2"/>
        <v>0</v>
      </c>
      <c r="X14" s="112">
        <f t="shared" si="2"/>
        <v>0</v>
      </c>
      <c r="Y14" s="112">
        <f t="shared" si="2"/>
        <v>1145.0995768957341</v>
      </c>
      <c r="Z14" s="112">
        <f t="shared" si="2"/>
        <v>0</v>
      </c>
      <c r="AA14" s="112">
        <f t="shared" si="2"/>
        <v>0</v>
      </c>
      <c r="AB14" s="112">
        <f t="shared" si="2"/>
        <v>0</v>
      </c>
      <c r="AC14" s="112">
        <f t="shared" si="2"/>
        <v>0</v>
      </c>
      <c r="AD14" s="112">
        <f t="shared" si="2"/>
        <v>0</v>
      </c>
      <c r="AE14" s="112">
        <f t="shared" si="2"/>
        <v>0</v>
      </c>
      <c r="AF14" s="112">
        <f t="shared" si="2"/>
        <v>0</v>
      </c>
      <c r="AG14" s="112">
        <f t="shared" si="2"/>
        <v>0</v>
      </c>
      <c r="AH14" s="112">
        <f t="shared" si="2"/>
        <v>0</v>
      </c>
      <c r="AI14" s="112">
        <f t="shared" si="2"/>
        <v>0</v>
      </c>
      <c r="AJ14" s="112">
        <f t="shared" si="2"/>
        <v>0</v>
      </c>
      <c r="AK14" s="112">
        <f t="shared" si="2"/>
        <v>0</v>
      </c>
      <c r="AL14" s="112">
        <f t="shared" si="2"/>
        <v>0</v>
      </c>
      <c r="AM14" s="112">
        <f t="shared" si="2"/>
        <v>0</v>
      </c>
      <c r="AN14" s="112">
        <f t="shared" si="2"/>
        <v>0</v>
      </c>
      <c r="AO14" s="112">
        <f t="shared" si="2"/>
        <v>0</v>
      </c>
      <c r="AP14" s="112">
        <f t="shared" si="2"/>
        <v>0</v>
      </c>
      <c r="AQ14" s="112">
        <f t="shared" si="2"/>
        <v>0</v>
      </c>
      <c r="AR14" s="112">
        <f t="shared" si="2"/>
        <v>0</v>
      </c>
      <c r="AS14" s="112">
        <f t="shared" si="2"/>
        <v>0</v>
      </c>
      <c r="AT14" s="112">
        <f t="shared" si="2"/>
        <v>0</v>
      </c>
      <c r="AU14" s="112">
        <f t="shared" si="2"/>
        <v>0</v>
      </c>
      <c r="AV14" s="112">
        <f t="shared" si="2"/>
        <v>0</v>
      </c>
      <c r="AW14" s="112">
        <f t="shared" si="2"/>
        <v>0</v>
      </c>
      <c r="AX14" s="112">
        <f t="shared" si="2"/>
        <v>0</v>
      </c>
      <c r="AY14" s="112">
        <f t="shared" si="2"/>
        <v>0</v>
      </c>
      <c r="AZ14" s="115"/>
    </row>
    <row r="15" spans="1:52" x14ac:dyDescent="0.2">
      <c r="A15" s="116"/>
      <c r="B15" s="133">
        <v>3</v>
      </c>
      <c r="C15" s="116">
        <v>0</v>
      </c>
      <c r="D15" s="112">
        <f>IF(C$20="Yes",C14,0)</f>
        <v>0</v>
      </c>
      <c r="E15" s="112">
        <f t="shared" si="2"/>
        <v>0</v>
      </c>
      <c r="F15" s="112">
        <f t="shared" si="2"/>
        <v>0</v>
      </c>
      <c r="G15" s="112">
        <f t="shared" si="2"/>
        <v>0</v>
      </c>
      <c r="H15" s="112">
        <f t="shared" si="2"/>
        <v>0</v>
      </c>
      <c r="I15" s="112">
        <f t="shared" si="2"/>
        <v>0</v>
      </c>
      <c r="J15" s="112">
        <f t="shared" si="2"/>
        <v>0</v>
      </c>
      <c r="K15" s="112">
        <f t="shared" si="2"/>
        <v>0</v>
      </c>
      <c r="L15" s="112">
        <f t="shared" si="2"/>
        <v>0</v>
      </c>
      <c r="M15" s="112">
        <f t="shared" si="2"/>
        <v>0</v>
      </c>
      <c r="N15" s="112">
        <f t="shared" si="2"/>
        <v>0</v>
      </c>
      <c r="O15" s="112">
        <f t="shared" si="2"/>
        <v>0</v>
      </c>
      <c r="P15" s="112">
        <f t="shared" si="2"/>
        <v>0</v>
      </c>
      <c r="Q15" s="112">
        <f t="shared" si="2"/>
        <v>0</v>
      </c>
      <c r="R15" s="112">
        <f t="shared" si="2"/>
        <v>0</v>
      </c>
      <c r="S15" s="112">
        <f t="shared" si="2"/>
        <v>0</v>
      </c>
      <c r="T15" s="112">
        <f t="shared" si="2"/>
        <v>0</v>
      </c>
      <c r="U15" s="112">
        <f t="shared" si="2"/>
        <v>0</v>
      </c>
      <c r="V15" s="112">
        <f t="shared" si="2"/>
        <v>0</v>
      </c>
      <c r="W15" s="112">
        <f t="shared" si="2"/>
        <v>0</v>
      </c>
      <c r="X15" s="112">
        <f t="shared" si="2"/>
        <v>0</v>
      </c>
      <c r="Y15" s="112">
        <f t="shared" si="2"/>
        <v>0</v>
      </c>
      <c r="Z15" s="112">
        <f t="shared" si="2"/>
        <v>0</v>
      </c>
      <c r="AA15" s="112">
        <f t="shared" si="2"/>
        <v>0</v>
      </c>
      <c r="AB15" s="112">
        <f t="shared" si="2"/>
        <v>0</v>
      </c>
      <c r="AC15" s="112">
        <f t="shared" si="2"/>
        <v>0</v>
      </c>
      <c r="AD15" s="112">
        <f t="shared" si="2"/>
        <v>0</v>
      </c>
      <c r="AE15" s="112">
        <f t="shared" si="2"/>
        <v>0</v>
      </c>
      <c r="AF15" s="112">
        <f t="shared" si="2"/>
        <v>0</v>
      </c>
      <c r="AG15" s="112">
        <f t="shared" si="2"/>
        <v>0</v>
      </c>
      <c r="AH15" s="112">
        <f t="shared" si="2"/>
        <v>0</v>
      </c>
      <c r="AI15" s="112">
        <f t="shared" si="2"/>
        <v>0</v>
      </c>
      <c r="AJ15" s="112">
        <f t="shared" si="2"/>
        <v>0</v>
      </c>
      <c r="AK15" s="112">
        <f t="shared" si="2"/>
        <v>0</v>
      </c>
      <c r="AL15" s="112">
        <f t="shared" si="2"/>
        <v>0</v>
      </c>
      <c r="AM15" s="112">
        <f t="shared" si="2"/>
        <v>0</v>
      </c>
      <c r="AN15" s="112">
        <f t="shared" si="2"/>
        <v>0</v>
      </c>
      <c r="AO15" s="112">
        <f t="shared" si="2"/>
        <v>0</v>
      </c>
      <c r="AP15" s="112">
        <f t="shared" si="2"/>
        <v>0</v>
      </c>
      <c r="AQ15" s="112">
        <f t="shared" si="2"/>
        <v>0</v>
      </c>
      <c r="AR15" s="112">
        <f t="shared" si="2"/>
        <v>0</v>
      </c>
      <c r="AS15" s="112">
        <f t="shared" si="2"/>
        <v>0</v>
      </c>
      <c r="AT15" s="112">
        <f t="shared" si="2"/>
        <v>0</v>
      </c>
      <c r="AU15" s="112">
        <f t="shared" si="2"/>
        <v>0</v>
      </c>
      <c r="AV15" s="112">
        <f t="shared" si="2"/>
        <v>0</v>
      </c>
      <c r="AW15" s="112">
        <f t="shared" si="2"/>
        <v>0</v>
      </c>
      <c r="AX15" s="112">
        <f t="shared" si="2"/>
        <v>0</v>
      </c>
      <c r="AY15" s="112">
        <f t="shared" si="2"/>
        <v>0</v>
      </c>
      <c r="AZ15" s="115"/>
    </row>
    <row r="16" spans="1:52" x14ac:dyDescent="0.2">
      <c r="A16" s="116"/>
      <c r="B16" s="136">
        <v>4</v>
      </c>
      <c r="C16" s="116">
        <v>0</v>
      </c>
      <c r="D16" s="112">
        <f>IF(C$20="Yes",C15,0)</f>
        <v>0</v>
      </c>
      <c r="E16" s="112">
        <f t="shared" si="2"/>
        <v>0</v>
      </c>
      <c r="F16" s="112">
        <f t="shared" si="2"/>
        <v>0</v>
      </c>
      <c r="G16" s="112">
        <f t="shared" si="2"/>
        <v>0</v>
      </c>
      <c r="H16" s="112">
        <f t="shared" si="2"/>
        <v>0</v>
      </c>
      <c r="I16" s="112">
        <f t="shared" si="2"/>
        <v>0</v>
      </c>
      <c r="J16" s="112">
        <f t="shared" si="2"/>
        <v>0</v>
      </c>
      <c r="K16" s="112">
        <f t="shared" si="2"/>
        <v>0</v>
      </c>
      <c r="L16" s="112">
        <f t="shared" si="2"/>
        <v>0</v>
      </c>
      <c r="M16" s="112">
        <f t="shared" si="2"/>
        <v>0</v>
      </c>
      <c r="N16" s="112">
        <f t="shared" si="2"/>
        <v>0</v>
      </c>
      <c r="O16" s="112">
        <f t="shared" si="2"/>
        <v>0</v>
      </c>
      <c r="P16" s="112">
        <f t="shared" si="2"/>
        <v>0</v>
      </c>
      <c r="Q16" s="112">
        <f t="shared" si="2"/>
        <v>0</v>
      </c>
      <c r="R16" s="112">
        <f t="shared" si="2"/>
        <v>0</v>
      </c>
      <c r="S16" s="112">
        <f t="shared" si="2"/>
        <v>0</v>
      </c>
      <c r="T16" s="112">
        <f t="shared" si="2"/>
        <v>0</v>
      </c>
      <c r="U16" s="112">
        <f t="shared" si="2"/>
        <v>0</v>
      </c>
      <c r="V16" s="112">
        <f t="shared" si="2"/>
        <v>0</v>
      </c>
      <c r="W16" s="112">
        <f t="shared" si="2"/>
        <v>0</v>
      </c>
      <c r="X16" s="112">
        <f t="shared" si="2"/>
        <v>0</v>
      </c>
      <c r="Y16" s="112">
        <f t="shared" si="2"/>
        <v>0</v>
      </c>
      <c r="Z16" s="112">
        <f t="shared" si="2"/>
        <v>0</v>
      </c>
      <c r="AA16" s="112">
        <f t="shared" si="2"/>
        <v>0</v>
      </c>
      <c r="AB16" s="112">
        <f t="shared" si="2"/>
        <v>0</v>
      </c>
      <c r="AC16" s="112">
        <f t="shared" si="2"/>
        <v>0</v>
      </c>
      <c r="AD16" s="112">
        <f t="shared" si="2"/>
        <v>0</v>
      </c>
      <c r="AE16" s="112">
        <f t="shared" si="2"/>
        <v>0</v>
      </c>
      <c r="AF16" s="112">
        <f t="shared" si="2"/>
        <v>0</v>
      </c>
      <c r="AG16" s="112">
        <f t="shared" si="2"/>
        <v>0</v>
      </c>
      <c r="AH16" s="112">
        <f t="shared" si="2"/>
        <v>0</v>
      </c>
      <c r="AI16" s="112">
        <f t="shared" si="2"/>
        <v>0</v>
      </c>
      <c r="AJ16" s="112">
        <f t="shared" si="2"/>
        <v>0</v>
      </c>
      <c r="AK16" s="112">
        <f t="shared" si="2"/>
        <v>0</v>
      </c>
      <c r="AL16" s="112">
        <f t="shared" si="2"/>
        <v>0</v>
      </c>
      <c r="AM16" s="112">
        <f t="shared" si="2"/>
        <v>0</v>
      </c>
      <c r="AN16" s="112">
        <f t="shared" si="2"/>
        <v>0</v>
      </c>
      <c r="AO16" s="112">
        <f t="shared" si="2"/>
        <v>0</v>
      </c>
      <c r="AP16" s="112">
        <f t="shared" si="2"/>
        <v>0</v>
      </c>
      <c r="AQ16" s="112">
        <f t="shared" si="2"/>
        <v>0</v>
      </c>
      <c r="AR16" s="112">
        <f t="shared" si="2"/>
        <v>0</v>
      </c>
      <c r="AS16" s="112">
        <f t="shared" si="2"/>
        <v>0</v>
      </c>
      <c r="AT16" s="112">
        <f t="shared" si="2"/>
        <v>0</v>
      </c>
      <c r="AU16" s="112">
        <f t="shared" si="2"/>
        <v>0</v>
      </c>
      <c r="AV16" s="112">
        <f t="shared" si="2"/>
        <v>0</v>
      </c>
      <c r="AW16" s="112">
        <f t="shared" si="2"/>
        <v>0</v>
      </c>
      <c r="AX16" s="112">
        <f t="shared" si="2"/>
        <v>0</v>
      </c>
      <c r="AY16" s="112">
        <f t="shared" si="2"/>
        <v>0</v>
      </c>
      <c r="AZ16" s="134"/>
    </row>
    <row r="17" spans="1:52" x14ac:dyDescent="0.2">
      <c r="A17" s="131"/>
      <c r="B17" s="138" t="s">
        <v>296</v>
      </c>
      <c r="C17" s="131">
        <v>0</v>
      </c>
      <c r="D17" s="120">
        <f>IF(C$20="Yes",C16,0)</f>
        <v>0</v>
      </c>
      <c r="E17" s="120">
        <f t="shared" si="2"/>
        <v>0</v>
      </c>
      <c r="F17" s="120">
        <f t="shared" si="2"/>
        <v>0</v>
      </c>
      <c r="G17" s="120">
        <f t="shared" si="2"/>
        <v>0</v>
      </c>
      <c r="H17" s="120">
        <f t="shared" si="2"/>
        <v>0</v>
      </c>
      <c r="I17" s="120">
        <f t="shared" si="2"/>
        <v>0</v>
      </c>
      <c r="J17" s="120">
        <f t="shared" si="2"/>
        <v>0</v>
      </c>
      <c r="K17" s="120">
        <f t="shared" si="2"/>
        <v>0</v>
      </c>
      <c r="L17" s="120">
        <f t="shared" si="2"/>
        <v>0</v>
      </c>
      <c r="M17" s="120">
        <f t="shared" si="2"/>
        <v>0</v>
      </c>
      <c r="N17" s="120">
        <f t="shared" si="2"/>
        <v>0</v>
      </c>
      <c r="O17" s="120">
        <f t="shared" si="2"/>
        <v>0</v>
      </c>
      <c r="P17" s="120">
        <f t="shared" si="2"/>
        <v>0</v>
      </c>
      <c r="Q17" s="120">
        <f t="shared" si="2"/>
        <v>0</v>
      </c>
      <c r="R17" s="120">
        <f t="shared" si="2"/>
        <v>0</v>
      </c>
      <c r="S17" s="120">
        <f t="shared" si="2"/>
        <v>0</v>
      </c>
      <c r="T17" s="120">
        <f t="shared" si="2"/>
        <v>0</v>
      </c>
      <c r="U17" s="120">
        <f t="shared" si="2"/>
        <v>0</v>
      </c>
      <c r="V17" s="120">
        <f t="shared" si="2"/>
        <v>0</v>
      </c>
      <c r="W17" s="120">
        <f t="shared" si="2"/>
        <v>0</v>
      </c>
      <c r="X17" s="120">
        <f t="shared" si="2"/>
        <v>0</v>
      </c>
      <c r="Y17" s="120">
        <f t="shared" si="2"/>
        <v>0</v>
      </c>
      <c r="Z17" s="120">
        <f t="shared" si="2"/>
        <v>0</v>
      </c>
      <c r="AA17" s="120">
        <f t="shared" si="2"/>
        <v>0</v>
      </c>
      <c r="AB17" s="120">
        <f t="shared" si="2"/>
        <v>0</v>
      </c>
      <c r="AC17" s="120">
        <f t="shared" si="2"/>
        <v>0</v>
      </c>
      <c r="AD17" s="120">
        <f t="shared" si="2"/>
        <v>0</v>
      </c>
      <c r="AE17" s="120">
        <f t="shared" si="2"/>
        <v>0</v>
      </c>
      <c r="AF17" s="120">
        <f t="shared" si="2"/>
        <v>0</v>
      </c>
      <c r="AG17" s="120">
        <f t="shared" si="2"/>
        <v>0</v>
      </c>
      <c r="AH17" s="120">
        <f t="shared" si="2"/>
        <v>0</v>
      </c>
      <c r="AI17" s="120">
        <f t="shared" si="2"/>
        <v>0</v>
      </c>
      <c r="AJ17" s="120">
        <f t="shared" si="2"/>
        <v>0</v>
      </c>
      <c r="AK17" s="120">
        <f t="shared" si="2"/>
        <v>0</v>
      </c>
      <c r="AL17" s="120">
        <f t="shared" si="2"/>
        <v>0</v>
      </c>
      <c r="AM17" s="120">
        <f t="shared" si="2"/>
        <v>0</v>
      </c>
      <c r="AN17" s="120">
        <f t="shared" si="2"/>
        <v>0</v>
      </c>
      <c r="AO17" s="120">
        <f t="shared" si="2"/>
        <v>0</v>
      </c>
      <c r="AP17" s="120">
        <f t="shared" si="2"/>
        <v>0</v>
      </c>
      <c r="AQ17" s="120">
        <f t="shared" si="2"/>
        <v>0</v>
      </c>
      <c r="AR17" s="120">
        <f t="shared" si="2"/>
        <v>0</v>
      </c>
      <c r="AS17" s="120">
        <f t="shared" si="2"/>
        <v>0</v>
      </c>
      <c r="AT17" s="120">
        <f t="shared" si="2"/>
        <v>0</v>
      </c>
      <c r="AU17" s="120">
        <f t="shared" si="2"/>
        <v>0</v>
      </c>
      <c r="AV17" s="120">
        <f t="shared" si="2"/>
        <v>0</v>
      </c>
      <c r="AW17" s="120">
        <f t="shared" si="2"/>
        <v>0</v>
      </c>
      <c r="AX17" s="120">
        <f t="shared" si="2"/>
        <v>0</v>
      </c>
      <c r="AY17" s="120">
        <f t="shared" si="2"/>
        <v>0</v>
      </c>
      <c r="AZ17" s="157">
        <f>SUM($D$17:$AY$17)</f>
        <v>0</v>
      </c>
    </row>
    <row r="18" spans="1:52" x14ac:dyDescent="0.2">
      <c r="A18" s="112"/>
      <c r="B18" s="159"/>
      <c r="C18" s="144"/>
      <c r="D18" s="144"/>
      <c r="E18" s="144"/>
      <c r="F18" s="144"/>
      <c r="G18" s="144"/>
      <c r="H18" s="144"/>
      <c r="I18" s="144"/>
      <c r="J18" s="144"/>
      <c r="K18" s="144"/>
      <c r="L18" s="144"/>
      <c r="M18" s="144"/>
      <c r="N18" s="144"/>
      <c r="O18" s="144"/>
      <c r="P18" s="144"/>
      <c r="Q18" s="144"/>
      <c r="R18" s="144"/>
      <c r="S18" s="144"/>
      <c r="T18" s="144"/>
      <c r="U18" s="144"/>
      <c r="V18" s="144"/>
      <c r="W18" s="144"/>
      <c r="X18" s="144"/>
      <c r="Y18" s="144"/>
      <c r="Z18" s="144"/>
      <c r="AA18" s="144"/>
      <c r="AB18" s="144"/>
      <c r="AC18" s="144"/>
      <c r="AD18" s="144"/>
      <c r="AE18" s="144"/>
      <c r="AF18" s="144"/>
      <c r="AG18" s="144"/>
      <c r="AH18" s="144"/>
      <c r="AI18" s="144"/>
      <c r="AJ18" s="144"/>
      <c r="AK18" s="144"/>
      <c r="AL18" s="144"/>
      <c r="AM18" s="144"/>
      <c r="AN18" s="144"/>
      <c r="AO18" s="144"/>
      <c r="AP18" s="144"/>
      <c r="AQ18" s="144"/>
      <c r="AR18" s="144"/>
      <c r="AS18" s="144"/>
      <c r="AT18" s="144"/>
      <c r="AU18" s="144"/>
      <c r="AV18" s="144"/>
      <c r="AW18" s="144"/>
      <c r="AX18" s="144"/>
      <c r="AY18" s="144"/>
      <c r="AZ18" s="112"/>
    </row>
    <row r="19" spans="1:52" x14ac:dyDescent="0.2">
      <c r="A19" s="108" t="s">
        <v>116</v>
      </c>
      <c r="B19" s="112"/>
      <c r="C19" s="112"/>
      <c r="D19" s="112"/>
      <c r="E19" s="112"/>
      <c r="F19" s="112"/>
      <c r="G19" s="112"/>
      <c r="H19" s="112"/>
      <c r="I19" s="112"/>
      <c r="J19" s="112"/>
      <c r="K19" s="112"/>
      <c r="L19" s="112"/>
      <c r="M19" s="112"/>
      <c r="N19" s="112"/>
      <c r="O19" s="112"/>
      <c r="P19" s="112"/>
      <c r="Q19" s="112"/>
      <c r="R19" s="112"/>
      <c r="S19" s="112"/>
      <c r="T19" s="112"/>
      <c r="U19" s="112"/>
      <c r="V19" s="112"/>
      <c r="W19" s="112"/>
      <c r="X19" s="112"/>
      <c r="Y19" s="112"/>
      <c r="Z19" s="112"/>
      <c r="AA19" s="112"/>
      <c r="AB19" s="112"/>
      <c r="AC19" s="112"/>
      <c r="AD19" s="112"/>
      <c r="AE19" s="112"/>
      <c r="AF19" s="112"/>
      <c r="AG19" s="112"/>
      <c r="AH19" s="112"/>
      <c r="AI19" s="112"/>
      <c r="AJ19" s="112"/>
      <c r="AK19" s="112"/>
      <c r="AL19" s="112"/>
      <c r="AM19" s="112"/>
      <c r="AN19" s="112"/>
      <c r="AO19" s="112"/>
      <c r="AP19" s="112"/>
      <c r="AQ19" s="112"/>
      <c r="AR19" s="112"/>
      <c r="AS19" s="112"/>
      <c r="AT19" s="112"/>
      <c r="AU19" s="112"/>
      <c r="AV19" s="112"/>
      <c r="AW19" s="112"/>
      <c r="AX19" s="112"/>
      <c r="AY19" s="112"/>
    </row>
    <row r="20" spans="1:52" s="116" customFormat="1" x14ac:dyDescent="0.2">
      <c r="A20" s="121" t="s">
        <v>305</v>
      </c>
      <c r="B20" s="160" t="s">
        <v>306</v>
      </c>
      <c r="C20" s="123"/>
      <c r="D20" s="123"/>
      <c r="E20" s="123"/>
      <c r="F20" s="123"/>
      <c r="G20" s="123"/>
      <c r="H20" s="123"/>
      <c r="I20" s="123"/>
      <c r="J20" s="123"/>
      <c r="K20" s="123"/>
      <c r="L20" s="123" t="s">
        <v>339</v>
      </c>
      <c r="M20" s="123"/>
      <c r="N20" s="123"/>
      <c r="O20" s="123"/>
      <c r="P20" s="123"/>
      <c r="Q20" s="123"/>
      <c r="R20" s="123"/>
      <c r="S20" s="123"/>
      <c r="T20" s="123"/>
      <c r="U20" s="123"/>
      <c r="V20" s="123"/>
      <c r="W20" s="123"/>
      <c r="X20" s="123" t="s">
        <v>339</v>
      </c>
      <c r="Y20" s="123"/>
      <c r="Z20" s="123"/>
      <c r="AA20" s="123"/>
      <c r="AB20" s="123"/>
      <c r="AC20" s="123"/>
      <c r="AD20" s="123"/>
      <c r="AE20" s="123"/>
      <c r="AF20" s="123"/>
      <c r="AG20" s="123"/>
      <c r="AH20" s="123"/>
      <c r="AI20" s="123"/>
      <c r="AJ20" s="123"/>
      <c r="AK20" s="123"/>
      <c r="AL20" s="123"/>
      <c r="AM20" s="123"/>
      <c r="AN20" s="123"/>
      <c r="AO20" s="123"/>
      <c r="AP20" s="123"/>
      <c r="AQ20" s="123"/>
      <c r="AR20" s="123"/>
      <c r="AS20" s="123"/>
      <c r="AT20" s="123"/>
      <c r="AU20" s="123"/>
      <c r="AV20" s="123"/>
      <c r="AW20" s="123"/>
      <c r="AX20" s="123"/>
      <c r="AY20" s="123"/>
      <c r="AZ20" s="113"/>
    </row>
    <row r="21" spans="1:52" s="116" customFormat="1" x14ac:dyDescent="0.2">
      <c r="A21" s="161" t="s">
        <v>133</v>
      </c>
      <c r="B21" s="162">
        <f>shipping_manufacturing!$C$19/100</f>
        <v>0.286485356622527</v>
      </c>
      <c r="C21" s="162" t="s">
        <v>293</v>
      </c>
      <c r="D21" s="112">
        <f>IF(C$20="Yes",0,SUM(C$13:C$16)*$B$21)</f>
        <v>500.7764033761772</v>
      </c>
      <c r="E21" s="112">
        <f t="shared" ref="E21:AY21" si="3">IF(D$20="Yes",0,SUM(D$13:D$16)*$B$21)</f>
        <v>384.04701856648313</v>
      </c>
      <c r="F21" s="112">
        <f t="shared" si="3"/>
        <v>384.04701856648313</v>
      </c>
      <c r="G21" s="112">
        <f t="shared" si="3"/>
        <v>384.04701856648313</v>
      </c>
      <c r="H21" s="112">
        <f t="shared" si="3"/>
        <v>384.04701856648313</v>
      </c>
      <c r="I21" s="112">
        <f t="shared" si="3"/>
        <v>500.7764033761772</v>
      </c>
      <c r="J21" s="112">
        <f t="shared" si="3"/>
        <v>500.7764033761772</v>
      </c>
      <c r="K21" s="112">
        <f t="shared" si="3"/>
        <v>500.7764033761772</v>
      </c>
      <c r="L21" s="112">
        <f t="shared" si="3"/>
        <v>500.7764033761772</v>
      </c>
      <c r="M21" s="112">
        <f t="shared" si="3"/>
        <v>0</v>
      </c>
      <c r="N21" s="112">
        <f t="shared" si="3"/>
        <v>500.7764033761772</v>
      </c>
      <c r="O21" s="112">
        <f t="shared" si="3"/>
        <v>446.66867276595758</v>
      </c>
      <c r="P21" s="112">
        <f t="shared" si="3"/>
        <v>446.66867276595758</v>
      </c>
      <c r="Q21" s="112">
        <f t="shared" si="3"/>
        <v>429.34482687653883</v>
      </c>
      <c r="R21" s="112">
        <f t="shared" si="3"/>
        <v>429.34482687653883</v>
      </c>
      <c r="S21" s="112">
        <f t="shared" si="3"/>
        <v>429.34482687653883</v>
      </c>
      <c r="T21" s="112">
        <f t="shared" si="3"/>
        <v>429.34482687653883</v>
      </c>
      <c r="U21" s="112">
        <f t="shared" si="3"/>
        <v>137.97705818357272</v>
      </c>
      <c r="V21" s="112">
        <f t="shared" si="3"/>
        <v>137.97705818357272</v>
      </c>
      <c r="W21" s="112">
        <f t="shared" si="3"/>
        <v>137.97705818357272</v>
      </c>
      <c r="X21" s="112">
        <f t="shared" si="3"/>
        <v>137.97705818357272</v>
      </c>
      <c r="Y21" s="112">
        <f t="shared" si="3"/>
        <v>0</v>
      </c>
      <c r="Z21" s="112">
        <f t="shared" si="3"/>
        <v>500.7764033761772</v>
      </c>
      <c r="AA21" s="112">
        <f t="shared" si="3"/>
        <v>328.05426065527917</v>
      </c>
      <c r="AB21" s="112">
        <f t="shared" si="3"/>
        <v>328.05426065527917</v>
      </c>
      <c r="AC21" s="112">
        <f t="shared" si="3"/>
        <v>316.61835806799525</v>
      </c>
      <c r="AD21" s="112">
        <f t="shared" si="3"/>
        <v>316.61835806799525</v>
      </c>
      <c r="AE21" s="112">
        <f t="shared" si="3"/>
        <v>316.61835806799525</v>
      </c>
      <c r="AF21" s="112">
        <f t="shared" si="3"/>
        <v>316.61835806799525</v>
      </c>
      <c r="AG21" s="112">
        <f t="shared" si="3"/>
        <v>403.76468137127529</v>
      </c>
      <c r="AH21" s="112">
        <f t="shared" si="3"/>
        <v>403.76468137127529</v>
      </c>
      <c r="AI21" s="112">
        <f t="shared" si="3"/>
        <v>403.76468137127529</v>
      </c>
      <c r="AJ21" s="112">
        <f t="shared" si="3"/>
        <v>403.76468137127529</v>
      </c>
      <c r="AK21" s="112">
        <f t="shared" si="3"/>
        <v>404.68135678809415</v>
      </c>
      <c r="AL21" s="112">
        <f t="shared" si="3"/>
        <v>404.68135678809415</v>
      </c>
      <c r="AM21" s="112">
        <f t="shared" si="3"/>
        <v>404.68135678809415</v>
      </c>
      <c r="AN21" s="112">
        <f t="shared" si="3"/>
        <v>404.68135678809415</v>
      </c>
      <c r="AO21" s="112">
        <f t="shared" si="3"/>
        <v>369.44278221252478</v>
      </c>
      <c r="AP21" s="112">
        <f t="shared" si="3"/>
        <v>369.44278221252478</v>
      </c>
      <c r="AQ21" s="112">
        <f t="shared" si="3"/>
        <v>369.44278221252478</v>
      </c>
      <c r="AR21" s="112">
        <f t="shared" si="3"/>
        <v>369.44278221252478</v>
      </c>
      <c r="AS21" s="112">
        <f t="shared" si="3"/>
        <v>426.54961219101494</v>
      </c>
      <c r="AT21" s="112">
        <f t="shared" si="3"/>
        <v>426.54961219101494</v>
      </c>
      <c r="AU21" s="112">
        <f t="shared" si="3"/>
        <v>426.54961219101494</v>
      </c>
      <c r="AV21" s="112">
        <f t="shared" si="3"/>
        <v>426.54961219101494</v>
      </c>
      <c r="AW21" s="112">
        <f t="shared" si="3"/>
        <v>265.19058330044203</v>
      </c>
      <c r="AX21" s="112">
        <f t="shared" si="3"/>
        <v>265.19058330044203</v>
      </c>
      <c r="AY21" s="112">
        <f t="shared" si="3"/>
        <v>265.19058330044203</v>
      </c>
      <c r="AZ21" s="163">
        <f>SUM($D21:$AY21)</f>
        <v>17340.155217407038</v>
      </c>
    </row>
    <row r="22" spans="1:52" s="116" customFormat="1" x14ac:dyDescent="0.2">
      <c r="A22" s="164" t="s">
        <v>123</v>
      </c>
      <c r="B22" s="165">
        <f>1-$B$21</f>
        <v>0.71351464337747306</v>
      </c>
      <c r="C22" s="165" t="s">
        <v>293</v>
      </c>
      <c r="D22" s="120">
        <f>IF(C$20="Yes",0,SUM(C$13:C$16)*$B$22)</f>
        <v>1247.2235966238229</v>
      </c>
      <c r="E22" s="120">
        <f t="shared" ref="E22:AY22" si="4">IF(D$20="Yes",0,SUM(D$13:D$16)*$B$22)</f>
        <v>956.49974827055053</v>
      </c>
      <c r="F22" s="120">
        <f t="shared" si="4"/>
        <v>956.49974827055053</v>
      </c>
      <c r="G22" s="120">
        <f t="shared" si="4"/>
        <v>956.49974827055053</v>
      </c>
      <c r="H22" s="120">
        <f t="shared" si="4"/>
        <v>956.49974827055053</v>
      </c>
      <c r="I22" s="120">
        <f t="shared" si="4"/>
        <v>1247.2235966238229</v>
      </c>
      <c r="J22" s="120">
        <f t="shared" si="4"/>
        <v>1247.2235966238229</v>
      </c>
      <c r="K22" s="120">
        <f t="shared" si="4"/>
        <v>1247.2235966238229</v>
      </c>
      <c r="L22" s="120">
        <f t="shared" si="4"/>
        <v>1247.2235966238229</v>
      </c>
      <c r="M22" s="120">
        <f t="shared" si="4"/>
        <v>0</v>
      </c>
      <c r="N22" s="120">
        <f t="shared" si="4"/>
        <v>1247.2235966238229</v>
      </c>
      <c r="O22" s="120">
        <f t="shared" si="4"/>
        <v>1112.4639755197559</v>
      </c>
      <c r="P22" s="120">
        <f t="shared" si="4"/>
        <v>1112.4639755197559</v>
      </c>
      <c r="Q22" s="120">
        <f t="shared" si="4"/>
        <v>1069.3175548180461</v>
      </c>
      <c r="R22" s="120">
        <f t="shared" si="4"/>
        <v>1069.3175548180461</v>
      </c>
      <c r="S22" s="120">
        <f t="shared" si="4"/>
        <v>1069.3175548180461</v>
      </c>
      <c r="T22" s="120">
        <f t="shared" si="4"/>
        <v>1069.3175548180461</v>
      </c>
      <c r="U22" s="120">
        <f t="shared" si="4"/>
        <v>343.64287454259187</v>
      </c>
      <c r="V22" s="120">
        <f t="shared" si="4"/>
        <v>343.64287454259187</v>
      </c>
      <c r="W22" s="120">
        <f t="shared" si="4"/>
        <v>343.64287454259187</v>
      </c>
      <c r="X22" s="120">
        <f t="shared" si="4"/>
        <v>343.64287454259187</v>
      </c>
      <c r="Y22" s="120">
        <f t="shared" si="4"/>
        <v>0</v>
      </c>
      <c r="Z22" s="120">
        <f t="shared" si="4"/>
        <v>1247.2235966238229</v>
      </c>
      <c r="AA22" s="120">
        <f t="shared" si="4"/>
        <v>817.04531624045501</v>
      </c>
      <c r="AB22" s="120">
        <f t="shared" si="4"/>
        <v>817.04531624045501</v>
      </c>
      <c r="AC22" s="120">
        <f t="shared" si="4"/>
        <v>788.56328821479019</v>
      </c>
      <c r="AD22" s="120">
        <f t="shared" si="4"/>
        <v>788.56328821479019</v>
      </c>
      <c r="AE22" s="120">
        <f t="shared" si="4"/>
        <v>788.56328821479019</v>
      </c>
      <c r="AF22" s="120">
        <f t="shared" si="4"/>
        <v>788.56328821479019</v>
      </c>
      <c r="AG22" s="120">
        <f t="shared" si="4"/>
        <v>1005.6081610364276</v>
      </c>
      <c r="AH22" s="120">
        <f t="shared" si="4"/>
        <v>1005.6081610364276</v>
      </c>
      <c r="AI22" s="120">
        <f t="shared" si="4"/>
        <v>1005.6081610364276</v>
      </c>
      <c r="AJ22" s="120">
        <f t="shared" si="4"/>
        <v>1005.6081610364276</v>
      </c>
      <c r="AK22" s="120">
        <f t="shared" si="4"/>
        <v>1007.8912143164813</v>
      </c>
      <c r="AL22" s="120">
        <f t="shared" si="4"/>
        <v>1007.8912143164813</v>
      </c>
      <c r="AM22" s="120">
        <f t="shared" si="4"/>
        <v>1007.8912143164813</v>
      </c>
      <c r="AN22" s="120">
        <f t="shared" si="4"/>
        <v>1007.8912143164813</v>
      </c>
      <c r="AO22" s="120">
        <f t="shared" si="4"/>
        <v>920.12673215292489</v>
      </c>
      <c r="AP22" s="120">
        <f t="shared" si="4"/>
        <v>920.12673215292489</v>
      </c>
      <c r="AQ22" s="120">
        <f t="shared" si="4"/>
        <v>920.12673215292489</v>
      </c>
      <c r="AR22" s="120">
        <f t="shared" si="4"/>
        <v>920.12673215292489</v>
      </c>
      <c r="AS22" s="120">
        <f t="shared" si="4"/>
        <v>1062.3558495741272</v>
      </c>
      <c r="AT22" s="120">
        <f t="shared" si="4"/>
        <v>1062.3558495741272</v>
      </c>
      <c r="AU22" s="120">
        <f t="shared" si="4"/>
        <v>1062.3558495741272</v>
      </c>
      <c r="AV22" s="120">
        <f t="shared" si="4"/>
        <v>1062.3558495741272</v>
      </c>
      <c r="AW22" s="120">
        <f t="shared" si="4"/>
        <v>660.47831100837618</v>
      </c>
      <c r="AX22" s="120">
        <f t="shared" si="4"/>
        <v>660.47831100837618</v>
      </c>
      <c r="AY22" s="120">
        <f t="shared" si="4"/>
        <v>660.47831100837618</v>
      </c>
      <c r="AZ22" s="147">
        <f t="shared" ref="AZ22:AZ30" si="5">SUM($D22:$AY22)</f>
        <v>43187.04038461607</v>
      </c>
    </row>
    <row r="23" spans="1:52" x14ac:dyDescent="0.2">
      <c r="A23" s="166" t="s">
        <v>307</v>
      </c>
      <c r="B23" s="130">
        <v>2000</v>
      </c>
      <c r="C23" s="106" t="s">
        <v>293</v>
      </c>
      <c r="D23" s="106">
        <f>D$21*$B$23</f>
        <v>1001552.8067523544</v>
      </c>
      <c r="E23" s="106">
        <f t="shared" ref="E23:AY23" si="6">E$21*$B$23</f>
        <v>768094.03713296622</v>
      </c>
      <c r="F23" s="106">
        <f t="shared" si="6"/>
        <v>768094.03713296622</v>
      </c>
      <c r="G23" s="106">
        <f t="shared" si="6"/>
        <v>768094.03713296622</v>
      </c>
      <c r="H23" s="106">
        <f t="shared" si="6"/>
        <v>768094.03713296622</v>
      </c>
      <c r="I23" s="106">
        <f t="shared" si="6"/>
        <v>1001552.8067523544</v>
      </c>
      <c r="J23" s="106">
        <f t="shared" si="6"/>
        <v>1001552.8067523544</v>
      </c>
      <c r="K23" s="106">
        <f t="shared" si="6"/>
        <v>1001552.8067523544</v>
      </c>
      <c r="L23" s="106">
        <f t="shared" si="6"/>
        <v>1001552.8067523544</v>
      </c>
      <c r="M23" s="106">
        <f t="shared" si="6"/>
        <v>0</v>
      </c>
      <c r="N23" s="106">
        <f t="shared" si="6"/>
        <v>1001552.8067523544</v>
      </c>
      <c r="O23" s="106">
        <f t="shared" si="6"/>
        <v>893337.3455319152</v>
      </c>
      <c r="P23" s="106">
        <f t="shared" si="6"/>
        <v>893337.3455319152</v>
      </c>
      <c r="Q23" s="106">
        <f t="shared" si="6"/>
        <v>858689.65375307761</v>
      </c>
      <c r="R23" s="106">
        <f t="shared" si="6"/>
        <v>858689.65375307761</v>
      </c>
      <c r="S23" s="106">
        <f t="shared" si="6"/>
        <v>858689.65375307761</v>
      </c>
      <c r="T23" s="106">
        <f t="shared" si="6"/>
        <v>858689.65375307761</v>
      </c>
      <c r="U23" s="106">
        <f t="shared" si="6"/>
        <v>275954.11636714544</v>
      </c>
      <c r="V23" s="106">
        <f t="shared" si="6"/>
        <v>275954.11636714544</v>
      </c>
      <c r="W23" s="106">
        <f t="shared" si="6"/>
        <v>275954.11636714544</v>
      </c>
      <c r="X23" s="106">
        <f t="shared" si="6"/>
        <v>275954.11636714544</v>
      </c>
      <c r="Y23" s="106">
        <f t="shared" si="6"/>
        <v>0</v>
      </c>
      <c r="Z23" s="106">
        <f t="shared" si="6"/>
        <v>1001552.8067523544</v>
      </c>
      <c r="AA23" s="106">
        <f t="shared" si="6"/>
        <v>656108.52131055831</v>
      </c>
      <c r="AB23" s="106">
        <f t="shared" si="6"/>
        <v>656108.52131055831</v>
      </c>
      <c r="AC23" s="106">
        <f t="shared" si="6"/>
        <v>633236.71613599046</v>
      </c>
      <c r="AD23" s="106">
        <f t="shared" si="6"/>
        <v>633236.71613599046</v>
      </c>
      <c r="AE23" s="106">
        <f t="shared" si="6"/>
        <v>633236.71613599046</v>
      </c>
      <c r="AF23" s="106">
        <f t="shared" si="6"/>
        <v>633236.71613599046</v>
      </c>
      <c r="AG23" s="106">
        <f t="shared" si="6"/>
        <v>807529.36274255055</v>
      </c>
      <c r="AH23" s="106">
        <f t="shared" si="6"/>
        <v>807529.36274255055</v>
      </c>
      <c r="AI23" s="106">
        <f t="shared" si="6"/>
        <v>807529.36274255055</v>
      </c>
      <c r="AJ23" s="106">
        <f t="shared" si="6"/>
        <v>807529.36274255055</v>
      </c>
      <c r="AK23" s="106">
        <f t="shared" si="6"/>
        <v>809362.71357618831</v>
      </c>
      <c r="AL23" s="106">
        <f t="shared" si="6"/>
        <v>809362.71357618831</v>
      </c>
      <c r="AM23" s="106">
        <f t="shared" si="6"/>
        <v>809362.71357618831</v>
      </c>
      <c r="AN23" s="106">
        <f t="shared" si="6"/>
        <v>809362.71357618831</v>
      </c>
      <c r="AO23" s="106">
        <f t="shared" si="6"/>
        <v>738885.56442504958</v>
      </c>
      <c r="AP23" s="106">
        <f t="shared" si="6"/>
        <v>738885.56442504958</v>
      </c>
      <c r="AQ23" s="106">
        <f t="shared" si="6"/>
        <v>738885.56442504958</v>
      </c>
      <c r="AR23" s="106">
        <f t="shared" si="6"/>
        <v>738885.56442504958</v>
      </c>
      <c r="AS23" s="106">
        <f t="shared" si="6"/>
        <v>853099.22438202985</v>
      </c>
      <c r="AT23" s="106">
        <f t="shared" si="6"/>
        <v>853099.22438202985</v>
      </c>
      <c r="AU23" s="106">
        <f t="shared" si="6"/>
        <v>853099.22438202985</v>
      </c>
      <c r="AV23" s="106">
        <f t="shared" si="6"/>
        <v>853099.22438202985</v>
      </c>
      <c r="AW23" s="106">
        <f t="shared" si="6"/>
        <v>530381.16660088405</v>
      </c>
      <c r="AX23" s="106">
        <f t="shared" si="6"/>
        <v>530381.16660088405</v>
      </c>
      <c r="AY23" s="106">
        <f t="shared" si="6"/>
        <v>530381.16660088405</v>
      </c>
      <c r="AZ23" s="145">
        <f t="shared" si="5"/>
        <v>34680310.434814066</v>
      </c>
    </row>
    <row r="24" spans="1:52" s="116" customFormat="1" x14ac:dyDescent="0.2">
      <c r="A24" s="167" t="s">
        <v>308</v>
      </c>
      <c r="B24" s="168">
        <v>1000</v>
      </c>
      <c r="C24" s="162" t="s">
        <v>293</v>
      </c>
      <c r="D24" s="112">
        <f>D$22*$B$24</f>
        <v>1247223.5966238228</v>
      </c>
      <c r="E24" s="112">
        <f t="shared" ref="E24:AY24" si="7">E$22*$B$24</f>
        <v>956499.74827055051</v>
      </c>
      <c r="F24" s="112">
        <f t="shared" si="7"/>
        <v>956499.74827055051</v>
      </c>
      <c r="G24" s="112">
        <f t="shared" si="7"/>
        <v>956499.74827055051</v>
      </c>
      <c r="H24" s="112">
        <f t="shared" si="7"/>
        <v>956499.74827055051</v>
      </c>
      <c r="I24" s="112">
        <f t="shared" si="7"/>
        <v>1247223.5966238228</v>
      </c>
      <c r="J24" s="112">
        <f t="shared" si="7"/>
        <v>1247223.5966238228</v>
      </c>
      <c r="K24" s="112">
        <f t="shared" si="7"/>
        <v>1247223.5966238228</v>
      </c>
      <c r="L24" s="112">
        <f t="shared" si="7"/>
        <v>1247223.5966238228</v>
      </c>
      <c r="M24" s="112">
        <f t="shared" si="7"/>
        <v>0</v>
      </c>
      <c r="N24" s="112">
        <f t="shared" si="7"/>
        <v>1247223.5966238228</v>
      </c>
      <c r="O24" s="112">
        <f t="shared" si="7"/>
        <v>1112463.9755197559</v>
      </c>
      <c r="P24" s="112">
        <f t="shared" si="7"/>
        <v>1112463.9755197559</v>
      </c>
      <c r="Q24" s="112">
        <f t="shared" si="7"/>
        <v>1069317.554818046</v>
      </c>
      <c r="R24" s="112">
        <f t="shared" si="7"/>
        <v>1069317.554818046</v>
      </c>
      <c r="S24" s="112">
        <f t="shared" si="7"/>
        <v>1069317.554818046</v>
      </c>
      <c r="T24" s="112">
        <f t="shared" si="7"/>
        <v>1069317.554818046</v>
      </c>
      <c r="U24" s="112">
        <f t="shared" si="7"/>
        <v>343642.87454259186</v>
      </c>
      <c r="V24" s="112">
        <f t="shared" si="7"/>
        <v>343642.87454259186</v>
      </c>
      <c r="W24" s="112">
        <f t="shared" si="7"/>
        <v>343642.87454259186</v>
      </c>
      <c r="X24" s="112">
        <f t="shared" si="7"/>
        <v>343642.87454259186</v>
      </c>
      <c r="Y24" s="112">
        <f t="shared" si="7"/>
        <v>0</v>
      </c>
      <c r="Z24" s="112">
        <f t="shared" si="7"/>
        <v>1247223.5966238228</v>
      </c>
      <c r="AA24" s="112">
        <f t="shared" si="7"/>
        <v>817045.31624045502</v>
      </c>
      <c r="AB24" s="112">
        <f t="shared" si="7"/>
        <v>817045.31624045502</v>
      </c>
      <c r="AC24" s="112">
        <f t="shared" si="7"/>
        <v>788563.28821479017</v>
      </c>
      <c r="AD24" s="112">
        <f t="shared" si="7"/>
        <v>788563.28821479017</v>
      </c>
      <c r="AE24" s="112">
        <f t="shared" si="7"/>
        <v>788563.28821479017</v>
      </c>
      <c r="AF24" s="112">
        <f t="shared" si="7"/>
        <v>788563.28821479017</v>
      </c>
      <c r="AG24" s="112">
        <f t="shared" si="7"/>
        <v>1005608.1610364276</v>
      </c>
      <c r="AH24" s="112">
        <f t="shared" si="7"/>
        <v>1005608.1610364276</v>
      </c>
      <c r="AI24" s="112">
        <f t="shared" si="7"/>
        <v>1005608.1610364276</v>
      </c>
      <c r="AJ24" s="112">
        <f t="shared" si="7"/>
        <v>1005608.1610364276</v>
      </c>
      <c r="AK24" s="112">
        <f t="shared" si="7"/>
        <v>1007891.2143164813</v>
      </c>
      <c r="AL24" s="112">
        <f t="shared" si="7"/>
        <v>1007891.2143164813</v>
      </c>
      <c r="AM24" s="112">
        <f t="shared" si="7"/>
        <v>1007891.2143164813</v>
      </c>
      <c r="AN24" s="112">
        <f t="shared" si="7"/>
        <v>1007891.2143164813</v>
      </c>
      <c r="AO24" s="112">
        <f t="shared" si="7"/>
        <v>920126.73215292487</v>
      </c>
      <c r="AP24" s="112">
        <f t="shared" si="7"/>
        <v>920126.73215292487</v>
      </c>
      <c r="AQ24" s="112">
        <f t="shared" si="7"/>
        <v>920126.73215292487</v>
      </c>
      <c r="AR24" s="112">
        <f t="shared" si="7"/>
        <v>920126.73215292487</v>
      </c>
      <c r="AS24" s="112">
        <f t="shared" si="7"/>
        <v>1062355.8495741272</v>
      </c>
      <c r="AT24" s="112">
        <f t="shared" si="7"/>
        <v>1062355.8495741272</v>
      </c>
      <c r="AU24" s="112">
        <f t="shared" si="7"/>
        <v>1062355.8495741272</v>
      </c>
      <c r="AV24" s="112">
        <f t="shared" si="7"/>
        <v>1062355.8495741272</v>
      </c>
      <c r="AW24" s="112">
        <f t="shared" si="7"/>
        <v>660478.31100837619</v>
      </c>
      <c r="AX24" s="112">
        <f t="shared" si="7"/>
        <v>660478.31100837619</v>
      </c>
      <c r="AY24" s="112">
        <f t="shared" si="7"/>
        <v>660478.31100837619</v>
      </c>
      <c r="AZ24" s="147">
        <f t="shared" si="5"/>
        <v>43187040.384616069</v>
      </c>
    </row>
    <row r="25" spans="1:52" x14ac:dyDescent="0.2">
      <c r="C25" s="144"/>
      <c r="D25" s="144"/>
      <c r="E25" s="144"/>
      <c r="F25" s="144"/>
      <c r="G25" s="144"/>
      <c r="H25" s="144"/>
      <c r="I25" s="144"/>
      <c r="J25" s="144"/>
      <c r="K25" s="144"/>
      <c r="L25" s="144"/>
      <c r="M25" s="144"/>
      <c r="N25" s="144"/>
      <c r="O25" s="144"/>
      <c r="P25" s="144"/>
      <c r="Q25" s="144"/>
      <c r="R25" s="144"/>
      <c r="S25" s="144"/>
      <c r="T25" s="144"/>
      <c r="U25" s="144"/>
      <c r="V25" s="144"/>
      <c r="W25" s="144"/>
      <c r="X25" s="144"/>
      <c r="Y25" s="144"/>
      <c r="Z25" s="144"/>
      <c r="AA25" s="144"/>
      <c r="AB25" s="144"/>
      <c r="AC25" s="144"/>
      <c r="AD25" s="144"/>
      <c r="AE25" s="144"/>
      <c r="AF25" s="144"/>
      <c r="AG25" s="144"/>
      <c r="AH25" s="144"/>
      <c r="AI25" s="144"/>
      <c r="AJ25" s="144"/>
      <c r="AK25" s="144"/>
      <c r="AL25" s="144"/>
      <c r="AM25" s="144"/>
      <c r="AN25" s="144"/>
      <c r="AO25" s="144"/>
      <c r="AP25" s="144"/>
      <c r="AQ25" s="144"/>
      <c r="AR25" s="144"/>
      <c r="AS25" s="144"/>
      <c r="AT25" s="144"/>
      <c r="AU25" s="144"/>
      <c r="AV25" s="144"/>
      <c r="AW25" s="144"/>
      <c r="AX25" s="144"/>
      <c r="AY25" s="144"/>
      <c r="AZ25" s="112"/>
    </row>
    <row r="26" spans="1:52" x14ac:dyDescent="0.2">
      <c r="A26" s="169" t="s">
        <v>18</v>
      </c>
      <c r="C26" s="112"/>
      <c r="D26" s="112"/>
      <c r="E26" s="112"/>
      <c r="F26" s="112"/>
      <c r="G26" s="112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  <c r="T26" s="112"/>
      <c r="U26" s="112"/>
      <c r="V26" s="112"/>
      <c r="W26" s="112"/>
      <c r="X26" s="112"/>
      <c r="Y26" s="112"/>
      <c r="Z26" s="112"/>
      <c r="AA26" s="112"/>
      <c r="AB26" s="112"/>
      <c r="AC26" s="112"/>
      <c r="AD26" s="112"/>
      <c r="AE26" s="112"/>
      <c r="AF26" s="112"/>
      <c r="AG26" s="112"/>
      <c r="AH26" s="112"/>
      <c r="AI26" s="112"/>
      <c r="AJ26" s="112"/>
      <c r="AK26" s="112"/>
      <c r="AL26" s="112"/>
      <c r="AM26" s="112"/>
      <c r="AN26" s="112"/>
      <c r="AO26" s="112"/>
      <c r="AP26" s="112"/>
      <c r="AQ26" s="112"/>
      <c r="AR26" s="112"/>
      <c r="AS26" s="112"/>
      <c r="AT26" s="112"/>
      <c r="AU26" s="112"/>
      <c r="AV26" s="112"/>
      <c r="AW26" s="112"/>
      <c r="AX26" s="112"/>
      <c r="AY26" s="112"/>
      <c r="AZ26" s="112"/>
    </row>
    <row r="27" spans="1:52" x14ac:dyDescent="0.2">
      <c r="B27" s="141" t="s">
        <v>309</v>
      </c>
      <c r="C27" s="130">
        <v>0</v>
      </c>
      <c r="D27" s="130">
        <f>C$27-C$28+C$29</f>
        <v>20</v>
      </c>
      <c r="E27" s="130">
        <f t="shared" ref="E27:AY27" si="8">D27-D28+D29</f>
        <v>0</v>
      </c>
      <c r="F27" s="130">
        <f t="shared" si="8"/>
        <v>20</v>
      </c>
      <c r="G27" s="130">
        <f t="shared" si="8"/>
        <v>0</v>
      </c>
      <c r="H27" s="130">
        <f t="shared" si="8"/>
        <v>20</v>
      </c>
      <c r="I27" s="130">
        <f t="shared" si="8"/>
        <v>0</v>
      </c>
      <c r="J27" s="130">
        <f t="shared" si="8"/>
        <v>20</v>
      </c>
      <c r="K27" s="130">
        <f t="shared" si="8"/>
        <v>0</v>
      </c>
      <c r="L27" s="130">
        <f t="shared" si="8"/>
        <v>20</v>
      </c>
      <c r="M27" s="130">
        <f t="shared" si="8"/>
        <v>0</v>
      </c>
      <c r="N27" s="130">
        <f t="shared" si="8"/>
        <v>20</v>
      </c>
      <c r="O27" s="130">
        <f t="shared" si="8"/>
        <v>0</v>
      </c>
      <c r="P27" s="130">
        <f t="shared" si="8"/>
        <v>20</v>
      </c>
      <c r="Q27" s="130">
        <f t="shared" si="8"/>
        <v>0</v>
      </c>
      <c r="R27" s="130">
        <f t="shared" si="8"/>
        <v>20</v>
      </c>
      <c r="S27" s="130">
        <f t="shared" si="8"/>
        <v>0</v>
      </c>
      <c r="T27" s="130">
        <f t="shared" si="8"/>
        <v>20</v>
      </c>
      <c r="U27" s="130">
        <f t="shared" si="8"/>
        <v>0</v>
      </c>
      <c r="V27" s="130">
        <f t="shared" si="8"/>
        <v>20</v>
      </c>
      <c r="W27" s="130">
        <f t="shared" si="8"/>
        <v>2</v>
      </c>
      <c r="X27" s="130">
        <f t="shared" si="8"/>
        <v>18</v>
      </c>
      <c r="Y27" s="130">
        <f t="shared" si="8"/>
        <v>2</v>
      </c>
      <c r="Z27" s="130">
        <f t="shared" si="8"/>
        <v>20</v>
      </c>
      <c r="AA27" s="130">
        <f t="shared" si="8"/>
        <v>0</v>
      </c>
      <c r="AB27" s="130">
        <f t="shared" si="8"/>
        <v>20</v>
      </c>
      <c r="AC27" s="130">
        <f t="shared" si="8"/>
        <v>0</v>
      </c>
      <c r="AD27" s="130">
        <f t="shared" si="8"/>
        <v>20</v>
      </c>
      <c r="AE27" s="130">
        <f t="shared" si="8"/>
        <v>0</v>
      </c>
      <c r="AF27" s="130">
        <f t="shared" si="8"/>
        <v>20</v>
      </c>
      <c r="AG27" s="130">
        <f t="shared" si="8"/>
        <v>0</v>
      </c>
      <c r="AH27" s="130">
        <f t="shared" si="8"/>
        <v>20</v>
      </c>
      <c r="AI27" s="130">
        <f t="shared" si="8"/>
        <v>0</v>
      </c>
      <c r="AJ27" s="130">
        <f t="shared" si="8"/>
        <v>20</v>
      </c>
      <c r="AK27" s="130">
        <f t="shared" si="8"/>
        <v>0</v>
      </c>
      <c r="AL27" s="130">
        <f t="shared" si="8"/>
        <v>20</v>
      </c>
      <c r="AM27" s="130">
        <f t="shared" si="8"/>
        <v>0</v>
      </c>
      <c r="AN27" s="130">
        <f t="shared" si="8"/>
        <v>20</v>
      </c>
      <c r="AO27" s="130">
        <f t="shared" si="8"/>
        <v>0</v>
      </c>
      <c r="AP27" s="130">
        <f t="shared" si="8"/>
        <v>20</v>
      </c>
      <c r="AQ27" s="130">
        <f t="shared" si="8"/>
        <v>0</v>
      </c>
      <c r="AR27" s="130">
        <f t="shared" si="8"/>
        <v>20</v>
      </c>
      <c r="AS27" s="130">
        <f t="shared" si="8"/>
        <v>0</v>
      </c>
      <c r="AT27" s="130">
        <f t="shared" si="8"/>
        <v>20</v>
      </c>
      <c r="AU27" s="130">
        <f t="shared" si="8"/>
        <v>0</v>
      </c>
      <c r="AV27" s="130">
        <f t="shared" si="8"/>
        <v>20</v>
      </c>
      <c r="AW27" s="130">
        <f t="shared" si="8"/>
        <v>0</v>
      </c>
      <c r="AX27" s="130">
        <f t="shared" si="8"/>
        <v>20</v>
      </c>
      <c r="AY27" s="170">
        <f t="shared" si="8"/>
        <v>0</v>
      </c>
      <c r="AZ27" s="112"/>
    </row>
    <row r="28" spans="1:52" x14ac:dyDescent="0.2">
      <c r="B28" s="171" t="s">
        <v>310</v>
      </c>
      <c r="C28" s="116">
        <v>0</v>
      </c>
      <c r="D28" s="116">
        <v>20</v>
      </c>
      <c r="E28" s="116">
        <v>0</v>
      </c>
      <c r="F28" s="116">
        <v>20</v>
      </c>
      <c r="G28" s="116">
        <v>0</v>
      </c>
      <c r="H28" s="116">
        <v>20</v>
      </c>
      <c r="I28" s="116">
        <v>0</v>
      </c>
      <c r="J28" s="116">
        <v>20</v>
      </c>
      <c r="K28" s="116">
        <v>0</v>
      </c>
      <c r="L28" s="116">
        <v>20</v>
      </c>
      <c r="M28" s="116">
        <v>0</v>
      </c>
      <c r="N28" s="116">
        <v>20</v>
      </c>
      <c r="O28" s="116">
        <v>0</v>
      </c>
      <c r="P28" s="116">
        <v>20</v>
      </c>
      <c r="Q28" s="116">
        <v>0</v>
      </c>
      <c r="R28" s="116">
        <v>20</v>
      </c>
      <c r="S28" s="116">
        <v>0</v>
      </c>
      <c r="T28" s="116">
        <v>20</v>
      </c>
      <c r="U28" s="116">
        <v>0</v>
      </c>
      <c r="V28" s="116">
        <v>18</v>
      </c>
      <c r="W28" s="116">
        <v>2</v>
      </c>
      <c r="X28" s="116">
        <v>18</v>
      </c>
      <c r="Y28" s="116">
        <v>0</v>
      </c>
      <c r="Z28" s="116">
        <v>20</v>
      </c>
      <c r="AA28" s="116">
        <v>0</v>
      </c>
      <c r="AB28" s="116">
        <v>20</v>
      </c>
      <c r="AC28" s="116">
        <v>0</v>
      </c>
      <c r="AD28" s="116">
        <v>20</v>
      </c>
      <c r="AE28" s="116">
        <v>0</v>
      </c>
      <c r="AF28" s="116">
        <v>20</v>
      </c>
      <c r="AG28" s="116">
        <v>0</v>
      </c>
      <c r="AH28" s="116">
        <v>20</v>
      </c>
      <c r="AI28" s="116">
        <v>0</v>
      </c>
      <c r="AJ28" s="116">
        <v>20</v>
      </c>
      <c r="AK28" s="116">
        <v>0</v>
      </c>
      <c r="AL28" s="116">
        <v>20</v>
      </c>
      <c r="AM28" s="116">
        <v>0</v>
      </c>
      <c r="AN28" s="116">
        <v>20</v>
      </c>
      <c r="AO28" s="116">
        <v>0</v>
      </c>
      <c r="AP28" s="116">
        <v>20</v>
      </c>
      <c r="AQ28" s="116">
        <v>0</v>
      </c>
      <c r="AR28" s="116">
        <v>20</v>
      </c>
      <c r="AS28" s="116">
        <v>0</v>
      </c>
      <c r="AT28" s="116">
        <v>20</v>
      </c>
      <c r="AU28" s="116">
        <v>0</v>
      </c>
      <c r="AV28" s="116">
        <v>20</v>
      </c>
      <c r="AW28" s="116">
        <v>0</v>
      </c>
      <c r="AX28" s="116">
        <v>20</v>
      </c>
      <c r="AY28" s="172">
        <v>0</v>
      </c>
      <c r="AZ28" s="112"/>
    </row>
    <row r="29" spans="1:52" x14ac:dyDescent="0.2">
      <c r="B29" s="142" t="s">
        <v>311</v>
      </c>
      <c r="C29" s="131">
        <v>20</v>
      </c>
      <c r="D29" s="131">
        <f>C$28</f>
        <v>0</v>
      </c>
      <c r="E29" s="131">
        <f t="shared" ref="E29:AY29" si="9">D$28</f>
        <v>20</v>
      </c>
      <c r="F29" s="131">
        <f t="shared" si="9"/>
        <v>0</v>
      </c>
      <c r="G29" s="131">
        <f t="shared" si="9"/>
        <v>20</v>
      </c>
      <c r="H29" s="131">
        <f t="shared" si="9"/>
        <v>0</v>
      </c>
      <c r="I29" s="131">
        <f t="shared" si="9"/>
        <v>20</v>
      </c>
      <c r="J29" s="131">
        <f t="shared" si="9"/>
        <v>0</v>
      </c>
      <c r="K29" s="131">
        <f t="shared" si="9"/>
        <v>20</v>
      </c>
      <c r="L29" s="131">
        <f t="shared" si="9"/>
        <v>0</v>
      </c>
      <c r="M29" s="131">
        <f t="shared" si="9"/>
        <v>20</v>
      </c>
      <c r="N29" s="131">
        <f t="shared" si="9"/>
        <v>0</v>
      </c>
      <c r="O29" s="131">
        <f t="shared" si="9"/>
        <v>20</v>
      </c>
      <c r="P29" s="131">
        <f t="shared" si="9"/>
        <v>0</v>
      </c>
      <c r="Q29" s="131">
        <f t="shared" si="9"/>
        <v>20</v>
      </c>
      <c r="R29" s="131">
        <f t="shared" si="9"/>
        <v>0</v>
      </c>
      <c r="S29" s="131">
        <f t="shared" si="9"/>
        <v>20</v>
      </c>
      <c r="T29" s="131">
        <f t="shared" si="9"/>
        <v>0</v>
      </c>
      <c r="U29" s="131">
        <f t="shared" si="9"/>
        <v>20</v>
      </c>
      <c r="V29" s="131">
        <f t="shared" si="9"/>
        <v>0</v>
      </c>
      <c r="W29" s="131">
        <f t="shared" si="9"/>
        <v>18</v>
      </c>
      <c r="X29" s="131">
        <f t="shared" si="9"/>
        <v>2</v>
      </c>
      <c r="Y29" s="131">
        <f t="shared" si="9"/>
        <v>18</v>
      </c>
      <c r="Z29" s="131">
        <f t="shared" si="9"/>
        <v>0</v>
      </c>
      <c r="AA29" s="131">
        <f t="shared" si="9"/>
        <v>20</v>
      </c>
      <c r="AB29" s="131">
        <f t="shared" si="9"/>
        <v>0</v>
      </c>
      <c r="AC29" s="131">
        <f t="shared" si="9"/>
        <v>20</v>
      </c>
      <c r="AD29" s="131">
        <f t="shared" si="9"/>
        <v>0</v>
      </c>
      <c r="AE29" s="131">
        <f t="shared" si="9"/>
        <v>20</v>
      </c>
      <c r="AF29" s="131">
        <f t="shared" si="9"/>
        <v>0</v>
      </c>
      <c r="AG29" s="131">
        <f t="shared" si="9"/>
        <v>20</v>
      </c>
      <c r="AH29" s="131">
        <f t="shared" si="9"/>
        <v>0</v>
      </c>
      <c r="AI29" s="131">
        <f t="shared" si="9"/>
        <v>20</v>
      </c>
      <c r="AJ29" s="131">
        <f t="shared" si="9"/>
        <v>0</v>
      </c>
      <c r="AK29" s="131">
        <f t="shared" si="9"/>
        <v>20</v>
      </c>
      <c r="AL29" s="131">
        <f t="shared" si="9"/>
        <v>0</v>
      </c>
      <c r="AM29" s="131">
        <f t="shared" si="9"/>
        <v>20</v>
      </c>
      <c r="AN29" s="131">
        <f t="shared" si="9"/>
        <v>0</v>
      </c>
      <c r="AO29" s="131">
        <f t="shared" si="9"/>
        <v>20</v>
      </c>
      <c r="AP29" s="131">
        <f t="shared" si="9"/>
        <v>0</v>
      </c>
      <c r="AQ29" s="131">
        <f t="shared" si="9"/>
        <v>20</v>
      </c>
      <c r="AR29" s="131">
        <f t="shared" si="9"/>
        <v>0</v>
      </c>
      <c r="AS29" s="131">
        <f t="shared" si="9"/>
        <v>20</v>
      </c>
      <c r="AT29" s="131">
        <f t="shared" si="9"/>
        <v>0</v>
      </c>
      <c r="AU29" s="131">
        <f t="shared" si="9"/>
        <v>20</v>
      </c>
      <c r="AV29" s="131">
        <f t="shared" si="9"/>
        <v>0</v>
      </c>
      <c r="AW29" s="131">
        <f t="shared" si="9"/>
        <v>20</v>
      </c>
      <c r="AX29" s="131">
        <f t="shared" si="9"/>
        <v>0</v>
      </c>
      <c r="AY29" s="173">
        <f t="shared" si="9"/>
        <v>20</v>
      </c>
      <c r="AZ29" s="174"/>
    </row>
    <row r="30" spans="1:52" x14ac:dyDescent="0.2">
      <c r="A30" s="175" t="s">
        <v>312</v>
      </c>
      <c r="B30" s="150">
        <v>10</v>
      </c>
      <c r="C30" s="123" t="s">
        <v>293</v>
      </c>
      <c r="D30" s="123">
        <f>D$27*$B$30</f>
        <v>200</v>
      </c>
      <c r="E30" s="123">
        <f t="shared" ref="E30:AY30" si="10">E$27*$B$30</f>
        <v>0</v>
      </c>
      <c r="F30" s="123">
        <f t="shared" si="10"/>
        <v>200</v>
      </c>
      <c r="G30" s="123">
        <f t="shared" si="10"/>
        <v>0</v>
      </c>
      <c r="H30" s="123">
        <f t="shared" si="10"/>
        <v>200</v>
      </c>
      <c r="I30" s="123">
        <f t="shared" si="10"/>
        <v>0</v>
      </c>
      <c r="J30" s="123">
        <f t="shared" si="10"/>
        <v>200</v>
      </c>
      <c r="K30" s="123">
        <f t="shared" si="10"/>
        <v>0</v>
      </c>
      <c r="L30" s="123">
        <f t="shared" si="10"/>
        <v>200</v>
      </c>
      <c r="M30" s="123">
        <f t="shared" si="10"/>
        <v>0</v>
      </c>
      <c r="N30" s="123">
        <f t="shared" si="10"/>
        <v>200</v>
      </c>
      <c r="O30" s="123">
        <f t="shared" si="10"/>
        <v>0</v>
      </c>
      <c r="P30" s="123">
        <f t="shared" si="10"/>
        <v>200</v>
      </c>
      <c r="Q30" s="123">
        <f t="shared" si="10"/>
        <v>0</v>
      </c>
      <c r="R30" s="123">
        <f>R$27*$B$30</f>
        <v>200</v>
      </c>
      <c r="S30" s="123">
        <f t="shared" si="10"/>
        <v>0</v>
      </c>
      <c r="T30" s="123">
        <f t="shared" si="10"/>
        <v>200</v>
      </c>
      <c r="U30" s="123">
        <f t="shared" si="10"/>
        <v>0</v>
      </c>
      <c r="V30" s="123">
        <f t="shared" si="10"/>
        <v>200</v>
      </c>
      <c r="W30" s="123">
        <f t="shared" si="10"/>
        <v>20</v>
      </c>
      <c r="X30" s="123">
        <f t="shared" si="10"/>
        <v>180</v>
      </c>
      <c r="Y30" s="123">
        <f t="shared" si="10"/>
        <v>20</v>
      </c>
      <c r="Z30" s="123">
        <f t="shared" si="10"/>
        <v>200</v>
      </c>
      <c r="AA30" s="123">
        <f t="shared" si="10"/>
        <v>0</v>
      </c>
      <c r="AB30" s="123">
        <f t="shared" si="10"/>
        <v>200</v>
      </c>
      <c r="AC30" s="123">
        <f t="shared" si="10"/>
        <v>0</v>
      </c>
      <c r="AD30" s="123">
        <f t="shared" si="10"/>
        <v>200</v>
      </c>
      <c r="AE30" s="123">
        <f>AE$27*$B$30</f>
        <v>0</v>
      </c>
      <c r="AF30" s="123">
        <f t="shared" si="10"/>
        <v>200</v>
      </c>
      <c r="AG30" s="123">
        <f t="shared" si="10"/>
        <v>0</v>
      </c>
      <c r="AH30" s="123">
        <f t="shared" si="10"/>
        <v>200</v>
      </c>
      <c r="AI30" s="123">
        <f t="shared" si="10"/>
        <v>0</v>
      </c>
      <c r="AJ30" s="123">
        <f t="shared" si="10"/>
        <v>200</v>
      </c>
      <c r="AK30" s="123">
        <f t="shared" si="10"/>
        <v>0</v>
      </c>
      <c r="AL30" s="123">
        <f t="shared" si="10"/>
        <v>200</v>
      </c>
      <c r="AM30" s="123">
        <f t="shared" si="10"/>
        <v>0</v>
      </c>
      <c r="AN30" s="123">
        <f t="shared" si="10"/>
        <v>200</v>
      </c>
      <c r="AO30" s="123">
        <f t="shared" si="10"/>
        <v>0</v>
      </c>
      <c r="AP30" s="123">
        <f t="shared" si="10"/>
        <v>200</v>
      </c>
      <c r="AQ30" s="123">
        <f t="shared" si="10"/>
        <v>0</v>
      </c>
      <c r="AR30" s="123">
        <f t="shared" si="10"/>
        <v>200</v>
      </c>
      <c r="AS30" s="123">
        <f t="shared" si="10"/>
        <v>0</v>
      </c>
      <c r="AT30" s="123">
        <f t="shared" si="10"/>
        <v>200</v>
      </c>
      <c r="AU30" s="123">
        <f t="shared" si="10"/>
        <v>0</v>
      </c>
      <c r="AV30" s="123">
        <f t="shared" si="10"/>
        <v>200</v>
      </c>
      <c r="AW30" s="123">
        <f t="shared" si="10"/>
        <v>0</v>
      </c>
      <c r="AX30" s="123">
        <f t="shared" si="10"/>
        <v>200</v>
      </c>
      <c r="AY30" s="123">
        <f t="shared" si="10"/>
        <v>0</v>
      </c>
      <c r="AZ30" s="147">
        <f t="shared" si="5"/>
        <v>4820</v>
      </c>
    </row>
    <row r="32" spans="1:52" x14ac:dyDescent="0.2">
      <c r="A32" s="108" t="s">
        <v>300</v>
      </c>
    </row>
    <row r="33" spans="1:52" x14ac:dyDescent="0.2">
      <c r="A33" s="141" t="s">
        <v>42</v>
      </c>
      <c r="B33" s="141" t="s">
        <v>341</v>
      </c>
      <c r="C33" s="130"/>
      <c r="D33" s="130">
        <f>D$21*shipping_manufacturing!$D$27/100</f>
        <v>326.83241767933492</v>
      </c>
      <c r="E33" s="130">
        <f>E$21*shipping_manufacturing!$D$27/100</f>
        <v>250.64882197801109</v>
      </c>
      <c r="F33" s="130">
        <f>F$21*shipping_manufacturing!$D$27/100</f>
        <v>250.64882197801109</v>
      </c>
      <c r="G33" s="130">
        <f>G$21*shipping_manufacturing!$D$27/100</f>
        <v>250.64882197801109</v>
      </c>
      <c r="H33" s="130">
        <f>H$21*shipping_manufacturing!$D$27/100</f>
        <v>250.64882197801109</v>
      </c>
      <c r="I33" s="130">
        <f>I$21*shipping_manufacturing!$D$27/100</f>
        <v>326.83241767933492</v>
      </c>
      <c r="J33" s="130">
        <f>J$21*shipping_manufacturing!$D$27/100</f>
        <v>326.83241767933492</v>
      </c>
      <c r="K33" s="130">
        <f>K$21*shipping_manufacturing!$D$27/100</f>
        <v>326.83241767933492</v>
      </c>
      <c r="L33" s="130">
        <f>L$21*shipping_manufacturing!$D$27/100</f>
        <v>326.83241767933492</v>
      </c>
      <c r="M33" s="130">
        <f>M$21*shipping_manufacturing!$D$27/100</f>
        <v>0</v>
      </c>
      <c r="N33" s="130">
        <f>N$21*shipping_manufacturing!$D$27/100</f>
        <v>326.83241767933492</v>
      </c>
      <c r="O33" s="130">
        <f>O$21*shipping_manufacturing!$D$27/100</f>
        <v>291.51893187757656</v>
      </c>
      <c r="P33" s="130">
        <f>P$21*shipping_manufacturing!$D$27/100</f>
        <v>291.51893187757656</v>
      </c>
      <c r="Q33" s="130">
        <f>Q$21*shipping_manufacturing!$D$27/100</f>
        <v>280.21249971070444</v>
      </c>
      <c r="R33" s="130">
        <f>R$21*shipping_manufacturing!$D$27/100</f>
        <v>280.21249971070444</v>
      </c>
      <c r="S33" s="130">
        <f>S$21*shipping_manufacturing!$D$27/100</f>
        <v>280.21249971070444</v>
      </c>
      <c r="T33" s="130">
        <f>T$21*shipping_manufacturing!$D$27/100</f>
        <v>280.21249971070444</v>
      </c>
      <c r="U33" s="130">
        <f>U$21*shipping_manufacturing!$D$27/100</f>
        <v>90.05091934522369</v>
      </c>
      <c r="V33" s="130">
        <f>V$21*shipping_manufacturing!$D$27/100</f>
        <v>90.05091934522369</v>
      </c>
      <c r="W33" s="130">
        <f>W$21*shipping_manufacturing!$D$27/100</f>
        <v>90.05091934522369</v>
      </c>
      <c r="X33" s="130">
        <f>X$21*shipping_manufacturing!$D$27/100</f>
        <v>90.05091934522369</v>
      </c>
      <c r="Y33" s="130">
        <f>Y$21*shipping_manufacturing!$D$27/100</f>
        <v>0</v>
      </c>
      <c r="Z33" s="130">
        <f>Z$21*shipping_manufacturing!$D$27/100</f>
        <v>326.83241767933492</v>
      </c>
      <c r="AA33" s="130">
        <f>AA$21*shipping_manufacturing!$D$27/100</f>
        <v>214.10507048078733</v>
      </c>
      <c r="AB33" s="130">
        <f>AB$21*shipping_manufacturing!$D$27/100</f>
        <v>214.10507048078733</v>
      </c>
      <c r="AC33" s="130">
        <f>AC$21*shipping_manufacturing!$D$27/100</f>
        <v>206.64141271706535</v>
      </c>
      <c r="AD33" s="130">
        <f>AD$21*shipping_manufacturing!$D$27/100</f>
        <v>206.64141271706535</v>
      </c>
      <c r="AE33" s="130">
        <f>AE$21*shipping_manufacturing!$D$27/100</f>
        <v>206.64141271706535</v>
      </c>
      <c r="AF33" s="130">
        <f>AF$21*shipping_manufacturing!$D$27/100</f>
        <v>206.64141271706535</v>
      </c>
      <c r="AG33" s="130">
        <f>AG$21*shipping_manufacturing!$D$27/100</f>
        <v>263.51758209136483</v>
      </c>
      <c r="AH33" s="130">
        <f>AH$21*shipping_manufacturing!$D$27/100</f>
        <v>263.51758209136483</v>
      </c>
      <c r="AI33" s="130">
        <f>AI$21*shipping_manufacturing!$D$27/100</f>
        <v>263.51758209136483</v>
      </c>
      <c r="AJ33" s="130">
        <f>AJ$21*shipping_manufacturing!$D$27/100</f>
        <v>263.51758209136483</v>
      </c>
      <c r="AK33" s="130">
        <f>AK$21*shipping_manufacturing!$D$27/100</f>
        <v>264.1158515798756</v>
      </c>
      <c r="AL33" s="130">
        <f>AL$21*shipping_manufacturing!$D$27/100</f>
        <v>264.1158515798756</v>
      </c>
      <c r="AM33" s="130">
        <f>AM$21*shipping_manufacturing!$D$27/100</f>
        <v>264.1158515798756</v>
      </c>
      <c r="AN33" s="130">
        <f>AN$21*shipping_manufacturing!$D$27/100</f>
        <v>264.1158515798756</v>
      </c>
      <c r="AO33" s="130">
        <f>AO$21*shipping_manufacturing!$D$27/100</f>
        <v>241.11734676523207</v>
      </c>
      <c r="AP33" s="130">
        <f>AP$21*shipping_manufacturing!$D$27/100</f>
        <v>241.11734676523207</v>
      </c>
      <c r="AQ33" s="130">
        <f>AQ$21*shipping_manufacturing!$D$27/100</f>
        <v>241.11734676523207</v>
      </c>
      <c r="AR33" s="130">
        <f>AR$21*shipping_manufacturing!$D$27/100</f>
        <v>241.11734676523207</v>
      </c>
      <c r="AS33" s="130">
        <f>AS$21*shipping_manufacturing!$D$27/100</f>
        <v>278.38819895003883</v>
      </c>
      <c r="AT33" s="130">
        <f>AT$21*shipping_manufacturing!$D$27/100</f>
        <v>278.38819895003883</v>
      </c>
      <c r="AU33" s="130">
        <f>AU$21*shipping_manufacturing!$D$27/100</f>
        <v>278.38819895003883</v>
      </c>
      <c r="AV33" s="130">
        <f>AV$21*shipping_manufacturing!$D$27/100</f>
        <v>278.38819895003883</v>
      </c>
      <c r="AW33" s="130">
        <f>AW$21*shipping_manufacturing!$D$27/100</f>
        <v>173.07700383152616</v>
      </c>
      <c r="AX33" s="130">
        <f>AX$21*shipping_manufacturing!$D$27/100</f>
        <v>173.07700383152616</v>
      </c>
      <c r="AY33" s="130">
        <f>AY$21*shipping_manufacturing!$D$27/100</f>
        <v>173.07700383152616</v>
      </c>
    </row>
    <row r="34" spans="1:52" x14ac:dyDescent="0.2">
      <c r="A34" s="119" t="s">
        <v>340</v>
      </c>
      <c r="B34" s="171" t="s">
        <v>342</v>
      </c>
      <c r="C34" s="116"/>
      <c r="D34" s="116">
        <f>D$22*shipping_manufacturing!$E$27/100</f>
        <v>485.71025127014241</v>
      </c>
      <c r="E34" s="116">
        <f>E$22*shipping_manufacturing!$E$27/100</f>
        <v>372.49273853535044</v>
      </c>
      <c r="F34" s="116">
        <f>F$22*shipping_manufacturing!$E$27/100</f>
        <v>372.49273853535044</v>
      </c>
      <c r="G34" s="116">
        <f>G$22*shipping_manufacturing!$E$27/100</f>
        <v>372.49273853535044</v>
      </c>
      <c r="H34" s="116">
        <f>H$22*shipping_manufacturing!$E$27/100</f>
        <v>372.49273853535044</v>
      </c>
      <c r="I34" s="116">
        <f>I$22*shipping_manufacturing!$E$27/100</f>
        <v>485.71025127014241</v>
      </c>
      <c r="J34" s="116">
        <f>J$22*shipping_manufacturing!$E$27/100</f>
        <v>485.71025127014241</v>
      </c>
      <c r="K34" s="116">
        <f>K$22*shipping_manufacturing!$E$27/100</f>
        <v>485.71025127014241</v>
      </c>
      <c r="L34" s="116">
        <f>L$22*shipping_manufacturing!$E$27/100</f>
        <v>485.71025127014241</v>
      </c>
      <c r="M34" s="116">
        <f>M$22*shipping_manufacturing!$E$27/100</f>
        <v>0</v>
      </c>
      <c r="N34" s="116">
        <f>N$22*shipping_manufacturing!$E$27/100</f>
        <v>485.71025127014241</v>
      </c>
      <c r="O34" s="116">
        <f>O$22*shipping_manufacturing!$E$27/100</f>
        <v>433.23038350248078</v>
      </c>
      <c r="P34" s="116">
        <f>P$22*shipping_manufacturing!$E$27/100</f>
        <v>433.23038350248078</v>
      </c>
      <c r="Q34" s="116">
        <f>Q$22*shipping_manufacturing!$E$27/100</f>
        <v>416.4277356876355</v>
      </c>
      <c r="R34" s="116">
        <f>R$22*shipping_manufacturing!$E$27/100</f>
        <v>416.4277356876355</v>
      </c>
      <c r="S34" s="116">
        <f>S$22*shipping_manufacturing!$E$27/100</f>
        <v>416.4277356876355</v>
      </c>
      <c r="T34" s="116">
        <f>T$22*shipping_manufacturing!$E$27/100</f>
        <v>416.4277356876355</v>
      </c>
      <c r="U34" s="116">
        <f>U$22*shipping_manufacturing!$E$27/100</f>
        <v>133.8259373805117</v>
      </c>
      <c r="V34" s="116">
        <f>V$22*shipping_manufacturing!$E$27/100</f>
        <v>133.8259373805117</v>
      </c>
      <c r="W34" s="116">
        <f>W$22*shipping_manufacturing!$E$27/100</f>
        <v>133.8259373805117</v>
      </c>
      <c r="X34" s="116">
        <f>X$22*shipping_manufacturing!$E$27/100</f>
        <v>133.8259373805117</v>
      </c>
      <c r="Y34" s="116">
        <f>Y$22*shipping_manufacturing!$E$27/100</f>
        <v>0</v>
      </c>
      <c r="Z34" s="116">
        <f>Z$22*shipping_manufacturing!$E$27/100</f>
        <v>485.71025127014241</v>
      </c>
      <c r="AA34" s="116">
        <f>AA$22*shipping_manufacturing!$E$27/100</f>
        <v>318.18455561977157</v>
      </c>
      <c r="AB34" s="116">
        <f>AB$22*shipping_manufacturing!$E$27/100</f>
        <v>318.18455561977157</v>
      </c>
      <c r="AC34" s="116">
        <f>AC$22*shipping_manufacturing!$E$27/100</f>
        <v>307.09270887595039</v>
      </c>
      <c r="AD34" s="116">
        <f>AD$22*shipping_manufacturing!$E$27/100</f>
        <v>307.09270887595039</v>
      </c>
      <c r="AE34" s="116">
        <f>AE$22*shipping_manufacturing!$E$27/100</f>
        <v>307.09270887595039</v>
      </c>
      <c r="AF34" s="116">
        <f>AF$22*shipping_manufacturing!$E$27/100</f>
        <v>307.09270887595039</v>
      </c>
      <c r="AG34" s="116">
        <f>AG$22*shipping_manufacturing!$E$27/100</f>
        <v>391.61718387823805</v>
      </c>
      <c r="AH34" s="116">
        <f>AH$22*shipping_manufacturing!$E$27/100</f>
        <v>391.61718387823805</v>
      </c>
      <c r="AI34" s="116">
        <f>AI$22*shipping_manufacturing!$E$27/100</f>
        <v>391.61718387823805</v>
      </c>
      <c r="AJ34" s="116">
        <f>AJ$22*shipping_manufacturing!$E$27/100</f>
        <v>391.61718387823805</v>
      </c>
      <c r="AK34" s="116">
        <f>AK$22*shipping_manufacturing!$E$27/100</f>
        <v>392.50628057695326</v>
      </c>
      <c r="AL34" s="116">
        <f>AL$22*shipping_manufacturing!$E$27/100</f>
        <v>392.50628057695326</v>
      </c>
      <c r="AM34" s="116">
        <f>AM$22*shipping_manufacturing!$E$27/100</f>
        <v>392.50628057695326</v>
      </c>
      <c r="AN34" s="116">
        <f>AN$22*shipping_manufacturing!$E$27/100</f>
        <v>392.50628057695326</v>
      </c>
      <c r="AO34" s="116">
        <f>AO$22*shipping_manufacturing!$E$27/100</f>
        <v>358.32787920638327</v>
      </c>
      <c r="AP34" s="116">
        <f>AP$22*shipping_manufacturing!$E$27/100</f>
        <v>358.32787920638327</v>
      </c>
      <c r="AQ34" s="116">
        <f>AQ$22*shipping_manufacturing!$E$27/100</f>
        <v>358.32787920638327</v>
      </c>
      <c r="AR34" s="116">
        <f>AR$22*shipping_manufacturing!$E$27/100</f>
        <v>358.32787920638327</v>
      </c>
      <c r="AS34" s="116">
        <f>AS$22*shipping_manufacturing!$E$27/100</f>
        <v>413.71661667702205</v>
      </c>
      <c r="AT34" s="116">
        <f>AT$22*shipping_manufacturing!$E$27/100</f>
        <v>413.71661667702205</v>
      </c>
      <c r="AU34" s="116">
        <f>AU$22*shipping_manufacturing!$E$27/100</f>
        <v>413.71661667702205</v>
      </c>
      <c r="AV34" s="116">
        <f>AV$22*shipping_manufacturing!$E$27/100</f>
        <v>413.71661667702205</v>
      </c>
      <c r="AW34" s="116">
        <f>AW$22*shipping_manufacturing!$E$27/100</f>
        <v>257.21216890600169</v>
      </c>
      <c r="AX34" s="116">
        <f>AX$22*shipping_manufacturing!$E$27/100</f>
        <v>257.21216890600169</v>
      </c>
      <c r="AY34" s="116">
        <f>AY$22*shipping_manufacturing!$E$27/100</f>
        <v>257.21216890600169</v>
      </c>
    </row>
    <row r="35" spans="1:52" x14ac:dyDescent="0.2">
      <c r="A35" s="116">
        <v>620</v>
      </c>
      <c r="B35" s="171" t="s">
        <v>343</v>
      </c>
      <c r="C35" s="116"/>
      <c r="D35" s="116">
        <f>SUM(D33:D34)</f>
        <v>812.54266894947727</v>
      </c>
      <c r="E35" s="116">
        <f t="shared" ref="E35:AY35" si="11">SUM(E33:E34)</f>
        <v>623.14156051336158</v>
      </c>
      <c r="F35" s="116">
        <f t="shared" si="11"/>
        <v>623.14156051336158</v>
      </c>
      <c r="G35" s="116">
        <f t="shared" si="11"/>
        <v>623.14156051336158</v>
      </c>
      <c r="H35" s="116">
        <f t="shared" si="11"/>
        <v>623.14156051336158</v>
      </c>
      <c r="I35" s="116">
        <f t="shared" si="11"/>
        <v>812.54266894947727</v>
      </c>
      <c r="J35" s="116">
        <f t="shared" si="11"/>
        <v>812.54266894947727</v>
      </c>
      <c r="K35" s="116">
        <f t="shared" si="11"/>
        <v>812.54266894947727</v>
      </c>
      <c r="L35" s="116">
        <f t="shared" si="11"/>
        <v>812.54266894947727</v>
      </c>
      <c r="M35" s="116">
        <f t="shared" si="11"/>
        <v>0</v>
      </c>
      <c r="N35" s="116">
        <f t="shared" si="11"/>
        <v>812.54266894947727</v>
      </c>
      <c r="O35" s="116">
        <f t="shared" si="11"/>
        <v>724.7493153800574</v>
      </c>
      <c r="P35" s="116">
        <f t="shared" si="11"/>
        <v>724.7493153800574</v>
      </c>
      <c r="Q35" s="116">
        <f t="shared" si="11"/>
        <v>696.64023539833988</v>
      </c>
      <c r="R35" s="116">
        <f t="shared" si="11"/>
        <v>696.64023539833988</v>
      </c>
      <c r="S35" s="116">
        <f t="shared" si="11"/>
        <v>696.64023539833988</v>
      </c>
      <c r="T35" s="116">
        <f t="shared" si="11"/>
        <v>696.64023539833988</v>
      </c>
      <c r="U35" s="116">
        <f t="shared" si="11"/>
        <v>223.87685672573539</v>
      </c>
      <c r="V35" s="116">
        <f t="shared" si="11"/>
        <v>223.87685672573539</v>
      </c>
      <c r="W35" s="116">
        <f t="shared" si="11"/>
        <v>223.87685672573539</v>
      </c>
      <c r="X35" s="116">
        <f t="shared" si="11"/>
        <v>223.87685672573539</v>
      </c>
      <c r="Y35" s="116">
        <f t="shared" si="11"/>
        <v>0</v>
      </c>
      <c r="Z35" s="116">
        <f t="shared" si="11"/>
        <v>812.54266894947727</v>
      </c>
      <c r="AA35" s="116">
        <f t="shared" si="11"/>
        <v>532.28962610055896</v>
      </c>
      <c r="AB35" s="116">
        <f t="shared" si="11"/>
        <v>532.28962610055896</v>
      </c>
      <c r="AC35" s="116">
        <f t="shared" si="11"/>
        <v>513.73412159301574</v>
      </c>
      <c r="AD35" s="116">
        <f t="shared" si="11"/>
        <v>513.73412159301574</v>
      </c>
      <c r="AE35" s="116">
        <f t="shared" si="11"/>
        <v>513.73412159301574</v>
      </c>
      <c r="AF35" s="116">
        <f t="shared" si="11"/>
        <v>513.73412159301574</v>
      </c>
      <c r="AG35" s="116">
        <f t="shared" si="11"/>
        <v>655.13476596960288</v>
      </c>
      <c r="AH35" s="116">
        <f t="shared" si="11"/>
        <v>655.13476596960288</v>
      </c>
      <c r="AI35" s="116">
        <f t="shared" si="11"/>
        <v>655.13476596960288</v>
      </c>
      <c r="AJ35" s="116">
        <f t="shared" si="11"/>
        <v>655.13476596960288</v>
      </c>
      <c r="AK35" s="116">
        <f t="shared" si="11"/>
        <v>656.62213215682891</v>
      </c>
      <c r="AL35" s="116">
        <f t="shared" si="11"/>
        <v>656.62213215682891</v>
      </c>
      <c r="AM35" s="116">
        <f t="shared" si="11"/>
        <v>656.62213215682891</v>
      </c>
      <c r="AN35" s="116">
        <f t="shared" si="11"/>
        <v>656.62213215682891</v>
      </c>
      <c r="AO35" s="116">
        <f t="shared" si="11"/>
        <v>599.4452259716154</v>
      </c>
      <c r="AP35" s="116">
        <f t="shared" si="11"/>
        <v>599.4452259716154</v>
      </c>
      <c r="AQ35" s="116">
        <f t="shared" si="11"/>
        <v>599.4452259716154</v>
      </c>
      <c r="AR35" s="116">
        <f t="shared" si="11"/>
        <v>599.4452259716154</v>
      </c>
      <c r="AS35" s="116">
        <f t="shared" si="11"/>
        <v>692.10481562706082</v>
      </c>
      <c r="AT35" s="116">
        <f t="shared" si="11"/>
        <v>692.10481562706082</v>
      </c>
      <c r="AU35" s="116">
        <f t="shared" si="11"/>
        <v>692.10481562706082</v>
      </c>
      <c r="AV35" s="116">
        <f t="shared" si="11"/>
        <v>692.10481562706082</v>
      </c>
      <c r="AW35" s="116">
        <f t="shared" si="11"/>
        <v>430.28917273752785</v>
      </c>
      <c r="AX35" s="116">
        <f t="shared" si="11"/>
        <v>430.28917273752785</v>
      </c>
      <c r="AY35" s="116">
        <f t="shared" si="11"/>
        <v>430.28917273752785</v>
      </c>
    </row>
    <row r="36" spans="1:52" x14ac:dyDescent="0.2">
      <c r="A36" s="116"/>
      <c r="B36" s="171" t="s">
        <v>344</v>
      </c>
      <c r="C36" s="116"/>
      <c r="D36" s="116">
        <v>120.67024791518618</v>
      </c>
      <c r="E36" s="116"/>
      <c r="F36" s="116">
        <v>120.6702479151862</v>
      </c>
      <c r="G36" s="116"/>
      <c r="H36" s="116">
        <v>120.6702479151862</v>
      </c>
      <c r="I36" s="116"/>
      <c r="J36" s="116">
        <v>120.67024791518618</v>
      </c>
      <c r="K36" s="116"/>
      <c r="L36" s="116">
        <v>120.67024791518618</v>
      </c>
      <c r="M36" s="116"/>
      <c r="N36" s="116">
        <v>120.67024791518618</v>
      </c>
      <c r="O36" s="116"/>
      <c r="P36" s="116">
        <v>120.67024791518617</v>
      </c>
      <c r="Q36" s="116"/>
      <c r="R36" s="116">
        <v>120.67024791518618</v>
      </c>
      <c r="S36" s="116"/>
      <c r="T36" s="116">
        <v>120.67024791518618</v>
      </c>
      <c r="U36" s="116"/>
      <c r="V36" s="116">
        <v>90.05091934522369</v>
      </c>
      <c r="W36" s="116">
        <v>12.067024791518618</v>
      </c>
      <c r="X36" s="116">
        <v>90.05091934522369</v>
      </c>
      <c r="Y36" s="116"/>
      <c r="Z36" s="116">
        <v>120.67024791518618</v>
      </c>
      <c r="AA36" s="116"/>
      <c r="AB36" s="116">
        <v>120.6702479151862</v>
      </c>
      <c r="AC36" s="116"/>
      <c r="AD36" s="116">
        <v>120.6702479151862</v>
      </c>
      <c r="AE36" s="116"/>
      <c r="AF36" s="116">
        <v>120.6702479151862</v>
      </c>
      <c r="AG36" s="116"/>
      <c r="AH36" s="116">
        <v>120.6702479151862</v>
      </c>
      <c r="AI36" s="116"/>
      <c r="AJ36" s="116">
        <v>120.6702479151862</v>
      </c>
      <c r="AK36" s="116"/>
      <c r="AL36" s="116">
        <v>120.6702479151862</v>
      </c>
      <c r="AM36" s="116"/>
      <c r="AN36" s="116">
        <v>120.6702479151862</v>
      </c>
      <c r="AO36" s="116"/>
      <c r="AP36" s="116">
        <v>120.6702479151862</v>
      </c>
      <c r="AQ36" s="116"/>
      <c r="AR36" s="116">
        <v>120.6702479151862</v>
      </c>
      <c r="AS36" s="116"/>
      <c r="AT36" s="116">
        <v>120.6702479151862</v>
      </c>
      <c r="AU36" s="116"/>
      <c r="AV36" s="116">
        <v>120.6702479151862</v>
      </c>
      <c r="AW36" s="116"/>
      <c r="AX36" s="116">
        <v>120.67024791518618</v>
      </c>
      <c r="AY36" s="116"/>
    </row>
    <row r="37" spans="1:52" x14ac:dyDescent="0.2">
      <c r="A37" s="116"/>
      <c r="B37" s="171" t="s">
        <v>345</v>
      </c>
      <c r="C37" s="116"/>
      <c r="D37" s="116">
        <v>179.32975208481392</v>
      </c>
      <c r="E37" s="116"/>
      <c r="F37" s="116">
        <v>179.32975208481386</v>
      </c>
      <c r="G37" s="116"/>
      <c r="H37" s="116">
        <v>179.32975208481386</v>
      </c>
      <c r="I37" s="116"/>
      <c r="J37" s="116">
        <v>179.32975208481392</v>
      </c>
      <c r="K37" s="116"/>
      <c r="L37" s="116">
        <v>179.32975208481392</v>
      </c>
      <c r="M37" s="116"/>
      <c r="N37" s="116">
        <v>179.32975208481392</v>
      </c>
      <c r="O37" s="116"/>
      <c r="P37" s="116">
        <v>179.32975208481386</v>
      </c>
      <c r="Q37" s="116"/>
      <c r="R37" s="116">
        <v>179.32975208481392</v>
      </c>
      <c r="S37" s="116"/>
      <c r="T37" s="116">
        <v>179.32975208481392</v>
      </c>
      <c r="U37" s="116"/>
      <c r="V37" s="116">
        <v>133.8259373805117</v>
      </c>
      <c r="W37" s="116">
        <v>17.93297520848138</v>
      </c>
      <c r="X37" s="116">
        <v>133.8259373805117</v>
      </c>
      <c r="Y37" s="116"/>
      <c r="Z37" s="116">
        <v>179.32975208481392</v>
      </c>
      <c r="AA37" s="116"/>
      <c r="AB37" s="116">
        <v>179.32975208481378</v>
      </c>
      <c r="AC37" s="116"/>
      <c r="AD37" s="116">
        <v>179.32975208481378</v>
      </c>
      <c r="AE37" s="116"/>
      <c r="AF37" s="116">
        <v>179.32975208481378</v>
      </c>
      <c r="AG37" s="116"/>
      <c r="AH37" s="116">
        <v>179.32975208481392</v>
      </c>
      <c r="AI37" s="116"/>
      <c r="AJ37" s="116">
        <v>179.32975208481392</v>
      </c>
      <c r="AK37" s="116"/>
      <c r="AL37" s="116">
        <v>179.32975208481386</v>
      </c>
      <c r="AM37" s="116"/>
      <c r="AN37" s="116">
        <v>179.32975208481386</v>
      </c>
      <c r="AO37" s="116"/>
      <c r="AP37" s="116">
        <v>179.32975208481383</v>
      </c>
      <c r="AQ37" s="116"/>
      <c r="AR37" s="116">
        <v>179.32975208481383</v>
      </c>
      <c r="AS37" s="116"/>
      <c r="AT37" s="116">
        <v>179.32975208481392</v>
      </c>
      <c r="AU37" s="116"/>
      <c r="AV37" s="116">
        <v>179.32975208481392</v>
      </c>
      <c r="AW37" s="116"/>
      <c r="AX37" s="116">
        <v>179.3297520848138</v>
      </c>
      <c r="AY37" s="116"/>
    </row>
    <row r="38" spans="1:52" x14ac:dyDescent="0.2">
      <c r="A38" s="116"/>
      <c r="B38" s="171" t="s">
        <v>346</v>
      </c>
      <c r="C38" s="116"/>
      <c r="D38" s="116">
        <v>10</v>
      </c>
      <c r="E38" s="116"/>
      <c r="F38" s="116">
        <v>10</v>
      </c>
      <c r="G38" s="116"/>
      <c r="H38" s="116">
        <v>10</v>
      </c>
      <c r="I38" s="116"/>
      <c r="J38" s="116">
        <v>10</v>
      </c>
      <c r="K38" s="116"/>
      <c r="L38" s="116">
        <v>10</v>
      </c>
      <c r="M38" s="116"/>
      <c r="N38" s="116">
        <v>10</v>
      </c>
      <c r="O38" s="116"/>
      <c r="P38" s="116">
        <v>10</v>
      </c>
      <c r="Q38" s="116"/>
      <c r="R38" s="116">
        <v>10</v>
      </c>
      <c r="S38" s="116"/>
      <c r="T38" s="116">
        <v>10</v>
      </c>
      <c r="U38" s="116"/>
      <c r="V38" s="116">
        <v>8</v>
      </c>
      <c r="W38" s="116">
        <v>1</v>
      </c>
      <c r="X38" s="116">
        <v>8</v>
      </c>
      <c r="Y38" s="116"/>
      <c r="Z38" s="116">
        <v>10</v>
      </c>
      <c r="AA38" s="116"/>
      <c r="AB38" s="116">
        <v>10</v>
      </c>
      <c r="AC38" s="116"/>
      <c r="AD38" s="116">
        <v>10</v>
      </c>
      <c r="AE38" s="116"/>
      <c r="AF38" s="116">
        <v>10</v>
      </c>
      <c r="AG38" s="116"/>
      <c r="AH38" s="116">
        <v>10</v>
      </c>
      <c r="AI38" s="116"/>
      <c r="AJ38" s="116">
        <v>10</v>
      </c>
      <c r="AK38" s="116"/>
      <c r="AL38" s="116">
        <v>10</v>
      </c>
      <c r="AM38" s="116"/>
      <c r="AN38" s="116">
        <v>10</v>
      </c>
      <c r="AO38" s="116"/>
      <c r="AP38" s="116">
        <v>10</v>
      </c>
      <c r="AQ38" s="116"/>
      <c r="AR38" s="116">
        <v>10</v>
      </c>
      <c r="AS38" s="116"/>
      <c r="AT38" s="116">
        <v>10</v>
      </c>
      <c r="AU38" s="116"/>
      <c r="AV38" s="116">
        <v>10</v>
      </c>
      <c r="AW38" s="116"/>
      <c r="AX38" s="116">
        <v>10</v>
      </c>
      <c r="AY38" s="116"/>
    </row>
    <row r="39" spans="1:52" x14ac:dyDescent="0.2">
      <c r="A39" s="116"/>
      <c r="B39" s="171" t="s">
        <v>347</v>
      </c>
      <c r="C39" s="116"/>
      <c r="D39" s="116">
        <f>D33-D36</f>
        <v>206.16216976414876</v>
      </c>
      <c r="E39" s="116">
        <f t="shared" ref="E39:AY39" si="12">E33-E36</f>
        <v>250.64882197801109</v>
      </c>
      <c r="F39" s="116">
        <f t="shared" si="12"/>
        <v>129.97857406282489</v>
      </c>
      <c r="G39" s="116">
        <f t="shared" si="12"/>
        <v>250.64882197801109</v>
      </c>
      <c r="H39" s="116">
        <f t="shared" si="12"/>
        <v>129.97857406282489</v>
      </c>
      <c r="I39" s="116">
        <f t="shared" si="12"/>
        <v>326.83241767933492</v>
      </c>
      <c r="J39" s="116">
        <f t="shared" si="12"/>
        <v>206.16216976414876</v>
      </c>
      <c r="K39" s="116">
        <f t="shared" si="12"/>
        <v>326.83241767933492</v>
      </c>
      <c r="L39" s="116">
        <f t="shared" si="12"/>
        <v>206.16216976414876</v>
      </c>
      <c r="M39" s="116">
        <f t="shared" si="12"/>
        <v>0</v>
      </c>
      <c r="N39" s="116">
        <f t="shared" si="12"/>
        <v>206.16216976414876</v>
      </c>
      <c r="O39" s="116">
        <f t="shared" si="12"/>
        <v>291.51893187757656</v>
      </c>
      <c r="P39" s="116">
        <f t="shared" si="12"/>
        <v>170.8486839623904</v>
      </c>
      <c r="Q39" s="116">
        <f t="shared" si="12"/>
        <v>280.21249971070444</v>
      </c>
      <c r="R39" s="116">
        <f t="shared" si="12"/>
        <v>159.54225179551827</v>
      </c>
      <c r="S39" s="116">
        <f t="shared" si="12"/>
        <v>280.21249971070444</v>
      </c>
      <c r="T39" s="116">
        <f t="shared" si="12"/>
        <v>159.54225179551827</v>
      </c>
      <c r="U39" s="116">
        <f t="shared" si="12"/>
        <v>90.05091934522369</v>
      </c>
      <c r="V39" s="116">
        <f t="shared" si="12"/>
        <v>0</v>
      </c>
      <c r="W39" s="116">
        <f t="shared" si="12"/>
        <v>77.983894553705071</v>
      </c>
      <c r="X39" s="116">
        <f t="shared" si="12"/>
        <v>0</v>
      </c>
      <c r="Y39" s="116">
        <f t="shared" si="12"/>
        <v>0</v>
      </c>
      <c r="Z39" s="116">
        <f t="shared" si="12"/>
        <v>206.16216976414876</v>
      </c>
      <c r="AA39" s="116">
        <f t="shared" si="12"/>
        <v>214.10507048078733</v>
      </c>
      <c r="AB39" s="116">
        <f t="shared" si="12"/>
        <v>93.434822565601138</v>
      </c>
      <c r="AC39" s="116">
        <f t="shared" si="12"/>
        <v>206.64141271706535</v>
      </c>
      <c r="AD39" s="116">
        <f t="shared" si="12"/>
        <v>85.971164801879155</v>
      </c>
      <c r="AE39" s="116">
        <f t="shared" si="12"/>
        <v>206.64141271706535</v>
      </c>
      <c r="AF39" s="116">
        <f t="shared" si="12"/>
        <v>85.971164801879155</v>
      </c>
      <c r="AG39" s="116">
        <f t="shared" si="12"/>
        <v>263.51758209136483</v>
      </c>
      <c r="AH39" s="116">
        <f t="shared" si="12"/>
        <v>142.84733417617863</v>
      </c>
      <c r="AI39" s="116">
        <f t="shared" si="12"/>
        <v>263.51758209136483</v>
      </c>
      <c r="AJ39" s="116">
        <f t="shared" si="12"/>
        <v>142.84733417617863</v>
      </c>
      <c r="AK39" s="116">
        <f t="shared" si="12"/>
        <v>264.1158515798756</v>
      </c>
      <c r="AL39" s="116">
        <f t="shared" si="12"/>
        <v>143.4456036646894</v>
      </c>
      <c r="AM39" s="116">
        <f t="shared" si="12"/>
        <v>264.1158515798756</v>
      </c>
      <c r="AN39" s="116">
        <f t="shared" si="12"/>
        <v>143.4456036646894</v>
      </c>
      <c r="AO39" s="116">
        <f t="shared" si="12"/>
        <v>241.11734676523207</v>
      </c>
      <c r="AP39" s="116">
        <f t="shared" si="12"/>
        <v>120.44709885004588</v>
      </c>
      <c r="AQ39" s="116">
        <f t="shared" si="12"/>
        <v>241.11734676523207</v>
      </c>
      <c r="AR39" s="116">
        <f t="shared" si="12"/>
        <v>120.44709885004588</v>
      </c>
      <c r="AS39" s="116">
        <f t="shared" si="12"/>
        <v>278.38819895003883</v>
      </c>
      <c r="AT39" s="116">
        <f t="shared" si="12"/>
        <v>157.71795103485263</v>
      </c>
      <c r="AU39" s="116">
        <f t="shared" si="12"/>
        <v>278.38819895003883</v>
      </c>
      <c r="AV39" s="116">
        <f t="shared" si="12"/>
        <v>157.71795103485263</v>
      </c>
      <c r="AW39" s="116">
        <f t="shared" si="12"/>
        <v>173.07700383152616</v>
      </c>
      <c r="AX39" s="116">
        <f t="shared" si="12"/>
        <v>52.406755916339975</v>
      </c>
      <c r="AY39" s="116">
        <f t="shared" si="12"/>
        <v>173.07700383152616</v>
      </c>
    </row>
    <row r="40" spans="1:52" x14ac:dyDescent="0.2">
      <c r="A40" s="116"/>
      <c r="B40" s="171" t="s">
        <v>348</v>
      </c>
      <c r="C40" s="116"/>
      <c r="D40" s="116">
        <f>D34-D37</f>
        <v>306.38049918532852</v>
      </c>
      <c r="E40" s="116">
        <f t="shared" ref="E40:AY40" si="13">E34-E37</f>
        <v>372.49273853535044</v>
      </c>
      <c r="F40" s="116">
        <f t="shared" si="13"/>
        <v>193.16298645053658</v>
      </c>
      <c r="G40" s="116">
        <f t="shared" si="13"/>
        <v>372.49273853535044</v>
      </c>
      <c r="H40" s="116">
        <f t="shared" si="13"/>
        <v>193.16298645053658</v>
      </c>
      <c r="I40" s="116">
        <f t="shared" si="13"/>
        <v>485.71025127014241</v>
      </c>
      <c r="J40" s="116">
        <f t="shared" si="13"/>
        <v>306.38049918532852</v>
      </c>
      <c r="K40" s="116">
        <f t="shared" si="13"/>
        <v>485.71025127014241</v>
      </c>
      <c r="L40" s="116">
        <f t="shared" si="13"/>
        <v>306.38049918532852</v>
      </c>
      <c r="M40" s="116">
        <f t="shared" si="13"/>
        <v>0</v>
      </c>
      <c r="N40" s="116">
        <f t="shared" si="13"/>
        <v>306.38049918532852</v>
      </c>
      <c r="O40" s="116">
        <f t="shared" si="13"/>
        <v>433.23038350248078</v>
      </c>
      <c r="P40" s="116">
        <f t="shared" si="13"/>
        <v>253.90063141766692</v>
      </c>
      <c r="Q40" s="116">
        <f t="shared" si="13"/>
        <v>416.4277356876355</v>
      </c>
      <c r="R40" s="116">
        <f t="shared" si="13"/>
        <v>237.09798360282159</v>
      </c>
      <c r="S40" s="116">
        <f t="shared" si="13"/>
        <v>416.4277356876355</v>
      </c>
      <c r="T40" s="116">
        <f t="shared" si="13"/>
        <v>237.09798360282159</v>
      </c>
      <c r="U40" s="116">
        <f t="shared" si="13"/>
        <v>133.8259373805117</v>
      </c>
      <c r="V40" s="116">
        <f t="shared" si="13"/>
        <v>0</v>
      </c>
      <c r="W40" s="116">
        <f t="shared" si="13"/>
        <v>115.89296217203032</v>
      </c>
      <c r="X40" s="116">
        <f t="shared" si="13"/>
        <v>0</v>
      </c>
      <c r="Y40" s="116">
        <f t="shared" si="13"/>
        <v>0</v>
      </c>
      <c r="Z40" s="116">
        <f t="shared" si="13"/>
        <v>306.38049918532852</v>
      </c>
      <c r="AA40" s="116">
        <f t="shared" si="13"/>
        <v>318.18455561977157</v>
      </c>
      <c r="AB40" s="116">
        <f t="shared" si="13"/>
        <v>138.8548035349578</v>
      </c>
      <c r="AC40" s="116">
        <f t="shared" si="13"/>
        <v>307.09270887595039</v>
      </c>
      <c r="AD40" s="116">
        <f t="shared" si="13"/>
        <v>127.76295679113662</v>
      </c>
      <c r="AE40" s="116">
        <f t="shared" si="13"/>
        <v>307.09270887595039</v>
      </c>
      <c r="AF40" s="116">
        <f t="shared" si="13"/>
        <v>127.76295679113662</v>
      </c>
      <c r="AG40" s="116">
        <f t="shared" si="13"/>
        <v>391.61718387823805</v>
      </c>
      <c r="AH40" s="116">
        <f t="shared" si="13"/>
        <v>212.28743179342413</v>
      </c>
      <c r="AI40" s="116">
        <f t="shared" si="13"/>
        <v>391.61718387823805</v>
      </c>
      <c r="AJ40" s="116">
        <f t="shared" si="13"/>
        <v>212.28743179342413</v>
      </c>
      <c r="AK40" s="116">
        <f t="shared" si="13"/>
        <v>392.50628057695326</v>
      </c>
      <c r="AL40" s="116">
        <f t="shared" si="13"/>
        <v>213.1765284921394</v>
      </c>
      <c r="AM40" s="116">
        <f t="shared" si="13"/>
        <v>392.50628057695326</v>
      </c>
      <c r="AN40" s="116">
        <f t="shared" si="13"/>
        <v>213.1765284921394</v>
      </c>
      <c r="AO40" s="116">
        <f t="shared" si="13"/>
        <v>358.32787920638327</v>
      </c>
      <c r="AP40" s="116">
        <f t="shared" si="13"/>
        <v>178.99812712156944</v>
      </c>
      <c r="AQ40" s="116">
        <f t="shared" si="13"/>
        <v>358.32787920638327</v>
      </c>
      <c r="AR40" s="116">
        <f t="shared" si="13"/>
        <v>178.99812712156944</v>
      </c>
      <c r="AS40" s="116">
        <f t="shared" si="13"/>
        <v>413.71661667702205</v>
      </c>
      <c r="AT40" s="116">
        <f t="shared" si="13"/>
        <v>234.38686459220813</v>
      </c>
      <c r="AU40" s="116">
        <f t="shared" si="13"/>
        <v>413.71661667702205</v>
      </c>
      <c r="AV40" s="116">
        <f t="shared" si="13"/>
        <v>234.38686459220813</v>
      </c>
      <c r="AW40" s="116">
        <f t="shared" si="13"/>
        <v>257.21216890600169</v>
      </c>
      <c r="AX40" s="116">
        <f t="shared" si="13"/>
        <v>77.882416821187888</v>
      </c>
      <c r="AY40" s="116">
        <f t="shared" si="13"/>
        <v>257.21216890600169</v>
      </c>
    </row>
    <row r="41" spans="1:52" x14ac:dyDescent="0.2">
      <c r="A41" s="116"/>
      <c r="B41" s="171" t="s">
        <v>349</v>
      </c>
      <c r="C41" s="116"/>
      <c r="D41" s="116">
        <v>1</v>
      </c>
      <c r="E41" s="116">
        <v>1</v>
      </c>
      <c r="F41" s="116">
        <v>3</v>
      </c>
      <c r="G41" s="116">
        <v>2</v>
      </c>
      <c r="H41" s="116">
        <v>1</v>
      </c>
      <c r="I41" s="116">
        <v>1</v>
      </c>
      <c r="J41" s="116">
        <v>1</v>
      </c>
      <c r="K41" s="116">
        <v>1</v>
      </c>
      <c r="L41" s="116">
        <v>1</v>
      </c>
      <c r="M41" s="116">
        <v>1</v>
      </c>
      <c r="N41" s="116">
        <v>1</v>
      </c>
      <c r="O41" s="116">
        <v>1</v>
      </c>
      <c r="P41" s="116">
        <v>1</v>
      </c>
      <c r="Q41" s="116">
        <v>2</v>
      </c>
      <c r="R41" s="116">
        <v>1</v>
      </c>
      <c r="S41" s="116">
        <v>1</v>
      </c>
      <c r="T41" s="116">
        <v>1</v>
      </c>
      <c r="U41" s="116">
        <v>2</v>
      </c>
      <c r="V41" s="116">
        <v>1</v>
      </c>
      <c r="W41" s="116">
        <v>1</v>
      </c>
      <c r="X41" s="116">
        <v>2</v>
      </c>
      <c r="Y41" s="116">
        <v>2</v>
      </c>
      <c r="Z41" s="116">
        <v>1</v>
      </c>
      <c r="AA41" s="116">
        <v>2</v>
      </c>
      <c r="AB41" s="116">
        <v>1</v>
      </c>
      <c r="AC41" s="116">
        <v>1</v>
      </c>
      <c r="AD41" s="116">
        <v>1</v>
      </c>
      <c r="AE41" s="116">
        <v>1</v>
      </c>
      <c r="AF41" s="116">
        <v>1</v>
      </c>
      <c r="AG41" s="116">
        <v>1</v>
      </c>
      <c r="AH41" s="116">
        <v>3</v>
      </c>
      <c r="AI41" s="116">
        <v>3</v>
      </c>
      <c r="AJ41" s="116">
        <v>1</v>
      </c>
      <c r="AK41" s="116">
        <v>1</v>
      </c>
      <c r="AL41" s="116">
        <v>1</v>
      </c>
      <c r="AM41" s="116">
        <v>1</v>
      </c>
      <c r="AN41" s="116">
        <v>2</v>
      </c>
      <c r="AO41" s="116">
        <v>1</v>
      </c>
      <c r="AP41" s="116">
        <v>1</v>
      </c>
      <c r="AQ41" s="116">
        <v>1</v>
      </c>
      <c r="AR41" s="116">
        <v>1</v>
      </c>
      <c r="AS41" s="116">
        <v>1</v>
      </c>
      <c r="AT41" s="116">
        <v>2</v>
      </c>
      <c r="AU41" s="116">
        <v>1</v>
      </c>
      <c r="AV41" s="116">
        <v>1</v>
      </c>
      <c r="AW41" s="116">
        <v>1</v>
      </c>
      <c r="AX41" s="116">
        <v>3</v>
      </c>
      <c r="AY41" s="116">
        <v>1</v>
      </c>
    </row>
    <row r="42" spans="1:52" x14ac:dyDescent="0.2">
      <c r="A42" s="116"/>
      <c r="B42" s="184" t="s">
        <v>350</v>
      </c>
      <c r="C42" s="116"/>
      <c r="D42" s="116">
        <v>223200</v>
      </c>
      <c r="E42" s="116">
        <v>0</v>
      </c>
      <c r="F42" s="116">
        <v>223200</v>
      </c>
      <c r="G42" s="116">
        <v>0</v>
      </c>
      <c r="H42" s="116">
        <v>223200</v>
      </c>
      <c r="I42" s="116">
        <v>0</v>
      </c>
      <c r="J42" s="116">
        <v>223200</v>
      </c>
      <c r="K42" s="116">
        <v>0</v>
      </c>
      <c r="L42" s="116">
        <v>223200</v>
      </c>
      <c r="M42" s="116">
        <v>0</v>
      </c>
      <c r="N42" s="116">
        <v>223200</v>
      </c>
      <c r="O42" s="116">
        <v>0</v>
      </c>
      <c r="P42" s="116">
        <v>223200</v>
      </c>
      <c r="Q42" s="116">
        <v>0</v>
      </c>
      <c r="R42" s="116">
        <v>223200</v>
      </c>
      <c r="S42" s="116">
        <v>0</v>
      </c>
      <c r="T42" s="116">
        <v>223200</v>
      </c>
      <c r="U42" s="116">
        <v>0</v>
      </c>
      <c r="V42" s="116">
        <v>178560</v>
      </c>
      <c r="W42" s="116">
        <v>22320</v>
      </c>
      <c r="X42" s="116">
        <v>178560</v>
      </c>
      <c r="Y42" s="116">
        <v>0</v>
      </c>
      <c r="Z42" s="116">
        <v>223200</v>
      </c>
      <c r="AA42" s="116">
        <v>0</v>
      </c>
      <c r="AB42" s="116">
        <v>223200</v>
      </c>
      <c r="AC42" s="116">
        <v>0</v>
      </c>
      <c r="AD42" s="116">
        <v>223200</v>
      </c>
      <c r="AE42" s="116">
        <v>0</v>
      </c>
      <c r="AF42" s="116">
        <v>223200</v>
      </c>
      <c r="AG42" s="116">
        <v>0</v>
      </c>
      <c r="AH42" s="116">
        <v>223200</v>
      </c>
      <c r="AI42" s="116">
        <v>0</v>
      </c>
      <c r="AJ42" s="116">
        <v>223200</v>
      </c>
      <c r="AK42" s="116">
        <v>0</v>
      </c>
      <c r="AL42" s="116">
        <v>223200</v>
      </c>
      <c r="AM42" s="116">
        <v>0</v>
      </c>
      <c r="AN42" s="116">
        <v>223200</v>
      </c>
      <c r="AO42" s="116">
        <v>0</v>
      </c>
      <c r="AP42" s="116">
        <v>223200</v>
      </c>
      <c r="AQ42" s="116">
        <v>0</v>
      </c>
      <c r="AR42" s="116">
        <v>223200</v>
      </c>
      <c r="AS42" s="116">
        <v>0</v>
      </c>
      <c r="AT42" s="116">
        <v>223200</v>
      </c>
      <c r="AU42" s="116">
        <v>0</v>
      </c>
      <c r="AV42" s="116">
        <v>223200</v>
      </c>
      <c r="AW42" s="116">
        <v>0</v>
      </c>
      <c r="AX42" s="116">
        <v>223200</v>
      </c>
      <c r="AY42" s="116">
        <v>0</v>
      </c>
      <c r="AZ42" s="106">
        <f>SUM($D$42:$AY$42)</f>
        <v>5289840</v>
      </c>
    </row>
    <row r="43" spans="1:52" x14ac:dyDescent="0.2">
      <c r="A43" s="116"/>
      <c r="B43" s="184" t="s">
        <v>351</v>
      </c>
      <c r="C43" s="116"/>
      <c r="D43" s="116">
        <v>206554.69558663937</v>
      </c>
      <c r="E43" s="116">
        <v>251126.04888688473</v>
      </c>
      <c r="F43" s="116">
        <v>130226.04888688469</v>
      </c>
      <c r="G43" s="116">
        <v>251126.04888688473</v>
      </c>
      <c r="H43" s="116">
        <v>130226.04888688469</v>
      </c>
      <c r="I43" s="116">
        <v>327454.69558663934</v>
      </c>
      <c r="J43" s="116">
        <v>206554.69558663937</v>
      </c>
      <c r="K43" s="116">
        <v>327454.69558663934</v>
      </c>
      <c r="L43" s="116">
        <v>206554.69558663937</v>
      </c>
      <c r="M43" s="116">
        <v>0</v>
      </c>
      <c r="N43" s="116">
        <v>206554.69558663937</v>
      </c>
      <c r="O43" s="116">
        <v>292073.97409816313</v>
      </c>
      <c r="P43" s="116">
        <v>171173.9740981631</v>
      </c>
      <c r="Q43" s="116">
        <v>280746.014865531</v>
      </c>
      <c r="R43" s="116">
        <v>159846.01486553097</v>
      </c>
      <c r="S43" s="116">
        <v>280746.014865531</v>
      </c>
      <c r="T43" s="116">
        <v>159846.01486553097</v>
      </c>
      <c r="U43" s="116">
        <v>90222.373260471359</v>
      </c>
      <c r="V43" s="116">
        <v>0</v>
      </c>
      <c r="W43" s="116">
        <v>78132.373260471373</v>
      </c>
      <c r="X43" s="116">
        <v>0</v>
      </c>
      <c r="Y43" s="116">
        <v>0</v>
      </c>
      <c r="Z43" s="116">
        <v>206554.69558663937</v>
      </c>
      <c r="AA43" s="116">
        <v>214512.71931852525</v>
      </c>
      <c r="AB43" s="116">
        <v>93612.71931852524</v>
      </c>
      <c r="AC43" s="116">
        <v>207034.85100198534</v>
      </c>
      <c r="AD43" s="116">
        <v>86134.851001985357</v>
      </c>
      <c r="AE43" s="116">
        <v>207034.85100198534</v>
      </c>
      <c r="AF43" s="116">
        <v>86134.851001985357</v>
      </c>
      <c r="AG43" s="116">
        <v>264019.31068574998</v>
      </c>
      <c r="AH43" s="116">
        <v>143119.31068574992</v>
      </c>
      <c r="AI43" s="116">
        <v>264019.31068574998</v>
      </c>
      <c r="AJ43" s="116">
        <v>143119.31068574992</v>
      </c>
      <c r="AK43" s="116">
        <v>264618.71925920207</v>
      </c>
      <c r="AL43" s="116">
        <v>143718.71925920201</v>
      </c>
      <c r="AM43" s="116">
        <v>264618.71925920207</v>
      </c>
      <c r="AN43" s="116">
        <v>143718.71925920201</v>
      </c>
      <c r="AO43" s="116">
        <v>241576.42606656102</v>
      </c>
      <c r="AP43" s="116">
        <v>120676.42606656098</v>
      </c>
      <c r="AQ43" s="116">
        <v>241576.42606656102</v>
      </c>
      <c r="AR43" s="116">
        <v>120676.42606656098</v>
      </c>
      <c r="AS43" s="116">
        <v>278918.24069770554</v>
      </c>
      <c r="AT43" s="116">
        <v>158018.24069770548</v>
      </c>
      <c r="AU43" s="116">
        <v>278918.24069770554</v>
      </c>
      <c r="AV43" s="116">
        <v>158018.24069770548</v>
      </c>
      <c r="AW43" s="116">
        <v>173406.53661322375</v>
      </c>
      <c r="AX43" s="116">
        <v>52506.536613223725</v>
      </c>
      <c r="AY43" s="116">
        <v>173406.53661322375</v>
      </c>
      <c r="AZ43" s="106">
        <f>SUM($D$43:$AY$43)</f>
        <v>8486289.0581549462</v>
      </c>
    </row>
    <row r="44" spans="1:52" x14ac:dyDescent="0.2">
      <c r="A44" s="141" t="s">
        <v>49</v>
      </c>
      <c r="B44" s="141" t="s">
        <v>341</v>
      </c>
      <c r="C44" s="130"/>
      <c r="D44" s="130">
        <f>D$21*shipping_manufacturing!$D$28/100</f>
        <v>136.424845614568</v>
      </c>
      <c r="E44" s="130">
        <f>E$21*shipping_manufacturing!$D$28/100</f>
        <v>104.62464857256899</v>
      </c>
      <c r="F44" s="130">
        <f>F$21*shipping_manufacturing!$D$28/100</f>
        <v>104.62464857256899</v>
      </c>
      <c r="G44" s="130">
        <f>G$21*shipping_manufacturing!$D$28/100</f>
        <v>104.62464857256899</v>
      </c>
      <c r="H44" s="130">
        <f>H$21*shipping_manufacturing!$D$28/100</f>
        <v>104.62464857256899</v>
      </c>
      <c r="I44" s="130">
        <f>I$21*shipping_manufacturing!$D$28/100</f>
        <v>136.424845614568</v>
      </c>
      <c r="J44" s="130">
        <f>J$21*shipping_manufacturing!$D$28/100</f>
        <v>136.424845614568</v>
      </c>
      <c r="K44" s="130">
        <f>K$21*shipping_manufacturing!$D$28/100</f>
        <v>136.424845614568</v>
      </c>
      <c r="L44" s="130">
        <f>L$21*shipping_manufacturing!$D$28/100</f>
        <v>136.424845614568</v>
      </c>
      <c r="M44" s="130">
        <f>M$21*shipping_manufacturing!$D$28/100</f>
        <v>0</v>
      </c>
      <c r="N44" s="130">
        <f>N$21*shipping_manufacturing!$D$28/100</f>
        <v>136.424845614568</v>
      </c>
      <c r="O44" s="130">
        <f>O$21*shipping_manufacturing!$D$28/100</f>
        <v>121.6844569994342</v>
      </c>
      <c r="P44" s="130">
        <f>P$21*shipping_manufacturing!$D$28/100</f>
        <v>121.6844569994342</v>
      </c>
      <c r="Q44" s="130">
        <f>Q$21*shipping_manufacturing!$D$28/100</f>
        <v>116.964979434236</v>
      </c>
      <c r="R44" s="130">
        <f>R$21*shipping_manufacturing!$D$28/100</f>
        <v>116.964979434236</v>
      </c>
      <c r="S44" s="130">
        <f>S$21*shipping_manufacturing!$D$28/100</f>
        <v>116.964979434236</v>
      </c>
      <c r="T44" s="130">
        <f>T$21*shipping_manufacturing!$D$28/100</f>
        <v>116.964979434236</v>
      </c>
      <c r="U44" s="130">
        <f>U$21*shipping_manufacturing!$D$28/100</f>
        <v>37.58862984385906</v>
      </c>
      <c r="V44" s="130">
        <f>V$21*shipping_manufacturing!$D$28/100</f>
        <v>37.58862984385906</v>
      </c>
      <c r="W44" s="130">
        <f>W$21*shipping_manufacturing!$D$28/100</f>
        <v>37.58862984385906</v>
      </c>
      <c r="X44" s="130">
        <f>X$21*shipping_manufacturing!$D$28/100</f>
        <v>37.58862984385906</v>
      </c>
      <c r="Y44" s="130">
        <f>Y$21*shipping_manufacturing!$D$28/100</f>
        <v>0</v>
      </c>
      <c r="Z44" s="130">
        <f>Z$21*shipping_manufacturing!$D$28/100</f>
        <v>136.424845614568</v>
      </c>
      <c r="AA44" s="130">
        <f>AA$21*shipping_manufacturing!$D$28/100</f>
        <v>89.370728255896836</v>
      </c>
      <c r="AB44" s="130">
        <f>AB$21*shipping_manufacturing!$D$28/100</f>
        <v>89.370728255896836</v>
      </c>
      <c r="AC44" s="130">
        <f>AC$21*shipping_manufacturing!$D$28/100</f>
        <v>86.255283449761507</v>
      </c>
      <c r="AD44" s="130">
        <f>AD$21*shipping_manufacturing!$D$28/100</f>
        <v>86.255283449761507</v>
      </c>
      <c r="AE44" s="130">
        <f>AE$21*shipping_manufacturing!$D$28/100</f>
        <v>86.255283449761507</v>
      </c>
      <c r="AF44" s="130">
        <f>AF$21*shipping_manufacturing!$D$28/100</f>
        <v>86.255283449761507</v>
      </c>
      <c r="AG44" s="130">
        <f>AG$21*shipping_manufacturing!$D$28/100</f>
        <v>109.99626569727445</v>
      </c>
      <c r="AH44" s="130">
        <f>AH$21*shipping_manufacturing!$D$28/100</f>
        <v>109.99626569727445</v>
      </c>
      <c r="AI44" s="130">
        <f>AI$21*shipping_manufacturing!$D$28/100</f>
        <v>109.99626569727445</v>
      </c>
      <c r="AJ44" s="130">
        <f>AJ$21*shipping_manufacturing!$D$28/100</f>
        <v>109.99626569727445</v>
      </c>
      <c r="AK44" s="130">
        <f>AK$21*shipping_manufacturing!$D$28/100</f>
        <v>110.24599252420771</v>
      </c>
      <c r="AL44" s="130">
        <f>AL$21*shipping_manufacturing!$D$28/100</f>
        <v>110.24599252420771</v>
      </c>
      <c r="AM44" s="130">
        <f>AM$21*shipping_manufacturing!$D$28/100</f>
        <v>110.24599252420771</v>
      </c>
      <c r="AN44" s="130">
        <f>AN$21*shipping_manufacturing!$D$28/100</f>
        <v>110.24599252420771</v>
      </c>
      <c r="AO44" s="130">
        <f>AO$21*shipping_manufacturing!$D$28/100</f>
        <v>100.64606516393586</v>
      </c>
      <c r="AP44" s="130">
        <f>AP$21*shipping_manufacturing!$D$28/100</f>
        <v>100.64606516393586</v>
      </c>
      <c r="AQ44" s="130">
        <f>AQ$21*shipping_manufacturing!$D$28/100</f>
        <v>100.64606516393586</v>
      </c>
      <c r="AR44" s="130">
        <f>AR$21*shipping_manufacturing!$D$28/100</f>
        <v>100.64606516393586</v>
      </c>
      <c r="AS44" s="130">
        <f>AS$21*shipping_manufacturing!$D$28/100</f>
        <v>116.20348841876233</v>
      </c>
      <c r="AT44" s="130">
        <f>AT$21*shipping_manufacturing!$D$28/100</f>
        <v>116.20348841876233</v>
      </c>
      <c r="AU44" s="130">
        <f>AU$21*shipping_manufacturing!$D$28/100</f>
        <v>116.20348841876233</v>
      </c>
      <c r="AV44" s="130">
        <f>AV$21*shipping_manufacturing!$D$28/100</f>
        <v>116.20348841876233</v>
      </c>
      <c r="AW44" s="130">
        <f>AW$21*shipping_manufacturing!$D$28/100</f>
        <v>72.244986267899534</v>
      </c>
      <c r="AX44" s="130">
        <f>AX$21*shipping_manufacturing!$D$28/100</f>
        <v>72.244986267899534</v>
      </c>
      <c r="AY44" s="130">
        <f>AY$21*shipping_manufacturing!$D$28/100</f>
        <v>72.244986267899534</v>
      </c>
    </row>
    <row r="45" spans="1:52" x14ac:dyDescent="0.2">
      <c r="A45" s="119" t="s">
        <v>340</v>
      </c>
      <c r="B45" s="171" t="s">
        <v>342</v>
      </c>
      <c r="C45" s="116"/>
      <c r="D45" s="116">
        <f>D$22*shipping_manufacturing!$E$28/100</f>
        <v>662.72082789164563</v>
      </c>
      <c r="E45" s="116">
        <f>E$22*shipping_manufacturing!$E$28/100</f>
        <v>508.24271347008448</v>
      </c>
      <c r="F45" s="116">
        <f>F$22*shipping_manufacturing!$E$28/100</f>
        <v>508.24271347008448</v>
      </c>
      <c r="G45" s="116">
        <f>G$22*shipping_manufacturing!$E$28/100</f>
        <v>508.24271347008448</v>
      </c>
      <c r="H45" s="116">
        <f>H$22*shipping_manufacturing!$E$28/100</f>
        <v>508.24271347008448</v>
      </c>
      <c r="I45" s="116">
        <f>I$22*shipping_manufacturing!$E$28/100</f>
        <v>662.72082789164563</v>
      </c>
      <c r="J45" s="116">
        <f>J$22*shipping_manufacturing!$E$28/100</f>
        <v>662.72082789164563</v>
      </c>
      <c r="K45" s="116">
        <f>K$22*shipping_manufacturing!$E$28/100</f>
        <v>662.72082789164563</v>
      </c>
      <c r="L45" s="116">
        <f>L$22*shipping_manufacturing!$E$28/100</f>
        <v>662.72082789164563</v>
      </c>
      <c r="M45" s="116">
        <f>M$22*shipping_manufacturing!$E$28/100</f>
        <v>0</v>
      </c>
      <c r="N45" s="116">
        <f>N$22*shipping_manufacturing!$E$28/100</f>
        <v>662.72082789164563</v>
      </c>
      <c r="O45" s="116">
        <f>O$22*shipping_manufacturing!$E$28/100</f>
        <v>591.11537726819324</v>
      </c>
      <c r="P45" s="116">
        <f>P$22*shipping_manufacturing!$E$28/100</f>
        <v>591.11537726819324</v>
      </c>
      <c r="Q45" s="116">
        <f>Q$22*shipping_manufacturing!$E$28/100</f>
        <v>568.18923016401641</v>
      </c>
      <c r="R45" s="116">
        <f>R$22*shipping_manufacturing!$E$28/100</f>
        <v>568.18923016401641</v>
      </c>
      <c r="S45" s="116">
        <f>S$22*shipping_manufacturing!$E$28/100</f>
        <v>568.18923016401641</v>
      </c>
      <c r="T45" s="116">
        <f>T$22*shipping_manufacturing!$E$28/100</f>
        <v>568.18923016401641</v>
      </c>
      <c r="U45" s="116">
        <f>U$22*shipping_manufacturing!$E$28/100</f>
        <v>182.59700260034464</v>
      </c>
      <c r="V45" s="116">
        <f>V$22*shipping_manufacturing!$E$28/100</f>
        <v>182.59700260034464</v>
      </c>
      <c r="W45" s="116">
        <f>W$22*shipping_manufacturing!$E$28/100</f>
        <v>182.59700260034464</v>
      </c>
      <c r="X45" s="116">
        <f>X$22*shipping_manufacturing!$E$28/100</f>
        <v>182.59700260034464</v>
      </c>
      <c r="Y45" s="116">
        <f>Y$22*shipping_manufacturing!$E$28/100</f>
        <v>0</v>
      </c>
      <c r="Z45" s="116">
        <f>Z$22*shipping_manufacturing!$E$28/100</f>
        <v>662.72082789164563</v>
      </c>
      <c r="AA45" s="116">
        <f>AA$22*shipping_manufacturing!$E$28/100</f>
        <v>434.14264280246795</v>
      </c>
      <c r="AB45" s="116">
        <f>AB$22*shipping_manufacturing!$E$28/100</f>
        <v>434.14264280246795</v>
      </c>
      <c r="AC45" s="116">
        <f>AC$22*shipping_manufacturing!$E$28/100</f>
        <v>419.00852150753968</v>
      </c>
      <c r="AD45" s="116">
        <f>AD$22*shipping_manufacturing!$E$28/100</f>
        <v>419.00852150753968</v>
      </c>
      <c r="AE45" s="116">
        <f>AE$22*shipping_manufacturing!$E$28/100</f>
        <v>419.00852150753968</v>
      </c>
      <c r="AF45" s="116">
        <f>AF$22*shipping_manufacturing!$E$28/100</f>
        <v>419.00852150753968</v>
      </c>
      <c r="AG45" s="116">
        <f>AG$22*shipping_manufacturing!$E$28/100</f>
        <v>534.33680602313189</v>
      </c>
      <c r="AH45" s="116">
        <f>AH$22*shipping_manufacturing!$E$28/100</f>
        <v>534.33680602313189</v>
      </c>
      <c r="AI45" s="116">
        <f>AI$22*shipping_manufacturing!$E$28/100</f>
        <v>534.33680602313189</v>
      </c>
      <c r="AJ45" s="116">
        <f>AJ$22*shipping_manufacturing!$E$28/100</f>
        <v>534.33680602313189</v>
      </c>
      <c r="AK45" s="116">
        <f>AK$22*shipping_manufacturing!$E$28/100</f>
        <v>535.54992207062617</v>
      </c>
      <c r="AL45" s="116">
        <f>AL$22*shipping_manufacturing!$E$28/100</f>
        <v>535.54992207062617</v>
      </c>
      <c r="AM45" s="116">
        <f>AM$22*shipping_manufacturing!$E$28/100</f>
        <v>535.54992207062617</v>
      </c>
      <c r="AN45" s="116">
        <f>AN$22*shipping_manufacturing!$E$28/100</f>
        <v>535.54992207062617</v>
      </c>
      <c r="AO45" s="116">
        <f>AO$22*shipping_manufacturing!$E$28/100</f>
        <v>488.91566143255039</v>
      </c>
      <c r="AP45" s="116">
        <f>AP$22*shipping_manufacturing!$E$28/100</f>
        <v>488.91566143255039</v>
      </c>
      <c r="AQ45" s="116">
        <f>AQ$22*shipping_manufacturing!$E$28/100</f>
        <v>488.91566143255039</v>
      </c>
      <c r="AR45" s="116">
        <f>AR$22*shipping_manufacturing!$E$28/100</f>
        <v>488.91566143255039</v>
      </c>
      <c r="AS45" s="116">
        <f>AS$22*shipping_manufacturing!$E$28/100</f>
        <v>564.49008024793352</v>
      </c>
      <c r="AT45" s="116">
        <f>AT$22*shipping_manufacturing!$E$28/100</f>
        <v>564.49008024793352</v>
      </c>
      <c r="AU45" s="116">
        <f>AU$22*shipping_manufacturing!$E$28/100</f>
        <v>564.49008024793352</v>
      </c>
      <c r="AV45" s="116">
        <f>AV$22*shipping_manufacturing!$E$28/100</f>
        <v>564.49008024793352</v>
      </c>
      <c r="AW45" s="116">
        <f>AW$22*shipping_manufacturing!$E$28/100</f>
        <v>350.94968878139821</v>
      </c>
      <c r="AX45" s="116">
        <f>AX$22*shipping_manufacturing!$E$28/100</f>
        <v>350.94968878139821</v>
      </c>
      <c r="AY45" s="116">
        <f>AY$22*shipping_manufacturing!$E$28/100</f>
        <v>350.94968878139821</v>
      </c>
    </row>
    <row r="46" spans="1:52" x14ac:dyDescent="0.2">
      <c r="A46" s="116">
        <v>502</v>
      </c>
      <c r="B46" s="171" t="s">
        <v>343</v>
      </c>
      <c r="C46" s="116"/>
      <c r="D46" s="116">
        <f>SUM(D44:D45)</f>
        <v>799.1456735062136</v>
      </c>
      <c r="E46" s="116">
        <f t="shared" ref="E46:AY46" si="14">SUM(E44:E45)</f>
        <v>612.86736204265344</v>
      </c>
      <c r="F46" s="116">
        <f t="shared" si="14"/>
        <v>612.86736204265344</v>
      </c>
      <c r="G46" s="116">
        <f t="shared" si="14"/>
        <v>612.86736204265344</v>
      </c>
      <c r="H46" s="116">
        <f t="shared" si="14"/>
        <v>612.86736204265344</v>
      </c>
      <c r="I46" s="116">
        <f t="shared" si="14"/>
        <v>799.1456735062136</v>
      </c>
      <c r="J46" s="116">
        <f t="shared" si="14"/>
        <v>799.1456735062136</v>
      </c>
      <c r="K46" s="116">
        <f t="shared" si="14"/>
        <v>799.1456735062136</v>
      </c>
      <c r="L46" s="116">
        <f t="shared" si="14"/>
        <v>799.1456735062136</v>
      </c>
      <c r="M46" s="116">
        <f t="shared" si="14"/>
        <v>0</v>
      </c>
      <c r="N46" s="116">
        <f t="shared" si="14"/>
        <v>799.1456735062136</v>
      </c>
      <c r="O46" s="116">
        <f t="shared" si="14"/>
        <v>712.79983426762749</v>
      </c>
      <c r="P46" s="116">
        <f t="shared" si="14"/>
        <v>712.79983426762749</v>
      </c>
      <c r="Q46" s="116">
        <f t="shared" si="14"/>
        <v>685.15420959825246</v>
      </c>
      <c r="R46" s="116">
        <f t="shared" si="14"/>
        <v>685.15420959825246</v>
      </c>
      <c r="S46" s="116">
        <f t="shared" si="14"/>
        <v>685.15420959825246</v>
      </c>
      <c r="T46" s="116">
        <f t="shared" si="14"/>
        <v>685.15420959825246</v>
      </c>
      <c r="U46" s="116">
        <f t="shared" si="14"/>
        <v>220.18563244420369</v>
      </c>
      <c r="V46" s="116">
        <f t="shared" si="14"/>
        <v>220.18563244420369</v>
      </c>
      <c r="W46" s="116">
        <f t="shared" si="14"/>
        <v>220.18563244420369</v>
      </c>
      <c r="X46" s="116">
        <f t="shared" si="14"/>
        <v>220.18563244420369</v>
      </c>
      <c r="Y46" s="116">
        <f t="shared" si="14"/>
        <v>0</v>
      </c>
      <c r="Z46" s="116">
        <f t="shared" si="14"/>
        <v>799.1456735062136</v>
      </c>
      <c r="AA46" s="116">
        <f t="shared" si="14"/>
        <v>523.51337105836478</v>
      </c>
      <c r="AB46" s="116">
        <f t="shared" si="14"/>
        <v>523.51337105836478</v>
      </c>
      <c r="AC46" s="116">
        <f t="shared" si="14"/>
        <v>505.2638049573012</v>
      </c>
      <c r="AD46" s="116">
        <f t="shared" si="14"/>
        <v>505.2638049573012</v>
      </c>
      <c r="AE46" s="116">
        <f t="shared" si="14"/>
        <v>505.2638049573012</v>
      </c>
      <c r="AF46" s="116">
        <f t="shared" si="14"/>
        <v>505.2638049573012</v>
      </c>
      <c r="AG46" s="116">
        <f t="shared" si="14"/>
        <v>644.33307172040634</v>
      </c>
      <c r="AH46" s="116">
        <f t="shared" si="14"/>
        <v>644.33307172040634</v>
      </c>
      <c r="AI46" s="116">
        <f t="shared" si="14"/>
        <v>644.33307172040634</v>
      </c>
      <c r="AJ46" s="116">
        <f t="shared" si="14"/>
        <v>644.33307172040634</v>
      </c>
      <c r="AK46" s="116">
        <f t="shared" si="14"/>
        <v>645.7959145948339</v>
      </c>
      <c r="AL46" s="116">
        <f t="shared" si="14"/>
        <v>645.7959145948339</v>
      </c>
      <c r="AM46" s="116">
        <f t="shared" si="14"/>
        <v>645.7959145948339</v>
      </c>
      <c r="AN46" s="116">
        <f t="shared" si="14"/>
        <v>645.7959145948339</v>
      </c>
      <c r="AO46" s="116">
        <f t="shared" si="14"/>
        <v>589.56172659648621</v>
      </c>
      <c r="AP46" s="116">
        <f t="shared" si="14"/>
        <v>589.56172659648621</v>
      </c>
      <c r="AQ46" s="116">
        <f t="shared" si="14"/>
        <v>589.56172659648621</v>
      </c>
      <c r="AR46" s="116">
        <f t="shared" si="14"/>
        <v>589.56172659648621</v>
      </c>
      <c r="AS46" s="116">
        <f t="shared" si="14"/>
        <v>680.69356866669591</v>
      </c>
      <c r="AT46" s="116">
        <f t="shared" si="14"/>
        <v>680.69356866669591</v>
      </c>
      <c r="AU46" s="116">
        <f t="shared" si="14"/>
        <v>680.69356866669591</v>
      </c>
      <c r="AV46" s="116">
        <f t="shared" si="14"/>
        <v>680.69356866669591</v>
      </c>
      <c r="AW46" s="116">
        <f t="shared" si="14"/>
        <v>423.19467504929776</v>
      </c>
      <c r="AX46" s="116">
        <f t="shared" si="14"/>
        <v>423.19467504929776</v>
      </c>
      <c r="AY46" s="116">
        <f t="shared" si="14"/>
        <v>423.19467504929776</v>
      </c>
    </row>
    <row r="47" spans="1:52" x14ac:dyDescent="0.2">
      <c r="A47" s="116"/>
      <c r="B47" s="171" t="s">
        <v>344</v>
      </c>
      <c r="C47" s="116"/>
      <c r="D47" s="116">
        <v>51.214008961348867</v>
      </c>
      <c r="E47" s="116"/>
      <c r="F47" s="116">
        <v>51.214008961348867</v>
      </c>
      <c r="G47" s="116"/>
      <c r="H47" s="116">
        <v>51.214008961348867</v>
      </c>
      <c r="I47" s="116"/>
      <c r="J47" s="116">
        <v>51.214008961348867</v>
      </c>
      <c r="K47" s="116"/>
      <c r="L47" s="116">
        <v>51.214008961348867</v>
      </c>
      <c r="M47" s="116"/>
      <c r="N47" s="116">
        <v>51.214008961348867</v>
      </c>
      <c r="O47" s="116"/>
      <c r="P47" s="116">
        <v>51.214008961348867</v>
      </c>
      <c r="Q47" s="116"/>
      <c r="R47" s="116">
        <v>51.214008961348867</v>
      </c>
      <c r="S47" s="116"/>
      <c r="T47" s="116">
        <v>51.214008961348867</v>
      </c>
      <c r="U47" s="116"/>
      <c r="V47" s="116">
        <v>37.58862984385906</v>
      </c>
      <c r="W47" s="116">
        <v>5.1214008961348876</v>
      </c>
      <c r="X47" s="116">
        <v>37.58862984385906</v>
      </c>
      <c r="Y47" s="116"/>
      <c r="Z47" s="116">
        <v>51.214008961348867</v>
      </c>
      <c r="AA47" s="116"/>
      <c r="AB47" s="116">
        <v>51.214008961348867</v>
      </c>
      <c r="AC47" s="116"/>
      <c r="AD47" s="116">
        <v>51.214008961348867</v>
      </c>
      <c r="AE47" s="116"/>
      <c r="AF47" s="116">
        <v>51.214008961348867</v>
      </c>
      <c r="AG47" s="116"/>
      <c r="AH47" s="116">
        <v>51.214008961348874</v>
      </c>
      <c r="AI47" s="116"/>
      <c r="AJ47" s="116">
        <v>51.214008961348874</v>
      </c>
      <c r="AK47" s="116"/>
      <c r="AL47" s="116">
        <v>51.214008961348867</v>
      </c>
      <c r="AM47" s="116"/>
      <c r="AN47" s="116">
        <v>51.214008961348867</v>
      </c>
      <c r="AO47" s="116"/>
      <c r="AP47" s="116">
        <v>51.214008961348867</v>
      </c>
      <c r="AQ47" s="116"/>
      <c r="AR47" s="116">
        <v>51.214008961348867</v>
      </c>
      <c r="AS47" s="116"/>
      <c r="AT47" s="116">
        <v>51.21400896134886</v>
      </c>
      <c r="AU47" s="116"/>
      <c r="AV47" s="116">
        <v>51.21400896134886</v>
      </c>
      <c r="AW47" s="116"/>
      <c r="AX47" s="116">
        <v>51.214008961348874</v>
      </c>
      <c r="AY47" s="116"/>
    </row>
    <row r="48" spans="1:52" x14ac:dyDescent="0.2">
      <c r="A48" s="116"/>
      <c r="B48" s="171" t="s">
        <v>345</v>
      </c>
      <c r="C48" s="116"/>
      <c r="D48" s="116">
        <v>248.78599103865119</v>
      </c>
      <c r="E48" s="116"/>
      <c r="F48" s="116">
        <v>248.78599103865119</v>
      </c>
      <c r="G48" s="116"/>
      <c r="H48" s="116">
        <v>248.78599103865119</v>
      </c>
      <c r="I48" s="116"/>
      <c r="J48" s="116">
        <v>248.78599103865119</v>
      </c>
      <c r="K48" s="116"/>
      <c r="L48" s="116">
        <v>248.78599103865119</v>
      </c>
      <c r="M48" s="116"/>
      <c r="N48" s="116">
        <v>248.78599103865119</v>
      </c>
      <c r="O48" s="116"/>
      <c r="P48" s="116">
        <v>248.78599103865119</v>
      </c>
      <c r="Q48" s="116"/>
      <c r="R48" s="116">
        <v>248.78599103865119</v>
      </c>
      <c r="S48" s="116"/>
      <c r="T48" s="116">
        <v>248.78599103865119</v>
      </c>
      <c r="U48" s="116"/>
      <c r="V48" s="116">
        <v>182.59700260034464</v>
      </c>
      <c r="W48" s="116">
        <v>24.878599103865113</v>
      </c>
      <c r="X48" s="116">
        <v>182.59700260034464</v>
      </c>
      <c r="Y48" s="116"/>
      <c r="Z48" s="116">
        <v>248.78599103865119</v>
      </c>
      <c r="AA48" s="116"/>
      <c r="AB48" s="116">
        <v>248.78599103865119</v>
      </c>
      <c r="AC48" s="116"/>
      <c r="AD48" s="116">
        <v>248.78599103865119</v>
      </c>
      <c r="AE48" s="116"/>
      <c r="AF48" s="116">
        <v>248.78599103865119</v>
      </c>
      <c r="AG48" s="116"/>
      <c r="AH48" s="116">
        <v>248.78599103865119</v>
      </c>
      <c r="AI48" s="116"/>
      <c r="AJ48" s="116">
        <v>248.78599103865119</v>
      </c>
      <c r="AK48" s="116"/>
      <c r="AL48" s="116">
        <v>248.78599103865119</v>
      </c>
      <c r="AM48" s="116"/>
      <c r="AN48" s="116">
        <v>248.78599103865119</v>
      </c>
      <c r="AO48" s="116"/>
      <c r="AP48" s="116">
        <v>248.78599103865122</v>
      </c>
      <c r="AQ48" s="116"/>
      <c r="AR48" s="116">
        <v>248.78599103865122</v>
      </c>
      <c r="AS48" s="116"/>
      <c r="AT48" s="116">
        <v>248.78599103865119</v>
      </c>
      <c r="AU48" s="116"/>
      <c r="AV48" s="116">
        <v>248.78599103865119</v>
      </c>
      <c r="AW48" s="116"/>
      <c r="AX48" s="116">
        <v>248.7859910386511</v>
      </c>
      <c r="AY48" s="116"/>
    </row>
    <row r="49" spans="1:52" x14ac:dyDescent="0.2">
      <c r="A49" s="116"/>
      <c r="B49" s="171" t="s">
        <v>346</v>
      </c>
      <c r="C49" s="116"/>
      <c r="D49" s="116">
        <v>10</v>
      </c>
      <c r="E49" s="116"/>
      <c r="F49" s="116">
        <v>10</v>
      </c>
      <c r="G49" s="116"/>
      <c r="H49" s="116">
        <v>10</v>
      </c>
      <c r="I49" s="116"/>
      <c r="J49" s="116">
        <v>10</v>
      </c>
      <c r="K49" s="116"/>
      <c r="L49" s="116">
        <v>10</v>
      </c>
      <c r="M49" s="116"/>
      <c r="N49" s="116">
        <v>10</v>
      </c>
      <c r="O49" s="116"/>
      <c r="P49" s="116">
        <v>10</v>
      </c>
      <c r="Q49" s="116"/>
      <c r="R49" s="116">
        <v>10</v>
      </c>
      <c r="S49" s="116"/>
      <c r="T49" s="116">
        <v>10</v>
      </c>
      <c r="U49" s="116"/>
      <c r="V49" s="116">
        <v>8</v>
      </c>
      <c r="W49" s="116">
        <v>1</v>
      </c>
      <c r="X49" s="116">
        <v>8</v>
      </c>
      <c r="Y49" s="116"/>
      <c r="Z49" s="116">
        <v>10</v>
      </c>
      <c r="AA49" s="116"/>
      <c r="AB49" s="116">
        <v>10</v>
      </c>
      <c r="AC49" s="116"/>
      <c r="AD49" s="116">
        <v>10</v>
      </c>
      <c r="AE49" s="116"/>
      <c r="AF49" s="116">
        <v>10</v>
      </c>
      <c r="AG49" s="116"/>
      <c r="AH49" s="116">
        <v>10</v>
      </c>
      <c r="AI49" s="116"/>
      <c r="AJ49" s="116">
        <v>10</v>
      </c>
      <c r="AK49" s="116"/>
      <c r="AL49" s="116">
        <v>10</v>
      </c>
      <c r="AM49" s="116"/>
      <c r="AN49" s="116">
        <v>10</v>
      </c>
      <c r="AO49" s="116"/>
      <c r="AP49" s="116">
        <v>10</v>
      </c>
      <c r="AQ49" s="116"/>
      <c r="AR49" s="116">
        <v>10</v>
      </c>
      <c r="AS49" s="116"/>
      <c r="AT49" s="116">
        <v>10</v>
      </c>
      <c r="AU49" s="116"/>
      <c r="AV49" s="116">
        <v>10</v>
      </c>
      <c r="AW49" s="116"/>
      <c r="AX49" s="116">
        <v>10</v>
      </c>
      <c r="AY49" s="116"/>
    </row>
    <row r="50" spans="1:52" x14ac:dyDescent="0.2">
      <c r="A50" s="116"/>
      <c r="B50" s="171" t="s">
        <v>347</v>
      </c>
      <c r="C50" s="116"/>
      <c r="D50" s="116">
        <f>D44-D47</f>
        <v>85.210836653219133</v>
      </c>
      <c r="E50" s="116">
        <f t="shared" ref="E50:AY50" si="15">E44-E47</f>
        <v>104.62464857256899</v>
      </c>
      <c r="F50" s="116">
        <f t="shared" si="15"/>
        <v>53.41063961122012</v>
      </c>
      <c r="G50" s="116">
        <f t="shared" si="15"/>
        <v>104.62464857256899</v>
      </c>
      <c r="H50" s="116">
        <f t="shared" si="15"/>
        <v>53.41063961122012</v>
      </c>
      <c r="I50" s="116">
        <f t="shared" si="15"/>
        <v>136.424845614568</v>
      </c>
      <c r="J50" s="116">
        <f t="shared" si="15"/>
        <v>85.210836653219133</v>
      </c>
      <c r="K50" s="116">
        <f t="shared" si="15"/>
        <v>136.424845614568</v>
      </c>
      <c r="L50" s="116">
        <f t="shared" si="15"/>
        <v>85.210836653219133</v>
      </c>
      <c r="M50" s="116">
        <f t="shared" si="15"/>
        <v>0</v>
      </c>
      <c r="N50" s="116">
        <f t="shared" si="15"/>
        <v>85.210836653219133</v>
      </c>
      <c r="O50" s="116">
        <f t="shared" si="15"/>
        <v>121.6844569994342</v>
      </c>
      <c r="P50" s="116">
        <f t="shared" si="15"/>
        <v>70.470448038085337</v>
      </c>
      <c r="Q50" s="116">
        <f t="shared" si="15"/>
        <v>116.964979434236</v>
      </c>
      <c r="R50" s="116">
        <f t="shared" si="15"/>
        <v>65.750970472887133</v>
      </c>
      <c r="S50" s="116">
        <f t="shared" si="15"/>
        <v>116.964979434236</v>
      </c>
      <c r="T50" s="116">
        <f t="shared" si="15"/>
        <v>65.750970472887133</v>
      </c>
      <c r="U50" s="116">
        <f t="shared" si="15"/>
        <v>37.58862984385906</v>
      </c>
      <c r="V50" s="116">
        <f t="shared" si="15"/>
        <v>0</v>
      </c>
      <c r="W50" s="116">
        <f t="shared" si="15"/>
        <v>32.467228947724173</v>
      </c>
      <c r="X50" s="116">
        <f t="shared" si="15"/>
        <v>0</v>
      </c>
      <c r="Y50" s="116">
        <f t="shared" si="15"/>
        <v>0</v>
      </c>
      <c r="Z50" s="116">
        <f t="shared" si="15"/>
        <v>85.210836653219133</v>
      </c>
      <c r="AA50" s="116">
        <f t="shared" si="15"/>
        <v>89.370728255896836</v>
      </c>
      <c r="AB50" s="116">
        <f t="shared" si="15"/>
        <v>38.156719294547969</v>
      </c>
      <c r="AC50" s="116">
        <f t="shared" si="15"/>
        <v>86.255283449761507</v>
      </c>
      <c r="AD50" s="116">
        <f t="shared" si="15"/>
        <v>35.04127448841264</v>
      </c>
      <c r="AE50" s="116">
        <f t="shared" si="15"/>
        <v>86.255283449761507</v>
      </c>
      <c r="AF50" s="116">
        <f t="shared" si="15"/>
        <v>35.04127448841264</v>
      </c>
      <c r="AG50" s="116">
        <f t="shared" si="15"/>
        <v>109.99626569727445</v>
      </c>
      <c r="AH50" s="116">
        <f t="shared" si="15"/>
        <v>58.782256735925579</v>
      </c>
      <c r="AI50" s="116">
        <f t="shared" si="15"/>
        <v>109.99626569727445</v>
      </c>
      <c r="AJ50" s="116">
        <f t="shared" si="15"/>
        <v>58.782256735925579</v>
      </c>
      <c r="AK50" s="116">
        <f t="shared" si="15"/>
        <v>110.24599252420771</v>
      </c>
      <c r="AL50" s="116">
        <f t="shared" si="15"/>
        <v>59.031983562858841</v>
      </c>
      <c r="AM50" s="116">
        <f t="shared" si="15"/>
        <v>110.24599252420771</v>
      </c>
      <c r="AN50" s="116">
        <f t="shared" si="15"/>
        <v>59.031983562858841</v>
      </c>
      <c r="AO50" s="116">
        <f t="shared" si="15"/>
        <v>100.64606516393586</v>
      </c>
      <c r="AP50" s="116">
        <f t="shared" si="15"/>
        <v>49.432056202586992</v>
      </c>
      <c r="AQ50" s="116">
        <f t="shared" si="15"/>
        <v>100.64606516393586</v>
      </c>
      <c r="AR50" s="116">
        <f t="shared" si="15"/>
        <v>49.432056202586992</v>
      </c>
      <c r="AS50" s="116">
        <f t="shared" si="15"/>
        <v>116.20348841876233</v>
      </c>
      <c r="AT50" s="116">
        <f t="shared" si="15"/>
        <v>64.989479457413466</v>
      </c>
      <c r="AU50" s="116">
        <f t="shared" si="15"/>
        <v>116.20348841876233</v>
      </c>
      <c r="AV50" s="116">
        <f t="shared" si="15"/>
        <v>64.989479457413466</v>
      </c>
      <c r="AW50" s="116">
        <f t="shared" si="15"/>
        <v>72.244986267899534</v>
      </c>
      <c r="AX50" s="116">
        <f t="shared" si="15"/>
        <v>21.03097730655066</v>
      </c>
      <c r="AY50" s="116">
        <f t="shared" si="15"/>
        <v>72.244986267899534</v>
      </c>
    </row>
    <row r="51" spans="1:52" x14ac:dyDescent="0.2">
      <c r="A51" s="116"/>
      <c r="B51" s="171" t="s">
        <v>348</v>
      </c>
      <c r="C51" s="116"/>
      <c r="D51" s="116">
        <f>D45-D48</f>
        <v>413.93483685299441</v>
      </c>
      <c r="E51" s="116">
        <f t="shared" ref="E51:AY51" si="16">E45-E48</f>
        <v>508.24271347008448</v>
      </c>
      <c r="F51" s="116">
        <f t="shared" si="16"/>
        <v>259.45672243143326</v>
      </c>
      <c r="G51" s="116">
        <f t="shared" si="16"/>
        <v>508.24271347008448</v>
      </c>
      <c r="H51" s="116">
        <f t="shared" si="16"/>
        <v>259.45672243143326</v>
      </c>
      <c r="I51" s="116">
        <f t="shared" si="16"/>
        <v>662.72082789164563</v>
      </c>
      <c r="J51" s="116">
        <f t="shared" si="16"/>
        <v>413.93483685299441</v>
      </c>
      <c r="K51" s="116">
        <f t="shared" si="16"/>
        <v>662.72082789164563</v>
      </c>
      <c r="L51" s="116">
        <f t="shared" si="16"/>
        <v>413.93483685299441</v>
      </c>
      <c r="M51" s="116">
        <f t="shared" si="16"/>
        <v>0</v>
      </c>
      <c r="N51" s="116">
        <f t="shared" si="16"/>
        <v>413.93483685299441</v>
      </c>
      <c r="O51" s="116">
        <f t="shared" si="16"/>
        <v>591.11537726819324</v>
      </c>
      <c r="P51" s="116">
        <f t="shared" si="16"/>
        <v>342.32938622954202</v>
      </c>
      <c r="Q51" s="116">
        <f t="shared" si="16"/>
        <v>568.18923016401641</v>
      </c>
      <c r="R51" s="116">
        <f t="shared" si="16"/>
        <v>319.40323912536519</v>
      </c>
      <c r="S51" s="116">
        <f t="shared" si="16"/>
        <v>568.18923016401641</v>
      </c>
      <c r="T51" s="116">
        <f t="shared" si="16"/>
        <v>319.40323912536519</v>
      </c>
      <c r="U51" s="116">
        <f t="shared" si="16"/>
        <v>182.59700260034464</v>
      </c>
      <c r="V51" s="116">
        <f t="shared" si="16"/>
        <v>0</v>
      </c>
      <c r="W51" s="116">
        <f t="shared" si="16"/>
        <v>157.71840349647954</v>
      </c>
      <c r="X51" s="116">
        <f t="shared" si="16"/>
        <v>0</v>
      </c>
      <c r="Y51" s="116">
        <f t="shared" si="16"/>
        <v>0</v>
      </c>
      <c r="Z51" s="116">
        <f t="shared" si="16"/>
        <v>413.93483685299441</v>
      </c>
      <c r="AA51" s="116">
        <f t="shared" si="16"/>
        <v>434.14264280246795</v>
      </c>
      <c r="AB51" s="116">
        <f t="shared" si="16"/>
        <v>185.35665176381676</v>
      </c>
      <c r="AC51" s="116">
        <f t="shared" si="16"/>
        <v>419.00852150753968</v>
      </c>
      <c r="AD51" s="116">
        <f t="shared" si="16"/>
        <v>170.22253046888849</v>
      </c>
      <c r="AE51" s="116">
        <f t="shared" si="16"/>
        <v>419.00852150753968</v>
      </c>
      <c r="AF51" s="116">
        <f t="shared" si="16"/>
        <v>170.22253046888849</v>
      </c>
      <c r="AG51" s="116">
        <f t="shared" si="16"/>
        <v>534.33680602313189</v>
      </c>
      <c r="AH51" s="116">
        <f t="shared" si="16"/>
        <v>285.55081498448067</v>
      </c>
      <c r="AI51" s="116">
        <f t="shared" si="16"/>
        <v>534.33680602313189</v>
      </c>
      <c r="AJ51" s="116">
        <f t="shared" si="16"/>
        <v>285.55081498448067</v>
      </c>
      <c r="AK51" s="116">
        <f t="shared" si="16"/>
        <v>535.54992207062617</v>
      </c>
      <c r="AL51" s="116">
        <f t="shared" si="16"/>
        <v>286.76393103197495</v>
      </c>
      <c r="AM51" s="116">
        <f t="shared" si="16"/>
        <v>535.54992207062617</v>
      </c>
      <c r="AN51" s="116">
        <f t="shared" si="16"/>
        <v>286.76393103197495</v>
      </c>
      <c r="AO51" s="116">
        <f t="shared" si="16"/>
        <v>488.91566143255039</v>
      </c>
      <c r="AP51" s="116">
        <f t="shared" si="16"/>
        <v>240.12967039389918</v>
      </c>
      <c r="AQ51" s="116">
        <f t="shared" si="16"/>
        <v>488.91566143255039</v>
      </c>
      <c r="AR51" s="116">
        <f t="shared" si="16"/>
        <v>240.12967039389918</v>
      </c>
      <c r="AS51" s="116">
        <f t="shared" si="16"/>
        <v>564.49008024793352</v>
      </c>
      <c r="AT51" s="116">
        <f t="shared" si="16"/>
        <v>315.7040892092823</v>
      </c>
      <c r="AU51" s="116">
        <f t="shared" si="16"/>
        <v>564.49008024793352</v>
      </c>
      <c r="AV51" s="116">
        <f t="shared" si="16"/>
        <v>315.7040892092823</v>
      </c>
      <c r="AW51" s="116">
        <f t="shared" si="16"/>
        <v>350.94968878139821</v>
      </c>
      <c r="AX51" s="116">
        <f t="shared" si="16"/>
        <v>102.1636977427471</v>
      </c>
      <c r="AY51" s="116">
        <f t="shared" si="16"/>
        <v>350.94968878139821</v>
      </c>
    </row>
    <row r="52" spans="1:52" x14ac:dyDescent="0.2">
      <c r="A52" s="116"/>
      <c r="B52" s="171" t="s">
        <v>349</v>
      </c>
      <c r="C52" s="116"/>
      <c r="D52" s="116">
        <v>1</v>
      </c>
      <c r="E52" s="116">
        <v>2</v>
      </c>
      <c r="F52" s="116">
        <v>2</v>
      </c>
      <c r="G52" s="116">
        <v>1</v>
      </c>
      <c r="H52" s="116">
        <v>1</v>
      </c>
      <c r="I52" s="116">
        <v>1</v>
      </c>
      <c r="J52" s="116">
        <v>2</v>
      </c>
      <c r="K52" s="116">
        <v>2</v>
      </c>
      <c r="L52" s="116">
        <v>1</v>
      </c>
      <c r="M52" s="116">
        <v>1</v>
      </c>
      <c r="N52" s="116">
        <v>1</v>
      </c>
      <c r="O52" s="116">
        <v>2</v>
      </c>
      <c r="P52" s="116">
        <v>2</v>
      </c>
      <c r="Q52" s="116">
        <v>1</v>
      </c>
      <c r="R52" s="116">
        <v>2</v>
      </c>
      <c r="S52" s="116">
        <v>3</v>
      </c>
      <c r="T52" s="116">
        <v>1</v>
      </c>
      <c r="U52" s="116">
        <v>1</v>
      </c>
      <c r="V52" s="116">
        <v>2</v>
      </c>
      <c r="W52" s="116">
        <v>1</v>
      </c>
      <c r="X52" s="116">
        <v>1</v>
      </c>
      <c r="Y52" s="116">
        <v>1</v>
      </c>
      <c r="Z52" s="116">
        <v>1</v>
      </c>
      <c r="AA52" s="116">
        <v>1</v>
      </c>
      <c r="AB52" s="116">
        <v>1</v>
      </c>
      <c r="AC52" s="116">
        <v>2</v>
      </c>
      <c r="AD52" s="116">
        <v>3</v>
      </c>
      <c r="AE52" s="116">
        <v>2</v>
      </c>
      <c r="AF52" s="116">
        <v>3</v>
      </c>
      <c r="AG52" s="116">
        <v>2</v>
      </c>
      <c r="AH52" s="116">
        <v>1</v>
      </c>
      <c r="AI52" s="116">
        <v>1</v>
      </c>
      <c r="AJ52" s="116">
        <v>1</v>
      </c>
      <c r="AK52" s="116">
        <v>2</v>
      </c>
      <c r="AL52" s="116">
        <v>1</v>
      </c>
      <c r="AM52" s="116">
        <v>1</v>
      </c>
      <c r="AN52" s="116">
        <v>1</v>
      </c>
      <c r="AO52" s="116">
        <v>1</v>
      </c>
      <c r="AP52" s="116">
        <v>1</v>
      </c>
      <c r="AQ52" s="116">
        <v>2</v>
      </c>
      <c r="AR52" s="116">
        <v>1</v>
      </c>
      <c r="AS52" s="116">
        <v>2</v>
      </c>
      <c r="AT52" s="116">
        <v>2</v>
      </c>
      <c r="AU52" s="116">
        <v>3</v>
      </c>
      <c r="AV52" s="116">
        <v>1</v>
      </c>
      <c r="AW52" s="116">
        <v>3</v>
      </c>
      <c r="AX52" s="116">
        <v>3</v>
      </c>
      <c r="AY52" s="116">
        <v>1</v>
      </c>
    </row>
    <row r="53" spans="1:52" x14ac:dyDescent="0.2">
      <c r="A53" s="116"/>
      <c r="B53" s="184" t="s">
        <v>350</v>
      </c>
      <c r="C53" s="116"/>
      <c r="D53" s="116">
        <v>180720</v>
      </c>
      <c r="E53" s="116">
        <v>0</v>
      </c>
      <c r="F53" s="116">
        <v>180720</v>
      </c>
      <c r="G53" s="116">
        <v>0</v>
      </c>
      <c r="H53" s="116">
        <v>180720</v>
      </c>
      <c r="I53" s="116">
        <v>0</v>
      </c>
      <c r="J53" s="116">
        <v>180720</v>
      </c>
      <c r="K53" s="116">
        <v>0</v>
      </c>
      <c r="L53" s="116">
        <v>180720</v>
      </c>
      <c r="M53" s="116">
        <v>0</v>
      </c>
      <c r="N53" s="116">
        <v>180720</v>
      </c>
      <c r="O53" s="116">
        <v>0</v>
      </c>
      <c r="P53" s="116">
        <v>180720</v>
      </c>
      <c r="Q53" s="116">
        <v>0</v>
      </c>
      <c r="R53" s="116">
        <v>180720</v>
      </c>
      <c r="S53" s="116">
        <v>0</v>
      </c>
      <c r="T53" s="116">
        <v>180720</v>
      </c>
      <c r="U53" s="116">
        <v>0</v>
      </c>
      <c r="V53" s="116">
        <v>144576</v>
      </c>
      <c r="W53" s="116">
        <v>18072</v>
      </c>
      <c r="X53" s="116">
        <v>144576</v>
      </c>
      <c r="Y53" s="116">
        <v>0</v>
      </c>
      <c r="Z53" s="116">
        <v>180720</v>
      </c>
      <c r="AA53" s="116">
        <v>0</v>
      </c>
      <c r="AB53" s="116">
        <v>180720</v>
      </c>
      <c r="AC53" s="116">
        <v>0</v>
      </c>
      <c r="AD53" s="116">
        <v>180720</v>
      </c>
      <c r="AE53" s="116">
        <v>0</v>
      </c>
      <c r="AF53" s="116">
        <v>180720</v>
      </c>
      <c r="AG53" s="116">
        <v>0</v>
      </c>
      <c r="AH53" s="116">
        <v>180720</v>
      </c>
      <c r="AI53" s="116">
        <v>0</v>
      </c>
      <c r="AJ53" s="116">
        <v>180720</v>
      </c>
      <c r="AK53" s="116">
        <v>0</v>
      </c>
      <c r="AL53" s="116">
        <v>180720</v>
      </c>
      <c r="AM53" s="116">
        <v>0</v>
      </c>
      <c r="AN53" s="116">
        <v>180720</v>
      </c>
      <c r="AO53" s="116">
        <v>0</v>
      </c>
      <c r="AP53" s="116">
        <v>180720</v>
      </c>
      <c r="AQ53" s="116">
        <v>0</v>
      </c>
      <c r="AR53" s="116">
        <v>180720</v>
      </c>
      <c r="AS53" s="116">
        <v>0</v>
      </c>
      <c r="AT53" s="116">
        <v>180720</v>
      </c>
      <c r="AU53" s="116">
        <v>0</v>
      </c>
      <c r="AV53" s="116">
        <v>180720</v>
      </c>
      <c r="AW53" s="116">
        <v>0</v>
      </c>
      <c r="AX53" s="116">
        <v>180720</v>
      </c>
      <c r="AY53" s="116">
        <v>0</v>
      </c>
      <c r="AZ53" s="106">
        <f>SUM($D$53:$AY$53)</f>
        <v>4283064</v>
      </c>
    </row>
    <row r="54" spans="1:52" x14ac:dyDescent="0.2">
      <c r="A54" s="116"/>
      <c r="B54" s="184" t="s">
        <v>351</v>
      </c>
      <c r="C54" s="116"/>
      <c r="D54" s="116">
        <v>162871.23326507749</v>
      </c>
      <c r="E54" s="116">
        <v>199978.62023451782</v>
      </c>
      <c r="F54" s="116">
        <v>102088.6202345178</v>
      </c>
      <c r="G54" s="116">
        <v>199978.62023451782</v>
      </c>
      <c r="H54" s="116">
        <v>102088.6202345178</v>
      </c>
      <c r="I54" s="116">
        <v>260761.23326507752</v>
      </c>
      <c r="J54" s="116">
        <v>162871.23326507749</v>
      </c>
      <c r="K54" s="116">
        <v>260761.23326507752</v>
      </c>
      <c r="L54" s="116">
        <v>162871.23326507749</v>
      </c>
      <c r="M54" s="116">
        <v>0</v>
      </c>
      <c r="N54" s="116">
        <v>162871.23326507749</v>
      </c>
      <c r="O54" s="116">
        <v>232586.58592152686</v>
      </c>
      <c r="P54" s="116">
        <v>134696.58592152683</v>
      </c>
      <c r="Q54" s="116">
        <v>223565.81859190977</v>
      </c>
      <c r="R54" s="116">
        <v>125675.81859190975</v>
      </c>
      <c r="S54" s="116">
        <v>223565.81859190977</v>
      </c>
      <c r="T54" s="116">
        <v>125675.81859190975</v>
      </c>
      <c r="U54" s="116">
        <v>71846.571866543673</v>
      </c>
      <c r="V54" s="116">
        <v>0</v>
      </c>
      <c r="W54" s="116">
        <v>62057.571866543673</v>
      </c>
      <c r="X54" s="116">
        <v>0</v>
      </c>
      <c r="Y54" s="116">
        <v>0</v>
      </c>
      <c r="Z54" s="116">
        <v>162871.23326507749</v>
      </c>
      <c r="AA54" s="116">
        <v>170822.41297634441</v>
      </c>
      <c r="AB54" s="116">
        <v>72932.412976344422</v>
      </c>
      <c r="AC54" s="116">
        <v>164867.57955756737</v>
      </c>
      <c r="AD54" s="116">
        <v>66977.579557567369</v>
      </c>
      <c r="AE54" s="116">
        <v>164867.57955756737</v>
      </c>
      <c r="AF54" s="116">
        <v>66977.579557567369</v>
      </c>
      <c r="AG54" s="116">
        <v>210245.88130236859</v>
      </c>
      <c r="AH54" s="116">
        <v>112355.88130236857</v>
      </c>
      <c r="AI54" s="116">
        <v>210245.88130236859</v>
      </c>
      <c r="AJ54" s="116">
        <v>112355.88130236857</v>
      </c>
      <c r="AK54" s="116">
        <v>210723.2069322943</v>
      </c>
      <c r="AL54" s="116">
        <v>112833.20693229426</v>
      </c>
      <c r="AM54" s="116">
        <v>210723.2069322943</v>
      </c>
      <c r="AN54" s="116">
        <v>112833.20693229426</v>
      </c>
      <c r="AO54" s="116">
        <v>192373.99138843347</v>
      </c>
      <c r="AP54" s="116">
        <v>94483.991388433438</v>
      </c>
      <c r="AQ54" s="116">
        <v>192373.99138843347</v>
      </c>
      <c r="AR54" s="116">
        <v>94483.991388433438</v>
      </c>
      <c r="AS54" s="116">
        <v>222110.31145594286</v>
      </c>
      <c r="AT54" s="116">
        <v>124220.31145594285</v>
      </c>
      <c r="AU54" s="116">
        <v>222110.31145594286</v>
      </c>
      <c r="AV54" s="116">
        <v>124220.31145594285</v>
      </c>
      <c r="AW54" s="116">
        <v>138088.42246858586</v>
      </c>
      <c r="AX54" s="116">
        <v>40198.422468585857</v>
      </c>
      <c r="AY54" s="116">
        <v>138088.42246858586</v>
      </c>
      <c r="AZ54" s="106">
        <f>SUM($D$54:$AY$54)</f>
        <v>6722197.6796422666</v>
      </c>
    </row>
    <row r="55" spans="1:52" x14ac:dyDescent="0.2">
      <c r="A55" s="141" t="s">
        <v>66</v>
      </c>
      <c r="B55" s="141" t="s">
        <v>341</v>
      </c>
      <c r="C55" s="130"/>
      <c r="D55" s="130">
        <f>D$21*shipping_manufacturing!$D$29/100</f>
        <v>37.519140082273886</v>
      </c>
      <c r="E55" s="130">
        <f>E$21*shipping_manufacturing!$D$29/100</f>
        <v>28.773548015902751</v>
      </c>
      <c r="F55" s="130">
        <f>F$21*shipping_manufacturing!$D$29/100</f>
        <v>28.773548015902751</v>
      </c>
      <c r="G55" s="130">
        <f>G$21*shipping_manufacturing!$D$29/100</f>
        <v>28.773548015902751</v>
      </c>
      <c r="H55" s="130">
        <f>H$21*shipping_manufacturing!$D$29/100</f>
        <v>28.773548015902751</v>
      </c>
      <c r="I55" s="130">
        <f>I$21*shipping_manufacturing!$D$29/100</f>
        <v>37.519140082273886</v>
      </c>
      <c r="J55" s="130">
        <f>J$21*shipping_manufacturing!$D$29/100</f>
        <v>37.519140082273886</v>
      </c>
      <c r="K55" s="130">
        <f>K$21*shipping_manufacturing!$D$29/100</f>
        <v>37.519140082273886</v>
      </c>
      <c r="L55" s="130">
        <f>L$21*shipping_manufacturing!$D$29/100</f>
        <v>37.519140082273886</v>
      </c>
      <c r="M55" s="130">
        <f>M$21*shipping_manufacturing!$D$29/100</f>
        <v>0</v>
      </c>
      <c r="N55" s="130">
        <f>N$21*shipping_manufacturing!$D$29/100</f>
        <v>37.519140082273886</v>
      </c>
      <c r="O55" s="130">
        <f>O$21*shipping_manufacturing!$D$29/100</f>
        <v>33.465283888946423</v>
      </c>
      <c r="P55" s="130">
        <f>P$21*shipping_manufacturing!$D$29/100</f>
        <v>33.465283888946423</v>
      </c>
      <c r="Q55" s="130">
        <f>Q$21*shipping_manufacturing!$D$29/100</f>
        <v>32.167347731598028</v>
      </c>
      <c r="R55" s="130">
        <f>R$21*shipping_manufacturing!$D$29/100</f>
        <v>32.167347731598028</v>
      </c>
      <c r="S55" s="130">
        <f>S$21*shipping_manufacturing!$D$29/100</f>
        <v>32.167347731598028</v>
      </c>
      <c r="T55" s="130">
        <f>T$21*shipping_manufacturing!$D$29/100</f>
        <v>32.167347731598028</v>
      </c>
      <c r="U55" s="130">
        <f>U$21*shipping_manufacturing!$D$29/100</f>
        <v>10.337508994489871</v>
      </c>
      <c r="V55" s="130">
        <f>V$21*shipping_manufacturing!$D$29/100</f>
        <v>10.337508994489871</v>
      </c>
      <c r="W55" s="130">
        <f>W$21*shipping_manufacturing!$D$29/100</f>
        <v>10.337508994489871</v>
      </c>
      <c r="X55" s="130">
        <f>X$21*shipping_manufacturing!$D$29/100</f>
        <v>10.337508994489871</v>
      </c>
      <c r="Y55" s="130">
        <f>Y$21*shipping_manufacturing!$D$29/100</f>
        <v>0</v>
      </c>
      <c r="Z55" s="130">
        <f>Z$21*shipping_manufacturing!$D$29/100</f>
        <v>37.519140082273886</v>
      </c>
      <c r="AA55" s="130">
        <f>AA$21*shipping_manufacturing!$D$29/100</f>
        <v>24.578461918594741</v>
      </c>
      <c r="AB55" s="130">
        <f>AB$21*shipping_manufacturing!$D$29/100</f>
        <v>24.578461918594741</v>
      </c>
      <c r="AC55" s="130">
        <f>AC$21*shipping_manufacturing!$D$29/100</f>
        <v>23.721661901168133</v>
      </c>
      <c r="AD55" s="130">
        <f>AD$21*shipping_manufacturing!$D$29/100</f>
        <v>23.721661901168133</v>
      </c>
      <c r="AE55" s="130">
        <f>AE$21*shipping_manufacturing!$D$29/100</f>
        <v>23.721661901168133</v>
      </c>
      <c r="AF55" s="130">
        <f>AF$21*shipping_manufacturing!$D$29/100</f>
        <v>23.721661901168133</v>
      </c>
      <c r="AG55" s="130">
        <f>AG$21*shipping_manufacturing!$D$29/100</f>
        <v>30.25083358263565</v>
      </c>
      <c r="AH55" s="130">
        <f>AH$21*shipping_manufacturing!$D$29/100</f>
        <v>30.25083358263565</v>
      </c>
      <c r="AI55" s="130">
        <f>AI$21*shipping_manufacturing!$D$29/100</f>
        <v>30.25083358263565</v>
      </c>
      <c r="AJ55" s="130">
        <f>AJ$21*shipping_manufacturing!$D$29/100</f>
        <v>30.25083358263565</v>
      </c>
      <c r="AK55" s="130">
        <f>AK$21*shipping_manufacturing!$D$29/100</f>
        <v>30.319512684010498</v>
      </c>
      <c r="AL55" s="130">
        <f>AL$21*shipping_manufacturing!$D$29/100</f>
        <v>30.319512684010498</v>
      </c>
      <c r="AM55" s="130">
        <f>AM$21*shipping_manufacturing!$D$29/100</f>
        <v>30.319512684010498</v>
      </c>
      <c r="AN55" s="130">
        <f>AN$21*shipping_manufacturing!$D$29/100</f>
        <v>30.319512684010498</v>
      </c>
      <c r="AO55" s="130">
        <f>AO$21*shipping_manufacturing!$D$29/100</f>
        <v>27.679370283356526</v>
      </c>
      <c r="AP55" s="130">
        <f>AP$21*shipping_manufacturing!$D$29/100</f>
        <v>27.679370283356526</v>
      </c>
      <c r="AQ55" s="130">
        <f>AQ$21*shipping_manufacturing!$D$29/100</f>
        <v>27.679370283356526</v>
      </c>
      <c r="AR55" s="130">
        <f>AR$21*shipping_manufacturing!$D$29/100</f>
        <v>27.679370283356526</v>
      </c>
      <c r="AS55" s="130">
        <f>AS$21*shipping_manufacturing!$D$29/100</f>
        <v>31.957924822213414</v>
      </c>
      <c r="AT55" s="130">
        <f>AT$21*shipping_manufacturing!$D$29/100</f>
        <v>31.957924822213414</v>
      </c>
      <c r="AU55" s="130">
        <f>AU$21*shipping_manufacturing!$D$29/100</f>
        <v>31.957924822213414</v>
      </c>
      <c r="AV55" s="130">
        <f>AV$21*shipping_manufacturing!$D$29/100</f>
        <v>31.957924822213414</v>
      </c>
      <c r="AW55" s="130">
        <f>AW$21*shipping_manufacturing!$D$29/100</f>
        <v>19.868593201016093</v>
      </c>
      <c r="AX55" s="130">
        <f>AX$21*shipping_manufacturing!$D$29/100</f>
        <v>19.868593201016093</v>
      </c>
      <c r="AY55" s="130">
        <f>AY$21*shipping_manufacturing!$D$29/100</f>
        <v>19.868593201016093</v>
      </c>
    </row>
    <row r="56" spans="1:52" x14ac:dyDescent="0.2">
      <c r="A56" s="119" t="s">
        <v>340</v>
      </c>
      <c r="B56" s="171" t="s">
        <v>342</v>
      </c>
      <c r="C56" s="116"/>
      <c r="D56" s="116">
        <f>D$22*shipping_manufacturing!$E$29/100</f>
        <v>98.792517462034212</v>
      </c>
      <c r="E56" s="116">
        <f>E$22*shipping_manufacturing!$E$29/100</f>
        <v>75.764296265115064</v>
      </c>
      <c r="F56" s="116">
        <f>F$22*shipping_manufacturing!$E$29/100</f>
        <v>75.764296265115064</v>
      </c>
      <c r="G56" s="116">
        <f>G$22*shipping_manufacturing!$E$29/100</f>
        <v>75.764296265115064</v>
      </c>
      <c r="H56" s="116">
        <f>H$22*shipping_manufacturing!$E$29/100</f>
        <v>75.764296265115064</v>
      </c>
      <c r="I56" s="116">
        <f>I$22*shipping_manufacturing!$E$29/100</f>
        <v>98.792517462034212</v>
      </c>
      <c r="J56" s="116">
        <f>J$22*shipping_manufacturing!$E$29/100</f>
        <v>98.792517462034212</v>
      </c>
      <c r="K56" s="116">
        <f>K$22*shipping_manufacturing!$E$29/100</f>
        <v>98.792517462034212</v>
      </c>
      <c r="L56" s="116">
        <f>L$22*shipping_manufacturing!$E$29/100</f>
        <v>98.792517462034212</v>
      </c>
      <c r="M56" s="116">
        <f>M$22*shipping_manufacturing!$E$29/100</f>
        <v>0</v>
      </c>
      <c r="N56" s="116">
        <f>N$22*shipping_manufacturing!$E$29/100</f>
        <v>98.792517462034212</v>
      </c>
      <c r="O56" s="116">
        <f>O$22*shipping_manufacturing!$E$29/100</f>
        <v>88.118214749081218</v>
      </c>
      <c r="P56" s="116">
        <f>P$22*shipping_manufacturing!$E$29/100</f>
        <v>88.118214749081218</v>
      </c>
      <c r="Q56" s="116">
        <f>Q$22*shipping_manufacturing!$E$29/100</f>
        <v>84.700588966393624</v>
      </c>
      <c r="R56" s="116">
        <f>R$22*shipping_manufacturing!$E$29/100</f>
        <v>84.700588966393624</v>
      </c>
      <c r="S56" s="116">
        <f>S$22*shipping_manufacturing!$E$29/100</f>
        <v>84.700588966393624</v>
      </c>
      <c r="T56" s="116">
        <f>T$22*shipping_manufacturing!$E$29/100</f>
        <v>84.700588966393624</v>
      </c>
      <c r="U56" s="116">
        <f>U$22*shipping_manufacturing!$E$29/100</f>
        <v>27.219934561735325</v>
      </c>
      <c r="V56" s="116">
        <f>V$22*shipping_manufacturing!$E$29/100</f>
        <v>27.219934561735325</v>
      </c>
      <c r="W56" s="116">
        <f>W$22*shipping_manufacturing!$E$29/100</f>
        <v>27.219934561735325</v>
      </c>
      <c r="X56" s="116">
        <f>X$22*shipping_manufacturing!$E$29/100</f>
        <v>27.219934561735325</v>
      </c>
      <c r="Y56" s="116">
        <f>Y$22*shipping_manufacturing!$E$29/100</f>
        <v>0</v>
      </c>
      <c r="Z56" s="116">
        <f>Z$22*shipping_manufacturing!$E$29/100</f>
        <v>98.792517462034212</v>
      </c>
      <c r="AA56" s="116">
        <f>AA$22*shipping_manufacturing!$E$29/100</f>
        <v>64.718117818214992</v>
      </c>
      <c r="AB56" s="116">
        <f>AB$22*shipping_manufacturing!$E$29/100</f>
        <v>64.718117818214992</v>
      </c>
      <c r="AC56" s="116">
        <f>AC$22*shipping_manufacturing!$E$29/100</f>
        <v>62.462057831299653</v>
      </c>
      <c r="AD56" s="116">
        <f>AD$22*shipping_manufacturing!$E$29/100</f>
        <v>62.462057831299653</v>
      </c>
      <c r="AE56" s="116">
        <f>AE$22*shipping_manufacturing!$E$29/100</f>
        <v>62.462057831299653</v>
      </c>
      <c r="AF56" s="116">
        <f>AF$22*shipping_manufacturing!$E$29/100</f>
        <v>62.462057831299653</v>
      </c>
      <c r="AG56" s="116">
        <f>AG$22*shipping_manufacturing!$E$29/100</f>
        <v>79.654171135057084</v>
      </c>
      <c r="AH56" s="116">
        <f>AH$22*shipping_manufacturing!$E$29/100</f>
        <v>79.654171135057084</v>
      </c>
      <c r="AI56" s="116">
        <f>AI$22*shipping_manufacturing!$E$29/100</f>
        <v>79.654171135057084</v>
      </c>
      <c r="AJ56" s="116">
        <f>AJ$22*shipping_manufacturing!$E$29/100</f>
        <v>79.654171135057084</v>
      </c>
      <c r="AK56" s="116">
        <f>AK$22*shipping_manufacturing!$E$29/100</f>
        <v>79.835011668901217</v>
      </c>
      <c r="AL56" s="116">
        <f>AL$22*shipping_manufacturing!$E$29/100</f>
        <v>79.835011668901217</v>
      </c>
      <c r="AM56" s="116">
        <f>AM$22*shipping_manufacturing!$E$29/100</f>
        <v>79.835011668901217</v>
      </c>
      <c r="AN56" s="116">
        <f>AN$22*shipping_manufacturing!$E$29/100</f>
        <v>79.835011668901217</v>
      </c>
      <c r="AO56" s="116">
        <f>AO$22*shipping_manufacturing!$E$29/100</f>
        <v>72.883191513990653</v>
      </c>
      <c r="AP56" s="116">
        <f>AP$22*shipping_manufacturing!$E$29/100</f>
        <v>72.883191513990653</v>
      </c>
      <c r="AQ56" s="116">
        <f>AQ$22*shipping_manufacturing!$E$29/100</f>
        <v>72.883191513990653</v>
      </c>
      <c r="AR56" s="116">
        <f>AR$22*shipping_manufacturing!$E$29/100</f>
        <v>72.883191513990653</v>
      </c>
      <c r="AS56" s="116">
        <f>AS$22*shipping_manufacturing!$E$29/100</f>
        <v>84.149152649170986</v>
      </c>
      <c r="AT56" s="116">
        <f>AT$22*shipping_manufacturing!$E$29/100</f>
        <v>84.149152649170986</v>
      </c>
      <c r="AU56" s="116">
        <f>AU$22*shipping_manufacturing!$E$29/100</f>
        <v>84.149152649170986</v>
      </c>
      <c r="AV56" s="116">
        <f>AV$22*shipping_manufacturing!$E$29/100</f>
        <v>84.149152649170986</v>
      </c>
      <c r="AW56" s="116">
        <f>AW$22*shipping_manufacturing!$E$29/100</f>
        <v>52.316453320975867</v>
      </c>
      <c r="AX56" s="116">
        <f>AX$22*shipping_manufacturing!$E$29/100</f>
        <v>52.316453320975867</v>
      </c>
      <c r="AY56" s="116">
        <f>AY$22*shipping_manufacturing!$E$29/100</f>
        <v>52.316453320975867</v>
      </c>
    </row>
    <row r="57" spans="1:52" x14ac:dyDescent="0.2">
      <c r="A57" s="116">
        <v>1797</v>
      </c>
      <c r="B57" s="171" t="s">
        <v>343</v>
      </c>
      <c r="C57" s="116"/>
      <c r="D57" s="116">
        <f>SUM(D55:D56)</f>
        <v>136.3116575443081</v>
      </c>
      <c r="E57" s="116">
        <f t="shared" ref="E57:AY57" si="17">SUM(E55:E56)</f>
        <v>104.53784428101781</v>
      </c>
      <c r="F57" s="116">
        <f t="shared" si="17"/>
        <v>104.53784428101781</v>
      </c>
      <c r="G57" s="116">
        <f t="shared" si="17"/>
        <v>104.53784428101781</v>
      </c>
      <c r="H57" s="116">
        <f t="shared" si="17"/>
        <v>104.53784428101781</v>
      </c>
      <c r="I57" s="116">
        <f t="shared" si="17"/>
        <v>136.3116575443081</v>
      </c>
      <c r="J57" s="116">
        <f t="shared" si="17"/>
        <v>136.3116575443081</v>
      </c>
      <c r="K57" s="116">
        <f t="shared" si="17"/>
        <v>136.3116575443081</v>
      </c>
      <c r="L57" s="116">
        <f t="shared" si="17"/>
        <v>136.3116575443081</v>
      </c>
      <c r="M57" s="116">
        <f t="shared" si="17"/>
        <v>0</v>
      </c>
      <c r="N57" s="116">
        <f t="shared" si="17"/>
        <v>136.3116575443081</v>
      </c>
      <c r="O57" s="116">
        <f t="shared" si="17"/>
        <v>121.58349863802763</v>
      </c>
      <c r="P57" s="116">
        <f t="shared" si="17"/>
        <v>121.58349863802763</v>
      </c>
      <c r="Q57" s="116">
        <f t="shared" si="17"/>
        <v>116.86793669799165</v>
      </c>
      <c r="R57" s="116">
        <f t="shared" si="17"/>
        <v>116.86793669799165</v>
      </c>
      <c r="S57" s="116">
        <f t="shared" si="17"/>
        <v>116.86793669799165</v>
      </c>
      <c r="T57" s="116">
        <f t="shared" si="17"/>
        <v>116.86793669799165</v>
      </c>
      <c r="U57" s="116">
        <f t="shared" si="17"/>
        <v>37.557443556225195</v>
      </c>
      <c r="V57" s="116">
        <f t="shared" si="17"/>
        <v>37.557443556225195</v>
      </c>
      <c r="W57" s="116">
        <f t="shared" si="17"/>
        <v>37.557443556225195</v>
      </c>
      <c r="X57" s="116">
        <f t="shared" si="17"/>
        <v>37.557443556225195</v>
      </c>
      <c r="Y57" s="116">
        <f t="shared" si="17"/>
        <v>0</v>
      </c>
      <c r="Z57" s="116">
        <f t="shared" si="17"/>
        <v>136.3116575443081</v>
      </c>
      <c r="AA57" s="116">
        <f t="shared" si="17"/>
        <v>89.296579736809733</v>
      </c>
      <c r="AB57" s="116">
        <f t="shared" si="17"/>
        <v>89.296579736809733</v>
      </c>
      <c r="AC57" s="116">
        <f t="shared" si="17"/>
        <v>86.183719732467779</v>
      </c>
      <c r="AD57" s="116">
        <f t="shared" si="17"/>
        <v>86.183719732467779</v>
      </c>
      <c r="AE57" s="116">
        <f t="shared" si="17"/>
        <v>86.183719732467779</v>
      </c>
      <c r="AF57" s="116">
        <f t="shared" si="17"/>
        <v>86.183719732467779</v>
      </c>
      <c r="AG57" s="116">
        <f t="shared" si="17"/>
        <v>109.90500471769273</v>
      </c>
      <c r="AH57" s="116">
        <f t="shared" si="17"/>
        <v>109.90500471769273</v>
      </c>
      <c r="AI57" s="116">
        <f t="shared" si="17"/>
        <v>109.90500471769273</v>
      </c>
      <c r="AJ57" s="116">
        <f t="shared" si="17"/>
        <v>109.90500471769273</v>
      </c>
      <c r="AK57" s="116">
        <f t="shared" si="17"/>
        <v>110.15452435291172</v>
      </c>
      <c r="AL57" s="116">
        <f t="shared" si="17"/>
        <v>110.15452435291172</v>
      </c>
      <c r="AM57" s="116">
        <f t="shared" si="17"/>
        <v>110.15452435291172</v>
      </c>
      <c r="AN57" s="116">
        <f t="shared" si="17"/>
        <v>110.15452435291172</v>
      </c>
      <c r="AO57" s="116">
        <f t="shared" si="17"/>
        <v>100.56256179734717</v>
      </c>
      <c r="AP57" s="116">
        <f t="shared" si="17"/>
        <v>100.56256179734717</v>
      </c>
      <c r="AQ57" s="116">
        <f t="shared" si="17"/>
        <v>100.56256179734717</v>
      </c>
      <c r="AR57" s="116">
        <f t="shared" si="17"/>
        <v>100.56256179734717</v>
      </c>
      <c r="AS57" s="116">
        <f t="shared" si="17"/>
        <v>116.1070774713844</v>
      </c>
      <c r="AT57" s="116">
        <f t="shared" si="17"/>
        <v>116.1070774713844</v>
      </c>
      <c r="AU57" s="116">
        <f t="shared" si="17"/>
        <v>116.1070774713844</v>
      </c>
      <c r="AV57" s="116">
        <f t="shared" si="17"/>
        <v>116.1070774713844</v>
      </c>
      <c r="AW57" s="116">
        <f t="shared" si="17"/>
        <v>72.185046521991964</v>
      </c>
      <c r="AX57" s="116">
        <f t="shared" si="17"/>
        <v>72.185046521991964</v>
      </c>
      <c r="AY57" s="116">
        <f t="shared" si="17"/>
        <v>72.185046521991964</v>
      </c>
    </row>
    <row r="58" spans="1:52" x14ac:dyDescent="0.2">
      <c r="A58" s="116"/>
      <c r="B58" s="171" t="s">
        <v>344</v>
      </c>
      <c r="C58" s="116"/>
      <c r="D58" s="116"/>
      <c r="E58" s="116"/>
      <c r="F58" s="116"/>
      <c r="G58" s="116"/>
      <c r="H58" s="116"/>
      <c r="I58" s="116"/>
      <c r="J58" s="116"/>
      <c r="K58" s="116"/>
      <c r="L58" s="116"/>
      <c r="M58" s="116"/>
      <c r="N58" s="116"/>
      <c r="O58" s="116"/>
      <c r="P58" s="116"/>
      <c r="Q58" s="116"/>
      <c r="R58" s="116"/>
      <c r="S58" s="116"/>
      <c r="T58" s="116"/>
      <c r="U58" s="116"/>
      <c r="V58" s="116">
        <v>10.337508994489871</v>
      </c>
      <c r="W58" s="116"/>
      <c r="X58" s="116">
        <v>10.337508994489871</v>
      </c>
      <c r="Y58" s="116"/>
      <c r="Z58" s="116"/>
      <c r="AA58" s="116"/>
      <c r="AB58" s="116"/>
      <c r="AC58" s="116"/>
      <c r="AD58" s="116"/>
      <c r="AE58" s="116"/>
      <c r="AF58" s="116"/>
      <c r="AG58" s="116"/>
      <c r="AH58" s="116"/>
      <c r="AI58" s="116"/>
      <c r="AJ58" s="116"/>
      <c r="AK58" s="116"/>
      <c r="AL58" s="116"/>
      <c r="AM58" s="116"/>
      <c r="AN58" s="116"/>
      <c r="AO58" s="116"/>
      <c r="AP58" s="116"/>
      <c r="AQ58" s="116"/>
      <c r="AR58" s="116"/>
      <c r="AS58" s="116"/>
      <c r="AT58" s="116"/>
      <c r="AU58" s="116"/>
      <c r="AV58" s="116"/>
      <c r="AW58" s="116"/>
      <c r="AX58" s="116"/>
      <c r="AY58" s="116"/>
    </row>
    <row r="59" spans="1:52" x14ac:dyDescent="0.2">
      <c r="A59" s="116"/>
      <c r="B59" s="171" t="s">
        <v>345</v>
      </c>
      <c r="C59" s="116"/>
      <c r="D59" s="116"/>
      <c r="E59" s="116"/>
      <c r="F59" s="116"/>
      <c r="G59" s="116"/>
      <c r="H59" s="116"/>
      <c r="I59" s="116"/>
      <c r="J59" s="116"/>
      <c r="K59" s="116"/>
      <c r="L59" s="116"/>
      <c r="M59" s="116"/>
      <c r="N59" s="116"/>
      <c r="O59" s="116"/>
      <c r="P59" s="116"/>
      <c r="Q59" s="116"/>
      <c r="R59" s="116"/>
      <c r="S59" s="116"/>
      <c r="T59" s="116"/>
      <c r="U59" s="116"/>
      <c r="V59" s="116">
        <v>27.219934561735325</v>
      </c>
      <c r="W59" s="116"/>
      <c r="X59" s="116">
        <v>27.219934561735325</v>
      </c>
      <c r="Y59" s="116"/>
      <c r="Z59" s="116"/>
      <c r="AA59" s="116"/>
      <c r="AB59" s="116"/>
      <c r="AC59" s="116"/>
      <c r="AD59" s="116"/>
      <c r="AE59" s="116"/>
      <c r="AF59" s="116"/>
      <c r="AG59" s="116"/>
      <c r="AH59" s="116"/>
      <c r="AI59" s="116"/>
      <c r="AJ59" s="116"/>
      <c r="AK59" s="116"/>
      <c r="AL59" s="116"/>
      <c r="AM59" s="116"/>
      <c r="AN59" s="116"/>
      <c r="AO59" s="116"/>
      <c r="AP59" s="116"/>
      <c r="AQ59" s="116"/>
      <c r="AR59" s="116"/>
      <c r="AS59" s="116"/>
      <c r="AT59" s="116"/>
      <c r="AU59" s="116"/>
      <c r="AV59" s="116"/>
      <c r="AW59" s="116"/>
      <c r="AX59" s="116"/>
      <c r="AY59" s="116"/>
    </row>
    <row r="60" spans="1:52" x14ac:dyDescent="0.2">
      <c r="A60" s="116"/>
      <c r="B60" s="171" t="s">
        <v>346</v>
      </c>
      <c r="C60" s="116"/>
      <c r="D60" s="116"/>
      <c r="E60" s="116"/>
      <c r="F60" s="116"/>
      <c r="G60" s="116"/>
      <c r="H60" s="116"/>
      <c r="I60" s="116"/>
      <c r="J60" s="116"/>
      <c r="K60" s="116"/>
      <c r="L60" s="116"/>
      <c r="M60" s="116"/>
      <c r="N60" s="116"/>
      <c r="O60" s="116"/>
      <c r="P60" s="116"/>
      <c r="Q60" s="116"/>
      <c r="R60" s="116"/>
      <c r="S60" s="116"/>
      <c r="T60" s="116"/>
      <c r="U60" s="116"/>
      <c r="V60" s="116">
        <v>2</v>
      </c>
      <c r="W60" s="116"/>
      <c r="X60" s="116">
        <v>2</v>
      </c>
      <c r="Y60" s="116"/>
      <c r="Z60" s="116"/>
      <c r="AA60" s="116"/>
      <c r="AB60" s="116"/>
      <c r="AC60" s="116"/>
      <c r="AD60" s="116"/>
      <c r="AE60" s="116"/>
      <c r="AF60" s="116"/>
      <c r="AG60" s="116"/>
      <c r="AH60" s="116"/>
      <c r="AI60" s="116"/>
      <c r="AJ60" s="116"/>
      <c r="AK60" s="116"/>
      <c r="AL60" s="116"/>
      <c r="AM60" s="116"/>
      <c r="AN60" s="116"/>
      <c r="AO60" s="116"/>
      <c r="AP60" s="116"/>
      <c r="AQ60" s="116"/>
      <c r="AR60" s="116"/>
      <c r="AS60" s="116"/>
      <c r="AT60" s="116"/>
      <c r="AU60" s="116"/>
      <c r="AV60" s="116"/>
      <c r="AW60" s="116"/>
      <c r="AX60" s="116"/>
      <c r="AY60" s="116"/>
    </row>
    <row r="61" spans="1:52" x14ac:dyDescent="0.2">
      <c r="A61" s="116"/>
      <c r="B61" s="171" t="s">
        <v>347</v>
      </c>
      <c r="C61" s="116"/>
      <c r="D61" s="116">
        <f>D55-D58</f>
        <v>37.519140082273886</v>
      </c>
      <c r="E61" s="116">
        <f t="shared" ref="E61:AY61" si="18">E55-E58</f>
        <v>28.773548015902751</v>
      </c>
      <c r="F61" s="116">
        <f t="shared" si="18"/>
        <v>28.773548015902751</v>
      </c>
      <c r="G61" s="116">
        <f t="shared" si="18"/>
        <v>28.773548015902751</v>
      </c>
      <c r="H61" s="116">
        <f t="shared" si="18"/>
        <v>28.773548015902751</v>
      </c>
      <c r="I61" s="116">
        <f t="shared" si="18"/>
        <v>37.519140082273886</v>
      </c>
      <c r="J61" s="116">
        <f t="shared" si="18"/>
        <v>37.519140082273886</v>
      </c>
      <c r="K61" s="116">
        <f t="shared" si="18"/>
        <v>37.519140082273886</v>
      </c>
      <c r="L61" s="116">
        <f t="shared" si="18"/>
        <v>37.519140082273886</v>
      </c>
      <c r="M61" s="116">
        <f t="shared" si="18"/>
        <v>0</v>
      </c>
      <c r="N61" s="116">
        <f t="shared" si="18"/>
        <v>37.519140082273886</v>
      </c>
      <c r="O61" s="116">
        <f t="shared" si="18"/>
        <v>33.465283888946423</v>
      </c>
      <c r="P61" s="116">
        <f t="shared" si="18"/>
        <v>33.465283888946423</v>
      </c>
      <c r="Q61" s="116">
        <f t="shared" si="18"/>
        <v>32.167347731598028</v>
      </c>
      <c r="R61" s="116">
        <f t="shared" si="18"/>
        <v>32.167347731598028</v>
      </c>
      <c r="S61" s="116">
        <f t="shared" si="18"/>
        <v>32.167347731598028</v>
      </c>
      <c r="T61" s="116">
        <f t="shared" si="18"/>
        <v>32.167347731598028</v>
      </c>
      <c r="U61" s="116">
        <f t="shared" si="18"/>
        <v>10.337508994489871</v>
      </c>
      <c r="V61" s="116">
        <f t="shared" si="18"/>
        <v>0</v>
      </c>
      <c r="W61" s="116">
        <f t="shared" si="18"/>
        <v>10.337508994489871</v>
      </c>
      <c r="X61" s="116">
        <f t="shared" si="18"/>
        <v>0</v>
      </c>
      <c r="Y61" s="116">
        <f t="shared" si="18"/>
        <v>0</v>
      </c>
      <c r="Z61" s="116">
        <f t="shared" si="18"/>
        <v>37.519140082273886</v>
      </c>
      <c r="AA61" s="116">
        <f t="shared" si="18"/>
        <v>24.578461918594741</v>
      </c>
      <c r="AB61" s="116">
        <f t="shared" si="18"/>
        <v>24.578461918594741</v>
      </c>
      <c r="AC61" s="116">
        <f t="shared" si="18"/>
        <v>23.721661901168133</v>
      </c>
      <c r="AD61" s="116">
        <f t="shared" si="18"/>
        <v>23.721661901168133</v>
      </c>
      <c r="AE61" s="116">
        <f t="shared" si="18"/>
        <v>23.721661901168133</v>
      </c>
      <c r="AF61" s="116">
        <f t="shared" si="18"/>
        <v>23.721661901168133</v>
      </c>
      <c r="AG61" s="116">
        <f t="shared" si="18"/>
        <v>30.25083358263565</v>
      </c>
      <c r="AH61" s="116">
        <f t="shared" si="18"/>
        <v>30.25083358263565</v>
      </c>
      <c r="AI61" s="116">
        <f t="shared" si="18"/>
        <v>30.25083358263565</v>
      </c>
      <c r="AJ61" s="116">
        <f t="shared" si="18"/>
        <v>30.25083358263565</v>
      </c>
      <c r="AK61" s="116">
        <f t="shared" si="18"/>
        <v>30.319512684010498</v>
      </c>
      <c r="AL61" s="116">
        <f t="shared" si="18"/>
        <v>30.319512684010498</v>
      </c>
      <c r="AM61" s="116">
        <f t="shared" si="18"/>
        <v>30.319512684010498</v>
      </c>
      <c r="AN61" s="116">
        <f t="shared" si="18"/>
        <v>30.319512684010498</v>
      </c>
      <c r="AO61" s="116">
        <f t="shared" si="18"/>
        <v>27.679370283356526</v>
      </c>
      <c r="AP61" s="116">
        <f t="shared" si="18"/>
        <v>27.679370283356526</v>
      </c>
      <c r="AQ61" s="116">
        <f t="shared" si="18"/>
        <v>27.679370283356526</v>
      </c>
      <c r="AR61" s="116">
        <f t="shared" si="18"/>
        <v>27.679370283356526</v>
      </c>
      <c r="AS61" s="116">
        <f t="shared" si="18"/>
        <v>31.957924822213414</v>
      </c>
      <c r="AT61" s="116">
        <f t="shared" si="18"/>
        <v>31.957924822213414</v>
      </c>
      <c r="AU61" s="116">
        <f t="shared" si="18"/>
        <v>31.957924822213414</v>
      </c>
      <c r="AV61" s="116">
        <f t="shared" si="18"/>
        <v>31.957924822213414</v>
      </c>
      <c r="AW61" s="116">
        <f t="shared" si="18"/>
        <v>19.868593201016093</v>
      </c>
      <c r="AX61" s="116">
        <f t="shared" si="18"/>
        <v>19.868593201016093</v>
      </c>
      <c r="AY61" s="116">
        <f t="shared" si="18"/>
        <v>19.868593201016093</v>
      </c>
    </row>
    <row r="62" spans="1:52" x14ac:dyDescent="0.2">
      <c r="A62" s="116"/>
      <c r="B62" s="171" t="s">
        <v>348</v>
      </c>
      <c r="C62" s="116"/>
      <c r="D62" s="116">
        <f>D56-D59</f>
        <v>98.792517462034212</v>
      </c>
      <c r="E62" s="116">
        <f t="shared" ref="E62:AY62" si="19">E56-E59</f>
        <v>75.764296265115064</v>
      </c>
      <c r="F62" s="116">
        <f t="shared" si="19"/>
        <v>75.764296265115064</v>
      </c>
      <c r="G62" s="116">
        <f t="shared" si="19"/>
        <v>75.764296265115064</v>
      </c>
      <c r="H62" s="116">
        <f t="shared" si="19"/>
        <v>75.764296265115064</v>
      </c>
      <c r="I62" s="116">
        <f t="shared" si="19"/>
        <v>98.792517462034212</v>
      </c>
      <c r="J62" s="116">
        <f t="shared" si="19"/>
        <v>98.792517462034212</v>
      </c>
      <c r="K62" s="116">
        <f t="shared" si="19"/>
        <v>98.792517462034212</v>
      </c>
      <c r="L62" s="116">
        <f t="shared" si="19"/>
        <v>98.792517462034212</v>
      </c>
      <c r="M62" s="116">
        <f t="shared" si="19"/>
        <v>0</v>
      </c>
      <c r="N62" s="116">
        <f t="shared" si="19"/>
        <v>98.792517462034212</v>
      </c>
      <c r="O62" s="116">
        <f t="shared" si="19"/>
        <v>88.118214749081218</v>
      </c>
      <c r="P62" s="116">
        <f t="shared" si="19"/>
        <v>88.118214749081218</v>
      </c>
      <c r="Q62" s="116">
        <f t="shared" si="19"/>
        <v>84.700588966393624</v>
      </c>
      <c r="R62" s="116">
        <f t="shared" si="19"/>
        <v>84.700588966393624</v>
      </c>
      <c r="S62" s="116">
        <f t="shared" si="19"/>
        <v>84.700588966393624</v>
      </c>
      <c r="T62" s="116">
        <f t="shared" si="19"/>
        <v>84.700588966393624</v>
      </c>
      <c r="U62" s="116">
        <f t="shared" si="19"/>
        <v>27.219934561735325</v>
      </c>
      <c r="V62" s="116">
        <f t="shared" si="19"/>
        <v>0</v>
      </c>
      <c r="W62" s="116">
        <f t="shared" si="19"/>
        <v>27.219934561735325</v>
      </c>
      <c r="X62" s="116">
        <f t="shared" si="19"/>
        <v>0</v>
      </c>
      <c r="Y62" s="116">
        <f t="shared" si="19"/>
        <v>0</v>
      </c>
      <c r="Z62" s="116">
        <f t="shared" si="19"/>
        <v>98.792517462034212</v>
      </c>
      <c r="AA62" s="116">
        <f t="shared" si="19"/>
        <v>64.718117818214992</v>
      </c>
      <c r="AB62" s="116">
        <f t="shared" si="19"/>
        <v>64.718117818214992</v>
      </c>
      <c r="AC62" s="116">
        <f t="shared" si="19"/>
        <v>62.462057831299653</v>
      </c>
      <c r="AD62" s="116">
        <f t="shared" si="19"/>
        <v>62.462057831299653</v>
      </c>
      <c r="AE62" s="116">
        <f t="shared" si="19"/>
        <v>62.462057831299653</v>
      </c>
      <c r="AF62" s="116">
        <f t="shared" si="19"/>
        <v>62.462057831299653</v>
      </c>
      <c r="AG62" s="116">
        <f t="shared" si="19"/>
        <v>79.654171135057084</v>
      </c>
      <c r="AH62" s="116">
        <f t="shared" si="19"/>
        <v>79.654171135057084</v>
      </c>
      <c r="AI62" s="116">
        <f t="shared" si="19"/>
        <v>79.654171135057084</v>
      </c>
      <c r="AJ62" s="116">
        <f t="shared" si="19"/>
        <v>79.654171135057084</v>
      </c>
      <c r="AK62" s="116">
        <f t="shared" si="19"/>
        <v>79.835011668901217</v>
      </c>
      <c r="AL62" s="116">
        <f t="shared" si="19"/>
        <v>79.835011668901217</v>
      </c>
      <c r="AM62" s="116">
        <f t="shared" si="19"/>
        <v>79.835011668901217</v>
      </c>
      <c r="AN62" s="116">
        <f t="shared" si="19"/>
        <v>79.835011668901217</v>
      </c>
      <c r="AO62" s="116">
        <f t="shared" si="19"/>
        <v>72.883191513990653</v>
      </c>
      <c r="AP62" s="116">
        <f t="shared" si="19"/>
        <v>72.883191513990653</v>
      </c>
      <c r="AQ62" s="116">
        <f t="shared" si="19"/>
        <v>72.883191513990653</v>
      </c>
      <c r="AR62" s="116">
        <f t="shared" si="19"/>
        <v>72.883191513990653</v>
      </c>
      <c r="AS62" s="116">
        <f t="shared" si="19"/>
        <v>84.149152649170986</v>
      </c>
      <c r="AT62" s="116">
        <f t="shared" si="19"/>
        <v>84.149152649170986</v>
      </c>
      <c r="AU62" s="116">
        <f t="shared" si="19"/>
        <v>84.149152649170986</v>
      </c>
      <c r="AV62" s="116">
        <f t="shared" si="19"/>
        <v>84.149152649170986</v>
      </c>
      <c r="AW62" s="116">
        <f t="shared" si="19"/>
        <v>52.316453320975867</v>
      </c>
      <c r="AX62" s="116">
        <f t="shared" si="19"/>
        <v>52.316453320975867</v>
      </c>
      <c r="AY62" s="116">
        <f t="shared" si="19"/>
        <v>52.316453320975867</v>
      </c>
    </row>
    <row r="63" spans="1:52" x14ac:dyDescent="0.2">
      <c r="A63" s="116"/>
      <c r="B63" s="171" t="s">
        <v>349</v>
      </c>
      <c r="C63" s="116"/>
      <c r="D63" s="116">
        <v>1</v>
      </c>
      <c r="E63" s="116">
        <v>1</v>
      </c>
      <c r="F63" s="116">
        <v>2</v>
      </c>
      <c r="G63" s="116">
        <v>1</v>
      </c>
      <c r="H63" s="116">
        <v>2</v>
      </c>
      <c r="I63" s="116">
        <v>3</v>
      </c>
      <c r="J63" s="116">
        <v>1</v>
      </c>
      <c r="K63" s="116">
        <v>1</v>
      </c>
      <c r="L63" s="116">
        <v>1</v>
      </c>
      <c r="M63" s="116">
        <v>1</v>
      </c>
      <c r="N63" s="116">
        <v>1</v>
      </c>
      <c r="O63" s="116">
        <v>1</v>
      </c>
      <c r="P63" s="116">
        <v>2</v>
      </c>
      <c r="Q63" s="116">
        <v>1</v>
      </c>
      <c r="R63" s="116">
        <v>2</v>
      </c>
      <c r="S63" s="116">
        <v>1</v>
      </c>
      <c r="T63" s="116">
        <v>2</v>
      </c>
      <c r="U63" s="116">
        <v>2</v>
      </c>
      <c r="V63" s="116">
        <v>1</v>
      </c>
      <c r="W63" s="116">
        <v>2</v>
      </c>
      <c r="X63" s="116">
        <v>1</v>
      </c>
      <c r="Y63" s="116">
        <v>1</v>
      </c>
      <c r="Z63" s="116">
        <v>2</v>
      </c>
      <c r="AA63" s="116">
        <v>1</v>
      </c>
      <c r="AB63" s="116">
        <v>1</v>
      </c>
      <c r="AC63" s="116">
        <v>1</v>
      </c>
      <c r="AD63" s="116">
        <v>1</v>
      </c>
      <c r="AE63" s="116">
        <v>2</v>
      </c>
      <c r="AF63" s="116">
        <v>1</v>
      </c>
      <c r="AG63" s="116">
        <v>1</v>
      </c>
      <c r="AH63" s="116">
        <v>1</v>
      </c>
      <c r="AI63" s="116">
        <v>1</v>
      </c>
      <c r="AJ63" s="116">
        <v>2</v>
      </c>
      <c r="AK63" s="116">
        <v>1</v>
      </c>
      <c r="AL63" s="116">
        <v>2</v>
      </c>
      <c r="AM63" s="116">
        <v>1</v>
      </c>
      <c r="AN63" s="116">
        <v>1</v>
      </c>
      <c r="AO63" s="116">
        <v>2</v>
      </c>
      <c r="AP63" s="116">
        <v>1</v>
      </c>
      <c r="AQ63" s="116">
        <v>2</v>
      </c>
      <c r="AR63" s="116">
        <v>1</v>
      </c>
      <c r="AS63" s="116">
        <v>2</v>
      </c>
      <c r="AT63" s="116">
        <v>2</v>
      </c>
      <c r="AU63" s="116">
        <v>2</v>
      </c>
      <c r="AV63" s="116">
        <v>2</v>
      </c>
      <c r="AW63" s="116">
        <v>1</v>
      </c>
      <c r="AX63" s="116">
        <v>1</v>
      </c>
      <c r="AY63" s="116">
        <v>1</v>
      </c>
    </row>
    <row r="64" spans="1:52" x14ac:dyDescent="0.2">
      <c r="A64" s="116"/>
      <c r="B64" s="184" t="s">
        <v>350</v>
      </c>
      <c r="C64" s="116"/>
      <c r="D64" s="116">
        <v>0</v>
      </c>
      <c r="E64" s="116">
        <v>0</v>
      </c>
      <c r="F64" s="116">
        <v>0</v>
      </c>
      <c r="G64" s="116">
        <v>0</v>
      </c>
      <c r="H64" s="116">
        <v>0</v>
      </c>
      <c r="I64" s="116">
        <v>0</v>
      </c>
      <c r="J64" s="116">
        <v>0</v>
      </c>
      <c r="K64" s="116">
        <v>0</v>
      </c>
      <c r="L64" s="116">
        <v>0</v>
      </c>
      <c r="M64" s="116">
        <v>0</v>
      </c>
      <c r="N64" s="116">
        <v>0</v>
      </c>
      <c r="O64" s="116">
        <v>0</v>
      </c>
      <c r="P64" s="116">
        <v>0</v>
      </c>
      <c r="Q64" s="116">
        <v>0</v>
      </c>
      <c r="R64" s="116">
        <v>0</v>
      </c>
      <c r="S64" s="116">
        <v>0</v>
      </c>
      <c r="T64" s="116">
        <v>0</v>
      </c>
      <c r="U64" s="116">
        <v>0</v>
      </c>
      <c r="V64" s="116">
        <v>129384</v>
      </c>
      <c r="W64" s="116">
        <v>0</v>
      </c>
      <c r="X64" s="116">
        <v>129384</v>
      </c>
      <c r="Y64" s="116">
        <v>0</v>
      </c>
      <c r="Z64" s="116">
        <v>0</v>
      </c>
      <c r="AA64" s="116">
        <v>0</v>
      </c>
      <c r="AB64" s="116">
        <v>0</v>
      </c>
      <c r="AC64" s="116">
        <v>0</v>
      </c>
      <c r="AD64" s="116">
        <v>0</v>
      </c>
      <c r="AE64" s="116">
        <v>0</v>
      </c>
      <c r="AF64" s="116">
        <v>0</v>
      </c>
      <c r="AG64" s="116">
        <v>0</v>
      </c>
      <c r="AH64" s="116">
        <v>0</v>
      </c>
      <c r="AI64" s="116">
        <v>0</v>
      </c>
      <c r="AJ64" s="116">
        <v>0</v>
      </c>
      <c r="AK64" s="116">
        <v>0</v>
      </c>
      <c r="AL64" s="116">
        <v>0</v>
      </c>
      <c r="AM64" s="116">
        <v>0</v>
      </c>
      <c r="AN64" s="116">
        <v>0</v>
      </c>
      <c r="AO64" s="116">
        <v>0</v>
      </c>
      <c r="AP64" s="116">
        <v>0</v>
      </c>
      <c r="AQ64" s="116">
        <v>0</v>
      </c>
      <c r="AR64" s="116">
        <v>0</v>
      </c>
      <c r="AS64" s="116">
        <v>0</v>
      </c>
      <c r="AT64" s="116">
        <v>0</v>
      </c>
      <c r="AU64" s="116">
        <v>0</v>
      </c>
      <c r="AV64" s="116">
        <v>0</v>
      </c>
      <c r="AW64" s="116">
        <v>0</v>
      </c>
      <c r="AX64" s="116">
        <v>0</v>
      </c>
      <c r="AY64" s="116">
        <v>0</v>
      </c>
      <c r="AZ64" s="106">
        <f>SUM($D$64:$AY$64)</f>
        <v>258768</v>
      </c>
    </row>
    <row r="65" spans="1:52" x14ac:dyDescent="0.2">
      <c r="A65" s="131"/>
      <c r="B65" s="146" t="s">
        <v>351</v>
      </c>
      <c r="C65" s="131"/>
      <c r="D65" s="131">
        <v>159218.8315946291</v>
      </c>
      <c r="E65" s="131">
        <v>122105.42901244285</v>
      </c>
      <c r="F65" s="131">
        <v>122105.42901244285</v>
      </c>
      <c r="G65" s="131">
        <v>122105.42901244285</v>
      </c>
      <c r="H65" s="131">
        <v>122105.42901244285</v>
      </c>
      <c r="I65" s="131">
        <v>159218.8315946291</v>
      </c>
      <c r="J65" s="131">
        <v>159218.8315946291</v>
      </c>
      <c r="K65" s="131">
        <v>159218.8315946291</v>
      </c>
      <c r="L65" s="131">
        <v>159218.8315946291</v>
      </c>
      <c r="M65" s="131">
        <v>0</v>
      </c>
      <c r="N65" s="131">
        <v>159218.8315946291</v>
      </c>
      <c r="O65" s="131">
        <v>142015.6055841482</v>
      </c>
      <c r="P65" s="131">
        <v>142015.6055841482</v>
      </c>
      <c r="Q65" s="131">
        <v>136507.59346008915</v>
      </c>
      <c r="R65" s="131">
        <v>136507.59346008915</v>
      </c>
      <c r="S65" s="131">
        <v>136507.59346008915</v>
      </c>
      <c r="T65" s="131">
        <v>136507.59346008915</v>
      </c>
      <c r="U65" s="131">
        <v>43868.97194584884</v>
      </c>
      <c r="V65" s="131">
        <v>0</v>
      </c>
      <c r="W65" s="131">
        <v>43868.97194584884</v>
      </c>
      <c r="X65" s="131">
        <v>0</v>
      </c>
      <c r="Y65" s="131">
        <v>0</v>
      </c>
      <c r="Z65" s="131">
        <v>159218.8315946291</v>
      </c>
      <c r="AA65" s="131">
        <v>104302.86996158061</v>
      </c>
      <c r="AB65" s="131">
        <v>104302.86996158061</v>
      </c>
      <c r="AC65" s="131">
        <v>100666.89383350899</v>
      </c>
      <c r="AD65" s="131">
        <v>100666.89383350899</v>
      </c>
      <c r="AE65" s="131">
        <v>100666.89383350899</v>
      </c>
      <c r="AF65" s="131">
        <v>100666.89383350899</v>
      </c>
      <c r="AG65" s="131">
        <v>128374.540760501</v>
      </c>
      <c r="AH65" s="131">
        <v>128374.540760501</v>
      </c>
      <c r="AI65" s="131">
        <v>128374.540760501</v>
      </c>
      <c r="AJ65" s="131">
        <v>128374.540760501</v>
      </c>
      <c r="AK65" s="131">
        <v>128665.99217041855</v>
      </c>
      <c r="AL65" s="131">
        <v>128665.99217041855</v>
      </c>
      <c r="AM65" s="131">
        <v>128665.99217041855</v>
      </c>
      <c r="AN65" s="131">
        <v>128665.99217041855</v>
      </c>
      <c r="AO65" s="131">
        <v>117462.10030739136</v>
      </c>
      <c r="AP65" s="131">
        <v>117462.10030739136</v>
      </c>
      <c r="AQ65" s="131">
        <v>117462.10030739136</v>
      </c>
      <c r="AR65" s="131">
        <v>117462.10030739136</v>
      </c>
      <c r="AS65" s="131">
        <v>135618.87184045053</v>
      </c>
      <c r="AT65" s="131">
        <v>135618.87184045053</v>
      </c>
      <c r="AU65" s="131">
        <v>135618.87184045053</v>
      </c>
      <c r="AV65" s="131">
        <v>135618.87184045053</v>
      </c>
      <c r="AW65" s="131">
        <v>84315.743590012717</v>
      </c>
      <c r="AX65" s="131">
        <v>84315.743590012717</v>
      </c>
      <c r="AY65" s="131">
        <v>84315.743590012717</v>
      </c>
      <c r="AZ65" s="106">
        <f>SUM($D$65:$AY$65)</f>
        <v>5425459.6324548088</v>
      </c>
    </row>
  </sheetData>
  <pageMargins left="0.75" right="0.75" top="1" bottom="1" header="0.5" footer="0.5"/>
  <pageSetup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163" activePane="bottomRight" state="frozen"/>
      <selection pane="topRight"/>
      <selection pane="bottomLeft"/>
      <selection pane="bottomRight" activeCell="C185" sqref="C185:C256"/>
    </sheetView>
  </sheetViews>
  <sheetFormatPr defaultRowHeight="12.75" x14ac:dyDescent="0.2"/>
  <cols>
    <col min="1" max="1" width="14.7109375" style="106" customWidth="1"/>
    <col min="2" max="2" width="12.7109375" style="106" customWidth="1"/>
    <col min="3" max="16384" width="9.140625" style="106"/>
  </cols>
  <sheetData>
    <row r="1" spans="1:53" x14ac:dyDescent="0.2">
      <c r="A1" s="108" t="s">
        <v>284</v>
      </c>
    </row>
    <row r="2" spans="1:53" x14ac:dyDescent="0.2">
      <c r="A2" s="106" t="s">
        <v>285</v>
      </c>
      <c r="B2" s="113" t="s">
        <v>42</v>
      </c>
    </row>
    <row r="3" spans="1:53" x14ac:dyDescent="0.2">
      <c r="A3" s="106" t="s">
        <v>286</v>
      </c>
      <c r="B3" s="114">
        <v>8484</v>
      </c>
      <c r="C3" s="115"/>
    </row>
    <row r="4" spans="1:53" x14ac:dyDescent="0.2">
      <c r="B4" s="116"/>
      <c r="C4" s="116"/>
    </row>
    <row r="5" spans="1:53" x14ac:dyDescent="0.2">
      <c r="C5" s="117" t="s">
        <v>287</v>
      </c>
    </row>
    <row r="6" spans="1:53" x14ac:dyDescent="0.2">
      <c r="C6" s="118">
        <v>0</v>
      </c>
      <c r="D6" s="118">
        <v>1</v>
      </c>
      <c r="E6" s="118">
        <v>2</v>
      </c>
      <c r="F6" s="118">
        <v>3</v>
      </c>
      <c r="G6" s="118">
        <v>4</v>
      </c>
      <c r="H6" s="118">
        <v>5</v>
      </c>
      <c r="I6" s="118">
        <v>6</v>
      </c>
      <c r="J6" s="118">
        <v>7</v>
      </c>
      <c r="K6" s="118">
        <v>8</v>
      </c>
      <c r="L6" s="118">
        <v>9</v>
      </c>
      <c r="M6" s="118">
        <v>10</v>
      </c>
      <c r="N6" s="118">
        <v>11</v>
      </c>
      <c r="O6" s="118">
        <v>12</v>
      </c>
      <c r="P6" s="118">
        <v>13</v>
      </c>
      <c r="Q6" s="118">
        <v>14</v>
      </c>
      <c r="R6" s="118">
        <v>15</v>
      </c>
      <c r="S6" s="118">
        <v>16</v>
      </c>
      <c r="T6" s="118">
        <v>17</v>
      </c>
      <c r="U6" s="118">
        <v>18</v>
      </c>
      <c r="V6" s="118">
        <v>19</v>
      </c>
      <c r="W6" s="118">
        <v>20</v>
      </c>
      <c r="X6" s="118">
        <v>21</v>
      </c>
      <c r="Y6" s="118">
        <v>22</v>
      </c>
      <c r="Z6" s="118">
        <v>23</v>
      </c>
      <c r="AA6" s="118">
        <v>24</v>
      </c>
      <c r="AB6" s="118">
        <v>25</v>
      </c>
      <c r="AC6" s="118">
        <v>26</v>
      </c>
      <c r="AD6" s="118">
        <v>27</v>
      </c>
      <c r="AE6" s="118">
        <v>28</v>
      </c>
      <c r="AF6" s="118">
        <v>29</v>
      </c>
      <c r="AG6" s="118">
        <v>30</v>
      </c>
      <c r="AH6" s="118">
        <v>31</v>
      </c>
      <c r="AI6" s="118">
        <v>32</v>
      </c>
      <c r="AJ6" s="118">
        <v>33</v>
      </c>
      <c r="AK6" s="118">
        <v>34</v>
      </c>
      <c r="AL6" s="118">
        <v>35</v>
      </c>
      <c r="AM6" s="118">
        <v>36</v>
      </c>
      <c r="AN6" s="118">
        <v>37</v>
      </c>
      <c r="AO6" s="118">
        <v>38</v>
      </c>
      <c r="AP6" s="118">
        <v>39</v>
      </c>
      <c r="AQ6" s="118">
        <v>40</v>
      </c>
      <c r="AR6" s="118">
        <v>41</v>
      </c>
      <c r="AS6" s="118">
        <v>42</v>
      </c>
      <c r="AT6" s="118">
        <v>43</v>
      </c>
      <c r="AU6" s="118">
        <v>44</v>
      </c>
      <c r="AV6" s="118">
        <v>45</v>
      </c>
      <c r="AW6" s="118">
        <v>46</v>
      </c>
      <c r="AX6" s="118">
        <v>47</v>
      </c>
      <c r="AY6" s="118">
        <v>48</v>
      </c>
    </row>
    <row r="7" spans="1:53" x14ac:dyDescent="0.2">
      <c r="B7" s="116"/>
      <c r="C7" s="119" t="s">
        <v>288</v>
      </c>
      <c r="D7" s="118" t="s">
        <v>289</v>
      </c>
      <c r="E7" s="118" t="s">
        <v>289</v>
      </c>
      <c r="F7" s="118" t="s">
        <v>289</v>
      </c>
      <c r="G7" s="118" t="s">
        <v>289</v>
      </c>
      <c r="H7" s="118" t="s">
        <v>289</v>
      </c>
      <c r="I7" s="118" t="s">
        <v>289</v>
      </c>
      <c r="J7" s="118" t="s">
        <v>289</v>
      </c>
      <c r="K7" s="118" t="s">
        <v>289</v>
      </c>
      <c r="L7" s="118" t="s">
        <v>289</v>
      </c>
      <c r="M7" s="118" t="s">
        <v>289</v>
      </c>
      <c r="N7" s="118" t="s">
        <v>289</v>
      </c>
      <c r="O7" s="118" t="s">
        <v>289</v>
      </c>
      <c r="P7" s="118" t="s">
        <v>289</v>
      </c>
      <c r="Q7" s="118" t="s">
        <v>289</v>
      </c>
      <c r="R7" s="118" t="s">
        <v>289</v>
      </c>
      <c r="S7" s="118" t="s">
        <v>289</v>
      </c>
      <c r="T7" s="118" t="s">
        <v>289</v>
      </c>
      <c r="U7" s="118" t="s">
        <v>289</v>
      </c>
      <c r="V7" s="118" t="s">
        <v>289</v>
      </c>
      <c r="W7" s="118" t="s">
        <v>289</v>
      </c>
      <c r="X7" s="118" t="s">
        <v>289</v>
      </c>
      <c r="Y7" s="118" t="s">
        <v>289</v>
      </c>
      <c r="Z7" s="118" t="s">
        <v>289</v>
      </c>
      <c r="AA7" s="118" t="s">
        <v>289</v>
      </c>
      <c r="AB7" s="118" t="s">
        <v>289</v>
      </c>
      <c r="AC7" s="118" t="s">
        <v>289</v>
      </c>
      <c r="AD7" s="118" t="s">
        <v>289</v>
      </c>
      <c r="AE7" s="118" t="s">
        <v>289</v>
      </c>
      <c r="AF7" s="118" t="s">
        <v>289</v>
      </c>
      <c r="AG7" s="118" t="s">
        <v>289</v>
      </c>
      <c r="AH7" s="118" t="s">
        <v>289</v>
      </c>
      <c r="AI7" s="118" t="s">
        <v>289</v>
      </c>
      <c r="AJ7" s="118" t="s">
        <v>289</v>
      </c>
      <c r="AK7" s="118" t="s">
        <v>289</v>
      </c>
      <c r="AL7" s="118" t="s">
        <v>289</v>
      </c>
      <c r="AM7" s="118" t="s">
        <v>289</v>
      </c>
      <c r="AN7" s="118" t="s">
        <v>289</v>
      </c>
      <c r="AO7" s="118" t="s">
        <v>289</v>
      </c>
      <c r="AP7" s="118" t="s">
        <v>289</v>
      </c>
      <c r="AQ7" s="118" t="s">
        <v>289</v>
      </c>
      <c r="AR7" s="118" t="s">
        <v>289</v>
      </c>
      <c r="AS7" s="118" t="s">
        <v>289</v>
      </c>
      <c r="AT7" s="118" t="s">
        <v>289</v>
      </c>
      <c r="AU7" s="118" t="s">
        <v>289</v>
      </c>
      <c r="AV7" s="118" t="s">
        <v>289</v>
      </c>
      <c r="AW7" s="118" t="s">
        <v>289</v>
      </c>
      <c r="AX7" s="118" t="s">
        <v>289</v>
      </c>
      <c r="AY7" s="117" t="s">
        <v>290</v>
      </c>
      <c r="AZ7" s="117" t="s">
        <v>291</v>
      </c>
    </row>
    <row r="8" spans="1:53" x14ac:dyDescent="0.2">
      <c r="A8" s="108" t="s">
        <v>292</v>
      </c>
      <c r="B8" s="120"/>
      <c r="AY8" s="116"/>
    </row>
    <row r="9" spans="1:53" x14ac:dyDescent="0.2">
      <c r="A9" s="121" t="s">
        <v>125</v>
      </c>
      <c r="B9" s="122">
        <v>1</v>
      </c>
      <c r="C9" s="123" t="s">
        <v>293</v>
      </c>
      <c r="D9" s="123">
        <v>585.14163583560912</v>
      </c>
      <c r="E9" s="123">
        <v>585.14163583560912</v>
      </c>
      <c r="F9" s="123">
        <v>585.14163583560912</v>
      </c>
      <c r="G9" s="123">
        <v>585.14163583560912</v>
      </c>
      <c r="H9" s="123">
        <v>813.15962221578798</v>
      </c>
      <c r="I9" s="123">
        <v>813.15962221578798</v>
      </c>
      <c r="J9" s="123">
        <v>813.15962221578798</v>
      </c>
      <c r="K9" s="123">
        <v>813.15962221578798</v>
      </c>
      <c r="L9" s="123">
        <v>653.64867759881599</v>
      </c>
      <c r="M9" s="123">
        <v>653.64867759881599</v>
      </c>
      <c r="N9" s="123">
        <v>653.64867759881599</v>
      </c>
      <c r="O9" s="123">
        <v>653.64867759881599</v>
      </c>
      <c r="P9" s="123">
        <v>696.45355119003716</v>
      </c>
      <c r="Q9" s="123">
        <v>696.45355119003716</v>
      </c>
      <c r="R9" s="123">
        <v>696.45355119003716</v>
      </c>
      <c r="S9" s="123">
        <v>696.45355119003716</v>
      </c>
      <c r="T9" s="123">
        <v>1131.4346034233529</v>
      </c>
      <c r="U9" s="123">
        <v>1131.4346034233529</v>
      </c>
      <c r="V9" s="123">
        <v>1131.4346034233529</v>
      </c>
      <c r="W9" s="123">
        <v>1131.4346034233529</v>
      </c>
      <c r="X9" s="123">
        <v>532.14698422834556</v>
      </c>
      <c r="Y9" s="123">
        <v>532.14698422834556</v>
      </c>
      <c r="Z9" s="123">
        <v>532.14698422834556</v>
      </c>
      <c r="AA9" s="123">
        <v>532.14698422834556</v>
      </c>
      <c r="AB9" s="123">
        <v>513.59645218649223</v>
      </c>
      <c r="AC9" s="123">
        <v>513.59645218649223</v>
      </c>
      <c r="AD9" s="123">
        <v>513.59645218649223</v>
      </c>
      <c r="AE9" s="123">
        <v>513.59645218649223</v>
      </c>
      <c r="AF9" s="123">
        <v>654.95920431108527</v>
      </c>
      <c r="AG9" s="123">
        <v>654.95920431108527</v>
      </c>
      <c r="AH9" s="123">
        <v>654.95920431108527</v>
      </c>
      <c r="AI9" s="123">
        <v>654.95920431108527</v>
      </c>
      <c r="AJ9" s="123">
        <v>592.20502766719324</v>
      </c>
      <c r="AK9" s="123">
        <v>592.20502766719324</v>
      </c>
      <c r="AL9" s="123">
        <v>592.20502766719324</v>
      </c>
      <c r="AM9" s="123">
        <v>592.20502766719324</v>
      </c>
      <c r="AN9" s="123">
        <v>1188.0788852555102</v>
      </c>
      <c r="AO9" s="123">
        <v>1188.0788852555102</v>
      </c>
      <c r="AP9" s="123">
        <v>1188.0788852555102</v>
      </c>
      <c r="AQ9" s="123">
        <v>1188.0788852555102</v>
      </c>
      <c r="AR9" s="123">
        <v>691.91934681116049</v>
      </c>
      <c r="AS9" s="123">
        <v>691.91934681116049</v>
      </c>
      <c r="AT9" s="123">
        <v>691.91934681116049</v>
      </c>
      <c r="AU9" s="123">
        <v>691.91934681116049</v>
      </c>
      <c r="AV9" s="123">
        <v>430.17386473567547</v>
      </c>
      <c r="AW9" s="123">
        <v>430.17386473567547</v>
      </c>
      <c r="AX9" s="123">
        <v>430.17386473567547</v>
      </c>
      <c r="AY9" s="123">
        <v>430.17386473567547</v>
      </c>
    </row>
    <row r="10" spans="1:53" x14ac:dyDescent="0.2">
      <c r="A10" s="124" t="s">
        <v>133</v>
      </c>
      <c r="B10" s="125">
        <v>1</v>
      </c>
      <c r="C10" s="112" t="s">
        <v>293</v>
      </c>
      <c r="D10" s="106">
        <v>0</v>
      </c>
      <c r="E10" s="106">
        <v>326.83241767933492</v>
      </c>
      <c r="F10" s="106">
        <v>250.64882197801109</v>
      </c>
      <c r="G10" s="106">
        <v>120.6702479151862</v>
      </c>
      <c r="H10" s="106">
        <v>0</v>
      </c>
      <c r="I10" s="106">
        <v>250.64882197801109</v>
      </c>
      <c r="J10" s="106">
        <v>326.83241767933492</v>
      </c>
      <c r="K10" s="106">
        <v>326.83241767933492</v>
      </c>
      <c r="L10" s="106">
        <v>326.83241767933492</v>
      </c>
      <c r="M10" s="106">
        <v>326.83241767933492</v>
      </c>
      <c r="N10" s="106">
        <v>0</v>
      </c>
      <c r="O10" s="106">
        <v>326.83241767933492</v>
      </c>
      <c r="P10" s="106">
        <v>291.51893187757656</v>
      </c>
      <c r="Q10" s="106">
        <v>291.51893187757656</v>
      </c>
      <c r="R10" s="106">
        <v>0</v>
      </c>
      <c r="S10" s="106">
        <v>280.21249971070444</v>
      </c>
      <c r="T10" s="106">
        <v>280.21249971070444</v>
      </c>
      <c r="U10" s="106">
        <v>280.21249971070444</v>
      </c>
      <c r="V10" s="106">
        <v>0</v>
      </c>
      <c r="W10" s="106">
        <v>90.05091934522369</v>
      </c>
      <c r="X10" s="106">
        <v>90.05091934522369</v>
      </c>
      <c r="Y10" s="106">
        <v>90.05091934522369</v>
      </c>
      <c r="Z10" s="106">
        <v>0</v>
      </c>
      <c r="AA10" s="106">
        <v>326.83241767933492</v>
      </c>
      <c r="AB10" s="106">
        <v>0</v>
      </c>
      <c r="AC10" s="106">
        <v>214.10507048078733</v>
      </c>
      <c r="AD10" s="106">
        <v>206.64141271706535</v>
      </c>
      <c r="AE10" s="106">
        <v>206.64141271706535</v>
      </c>
      <c r="AF10" s="106">
        <v>206.64141271706535</v>
      </c>
      <c r="AG10" s="106">
        <v>206.64141271706535</v>
      </c>
      <c r="AH10" s="106">
        <v>263.51758209136483</v>
      </c>
      <c r="AI10" s="106">
        <v>120.6702479151862</v>
      </c>
      <c r="AJ10" s="106">
        <v>0</v>
      </c>
      <c r="AK10" s="106">
        <v>263.51758209136483</v>
      </c>
      <c r="AL10" s="106">
        <v>264.1158515798756</v>
      </c>
      <c r="AM10" s="106">
        <v>264.1158515798756</v>
      </c>
      <c r="AN10" s="106">
        <v>264.1158515798756</v>
      </c>
      <c r="AO10" s="106">
        <v>120.6702479151862</v>
      </c>
      <c r="AP10" s="106">
        <v>241.11734676523207</v>
      </c>
      <c r="AQ10" s="106">
        <v>241.11734676523207</v>
      </c>
      <c r="AR10" s="106">
        <v>241.11734676523207</v>
      </c>
      <c r="AS10" s="106">
        <v>241.11734676523207</v>
      </c>
      <c r="AT10" s="106">
        <v>278.38819895003883</v>
      </c>
      <c r="AU10" s="106">
        <v>120.6702479151862</v>
      </c>
      <c r="AV10" s="106">
        <v>278.38819895003883</v>
      </c>
      <c r="AW10" s="106">
        <v>278.38819895003883</v>
      </c>
      <c r="AX10" s="106">
        <v>173.07700383152616</v>
      </c>
      <c r="AY10" s="106">
        <v>120.67024791518618</v>
      </c>
      <c r="AZ10" s="106">
        <v>173.07700383152616</v>
      </c>
    </row>
    <row r="11" spans="1:53" x14ac:dyDescent="0.2">
      <c r="B11" s="125">
        <v>2</v>
      </c>
      <c r="C11" s="112" t="s">
        <v>293</v>
      </c>
      <c r="D11" s="106">
        <v>203.36447752796221</v>
      </c>
      <c r="E11" s="106">
        <v>280.88242844017594</v>
      </c>
      <c r="I11" s="106">
        <v>250.64882197801109</v>
      </c>
      <c r="S11" s="106">
        <v>280.21249971070444</v>
      </c>
      <c r="W11" s="106">
        <v>90.05091934522369</v>
      </c>
      <c r="Z11" s="106">
        <v>0</v>
      </c>
      <c r="AA11" s="106">
        <v>0</v>
      </c>
      <c r="AC11" s="106">
        <v>214.10507048078733</v>
      </c>
      <c r="AP11" s="106">
        <v>143.4456036646894</v>
      </c>
      <c r="AV11" s="106">
        <v>157.71795103485263</v>
      </c>
    </row>
    <row r="12" spans="1:53" x14ac:dyDescent="0.2">
      <c r="B12" s="126">
        <v>3</v>
      </c>
      <c r="C12" s="112" t="s">
        <v>293</v>
      </c>
      <c r="I12" s="106">
        <v>129.97857406282489</v>
      </c>
      <c r="AK12" s="106">
        <v>142.84733417617863</v>
      </c>
      <c r="AL12" s="106">
        <v>263.51758209136483</v>
      </c>
      <c r="BA12" s="106">
        <v>52.406755916339975</v>
      </c>
    </row>
    <row r="13" spans="1:53" x14ac:dyDescent="0.2">
      <c r="B13" s="126">
        <v>4</v>
      </c>
      <c r="C13" s="112" t="s">
        <v>293</v>
      </c>
    </row>
    <row r="14" spans="1:53" x14ac:dyDescent="0.2">
      <c r="A14" s="121" t="s">
        <v>134</v>
      </c>
      <c r="B14" s="127">
        <v>1</v>
      </c>
      <c r="C14" s="123" t="s">
        <v>293</v>
      </c>
      <c r="D14" s="123">
        <v>115.0138086486271</v>
      </c>
      <c r="E14" s="123">
        <f t="shared" ref="E14:AZ14" si="0">D$172*SUM(D$122:D$169)</f>
        <v>1214.2537639786385</v>
      </c>
      <c r="F14" s="123">
        <f t="shared" si="0"/>
        <v>1087.0117562452056</v>
      </c>
      <c r="G14" s="123">
        <f t="shared" si="0"/>
        <v>790.83795057397811</v>
      </c>
      <c r="H14" s="123">
        <f t="shared" si="0"/>
        <v>544.50191894023772</v>
      </c>
      <c r="I14" s="123">
        <f t="shared" si="0"/>
        <v>270.11746021018268</v>
      </c>
      <c r="J14" s="123">
        <f t="shared" si="0"/>
        <v>583.6601250223199</v>
      </c>
      <c r="K14" s="123">
        <f t="shared" si="0"/>
        <v>529.03659135261785</v>
      </c>
      <c r="L14" s="123">
        <f t="shared" si="0"/>
        <v>521.12372349137297</v>
      </c>
      <c r="M14" s="123">
        <f t="shared" si="0"/>
        <v>231.32707834283576</v>
      </c>
      <c r="N14" s="123">
        <f t="shared" si="0"/>
        <v>268.22747777875753</v>
      </c>
      <c r="O14" s="123">
        <f t="shared" si="0"/>
        <v>171.5743697175763</v>
      </c>
      <c r="P14" s="123">
        <f t="shared" si="0"/>
        <v>217.49695242371737</v>
      </c>
      <c r="Q14" s="123">
        <f t="shared" si="0"/>
        <v>299.14828568997859</v>
      </c>
      <c r="R14" s="123">
        <f t="shared" si="0"/>
        <v>269.85226815070121</v>
      </c>
      <c r="S14" s="123">
        <f t="shared" si="0"/>
        <v>117.77894956491973</v>
      </c>
      <c r="T14" s="123">
        <f t="shared" si="0"/>
        <v>262.03082686033474</v>
      </c>
      <c r="U14" s="123">
        <f t="shared" si="0"/>
        <v>287.02773186117008</v>
      </c>
      <c r="V14" s="123">
        <f t="shared" si="0"/>
        <v>328.49894064597351</v>
      </c>
      <c r="W14" s="123">
        <f t="shared" si="0"/>
        <v>227.99405277575678</v>
      </c>
      <c r="X14" s="123">
        <f t="shared" si="0"/>
        <v>235.0323586950249</v>
      </c>
      <c r="Y14" s="123">
        <f t="shared" si="0"/>
        <v>138.43080162196688</v>
      </c>
      <c r="Z14" s="123">
        <f t="shared" si="0"/>
        <v>76.231033441270895</v>
      </c>
      <c r="AA14" s="123">
        <f t="shared" si="0"/>
        <v>48.700963991647541</v>
      </c>
      <c r="AB14" s="123">
        <f t="shared" si="0"/>
        <v>148.61909056408481</v>
      </c>
      <c r="AC14" s="123">
        <f t="shared" si="0"/>
        <v>27.067663431798792</v>
      </c>
      <c r="AD14" s="123">
        <f t="shared" si="0"/>
        <v>105.44775708923575</v>
      </c>
      <c r="AE14" s="123">
        <f t="shared" si="0"/>
        <v>57.612963282389842</v>
      </c>
      <c r="AF14" s="123">
        <f t="shared" si="0"/>
        <v>57.612963282389842</v>
      </c>
      <c r="AG14" s="123">
        <f t="shared" si="0"/>
        <v>236.73075387396437</v>
      </c>
      <c r="AH14" s="123">
        <f t="shared" si="0"/>
        <v>289.15455333984852</v>
      </c>
      <c r="AI14" s="123">
        <f t="shared" si="0"/>
        <v>342.82920481161483</v>
      </c>
      <c r="AJ14" s="123">
        <f t="shared" si="0"/>
        <v>249.70821398006225</v>
      </c>
      <c r="AK14" s="123">
        <f t="shared" si="0"/>
        <v>188.8010580060398</v>
      </c>
      <c r="AL14" s="123">
        <f t="shared" si="0"/>
        <v>492.14754007434476</v>
      </c>
      <c r="AM14" s="123">
        <f t="shared" si="0"/>
        <v>733.54175971626626</v>
      </c>
      <c r="AN14" s="123">
        <f t="shared" si="0"/>
        <v>648.85903193527542</v>
      </c>
      <c r="AO14" s="123">
        <f t="shared" si="0"/>
        <v>412.89987385835366</v>
      </c>
      <c r="AP14" s="123">
        <f t="shared" si="0"/>
        <v>363.98741570184973</v>
      </c>
      <c r="AQ14" s="123">
        <f t="shared" si="0"/>
        <v>426.1656344709898</v>
      </c>
      <c r="AR14" s="123">
        <f t="shared" si="0"/>
        <v>419.48166889143914</v>
      </c>
      <c r="AS14" s="123">
        <f t="shared" si="0"/>
        <v>491.87165515875012</v>
      </c>
      <c r="AT14" s="123">
        <f t="shared" si="0"/>
        <v>377.66472983228471</v>
      </c>
      <c r="AU14" s="123">
        <f t="shared" si="0"/>
        <v>367.50024597664338</v>
      </c>
      <c r="AV14" s="123">
        <f t="shared" si="0"/>
        <v>265.26378250674298</v>
      </c>
      <c r="AW14" s="123">
        <f t="shared" si="0"/>
        <v>477.41457771171571</v>
      </c>
      <c r="AX14" s="123">
        <f t="shared" si="0"/>
        <v>513.38264733205688</v>
      </c>
      <c r="AY14" s="123">
        <f t="shared" si="0"/>
        <v>432.41350508654881</v>
      </c>
      <c r="AZ14" s="116">
        <f t="shared" si="0"/>
        <v>368.60282457016996</v>
      </c>
      <c r="BA14" s="113">
        <f>SUM($E14:$AZ14)</f>
        <v>17214.676495861047</v>
      </c>
    </row>
    <row r="15" spans="1:53" x14ac:dyDescent="0.2">
      <c r="A15" s="128" t="s">
        <v>123</v>
      </c>
      <c r="B15" s="129">
        <v>1</v>
      </c>
      <c r="C15" s="130" t="s">
        <v>293</v>
      </c>
      <c r="D15" s="130">
        <v>245.95000126832451</v>
      </c>
      <c r="E15" s="130">
        <v>731.66025253846692</v>
      </c>
      <c r="F15" s="130">
        <v>618.44273980367495</v>
      </c>
      <c r="G15" s="130">
        <v>425.2797533531384</v>
      </c>
      <c r="H15" s="130">
        <v>179.11113709610427</v>
      </c>
      <c r="I15" s="130">
        <v>551.60387563145468</v>
      </c>
      <c r="J15" s="130">
        <v>664.82138836624665</v>
      </c>
      <c r="K15" s="130">
        <v>664.82138836624677</v>
      </c>
      <c r="L15" s="130">
        <v>529.32716345689687</v>
      </c>
      <c r="M15" s="130">
        <v>529.32716345689687</v>
      </c>
      <c r="N15" s="130">
        <v>43.61691218675449</v>
      </c>
      <c r="O15" s="130">
        <v>529.32716345689687</v>
      </c>
      <c r="P15" s="130">
        <v>471.64497971875335</v>
      </c>
      <c r="Q15" s="130">
        <v>471.64497971875335</v>
      </c>
      <c r="R15" s="130">
        <v>38.41459621627255</v>
      </c>
      <c r="S15" s="130">
        <v>454.84233190390808</v>
      </c>
      <c r="T15" s="130">
        <v>574.77998435969778</v>
      </c>
      <c r="U15" s="130">
        <v>574.77998435969778</v>
      </c>
      <c r="V15" s="130">
        <v>158.35224867206225</v>
      </c>
      <c r="W15" s="130">
        <v>292.17818605257395</v>
      </c>
      <c r="X15" s="130">
        <v>370.56533861750876</v>
      </c>
      <c r="Y15" s="130">
        <v>370.56533861750876</v>
      </c>
      <c r="Z15" s="130">
        <v>236.73940123699705</v>
      </c>
      <c r="AA15" s="130">
        <v>722.44965250713949</v>
      </c>
      <c r="AB15" s="130">
        <v>89.492867634177784</v>
      </c>
      <c r="AC15" s="130">
        <v>407.67742325394937</v>
      </c>
      <c r="AD15" s="130">
        <v>396.58557651012819</v>
      </c>
      <c r="AE15" s="130">
        <v>396.58557651012819</v>
      </c>
      <c r="AF15" s="130">
        <v>438.93177686275681</v>
      </c>
      <c r="AG15" s="130">
        <v>438.93177686275681</v>
      </c>
      <c r="AH15" s="130">
        <v>523.45625186504446</v>
      </c>
      <c r="AI15" s="130">
        <v>311.1688200716203</v>
      </c>
      <c r="AJ15" s="130">
        <v>321.19957056154607</v>
      </c>
      <c r="AK15" s="130">
        <v>712.81675443978418</v>
      </c>
      <c r="AL15" s="130">
        <v>713.70585113849938</v>
      </c>
      <c r="AM15" s="130">
        <v>713.70585113849927</v>
      </c>
      <c r="AN15" s="130">
        <v>720.76264360794573</v>
      </c>
      <c r="AO15" s="130">
        <v>507.58611511580636</v>
      </c>
      <c r="AP15" s="130">
        <v>686.58424223737575</v>
      </c>
      <c r="AQ15" s="130">
        <v>686.58424223737575</v>
      </c>
      <c r="AR15" s="130">
        <v>506.62103632738626</v>
      </c>
      <c r="AS15" s="130">
        <v>506.62103632738632</v>
      </c>
      <c r="AT15" s="130">
        <v>562.00977379802509</v>
      </c>
      <c r="AU15" s="130">
        <v>327.62290920581694</v>
      </c>
      <c r="AV15" s="130">
        <v>664.60827507805902</v>
      </c>
      <c r="AW15" s="130">
        <v>664.60827507805902</v>
      </c>
      <c r="AX15" s="130">
        <v>508.10382730703873</v>
      </c>
      <c r="AY15" s="130">
        <v>430.22141048585081</v>
      </c>
      <c r="AZ15" s="106">
        <v>257.21216890600169</v>
      </c>
    </row>
    <row r="16" spans="1:53" x14ac:dyDescent="0.2">
      <c r="A16" s="116"/>
      <c r="B16" s="125">
        <v>2</v>
      </c>
      <c r="C16" s="115" t="s">
        <v>293</v>
      </c>
      <c r="D16" s="112">
        <v>268.85654385181726</v>
      </c>
      <c r="E16" s="116">
        <v>371.33859293960353</v>
      </c>
      <c r="F16" s="116"/>
      <c r="G16" s="116"/>
      <c r="H16" s="116"/>
      <c r="I16" s="116">
        <v>372.49273853535044</v>
      </c>
      <c r="J16" s="116"/>
      <c r="K16" s="116"/>
      <c r="L16" s="116"/>
      <c r="M16" s="116"/>
      <c r="N16" s="116"/>
      <c r="O16" s="116"/>
      <c r="P16" s="116"/>
      <c r="Q16" s="116"/>
      <c r="R16" s="116"/>
      <c r="S16" s="116">
        <v>416.4277356876355</v>
      </c>
      <c r="T16" s="116"/>
      <c r="U16" s="116"/>
      <c r="V16" s="116"/>
      <c r="W16" s="116">
        <v>133.8259373805117</v>
      </c>
      <c r="X16" s="116"/>
      <c r="Y16" s="116"/>
      <c r="Z16" s="116">
        <v>0</v>
      </c>
      <c r="AA16" s="116">
        <v>0</v>
      </c>
      <c r="AB16" s="116"/>
      <c r="AC16" s="116">
        <v>318.18455561977157</v>
      </c>
      <c r="AD16" s="116"/>
      <c r="AE16" s="116"/>
      <c r="AF16" s="116"/>
      <c r="AG16" s="116"/>
      <c r="AH16" s="116"/>
      <c r="AI16" s="116"/>
      <c r="AJ16" s="116"/>
      <c r="AK16" s="116"/>
      <c r="AL16" s="116"/>
      <c r="AM16" s="116"/>
      <c r="AN16" s="116"/>
      <c r="AO16" s="116"/>
      <c r="AP16" s="116">
        <v>213.1765284921394</v>
      </c>
      <c r="AQ16" s="116"/>
      <c r="AR16" s="116"/>
      <c r="AS16" s="116"/>
      <c r="AT16" s="116"/>
      <c r="AU16" s="116"/>
      <c r="AV16" s="116">
        <v>234.38686459220813</v>
      </c>
      <c r="AW16" s="116"/>
      <c r="AX16" s="116"/>
      <c r="AY16" s="116"/>
    </row>
    <row r="17" spans="1:53" x14ac:dyDescent="0.2">
      <c r="A17" s="116"/>
      <c r="B17" s="125">
        <v>3</v>
      </c>
      <c r="C17" s="115" t="s">
        <v>293</v>
      </c>
      <c r="D17" s="112"/>
      <c r="E17" s="116"/>
      <c r="F17" s="116"/>
      <c r="G17" s="116"/>
      <c r="H17" s="116"/>
      <c r="I17" s="116">
        <v>193.16298645053658</v>
      </c>
      <c r="J17" s="116"/>
      <c r="K17" s="116"/>
      <c r="L17" s="116"/>
      <c r="M17" s="116"/>
      <c r="N17" s="116"/>
      <c r="O17" s="116"/>
      <c r="P17" s="116"/>
      <c r="Q17" s="116"/>
      <c r="R17" s="116"/>
      <c r="S17" s="116"/>
      <c r="T17" s="116"/>
      <c r="U17" s="116"/>
      <c r="V17" s="116"/>
      <c r="W17" s="116"/>
      <c r="X17" s="116"/>
      <c r="Y17" s="116"/>
      <c r="Z17" s="116"/>
      <c r="AA17" s="116"/>
      <c r="AB17" s="116"/>
      <c r="AC17" s="116"/>
      <c r="AD17" s="116"/>
      <c r="AE17" s="116"/>
      <c r="AF17" s="116"/>
      <c r="AG17" s="116"/>
      <c r="AH17" s="116"/>
      <c r="AI17" s="116"/>
      <c r="AJ17" s="116"/>
      <c r="AK17" s="116">
        <v>212.28743179342413</v>
      </c>
      <c r="AL17" s="116">
        <v>391.61718387823805</v>
      </c>
      <c r="AM17" s="116"/>
      <c r="AN17" s="116"/>
      <c r="AO17" s="116"/>
      <c r="AP17" s="116"/>
      <c r="AQ17" s="116"/>
      <c r="AR17" s="116"/>
      <c r="AS17" s="116"/>
      <c r="AT17" s="116"/>
      <c r="AU17" s="116"/>
      <c r="AV17" s="116"/>
      <c r="AW17" s="116"/>
      <c r="AX17" s="116"/>
      <c r="AY17" s="116"/>
      <c r="BA17" s="106">
        <v>77.882416821187888</v>
      </c>
    </row>
    <row r="18" spans="1:53" x14ac:dyDescent="0.2">
      <c r="A18" s="131"/>
      <c r="B18" s="122">
        <v>4</v>
      </c>
      <c r="C18" s="131" t="s">
        <v>293</v>
      </c>
      <c r="D18" s="131"/>
      <c r="E18" s="131"/>
      <c r="F18" s="131"/>
      <c r="G18" s="131"/>
      <c r="H18" s="131"/>
      <c r="I18" s="131"/>
      <c r="J18" s="131"/>
      <c r="K18" s="131"/>
      <c r="L18" s="131"/>
      <c r="M18" s="131"/>
      <c r="N18" s="131"/>
      <c r="O18" s="131"/>
      <c r="P18" s="131"/>
      <c r="Q18" s="131"/>
      <c r="R18" s="131"/>
      <c r="S18" s="131"/>
      <c r="T18" s="131"/>
      <c r="U18" s="131"/>
      <c r="V18" s="131"/>
      <c r="W18" s="131"/>
      <c r="X18" s="131"/>
      <c r="Y18" s="131"/>
      <c r="Z18" s="131"/>
      <c r="AA18" s="131"/>
      <c r="AB18" s="131"/>
      <c r="AC18" s="131"/>
      <c r="AD18" s="131"/>
      <c r="AE18" s="131"/>
      <c r="AF18" s="131"/>
      <c r="AG18" s="131"/>
      <c r="AH18" s="131"/>
      <c r="AI18" s="131"/>
      <c r="AJ18" s="131"/>
      <c r="AK18" s="131"/>
      <c r="AL18" s="131"/>
      <c r="AM18" s="131"/>
      <c r="AN18" s="131"/>
      <c r="AO18" s="131"/>
      <c r="AP18" s="131"/>
      <c r="AQ18" s="131"/>
      <c r="AR18" s="131"/>
      <c r="AS18" s="131"/>
      <c r="AT18" s="131"/>
      <c r="AU18" s="131"/>
      <c r="AV18" s="131"/>
      <c r="AW18" s="131"/>
      <c r="AX18" s="131"/>
      <c r="AY18" s="131"/>
    </row>
    <row r="20" spans="1:53" x14ac:dyDescent="0.2">
      <c r="A20" s="108" t="s">
        <v>294</v>
      </c>
    </row>
    <row r="21" spans="1:53" x14ac:dyDescent="0.2">
      <c r="A21" s="132" t="s">
        <v>125</v>
      </c>
      <c r="B21" s="129">
        <v>1</v>
      </c>
      <c r="C21" s="130" t="s">
        <v>293</v>
      </c>
      <c r="D21" s="130"/>
      <c r="E21" s="130"/>
      <c r="F21" s="130"/>
      <c r="G21" s="130"/>
      <c r="H21" s="130"/>
      <c r="I21" s="130"/>
      <c r="J21" s="130"/>
      <c r="K21" s="130"/>
      <c r="L21" s="130"/>
      <c r="M21" s="130"/>
      <c r="N21" s="130"/>
      <c r="O21" s="130"/>
      <c r="P21" s="130"/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30"/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/>
      <c r="AO21" s="130"/>
      <c r="AP21" s="130"/>
      <c r="AQ21" s="130"/>
      <c r="AR21" s="130"/>
      <c r="AS21" s="130"/>
      <c r="AT21" s="130"/>
      <c r="AU21" s="130"/>
      <c r="AV21" s="130"/>
      <c r="AW21" s="130"/>
      <c r="AX21" s="130"/>
      <c r="AY21" s="130"/>
    </row>
    <row r="22" spans="1:53" x14ac:dyDescent="0.2">
      <c r="A22" s="115"/>
      <c r="B22" s="126">
        <v>2</v>
      </c>
      <c r="C22" s="116" t="s">
        <v>293</v>
      </c>
      <c r="D22" s="116"/>
      <c r="E22" s="116"/>
      <c r="F22" s="116"/>
      <c r="G22" s="116"/>
      <c r="H22" s="116"/>
      <c r="I22" s="116"/>
      <c r="J22" s="116"/>
      <c r="K22" s="116"/>
      <c r="L22" s="116"/>
      <c r="M22" s="116"/>
      <c r="N22" s="116"/>
      <c r="O22" s="116"/>
      <c r="P22" s="116"/>
      <c r="Q22" s="116"/>
      <c r="R22" s="116"/>
      <c r="S22" s="116"/>
      <c r="T22" s="116"/>
      <c r="U22" s="116"/>
      <c r="V22" s="116"/>
      <c r="W22" s="116"/>
      <c r="X22" s="116"/>
      <c r="Y22" s="116"/>
      <c r="Z22" s="116"/>
      <c r="AA22" s="116"/>
      <c r="AB22" s="116"/>
      <c r="AC22" s="116"/>
      <c r="AD22" s="116"/>
      <c r="AE22" s="116"/>
      <c r="AF22" s="116"/>
      <c r="AG22" s="116"/>
      <c r="AH22" s="116"/>
      <c r="AI22" s="116"/>
      <c r="AJ22" s="116"/>
      <c r="AK22" s="116"/>
      <c r="AL22" s="116"/>
      <c r="AM22" s="116"/>
      <c r="AN22" s="116"/>
      <c r="AO22" s="116"/>
      <c r="AP22" s="116"/>
      <c r="AQ22" s="116"/>
      <c r="AR22" s="116"/>
      <c r="AS22" s="116"/>
      <c r="AT22" s="116"/>
      <c r="AU22" s="116"/>
      <c r="AV22" s="116"/>
      <c r="AW22" s="116"/>
      <c r="AX22" s="116"/>
      <c r="AY22" s="116"/>
    </row>
    <row r="23" spans="1:53" x14ac:dyDescent="0.2">
      <c r="A23" s="115"/>
      <c r="B23" s="133">
        <v>3</v>
      </c>
      <c r="C23" s="116" t="s">
        <v>293</v>
      </c>
      <c r="D23" s="116"/>
      <c r="E23" s="116"/>
      <c r="F23" s="116"/>
      <c r="G23" s="116"/>
      <c r="H23" s="116"/>
      <c r="I23" s="116"/>
      <c r="J23" s="116"/>
      <c r="K23" s="116"/>
      <c r="L23" s="116"/>
      <c r="M23" s="116"/>
      <c r="N23" s="116"/>
      <c r="O23" s="116"/>
      <c r="P23" s="116"/>
      <c r="Q23" s="116"/>
      <c r="R23" s="116"/>
      <c r="S23" s="116"/>
      <c r="T23" s="116"/>
      <c r="U23" s="116"/>
      <c r="V23" s="116"/>
      <c r="W23" s="116"/>
      <c r="X23" s="116"/>
      <c r="Y23" s="116"/>
      <c r="Z23" s="116"/>
      <c r="AA23" s="116"/>
      <c r="AB23" s="116"/>
      <c r="AC23" s="116"/>
      <c r="AD23" s="116"/>
      <c r="AE23" s="116"/>
      <c r="AF23" s="116"/>
      <c r="AG23" s="116"/>
      <c r="AH23" s="116"/>
      <c r="AI23" s="116"/>
      <c r="AJ23" s="116"/>
      <c r="AK23" s="116"/>
      <c r="AL23" s="116"/>
      <c r="AM23" s="116"/>
      <c r="AN23" s="116"/>
      <c r="AO23" s="116"/>
      <c r="AP23" s="116"/>
      <c r="AQ23" s="116"/>
      <c r="AR23" s="116"/>
      <c r="AS23" s="116"/>
      <c r="AT23" s="116"/>
      <c r="AU23" s="116"/>
      <c r="AV23" s="116"/>
      <c r="AW23" s="116"/>
      <c r="AX23" s="116"/>
      <c r="AY23" s="116"/>
    </row>
    <row r="24" spans="1:53" x14ac:dyDescent="0.2">
      <c r="A24" s="134"/>
      <c r="B24" s="135">
        <v>4</v>
      </c>
      <c r="C24" s="134" t="s">
        <v>293</v>
      </c>
      <c r="D24" s="131">
        <v>0</v>
      </c>
      <c r="E24" s="131">
        <v>0</v>
      </c>
      <c r="F24" s="131">
        <v>0</v>
      </c>
      <c r="G24" s="131">
        <v>0</v>
      </c>
      <c r="H24" s="131">
        <v>0</v>
      </c>
      <c r="I24" s="131">
        <v>0</v>
      </c>
      <c r="J24" s="131">
        <v>0</v>
      </c>
      <c r="K24" s="131">
        <v>0</v>
      </c>
      <c r="L24" s="131">
        <v>0</v>
      </c>
      <c r="M24" s="131">
        <v>0</v>
      </c>
      <c r="N24" s="131">
        <v>0</v>
      </c>
      <c r="O24" s="131">
        <v>0</v>
      </c>
      <c r="P24" s="131">
        <v>0</v>
      </c>
      <c r="Q24" s="131">
        <v>0</v>
      </c>
      <c r="R24" s="131">
        <v>0</v>
      </c>
      <c r="S24" s="131">
        <v>0</v>
      </c>
      <c r="T24" s="131">
        <v>0</v>
      </c>
      <c r="U24" s="131">
        <v>157.66629840721401</v>
      </c>
      <c r="V24" s="131">
        <v>0</v>
      </c>
      <c r="W24" s="131">
        <v>0</v>
      </c>
      <c r="X24" s="131">
        <v>0</v>
      </c>
      <c r="Y24" s="131">
        <v>0</v>
      </c>
      <c r="Z24" s="131">
        <v>0</v>
      </c>
      <c r="AA24" s="131">
        <v>0</v>
      </c>
      <c r="AB24" s="131">
        <v>0</v>
      </c>
      <c r="AC24" s="131">
        <v>0</v>
      </c>
      <c r="AD24" s="131">
        <v>0</v>
      </c>
      <c r="AE24" s="131">
        <v>0</v>
      </c>
      <c r="AF24" s="131">
        <v>0</v>
      </c>
      <c r="AG24" s="131">
        <v>0</v>
      </c>
      <c r="AH24" s="131">
        <v>0</v>
      </c>
      <c r="AI24" s="131">
        <v>0</v>
      </c>
      <c r="AJ24" s="131">
        <v>0</v>
      </c>
      <c r="AK24" s="131">
        <v>0</v>
      </c>
      <c r="AL24" s="131">
        <v>0</v>
      </c>
      <c r="AM24" s="131">
        <v>0</v>
      </c>
      <c r="AN24" s="131">
        <v>0</v>
      </c>
      <c r="AO24" s="131">
        <v>0</v>
      </c>
      <c r="AP24" s="131">
        <v>224.13056228732421</v>
      </c>
      <c r="AQ24" s="131">
        <v>782.57871592174342</v>
      </c>
      <c r="AR24" s="131">
        <v>74.347091054794873</v>
      </c>
      <c r="AS24" s="131">
        <v>0</v>
      </c>
      <c r="AT24" s="131">
        <v>0</v>
      </c>
      <c r="AU24" s="131">
        <v>0</v>
      </c>
      <c r="AV24" s="131">
        <v>0</v>
      </c>
      <c r="AW24" s="131">
        <v>0</v>
      </c>
      <c r="AX24" s="131">
        <v>0</v>
      </c>
      <c r="AY24" s="131">
        <v>0</v>
      </c>
    </row>
    <row r="25" spans="1:53" x14ac:dyDescent="0.2">
      <c r="A25" s="132" t="s">
        <v>133</v>
      </c>
      <c r="B25" s="129">
        <v>1</v>
      </c>
      <c r="C25" s="115" t="s">
        <v>293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116"/>
      <c r="AC25" s="116"/>
      <c r="AD25" s="116"/>
      <c r="AE25" s="116"/>
      <c r="AF25" s="116"/>
      <c r="AG25" s="116"/>
      <c r="AH25" s="116"/>
      <c r="AI25" s="116"/>
      <c r="AJ25" s="116"/>
      <c r="AK25" s="116"/>
      <c r="AL25" s="116"/>
      <c r="AM25" s="116"/>
      <c r="AN25" s="116"/>
      <c r="AO25" s="116"/>
      <c r="AP25" s="116"/>
      <c r="AQ25" s="116"/>
      <c r="AR25" s="116"/>
      <c r="AS25" s="116"/>
      <c r="AT25" s="116"/>
      <c r="AU25" s="116"/>
      <c r="AV25" s="116"/>
      <c r="AW25" s="116"/>
      <c r="AX25" s="116"/>
      <c r="AY25" s="116"/>
    </row>
    <row r="26" spans="1:53" x14ac:dyDescent="0.2">
      <c r="A26" s="115"/>
      <c r="B26" s="125">
        <v>2</v>
      </c>
      <c r="C26" s="115" t="s">
        <v>293</v>
      </c>
      <c r="D26" s="116"/>
      <c r="E26" s="116"/>
      <c r="F26" s="116"/>
      <c r="G26" s="116"/>
      <c r="H26" s="116"/>
      <c r="I26" s="116"/>
      <c r="J26" s="116"/>
      <c r="K26" s="116"/>
      <c r="L26" s="116"/>
      <c r="M26" s="116"/>
      <c r="N26" s="116"/>
      <c r="O26" s="116"/>
      <c r="P26" s="116"/>
      <c r="Q26" s="116"/>
      <c r="R26" s="116"/>
      <c r="S26" s="116"/>
      <c r="T26" s="116"/>
      <c r="U26" s="116"/>
      <c r="V26" s="116"/>
      <c r="W26" s="116"/>
      <c r="X26" s="116"/>
      <c r="Y26" s="116"/>
      <c r="Z26" s="116"/>
      <c r="AA26" s="116"/>
      <c r="AB26" s="116"/>
      <c r="AC26" s="116"/>
      <c r="AD26" s="116"/>
      <c r="AE26" s="116"/>
      <c r="AF26" s="116"/>
      <c r="AG26" s="116"/>
      <c r="AH26" s="116"/>
      <c r="AI26" s="116"/>
      <c r="AJ26" s="116"/>
      <c r="AK26" s="116"/>
      <c r="AL26" s="116"/>
      <c r="AM26" s="116"/>
      <c r="AN26" s="116"/>
      <c r="AO26" s="116"/>
      <c r="AP26" s="116"/>
      <c r="AQ26" s="116"/>
      <c r="AR26" s="116"/>
      <c r="AS26" s="116"/>
      <c r="AT26" s="116"/>
      <c r="AU26" s="116"/>
      <c r="AV26" s="116"/>
      <c r="AW26" s="116"/>
      <c r="AX26" s="116"/>
      <c r="AY26" s="116"/>
    </row>
    <row r="27" spans="1:53" x14ac:dyDescent="0.2">
      <c r="A27" s="115"/>
      <c r="B27" s="126">
        <v>3</v>
      </c>
      <c r="C27" s="115" t="s">
        <v>293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116"/>
      <c r="AC27" s="116"/>
      <c r="AD27" s="116"/>
      <c r="AE27" s="116"/>
      <c r="AF27" s="116"/>
      <c r="AG27" s="116"/>
      <c r="AH27" s="116"/>
      <c r="AI27" s="116"/>
      <c r="AJ27" s="116"/>
      <c r="AK27" s="116"/>
      <c r="AL27" s="116"/>
      <c r="AM27" s="116"/>
      <c r="AN27" s="116"/>
      <c r="AO27" s="116"/>
      <c r="AP27" s="116"/>
      <c r="AQ27" s="116"/>
      <c r="AR27" s="116"/>
      <c r="AS27" s="116"/>
      <c r="AT27" s="116"/>
      <c r="AU27" s="116"/>
      <c r="AV27" s="116"/>
      <c r="AW27" s="116"/>
      <c r="AX27" s="116"/>
      <c r="AY27" s="116"/>
    </row>
    <row r="28" spans="1:53" x14ac:dyDescent="0.2">
      <c r="A28" s="115"/>
      <c r="B28" s="126">
        <v>4</v>
      </c>
      <c r="C28" s="115" t="s">
        <v>293</v>
      </c>
      <c r="D28" s="116"/>
      <c r="E28" s="116"/>
      <c r="F28" s="116"/>
      <c r="G28" s="116"/>
      <c r="H28" s="116"/>
      <c r="I28" s="116"/>
      <c r="J28" s="116"/>
      <c r="K28" s="116"/>
      <c r="L28" s="116"/>
      <c r="M28" s="116"/>
      <c r="N28" s="116"/>
      <c r="O28" s="116"/>
      <c r="P28" s="116"/>
      <c r="Q28" s="116"/>
      <c r="R28" s="116"/>
      <c r="S28" s="116"/>
      <c r="T28" s="116"/>
      <c r="U28" s="116"/>
      <c r="V28" s="116"/>
      <c r="W28" s="116"/>
      <c r="X28" s="116"/>
      <c r="Y28" s="116"/>
      <c r="Z28" s="116"/>
      <c r="AA28" s="116"/>
      <c r="AB28" s="116"/>
      <c r="AC28" s="116"/>
      <c r="AD28" s="116"/>
      <c r="AE28" s="116"/>
      <c r="AF28" s="116"/>
      <c r="AG28" s="116"/>
      <c r="AH28" s="116"/>
      <c r="AI28" s="116"/>
      <c r="AJ28" s="116"/>
      <c r="AK28" s="116"/>
      <c r="AL28" s="116"/>
      <c r="AM28" s="116"/>
      <c r="AN28" s="116"/>
      <c r="AO28" s="116"/>
      <c r="AP28" s="116"/>
      <c r="AQ28" s="116"/>
      <c r="AR28" s="116"/>
      <c r="AS28" s="116"/>
      <c r="AT28" s="116"/>
      <c r="AU28" s="116"/>
      <c r="AV28" s="116"/>
      <c r="AW28" s="116"/>
      <c r="AX28" s="116"/>
      <c r="AY28" s="116"/>
    </row>
    <row r="29" spans="1:53" x14ac:dyDescent="0.2">
      <c r="A29" s="115"/>
      <c r="B29" s="133">
        <v>5</v>
      </c>
      <c r="C29" s="115" t="s">
        <v>293</v>
      </c>
      <c r="D29" s="116"/>
      <c r="E29" s="116"/>
      <c r="F29" s="116"/>
      <c r="G29" s="116"/>
      <c r="H29" s="116"/>
      <c r="I29" s="116"/>
      <c r="J29" s="116"/>
      <c r="K29" s="116"/>
      <c r="L29" s="116"/>
      <c r="M29" s="116"/>
      <c r="N29" s="116"/>
      <c r="O29" s="116"/>
      <c r="P29" s="116"/>
      <c r="Q29" s="116"/>
      <c r="R29" s="116"/>
      <c r="S29" s="116"/>
      <c r="T29" s="116"/>
      <c r="U29" s="116"/>
      <c r="V29" s="116"/>
      <c r="W29" s="116"/>
      <c r="X29" s="116"/>
      <c r="Y29" s="116"/>
      <c r="Z29" s="116"/>
      <c r="AA29" s="116"/>
      <c r="AB29" s="116"/>
      <c r="AC29" s="116"/>
      <c r="AD29" s="116"/>
      <c r="AE29" s="116"/>
      <c r="AF29" s="116"/>
      <c r="AG29" s="116"/>
      <c r="AH29" s="116"/>
      <c r="AI29" s="116"/>
      <c r="AJ29" s="116"/>
      <c r="AK29" s="116"/>
      <c r="AL29" s="116"/>
      <c r="AM29" s="116"/>
      <c r="AN29" s="116"/>
      <c r="AO29" s="116"/>
      <c r="AP29" s="116"/>
      <c r="AQ29" s="116"/>
      <c r="AR29" s="116"/>
      <c r="AS29" s="116"/>
      <c r="AT29" s="116"/>
      <c r="AU29" s="116"/>
      <c r="AV29" s="116"/>
      <c r="AW29" s="116"/>
      <c r="AX29" s="116"/>
      <c r="AY29" s="116"/>
    </row>
    <row r="30" spans="1:53" x14ac:dyDescent="0.2">
      <c r="A30" s="115"/>
      <c r="B30" s="133">
        <v>6</v>
      </c>
      <c r="C30" s="115" t="s">
        <v>293</v>
      </c>
      <c r="D30" s="116"/>
      <c r="E30" s="116"/>
      <c r="F30" s="116"/>
      <c r="G30" s="116"/>
      <c r="H30" s="116"/>
      <c r="I30" s="116"/>
      <c r="J30" s="116"/>
      <c r="K30" s="116"/>
      <c r="L30" s="116"/>
      <c r="M30" s="116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6"/>
      <c r="AB30" s="116"/>
      <c r="AC30" s="116"/>
      <c r="AD30" s="116"/>
      <c r="AE30" s="116"/>
      <c r="AF30" s="116"/>
      <c r="AG30" s="116"/>
      <c r="AH30" s="116"/>
      <c r="AI30" s="116"/>
      <c r="AJ30" s="116"/>
      <c r="AK30" s="116"/>
      <c r="AL30" s="116"/>
      <c r="AM30" s="116"/>
      <c r="AN30" s="116"/>
      <c r="AO30" s="116"/>
      <c r="AP30" s="116"/>
      <c r="AQ30" s="116"/>
      <c r="AR30" s="116"/>
      <c r="AS30" s="116"/>
      <c r="AT30" s="116"/>
      <c r="AU30" s="116"/>
      <c r="AV30" s="116"/>
      <c r="AW30" s="116"/>
      <c r="AX30" s="116"/>
      <c r="AY30" s="116"/>
    </row>
    <row r="31" spans="1:53" x14ac:dyDescent="0.2">
      <c r="A31" s="115"/>
      <c r="B31" s="136">
        <v>7</v>
      </c>
      <c r="C31" s="115" t="s">
        <v>293</v>
      </c>
      <c r="D31" s="116"/>
      <c r="E31" s="116"/>
      <c r="F31" s="116"/>
      <c r="G31" s="116"/>
      <c r="H31" s="116"/>
      <c r="I31" s="116"/>
      <c r="J31" s="116"/>
      <c r="K31" s="116"/>
      <c r="L31" s="116"/>
      <c r="M31" s="116"/>
      <c r="N31" s="116"/>
      <c r="O31" s="116"/>
      <c r="P31" s="116"/>
      <c r="Q31" s="116"/>
      <c r="R31" s="116"/>
      <c r="S31" s="116"/>
      <c r="T31" s="116"/>
      <c r="U31" s="116"/>
      <c r="V31" s="116"/>
      <c r="W31" s="116"/>
      <c r="X31" s="116"/>
      <c r="Y31" s="116"/>
      <c r="Z31" s="116"/>
      <c r="AA31" s="116"/>
      <c r="AB31" s="116"/>
      <c r="AC31" s="116"/>
      <c r="AD31" s="116"/>
      <c r="AE31" s="116"/>
      <c r="AF31" s="116"/>
      <c r="AG31" s="116"/>
      <c r="AH31" s="116"/>
      <c r="AI31" s="116"/>
      <c r="AJ31" s="116"/>
      <c r="AK31" s="116"/>
      <c r="AL31" s="116"/>
      <c r="AM31" s="116"/>
      <c r="AN31" s="116"/>
      <c r="AO31" s="116"/>
      <c r="AP31" s="116"/>
      <c r="AQ31" s="116"/>
      <c r="AR31" s="116"/>
      <c r="AS31" s="116"/>
      <c r="AT31" s="116"/>
      <c r="AU31" s="116"/>
      <c r="AV31" s="116"/>
      <c r="AW31" s="116"/>
      <c r="AX31" s="116"/>
      <c r="AY31" s="116"/>
    </row>
    <row r="32" spans="1:53" x14ac:dyDescent="0.2">
      <c r="A32" s="134"/>
      <c r="B32" s="135">
        <v>8</v>
      </c>
      <c r="C32" s="134" t="s">
        <v>293</v>
      </c>
      <c r="D32" s="131">
        <v>0</v>
      </c>
      <c r="E32" s="131">
        <v>0</v>
      </c>
      <c r="F32" s="131">
        <v>0</v>
      </c>
      <c r="G32" s="131">
        <v>0</v>
      </c>
      <c r="H32" s="131">
        <v>0</v>
      </c>
      <c r="I32" s="131">
        <v>0</v>
      </c>
      <c r="J32" s="131">
        <v>0</v>
      </c>
      <c r="K32" s="131">
        <v>0</v>
      </c>
      <c r="L32" s="131">
        <v>0</v>
      </c>
      <c r="M32" s="131">
        <v>0</v>
      </c>
      <c r="N32" s="131">
        <v>0</v>
      </c>
      <c r="O32" s="131">
        <v>0</v>
      </c>
      <c r="P32" s="131">
        <v>0</v>
      </c>
      <c r="Q32" s="131">
        <v>0</v>
      </c>
      <c r="R32" s="131">
        <v>0</v>
      </c>
      <c r="S32" s="131">
        <v>0</v>
      </c>
      <c r="T32" s="131">
        <v>0</v>
      </c>
      <c r="U32" s="131">
        <v>0</v>
      </c>
      <c r="V32" s="131">
        <v>0</v>
      </c>
      <c r="W32" s="131">
        <v>0</v>
      </c>
      <c r="X32" s="131">
        <v>0</v>
      </c>
      <c r="Y32" s="131">
        <v>0</v>
      </c>
      <c r="Z32" s="131">
        <v>0</v>
      </c>
      <c r="AA32" s="131">
        <v>0</v>
      </c>
      <c r="AB32" s="131">
        <v>0</v>
      </c>
      <c r="AC32" s="131">
        <v>0</v>
      </c>
      <c r="AD32" s="131">
        <v>0</v>
      </c>
      <c r="AE32" s="131">
        <v>0</v>
      </c>
      <c r="AF32" s="131">
        <v>0</v>
      </c>
      <c r="AG32" s="131">
        <v>0</v>
      </c>
      <c r="AH32" s="131">
        <v>0</v>
      </c>
      <c r="AI32" s="131">
        <v>0</v>
      </c>
      <c r="AJ32" s="131">
        <v>0</v>
      </c>
      <c r="AK32" s="131">
        <v>0</v>
      </c>
      <c r="AL32" s="131">
        <v>0</v>
      </c>
      <c r="AM32" s="131">
        <v>0</v>
      </c>
      <c r="AN32" s="131">
        <v>0</v>
      </c>
      <c r="AO32" s="131">
        <v>0</v>
      </c>
      <c r="AP32" s="131">
        <v>0</v>
      </c>
      <c r="AQ32" s="131">
        <v>0</v>
      </c>
      <c r="AR32" s="131">
        <v>0</v>
      </c>
      <c r="AS32" s="131">
        <v>0</v>
      </c>
      <c r="AT32" s="131">
        <v>0</v>
      </c>
      <c r="AU32" s="131">
        <v>0</v>
      </c>
      <c r="AV32" s="131">
        <v>0</v>
      </c>
      <c r="AW32" s="131">
        <v>0</v>
      </c>
      <c r="AX32" s="131">
        <v>0</v>
      </c>
      <c r="AY32" s="131">
        <v>0</v>
      </c>
    </row>
    <row r="33" spans="1:51" x14ac:dyDescent="0.2">
      <c r="A33" s="137" t="s">
        <v>134</v>
      </c>
      <c r="B33" s="125">
        <v>1</v>
      </c>
      <c r="C33" s="115" t="s">
        <v>293</v>
      </c>
      <c r="D33" s="112"/>
      <c r="E33" s="112"/>
      <c r="F33" s="112"/>
      <c r="G33" s="112"/>
      <c r="H33" s="112"/>
      <c r="I33" s="112"/>
      <c r="J33" s="112"/>
      <c r="K33" s="112"/>
      <c r="L33" s="112"/>
      <c r="M33" s="112"/>
      <c r="N33" s="112"/>
      <c r="O33" s="112"/>
      <c r="P33" s="112"/>
      <c r="Q33" s="112"/>
      <c r="R33" s="112"/>
      <c r="S33" s="112"/>
      <c r="T33" s="112"/>
      <c r="U33" s="112"/>
      <c r="V33" s="112"/>
      <c r="W33" s="112"/>
      <c r="X33" s="112"/>
      <c r="Y33" s="112"/>
      <c r="Z33" s="112"/>
      <c r="AA33" s="112"/>
      <c r="AB33" s="112"/>
      <c r="AC33" s="112"/>
      <c r="AD33" s="112"/>
      <c r="AE33" s="112"/>
      <c r="AF33" s="112"/>
      <c r="AG33" s="112"/>
      <c r="AH33" s="112"/>
      <c r="AI33" s="112"/>
      <c r="AJ33" s="112"/>
      <c r="AK33" s="112"/>
      <c r="AL33" s="112"/>
      <c r="AM33" s="112"/>
      <c r="AN33" s="112"/>
      <c r="AO33" s="112"/>
      <c r="AP33" s="112"/>
      <c r="AQ33" s="112"/>
      <c r="AR33" s="112"/>
      <c r="AS33" s="112"/>
      <c r="AT33" s="112"/>
      <c r="AU33" s="112"/>
      <c r="AV33" s="112"/>
      <c r="AW33" s="112"/>
      <c r="AX33" s="112"/>
      <c r="AY33" s="112"/>
    </row>
    <row r="34" spans="1:51" x14ac:dyDescent="0.2">
      <c r="A34" s="115"/>
      <c r="B34" s="125">
        <v>2</v>
      </c>
      <c r="C34" s="115" t="s">
        <v>293</v>
      </c>
      <c r="D34" s="112"/>
      <c r="E34" s="112"/>
      <c r="F34" s="112"/>
      <c r="G34" s="112"/>
      <c r="H34" s="112"/>
      <c r="I34" s="112"/>
      <c r="J34" s="112"/>
      <c r="K34" s="112"/>
      <c r="L34" s="112"/>
      <c r="M34" s="112"/>
      <c r="N34" s="112"/>
      <c r="O34" s="112"/>
      <c r="P34" s="112"/>
      <c r="Q34" s="112"/>
      <c r="R34" s="112"/>
      <c r="S34" s="112"/>
      <c r="T34" s="112"/>
      <c r="U34" s="112"/>
      <c r="V34" s="112"/>
      <c r="W34" s="112"/>
      <c r="X34" s="112"/>
      <c r="Y34" s="112"/>
      <c r="Z34" s="112"/>
      <c r="AA34" s="112"/>
      <c r="AB34" s="112"/>
      <c r="AC34" s="112"/>
      <c r="AD34" s="112"/>
      <c r="AE34" s="112"/>
      <c r="AF34" s="112"/>
      <c r="AG34" s="112"/>
      <c r="AH34" s="112"/>
      <c r="AI34" s="112"/>
      <c r="AJ34" s="112"/>
      <c r="AK34" s="112"/>
      <c r="AL34" s="112"/>
      <c r="AM34" s="112"/>
      <c r="AN34" s="112"/>
      <c r="AO34" s="112"/>
      <c r="AP34" s="112"/>
      <c r="AQ34" s="112"/>
      <c r="AR34" s="112"/>
      <c r="AS34" s="112"/>
      <c r="AT34" s="112"/>
      <c r="AU34" s="112"/>
      <c r="AV34" s="112"/>
      <c r="AW34" s="112"/>
      <c r="AX34" s="112"/>
      <c r="AY34" s="112"/>
    </row>
    <row r="35" spans="1:51" x14ac:dyDescent="0.2">
      <c r="A35" s="115"/>
      <c r="B35" s="125">
        <v>3</v>
      </c>
      <c r="C35" s="115" t="s">
        <v>293</v>
      </c>
      <c r="D35" s="112"/>
      <c r="E35" s="112"/>
      <c r="F35" s="112"/>
      <c r="G35" s="112"/>
      <c r="H35" s="112"/>
      <c r="I35" s="112"/>
      <c r="J35" s="112"/>
      <c r="K35" s="112"/>
      <c r="L35" s="112"/>
      <c r="M35" s="112"/>
      <c r="N35" s="112"/>
      <c r="O35" s="112"/>
      <c r="P35" s="112"/>
      <c r="Q35" s="112"/>
      <c r="R35" s="112"/>
      <c r="S35" s="112"/>
      <c r="T35" s="112"/>
      <c r="U35" s="112"/>
      <c r="V35" s="112"/>
      <c r="W35" s="112"/>
      <c r="X35" s="112"/>
      <c r="Y35" s="112"/>
      <c r="Z35" s="112"/>
      <c r="AA35" s="112"/>
      <c r="AB35" s="112"/>
      <c r="AC35" s="112"/>
      <c r="AD35" s="112"/>
      <c r="AE35" s="112"/>
      <c r="AF35" s="112"/>
      <c r="AG35" s="112"/>
      <c r="AH35" s="112"/>
      <c r="AI35" s="112"/>
      <c r="AJ35" s="112"/>
      <c r="AK35" s="112"/>
      <c r="AL35" s="112"/>
      <c r="AM35" s="112"/>
      <c r="AN35" s="112"/>
      <c r="AO35" s="112"/>
      <c r="AP35" s="112"/>
      <c r="AQ35" s="112"/>
      <c r="AR35" s="112"/>
      <c r="AS35" s="112"/>
      <c r="AT35" s="112"/>
      <c r="AU35" s="112"/>
      <c r="AV35" s="112"/>
      <c r="AW35" s="112"/>
      <c r="AX35" s="112"/>
      <c r="AY35" s="112"/>
    </row>
    <row r="36" spans="1:51" x14ac:dyDescent="0.2">
      <c r="A36" s="115"/>
      <c r="B36" s="126">
        <v>4</v>
      </c>
      <c r="C36" s="115" t="s">
        <v>293</v>
      </c>
      <c r="D36" s="112"/>
      <c r="E36" s="112"/>
      <c r="F36" s="112"/>
      <c r="G36" s="112"/>
      <c r="H36" s="112"/>
      <c r="I36" s="112"/>
      <c r="J36" s="112"/>
      <c r="K36" s="112"/>
      <c r="L36" s="112"/>
      <c r="M36" s="112"/>
      <c r="N36" s="112"/>
      <c r="O36" s="112"/>
      <c r="P36" s="112"/>
      <c r="Q36" s="112"/>
      <c r="R36" s="112"/>
      <c r="S36" s="112"/>
      <c r="T36" s="112"/>
      <c r="U36" s="112"/>
      <c r="V36" s="112"/>
      <c r="W36" s="112"/>
      <c r="X36" s="112"/>
      <c r="Y36" s="112"/>
      <c r="Z36" s="112"/>
      <c r="AA36" s="112"/>
      <c r="AB36" s="112"/>
      <c r="AC36" s="112"/>
      <c r="AD36" s="112"/>
      <c r="AE36" s="112"/>
      <c r="AF36" s="112"/>
      <c r="AG36" s="112"/>
      <c r="AH36" s="112"/>
      <c r="AI36" s="112"/>
      <c r="AJ36" s="112"/>
      <c r="AK36" s="112"/>
      <c r="AL36" s="112"/>
      <c r="AM36" s="112"/>
      <c r="AN36" s="112"/>
      <c r="AO36" s="112"/>
      <c r="AP36" s="112"/>
      <c r="AQ36" s="112"/>
      <c r="AR36" s="112"/>
      <c r="AS36" s="112"/>
      <c r="AT36" s="112"/>
      <c r="AU36" s="112"/>
      <c r="AV36" s="112"/>
      <c r="AW36" s="112"/>
      <c r="AX36" s="112"/>
      <c r="AY36" s="112"/>
    </row>
    <row r="37" spans="1:51" x14ac:dyDescent="0.2">
      <c r="A37" s="115"/>
      <c r="B37" s="126">
        <v>5</v>
      </c>
      <c r="C37" s="115" t="s">
        <v>293</v>
      </c>
      <c r="D37" s="112"/>
      <c r="E37" s="112"/>
      <c r="F37" s="112"/>
      <c r="G37" s="112"/>
      <c r="H37" s="112"/>
      <c r="I37" s="112"/>
      <c r="J37" s="112"/>
      <c r="K37" s="112"/>
      <c r="L37" s="112"/>
      <c r="M37" s="112"/>
      <c r="N37" s="112"/>
      <c r="O37" s="112"/>
      <c r="P37" s="112"/>
      <c r="Q37" s="112"/>
      <c r="R37" s="112"/>
      <c r="S37" s="112"/>
      <c r="T37" s="112"/>
      <c r="U37" s="112"/>
      <c r="V37" s="112"/>
      <c r="W37" s="112"/>
      <c r="X37" s="112"/>
      <c r="Y37" s="112"/>
      <c r="Z37" s="112"/>
      <c r="AA37" s="112"/>
      <c r="AB37" s="112"/>
      <c r="AC37" s="112"/>
      <c r="AD37" s="112"/>
      <c r="AE37" s="112"/>
      <c r="AF37" s="112"/>
      <c r="AG37" s="112"/>
      <c r="AH37" s="112"/>
      <c r="AI37" s="112"/>
      <c r="AJ37" s="112"/>
      <c r="AK37" s="112"/>
      <c r="AL37" s="112"/>
      <c r="AM37" s="112"/>
      <c r="AN37" s="112"/>
      <c r="AO37" s="112"/>
      <c r="AP37" s="112"/>
      <c r="AQ37" s="112"/>
      <c r="AR37" s="112"/>
      <c r="AS37" s="112"/>
      <c r="AT37" s="112"/>
      <c r="AU37" s="112"/>
      <c r="AV37" s="112"/>
      <c r="AW37" s="112"/>
      <c r="AX37" s="112"/>
      <c r="AY37" s="112"/>
    </row>
    <row r="38" spans="1:51" x14ac:dyDescent="0.2">
      <c r="A38" s="115"/>
      <c r="B38" s="126">
        <v>6</v>
      </c>
      <c r="C38" s="115" t="s">
        <v>293</v>
      </c>
      <c r="D38" s="112"/>
      <c r="E38" s="112"/>
      <c r="F38" s="112"/>
      <c r="G38" s="112"/>
      <c r="H38" s="112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112"/>
      <c r="T38" s="112"/>
      <c r="U38" s="112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  <c r="AH38" s="112"/>
      <c r="AI38" s="112"/>
      <c r="AJ38" s="112"/>
      <c r="AK38" s="112"/>
      <c r="AL38" s="112"/>
      <c r="AM38" s="112"/>
      <c r="AN38" s="112"/>
      <c r="AO38" s="112"/>
      <c r="AP38" s="112"/>
      <c r="AQ38" s="112"/>
      <c r="AR38" s="112"/>
      <c r="AS38" s="112"/>
      <c r="AT38" s="112"/>
      <c r="AU38" s="112"/>
      <c r="AV38" s="112"/>
      <c r="AW38" s="112"/>
      <c r="AX38" s="112"/>
      <c r="AY38" s="112"/>
    </row>
    <row r="39" spans="1:51" x14ac:dyDescent="0.2">
      <c r="A39" s="115"/>
      <c r="B39" s="133">
        <v>7</v>
      </c>
      <c r="C39" s="115" t="s">
        <v>293</v>
      </c>
      <c r="D39" s="112"/>
      <c r="E39" s="112"/>
      <c r="F39" s="112"/>
      <c r="G39" s="112"/>
      <c r="H39" s="112"/>
      <c r="I39" s="112"/>
      <c r="J39" s="112"/>
      <c r="K39" s="112"/>
      <c r="L39" s="112"/>
      <c r="M39" s="112"/>
      <c r="N39" s="112"/>
      <c r="O39" s="112"/>
      <c r="P39" s="112"/>
      <c r="Q39" s="112"/>
      <c r="R39" s="112"/>
      <c r="S39" s="112"/>
      <c r="T39" s="112"/>
      <c r="U39" s="112"/>
      <c r="V39" s="112"/>
      <c r="W39" s="112"/>
      <c r="X39" s="112"/>
      <c r="Y39" s="112"/>
      <c r="Z39" s="112"/>
      <c r="AA39" s="112"/>
      <c r="AB39" s="112"/>
      <c r="AC39" s="112"/>
      <c r="AD39" s="112"/>
      <c r="AE39" s="112"/>
      <c r="AF39" s="112"/>
      <c r="AG39" s="112"/>
      <c r="AH39" s="112"/>
      <c r="AI39" s="112"/>
      <c r="AJ39" s="112"/>
      <c r="AK39" s="112"/>
      <c r="AL39" s="112"/>
      <c r="AM39" s="112"/>
      <c r="AN39" s="112"/>
      <c r="AO39" s="112"/>
      <c r="AP39" s="112"/>
      <c r="AQ39" s="112"/>
      <c r="AR39" s="112"/>
      <c r="AS39" s="112"/>
      <c r="AT39" s="112"/>
      <c r="AU39" s="112"/>
      <c r="AV39" s="112"/>
      <c r="AW39" s="112"/>
      <c r="AX39" s="112"/>
      <c r="AY39" s="112"/>
    </row>
    <row r="40" spans="1:51" x14ac:dyDescent="0.2">
      <c r="A40" s="115"/>
      <c r="B40" s="133">
        <v>8</v>
      </c>
      <c r="C40" s="115" t="s">
        <v>293</v>
      </c>
      <c r="D40" s="112"/>
      <c r="E40" s="112"/>
      <c r="F40" s="112"/>
      <c r="G40" s="112"/>
      <c r="H40" s="112"/>
      <c r="I40" s="112"/>
      <c r="J40" s="112"/>
      <c r="K40" s="112"/>
      <c r="L40" s="112"/>
      <c r="M40" s="112"/>
      <c r="N40" s="112"/>
      <c r="O40" s="112"/>
      <c r="P40" s="112"/>
      <c r="Q40" s="112"/>
      <c r="R40" s="112"/>
      <c r="S40" s="112"/>
      <c r="T40" s="112"/>
      <c r="U40" s="112"/>
      <c r="V40" s="112"/>
      <c r="W40" s="112"/>
      <c r="X40" s="112"/>
      <c r="Y40" s="112"/>
      <c r="Z40" s="112"/>
      <c r="AA40" s="112"/>
      <c r="AB40" s="112"/>
      <c r="AC40" s="112"/>
      <c r="AD40" s="112"/>
      <c r="AE40" s="112"/>
      <c r="AF40" s="112"/>
      <c r="AG40" s="112"/>
      <c r="AH40" s="112"/>
      <c r="AI40" s="112"/>
      <c r="AJ40" s="112"/>
      <c r="AK40" s="112"/>
      <c r="AL40" s="112"/>
      <c r="AM40" s="112"/>
      <c r="AN40" s="112"/>
      <c r="AO40" s="112"/>
      <c r="AP40" s="112"/>
      <c r="AQ40" s="112"/>
      <c r="AR40" s="112"/>
      <c r="AS40" s="112"/>
      <c r="AT40" s="112"/>
      <c r="AU40" s="112"/>
      <c r="AV40" s="112"/>
      <c r="AW40" s="112"/>
      <c r="AX40" s="112"/>
      <c r="AY40" s="112"/>
    </row>
    <row r="41" spans="1:51" x14ac:dyDescent="0.2">
      <c r="A41" s="115"/>
      <c r="B41" s="133">
        <v>9</v>
      </c>
      <c r="C41" s="115" t="s">
        <v>293</v>
      </c>
      <c r="D41" s="112"/>
      <c r="E41" s="112"/>
      <c r="F41" s="112"/>
      <c r="G41" s="112"/>
      <c r="H41" s="112"/>
      <c r="I41" s="112"/>
      <c r="J41" s="112"/>
      <c r="K41" s="112"/>
      <c r="L41" s="112"/>
      <c r="M41" s="112"/>
      <c r="N41" s="112"/>
      <c r="O41" s="112"/>
      <c r="P41" s="112"/>
      <c r="Q41" s="112"/>
      <c r="R41" s="112"/>
      <c r="S41" s="112"/>
      <c r="T41" s="112"/>
      <c r="U41" s="112"/>
      <c r="V41" s="112"/>
      <c r="W41" s="112"/>
      <c r="X41" s="112"/>
      <c r="Y41" s="112"/>
      <c r="Z41" s="112"/>
      <c r="AA41" s="112"/>
      <c r="AB41" s="112"/>
      <c r="AC41" s="112"/>
      <c r="AD41" s="112"/>
      <c r="AE41" s="112"/>
      <c r="AF41" s="112"/>
      <c r="AG41" s="112"/>
      <c r="AH41" s="112"/>
      <c r="AI41" s="112"/>
      <c r="AJ41" s="112"/>
      <c r="AK41" s="112"/>
      <c r="AL41" s="112"/>
      <c r="AM41" s="112"/>
      <c r="AN41" s="112"/>
      <c r="AO41" s="112"/>
      <c r="AP41" s="112"/>
      <c r="AQ41" s="112"/>
      <c r="AR41" s="112"/>
      <c r="AS41" s="112"/>
      <c r="AT41" s="112"/>
      <c r="AU41" s="112"/>
      <c r="AV41" s="112"/>
      <c r="AW41" s="112"/>
      <c r="AX41" s="112"/>
      <c r="AY41" s="112"/>
    </row>
    <row r="42" spans="1:51" x14ac:dyDescent="0.2">
      <c r="A42" s="115"/>
      <c r="B42" s="136">
        <v>10</v>
      </c>
      <c r="C42" s="115" t="s">
        <v>293</v>
      </c>
      <c r="D42" s="112"/>
      <c r="E42" s="112"/>
      <c r="F42" s="112"/>
      <c r="G42" s="112"/>
      <c r="H42" s="112"/>
      <c r="I42" s="112"/>
      <c r="J42" s="112"/>
      <c r="K42" s="112"/>
      <c r="L42" s="112"/>
      <c r="M42" s="112"/>
      <c r="N42" s="112"/>
      <c r="O42" s="112"/>
      <c r="P42" s="112"/>
      <c r="Q42" s="112"/>
      <c r="R42" s="112"/>
      <c r="S42" s="112"/>
      <c r="T42" s="112"/>
      <c r="U42" s="112"/>
      <c r="V42" s="112"/>
      <c r="W42" s="112"/>
      <c r="X42" s="112"/>
      <c r="Y42" s="112"/>
      <c r="Z42" s="112"/>
      <c r="AA42" s="112"/>
      <c r="AB42" s="112"/>
      <c r="AC42" s="112"/>
      <c r="AD42" s="112"/>
      <c r="AE42" s="112"/>
      <c r="AF42" s="112"/>
      <c r="AG42" s="112"/>
      <c r="AH42" s="112"/>
      <c r="AI42" s="112"/>
      <c r="AJ42" s="112"/>
      <c r="AK42" s="112"/>
      <c r="AL42" s="112"/>
      <c r="AM42" s="112"/>
      <c r="AN42" s="112"/>
      <c r="AO42" s="112"/>
      <c r="AP42" s="112"/>
      <c r="AQ42" s="112"/>
      <c r="AR42" s="112"/>
      <c r="AS42" s="112"/>
      <c r="AT42" s="112"/>
      <c r="AU42" s="112"/>
      <c r="AV42" s="112"/>
      <c r="AW42" s="112"/>
      <c r="AX42" s="112"/>
      <c r="AY42" s="112"/>
    </row>
    <row r="43" spans="1:51" x14ac:dyDescent="0.2">
      <c r="A43" s="115"/>
      <c r="B43" s="136">
        <v>11</v>
      </c>
      <c r="C43" s="115" t="s">
        <v>293</v>
      </c>
      <c r="D43" s="112"/>
      <c r="E43" s="112"/>
      <c r="F43" s="112"/>
      <c r="G43" s="112"/>
      <c r="H43" s="112"/>
      <c r="I43" s="112"/>
      <c r="J43" s="112"/>
      <c r="K43" s="112"/>
      <c r="L43" s="112"/>
      <c r="M43" s="112"/>
      <c r="N43" s="112"/>
      <c r="O43" s="112"/>
      <c r="P43" s="112"/>
      <c r="Q43" s="112"/>
      <c r="R43" s="112"/>
      <c r="S43" s="112"/>
      <c r="T43" s="112"/>
      <c r="U43" s="112"/>
      <c r="V43" s="112"/>
      <c r="W43" s="112"/>
      <c r="X43" s="112"/>
      <c r="Y43" s="112"/>
      <c r="Z43" s="112"/>
      <c r="AA43" s="112"/>
      <c r="AB43" s="112"/>
      <c r="AC43" s="112"/>
      <c r="AD43" s="112"/>
      <c r="AE43" s="112"/>
      <c r="AF43" s="112"/>
      <c r="AG43" s="112"/>
      <c r="AH43" s="112"/>
      <c r="AI43" s="112"/>
      <c r="AJ43" s="112"/>
      <c r="AK43" s="112"/>
      <c r="AL43" s="112"/>
      <c r="AM43" s="112"/>
      <c r="AN43" s="112"/>
      <c r="AO43" s="112"/>
      <c r="AP43" s="112"/>
      <c r="AQ43" s="112"/>
      <c r="AR43" s="112"/>
      <c r="AS43" s="112"/>
      <c r="AT43" s="112"/>
      <c r="AU43" s="112"/>
      <c r="AV43" s="112"/>
      <c r="AW43" s="112"/>
      <c r="AX43" s="112"/>
      <c r="AY43" s="112"/>
    </row>
    <row r="44" spans="1:51" x14ac:dyDescent="0.2">
      <c r="A44" s="115"/>
      <c r="B44" s="136">
        <v>12</v>
      </c>
      <c r="C44" s="134" t="s">
        <v>293</v>
      </c>
      <c r="D44" s="112">
        <v>0</v>
      </c>
      <c r="E44" s="112">
        <v>0</v>
      </c>
      <c r="F44" s="112">
        <v>0</v>
      </c>
      <c r="G44" s="112">
        <v>0</v>
      </c>
      <c r="H44" s="112">
        <v>0</v>
      </c>
      <c r="I44" s="112">
        <v>0</v>
      </c>
      <c r="J44" s="112">
        <v>0</v>
      </c>
      <c r="K44" s="112">
        <v>0</v>
      </c>
      <c r="L44" s="112">
        <v>0</v>
      </c>
      <c r="M44" s="112">
        <v>0</v>
      </c>
      <c r="N44" s="112">
        <v>0</v>
      </c>
      <c r="O44" s="112">
        <v>0</v>
      </c>
      <c r="P44" s="112">
        <v>0</v>
      </c>
      <c r="Q44" s="112">
        <v>0</v>
      </c>
      <c r="R44" s="112">
        <v>0</v>
      </c>
      <c r="S44" s="112">
        <v>0</v>
      </c>
      <c r="T44" s="112">
        <v>0</v>
      </c>
      <c r="U44" s="112">
        <v>154.16725831076795</v>
      </c>
      <c r="V44" s="112">
        <v>0</v>
      </c>
      <c r="W44" s="112">
        <v>0</v>
      </c>
      <c r="X44" s="112">
        <v>0</v>
      </c>
      <c r="Y44" s="112">
        <v>0</v>
      </c>
      <c r="Z44" s="112">
        <v>0</v>
      </c>
      <c r="AA44" s="112">
        <v>0</v>
      </c>
      <c r="AB44" s="112">
        <v>0</v>
      </c>
      <c r="AC44" s="112">
        <v>0</v>
      </c>
      <c r="AD44" s="112">
        <v>0</v>
      </c>
      <c r="AE44" s="112">
        <v>0</v>
      </c>
      <c r="AF44" s="112">
        <v>0</v>
      </c>
      <c r="AG44" s="112">
        <v>0</v>
      </c>
      <c r="AH44" s="112">
        <v>0</v>
      </c>
      <c r="AI44" s="112">
        <v>0</v>
      </c>
      <c r="AJ44" s="112">
        <v>0</v>
      </c>
      <c r="AK44" s="112">
        <v>0</v>
      </c>
      <c r="AL44" s="112">
        <v>0</v>
      </c>
      <c r="AM44" s="112">
        <v>0</v>
      </c>
      <c r="AN44" s="112">
        <v>0</v>
      </c>
      <c r="AO44" s="112">
        <v>0</v>
      </c>
      <c r="AP44" s="112">
        <v>0</v>
      </c>
      <c r="AQ44" s="112">
        <v>0</v>
      </c>
      <c r="AR44" s="112">
        <v>0</v>
      </c>
      <c r="AS44" s="112">
        <v>0</v>
      </c>
      <c r="AT44" s="112">
        <v>0</v>
      </c>
      <c r="AU44" s="112">
        <v>0</v>
      </c>
      <c r="AV44" s="112">
        <v>0</v>
      </c>
      <c r="AW44" s="112">
        <v>0</v>
      </c>
      <c r="AX44" s="112">
        <v>0</v>
      </c>
      <c r="AY44" s="112">
        <v>0</v>
      </c>
    </row>
    <row r="45" spans="1:51" x14ac:dyDescent="0.2">
      <c r="A45" s="132" t="s">
        <v>123</v>
      </c>
      <c r="B45" s="129">
        <v>1</v>
      </c>
      <c r="C45" s="115" t="s">
        <v>293</v>
      </c>
      <c r="D45" s="130"/>
      <c r="E45" s="130"/>
      <c r="F45" s="130"/>
      <c r="G45" s="130"/>
      <c r="H45" s="130"/>
      <c r="I45" s="130"/>
      <c r="J45" s="130"/>
      <c r="K45" s="130"/>
      <c r="L45" s="130"/>
      <c r="M45" s="130"/>
      <c r="N45" s="130"/>
      <c r="O45" s="130"/>
      <c r="P45" s="130"/>
      <c r="Q45" s="130"/>
      <c r="R45" s="130"/>
      <c r="S45" s="130"/>
      <c r="T45" s="130"/>
      <c r="U45" s="130"/>
      <c r="V45" s="130"/>
      <c r="W45" s="130"/>
      <c r="X45" s="130"/>
      <c r="Y45" s="130"/>
      <c r="Z45" s="130"/>
      <c r="AA45" s="130"/>
      <c r="AB45" s="130"/>
      <c r="AC45" s="130"/>
      <c r="AD45" s="130"/>
      <c r="AE45" s="130"/>
      <c r="AF45" s="130"/>
      <c r="AG45" s="130"/>
      <c r="AH45" s="130"/>
      <c r="AI45" s="130"/>
      <c r="AJ45" s="130"/>
      <c r="AK45" s="130"/>
      <c r="AL45" s="130"/>
      <c r="AM45" s="130"/>
      <c r="AN45" s="130"/>
      <c r="AO45" s="130"/>
      <c r="AP45" s="130"/>
      <c r="AQ45" s="130"/>
      <c r="AR45" s="130"/>
      <c r="AS45" s="130"/>
      <c r="AT45" s="130"/>
      <c r="AU45" s="130"/>
      <c r="AV45" s="130"/>
      <c r="AW45" s="130"/>
      <c r="AX45" s="130"/>
      <c r="AY45" s="130"/>
    </row>
    <row r="46" spans="1:51" x14ac:dyDescent="0.2">
      <c r="A46" s="115"/>
      <c r="B46" s="125">
        <v>2</v>
      </c>
      <c r="C46" s="115" t="s">
        <v>293</v>
      </c>
      <c r="D46" s="116"/>
      <c r="E46" s="116"/>
      <c r="F46" s="116"/>
      <c r="G46" s="116"/>
      <c r="H46" s="116"/>
      <c r="I46" s="116"/>
      <c r="J46" s="116"/>
      <c r="K46" s="116"/>
      <c r="L46" s="116"/>
      <c r="M46" s="116"/>
      <c r="N46" s="116"/>
      <c r="O46" s="116"/>
      <c r="P46" s="116"/>
      <c r="Q46" s="116"/>
      <c r="R46" s="116"/>
      <c r="S46" s="116"/>
      <c r="T46" s="116"/>
      <c r="U46" s="116"/>
      <c r="V46" s="116"/>
      <c r="W46" s="116"/>
      <c r="X46" s="116"/>
      <c r="Y46" s="116"/>
      <c r="Z46" s="116"/>
      <c r="AA46" s="116"/>
      <c r="AB46" s="116"/>
      <c r="AC46" s="116"/>
      <c r="AD46" s="116"/>
      <c r="AE46" s="116"/>
      <c r="AF46" s="116"/>
      <c r="AG46" s="116"/>
      <c r="AH46" s="116"/>
      <c r="AI46" s="116"/>
      <c r="AJ46" s="116"/>
      <c r="AK46" s="116"/>
      <c r="AL46" s="116"/>
      <c r="AM46" s="116"/>
      <c r="AN46" s="116"/>
      <c r="AO46" s="116"/>
      <c r="AP46" s="116"/>
      <c r="AQ46" s="116"/>
      <c r="AR46" s="116"/>
      <c r="AS46" s="116"/>
      <c r="AT46" s="116"/>
      <c r="AU46" s="116"/>
      <c r="AV46" s="116"/>
      <c r="AW46" s="116"/>
      <c r="AX46" s="116"/>
      <c r="AY46" s="116"/>
    </row>
    <row r="47" spans="1:51" x14ac:dyDescent="0.2">
      <c r="A47" s="115"/>
      <c r="B47" s="125">
        <v>3</v>
      </c>
      <c r="C47" s="115" t="s">
        <v>293</v>
      </c>
      <c r="D47" s="116"/>
      <c r="E47" s="116"/>
      <c r="F47" s="116"/>
      <c r="G47" s="116"/>
      <c r="H47" s="116"/>
      <c r="I47" s="116"/>
      <c r="J47" s="116"/>
      <c r="K47" s="116"/>
      <c r="L47" s="116"/>
      <c r="M47" s="116"/>
      <c r="N47" s="116"/>
      <c r="O47" s="116"/>
      <c r="P47" s="116"/>
      <c r="Q47" s="116"/>
      <c r="R47" s="116"/>
      <c r="S47" s="116"/>
      <c r="T47" s="116"/>
      <c r="U47" s="116"/>
      <c r="V47" s="116"/>
      <c r="W47" s="116"/>
      <c r="X47" s="116"/>
      <c r="Y47" s="116"/>
      <c r="Z47" s="116"/>
      <c r="AA47" s="116"/>
      <c r="AB47" s="116"/>
      <c r="AC47" s="116"/>
      <c r="AD47" s="116"/>
      <c r="AE47" s="116"/>
      <c r="AF47" s="116"/>
      <c r="AG47" s="116"/>
      <c r="AH47" s="116"/>
      <c r="AI47" s="116"/>
      <c r="AJ47" s="116"/>
      <c r="AK47" s="116"/>
      <c r="AL47" s="116"/>
      <c r="AM47" s="116"/>
      <c r="AN47" s="116"/>
      <c r="AO47" s="116"/>
      <c r="AP47" s="116"/>
      <c r="AQ47" s="116"/>
      <c r="AR47" s="116"/>
      <c r="AS47" s="116"/>
      <c r="AT47" s="116"/>
      <c r="AU47" s="116"/>
      <c r="AV47" s="116"/>
      <c r="AW47" s="116"/>
      <c r="AX47" s="116"/>
      <c r="AY47" s="116"/>
    </row>
    <row r="48" spans="1:51" x14ac:dyDescent="0.2">
      <c r="A48" s="115"/>
      <c r="B48" s="125">
        <v>4</v>
      </c>
      <c r="C48" s="115" t="s">
        <v>293</v>
      </c>
      <c r="D48" s="116"/>
      <c r="E48" s="116"/>
      <c r="F48" s="116"/>
      <c r="G48" s="116"/>
      <c r="H48" s="116"/>
      <c r="I48" s="116"/>
      <c r="J48" s="116"/>
      <c r="K48" s="116"/>
      <c r="L48" s="116"/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6"/>
      <c r="X48" s="116"/>
      <c r="Y48" s="116"/>
      <c r="Z48" s="116"/>
      <c r="AA48" s="116"/>
      <c r="AB48" s="116"/>
      <c r="AC48" s="116"/>
      <c r="AD48" s="116"/>
      <c r="AE48" s="116"/>
      <c r="AF48" s="116"/>
      <c r="AG48" s="116"/>
      <c r="AH48" s="116"/>
      <c r="AI48" s="116"/>
      <c r="AJ48" s="116"/>
      <c r="AK48" s="116"/>
      <c r="AL48" s="116"/>
      <c r="AM48" s="116"/>
      <c r="AN48" s="116"/>
      <c r="AO48" s="116"/>
      <c r="AP48" s="116"/>
      <c r="AQ48" s="116"/>
      <c r="AR48" s="116"/>
      <c r="AS48" s="116"/>
      <c r="AT48" s="116"/>
      <c r="AU48" s="116"/>
      <c r="AV48" s="116"/>
      <c r="AW48" s="116"/>
      <c r="AX48" s="116"/>
      <c r="AY48" s="116"/>
    </row>
    <row r="49" spans="1:51" x14ac:dyDescent="0.2">
      <c r="A49" s="115"/>
      <c r="B49" s="125">
        <v>5</v>
      </c>
      <c r="C49" s="115" t="s">
        <v>293</v>
      </c>
      <c r="D49" s="116"/>
      <c r="E49" s="116"/>
      <c r="F49" s="116"/>
      <c r="G49" s="116"/>
      <c r="H49" s="116"/>
      <c r="I49" s="116"/>
      <c r="J49" s="116"/>
      <c r="K49" s="116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6"/>
      <c r="X49" s="116"/>
      <c r="Y49" s="116"/>
      <c r="Z49" s="116"/>
      <c r="AA49" s="116"/>
      <c r="AB49" s="116"/>
      <c r="AC49" s="116"/>
      <c r="AD49" s="116"/>
      <c r="AE49" s="116"/>
      <c r="AF49" s="116"/>
      <c r="AG49" s="116"/>
      <c r="AH49" s="116"/>
      <c r="AI49" s="116"/>
      <c r="AJ49" s="116"/>
      <c r="AK49" s="116"/>
      <c r="AL49" s="116"/>
      <c r="AM49" s="116"/>
      <c r="AN49" s="116"/>
      <c r="AO49" s="116"/>
      <c r="AP49" s="116"/>
      <c r="AQ49" s="116"/>
      <c r="AR49" s="116"/>
      <c r="AS49" s="116"/>
      <c r="AT49" s="116"/>
      <c r="AU49" s="116"/>
      <c r="AV49" s="116"/>
      <c r="AW49" s="116"/>
      <c r="AX49" s="116"/>
      <c r="AY49" s="116"/>
    </row>
    <row r="50" spans="1:51" x14ac:dyDescent="0.2">
      <c r="A50" s="115"/>
      <c r="B50" s="125">
        <v>6</v>
      </c>
      <c r="C50" s="115" t="s">
        <v>293</v>
      </c>
      <c r="D50" s="116"/>
      <c r="E50" s="116"/>
      <c r="F50" s="116"/>
      <c r="G50" s="116"/>
      <c r="H50" s="116"/>
      <c r="I50" s="116"/>
      <c r="J50" s="116"/>
      <c r="K50" s="116"/>
      <c r="L50" s="116"/>
      <c r="M50" s="116"/>
      <c r="N50" s="116"/>
      <c r="O50" s="116"/>
      <c r="P50" s="116"/>
      <c r="Q50" s="116"/>
      <c r="R50" s="116"/>
      <c r="S50" s="116"/>
      <c r="T50" s="116"/>
      <c r="U50" s="116"/>
      <c r="V50" s="116"/>
      <c r="W50" s="116"/>
      <c r="X50" s="116"/>
      <c r="Y50" s="116"/>
      <c r="Z50" s="116"/>
      <c r="AA50" s="116"/>
      <c r="AB50" s="116"/>
      <c r="AC50" s="116"/>
      <c r="AD50" s="116"/>
      <c r="AE50" s="116"/>
      <c r="AF50" s="116"/>
      <c r="AG50" s="116"/>
      <c r="AH50" s="116"/>
      <c r="AI50" s="116"/>
      <c r="AJ50" s="116"/>
      <c r="AK50" s="116"/>
      <c r="AL50" s="116"/>
      <c r="AM50" s="116"/>
      <c r="AN50" s="116"/>
      <c r="AO50" s="116"/>
      <c r="AP50" s="116"/>
      <c r="AQ50" s="116"/>
      <c r="AR50" s="116"/>
      <c r="AS50" s="116"/>
      <c r="AT50" s="116"/>
      <c r="AU50" s="116"/>
      <c r="AV50" s="116"/>
      <c r="AW50" s="116"/>
      <c r="AX50" s="116"/>
      <c r="AY50" s="116"/>
    </row>
    <row r="51" spans="1:51" x14ac:dyDescent="0.2">
      <c r="A51" s="115"/>
      <c r="B51" s="125">
        <v>7</v>
      </c>
      <c r="C51" s="115" t="s">
        <v>293</v>
      </c>
      <c r="D51" s="116"/>
      <c r="E51" s="116"/>
      <c r="F51" s="116"/>
      <c r="G51" s="116"/>
      <c r="H51" s="116"/>
      <c r="I51" s="116"/>
      <c r="J51" s="116"/>
      <c r="K51" s="116"/>
      <c r="L51" s="116"/>
      <c r="M51" s="116"/>
      <c r="N51" s="116"/>
      <c r="O51" s="116"/>
      <c r="P51" s="116"/>
      <c r="Q51" s="116"/>
      <c r="R51" s="116"/>
      <c r="S51" s="116"/>
      <c r="T51" s="116"/>
      <c r="U51" s="116"/>
      <c r="V51" s="116"/>
      <c r="W51" s="116"/>
      <c r="X51" s="116"/>
      <c r="Y51" s="116"/>
      <c r="Z51" s="116"/>
      <c r="AA51" s="116"/>
      <c r="AB51" s="116"/>
      <c r="AC51" s="116"/>
      <c r="AD51" s="116"/>
      <c r="AE51" s="116"/>
      <c r="AF51" s="116"/>
      <c r="AG51" s="116"/>
      <c r="AH51" s="116"/>
      <c r="AI51" s="116"/>
      <c r="AJ51" s="116"/>
      <c r="AK51" s="116"/>
      <c r="AL51" s="116"/>
      <c r="AM51" s="116"/>
      <c r="AN51" s="116"/>
      <c r="AO51" s="116"/>
      <c r="AP51" s="116"/>
      <c r="AQ51" s="116"/>
      <c r="AR51" s="116"/>
      <c r="AS51" s="116"/>
      <c r="AT51" s="116"/>
      <c r="AU51" s="116"/>
      <c r="AV51" s="116"/>
      <c r="AW51" s="116"/>
      <c r="AX51" s="116"/>
      <c r="AY51" s="116"/>
    </row>
    <row r="52" spans="1:51" x14ac:dyDescent="0.2">
      <c r="A52" s="115"/>
      <c r="B52" s="125">
        <v>8</v>
      </c>
      <c r="C52" s="115" t="s">
        <v>293</v>
      </c>
      <c r="D52" s="116"/>
      <c r="E52" s="116"/>
      <c r="F52" s="116"/>
      <c r="G52" s="116"/>
      <c r="H52" s="116"/>
      <c r="I52" s="116"/>
      <c r="J52" s="116"/>
      <c r="K52" s="116"/>
      <c r="L52" s="116"/>
      <c r="M52" s="116"/>
      <c r="N52" s="116"/>
      <c r="O52" s="116"/>
      <c r="P52" s="116"/>
      <c r="Q52" s="116"/>
      <c r="R52" s="116"/>
      <c r="S52" s="116"/>
      <c r="T52" s="116"/>
      <c r="U52" s="116"/>
      <c r="V52" s="116"/>
      <c r="W52" s="116"/>
      <c r="X52" s="116"/>
      <c r="Y52" s="116"/>
      <c r="Z52" s="116"/>
      <c r="AA52" s="116"/>
      <c r="AB52" s="116"/>
      <c r="AC52" s="116"/>
      <c r="AD52" s="116"/>
      <c r="AE52" s="116"/>
      <c r="AF52" s="116"/>
      <c r="AG52" s="116"/>
      <c r="AH52" s="116"/>
      <c r="AI52" s="116"/>
      <c r="AJ52" s="116"/>
      <c r="AK52" s="116"/>
      <c r="AL52" s="116"/>
      <c r="AM52" s="116"/>
      <c r="AN52" s="116"/>
      <c r="AO52" s="116"/>
      <c r="AP52" s="116"/>
      <c r="AQ52" s="116"/>
      <c r="AR52" s="116"/>
      <c r="AS52" s="116"/>
      <c r="AT52" s="116"/>
      <c r="AU52" s="116"/>
      <c r="AV52" s="116"/>
      <c r="AW52" s="116"/>
      <c r="AX52" s="116"/>
      <c r="AY52" s="116"/>
    </row>
    <row r="53" spans="1:51" x14ac:dyDescent="0.2">
      <c r="A53" s="115"/>
      <c r="B53" s="125">
        <v>9</v>
      </c>
      <c r="C53" s="115" t="s">
        <v>293</v>
      </c>
      <c r="D53" s="116"/>
      <c r="E53" s="116"/>
      <c r="F53" s="116"/>
      <c r="G53" s="116"/>
      <c r="H53" s="116"/>
      <c r="I53" s="116"/>
      <c r="J53" s="116"/>
      <c r="K53" s="116"/>
      <c r="L53" s="116"/>
      <c r="M53" s="116"/>
      <c r="N53" s="116"/>
      <c r="O53" s="116"/>
      <c r="P53" s="116"/>
      <c r="Q53" s="116"/>
      <c r="R53" s="116"/>
      <c r="S53" s="116"/>
      <c r="T53" s="116"/>
      <c r="U53" s="116"/>
      <c r="V53" s="116"/>
      <c r="W53" s="116"/>
      <c r="X53" s="116"/>
      <c r="Y53" s="116"/>
      <c r="Z53" s="116"/>
      <c r="AA53" s="116"/>
      <c r="AB53" s="116"/>
      <c r="AC53" s="116"/>
      <c r="AD53" s="116"/>
      <c r="AE53" s="116"/>
      <c r="AF53" s="116"/>
      <c r="AG53" s="116"/>
      <c r="AH53" s="116"/>
      <c r="AI53" s="116"/>
      <c r="AJ53" s="116"/>
      <c r="AK53" s="116"/>
      <c r="AL53" s="116"/>
      <c r="AM53" s="116"/>
      <c r="AN53" s="116"/>
      <c r="AO53" s="116"/>
      <c r="AP53" s="116"/>
      <c r="AQ53" s="116"/>
      <c r="AR53" s="116"/>
      <c r="AS53" s="116"/>
      <c r="AT53" s="116"/>
      <c r="AU53" s="116"/>
      <c r="AV53" s="116"/>
      <c r="AW53" s="116"/>
      <c r="AX53" s="116"/>
      <c r="AY53" s="116"/>
    </row>
    <row r="54" spans="1:51" x14ac:dyDescent="0.2">
      <c r="A54" s="115"/>
      <c r="B54" s="125">
        <v>10</v>
      </c>
      <c r="C54" s="115" t="s">
        <v>293</v>
      </c>
      <c r="D54" s="116"/>
      <c r="E54" s="116"/>
      <c r="F54" s="116"/>
      <c r="G54" s="116"/>
      <c r="H54" s="116"/>
      <c r="I54" s="116"/>
      <c r="J54" s="116"/>
      <c r="K54" s="116"/>
      <c r="L54" s="116"/>
      <c r="M54" s="116"/>
      <c r="N54" s="116"/>
      <c r="O54" s="116"/>
      <c r="P54" s="116"/>
      <c r="Q54" s="116"/>
      <c r="R54" s="116"/>
      <c r="S54" s="116"/>
      <c r="T54" s="116"/>
      <c r="U54" s="116"/>
      <c r="V54" s="116"/>
      <c r="W54" s="116"/>
      <c r="X54" s="116"/>
      <c r="Y54" s="116"/>
      <c r="Z54" s="116"/>
      <c r="AA54" s="116"/>
      <c r="AB54" s="116"/>
      <c r="AC54" s="116"/>
      <c r="AD54" s="116"/>
      <c r="AE54" s="116"/>
      <c r="AF54" s="116"/>
      <c r="AG54" s="116"/>
      <c r="AH54" s="116"/>
      <c r="AI54" s="116"/>
      <c r="AJ54" s="116"/>
      <c r="AK54" s="116"/>
      <c r="AL54" s="116"/>
      <c r="AM54" s="116"/>
      <c r="AN54" s="116"/>
      <c r="AO54" s="116"/>
      <c r="AP54" s="116"/>
      <c r="AQ54" s="116"/>
      <c r="AR54" s="116"/>
      <c r="AS54" s="116"/>
      <c r="AT54" s="116"/>
      <c r="AU54" s="116"/>
      <c r="AV54" s="116"/>
      <c r="AW54" s="116"/>
      <c r="AX54" s="116"/>
      <c r="AY54" s="116"/>
    </row>
    <row r="55" spans="1:51" x14ac:dyDescent="0.2">
      <c r="A55" s="115"/>
      <c r="B55" s="125">
        <v>11</v>
      </c>
      <c r="C55" s="115" t="s">
        <v>293</v>
      </c>
      <c r="D55" s="116"/>
      <c r="E55" s="116"/>
      <c r="F55" s="116"/>
      <c r="G55" s="116"/>
      <c r="H55" s="116"/>
      <c r="I55" s="116"/>
      <c r="J55" s="116"/>
      <c r="K55" s="116"/>
      <c r="L55" s="116"/>
      <c r="M55" s="116"/>
      <c r="N55" s="116"/>
      <c r="O55" s="116"/>
      <c r="P55" s="116"/>
      <c r="Q55" s="116"/>
      <c r="R55" s="116"/>
      <c r="S55" s="116"/>
      <c r="T55" s="116"/>
      <c r="U55" s="116"/>
      <c r="V55" s="116"/>
      <c r="W55" s="116"/>
      <c r="X55" s="116"/>
      <c r="Y55" s="116"/>
      <c r="Z55" s="116"/>
      <c r="AA55" s="116"/>
      <c r="AB55" s="116"/>
      <c r="AC55" s="116"/>
      <c r="AD55" s="116"/>
      <c r="AE55" s="116"/>
      <c r="AF55" s="116"/>
      <c r="AG55" s="116"/>
      <c r="AH55" s="116"/>
      <c r="AI55" s="116"/>
      <c r="AJ55" s="116"/>
      <c r="AK55" s="116"/>
      <c r="AL55" s="116"/>
      <c r="AM55" s="116"/>
      <c r="AN55" s="116"/>
      <c r="AO55" s="116"/>
      <c r="AP55" s="116"/>
      <c r="AQ55" s="116"/>
      <c r="AR55" s="116"/>
      <c r="AS55" s="116"/>
      <c r="AT55" s="116"/>
      <c r="AU55" s="116"/>
      <c r="AV55" s="116"/>
      <c r="AW55" s="116"/>
      <c r="AX55" s="116"/>
      <c r="AY55" s="116"/>
    </row>
    <row r="56" spans="1:51" x14ac:dyDescent="0.2">
      <c r="A56" s="115"/>
      <c r="B56" s="125">
        <v>12</v>
      </c>
      <c r="C56" s="115" t="s">
        <v>293</v>
      </c>
      <c r="D56" s="116"/>
      <c r="E56" s="116"/>
      <c r="F56" s="116"/>
      <c r="G56" s="116"/>
      <c r="H56" s="116"/>
      <c r="I56" s="116"/>
      <c r="J56" s="116"/>
      <c r="K56" s="116"/>
      <c r="L56" s="116"/>
      <c r="M56" s="116"/>
      <c r="N56" s="116"/>
      <c r="O56" s="116"/>
      <c r="P56" s="116"/>
      <c r="Q56" s="116"/>
      <c r="R56" s="116"/>
      <c r="S56" s="116"/>
      <c r="T56" s="116"/>
      <c r="U56" s="116"/>
      <c r="V56" s="116"/>
      <c r="W56" s="116"/>
      <c r="X56" s="116"/>
      <c r="Y56" s="116"/>
      <c r="Z56" s="116"/>
      <c r="AA56" s="116"/>
      <c r="AB56" s="116"/>
      <c r="AC56" s="116"/>
      <c r="AD56" s="116"/>
      <c r="AE56" s="116"/>
      <c r="AF56" s="116"/>
      <c r="AG56" s="116"/>
      <c r="AH56" s="116"/>
      <c r="AI56" s="116"/>
      <c r="AJ56" s="116"/>
      <c r="AK56" s="116"/>
      <c r="AL56" s="116"/>
      <c r="AM56" s="116"/>
      <c r="AN56" s="116"/>
      <c r="AO56" s="116"/>
      <c r="AP56" s="116"/>
      <c r="AQ56" s="116"/>
      <c r="AR56" s="116"/>
      <c r="AS56" s="116"/>
      <c r="AT56" s="116"/>
      <c r="AU56" s="116"/>
      <c r="AV56" s="116"/>
      <c r="AW56" s="116"/>
      <c r="AX56" s="116"/>
      <c r="AY56" s="116"/>
    </row>
    <row r="57" spans="1:51" x14ac:dyDescent="0.2">
      <c r="A57" s="115"/>
      <c r="B57" s="126">
        <v>13</v>
      </c>
      <c r="C57" s="115" t="s">
        <v>293</v>
      </c>
      <c r="D57" s="116"/>
      <c r="E57" s="116"/>
      <c r="F57" s="116"/>
      <c r="G57" s="116"/>
      <c r="H57" s="116"/>
      <c r="I57" s="116"/>
      <c r="J57" s="116"/>
      <c r="K57" s="116"/>
      <c r="L57" s="116"/>
      <c r="M57" s="116"/>
      <c r="N57" s="116"/>
      <c r="O57" s="116"/>
      <c r="P57" s="116"/>
      <c r="Q57" s="116"/>
      <c r="R57" s="116"/>
      <c r="S57" s="116"/>
      <c r="T57" s="116"/>
      <c r="U57" s="116"/>
      <c r="V57" s="116"/>
      <c r="W57" s="116"/>
      <c r="X57" s="116"/>
      <c r="Y57" s="116"/>
      <c r="Z57" s="116"/>
      <c r="AA57" s="116"/>
      <c r="AB57" s="116"/>
      <c r="AC57" s="116"/>
      <c r="AD57" s="116"/>
      <c r="AE57" s="116"/>
      <c r="AF57" s="116"/>
      <c r="AG57" s="116"/>
      <c r="AH57" s="116"/>
      <c r="AI57" s="116"/>
      <c r="AJ57" s="116"/>
      <c r="AK57" s="116"/>
      <c r="AL57" s="116"/>
      <c r="AM57" s="116"/>
      <c r="AN57" s="116"/>
      <c r="AO57" s="116"/>
      <c r="AP57" s="116"/>
      <c r="AQ57" s="116"/>
      <c r="AR57" s="116"/>
      <c r="AS57" s="116"/>
      <c r="AT57" s="116"/>
      <c r="AU57" s="116"/>
      <c r="AV57" s="116"/>
      <c r="AW57" s="116"/>
      <c r="AX57" s="116"/>
      <c r="AY57" s="116"/>
    </row>
    <row r="58" spans="1:51" x14ac:dyDescent="0.2">
      <c r="A58" s="115"/>
      <c r="B58" s="126">
        <v>14</v>
      </c>
      <c r="C58" s="115" t="s">
        <v>293</v>
      </c>
      <c r="D58" s="116"/>
      <c r="E58" s="116"/>
      <c r="F58" s="116"/>
      <c r="G58" s="116"/>
      <c r="H58" s="116"/>
      <c r="I58" s="116"/>
      <c r="J58" s="116"/>
      <c r="K58" s="116"/>
      <c r="L58" s="116"/>
      <c r="M58" s="116"/>
      <c r="N58" s="116"/>
      <c r="O58" s="116"/>
      <c r="P58" s="116"/>
      <c r="Q58" s="116"/>
      <c r="R58" s="116"/>
      <c r="S58" s="116"/>
      <c r="T58" s="116"/>
      <c r="U58" s="116"/>
      <c r="V58" s="116"/>
      <c r="W58" s="116"/>
      <c r="X58" s="116"/>
      <c r="Y58" s="116"/>
      <c r="Z58" s="116"/>
      <c r="AA58" s="116"/>
      <c r="AB58" s="116"/>
      <c r="AC58" s="116"/>
      <c r="AD58" s="116"/>
      <c r="AE58" s="116"/>
      <c r="AF58" s="116"/>
      <c r="AG58" s="116"/>
      <c r="AH58" s="116"/>
      <c r="AI58" s="116"/>
      <c r="AJ58" s="116"/>
      <c r="AK58" s="116"/>
      <c r="AL58" s="116"/>
      <c r="AM58" s="116"/>
      <c r="AN58" s="116"/>
      <c r="AO58" s="116"/>
      <c r="AP58" s="116"/>
      <c r="AQ58" s="116"/>
      <c r="AR58" s="116"/>
      <c r="AS58" s="116"/>
      <c r="AT58" s="116"/>
      <c r="AU58" s="116"/>
      <c r="AV58" s="116"/>
      <c r="AW58" s="116"/>
      <c r="AX58" s="116"/>
      <c r="AY58" s="116"/>
    </row>
    <row r="59" spans="1:51" x14ac:dyDescent="0.2">
      <c r="A59" s="115"/>
      <c r="B59" s="126">
        <v>15</v>
      </c>
      <c r="C59" s="115" t="s">
        <v>293</v>
      </c>
      <c r="D59" s="116"/>
      <c r="E59" s="116"/>
      <c r="F59" s="116"/>
      <c r="G59" s="116"/>
      <c r="H59" s="116"/>
      <c r="I59" s="116"/>
      <c r="J59" s="116"/>
      <c r="K59" s="116"/>
      <c r="L59" s="116"/>
      <c r="M59" s="116"/>
      <c r="N59" s="116"/>
      <c r="O59" s="116"/>
      <c r="P59" s="116"/>
      <c r="Q59" s="116"/>
      <c r="R59" s="116"/>
      <c r="S59" s="116"/>
      <c r="T59" s="116"/>
      <c r="U59" s="116"/>
      <c r="V59" s="116"/>
      <c r="W59" s="116"/>
      <c r="X59" s="116"/>
      <c r="Y59" s="116"/>
      <c r="Z59" s="116"/>
      <c r="AA59" s="116"/>
      <c r="AB59" s="116"/>
      <c r="AC59" s="116"/>
      <c r="AD59" s="116"/>
      <c r="AE59" s="116"/>
      <c r="AF59" s="116"/>
      <c r="AG59" s="116"/>
      <c r="AH59" s="116"/>
      <c r="AI59" s="116"/>
      <c r="AJ59" s="116"/>
      <c r="AK59" s="116"/>
      <c r="AL59" s="116"/>
      <c r="AM59" s="116"/>
      <c r="AN59" s="116"/>
      <c r="AO59" s="116"/>
      <c r="AP59" s="116"/>
      <c r="AQ59" s="116"/>
      <c r="AR59" s="116"/>
      <c r="AS59" s="116"/>
      <c r="AT59" s="116"/>
      <c r="AU59" s="116"/>
      <c r="AV59" s="116"/>
      <c r="AW59" s="116"/>
      <c r="AX59" s="116"/>
      <c r="AY59" s="116"/>
    </row>
    <row r="60" spans="1:51" x14ac:dyDescent="0.2">
      <c r="A60" s="115"/>
      <c r="B60" s="126">
        <v>16</v>
      </c>
      <c r="C60" s="115" t="s">
        <v>293</v>
      </c>
      <c r="D60" s="116"/>
      <c r="E60" s="116"/>
      <c r="F60" s="116"/>
      <c r="G60" s="116"/>
      <c r="H60" s="116"/>
      <c r="I60" s="116"/>
      <c r="J60" s="116"/>
      <c r="K60" s="116"/>
      <c r="L60" s="116"/>
      <c r="M60" s="116"/>
      <c r="N60" s="116"/>
      <c r="O60" s="116"/>
      <c r="P60" s="116"/>
      <c r="Q60" s="116"/>
      <c r="R60" s="116"/>
      <c r="S60" s="116"/>
      <c r="T60" s="116"/>
      <c r="U60" s="116"/>
      <c r="V60" s="116"/>
      <c r="W60" s="116"/>
      <c r="X60" s="116"/>
      <c r="Y60" s="116"/>
      <c r="Z60" s="116"/>
      <c r="AA60" s="116"/>
      <c r="AB60" s="116"/>
      <c r="AC60" s="116"/>
      <c r="AD60" s="116"/>
      <c r="AE60" s="116"/>
      <c r="AF60" s="116"/>
      <c r="AG60" s="116"/>
      <c r="AH60" s="116"/>
      <c r="AI60" s="116"/>
      <c r="AJ60" s="116"/>
      <c r="AK60" s="116"/>
      <c r="AL60" s="116"/>
      <c r="AM60" s="116"/>
      <c r="AN60" s="116"/>
      <c r="AO60" s="116"/>
      <c r="AP60" s="116"/>
      <c r="AQ60" s="116"/>
      <c r="AR60" s="116"/>
      <c r="AS60" s="116"/>
      <c r="AT60" s="116"/>
      <c r="AU60" s="116"/>
      <c r="AV60" s="116"/>
      <c r="AW60" s="116"/>
      <c r="AX60" s="116"/>
      <c r="AY60" s="116"/>
    </row>
    <row r="61" spans="1:51" x14ac:dyDescent="0.2">
      <c r="A61" s="115"/>
      <c r="B61" s="126">
        <v>17</v>
      </c>
      <c r="C61" s="115" t="s">
        <v>293</v>
      </c>
      <c r="D61" s="116"/>
      <c r="E61" s="116"/>
      <c r="F61" s="116"/>
      <c r="G61" s="116"/>
      <c r="H61" s="116"/>
      <c r="I61" s="116"/>
      <c r="J61" s="116"/>
      <c r="K61" s="116"/>
      <c r="L61" s="116"/>
      <c r="M61" s="116"/>
      <c r="N61" s="116"/>
      <c r="O61" s="116"/>
      <c r="P61" s="116"/>
      <c r="Q61" s="116"/>
      <c r="R61" s="116"/>
      <c r="S61" s="116"/>
      <c r="T61" s="116"/>
      <c r="U61" s="116"/>
      <c r="V61" s="116"/>
      <c r="W61" s="116"/>
      <c r="X61" s="116"/>
      <c r="Y61" s="116"/>
      <c r="Z61" s="116"/>
      <c r="AA61" s="116"/>
      <c r="AB61" s="116"/>
      <c r="AC61" s="116"/>
      <c r="AD61" s="116"/>
      <c r="AE61" s="116"/>
      <c r="AF61" s="116"/>
      <c r="AG61" s="116"/>
      <c r="AH61" s="116"/>
      <c r="AI61" s="116"/>
      <c r="AJ61" s="116"/>
      <c r="AK61" s="116"/>
      <c r="AL61" s="116"/>
      <c r="AM61" s="116"/>
      <c r="AN61" s="116"/>
      <c r="AO61" s="116"/>
      <c r="AP61" s="116"/>
      <c r="AQ61" s="116"/>
      <c r="AR61" s="116"/>
      <c r="AS61" s="116"/>
      <c r="AT61" s="116"/>
      <c r="AU61" s="116"/>
      <c r="AV61" s="116"/>
      <c r="AW61" s="116"/>
      <c r="AX61" s="116"/>
      <c r="AY61" s="116"/>
    </row>
    <row r="62" spans="1:51" x14ac:dyDescent="0.2">
      <c r="A62" s="115"/>
      <c r="B62" s="126">
        <v>18</v>
      </c>
      <c r="C62" s="115" t="s">
        <v>293</v>
      </c>
      <c r="D62" s="116"/>
      <c r="E62" s="116"/>
      <c r="F62" s="116"/>
      <c r="G62" s="116"/>
      <c r="H62" s="116"/>
      <c r="I62" s="116"/>
      <c r="J62" s="116"/>
      <c r="K62" s="116"/>
      <c r="L62" s="116"/>
      <c r="M62" s="116"/>
      <c r="N62" s="116"/>
      <c r="O62" s="116"/>
      <c r="P62" s="116"/>
      <c r="Q62" s="116"/>
      <c r="R62" s="116"/>
      <c r="S62" s="116"/>
      <c r="T62" s="116"/>
      <c r="U62" s="116"/>
      <c r="V62" s="116"/>
      <c r="W62" s="116"/>
      <c r="X62" s="116"/>
      <c r="Y62" s="116"/>
      <c r="Z62" s="116"/>
      <c r="AA62" s="116"/>
      <c r="AB62" s="116"/>
      <c r="AC62" s="116"/>
      <c r="AD62" s="116"/>
      <c r="AE62" s="116"/>
      <c r="AF62" s="116"/>
      <c r="AG62" s="116"/>
      <c r="AH62" s="116"/>
      <c r="AI62" s="116"/>
      <c r="AJ62" s="116"/>
      <c r="AK62" s="116"/>
      <c r="AL62" s="116"/>
      <c r="AM62" s="116"/>
      <c r="AN62" s="116"/>
      <c r="AO62" s="116"/>
      <c r="AP62" s="116"/>
      <c r="AQ62" s="116"/>
      <c r="AR62" s="116"/>
      <c r="AS62" s="116"/>
      <c r="AT62" s="116"/>
      <c r="AU62" s="116"/>
      <c r="AV62" s="116"/>
      <c r="AW62" s="116"/>
      <c r="AX62" s="116"/>
      <c r="AY62" s="116"/>
    </row>
    <row r="63" spans="1:51" x14ac:dyDescent="0.2">
      <c r="A63" s="115"/>
      <c r="B63" s="126">
        <v>19</v>
      </c>
      <c r="C63" s="115" t="s">
        <v>293</v>
      </c>
      <c r="D63" s="116"/>
      <c r="E63" s="116"/>
      <c r="F63" s="116"/>
      <c r="G63" s="116"/>
      <c r="H63" s="116"/>
      <c r="I63" s="116"/>
      <c r="J63" s="116"/>
      <c r="K63" s="116"/>
      <c r="L63" s="116"/>
      <c r="M63" s="116"/>
      <c r="N63" s="116"/>
      <c r="O63" s="116"/>
      <c r="P63" s="116"/>
      <c r="Q63" s="116"/>
      <c r="R63" s="116"/>
      <c r="S63" s="116"/>
      <c r="T63" s="116"/>
      <c r="U63" s="116"/>
      <c r="V63" s="116"/>
      <c r="W63" s="116"/>
      <c r="X63" s="116"/>
      <c r="Y63" s="116"/>
      <c r="Z63" s="116"/>
      <c r="AA63" s="116"/>
      <c r="AB63" s="116"/>
      <c r="AC63" s="116"/>
      <c r="AD63" s="116"/>
      <c r="AE63" s="116"/>
      <c r="AF63" s="116"/>
      <c r="AG63" s="116"/>
      <c r="AH63" s="116"/>
      <c r="AI63" s="116"/>
      <c r="AJ63" s="116"/>
      <c r="AK63" s="116"/>
      <c r="AL63" s="116"/>
      <c r="AM63" s="116"/>
      <c r="AN63" s="116"/>
      <c r="AO63" s="116"/>
      <c r="AP63" s="116"/>
      <c r="AQ63" s="116"/>
      <c r="AR63" s="116"/>
      <c r="AS63" s="116"/>
      <c r="AT63" s="116"/>
      <c r="AU63" s="116"/>
      <c r="AV63" s="116"/>
      <c r="AW63" s="116"/>
      <c r="AX63" s="116"/>
      <c r="AY63" s="116"/>
    </row>
    <row r="64" spans="1:51" x14ac:dyDescent="0.2">
      <c r="A64" s="115"/>
      <c r="B64" s="126">
        <v>20</v>
      </c>
      <c r="C64" s="115" t="s">
        <v>293</v>
      </c>
      <c r="D64" s="116"/>
      <c r="E64" s="116"/>
      <c r="F64" s="116"/>
      <c r="G64" s="116"/>
      <c r="H64" s="116"/>
      <c r="I64" s="116"/>
      <c r="J64" s="116"/>
      <c r="K64" s="116"/>
      <c r="L64" s="116"/>
      <c r="M64" s="116"/>
      <c r="N64" s="116"/>
      <c r="O64" s="116"/>
      <c r="P64" s="116"/>
      <c r="Q64" s="116"/>
      <c r="R64" s="116"/>
      <c r="S64" s="116"/>
      <c r="T64" s="116"/>
      <c r="U64" s="116"/>
      <c r="V64" s="116"/>
      <c r="W64" s="116"/>
      <c r="X64" s="116"/>
      <c r="Y64" s="116"/>
      <c r="Z64" s="116"/>
      <c r="AA64" s="116"/>
      <c r="AB64" s="116"/>
      <c r="AC64" s="116"/>
      <c r="AD64" s="116"/>
      <c r="AE64" s="116"/>
      <c r="AF64" s="116"/>
      <c r="AG64" s="116"/>
      <c r="AH64" s="116"/>
      <c r="AI64" s="116"/>
      <c r="AJ64" s="116"/>
      <c r="AK64" s="116"/>
      <c r="AL64" s="116"/>
      <c r="AM64" s="116"/>
      <c r="AN64" s="116"/>
      <c r="AO64" s="116"/>
      <c r="AP64" s="116"/>
      <c r="AQ64" s="116"/>
      <c r="AR64" s="116"/>
      <c r="AS64" s="116"/>
      <c r="AT64" s="116"/>
      <c r="AU64" s="116"/>
      <c r="AV64" s="116"/>
      <c r="AW64" s="116"/>
      <c r="AX64" s="116"/>
      <c r="AY64" s="116"/>
    </row>
    <row r="65" spans="1:51" x14ac:dyDescent="0.2">
      <c r="A65" s="115"/>
      <c r="B65" s="126">
        <v>21</v>
      </c>
      <c r="C65" s="115" t="s">
        <v>293</v>
      </c>
      <c r="D65" s="116"/>
      <c r="E65" s="116"/>
      <c r="F65" s="116"/>
      <c r="G65" s="116"/>
      <c r="H65" s="116"/>
      <c r="I65" s="116"/>
      <c r="J65" s="116"/>
      <c r="K65" s="116"/>
      <c r="L65" s="116"/>
      <c r="M65" s="116"/>
      <c r="N65" s="116"/>
      <c r="O65" s="116"/>
      <c r="P65" s="116"/>
      <c r="Q65" s="116"/>
      <c r="R65" s="116"/>
      <c r="S65" s="116"/>
      <c r="T65" s="116"/>
      <c r="U65" s="116"/>
      <c r="V65" s="116"/>
      <c r="W65" s="116"/>
      <c r="X65" s="116"/>
      <c r="Y65" s="116"/>
      <c r="Z65" s="116"/>
      <c r="AA65" s="116"/>
      <c r="AB65" s="116"/>
      <c r="AC65" s="116"/>
      <c r="AD65" s="116"/>
      <c r="AE65" s="116"/>
      <c r="AF65" s="116"/>
      <c r="AG65" s="116"/>
      <c r="AH65" s="116"/>
      <c r="AI65" s="116"/>
      <c r="AJ65" s="116"/>
      <c r="AK65" s="116"/>
      <c r="AL65" s="116"/>
      <c r="AM65" s="116"/>
      <c r="AN65" s="116"/>
      <c r="AO65" s="116"/>
      <c r="AP65" s="116"/>
      <c r="AQ65" s="116"/>
      <c r="AR65" s="116"/>
      <c r="AS65" s="116"/>
      <c r="AT65" s="116"/>
      <c r="AU65" s="116"/>
      <c r="AV65" s="116"/>
      <c r="AW65" s="116"/>
      <c r="AX65" s="116"/>
      <c r="AY65" s="116"/>
    </row>
    <row r="66" spans="1:51" x14ac:dyDescent="0.2">
      <c r="A66" s="115"/>
      <c r="B66" s="126">
        <v>22</v>
      </c>
      <c r="C66" s="115" t="s">
        <v>293</v>
      </c>
      <c r="D66" s="116"/>
      <c r="E66" s="116"/>
      <c r="F66" s="116"/>
      <c r="G66" s="116"/>
      <c r="H66" s="116"/>
      <c r="I66" s="116"/>
      <c r="J66" s="116"/>
      <c r="K66" s="116"/>
      <c r="L66" s="116"/>
      <c r="M66" s="116"/>
      <c r="N66" s="116"/>
      <c r="O66" s="116"/>
      <c r="P66" s="116"/>
      <c r="Q66" s="116"/>
      <c r="R66" s="116"/>
      <c r="S66" s="116"/>
      <c r="T66" s="116"/>
      <c r="U66" s="116"/>
      <c r="V66" s="116"/>
      <c r="W66" s="116"/>
      <c r="X66" s="116"/>
      <c r="Y66" s="116"/>
      <c r="Z66" s="116"/>
      <c r="AA66" s="116"/>
      <c r="AB66" s="116"/>
      <c r="AC66" s="116"/>
      <c r="AD66" s="116"/>
      <c r="AE66" s="116"/>
      <c r="AF66" s="116"/>
      <c r="AG66" s="116"/>
      <c r="AH66" s="116"/>
      <c r="AI66" s="116"/>
      <c r="AJ66" s="116"/>
      <c r="AK66" s="116"/>
      <c r="AL66" s="116"/>
      <c r="AM66" s="116"/>
      <c r="AN66" s="116"/>
      <c r="AO66" s="116"/>
      <c r="AP66" s="116"/>
      <c r="AQ66" s="116"/>
      <c r="AR66" s="116"/>
      <c r="AS66" s="116"/>
      <c r="AT66" s="116"/>
      <c r="AU66" s="116"/>
      <c r="AV66" s="116"/>
      <c r="AW66" s="116"/>
      <c r="AX66" s="116"/>
      <c r="AY66" s="116"/>
    </row>
    <row r="67" spans="1:51" x14ac:dyDescent="0.2">
      <c r="A67" s="115"/>
      <c r="B67" s="126">
        <v>23</v>
      </c>
      <c r="C67" s="115" t="s">
        <v>293</v>
      </c>
      <c r="D67" s="116"/>
      <c r="E67" s="116"/>
      <c r="F67" s="116"/>
      <c r="G67" s="116"/>
      <c r="H67" s="116"/>
      <c r="I67" s="116"/>
      <c r="J67" s="116"/>
      <c r="K67" s="116"/>
      <c r="L67" s="116"/>
      <c r="M67" s="116"/>
      <c r="N67" s="116"/>
      <c r="O67" s="116"/>
      <c r="P67" s="116"/>
      <c r="Q67" s="116"/>
      <c r="R67" s="116"/>
      <c r="S67" s="116"/>
      <c r="T67" s="116"/>
      <c r="U67" s="116"/>
      <c r="V67" s="116"/>
      <c r="W67" s="116"/>
      <c r="X67" s="116"/>
      <c r="Y67" s="116"/>
      <c r="Z67" s="116"/>
      <c r="AA67" s="116"/>
      <c r="AB67" s="116"/>
      <c r="AC67" s="116"/>
      <c r="AD67" s="116"/>
      <c r="AE67" s="116"/>
      <c r="AF67" s="116"/>
      <c r="AG67" s="116"/>
      <c r="AH67" s="116"/>
      <c r="AI67" s="116"/>
      <c r="AJ67" s="116"/>
      <c r="AK67" s="116"/>
      <c r="AL67" s="116"/>
      <c r="AM67" s="116"/>
      <c r="AN67" s="116"/>
      <c r="AO67" s="116"/>
      <c r="AP67" s="116"/>
      <c r="AQ67" s="116"/>
      <c r="AR67" s="116"/>
      <c r="AS67" s="116"/>
      <c r="AT67" s="116"/>
      <c r="AU67" s="116"/>
      <c r="AV67" s="116"/>
      <c r="AW67" s="116"/>
      <c r="AX67" s="116"/>
      <c r="AY67" s="116"/>
    </row>
    <row r="68" spans="1:51" x14ac:dyDescent="0.2">
      <c r="A68" s="115"/>
      <c r="B68" s="126">
        <v>24</v>
      </c>
      <c r="C68" s="115" t="s">
        <v>293</v>
      </c>
      <c r="D68" s="116"/>
      <c r="E68" s="116"/>
      <c r="F68" s="116"/>
      <c r="G68" s="116"/>
      <c r="H68" s="116"/>
      <c r="I68" s="116"/>
      <c r="J68" s="116"/>
      <c r="K68" s="116"/>
      <c r="L68" s="116"/>
      <c r="M68" s="116"/>
      <c r="N68" s="116"/>
      <c r="O68" s="116"/>
      <c r="P68" s="116"/>
      <c r="Q68" s="116"/>
      <c r="R68" s="116"/>
      <c r="S68" s="116"/>
      <c r="T68" s="116"/>
      <c r="U68" s="116"/>
      <c r="V68" s="116"/>
      <c r="W68" s="116"/>
      <c r="X68" s="116"/>
      <c r="Y68" s="116"/>
      <c r="Z68" s="116"/>
      <c r="AA68" s="116"/>
      <c r="AB68" s="116"/>
      <c r="AC68" s="116"/>
      <c r="AD68" s="116"/>
      <c r="AE68" s="116"/>
      <c r="AF68" s="116"/>
      <c r="AG68" s="116"/>
      <c r="AH68" s="116"/>
      <c r="AI68" s="116"/>
      <c r="AJ68" s="116"/>
      <c r="AK68" s="116"/>
      <c r="AL68" s="116"/>
      <c r="AM68" s="116"/>
      <c r="AN68" s="116"/>
      <c r="AO68" s="116"/>
      <c r="AP68" s="116"/>
      <c r="AQ68" s="116"/>
      <c r="AR68" s="116"/>
      <c r="AS68" s="116"/>
      <c r="AT68" s="116"/>
      <c r="AU68" s="116"/>
      <c r="AV68" s="116"/>
      <c r="AW68" s="116"/>
      <c r="AX68" s="116"/>
      <c r="AY68" s="116"/>
    </row>
    <row r="69" spans="1:51" x14ac:dyDescent="0.2">
      <c r="A69" s="115"/>
      <c r="B69" s="133">
        <v>25</v>
      </c>
      <c r="C69" s="115" t="s">
        <v>293</v>
      </c>
      <c r="D69" s="116"/>
      <c r="E69" s="116"/>
      <c r="F69" s="116"/>
      <c r="G69" s="116"/>
      <c r="H69" s="116"/>
      <c r="I69" s="116"/>
      <c r="J69" s="116"/>
      <c r="K69" s="116"/>
      <c r="L69" s="116"/>
      <c r="M69" s="116"/>
      <c r="N69" s="116"/>
      <c r="O69" s="116"/>
      <c r="P69" s="116"/>
      <c r="Q69" s="116"/>
      <c r="R69" s="116"/>
      <c r="S69" s="116"/>
      <c r="T69" s="116"/>
      <c r="U69" s="116"/>
      <c r="V69" s="116"/>
      <c r="W69" s="116"/>
      <c r="X69" s="116"/>
      <c r="Y69" s="116"/>
      <c r="Z69" s="116"/>
      <c r="AA69" s="116"/>
      <c r="AB69" s="116"/>
      <c r="AC69" s="116"/>
      <c r="AD69" s="116"/>
      <c r="AE69" s="116"/>
      <c r="AF69" s="116"/>
      <c r="AG69" s="116"/>
      <c r="AH69" s="116"/>
      <c r="AI69" s="116"/>
      <c r="AJ69" s="116"/>
      <c r="AK69" s="116"/>
      <c r="AL69" s="116"/>
      <c r="AM69" s="116"/>
      <c r="AN69" s="116"/>
      <c r="AO69" s="116"/>
      <c r="AP69" s="116"/>
      <c r="AQ69" s="116"/>
      <c r="AR69" s="116"/>
      <c r="AS69" s="116"/>
      <c r="AT69" s="116"/>
      <c r="AU69" s="116"/>
      <c r="AV69" s="116"/>
      <c r="AW69" s="116"/>
      <c r="AX69" s="116"/>
      <c r="AY69" s="116"/>
    </row>
    <row r="70" spans="1:51" x14ac:dyDescent="0.2">
      <c r="A70" s="115"/>
      <c r="B70" s="133">
        <v>26</v>
      </c>
      <c r="C70" s="115" t="s">
        <v>293</v>
      </c>
      <c r="D70" s="116"/>
      <c r="E70" s="116"/>
      <c r="F70" s="116"/>
      <c r="G70" s="116"/>
      <c r="H70" s="116"/>
      <c r="I70" s="116"/>
      <c r="J70" s="116"/>
      <c r="K70" s="116"/>
      <c r="L70" s="116"/>
      <c r="M70" s="116"/>
      <c r="N70" s="116"/>
      <c r="O70" s="116"/>
      <c r="P70" s="116"/>
      <c r="Q70" s="116"/>
      <c r="R70" s="116"/>
      <c r="S70" s="116"/>
      <c r="T70" s="116"/>
      <c r="U70" s="116"/>
      <c r="V70" s="116"/>
      <c r="W70" s="116"/>
      <c r="X70" s="116"/>
      <c r="Y70" s="116"/>
      <c r="Z70" s="116"/>
      <c r="AA70" s="116"/>
      <c r="AB70" s="116"/>
      <c r="AC70" s="116"/>
      <c r="AD70" s="116"/>
      <c r="AE70" s="116"/>
      <c r="AF70" s="116"/>
      <c r="AG70" s="116"/>
      <c r="AH70" s="116"/>
      <c r="AI70" s="116"/>
      <c r="AJ70" s="116"/>
      <c r="AK70" s="116"/>
      <c r="AL70" s="116"/>
      <c r="AM70" s="116"/>
      <c r="AN70" s="116"/>
      <c r="AO70" s="116"/>
      <c r="AP70" s="116"/>
      <c r="AQ70" s="116"/>
      <c r="AR70" s="116"/>
      <c r="AS70" s="116"/>
      <c r="AT70" s="116"/>
      <c r="AU70" s="116"/>
      <c r="AV70" s="116"/>
      <c r="AW70" s="116"/>
      <c r="AX70" s="116"/>
      <c r="AY70" s="116"/>
    </row>
    <row r="71" spans="1:51" x14ac:dyDescent="0.2">
      <c r="A71" s="115"/>
      <c r="B71" s="133">
        <v>27</v>
      </c>
      <c r="C71" s="115" t="s">
        <v>293</v>
      </c>
      <c r="D71" s="116"/>
      <c r="E71" s="116"/>
      <c r="F71" s="116"/>
      <c r="G71" s="116"/>
      <c r="H71" s="116"/>
      <c r="I71" s="116"/>
      <c r="J71" s="116"/>
      <c r="K71" s="116"/>
      <c r="L71" s="116"/>
      <c r="M71" s="116"/>
      <c r="N71" s="116"/>
      <c r="O71" s="116"/>
      <c r="P71" s="116"/>
      <c r="Q71" s="116"/>
      <c r="R71" s="116"/>
      <c r="S71" s="116"/>
      <c r="T71" s="116"/>
      <c r="U71" s="116"/>
      <c r="V71" s="116"/>
      <c r="W71" s="116"/>
      <c r="X71" s="116"/>
      <c r="Y71" s="116"/>
      <c r="Z71" s="116"/>
      <c r="AA71" s="116"/>
      <c r="AB71" s="116"/>
      <c r="AC71" s="116"/>
      <c r="AD71" s="116"/>
      <c r="AE71" s="116"/>
      <c r="AF71" s="116"/>
      <c r="AG71" s="116"/>
      <c r="AH71" s="116"/>
      <c r="AI71" s="116"/>
      <c r="AJ71" s="116"/>
      <c r="AK71" s="116"/>
      <c r="AL71" s="116"/>
      <c r="AM71" s="116"/>
      <c r="AN71" s="116"/>
      <c r="AO71" s="116"/>
      <c r="AP71" s="116"/>
      <c r="AQ71" s="116"/>
      <c r="AR71" s="116"/>
      <c r="AS71" s="116"/>
      <c r="AT71" s="116"/>
      <c r="AU71" s="116"/>
      <c r="AV71" s="116"/>
      <c r="AW71" s="116"/>
      <c r="AX71" s="116"/>
      <c r="AY71" s="116"/>
    </row>
    <row r="72" spans="1:51" x14ac:dyDescent="0.2">
      <c r="A72" s="115"/>
      <c r="B72" s="133">
        <v>28</v>
      </c>
      <c r="C72" s="115" t="s">
        <v>293</v>
      </c>
      <c r="D72" s="116"/>
      <c r="E72" s="116"/>
      <c r="F72" s="116"/>
      <c r="G72" s="116"/>
      <c r="H72" s="116"/>
      <c r="I72" s="116"/>
      <c r="J72" s="116"/>
      <c r="K72" s="116"/>
      <c r="L72" s="116"/>
      <c r="M72" s="116"/>
      <c r="N72" s="116"/>
      <c r="O72" s="116"/>
      <c r="P72" s="116"/>
      <c r="Q72" s="116"/>
      <c r="R72" s="116"/>
      <c r="S72" s="116"/>
      <c r="T72" s="116"/>
      <c r="U72" s="116"/>
      <c r="V72" s="116"/>
      <c r="W72" s="116"/>
      <c r="X72" s="116"/>
      <c r="Y72" s="116"/>
      <c r="Z72" s="116"/>
      <c r="AA72" s="116"/>
      <c r="AB72" s="116"/>
      <c r="AC72" s="116"/>
      <c r="AD72" s="116"/>
      <c r="AE72" s="116"/>
      <c r="AF72" s="116"/>
      <c r="AG72" s="116"/>
      <c r="AH72" s="116"/>
      <c r="AI72" s="116"/>
      <c r="AJ72" s="116"/>
      <c r="AK72" s="116"/>
      <c r="AL72" s="116"/>
      <c r="AM72" s="116"/>
      <c r="AN72" s="116"/>
      <c r="AO72" s="116"/>
      <c r="AP72" s="116"/>
      <c r="AQ72" s="116"/>
      <c r="AR72" s="116"/>
      <c r="AS72" s="116"/>
      <c r="AT72" s="116"/>
      <c r="AU72" s="116"/>
      <c r="AV72" s="116"/>
      <c r="AW72" s="116"/>
      <c r="AX72" s="116"/>
      <c r="AY72" s="116"/>
    </row>
    <row r="73" spans="1:51" x14ac:dyDescent="0.2">
      <c r="A73" s="115"/>
      <c r="B73" s="133">
        <v>29</v>
      </c>
      <c r="C73" s="115" t="s">
        <v>293</v>
      </c>
      <c r="D73" s="116"/>
      <c r="E73" s="116"/>
      <c r="F73" s="116"/>
      <c r="G73" s="116"/>
      <c r="H73" s="116"/>
      <c r="I73" s="116"/>
      <c r="J73" s="116"/>
      <c r="K73" s="116"/>
      <c r="L73" s="116"/>
      <c r="M73" s="116"/>
      <c r="N73" s="116"/>
      <c r="O73" s="116"/>
      <c r="P73" s="116"/>
      <c r="Q73" s="116"/>
      <c r="R73" s="116"/>
      <c r="S73" s="116"/>
      <c r="T73" s="116"/>
      <c r="U73" s="116"/>
      <c r="V73" s="116"/>
      <c r="W73" s="116"/>
      <c r="X73" s="116"/>
      <c r="Y73" s="116"/>
      <c r="Z73" s="116"/>
      <c r="AA73" s="116"/>
      <c r="AB73" s="116"/>
      <c r="AC73" s="116"/>
      <c r="AD73" s="116"/>
      <c r="AE73" s="116"/>
      <c r="AF73" s="116"/>
      <c r="AG73" s="116"/>
      <c r="AH73" s="116"/>
      <c r="AI73" s="116"/>
      <c r="AJ73" s="116"/>
      <c r="AK73" s="116"/>
      <c r="AL73" s="116"/>
      <c r="AM73" s="116"/>
      <c r="AN73" s="116"/>
      <c r="AO73" s="116"/>
      <c r="AP73" s="116"/>
      <c r="AQ73" s="116"/>
      <c r="AR73" s="116"/>
      <c r="AS73" s="116"/>
      <c r="AT73" s="116"/>
      <c r="AU73" s="116"/>
      <c r="AV73" s="116"/>
      <c r="AW73" s="116"/>
      <c r="AX73" s="116"/>
      <c r="AY73" s="116"/>
    </row>
    <row r="74" spans="1:51" x14ac:dyDescent="0.2">
      <c r="A74" s="115"/>
      <c r="B74" s="133">
        <v>30</v>
      </c>
      <c r="C74" s="115" t="s">
        <v>293</v>
      </c>
      <c r="D74" s="116"/>
      <c r="E74" s="116"/>
      <c r="F74" s="116"/>
      <c r="G74" s="116"/>
      <c r="H74" s="116"/>
      <c r="I74" s="116"/>
      <c r="J74" s="116"/>
      <c r="K74" s="116"/>
      <c r="L74" s="116"/>
      <c r="M74" s="116"/>
      <c r="N74" s="116"/>
      <c r="O74" s="116"/>
      <c r="P74" s="116"/>
      <c r="Q74" s="116"/>
      <c r="R74" s="116"/>
      <c r="S74" s="116"/>
      <c r="T74" s="116"/>
      <c r="U74" s="116"/>
      <c r="V74" s="116"/>
      <c r="W74" s="116"/>
      <c r="X74" s="116"/>
      <c r="Y74" s="116"/>
      <c r="Z74" s="116"/>
      <c r="AA74" s="116"/>
      <c r="AB74" s="116"/>
      <c r="AC74" s="116"/>
      <c r="AD74" s="116"/>
      <c r="AE74" s="116"/>
      <c r="AF74" s="116"/>
      <c r="AG74" s="116"/>
      <c r="AH74" s="116"/>
      <c r="AI74" s="116"/>
      <c r="AJ74" s="116"/>
      <c r="AK74" s="116"/>
      <c r="AL74" s="116"/>
      <c r="AM74" s="116"/>
      <c r="AN74" s="116"/>
      <c r="AO74" s="116"/>
      <c r="AP74" s="116"/>
      <c r="AQ74" s="116"/>
      <c r="AR74" s="116"/>
      <c r="AS74" s="116"/>
      <c r="AT74" s="116"/>
      <c r="AU74" s="116"/>
      <c r="AV74" s="116"/>
      <c r="AW74" s="116"/>
      <c r="AX74" s="116"/>
      <c r="AY74" s="116"/>
    </row>
    <row r="75" spans="1:51" x14ac:dyDescent="0.2">
      <c r="A75" s="115"/>
      <c r="B75" s="133">
        <v>31</v>
      </c>
      <c r="C75" s="115" t="s">
        <v>293</v>
      </c>
      <c r="D75" s="116"/>
      <c r="E75" s="116"/>
      <c r="F75" s="116"/>
      <c r="G75" s="116"/>
      <c r="H75" s="116"/>
      <c r="I75" s="116"/>
      <c r="J75" s="116"/>
      <c r="K75" s="116"/>
      <c r="L75" s="116"/>
      <c r="M75" s="116"/>
      <c r="N75" s="116"/>
      <c r="O75" s="116"/>
      <c r="P75" s="116"/>
      <c r="Q75" s="116"/>
      <c r="R75" s="116"/>
      <c r="S75" s="116"/>
      <c r="T75" s="116"/>
      <c r="U75" s="116"/>
      <c r="V75" s="116"/>
      <c r="W75" s="116"/>
      <c r="X75" s="116"/>
      <c r="Y75" s="116"/>
      <c r="Z75" s="116"/>
      <c r="AA75" s="116"/>
      <c r="AB75" s="116"/>
      <c r="AC75" s="116"/>
      <c r="AD75" s="116"/>
      <c r="AE75" s="116"/>
      <c r="AF75" s="116"/>
      <c r="AG75" s="116"/>
      <c r="AH75" s="116"/>
      <c r="AI75" s="116"/>
      <c r="AJ75" s="116"/>
      <c r="AK75" s="116"/>
      <c r="AL75" s="116"/>
      <c r="AM75" s="116"/>
      <c r="AN75" s="116"/>
      <c r="AO75" s="116"/>
      <c r="AP75" s="116"/>
      <c r="AQ75" s="116"/>
      <c r="AR75" s="116"/>
      <c r="AS75" s="116"/>
      <c r="AT75" s="116"/>
      <c r="AU75" s="116"/>
      <c r="AV75" s="116"/>
      <c r="AW75" s="116"/>
      <c r="AX75" s="116"/>
      <c r="AY75" s="116"/>
    </row>
    <row r="76" spans="1:51" x14ac:dyDescent="0.2">
      <c r="A76" s="115"/>
      <c r="B76" s="133">
        <v>32</v>
      </c>
      <c r="C76" s="115" t="s">
        <v>293</v>
      </c>
      <c r="D76" s="116"/>
      <c r="E76" s="116"/>
      <c r="F76" s="116"/>
      <c r="G76" s="116"/>
      <c r="H76" s="116"/>
      <c r="I76" s="116"/>
      <c r="J76" s="116"/>
      <c r="K76" s="116"/>
      <c r="L76" s="116"/>
      <c r="M76" s="116"/>
      <c r="N76" s="116"/>
      <c r="O76" s="116"/>
      <c r="P76" s="116"/>
      <c r="Q76" s="116"/>
      <c r="R76" s="116"/>
      <c r="S76" s="116"/>
      <c r="T76" s="116"/>
      <c r="U76" s="116"/>
      <c r="V76" s="116"/>
      <c r="W76" s="116"/>
      <c r="X76" s="116"/>
      <c r="Y76" s="116"/>
      <c r="Z76" s="116"/>
      <c r="AA76" s="116"/>
      <c r="AB76" s="116"/>
      <c r="AC76" s="116"/>
      <c r="AD76" s="116"/>
      <c r="AE76" s="116"/>
      <c r="AF76" s="116"/>
      <c r="AG76" s="116"/>
      <c r="AH76" s="116"/>
      <c r="AI76" s="116"/>
      <c r="AJ76" s="116"/>
      <c r="AK76" s="116"/>
      <c r="AL76" s="116"/>
      <c r="AM76" s="116"/>
      <c r="AN76" s="116"/>
      <c r="AO76" s="116"/>
      <c r="AP76" s="116"/>
      <c r="AQ76" s="116"/>
      <c r="AR76" s="116"/>
      <c r="AS76" s="116"/>
      <c r="AT76" s="116"/>
      <c r="AU76" s="116"/>
      <c r="AV76" s="116"/>
      <c r="AW76" s="116"/>
      <c r="AX76" s="116"/>
      <c r="AY76" s="116"/>
    </row>
    <row r="77" spans="1:51" x14ac:dyDescent="0.2">
      <c r="A77" s="115"/>
      <c r="B77" s="133">
        <v>33</v>
      </c>
      <c r="C77" s="115" t="s">
        <v>293</v>
      </c>
      <c r="D77" s="116"/>
      <c r="E77" s="116"/>
      <c r="F77" s="116"/>
      <c r="G77" s="116"/>
      <c r="H77" s="116"/>
      <c r="I77" s="116"/>
      <c r="J77" s="116"/>
      <c r="K77" s="116"/>
      <c r="L77" s="116"/>
      <c r="M77" s="116"/>
      <c r="N77" s="116"/>
      <c r="O77" s="116"/>
      <c r="P77" s="116"/>
      <c r="Q77" s="116"/>
      <c r="R77" s="116"/>
      <c r="S77" s="116"/>
      <c r="T77" s="116"/>
      <c r="U77" s="116"/>
      <c r="V77" s="116"/>
      <c r="W77" s="116"/>
      <c r="X77" s="116"/>
      <c r="Y77" s="116"/>
      <c r="Z77" s="116"/>
      <c r="AA77" s="116"/>
      <c r="AB77" s="116"/>
      <c r="AC77" s="116"/>
      <c r="AD77" s="116"/>
      <c r="AE77" s="116"/>
      <c r="AF77" s="116"/>
      <c r="AG77" s="116"/>
      <c r="AH77" s="116"/>
      <c r="AI77" s="116"/>
      <c r="AJ77" s="116"/>
      <c r="AK77" s="116"/>
      <c r="AL77" s="116"/>
      <c r="AM77" s="116"/>
      <c r="AN77" s="116"/>
      <c r="AO77" s="116"/>
      <c r="AP77" s="116"/>
      <c r="AQ77" s="116"/>
      <c r="AR77" s="116"/>
      <c r="AS77" s="116"/>
      <c r="AT77" s="116"/>
      <c r="AU77" s="116"/>
      <c r="AV77" s="116"/>
      <c r="AW77" s="116"/>
      <c r="AX77" s="116"/>
      <c r="AY77" s="116"/>
    </row>
    <row r="78" spans="1:51" x14ac:dyDescent="0.2">
      <c r="A78" s="115"/>
      <c r="B78" s="133">
        <v>34</v>
      </c>
      <c r="C78" s="115" t="s">
        <v>293</v>
      </c>
      <c r="D78" s="116"/>
      <c r="E78" s="116"/>
      <c r="F78" s="116"/>
      <c r="G78" s="116"/>
      <c r="H78" s="116"/>
      <c r="I78" s="116"/>
      <c r="J78" s="116"/>
      <c r="K78" s="116"/>
      <c r="L78" s="116"/>
      <c r="M78" s="116"/>
      <c r="N78" s="116"/>
      <c r="O78" s="116"/>
      <c r="P78" s="116"/>
      <c r="Q78" s="116"/>
      <c r="R78" s="116"/>
      <c r="S78" s="116"/>
      <c r="T78" s="116"/>
      <c r="U78" s="116"/>
      <c r="V78" s="116"/>
      <c r="W78" s="116"/>
      <c r="X78" s="116"/>
      <c r="Y78" s="116"/>
      <c r="Z78" s="116"/>
      <c r="AA78" s="116"/>
      <c r="AB78" s="116"/>
      <c r="AC78" s="116"/>
      <c r="AD78" s="116"/>
      <c r="AE78" s="116"/>
      <c r="AF78" s="116"/>
      <c r="AG78" s="116"/>
      <c r="AH78" s="116"/>
      <c r="AI78" s="116"/>
      <c r="AJ78" s="116"/>
      <c r="AK78" s="116"/>
      <c r="AL78" s="116"/>
      <c r="AM78" s="116"/>
      <c r="AN78" s="116"/>
      <c r="AO78" s="116"/>
      <c r="AP78" s="116"/>
      <c r="AQ78" s="116"/>
      <c r="AR78" s="116"/>
      <c r="AS78" s="116"/>
      <c r="AT78" s="116"/>
      <c r="AU78" s="116"/>
      <c r="AV78" s="116"/>
      <c r="AW78" s="116"/>
      <c r="AX78" s="116"/>
      <c r="AY78" s="116"/>
    </row>
    <row r="79" spans="1:51" x14ac:dyDescent="0.2">
      <c r="A79" s="115"/>
      <c r="B79" s="133">
        <v>35</v>
      </c>
      <c r="C79" s="115" t="s">
        <v>293</v>
      </c>
      <c r="D79" s="116"/>
      <c r="E79" s="116"/>
      <c r="F79" s="116"/>
      <c r="G79" s="116"/>
      <c r="H79" s="116"/>
      <c r="I79" s="116"/>
      <c r="J79" s="116"/>
      <c r="K79" s="116"/>
      <c r="L79" s="116"/>
      <c r="M79" s="116"/>
      <c r="N79" s="116"/>
      <c r="O79" s="116"/>
      <c r="P79" s="116"/>
      <c r="Q79" s="116"/>
      <c r="R79" s="116"/>
      <c r="S79" s="116"/>
      <c r="T79" s="116"/>
      <c r="U79" s="116"/>
      <c r="V79" s="116"/>
      <c r="W79" s="116"/>
      <c r="X79" s="116"/>
      <c r="Y79" s="116"/>
      <c r="Z79" s="116"/>
      <c r="AA79" s="116"/>
      <c r="AB79" s="116"/>
      <c r="AC79" s="116"/>
      <c r="AD79" s="116"/>
      <c r="AE79" s="116"/>
      <c r="AF79" s="116"/>
      <c r="AG79" s="116"/>
      <c r="AH79" s="116"/>
      <c r="AI79" s="116"/>
      <c r="AJ79" s="116"/>
      <c r="AK79" s="116"/>
      <c r="AL79" s="116"/>
      <c r="AM79" s="116"/>
      <c r="AN79" s="116"/>
      <c r="AO79" s="116"/>
      <c r="AP79" s="116"/>
      <c r="AQ79" s="116"/>
      <c r="AR79" s="116"/>
      <c r="AS79" s="116"/>
      <c r="AT79" s="116"/>
      <c r="AU79" s="116"/>
      <c r="AV79" s="116"/>
      <c r="AW79" s="116"/>
      <c r="AX79" s="116"/>
      <c r="AY79" s="116"/>
    </row>
    <row r="80" spans="1:51" x14ac:dyDescent="0.2">
      <c r="A80" s="115"/>
      <c r="B80" s="133">
        <v>36</v>
      </c>
      <c r="C80" s="115" t="s">
        <v>293</v>
      </c>
      <c r="D80" s="116"/>
      <c r="E80" s="116"/>
      <c r="F80" s="116"/>
      <c r="G80" s="116"/>
      <c r="H80" s="116"/>
      <c r="I80" s="116"/>
      <c r="J80" s="116"/>
      <c r="K80" s="116"/>
      <c r="L80" s="116"/>
      <c r="M80" s="116"/>
      <c r="N80" s="116"/>
      <c r="O80" s="116"/>
      <c r="P80" s="116"/>
      <c r="Q80" s="116"/>
      <c r="R80" s="116"/>
      <c r="S80" s="116"/>
      <c r="T80" s="116"/>
      <c r="U80" s="116"/>
      <c r="V80" s="116"/>
      <c r="W80" s="116"/>
      <c r="X80" s="116"/>
      <c r="Y80" s="116"/>
      <c r="Z80" s="116"/>
      <c r="AA80" s="116"/>
      <c r="AB80" s="116"/>
      <c r="AC80" s="116"/>
      <c r="AD80" s="116"/>
      <c r="AE80" s="116"/>
      <c r="AF80" s="116"/>
      <c r="AG80" s="116"/>
      <c r="AH80" s="116"/>
      <c r="AI80" s="116"/>
      <c r="AJ80" s="116"/>
      <c r="AK80" s="116"/>
      <c r="AL80" s="116"/>
      <c r="AM80" s="116"/>
      <c r="AN80" s="116"/>
      <c r="AO80" s="116"/>
      <c r="AP80" s="116"/>
      <c r="AQ80" s="116"/>
      <c r="AR80" s="116"/>
      <c r="AS80" s="116"/>
      <c r="AT80" s="116"/>
      <c r="AU80" s="116"/>
      <c r="AV80" s="116"/>
      <c r="AW80" s="116"/>
      <c r="AX80" s="116"/>
      <c r="AY80" s="116"/>
    </row>
    <row r="81" spans="1:52" x14ac:dyDescent="0.2">
      <c r="A81" s="115"/>
      <c r="B81" s="136">
        <v>37</v>
      </c>
      <c r="C81" s="115" t="s">
        <v>293</v>
      </c>
      <c r="D81" s="116"/>
      <c r="E81" s="116"/>
      <c r="F81" s="116"/>
      <c r="G81" s="116"/>
      <c r="H81" s="116"/>
      <c r="I81" s="116"/>
      <c r="J81" s="116"/>
      <c r="K81" s="116"/>
      <c r="L81" s="116"/>
      <c r="M81" s="116"/>
      <c r="N81" s="116"/>
      <c r="O81" s="116"/>
      <c r="P81" s="116"/>
      <c r="Q81" s="116"/>
      <c r="R81" s="116"/>
      <c r="S81" s="116"/>
      <c r="T81" s="116"/>
      <c r="U81" s="116"/>
      <c r="V81" s="116"/>
      <c r="W81" s="116"/>
      <c r="X81" s="116"/>
      <c r="Y81" s="116"/>
      <c r="Z81" s="116"/>
      <c r="AA81" s="116"/>
      <c r="AB81" s="116"/>
      <c r="AC81" s="116"/>
      <c r="AD81" s="116"/>
      <c r="AE81" s="116"/>
      <c r="AF81" s="116"/>
      <c r="AG81" s="116"/>
      <c r="AH81" s="116"/>
      <c r="AI81" s="116"/>
      <c r="AJ81" s="116"/>
      <c r="AK81" s="116"/>
      <c r="AL81" s="116"/>
      <c r="AM81" s="116"/>
      <c r="AN81" s="116"/>
      <c r="AO81" s="116"/>
      <c r="AP81" s="116"/>
      <c r="AQ81" s="116"/>
      <c r="AR81" s="116"/>
      <c r="AS81" s="116"/>
      <c r="AT81" s="116"/>
      <c r="AU81" s="116"/>
      <c r="AV81" s="116"/>
      <c r="AW81" s="116"/>
      <c r="AX81" s="116"/>
      <c r="AY81" s="116"/>
    </row>
    <row r="82" spans="1:52" x14ac:dyDescent="0.2">
      <c r="A82" s="115"/>
      <c r="B82" s="136">
        <v>38</v>
      </c>
      <c r="C82" s="115" t="s">
        <v>293</v>
      </c>
      <c r="D82" s="116"/>
      <c r="E82" s="116"/>
      <c r="F82" s="116"/>
      <c r="G82" s="116"/>
      <c r="H82" s="116"/>
      <c r="I82" s="116"/>
      <c r="J82" s="116"/>
      <c r="K82" s="116"/>
      <c r="L82" s="116"/>
      <c r="M82" s="116"/>
      <c r="N82" s="116"/>
      <c r="O82" s="116"/>
      <c r="P82" s="116"/>
      <c r="Q82" s="116"/>
      <c r="R82" s="116"/>
      <c r="S82" s="116"/>
      <c r="T82" s="116"/>
      <c r="U82" s="116"/>
      <c r="V82" s="116"/>
      <c r="W82" s="116"/>
      <c r="X82" s="116"/>
      <c r="Y82" s="116"/>
      <c r="Z82" s="116"/>
      <c r="AA82" s="116"/>
      <c r="AB82" s="116"/>
      <c r="AC82" s="116"/>
      <c r="AD82" s="116"/>
      <c r="AE82" s="116"/>
      <c r="AF82" s="116"/>
      <c r="AG82" s="116"/>
      <c r="AH82" s="116"/>
      <c r="AI82" s="116"/>
      <c r="AJ82" s="116"/>
      <c r="AK82" s="116"/>
      <c r="AL82" s="116"/>
      <c r="AM82" s="116"/>
      <c r="AN82" s="116"/>
      <c r="AO82" s="116"/>
      <c r="AP82" s="116"/>
      <c r="AQ82" s="116"/>
      <c r="AR82" s="116"/>
      <c r="AS82" s="116"/>
      <c r="AT82" s="116"/>
      <c r="AU82" s="116"/>
      <c r="AV82" s="116"/>
      <c r="AW82" s="116"/>
      <c r="AX82" s="116"/>
      <c r="AY82" s="116"/>
    </row>
    <row r="83" spans="1:52" x14ac:dyDescent="0.2">
      <c r="A83" s="115"/>
      <c r="B83" s="136">
        <v>39</v>
      </c>
      <c r="C83" s="115" t="s">
        <v>293</v>
      </c>
      <c r="D83" s="116"/>
      <c r="E83" s="116"/>
      <c r="F83" s="116"/>
      <c r="G83" s="116"/>
      <c r="H83" s="116"/>
      <c r="I83" s="116"/>
      <c r="J83" s="116"/>
      <c r="K83" s="116"/>
      <c r="L83" s="116"/>
      <c r="M83" s="116"/>
      <c r="N83" s="116"/>
      <c r="O83" s="116"/>
      <c r="P83" s="116"/>
      <c r="Q83" s="116"/>
      <c r="R83" s="116"/>
      <c r="S83" s="116"/>
      <c r="T83" s="116"/>
      <c r="U83" s="116"/>
      <c r="V83" s="116"/>
      <c r="W83" s="116"/>
      <c r="X83" s="116"/>
      <c r="Y83" s="116"/>
      <c r="Z83" s="116"/>
      <c r="AA83" s="116"/>
      <c r="AB83" s="116"/>
      <c r="AC83" s="116"/>
      <c r="AD83" s="116"/>
      <c r="AE83" s="116"/>
      <c r="AF83" s="116"/>
      <c r="AG83" s="116"/>
      <c r="AH83" s="116"/>
      <c r="AI83" s="116"/>
      <c r="AJ83" s="116"/>
      <c r="AK83" s="116"/>
      <c r="AL83" s="116"/>
      <c r="AM83" s="116"/>
      <c r="AN83" s="116"/>
      <c r="AO83" s="116"/>
      <c r="AP83" s="116"/>
      <c r="AQ83" s="116"/>
      <c r="AR83" s="116"/>
      <c r="AS83" s="116"/>
      <c r="AT83" s="116"/>
      <c r="AU83" s="116"/>
      <c r="AV83" s="116"/>
      <c r="AW83" s="116"/>
      <c r="AX83" s="116"/>
      <c r="AY83" s="116"/>
    </row>
    <row r="84" spans="1:52" x14ac:dyDescent="0.2">
      <c r="A84" s="115"/>
      <c r="B84" s="136">
        <v>40</v>
      </c>
      <c r="C84" s="115" t="s">
        <v>293</v>
      </c>
      <c r="D84" s="116"/>
      <c r="E84" s="116"/>
      <c r="F84" s="116"/>
      <c r="G84" s="116"/>
      <c r="H84" s="116"/>
      <c r="I84" s="116"/>
      <c r="J84" s="116"/>
      <c r="K84" s="116"/>
      <c r="L84" s="116"/>
      <c r="M84" s="116"/>
      <c r="N84" s="116"/>
      <c r="O84" s="116"/>
      <c r="P84" s="116"/>
      <c r="Q84" s="116"/>
      <c r="R84" s="116"/>
      <c r="S84" s="116"/>
      <c r="T84" s="116"/>
      <c r="U84" s="116"/>
      <c r="V84" s="116"/>
      <c r="W84" s="116"/>
      <c r="X84" s="116"/>
      <c r="Y84" s="116"/>
      <c r="Z84" s="116"/>
      <c r="AA84" s="116"/>
      <c r="AB84" s="116"/>
      <c r="AC84" s="116"/>
      <c r="AD84" s="116"/>
      <c r="AE84" s="116"/>
      <c r="AF84" s="116"/>
      <c r="AG84" s="116"/>
      <c r="AH84" s="116"/>
      <c r="AI84" s="116"/>
      <c r="AJ84" s="116"/>
      <c r="AK84" s="116"/>
      <c r="AL84" s="116"/>
      <c r="AM84" s="116"/>
      <c r="AN84" s="116"/>
      <c r="AO84" s="116"/>
      <c r="AP84" s="116"/>
      <c r="AQ84" s="116"/>
      <c r="AR84" s="116"/>
      <c r="AS84" s="116"/>
      <c r="AT84" s="116"/>
      <c r="AU84" s="116"/>
      <c r="AV84" s="116"/>
      <c r="AW84" s="116"/>
      <c r="AX84" s="116"/>
      <c r="AY84" s="116"/>
    </row>
    <row r="85" spans="1:52" x14ac:dyDescent="0.2">
      <c r="A85" s="115"/>
      <c r="B85" s="136">
        <v>41</v>
      </c>
      <c r="C85" s="115" t="s">
        <v>293</v>
      </c>
      <c r="D85" s="116"/>
      <c r="E85" s="116"/>
      <c r="F85" s="116"/>
      <c r="G85" s="116"/>
      <c r="H85" s="116"/>
      <c r="I85" s="116"/>
      <c r="J85" s="116"/>
      <c r="K85" s="116"/>
      <c r="L85" s="116"/>
      <c r="M85" s="116"/>
      <c r="N85" s="116"/>
      <c r="O85" s="116"/>
      <c r="P85" s="116"/>
      <c r="Q85" s="116"/>
      <c r="R85" s="116"/>
      <c r="S85" s="116"/>
      <c r="T85" s="116"/>
      <c r="U85" s="116"/>
      <c r="V85" s="116"/>
      <c r="W85" s="116"/>
      <c r="X85" s="116"/>
      <c r="Y85" s="116"/>
      <c r="Z85" s="116"/>
      <c r="AA85" s="116"/>
      <c r="AB85" s="116"/>
      <c r="AC85" s="116"/>
      <c r="AD85" s="116"/>
      <c r="AE85" s="116"/>
      <c r="AF85" s="116"/>
      <c r="AG85" s="116"/>
      <c r="AH85" s="116"/>
      <c r="AI85" s="116"/>
      <c r="AJ85" s="116"/>
      <c r="AK85" s="116"/>
      <c r="AL85" s="116"/>
      <c r="AM85" s="116"/>
      <c r="AN85" s="116"/>
      <c r="AO85" s="116"/>
      <c r="AP85" s="116"/>
      <c r="AQ85" s="116"/>
      <c r="AR85" s="116"/>
      <c r="AS85" s="116"/>
      <c r="AT85" s="116"/>
      <c r="AU85" s="116"/>
      <c r="AV85" s="116"/>
      <c r="AW85" s="116"/>
      <c r="AX85" s="116"/>
      <c r="AY85" s="116"/>
    </row>
    <row r="86" spans="1:52" x14ac:dyDescent="0.2">
      <c r="A86" s="115"/>
      <c r="B86" s="136">
        <v>42</v>
      </c>
      <c r="C86" s="115" t="s">
        <v>293</v>
      </c>
      <c r="D86" s="116"/>
      <c r="E86" s="116"/>
      <c r="F86" s="116"/>
      <c r="G86" s="116"/>
      <c r="H86" s="116"/>
      <c r="I86" s="116"/>
      <c r="J86" s="116"/>
      <c r="K86" s="116"/>
      <c r="L86" s="116"/>
      <c r="M86" s="116"/>
      <c r="N86" s="116"/>
      <c r="O86" s="116"/>
      <c r="P86" s="116"/>
      <c r="Q86" s="116"/>
      <c r="R86" s="116"/>
      <c r="S86" s="116"/>
      <c r="T86" s="116"/>
      <c r="U86" s="116"/>
      <c r="V86" s="116"/>
      <c r="W86" s="116"/>
      <c r="X86" s="116"/>
      <c r="Y86" s="116"/>
      <c r="Z86" s="116"/>
      <c r="AA86" s="116"/>
      <c r="AB86" s="116"/>
      <c r="AC86" s="116"/>
      <c r="AD86" s="116"/>
      <c r="AE86" s="116"/>
      <c r="AF86" s="116"/>
      <c r="AG86" s="116"/>
      <c r="AH86" s="116"/>
      <c r="AI86" s="116"/>
      <c r="AJ86" s="116"/>
      <c r="AK86" s="116"/>
      <c r="AL86" s="116"/>
      <c r="AM86" s="116"/>
      <c r="AN86" s="116"/>
      <c r="AO86" s="116"/>
      <c r="AP86" s="116"/>
      <c r="AQ86" s="116"/>
      <c r="AR86" s="116"/>
      <c r="AS86" s="116"/>
      <c r="AT86" s="116"/>
      <c r="AU86" s="116"/>
      <c r="AV86" s="116"/>
      <c r="AW86" s="116"/>
      <c r="AX86" s="116"/>
      <c r="AY86" s="116"/>
    </row>
    <row r="87" spans="1:52" x14ac:dyDescent="0.2">
      <c r="A87" s="115"/>
      <c r="B87" s="136">
        <v>43</v>
      </c>
      <c r="C87" s="115" t="s">
        <v>293</v>
      </c>
      <c r="D87" s="116"/>
      <c r="E87" s="116"/>
      <c r="F87" s="116"/>
      <c r="G87" s="116"/>
      <c r="H87" s="116"/>
      <c r="I87" s="116"/>
      <c r="J87" s="116"/>
      <c r="K87" s="116"/>
      <c r="L87" s="116"/>
      <c r="M87" s="116"/>
      <c r="N87" s="116"/>
      <c r="O87" s="116"/>
      <c r="P87" s="116"/>
      <c r="Q87" s="116"/>
      <c r="R87" s="116"/>
      <c r="S87" s="116"/>
      <c r="T87" s="116"/>
      <c r="U87" s="116"/>
      <c r="V87" s="116"/>
      <c r="W87" s="116"/>
      <c r="X87" s="116"/>
      <c r="Y87" s="116"/>
      <c r="Z87" s="116"/>
      <c r="AA87" s="116"/>
      <c r="AB87" s="116"/>
      <c r="AC87" s="116"/>
      <c r="AD87" s="116"/>
      <c r="AE87" s="116"/>
      <c r="AF87" s="116"/>
      <c r="AG87" s="116"/>
      <c r="AH87" s="116"/>
      <c r="AI87" s="116"/>
      <c r="AJ87" s="116"/>
      <c r="AK87" s="116"/>
      <c r="AL87" s="116"/>
      <c r="AM87" s="116"/>
      <c r="AN87" s="116"/>
      <c r="AO87" s="116"/>
      <c r="AP87" s="116"/>
      <c r="AQ87" s="116"/>
      <c r="AR87" s="116"/>
      <c r="AS87" s="116"/>
      <c r="AT87" s="116"/>
      <c r="AU87" s="116"/>
      <c r="AV87" s="116"/>
      <c r="AW87" s="116"/>
      <c r="AX87" s="116"/>
      <c r="AY87" s="116"/>
    </row>
    <row r="88" spans="1:52" x14ac:dyDescent="0.2">
      <c r="A88" s="115"/>
      <c r="B88" s="136">
        <v>44</v>
      </c>
      <c r="C88" s="115" t="s">
        <v>293</v>
      </c>
      <c r="D88" s="116"/>
      <c r="E88" s="116"/>
      <c r="F88" s="116"/>
      <c r="G88" s="116"/>
      <c r="H88" s="116"/>
      <c r="I88" s="116"/>
      <c r="J88" s="116"/>
      <c r="K88" s="116"/>
      <c r="L88" s="116"/>
      <c r="M88" s="116"/>
      <c r="N88" s="116"/>
      <c r="O88" s="116"/>
      <c r="P88" s="116"/>
      <c r="Q88" s="116"/>
      <c r="R88" s="116"/>
      <c r="S88" s="116"/>
      <c r="T88" s="116"/>
      <c r="U88" s="116"/>
      <c r="V88" s="116"/>
      <c r="W88" s="116"/>
      <c r="X88" s="116"/>
      <c r="Y88" s="116"/>
      <c r="Z88" s="116"/>
      <c r="AA88" s="116"/>
      <c r="AB88" s="116"/>
      <c r="AC88" s="116"/>
      <c r="AD88" s="116"/>
      <c r="AE88" s="116"/>
      <c r="AF88" s="116"/>
      <c r="AG88" s="116"/>
      <c r="AH88" s="116"/>
      <c r="AI88" s="116"/>
      <c r="AJ88" s="116"/>
      <c r="AK88" s="116"/>
      <c r="AL88" s="116"/>
      <c r="AM88" s="116"/>
      <c r="AN88" s="116"/>
      <c r="AO88" s="116"/>
      <c r="AP88" s="116"/>
      <c r="AQ88" s="116"/>
      <c r="AR88" s="116"/>
      <c r="AS88" s="116"/>
      <c r="AT88" s="116"/>
      <c r="AU88" s="116"/>
      <c r="AV88" s="116"/>
      <c r="AW88" s="116"/>
      <c r="AX88" s="116"/>
      <c r="AY88" s="116"/>
    </row>
    <row r="89" spans="1:52" x14ac:dyDescent="0.2">
      <c r="A89" s="115"/>
      <c r="B89" s="136">
        <v>45</v>
      </c>
      <c r="C89" s="115" t="s">
        <v>293</v>
      </c>
      <c r="D89" s="116"/>
      <c r="E89" s="116"/>
      <c r="F89" s="116"/>
      <c r="G89" s="116"/>
      <c r="H89" s="116"/>
      <c r="I89" s="116"/>
      <c r="J89" s="116"/>
      <c r="K89" s="116"/>
      <c r="L89" s="116"/>
      <c r="M89" s="116"/>
      <c r="N89" s="116"/>
      <c r="O89" s="116"/>
      <c r="P89" s="116"/>
      <c r="Q89" s="116"/>
      <c r="R89" s="116"/>
      <c r="S89" s="116"/>
      <c r="T89" s="116"/>
      <c r="U89" s="116"/>
      <c r="V89" s="116"/>
      <c r="W89" s="116"/>
      <c r="X89" s="116"/>
      <c r="Y89" s="116"/>
      <c r="Z89" s="116"/>
      <c r="AA89" s="116"/>
      <c r="AB89" s="116"/>
      <c r="AC89" s="116"/>
      <c r="AD89" s="116"/>
      <c r="AE89" s="116"/>
      <c r="AF89" s="116"/>
      <c r="AG89" s="116"/>
      <c r="AH89" s="116"/>
      <c r="AI89" s="116"/>
      <c r="AJ89" s="116"/>
      <c r="AK89" s="116"/>
      <c r="AL89" s="116"/>
      <c r="AM89" s="116"/>
      <c r="AN89" s="116"/>
      <c r="AO89" s="116"/>
      <c r="AP89" s="116"/>
      <c r="AQ89" s="116"/>
      <c r="AR89" s="116"/>
      <c r="AS89" s="116"/>
      <c r="AT89" s="116"/>
      <c r="AU89" s="116"/>
      <c r="AV89" s="116"/>
      <c r="AW89" s="116"/>
      <c r="AX89" s="116"/>
      <c r="AY89" s="116"/>
    </row>
    <row r="90" spans="1:52" x14ac:dyDescent="0.2">
      <c r="A90" s="115"/>
      <c r="B90" s="136">
        <v>46</v>
      </c>
      <c r="C90" s="115" t="s">
        <v>293</v>
      </c>
      <c r="D90" s="116"/>
      <c r="E90" s="116"/>
      <c r="F90" s="116"/>
      <c r="G90" s="116"/>
      <c r="H90" s="116"/>
      <c r="I90" s="116"/>
      <c r="J90" s="116"/>
      <c r="K90" s="116"/>
      <c r="L90" s="116"/>
      <c r="M90" s="116"/>
      <c r="N90" s="116"/>
      <c r="O90" s="116"/>
      <c r="P90" s="116"/>
      <c r="Q90" s="116"/>
      <c r="R90" s="116"/>
      <c r="S90" s="116"/>
      <c r="T90" s="116"/>
      <c r="U90" s="116"/>
      <c r="V90" s="116"/>
      <c r="W90" s="116"/>
      <c r="X90" s="116"/>
      <c r="Y90" s="116"/>
      <c r="Z90" s="116"/>
      <c r="AA90" s="116"/>
      <c r="AB90" s="116"/>
      <c r="AC90" s="116"/>
      <c r="AD90" s="116"/>
      <c r="AE90" s="116"/>
      <c r="AF90" s="116"/>
      <c r="AG90" s="116"/>
      <c r="AH90" s="116"/>
      <c r="AI90" s="116"/>
      <c r="AJ90" s="116"/>
      <c r="AK90" s="116"/>
      <c r="AL90" s="116"/>
      <c r="AM90" s="116"/>
      <c r="AN90" s="116"/>
      <c r="AO90" s="116"/>
      <c r="AP90" s="116"/>
      <c r="AQ90" s="116"/>
      <c r="AR90" s="116"/>
      <c r="AS90" s="116"/>
      <c r="AT90" s="116"/>
      <c r="AU90" s="116"/>
      <c r="AV90" s="116"/>
      <c r="AW90" s="116"/>
      <c r="AX90" s="116"/>
      <c r="AY90" s="116"/>
    </row>
    <row r="91" spans="1:52" x14ac:dyDescent="0.2">
      <c r="A91" s="115"/>
      <c r="B91" s="136">
        <v>47</v>
      </c>
      <c r="C91" s="115" t="s">
        <v>293</v>
      </c>
      <c r="D91" s="116"/>
      <c r="E91" s="116"/>
      <c r="F91" s="116"/>
      <c r="G91" s="116"/>
      <c r="H91" s="116"/>
      <c r="I91" s="116"/>
      <c r="J91" s="116"/>
      <c r="K91" s="116"/>
      <c r="L91" s="116"/>
      <c r="M91" s="116"/>
      <c r="N91" s="116"/>
      <c r="O91" s="116"/>
      <c r="P91" s="116"/>
      <c r="Q91" s="116"/>
      <c r="R91" s="116"/>
      <c r="S91" s="116"/>
      <c r="T91" s="116"/>
      <c r="U91" s="116"/>
      <c r="V91" s="116"/>
      <c r="W91" s="116"/>
      <c r="X91" s="116"/>
      <c r="Y91" s="116"/>
      <c r="Z91" s="116"/>
      <c r="AA91" s="116"/>
      <c r="AB91" s="116"/>
      <c r="AC91" s="116"/>
      <c r="AD91" s="116"/>
      <c r="AE91" s="116"/>
      <c r="AF91" s="116"/>
      <c r="AG91" s="116"/>
      <c r="AH91" s="116"/>
      <c r="AI91" s="116"/>
      <c r="AJ91" s="116"/>
      <c r="AK91" s="116"/>
      <c r="AL91" s="116"/>
      <c r="AM91" s="116"/>
      <c r="AN91" s="116"/>
      <c r="AO91" s="116"/>
      <c r="AP91" s="116"/>
      <c r="AQ91" s="116"/>
      <c r="AR91" s="116"/>
      <c r="AS91" s="116"/>
      <c r="AT91" s="116"/>
      <c r="AU91" s="116"/>
      <c r="AV91" s="116"/>
      <c r="AW91" s="116"/>
      <c r="AX91" s="116"/>
      <c r="AY91" s="116"/>
    </row>
    <row r="92" spans="1:52" x14ac:dyDescent="0.2">
      <c r="A92" s="134"/>
      <c r="B92" s="135">
        <v>48</v>
      </c>
      <c r="C92" s="134" t="s">
        <v>293</v>
      </c>
      <c r="D92" s="131">
        <v>0</v>
      </c>
      <c r="E92" s="131">
        <v>0</v>
      </c>
      <c r="F92" s="131">
        <v>0</v>
      </c>
      <c r="G92" s="131">
        <v>0</v>
      </c>
      <c r="H92" s="131">
        <v>0</v>
      </c>
      <c r="I92" s="131">
        <v>0</v>
      </c>
      <c r="J92" s="131">
        <v>0</v>
      </c>
      <c r="K92" s="131">
        <v>0</v>
      </c>
      <c r="L92" s="131">
        <v>0</v>
      </c>
      <c r="M92" s="131">
        <v>0</v>
      </c>
      <c r="N92" s="131">
        <v>0</v>
      </c>
      <c r="O92" s="131">
        <v>0</v>
      </c>
      <c r="P92" s="131">
        <v>0</v>
      </c>
      <c r="Q92" s="131">
        <v>0</v>
      </c>
      <c r="R92" s="131">
        <v>0</v>
      </c>
      <c r="S92" s="131">
        <v>0</v>
      </c>
      <c r="T92" s="131">
        <v>0</v>
      </c>
      <c r="U92" s="131">
        <v>0</v>
      </c>
      <c r="V92" s="131">
        <v>0</v>
      </c>
      <c r="W92" s="131">
        <v>0</v>
      </c>
      <c r="X92" s="131">
        <v>0</v>
      </c>
      <c r="Y92" s="131">
        <v>0</v>
      </c>
      <c r="Z92" s="131">
        <v>0</v>
      </c>
      <c r="AA92" s="131">
        <v>0</v>
      </c>
      <c r="AB92" s="131">
        <v>0</v>
      </c>
      <c r="AC92" s="131">
        <v>0</v>
      </c>
      <c r="AD92" s="131">
        <v>0</v>
      </c>
      <c r="AE92" s="131">
        <v>0</v>
      </c>
      <c r="AF92" s="131">
        <v>0</v>
      </c>
      <c r="AG92" s="131">
        <v>0</v>
      </c>
      <c r="AH92" s="131">
        <v>0</v>
      </c>
      <c r="AI92" s="131">
        <v>0</v>
      </c>
      <c r="AJ92" s="131">
        <v>0</v>
      </c>
      <c r="AK92" s="131">
        <v>0</v>
      </c>
      <c r="AL92" s="131">
        <v>0</v>
      </c>
      <c r="AM92" s="131">
        <v>0</v>
      </c>
      <c r="AN92" s="131">
        <v>0</v>
      </c>
      <c r="AO92" s="131">
        <v>0</v>
      </c>
      <c r="AP92" s="131">
        <v>0</v>
      </c>
      <c r="AQ92" s="131">
        <v>0</v>
      </c>
      <c r="AR92" s="131">
        <v>0</v>
      </c>
      <c r="AS92" s="131">
        <v>0</v>
      </c>
      <c r="AT92" s="131">
        <v>0</v>
      </c>
      <c r="AU92" s="131">
        <v>0</v>
      </c>
      <c r="AV92" s="131">
        <v>0</v>
      </c>
      <c r="AW92" s="131">
        <v>0</v>
      </c>
      <c r="AX92" s="131">
        <v>0</v>
      </c>
      <c r="AY92" s="131">
        <v>0</v>
      </c>
      <c r="AZ92" s="113">
        <f>SUM(D21:AY92)</f>
        <v>1392.8899259818445</v>
      </c>
    </row>
    <row r="94" spans="1:52" x14ac:dyDescent="0.2">
      <c r="A94" s="108" t="s">
        <v>295</v>
      </c>
      <c r="B94" s="112"/>
      <c r="C94" s="112"/>
      <c r="D94" s="120"/>
      <c r="E94" s="120"/>
      <c r="F94" s="120"/>
      <c r="G94" s="120"/>
      <c r="H94" s="120"/>
      <c r="I94" s="120"/>
      <c r="J94" s="120"/>
      <c r="K94" s="120"/>
      <c r="L94" s="120"/>
      <c r="M94" s="120"/>
      <c r="N94" s="120"/>
      <c r="O94" s="120"/>
      <c r="P94" s="120"/>
      <c r="Q94" s="120"/>
      <c r="R94" s="120"/>
      <c r="S94" s="120"/>
      <c r="T94" s="120"/>
      <c r="U94" s="120"/>
      <c r="V94" s="120"/>
      <c r="W94" s="120"/>
      <c r="X94" s="120"/>
      <c r="Y94" s="120"/>
      <c r="Z94" s="120"/>
      <c r="AA94" s="120"/>
      <c r="AB94" s="120"/>
      <c r="AC94" s="120"/>
      <c r="AD94" s="120"/>
      <c r="AE94" s="120"/>
      <c r="AF94" s="120"/>
      <c r="AG94" s="120"/>
      <c r="AH94" s="120"/>
      <c r="AI94" s="120"/>
      <c r="AJ94" s="120"/>
      <c r="AK94" s="120"/>
      <c r="AL94" s="120"/>
      <c r="AM94" s="120"/>
      <c r="AN94" s="120"/>
      <c r="AO94" s="120"/>
      <c r="AP94" s="120"/>
      <c r="AQ94" s="120"/>
      <c r="AR94" s="120"/>
      <c r="AS94" s="120"/>
      <c r="AT94" s="120"/>
      <c r="AU94" s="120"/>
      <c r="AV94" s="120"/>
      <c r="AW94" s="120"/>
      <c r="AX94" s="120"/>
      <c r="AY94" s="120"/>
    </row>
    <row r="95" spans="1:52" x14ac:dyDescent="0.2">
      <c r="A95" s="132" t="s">
        <v>125</v>
      </c>
      <c r="B95" s="129">
        <v>1</v>
      </c>
      <c r="C95" s="130">
        <v>1214.455547374944</v>
      </c>
      <c r="D95" s="116">
        <v>585.14163583560912</v>
      </c>
      <c r="E95" s="116">
        <v>585.14163583560912</v>
      </c>
      <c r="F95" s="116">
        <v>585.14163583560912</v>
      </c>
      <c r="G95" s="116">
        <v>585.14163583560912</v>
      </c>
      <c r="H95" s="116">
        <v>813.15962221578798</v>
      </c>
      <c r="I95" s="116">
        <v>813.15962221578798</v>
      </c>
      <c r="J95" s="116">
        <v>813.15962221578798</v>
      </c>
      <c r="K95" s="116">
        <v>813.15962221578798</v>
      </c>
      <c r="L95" s="116">
        <v>653.64867759881599</v>
      </c>
      <c r="M95" s="116">
        <v>653.64867759881599</v>
      </c>
      <c r="N95" s="116">
        <v>653.64867759881599</v>
      </c>
      <c r="O95" s="116">
        <v>653.64867759881599</v>
      </c>
      <c r="P95" s="116">
        <v>696.45355119003716</v>
      </c>
      <c r="Q95" s="116">
        <v>696.45355119003716</v>
      </c>
      <c r="R95" s="116">
        <v>696.45355119003716</v>
      </c>
      <c r="S95" s="116">
        <v>696.45355119003716</v>
      </c>
      <c r="T95" s="116">
        <v>1131.4346034233529</v>
      </c>
      <c r="U95" s="116">
        <v>1131.4346034233529</v>
      </c>
      <c r="V95" s="116">
        <v>1131.4346034233529</v>
      </c>
      <c r="W95" s="116">
        <v>1131.4346034233529</v>
      </c>
      <c r="X95" s="116">
        <v>532.14698422834556</v>
      </c>
      <c r="Y95" s="116">
        <v>532.14698422834556</v>
      </c>
      <c r="Z95" s="116">
        <v>532.14698422834556</v>
      </c>
      <c r="AA95" s="116">
        <v>532.14698422834556</v>
      </c>
      <c r="AB95" s="116">
        <v>513.59645218649223</v>
      </c>
      <c r="AC95" s="116">
        <v>513.59645218649223</v>
      </c>
      <c r="AD95" s="116">
        <v>513.59645218649223</v>
      </c>
      <c r="AE95" s="116">
        <v>513.59645218649223</v>
      </c>
      <c r="AF95" s="116">
        <v>654.95920431108527</v>
      </c>
      <c r="AG95" s="116">
        <v>654.95920431108527</v>
      </c>
      <c r="AH95" s="116">
        <v>654.95920431108527</v>
      </c>
      <c r="AI95" s="116">
        <v>654.95920431108527</v>
      </c>
      <c r="AJ95" s="116">
        <v>592.20502766719324</v>
      </c>
      <c r="AK95" s="116">
        <v>592.20502766719324</v>
      </c>
      <c r="AL95" s="116">
        <v>592.20502766719324</v>
      </c>
      <c r="AM95" s="116">
        <v>592.20502766719324</v>
      </c>
      <c r="AN95" s="116">
        <v>1188.0788852555102</v>
      </c>
      <c r="AO95" s="116">
        <v>1188.0788852555102</v>
      </c>
      <c r="AP95" s="116">
        <v>1188.0788852555102</v>
      </c>
      <c r="AQ95" s="116">
        <v>1188.0788852555102</v>
      </c>
      <c r="AR95" s="116">
        <v>691.91934681116049</v>
      </c>
      <c r="AS95" s="116">
        <v>691.91934681116049</v>
      </c>
      <c r="AT95" s="116">
        <v>691.91934681116049</v>
      </c>
      <c r="AU95" s="116">
        <v>691.91934681116049</v>
      </c>
      <c r="AV95" s="116">
        <v>430.17386473567547</v>
      </c>
      <c r="AW95" s="116">
        <v>430.17386473567547</v>
      </c>
      <c r="AX95" s="116">
        <v>430.17386473567547</v>
      </c>
      <c r="AY95" s="116">
        <v>430.17386473567547</v>
      </c>
    </row>
    <row r="96" spans="1:52" x14ac:dyDescent="0.2">
      <c r="A96" s="115"/>
      <c r="B96" s="126">
        <v>2</v>
      </c>
      <c r="C96" s="116">
        <v>1214.455547374944</v>
      </c>
      <c r="D96" s="116">
        <v>1214.455547374944</v>
      </c>
      <c r="E96" s="116">
        <v>585.14163583560912</v>
      </c>
      <c r="F96" s="116">
        <v>585.14163583560912</v>
      </c>
      <c r="G96" s="116">
        <v>585.14163583560912</v>
      </c>
      <c r="H96" s="116">
        <v>585.14163583560912</v>
      </c>
      <c r="I96" s="116">
        <v>813.15962221578798</v>
      </c>
      <c r="J96" s="116">
        <v>813.15962221578798</v>
      </c>
      <c r="K96" s="116">
        <v>813.15962221578798</v>
      </c>
      <c r="L96" s="116">
        <v>813.15962221578798</v>
      </c>
      <c r="M96" s="116">
        <v>653.64867759881599</v>
      </c>
      <c r="N96" s="116">
        <v>653.64867759881599</v>
      </c>
      <c r="O96" s="116">
        <v>653.64867759881599</v>
      </c>
      <c r="P96" s="116">
        <v>653.64867759881599</v>
      </c>
      <c r="Q96" s="116">
        <v>696.45355119003716</v>
      </c>
      <c r="R96" s="116">
        <v>696.45355119003716</v>
      </c>
      <c r="S96" s="116">
        <v>696.45355119003716</v>
      </c>
      <c r="T96" s="116">
        <v>696.45355119003716</v>
      </c>
      <c r="U96" s="116">
        <v>1131.4346034233529</v>
      </c>
      <c r="V96" s="116">
        <v>1131.4346034233529</v>
      </c>
      <c r="W96" s="116">
        <v>1131.4346034233529</v>
      </c>
      <c r="X96" s="116">
        <v>1131.4346034233529</v>
      </c>
      <c r="Y96" s="116">
        <v>532.14698422834556</v>
      </c>
      <c r="Z96" s="116">
        <v>532.14698422834556</v>
      </c>
      <c r="AA96" s="116">
        <v>532.14698422834556</v>
      </c>
      <c r="AB96" s="116">
        <v>532.14698422834556</v>
      </c>
      <c r="AC96" s="116">
        <v>513.59645218649223</v>
      </c>
      <c r="AD96" s="116">
        <v>513.59645218649223</v>
      </c>
      <c r="AE96" s="116">
        <v>513.59645218649223</v>
      </c>
      <c r="AF96" s="116">
        <v>513.59645218649223</v>
      </c>
      <c r="AG96" s="116">
        <v>654.95920431108527</v>
      </c>
      <c r="AH96" s="116">
        <v>654.95920431108527</v>
      </c>
      <c r="AI96" s="116">
        <v>654.95920431108527</v>
      </c>
      <c r="AJ96" s="116">
        <v>654.95920431108527</v>
      </c>
      <c r="AK96" s="116">
        <v>592.20502766719324</v>
      </c>
      <c r="AL96" s="116">
        <v>592.20502766719324</v>
      </c>
      <c r="AM96" s="116">
        <v>592.20502766719324</v>
      </c>
      <c r="AN96" s="116">
        <v>592.20502766719324</v>
      </c>
      <c r="AO96" s="116">
        <v>1188.0788852555102</v>
      </c>
      <c r="AP96" s="116">
        <v>1188.0788852555102</v>
      </c>
      <c r="AQ96" s="116">
        <v>1188.0788852555102</v>
      </c>
      <c r="AR96" s="116">
        <v>1188.0788852555102</v>
      </c>
      <c r="AS96" s="116">
        <v>691.91934681116049</v>
      </c>
      <c r="AT96" s="116">
        <v>691.91934681116049</v>
      </c>
      <c r="AU96" s="116">
        <v>691.91934681116049</v>
      </c>
      <c r="AV96" s="116">
        <v>691.91934681116049</v>
      </c>
      <c r="AW96" s="116">
        <v>430.17386473567547</v>
      </c>
      <c r="AX96" s="116">
        <v>430.17386473567547</v>
      </c>
      <c r="AY96" s="116">
        <v>430.17386473567547</v>
      </c>
    </row>
    <row r="97" spans="1:52" x14ac:dyDescent="0.2">
      <c r="A97" s="115"/>
      <c r="B97" s="133">
        <v>3</v>
      </c>
      <c r="C97" s="116">
        <v>1214.455547374944</v>
      </c>
      <c r="D97" s="116">
        <v>1214.455547374944</v>
      </c>
      <c r="E97" s="116">
        <v>1214.455547374944</v>
      </c>
      <c r="F97" s="116">
        <v>585.14163583560912</v>
      </c>
      <c r="G97" s="116">
        <v>585.14163583560912</v>
      </c>
      <c r="H97" s="116">
        <v>585.14163583560912</v>
      </c>
      <c r="I97" s="116">
        <v>585.14163583560912</v>
      </c>
      <c r="J97" s="116">
        <v>813.15962221578798</v>
      </c>
      <c r="K97" s="116">
        <v>813.15962221578798</v>
      </c>
      <c r="L97" s="116">
        <v>813.15962221578798</v>
      </c>
      <c r="M97" s="116">
        <v>813.15962221578798</v>
      </c>
      <c r="N97" s="116">
        <v>653.64867759881599</v>
      </c>
      <c r="O97" s="116">
        <v>653.64867759881599</v>
      </c>
      <c r="P97" s="116">
        <v>653.64867759881599</v>
      </c>
      <c r="Q97" s="116">
        <v>653.64867759881599</v>
      </c>
      <c r="R97" s="116">
        <v>696.45355119003716</v>
      </c>
      <c r="S97" s="116">
        <v>696.45355119003716</v>
      </c>
      <c r="T97" s="116">
        <v>696.45355119003716</v>
      </c>
      <c r="U97" s="116">
        <v>696.45355119003716</v>
      </c>
      <c r="V97" s="116">
        <v>1131.4346034233529</v>
      </c>
      <c r="W97" s="116">
        <v>1131.4346034233529</v>
      </c>
      <c r="X97" s="116">
        <v>1131.4346034233529</v>
      </c>
      <c r="Y97" s="116">
        <v>1131.4346034233529</v>
      </c>
      <c r="Z97" s="116">
        <v>532.14698422834556</v>
      </c>
      <c r="AA97" s="116">
        <v>532.14698422834556</v>
      </c>
      <c r="AB97" s="116">
        <v>532.14698422834556</v>
      </c>
      <c r="AC97" s="116">
        <v>532.14698422834556</v>
      </c>
      <c r="AD97" s="116">
        <v>513.59645218649223</v>
      </c>
      <c r="AE97" s="116">
        <v>513.59645218649223</v>
      </c>
      <c r="AF97" s="116">
        <v>513.59645218649223</v>
      </c>
      <c r="AG97" s="116">
        <v>513.59645218649223</v>
      </c>
      <c r="AH97" s="116">
        <v>654.95920431108527</v>
      </c>
      <c r="AI97" s="116">
        <v>654.95920431108527</v>
      </c>
      <c r="AJ97" s="116">
        <v>654.95920431108527</v>
      </c>
      <c r="AK97" s="116">
        <v>654.95920431108527</v>
      </c>
      <c r="AL97" s="116">
        <v>592.20502766719324</v>
      </c>
      <c r="AM97" s="116">
        <v>592.20502766719324</v>
      </c>
      <c r="AN97" s="116">
        <v>592.20502766719324</v>
      </c>
      <c r="AO97" s="116">
        <v>592.20502766719324</v>
      </c>
      <c r="AP97" s="116">
        <v>1188.0788852555102</v>
      </c>
      <c r="AQ97" s="116">
        <v>1188.0788852555102</v>
      </c>
      <c r="AR97" s="116">
        <v>1188.0788852555102</v>
      </c>
      <c r="AS97" s="116">
        <v>1188.0788852555102</v>
      </c>
      <c r="AT97" s="116">
        <v>691.91934681116049</v>
      </c>
      <c r="AU97" s="116">
        <v>691.91934681116049</v>
      </c>
      <c r="AV97" s="116">
        <v>691.91934681116049</v>
      </c>
      <c r="AW97" s="116">
        <v>691.91934681116049</v>
      </c>
      <c r="AX97" s="116">
        <v>430.17386473567547</v>
      </c>
      <c r="AY97" s="116">
        <v>430.17386473567547</v>
      </c>
    </row>
    <row r="98" spans="1:52" x14ac:dyDescent="0.2">
      <c r="A98" s="115"/>
      <c r="B98" s="136">
        <v>4</v>
      </c>
      <c r="C98" s="112">
        <v>1214.455547374944</v>
      </c>
      <c r="D98" s="116">
        <v>1214.455547374944</v>
      </c>
      <c r="E98" s="116">
        <v>1214.455547374944</v>
      </c>
      <c r="F98" s="116">
        <v>1214.455547374944</v>
      </c>
      <c r="G98" s="116">
        <v>585.14163583560912</v>
      </c>
      <c r="H98" s="116">
        <v>443.28327167121824</v>
      </c>
      <c r="I98" s="116">
        <v>183.42490750682737</v>
      </c>
      <c r="J98" s="116">
        <v>84.566543342436489</v>
      </c>
      <c r="K98" s="116">
        <v>280.72616555822447</v>
      </c>
      <c r="L98" s="116">
        <v>281.88578777401244</v>
      </c>
      <c r="M98" s="116">
        <v>536.04540998980042</v>
      </c>
      <c r="N98" s="116">
        <v>766.2050322055884</v>
      </c>
      <c r="O98" s="116">
        <v>653.64867759881599</v>
      </c>
      <c r="P98" s="116">
        <v>653.64867759881599</v>
      </c>
      <c r="Q98" s="116">
        <v>653.64867759881599</v>
      </c>
      <c r="R98" s="116">
        <v>653.64867759881599</v>
      </c>
      <c r="S98" s="116">
        <v>696.45355119003716</v>
      </c>
      <c r="T98" s="116">
        <v>696.45355119003716</v>
      </c>
      <c r="U98" s="116">
        <v>439.24080397286031</v>
      </c>
      <c r="V98" s="116">
        <v>196.69435516289747</v>
      </c>
      <c r="W98" s="116">
        <v>640.12895858625029</v>
      </c>
      <c r="X98" s="116">
        <v>930.56356200960317</v>
      </c>
      <c r="Y98" s="116">
        <v>1131.4346034233529</v>
      </c>
      <c r="Z98" s="116">
        <v>1131.4346034233529</v>
      </c>
      <c r="AA98" s="116">
        <v>532.14698422834556</v>
      </c>
      <c r="AB98" s="116">
        <v>205.29396845669112</v>
      </c>
      <c r="AC98" s="116">
        <v>370.44095268503668</v>
      </c>
      <c r="AD98" s="116">
        <v>532.14698422834556</v>
      </c>
      <c r="AE98" s="116">
        <v>513.59645218649223</v>
      </c>
      <c r="AF98" s="116">
        <v>513.59645218649223</v>
      </c>
      <c r="AG98" s="116">
        <v>513.59645218649223</v>
      </c>
      <c r="AH98" s="116">
        <v>513.59645218649223</v>
      </c>
      <c r="AI98" s="116">
        <v>654.95920431108527</v>
      </c>
      <c r="AJ98" s="116">
        <v>654.95920431108527</v>
      </c>
      <c r="AK98" s="116">
        <v>654.95920431108527</v>
      </c>
      <c r="AL98" s="116">
        <v>654.95920431108527</v>
      </c>
      <c r="AM98" s="116">
        <v>592.20502766719324</v>
      </c>
      <c r="AN98" s="116">
        <v>592.20502766719324</v>
      </c>
      <c r="AO98" s="116">
        <v>592.20502766719324</v>
      </c>
      <c r="AP98" s="116">
        <v>368.07446537986903</v>
      </c>
      <c r="AQ98" s="116">
        <v>384.57463471363576</v>
      </c>
      <c r="AR98" s="116">
        <v>1060.306428914351</v>
      </c>
      <c r="AS98" s="116">
        <v>1188.0788852555102</v>
      </c>
      <c r="AT98" s="116">
        <v>1188.0788852555102</v>
      </c>
      <c r="AU98" s="116">
        <v>691.91934681116049</v>
      </c>
      <c r="AV98" s="116">
        <v>691.91934681116049</v>
      </c>
      <c r="AW98" s="116">
        <v>691.91934681116049</v>
      </c>
      <c r="AX98" s="116">
        <v>691.91934681116049</v>
      </c>
      <c r="AY98" s="116">
        <v>430.17386473567547</v>
      </c>
    </row>
    <row r="99" spans="1:52" x14ac:dyDescent="0.2">
      <c r="A99" s="134"/>
      <c r="B99" s="138" t="s">
        <v>296</v>
      </c>
      <c r="C99" s="131">
        <v>558.17208171050504</v>
      </c>
      <c r="D99" s="131">
        <v>869.45554737494399</v>
      </c>
      <c r="E99" s="131">
        <v>410.45554737494399</v>
      </c>
      <c r="F99" s="131">
        <v>387.45554737494399</v>
      </c>
      <c r="G99" s="131">
        <v>612.45554737494399</v>
      </c>
      <c r="H99" s="131">
        <v>0</v>
      </c>
      <c r="I99" s="131">
        <v>0</v>
      </c>
      <c r="J99" s="131">
        <v>0</v>
      </c>
      <c r="K99" s="131">
        <v>0</v>
      </c>
      <c r="L99" s="131">
        <v>0</v>
      </c>
      <c r="M99" s="131">
        <v>0</v>
      </c>
      <c r="N99" s="131">
        <v>0</v>
      </c>
      <c r="O99" s="131">
        <v>143.2050322055884</v>
      </c>
      <c r="P99" s="131">
        <v>188.64867759881599</v>
      </c>
      <c r="Q99" s="131">
        <v>189.64867759881599</v>
      </c>
      <c r="R99" s="131">
        <v>191.64867759881599</v>
      </c>
      <c r="S99" s="131">
        <v>119.64867759881599</v>
      </c>
      <c r="T99" s="131">
        <v>126.45355119003716</v>
      </c>
      <c r="U99" s="131">
        <v>0</v>
      </c>
      <c r="V99" s="131">
        <v>0</v>
      </c>
      <c r="W99" s="131">
        <v>0</v>
      </c>
      <c r="X99" s="131">
        <v>0</v>
      </c>
      <c r="Y99" s="131">
        <v>300.56356200960317</v>
      </c>
      <c r="Z99" s="131">
        <v>552.43460342335288</v>
      </c>
      <c r="AA99" s="131">
        <v>242.43460342335288</v>
      </c>
      <c r="AB99" s="131">
        <v>0</v>
      </c>
      <c r="AC99" s="131">
        <v>0</v>
      </c>
      <c r="AD99" s="131">
        <v>133.44095268503668</v>
      </c>
      <c r="AE99" s="131">
        <v>257.14698422834556</v>
      </c>
      <c r="AF99" s="131">
        <v>177.59645218649223</v>
      </c>
      <c r="AG99" s="131">
        <v>191.59645218649223</v>
      </c>
      <c r="AH99" s="131">
        <v>174.59645218649223</v>
      </c>
      <c r="AI99" s="131">
        <v>120.59645218649223</v>
      </c>
      <c r="AJ99" s="131">
        <v>358.95920431108527</v>
      </c>
      <c r="AK99" s="131">
        <v>269.95920431108527</v>
      </c>
      <c r="AL99" s="131">
        <v>197.95920431108527</v>
      </c>
      <c r="AM99" s="131">
        <v>195.95920431108527</v>
      </c>
      <c r="AN99" s="131">
        <v>226.20502766719324</v>
      </c>
      <c r="AO99" s="131">
        <v>57.205027667193235</v>
      </c>
      <c r="AP99" s="131">
        <v>35.205027667193235</v>
      </c>
      <c r="AQ99" s="131">
        <v>0</v>
      </c>
      <c r="AR99" s="131">
        <v>0</v>
      </c>
      <c r="AS99" s="131">
        <v>639.30642891435105</v>
      </c>
      <c r="AT99" s="131">
        <v>740.07888525551016</v>
      </c>
      <c r="AU99" s="131">
        <v>720.07888525551016</v>
      </c>
      <c r="AV99" s="131">
        <v>172.91934681116049</v>
      </c>
      <c r="AW99" s="131">
        <v>337.91934681116049</v>
      </c>
      <c r="AX99" s="131">
        <v>353.91934681116049</v>
      </c>
      <c r="AY99" s="131">
        <v>314.91934681116049</v>
      </c>
      <c r="AZ99" s="113">
        <f>SUM($D99:$AY99)</f>
        <v>10010.075484722263</v>
      </c>
    </row>
    <row r="100" spans="1:52" x14ac:dyDescent="0.2">
      <c r="A100" s="137" t="s">
        <v>133</v>
      </c>
      <c r="B100" s="125">
        <v>1</v>
      </c>
      <c r="C100" s="112">
        <v>77.517950912213749</v>
      </c>
      <c r="D100" s="112">
        <v>0</v>
      </c>
      <c r="E100" s="112">
        <v>326.83241767933492</v>
      </c>
      <c r="F100" s="112">
        <v>250.64882197801109</v>
      </c>
      <c r="G100" s="112">
        <v>120.6702479151862</v>
      </c>
      <c r="H100" s="112">
        <v>0</v>
      </c>
      <c r="I100" s="112">
        <v>250.64882197801109</v>
      </c>
      <c r="J100" s="112">
        <v>326.83241767933492</v>
      </c>
      <c r="K100" s="112">
        <v>326.83241767933492</v>
      </c>
      <c r="L100" s="112">
        <v>326.83241767933492</v>
      </c>
      <c r="M100" s="112">
        <v>326.83241767933492</v>
      </c>
      <c r="N100" s="112">
        <v>0</v>
      </c>
      <c r="O100" s="112">
        <v>326.83241767933492</v>
      </c>
      <c r="P100" s="112">
        <v>291.51893187757656</v>
      </c>
      <c r="Q100" s="112">
        <v>291.51893187757656</v>
      </c>
      <c r="R100" s="112">
        <v>0</v>
      </c>
      <c r="S100" s="112">
        <v>280.21249971070444</v>
      </c>
      <c r="T100" s="112">
        <v>280.21249971070444</v>
      </c>
      <c r="U100" s="112">
        <v>280.21249971070444</v>
      </c>
      <c r="V100" s="112">
        <v>0</v>
      </c>
      <c r="W100" s="112">
        <v>90.05091934522369</v>
      </c>
      <c r="X100" s="112">
        <v>90.05091934522369</v>
      </c>
      <c r="Y100" s="112">
        <v>90.05091934522369</v>
      </c>
      <c r="Z100" s="112">
        <v>0</v>
      </c>
      <c r="AA100" s="112">
        <v>326.83241767933492</v>
      </c>
      <c r="AB100" s="112">
        <v>0</v>
      </c>
      <c r="AC100" s="112">
        <v>214.10507048078733</v>
      </c>
      <c r="AD100" s="112">
        <v>206.64141271706535</v>
      </c>
      <c r="AE100" s="112">
        <v>206.64141271706535</v>
      </c>
      <c r="AF100" s="112">
        <v>206.64141271706535</v>
      </c>
      <c r="AG100" s="112">
        <v>206.64141271706535</v>
      </c>
      <c r="AH100" s="112">
        <v>263.51758209136483</v>
      </c>
      <c r="AI100" s="112">
        <v>120.6702479151862</v>
      </c>
      <c r="AJ100" s="112">
        <v>0</v>
      </c>
      <c r="AK100" s="112">
        <v>263.51758209136483</v>
      </c>
      <c r="AL100" s="112">
        <v>264.1158515798756</v>
      </c>
      <c r="AM100" s="112">
        <v>264.1158515798756</v>
      </c>
      <c r="AN100" s="112">
        <v>264.1158515798756</v>
      </c>
      <c r="AO100" s="112">
        <v>120.6702479151862</v>
      </c>
      <c r="AP100" s="112">
        <v>241.11734676523207</v>
      </c>
      <c r="AQ100" s="112">
        <v>241.11734676523207</v>
      </c>
      <c r="AR100" s="112">
        <v>241.11734676523207</v>
      </c>
      <c r="AS100" s="112">
        <v>241.11734676523207</v>
      </c>
      <c r="AT100" s="112">
        <v>278.38819895003883</v>
      </c>
      <c r="AU100" s="112">
        <v>120.6702479151862</v>
      </c>
      <c r="AV100" s="112">
        <v>278.38819895003883</v>
      </c>
      <c r="AW100" s="112">
        <v>278.38819895003883</v>
      </c>
      <c r="AX100" s="112">
        <v>173.07700383152616</v>
      </c>
      <c r="AY100" s="112">
        <v>120.67024791518618</v>
      </c>
    </row>
    <row r="101" spans="1:52" x14ac:dyDescent="0.2">
      <c r="A101" s="115"/>
      <c r="B101" s="125">
        <v>2</v>
      </c>
      <c r="C101" s="112">
        <v>0</v>
      </c>
      <c r="D101" s="112">
        <v>203.36447752796221</v>
      </c>
      <c r="E101" s="112">
        <v>280.88242844017594</v>
      </c>
      <c r="F101" s="112">
        <v>273.71484611951087</v>
      </c>
      <c r="G101" s="112">
        <v>175.36366809752195</v>
      </c>
      <c r="H101" s="112">
        <v>2.8421709430404007E-14</v>
      </c>
      <c r="I101" s="112">
        <v>250.64882197801109</v>
      </c>
      <c r="J101" s="112">
        <v>250.64882197801109</v>
      </c>
      <c r="K101" s="112">
        <v>326.83241767933492</v>
      </c>
      <c r="L101" s="112">
        <v>326.83241767933492</v>
      </c>
      <c r="M101" s="112">
        <v>305.7734710568518</v>
      </c>
      <c r="N101" s="112">
        <v>174.60588873618673</v>
      </c>
      <c r="O101" s="112">
        <v>0</v>
      </c>
      <c r="P101" s="112">
        <v>0</v>
      </c>
      <c r="Q101" s="112">
        <v>0</v>
      </c>
      <c r="R101" s="112">
        <v>0</v>
      </c>
      <c r="S101" s="112">
        <v>280.21249971070444</v>
      </c>
      <c r="T101" s="112">
        <v>107.42499942140887</v>
      </c>
      <c r="U101" s="112">
        <v>141.63749913211331</v>
      </c>
      <c r="V101" s="112">
        <v>137.84999884281774</v>
      </c>
      <c r="W101" s="112">
        <v>90.05091934522369</v>
      </c>
      <c r="X101" s="112">
        <v>0</v>
      </c>
      <c r="Y101" s="112">
        <v>0</v>
      </c>
      <c r="Z101" s="112">
        <v>0</v>
      </c>
      <c r="AA101" s="112">
        <v>0</v>
      </c>
      <c r="AB101" s="112">
        <v>68.832417679334924</v>
      </c>
      <c r="AC101" s="112">
        <v>214.10507048078733</v>
      </c>
      <c r="AD101" s="112">
        <v>166.21014096157467</v>
      </c>
      <c r="AE101" s="112">
        <v>139.85155367864002</v>
      </c>
      <c r="AF101" s="112">
        <v>85.492966395705366</v>
      </c>
      <c r="AG101" s="112">
        <v>27.134379112770716</v>
      </c>
      <c r="AH101" s="112">
        <v>0</v>
      </c>
      <c r="AI101" s="112">
        <v>0</v>
      </c>
      <c r="AJ101" s="112">
        <v>0</v>
      </c>
      <c r="AK101" s="112">
        <v>0</v>
      </c>
      <c r="AL101" s="112">
        <v>93.364916267543464</v>
      </c>
      <c r="AM101" s="112">
        <v>264.1158515798756</v>
      </c>
      <c r="AN101" s="112">
        <v>225.11420151865946</v>
      </c>
      <c r="AO101" s="112">
        <v>108.23005309853505</v>
      </c>
      <c r="AP101" s="112">
        <v>143.4456036646894</v>
      </c>
      <c r="AQ101" s="112">
        <v>2.8421709430404007E-14</v>
      </c>
      <c r="AR101" s="112">
        <v>0</v>
      </c>
      <c r="AS101" s="112">
        <v>0</v>
      </c>
      <c r="AT101" s="112">
        <v>0</v>
      </c>
      <c r="AU101" s="112">
        <v>0</v>
      </c>
      <c r="AV101" s="112">
        <v>157.71795103485263</v>
      </c>
      <c r="AW101" s="112">
        <v>0</v>
      </c>
      <c r="AX101" s="112">
        <v>0</v>
      </c>
      <c r="AY101" s="112">
        <v>0</v>
      </c>
    </row>
    <row r="102" spans="1:52" x14ac:dyDescent="0.2">
      <c r="A102" s="115"/>
      <c r="B102" s="126">
        <v>3</v>
      </c>
      <c r="C102" s="112">
        <v>0</v>
      </c>
      <c r="D102" s="112">
        <v>0</v>
      </c>
      <c r="E102" s="112">
        <v>0</v>
      </c>
      <c r="F102" s="112">
        <v>0</v>
      </c>
      <c r="G102" s="112">
        <v>0</v>
      </c>
      <c r="H102" s="112">
        <v>0</v>
      </c>
      <c r="I102" s="112">
        <v>129.97857406282489</v>
      </c>
      <c r="J102" s="112">
        <v>139.62739604083598</v>
      </c>
      <c r="K102" s="112">
        <v>76.276218018847061</v>
      </c>
      <c r="L102" s="112">
        <v>143.10863569818198</v>
      </c>
      <c r="M102" s="112">
        <v>0</v>
      </c>
      <c r="N102" s="112">
        <v>0</v>
      </c>
      <c r="O102" s="112">
        <v>0</v>
      </c>
      <c r="P102" s="112">
        <v>0</v>
      </c>
      <c r="Q102" s="112">
        <v>0</v>
      </c>
      <c r="R102" s="112">
        <v>0</v>
      </c>
      <c r="S102" s="112">
        <v>0</v>
      </c>
      <c r="T102" s="112">
        <v>0</v>
      </c>
      <c r="U102" s="112">
        <v>0</v>
      </c>
      <c r="V102" s="112">
        <v>0</v>
      </c>
      <c r="W102" s="112">
        <v>0</v>
      </c>
      <c r="X102" s="112">
        <v>0</v>
      </c>
      <c r="Y102" s="112">
        <v>0</v>
      </c>
      <c r="Z102" s="112">
        <v>0</v>
      </c>
      <c r="AA102" s="112">
        <v>0</v>
      </c>
      <c r="AB102" s="112">
        <v>0</v>
      </c>
      <c r="AC102" s="112">
        <v>0</v>
      </c>
      <c r="AD102" s="112">
        <v>0</v>
      </c>
      <c r="AE102" s="112">
        <v>0</v>
      </c>
      <c r="AF102" s="112">
        <v>0</v>
      </c>
      <c r="AG102" s="112">
        <v>0</v>
      </c>
      <c r="AH102" s="112">
        <v>0</v>
      </c>
      <c r="AI102" s="112">
        <v>0</v>
      </c>
      <c r="AJ102" s="112">
        <v>0</v>
      </c>
      <c r="AK102" s="112">
        <v>142.84733417617863</v>
      </c>
      <c r="AL102" s="112">
        <v>263.51758209136483</v>
      </c>
      <c r="AM102" s="112">
        <v>41.882498358908293</v>
      </c>
      <c r="AN102" s="112">
        <v>0</v>
      </c>
      <c r="AO102" s="112">
        <v>0</v>
      </c>
      <c r="AP102" s="112">
        <v>0</v>
      </c>
      <c r="AQ102" s="112">
        <v>0</v>
      </c>
      <c r="AR102" s="112">
        <v>0</v>
      </c>
      <c r="AS102" s="112">
        <v>0</v>
      </c>
      <c r="AT102" s="112">
        <v>0</v>
      </c>
      <c r="AU102" s="112">
        <v>0</v>
      </c>
      <c r="AV102" s="112">
        <v>0</v>
      </c>
      <c r="AW102" s="112">
        <v>0</v>
      </c>
      <c r="AX102" s="112">
        <v>0</v>
      </c>
      <c r="AY102" s="112">
        <v>0</v>
      </c>
    </row>
    <row r="103" spans="1:52" x14ac:dyDescent="0.2">
      <c r="A103" s="115"/>
      <c r="B103" s="126">
        <v>4</v>
      </c>
      <c r="C103" s="112">
        <v>0</v>
      </c>
      <c r="D103" s="112">
        <v>0</v>
      </c>
      <c r="E103" s="112">
        <v>0</v>
      </c>
      <c r="F103" s="112">
        <v>0</v>
      </c>
      <c r="G103" s="112">
        <v>0</v>
      </c>
      <c r="H103" s="112">
        <v>0</v>
      </c>
      <c r="I103" s="112">
        <v>0</v>
      </c>
      <c r="J103" s="112">
        <v>0</v>
      </c>
      <c r="K103" s="112">
        <v>0</v>
      </c>
      <c r="L103" s="112">
        <v>0</v>
      </c>
      <c r="M103" s="112">
        <v>0</v>
      </c>
      <c r="N103" s="112">
        <v>0</v>
      </c>
      <c r="O103" s="112">
        <v>0</v>
      </c>
      <c r="P103" s="112">
        <v>0</v>
      </c>
      <c r="Q103" s="112">
        <v>0</v>
      </c>
      <c r="R103" s="112">
        <v>0</v>
      </c>
      <c r="S103" s="112">
        <v>0</v>
      </c>
      <c r="T103" s="112">
        <v>0</v>
      </c>
      <c r="U103" s="112">
        <v>0</v>
      </c>
      <c r="V103" s="112">
        <v>0</v>
      </c>
      <c r="W103" s="112">
        <v>0</v>
      </c>
      <c r="X103" s="112">
        <v>0</v>
      </c>
      <c r="Y103" s="112">
        <v>0</v>
      </c>
      <c r="Z103" s="112">
        <v>0</v>
      </c>
      <c r="AA103" s="112">
        <v>0</v>
      </c>
      <c r="AB103" s="112">
        <v>0</v>
      </c>
      <c r="AC103" s="112">
        <v>0</v>
      </c>
      <c r="AD103" s="112">
        <v>0</v>
      </c>
      <c r="AE103" s="112">
        <v>0</v>
      </c>
      <c r="AF103" s="112">
        <v>0</v>
      </c>
      <c r="AG103" s="112">
        <v>0</v>
      </c>
      <c r="AH103" s="112">
        <v>0</v>
      </c>
      <c r="AI103" s="112">
        <v>0</v>
      </c>
      <c r="AJ103" s="112">
        <v>0</v>
      </c>
      <c r="AK103" s="112">
        <v>0</v>
      </c>
      <c r="AL103" s="112">
        <v>0</v>
      </c>
      <c r="AM103" s="112">
        <v>0</v>
      </c>
      <c r="AN103" s="112">
        <v>0</v>
      </c>
      <c r="AO103" s="112">
        <v>0</v>
      </c>
      <c r="AP103" s="112">
        <v>0</v>
      </c>
      <c r="AQ103" s="112">
        <v>0</v>
      </c>
      <c r="AR103" s="112">
        <v>0</v>
      </c>
      <c r="AS103" s="112">
        <v>0</v>
      </c>
      <c r="AT103" s="112">
        <v>0</v>
      </c>
      <c r="AU103" s="112">
        <v>0</v>
      </c>
      <c r="AV103" s="112">
        <v>0</v>
      </c>
      <c r="AW103" s="112">
        <v>0</v>
      </c>
      <c r="AX103" s="112">
        <v>0</v>
      </c>
      <c r="AY103" s="112">
        <v>0</v>
      </c>
    </row>
    <row r="104" spans="1:52" x14ac:dyDescent="0.2">
      <c r="A104" s="115"/>
      <c r="B104" s="133">
        <v>5</v>
      </c>
      <c r="C104" s="112">
        <v>0</v>
      </c>
      <c r="D104" s="112">
        <v>0</v>
      </c>
      <c r="E104" s="112">
        <v>0</v>
      </c>
      <c r="F104" s="112">
        <v>0</v>
      </c>
      <c r="G104" s="112">
        <v>0</v>
      </c>
      <c r="H104" s="112">
        <v>0</v>
      </c>
      <c r="I104" s="112">
        <v>0</v>
      </c>
      <c r="J104" s="112">
        <v>0</v>
      </c>
      <c r="K104" s="112">
        <v>0</v>
      </c>
      <c r="L104" s="112">
        <v>0</v>
      </c>
      <c r="M104" s="112">
        <v>0</v>
      </c>
      <c r="N104" s="112">
        <v>0</v>
      </c>
      <c r="O104" s="112">
        <v>0</v>
      </c>
      <c r="P104" s="112">
        <v>0</v>
      </c>
      <c r="Q104" s="112">
        <v>0</v>
      </c>
      <c r="R104" s="112">
        <v>0</v>
      </c>
      <c r="S104" s="112">
        <v>0</v>
      </c>
      <c r="T104" s="112">
        <v>0</v>
      </c>
      <c r="U104" s="112">
        <v>0</v>
      </c>
      <c r="V104" s="112">
        <v>0</v>
      </c>
      <c r="W104" s="112">
        <v>0</v>
      </c>
      <c r="X104" s="112">
        <v>0</v>
      </c>
      <c r="Y104" s="112">
        <v>0</v>
      </c>
      <c r="Z104" s="112">
        <v>0</v>
      </c>
      <c r="AA104" s="112">
        <v>0</v>
      </c>
      <c r="AB104" s="112">
        <v>0</v>
      </c>
      <c r="AC104" s="112">
        <v>0</v>
      </c>
      <c r="AD104" s="112">
        <v>0</v>
      </c>
      <c r="AE104" s="112">
        <v>0</v>
      </c>
      <c r="AF104" s="112">
        <v>0</v>
      </c>
      <c r="AG104" s="112">
        <v>0</v>
      </c>
      <c r="AH104" s="112">
        <v>0</v>
      </c>
      <c r="AI104" s="112">
        <v>0</v>
      </c>
      <c r="AJ104" s="112">
        <v>0</v>
      </c>
      <c r="AK104" s="112">
        <v>0</v>
      </c>
      <c r="AL104" s="112">
        <v>0</v>
      </c>
      <c r="AM104" s="112">
        <v>0</v>
      </c>
      <c r="AN104" s="112">
        <v>0</v>
      </c>
      <c r="AO104" s="112">
        <v>0</v>
      </c>
      <c r="AP104" s="112">
        <v>0</v>
      </c>
      <c r="AQ104" s="112">
        <v>0</v>
      </c>
      <c r="AR104" s="112">
        <v>0</v>
      </c>
      <c r="AS104" s="112">
        <v>0</v>
      </c>
      <c r="AT104" s="112">
        <v>0</v>
      </c>
      <c r="AU104" s="112">
        <v>0</v>
      </c>
      <c r="AV104" s="112">
        <v>0</v>
      </c>
      <c r="AW104" s="112">
        <v>0</v>
      </c>
      <c r="AX104" s="112">
        <v>0</v>
      </c>
      <c r="AY104" s="112">
        <v>0</v>
      </c>
    </row>
    <row r="105" spans="1:52" x14ac:dyDescent="0.2">
      <c r="A105" s="115"/>
      <c r="B105" s="133">
        <v>6</v>
      </c>
      <c r="C105" s="112">
        <v>0</v>
      </c>
      <c r="D105" s="112">
        <v>0</v>
      </c>
      <c r="E105" s="112">
        <v>0</v>
      </c>
      <c r="F105" s="112">
        <v>0</v>
      </c>
      <c r="G105" s="112">
        <v>0</v>
      </c>
      <c r="H105" s="112">
        <v>0</v>
      </c>
      <c r="I105" s="112">
        <v>0</v>
      </c>
      <c r="J105" s="112">
        <v>0</v>
      </c>
      <c r="K105" s="112">
        <v>0</v>
      </c>
      <c r="L105" s="112">
        <v>0</v>
      </c>
      <c r="M105" s="112">
        <v>0</v>
      </c>
      <c r="N105" s="112">
        <v>0</v>
      </c>
      <c r="O105" s="112">
        <v>0</v>
      </c>
      <c r="P105" s="112">
        <v>0</v>
      </c>
      <c r="Q105" s="112">
        <v>0</v>
      </c>
      <c r="R105" s="112">
        <v>0</v>
      </c>
      <c r="S105" s="112">
        <v>0</v>
      </c>
      <c r="T105" s="112">
        <v>0</v>
      </c>
      <c r="U105" s="112">
        <v>0</v>
      </c>
      <c r="V105" s="112">
        <v>0</v>
      </c>
      <c r="W105" s="112">
        <v>0</v>
      </c>
      <c r="X105" s="112">
        <v>0</v>
      </c>
      <c r="Y105" s="112">
        <v>0</v>
      </c>
      <c r="Z105" s="112">
        <v>0</v>
      </c>
      <c r="AA105" s="112">
        <v>0</v>
      </c>
      <c r="AB105" s="112">
        <v>0</v>
      </c>
      <c r="AC105" s="112">
        <v>0</v>
      </c>
      <c r="AD105" s="112">
        <v>0</v>
      </c>
      <c r="AE105" s="112">
        <v>0</v>
      </c>
      <c r="AF105" s="112">
        <v>0</v>
      </c>
      <c r="AG105" s="112">
        <v>0</v>
      </c>
      <c r="AH105" s="112">
        <v>0</v>
      </c>
      <c r="AI105" s="112">
        <v>0</v>
      </c>
      <c r="AJ105" s="112">
        <v>0</v>
      </c>
      <c r="AK105" s="112">
        <v>0</v>
      </c>
      <c r="AL105" s="112">
        <v>0</v>
      </c>
      <c r="AM105" s="112">
        <v>0</v>
      </c>
      <c r="AN105" s="112">
        <v>0</v>
      </c>
      <c r="AO105" s="112">
        <v>0</v>
      </c>
      <c r="AP105" s="112">
        <v>0</v>
      </c>
      <c r="AQ105" s="112">
        <v>0</v>
      </c>
      <c r="AR105" s="112">
        <v>0</v>
      </c>
      <c r="AS105" s="112">
        <v>0</v>
      </c>
      <c r="AT105" s="112">
        <v>0</v>
      </c>
      <c r="AU105" s="112">
        <v>0</v>
      </c>
      <c r="AV105" s="112">
        <v>0</v>
      </c>
      <c r="AW105" s="112">
        <v>0</v>
      </c>
      <c r="AX105" s="112">
        <v>0</v>
      </c>
      <c r="AY105" s="112">
        <v>0</v>
      </c>
    </row>
    <row r="106" spans="1:52" x14ac:dyDescent="0.2">
      <c r="A106" s="115"/>
      <c r="B106" s="136">
        <v>7</v>
      </c>
      <c r="C106" s="112">
        <v>0</v>
      </c>
      <c r="D106" s="112">
        <v>0</v>
      </c>
      <c r="E106" s="112">
        <v>0</v>
      </c>
      <c r="F106" s="112">
        <v>0</v>
      </c>
      <c r="G106" s="112">
        <v>0</v>
      </c>
      <c r="H106" s="112">
        <v>0</v>
      </c>
      <c r="I106" s="112">
        <v>0</v>
      </c>
      <c r="J106" s="112">
        <v>0</v>
      </c>
      <c r="K106" s="112">
        <v>0</v>
      </c>
      <c r="L106" s="112">
        <v>0</v>
      </c>
      <c r="M106" s="112">
        <v>0</v>
      </c>
      <c r="N106" s="112">
        <v>0</v>
      </c>
      <c r="O106" s="112">
        <v>0</v>
      </c>
      <c r="P106" s="112">
        <v>0</v>
      </c>
      <c r="Q106" s="112">
        <v>0</v>
      </c>
      <c r="R106" s="112">
        <v>0</v>
      </c>
      <c r="S106" s="112">
        <v>0</v>
      </c>
      <c r="T106" s="112">
        <v>0</v>
      </c>
      <c r="U106" s="112">
        <v>0</v>
      </c>
      <c r="V106" s="112">
        <v>0</v>
      </c>
      <c r="W106" s="112">
        <v>0</v>
      </c>
      <c r="X106" s="112">
        <v>0</v>
      </c>
      <c r="Y106" s="112">
        <v>0</v>
      </c>
      <c r="Z106" s="112">
        <v>0</v>
      </c>
      <c r="AA106" s="112">
        <v>0</v>
      </c>
      <c r="AB106" s="112">
        <v>0</v>
      </c>
      <c r="AC106" s="112">
        <v>0</v>
      </c>
      <c r="AD106" s="112">
        <v>0</v>
      </c>
      <c r="AE106" s="112">
        <v>0</v>
      </c>
      <c r="AF106" s="112">
        <v>0</v>
      </c>
      <c r="AG106" s="112">
        <v>0</v>
      </c>
      <c r="AH106" s="112">
        <v>0</v>
      </c>
      <c r="AI106" s="112">
        <v>0</v>
      </c>
      <c r="AJ106" s="112">
        <v>0</v>
      </c>
      <c r="AK106" s="112">
        <v>0</v>
      </c>
      <c r="AL106" s="112">
        <v>0</v>
      </c>
      <c r="AM106" s="112">
        <v>0</v>
      </c>
      <c r="AN106" s="112">
        <v>0</v>
      </c>
      <c r="AO106" s="112">
        <v>0</v>
      </c>
      <c r="AP106" s="112">
        <v>0</v>
      </c>
      <c r="AQ106" s="112">
        <v>0</v>
      </c>
      <c r="AR106" s="112">
        <v>0</v>
      </c>
      <c r="AS106" s="112">
        <v>0</v>
      </c>
      <c r="AT106" s="112">
        <v>0</v>
      </c>
      <c r="AU106" s="112">
        <v>0</v>
      </c>
      <c r="AV106" s="112">
        <v>0</v>
      </c>
      <c r="AW106" s="112">
        <v>0</v>
      </c>
      <c r="AX106" s="112">
        <v>0</v>
      </c>
      <c r="AY106" s="112">
        <v>0</v>
      </c>
    </row>
    <row r="107" spans="1:52" x14ac:dyDescent="0.2">
      <c r="A107" s="115"/>
      <c r="B107" s="136">
        <v>8</v>
      </c>
      <c r="C107" s="112">
        <v>0</v>
      </c>
      <c r="D107" s="112">
        <v>0</v>
      </c>
      <c r="E107" s="112">
        <v>0</v>
      </c>
      <c r="F107" s="112">
        <v>0</v>
      </c>
      <c r="G107" s="112">
        <v>0</v>
      </c>
      <c r="H107" s="112">
        <v>0</v>
      </c>
      <c r="I107" s="112">
        <v>0</v>
      </c>
      <c r="J107" s="112">
        <v>0</v>
      </c>
      <c r="K107" s="112">
        <v>0</v>
      </c>
      <c r="L107" s="112">
        <v>0</v>
      </c>
      <c r="M107" s="112">
        <v>0</v>
      </c>
      <c r="N107" s="112">
        <v>0</v>
      </c>
      <c r="O107" s="112">
        <v>0</v>
      </c>
      <c r="P107" s="112">
        <v>0</v>
      </c>
      <c r="Q107" s="112">
        <v>0</v>
      </c>
      <c r="R107" s="112">
        <v>0</v>
      </c>
      <c r="S107" s="112">
        <v>0</v>
      </c>
      <c r="T107" s="112">
        <v>0</v>
      </c>
      <c r="U107" s="112">
        <v>0</v>
      </c>
      <c r="V107" s="112">
        <v>0</v>
      </c>
      <c r="W107" s="112">
        <v>0</v>
      </c>
      <c r="X107" s="112">
        <v>0</v>
      </c>
      <c r="Y107" s="112">
        <v>0</v>
      </c>
      <c r="Z107" s="112">
        <v>0</v>
      </c>
      <c r="AA107" s="112">
        <v>0</v>
      </c>
      <c r="AB107" s="112">
        <v>0</v>
      </c>
      <c r="AC107" s="112">
        <v>0</v>
      </c>
      <c r="AD107" s="112">
        <v>0</v>
      </c>
      <c r="AE107" s="112">
        <v>0</v>
      </c>
      <c r="AF107" s="112">
        <v>0</v>
      </c>
      <c r="AG107" s="112">
        <v>0</v>
      </c>
      <c r="AH107" s="112">
        <v>0</v>
      </c>
      <c r="AI107" s="112">
        <v>0</v>
      </c>
      <c r="AJ107" s="112">
        <v>0</v>
      </c>
      <c r="AK107" s="112">
        <v>0</v>
      </c>
      <c r="AL107" s="112">
        <v>0</v>
      </c>
      <c r="AM107" s="112">
        <v>0</v>
      </c>
      <c r="AN107" s="112">
        <v>0</v>
      </c>
      <c r="AO107" s="112">
        <v>0</v>
      </c>
      <c r="AP107" s="112">
        <v>0</v>
      </c>
      <c r="AQ107" s="112">
        <v>0</v>
      </c>
      <c r="AR107" s="112">
        <v>0</v>
      </c>
      <c r="AS107" s="112">
        <v>0</v>
      </c>
      <c r="AT107" s="112">
        <v>0</v>
      </c>
      <c r="AU107" s="112">
        <v>0</v>
      </c>
      <c r="AV107" s="112">
        <v>0</v>
      </c>
      <c r="AW107" s="112">
        <v>0</v>
      </c>
      <c r="AX107" s="112">
        <v>0</v>
      </c>
      <c r="AY107" s="112">
        <v>0</v>
      </c>
    </row>
    <row r="108" spans="1:52" x14ac:dyDescent="0.2">
      <c r="A108" s="134"/>
      <c r="B108" s="138" t="s">
        <v>296</v>
      </c>
      <c r="C108" s="120">
        <v>0</v>
      </c>
      <c r="D108" s="131">
        <v>0</v>
      </c>
      <c r="E108" s="131">
        <v>0</v>
      </c>
      <c r="F108" s="131">
        <v>0</v>
      </c>
      <c r="G108" s="131">
        <v>0</v>
      </c>
      <c r="H108" s="131">
        <v>0</v>
      </c>
      <c r="I108" s="131">
        <v>0</v>
      </c>
      <c r="J108" s="131">
        <v>0</v>
      </c>
      <c r="K108" s="131">
        <v>0</v>
      </c>
      <c r="L108" s="131">
        <v>0</v>
      </c>
      <c r="M108" s="131">
        <v>0</v>
      </c>
      <c r="N108" s="131">
        <v>0</v>
      </c>
      <c r="O108" s="131">
        <v>0</v>
      </c>
      <c r="P108" s="131">
        <v>0</v>
      </c>
      <c r="Q108" s="131">
        <v>0</v>
      </c>
      <c r="R108" s="131">
        <v>0</v>
      </c>
      <c r="S108" s="131">
        <v>0</v>
      </c>
      <c r="T108" s="131">
        <v>0</v>
      </c>
      <c r="U108" s="131">
        <v>0</v>
      </c>
      <c r="V108" s="131">
        <v>0</v>
      </c>
      <c r="W108" s="131">
        <v>0</v>
      </c>
      <c r="X108" s="131">
        <v>0</v>
      </c>
      <c r="Y108" s="131">
        <v>0</v>
      </c>
      <c r="Z108" s="131">
        <v>0</v>
      </c>
      <c r="AA108" s="131">
        <v>0</v>
      </c>
      <c r="AB108" s="131">
        <v>0</v>
      </c>
      <c r="AC108" s="131">
        <v>0</v>
      </c>
      <c r="AD108" s="131">
        <v>0</v>
      </c>
      <c r="AE108" s="131">
        <v>0</v>
      </c>
      <c r="AF108" s="131">
        <v>0</v>
      </c>
      <c r="AG108" s="131">
        <v>0</v>
      </c>
      <c r="AH108" s="131">
        <v>0</v>
      </c>
      <c r="AI108" s="131">
        <v>0</v>
      </c>
      <c r="AJ108" s="131">
        <v>0</v>
      </c>
      <c r="AK108" s="131">
        <v>0</v>
      </c>
      <c r="AL108" s="131">
        <v>0</v>
      </c>
      <c r="AM108" s="131">
        <v>0</v>
      </c>
      <c r="AN108" s="131">
        <v>0</v>
      </c>
      <c r="AO108" s="131">
        <v>0</v>
      </c>
      <c r="AP108" s="131">
        <v>0</v>
      </c>
      <c r="AQ108" s="131">
        <v>0</v>
      </c>
      <c r="AR108" s="131">
        <v>0</v>
      </c>
      <c r="AS108" s="131">
        <v>0</v>
      </c>
      <c r="AT108" s="131">
        <v>0</v>
      </c>
      <c r="AU108" s="131">
        <v>0</v>
      </c>
      <c r="AV108" s="131">
        <v>0</v>
      </c>
      <c r="AW108" s="131">
        <v>0</v>
      </c>
      <c r="AX108" s="131">
        <v>0</v>
      </c>
      <c r="AY108" s="131">
        <v>0</v>
      </c>
      <c r="AZ108" s="113">
        <f>SUM($D108:$AY108)</f>
        <v>0</v>
      </c>
    </row>
    <row r="109" spans="1:52" x14ac:dyDescent="0.2">
      <c r="A109" s="137" t="s">
        <v>134</v>
      </c>
      <c r="B109" s="125">
        <v>1</v>
      </c>
      <c r="C109" s="112">
        <v>121.57399031472136</v>
      </c>
      <c r="D109" s="112">
        <v>115.0138086486271</v>
      </c>
      <c r="E109" s="112">
        <v>1214.2537639786385</v>
      </c>
      <c r="F109" s="112">
        <v>1087.0117562452056</v>
      </c>
      <c r="G109" s="112">
        <v>790.83795057397811</v>
      </c>
      <c r="H109" s="112">
        <v>544.50191894023772</v>
      </c>
      <c r="I109" s="112">
        <v>270.11746021018268</v>
      </c>
      <c r="J109" s="112">
        <v>583.6601250223199</v>
      </c>
      <c r="K109" s="112">
        <v>529.03659135261785</v>
      </c>
      <c r="L109" s="112">
        <v>521.12372349137297</v>
      </c>
      <c r="M109" s="112">
        <v>231.32707834283576</v>
      </c>
      <c r="N109" s="112">
        <v>268.22747777875753</v>
      </c>
      <c r="O109" s="112">
        <v>171.5743697175763</v>
      </c>
      <c r="P109" s="112">
        <v>217.49695242371737</v>
      </c>
      <c r="Q109" s="112">
        <v>299.14828568997859</v>
      </c>
      <c r="R109" s="112">
        <v>269.85226815070121</v>
      </c>
      <c r="S109" s="112">
        <v>117.77894956491973</v>
      </c>
      <c r="T109" s="112">
        <v>262.03082686033474</v>
      </c>
      <c r="U109" s="112">
        <v>287.02773186117008</v>
      </c>
      <c r="V109" s="112">
        <v>328.49894064597351</v>
      </c>
      <c r="W109" s="112">
        <v>227.99405277575678</v>
      </c>
      <c r="X109" s="112">
        <v>235.0323586950249</v>
      </c>
      <c r="Y109" s="112">
        <v>138.43080162196688</v>
      </c>
      <c r="Z109" s="112">
        <v>76.231033441270895</v>
      </c>
      <c r="AA109" s="112">
        <v>48.700963991647541</v>
      </c>
      <c r="AB109" s="112">
        <v>148.61909056408481</v>
      </c>
      <c r="AC109" s="112">
        <v>27.067663431798792</v>
      </c>
      <c r="AD109" s="112">
        <v>105.44775708923575</v>
      </c>
      <c r="AE109" s="112">
        <v>57.612963282389842</v>
      </c>
      <c r="AF109" s="112">
        <v>57.612963282389842</v>
      </c>
      <c r="AG109" s="112">
        <v>236.73075387396437</v>
      </c>
      <c r="AH109" s="112">
        <v>289.15455333984852</v>
      </c>
      <c r="AI109" s="112">
        <v>342.82920481161483</v>
      </c>
      <c r="AJ109" s="112">
        <v>249.70821398006225</v>
      </c>
      <c r="AK109" s="112">
        <v>188.8010580060398</v>
      </c>
      <c r="AL109" s="112">
        <v>492.14754007434476</v>
      </c>
      <c r="AM109" s="112">
        <v>733.54175971626626</v>
      </c>
      <c r="AN109" s="112">
        <v>648.85903193527542</v>
      </c>
      <c r="AO109" s="112">
        <v>412.89987385835366</v>
      </c>
      <c r="AP109" s="112">
        <v>363.98741570184973</v>
      </c>
      <c r="AQ109" s="112">
        <v>426.1656344709898</v>
      </c>
      <c r="AR109" s="112">
        <v>419.48166889143914</v>
      </c>
      <c r="AS109" s="112">
        <v>491.87165515875012</v>
      </c>
      <c r="AT109" s="112">
        <v>377.66472983228471</v>
      </c>
      <c r="AU109" s="112">
        <v>367.50024597664338</v>
      </c>
      <c r="AV109" s="112">
        <v>265.26378250674298</v>
      </c>
      <c r="AW109" s="112">
        <v>477.41457771171571</v>
      </c>
      <c r="AX109" s="112">
        <v>513.38264733205688</v>
      </c>
      <c r="AY109" s="112">
        <v>432.41350508654881</v>
      </c>
    </row>
    <row r="110" spans="1:52" x14ac:dyDescent="0.2">
      <c r="A110" s="115"/>
      <c r="B110" s="125">
        <v>2</v>
      </c>
      <c r="C110" s="112">
        <v>111.56020451824594</v>
      </c>
      <c r="D110" s="112">
        <v>57.69665522748511</v>
      </c>
      <c r="E110" s="112">
        <v>0</v>
      </c>
      <c r="F110" s="112">
        <v>976.25376397863852</v>
      </c>
      <c r="G110" s="112">
        <v>1087.0117562452056</v>
      </c>
      <c r="H110" s="112">
        <v>790.83795057397811</v>
      </c>
      <c r="I110" s="112">
        <v>544.50191894023772</v>
      </c>
      <c r="J110" s="112">
        <v>270.11746021018268</v>
      </c>
      <c r="K110" s="112">
        <v>583.6601250223199</v>
      </c>
      <c r="L110" s="112">
        <v>529.03659135261785</v>
      </c>
      <c r="M110" s="112">
        <v>521.12372349137297</v>
      </c>
      <c r="N110" s="112">
        <v>231.32707834283576</v>
      </c>
      <c r="O110" s="112">
        <v>268.22747777875753</v>
      </c>
      <c r="P110" s="112">
        <v>171.5743697175763</v>
      </c>
      <c r="Q110" s="112">
        <v>217.49695242371737</v>
      </c>
      <c r="R110" s="112">
        <v>299.14828568997859</v>
      </c>
      <c r="S110" s="112">
        <v>269.85226815070121</v>
      </c>
      <c r="T110" s="112">
        <v>117.77894956491973</v>
      </c>
      <c r="U110" s="112">
        <v>262.03082686033474</v>
      </c>
      <c r="V110" s="112">
        <v>287.02773186117008</v>
      </c>
      <c r="W110" s="112">
        <v>328.49894064597351</v>
      </c>
      <c r="X110" s="112">
        <v>227.99405277575678</v>
      </c>
      <c r="Y110" s="112">
        <v>235.0323586950249</v>
      </c>
      <c r="Z110" s="112">
        <v>138.43080162196688</v>
      </c>
      <c r="AA110" s="112">
        <v>76.231033441270895</v>
      </c>
      <c r="AB110" s="112">
        <v>48.700963991647541</v>
      </c>
      <c r="AC110" s="112">
        <v>148.61909056408481</v>
      </c>
      <c r="AD110" s="112">
        <v>27.067663431798792</v>
      </c>
      <c r="AE110" s="112">
        <v>105.44775708923575</v>
      </c>
      <c r="AF110" s="112">
        <v>57.612963282389842</v>
      </c>
      <c r="AG110" s="112">
        <v>57.612963282389842</v>
      </c>
      <c r="AH110" s="112">
        <v>236.73075387396437</v>
      </c>
      <c r="AI110" s="112">
        <v>289.15455333984852</v>
      </c>
      <c r="AJ110" s="112">
        <v>342.82920481161483</v>
      </c>
      <c r="AK110" s="112">
        <v>249.70821398006225</v>
      </c>
      <c r="AL110" s="112">
        <v>188.8010580060398</v>
      </c>
      <c r="AM110" s="112">
        <v>492.14754007434476</v>
      </c>
      <c r="AN110" s="112">
        <v>733.54175971626626</v>
      </c>
      <c r="AO110" s="112">
        <v>648.85903193527542</v>
      </c>
      <c r="AP110" s="112">
        <v>412.89987385835366</v>
      </c>
      <c r="AQ110" s="112">
        <v>363.98741570184973</v>
      </c>
      <c r="AR110" s="112">
        <v>426.1656344709898</v>
      </c>
      <c r="AS110" s="112">
        <v>419.48166889143914</v>
      </c>
      <c r="AT110" s="112">
        <v>491.87165515875012</v>
      </c>
      <c r="AU110" s="112">
        <v>377.66472983228471</v>
      </c>
      <c r="AV110" s="112">
        <v>367.50024597664338</v>
      </c>
      <c r="AW110" s="112">
        <v>265.26378250674298</v>
      </c>
      <c r="AX110" s="112">
        <v>477.41457771171571</v>
      </c>
      <c r="AY110" s="112">
        <v>513.38264733205688</v>
      </c>
    </row>
    <row r="111" spans="1:52" x14ac:dyDescent="0.2">
      <c r="A111" s="115"/>
      <c r="B111" s="125">
        <v>3</v>
      </c>
      <c r="C111" s="112">
        <v>2.9303434481984709</v>
      </c>
      <c r="D111" s="112">
        <v>0</v>
      </c>
      <c r="E111" s="112">
        <v>0</v>
      </c>
      <c r="F111" s="112">
        <v>0</v>
      </c>
      <c r="G111" s="112">
        <v>654.25376397863852</v>
      </c>
      <c r="H111" s="112">
        <v>1087.0117562452056</v>
      </c>
      <c r="I111" s="112">
        <v>790.83795057397811</v>
      </c>
      <c r="J111" s="112">
        <v>544.50191894023772</v>
      </c>
      <c r="K111" s="112">
        <v>270.11746021018268</v>
      </c>
      <c r="L111" s="112">
        <v>583.6601250223199</v>
      </c>
      <c r="M111" s="112">
        <v>529.03659135261785</v>
      </c>
      <c r="N111" s="112">
        <v>521.12372349137297</v>
      </c>
      <c r="O111" s="112">
        <v>231.32707834283576</v>
      </c>
      <c r="P111" s="112">
        <v>268.22747777875753</v>
      </c>
      <c r="Q111" s="112">
        <v>171.5743697175763</v>
      </c>
      <c r="R111" s="112">
        <v>217.49695242371737</v>
      </c>
      <c r="S111" s="112">
        <v>299.14828568997859</v>
      </c>
      <c r="T111" s="112">
        <v>269.85226815070121</v>
      </c>
      <c r="U111" s="112">
        <v>117.77894956491973</v>
      </c>
      <c r="V111" s="112">
        <v>262.03082686033474</v>
      </c>
      <c r="W111" s="112">
        <v>287.02773186117008</v>
      </c>
      <c r="X111" s="112">
        <v>328.49894064597351</v>
      </c>
      <c r="Y111" s="112">
        <v>227.99405277575678</v>
      </c>
      <c r="Z111" s="112">
        <v>235.0323586950249</v>
      </c>
      <c r="AA111" s="112">
        <v>138.43080162196688</v>
      </c>
      <c r="AB111" s="112">
        <v>76.231033441270895</v>
      </c>
      <c r="AC111" s="112">
        <v>48.700963991647541</v>
      </c>
      <c r="AD111" s="112">
        <v>148.61909056408481</v>
      </c>
      <c r="AE111" s="112">
        <v>27.067663431798792</v>
      </c>
      <c r="AF111" s="112">
        <v>105.44775708923575</v>
      </c>
      <c r="AG111" s="112">
        <v>57.612963282389842</v>
      </c>
      <c r="AH111" s="112">
        <v>57.612963282389842</v>
      </c>
      <c r="AI111" s="112">
        <v>236.73075387396437</v>
      </c>
      <c r="AJ111" s="112">
        <v>289.15455333984852</v>
      </c>
      <c r="AK111" s="112">
        <v>342.82920481161483</v>
      </c>
      <c r="AL111" s="112">
        <v>249.70821398006225</v>
      </c>
      <c r="AM111" s="112">
        <v>188.8010580060398</v>
      </c>
      <c r="AN111" s="112">
        <v>492.14754007434476</v>
      </c>
      <c r="AO111" s="112">
        <v>733.54175971626626</v>
      </c>
      <c r="AP111" s="112">
        <v>648.85903193527542</v>
      </c>
      <c r="AQ111" s="112">
        <v>412.89987385835366</v>
      </c>
      <c r="AR111" s="112">
        <v>363.98741570184973</v>
      </c>
      <c r="AS111" s="112">
        <v>426.1656344709898</v>
      </c>
      <c r="AT111" s="112">
        <v>419.48166889143914</v>
      </c>
      <c r="AU111" s="112">
        <v>491.87165515875012</v>
      </c>
      <c r="AV111" s="112">
        <v>377.66472983228471</v>
      </c>
      <c r="AW111" s="112">
        <v>367.50024597664338</v>
      </c>
      <c r="AX111" s="112">
        <v>265.26378250674298</v>
      </c>
      <c r="AY111" s="112">
        <v>477.41457771171571</v>
      </c>
    </row>
    <row r="112" spans="1:52" x14ac:dyDescent="0.2">
      <c r="A112" s="115"/>
      <c r="B112" s="126">
        <v>4</v>
      </c>
      <c r="C112" s="112">
        <v>0</v>
      </c>
      <c r="D112" s="112">
        <v>0</v>
      </c>
      <c r="E112" s="112">
        <v>0</v>
      </c>
      <c r="F112" s="112">
        <v>0</v>
      </c>
      <c r="G112" s="112">
        <v>0</v>
      </c>
      <c r="H112" s="112">
        <v>355.3460956548538</v>
      </c>
      <c r="I112" s="112">
        <v>1087.0117562452056</v>
      </c>
      <c r="J112" s="112">
        <v>790.83795057397811</v>
      </c>
      <c r="K112" s="112">
        <v>544.50191894023772</v>
      </c>
      <c r="L112" s="112">
        <v>270.11746021018268</v>
      </c>
      <c r="M112" s="112">
        <v>583.6601250223199</v>
      </c>
      <c r="N112" s="112">
        <v>529.03659135261785</v>
      </c>
      <c r="O112" s="112">
        <v>521.12372349137297</v>
      </c>
      <c r="P112" s="112">
        <v>231.32707834283576</v>
      </c>
      <c r="Q112" s="112">
        <v>268.22747777875753</v>
      </c>
      <c r="R112" s="112">
        <v>171.5743697175763</v>
      </c>
      <c r="S112" s="112">
        <v>217.49695242371737</v>
      </c>
      <c r="T112" s="112">
        <v>299.14828568997859</v>
      </c>
      <c r="U112" s="112">
        <v>269.85226815070121</v>
      </c>
      <c r="V112" s="112">
        <v>117.77894956491973</v>
      </c>
      <c r="W112" s="112">
        <v>262.03082686033474</v>
      </c>
      <c r="X112" s="112">
        <v>287.02773186117008</v>
      </c>
      <c r="Y112" s="112">
        <v>328.49894064597351</v>
      </c>
      <c r="Z112" s="112">
        <v>227.99405277575678</v>
      </c>
      <c r="AA112" s="112">
        <v>235.0323586950249</v>
      </c>
      <c r="AB112" s="112">
        <v>138.43080162196688</v>
      </c>
      <c r="AC112" s="112">
        <v>76.231033441270895</v>
      </c>
      <c r="AD112" s="112">
        <v>48.700963991647541</v>
      </c>
      <c r="AE112" s="112">
        <v>148.61909056408481</v>
      </c>
      <c r="AF112" s="112">
        <v>27.067663431798792</v>
      </c>
      <c r="AG112" s="112">
        <v>105.44775708923575</v>
      </c>
      <c r="AH112" s="112">
        <v>57.612963282389842</v>
      </c>
      <c r="AI112" s="112">
        <v>57.612963282389842</v>
      </c>
      <c r="AJ112" s="112">
        <v>236.73075387396437</v>
      </c>
      <c r="AK112" s="112">
        <v>289.15455333984852</v>
      </c>
      <c r="AL112" s="112">
        <v>342.82920481161483</v>
      </c>
      <c r="AM112" s="112">
        <v>249.70821398006225</v>
      </c>
      <c r="AN112" s="112">
        <v>188.8010580060398</v>
      </c>
      <c r="AO112" s="112">
        <v>492.14754007434476</v>
      </c>
      <c r="AP112" s="112">
        <v>733.54175971626626</v>
      </c>
      <c r="AQ112" s="112">
        <v>648.85903193527542</v>
      </c>
      <c r="AR112" s="112">
        <v>412.89987385835366</v>
      </c>
      <c r="AS112" s="112">
        <v>363.98741570184973</v>
      </c>
      <c r="AT112" s="112">
        <v>426.1656344709898</v>
      </c>
      <c r="AU112" s="112">
        <v>419.48166889143914</v>
      </c>
      <c r="AV112" s="112">
        <v>491.87165515875012</v>
      </c>
      <c r="AW112" s="112">
        <v>377.66472983228471</v>
      </c>
      <c r="AX112" s="112">
        <v>367.50024597664338</v>
      </c>
      <c r="AY112" s="112">
        <v>265.26378250674298</v>
      </c>
    </row>
    <row r="113" spans="1:52" x14ac:dyDescent="0.2">
      <c r="A113" s="115"/>
      <c r="B113" s="126">
        <v>5</v>
      </c>
      <c r="C113" s="112">
        <v>0</v>
      </c>
      <c r="D113" s="112">
        <v>0</v>
      </c>
      <c r="E113" s="112">
        <v>0</v>
      </c>
      <c r="F113" s="112">
        <v>0</v>
      </c>
      <c r="G113" s="112">
        <v>0</v>
      </c>
      <c r="H113" s="112">
        <v>0</v>
      </c>
      <c r="I113" s="112">
        <v>139.3460956548538</v>
      </c>
      <c r="J113" s="112">
        <v>1056.3578519000594</v>
      </c>
      <c r="K113" s="112">
        <v>790.83795057397811</v>
      </c>
      <c r="L113" s="112">
        <v>544.50191894023772</v>
      </c>
      <c r="M113" s="112">
        <v>270.11746021018268</v>
      </c>
      <c r="N113" s="112">
        <v>583.6601250223199</v>
      </c>
      <c r="O113" s="112">
        <v>529.03659135261785</v>
      </c>
      <c r="P113" s="112">
        <v>521.12372349137297</v>
      </c>
      <c r="Q113" s="112">
        <v>231.32707834283576</v>
      </c>
      <c r="R113" s="112">
        <v>268.22747777875753</v>
      </c>
      <c r="S113" s="112">
        <v>171.5743697175763</v>
      </c>
      <c r="T113" s="112">
        <v>217.49695242371737</v>
      </c>
      <c r="U113" s="112">
        <v>299.14828568997859</v>
      </c>
      <c r="V113" s="112">
        <v>269.85226815070121</v>
      </c>
      <c r="W113" s="112">
        <v>117.77894956491973</v>
      </c>
      <c r="X113" s="112">
        <v>262.03082686033474</v>
      </c>
      <c r="Y113" s="112">
        <v>287.02773186117008</v>
      </c>
      <c r="Z113" s="112">
        <v>328.49894064597351</v>
      </c>
      <c r="AA113" s="112">
        <v>227.99405277575678</v>
      </c>
      <c r="AB113" s="112">
        <v>235.0323586950249</v>
      </c>
      <c r="AC113" s="112">
        <v>138.43080162196688</v>
      </c>
      <c r="AD113" s="112">
        <v>76.231033441270895</v>
      </c>
      <c r="AE113" s="112">
        <v>48.700963991647541</v>
      </c>
      <c r="AF113" s="112">
        <v>148.61909056408481</v>
      </c>
      <c r="AG113" s="112">
        <v>27.067663431798792</v>
      </c>
      <c r="AH113" s="112">
        <v>105.44775708923575</v>
      </c>
      <c r="AI113" s="112">
        <v>57.612963282389842</v>
      </c>
      <c r="AJ113" s="112">
        <v>57.612963282389842</v>
      </c>
      <c r="AK113" s="112">
        <v>236.73075387396437</v>
      </c>
      <c r="AL113" s="112">
        <v>289.15455333984852</v>
      </c>
      <c r="AM113" s="112">
        <v>342.82920481161483</v>
      </c>
      <c r="AN113" s="112">
        <v>249.70821398006225</v>
      </c>
      <c r="AO113" s="112">
        <v>188.8010580060398</v>
      </c>
      <c r="AP113" s="112">
        <v>492.14754007434476</v>
      </c>
      <c r="AQ113" s="112">
        <v>733.54175971626626</v>
      </c>
      <c r="AR113" s="112">
        <v>648.85903193527542</v>
      </c>
      <c r="AS113" s="112">
        <v>412.89987385835366</v>
      </c>
      <c r="AT113" s="112">
        <v>363.98741570184973</v>
      </c>
      <c r="AU113" s="112">
        <v>426.1656344709898</v>
      </c>
      <c r="AV113" s="112">
        <v>419.48166889143914</v>
      </c>
      <c r="AW113" s="112">
        <v>491.87165515875012</v>
      </c>
      <c r="AX113" s="112">
        <v>377.66472983228471</v>
      </c>
      <c r="AY113" s="112">
        <v>367.50024597664338</v>
      </c>
    </row>
    <row r="114" spans="1:52" x14ac:dyDescent="0.2">
      <c r="A114" s="115"/>
      <c r="B114" s="126">
        <v>6</v>
      </c>
      <c r="C114" s="112">
        <v>0</v>
      </c>
      <c r="D114" s="112">
        <v>0</v>
      </c>
      <c r="E114" s="112">
        <v>0</v>
      </c>
      <c r="F114" s="112">
        <v>0</v>
      </c>
      <c r="G114" s="112">
        <v>0</v>
      </c>
      <c r="H114" s="112">
        <v>0</v>
      </c>
      <c r="I114" s="112">
        <v>0</v>
      </c>
      <c r="J114" s="112">
        <v>0</v>
      </c>
      <c r="K114" s="112">
        <v>844.35785190005936</v>
      </c>
      <c r="L114" s="112">
        <v>790.83795057397811</v>
      </c>
      <c r="M114" s="112">
        <v>544.50191894023772</v>
      </c>
      <c r="N114" s="112">
        <v>270.11746021018268</v>
      </c>
      <c r="O114" s="112">
        <v>583.6601250223199</v>
      </c>
      <c r="P114" s="112">
        <v>529.03659135261785</v>
      </c>
      <c r="Q114" s="112">
        <v>521.12372349137297</v>
      </c>
      <c r="R114" s="112">
        <v>231.32707834283576</v>
      </c>
      <c r="S114" s="112">
        <v>268.22747777875753</v>
      </c>
      <c r="T114" s="112">
        <v>171.5743697175763</v>
      </c>
      <c r="U114" s="112">
        <v>217.49695242371737</v>
      </c>
      <c r="V114" s="112">
        <v>299.14828568997859</v>
      </c>
      <c r="W114" s="112">
        <v>269.85226815070121</v>
      </c>
      <c r="X114" s="112">
        <v>117.77894956491973</v>
      </c>
      <c r="Y114" s="112">
        <v>262.03082686033474</v>
      </c>
      <c r="Z114" s="112">
        <v>287.02773186117008</v>
      </c>
      <c r="AA114" s="112">
        <v>328.49894064597351</v>
      </c>
      <c r="AB114" s="112">
        <v>227.99405277575678</v>
      </c>
      <c r="AC114" s="112">
        <v>235.0323586950249</v>
      </c>
      <c r="AD114" s="112">
        <v>138.43080162196688</v>
      </c>
      <c r="AE114" s="112">
        <v>76.231033441270895</v>
      </c>
      <c r="AF114" s="112">
        <v>48.700963991647541</v>
      </c>
      <c r="AG114" s="112">
        <v>148.61909056408481</v>
      </c>
      <c r="AH114" s="112">
        <v>27.067663431798792</v>
      </c>
      <c r="AI114" s="112">
        <v>105.44775708923575</v>
      </c>
      <c r="AJ114" s="112">
        <v>57.612963282389842</v>
      </c>
      <c r="AK114" s="112">
        <v>57.612963282389842</v>
      </c>
      <c r="AL114" s="112">
        <v>236.73075387396437</v>
      </c>
      <c r="AM114" s="112">
        <v>289.15455333984852</v>
      </c>
      <c r="AN114" s="112">
        <v>342.82920481161483</v>
      </c>
      <c r="AO114" s="112">
        <v>249.70821398006225</v>
      </c>
      <c r="AP114" s="112">
        <v>188.8010580060398</v>
      </c>
      <c r="AQ114" s="112">
        <v>492.14754007434476</v>
      </c>
      <c r="AR114" s="112">
        <v>733.54175971626626</v>
      </c>
      <c r="AS114" s="112">
        <v>648.85903193527542</v>
      </c>
      <c r="AT114" s="112">
        <v>412.89987385835366</v>
      </c>
      <c r="AU114" s="112">
        <v>363.98741570184973</v>
      </c>
      <c r="AV114" s="112">
        <v>396.09833829049131</v>
      </c>
      <c r="AW114" s="112">
        <v>419.48166889143914</v>
      </c>
      <c r="AX114" s="112">
        <v>491.87165515875012</v>
      </c>
      <c r="AY114" s="112">
        <v>377.66472983228471</v>
      </c>
    </row>
    <row r="115" spans="1:52" x14ac:dyDescent="0.2">
      <c r="A115" s="115"/>
      <c r="B115" s="133">
        <v>7</v>
      </c>
      <c r="C115" s="112">
        <v>0</v>
      </c>
      <c r="D115" s="112">
        <v>0</v>
      </c>
      <c r="E115" s="112">
        <v>0</v>
      </c>
      <c r="F115" s="112">
        <v>0</v>
      </c>
      <c r="G115" s="112">
        <v>0</v>
      </c>
      <c r="H115" s="112">
        <v>0</v>
      </c>
      <c r="I115" s="112">
        <v>0</v>
      </c>
      <c r="J115" s="112">
        <v>0</v>
      </c>
      <c r="K115" s="112">
        <v>0</v>
      </c>
      <c r="L115" s="112">
        <v>644.35785190005936</v>
      </c>
      <c r="M115" s="112">
        <v>790.83795057397811</v>
      </c>
      <c r="N115" s="112">
        <v>544.50191894023772</v>
      </c>
      <c r="O115" s="112">
        <v>270.11746021018268</v>
      </c>
      <c r="P115" s="112">
        <v>583.6601250223199</v>
      </c>
      <c r="Q115" s="112">
        <v>529.03659135261785</v>
      </c>
      <c r="R115" s="112">
        <v>521.12372349137297</v>
      </c>
      <c r="S115" s="112">
        <v>231.32707834283576</v>
      </c>
      <c r="T115" s="112">
        <v>268.22747777875753</v>
      </c>
      <c r="U115" s="112">
        <v>171.5743697175763</v>
      </c>
      <c r="V115" s="112">
        <v>217.49695242371737</v>
      </c>
      <c r="W115" s="112">
        <v>299.14828568997859</v>
      </c>
      <c r="X115" s="112">
        <v>269.85226815070121</v>
      </c>
      <c r="Y115" s="112">
        <v>117.77894956491973</v>
      </c>
      <c r="Z115" s="112">
        <v>262.03082686033474</v>
      </c>
      <c r="AA115" s="112">
        <v>287.02773186117008</v>
      </c>
      <c r="AB115" s="112">
        <v>328.49894064597351</v>
      </c>
      <c r="AC115" s="112">
        <v>227.99405277575678</v>
      </c>
      <c r="AD115" s="112">
        <v>235.0323586950249</v>
      </c>
      <c r="AE115" s="112">
        <v>138.43080162196688</v>
      </c>
      <c r="AF115" s="112">
        <v>76.231033441270895</v>
      </c>
      <c r="AG115" s="112">
        <v>48.700963991647541</v>
      </c>
      <c r="AH115" s="112">
        <v>148.61909056408481</v>
      </c>
      <c r="AI115" s="112">
        <v>27.067663431798792</v>
      </c>
      <c r="AJ115" s="112">
        <v>105.44775708923575</v>
      </c>
      <c r="AK115" s="112">
        <v>57.612963282389842</v>
      </c>
      <c r="AL115" s="112">
        <v>57.612963282389842</v>
      </c>
      <c r="AM115" s="112">
        <v>47.040773946535921</v>
      </c>
      <c r="AN115" s="112">
        <v>145.19532728638444</v>
      </c>
      <c r="AO115" s="112">
        <v>227.02453209799927</v>
      </c>
      <c r="AP115" s="112">
        <v>121.78582615530624</v>
      </c>
      <c r="AQ115" s="112">
        <v>30.267480208119224</v>
      </c>
      <c r="AR115" s="112">
        <v>170.31837424058858</v>
      </c>
      <c r="AS115" s="112">
        <v>195.02881572559318</v>
      </c>
      <c r="AT115" s="112">
        <v>306.13338240002247</v>
      </c>
      <c r="AU115" s="112">
        <v>142.68665255261271</v>
      </c>
      <c r="AV115" s="112">
        <v>0</v>
      </c>
      <c r="AW115" s="112">
        <v>130.63428572677049</v>
      </c>
      <c r="AX115" s="112">
        <v>173.9258959364351</v>
      </c>
      <c r="AY115" s="112">
        <v>315.83099465880355</v>
      </c>
    </row>
    <row r="116" spans="1:52" x14ac:dyDescent="0.2">
      <c r="A116" s="115"/>
      <c r="B116" s="133">
        <v>8</v>
      </c>
      <c r="C116" s="112">
        <v>0</v>
      </c>
      <c r="D116" s="112">
        <v>0</v>
      </c>
      <c r="E116" s="112">
        <v>0</v>
      </c>
      <c r="F116" s="112">
        <v>0</v>
      </c>
      <c r="G116" s="112">
        <v>0</v>
      </c>
      <c r="H116" s="112">
        <v>0</v>
      </c>
      <c r="I116" s="112">
        <v>0</v>
      </c>
      <c r="J116" s="112">
        <v>0</v>
      </c>
      <c r="K116" s="112">
        <v>0</v>
      </c>
      <c r="L116" s="112">
        <v>0</v>
      </c>
      <c r="M116" s="112">
        <v>489.35785190005936</v>
      </c>
      <c r="N116" s="112">
        <v>790.83795057397811</v>
      </c>
      <c r="O116" s="112">
        <v>544.50191894023772</v>
      </c>
      <c r="P116" s="112">
        <v>270.11746021018268</v>
      </c>
      <c r="Q116" s="112">
        <v>583.6601250223199</v>
      </c>
      <c r="R116" s="112">
        <v>529.03659135261785</v>
      </c>
      <c r="S116" s="112">
        <v>521.12372349137297</v>
      </c>
      <c r="T116" s="112">
        <v>231.32707834283576</v>
      </c>
      <c r="U116" s="112">
        <v>268.22747777875753</v>
      </c>
      <c r="V116" s="112">
        <v>171.5743697175763</v>
      </c>
      <c r="W116" s="112">
        <v>217.49695242371737</v>
      </c>
      <c r="X116" s="112">
        <v>299.14828568997859</v>
      </c>
      <c r="Y116" s="112">
        <v>269.85226815070121</v>
      </c>
      <c r="Z116" s="112">
        <v>117.77894956491973</v>
      </c>
      <c r="AA116" s="112">
        <v>262.03082686033474</v>
      </c>
      <c r="AB116" s="112">
        <v>287.02773186117008</v>
      </c>
      <c r="AC116" s="112">
        <v>328.49894064597351</v>
      </c>
      <c r="AD116" s="112">
        <v>227.99405277575678</v>
      </c>
      <c r="AE116" s="112">
        <v>235.0323586950249</v>
      </c>
      <c r="AF116" s="112">
        <v>138.43080162196688</v>
      </c>
      <c r="AG116" s="112">
        <v>76.231033441270895</v>
      </c>
      <c r="AH116" s="112">
        <v>48.700963991647541</v>
      </c>
      <c r="AI116" s="112">
        <v>148.61909056408481</v>
      </c>
      <c r="AJ116" s="112">
        <v>27.067663431798792</v>
      </c>
      <c r="AK116" s="112">
        <v>105.44775708923575</v>
      </c>
      <c r="AL116" s="112">
        <v>7.6970567901817049</v>
      </c>
      <c r="AM116" s="112">
        <v>0</v>
      </c>
      <c r="AN116" s="112">
        <v>0</v>
      </c>
      <c r="AO116" s="112">
        <v>0</v>
      </c>
      <c r="AP116" s="112">
        <v>0</v>
      </c>
      <c r="AQ116" s="112">
        <v>0</v>
      </c>
      <c r="AR116" s="112">
        <v>0</v>
      </c>
      <c r="AS116" s="112">
        <v>0</v>
      </c>
      <c r="AT116" s="112">
        <v>0</v>
      </c>
      <c r="AU116" s="112">
        <v>0</v>
      </c>
      <c r="AV116" s="112">
        <v>0</v>
      </c>
      <c r="AW116" s="112">
        <v>0</v>
      </c>
      <c r="AX116" s="112">
        <v>0</v>
      </c>
      <c r="AY116" s="112">
        <v>0</v>
      </c>
    </row>
    <row r="117" spans="1:52" x14ac:dyDescent="0.2">
      <c r="A117" s="115"/>
      <c r="B117" s="133">
        <v>9</v>
      </c>
      <c r="C117" s="112">
        <v>0</v>
      </c>
      <c r="D117" s="112">
        <v>0</v>
      </c>
      <c r="E117" s="112">
        <v>0</v>
      </c>
      <c r="F117" s="112">
        <v>0</v>
      </c>
      <c r="G117" s="112">
        <v>0</v>
      </c>
      <c r="H117" s="112">
        <v>0</v>
      </c>
      <c r="I117" s="112">
        <v>0</v>
      </c>
      <c r="J117" s="112">
        <v>0</v>
      </c>
      <c r="K117" s="112">
        <v>0</v>
      </c>
      <c r="L117" s="112">
        <v>0</v>
      </c>
      <c r="M117" s="112">
        <v>0</v>
      </c>
      <c r="N117" s="112">
        <v>352.35785190005936</v>
      </c>
      <c r="O117" s="112">
        <v>790.83795057397811</v>
      </c>
      <c r="P117" s="112">
        <v>544.50191894023772</v>
      </c>
      <c r="Q117" s="112">
        <v>270.11746021018268</v>
      </c>
      <c r="R117" s="112">
        <v>583.6601250223199</v>
      </c>
      <c r="S117" s="112">
        <v>529.03659135261785</v>
      </c>
      <c r="T117" s="112">
        <v>521.12372349137297</v>
      </c>
      <c r="U117" s="112">
        <v>231.32707834283576</v>
      </c>
      <c r="V117" s="112">
        <v>268.22747777875753</v>
      </c>
      <c r="W117" s="112">
        <v>171.5743697175763</v>
      </c>
      <c r="X117" s="112">
        <v>217.49695242371737</v>
      </c>
      <c r="Y117" s="112">
        <v>299.14828568997859</v>
      </c>
      <c r="Z117" s="112">
        <v>269.85226815070121</v>
      </c>
      <c r="AA117" s="112">
        <v>117.77894956491973</v>
      </c>
      <c r="AB117" s="112">
        <v>262.03082686033474</v>
      </c>
      <c r="AC117" s="112">
        <v>287.02773186117008</v>
      </c>
      <c r="AD117" s="112">
        <v>328.49894064597351</v>
      </c>
      <c r="AE117" s="112">
        <v>227.99405277575678</v>
      </c>
      <c r="AF117" s="112">
        <v>235.0323586950249</v>
      </c>
      <c r="AG117" s="112">
        <v>138.43080162196688</v>
      </c>
      <c r="AH117" s="112">
        <v>76.231033441270895</v>
      </c>
      <c r="AI117" s="112">
        <v>48.700963991647541</v>
      </c>
      <c r="AJ117" s="112">
        <v>148.61909056408481</v>
      </c>
      <c r="AK117" s="112">
        <v>27.067663431798792</v>
      </c>
      <c r="AL117" s="112">
        <v>0</v>
      </c>
      <c r="AM117" s="112">
        <v>0</v>
      </c>
      <c r="AN117" s="112">
        <v>0</v>
      </c>
      <c r="AO117" s="112">
        <v>0</v>
      </c>
      <c r="AP117" s="112">
        <v>0</v>
      </c>
      <c r="AQ117" s="112">
        <v>0</v>
      </c>
      <c r="AR117" s="112">
        <v>0</v>
      </c>
      <c r="AS117" s="112">
        <v>0</v>
      </c>
      <c r="AT117" s="112">
        <v>0</v>
      </c>
      <c r="AU117" s="112">
        <v>0</v>
      </c>
      <c r="AV117" s="112">
        <v>0</v>
      </c>
      <c r="AW117" s="112">
        <v>0</v>
      </c>
      <c r="AX117" s="112">
        <v>0</v>
      </c>
      <c r="AY117" s="112">
        <v>0</v>
      </c>
    </row>
    <row r="118" spans="1:52" x14ac:dyDescent="0.2">
      <c r="A118" s="115"/>
      <c r="B118" s="136">
        <v>10</v>
      </c>
      <c r="C118" s="112">
        <v>0</v>
      </c>
      <c r="D118" s="112">
        <v>0</v>
      </c>
      <c r="E118" s="112">
        <v>0</v>
      </c>
      <c r="F118" s="112">
        <v>0</v>
      </c>
      <c r="G118" s="112">
        <v>0</v>
      </c>
      <c r="H118" s="112">
        <v>0</v>
      </c>
      <c r="I118" s="112">
        <v>0</v>
      </c>
      <c r="J118" s="112">
        <v>0</v>
      </c>
      <c r="K118" s="112">
        <v>0</v>
      </c>
      <c r="L118" s="112">
        <v>0</v>
      </c>
      <c r="M118" s="112">
        <v>0</v>
      </c>
      <c r="N118" s="112">
        <v>0</v>
      </c>
      <c r="O118" s="112">
        <v>172.74731462210346</v>
      </c>
      <c r="P118" s="112">
        <v>790.83795057397811</v>
      </c>
      <c r="Q118" s="112">
        <v>544.50191894023772</v>
      </c>
      <c r="R118" s="112">
        <v>270.11746021018268</v>
      </c>
      <c r="S118" s="112">
        <v>583.6601250223199</v>
      </c>
      <c r="T118" s="112">
        <v>529.03659135261785</v>
      </c>
      <c r="U118" s="112">
        <v>521.12372349137297</v>
      </c>
      <c r="V118" s="112">
        <v>231.32707834283576</v>
      </c>
      <c r="W118" s="112">
        <v>268.22747777875753</v>
      </c>
      <c r="X118" s="112">
        <v>171.5743697175763</v>
      </c>
      <c r="Y118" s="112">
        <v>217.49695242371737</v>
      </c>
      <c r="Z118" s="112">
        <v>299.14828568997859</v>
      </c>
      <c r="AA118" s="112">
        <v>269.85226815070121</v>
      </c>
      <c r="AB118" s="112">
        <v>117.77894956491973</v>
      </c>
      <c r="AC118" s="112">
        <v>262.03082686033474</v>
      </c>
      <c r="AD118" s="112">
        <v>287.02773186117008</v>
      </c>
      <c r="AE118" s="112">
        <v>328.49894064597351</v>
      </c>
      <c r="AF118" s="112">
        <v>227.99405277575678</v>
      </c>
      <c r="AG118" s="112">
        <v>235.0323586950249</v>
      </c>
      <c r="AH118" s="112">
        <v>138.43080162196688</v>
      </c>
      <c r="AI118" s="112">
        <v>76.231033441270895</v>
      </c>
      <c r="AJ118" s="112">
        <v>48.700963991647541</v>
      </c>
      <c r="AK118" s="112">
        <v>38.568672986757321</v>
      </c>
      <c r="AL118" s="112">
        <v>0</v>
      </c>
      <c r="AM118" s="112">
        <v>0</v>
      </c>
      <c r="AN118" s="112">
        <v>0</v>
      </c>
      <c r="AO118" s="112">
        <v>0</v>
      </c>
      <c r="AP118" s="112">
        <v>0</v>
      </c>
      <c r="AQ118" s="112">
        <v>0</v>
      </c>
      <c r="AR118" s="112">
        <v>0</v>
      </c>
      <c r="AS118" s="112">
        <v>0</v>
      </c>
      <c r="AT118" s="112">
        <v>0</v>
      </c>
      <c r="AU118" s="112">
        <v>0</v>
      </c>
      <c r="AV118" s="112">
        <v>0</v>
      </c>
      <c r="AW118" s="112">
        <v>0</v>
      </c>
      <c r="AX118" s="112">
        <v>0</v>
      </c>
      <c r="AY118" s="112">
        <v>0</v>
      </c>
    </row>
    <row r="119" spans="1:52" x14ac:dyDescent="0.2">
      <c r="A119" s="115"/>
      <c r="B119" s="136">
        <v>11</v>
      </c>
      <c r="C119" s="112">
        <v>0</v>
      </c>
      <c r="D119" s="112">
        <v>0</v>
      </c>
      <c r="E119" s="112">
        <v>0</v>
      </c>
      <c r="F119" s="112">
        <v>0</v>
      </c>
      <c r="G119" s="112">
        <v>0</v>
      </c>
      <c r="H119" s="112">
        <v>0</v>
      </c>
      <c r="I119" s="112">
        <v>0</v>
      </c>
      <c r="J119" s="112">
        <v>0</v>
      </c>
      <c r="K119" s="112">
        <v>0</v>
      </c>
      <c r="L119" s="112">
        <v>0</v>
      </c>
      <c r="M119" s="112">
        <v>0</v>
      </c>
      <c r="N119" s="112">
        <v>0</v>
      </c>
      <c r="O119" s="112">
        <v>0</v>
      </c>
      <c r="P119" s="112">
        <v>44.285632846680187</v>
      </c>
      <c r="Q119" s="112">
        <v>663.01337540523082</v>
      </c>
      <c r="R119" s="112">
        <v>544.50191894023772</v>
      </c>
      <c r="S119" s="112">
        <v>270.11746021018268</v>
      </c>
      <c r="T119" s="112">
        <v>583.6601250223199</v>
      </c>
      <c r="U119" s="112">
        <v>529.03659135261785</v>
      </c>
      <c r="V119" s="112">
        <v>521.12372349137297</v>
      </c>
      <c r="W119" s="112">
        <v>231.32707834283576</v>
      </c>
      <c r="X119" s="112">
        <v>268.22747777875753</v>
      </c>
      <c r="Y119" s="112">
        <v>171.5743697175763</v>
      </c>
      <c r="Z119" s="112">
        <v>217.49695242371737</v>
      </c>
      <c r="AA119" s="112">
        <v>299.14828568997859</v>
      </c>
      <c r="AB119" s="112">
        <v>269.85226815070121</v>
      </c>
      <c r="AC119" s="112">
        <v>117.77894956491973</v>
      </c>
      <c r="AD119" s="112">
        <v>262.03082686033474</v>
      </c>
      <c r="AE119" s="112">
        <v>287.02773186117008</v>
      </c>
      <c r="AF119" s="112">
        <v>328.49894064597351</v>
      </c>
      <c r="AG119" s="112">
        <v>227.99405277575678</v>
      </c>
      <c r="AH119" s="112">
        <v>235.0323586950249</v>
      </c>
      <c r="AI119" s="112">
        <v>138.43080162196688</v>
      </c>
      <c r="AJ119" s="112">
        <v>76.231033441270895</v>
      </c>
      <c r="AK119" s="112">
        <v>0</v>
      </c>
      <c r="AL119" s="112">
        <v>0</v>
      </c>
      <c r="AM119" s="112">
        <v>0</v>
      </c>
      <c r="AN119" s="112">
        <v>0</v>
      </c>
      <c r="AO119" s="112">
        <v>0</v>
      </c>
      <c r="AP119" s="112">
        <v>0</v>
      </c>
      <c r="AQ119" s="112">
        <v>0</v>
      </c>
      <c r="AR119" s="112">
        <v>0</v>
      </c>
      <c r="AS119" s="112">
        <v>0</v>
      </c>
      <c r="AT119" s="112">
        <v>0</v>
      </c>
      <c r="AU119" s="112">
        <v>0</v>
      </c>
      <c r="AV119" s="112">
        <v>0</v>
      </c>
      <c r="AW119" s="112">
        <v>0</v>
      </c>
      <c r="AX119" s="112">
        <v>0</v>
      </c>
      <c r="AY119" s="112">
        <v>0</v>
      </c>
    </row>
    <row r="120" spans="1:52" x14ac:dyDescent="0.2">
      <c r="A120" s="115"/>
      <c r="B120" s="136">
        <v>12</v>
      </c>
      <c r="C120" s="112">
        <v>0</v>
      </c>
      <c r="D120" s="112">
        <v>0</v>
      </c>
      <c r="E120" s="112">
        <v>0</v>
      </c>
      <c r="F120" s="112">
        <v>0</v>
      </c>
      <c r="G120" s="112">
        <v>0</v>
      </c>
      <c r="H120" s="112">
        <v>0</v>
      </c>
      <c r="I120" s="112">
        <v>0</v>
      </c>
      <c r="J120" s="112">
        <v>0</v>
      </c>
      <c r="K120" s="112">
        <v>0</v>
      </c>
      <c r="L120" s="112">
        <v>0</v>
      </c>
      <c r="M120" s="112">
        <v>0</v>
      </c>
      <c r="N120" s="112">
        <v>0</v>
      </c>
      <c r="O120" s="112">
        <v>0</v>
      </c>
      <c r="P120" s="112">
        <v>0</v>
      </c>
      <c r="Q120" s="112">
        <v>0</v>
      </c>
      <c r="R120" s="112">
        <v>507.36514555687739</v>
      </c>
      <c r="S120" s="112">
        <v>544.50191894023772</v>
      </c>
      <c r="T120" s="112">
        <v>270.11746021018268</v>
      </c>
      <c r="U120" s="112">
        <v>429.49286671155198</v>
      </c>
      <c r="V120" s="112">
        <v>529.03659135261785</v>
      </c>
      <c r="W120" s="112">
        <v>521.12372349137297</v>
      </c>
      <c r="X120" s="112">
        <v>231.32707834283576</v>
      </c>
      <c r="Y120" s="112">
        <v>268.22747777875753</v>
      </c>
      <c r="Z120" s="112">
        <v>171.5743697175763</v>
      </c>
      <c r="AA120" s="112">
        <v>212.07132214129368</v>
      </c>
      <c r="AB120" s="112">
        <v>299.14828568997859</v>
      </c>
      <c r="AC120" s="112">
        <v>269.85226815070121</v>
      </c>
      <c r="AD120" s="112">
        <v>117.77894956491973</v>
      </c>
      <c r="AE120" s="112">
        <v>234.80977642525448</v>
      </c>
      <c r="AF120" s="112">
        <v>287.02773186117008</v>
      </c>
      <c r="AG120" s="112">
        <v>328.49894064597351</v>
      </c>
      <c r="AH120" s="112">
        <v>227.99405277575678</v>
      </c>
      <c r="AI120" s="112">
        <v>168.0275143049065</v>
      </c>
      <c r="AJ120" s="112">
        <v>21.017584989754056</v>
      </c>
      <c r="AK120" s="112">
        <v>0</v>
      </c>
      <c r="AL120" s="112">
        <v>0</v>
      </c>
      <c r="AM120" s="112">
        <v>0</v>
      </c>
      <c r="AN120" s="112">
        <v>0</v>
      </c>
      <c r="AO120" s="112">
        <v>0</v>
      </c>
      <c r="AP120" s="112">
        <v>0</v>
      </c>
      <c r="AQ120" s="112">
        <v>0</v>
      </c>
      <c r="AR120" s="112">
        <v>0</v>
      </c>
      <c r="AS120" s="112">
        <v>0</v>
      </c>
      <c r="AT120" s="112">
        <v>0</v>
      </c>
      <c r="AU120" s="112">
        <v>0</v>
      </c>
      <c r="AV120" s="112">
        <v>0</v>
      </c>
      <c r="AW120" s="112">
        <v>0</v>
      </c>
      <c r="AX120" s="112">
        <v>0</v>
      </c>
      <c r="AY120" s="112">
        <v>0</v>
      </c>
    </row>
    <row r="121" spans="1:52" x14ac:dyDescent="0.2">
      <c r="A121" s="134"/>
      <c r="B121" s="138" t="s">
        <v>296</v>
      </c>
      <c r="C121" s="120">
        <v>0</v>
      </c>
      <c r="D121" s="131">
        <v>0</v>
      </c>
      <c r="E121" s="131">
        <v>0</v>
      </c>
      <c r="F121" s="131">
        <v>0</v>
      </c>
      <c r="G121" s="131">
        <v>0</v>
      </c>
      <c r="H121" s="131">
        <v>0</v>
      </c>
      <c r="I121" s="131">
        <v>0</v>
      </c>
      <c r="J121" s="131">
        <v>0</v>
      </c>
      <c r="K121" s="131">
        <v>0</v>
      </c>
      <c r="L121" s="131">
        <v>0</v>
      </c>
      <c r="M121" s="131">
        <v>0</v>
      </c>
      <c r="N121" s="131">
        <v>0</v>
      </c>
      <c r="O121" s="131">
        <v>0</v>
      </c>
      <c r="P121" s="131">
        <v>0</v>
      </c>
      <c r="Q121" s="131">
        <v>0</v>
      </c>
      <c r="R121" s="131">
        <v>0</v>
      </c>
      <c r="S121" s="131">
        <v>394.36514555687739</v>
      </c>
      <c r="T121" s="131">
        <v>421.50191894023772</v>
      </c>
      <c r="U121" s="131">
        <v>125.11746021018268</v>
      </c>
      <c r="V121" s="131">
        <v>255.49286671155198</v>
      </c>
      <c r="W121" s="131">
        <v>372.72634782983806</v>
      </c>
      <c r="X121" s="131">
        <v>347.49183116657667</v>
      </c>
      <c r="Y121" s="131">
        <v>31.307556607342718</v>
      </c>
      <c r="Z121" s="131">
        <v>103.05223890963549</v>
      </c>
      <c r="AA121" s="131">
        <v>0</v>
      </c>
      <c r="AB121" s="131">
        <v>67.071322141293678</v>
      </c>
      <c r="AC121" s="131">
        <v>137.02634194148271</v>
      </c>
      <c r="AD121" s="131">
        <v>85.852268150701207</v>
      </c>
      <c r="AE121" s="131">
        <v>0</v>
      </c>
      <c r="AF121" s="131">
        <v>60.809776425254483</v>
      </c>
      <c r="AG121" s="131">
        <v>46.027731861170082</v>
      </c>
      <c r="AH121" s="131">
        <v>96.717518880148987</v>
      </c>
      <c r="AI121" s="131">
        <v>0</v>
      </c>
      <c r="AJ121" s="131">
        <v>0</v>
      </c>
      <c r="AK121" s="131">
        <v>0</v>
      </c>
      <c r="AL121" s="131">
        <v>0</v>
      </c>
      <c r="AM121" s="131">
        <v>0</v>
      </c>
      <c r="AN121" s="131">
        <v>0</v>
      </c>
      <c r="AO121" s="131">
        <v>0</v>
      </c>
      <c r="AP121" s="131">
        <v>0</v>
      </c>
      <c r="AQ121" s="131">
        <v>0</v>
      </c>
      <c r="AR121" s="131">
        <v>0</v>
      </c>
      <c r="AS121" s="131">
        <v>0</v>
      </c>
      <c r="AT121" s="131">
        <v>0</v>
      </c>
      <c r="AU121" s="131">
        <v>0</v>
      </c>
      <c r="AV121" s="131">
        <v>0</v>
      </c>
      <c r="AW121" s="131">
        <v>0</v>
      </c>
      <c r="AX121" s="131">
        <v>0</v>
      </c>
      <c r="AY121" s="131">
        <v>0</v>
      </c>
      <c r="AZ121" s="113">
        <f>SUM($D121:$AY121)</f>
        <v>2544.5603253322938</v>
      </c>
    </row>
    <row r="122" spans="1:52" x14ac:dyDescent="0.2">
      <c r="A122" s="137" t="s">
        <v>123</v>
      </c>
      <c r="B122" s="125">
        <v>1</v>
      </c>
      <c r="C122" s="112">
        <v>161.12398742197004</v>
      </c>
      <c r="D122" s="112">
        <v>245.95000126832451</v>
      </c>
      <c r="E122" s="112">
        <v>731.66025253846692</v>
      </c>
      <c r="F122" s="112">
        <v>618.44273980367495</v>
      </c>
      <c r="G122" s="112">
        <v>425.2797533531384</v>
      </c>
      <c r="H122" s="112">
        <v>179.11113709610427</v>
      </c>
      <c r="I122" s="112">
        <v>551.60387563145468</v>
      </c>
      <c r="J122" s="112">
        <v>664.82138836624665</v>
      </c>
      <c r="K122" s="112">
        <v>664.82138836624677</v>
      </c>
      <c r="L122" s="112">
        <v>529.32716345689687</v>
      </c>
      <c r="M122" s="112">
        <v>529.32716345689687</v>
      </c>
      <c r="N122" s="112">
        <v>43.61691218675449</v>
      </c>
      <c r="O122" s="112">
        <v>529.32716345689687</v>
      </c>
      <c r="P122" s="112">
        <v>471.64497971875335</v>
      </c>
      <c r="Q122" s="112">
        <v>471.64497971875335</v>
      </c>
      <c r="R122" s="112">
        <v>38.41459621627255</v>
      </c>
      <c r="S122" s="112">
        <v>454.84233190390808</v>
      </c>
      <c r="T122" s="112">
        <v>574.77998435969778</v>
      </c>
      <c r="U122" s="112">
        <v>574.77998435969778</v>
      </c>
      <c r="V122" s="112">
        <v>158.35224867206225</v>
      </c>
      <c r="W122" s="112">
        <v>292.17818605257395</v>
      </c>
      <c r="X122" s="112">
        <v>370.56533861750876</v>
      </c>
      <c r="Y122" s="112">
        <v>370.56533861750876</v>
      </c>
      <c r="Z122" s="112">
        <v>236.73940123699705</v>
      </c>
      <c r="AA122" s="112">
        <v>722.44965250713949</v>
      </c>
      <c r="AB122" s="112">
        <v>89.492867634177784</v>
      </c>
      <c r="AC122" s="112">
        <v>407.67742325394937</v>
      </c>
      <c r="AD122" s="112">
        <v>396.58557651012819</v>
      </c>
      <c r="AE122" s="112">
        <v>396.58557651012819</v>
      </c>
      <c r="AF122" s="112">
        <v>438.93177686275681</v>
      </c>
      <c r="AG122" s="112">
        <v>438.93177686275681</v>
      </c>
      <c r="AH122" s="112">
        <v>523.45625186504446</v>
      </c>
      <c r="AI122" s="112">
        <v>311.1688200716203</v>
      </c>
      <c r="AJ122" s="112">
        <v>321.19957056154607</v>
      </c>
      <c r="AK122" s="112">
        <v>712.81675443978418</v>
      </c>
      <c r="AL122" s="112">
        <v>713.70585113849938</v>
      </c>
      <c r="AM122" s="112">
        <v>713.70585113849927</v>
      </c>
      <c r="AN122" s="112">
        <v>720.76264360794573</v>
      </c>
      <c r="AO122" s="112">
        <v>507.58611511580636</v>
      </c>
      <c r="AP122" s="112">
        <v>686.58424223737575</v>
      </c>
      <c r="AQ122" s="112">
        <v>686.58424223737575</v>
      </c>
      <c r="AR122" s="112">
        <v>506.62103632738626</v>
      </c>
      <c r="AS122" s="112">
        <v>506.62103632738632</v>
      </c>
      <c r="AT122" s="112">
        <v>562.00977379802509</v>
      </c>
      <c r="AU122" s="112">
        <v>327.62290920581694</v>
      </c>
      <c r="AV122" s="112">
        <v>664.60827507805902</v>
      </c>
      <c r="AW122" s="112">
        <v>664.60827507805902</v>
      </c>
      <c r="AX122" s="112">
        <v>508.10382730703873</v>
      </c>
      <c r="AY122" s="112">
        <v>430.22141048585081</v>
      </c>
    </row>
    <row r="123" spans="1:52" x14ac:dyDescent="0.2">
      <c r="A123" s="115"/>
      <c r="B123" s="125">
        <v>2</v>
      </c>
      <c r="C123" s="112">
        <v>55.420690102746825</v>
      </c>
      <c r="D123" s="112">
        <v>421.12986272038199</v>
      </c>
      <c r="E123" s="112">
        <v>489.61964307071253</v>
      </c>
      <c r="F123" s="112">
        <v>351.86640603033737</v>
      </c>
      <c r="G123" s="112">
        <v>297.41840346702912</v>
      </c>
      <c r="H123" s="112">
        <v>204.52342169833773</v>
      </c>
      <c r="I123" s="112">
        <v>469.27648388121884</v>
      </c>
      <c r="J123" s="112">
        <v>298.06236449866162</v>
      </c>
      <c r="K123" s="112">
        <v>359.2401064239852</v>
      </c>
      <c r="L123" s="112">
        <v>359.24010642398525</v>
      </c>
      <c r="M123" s="112">
        <v>404.11964354072745</v>
      </c>
      <c r="N123" s="112">
        <v>404.11964354072745</v>
      </c>
      <c r="O123" s="112">
        <v>33.299728829604561</v>
      </c>
      <c r="P123" s="112">
        <v>404.11964354072745</v>
      </c>
      <c r="Q123" s="112">
        <v>332.93569173997457</v>
      </c>
      <c r="R123" s="112">
        <v>332.93569173997457</v>
      </c>
      <c r="S123" s="112">
        <v>436.12557530024549</v>
      </c>
      <c r="T123" s="112">
        <v>321.07464918920988</v>
      </c>
      <c r="U123" s="112">
        <v>396.56376525737301</v>
      </c>
      <c r="V123" s="112">
        <v>396.56376525737301</v>
      </c>
      <c r="W123" s="112">
        <v>243.07950514404502</v>
      </c>
      <c r="X123" s="112">
        <v>201.58544963279053</v>
      </c>
      <c r="Y123" s="112">
        <v>0</v>
      </c>
      <c r="Z123" s="112">
        <v>0</v>
      </c>
      <c r="AA123" s="112">
        <v>0</v>
      </c>
      <c r="AB123" s="112">
        <v>96.83056194305459</v>
      </c>
      <c r="AC123" s="112">
        <v>318.18455561977157</v>
      </c>
      <c r="AD123" s="112">
        <v>0</v>
      </c>
      <c r="AE123" s="112">
        <v>0</v>
      </c>
      <c r="AF123" s="112">
        <v>0</v>
      </c>
      <c r="AG123" s="112">
        <v>97.201022988792431</v>
      </c>
      <c r="AH123" s="112">
        <v>112.19682474587619</v>
      </c>
      <c r="AI123" s="112">
        <v>151.82497463343066</v>
      </c>
      <c r="AJ123" s="112">
        <v>41.844849787869379</v>
      </c>
      <c r="AK123" s="112">
        <v>21.243362343375651</v>
      </c>
      <c r="AL123" s="112">
        <v>305.2000085022392</v>
      </c>
      <c r="AM123" s="112">
        <v>342.54350227121762</v>
      </c>
      <c r="AN123" s="112">
        <v>342.54350227121756</v>
      </c>
      <c r="AO123" s="112">
        <v>465.87641271701955</v>
      </c>
      <c r="AP123" s="112">
        <v>518.51918073886691</v>
      </c>
      <c r="AQ123" s="112">
        <v>443.78465870599342</v>
      </c>
      <c r="AR123" s="112">
        <v>432.62431185608727</v>
      </c>
      <c r="AS123" s="112">
        <v>214.54237479346179</v>
      </c>
      <c r="AT123" s="112">
        <v>139.74421602771719</v>
      </c>
      <c r="AU123" s="112">
        <v>178.90714014333551</v>
      </c>
      <c r="AV123" s="112">
        <v>234.3868645922081</v>
      </c>
      <c r="AW123" s="112">
        <v>302.11650939483059</v>
      </c>
      <c r="AX123" s="112">
        <v>306.1520784590582</v>
      </c>
      <c r="AY123" s="112">
        <v>238.27347623698918</v>
      </c>
    </row>
    <row r="124" spans="1:52" x14ac:dyDescent="0.2">
      <c r="A124" s="115"/>
      <c r="B124" s="125">
        <v>3</v>
      </c>
      <c r="C124" s="112">
        <v>403.3170567994955</v>
      </c>
      <c r="D124" s="112">
        <v>52.376387594171256</v>
      </c>
      <c r="E124" s="112">
        <v>202.52767695574602</v>
      </c>
      <c r="F124" s="112">
        <v>235.46544114078492</v>
      </c>
      <c r="G124" s="112">
        <v>169.21784019721224</v>
      </c>
      <c r="H124" s="112">
        <v>143.03297787755983</v>
      </c>
      <c r="I124" s="112">
        <v>248.92822360817587</v>
      </c>
      <c r="J124" s="112">
        <v>188.08609359986789</v>
      </c>
      <c r="K124" s="112">
        <v>109.69314868817303</v>
      </c>
      <c r="L124" s="112">
        <v>89.390813563046777</v>
      </c>
      <c r="M124" s="112">
        <v>200.51136156036571</v>
      </c>
      <c r="N124" s="112">
        <v>277.61104723850508</v>
      </c>
      <c r="O124" s="112">
        <v>308.52882219180344</v>
      </c>
      <c r="P124" s="112">
        <v>25.422981236666672</v>
      </c>
      <c r="Q124" s="112">
        <v>112.98201950158386</v>
      </c>
      <c r="R124" s="112">
        <v>29.126501221282581</v>
      </c>
      <c r="S124" s="112">
        <v>0</v>
      </c>
      <c r="T124" s="112">
        <v>29.862431154608885</v>
      </c>
      <c r="U124" s="112">
        <v>88.125567584973453</v>
      </c>
      <c r="V124" s="112">
        <v>180.40661129869775</v>
      </c>
      <c r="W124" s="112">
        <v>222.76476116606318</v>
      </c>
      <c r="X124" s="112">
        <v>100.77275171007039</v>
      </c>
      <c r="Y124" s="112">
        <v>0</v>
      </c>
      <c r="Z124" s="112">
        <v>0</v>
      </c>
      <c r="AA124" s="112">
        <v>0</v>
      </c>
      <c r="AB124" s="112">
        <v>0</v>
      </c>
      <c r="AC124" s="112">
        <v>0</v>
      </c>
      <c r="AD124" s="112">
        <v>0</v>
      </c>
      <c r="AE124" s="112">
        <v>0</v>
      </c>
      <c r="AF124" s="112">
        <v>0</v>
      </c>
      <c r="AG124" s="112">
        <v>0</v>
      </c>
      <c r="AH124" s="112">
        <v>0</v>
      </c>
      <c r="AI124" s="112">
        <v>0</v>
      </c>
      <c r="AJ124" s="112">
        <v>0</v>
      </c>
      <c r="AK124" s="112">
        <v>212.28743179342413</v>
      </c>
      <c r="AL124" s="112">
        <v>391.61718387823805</v>
      </c>
      <c r="AM124" s="112">
        <v>146.48090615874031</v>
      </c>
      <c r="AN124" s="112">
        <v>104.28460073471658</v>
      </c>
      <c r="AO124" s="112">
        <v>55.814460038506695</v>
      </c>
      <c r="AP124" s="112">
        <v>0</v>
      </c>
      <c r="AQ124" s="112">
        <v>55.833725846032621</v>
      </c>
      <c r="AR124" s="112">
        <v>0</v>
      </c>
      <c r="AS124" s="112">
        <v>0</v>
      </c>
      <c r="AT124" s="112">
        <v>0</v>
      </c>
      <c r="AU124" s="112">
        <v>0</v>
      </c>
      <c r="AV124" s="112">
        <v>0</v>
      </c>
      <c r="AW124" s="112">
        <v>0</v>
      </c>
      <c r="AX124" s="112">
        <v>0</v>
      </c>
      <c r="AY124" s="112">
        <v>25.602368006177244</v>
      </c>
    </row>
    <row r="125" spans="1:52" x14ac:dyDescent="0.2">
      <c r="A125" s="115"/>
      <c r="B125" s="125">
        <v>4</v>
      </c>
      <c r="C125" s="112">
        <v>362.94400667869837</v>
      </c>
      <c r="D125" s="112">
        <v>381.1625306561055</v>
      </c>
      <c r="E125" s="112">
        <v>25.188591562371446</v>
      </c>
      <c r="F125" s="112">
        <v>97.39860210370648</v>
      </c>
      <c r="G125" s="112">
        <v>113.23886767267022</v>
      </c>
      <c r="H125" s="112">
        <v>60.998906041688578</v>
      </c>
      <c r="I125" s="112">
        <v>0</v>
      </c>
      <c r="J125" s="112">
        <v>0</v>
      </c>
      <c r="K125" s="112">
        <v>0</v>
      </c>
      <c r="L125" s="112">
        <v>0</v>
      </c>
      <c r="M125" s="112">
        <v>0</v>
      </c>
      <c r="N125" s="112">
        <v>0</v>
      </c>
      <c r="O125" s="112">
        <v>48.334144949046816</v>
      </c>
      <c r="P125" s="112">
        <v>115.98860045081695</v>
      </c>
      <c r="Q125" s="112">
        <v>0</v>
      </c>
      <c r="R125" s="112">
        <v>0</v>
      </c>
      <c r="S125" s="112">
        <v>0</v>
      </c>
      <c r="T125" s="112">
        <v>0</v>
      </c>
      <c r="U125" s="112">
        <v>0</v>
      </c>
      <c r="V125" s="112">
        <v>0</v>
      </c>
      <c r="W125" s="112">
        <v>0</v>
      </c>
      <c r="X125" s="112">
        <v>0</v>
      </c>
      <c r="Y125" s="112">
        <v>0</v>
      </c>
      <c r="Z125" s="112">
        <v>0</v>
      </c>
      <c r="AA125" s="112">
        <v>0</v>
      </c>
      <c r="AB125" s="112">
        <v>0</v>
      </c>
      <c r="AC125" s="112">
        <v>0</v>
      </c>
      <c r="AD125" s="112">
        <v>0</v>
      </c>
      <c r="AE125" s="112">
        <v>0</v>
      </c>
      <c r="AF125" s="112">
        <v>0</v>
      </c>
      <c r="AG125" s="112">
        <v>0</v>
      </c>
      <c r="AH125" s="112">
        <v>0</v>
      </c>
      <c r="AI125" s="112">
        <v>0</v>
      </c>
      <c r="AJ125" s="112">
        <v>0</v>
      </c>
      <c r="AK125" s="112">
        <v>0</v>
      </c>
      <c r="AL125" s="112">
        <v>0</v>
      </c>
      <c r="AM125" s="112">
        <v>44.956875372752364</v>
      </c>
      <c r="AN125" s="112">
        <v>0</v>
      </c>
      <c r="AO125" s="112">
        <v>0</v>
      </c>
      <c r="AP125" s="112">
        <v>0</v>
      </c>
      <c r="AQ125" s="112">
        <v>0</v>
      </c>
      <c r="AR125" s="112">
        <v>0</v>
      </c>
      <c r="AS125" s="112">
        <v>0</v>
      </c>
      <c r="AT125" s="112">
        <v>0</v>
      </c>
      <c r="AU125" s="112">
        <v>0</v>
      </c>
      <c r="AV125" s="112">
        <v>0</v>
      </c>
      <c r="AW125" s="112">
        <v>0</v>
      </c>
      <c r="AX125" s="112">
        <v>0</v>
      </c>
      <c r="AY125" s="112">
        <v>0</v>
      </c>
    </row>
    <row r="126" spans="1:52" x14ac:dyDescent="0.2">
      <c r="A126" s="115"/>
      <c r="B126" s="125">
        <v>5</v>
      </c>
      <c r="C126" s="112">
        <v>329.99726229417786</v>
      </c>
      <c r="D126" s="112">
        <v>343.00720423260856</v>
      </c>
      <c r="E126" s="112">
        <v>183.30678659948239</v>
      </c>
      <c r="F126" s="112">
        <v>12.113572051054872</v>
      </c>
      <c r="G126" s="112">
        <v>43.810028191558636</v>
      </c>
      <c r="H126" s="112">
        <v>0</v>
      </c>
      <c r="I126" s="112">
        <v>0</v>
      </c>
      <c r="J126" s="112">
        <v>0</v>
      </c>
      <c r="K126" s="112">
        <v>0</v>
      </c>
      <c r="L126" s="112">
        <v>0</v>
      </c>
      <c r="M126" s="112">
        <v>0</v>
      </c>
      <c r="N126" s="112">
        <v>0</v>
      </c>
      <c r="O126" s="112">
        <v>0</v>
      </c>
      <c r="P126" s="112">
        <v>0</v>
      </c>
      <c r="Q126" s="112">
        <v>0</v>
      </c>
      <c r="R126" s="112">
        <v>0</v>
      </c>
      <c r="S126" s="112">
        <v>0</v>
      </c>
      <c r="T126" s="112">
        <v>0</v>
      </c>
      <c r="U126" s="112">
        <v>0</v>
      </c>
      <c r="V126" s="112">
        <v>0</v>
      </c>
      <c r="W126" s="112">
        <v>0</v>
      </c>
      <c r="X126" s="112">
        <v>0</v>
      </c>
      <c r="Y126" s="112">
        <v>0</v>
      </c>
      <c r="Z126" s="112">
        <v>0</v>
      </c>
      <c r="AA126" s="112">
        <v>0</v>
      </c>
      <c r="AB126" s="112">
        <v>0</v>
      </c>
      <c r="AC126" s="112">
        <v>0</v>
      </c>
      <c r="AD126" s="112">
        <v>0</v>
      </c>
      <c r="AE126" s="112">
        <v>0</v>
      </c>
      <c r="AF126" s="112">
        <v>0</v>
      </c>
      <c r="AG126" s="112">
        <v>0</v>
      </c>
      <c r="AH126" s="112">
        <v>0</v>
      </c>
      <c r="AI126" s="112">
        <v>0</v>
      </c>
      <c r="AJ126" s="112">
        <v>0</v>
      </c>
      <c r="AK126" s="112">
        <v>0</v>
      </c>
      <c r="AL126" s="112">
        <v>0</v>
      </c>
      <c r="AM126" s="112">
        <v>0</v>
      </c>
      <c r="AN126" s="112">
        <v>0</v>
      </c>
      <c r="AO126" s="112">
        <v>0</v>
      </c>
      <c r="AP126" s="112">
        <v>0</v>
      </c>
      <c r="AQ126" s="112">
        <v>0</v>
      </c>
      <c r="AR126" s="112">
        <v>0</v>
      </c>
      <c r="AS126" s="112">
        <v>0</v>
      </c>
      <c r="AT126" s="112">
        <v>0</v>
      </c>
      <c r="AU126" s="112">
        <v>0</v>
      </c>
      <c r="AV126" s="112">
        <v>0</v>
      </c>
      <c r="AW126" s="112">
        <v>0</v>
      </c>
      <c r="AX126" s="112">
        <v>0</v>
      </c>
      <c r="AY126" s="112">
        <v>0</v>
      </c>
    </row>
    <row r="127" spans="1:52" x14ac:dyDescent="0.2">
      <c r="A127" s="115"/>
      <c r="B127" s="125">
        <v>6</v>
      </c>
      <c r="C127" s="112">
        <v>295.15978321081656</v>
      </c>
      <c r="D127" s="112">
        <v>311.87025067518243</v>
      </c>
      <c r="E127" s="112">
        <v>164.9573169747888</v>
      </c>
      <c r="F127" s="112">
        <v>88.154987206085565</v>
      </c>
      <c r="G127" s="112">
        <v>0</v>
      </c>
      <c r="H127" s="112">
        <v>0</v>
      </c>
      <c r="I127" s="112">
        <v>0</v>
      </c>
      <c r="J127" s="112">
        <v>0</v>
      </c>
      <c r="K127" s="112">
        <v>0</v>
      </c>
      <c r="L127" s="112">
        <v>0</v>
      </c>
      <c r="M127" s="112">
        <v>0</v>
      </c>
      <c r="N127" s="112">
        <v>0</v>
      </c>
      <c r="O127" s="112">
        <v>0</v>
      </c>
      <c r="P127" s="112">
        <v>0</v>
      </c>
      <c r="Q127" s="112">
        <v>0</v>
      </c>
      <c r="R127" s="112">
        <v>0</v>
      </c>
      <c r="S127" s="112">
        <v>0</v>
      </c>
      <c r="T127" s="112">
        <v>0</v>
      </c>
      <c r="U127" s="112">
        <v>0</v>
      </c>
      <c r="V127" s="112">
        <v>0</v>
      </c>
      <c r="W127" s="112">
        <v>0</v>
      </c>
      <c r="X127" s="112">
        <v>0</v>
      </c>
      <c r="Y127" s="112">
        <v>0</v>
      </c>
      <c r="Z127" s="112">
        <v>0</v>
      </c>
      <c r="AA127" s="112">
        <v>0</v>
      </c>
      <c r="AB127" s="112">
        <v>0</v>
      </c>
      <c r="AC127" s="112">
        <v>0</v>
      </c>
      <c r="AD127" s="112">
        <v>0</v>
      </c>
      <c r="AE127" s="112">
        <v>0</v>
      </c>
      <c r="AF127" s="112">
        <v>0</v>
      </c>
      <c r="AG127" s="112">
        <v>0</v>
      </c>
      <c r="AH127" s="112">
        <v>0</v>
      </c>
      <c r="AI127" s="112">
        <v>0</v>
      </c>
      <c r="AJ127" s="112">
        <v>0</v>
      </c>
      <c r="AK127" s="112">
        <v>0</v>
      </c>
      <c r="AL127" s="112">
        <v>0</v>
      </c>
      <c r="AM127" s="112">
        <v>0</v>
      </c>
      <c r="AN127" s="112">
        <v>0</v>
      </c>
      <c r="AO127" s="112">
        <v>0</v>
      </c>
      <c r="AP127" s="112">
        <v>0</v>
      </c>
      <c r="AQ127" s="112">
        <v>0</v>
      </c>
      <c r="AR127" s="112">
        <v>0</v>
      </c>
      <c r="AS127" s="112">
        <v>0</v>
      </c>
      <c r="AT127" s="112">
        <v>0</v>
      </c>
      <c r="AU127" s="112">
        <v>0</v>
      </c>
      <c r="AV127" s="112">
        <v>0</v>
      </c>
      <c r="AW127" s="112">
        <v>0</v>
      </c>
      <c r="AX127" s="112">
        <v>0</v>
      </c>
      <c r="AY127" s="112">
        <v>0</v>
      </c>
    </row>
    <row r="128" spans="1:52" x14ac:dyDescent="0.2">
      <c r="A128" s="115"/>
      <c r="B128" s="125">
        <v>7</v>
      </c>
      <c r="C128" s="112">
        <v>320.06907947340994</v>
      </c>
      <c r="D128" s="112">
        <v>278.94642197707083</v>
      </c>
      <c r="E128" s="112">
        <v>149.98308828739806</v>
      </c>
      <c r="F128" s="112">
        <v>79.330451628263759</v>
      </c>
      <c r="G128" s="112">
        <v>0</v>
      </c>
      <c r="H128" s="112">
        <v>0</v>
      </c>
      <c r="I128" s="112">
        <v>0</v>
      </c>
      <c r="J128" s="112">
        <v>0</v>
      </c>
      <c r="K128" s="112">
        <v>0</v>
      </c>
      <c r="L128" s="112">
        <v>0</v>
      </c>
      <c r="M128" s="112">
        <v>0</v>
      </c>
      <c r="N128" s="112">
        <v>0</v>
      </c>
      <c r="O128" s="112">
        <v>0</v>
      </c>
      <c r="P128" s="112">
        <v>0</v>
      </c>
      <c r="Q128" s="112">
        <v>0</v>
      </c>
      <c r="R128" s="112">
        <v>0</v>
      </c>
      <c r="S128" s="112">
        <v>0</v>
      </c>
      <c r="T128" s="112">
        <v>0</v>
      </c>
      <c r="U128" s="112">
        <v>0</v>
      </c>
      <c r="V128" s="112">
        <v>0</v>
      </c>
      <c r="W128" s="112">
        <v>0</v>
      </c>
      <c r="X128" s="112">
        <v>0</v>
      </c>
      <c r="Y128" s="112">
        <v>0</v>
      </c>
      <c r="Z128" s="112">
        <v>0</v>
      </c>
      <c r="AA128" s="112">
        <v>0</v>
      </c>
      <c r="AB128" s="112">
        <v>0</v>
      </c>
      <c r="AC128" s="112">
        <v>0</v>
      </c>
      <c r="AD128" s="112">
        <v>0</v>
      </c>
      <c r="AE128" s="112">
        <v>0</v>
      </c>
      <c r="AF128" s="112">
        <v>0</v>
      </c>
      <c r="AG128" s="112">
        <v>0</v>
      </c>
      <c r="AH128" s="112">
        <v>0</v>
      </c>
      <c r="AI128" s="112">
        <v>0</v>
      </c>
      <c r="AJ128" s="112">
        <v>0</v>
      </c>
      <c r="AK128" s="112">
        <v>0</v>
      </c>
      <c r="AL128" s="112">
        <v>0</v>
      </c>
      <c r="AM128" s="112">
        <v>0</v>
      </c>
      <c r="AN128" s="112">
        <v>0</v>
      </c>
      <c r="AO128" s="112">
        <v>0</v>
      </c>
      <c r="AP128" s="112">
        <v>0</v>
      </c>
      <c r="AQ128" s="112">
        <v>0</v>
      </c>
      <c r="AR128" s="112">
        <v>0</v>
      </c>
      <c r="AS128" s="112">
        <v>0</v>
      </c>
      <c r="AT128" s="112">
        <v>0</v>
      </c>
      <c r="AU128" s="112">
        <v>0</v>
      </c>
      <c r="AV128" s="112">
        <v>0</v>
      </c>
      <c r="AW128" s="112">
        <v>0</v>
      </c>
      <c r="AX128" s="112">
        <v>0</v>
      </c>
      <c r="AY128" s="112">
        <v>0</v>
      </c>
    </row>
    <row r="129" spans="1:51" x14ac:dyDescent="0.2">
      <c r="A129" s="115"/>
      <c r="B129" s="125">
        <v>8</v>
      </c>
      <c r="C129" s="112">
        <v>165.76289610185674</v>
      </c>
      <c r="D129" s="112">
        <v>302.48743081923556</v>
      </c>
      <c r="E129" s="112">
        <v>134.14952450342861</v>
      </c>
      <c r="F129" s="112">
        <v>40.750890138540512</v>
      </c>
      <c r="G129" s="112">
        <v>0</v>
      </c>
      <c r="H129" s="112">
        <v>0</v>
      </c>
      <c r="I129" s="112">
        <v>0</v>
      </c>
      <c r="J129" s="112">
        <v>0</v>
      </c>
      <c r="K129" s="112">
        <v>0</v>
      </c>
      <c r="L129" s="112">
        <v>0</v>
      </c>
      <c r="M129" s="112">
        <v>0</v>
      </c>
      <c r="N129" s="112">
        <v>0</v>
      </c>
      <c r="O129" s="112">
        <v>0</v>
      </c>
      <c r="P129" s="112">
        <v>0</v>
      </c>
      <c r="Q129" s="112">
        <v>0</v>
      </c>
      <c r="R129" s="112">
        <v>0</v>
      </c>
      <c r="S129" s="112">
        <v>0</v>
      </c>
      <c r="T129" s="112">
        <v>0</v>
      </c>
      <c r="U129" s="112">
        <v>0</v>
      </c>
      <c r="V129" s="112">
        <v>0</v>
      </c>
      <c r="W129" s="112">
        <v>0</v>
      </c>
      <c r="X129" s="112">
        <v>0</v>
      </c>
      <c r="Y129" s="112">
        <v>0</v>
      </c>
      <c r="Z129" s="112">
        <v>0</v>
      </c>
      <c r="AA129" s="112">
        <v>0</v>
      </c>
      <c r="AB129" s="112">
        <v>0</v>
      </c>
      <c r="AC129" s="112">
        <v>0</v>
      </c>
      <c r="AD129" s="112">
        <v>0</v>
      </c>
      <c r="AE129" s="112">
        <v>0</v>
      </c>
      <c r="AF129" s="112">
        <v>0</v>
      </c>
      <c r="AG129" s="112">
        <v>0</v>
      </c>
      <c r="AH129" s="112">
        <v>0</v>
      </c>
      <c r="AI129" s="112">
        <v>0</v>
      </c>
      <c r="AJ129" s="112">
        <v>0</v>
      </c>
      <c r="AK129" s="112">
        <v>0</v>
      </c>
      <c r="AL129" s="112">
        <v>0</v>
      </c>
      <c r="AM129" s="112">
        <v>0</v>
      </c>
      <c r="AN129" s="112">
        <v>0</v>
      </c>
      <c r="AO129" s="112">
        <v>0</v>
      </c>
      <c r="AP129" s="112">
        <v>0</v>
      </c>
      <c r="AQ129" s="112">
        <v>0</v>
      </c>
      <c r="AR129" s="112">
        <v>0</v>
      </c>
      <c r="AS129" s="112">
        <v>0</v>
      </c>
      <c r="AT129" s="112">
        <v>0</v>
      </c>
      <c r="AU129" s="112">
        <v>0</v>
      </c>
      <c r="AV129" s="112">
        <v>0</v>
      </c>
      <c r="AW129" s="112">
        <v>0</v>
      </c>
      <c r="AX129" s="112">
        <v>0</v>
      </c>
      <c r="AY129" s="112">
        <v>0</v>
      </c>
    </row>
    <row r="130" spans="1:51" x14ac:dyDescent="0.2">
      <c r="A130" s="115"/>
      <c r="B130" s="125">
        <v>9</v>
      </c>
      <c r="C130" s="112">
        <v>0</v>
      </c>
      <c r="D130" s="112">
        <v>2.2895255579251739</v>
      </c>
      <c r="E130" s="112">
        <v>12.699226051584446</v>
      </c>
      <c r="F130" s="112">
        <v>0</v>
      </c>
      <c r="G130" s="112">
        <v>0</v>
      </c>
      <c r="H130" s="112">
        <v>0</v>
      </c>
      <c r="I130" s="112">
        <v>0</v>
      </c>
      <c r="J130" s="112">
        <v>0</v>
      </c>
      <c r="K130" s="112">
        <v>0</v>
      </c>
      <c r="L130" s="112">
        <v>0</v>
      </c>
      <c r="M130" s="112">
        <v>0</v>
      </c>
      <c r="N130" s="112">
        <v>0</v>
      </c>
      <c r="O130" s="112">
        <v>0</v>
      </c>
      <c r="P130" s="112">
        <v>0</v>
      </c>
      <c r="Q130" s="112">
        <v>0</v>
      </c>
      <c r="R130" s="112">
        <v>0</v>
      </c>
      <c r="S130" s="112">
        <v>0</v>
      </c>
      <c r="T130" s="112">
        <v>0</v>
      </c>
      <c r="U130" s="112">
        <v>0</v>
      </c>
      <c r="V130" s="112">
        <v>0</v>
      </c>
      <c r="W130" s="112">
        <v>0</v>
      </c>
      <c r="X130" s="112">
        <v>0</v>
      </c>
      <c r="Y130" s="112">
        <v>0</v>
      </c>
      <c r="Z130" s="112">
        <v>0</v>
      </c>
      <c r="AA130" s="112">
        <v>0</v>
      </c>
      <c r="AB130" s="112">
        <v>0</v>
      </c>
      <c r="AC130" s="112">
        <v>0</v>
      </c>
      <c r="AD130" s="112">
        <v>0</v>
      </c>
      <c r="AE130" s="112">
        <v>0</v>
      </c>
      <c r="AF130" s="112">
        <v>0</v>
      </c>
      <c r="AG130" s="112">
        <v>0</v>
      </c>
      <c r="AH130" s="112">
        <v>0</v>
      </c>
      <c r="AI130" s="112">
        <v>0</v>
      </c>
      <c r="AJ130" s="112">
        <v>0</v>
      </c>
      <c r="AK130" s="112">
        <v>0</v>
      </c>
      <c r="AL130" s="112">
        <v>0</v>
      </c>
      <c r="AM130" s="112">
        <v>0</v>
      </c>
      <c r="AN130" s="112">
        <v>0</v>
      </c>
      <c r="AO130" s="112">
        <v>0</v>
      </c>
      <c r="AP130" s="112">
        <v>0</v>
      </c>
      <c r="AQ130" s="112">
        <v>0</v>
      </c>
      <c r="AR130" s="112">
        <v>0</v>
      </c>
      <c r="AS130" s="112">
        <v>0</v>
      </c>
      <c r="AT130" s="112">
        <v>0</v>
      </c>
      <c r="AU130" s="112">
        <v>0</v>
      </c>
      <c r="AV130" s="112">
        <v>0</v>
      </c>
      <c r="AW130" s="112">
        <v>0</v>
      </c>
      <c r="AX130" s="112">
        <v>0</v>
      </c>
      <c r="AY130" s="112">
        <v>0</v>
      </c>
    </row>
    <row r="131" spans="1:51" x14ac:dyDescent="0.2">
      <c r="A131" s="115"/>
      <c r="B131" s="125">
        <v>10</v>
      </c>
      <c r="C131" s="112">
        <v>0</v>
      </c>
      <c r="D131" s="112">
        <v>0</v>
      </c>
      <c r="E131" s="112">
        <v>0</v>
      </c>
      <c r="F131" s="112">
        <v>0</v>
      </c>
      <c r="G131" s="112">
        <v>0</v>
      </c>
      <c r="H131" s="112">
        <v>0</v>
      </c>
      <c r="I131" s="112">
        <v>0</v>
      </c>
      <c r="J131" s="112">
        <v>0</v>
      </c>
      <c r="K131" s="112">
        <v>0</v>
      </c>
      <c r="L131" s="112">
        <v>0</v>
      </c>
      <c r="M131" s="112">
        <v>0</v>
      </c>
      <c r="N131" s="112">
        <v>0</v>
      </c>
      <c r="O131" s="112">
        <v>0</v>
      </c>
      <c r="P131" s="112">
        <v>0</v>
      </c>
      <c r="Q131" s="112">
        <v>0</v>
      </c>
      <c r="R131" s="112">
        <v>0</v>
      </c>
      <c r="S131" s="112">
        <v>0</v>
      </c>
      <c r="T131" s="112">
        <v>0</v>
      </c>
      <c r="U131" s="112">
        <v>0</v>
      </c>
      <c r="V131" s="112">
        <v>0</v>
      </c>
      <c r="W131" s="112">
        <v>0</v>
      </c>
      <c r="X131" s="112">
        <v>0</v>
      </c>
      <c r="Y131" s="112">
        <v>0</v>
      </c>
      <c r="Z131" s="112">
        <v>0</v>
      </c>
      <c r="AA131" s="112">
        <v>0</v>
      </c>
      <c r="AB131" s="112">
        <v>0</v>
      </c>
      <c r="AC131" s="112">
        <v>0</v>
      </c>
      <c r="AD131" s="112">
        <v>0</v>
      </c>
      <c r="AE131" s="112">
        <v>0</v>
      </c>
      <c r="AF131" s="112">
        <v>0</v>
      </c>
      <c r="AG131" s="112">
        <v>0</v>
      </c>
      <c r="AH131" s="112">
        <v>0</v>
      </c>
      <c r="AI131" s="112">
        <v>0</v>
      </c>
      <c r="AJ131" s="112">
        <v>0</v>
      </c>
      <c r="AK131" s="112">
        <v>0</v>
      </c>
      <c r="AL131" s="112">
        <v>0</v>
      </c>
      <c r="AM131" s="112">
        <v>0</v>
      </c>
      <c r="AN131" s="112">
        <v>0</v>
      </c>
      <c r="AO131" s="112">
        <v>0</v>
      </c>
      <c r="AP131" s="112">
        <v>0</v>
      </c>
      <c r="AQ131" s="112">
        <v>0</v>
      </c>
      <c r="AR131" s="112">
        <v>0</v>
      </c>
      <c r="AS131" s="112">
        <v>0</v>
      </c>
      <c r="AT131" s="112">
        <v>0</v>
      </c>
      <c r="AU131" s="112">
        <v>0</v>
      </c>
      <c r="AV131" s="112">
        <v>0</v>
      </c>
      <c r="AW131" s="112">
        <v>0</v>
      </c>
      <c r="AX131" s="112">
        <v>0</v>
      </c>
      <c r="AY131" s="112">
        <v>0</v>
      </c>
    </row>
    <row r="132" spans="1:51" x14ac:dyDescent="0.2">
      <c r="A132" s="115"/>
      <c r="B132" s="125">
        <v>11</v>
      </c>
      <c r="C132" s="112">
        <v>0</v>
      </c>
      <c r="D132" s="112">
        <v>0</v>
      </c>
      <c r="E132" s="112">
        <v>0</v>
      </c>
      <c r="F132" s="112">
        <v>0</v>
      </c>
      <c r="G132" s="112">
        <v>0</v>
      </c>
      <c r="H132" s="112">
        <v>0</v>
      </c>
      <c r="I132" s="112">
        <v>0</v>
      </c>
      <c r="J132" s="112">
        <v>0</v>
      </c>
      <c r="K132" s="112">
        <v>0</v>
      </c>
      <c r="L132" s="112">
        <v>0</v>
      </c>
      <c r="M132" s="112">
        <v>0</v>
      </c>
      <c r="N132" s="112">
        <v>0</v>
      </c>
      <c r="O132" s="112">
        <v>0</v>
      </c>
      <c r="P132" s="112">
        <v>0</v>
      </c>
      <c r="Q132" s="112">
        <v>0</v>
      </c>
      <c r="R132" s="112">
        <v>0</v>
      </c>
      <c r="S132" s="112">
        <v>0</v>
      </c>
      <c r="T132" s="112">
        <v>0</v>
      </c>
      <c r="U132" s="112">
        <v>0</v>
      </c>
      <c r="V132" s="112">
        <v>0</v>
      </c>
      <c r="W132" s="112">
        <v>0</v>
      </c>
      <c r="X132" s="112">
        <v>0</v>
      </c>
      <c r="Y132" s="112">
        <v>0</v>
      </c>
      <c r="Z132" s="112">
        <v>0</v>
      </c>
      <c r="AA132" s="112">
        <v>0</v>
      </c>
      <c r="AB132" s="112">
        <v>0</v>
      </c>
      <c r="AC132" s="112">
        <v>0</v>
      </c>
      <c r="AD132" s="112">
        <v>0</v>
      </c>
      <c r="AE132" s="112">
        <v>0</v>
      </c>
      <c r="AF132" s="112">
        <v>0</v>
      </c>
      <c r="AG132" s="112">
        <v>0</v>
      </c>
      <c r="AH132" s="112">
        <v>0</v>
      </c>
      <c r="AI132" s="112">
        <v>0</v>
      </c>
      <c r="AJ132" s="112">
        <v>0</v>
      </c>
      <c r="AK132" s="112">
        <v>0</v>
      </c>
      <c r="AL132" s="112">
        <v>0</v>
      </c>
      <c r="AM132" s="112">
        <v>0</v>
      </c>
      <c r="AN132" s="112">
        <v>0</v>
      </c>
      <c r="AO132" s="112">
        <v>0</v>
      </c>
      <c r="AP132" s="112">
        <v>0</v>
      </c>
      <c r="AQ132" s="112">
        <v>0</v>
      </c>
      <c r="AR132" s="112">
        <v>0</v>
      </c>
      <c r="AS132" s="112">
        <v>0</v>
      </c>
      <c r="AT132" s="112">
        <v>0</v>
      </c>
      <c r="AU132" s="112">
        <v>0</v>
      </c>
      <c r="AV132" s="112">
        <v>0</v>
      </c>
      <c r="AW132" s="112">
        <v>0</v>
      </c>
      <c r="AX132" s="112">
        <v>0</v>
      </c>
      <c r="AY132" s="112">
        <v>0</v>
      </c>
    </row>
    <row r="133" spans="1:51" x14ac:dyDescent="0.2">
      <c r="A133" s="115"/>
      <c r="B133" s="125">
        <v>12</v>
      </c>
      <c r="C133" s="112">
        <v>0</v>
      </c>
      <c r="D133" s="112">
        <v>0</v>
      </c>
      <c r="E133" s="112">
        <v>0</v>
      </c>
      <c r="F133" s="112">
        <v>0</v>
      </c>
      <c r="G133" s="112">
        <v>0</v>
      </c>
      <c r="H133" s="112">
        <v>0</v>
      </c>
      <c r="I133" s="112">
        <v>0</v>
      </c>
      <c r="J133" s="112">
        <v>0</v>
      </c>
      <c r="K133" s="112">
        <v>0</v>
      </c>
      <c r="L133" s="112">
        <v>0</v>
      </c>
      <c r="M133" s="112">
        <v>0</v>
      </c>
      <c r="N133" s="112">
        <v>0</v>
      </c>
      <c r="O133" s="112">
        <v>0</v>
      </c>
      <c r="P133" s="112">
        <v>0</v>
      </c>
      <c r="Q133" s="112">
        <v>0</v>
      </c>
      <c r="R133" s="112">
        <v>0</v>
      </c>
      <c r="S133" s="112">
        <v>0</v>
      </c>
      <c r="T133" s="112">
        <v>0</v>
      </c>
      <c r="U133" s="112">
        <v>0</v>
      </c>
      <c r="V133" s="112">
        <v>0</v>
      </c>
      <c r="W133" s="112">
        <v>0</v>
      </c>
      <c r="X133" s="112">
        <v>0</v>
      </c>
      <c r="Y133" s="112">
        <v>0</v>
      </c>
      <c r="Z133" s="112">
        <v>0</v>
      </c>
      <c r="AA133" s="112">
        <v>0</v>
      </c>
      <c r="AB133" s="112">
        <v>0</v>
      </c>
      <c r="AC133" s="112">
        <v>0</v>
      </c>
      <c r="AD133" s="112">
        <v>0</v>
      </c>
      <c r="AE133" s="112">
        <v>0</v>
      </c>
      <c r="AF133" s="112">
        <v>0</v>
      </c>
      <c r="AG133" s="112">
        <v>0</v>
      </c>
      <c r="AH133" s="112">
        <v>0</v>
      </c>
      <c r="AI133" s="112">
        <v>0</v>
      </c>
      <c r="AJ133" s="112">
        <v>0</v>
      </c>
      <c r="AK133" s="112">
        <v>0</v>
      </c>
      <c r="AL133" s="112">
        <v>0</v>
      </c>
      <c r="AM133" s="112">
        <v>0</v>
      </c>
      <c r="AN133" s="112">
        <v>0</v>
      </c>
      <c r="AO133" s="112">
        <v>0</v>
      </c>
      <c r="AP133" s="112">
        <v>0</v>
      </c>
      <c r="AQ133" s="112">
        <v>0</v>
      </c>
      <c r="AR133" s="112">
        <v>0</v>
      </c>
      <c r="AS133" s="112">
        <v>0</v>
      </c>
      <c r="AT133" s="112">
        <v>0</v>
      </c>
      <c r="AU133" s="112">
        <v>0</v>
      </c>
      <c r="AV133" s="112">
        <v>0</v>
      </c>
      <c r="AW133" s="112">
        <v>0</v>
      </c>
      <c r="AX133" s="112">
        <v>0</v>
      </c>
      <c r="AY133" s="112">
        <v>0</v>
      </c>
    </row>
    <row r="134" spans="1:51" x14ac:dyDescent="0.2">
      <c r="A134" s="115"/>
      <c r="B134" s="126">
        <v>13</v>
      </c>
      <c r="C134" s="112">
        <v>0</v>
      </c>
      <c r="D134" s="112">
        <v>0</v>
      </c>
      <c r="E134" s="112">
        <v>0</v>
      </c>
      <c r="F134" s="112">
        <v>0</v>
      </c>
      <c r="G134" s="112">
        <v>0</v>
      </c>
      <c r="H134" s="112">
        <v>0</v>
      </c>
      <c r="I134" s="112">
        <v>0</v>
      </c>
      <c r="J134" s="112">
        <v>0</v>
      </c>
      <c r="K134" s="112">
        <v>0</v>
      </c>
      <c r="L134" s="112">
        <v>0</v>
      </c>
      <c r="M134" s="112">
        <v>0</v>
      </c>
      <c r="N134" s="112">
        <v>0</v>
      </c>
      <c r="O134" s="112">
        <v>0</v>
      </c>
      <c r="P134" s="112">
        <v>0</v>
      </c>
      <c r="Q134" s="112">
        <v>0</v>
      </c>
      <c r="R134" s="112">
        <v>0</v>
      </c>
      <c r="S134" s="112">
        <v>0</v>
      </c>
      <c r="T134" s="112">
        <v>0</v>
      </c>
      <c r="U134" s="112">
        <v>0</v>
      </c>
      <c r="V134" s="112">
        <v>0</v>
      </c>
      <c r="W134" s="112">
        <v>0</v>
      </c>
      <c r="X134" s="112">
        <v>0</v>
      </c>
      <c r="Y134" s="112">
        <v>0</v>
      </c>
      <c r="Z134" s="112">
        <v>0</v>
      </c>
      <c r="AA134" s="112">
        <v>0</v>
      </c>
      <c r="AB134" s="112">
        <v>0</v>
      </c>
      <c r="AC134" s="112">
        <v>0</v>
      </c>
      <c r="AD134" s="112">
        <v>0</v>
      </c>
      <c r="AE134" s="112">
        <v>0</v>
      </c>
      <c r="AF134" s="112">
        <v>0</v>
      </c>
      <c r="AG134" s="112">
        <v>0</v>
      </c>
      <c r="AH134" s="112">
        <v>0</v>
      </c>
      <c r="AI134" s="112">
        <v>0</v>
      </c>
      <c r="AJ134" s="112">
        <v>0</v>
      </c>
      <c r="AK134" s="112">
        <v>0</v>
      </c>
      <c r="AL134" s="112">
        <v>0</v>
      </c>
      <c r="AM134" s="112">
        <v>0</v>
      </c>
      <c r="AN134" s="112">
        <v>0</v>
      </c>
      <c r="AO134" s="112">
        <v>0</v>
      </c>
      <c r="AP134" s="112">
        <v>0</v>
      </c>
      <c r="AQ134" s="112">
        <v>0</v>
      </c>
      <c r="AR134" s="112">
        <v>0</v>
      </c>
      <c r="AS134" s="112">
        <v>0</v>
      </c>
      <c r="AT134" s="112">
        <v>0</v>
      </c>
      <c r="AU134" s="112">
        <v>0</v>
      </c>
      <c r="AV134" s="112">
        <v>0</v>
      </c>
      <c r="AW134" s="112">
        <v>0</v>
      </c>
      <c r="AX134" s="112">
        <v>0</v>
      </c>
      <c r="AY134" s="112">
        <v>0</v>
      </c>
    </row>
    <row r="135" spans="1:51" x14ac:dyDescent="0.2">
      <c r="A135" s="115"/>
      <c r="B135" s="126">
        <v>14</v>
      </c>
      <c r="C135" s="112">
        <v>0</v>
      </c>
      <c r="D135" s="112">
        <v>0</v>
      </c>
      <c r="E135" s="112">
        <v>0</v>
      </c>
      <c r="F135" s="112">
        <v>0</v>
      </c>
      <c r="G135" s="112">
        <v>0</v>
      </c>
      <c r="H135" s="112">
        <v>0</v>
      </c>
      <c r="I135" s="112">
        <v>0</v>
      </c>
      <c r="J135" s="112">
        <v>0</v>
      </c>
      <c r="K135" s="112">
        <v>0</v>
      </c>
      <c r="L135" s="112">
        <v>0</v>
      </c>
      <c r="M135" s="112">
        <v>0</v>
      </c>
      <c r="N135" s="112">
        <v>0</v>
      </c>
      <c r="O135" s="112">
        <v>0</v>
      </c>
      <c r="P135" s="112">
        <v>0</v>
      </c>
      <c r="Q135" s="112">
        <v>0</v>
      </c>
      <c r="R135" s="112">
        <v>0</v>
      </c>
      <c r="S135" s="112">
        <v>0</v>
      </c>
      <c r="T135" s="112">
        <v>0</v>
      </c>
      <c r="U135" s="112">
        <v>0</v>
      </c>
      <c r="V135" s="112">
        <v>0</v>
      </c>
      <c r="W135" s="112">
        <v>0</v>
      </c>
      <c r="X135" s="112">
        <v>0</v>
      </c>
      <c r="Y135" s="112">
        <v>0</v>
      </c>
      <c r="Z135" s="112">
        <v>0</v>
      </c>
      <c r="AA135" s="112">
        <v>0</v>
      </c>
      <c r="AB135" s="112">
        <v>0</v>
      </c>
      <c r="AC135" s="112">
        <v>0</v>
      </c>
      <c r="AD135" s="112">
        <v>0</v>
      </c>
      <c r="AE135" s="112">
        <v>0</v>
      </c>
      <c r="AF135" s="112">
        <v>0</v>
      </c>
      <c r="AG135" s="112">
        <v>0</v>
      </c>
      <c r="AH135" s="112">
        <v>0</v>
      </c>
      <c r="AI135" s="112">
        <v>0</v>
      </c>
      <c r="AJ135" s="112">
        <v>0</v>
      </c>
      <c r="AK135" s="112">
        <v>0</v>
      </c>
      <c r="AL135" s="112">
        <v>0</v>
      </c>
      <c r="AM135" s="112">
        <v>0</v>
      </c>
      <c r="AN135" s="112">
        <v>0</v>
      </c>
      <c r="AO135" s="112">
        <v>0</v>
      </c>
      <c r="AP135" s="112">
        <v>0</v>
      </c>
      <c r="AQ135" s="112">
        <v>0</v>
      </c>
      <c r="AR135" s="112">
        <v>0</v>
      </c>
      <c r="AS135" s="112">
        <v>0</v>
      </c>
      <c r="AT135" s="112">
        <v>0</v>
      </c>
      <c r="AU135" s="112">
        <v>0</v>
      </c>
      <c r="AV135" s="112">
        <v>0</v>
      </c>
      <c r="AW135" s="112">
        <v>0</v>
      </c>
      <c r="AX135" s="112">
        <v>0</v>
      </c>
      <c r="AY135" s="112">
        <v>0</v>
      </c>
    </row>
    <row r="136" spans="1:51" x14ac:dyDescent="0.2">
      <c r="A136" s="115"/>
      <c r="B136" s="126">
        <v>15</v>
      </c>
      <c r="C136" s="112">
        <v>0</v>
      </c>
      <c r="D136" s="112">
        <v>0</v>
      </c>
      <c r="E136" s="112">
        <v>0</v>
      </c>
      <c r="F136" s="112">
        <v>0</v>
      </c>
      <c r="G136" s="112">
        <v>0</v>
      </c>
      <c r="H136" s="112">
        <v>0</v>
      </c>
      <c r="I136" s="112">
        <v>0</v>
      </c>
      <c r="J136" s="112">
        <v>0</v>
      </c>
      <c r="K136" s="112">
        <v>0</v>
      </c>
      <c r="L136" s="112">
        <v>0</v>
      </c>
      <c r="M136" s="112">
        <v>0</v>
      </c>
      <c r="N136" s="112">
        <v>0</v>
      </c>
      <c r="O136" s="112">
        <v>0</v>
      </c>
      <c r="P136" s="112">
        <v>0</v>
      </c>
      <c r="Q136" s="112">
        <v>0</v>
      </c>
      <c r="R136" s="112">
        <v>0</v>
      </c>
      <c r="S136" s="112">
        <v>0</v>
      </c>
      <c r="T136" s="112">
        <v>0</v>
      </c>
      <c r="U136" s="112">
        <v>0</v>
      </c>
      <c r="V136" s="112">
        <v>0</v>
      </c>
      <c r="W136" s="112">
        <v>0</v>
      </c>
      <c r="X136" s="112">
        <v>0</v>
      </c>
      <c r="Y136" s="112">
        <v>0</v>
      </c>
      <c r="Z136" s="112">
        <v>0</v>
      </c>
      <c r="AA136" s="112">
        <v>0</v>
      </c>
      <c r="AB136" s="112">
        <v>0</v>
      </c>
      <c r="AC136" s="112">
        <v>0</v>
      </c>
      <c r="AD136" s="112">
        <v>0</v>
      </c>
      <c r="AE136" s="112">
        <v>0</v>
      </c>
      <c r="AF136" s="112">
        <v>0</v>
      </c>
      <c r="AG136" s="112">
        <v>0</v>
      </c>
      <c r="AH136" s="112">
        <v>0</v>
      </c>
      <c r="AI136" s="112">
        <v>0</v>
      </c>
      <c r="AJ136" s="112">
        <v>0</v>
      </c>
      <c r="AK136" s="112">
        <v>0</v>
      </c>
      <c r="AL136" s="112">
        <v>0</v>
      </c>
      <c r="AM136" s="112">
        <v>0</v>
      </c>
      <c r="AN136" s="112">
        <v>0</v>
      </c>
      <c r="AO136" s="112">
        <v>0</v>
      </c>
      <c r="AP136" s="112">
        <v>0</v>
      </c>
      <c r="AQ136" s="112">
        <v>0</v>
      </c>
      <c r="AR136" s="112">
        <v>0</v>
      </c>
      <c r="AS136" s="112">
        <v>0</v>
      </c>
      <c r="AT136" s="112">
        <v>0</v>
      </c>
      <c r="AU136" s="112">
        <v>0</v>
      </c>
      <c r="AV136" s="112">
        <v>0</v>
      </c>
      <c r="AW136" s="112">
        <v>0</v>
      </c>
      <c r="AX136" s="112">
        <v>0</v>
      </c>
      <c r="AY136" s="112">
        <v>0</v>
      </c>
    </row>
    <row r="137" spans="1:51" x14ac:dyDescent="0.2">
      <c r="A137" s="115"/>
      <c r="B137" s="126">
        <v>16</v>
      </c>
      <c r="C137" s="112">
        <v>0</v>
      </c>
      <c r="D137" s="112">
        <v>0</v>
      </c>
      <c r="E137" s="112">
        <v>0</v>
      </c>
      <c r="F137" s="112">
        <v>0</v>
      </c>
      <c r="G137" s="112">
        <v>0</v>
      </c>
      <c r="H137" s="112">
        <v>0</v>
      </c>
      <c r="I137" s="112">
        <v>0</v>
      </c>
      <c r="J137" s="112">
        <v>0</v>
      </c>
      <c r="K137" s="112">
        <v>0</v>
      </c>
      <c r="L137" s="112">
        <v>0</v>
      </c>
      <c r="M137" s="112">
        <v>0</v>
      </c>
      <c r="N137" s="112">
        <v>0</v>
      </c>
      <c r="O137" s="112">
        <v>0</v>
      </c>
      <c r="P137" s="112">
        <v>0</v>
      </c>
      <c r="Q137" s="112">
        <v>0</v>
      </c>
      <c r="R137" s="112">
        <v>0</v>
      </c>
      <c r="S137" s="112">
        <v>0</v>
      </c>
      <c r="T137" s="112">
        <v>0</v>
      </c>
      <c r="U137" s="112">
        <v>0</v>
      </c>
      <c r="V137" s="112">
        <v>0</v>
      </c>
      <c r="W137" s="112">
        <v>0</v>
      </c>
      <c r="X137" s="112">
        <v>0</v>
      </c>
      <c r="Y137" s="112">
        <v>0</v>
      </c>
      <c r="Z137" s="112">
        <v>0</v>
      </c>
      <c r="AA137" s="112">
        <v>0</v>
      </c>
      <c r="AB137" s="112">
        <v>0</v>
      </c>
      <c r="AC137" s="112">
        <v>0</v>
      </c>
      <c r="AD137" s="112">
        <v>0</v>
      </c>
      <c r="AE137" s="112">
        <v>0</v>
      </c>
      <c r="AF137" s="112">
        <v>0</v>
      </c>
      <c r="AG137" s="112">
        <v>0</v>
      </c>
      <c r="AH137" s="112">
        <v>0</v>
      </c>
      <c r="AI137" s="112">
        <v>0</v>
      </c>
      <c r="AJ137" s="112">
        <v>0</v>
      </c>
      <c r="AK137" s="112">
        <v>0</v>
      </c>
      <c r="AL137" s="112">
        <v>0</v>
      </c>
      <c r="AM137" s="112">
        <v>0</v>
      </c>
      <c r="AN137" s="112">
        <v>0</v>
      </c>
      <c r="AO137" s="112">
        <v>0</v>
      </c>
      <c r="AP137" s="112">
        <v>0</v>
      </c>
      <c r="AQ137" s="112">
        <v>0</v>
      </c>
      <c r="AR137" s="112">
        <v>0</v>
      </c>
      <c r="AS137" s="112">
        <v>0</v>
      </c>
      <c r="AT137" s="112">
        <v>0</v>
      </c>
      <c r="AU137" s="112">
        <v>0</v>
      </c>
      <c r="AV137" s="112">
        <v>0</v>
      </c>
      <c r="AW137" s="112">
        <v>0</v>
      </c>
      <c r="AX137" s="112">
        <v>0</v>
      </c>
      <c r="AY137" s="112">
        <v>0</v>
      </c>
    </row>
    <row r="138" spans="1:51" x14ac:dyDescent="0.2">
      <c r="A138" s="115"/>
      <c r="B138" s="126">
        <v>17</v>
      </c>
      <c r="C138" s="112">
        <v>0</v>
      </c>
      <c r="D138" s="112">
        <v>0</v>
      </c>
      <c r="E138" s="112">
        <v>0</v>
      </c>
      <c r="F138" s="112">
        <v>0</v>
      </c>
      <c r="G138" s="112">
        <v>0</v>
      </c>
      <c r="H138" s="112">
        <v>0</v>
      </c>
      <c r="I138" s="112">
        <v>0</v>
      </c>
      <c r="J138" s="112">
        <v>0</v>
      </c>
      <c r="K138" s="112">
        <v>0</v>
      </c>
      <c r="L138" s="112">
        <v>0</v>
      </c>
      <c r="M138" s="112">
        <v>0</v>
      </c>
      <c r="N138" s="112">
        <v>0</v>
      </c>
      <c r="O138" s="112">
        <v>0</v>
      </c>
      <c r="P138" s="112">
        <v>0</v>
      </c>
      <c r="Q138" s="112">
        <v>0</v>
      </c>
      <c r="R138" s="112">
        <v>0</v>
      </c>
      <c r="S138" s="112">
        <v>0</v>
      </c>
      <c r="T138" s="112">
        <v>0</v>
      </c>
      <c r="U138" s="112">
        <v>0</v>
      </c>
      <c r="V138" s="112">
        <v>0</v>
      </c>
      <c r="W138" s="112">
        <v>0</v>
      </c>
      <c r="X138" s="112">
        <v>0</v>
      </c>
      <c r="Y138" s="112">
        <v>0</v>
      </c>
      <c r="Z138" s="112">
        <v>0</v>
      </c>
      <c r="AA138" s="112">
        <v>0</v>
      </c>
      <c r="AB138" s="112">
        <v>0</v>
      </c>
      <c r="AC138" s="112">
        <v>0</v>
      </c>
      <c r="AD138" s="112">
        <v>0</v>
      </c>
      <c r="AE138" s="112">
        <v>0</v>
      </c>
      <c r="AF138" s="112">
        <v>0</v>
      </c>
      <c r="AG138" s="112">
        <v>0</v>
      </c>
      <c r="AH138" s="112">
        <v>0</v>
      </c>
      <c r="AI138" s="112">
        <v>0</v>
      </c>
      <c r="AJ138" s="112">
        <v>0</v>
      </c>
      <c r="AK138" s="112">
        <v>0</v>
      </c>
      <c r="AL138" s="112">
        <v>0</v>
      </c>
      <c r="AM138" s="112">
        <v>0</v>
      </c>
      <c r="AN138" s="112">
        <v>0</v>
      </c>
      <c r="AO138" s="112">
        <v>0</v>
      </c>
      <c r="AP138" s="112">
        <v>0</v>
      </c>
      <c r="AQ138" s="112">
        <v>0</v>
      </c>
      <c r="AR138" s="112">
        <v>0</v>
      </c>
      <c r="AS138" s="112">
        <v>0</v>
      </c>
      <c r="AT138" s="112">
        <v>0</v>
      </c>
      <c r="AU138" s="112">
        <v>0</v>
      </c>
      <c r="AV138" s="112">
        <v>0</v>
      </c>
      <c r="AW138" s="112">
        <v>0</v>
      </c>
      <c r="AX138" s="112">
        <v>0</v>
      </c>
      <c r="AY138" s="112">
        <v>0</v>
      </c>
    </row>
    <row r="139" spans="1:51" x14ac:dyDescent="0.2">
      <c r="A139" s="115"/>
      <c r="B139" s="126">
        <v>18</v>
      </c>
      <c r="C139" s="112">
        <v>0</v>
      </c>
      <c r="D139" s="112">
        <v>0</v>
      </c>
      <c r="E139" s="112">
        <v>0</v>
      </c>
      <c r="F139" s="112">
        <v>0</v>
      </c>
      <c r="G139" s="112">
        <v>0</v>
      </c>
      <c r="H139" s="112">
        <v>0</v>
      </c>
      <c r="I139" s="112">
        <v>0</v>
      </c>
      <c r="J139" s="112">
        <v>0</v>
      </c>
      <c r="K139" s="112">
        <v>0</v>
      </c>
      <c r="L139" s="112">
        <v>0</v>
      </c>
      <c r="M139" s="112">
        <v>0</v>
      </c>
      <c r="N139" s="112">
        <v>0</v>
      </c>
      <c r="O139" s="112">
        <v>0</v>
      </c>
      <c r="P139" s="112">
        <v>0</v>
      </c>
      <c r="Q139" s="112">
        <v>0</v>
      </c>
      <c r="R139" s="112">
        <v>0</v>
      </c>
      <c r="S139" s="112">
        <v>0</v>
      </c>
      <c r="T139" s="112">
        <v>0</v>
      </c>
      <c r="U139" s="112">
        <v>0</v>
      </c>
      <c r="V139" s="112">
        <v>0</v>
      </c>
      <c r="W139" s="112">
        <v>0</v>
      </c>
      <c r="X139" s="112">
        <v>0</v>
      </c>
      <c r="Y139" s="112">
        <v>0</v>
      </c>
      <c r="Z139" s="112">
        <v>0</v>
      </c>
      <c r="AA139" s="112">
        <v>0</v>
      </c>
      <c r="AB139" s="112">
        <v>0</v>
      </c>
      <c r="AC139" s="112">
        <v>0</v>
      </c>
      <c r="AD139" s="112">
        <v>0</v>
      </c>
      <c r="AE139" s="112">
        <v>0</v>
      </c>
      <c r="AF139" s="112">
        <v>0</v>
      </c>
      <c r="AG139" s="112">
        <v>0</v>
      </c>
      <c r="AH139" s="112">
        <v>0</v>
      </c>
      <c r="AI139" s="112">
        <v>0</v>
      </c>
      <c r="AJ139" s="112">
        <v>0</v>
      </c>
      <c r="AK139" s="112">
        <v>0</v>
      </c>
      <c r="AL139" s="112">
        <v>0</v>
      </c>
      <c r="AM139" s="112">
        <v>0</v>
      </c>
      <c r="AN139" s="112">
        <v>0</v>
      </c>
      <c r="AO139" s="112">
        <v>0</v>
      </c>
      <c r="AP139" s="112">
        <v>0</v>
      </c>
      <c r="AQ139" s="112">
        <v>0</v>
      </c>
      <c r="AR139" s="112">
        <v>0</v>
      </c>
      <c r="AS139" s="112">
        <v>0</v>
      </c>
      <c r="AT139" s="112">
        <v>0</v>
      </c>
      <c r="AU139" s="112">
        <v>0</v>
      </c>
      <c r="AV139" s="112">
        <v>0</v>
      </c>
      <c r="AW139" s="112">
        <v>0</v>
      </c>
      <c r="AX139" s="112">
        <v>0</v>
      </c>
      <c r="AY139" s="112">
        <v>0</v>
      </c>
    </row>
    <row r="140" spans="1:51" x14ac:dyDescent="0.2">
      <c r="A140" s="115"/>
      <c r="B140" s="126">
        <v>19</v>
      </c>
      <c r="C140" s="112">
        <v>0</v>
      </c>
      <c r="D140" s="112">
        <v>0</v>
      </c>
      <c r="E140" s="112">
        <v>0</v>
      </c>
      <c r="F140" s="112">
        <v>0</v>
      </c>
      <c r="G140" s="112">
        <v>0</v>
      </c>
      <c r="H140" s="112">
        <v>0</v>
      </c>
      <c r="I140" s="112">
        <v>0</v>
      </c>
      <c r="J140" s="112">
        <v>0</v>
      </c>
      <c r="K140" s="112">
        <v>0</v>
      </c>
      <c r="L140" s="112">
        <v>0</v>
      </c>
      <c r="M140" s="112">
        <v>0</v>
      </c>
      <c r="N140" s="112">
        <v>0</v>
      </c>
      <c r="O140" s="112">
        <v>0</v>
      </c>
      <c r="P140" s="112">
        <v>0</v>
      </c>
      <c r="Q140" s="112">
        <v>0</v>
      </c>
      <c r="R140" s="112">
        <v>0</v>
      </c>
      <c r="S140" s="112">
        <v>0</v>
      </c>
      <c r="T140" s="112">
        <v>0</v>
      </c>
      <c r="U140" s="112">
        <v>0</v>
      </c>
      <c r="V140" s="112">
        <v>0</v>
      </c>
      <c r="W140" s="112">
        <v>0</v>
      </c>
      <c r="X140" s="112">
        <v>0</v>
      </c>
      <c r="Y140" s="112">
        <v>0</v>
      </c>
      <c r="Z140" s="112">
        <v>0</v>
      </c>
      <c r="AA140" s="112">
        <v>0</v>
      </c>
      <c r="AB140" s="112">
        <v>0</v>
      </c>
      <c r="AC140" s="112">
        <v>0</v>
      </c>
      <c r="AD140" s="112">
        <v>0</v>
      </c>
      <c r="AE140" s="112">
        <v>0</v>
      </c>
      <c r="AF140" s="112">
        <v>0</v>
      </c>
      <c r="AG140" s="112">
        <v>0</v>
      </c>
      <c r="AH140" s="112">
        <v>0</v>
      </c>
      <c r="AI140" s="112">
        <v>0</v>
      </c>
      <c r="AJ140" s="112">
        <v>0</v>
      </c>
      <c r="AK140" s="112">
        <v>0</v>
      </c>
      <c r="AL140" s="112">
        <v>0</v>
      </c>
      <c r="AM140" s="112">
        <v>0</v>
      </c>
      <c r="AN140" s="112">
        <v>0</v>
      </c>
      <c r="AO140" s="112">
        <v>0</v>
      </c>
      <c r="AP140" s="112">
        <v>0</v>
      </c>
      <c r="AQ140" s="112">
        <v>0</v>
      </c>
      <c r="AR140" s="112">
        <v>0</v>
      </c>
      <c r="AS140" s="112">
        <v>0</v>
      </c>
      <c r="AT140" s="112">
        <v>0</v>
      </c>
      <c r="AU140" s="112">
        <v>0</v>
      </c>
      <c r="AV140" s="112">
        <v>0</v>
      </c>
      <c r="AW140" s="112">
        <v>0</v>
      </c>
      <c r="AX140" s="112">
        <v>0</v>
      </c>
      <c r="AY140" s="112">
        <v>0</v>
      </c>
    </row>
    <row r="141" spans="1:51" x14ac:dyDescent="0.2">
      <c r="A141" s="115"/>
      <c r="B141" s="126">
        <v>20</v>
      </c>
      <c r="C141" s="112">
        <v>0</v>
      </c>
      <c r="D141" s="112">
        <v>0</v>
      </c>
      <c r="E141" s="112">
        <v>0</v>
      </c>
      <c r="F141" s="112">
        <v>0</v>
      </c>
      <c r="G141" s="112">
        <v>0</v>
      </c>
      <c r="H141" s="112">
        <v>0</v>
      </c>
      <c r="I141" s="112">
        <v>0</v>
      </c>
      <c r="J141" s="112">
        <v>0</v>
      </c>
      <c r="K141" s="112">
        <v>0</v>
      </c>
      <c r="L141" s="112">
        <v>0</v>
      </c>
      <c r="M141" s="112">
        <v>0</v>
      </c>
      <c r="N141" s="112">
        <v>0</v>
      </c>
      <c r="O141" s="112">
        <v>0</v>
      </c>
      <c r="P141" s="112">
        <v>0</v>
      </c>
      <c r="Q141" s="112">
        <v>0</v>
      </c>
      <c r="R141" s="112">
        <v>0</v>
      </c>
      <c r="S141" s="112">
        <v>0</v>
      </c>
      <c r="T141" s="112">
        <v>0</v>
      </c>
      <c r="U141" s="112">
        <v>0</v>
      </c>
      <c r="V141" s="112">
        <v>0</v>
      </c>
      <c r="W141" s="112">
        <v>0</v>
      </c>
      <c r="X141" s="112">
        <v>0</v>
      </c>
      <c r="Y141" s="112">
        <v>0</v>
      </c>
      <c r="Z141" s="112">
        <v>0</v>
      </c>
      <c r="AA141" s="112">
        <v>0</v>
      </c>
      <c r="AB141" s="112">
        <v>0</v>
      </c>
      <c r="AC141" s="112">
        <v>0</v>
      </c>
      <c r="AD141" s="112">
        <v>0</v>
      </c>
      <c r="AE141" s="112">
        <v>0</v>
      </c>
      <c r="AF141" s="112">
        <v>0</v>
      </c>
      <c r="AG141" s="112">
        <v>0</v>
      </c>
      <c r="AH141" s="112">
        <v>0</v>
      </c>
      <c r="AI141" s="112">
        <v>0</v>
      </c>
      <c r="AJ141" s="112">
        <v>0</v>
      </c>
      <c r="AK141" s="112">
        <v>0</v>
      </c>
      <c r="AL141" s="112">
        <v>0</v>
      </c>
      <c r="AM141" s="112">
        <v>0</v>
      </c>
      <c r="AN141" s="112">
        <v>0</v>
      </c>
      <c r="AO141" s="112">
        <v>0</v>
      </c>
      <c r="AP141" s="112">
        <v>0</v>
      </c>
      <c r="AQ141" s="112">
        <v>0</v>
      </c>
      <c r="AR141" s="112">
        <v>0</v>
      </c>
      <c r="AS141" s="112">
        <v>0</v>
      </c>
      <c r="AT141" s="112">
        <v>0</v>
      </c>
      <c r="AU141" s="112">
        <v>0</v>
      </c>
      <c r="AV141" s="112">
        <v>0</v>
      </c>
      <c r="AW141" s="112">
        <v>0</v>
      </c>
      <c r="AX141" s="112">
        <v>0</v>
      </c>
      <c r="AY141" s="112">
        <v>0</v>
      </c>
    </row>
    <row r="142" spans="1:51" x14ac:dyDescent="0.2">
      <c r="A142" s="115"/>
      <c r="B142" s="126">
        <v>21</v>
      </c>
      <c r="C142" s="112">
        <v>0</v>
      </c>
      <c r="D142" s="112">
        <v>0</v>
      </c>
      <c r="E142" s="112">
        <v>0</v>
      </c>
      <c r="F142" s="112">
        <v>0</v>
      </c>
      <c r="G142" s="112">
        <v>0</v>
      </c>
      <c r="H142" s="112">
        <v>0</v>
      </c>
      <c r="I142" s="112">
        <v>0</v>
      </c>
      <c r="J142" s="112">
        <v>0</v>
      </c>
      <c r="K142" s="112">
        <v>0</v>
      </c>
      <c r="L142" s="112">
        <v>0</v>
      </c>
      <c r="M142" s="112">
        <v>0</v>
      </c>
      <c r="N142" s="112">
        <v>0</v>
      </c>
      <c r="O142" s="112">
        <v>0</v>
      </c>
      <c r="P142" s="112">
        <v>0</v>
      </c>
      <c r="Q142" s="112">
        <v>0</v>
      </c>
      <c r="R142" s="112">
        <v>0</v>
      </c>
      <c r="S142" s="112">
        <v>0</v>
      </c>
      <c r="T142" s="112">
        <v>0</v>
      </c>
      <c r="U142" s="112">
        <v>0</v>
      </c>
      <c r="V142" s="112">
        <v>0</v>
      </c>
      <c r="W142" s="112">
        <v>0</v>
      </c>
      <c r="X142" s="112">
        <v>0</v>
      </c>
      <c r="Y142" s="112">
        <v>0</v>
      </c>
      <c r="Z142" s="112">
        <v>0</v>
      </c>
      <c r="AA142" s="112">
        <v>0</v>
      </c>
      <c r="AB142" s="112">
        <v>0</v>
      </c>
      <c r="AC142" s="112">
        <v>0</v>
      </c>
      <c r="AD142" s="112">
        <v>0</v>
      </c>
      <c r="AE142" s="112">
        <v>0</v>
      </c>
      <c r="AF142" s="112">
        <v>0</v>
      </c>
      <c r="AG142" s="112">
        <v>0</v>
      </c>
      <c r="AH142" s="112">
        <v>0</v>
      </c>
      <c r="AI142" s="112">
        <v>0</v>
      </c>
      <c r="AJ142" s="112">
        <v>0</v>
      </c>
      <c r="AK142" s="112">
        <v>0</v>
      </c>
      <c r="AL142" s="112">
        <v>0</v>
      </c>
      <c r="AM142" s="112">
        <v>0</v>
      </c>
      <c r="AN142" s="112">
        <v>0</v>
      </c>
      <c r="AO142" s="112">
        <v>0</v>
      </c>
      <c r="AP142" s="112">
        <v>0</v>
      </c>
      <c r="AQ142" s="112">
        <v>0</v>
      </c>
      <c r="AR142" s="112">
        <v>0</v>
      </c>
      <c r="AS142" s="112">
        <v>0</v>
      </c>
      <c r="AT142" s="112">
        <v>0</v>
      </c>
      <c r="AU142" s="112">
        <v>0</v>
      </c>
      <c r="AV142" s="112">
        <v>0</v>
      </c>
      <c r="AW142" s="112">
        <v>0</v>
      </c>
      <c r="AX142" s="112">
        <v>0</v>
      </c>
      <c r="AY142" s="112">
        <v>0</v>
      </c>
    </row>
    <row r="143" spans="1:51" x14ac:dyDescent="0.2">
      <c r="A143" s="115"/>
      <c r="B143" s="126">
        <v>22</v>
      </c>
      <c r="C143" s="112">
        <v>0</v>
      </c>
      <c r="D143" s="112">
        <v>0</v>
      </c>
      <c r="E143" s="112">
        <v>0</v>
      </c>
      <c r="F143" s="112">
        <v>0</v>
      </c>
      <c r="G143" s="112">
        <v>0</v>
      </c>
      <c r="H143" s="112">
        <v>0</v>
      </c>
      <c r="I143" s="112">
        <v>0</v>
      </c>
      <c r="J143" s="112">
        <v>0</v>
      </c>
      <c r="K143" s="112">
        <v>0</v>
      </c>
      <c r="L143" s="112">
        <v>0</v>
      </c>
      <c r="M143" s="112">
        <v>0</v>
      </c>
      <c r="N143" s="112">
        <v>0</v>
      </c>
      <c r="O143" s="112">
        <v>0</v>
      </c>
      <c r="P143" s="112">
        <v>0</v>
      </c>
      <c r="Q143" s="112">
        <v>0</v>
      </c>
      <c r="R143" s="112">
        <v>0</v>
      </c>
      <c r="S143" s="112">
        <v>0</v>
      </c>
      <c r="T143" s="112">
        <v>0</v>
      </c>
      <c r="U143" s="112">
        <v>0</v>
      </c>
      <c r="V143" s="112">
        <v>0</v>
      </c>
      <c r="W143" s="112">
        <v>0</v>
      </c>
      <c r="X143" s="112">
        <v>0</v>
      </c>
      <c r="Y143" s="112">
        <v>0</v>
      </c>
      <c r="Z143" s="112">
        <v>0</v>
      </c>
      <c r="AA143" s="112">
        <v>0</v>
      </c>
      <c r="AB143" s="112">
        <v>0</v>
      </c>
      <c r="AC143" s="112">
        <v>0</v>
      </c>
      <c r="AD143" s="112">
        <v>0</v>
      </c>
      <c r="AE143" s="112">
        <v>0</v>
      </c>
      <c r="AF143" s="112">
        <v>0</v>
      </c>
      <c r="AG143" s="112">
        <v>0</v>
      </c>
      <c r="AH143" s="112">
        <v>0</v>
      </c>
      <c r="AI143" s="112">
        <v>0</v>
      </c>
      <c r="AJ143" s="112">
        <v>0</v>
      </c>
      <c r="AK143" s="112">
        <v>0</v>
      </c>
      <c r="AL143" s="112">
        <v>0</v>
      </c>
      <c r="AM143" s="112">
        <v>0</v>
      </c>
      <c r="AN143" s="112">
        <v>0</v>
      </c>
      <c r="AO143" s="112">
        <v>0</v>
      </c>
      <c r="AP143" s="112">
        <v>0</v>
      </c>
      <c r="AQ143" s="112">
        <v>0</v>
      </c>
      <c r="AR143" s="112">
        <v>0</v>
      </c>
      <c r="AS143" s="112">
        <v>0</v>
      </c>
      <c r="AT143" s="112">
        <v>0</v>
      </c>
      <c r="AU143" s="112">
        <v>0</v>
      </c>
      <c r="AV143" s="112">
        <v>0</v>
      </c>
      <c r="AW143" s="112">
        <v>0</v>
      </c>
      <c r="AX143" s="112">
        <v>0</v>
      </c>
      <c r="AY143" s="112">
        <v>0</v>
      </c>
    </row>
    <row r="144" spans="1:51" x14ac:dyDescent="0.2">
      <c r="A144" s="115"/>
      <c r="B144" s="126">
        <v>23</v>
      </c>
      <c r="C144" s="112">
        <v>0</v>
      </c>
      <c r="D144" s="112">
        <v>0</v>
      </c>
      <c r="E144" s="112">
        <v>0</v>
      </c>
      <c r="F144" s="112">
        <v>0</v>
      </c>
      <c r="G144" s="112">
        <v>0</v>
      </c>
      <c r="H144" s="112">
        <v>0</v>
      </c>
      <c r="I144" s="112">
        <v>0</v>
      </c>
      <c r="J144" s="112">
        <v>0</v>
      </c>
      <c r="K144" s="112">
        <v>0</v>
      </c>
      <c r="L144" s="112">
        <v>0</v>
      </c>
      <c r="M144" s="112">
        <v>0</v>
      </c>
      <c r="N144" s="112">
        <v>0</v>
      </c>
      <c r="O144" s="112">
        <v>0</v>
      </c>
      <c r="P144" s="112">
        <v>0</v>
      </c>
      <c r="Q144" s="112">
        <v>0</v>
      </c>
      <c r="R144" s="112">
        <v>0</v>
      </c>
      <c r="S144" s="112">
        <v>0</v>
      </c>
      <c r="T144" s="112">
        <v>0</v>
      </c>
      <c r="U144" s="112">
        <v>0</v>
      </c>
      <c r="V144" s="112">
        <v>0</v>
      </c>
      <c r="W144" s="112">
        <v>0</v>
      </c>
      <c r="X144" s="112">
        <v>0</v>
      </c>
      <c r="Y144" s="112">
        <v>0</v>
      </c>
      <c r="Z144" s="112">
        <v>0</v>
      </c>
      <c r="AA144" s="112">
        <v>0</v>
      </c>
      <c r="AB144" s="112">
        <v>0</v>
      </c>
      <c r="AC144" s="112">
        <v>0</v>
      </c>
      <c r="AD144" s="112">
        <v>0</v>
      </c>
      <c r="AE144" s="112">
        <v>0</v>
      </c>
      <c r="AF144" s="112">
        <v>0</v>
      </c>
      <c r="AG144" s="112">
        <v>0</v>
      </c>
      <c r="AH144" s="112">
        <v>0</v>
      </c>
      <c r="AI144" s="112">
        <v>0</v>
      </c>
      <c r="AJ144" s="112">
        <v>0</v>
      </c>
      <c r="AK144" s="112">
        <v>0</v>
      </c>
      <c r="AL144" s="112">
        <v>0</v>
      </c>
      <c r="AM144" s="112">
        <v>0</v>
      </c>
      <c r="AN144" s="112">
        <v>0</v>
      </c>
      <c r="AO144" s="112">
        <v>0</v>
      </c>
      <c r="AP144" s="112">
        <v>0</v>
      </c>
      <c r="AQ144" s="112">
        <v>0</v>
      </c>
      <c r="AR144" s="112">
        <v>0</v>
      </c>
      <c r="AS144" s="112">
        <v>0</v>
      </c>
      <c r="AT144" s="112">
        <v>0</v>
      </c>
      <c r="AU144" s="112">
        <v>0</v>
      </c>
      <c r="AV144" s="112">
        <v>0</v>
      </c>
      <c r="AW144" s="112">
        <v>0</v>
      </c>
      <c r="AX144" s="112">
        <v>0</v>
      </c>
      <c r="AY144" s="112">
        <v>0</v>
      </c>
    </row>
    <row r="145" spans="1:51" x14ac:dyDescent="0.2">
      <c r="A145" s="115"/>
      <c r="B145" s="126">
        <v>24</v>
      </c>
      <c r="C145" s="112">
        <v>0</v>
      </c>
      <c r="D145" s="112">
        <v>0</v>
      </c>
      <c r="E145" s="112">
        <v>0</v>
      </c>
      <c r="F145" s="112">
        <v>0</v>
      </c>
      <c r="G145" s="112">
        <v>0</v>
      </c>
      <c r="H145" s="112">
        <v>0</v>
      </c>
      <c r="I145" s="112">
        <v>0</v>
      </c>
      <c r="J145" s="112">
        <v>0</v>
      </c>
      <c r="K145" s="112">
        <v>0</v>
      </c>
      <c r="L145" s="112">
        <v>0</v>
      </c>
      <c r="M145" s="112">
        <v>0</v>
      </c>
      <c r="N145" s="112">
        <v>0</v>
      </c>
      <c r="O145" s="112">
        <v>0</v>
      </c>
      <c r="P145" s="112">
        <v>0</v>
      </c>
      <c r="Q145" s="112">
        <v>0</v>
      </c>
      <c r="R145" s="112">
        <v>0</v>
      </c>
      <c r="S145" s="112">
        <v>0</v>
      </c>
      <c r="T145" s="112">
        <v>0</v>
      </c>
      <c r="U145" s="112">
        <v>0</v>
      </c>
      <c r="V145" s="112">
        <v>0</v>
      </c>
      <c r="W145" s="112">
        <v>0</v>
      </c>
      <c r="X145" s="112">
        <v>0</v>
      </c>
      <c r="Y145" s="112">
        <v>0</v>
      </c>
      <c r="Z145" s="112">
        <v>0</v>
      </c>
      <c r="AA145" s="112">
        <v>0</v>
      </c>
      <c r="AB145" s="112">
        <v>0</v>
      </c>
      <c r="AC145" s="112">
        <v>0</v>
      </c>
      <c r="AD145" s="112">
        <v>0</v>
      </c>
      <c r="AE145" s="112">
        <v>0</v>
      </c>
      <c r="AF145" s="112">
        <v>0</v>
      </c>
      <c r="AG145" s="112">
        <v>0</v>
      </c>
      <c r="AH145" s="112">
        <v>0</v>
      </c>
      <c r="AI145" s="112">
        <v>0</v>
      </c>
      <c r="AJ145" s="112">
        <v>0</v>
      </c>
      <c r="AK145" s="112">
        <v>0</v>
      </c>
      <c r="AL145" s="112">
        <v>0</v>
      </c>
      <c r="AM145" s="112">
        <v>0</v>
      </c>
      <c r="AN145" s="112">
        <v>0</v>
      </c>
      <c r="AO145" s="112">
        <v>0</v>
      </c>
      <c r="AP145" s="112">
        <v>0</v>
      </c>
      <c r="AQ145" s="112">
        <v>0</v>
      </c>
      <c r="AR145" s="112">
        <v>0</v>
      </c>
      <c r="AS145" s="112">
        <v>0</v>
      </c>
      <c r="AT145" s="112">
        <v>0</v>
      </c>
      <c r="AU145" s="112">
        <v>0</v>
      </c>
      <c r="AV145" s="112">
        <v>0</v>
      </c>
      <c r="AW145" s="112">
        <v>0</v>
      </c>
      <c r="AX145" s="112">
        <v>0</v>
      </c>
      <c r="AY145" s="112">
        <v>0</v>
      </c>
    </row>
    <row r="146" spans="1:51" x14ac:dyDescent="0.2">
      <c r="A146" s="115"/>
      <c r="B146" s="133">
        <v>25</v>
      </c>
      <c r="C146" s="112">
        <v>0</v>
      </c>
      <c r="D146" s="112">
        <v>0</v>
      </c>
      <c r="E146" s="112">
        <v>0</v>
      </c>
      <c r="F146" s="112">
        <v>0</v>
      </c>
      <c r="G146" s="112">
        <v>0</v>
      </c>
      <c r="H146" s="112">
        <v>0</v>
      </c>
      <c r="I146" s="112">
        <v>0</v>
      </c>
      <c r="J146" s="112">
        <v>0</v>
      </c>
      <c r="K146" s="112">
        <v>0</v>
      </c>
      <c r="L146" s="112">
        <v>0</v>
      </c>
      <c r="M146" s="112">
        <v>0</v>
      </c>
      <c r="N146" s="112">
        <v>0</v>
      </c>
      <c r="O146" s="112">
        <v>0</v>
      </c>
      <c r="P146" s="112">
        <v>0</v>
      </c>
      <c r="Q146" s="112">
        <v>0</v>
      </c>
      <c r="R146" s="112">
        <v>0</v>
      </c>
      <c r="S146" s="112">
        <v>0</v>
      </c>
      <c r="T146" s="112">
        <v>0</v>
      </c>
      <c r="U146" s="112">
        <v>0</v>
      </c>
      <c r="V146" s="112">
        <v>0</v>
      </c>
      <c r="W146" s="112">
        <v>0</v>
      </c>
      <c r="X146" s="112">
        <v>0</v>
      </c>
      <c r="Y146" s="112">
        <v>0</v>
      </c>
      <c r="Z146" s="112">
        <v>0</v>
      </c>
      <c r="AA146" s="112">
        <v>0</v>
      </c>
      <c r="AB146" s="112">
        <v>0</v>
      </c>
      <c r="AC146" s="112">
        <v>0</v>
      </c>
      <c r="AD146" s="112">
        <v>0</v>
      </c>
      <c r="AE146" s="112">
        <v>0</v>
      </c>
      <c r="AF146" s="112">
        <v>0</v>
      </c>
      <c r="AG146" s="112">
        <v>0</v>
      </c>
      <c r="AH146" s="112">
        <v>0</v>
      </c>
      <c r="AI146" s="112">
        <v>0</v>
      </c>
      <c r="AJ146" s="112">
        <v>0</v>
      </c>
      <c r="AK146" s="112">
        <v>0</v>
      </c>
      <c r="AL146" s="112">
        <v>0</v>
      </c>
      <c r="AM146" s="112">
        <v>0</v>
      </c>
      <c r="AN146" s="112">
        <v>0</v>
      </c>
      <c r="AO146" s="112">
        <v>0</v>
      </c>
      <c r="AP146" s="112">
        <v>0</v>
      </c>
      <c r="AQ146" s="112">
        <v>0</v>
      </c>
      <c r="AR146" s="112">
        <v>0</v>
      </c>
      <c r="AS146" s="112">
        <v>0</v>
      </c>
      <c r="AT146" s="112">
        <v>0</v>
      </c>
      <c r="AU146" s="112">
        <v>0</v>
      </c>
      <c r="AV146" s="112">
        <v>0</v>
      </c>
      <c r="AW146" s="112">
        <v>0</v>
      </c>
      <c r="AX146" s="112">
        <v>0</v>
      </c>
      <c r="AY146" s="112">
        <v>0</v>
      </c>
    </row>
    <row r="147" spans="1:51" x14ac:dyDescent="0.2">
      <c r="A147" s="115"/>
      <c r="B147" s="133">
        <v>26</v>
      </c>
      <c r="C147" s="112">
        <v>0</v>
      </c>
      <c r="D147" s="112">
        <v>0</v>
      </c>
      <c r="E147" s="112">
        <v>0</v>
      </c>
      <c r="F147" s="112">
        <v>0</v>
      </c>
      <c r="G147" s="112">
        <v>0</v>
      </c>
      <c r="H147" s="112">
        <v>0</v>
      </c>
      <c r="I147" s="112">
        <v>0</v>
      </c>
      <c r="J147" s="112">
        <v>0</v>
      </c>
      <c r="K147" s="112">
        <v>0</v>
      </c>
      <c r="L147" s="112">
        <v>0</v>
      </c>
      <c r="M147" s="112">
        <v>0</v>
      </c>
      <c r="N147" s="112">
        <v>0</v>
      </c>
      <c r="O147" s="112">
        <v>0</v>
      </c>
      <c r="P147" s="112">
        <v>0</v>
      </c>
      <c r="Q147" s="112">
        <v>0</v>
      </c>
      <c r="R147" s="112">
        <v>0</v>
      </c>
      <c r="S147" s="112">
        <v>0</v>
      </c>
      <c r="T147" s="112">
        <v>0</v>
      </c>
      <c r="U147" s="112">
        <v>0</v>
      </c>
      <c r="V147" s="112">
        <v>0</v>
      </c>
      <c r="W147" s="112">
        <v>0</v>
      </c>
      <c r="X147" s="112">
        <v>0</v>
      </c>
      <c r="Y147" s="112">
        <v>0</v>
      </c>
      <c r="Z147" s="112">
        <v>0</v>
      </c>
      <c r="AA147" s="112">
        <v>0</v>
      </c>
      <c r="AB147" s="112">
        <v>0</v>
      </c>
      <c r="AC147" s="112">
        <v>0</v>
      </c>
      <c r="AD147" s="112">
        <v>0</v>
      </c>
      <c r="AE147" s="112">
        <v>0</v>
      </c>
      <c r="AF147" s="112">
        <v>0</v>
      </c>
      <c r="AG147" s="112">
        <v>0</v>
      </c>
      <c r="AH147" s="112">
        <v>0</v>
      </c>
      <c r="AI147" s="112">
        <v>0</v>
      </c>
      <c r="AJ147" s="112">
        <v>0</v>
      </c>
      <c r="AK147" s="112">
        <v>0</v>
      </c>
      <c r="AL147" s="112">
        <v>0</v>
      </c>
      <c r="AM147" s="112">
        <v>0</v>
      </c>
      <c r="AN147" s="112">
        <v>0</v>
      </c>
      <c r="AO147" s="112">
        <v>0</v>
      </c>
      <c r="AP147" s="112">
        <v>0</v>
      </c>
      <c r="AQ147" s="112">
        <v>0</v>
      </c>
      <c r="AR147" s="112">
        <v>0</v>
      </c>
      <c r="AS147" s="112">
        <v>0</v>
      </c>
      <c r="AT147" s="112">
        <v>0</v>
      </c>
      <c r="AU147" s="112">
        <v>0</v>
      </c>
      <c r="AV147" s="112">
        <v>0</v>
      </c>
      <c r="AW147" s="112">
        <v>0</v>
      </c>
      <c r="AX147" s="112">
        <v>0</v>
      </c>
      <c r="AY147" s="112">
        <v>0</v>
      </c>
    </row>
    <row r="148" spans="1:51" x14ac:dyDescent="0.2">
      <c r="A148" s="115"/>
      <c r="B148" s="133">
        <v>27</v>
      </c>
      <c r="C148" s="112">
        <v>0</v>
      </c>
      <c r="D148" s="112">
        <v>0</v>
      </c>
      <c r="E148" s="112">
        <v>0</v>
      </c>
      <c r="F148" s="112">
        <v>0</v>
      </c>
      <c r="G148" s="112">
        <v>0</v>
      </c>
      <c r="H148" s="112">
        <v>0</v>
      </c>
      <c r="I148" s="112">
        <v>0</v>
      </c>
      <c r="J148" s="112">
        <v>0</v>
      </c>
      <c r="K148" s="112">
        <v>0</v>
      </c>
      <c r="L148" s="112">
        <v>0</v>
      </c>
      <c r="M148" s="112">
        <v>0</v>
      </c>
      <c r="N148" s="112">
        <v>0</v>
      </c>
      <c r="O148" s="112">
        <v>0</v>
      </c>
      <c r="P148" s="112">
        <v>0</v>
      </c>
      <c r="Q148" s="112">
        <v>0</v>
      </c>
      <c r="R148" s="112">
        <v>0</v>
      </c>
      <c r="S148" s="112">
        <v>0</v>
      </c>
      <c r="T148" s="112">
        <v>0</v>
      </c>
      <c r="U148" s="112">
        <v>0</v>
      </c>
      <c r="V148" s="112">
        <v>0</v>
      </c>
      <c r="W148" s="112">
        <v>0</v>
      </c>
      <c r="X148" s="112">
        <v>0</v>
      </c>
      <c r="Y148" s="112">
        <v>0</v>
      </c>
      <c r="Z148" s="112">
        <v>0</v>
      </c>
      <c r="AA148" s="112">
        <v>0</v>
      </c>
      <c r="AB148" s="112">
        <v>0</v>
      </c>
      <c r="AC148" s="112">
        <v>0</v>
      </c>
      <c r="AD148" s="112">
        <v>0</v>
      </c>
      <c r="AE148" s="112">
        <v>0</v>
      </c>
      <c r="AF148" s="112">
        <v>0</v>
      </c>
      <c r="AG148" s="112">
        <v>0</v>
      </c>
      <c r="AH148" s="112">
        <v>0</v>
      </c>
      <c r="AI148" s="112">
        <v>0</v>
      </c>
      <c r="AJ148" s="112">
        <v>0</v>
      </c>
      <c r="AK148" s="112">
        <v>0</v>
      </c>
      <c r="AL148" s="112">
        <v>0</v>
      </c>
      <c r="AM148" s="112">
        <v>0</v>
      </c>
      <c r="AN148" s="112">
        <v>0</v>
      </c>
      <c r="AO148" s="112">
        <v>0</v>
      </c>
      <c r="AP148" s="112">
        <v>0</v>
      </c>
      <c r="AQ148" s="112">
        <v>0</v>
      </c>
      <c r="AR148" s="112">
        <v>0</v>
      </c>
      <c r="AS148" s="112">
        <v>0</v>
      </c>
      <c r="AT148" s="112">
        <v>0</v>
      </c>
      <c r="AU148" s="112">
        <v>0</v>
      </c>
      <c r="AV148" s="112">
        <v>0</v>
      </c>
      <c r="AW148" s="112">
        <v>0</v>
      </c>
      <c r="AX148" s="112">
        <v>0</v>
      </c>
      <c r="AY148" s="112">
        <v>0</v>
      </c>
    </row>
    <row r="149" spans="1:51" x14ac:dyDescent="0.2">
      <c r="A149" s="115"/>
      <c r="B149" s="133">
        <v>28</v>
      </c>
      <c r="C149" s="112">
        <v>0</v>
      </c>
      <c r="D149" s="112">
        <v>0</v>
      </c>
      <c r="E149" s="112">
        <v>0</v>
      </c>
      <c r="F149" s="112">
        <v>0</v>
      </c>
      <c r="G149" s="112">
        <v>0</v>
      </c>
      <c r="H149" s="112">
        <v>0</v>
      </c>
      <c r="I149" s="112">
        <v>0</v>
      </c>
      <c r="J149" s="112">
        <v>0</v>
      </c>
      <c r="K149" s="112">
        <v>0</v>
      </c>
      <c r="L149" s="112">
        <v>0</v>
      </c>
      <c r="M149" s="112">
        <v>0</v>
      </c>
      <c r="N149" s="112">
        <v>0</v>
      </c>
      <c r="O149" s="112">
        <v>0</v>
      </c>
      <c r="P149" s="112">
        <v>0</v>
      </c>
      <c r="Q149" s="112">
        <v>0</v>
      </c>
      <c r="R149" s="112">
        <v>0</v>
      </c>
      <c r="S149" s="112">
        <v>0</v>
      </c>
      <c r="T149" s="112">
        <v>0</v>
      </c>
      <c r="U149" s="112">
        <v>0</v>
      </c>
      <c r="V149" s="112">
        <v>0</v>
      </c>
      <c r="W149" s="112">
        <v>0</v>
      </c>
      <c r="X149" s="112">
        <v>0</v>
      </c>
      <c r="Y149" s="112">
        <v>0</v>
      </c>
      <c r="Z149" s="112">
        <v>0</v>
      </c>
      <c r="AA149" s="112">
        <v>0</v>
      </c>
      <c r="AB149" s="112">
        <v>0</v>
      </c>
      <c r="AC149" s="112">
        <v>0</v>
      </c>
      <c r="AD149" s="112">
        <v>0</v>
      </c>
      <c r="AE149" s="112">
        <v>0</v>
      </c>
      <c r="AF149" s="112">
        <v>0</v>
      </c>
      <c r="AG149" s="112">
        <v>0</v>
      </c>
      <c r="AH149" s="112">
        <v>0</v>
      </c>
      <c r="AI149" s="112">
        <v>0</v>
      </c>
      <c r="AJ149" s="112">
        <v>0</v>
      </c>
      <c r="AK149" s="112">
        <v>0</v>
      </c>
      <c r="AL149" s="112">
        <v>0</v>
      </c>
      <c r="AM149" s="112">
        <v>0</v>
      </c>
      <c r="AN149" s="112">
        <v>0</v>
      </c>
      <c r="AO149" s="112">
        <v>0</v>
      </c>
      <c r="AP149" s="112">
        <v>0</v>
      </c>
      <c r="AQ149" s="112">
        <v>0</v>
      </c>
      <c r="AR149" s="112">
        <v>0</v>
      </c>
      <c r="AS149" s="112">
        <v>0</v>
      </c>
      <c r="AT149" s="112">
        <v>0</v>
      </c>
      <c r="AU149" s="112">
        <v>0</v>
      </c>
      <c r="AV149" s="112">
        <v>0</v>
      </c>
      <c r="AW149" s="112">
        <v>0</v>
      </c>
      <c r="AX149" s="112">
        <v>0</v>
      </c>
      <c r="AY149" s="112">
        <v>0</v>
      </c>
    </row>
    <row r="150" spans="1:51" x14ac:dyDescent="0.2">
      <c r="A150" s="115"/>
      <c r="B150" s="133">
        <v>29</v>
      </c>
      <c r="C150" s="112">
        <v>0</v>
      </c>
      <c r="D150" s="112">
        <v>0</v>
      </c>
      <c r="E150" s="112">
        <v>0</v>
      </c>
      <c r="F150" s="112">
        <v>0</v>
      </c>
      <c r="G150" s="112">
        <v>0</v>
      </c>
      <c r="H150" s="112">
        <v>0</v>
      </c>
      <c r="I150" s="112">
        <v>0</v>
      </c>
      <c r="J150" s="112">
        <v>0</v>
      </c>
      <c r="K150" s="112">
        <v>0</v>
      </c>
      <c r="L150" s="112">
        <v>0</v>
      </c>
      <c r="M150" s="112">
        <v>0</v>
      </c>
      <c r="N150" s="112">
        <v>0</v>
      </c>
      <c r="O150" s="112">
        <v>0</v>
      </c>
      <c r="P150" s="112">
        <v>0</v>
      </c>
      <c r="Q150" s="112">
        <v>0</v>
      </c>
      <c r="R150" s="112">
        <v>0</v>
      </c>
      <c r="S150" s="112">
        <v>0</v>
      </c>
      <c r="T150" s="112">
        <v>0</v>
      </c>
      <c r="U150" s="112">
        <v>0</v>
      </c>
      <c r="V150" s="112">
        <v>0</v>
      </c>
      <c r="W150" s="112">
        <v>0</v>
      </c>
      <c r="X150" s="112">
        <v>0</v>
      </c>
      <c r="Y150" s="112">
        <v>0</v>
      </c>
      <c r="Z150" s="112">
        <v>0</v>
      </c>
      <c r="AA150" s="112">
        <v>0</v>
      </c>
      <c r="AB150" s="112">
        <v>0</v>
      </c>
      <c r="AC150" s="112">
        <v>0</v>
      </c>
      <c r="AD150" s="112">
        <v>0</v>
      </c>
      <c r="AE150" s="112">
        <v>0</v>
      </c>
      <c r="AF150" s="112">
        <v>0</v>
      </c>
      <c r="AG150" s="112">
        <v>0</v>
      </c>
      <c r="AH150" s="112">
        <v>0</v>
      </c>
      <c r="AI150" s="112">
        <v>0</v>
      </c>
      <c r="AJ150" s="112">
        <v>0</v>
      </c>
      <c r="AK150" s="112">
        <v>0</v>
      </c>
      <c r="AL150" s="112">
        <v>0</v>
      </c>
      <c r="AM150" s="112">
        <v>0</v>
      </c>
      <c r="AN150" s="112">
        <v>0</v>
      </c>
      <c r="AO150" s="112">
        <v>0</v>
      </c>
      <c r="AP150" s="112">
        <v>0</v>
      </c>
      <c r="AQ150" s="112">
        <v>0</v>
      </c>
      <c r="AR150" s="112">
        <v>0</v>
      </c>
      <c r="AS150" s="112">
        <v>0</v>
      </c>
      <c r="AT150" s="112">
        <v>0</v>
      </c>
      <c r="AU150" s="112">
        <v>0</v>
      </c>
      <c r="AV150" s="112">
        <v>0</v>
      </c>
      <c r="AW150" s="112">
        <v>0</v>
      </c>
      <c r="AX150" s="112">
        <v>0</v>
      </c>
      <c r="AY150" s="112">
        <v>0</v>
      </c>
    </row>
    <row r="151" spans="1:51" x14ac:dyDescent="0.2">
      <c r="A151" s="115"/>
      <c r="B151" s="133">
        <v>30</v>
      </c>
      <c r="C151" s="112">
        <v>0</v>
      </c>
      <c r="D151" s="112">
        <v>0</v>
      </c>
      <c r="E151" s="112">
        <v>0</v>
      </c>
      <c r="F151" s="112">
        <v>0</v>
      </c>
      <c r="G151" s="112">
        <v>0</v>
      </c>
      <c r="H151" s="112">
        <v>0</v>
      </c>
      <c r="I151" s="112">
        <v>0</v>
      </c>
      <c r="J151" s="112">
        <v>0</v>
      </c>
      <c r="K151" s="112">
        <v>0</v>
      </c>
      <c r="L151" s="112">
        <v>0</v>
      </c>
      <c r="M151" s="112">
        <v>0</v>
      </c>
      <c r="N151" s="112">
        <v>0</v>
      </c>
      <c r="O151" s="112">
        <v>0</v>
      </c>
      <c r="P151" s="112">
        <v>0</v>
      </c>
      <c r="Q151" s="112">
        <v>0</v>
      </c>
      <c r="R151" s="112">
        <v>0</v>
      </c>
      <c r="S151" s="112">
        <v>0</v>
      </c>
      <c r="T151" s="112">
        <v>0</v>
      </c>
      <c r="U151" s="112">
        <v>0</v>
      </c>
      <c r="V151" s="112">
        <v>0</v>
      </c>
      <c r="W151" s="112">
        <v>0</v>
      </c>
      <c r="X151" s="112">
        <v>0</v>
      </c>
      <c r="Y151" s="112">
        <v>0</v>
      </c>
      <c r="Z151" s="112">
        <v>0</v>
      </c>
      <c r="AA151" s="112">
        <v>0</v>
      </c>
      <c r="AB151" s="112">
        <v>0</v>
      </c>
      <c r="AC151" s="112">
        <v>0</v>
      </c>
      <c r="AD151" s="112">
        <v>0</v>
      </c>
      <c r="AE151" s="112">
        <v>0</v>
      </c>
      <c r="AF151" s="112">
        <v>0</v>
      </c>
      <c r="AG151" s="112">
        <v>0</v>
      </c>
      <c r="AH151" s="112">
        <v>0</v>
      </c>
      <c r="AI151" s="112">
        <v>0</v>
      </c>
      <c r="AJ151" s="112">
        <v>0</v>
      </c>
      <c r="AK151" s="112">
        <v>0</v>
      </c>
      <c r="AL151" s="112">
        <v>0</v>
      </c>
      <c r="AM151" s="112">
        <v>0</v>
      </c>
      <c r="AN151" s="112">
        <v>0</v>
      </c>
      <c r="AO151" s="112">
        <v>0</v>
      </c>
      <c r="AP151" s="112">
        <v>0</v>
      </c>
      <c r="AQ151" s="112">
        <v>0</v>
      </c>
      <c r="AR151" s="112">
        <v>0</v>
      </c>
      <c r="AS151" s="112">
        <v>0</v>
      </c>
      <c r="AT151" s="112">
        <v>0</v>
      </c>
      <c r="AU151" s="112">
        <v>0</v>
      </c>
      <c r="AV151" s="112">
        <v>0</v>
      </c>
      <c r="AW151" s="112">
        <v>0</v>
      </c>
      <c r="AX151" s="112">
        <v>0</v>
      </c>
      <c r="AY151" s="112">
        <v>0</v>
      </c>
    </row>
    <row r="152" spans="1:51" x14ac:dyDescent="0.2">
      <c r="A152" s="115"/>
      <c r="B152" s="133">
        <v>31</v>
      </c>
      <c r="C152" s="112">
        <v>0</v>
      </c>
      <c r="D152" s="112">
        <v>0</v>
      </c>
      <c r="E152" s="112">
        <v>0</v>
      </c>
      <c r="F152" s="112">
        <v>0</v>
      </c>
      <c r="G152" s="112">
        <v>0</v>
      </c>
      <c r="H152" s="112">
        <v>0</v>
      </c>
      <c r="I152" s="112">
        <v>0</v>
      </c>
      <c r="J152" s="112">
        <v>0</v>
      </c>
      <c r="K152" s="112">
        <v>0</v>
      </c>
      <c r="L152" s="112">
        <v>0</v>
      </c>
      <c r="M152" s="112">
        <v>0</v>
      </c>
      <c r="N152" s="112">
        <v>0</v>
      </c>
      <c r="O152" s="112">
        <v>0</v>
      </c>
      <c r="P152" s="112">
        <v>0</v>
      </c>
      <c r="Q152" s="112">
        <v>0</v>
      </c>
      <c r="R152" s="112">
        <v>0</v>
      </c>
      <c r="S152" s="112">
        <v>0</v>
      </c>
      <c r="T152" s="112">
        <v>0</v>
      </c>
      <c r="U152" s="112">
        <v>0</v>
      </c>
      <c r="V152" s="112">
        <v>0</v>
      </c>
      <c r="W152" s="112">
        <v>0</v>
      </c>
      <c r="X152" s="112">
        <v>0</v>
      </c>
      <c r="Y152" s="112">
        <v>0</v>
      </c>
      <c r="Z152" s="112">
        <v>0</v>
      </c>
      <c r="AA152" s="112">
        <v>0</v>
      </c>
      <c r="AB152" s="112">
        <v>0</v>
      </c>
      <c r="AC152" s="112">
        <v>0</v>
      </c>
      <c r="AD152" s="112">
        <v>0</v>
      </c>
      <c r="AE152" s="112">
        <v>0</v>
      </c>
      <c r="AF152" s="112">
        <v>0</v>
      </c>
      <c r="AG152" s="112">
        <v>0</v>
      </c>
      <c r="AH152" s="112">
        <v>0</v>
      </c>
      <c r="AI152" s="112">
        <v>0</v>
      </c>
      <c r="AJ152" s="112">
        <v>0</v>
      </c>
      <c r="AK152" s="112">
        <v>0</v>
      </c>
      <c r="AL152" s="112">
        <v>0</v>
      </c>
      <c r="AM152" s="112">
        <v>0</v>
      </c>
      <c r="AN152" s="112">
        <v>0</v>
      </c>
      <c r="AO152" s="112">
        <v>0</v>
      </c>
      <c r="AP152" s="112">
        <v>0</v>
      </c>
      <c r="AQ152" s="112">
        <v>0</v>
      </c>
      <c r="AR152" s="112">
        <v>0</v>
      </c>
      <c r="AS152" s="112">
        <v>0</v>
      </c>
      <c r="AT152" s="112">
        <v>0</v>
      </c>
      <c r="AU152" s="112">
        <v>0</v>
      </c>
      <c r="AV152" s="112">
        <v>0</v>
      </c>
      <c r="AW152" s="112">
        <v>0</v>
      </c>
      <c r="AX152" s="112">
        <v>0</v>
      </c>
      <c r="AY152" s="112">
        <v>0</v>
      </c>
    </row>
    <row r="153" spans="1:51" x14ac:dyDescent="0.2">
      <c r="A153" s="115"/>
      <c r="B153" s="133">
        <v>32</v>
      </c>
      <c r="C153" s="112">
        <v>0</v>
      </c>
      <c r="D153" s="112">
        <v>0</v>
      </c>
      <c r="E153" s="112">
        <v>0</v>
      </c>
      <c r="F153" s="112">
        <v>0</v>
      </c>
      <c r="G153" s="112">
        <v>0</v>
      </c>
      <c r="H153" s="112">
        <v>0</v>
      </c>
      <c r="I153" s="112">
        <v>0</v>
      </c>
      <c r="J153" s="112">
        <v>0</v>
      </c>
      <c r="K153" s="112">
        <v>0</v>
      </c>
      <c r="L153" s="112">
        <v>0</v>
      </c>
      <c r="M153" s="112">
        <v>0</v>
      </c>
      <c r="N153" s="112">
        <v>0</v>
      </c>
      <c r="O153" s="112">
        <v>0</v>
      </c>
      <c r="P153" s="112">
        <v>0</v>
      </c>
      <c r="Q153" s="112">
        <v>0</v>
      </c>
      <c r="R153" s="112">
        <v>0</v>
      </c>
      <c r="S153" s="112">
        <v>0</v>
      </c>
      <c r="T153" s="112">
        <v>0</v>
      </c>
      <c r="U153" s="112">
        <v>0</v>
      </c>
      <c r="V153" s="112">
        <v>0</v>
      </c>
      <c r="W153" s="112">
        <v>0</v>
      </c>
      <c r="X153" s="112">
        <v>0</v>
      </c>
      <c r="Y153" s="112">
        <v>0</v>
      </c>
      <c r="Z153" s="112">
        <v>0</v>
      </c>
      <c r="AA153" s="112">
        <v>0</v>
      </c>
      <c r="AB153" s="112">
        <v>0</v>
      </c>
      <c r="AC153" s="112">
        <v>0</v>
      </c>
      <c r="AD153" s="112">
        <v>0</v>
      </c>
      <c r="AE153" s="112">
        <v>0</v>
      </c>
      <c r="AF153" s="112">
        <v>0</v>
      </c>
      <c r="AG153" s="112">
        <v>0</v>
      </c>
      <c r="AH153" s="112">
        <v>0</v>
      </c>
      <c r="AI153" s="112">
        <v>0</v>
      </c>
      <c r="AJ153" s="112">
        <v>0</v>
      </c>
      <c r="AK153" s="112">
        <v>0</v>
      </c>
      <c r="AL153" s="112">
        <v>0</v>
      </c>
      <c r="AM153" s="112">
        <v>0</v>
      </c>
      <c r="AN153" s="112">
        <v>0</v>
      </c>
      <c r="AO153" s="112">
        <v>0</v>
      </c>
      <c r="AP153" s="112">
        <v>0</v>
      </c>
      <c r="AQ153" s="112">
        <v>0</v>
      </c>
      <c r="AR153" s="112">
        <v>0</v>
      </c>
      <c r="AS153" s="112">
        <v>0</v>
      </c>
      <c r="AT153" s="112">
        <v>0</v>
      </c>
      <c r="AU153" s="112">
        <v>0</v>
      </c>
      <c r="AV153" s="112">
        <v>0</v>
      </c>
      <c r="AW153" s="112">
        <v>0</v>
      </c>
      <c r="AX153" s="112">
        <v>0</v>
      </c>
      <c r="AY153" s="112">
        <v>0</v>
      </c>
    </row>
    <row r="154" spans="1:51" x14ac:dyDescent="0.2">
      <c r="A154" s="115"/>
      <c r="B154" s="133">
        <v>33</v>
      </c>
      <c r="C154" s="112">
        <v>0</v>
      </c>
      <c r="D154" s="112">
        <v>0</v>
      </c>
      <c r="E154" s="112">
        <v>0</v>
      </c>
      <c r="F154" s="112">
        <v>0</v>
      </c>
      <c r="G154" s="112">
        <v>0</v>
      </c>
      <c r="H154" s="112">
        <v>0</v>
      </c>
      <c r="I154" s="112">
        <v>0</v>
      </c>
      <c r="J154" s="112">
        <v>0</v>
      </c>
      <c r="K154" s="112">
        <v>0</v>
      </c>
      <c r="L154" s="112">
        <v>0</v>
      </c>
      <c r="M154" s="112">
        <v>0</v>
      </c>
      <c r="N154" s="112">
        <v>0</v>
      </c>
      <c r="O154" s="112">
        <v>0</v>
      </c>
      <c r="P154" s="112">
        <v>0</v>
      </c>
      <c r="Q154" s="112">
        <v>0</v>
      </c>
      <c r="R154" s="112">
        <v>0</v>
      </c>
      <c r="S154" s="112">
        <v>0</v>
      </c>
      <c r="T154" s="112">
        <v>0</v>
      </c>
      <c r="U154" s="112">
        <v>0</v>
      </c>
      <c r="V154" s="112">
        <v>0</v>
      </c>
      <c r="W154" s="112">
        <v>0</v>
      </c>
      <c r="X154" s="112">
        <v>0</v>
      </c>
      <c r="Y154" s="112">
        <v>0</v>
      </c>
      <c r="Z154" s="112">
        <v>0</v>
      </c>
      <c r="AA154" s="112">
        <v>0</v>
      </c>
      <c r="AB154" s="112">
        <v>0</v>
      </c>
      <c r="AC154" s="112">
        <v>0</v>
      </c>
      <c r="AD154" s="112">
        <v>0</v>
      </c>
      <c r="AE154" s="112">
        <v>0</v>
      </c>
      <c r="AF154" s="112">
        <v>0</v>
      </c>
      <c r="AG154" s="112">
        <v>0</v>
      </c>
      <c r="AH154" s="112">
        <v>0</v>
      </c>
      <c r="AI154" s="112">
        <v>0</v>
      </c>
      <c r="AJ154" s="112">
        <v>0</v>
      </c>
      <c r="AK154" s="112">
        <v>0</v>
      </c>
      <c r="AL154" s="112">
        <v>0</v>
      </c>
      <c r="AM154" s="112">
        <v>0</v>
      </c>
      <c r="AN154" s="112">
        <v>0</v>
      </c>
      <c r="AO154" s="112">
        <v>0</v>
      </c>
      <c r="AP154" s="112">
        <v>0</v>
      </c>
      <c r="AQ154" s="112">
        <v>0</v>
      </c>
      <c r="AR154" s="112">
        <v>0</v>
      </c>
      <c r="AS154" s="112">
        <v>0</v>
      </c>
      <c r="AT154" s="112">
        <v>0</v>
      </c>
      <c r="AU154" s="112">
        <v>0</v>
      </c>
      <c r="AV154" s="112">
        <v>0</v>
      </c>
      <c r="AW154" s="112">
        <v>0</v>
      </c>
      <c r="AX154" s="112">
        <v>0</v>
      </c>
      <c r="AY154" s="112">
        <v>0</v>
      </c>
    </row>
    <row r="155" spans="1:51" x14ac:dyDescent="0.2">
      <c r="A155" s="115"/>
      <c r="B155" s="133">
        <v>34</v>
      </c>
      <c r="C155" s="112">
        <v>0</v>
      </c>
      <c r="D155" s="112">
        <v>0</v>
      </c>
      <c r="E155" s="112">
        <v>0</v>
      </c>
      <c r="F155" s="112">
        <v>0</v>
      </c>
      <c r="G155" s="112">
        <v>0</v>
      </c>
      <c r="H155" s="112">
        <v>0</v>
      </c>
      <c r="I155" s="112">
        <v>0</v>
      </c>
      <c r="J155" s="112">
        <v>0</v>
      </c>
      <c r="K155" s="112">
        <v>0</v>
      </c>
      <c r="L155" s="112">
        <v>0</v>
      </c>
      <c r="M155" s="112">
        <v>0</v>
      </c>
      <c r="N155" s="112">
        <v>0</v>
      </c>
      <c r="O155" s="112">
        <v>0</v>
      </c>
      <c r="P155" s="112">
        <v>0</v>
      </c>
      <c r="Q155" s="112">
        <v>0</v>
      </c>
      <c r="R155" s="112">
        <v>0</v>
      </c>
      <c r="S155" s="112">
        <v>0</v>
      </c>
      <c r="T155" s="112">
        <v>0</v>
      </c>
      <c r="U155" s="112">
        <v>0</v>
      </c>
      <c r="V155" s="112">
        <v>0</v>
      </c>
      <c r="W155" s="112">
        <v>0</v>
      </c>
      <c r="X155" s="112">
        <v>0</v>
      </c>
      <c r="Y155" s="112">
        <v>0</v>
      </c>
      <c r="Z155" s="112">
        <v>0</v>
      </c>
      <c r="AA155" s="112">
        <v>0</v>
      </c>
      <c r="AB155" s="112">
        <v>0</v>
      </c>
      <c r="AC155" s="112">
        <v>0</v>
      </c>
      <c r="AD155" s="112">
        <v>0</v>
      </c>
      <c r="AE155" s="112">
        <v>0</v>
      </c>
      <c r="AF155" s="112">
        <v>0</v>
      </c>
      <c r="AG155" s="112">
        <v>0</v>
      </c>
      <c r="AH155" s="112">
        <v>0</v>
      </c>
      <c r="AI155" s="112">
        <v>0</v>
      </c>
      <c r="AJ155" s="112">
        <v>0</v>
      </c>
      <c r="AK155" s="112">
        <v>0</v>
      </c>
      <c r="AL155" s="112">
        <v>0</v>
      </c>
      <c r="AM155" s="112">
        <v>0</v>
      </c>
      <c r="AN155" s="112">
        <v>0</v>
      </c>
      <c r="AO155" s="112">
        <v>0</v>
      </c>
      <c r="AP155" s="112">
        <v>0</v>
      </c>
      <c r="AQ155" s="112">
        <v>0</v>
      </c>
      <c r="AR155" s="112">
        <v>0</v>
      </c>
      <c r="AS155" s="112">
        <v>0</v>
      </c>
      <c r="AT155" s="112">
        <v>0</v>
      </c>
      <c r="AU155" s="112">
        <v>0</v>
      </c>
      <c r="AV155" s="112">
        <v>0</v>
      </c>
      <c r="AW155" s="112">
        <v>0</v>
      </c>
      <c r="AX155" s="112">
        <v>0</v>
      </c>
      <c r="AY155" s="112">
        <v>0</v>
      </c>
    </row>
    <row r="156" spans="1:51" x14ac:dyDescent="0.2">
      <c r="A156" s="115"/>
      <c r="B156" s="133">
        <v>35</v>
      </c>
      <c r="C156" s="112">
        <v>0</v>
      </c>
      <c r="D156" s="112">
        <v>0</v>
      </c>
      <c r="E156" s="112">
        <v>0</v>
      </c>
      <c r="F156" s="112">
        <v>0</v>
      </c>
      <c r="G156" s="112">
        <v>0</v>
      </c>
      <c r="H156" s="112">
        <v>0</v>
      </c>
      <c r="I156" s="112">
        <v>0</v>
      </c>
      <c r="J156" s="112">
        <v>0</v>
      </c>
      <c r="K156" s="112">
        <v>0</v>
      </c>
      <c r="L156" s="112">
        <v>0</v>
      </c>
      <c r="M156" s="112">
        <v>0</v>
      </c>
      <c r="N156" s="112">
        <v>0</v>
      </c>
      <c r="O156" s="112">
        <v>0</v>
      </c>
      <c r="P156" s="112">
        <v>0</v>
      </c>
      <c r="Q156" s="112">
        <v>0</v>
      </c>
      <c r="R156" s="112">
        <v>0</v>
      </c>
      <c r="S156" s="112">
        <v>0</v>
      </c>
      <c r="T156" s="112">
        <v>0</v>
      </c>
      <c r="U156" s="112">
        <v>0</v>
      </c>
      <c r="V156" s="112">
        <v>0</v>
      </c>
      <c r="W156" s="112">
        <v>0</v>
      </c>
      <c r="X156" s="112">
        <v>0</v>
      </c>
      <c r="Y156" s="112">
        <v>0</v>
      </c>
      <c r="Z156" s="112">
        <v>0</v>
      </c>
      <c r="AA156" s="112">
        <v>0</v>
      </c>
      <c r="AB156" s="112">
        <v>0</v>
      </c>
      <c r="AC156" s="112">
        <v>0</v>
      </c>
      <c r="AD156" s="112">
        <v>0</v>
      </c>
      <c r="AE156" s="112">
        <v>0</v>
      </c>
      <c r="AF156" s="112">
        <v>0</v>
      </c>
      <c r="AG156" s="112">
        <v>0</v>
      </c>
      <c r="AH156" s="112">
        <v>0</v>
      </c>
      <c r="AI156" s="112">
        <v>0</v>
      </c>
      <c r="AJ156" s="112">
        <v>0</v>
      </c>
      <c r="AK156" s="112">
        <v>0</v>
      </c>
      <c r="AL156" s="112">
        <v>0</v>
      </c>
      <c r="AM156" s="112">
        <v>0</v>
      </c>
      <c r="AN156" s="112">
        <v>0</v>
      </c>
      <c r="AO156" s="112">
        <v>0</v>
      </c>
      <c r="AP156" s="112">
        <v>0</v>
      </c>
      <c r="AQ156" s="112">
        <v>0</v>
      </c>
      <c r="AR156" s="112">
        <v>0</v>
      </c>
      <c r="AS156" s="112">
        <v>0</v>
      </c>
      <c r="AT156" s="112">
        <v>0</v>
      </c>
      <c r="AU156" s="112">
        <v>0</v>
      </c>
      <c r="AV156" s="112">
        <v>0</v>
      </c>
      <c r="AW156" s="112">
        <v>0</v>
      </c>
      <c r="AX156" s="112">
        <v>0</v>
      </c>
      <c r="AY156" s="112">
        <v>0</v>
      </c>
    </row>
    <row r="157" spans="1:51" x14ac:dyDescent="0.2">
      <c r="A157" s="115"/>
      <c r="B157" s="133">
        <v>36</v>
      </c>
      <c r="C157" s="112">
        <v>0</v>
      </c>
      <c r="D157" s="112">
        <v>0</v>
      </c>
      <c r="E157" s="112">
        <v>0</v>
      </c>
      <c r="F157" s="112">
        <v>0</v>
      </c>
      <c r="G157" s="112">
        <v>0</v>
      </c>
      <c r="H157" s="112">
        <v>0</v>
      </c>
      <c r="I157" s="112">
        <v>0</v>
      </c>
      <c r="J157" s="112">
        <v>0</v>
      </c>
      <c r="K157" s="112">
        <v>0</v>
      </c>
      <c r="L157" s="112">
        <v>0</v>
      </c>
      <c r="M157" s="112">
        <v>0</v>
      </c>
      <c r="N157" s="112">
        <v>0</v>
      </c>
      <c r="O157" s="112">
        <v>0</v>
      </c>
      <c r="P157" s="112">
        <v>0</v>
      </c>
      <c r="Q157" s="112">
        <v>0</v>
      </c>
      <c r="R157" s="112">
        <v>0</v>
      </c>
      <c r="S157" s="112">
        <v>0</v>
      </c>
      <c r="T157" s="112">
        <v>0</v>
      </c>
      <c r="U157" s="112">
        <v>0</v>
      </c>
      <c r="V157" s="112">
        <v>0</v>
      </c>
      <c r="W157" s="112">
        <v>0</v>
      </c>
      <c r="X157" s="112">
        <v>0</v>
      </c>
      <c r="Y157" s="112">
        <v>0</v>
      </c>
      <c r="Z157" s="112">
        <v>0</v>
      </c>
      <c r="AA157" s="112">
        <v>0</v>
      </c>
      <c r="AB157" s="112">
        <v>0</v>
      </c>
      <c r="AC157" s="112">
        <v>0</v>
      </c>
      <c r="AD157" s="112">
        <v>0</v>
      </c>
      <c r="AE157" s="112">
        <v>0</v>
      </c>
      <c r="AF157" s="112">
        <v>0</v>
      </c>
      <c r="AG157" s="112">
        <v>0</v>
      </c>
      <c r="AH157" s="112">
        <v>0</v>
      </c>
      <c r="AI157" s="112">
        <v>0</v>
      </c>
      <c r="AJ157" s="112">
        <v>0</v>
      </c>
      <c r="AK157" s="112">
        <v>0</v>
      </c>
      <c r="AL157" s="112">
        <v>0</v>
      </c>
      <c r="AM157" s="112">
        <v>0</v>
      </c>
      <c r="AN157" s="112">
        <v>0</v>
      </c>
      <c r="AO157" s="112">
        <v>0</v>
      </c>
      <c r="AP157" s="112">
        <v>0</v>
      </c>
      <c r="AQ157" s="112">
        <v>0</v>
      </c>
      <c r="AR157" s="112">
        <v>0</v>
      </c>
      <c r="AS157" s="112">
        <v>0</v>
      </c>
      <c r="AT157" s="112">
        <v>0</v>
      </c>
      <c r="AU157" s="112">
        <v>0</v>
      </c>
      <c r="AV157" s="112">
        <v>0</v>
      </c>
      <c r="AW157" s="112">
        <v>0</v>
      </c>
      <c r="AX157" s="112">
        <v>0</v>
      </c>
      <c r="AY157" s="112">
        <v>0</v>
      </c>
    </row>
    <row r="158" spans="1:51" x14ac:dyDescent="0.2">
      <c r="A158" s="115"/>
      <c r="B158" s="136">
        <v>37</v>
      </c>
      <c r="C158" s="112">
        <v>0</v>
      </c>
      <c r="D158" s="112">
        <v>0</v>
      </c>
      <c r="E158" s="112">
        <v>0</v>
      </c>
      <c r="F158" s="112">
        <v>0</v>
      </c>
      <c r="G158" s="112">
        <v>0</v>
      </c>
      <c r="H158" s="112">
        <v>0</v>
      </c>
      <c r="I158" s="112">
        <v>0</v>
      </c>
      <c r="J158" s="112">
        <v>0</v>
      </c>
      <c r="K158" s="112">
        <v>0</v>
      </c>
      <c r="L158" s="112">
        <v>0</v>
      </c>
      <c r="M158" s="112">
        <v>0</v>
      </c>
      <c r="N158" s="112">
        <v>0</v>
      </c>
      <c r="O158" s="112">
        <v>0</v>
      </c>
      <c r="P158" s="112">
        <v>0</v>
      </c>
      <c r="Q158" s="112">
        <v>0</v>
      </c>
      <c r="R158" s="112">
        <v>0</v>
      </c>
      <c r="S158" s="112">
        <v>0</v>
      </c>
      <c r="T158" s="112">
        <v>0</v>
      </c>
      <c r="U158" s="112">
        <v>0</v>
      </c>
      <c r="V158" s="112">
        <v>0</v>
      </c>
      <c r="W158" s="112">
        <v>0</v>
      </c>
      <c r="X158" s="112">
        <v>0</v>
      </c>
      <c r="Y158" s="112">
        <v>0</v>
      </c>
      <c r="Z158" s="112">
        <v>0</v>
      </c>
      <c r="AA158" s="112">
        <v>0</v>
      </c>
      <c r="AB158" s="112">
        <v>0</v>
      </c>
      <c r="AC158" s="112">
        <v>0</v>
      </c>
      <c r="AD158" s="112">
        <v>0</v>
      </c>
      <c r="AE158" s="112">
        <v>0</v>
      </c>
      <c r="AF158" s="112">
        <v>0</v>
      </c>
      <c r="AG158" s="112">
        <v>0</v>
      </c>
      <c r="AH158" s="112">
        <v>0</v>
      </c>
      <c r="AI158" s="112">
        <v>0</v>
      </c>
      <c r="AJ158" s="112">
        <v>0</v>
      </c>
      <c r="AK158" s="112">
        <v>0</v>
      </c>
      <c r="AL158" s="112">
        <v>0</v>
      </c>
      <c r="AM158" s="112">
        <v>0</v>
      </c>
      <c r="AN158" s="112">
        <v>0</v>
      </c>
      <c r="AO158" s="112">
        <v>0</v>
      </c>
      <c r="AP158" s="112">
        <v>0</v>
      </c>
      <c r="AQ158" s="112">
        <v>0</v>
      </c>
      <c r="AR158" s="112">
        <v>0</v>
      </c>
      <c r="AS158" s="112">
        <v>0</v>
      </c>
      <c r="AT158" s="112">
        <v>0</v>
      </c>
      <c r="AU158" s="112">
        <v>0</v>
      </c>
      <c r="AV158" s="112">
        <v>0</v>
      </c>
      <c r="AW158" s="112">
        <v>0</v>
      </c>
      <c r="AX158" s="112">
        <v>0</v>
      </c>
      <c r="AY158" s="112">
        <v>0</v>
      </c>
    </row>
    <row r="159" spans="1:51" x14ac:dyDescent="0.2">
      <c r="A159" s="115"/>
      <c r="B159" s="136">
        <v>38</v>
      </c>
      <c r="C159" s="112">
        <v>0</v>
      </c>
      <c r="D159" s="112">
        <v>0</v>
      </c>
      <c r="E159" s="112">
        <v>0</v>
      </c>
      <c r="F159" s="112">
        <v>0</v>
      </c>
      <c r="G159" s="112">
        <v>0</v>
      </c>
      <c r="H159" s="112">
        <v>0</v>
      </c>
      <c r="I159" s="112">
        <v>0</v>
      </c>
      <c r="J159" s="112">
        <v>0</v>
      </c>
      <c r="K159" s="112">
        <v>0</v>
      </c>
      <c r="L159" s="112">
        <v>0</v>
      </c>
      <c r="M159" s="112">
        <v>0</v>
      </c>
      <c r="N159" s="112">
        <v>0</v>
      </c>
      <c r="O159" s="112">
        <v>0</v>
      </c>
      <c r="P159" s="112">
        <v>0</v>
      </c>
      <c r="Q159" s="112">
        <v>0</v>
      </c>
      <c r="R159" s="112">
        <v>0</v>
      </c>
      <c r="S159" s="112">
        <v>0</v>
      </c>
      <c r="T159" s="112">
        <v>0</v>
      </c>
      <c r="U159" s="112">
        <v>0</v>
      </c>
      <c r="V159" s="112">
        <v>0</v>
      </c>
      <c r="W159" s="112">
        <v>0</v>
      </c>
      <c r="X159" s="112">
        <v>0</v>
      </c>
      <c r="Y159" s="112">
        <v>0</v>
      </c>
      <c r="Z159" s="112">
        <v>0</v>
      </c>
      <c r="AA159" s="112">
        <v>0</v>
      </c>
      <c r="AB159" s="112">
        <v>0</v>
      </c>
      <c r="AC159" s="112">
        <v>0</v>
      </c>
      <c r="AD159" s="112">
        <v>0</v>
      </c>
      <c r="AE159" s="112">
        <v>0</v>
      </c>
      <c r="AF159" s="112">
        <v>0</v>
      </c>
      <c r="AG159" s="112">
        <v>0</v>
      </c>
      <c r="AH159" s="112">
        <v>0</v>
      </c>
      <c r="AI159" s="112">
        <v>0</v>
      </c>
      <c r="AJ159" s="112">
        <v>0</v>
      </c>
      <c r="AK159" s="112">
        <v>0</v>
      </c>
      <c r="AL159" s="112">
        <v>0</v>
      </c>
      <c r="AM159" s="112">
        <v>0</v>
      </c>
      <c r="AN159" s="112">
        <v>0</v>
      </c>
      <c r="AO159" s="112">
        <v>0</v>
      </c>
      <c r="AP159" s="112">
        <v>0</v>
      </c>
      <c r="AQ159" s="112">
        <v>0</v>
      </c>
      <c r="AR159" s="112">
        <v>0</v>
      </c>
      <c r="AS159" s="112">
        <v>0</v>
      </c>
      <c r="AT159" s="112">
        <v>0</v>
      </c>
      <c r="AU159" s="112">
        <v>0</v>
      </c>
      <c r="AV159" s="112">
        <v>0</v>
      </c>
      <c r="AW159" s="112">
        <v>0</v>
      </c>
      <c r="AX159" s="112">
        <v>0</v>
      </c>
      <c r="AY159" s="112">
        <v>0</v>
      </c>
    </row>
    <row r="160" spans="1:51" x14ac:dyDescent="0.2">
      <c r="A160" s="115"/>
      <c r="B160" s="136">
        <v>39</v>
      </c>
      <c r="C160" s="112">
        <v>0</v>
      </c>
      <c r="D160" s="112">
        <v>0</v>
      </c>
      <c r="E160" s="112">
        <v>0</v>
      </c>
      <c r="F160" s="112">
        <v>0</v>
      </c>
      <c r="G160" s="112">
        <v>0</v>
      </c>
      <c r="H160" s="112">
        <v>0</v>
      </c>
      <c r="I160" s="112">
        <v>0</v>
      </c>
      <c r="J160" s="112">
        <v>0</v>
      </c>
      <c r="K160" s="112">
        <v>0</v>
      </c>
      <c r="L160" s="112">
        <v>0</v>
      </c>
      <c r="M160" s="112">
        <v>0</v>
      </c>
      <c r="N160" s="112">
        <v>0</v>
      </c>
      <c r="O160" s="112">
        <v>0</v>
      </c>
      <c r="P160" s="112">
        <v>0</v>
      </c>
      <c r="Q160" s="112">
        <v>0</v>
      </c>
      <c r="R160" s="112">
        <v>0</v>
      </c>
      <c r="S160" s="112">
        <v>0</v>
      </c>
      <c r="T160" s="112">
        <v>0</v>
      </c>
      <c r="U160" s="112">
        <v>0</v>
      </c>
      <c r="V160" s="112">
        <v>0</v>
      </c>
      <c r="W160" s="112">
        <v>0</v>
      </c>
      <c r="X160" s="112">
        <v>0</v>
      </c>
      <c r="Y160" s="112">
        <v>0</v>
      </c>
      <c r="Z160" s="112">
        <v>0</v>
      </c>
      <c r="AA160" s="112">
        <v>0</v>
      </c>
      <c r="AB160" s="112">
        <v>0</v>
      </c>
      <c r="AC160" s="112">
        <v>0</v>
      </c>
      <c r="AD160" s="112">
        <v>0</v>
      </c>
      <c r="AE160" s="112">
        <v>0</v>
      </c>
      <c r="AF160" s="112">
        <v>0</v>
      </c>
      <c r="AG160" s="112">
        <v>0</v>
      </c>
      <c r="AH160" s="112">
        <v>0</v>
      </c>
      <c r="AI160" s="112">
        <v>0</v>
      </c>
      <c r="AJ160" s="112">
        <v>0</v>
      </c>
      <c r="AK160" s="112">
        <v>0</v>
      </c>
      <c r="AL160" s="112">
        <v>0</v>
      </c>
      <c r="AM160" s="112">
        <v>0</v>
      </c>
      <c r="AN160" s="112">
        <v>0</v>
      </c>
      <c r="AO160" s="112">
        <v>0</v>
      </c>
      <c r="AP160" s="112">
        <v>0</v>
      </c>
      <c r="AQ160" s="112">
        <v>0</v>
      </c>
      <c r="AR160" s="112">
        <v>0</v>
      </c>
      <c r="AS160" s="112">
        <v>0</v>
      </c>
      <c r="AT160" s="112">
        <v>0</v>
      </c>
      <c r="AU160" s="112">
        <v>0</v>
      </c>
      <c r="AV160" s="112">
        <v>0</v>
      </c>
      <c r="AW160" s="112">
        <v>0</v>
      </c>
      <c r="AX160" s="112">
        <v>0</v>
      </c>
      <c r="AY160" s="112">
        <v>0</v>
      </c>
    </row>
    <row r="161" spans="1:52" x14ac:dyDescent="0.2">
      <c r="A161" s="115"/>
      <c r="B161" s="136">
        <v>40</v>
      </c>
      <c r="C161" s="112">
        <v>0</v>
      </c>
      <c r="D161" s="112">
        <v>0</v>
      </c>
      <c r="E161" s="112">
        <v>0</v>
      </c>
      <c r="F161" s="112">
        <v>0</v>
      </c>
      <c r="G161" s="112">
        <v>0</v>
      </c>
      <c r="H161" s="112">
        <v>0</v>
      </c>
      <c r="I161" s="112">
        <v>0</v>
      </c>
      <c r="J161" s="112">
        <v>0</v>
      </c>
      <c r="K161" s="112">
        <v>0</v>
      </c>
      <c r="L161" s="112">
        <v>0</v>
      </c>
      <c r="M161" s="112">
        <v>0</v>
      </c>
      <c r="N161" s="112">
        <v>0</v>
      </c>
      <c r="O161" s="112">
        <v>0</v>
      </c>
      <c r="P161" s="112">
        <v>0</v>
      </c>
      <c r="Q161" s="112">
        <v>0</v>
      </c>
      <c r="R161" s="112">
        <v>0</v>
      </c>
      <c r="S161" s="112">
        <v>0</v>
      </c>
      <c r="T161" s="112">
        <v>0</v>
      </c>
      <c r="U161" s="112">
        <v>0</v>
      </c>
      <c r="V161" s="112">
        <v>0</v>
      </c>
      <c r="W161" s="112">
        <v>0</v>
      </c>
      <c r="X161" s="112">
        <v>0</v>
      </c>
      <c r="Y161" s="112">
        <v>0</v>
      </c>
      <c r="Z161" s="112">
        <v>0</v>
      </c>
      <c r="AA161" s="112">
        <v>0</v>
      </c>
      <c r="AB161" s="112">
        <v>0</v>
      </c>
      <c r="AC161" s="112">
        <v>0</v>
      </c>
      <c r="AD161" s="112">
        <v>0</v>
      </c>
      <c r="AE161" s="112">
        <v>0</v>
      </c>
      <c r="AF161" s="112">
        <v>0</v>
      </c>
      <c r="AG161" s="112">
        <v>0</v>
      </c>
      <c r="AH161" s="112">
        <v>0</v>
      </c>
      <c r="AI161" s="112">
        <v>0</v>
      </c>
      <c r="AJ161" s="112">
        <v>0</v>
      </c>
      <c r="AK161" s="112">
        <v>0</v>
      </c>
      <c r="AL161" s="112">
        <v>0</v>
      </c>
      <c r="AM161" s="112">
        <v>0</v>
      </c>
      <c r="AN161" s="112">
        <v>0</v>
      </c>
      <c r="AO161" s="112">
        <v>0</v>
      </c>
      <c r="AP161" s="112">
        <v>0</v>
      </c>
      <c r="AQ161" s="112">
        <v>0</v>
      </c>
      <c r="AR161" s="112">
        <v>0</v>
      </c>
      <c r="AS161" s="112">
        <v>0</v>
      </c>
      <c r="AT161" s="112">
        <v>0</v>
      </c>
      <c r="AU161" s="112">
        <v>0</v>
      </c>
      <c r="AV161" s="112">
        <v>0</v>
      </c>
      <c r="AW161" s="112">
        <v>0</v>
      </c>
      <c r="AX161" s="112">
        <v>0</v>
      </c>
      <c r="AY161" s="112">
        <v>0</v>
      </c>
    </row>
    <row r="162" spans="1:52" x14ac:dyDescent="0.2">
      <c r="A162" s="115"/>
      <c r="B162" s="136">
        <v>41</v>
      </c>
      <c r="C162" s="112">
        <v>0</v>
      </c>
      <c r="D162" s="112">
        <v>0</v>
      </c>
      <c r="E162" s="112">
        <v>0</v>
      </c>
      <c r="F162" s="112">
        <v>0</v>
      </c>
      <c r="G162" s="112">
        <v>0</v>
      </c>
      <c r="H162" s="112">
        <v>0</v>
      </c>
      <c r="I162" s="112">
        <v>0</v>
      </c>
      <c r="J162" s="112">
        <v>0</v>
      </c>
      <c r="K162" s="112">
        <v>0</v>
      </c>
      <c r="L162" s="112">
        <v>0</v>
      </c>
      <c r="M162" s="112">
        <v>0</v>
      </c>
      <c r="N162" s="112">
        <v>0</v>
      </c>
      <c r="O162" s="112">
        <v>0</v>
      </c>
      <c r="P162" s="112">
        <v>0</v>
      </c>
      <c r="Q162" s="112">
        <v>0</v>
      </c>
      <c r="R162" s="112">
        <v>0</v>
      </c>
      <c r="S162" s="112">
        <v>0</v>
      </c>
      <c r="T162" s="112">
        <v>0</v>
      </c>
      <c r="U162" s="112">
        <v>0</v>
      </c>
      <c r="V162" s="112">
        <v>0</v>
      </c>
      <c r="W162" s="112">
        <v>0</v>
      </c>
      <c r="X162" s="112">
        <v>0</v>
      </c>
      <c r="Y162" s="112">
        <v>0</v>
      </c>
      <c r="Z162" s="112">
        <v>0</v>
      </c>
      <c r="AA162" s="112">
        <v>0</v>
      </c>
      <c r="AB162" s="112">
        <v>0</v>
      </c>
      <c r="AC162" s="112">
        <v>0</v>
      </c>
      <c r="AD162" s="112">
        <v>0</v>
      </c>
      <c r="AE162" s="112">
        <v>0</v>
      </c>
      <c r="AF162" s="112">
        <v>0</v>
      </c>
      <c r="AG162" s="112">
        <v>0</v>
      </c>
      <c r="AH162" s="112">
        <v>0</v>
      </c>
      <c r="AI162" s="112">
        <v>0</v>
      </c>
      <c r="AJ162" s="112">
        <v>0</v>
      </c>
      <c r="AK162" s="112">
        <v>0</v>
      </c>
      <c r="AL162" s="112">
        <v>0</v>
      </c>
      <c r="AM162" s="112">
        <v>0</v>
      </c>
      <c r="AN162" s="112">
        <v>0</v>
      </c>
      <c r="AO162" s="112">
        <v>0</v>
      </c>
      <c r="AP162" s="112">
        <v>0</v>
      </c>
      <c r="AQ162" s="112">
        <v>0</v>
      </c>
      <c r="AR162" s="112">
        <v>0</v>
      </c>
      <c r="AS162" s="112">
        <v>0</v>
      </c>
      <c r="AT162" s="112">
        <v>0</v>
      </c>
      <c r="AU162" s="112">
        <v>0</v>
      </c>
      <c r="AV162" s="112">
        <v>0</v>
      </c>
      <c r="AW162" s="112">
        <v>0</v>
      </c>
      <c r="AX162" s="112">
        <v>0</v>
      </c>
      <c r="AY162" s="112">
        <v>0</v>
      </c>
    </row>
    <row r="163" spans="1:52" x14ac:dyDescent="0.2">
      <c r="A163" s="115"/>
      <c r="B163" s="136">
        <v>42</v>
      </c>
      <c r="C163" s="112">
        <v>0</v>
      </c>
      <c r="D163" s="112">
        <v>0</v>
      </c>
      <c r="E163" s="112">
        <v>0</v>
      </c>
      <c r="F163" s="112">
        <v>0</v>
      </c>
      <c r="G163" s="112">
        <v>0</v>
      </c>
      <c r="H163" s="112">
        <v>0</v>
      </c>
      <c r="I163" s="112">
        <v>0</v>
      </c>
      <c r="J163" s="112">
        <v>0</v>
      </c>
      <c r="K163" s="112">
        <v>0</v>
      </c>
      <c r="L163" s="112">
        <v>0</v>
      </c>
      <c r="M163" s="112">
        <v>0</v>
      </c>
      <c r="N163" s="112">
        <v>0</v>
      </c>
      <c r="O163" s="112">
        <v>0</v>
      </c>
      <c r="P163" s="112">
        <v>0</v>
      </c>
      <c r="Q163" s="112">
        <v>0</v>
      </c>
      <c r="R163" s="112">
        <v>0</v>
      </c>
      <c r="S163" s="112">
        <v>0</v>
      </c>
      <c r="T163" s="112">
        <v>0</v>
      </c>
      <c r="U163" s="112">
        <v>0</v>
      </c>
      <c r="V163" s="112">
        <v>0</v>
      </c>
      <c r="W163" s="112">
        <v>0</v>
      </c>
      <c r="X163" s="112">
        <v>0</v>
      </c>
      <c r="Y163" s="112">
        <v>0</v>
      </c>
      <c r="Z163" s="112">
        <v>0</v>
      </c>
      <c r="AA163" s="112">
        <v>0</v>
      </c>
      <c r="AB163" s="112">
        <v>0</v>
      </c>
      <c r="AC163" s="112">
        <v>0</v>
      </c>
      <c r="AD163" s="112">
        <v>0</v>
      </c>
      <c r="AE163" s="112">
        <v>0</v>
      </c>
      <c r="AF163" s="112">
        <v>0</v>
      </c>
      <c r="AG163" s="112">
        <v>0</v>
      </c>
      <c r="AH163" s="112">
        <v>0</v>
      </c>
      <c r="AI163" s="112">
        <v>0</v>
      </c>
      <c r="AJ163" s="112">
        <v>0</v>
      </c>
      <c r="AK163" s="112">
        <v>0</v>
      </c>
      <c r="AL163" s="112">
        <v>0</v>
      </c>
      <c r="AM163" s="112">
        <v>0</v>
      </c>
      <c r="AN163" s="112">
        <v>0</v>
      </c>
      <c r="AO163" s="112">
        <v>0</v>
      </c>
      <c r="AP163" s="112">
        <v>0</v>
      </c>
      <c r="AQ163" s="112">
        <v>0</v>
      </c>
      <c r="AR163" s="112">
        <v>0</v>
      </c>
      <c r="AS163" s="112">
        <v>0</v>
      </c>
      <c r="AT163" s="112">
        <v>0</v>
      </c>
      <c r="AU163" s="112">
        <v>0</v>
      </c>
      <c r="AV163" s="112">
        <v>0</v>
      </c>
      <c r="AW163" s="112">
        <v>0</v>
      </c>
      <c r="AX163" s="112">
        <v>0</v>
      </c>
      <c r="AY163" s="112">
        <v>0</v>
      </c>
    </row>
    <row r="164" spans="1:52" x14ac:dyDescent="0.2">
      <c r="A164" s="115"/>
      <c r="B164" s="136">
        <v>43</v>
      </c>
      <c r="C164" s="112">
        <v>0</v>
      </c>
      <c r="D164" s="112">
        <v>0</v>
      </c>
      <c r="E164" s="112">
        <v>0</v>
      </c>
      <c r="F164" s="112">
        <v>0</v>
      </c>
      <c r="G164" s="112">
        <v>0</v>
      </c>
      <c r="H164" s="112">
        <v>0</v>
      </c>
      <c r="I164" s="112">
        <v>0</v>
      </c>
      <c r="J164" s="112">
        <v>0</v>
      </c>
      <c r="K164" s="112">
        <v>0</v>
      </c>
      <c r="L164" s="112">
        <v>0</v>
      </c>
      <c r="M164" s="112">
        <v>0</v>
      </c>
      <c r="N164" s="112">
        <v>0</v>
      </c>
      <c r="O164" s="112">
        <v>0</v>
      </c>
      <c r="P164" s="112">
        <v>0</v>
      </c>
      <c r="Q164" s="112">
        <v>0</v>
      </c>
      <c r="R164" s="112">
        <v>0</v>
      </c>
      <c r="S164" s="112">
        <v>0</v>
      </c>
      <c r="T164" s="112">
        <v>0</v>
      </c>
      <c r="U164" s="112">
        <v>0</v>
      </c>
      <c r="V164" s="112">
        <v>0</v>
      </c>
      <c r="W164" s="112">
        <v>0</v>
      </c>
      <c r="X164" s="112">
        <v>0</v>
      </c>
      <c r="Y164" s="112">
        <v>0</v>
      </c>
      <c r="Z164" s="112">
        <v>0</v>
      </c>
      <c r="AA164" s="112">
        <v>0</v>
      </c>
      <c r="AB164" s="112">
        <v>0</v>
      </c>
      <c r="AC164" s="112">
        <v>0</v>
      </c>
      <c r="AD164" s="112">
        <v>0</v>
      </c>
      <c r="AE164" s="112">
        <v>0</v>
      </c>
      <c r="AF164" s="112">
        <v>0</v>
      </c>
      <c r="AG164" s="112">
        <v>0</v>
      </c>
      <c r="AH164" s="112">
        <v>0</v>
      </c>
      <c r="AI164" s="112">
        <v>0</v>
      </c>
      <c r="AJ164" s="112">
        <v>0</v>
      </c>
      <c r="AK164" s="112">
        <v>0</v>
      </c>
      <c r="AL164" s="112">
        <v>0</v>
      </c>
      <c r="AM164" s="112">
        <v>0</v>
      </c>
      <c r="AN164" s="112">
        <v>0</v>
      </c>
      <c r="AO164" s="112">
        <v>0</v>
      </c>
      <c r="AP164" s="112">
        <v>0</v>
      </c>
      <c r="AQ164" s="112">
        <v>0</v>
      </c>
      <c r="AR164" s="112">
        <v>0</v>
      </c>
      <c r="AS164" s="112">
        <v>0</v>
      </c>
      <c r="AT164" s="112">
        <v>0</v>
      </c>
      <c r="AU164" s="112">
        <v>0</v>
      </c>
      <c r="AV164" s="112">
        <v>0</v>
      </c>
      <c r="AW164" s="112">
        <v>0</v>
      </c>
      <c r="AX164" s="112">
        <v>0</v>
      </c>
      <c r="AY164" s="112">
        <v>0</v>
      </c>
    </row>
    <row r="165" spans="1:52" x14ac:dyDescent="0.2">
      <c r="A165" s="115"/>
      <c r="B165" s="136">
        <v>44</v>
      </c>
      <c r="C165" s="112">
        <v>0</v>
      </c>
      <c r="D165" s="112">
        <v>0</v>
      </c>
      <c r="E165" s="112">
        <v>0</v>
      </c>
      <c r="F165" s="112">
        <v>0</v>
      </c>
      <c r="G165" s="112">
        <v>0</v>
      </c>
      <c r="H165" s="112">
        <v>0</v>
      </c>
      <c r="I165" s="112">
        <v>0</v>
      </c>
      <c r="J165" s="112">
        <v>0</v>
      </c>
      <c r="K165" s="112">
        <v>0</v>
      </c>
      <c r="L165" s="112">
        <v>0</v>
      </c>
      <c r="M165" s="112">
        <v>0</v>
      </c>
      <c r="N165" s="112">
        <v>0</v>
      </c>
      <c r="O165" s="112">
        <v>0</v>
      </c>
      <c r="P165" s="112">
        <v>0</v>
      </c>
      <c r="Q165" s="112">
        <v>0</v>
      </c>
      <c r="R165" s="112">
        <v>0</v>
      </c>
      <c r="S165" s="112">
        <v>0</v>
      </c>
      <c r="T165" s="112">
        <v>0</v>
      </c>
      <c r="U165" s="112">
        <v>0</v>
      </c>
      <c r="V165" s="112">
        <v>0</v>
      </c>
      <c r="W165" s="112">
        <v>0</v>
      </c>
      <c r="X165" s="112">
        <v>0</v>
      </c>
      <c r="Y165" s="112">
        <v>0</v>
      </c>
      <c r="Z165" s="112">
        <v>0</v>
      </c>
      <c r="AA165" s="112">
        <v>0</v>
      </c>
      <c r="AB165" s="112">
        <v>0</v>
      </c>
      <c r="AC165" s="112">
        <v>0</v>
      </c>
      <c r="AD165" s="112">
        <v>0</v>
      </c>
      <c r="AE165" s="112">
        <v>0</v>
      </c>
      <c r="AF165" s="112">
        <v>0</v>
      </c>
      <c r="AG165" s="112">
        <v>0</v>
      </c>
      <c r="AH165" s="112">
        <v>0</v>
      </c>
      <c r="AI165" s="112">
        <v>0</v>
      </c>
      <c r="AJ165" s="112">
        <v>0</v>
      </c>
      <c r="AK165" s="112">
        <v>0</v>
      </c>
      <c r="AL165" s="112">
        <v>0</v>
      </c>
      <c r="AM165" s="112">
        <v>0</v>
      </c>
      <c r="AN165" s="112">
        <v>0</v>
      </c>
      <c r="AO165" s="112">
        <v>0</v>
      </c>
      <c r="AP165" s="112">
        <v>0</v>
      </c>
      <c r="AQ165" s="112">
        <v>0</v>
      </c>
      <c r="AR165" s="112">
        <v>0</v>
      </c>
      <c r="AS165" s="112">
        <v>0</v>
      </c>
      <c r="AT165" s="112">
        <v>0</v>
      </c>
      <c r="AU165" s="112">
        <v>0</v>
      </c>
      <c r="AV165" s="112">
        <v>0</v>
      </c>
      <c r="AW165" s="112">
        <v>0</v>
      </c>
      <c r="AX165" s="112">
        <v>0</v>
      </c>
      <c r="AY165" s="112">
        <v>0</v>
      </c>
    </row>
    <row r="166" spans="1:52" x14ac:dyDescent="0.2">
      <c r="A166" s="115"/>
      <c r="B166" s="136">
        <v>45</v>
      </c>
      <c r="C166" s="112">
        <v>0</v>
      </c>
      <c r="D166" s="112">
        <v>0</v>
      </c>
      <c r="E166" s="112">
        <v>0</v>
      </c>
      <c r="F166" s="112">
        <v>0</v>
      </c>
      <c r="G166" s="112">
        <v>0</v>
      </c>
      <c r="H166" s="112">
        <v>0</v>
      </c>
      <c r="I166" s="112">
        <v>0</v>
      </c>
      <c r="J166" s="112">
        <v>0</v>
      </c>
      <c r="K166" s="112">
        <v>0</v>
      </c>
      <c r="L166" s="112">
        <v>0</v>
      </c>
      <c r="M166" s="112">
        <v>0</v>
      </c>
      <c r="N166" s="112">
        <v>0</v>
      </c>
      <c r="O166" s="112">
        <v>0</v>
      </c>
      <c r="P166" s="112">
        <v>0</v>
      </c>
      <c r="Q166" s="112">
        <v>0</v>
      </c>
      <c r="R166" s="112">
        <v>0</v>
      </c>
      <c r="S166" s="112">
        <v>0</v>
      </c>
      <c r="T166" s="112">
        <v>0</v>
      </c>
      <c r="U166" s="112">
        <v>0</v>
      </c>
      <c r="V166" s="112">
        <v>0</v>
      </c>
      <c r="W166" s="112">
        <v>0</v>
      </c>
      <c r="X166" s="112">
        <v>0</v>
      </c>
      <c r="Y166" s="112">
        <v>0</v>
      </c>
      <c r="Z166" s="112">
        <v>0</v>
      </c>
      <c r="AA166" s="112">
        <v>0</v>
      </c>
      <c r="AB166" s="112">
        <v>0</v>
      </c>
      <c r="AC166" s="112">
        <v>0</v>
      </c>
      <c r="AD166" s="112">
        <v>0</v>
      </c>
      <c r="AE166" s="112">
        <v>0</v>
      </c>
      <c r="AF166" s="112">
        <v>0</v>
      </c>
      <c r="AG166" s="112">
        <v>0</v>
      </c>
      <c r="AH166" s="112">
        <v>0</v>
      </c>
      <c r="AI166" s="112">
        <v>0</v>
      </c>
      <c r="AJ166" s="112">
        <v>0</v>
      </c>
      <c r="AK166" s="112">
        <v>0</v>
      </c>
      <c r="AL166" s="112">
        <v>0</v>
      </c>
      <c r="AM166" s="112">
        <v>0</v>
      </c>
      <c r="AN166" s="112">
        <v>0</v>
      </c>
      <c r="AO166" s="112">
        <v>0</v>
      </c>
      <c r="AP166" s="112">
        <v>0</v>
      </c>
      <c r="AQ166" s="112">
        <v>0</v>
      </c>
      <c r="AR166" s="112">
        <v>0</v>
      </c>
      <c r="AS166" s="112">
        <v>0</v>
      </c>
      <c r="AT166" s="112">
        <v>0</v>
      </c>
      <c r="AU166" s="112">
        <v>0</v>
      </c>
      <c r="AV166" s="112">
        <v>0</v>
      </c>
      <c r="AW166" s="112">
        <v>0</v>
      </c>
      <c r="AX166" s="112">
        <v>0</v>
      </c>
      <c r="AY166" s="112">
        <v>0</v>
      </c>
    </row>
    <row r="167" spans="1:52" x14ac:dyDescent="0.2">
      <c r="A167" s="115"/>
      <c r="B167" s="136">
        <v>46</v>
      </c>
      <c r="C167" s="112">
        <v>0</v>
      </c>
      <c r="D167" s="112">
        <v>0</v>
      </c>
      <c r="E167" s="112">
        <v>0</v>
      </c>
      <c r="F167" s="112">
        <v>0</v>
      </c>
      <c r="G167" s="112">
        <v>0</v>
      </c>
      <c r="H167" s="112">
        <v>0</v>
      </c>
      <c r="I167" s="112">
        <v>0</v>
      </c>
      <c r="J167" s="112">
        <v>0</v>
      </c>
      <c r="K167" s="112">
        <v>0</v>
      </c>
      <c r="L167" s="112">
        <v>0</v>
      </c>
      <c r="M167" s="112">
        <v>0</v>
      </c>
      <c r="N167" s="112">
        <v>0</v>
      </c>
      <c r="O167" s="112">
        <v>0</v>
      </c>
      <c r="P167" s="112">
        <v>0</v>
      </c>
      <c r="Q167" s="112">
        <v>0</v>
      </c>
      <c r="R167" s="112">
        <v>0</v>
      </c>
      <c r="S167" s="112">
        <v>0</v>
      </c>
      <c r="T167" s="112">
        <v>0</v>
      </c>
      <c r="U167" s="112">
        <v>0</v>
      </c>
      <c r="V167" s="112">
        <v>0</v>
      </c>
      <c r="W167" s="112">
        <v>0</v>
      </c>
      <c r="X167" s="112">
        <v>0</v>
      </c>
      <c r="Y167" s="112">
        <v>0</v>
      </c>
      <c r="Z167" s="112">
        <v>0</v>
      </c>
      <c r="AA167" s="112">
        <v>0</v>
      </c>
      <c r="AB167" s="112">
        <v>0</v>
      </c>
      <c r="AC167" s="112">
        <v>0</v>
      </c>
      <c r="AD167" s="112">
        <v>0</v>
      </c>
      <c r="AE167" s="112">
        <v>0</v>
      </c>
      <c r="AF167" s="112">
        <v>0</v>
      </c>
      <c r="AG167" s="112">
        <v>0</v>
      </c>
      <c r="AH167" s="112">
        <v>0</v>
      </c>
      <c r="AI167" s="112">
        <v>0</v>
      </c>
      <c r="AJ167" s="112">
        <v>0</v>
      </c>
      <c r="AK167" s="112">
        <v>0</v>
      </c>
      <c r="AL167" s="112">
        <v>0</v>
      </c>
      <c r="AM167" s="112">
        <v>0</v>
      </c>
      <c r="AN167" s="112">
        <v>0</v>
      </c>
      <c r="AO167" s="112">
        <v>0</v>
      </c>
      <c r="AP167" s="112">
        <v>0</v>
      </c>
      <c r="AQ167" s="112">
        <v>0</v>
      </c>
      <c r="AR167" s="112">
        <v>0</v>
      </c>
      <c r="AS167" s="112">
        <v>0</v>
      </c>
      <c r="AT167" s="112">
        <v>0</v>
      </c>
      <c r="AU167" s="112">
        <v>0</v>
      </c>
      <c r="AV167" s="112">
        <v>0</v>
      </c>
      <c r="AW167" s="112">
        <v>0</v>
      </c>
      <c r="AX167" s="112">
        <v>0</v>
      </c>
      <c r="AY167" s="112">
        <v>0</v>
      </c>
    </row>
    <row r="168" spans="1:52" x14ac:dyDescent="0.2">
      <c r="A168" s="115"/>
      <c r="B168" s="136">
        <v>47</v>
      </c>
      <c r="C168" s="112">
        <v>0</v>
      </c>
      <c r="D168" s="112">
        <v>0</v>
      </c>
      <c r="E168" s="112">
        <v>0</v>
      </c>
      <c r="F168" s="112">
        <v>0</v>
      </c>
      <c r="G168" s="112">
        <v>0</v>
      </c>
      <c r="H168" s="112">
        <v>0</v>
      </c>
      <c r="I168" s="112">
        <v>0</v>
      </c>
      <c r="J168" s="112">
        <v>0</v>
      </c>
      <c r="K168" s="112">
        <v>0</v>
      </c>
      <c r="L168" s="112">
        <v>0</v>
      </c>
      <c r="M168" s="112">
        <v>0</v>
      </c>
      <c r="N168" s="112">
        <v>0</v>
      </c>
      <c r="O168" s="112">
        <v>0</v>
      </c>
      <c r="P168" s="112">
        <v>0</v>
      </c>
      <c r="Q168" s="112">
        <v>0</v>
      </c>
      <c r="R168" s="112">
        <v>0</v>
      </c>
      <c r="S168" s="112">
        <v>0</v>
      </c>
      <c r="T168" s="112">
        <v>0</v>
      </c>
      <c r="U168" s="112">
        <v>0</v>
      </c>
      <c r="V168" s="112">
        <v>0</v>
      </c>
      <c r="W168" s="112">
        <v>0</v>
      </c>
      <c r="X168" s="112">
        <v>0</v>
      </c>
      <c r="Y168" s="112">
        <v>0</v>
      </c>
      <c r="Z168" s="112">
        <v>0</v>
      </c>
      <c r="AA168" s="112">
        <v>0</v>
      </c>
      <c r="AB168" s="112">
        <v>0</v>
      </c>
      <c r="AC168" s="112">
        <v>0</v>
      </c>
      <c r="AD168" s="112">
        <v>0</v>
      </c>
      <c r="AE168" s="112">
        <v>0</v>
      </c>
      <c r="AF168" s="112">
        <v>0</v>
      </c>
      <c r="AG168" s="112">
        <v>0</v>
      </c>
      <c r="AH168" s="112">
        <v>0</v>
      </c>
      <c r="AI168" s="112">
        <v>0</v>
      </c>
      <c r="AJ168" s="112">
        <v>0</v>
      </c>
      <c r="AK168" s="112">
        <v>0</v>
      </c>
      <c r="AL168" s="112">
        <v>0</v>
      </c>
      <c r="AM168" s="112">
        <v>0</v>
      </c>
      <c r="AN168" s="112">
        <v>0</v>
      </c>
      <c r="AO168" s="112">
        <v>0</v>
      </c>
      <c r="AP168" s="112">
        <v>0</v>
      </c>
      <c r="AQ168" s="112">
        <v>0</v>
      </c>
      <c r="AR168" s="112">
        <v>0</v>
      </c>
      <c r="AS168" s="112">
        <v>0</v>
      </c>
      <c r="AT168" s="112">
        <v>0</v>
      </c>
      <c r="AU168" s="112">
        <v>0</v>
      </c>
      <c r="AV168" s="112">
        <v>0</v>
      </c>
      <c r="AW168" s="112">
        <v>0</v>
      </c>
      <c r="AX168" s="112">
        <v>0</v>
      </c>
      <c r="AY168" s="112">
        <v>0</v>
      </c>
    </row>
    <row r="169" spans="1:52" x14ac:dyDescent="0.2">
      <c r="A169" s="115"/>
      <c r="B169" s="136">
        <v>48</v>
      </c>
      <c r="C169" s="112">
        <v>0</v>
      </c>
      <c r="D169" s="112">
        <v>0</v>
      </c>
      <c r="E169" s="112">
        <v>0</v>
      </c>
      <c r="F169" s="112">
        <v>0</v>
      </c>
      <c r="G169" s="112">
        <v>0</v>
      </c>
      <c r="H169" s="112">
        <v>0</v>
      </c>
      <c r="I169" s="112">
        <v>0</v>
      </c>
      <c r="J169" s="112">
        <v>0</v>
      </c>
      <c r="K169" s="112">
        <v>0</v>
      </c>
      <c r="L169" s="112">
        <v>0</v>
      </c>
      <c r="M169" s="112">
        <v>0</v>
      </c>
      <c r="N169" s="112">
        <v>0</v>
      </c>
      <c r="O169" s="112">
        <v>0</v>
      </c>
      <c r="P169" s="112">
        <v>0</v>
      </c>
      <c r="Q169" s="112">
        <v>0</v>
      </c>
      <c r="R169" s="112">
        <v>0</v>
      </c>
      <c r="S169" s="112">
        <v>0</v>
      </c>
      <c r="T169" s="112">
        <v>0</v>
      </c>
      <c r="U169" s="112">
        <v>0</v>
      </c>
      <c r="V169" s="112">
        <v>0</v>
      </c>
      <c r="W169" s="112">
        <v>0</v>
      </c>
      <c r="X169" s="112">
        <v>0</v>
      </c>
      <c r="Y169" s="112">
        <v>0</v>
      </c>
      <c r="Z169" s="112">
        <v>0</v>
      </c>
      <c r="AA169" s="112">
        <v>0</v>
      </c>
      <c r="AB169" s="112">
        <v>0</v>
      </c>
      <c r="AC169" s="112">
        <v>0</v>
      </c>
      <c r="AD169" s="112">
        <v>0</v>
      </c>
      <c r="AE169" s="112">
        <v>0</v>
      </c>
      <c r="AF169" s="112">
        <v>0</v>
      </c>
      <c r="AG169" s="112">
        <v>0</v>
      </c>
      <c r="AH169" s="112">
        <v>0</v>
      </c>
      <c r="AI169" s="112">
        <v>0</v>
      </c>
      <c r="AJ169" s="112">
        <v>0</v>
      </c>
      <c r="AK169" s="112">
        <v>0</v>
      </c>
      <c r="AL169" s="112">
        <v>0</v>
      </c>
      <c r="AM169" s="112">
        <v>0</v>
      </c>
      <c r="AN169" s="112">
        <v>0</v>
      </c>
      <c r="AO169" s="112">
        <v>0</v>
      </c>
      <c r="AP169" s="112">
        <v>0</v>
      </c>
      <c r="AQ169" s="112">
        <v>0</v>
      </c>
      <c r="AR169" s="112">
        <v>0</v>
      </c>
      <c r="AS169" s="112">
        <v>0</v>
      </c>
      <c r="AT169" s="112">
        <v>0</v>
      </c>
      <c r="AU169" s="112">
        <v>0</v>
      </c>
      <c r="AV169" s="112">
        <v>0</v>
      </c>
      <c r="AW169" s="112">
        <v>0</v>
      </c>
      <c r="AX169" s="112">
        <v>0</v>
      </c>
      <c r="AY169" s="112">
        <v>0</v>
      </c>
    </row>
    <row r="170" spans="1:52" x14ac:dyDescent="0.2">
      <c r="A170" s="134"/>
      <c r="B170" s="138" t="s">
        <v>296</v>
      </c>
      <c r="C170" s="120">
        <v>0</v>
      </c>
      <c r="D170" s="131">
        <v>0</v>
      </c>
      <c r="E170" s="131">
        <v>0</v>
      </c>
      <c r="F170" s="131">
        <v>0</v>
      </c>
      <c r="G170" s="131">
        <v>0</v>
      </c>
      <c r="H170" s="131">
        <v>0</v>
      </c>
      <c r="I170" s="131">
        <v>0</v>
      </c>
      <c r="J170" s="131">
        <v>0</v>
      </c>
      <c r="K170" s="131">
        <v>0</v>
      </c>
      <c r="L170" s="131">
        <v>0</v>
      </c>
      <c r="M170" s="131">
        <v>0</v>
      </c>
      <c r="N170" s="131">
        <v>0</v>
      </c>
      <c r="O170" s="131">
        <v>0</v>
      </c>
      <c r="P170" s="131">
        <v>0</v>
      </c>
      <c r="Q170" s="131">
        <v>0</v>
      </c>
      <c r="R170" s="131">
        <v>0</v>
      </c>
      <c r="S170" s="131">
        <v>0</v>
      </c>
      <c r="T170" s="131">
        <v>0</v>
      </c>
      <c r="U170" s="131">
        <v>0</v>
      </c>
      <c r="V170" s="131">
        <v>0</v>
      </c>
      <c r="W170" s="131">
        <v>0</v>
      </c>
      <c r="X170" s="131">
        <v>0</v>
      </c>
      <c r="Y170" s="131">
        <v>0</v>
      </c>
      <c r="Z170" s="131">
        <v>0</v>
      </c>
      <c r="AA170" s="131">
        <v>0</v>
      </c>
      <c r="AB170" s="131">
        <v>0</v>
      </c>
      <c r="AC170" s="131">
        <v>0</v>
      </c>
      <c r="AD170" s="131">
        <v>0</v>
      </c>
      <c r="AE170" s="131">
        <v>0</v>
      </c>
      <c r="AF170" s="131">
        <v>0</v>
      </c>
      <c r="AG170" s="131">
        <v>0</v>
      </c>
      <c r="AH170" s="131">
        <v>0</v>
      </c>
      <c r="AI170" s="131">
        <v>0</v>
      </c>
      <c r="AJ170" s="131">
        <v>0</v>
      </c>
      <c r="AK170" s="131">
        <v>0</v>
      </c>
      <c r="AL170" s="131">
        <v>0</v>
      </c>
      <c r="AM170" s="131">
        <v>0</v>
      </c>
      <c r="AN170" s="131">
        <v>0</v>
      </c>
      <c r="AO170" s="131">
        <v>0</v>
      </c>
      <c r="AP170" s="131">
        <v>0</v>
      </c>
      <c r="AQ170" s="131">
        <v>0</v>
      </c>
      <c r="AR170" s="131">
        <v>0</v>
      </c>
      <c r="AS170" s="131">
        <v>0</v>
      </c>
      <c r="AT170" s="131">
        <v>0</v>
      </c>
      <c r="AU170" s="131">
        <v>0</v>
      </c>
      <c r="AV170" s="131">
        <v>0</v>
      </c>
      <c r="AW170" s="131">
        <v>0</v>
      </c>
      <c r="AX170" s="131">
        <v>0</v>
      </c>
      <c r="AY170" s="131">
        <v>0</v>
      </c>
      <c r="AZ170" s="113">
        <f>SUM($D170:$AY170)</f>
        <v>0</v>
      </c>
    </row>
    <row r="172" spans="1:52" x14ac:dyDescent="0.2">
      <c r="A172" s="108" t="s">
        <v>124</v>
      </c>
      <c r="B172" s="139" t="s">
        <v>297</v>
      </c>
      <c r="C172" s="140">
        <v>5.49307939495449E-2</v>
      </c>
      <c r="D172" s="140">
        <v>0.51908497856819402</v>
      </c>
      <c r="E172" s="140">
        <v>0.51908497856819402</v>
      </c>
      <c r="F172" s="140">
        <v>0.51908497856819402</v>
      </c>
      <c r="G172" s="140">
        <v>0.51908497856819402</v>
      </c>
      <c r="H172" s="140">
        <v>0.45964418006046204</v>
      </c>
      <c r="I172" s="140">
        <v>0.45964418006046204</v>
      </c>
      <c r="J172" s="140">
        <v>0.45964418006046204</v>
      </c>
      <c r="K172" s="140">
        <v>0.45964418006046204</v>
      </c>
      <c r="L172" s="140">
        <v>0.23654089296772898</v>
      </c>
      <c r="M172" s="140">
        <v>0.23654089296772898</v>
      </c>
      <c r="N172" s="140">
        <v>0.23654089296772898</v>
      </c>
      <c r="O172" s="140">
        <v>0.23654089296772898</v>
      </c>
      <c r="P172" s="140">
        <v>0.294096818461828</v>
      </c>
      <c r="Q172" s="140">
        <v>0.294096818461828</v>
      </c>
      <c r="R172" s="140">
        <v>0.294096818461828</v>
      </c>
      <c r="S172" s="140">
        <v>0.294096818461828</v>
      </c>
      <c r="T172" s="140">
        <v>0.31005989065686901</v>
      </c>
      <c r="U172" s="140">
        <v>0.31005989065686901</v>
      </c>
      <c r="V172" s="140">
        <v>0.31005989065686901</v>
      </c>
      <c r="W172" s="140">
        <v>0.31005989065686901</v>
      </c>
      <c r="X172" s="140">
        <v>0.20571549871790701</v>
      </c>
      <c r="Y172" s="140">
        <v>0.20571549871790701</v>
      </c>
      <c r="Z172" s="140">
        <v>0.20571549871790701</v>
      </c>
      <c r="AA172" s="140">
        <v>0.20571549871790701</v>
      </c>
      <c r="AB172" s="140">
        <v>0.14527246247675499</v>
      </c>
      <c r="AC172" s="140">
        <v>0.14527246247675499</v>
      </c>
      <c r="AD172" s="140">
        <v>0.14527246247675499</v>
      </c>
      <c r="AE172" s="140">
        <v>0.14527246247675499</v>
      </c>
      <c r="AF172" s="140">
        <v>0.53933382441796707</v>
      </c>
      <c r="AG172" s="140">
        <v>0.53933382441796707</v>
      </c>
      <c r="AH172" s="140">
        <v>0.53933382441796707</v>
      </c>
      <c r="AI172" s="140">
        <v>0.53933382441796707</v>
      </c>
      <c r="AJ172" s="140">
        <v>0.52004946894467208</v>
      </c>
      <c r="AK172" s="140">
        <v>0.52004946894467208</v>
      </c>
      <c r="AL172" s="140">
        <v>0.52004946894467208</v>
      </c>
      <c r="AM172" s="140">
        <v>0.52004946894467208</v>
      </c>
      <c r="AN172" s="140">
        <v>0.35363407517214496</v>
      </c>
      <c r="AO172" s="140">
        <v>0.35363407517214496</v>
      </c>
      <c r="AP172" s="140">
        <v>0.35363407517214496</v>
      </c>
      <c r="AQ172" s="140">
        <v>0.35363407517214496</v>
      </c>
      <c r="AR172" s="140">
        <v>0.52368814613779402</v>
      </c>
      <c r="AS172" s="140">
        <v>0.52368814613779402</v>
      </c>
      <c r="AT172" s="140">
        <v>0.52368814613779402</v>
      </c>
      <c r="AU172" s="140">
        <v>0.52368814613779402</v>
      </c>
      <c r="AV172" s="140">
        <v>0.53105356930719505</v>
      </c>
      <c r="AW172" s="140">
        <v>0.53105356930719505</v>
      </c>
      <c r="AX172" s="140">
        <v>0.53105356930719505</v>
      </c>
      <c r="AY172" s="140">
        <v>0.53105356930719505</v>
      </c>
    </row>
    <row r="174" spans="1:52" x14ac:dyDescent="0.2">
      <c r="A174" s="108" t="s">
        <v>272</v>
      </c>
    </row>
    <row r="175" spans="1:52" x14ac:dyDescent="0.2">
      <c r="A175" s="141" t="s">
        <v>125</v>
      </c>
      <c r="B175" s="141" t="s">
        <v>298</v>
      </c>
      <c r="C175" s="130" t="s">
        <v>293</v>
      </c>
      <c r="D175" s="130">
        <f t="shared" ref="D175:AY175" si="1">SUM(D95:D98)</f>
        <v>4228.5082779604409</v>
      </c>
      <c r="E175" s="130">
        <f t="shared" si="1"/>
        <v>3599.1943664211067</v>
      </c>
      <c r="F175" s="130">
        <f t="shared" si="1"/>
        <v>2969.8804548817716</v>
      </c>
      <c r="G175" s="130">
        <f t="shared" si="1"/>
        <v>2340.5665433424365</v>
      </c>
      <c r="H175" s="130">
        <f t="shared" si="1"/>
        <v>2426.7261655582242</v>
      </c>
      <c r="I175" s="130">
        <f t="shared" si="1"/>
        <v>2394.8857877740124</v>
      </c>
      <c r="J175" s="130">
        <f t="shared" si="1"/>
        <v>2524.0454099898006</v>
      </c>
      <c r="K175" s="130">
        <f t="shared" si="1"/>
        <v>2720.2050322055884</v>
      </c>
      <c r="L175" s="130">
        <f t="shared" si="1"/>
        <v>2561.8537098044044</v>
      </c>
      <c r="M175" s="130">
        <f t="shared" si="1"/>
        <v>2656.5023874032204</v>
      </c>
      <c r="N175" s="130">
        <f t="shared" si="1"/>
        <v>2727.1510650020364</v>
      </c>
      <c r="O175" s="130">
        <f t="shared" si="1"/>
        <v>2614.594710395264</v>
      </c>
      <c r="P175" s="130">
        <f t="shared" si="1"/>
        <v>2657.3995839864851</v>
      </c>
      <c r="Q175" s="130">
        <f t="shared" si="1"/>
        <v>2700.2044575777063</v>
      </c>
      <c r="R175" s="130">
        <f t="shared" si="1"/>
        <v>2743.0093311689275</v>
      </c>
      <c r="S175" s="130">
        <f t="shared" si="1"/>
        <v>2785.8142047601486</v>
      </c>
      <c r="T175" s="130">
        <f t="shared" si="1"/>
        <v>3220.7952569934646</v>
      </c>
      <c r="U175" s="130">
        <f t="shared" si="1"/>
        <v>3398.5635620096032</v>
      </c>
      <c r="V175" s="130">
        <f t="shared" si="1"/>
        <v>3590.9981654329558</v>
      </c>
      <c r="W175" s="130">
        <f t="shared" si="1"/>
        <v>4034.4327688563089</v>
      </c>
      <c r="X175" s="130">
        <f t="shared" si="1"/>
        <v>3725.5797530846544</v>
      </c>
      <c r="Y175" s="130">
        <f t="shared" si="1"/>
        <v>3327.1631753033971</v>
      </c>
      <c r="Z175" s="130">
        <f t="shared" si="1"/>
        <v>2727.8755561083899</v>
      </c>
      <c r="AA175" s="130">
        <f t="shared" si="1"/>
        <v>2128.5879369133822</v>
      </c>
      <c r="AB175" s="130">
        <f t="shared" si="1"/>
        <v>1783.1843890998746</v>
      </c>
      <c r="AC175" s="130">
        <f t="shared" si="1"/>
        <v>1929.7808412863669</v>
      </c>
      <c r="AD175" s="130">
        <f t="shared" si="1"/>
        <v>2072.9363407878222</v>
      </c>
      <c r="AE175" s="130">
        <f t="shared" si="1"/>
        <v>2054.3858087459689</v>
      </c>
      <c r="AF175" s="130">
        <f t="shared" si="1"/>
        <v>2195.748560870562</v>
      </c>
      <c r="AG175" s="130">
        <f t="shared" si="1"/>
        <v>2337.111312995155</v>
      </c>
      <c r="AH175" s="130">
        <f t="shared" si="1"/>
        <v>2478.474065119748</v>
      </c>
      <c r="AI175" s="130">
        <f t="shared" si="1"/>
        <v>2619.8368172443411</v>
      </c>
      <c r="AJ175" s="130">
        <f t="shared" si="1"/>
        <v>2557.0826406004489</v>
      </c>
      <c r="AK175" s="130">
        <f t="shared" si="1"/>
        <v>2494.3284639565568</v>
      </c>
      <c r="AL175" s="130">
        <f t="shared" si="1"/>
        <v>2431.5742873126651</v>
      </c>
      <c r="AM175" s="130">
        <f t="shared" si="1"/>
        <v>2368.8201106687729</v>
      </c>
      <c r="AN175" s="130">
        <f t="shared" si="1"/>
        <v>2964.6939682570901</v>
      </c>
      <c r="AO175" s="130">
        <f t="shared" si="1"/>
        <v>3560.5678258454072</v>
      </c>
      <c r="AP175" s="130">
        <f t="shared" si="1"/>
        <v>3932.3111211463993</v>
      </c>
      <c r="AQ175" s="130">
        <f t="shared" si="1"/>
        <v>3948.8112904801665</v>
      </c>
      <c r="AR175" s="130">
        <f t="shared" si="1"/>
        <v>4128.3835462365323</v>
      </c>
      <c r="AS175" s="130">
        <f t="shared" si="1"/>
        <v>3759.9964641333413</v>
      </c>
      <c r="AT175" s="130">
        <f t="shared" si="1"/>
        <v>3263.8369256889914</v>
      </c>
      <c r="AU175" s="130">
        <f t="shared" si="1"/>
        <v>2767.677387244642</v>
      </c>
      <c r="AV175" s="130">
        <f t="shared" si="1"/>
        <v>2505.9319051691568</v>
      </c>
      <c r="AW175" s="130">
        <f t="shared" si="1"/>
        <v>2244.1864230936717</v>
      </c>
      <c r="AX175" s="130">
        <f t="shared" si="1"/>
        <v>1982.4409410181868</v>
      </c>
      <c r="AY175" s="130">
        <f t="shared" si="1"/>
        <v>1720.6954589427019</v>
      </c>
    </row>
    <row r="176" spans="1:52" x14ac:dyDescent="0.2">
      <c r="A176" s="131"/>
      <c r="B176" s="142" t="s">
        <v>299</v>
      </c>
      <c r="C176" s="131" t="s">
        <v>293</v>
      </c>
      <c r="D176" s="131">
        <v>804</v>
      </c>
      <c r="E176" s="131">
        <v>827</v>
      </c>
      <c r="F176" s="131">
        <v>602</v>
      </c>
      <c r="G176" s="131">
        <v>727</v>
      </c>
      <c r="H176" s="131">
        <v>845</v>
      </c>
      <c r="I176" s="131">
        <v>684</v>
      </c>
      <c r="J176" s="131">
        <v>617</v>
      </c>
      <c r="K176" s="131">
        <v>812</v>
      </c>
      <c r="L176" s="131">
        <v>559</v>
      </c>
      <c r="M176" s="131">
        <v>583</v>
      </c>
      <c r="N176" s="131">
        <v>623</v>
      </c>
      <c r="O176" s="131">
        <v>465</v>
      </c>
      <c r="P176" s="131">
        <v>464</v>
      </c>
      <c r="Q176" s="131">
        <v>462</v>
      </c>
      <c r="R176" s="131">
        <v>534</v>
      </c>
      <c r="S176" s="131">
        <v>570</v>
      </c>
      <c r="T176" s="131">
        <v>796</v>
      </c>
      <c r="U176" s="131">
        <v>939</v>
      </c>
      <c r="V176" s="131">
        <v>688</v>
      </c>
      <c r="W176" s="131">
        <v>841</v>
      </c>
      <c r="X176" s="131">
        <v>630</v>
      </c>
      <c r="Y176" s="131">
        <v>579</v>
      </c>
      <c r="Z176" s="131">
        <v>889</v>
      </c>
      <c r="AA176" s="131">
        <v>859</v>
      </c>
      <c r="AB176" s="131">
        <v>367</v>
      </c>
      <c r="AC176" s="131">
        <v>237</v>
      </c>
      <c r="AD176" s="131">
        <v>275</v>
      </c>
      <c r="AE176" s="131">
        <v>336</v>
      </c>
      <c r="AF176" s="131">
        <v>322</v>
      </c>
      <c r="AG176" s="131">
        <v>339</v>
      </c>
      <c r="AH176" s="131">
        <v>393</v>
      </c>
      <c r="AI176" s="131">
        <v>296</v>
      </c>
      <c r="AJ176" s="131">
        <v>385</v>
      </c>
      <c r="AK176" s="131">
        <v>457</v>
      </c>
      <c r="AL176" s="131">
        <v>459</v>
      </c>
      <c r="AM176" s="131">
        <v>366</v>
      </c>
      <c r="AN176" s="131">
        <v>535</v>
      </c>
      <c r="AO176" s="131">
        <v>557</v>
      </c>
      <c r="AP176" s="131">
        <v>389</v>
      </c>
      <c r="AQ176" s="131">
        <v>438</v>
      </c>
      <c r="AR176" s="131">
        <v>421</v>
      </c>
      <c r="AS176" s="131">
        <v>448</v>
      </c>
      <c r="AT176" s="131">
        <v>468</v>
      </c>
      <c r="AU176" s="131">
        <v>519</v>
      </c>
      <c r="AV176" s="131">
        <v>354</v>
      </c>
      <c r="AW176" s="131">
        <v>338</v>
      </c>
      <c r="AX176" s="131">
        <v>377</v>
      </c>
      <c r="AY176" s="131">
        <v>352</v>
      </c>
    </row>
    <row r="177" spans="1:51" x14ac:dyDescent="0.2">
      <c r="A177" s="141" t="s">
        <v>133</v>
      </c>
      <c r="B177" s="141" t="s">
        <v>298</v>
      </c>
      <c r="C177" s="130" t="s">
        <v>293</v>
      </c>
      <c r="D177" s="130">
        <f t="shared" ref="D177:AY177" si="2">SUM(D100:D107)</f>
        <v>203.36447752796221</v>
      </c>
      <c r="E177" s="130">
        <f t="shared" si="2"/>
        <v>607.71484611951087</v>
      </c>
      <c r="F177" s="130">
        <f t="shared" si="2"/>
        <v>524.3636680975219</v>
      </c>
      <c r="G177" s="130">
        <f t="shared" si="2"/>
        <v>296.03391601270812</v>
      </c>
      <c r="H177" s="130">
        <f t="shared" si="2"/>
        <v>2.8421709430404007E-14</v>
      </c>
      <c r="I177" s="130">
        <f t="shared" si="2"/>
        <v>631.27621801884709</v>
      </c>
      <c r="J177" s="130">
        <f t="shared" si="2"/>
        <v>717.10863569818196</v>
      </c>
      <c r="K177" s="130">
        <f t="shared" si="2"/>
        <v>729.94105337751694</v>
      </c>
      <c r="L177" s="130">
        <f t="shared" si="2"/>
        <v>796.7734710568518</v>
      </c>
      <c r="M177" s="130">
        <f t="shared" si="2"/>
        <v>632.60588873618667</v>
      </c>
      <c r="N177" s="130">
        <f t="shared" si="2"/>
        <v>174.60588873618673</v>
      </c>
      <c r="O177" s="130">
        <f t="shared" si="2"/>
        <v>326.83241767933492</v>
      </c>
      <c r="P177" s="130">
        <f t="shared" si="2"/>
        <v>291.51893187757656</v>
      </c>
      <c r="Q177" s="130">
        <f t="shared" si="2"/>
        <v>291.51893187757656</v>
      </c>
      <c r="R177" s="130">
        <f t="shared" si="2"/>
        <v>0</v>
      </c>
      <c r="S177" s="130">
        <f t="shared" si="2"/>
        <v>560.42499942140887</v>
      </c>
      <c r="T177" s="130">
        <f t="shared" si="2"/>
        <v>387.63749913211331</v>
      </c>
      <c r="U177" s="130">
        <f t="shared" si="2"/>
        <v>421.84999884281774</v>
      </c>
      <c r="V177" s="130">
        <f t="shared" si="2"/>
        <v>137.84999884281774</v>
      </c>
      <c r="W177" s="130">
        <f t="shared" si="2"/>
        <v>180.10183869044738</v>
      </c>
      <c r="X177" s="130">
        <f t="shared" si="2"/>
        <v>90.05091934522369</v>
      </c>
      <c r="Y177" s="130">
        <f t="shared" si="2"/>
        <v>90.05091934522369</v>
      </c>
      <c r="Z177" s="130">
        <f t="shared" si="2"/>
        <v>0</v>
      </c>
      <c r="AA177" s="130">
        <f t="shared" si="2"/>
        <v>326.83241767933492</v>
      </c>
      <c r="AB177" s="130">
        <f t="shared" si="2"/>
        <v>68.832417679334924</v>
      </c>
      <c r="AC177" s="130">
        <f t="shared" si="2"/>
        <v>428.21014096157467</v>
      </c>
      <c r="AD177" s="130">
        <f t="shared" si="2"/>
        <v>372.85155367864002</v>
      </c>
      <c r="AE177" s="130">
        <f t="shared" si="2"/>
        <v>346.49296639570537</v>
      </c>
      <c r="AF177" s="130">
        <f t="shared" si="2"/>
        <v>292.13437911277072</v>
      </c>
      <c r="AG177" s="130">
        <f t="shared" si="2"/>
        <v>233.77579182983607</v>
      </c>
      <c r="AH177" s="130">
        <f t="shared" si="2"/>
        <v>263.51758209136483</v>
      </c>
      <c r="AI177" s="130">
        <f t="shared" si="2"/>
        <v>120.6702479151862</v>
      </c>
      <c r="AJ177" s="130">
        <f t="shared" si="2"/>
        <v>0</v>
      </c>
      <c r="AK177" s="130">
        <f t="shared" si="2"/>
        <v>406.36491626754344</v>
      </c>
      <c r="AL177" s="130">
        <f t="shared" si="2"/>
        <v>620.99834993878392</v>
      </c>
      <c r="AM177" s="130">
        <f t="shared" si="2"/>
        <v>570.11420151865946</v>
      </c>
      <c r="AN177" s="130">
        <f t="shared" si="2"/>
        <v>489.23005309853505</v>
      </c>
      <c r="AO177" s="130">
        <f t="shared" si="2"/>
        <v>228.90030101372125</v>
      </c>
      <c r="AP177" s="130">
        <f t="shared" si="2"/>
        <v>384.56295042992144</v>
      </c>
      <c r="AQ177" s="130">
        <f t="shared" si="2"/>
        <v>241.1173467652321</v>
      </c>
      <c r="AR177" s="130">
        <f t="shared" si="2"/>
        <v>241.11734676523207</v>
      </c>
      <c r="AS177" s="130">
        <f t="shared" si="2"/>
        <v>241.11734676523207</v>
      </c>
      <c r="AT177" s="130">
        <f t="shared" si="2"/>
        <v>278.38819895003883</v>
      </c>
      <c r="AU177" s="130">
        <f t="shared" si="2"/>
        <v>120.6702479151862</v>
      </c>
      <c r="AV177" s="130">
        <f t="shared" si="2"/>
        <v>436.10614998489143</v>
      </c>
      <c r="AW177" s="130">
        <f t="shared" si="2"/>
        <v>278.38819895003883</v>
      </c>
      <c r="AX177" s="130">
        <f t="shared" si="2"/>
        <v>173.07700383152616</v>
      </c>
      <c r="AY177" s="130">
        <f t="shared" si="2"/>
        <v>120.67024791518618</v>
      </c>
    </row>
    <row r="178" spans="1:51" x14ac:dyDescent="0.2">
      <c r="A178" s="131"/>
      <c r="B178" s="142" t="s">
        <v>299</v>
      </c>
      <c r="C178" s="131" t="s">
        <v>293</v>
      </c>
      <c r="D178" s="131">
        <v>203.36447752796221</v>
      </c>
      <c r="E178" s="131">
        <v>334</v>
      </c>
      <c r="F178" s="131">
        <v>349</v>
      </c>
      <c r="G178" s="131">
        <v>296.03391601270812</v>
      </c>
      <c r="H178" s="131">
        <v>2.8421709430404007E-14</v>
      </c>
      <c r="I178" s="131">
        <v>241</v>
      </c>
      <c r="J178" s="131">
        <v>314</v>
      </c>
      <c r="K178" s="131">
        <v>260</v>
      </c>
      <c r="L178" s="131">
        <v>491</v>
      </c>
      <c r="M178" s="131">
        <v>458</v>
      </c>
      <c r="N178" s="131">
        <v>174.60588873618673</v>
      </c>
      <c r="O178" s="131">
        <v>326.83241767933492</v>
      </c>
      <c r="P178" s="131">
        <v>291.51893187757656</v>
      </c>
      <c r="Q178" s="131">
        <v>291.51893187757656</v>
      </c>
      <c r="R178" s="131">
        <v>0</v>
      </c>
      <c r="S178" s="131">
        <v>453</v>
      </c>
      <c r="T178" s="131">
        <v>246</v>
      </c>
      <c r="U178" s="131">
        <v>284</v>
      </c>
      <c r="V178" s="131">
        <v>137.84999884281774</v>
      </c>
      <c r="W178" s="131">
        <v>180.10183869044738</v>
      </c>
      <c r="X178" s="131">
        <v>90.05091934522369</v>
      </c>
      <c r="Y178" s="131">
        <v>90.05091934522369</v>
      </c>
      <c r="Z178" s="131">
        <v>0</v>
      </c>
      <c r="AA178" s="131">
        <v>258</v>
      </c>
      <c r="AB178" s="131">
        <v>68.832417679334924</v>
      </c>
      <c r="AC178" s="131">
        <v>262</v>
      </c>
      <c r="AD178" s="131">
        <v>233</v>
      </c>
      <c r="AE178" s="131">
        <v>261</v>
      </c>
      <c r="AF178" s="131">
        <v>265</v>
      </c>
      <c r="AG178" s="131">
        <v>233.77579182983607</v>
      </c>
      <c r="AH178" s="131">
        <v>263.51758209136483</v>
      </c>
      <c r="AI178" s="131">
        <v>120.6702479151862</v>
      </c>
      <c r="AJ178" s="131">
        <v>0</v>
      </c>
      <c r="AK178" s="131">
        <v>313</v>
      </c>
      <c r="AL178" s="131">
        <v>315</v>
      </c>
      <c r="AM178" s="131">
        <v>345</v>
      </c>
      <c r="AN178" s="131">
        <v>381</v>
      </c>
      <c r="AO178" s="131">
        <v>228.90030101372125</v>
      </c>
      <c r="AP178" s="131">
        <v>384.56295042992144</v>
      </c>
      <c r="AQ178" s="131">
        <v>241.1173467652321</v>
      </c>
      <c r="AR178" s="131">
        <v>241.11734676523207</v>
      </c>
      <c r="AS178" s="131">
        <v>241.11734676523207</v>
      </c>
      <c r="AT178" s="131">
        <v>278.38819895003883</v>
      </c>
      <c r="AU178" s="131">
        <v>120.6702479151862</v>
      </c>
      <c r="AV178" s="131">
        <v>436.10614998489143</v>
      </c>
      <c r="AW178" s="131">
        <v>278.38819895003883</v>
      </c>
      <c r="AX178" s="131">
        <v>173.07700383152616</v>
      </c>
      <c r="AY178" s="131">
        <v>120.67024791518618</v>
      </c>
    </row>
    <row r="179" spans="1:51" x14ac:dyDescent="0.2">
      <c r="A179" s="141" t="s">
        <v>134</v>
      </c>
      <c r="B179" s="141" t="s">
        <v>298</v>
      </c>
      <c r="C179" s="130" t="s">
        <v>293</v>
      </c>
      <c r="D179" s="130">
        <f t="shared" ref="D179:AY179" si="3">SUM(D109:D120)</f>
        <v>172.71046387611221</v>
      </c>
      <c r="E179" s="130">
        <f t="shared" si="3"/>
        <v>1214.2537639786385</v>
      </c>
      <c r="F179" s="130">
        <f t="shared" si="3"/>
        <v>2063.2655202238439</v>
      </c>
      <c r="G179" s="130">
        <f t="shared" si="3"/>
        <v>2532.1034707978224</v>
      </c>
      <c r="H179" s="130">
        <f t="shared" si="3"/>
        <v>2777.6977214142753</v>
      </c>
      <c r="I179" s="130">
        <f t="shared" si="3"/>
        <v>2831.8151816244576</v>
      </c>
      <c r="J179" s="130">
        <f t="shared" si="3"/>
        <v>3245.4753066467779</v>
      </c>
      <c r="K179" s="130">
        <f t="shared" si="3"/>
        <v>3562.5118979993958</v>
      </c>
      <c r="L179" s="130">
        <f t="shared" si="3"/>
        <v>3883.6356214907687</v>
      </c>
      <c r="M179" s="130">
        <f t="shared" si="3"/>
        <v>3959.9626998336043</v>
      </c>
      <c r="N179" s="130">
        <f t="shared" si="3"/>
        <v>4091.1901776123618</v>
      </c>
      <c r="O179" s="130">
        <f t="shared" si="3"/>
        <v>4083.1540100519828</v>
      </c>
      <c r="P179" s="130">
        <f t="shared" si="3"/>
        <v>4172.1892807002769</v>
      </c>
      <c r="Q179" s="130">
        <f t="shared" si="3"/>
        <v>4299.2273583748274</v>
      </c>
      <c r="R179" s="130">
        <f t="shared" si="3"/>
        <v>4413.4313966771751</v>
      </c>
      <c r="S179" s="130">
        <f t="shared" si="3"/>
        <v>4023.8452006852176</v>
      </c>
      <c r="T179" s="130">
        <f t="shared" si="3"/>
        <v>3741.3741086053146</v>
      </c>
      <c r="U179" s="130">
        <f t="shared" si="3"/>
        <v>3604.1171219455341</v>
      </c>
      <c r="V179" s="130">
        <f t="shared" si="3"/>
        <v>3503.1231958799553</v>
      </c>
      <c r="W179" s="130">
        <f t="shared" si="3"/>
        <v>3202.0806573030941</v>
      </c>
      <c r="X179" s="130">
        <f t="shared" si="3"/>
        <v>2915.9892925067466</v>
      </c>
      <c r="Y179" s="130">
        <f t="shared" si="3"/>
        <v>2823.0930157858779</v>
      </c>
      <c r="Z179" s="130">
        <f t="shared" si="3"/>
        <v>2631.0965714483909</v>
      </c>
      <c r="AA179" s="130">
        <f t="shared" si="3"/>
        <v>2502.7975354400392</v>
      </c>
      <c r="AB179" s="130">
        <f t="shared" si="3"/>
        <v>2439.3453038628295</v>
      </c>
      <c r="AC179" s="130">
        <f t="shared" si="3"/>
        <v>2167.2646816046499</v>
      </c>
      <c r="AD179" s="130">
        <f t="shared" si="3"/>
        <v>2002.8601705431845</v>
      </c>
      <c r="AE179" s="130">
        <f t="shared" si="3"/>
        <v>1915.4731338255745</v>
      </c>
      <c r="AF179" s="130">
        <f t="shared" si="3"/>
        <v>1738.2763206827099</v>
      </c>
      <c r="AG179" s="130">
        <f t="shared" si="3"/>
        <v>1687.9793426955039</v>
      </c>
      <c r="AH179" s="130">
        <f t="shared" si="3"/>
        <v>1648.6349553893788</v>
      </c>
      <c r="AI179" s="130">
        <f t="shared" si="3"/>
        <v>1696.4652630351184</v>
      </c>
      <c r="AJ179" s="130">
        <f t="shared" si="3"/>
        <v>1660.7327460780618</v>
      </c>
      <c r="AK179" s="130">
        <f t="shared" si="3"/>
        <v>1593.5338040841011</v>
      </c>
      <c r="AL179" s="130">
        <f t="shared" si="3"/>
        <v>1864.6813441584459</v>
      </c>
      <c r="AM179" s="130">
        <f t="shared" si="3"/>
        <v>2343.2231038747123</v>
      </c>
      <c r="AN179" s="130">
        <f t="shared" si="3"/>
        <v>2801.0821358099879</v>
      </c>
      <c r="AO179" s="130">
        <f t="shared" si="3"/>
        <v>2952.9820096683416</v>
      </c>
      <c r="AP179" s="130">
        <f t="shared" si="3"/>
        <v>2962.0225054474358</v>
      </c>
      <c r="AQ179" s="130">
        <f t="shared" si="3"/>
        <v>3107.868735965199</v>
      </c>
      <c r="AR179" s="130">
        <f t="shared" si="3"/>
        <v>3175.2537588147625</v>
      </c>
      <c r="AS179" s="130">
        <f t="shared" si="3"/>
        <v>2958.2940957422511</v>
      </c>
      <c r="AT179" s="130">
        <f t="shared" si="3"/>
        <v>2798.2043603136894</v>
      </c>
      <c r="AU179" s="130">
        <f t="shared" si="3"/>
        <v>2589.3580025845695</v>
      </c>
      <c r="AV179" s="130">
        <f t="shared" si="3"/>
        <v>2317.8804206563518</v>
      </c>
      <c r="AW179" s="130">
        <f t="shared" si="3"/>
        <v>2529.8309458043464</v>
      </c>
      <c r="AX179" s="130">
        <f t="shared" si="3"/>
        <v>2667.0235344546286</v>
      </c>
      <c r="AY179" s="130">
        <f t="shared" si="3"/>
        <v>2749.4704831047957</v>
      </c>
    </row>
    <row r="180" spans="1:51" x14ac:dyDescent="0.2">
      <c r="A180" s="131"/>
      <c r="B180" s="142" t="s">
        <v>299</v>
      </c>
      <c r="C180" s="131" t="s">
        <v>293</v>
      </c>
      <c r="D180" s="131">
        <v>172.71046387611221</v>
      </c>
      <c r="E180" s="131">
        <v>238</v>
      </c>
      <c r="F180" s="131">
        <v>322</v>
      </c>
      <c r="G180" s="131">
        <v>298.90766832378472</v>
      </c>
      <c r="H180" s="131">
        <v>216</v>
      </c>
      <c r="I180" s="131">
        <v>170</v>
      </c>
      <c r="J180" s="131">
        <v>212</v>
      </c>
      <c r="K180" s="131">
        <v>200</v>
      </c>
      <c r="L180" s="131">
        <v>155</v>
      </c>
      <c r="M180" s="131">
        <v>137</v>
      </c>
      <c r="N180" s="131">
        <v>179.6105372779559</v>
      </c>
      <c r="O180" s="131">
        <v>128.46168177542327</v>
      </c>
      <c r="P180" s="131">
        <v>172.11020801542745</v>
      </c>
      <c r="Q180" s="131">
        <v>155.64822984835342</v>
      </c>
      <c r="R180" s="131">
        <v>113</v>
      </c>
      <c r="S180" s="131">
        <v>123</v>
      </c>
      <c r="T180" s="131">
        <v>145</v>
      </c>
      <c r="U180" s="131">
        <v>174</v>
      </c>
      <c r="V180" s="131">
        <v>156.31024352277979</v>
      </c>
      <c r="W180" s="131">
        <v>173.6318923247963</v>
      </c>
      <c r="X180" s="131">
        <v>200.01952173549304</v>
      </c>
      <c r="Y180" s="131">
        <v>165.17523886912204</v>
      </c>
      <c r="Z180" s="131">
        <v>177</v>
      </c>
      <c r="AA180" s="131">
        <v>145</v>
      </c>
      <c r="AB180" s="131">
        <v>162.12194374849588</v>
      </c>
      <c r="AC180" s="131">
        <v>184</v>
      </c>
      <c r="AD180" s="131">
        <v>145</v>
      </c>
      <c r="AE180" s="131">
        <v>174</v>
      </c>
      <c r="AF180" s="131">
        <v>241</v>
      </c>
      <c r="AG180" s="131">
        <v>231.78142176582452</v>
      </c>
      <c r="AH180" s="131">
        <v>294.99889716587518</v>
      </c>
      <c r="AI180" s="131">
        <v>285.44073093711933</v>
      </c>
      <c r="AJ180" s="131">
        <v>256</v>
      </c>
      <c r="AK180" s="131">
        <v>221</v>
      </c>
      <c r="AL180" s="131">
        <v>255</v>
      </c>
      <c r="AM180" s="131">
        <v>191</v>
      </c>
      <c r="AN180" s="131">
        <v>261</v>
      </c>
      <c r="AO180" s="131">
        <v>354.94691992275528</v>
      </c>
      <c r="AP180" s="131">
        <v>280.31940395322681</v>
      </c>
      <c r="AQ180" s="131">
        <v>352.09664604187537</v>
      </c>
      <c r="AR180" s="131">
        <v>708.83131823126166</v>
      </c>
      <c r="AS180" s="131">
        <v>537.75446526084613</v>
      </c>
      <c r="AT180" s="131">
        <v>576.34660370576341</v>
      </c>
      <c r="AU180" s="131">
        <v>536.74136443496093</v>
      </c>
      <c r="AV180" s="131">
        <v>265.46405256372083</v>
      </c>
      <c r="AW180" s="131">
        <v>376.19005868177453</v>
      </c>
      <c r="AX180" s="131">
        <v>349.96655643638167</v>
      </c>
      <c r="AY180" s="131">
        <v>281.87707650580285</v>
      </c>
    </row>
    <row r="181" spans="1:51" x14ac:dyDescent="0.2">
      <c r="A181" s="141" t="s">
        <v>123</v>
      </c>
      <c r="B181" s="141" t="s">
        <v>298</v>
      </c>
      <c r="C181" s="130" t="s">
        <v>293</v>
      </c>
      <c r="D181" s="130">
        <f t="shared" ref="D181:AY181" si="4">(1-D172)*SUM(D122:D169)</f>
        <v>1124.9658515223671</v>
      </c>
      <c r="E181" s="130">
        <f t="shared" si="4"/>
        <v>1007.0803502987733</v>
      </c>
      <c r="F181" s="130">
        <f t="shared" si="4"/>
        <v>732.68513952847024</v>
      </c>
      <c r="G181" s="130">
        <f t="shared" si="4"/>
        <v>504.46297394137088</v>
      </c>
      <c r="H181" s="130">
        <f t="shared" si="4"/>
        <v>317.54898250350766</v>
      </c>
      <c r="I181" s="130">
        <f t="shared" si="4"/>
        <v>686.14845809852943</v>
      </c>
      <c r="J181" s="130">
        <f t="shared" si="4"/>
        <v>621.93325511215824</v>
      </c>
      <c r="K181" s="130">
        <f t="shared" si="4"/>
        <v>612.63091998703214</v>
      </c>
      <c r="L181" s="130">
        <f t="shared" si="4"/>
        <v>746.63100510109314</v>
      </c>
      <c r="M181" s="130">
        <f t="shared" si="4"/>
        <v>865.73069077923265</v>
      </c>
      <c r="N181" s="130">
        <f t="shared" si="4"/>
        <v>553.77323324841075</v>
      </c>
      <c r="O181" s="130">
        <f t="shared" si="4"/>
        <v>701.9929070036344</v>
      </c>
      <c r="P181" s="130">
        <f t="shared" si="4"/>
        <v>718.02791925698591</v>
      </c>
      <c r="Q181" s="130">
        <f t="shared" si="4"/>
        <v>647.71042280961058</v>
      </c>
      <c r="R181" s="130">
        <f t="shared" si="4"/>
        <v>282.69783961260998</v>
      </c>
      <c r="S181" s="130">
        <f t="shared" si="4"/>
        <v>628.93708034381882</v>
      </c>
      <c r="T181" s="130">
        <f t="shared" si="4"/>
        <v>638.68933284234652</v>
      </c>
      <c r="U181" s="130">
        <f t="shared" si="4"/>
        <v>730.97037655607073</v>
      </c>
      <c r="V181" s="130">
        <f t="shared" si="4"/>
        <v>507.32857245237619</v>
      </c>
      <c r="W181" s="130">
        <f t="shared" si="4"/>
        <v>522.99009366765722</v>
      </c>
      <c r="X181" s="130">
        <f t="shared" si="4"/>
        <v>534.49273833840277</v>
      </c>
      <c r="Y181" s="130">
        <f t="shared" si="4"/>
        <v>294.33430517623782</v>
      </c>
      <c r="Z181" s="130">
        <f t="shared" si="4"/>
        <v>188.03843724534951</v>
      </c>
      <c r="AA181" s="130">
        <f t="shared" si="4"/>
        <v>573.83056194305459</v>
      </c>
      <c r="AB181" s="130">
        <f t="shared" si="4"/>
        <v>159.2557661454336</v>
      </c>
      <c r="AC181" s="130">
        <f t="shared" si="4"/>
        <v>620.41422178448522</v>
      </c>
      <c r="AD181" s="130">
        <f t="shared" si="4"/>
        <v>338.97261322773835</v>
      </c>
      <c r="AE181" s="130">
        <f t="shared" si="4"/>
        <v>338.97261322773835</v>
      </c>
      <c r="AF181" s="130">
        <f t="shared" si="4"/>
        <v>202.20102298879243</v>
      </c>
      <c r="AG181" s="130">
        <f t="shared" si="4"/>
        <v>246.97824651170066</v>
      </c>
      <c r="AH181" s="130">
        <f t="shared" si="4"/>
        <v>292.82387179930578</v>
      </c>
      <c r="AI181" s="130">
        <f t="shared" si="4"/>
        <v>213.28558072498871</v>
      </c>
      <c r="AJ181" s="130">
        <f t="shared" si="4"/>
        <v>174.24336234337562</v>
      </c>
      <c r="AK181" s="130">
        <f t="shared" si="4"/>
        <v>454.20000850223926</v>
      </c>
      <c r="AL181" s="130">
        <f t="shared" si="4"/>
        <v>676.98128380271021</v>
      </c>
      <c r="AM181" s="130">
        <f t="shared" si="4"/>
        <v>598.82810300593405</v>
      </c>
      <c r="AN181" s="130">
        <f t="shared" si="4"/>
        <v>754.69087275552624</v>
      </c>
      <c r="AO181" s="130">
        <f t="shared" si="4"/>
        <v>665.28957216948277</v>
      </c>
      <c r="AP181" s="130">
        <f t="shared" si="4"/>
        <v>778.93778850525291</v>
      </c>
      <c r="AQ181" s="130">
        <f t="shared" si="4"/>
        <v>766.72095789796265</v>
      </c>
      <c r="AR181" s="130">
        <f t="shared" si="4"/>
        <v>447.37369302472342</v>
      </c>
      <c r="AS181" s="130">
        <f t="shared" si="4"/>
        <v>343.49868128856338</v>
      </c>
      <c r="AT181" s="130">
        <f t="shared" si="4"/>
        <v>334.25374384909895</v>
      </c>
      <c r="AU181" s="130">
        <f t="shared" si="4"/>
        <v>241.26626684240949</v>
      </c>
      <c r="AV181" s="130">
        <f t="shared" si="4"/>
        <v>421.58056195855141</v>
      </c>
      <c r="AW181" s="130">
        <f t="shared" si="4"/>
        <v>453.34213714083273</v>
      </c>
      <c r="AX181" s="130">
        <f t="shared" si="4"/>
        <v>381.84240067954812</v>
      </c>
      <c r="AY181" s="130">
        <f t="shared" si="4"/>
        <v>325.49443015884725</v>
      </c>
    </row>
    <row r="182" spans="1:51" x14ac:dyDescent="0.2">
      <c r="A182" s="131"/>
      <c r="B182" s="142" t="s">
        <v>299</v>
      </c>
      <c r="C182" s="131" t="s">
        <v>293</v>
      </c>
      <c r="D182" s="131">
        <v>133.8725904564584</v>
      </c>
      <c r="E182" s="131">
        <v>102</v>
      </c>
      <c r="F182" s="131">
        <v>109</v>
      </c>
      <c r="G182" s="131">
        <v>95.907668323784748</v>
      </c>
      <c r="H182" s="131">
        <v>165</v>
      </c>
      <c r="I182" s="131">
        <v>200</v>
      </c>
      <c r="J182" s="131">
        <v>153</v>
      </c>
      <c r="K182" s="131">
        <v>164</v>
      </c>
      <c r="L182" s="131">
        <v>142</v>
      </c>
      <c r="M182" s="131">
        <v>184</v>
      </c>
      <c r="N182" s="131">
        <v>163.6105372779559</v>
      </c>
      <c r="O182" s="131">
        <v>156.46168177542327</v>
      </c>
      <c r="P182" s="131">
        <v>272.11020801542742</v>
      </c>
      <c r="Q182" s="131">
        <v>285.64822984835342</v>
      </c>
      <c r="R182" s="131">
        <v>263</v>
      </c>
      <c r="S182" s="131">
        <v>278</v>
      </c>
      <c r="T182" s="131">
        <v>154</v>
      </c>
      <c r="U182" s="131">
        <v>154</v>
      </c>
      <c r="V182" s="131">
        <v>175.31024352277979</v>
      </c>
      <c r="W182" s="131">
        <v>220.6318923247963</v>
      </c>
      <c r="X182" s="131">
        <v>534.49273833840277</v>
      </c>
      <c r="Y182" s="131">
        <v>294.33430517623782</v>
      </c>
      <c r="Z182" s="131">
        <v>188.03843724534951</v>
      </c>
      <c r="AA182" s="131">
        <v>477</v>
      </c>
      <c r="AB182" s="131">
        <v>159.2557661454336</v>
      </c>
      <c r="AC182" s="131">
        <v>620.41422178448522</v>
      </c>
      <c r="AD182" s="131">
        <v>338.97261322773835</v>
      </c>
      <c r="AE182" s="131">
        <v>338.97261322773835</v>
      </c>
      <c r="AF182" s="131">
        <v>105</v>
      </c>
      <c r="AG182" s="131">
        <v>134.78142176582452</v>
      </c>
      <c r="AH182" s="131">
        <v>140.99889716587515</v>
      </c>
      <c r="AI182" s="131">
        <v>171.44073093711933</v>
      </c>
      <c r="AJ182" s="131">
        <v>153</v>
      </c>
      <c r="AK182" s="131">
        <v>149</v>
      </c>
      <c r="AL182" s="131">
        <v>143</v>
      </c>
      <c r="AM182" s="131">
        <v>152</v>
      </c>
      <c r="AN182" s="131">
        <v>233</v>
      </c>
      <c r="AO182" s="131">
        <v>359.94691992275528</v>
      </c>
      <c r="AP182" s="131">
        <v>279.31940395322681</v>
      </c>
      <c r="AQ182" s="131">
        <v>334.09664604187537</v>
      </c>
      <c r="AR182" s="131">
        <v>232.83131823126163</v>
      </c>
      <c r="AS182" s="131">
        <v>203.75446526084619</v>
      </c>
      <c r="AT182" s="131">
        <v>155.34660370576344</v>
      </c>
      <c r="AU182" s="131">
        <v>241.26626684240949</v>
      </c>
      <c r="AV182" s="131">
        <v>119.46405256372081</v>
      </c>
      <c r="AW182" s="131">
        <v>147.19005868177456</v>
      </c>
      <c r="AX182" s="131">
        <v>117.96655643638167</v>
      </c>
      <c r="AY182" s="131">
        <v>160.87707650580285</v>
      </c>
    </row>
    <row r="184" spans="1:51" x14ac:dyDescent="0.2">
      <c r="A184" s="108" t="s">
        <v>300</v>
      </c>
    </row>
    <row r="185" spans="1:51" x14ac:dyDescent="0.2">
      <c r="A185" s="132" t="s">
        <v>125</v>
      </c>
      <c r="B185" s="129">
        <v>1</v>
      </c>
      <c r="C185" s="130">
        <v>0</v>
      </c>
      <c r="D185" s="130">
        <v>0</v>
      </c>
      <c r="E185" s="130">
        <v>0</v>
      </c>
      <c r="F185" s="130">
        <v>0</v>
      </c>
      <c r="G185" s="130">
        <v>0</v>
      </c>
      <c r="H185" s="130">
        <v>0</v>
      </c>
      <c r="I185" s="130">
        <v>0</v>
      </c>
      <c r="J185" s="130">
        <v>0</v>
      </c>
      <c r="K185" s="130">
        <v>0</v>
      </c>
      <c r="L185" s="130">
        <v>0</v>
      </c>
      <c r="M185" s="130">
        <v>0</v>
      </c>
      <c r="N185" s="130">
        <v>0</v>
      </c>
      <c r="O185" s="130">
        <v>0</v>
      </c>
      <c r="P185" s="130">
        <v>0</v>
      </c>
      <c r="Q185" s="130">
        <v>0</v>
      </c>
      <c r="R185" s="130">
        <v>0</v>
      </c>
      <c r="S185" s="130">
        <v>0</v>
      </c>
      <c r="T185" s="130">
        <v>0</v>
      </c>
      <c r="U185" s="130">
        <v>0</v>
      </c>
      <c r="V185" s="130">
        <v>0</v>
      </c>
      <c r="W185" s="130">
        <v>0</v>
      </c>
      <c r="X185" s="130">
        <v>0</v>
      </c>
      <c r="Y185" s="130">
        <v>0</v>
      </c>
      <c r="Z185" s="130">
        <v>0</v>
      </c>
      <c r="AA185" s="130">
        <v>0</v>
      </c>
      <c r="AB185" s="130">
        <v>0</v>
      </c>
      <c r="AC185" s="130">
        <v>0</v>
      </c>
      <c r="AD185" s="130">
        <v>0</v>
      </c>
      <c r="AE185" s="130">
        <v>0</v>
      </c>
      <c r="AF185" s="130">
        <v>0</v>
      </c>
      <c r="AG185" s="130">
        <v>0</v>
      </c>
      <c r="AH185" s="130">
        <v>0</v>
      </c>
      <c r="AI185" s="130">
        <v>0</v>
      </c>
      <c r="AJ185" s="130">
        <v>0</v>
      </c>
      <c r="AK185" s="130">
        <v>0</v>
      </c>
      <c r="AL185" s="130">
        <v>0</v>
      </c>
      <c r="AM185" s="130">
        <v>0</v>
      </c>
      <c r="AN185" s="130">
        <v>0</v>
      </c>
      <c r="AO185" s="130">
        <v>0</v>
      </c>
      <c r="AP185" s="130">
        <v>0</v>
      </c>
      <c r="AQ185" s="130">
        <v>0</v>
      </c>
      <c r="AR185" s="130">
        <v>0</v>
      </c>
      <c r="AS185" s="130">
        <v>0</v>
      </c>
      <c r="AT185" s="130">
        <v>0</v>
      </c>
      <c r="AU185" s="130">
        <v>0</v>
      </c>
      <c r="AV185" s="130">
        <v>0</v>
      </c>
      <c r="AW185" s="130">
        <v>0</v>
      </c>
      <c r="AX185" s="130">
        <v>0</v>
      </c>
      <c r="AY185" s="130">
        <v>0</v>
      </c>
    </row>
    <row r="186" spans="1:51" x14ac:dyDescent="0.2">
      <c r="A186" s="115"/>
      <c r="B186" s="126">
        <v>2</v>
      </c>
      <c r="C186" s="112">
        <v>0</v>
      </c>
      <c r="D186" s="112">
        <v>0</v>
      </c>
      <c r="E186" s="112">
        <v>0</v>
      </c>
      <c r="F186" s="112">
        <v>0</v>
      </c>
      <c r="G186" s="112">
        <v>0</v>
      </c>
      <c r="H186" s="112">
        <v>0</v>
      </c>
      <c r="I186" s="112">
        <v>0</v>
      </c>
      <c r="J186" s="112">
        <v>0</v>
      </c>
      <c r="K186" s="112">
        <v>0</v>
      </c>
      <c r="L186" s="112">
        <v>0</v>
      </c>
      <c r="M186" s="112">
        <v>0</v>
      </c>
      <c r="N186" s="112">
        <v>0</v>
      </c>
      <c r="O186" s="112">
        <v>0</v>
      </c>
      <c r="P186" s="112">
        <v>0</v>
      </c>
      <c r="Q186" s="112">
        <v>0</v>
      </c>
      <c r="R186" s="112">
        <v>0</v>
      </c>
      <c r="S186" s="112">
        <v>0</v>
      </c>
      <c r="T186" s="112">
        <v>0</v>
      </c>
      <c r="U186" s="112">
        <v>0</v>
      </c>
      <c r="V186" s="112">
        <v>0</v>
      </c>
      <c r="W186" s="112">
        <v>0</v>
      </c>
      <c r="X186" s="112">
        <v>0</v>
      </c>
      <c r="Y186" s="112">
        <v>0</v>
      </c>
      <c r="Z186" s="112">
        <v>0</v>
      </c>
      <c r="AA186" s="112">
        <v>0</v>
      </c>
      <c r="AB186" s="112">
        <v>0</v>
      </c>
      <c r="AC186" s="112">
        <v>0</v>
      </c>
      <c r="AD186" s="112">
        <v>0</v>
      </c>
      <c r="AE186" s="112">
        <v>0</v>
      </c>
      <c r="AF186" s="112">
        <v>0</v>
      </c>
      <c r="AG186" s="112">
        <v>0</v>
      </c>
      <c r="AH186" s="112">
        <v>0</v>
      </c>
      <c r="AI186" s="112">
        <v>0</v>
      </c>
      <c r="AJ186" s="112">
        <v>0</v>
      </c>
      <c r="AK186" s="112">
        <v>0</v>
      </c>
      <c r="AL186" s="112">
        <v>0</v>
      </c>
      <c r="AM186" s="112">
        <v>0</v>
      </c>
      <c r="AN186" s="112">
        <v>0</v>
      </c>
      <c r="AO186" s="112">
        <v>0</v>
      </c>
      <c r="AP186" s="112">
        <v>0</v>
      </c>
      <c r="AQ186" s="112">
        <v>0</v>
      </c>
      <c r="AR186" s="112">
        <v>0</v>
      </c>
      <c r="AS186" s="112">
        <v>0</v>
      </c>
      <c r="AT186" s="112">
        <v>0</v>
      </c>
      <c r="AU186" s="112">
        <v>0</v>
      </c>
      <c r="AV186" s="112">
        <v>0</v>
      </c>
      <c r="AW186" s="112">
        <v>0</v>
      </c>
      <c r="AX186" s="112">
        <v>0</v>
      </c>
      <c r="AY186" s="112">
        <v>0</v>
      </c>
    </row>
    <row r="187" spans="1:51" x14ac:dyDescent="0.2">
      <c r="A187" s="115"/>
      <c r="B187" s="133">
        <v>3</v>
      </c>
      <c r="C187" s="112">
        <v>0</v>
      </c>
      <c r="D187" s="112">
        <v>0</v>
      </c>
      <c r="E187" s="112">
        <v>0</v>
      </c>
      <c r="F187" s="112">
        <v>0</v>
      </c>
      <c r="G187" s="112">
        <v>141.85836416439088</v>
      </c>
      <c r="H187" s="112">
        <v>401.71672832878176</v>
      </c>
      <c r="I187" s="112">
        <v>500.57509249317263</v>
      </c>
      <c r="J187" s="112">
        <v>532.43345665756351</v>
      </c>
      <c r="K187" s="112">
        <v>531.27383444177553</v>
      </c>
      <c r="L187" s="112">
        <v>277.11421222598756</v>
      </c>
      <c r="M187" s="112">
        <v>46.954590010199581</v>
      </c>
      <c r="N187" s="112">
        <v>0</v>
      </c>
      <c r="O187" s="112">
        <v>0</v>
      </c>
      <c r="P187" s="112">
        <v>0</v>
      </c>
      <c r="Q187" s="112">
        <v>0</v>
      </c>
      <c r="R187" s="112">
        <v>0</v>
      </c>
      <c r="S187" s="112">
        <v>0</v>
      </c>
      <c r="T187" s="112">
        <v>99.54644880996284</v>
      </c>
      <c r="U187" s="112">
        <v>499.75919602713969</v>
      </c>
      <c r="V187" s="112">
        <v>491.30564483710253</v>
      </c>
      <c r="W187" s="112">
        <v>200.87104141374971</v>
      </c>
      <c r="X187" s="112">
        <v>0</v>
      </c>
      <c r="Y187" s="112">
        <v>0</v>
      </c>
      <c r="Z187" s="112">
        <v>0</v>
      </c>
      <c r="AA187" s="112">
        <v>326.85301577165444</v>
      </c>
      <c r="AB187" s="112">
        <v>161.70603154330888</v>
      </c>
      <c r="AC187" s="112">
        <v>0</v>
      </c>
      <c r="AD187" s="112">
        <v>0</v>
      </c>
      <c r="AE187" s="112">
        <v>0</v>
      </c>
      <c r="AF187" s="112">
        <v>0</v>
      </c>
      <c r="AG187" s="112">
        <v>0</v>
      </c>
      <c r="AH187" s="112">
        <v>0</v>
      </c>
      <c r="AI187" s="112">
        <v>0</v>
      </c>
      <c r="AJ187" s="112">
        <v>0</v>
      </c>
      <c r="AK187" s="112">
        <v>0</v>
      </c>
      <c r="AL187" s="112">
        <v>0</v>
      </c>
      <c r="AM187" s="112">
        <v>0</v>
      </c>
      <c r="AN187" s="112">
        <v>0</v>
      </c>
      <c r="AO187" s="112">
        <v>0</v>
      </c>
      <c r="AP187" s="112">
        <v>20.925534620130975</v>
      </c>
      <c r="AQ187" s="112">
        <v>53.42536528636424</v>
      </c>
      <c r="AR187" s="112">
        <v>0</v>
      </c>
      <c r="AS187" s="112">
        <v>0</v>
      </c>
      <c r="AT187" s="112">
        <v>0</v>
      </c>
      <c r="AU187" s="112">
        <v>0</v>
      </c>
      <c r="AV187" s="112">
        <v>0</v>
      </c>
      <c r="AW187" s="112">
        <v>0</v>
      </c>
      <c r="AX187" s="112">
        <v>0</v>
      </c>
      <c r="AY187" s="112">
        <v>0</v>
      </c>
    </row>
    <row r="188" spans="1:51" x14ac:dyDescent="0.2">
      <c r="A188" s="134"/>
      <c r="B188" s="135">
        <v>4</v>
      </c>
      <c r="C188" s="112">
        <v>345</v>
      </c>
      <c r="D188" s="112">
        <v>804</v>
      </c>
      <c r="E188" s="112">
        <v>827</v>
      </c>
      <c r="F188" s="112">
        <v>602</v>
      </c>
      <c r="G188" s="112">
        <v>585.14163583560912</v>
      </c>
      <c r="H188" s="112">
        <v>443.28327167121824</v>
      </c>
      <c r="I188" s="112">
        <v>183.42490750682737</v>
      </c>
      <c r="J188" s="112">
        <v>84.566543342436489</v>
      </c>
      <c r="K188" s="112">
        <v>280.72616555822447</v>
      </c>
      <c r="L188" s="112">
        <v>281.88578777401244</v>
      </c>
      <c r="M188" s="112">
        <v>536.04540998980042</v>
      </c>
      <c r="N188" s="112">
        <v>623</v>
      </c>
      <c r="O188" s="112">
        <v>465</v>
      </c>
      <c r="P188" s="112">
        <v>464</v>
      </c>
      <c r="Q188" s="112">
        <v>462</v>
      </c>
      <c r="R188" s="112">
        <v>534</v>
      </c>
      <c r="S188" s="112">
        <v>570</v>
      </c>
      <c r="T188" s="112">
        <v>696.45355119003716</v>
      </c>
      <c r="U188" s="112">
        <v>439.24080397286031</v>
      </c>
      <c r="V188" s="112">
        <v>196.69435516289747</v>
      </c>
      <c r="W188" s="112">
        <v>640.12895858625029</v>
      </c>
      <c r="X188" s="112">
        <v>630</v>
      </c>
      <c r="Y188" s="112">
        <v>579</v>
      </c>
      <c r="Z188" s="112">
        <v>889</v>
      </c>
      <c r="AA188" s="112">
        <v>532.14698422834556</v>
      </c>
      <c r="AB188" s="112">
        <v>205.29396845669112</v>
      </c>
      <c r="AC188" s="112">
        <v>237</v>
      </c>
      <c r="AD188" s="112">
        <v>275</v>
      </c>
      <c r="AE188" s="112">
        <v>336</v>
      </c>
      <c r="AF188" s="112">
        <v>322</v>
      </c>
      <c r="AG188" s="112">
        <v>339</v>
      </c>
      <c r="AH188" s="112">
        <v>393</v>
      </c>
      <c r="AI188" s="112">
        <v>296</v>
      </c>
      <c r="AJ188" s="112">
        <v>385</v>
      </c>
      <c r="AK188" s="112">
        <v>457</v>
      </c>
      <c r="AL188" s="112">
        <v>459</v>
      </c>
      <c r="AM188" s="112">
        <v>366</v>
      </c>
      <c r="AN188" s="112">
        <v>535</v>
      </c>
      <c r="AO188" s="112">
        <v>557</v>
      </c>
      <c r="AP188" s="112">
        <v>368.07446537986903</v>
      </c>
      <c r="AQ188" s="112">
        <v>384.57463471363576</v>
      </c>
      <c r="AR188" s="112">
        <v>421</v>
      </c>
      <c r="AS188" s="112">
        <v>448</v>
      </c>
      <c r="AT188" s="112">
        <v>468</v>
      </c>
      <c r="AU188" s="112">
        <v>519</v>
      </c>
      <c r="AV188" s="112">
        <v>354</v>
      </c>
      <c r="AW188" s="112">
        <v>338</v>
      </c>
      <c r="AX188" s="112">
        <v>377</v>
      </c>
      <c r="AY188" s="112">
        <v>352</v>
      </c>
    </row>
    <row r="189" spans="1:51" x14ac:dyDescent="0.2">
      <c r="A189" s="132" t="s">
        <v>133</v>
      </c>
      <c r="B189" s="129">
        <v>1</v>
      </c>
      <c r="C189" s="130">
        <v>77.517950912213749</v>
      </c>
      <c r="D189" s="130">
        <v>0</v>
      </c>
      <c r="E189" s="130">
        <v>53.117571559824057</v>
      </c>
      <c r="F189" s="130">
        <v>75.285153880489133</v>
      </c>
      <c r="G189" s="130">
        <v>120.67024791518617</v>
      </c>
      <c r="H189" s="130">
        <v>0</v>
      </c>
      <c r="I189" s="130">
        <v>0</v>
      </c>
      <c r="J189" s="130">
        <v>0</v>
      </c>
      <c r="K189" s="130">
        <v>0</v>
      </c>
      <c r="L189" s="130">
        <v>21.05894662248312</v>
      </c>
      <c r="M189" s="130">
        <v>152.2265289431482</v>
      </c>
      <c r="N189" s="130">
        <v>0</v>
      </c>
      <c r="O189" s="130">
        <v>326.83241767933492</v>
      </c>
      <c r="P189" s="130">
        <v>291.51893187757656</v>
      </c>
      <c r="Q189" s="130">
        <v>291.51893187757656</v>
      </c>
      <c r="R189" s="130">
        <v>0</v>
      </c>
      <c r="S189" s="130">
        <v>172.78750028929556</v>
      </c>
      <c r="T189" s="130">
        <v>138.57500057859113</v>
      </c>
      <c r="U189" s="130">
        <v>142.36250086788669</v>
      </c>
      <c r="V189" s="130">
        <v>0</v>
      </c>
      <c r="W189" s="130">
        <v>90.05091934522369</v>
      </c>
      <c r="X189" s="130">
        <v>90.05091934522369</v>
      </c>
      <c r="Y189" s="130">
        <v>90.05091934522369</v>
      </c>
      <c r="Z189" s="130">
        <v>0</v>
      </c>
      <c r="AA189" s="130">
        <v>258</v>
      </c>
      <c r="AB189" s="130">
        <v>0</v>
      </c>
      <c r="AC189" s="130">
        <v>47.894929519212667</v>
      </c>
      <c r="AD189" s="130">
        <v>66.789859038425334</v>
      </c>
      <c r="AE189" s="130">
        <v>121.14844632135998</v>
      </c>
      <c r="AF189" s="130">
        <v>179.50703360429463</v>
      </c>
      <c r="AG189" s="130">
        <v>206.64141271706535</v>
      </c>
      <c r="AH189" s="130">
        <v>263.51758209136483</v>
      </c>
      <c r="AI189" s="130">
        <v>120.6702479151862</v>
      </c>
      <c r="AJ189" s="130">
        <v>0</v>
      </c>
      <c r="AK189" s="130">
        <v>170.15266582382137</v>
      </c>
      <c r="AL189" s="130">
        <v>0</v>
      </c>
      <c r="AM189" s="130">
        <v>39.001650061216139</v>
      </c>
      <c r="AN189" s="130">
        <v>155.88579848134054</v>
      </c>
      <c r="AO189" s="130">
        <v>120.6702479151862</v>
      </c>
      <c r="AP189" s="130">
        <v>241.11734676523204</v>
      </c>
      <c r="AQ189" s="130">
        <v>241.11734676523207</v>
      </c>
      <c r="AR189" s="130">
        <v>241.11734676523207</v>
      </c>
      <c r="AS189" s="130">
        <v>241.11734676523207</v>
      </c>
      <c r="AT189" s="130">
        <v>278.38819895003883</v>
      </c>
      <c r="AU189" s="130">
        <v>120.6702479151862</v>
      </c>
      <c r="AV189" s="130">
        <v>278.38819895003883</v>
      </c>
      <c r="AW189" s="130">
        <v>278.38819895003883</v>
      </c>
      <c r="AX189" s="130">
        <v>173.07700383152616</v>
      </c>
      <c r="AY189" s="130">
        <v>120.67024791518618</v>
      </c>
    </row>
    <row r="190" spans="1:51" x14ac:dyDescent="0.2">
      <c r="A190" s="115"/>
      <c r="B190" s="125">
        <v>2</v>
      </c>
      <c r="C190" s="112">
        <v>0</v>
      </c>
      <c r="D190" s="112">
        <v>203.36447752796221</v>
      </c>
      <c r="E190" s="112">
        <v>280.88242844017594</v>
      </c>
      <c r="F190" s="112">
        <v>273.71484611951087</v>
      </c>
      <c r="G190" s="112">
        <v>175.36366809752195</v>
      </c>
      <c r="H190" s="112">
        <v>2.8421709430404007E-14</v>
      </c>
      <c r="I190" s="112">
        <v>111.02142593717511</v>
      </c>
      <c r="J190" s="112">
        <v>174.37260395916402</v>
      </c>
      <c r="K190" s="112">
        <v>183.72378198115294</v>
      </c>
      <c r="L190" s="112">
        <v>326.83241767933492</v>
      </c>
      <c r="M190" s="112">
        <v>305.7734710568518</v>
      </c>
      <c r="N190" s="112">
        <v>174.60588873618673</v>
      </c>
      <c r="O190" s="112">
        <v>0</v>
      </c>
      <c r="P190" s="112">
        <v>0</v>
      </c>
      <c r="Q190" s="112">
        <v>0</v>
      </c>
      <c r="R190" s="112">
        <v>0</v>
      </c>
      <c r="S190" s="112">
        <v>280.21249971070444</v>
      </c>
      <c r="T190" s="112">
        <v>107.42499942140887</v>
      </c>
      <c r="U190" s="112">
        <v>141.63749913211331</v>
      </c>
      <c r="V190" s="112">
        <v>137.84999884281774</v>
      </c>
      <c r="W190" s="112">
        <v>90.05091934522369</v>
      </c>
      <c r="X190" s="112">
        <v>0</v>
      </c>
      <c r="Y190" s="112">
        <v>0</v>
      </c>
      <c r="Z190" s="112">
        <v>0</v>
      </c>
      <c r="AA190" s="112">
        <v>0</v>
      </c>
      <c r="AB190" s="112">
        <v>68.832417679334924</v>
      </c>
      <c r="AC190" s="112">
        <v>214.10507048078733</v>
      </c>
      <c r="AD190" s="112">
        <v>166.21014096157467</v>
      </c>
      <c r="AE190" s="112">
        <v>139.85155367864002</v>
      </c>
      <c r="AF190" s="112">
        <v>85.492966395705366</v>
      </c>
      <c r="AG190" s="112">
        <v>27.134379112770716</v>
      </c>
      <c r="AH190" s="112">
        <v>0</v>
      </c>
      <c r="AI190" s="112">
        <v>0</v>
      </c>
      <c r="AJ190" s="112">
        <v>0</v>
      </c>
      <c r="AK190" s="112">
        <v>0</v>
      </c>
      <c r="AL190" s="112">
        <v>51.482417908635171</v>
      </c>
      <c r="AM190" s="112">
        <v>264.1158515798756</v>
      </c>
      <c r="AN190" s="112">
        <v>225.11420151865946</v>
      </c>
      <c r="AO190" s="112">
        <v>108.23005309853505</v>
      </c>
      <c r="AP190" s="112">
        <v>143.4456036646894</v>
      </c>
      <c r="AQ190" s="112">
        <v>2.8421709430404007E-14</v>
      </c>
      <c r="AR190" s="112">
        <v>0</v>
      </c>
      <c r="AS190" s="112">
        <v>0</v>
      </c>
      <c r="AT190" s="112">
        <v>0</v>
      </c>
      <c r="AU190" s="112">
        <v>0</v>
      </c>
      <c r="AV190" s="112">
        <v>157.71795103485263</v>
      </c>
      <c r="AW190" s="112">
        <v>0</v>
      </c>
      <c r="AX190" s="112">
        <v>0</v>
      </c>
      <c r="AY190" s="112">
        <v>0</v>
      </c>
    </row>
    <row r="191" spans="1:51" x14ac:dyDescent="0.2">
      <c r="A191" s="115"/>
      <c r="B191" s="126">
        <v>3</v>
      </c>
      <c r="C191" s="112">
        <v>0</v>
      </c>
      <c r="D191" s="112">
        <v>0</v>
      </c>
      <c r="E191" s="112">
        <v>0</v>
      </c>
      <c r="F191" s="112">
        <v>0</v>
      </c>
      <c r="G191" s="112">
        <v>0</v>
      </c>
      <c r="H191" s="112">
        <v>0</v>
      </c>
      <c r="I191" s="112">
        <v>129.97857406282489</v>
      </c>
      <c r="J191" s="112">
        <v>139.62739604083598</v>
      </c>
      <c r="K191" s="112">
        <v>76.276218018847061</v>
      </c>
      <c r="L191" s="112">
        <v>143.10863569818198</v>
      </c>
      <c r="M191" s="112">
        <v>0</v>
      </c>
      <c r="N191" s="112">
        <v>0</v>
      </c>
      <c r="O191" s="112">
        <v>0</v>
      </c>
      <c r="P191" s="112">
        <v>0</v>
      </c>
      <c r="Q191" s="112">
        <v>0</v>
      </c>
      <c r="R191" s="112">
        <v>0</v>
      </c>
      <c r="S191" s="112">
        <v>0</v>
      </c>
      <c r="T191" s="112">
        <v>0</v>
      </c>
      <c r="U191" s="112">
        <v>0</v>
      </c>
      <c r="V191" s="112">
        <v>0</v>
      </c>
      <c r="W191" s="112">
        <v>0</v>
      </c>
      <c r="X191" s="112">
        <v>0</v>
      </c>
      <c r="Y191" s="112">
        <v>0</v>
      </c>
      <c r="Z191" s="112">
        <v>0</v>
      </c>
      <c r="AA191" s="112">
        <v>0</v>
      </c>
      <c r="AB191" s="112">
        <v>0</v>
      </c>
      <c r="AC191" s="112">
        <v>0</v>
      </c>
      <c r="AD191" s="112">
        <v>0</v>
      </c>
      <c r="AE191" s="112">
        <v>0</v>
      </c>
      <c r="AF191" s="112">
        <v>0</v>
      </c>
      <c r="AG191" s="112">
        <v>0</v>
      </c>
      <c r="AH191" s="112">
        <v>0</v>
      </c>
      <c r="AI191" s="112">
        <v>0</v>
      </c>
      <c r="AJ191" s="112">
        <v>0</v>
      </c>
      <c r="AK191" s="112">
        <v>142.84733417617863</v>
      </c>
      <c r="AL191" s="112">
        <v>263.51758209136483</v>
      </c>
      <c r="AM191" s="112">
        <v>41.882498358908293</v>
      </c>
      <c r="AN191" s="112">
        <v>0</v>
      </c>
      <c r="AO191" s="112">
        <v>0</v>
      </c>
      <c r="AP191" s="112">
        <v>0</v>
      </c>
      <c r="AQ191" s="112">
        <v>0</v>
      </c>
      <c r="AR191" s="112">
        <v>0</v>
      </c>
      <c r="AS191" s="112">
        <v>0</v>
      </c>
      <c r="AT191" s="112">
        <v>0</v>
      </c>
      <c r="AU191" s="112">
        <v>0</v>
      </c>
      <c r="AV191" s="112">
        <v>0</v>
      </c>
      <c r="AW191" s="112">
        <v>0</v>
      </c>
      <c r="AX191" s="112">
        <v>0</v>
      </c>
      <c r="AY191" s="112">
        <v>0</v>
      </c>
    </row>
    <row r="192" spans="1:51" x14ac:dyDescent="0.2">
      <c r="A192" s="115"/>
      <c r="B192" s="126">
        <v>4</v>
      </c>
      <c r="C192" s="112">
        <v>0</v>
      </c>
      <c r="D192" s="112">
        <v>0</v>
      </c>
      <c r="E192" s="112">
        <v>0</v>
      </c>
      <c r="F192" s="112">
        <v>0</v>
      </c>
      <c r="G192" s="112">
        <v>0</v>
      </c>
      <c r="H192" s="112">
        <v>0</v>
      </c>
      <c r="I192" s="112">
        <v>0</v>
      </c>
      <c r="J192" s="112">
        <v>0</v>
      </c>
      <c r="K192" s="112">
        <v>0</v>
      </c>
      <c r="L192" s="112">
        <v>0</v>
      </c>
      <c r="M192" s="112">
        <v>0</v>
      </c>
      <c r="N192" s="112">
        <v>0</v>
      </c>
      <c r="O192" s="112">
        <v>0</v>
      </c>
      <c r="P192" s="112">
        <v>0</v>
      </c>
      <c r="Q192" s="112">
        <v>0</v>
      </c>
      <c r="R192" s="112">
        <v>0</v>
      </c>
      <c r="S192" s="112">
        <v>0</v>
      </c>
      <c r="T192" s="112">
        <v>0</v>
      </c>
      <c r="U192" s="112">
        <v>0</v>
      </c>
      <c r="V192" s="112">
        <v>0</v>
      </c>
      <c r="W192" s="112">
        <v>0</v>
      </c>
      <c r="X192" s="112">
        <v>0</v>
      </c>
      <c r="Y192" s="112">
        <v>0</v>
      </c>
      <c r="Z192" s="112">
        <v>0</v>
      </c>
      <c r="AA192" s="112">
        <v>0</v>
      </c>
      <c r="AB192" s="112">
        <v>0</v>
      </c>
      <c r="AC192" s="112">
        <v>0</v>
      </c>
      <c r="AD192" s="112">
        <v>0</v>
      </c>
      <c r="AE192" s="112">
        <v>0</v>
      </c>
      <c r="AF192" s="112">
        <v>0</v>
      </c>
      <c r="AG192" s="112">
        <v>0</v>
      </c>
      <c r="AH192" s="112">
        <v>0</v>
      </c>
      <c r="AI192" s="112">
        <v>0</v>
      </c>
      <c r="AJ192" s="112">
        <v>0</v>
      </c>
      <c r="AK192" s="112">
        <v>0</v>
      </c>
      <c r="AL192" s="112">
        <v>0</v>
      </c>
      <c r="AM192" s="112">
        <v>0</v>
      </c>
      <c r="AN192" s="112">
        <v>0</v>
      </c>
      <c r="AO192" s="112">
        <v>0</v>
      </c>
      <c r="AP192" s="112">
        <v>0</v>
      </c>
      <c r="AQ192" s="112">
        <v>0</v>
      </c>
      <c r="AR192" s="112">
        <v>0</v>
      </c>
      <c r="AS192" s="112">
        <v>0</v>
      </c>
      <c r="AT192" s="112">
        <v>0</v>
      </c>
      <c r="AU192" s="112">
        <v>0</v>
      </c>
      <c r="AV192" s="112">
        <v>0</v>
      </c>
      <c r="AW192" s="112">
        <v>0</v>
      </c>
      <c r="AX192" s="112">
        <v>0</v>
      </c>
      <c r="AY192" s="112">
        <v>0</v>
      </c>
    </row>
    <row r="193" spans="1:51" x14ac:dyDescent="0.2">
      <c r="A193" s="115"/>
      <c r="B193" s="133">
        <v>5</v>
      </c>
      <c r="C193" s="112">
        <v>0</v>
      </c>
      <c r="D193" s="112">
        <v>0</v>
      </c>
      <c r="E193" s="112">
        <v>0</v>
      </c>
      <c r="F193" s="112">
        <v>0</v>
      </c>
      <c r="G193" s="112">
        <v>0</v>
      </c>
      <c r="H193" s="112">
        <v>0</v>
      </c>
      <c r="I193" s="112">
        <v>0</v>
      </c>
      <c r="J193" s="112">
        <v>0</v>
      </c>
      <c r="K193" s="112">
        <v>0</v>
      </c>
      <c r="L193" s="112">
        <v>0</v>
      </c>
      <c r="M193" s="112">
        <v>0</v>
      </c>
      <c r="N193" s="112">
        <v>0</v>
      </c>
      <c r="O193" s="112">
        <v>0</v>
      </c>
      <c r="P193" s="112">
        <v>0</v>
      </c>
      <c r="Q193" s="112">
        <v>0</v>
      </c>
      <c r="R193" s="112">
        <v>0</v>
      </c>
      <c r="S193" s="112">
        <v>0</v>
      </c>
      <c r="T193" s="112">
        <v>0</v>
      </c>
      <c r="U193" s="112">
        <v>0</v>
      </c>
      <c r="V193" s="112">
        <v>0</v>
      </c>
      <c r="W193" s="112">
        <v>0</v>
      </c>
      <c r="X193" s="112">
        <v>0</v>
      </c>
      <c r="Y193" s="112">
        <v>0</v>
      </c>
      <c r="Z193" s="112">
        <v>0</v>
      </c>
      <c r="AA193" s="112">
        <v>0</v>
      </c>
      <c r="AB193" s="112">
        <v>0</v>
      </c>
      <c r="AC193" s="112">
        <v>0</v>
      </c>
      <c r="AD193" s="112">
        <v>0</v>
      </c>
      <c r="AE193" s="112">
        <v>0</v>
      </c>
      <c r="AF193" s="112">
        <v>0</v>
      </c>
      <c r="AG193" s="112">
        <v>0</v>
      </c>
      <c r="AH193" s="112">
        <v>0</v>
      </c>
      <c r="AI193" s="112">
        <v>0</v>
      </c>
      <c r="AJ193" s="112">
        <v>0</v>
      </c>
      <c r="AK193" s="112">
        <v>0</v>
      </c>
      <c r="AL193" s="112">
        <v>0</v>
      </c>
      <c r="AM193" s="112">
        <v>0</v>
      </c>
      <c r="AN193" s="112">
        <v>0</v>
      </c>
      <c r="AO193" s="112">
        <v>0</v>
      </c>
      <c r="AP193" s="112">
        <v>0</v>
      </c>
      <c r="AQ193" s="112">
        <v>0</v>
      </c>
      <c r="AR193" s="112">
        <v>0</v>
      </c>
      <c r="AS193" s="112">
        <v>0</v>
      </c>
      <c r="AT193" s="112">
        <v>0</v>
      </c>
      <c r="AU193" s="112">
        <v>0</v>
      </c>
      <c r="AV193" s="112">
        <v>0</v>
      </c>
      <c r="AW193" s="112">
        <v>0</v>
      </c>
      <c r="AX193" s="112">
        <v>0</v>
      </c>
      <c r="AY193" s="112">
        <v>0</v>
      </c>
    </row>
    <row r="194" spans="1:51" x14ac:dyDescent="0.2">
      <c r="A194" s="115"/>
      <c r="B194" s="133">
        <v>6</v>
      </c>
      <c r="C194" s="112">
        <v>0</v>
      </c>
      <c r="D194" s="112">
        <v>0</v>
      </c>
      <c r="E194" s="112">
        <v>0</v>
      </c>
      <c r="F194" s="112">
        <v>0</v>
      </c>
      <c r="G194" s="112">
        <v>0</v>
      </c>
      <c r="H194" s="112">
        <v>0</v>
      </c>
      <c r="I194" s="112">
        <v>0</v>
      </c>
      <c r="J194" s="112">
        <v>0</v>
      </c>
      <c r="K194" s="112">
        <v>0</v>
      </c>
      <c r="L194" s="112">
        <v>0</v>
      </c>
      <c r="M194" s="112">
        <v>0</v>
      </c>
      <c r="N194" s="112">
        <v>0</v>
      </c>
      <c r="O194" s="112">
        <v>0</v>
      </c>
      <c r="P194" s="112">
        <v>0</v>
      </c>
      <c r="Q194" s="112">
        <v>0</v>
      </c>
      <c r="R194" s="112">
        <v>0</v>
      </c>
      <c r="S194" s="112">
        <v>0</v>
      </c>
      <c r="T194" s="112">
        <v>0</v>
      </c>
      <c r="U194" s="112">
        <v>0</v>
      </c>
      <c r="V194" s="112">
        <v>0</v>
      </c>
      <c r="W194" s="112">
        <v>0</v>
      </c>
      <c r="X194" s="112">
        <v>0</v>
      </c>
      <c r="Y194" s="112">
        <v>0</v>
      </c>
      <c r="Z194" s="112">
        <v>0</v>
      </c>
      <c r="AA194" s="112">
        <v>0</v>
      </c>
      <c r="AB194" s="112">
        <v>0</v>
      </c>
      <c r="AC194" s="112">
        <v>0</v>
      </c>
      <c r="AD194" s="112">
        <v>0</v>
      </c>
      <c r="AE194" s="112">
        <v>0</v>
      </c>
      <c r="AF194" s="112">
        <v>0</v>
      </c>
      <c r="AG194" s="112">
        <v>0</v>
      </c>
      <c r="AH194" s="112">
        <v>0</v>
      </c>
      <c r="AI194" s="112">
        <v>0</v>
      </c>
      <c r="AJ194" s="112">
        <v>0</v>
      </c>
      <c r="AK194" s="112">
        <v>0</v>
      </c>
      <c r="AL194" s="112">
        <v>0</v>
      </c>
      <c r="AM194" s="112">
        <v>0</v>
      </c>
      <c r="AN194" s="112">
        <v>0</v>
      </c>
      <c r="AO194" s="112">
        <v>0</v>
      </c>
      <c r="AP194" s="112">
        <v>0</v>
      </c>
      <c r="AQ194" s="112">
        <v>0</v>
      </c>
      <c r="AR194" s="112">
        <v>0</v>
      </c>
      <c r="AS194" s="112">
        <v>0</v>
      </c>
      <c r="AT194" s="112">
        <v>0</v>
      </c>
      <c r="AU194" s="112">
        <v>0</v>
      </c>
      <c r="AV194" s="112">
        <v>0</v>
      </c>
      <c r="AW194" s="112">
        <v>0</v>
      </c>
      <c r="AX194" s="112">
        <v>0</v>
      </c>
      <c r="AY194" s="112">
        <v>0</v>
      </c>
    </row>
    <row r="195" spans="1:51" x14ac:dyDescent="0.2">
      <c r="A195" s="115"/>
      <c r="B195" s="136">
        <v>7</v>
      </c>
      <c r="C195" s="112">
        <v>0</v>
      </c>
      <c r="D195" s="112">
        <v>0</v>
      </c>
      <c r="E195" s="112">
        <v>0</v>
      </c>
      <c r="F195" s="112">
        <v>0</v>
      </c>
      <c r="G195" s="112">
        <v>0</v>
      </c>
      <c r="H195" s="112">
        <v>0</v>
      </c>
      <c r="I195" s="112">
        <v>0</v>
      </c>
      <c r="J195" s="112">
        <v>0</v>
      </c>
      <c r="K195" s="112">
        <v>0</v>
      </c>
      <c r="L195" s="112">
        <v>0</v>
      </c>
      <c r="M195" s="112">
        <v>0</v>
      </c>
      <c r="N195" s="112">
        <v>0</v>
      </c>
      <c r="O195" s="112">
        <v>0</v>
      </c>
      <c r="P195" s="112">
        <v>0</v>
      </c>
      <c r="Q195" s="112">
        <v>0</v>
      </c>
      <c r="R195" s="112">
        <v>0</v>
      </c>
      <c r="S195" s="112">
        <v>0</v>
      </c>
      <c r="T195" s="112">
        <v>0</v>
      </c>
      <c r="U195" s="112">
        <v>0</v>
      </c>
      <c r="V195" s="112">
        <v>0</v>
      </c>
      <c r="W195" s="112">
        <v>0</v>
      </c>
      <c r="X195" s="112">
        <v>0</v>
      </c>
      <c r="Y195" s="112">
        <v>0</v>
      </c>
      <c r="Z195" s="112">
        <v>0</v>
      </c>
      <c r="AA195" s="112">
        <v>0</v>
      </c>
      <c r="AB195" s="112">
        <v>0</v>
      </c>
      <c r="AC195" s="112">
        <v>0</v>
      </c>
      <c r="AD195" s="112">
        <v>0</v>
      </c>
      <c r="AE195" s="112">
        <v>0</v>
      </c>
      <c r="AF195" s="112">
        <v>0</v>
      </c>
      <c r="AG195" s="112">
        <v>0</v>
      </c>
      <c r="AH195" s="112">
        <v>0</v>
      </c>
      <c r="AI195" s="112">
        <v>0</v>
      </c>
      <c r="AJ195" s="112">
        <v>0</v>
      </c>
      <c r="AK195" s="112">
        <v>0</v>
      </c>
      <c r="AL195" s="112">
        <v>0</v>
      </c>
      <c r="AM195" s="112">
        <v>0</v>
      </c>
      <c r="AN195" s="112">
        <v>0</v>
      </c>
      <c r="AO195" s="112">
        <v>0</v>
      </c>
      <c r="AP195" s="112">
        <v>0</v>
      </c>
      <c r="AQ195" s="112">
        <v>0</v>
      </c>
      <c r="AR195" s="112">
        <v>0</v>
      </c>
      <c r="AS195" s="112">
        <v>0</v>
      </c>
      <c r="AT195" s="112">
        <v>0</v>
      </c>
      <c r="AU195" s="112">
        <v>0</v>
      </c>
      <c r="AV195" s="112">
        <v>0</v>
      </c>
      <c r="AW195" s="112">
        <v>0</v>
      </c>
      <c r="AX195" s="112">
        <v>0</v>
      </c>
      <c r="AY195" s="112">
        <v>0</v>
      </c>
    </row>
    <row r="196" spans="1:51" x14ac:dyDescent="0.2">
      <c r="A196" s="134"/>
      <c r="B196" s="135">
        <v>8</v>
      </c>
      <c r="C196" s="120">
        <v>0</v>
      </c>
      <c r="D196" s="120">
        <v>0</v>
      </c>
      <c r="E196" s="120">
        <v>0</v>
      </c>
      <c r="F196" s="120">
        <v>0</v>
      </c>
      <c r="G196" s="120">
        <v>0</v>
      </c>
      <c r="H196" s="120">
        <v>0</v>
      </c>
      <c r="I196" s="120">
        <v>0</v>
      </c>
      <c r="J196" s="120">
        <v>0</v>
      </c>
      <c r="K196" s="120">
        <v>0</v>
      </c>
      <c r="L196" s="120">
        <v>0</v>
      </c>
      <c r="M196" s="120">
        <v>0</v>
      </c>
      <c r="N196" s="120">
        <v>0</v>
      </c>
      <c r="O196" s="120">
        <v>0</v>
      </c>
      <c r="P196" s="120">
        <v>0</v>
      </c>
      <c r="Q196" s="120">
        <v>0</v>
      </c>
      <c r="R196" s="120">
        <v>0</v>
      </c>
      <c r="S196" s="120">
        <v>0</v>
      </c>
      <c r="T196" s="120">
        <v>0</v>
      </c>
      <c r="U196" s="120">
        <v>0</v>
      </c>
      <c r="V196" s="120">
        <v>0</v>
      </c>
      <c r="W196" s="120">
        <v>0</v>
      </c>
      <c r="X196" s="120">
        <v>0</v>
      </c>
      <c r="Y196" s="120">
        <v>0</v>
      </c>
      <c r="Z196" s="120">
        <v>0</v>
      </c>
      <c r="AA196" s="120">
        <v>0</v>
      </c>
      <c r="AB196" s="120">
        <v>0</v>
      </c>
      <c r="AC196" s="120">
        <v>0</v>
      </c>
      <c r="AD196" s="120">
        <v>0</v>
      </c>
      <c r="AE196" s="120">
        <v>0</v>
      </c>
      <c r="AF196" s="120">
        <v>0</v>
      </c>
      <c r="AG196" s="120">
        <v>0</v>
      </c>
      <c r="AH196" s="120">
        <v>0</v>
      </c>
      <c r="AI196" s="120">
        <v>0</v>
      </c>
      <c r="AJ196" s="120">
        <v>0</v>
      </c>
      <c r="AK196" s="120">
        <v>0</v>
      </c>
      <c r="AL196" s="120">
        <v>0</v>
      </c>
      <c r="AM196" s="120">
        <v>0</v>
      </c>
      <c r="AN196" s="120">
        <v>0</v>
      </c>
      <c r="AO196" s="120">
        <v>0</v>
      </c>
      <c r="AP196" s="120">
        <v>0</v>
      </c>
      <c r="AQ196" s="120">
        <v>0</v>
      </c>
      <c r="AR196" s="120">
        <v>0</v>
      </c>
      <c r="AS196" s="120">
        <v>0</v>
      </c>
      <c r="AT196" s="120">
        <v>0</v>
      </c>
      <c r="AU196" s="120">
        <v>0</v>
      </c>
      <c r="AV196" s="120">
        <v>0</v>
      </c>
      <c r="AW196" s="120">
        <v>0</v>
      </c>
      <c r="AX196" s="120">
        <v>0</v>
      </c>
      <c r="AY196" s="120">
        <v>0</v>
      </c>
    </row>
    <row r="197" spans="1:51" x14ac:dyDescent="0.2">
      <c r="A197" s="137" t="s">
        <v>134</v>
      </c>
      <c r="B197" s="125">
        <v>1</v>
      </c>
      <c r="C197" s="112">
        <v>63.877335087236247</v>
      </c>
      <c r="D197" s="112">
        <v>115.0138086486271</v>
      </c>
      <c r="E197" s="112">
        <v>238</v>
      </c>
      <c r="F197" s="112">
        <v>0</v>
      </c>
      <c r="G197" s="112">
        <v>0</v>
      </c>
      <c r="H197" s="112">
        <v>0</v>
      </c>
      <c r="I197" s="112">
        <v>0</v>
      </c>
      <c r="J197" s="112">
        <v>0</v>
      </c>
      <c r="K197" s="112">
        <v>0</v>
      </c>
      <c r="L197" s="112">
        <v>0</v>
      </c>
      <c r="M197" s="112">
        <v>0</v>
      </c>
      <c r="N197" s="112">
        <v>0</v>
      </c>
      <c r="O197" s="112">
        <v>0</v>
      </c>
      <c r="P197" s="112">
        <v>0</v>
      </c>
      <c r="Q197" s="112">
        <v>0</v>
      </c>
      <c r="R197" s="112">
        <v>0</v>
      </c>
      <c r="S197" s="112">
        <v>0</v>
      </c>
      <c r="T197" s="112">
        <v>0</v>
      </c>
      <c r="U197" s="112">
        <v>0</v>
      </c>
      <c r="V197" s="112">
        <v>0</v>
      </c>
      <c r="W197" s="112">
        <v>0</v>
      </c>
      <c r="X197" s="112">
        <v>0</v>
      </c>
      <c r="Y197" s="112">
        <v>0</v>
      </c>
      <c r="Z197" s="112">
        <v>0</v>
      </c>
      <c r="AA197" s="112">
        <v>0</v>
      </c>
      <c r="AB197" s="112">
        <v>0</v>
      </c>
      <c r="AC197" s="112">
        <v>0</v>
      </c>
      <c r="AD197" s="112">
        <v>0</v>
      </c>
      <c r="AE197" s="112">
        <v>0</v>
      </c>
      <c r="AF197" s="112">
        <v>0</v>
      </c>
      <c r="AG197" s="112">
        <v>0</v>
      </c>
      <c r="AH197" s="112">
        <v>0</v>
      </c>
      <c r="AI197" s="112">
        <v>0</v>
      </c>
      <c r="AJ197" s="112">
        <v>0</v>
      </c>
      <c r="AK197" s="112">
        <v>0</v>
      </c>
      <c r="AL197" s="112">
        <v>0</v>
      </c>
      <c r="AM197" s="112">
        <v>0</v>
      </c>
      <c r="AN197" s="112">
        <v>0</v>
      </c>
      <c r="AO197" s="112">
        <v>0</v>
      </c>
      <c r="AP197" s="112">
        <v>0</v>
      </c>
      <c r="AQ197" s="112">
        <v>0</v>
      </c>
      <c r="AR197" s="112">
        <v>0</v>
      </c>
      <c r="AS197" s="112">
        <v>0</v>
      </c>
      <c r="AT197" s="112">
        <v>0</v>
      </c>
      <c r="AU197" s="112">
        <v>0</v>
      </c>
      <c r="AV197" s="112">
        <v>0</v>
      </c>
      <c r="AW197" s="112">
        <v>0</v>
      </c>
      <c r="AX197" s="112">
        <v>0</v>
      </c>
      <c r="AY197" s="112">
        <v>0</v>
      </c>
    </row>
    <row r="198" spans="1:51" x14ac:dyDescent="0.2">
      <c r="A198" s="115"/>
      <c r="B198" s="125">
        <v>2</v>
      </c>
      <c r="C198" s="112">
        <v>111.56020451824594</v>
      </c>
      <c r="D198" s="112">
        <v>57.69665522748511</v>
      </c>
      <c r="E198" s="112">
        <v>0</v>
      </c>
      <c r="F198" s="112">
        <v>322</v>
      </c>
      <c r="G198" s="112">
        <v>0</v>
      </c>
      <c r="H198" s="112">
        <v>0</v>
      </c>
      <c r="I198" s="112">
        <v>0</v>
      </c>
      <c r="J198" s="112">
        <v>0</v>
      </c>
      <c r="K198" s="112">
        <v>0</v>
      </c>
      <c r="L198" s="112">
        <v>0</v>
      </c>
      <c r="M198" s="112">
        <v>0</v>
      </c>
      <c r="N198" s="112">
        <v>0</v>
      </c>
      <c r="O198" s="112">
        <v>0</v>
      </c>
      <c r="P198" s="112">
        <v>0</v>
      </c>
      <c r="Q198" s="112">
        <v>0</v>
      </c>
      <c r="R198" s="112">
        <v>0</v>
      </c>
      <c r="S198" s="112">
        <v>0</v>
      </c>
      <c r="T198" s="112">
        <v>0</v>
      </c>
      <c r="U198" s="112">
        <v>0</v>
      </c>
      <c r="V198" s="112">
        <v>0</v>
      </c>
      <c r="W198" s="112">
        <v>0</v>
      </c>
      <c r="X198" s="112">
        <v>0</v>
      </c>
      <c r="Y198" s="112">
        <v>0</v>
      </c>
      <c r="Z198" s="112">
        <v>0</v>
      </c>
      <c r="AA198" s="112">
        <v>0</v>
      </c>
      <c r="AB198" s="112">
        <v>0</v>
      </c>
      <c r="AC198" s="112">
        <v>0</v>
      </c>
      <c r="AD198" s="112">
        <v>0</v>
      </c>
      <c r="AE198" s="112">
        <v>0</v>
      </c>
      <c r="AF198" s="112">
        <v>0</v>
      </c>
      <c r="AG198" s="112">
        <v>0</v>
      </c>
      <c r="AH198" s="112">
        <v>0</v>
      </c>
      <c r="AI198" s="112">
        <v>0</v>
      </c>
      <c r="AJ198" s="112">
        <v>0</v>
      </c>
      <c r="AK198" s="112">
        <v>0</v>
      </c>
      <c r="AL198" s="112">
        <v>0</v>
      </c>
      <c r="AM198" s="112">
        <v>0</v>
      </c>
      <c r="AN198" s="112">
        <v>0</v>
      </c>
      <c r="AO198" s="112">
        <v>0</v>
      </c>
      <c r="AP198" s="112">
        <v>0</v>
      </c>
      <c r="AQ198" s="112">
        <v>0</v>
      </c>
      <c r="AR198" s="112">
        <v>0</v>
      </c>
      <c r="AS198" s="112">
        <v>0</v>
      </c>
      <c r="AT198" s="112">
        <v>0</v>
      </c>
      <c r="AU198" s="112">
        <v>0</v>
      </c>
      <c r="AV198" s="112">
        <v>0</v>
      </c>
      <c r="AW198" s="112">
        <v>0</v>
      </c>
      <c r="AX198" s="112">
        <v>0</v>
      </c>
      <c r="AY198" s="112">
        <v>0</v>
      </c>
    </row>
    <row r="199" spans="1:51" x14ac:dyDescent="0.2">
      <c r="A199" s="115"/>
      <c r="B199" s="125">
        <v>3</v>
      </c>
      <c r="C199" s="112">
        <v>2.9303434481984709</v>
      </c>
      <c r="D199" s="112">
        <v>0</v>
      </c>
      <c r="E199" s="112">
        <v>0</v>
      </c>
      <c r="F199" s="112">
        <v>0</v>
      </c>
      <c r="G199" s="112">
        <v>298.90766832378472</v>
      </c>
      <c r="H199" s="112">
        <v>0</v>
      </c>
      <c r="I199" s="112">
        <v>0</v>
      </c>
      <c r="J199" s="112">
        <v>0</v>
      </c>
      <c r="K199" s="112">
        <v>0</v>
      </c>
      <c r="L199" s="112">
        <v>0</v>
      </c>
      <c r="M199" s="112">
        <v>0</v>
      </c>
      <c r="N199" s="112">
        <v>0</v>
      </c>
      <c r="O199" s="112">
        <v>0</v>
      </c>
      <c r="P199" s="112">
        <v>0</v>
      </c>
      <c r="Q199" s="112">
        <v>0</v>
      </c>
      <c r="R199" s="112">
        <v>0</v>
      </c>
      <c r="S199" s="112">
        <v>0</v>
      </c>
      <c r="T199" s="112">
        <v>0</v>
      </c>
      <c r="U199" s="112">
        <v>0</v>
      </c>
      <c r="V199" s="112">
        <v>0</v>
      </c>
      <c r="W199" s="112">
        <v>0</v>
      </c>
      <c r="X199" s="112">
        <v>0</v>
      </c>
      <c r="Y199" s="112">
        <v>0</v>
      </c>
      <c r="Z199" s="112">
        <v>0</v>
      </c>
      <c r="AA199" s="112">
        <v>0</v>
      </c>
      <c r="AB199" s="112">
        <v>0</v>
      </c>
      <c r="AC199" s="112">
        <v>0</v>
      </c>
      <c r="AD199" s="112">
        <v>0</v>
      </c>
      <c r="AE199" s="112">
        <v>0</v>
      </c>
      <c r="AF199" s="112">
        <v>0</v>
      </c>
      <c r="AG199" s="112">
        <v>0</v>
      </c>
      <c r="AH199" s="112">
        <v>0</v>
      </c>
      <c r="AI199" s="112">
        <v>0</v>
      </c>
      <c r="AJ199" s="112">
        <v>0</v>
      </c>
      <c r="AK199" s="112">
        <v>0</v>
      </c>
      <c r="AL199" s="112">
        <v>0</v>
      </c>
      <c r="AM199" s="112">
        <v>0</v>
      </c>
      <c r="AN199" s="112">
        <v>0</v>
      </c>
      <c r="AO199" s="112">
        <v>0</v>
      </c>
      <c r="AP199" s="112">
        <v>0</v>
      </c>
      <c r="AQ199" s="112">
        <v>0</v>
      </c>
      <c r="AR199" s="112">
        <v>0</v>
      </c>
      <c r="AS199" s="112">
        <v>0</v>
      </c>
      <c r="AT199" s="112">
        <v>0</v>
      </c>
      <c r="AU199" s="112">
        <v>0</v>
      </c>
      <c r="AV199" s="112">
        <v>0</v>
      </c>
      <c r="AW199" s="112">
        <v>0</v>
      </c>
      <c r="AX199" s="112">
        <v>0</v>
      </c>
      <c r="AY199" s="112">
        <v>0</v>
      </c>
    </row>
    <row r="200" spans="1:51" x14ac:dyDescent="0.2">
      <c r="A200" s="115"/>
      <c r="B200" s="126">
        <v>4</v>
      </c>
      <c r="C200" s="112">
        <v>0</v>
      </c>
      <c r="D200" s="112">
        <v>0</v>
      </c>
      <c r="E200" s="112">
        <v>0</v>
      </c>
      <c r="F200" s="112">
        <v>0</v>
      </c>
      <c r="G200" s="112">
        <v>0</v>
      </c>
      <c r="H200" s="112">
        <v>216</v>
      </c>
      <c r="I200" s="112">
        <v>30.653904345146202</v>
      </c>
      <c r="J200" s="112">
        <v>0</v>
      </c>
      <c r="K200" s="112">
        <v>0</v>
      </c>
      <c r="L200" s="112">
        <v>0</v>
      </c>
      <c r="M200" s="112">
        <v>0</v>
      </c>
      <c r="N200" s="112">
        <v>0</v>
      </c>
      <c r="O200" s="112">
        <v>0</v>
      </c>
      <c r="P200" s="112">
        <v>0</v>
      </c>
      <c r="Q200" s="112">
        <v>0</v>
      </c>
      <c r="R200" s="112">
        <v>0</v>
      </c>
      <c r="S200" s="112">
        <v>0</v>
      </c>
      <c r="T200" s="112">
        <v>0</v>
      </c>
      <c r="U200" s="112">
        <v>0</v>
      </c>
      <c r="V200" s="112">
        <v>0</v>
      </c>
      <c r="W200" s="112">
        <v>0</v>
      </c>
      <c r="X200" s="112">
        <v>0</v>
      </c>
      <c r="Y200" s="112">
        <v>0</v>
      </c>
      <c r="Z200" s="112">
        <v>0</v>
      </c>
      <c r="AA200" s="112">
        <v>0</v>
      </c>
      <c r="AB200" s="112">
        <v>0</v>
      </c>
      <c r="AC200" s="112">
        <v>0</v>
      </c>
      <c r="AD200" s="112">
        <v>0</v>
      </c>
      <c r="AE200" s="112">
        <v>0</v>
      </c>
      <c r="AF200" s="112">
        <v>0</v>
      </c>
      <c r="AG200" s="112">
        <v>0</v>
      </c>
      <c r="AH200" s="112">
        <v>0</v>
      </c>
      <c r="AI200" s="112">
        <v>0</v>
      </c>
      <c r="AJ200" s="112">
        <v>0</v>
      </c>
      <c r="AK200" s="112">
        <v>0</v>
      </c>
      <c r="AL200" s="112">
        <v>0</v>
      </c>
      <c r="AM200" s="112">
        <v>0</v>
      </c>
      <c r="AN200" s="112">
        <v>0</v>
      </c>
      <c r="AO200" s="112">
        <v>0</v>
      </c>
      <c r="AP200" s="112">
        <v>0</v>
      </c>
      <c r="AQ200" s="112">
        <v>0</v>
      </c>
      <c r="AR200" s="112">
        <v>0</v>
      </c>
      <c r="AS200" s="112">
        <v>0</v>
      </c>
      <c r="AT200" s="112">
        <v>0</v>
      </c>
      <c r="AU200" s="112">
        <v>0</v>
      </c>
      <c r="AV200" s="112">
        <v>0</v>
      </c>
      <c r="AW200" s="112">
        <v>0</v>
      </c>
      <c r="AX200" s="112">
        <v>0</v>
      </c>
      <c r="AY200" s="112">
        <v>0</v>
      </c>
    </row>
    <row r="201" spans="1:51" x14ac:dyDescent="0.2">
      <c r="A201" s="115"/>
      <c r="B201" s="126">
        <v>5</v>
      </c>
      <c r="C201" s="112">
        <v>0</v>
      </c>
      <c r="D201" s="112">
        <v>0</v>
      </c>
      <c r="E201" s="112">
        <v>0</v>
      </c>
      <c r="F201" s="112">
        <v>0</v>
      </c>
      <c r="G201" s="112">
        <v>0</v>
      </c>
      <c r="H201" s="112">
        <v>0</v>
      </c>
      <c r="I201" s="112">
        <v>139.3460956548538</v>
      </c>
      <c r="J201" s="112">
        <v>212</v>
      </c>
      <c r="K201" s="112">
        <v>0</v>
      </c>
      <c r="L201" s="112">
        <v>0</v>
      </c>
      <c r="M201" s="112">
        <v>0</v>
      </c>
      <c r="N201" s="112">
        <v>0</v>
      </c>
      <c r="O201" s="112">
        <v>0</v>
      </c>
      <c r="P201" s="112">
        <v>0</v>
      </c>
      <c r="Q201" s="112">
        <v>0</v>
      </c>
      <c r="R201" s="112">
        <v>0</v>
      </c>
      <c r="S201" s="112">
        <v>0</v>
      </c>
      <c r="T201" s="112">
        <v>0</v>
      </c>
      <c r="U201" s="112">
        <v>0</v>
      </c>
      <c r="V201" s="112">
        <v>0</v>
      </c>
      <c r="W201" s="112">
        <v>0</v>
      </c>
      <c r="X201" s="112">
        <v>0</v>
      </c>
      <c r="Y201" s="112">
        <v>0</v>
      </c>
      <c r="Z201" s="112">
        <v>0</v>
      </c>
      <c r="AA201" s="112">
        <v>0</v>
      </c>
      <c r="AB201" s="112">
        <v>0</v>
      </c>
      <c r="AC201" s="112">
        <v>0</v>
      </c>
      <c r="AD201" s="112">
        <v>0</v>
      </c>
      <c r="AE201" s="112">
        <v>0</v>
      </c>
      <c r="AF201" s="112">
        <v>0</v>
      </c>
      <c r="AG201" s="112">
        <v>0</v>
      </c>
      <c r="AH201" s="112">
        <v>0</v>
      </c>
      <c r="AI201" s="112">
        <v>0</v>
      </c>
      <c r="AJ201" s="112">
        <v>0</v>
      </c>
      <c r="AK201" s="112">
        <v>0</v>
      </c>
      <c r="AL201" s="112">
        <v>0</v>
      </c>
      <c r="AM201" s="112">
        <v>0</v>
      </c>
      <c r="AN201" s="112">
        <v>0</v>
      </c>
      <c r="AO201" s="112">
        <v>0</v>
      </c>
      <c r="AP201" s="112">
        <v>0</v>
      </c>
      <c r="AQ201" s="112">
        <v>0</v>
      </c>
      <c r="AR201" s="112">
        <v>0</v>
      </c>
      <c r="AS201" s="112">
        <v>0</v>
      </c>
      <c r="AT201" s="112">
        <v>0</v>
      </c>
      <c r="AU201" s="112">
        <v>30.067296180498488</v>
      </c>
      <c r="AV201" s="112">
        <v>0</v>
      </c>
      <c r="AW201" s="112">
        <v>0</v>
      </c>
      <c r="AX201" s="112">
        <v>0</v>
      </c>
      <c r="AY201" s="112">
        <v>0</v>
      </c>
    </row>
    <row r="202" spans="1:51" x14ac:dyDescent="0.2">
      <c r="A202" s="115"/>
      <c r="B202" s="126">
        <v>6</v>
      </c>
      <c r="C202" s="112">
        <v>0</v>
      </c>
      <c r="D202" s="112">
        <v>0</v>
      </c>
      <c r="E202" s="112">
        <v>0</v>
      </c>
      <c r="F202" s="112">
        <v>0</v>
      </c>
      <c r="G202" s="112">
        <v>0</v>
      </c>
      <c r="H202" s="112">
        <v>0</v>
      </c>
      <c r="I202" s="112">
        <v>0</v>
      </c>
      <c r="J202" s="112">
        <v>0</v>
      </c>
      <c r="K202" s="112">
        <v>200</v>
      </c>
      <c r="L202" s="112">
        <v>0</v>
      </c>
      <c r="M202" s="112">
        <v>0</v>
      </c>
      <c r="N202" s="112">
        <v>0</v>
      </c>
      <c r="O202" s="112">
        <v>0</v>
      </c>
      <c r="P202" s="112">
        <v>0</v>
      </c>
      <c r="Q202" s="112">
        <v>0</v>
      </c>
      <c r="R202" s="112">
        <v>0</v>
      </c>
      <c r="S202" s="112">
        <v>0</v>
      </c>
      <c r="T202" s="112">
        <v>0</v>
      </c>
      <c r="U202" s="112">
        <v>0</v>
      </c>
      <c r="V202" s="112">
        <v>0</v>
      </c>
      <c r="W202" s="112">
        <v>0</v>
      </c>
      <c r="X202" s="112">
        <v>0</v>
      </c>
      <c r="Y202" s="112">
        <v>0</v>
      </c>
      <c r="Z202" s="112">
        <v>0</v>
      </c>
      <c r="AA202" s="112">
        <v>0</v>
      </c>
      <c r="AB202" s="112">
        <v>0</v>
      </c>
      <c r="AC202" s="112">
        <v>0</v>
      </c>
      <c r="AD202" s="112">
        <v>0</v>
      </c>
      <c r="AE202" s="112">
        <v>0</v>
      </c>
      <c r="AF202" s="112">
        <v>0</v>
      </c>
      <c r="AG202" s="112">
        <v>0</v>
      </c>
      <c r="AH202" s="112">
        <v>0</v>
      </c>
      <c r="AI202" s="112">
        <v>0</v>
      </c>
      <c r="AJ202" s="112">
        <v>0</v>
      </c>
      <c r="AK202" s="112">
        <v>0</v>
      </c>
      <c r="AL202" s="112">
        <v>189.68997992742845</v>
      </c>
      <c r="AM202" s="112">
        <v>143.95922605346408</v>
      </c>
      <c r="AN202" s="112">
        <v>115.80467271361556</v>
      </c>
      <c r="AO202" s="112">
        <v>127.92238782475602</v>
      </c>
      <c r="AP202" s="112">
        <v>158.53357779792057</v>
      </c>
      <c r="AQ202" s="112">
        <v>321.82916583375618</v>
      </c>
      <c r="AR202" s="112">
        <v>538.51294399067308</v>
      </c>
      <c r="AS202" s="112">
        <v>342.72564953525296</v>
      </c>
      <c r="AT202" s="112">
        <v>270.21322130574094</v>
      </c>
      <c r="AU202" s="112">
        <v>363.98741570184973</v>
      </c>
      <c r="AV202" s="112">
        <v>265.46405256372083</v>
      </c>
      <c r="AW202" s="112">
        <v>245.55577295500404</v>
      </c>
      <c r="AX202" s="112">
        <v>176.04066049994657</v>
      </c>
      <c r="AY202" s="112">
        <v>0</v>
      </c>
    </row>
    <row r="203" spans="1:51" x14ac:dyDescent="0.2">
      <c r="A203" s="115"/>
      <c r="B203" s="133">
        <v>7</v>
      </c>
      <c r="C203" s="112">
        <v>0</v>
      </c>
      <c r="D203" s="112">
        <v>0</v>
      </c>
      <c r="E203" s="112">
        <v>0</v>
      </c>
      <c r="F203" s="112">
        <v>0</v>
      </c>
      <c r="G203" s="112">
        <v>0</v>
      </c>
      <c r="H203" s="112">
        <v>0</v>
      </c>
      <c r="I203" s="112">
        <v>0</v>
      </c>
      <c r="J203" s="112">
        <v>0</v>
      </c>
      <c r="K203" s="112">
        <v>0</v>
      </c>
      <c r="L203" s="112">
        <v>155</v>
      </c>
      <c r="M203" s="112">
        <v>0</v>
      </c>
      <c r="N203" s="112">
        <v>0</v>
      </c>
      <c r="O203" s="112">
        <v>0</v>
      </c>
      <c r="P203" s="112">
        <v>0</v>
      </c>
      <c r="Q203" s="112">
        <v>0</v>
      </c>
      <c r="R203" s="112">
        <v>0</v>
      </c>
      <c r="S203" s="112">
        <v>0</v>
      </c>
      <c r="T203" s="112">
        <v>0</v>
      </c>
      <c r="U203" s="112">
        <v>0</v>
      </c>
      <c r="V203" s="112">
        <v>0</v>
      </c>
      <c r="W203" s="112">
        <v>0</v>
      </c>
      <c r="X203" s="112">
        <v>0</v>
      </c>
      <c r="Y203" s="112">
        <v>0</v>
      </c>
      <c r="Z203" s="112">
        <v>0</v>
      </c>
      <c r="AA203" s="112">
        <v>0</v>
      </c>
      <c r="AB203" s="112">
        <v>0</v>
      </c>
      <c r="AC203" s="112">
        <v>0</v>
      </c>
      <c r="AD203" s="112">
        <v>0</v>
      </c>
      <c r="AE203" s="112">
        <v>0</v>
      </c>
      <c r="AF203" s="112">
        <v>0</v>
      </c>
      <c r="AG203" s="112">
        <v>0</v>
      </c>
      <c r="AH203" s="112">
        <v>0</v>
      </c>
      <c r="AI203" s="112">
        <v>0</v>
      </c>
      <c r="AJ203" s="112">
        <v>0</v>
      </c>
      <c r="AK203" s="112">
        <v>49.915906492208137</v>
      </c>
      <c r="AL203" s="112">
        <v>57.612963282389842</v>
      </c>
      <c r="AM203" s="112">
        <v>47.040773946535921</v>
      </c>
      <c r="AN203" s="112">
        <v>145.19532728638444</v>
      </c>
      <c r="AO203" s="112">
        <v>227.02453209799927</v>
      </c>
      <c r="AP203" s="112">
        <v>121.78582615530624</v>
      </c>
      <c r="AQ203" s="112">
        <v>30.267480208119224</v>
      </c>
      <c r="AR203" s="112">
        <v>170.31837424058858</v>
      </c>
      <c r="AS203" s="112">
        <v>195.02881572559318</v>
      </c>
      <c r="AT203" s="112">
        <v>306.13338240002247</v>
      </c>
      <c r="AU203" s="112">
        <v>142.68665255261271</v>
      </c>
      <c r="AV203" s="112">
        <v>0</v>
      </c>
      <c r="AW203" s="112">
        <v>130.63428572677049</v>
      </c>
      <c r="AX203" s="112">
        <v>173.9258959364351</v>
      </c>
      <c r="AY203" s="112">
        <v>281.87707650580285</v>
      </c>
    </row>
    <row r="204" spans="1:51" x14ac:dyDescent="0.2">
      <c r="A204" s="115"/>
      <c r="B204" s="133">
        <v>8</v>
      </c>
      <c r="C204" s="112">
        <v>0</v>
      </c>
      <c r="D204" s="112">
        <v>0</v>
      </c>
      <c r="E204" s="112">
        <v>0</v>
      </c>
      <c r="F204" s="112">
        <v>0</v>
      </c>
      <c r="G204" s="112">
        <v>0</v>
      </c>
      <c r="H204" s="112">
        <v>0</v>
      </c>
      <c r="I204" s="112">
        <v>0</v>
      </c>
      <c r="J204" s="112">
        <v>0</v>
      </c>
      <c r="K204" s="112">
        <v>0</v>
      </c>
      <c r="L204" s="112">
        <v>0</v>
      </c>
      <c r="M204" s="112">
        <v>137</v>
      </c>
      <c r="N204" s="112">
        <v>0</v>
      </c>
      <c r="O204" s="112">
        <v>0</v>
      </c>
      <c r="P204" s="112">
        <v>0</v>
      </c>
      <c r="Q204" s="112">
        <v>0</v>
      </c>
      <c r="R204" s="112">
        <v>0</v>
      </c>
      <c r="S204" s="112">
        <v>0</v>
      </c>
      <c r="T204" s="112">
        <v>0</v>
      </c>
      <c r="U204" s="112">
        <v>0</v>
      </c>
      <c r="V204" s="112">
        <v>0</v>
      </c>
      <c r="W204" s="112">
        <v>0</v>
      </c>
      <c r="X204" s="112">
        <v>0</v>
      </c>
      <c r="Y204" s="112">
        <v>0</v>
      </c>
      <c r="Z204" s="112">
        <v>0</v>
      </c>
      <c r="AA204" s="112">
        <v>0</v>
      </c>
      <c r="AB204" s="112">
        <v>0</v>
      </c>
      <c r="AC204" s="112">
        <v>0</v>
      </c>
      <c r="AD204" s="112">
        <v>0</v>
      </c>
      <c r="AE204" s="112">
        <v>0</v>
      </c>
      <c r="AF204" s="112">
        <v>0</v>
      </c>
      <c r="AG204" s="112">
        <v>0</v>
      </c>
      <c r="AH204" s="112">
        <v>0</v>
      </c>
      <c r="AI204" s="112">
        <v>0</v>
      </c>
      <c r="AJ204" s="112">
        <v>0</v>
      </c>
      <c r="AK204" s="112">
        <v>105.44775708923575</v>
      </c>
      <c r="AL204" s="112">
        <v>7.6970567901817049</v>
      </c>
      <c r="AM204" s="112">
        <v>0</v>
      </c>
      <c r="AN204" s="112">
        <v>0</v>
      </c>
      <c r="AO204" s="112">
        <v>0</v>
      </c>
      <c r="AP204" s="112">
        <v>0</v>
      </c>
      <c r="AQ204" s="112">
        <v>0</v>
      </c>
      <c r="AR204" s="112">
        <v>0</v>
      </c>
      <c r="AS204" s="112">
        <v>0</v>
      </c>
      <c r="AT204" s="112">
        <v>0</v>
      </c>
      <c r="AU204" s="112">
        <v>0</v>
      </c>
      <c r="AV204" s="112">
        <v>0</v>
      </c>
      <c r="AW204" s="112">
        <v>0</v>
      </c>
      <c r="AX204" s="112">
        <v>0</v>
      </c>
      <c r="AY204" s="112">
        <v>0</v>
      </c>
    </row>
    <row r="205" spans="1:51" x14ac:dyDescent="0.2">
      <c r="A205" s="115"/>
      <c r="B205" s="133">
        <v>9</v>
      </c>
      <c r="C205" s="112">
        <v>0</v>
      </c>
      <c r="D205" s="112">
        <v>0</v>
      </c>
      <c r="E205" s="112">
        <v>0</v>
      </c>
      <c r="F205" s="112">
        <v>0</v>
      </c>
      <c r="G205" s="112">
        <v>0</v>
      </c>
      <c r="H205" s="112">
        <v>0</v>
      </c>
      <c r="I205" s="112">
        <v>0</v>
      </c>
      <c r="J205" s="112">
        <v>0</v>
      </c>
      <c r="K205" s="112">
        <v>0</v>
      </c>
      <c r="L205" s="112">
        <v>0</v>
      </c>
      <c r="M205" s="112">
        <v>0</v>
      </c>
      <c r="N205" s="112">
        <v>179.6105372779559</v>
      </c>
      <c r="O205" s="112">
        <v>0</v>
      </c>
      <c r="P205" s="112">
        <v>0</v>
      </c>
      <c r="Q205" s="112">
        <v>0</v>
      </c>
      <c r="R205" s="112">
        <v>0</v>
      </c>
      <c r="S205" s="112">
        <v>0</v>
      </c>
      <c r="T205" s="112">
        <v>0</v>
      </c>
      <c r="U205" s="112">
        <v>0</v>
      </c>
      <c r="V205" s="112">
        <v>0</v>
      </c>
      <c r="W205" s="112">
        <v>0</v>
      </c>
      <c r="X205" s="112">
        <v>0</v>
      </c>
      <c r="Y205" s="112">
        <v>0</v>
      </c>
      <c r="Z205" s="112">
        <v>0</v>
      </c>
      <c r="AA205" s="112">
        <v>0</v>
      </c>
      <c r="AB205" s="112">
        <v>0</v>
      </c>
      <c r="AC205" s="112">
        <v>0</v>
      </c>
      <c r="AD205" s="112">
        <v>0</v>
      </c>
      <c r="AE205" s="112">
        <v>0</v>
      </c>
      <c r="AF205" s="112">
        <v>0</v>
      </c>
      <c r="AG205" s="112">
        <v>0</v>
      </c>
      <c r="AH205" s="112">
        <v>0</v>
      </c>
      <c r="AI205" s="112">
        <v>0</v>
      </c>
      <c r="AJ205" s="112">
        <v>110.05041757732749</v>
      </c>
      <c r="AK205" s="112">
        <v>27.067663431798792</v>
      </c>
      <c r="AL205" s="112">
        <v>0</v>
      </c>
      <c r="AM205" s="112">
        <v>0</v>
      </c>
      <c r="AN205" s="112">
        <v>0</v>
      </c>
      <c r="AO205" s="112">
        <v>0</v>
      </c>
      <c r="AP205" s="112">
        <v>0</v>
      </c>
      <c r="AQ205" s="112">
        <v>0</v>
      </c>
      <c r="AR205" s="112">
        <v>0</v>
      </c>
      <c r="AS205" s="112">
        <v>0</v>
      </c>
      <c r="AT205" s="112">
        <v>0</v>
      </c>
      <c r="AU205" s="112">
        <v>0</v>
      </c>
      <c r="AV205" s="112">
        <v>0</v>
      </c>
      <c r="AW205" s="112">
        <v>0</v>
      </c>
      <c r="AX205" s="112">
        <v>0</v>
      </c>
      <c r="AY205" s="112">
        <v>0</v>
      </c>
    </row>
    <row r="206" spans="1:51" x14ac:dyDescent="0.2">
      <c r="A206" s="115"/>
      <c r="B206" s="136">
        <v>10</v>
      </c>
      <c r="C206" s="112">
        <v>0</v>
      </c>
      <c r="D206" s="112">
        <v>0</v>
      </c>
      <c r="E206" s="112">
        <v>0</v>
      </c>
      <c r="F206" s="112">
        <v>0</v>
      </c>
      <c r="G206" s="112">
        <v>0</v>
      </c>
      <c r="H206" s="112">
        <v>0</v>
      </c>
      <c r="I206" s="112">
        <v>0</v>
      </c>
      <c r="J206" s="112">
        <v>0</v>
      </c>
      <c r="K206" s="112">
        <v>0</v>
      </c>
      <c r="L206" s="112">
        <v>0</v>
      </c>
      <c r="M206" s="112">
        <v>0</v>
      </c>
      <c r="N206" s="112">
        <v>0</v>
      </c>
      <c r="O206" s="112">
        <v>128.46168177542327</v>
      </c>
      <c r="P206" s="112">
        <v>127.82457516874726</v>
      </c>
      <c r="Q206" s="112">
        <v>0</v>
      </c>
      <c r="R206" s="112">
        <v>0</v>
      </c>
      <c r="S206" s="112">
        <v>0</v>
      </c>
      <c r="T206" s="112">
        <v>0</v>
      </c>
      <c r="U206" s="112">
        <v>0</v>
      </c>
      <c r="V206" s="112">
        <v>0</v>
      </c>
      <c r="W206" s="112">
        <v>0</v>
      </c>
      <c r="X206" s="112">
        <v>0</v>
      </c>
      <c r="Y206" s="112">
        <v>0</v>
      </c>
      <c r="Z206" s="112">
        <v>0</v>
      </c>
      <c r="AA206" s="112">
        <v>0</v>
      </c>
      <c r="AB206" s="112">
        <v>0</v>
      </c>
      <c r="AC206" s="112">
        <v>0</v>
      </c>
      <c r="AD206" s="112">
        <v>0</v>
      </c>
      <c r="AE206" s="112">
        <v>0</v>
      </c>
      <c r="AF206" s="112">
        <v>0</v>
      </c>
      <c r="AG206" s="112">
        <v>0</v>
      </c>
      <c r="AH206" s="112">
        <v>0</v>
      </c>
      <c r="AI206" s="112">
        <v>0</v>
      </c>
      <c r="AJ206" s="112">
        <v>48.700963991647541</v>
      </c>
      <c r="AK206" s="112">
        <v>38.568672986757321</v>
      </c>
      <c r="AL206" s="112">
        <v>0</v>
      </c>
      <c r="AM206" s="112">
        <v>0</v>
      </c>
      <c r="AN206" s="112">
        <v>0</v>
      </c>
      <c r="AO206" s="112">
        <v>0</v>
      </c>
      <c r="AP206" s="112">
        <v>0</v>
      </c>
      <c r="AQ206" s="112">
        <v>0</v>
      </c>
      <c r="AR206" s="112">
        <v>0</v>
      </c>
      <c r="AS206" s="112">
        <v>0</v>
      </c>
      <c r="AT206" s="112">
        <v>0</v>
      </c>
      <c r="AU206" s="112">
        <v>0</v>
      </c>
      <c r="AV206" s="112">
        <v>0</v>
      </c>
      <c r="AW206" s="112">
        <v>0</v>
      </c>
      <c r="AX206" s="112">
        <v>0</v>
      </c>
      <c r="AY206" s="112">
        <v>0</v>
      </c>
    </row>
    <row r="207" spans="1:51" x14ac:dyDescent="0.2">
      <c r="A207" s="115"/>
      <c r="B207" s="136">
        <v>11</v>
      </c>
      <c r="C207" s="112">
        <v>0</v>
      </c>
      <c r="D207" s="112">
        <v>0</v>
      </c>
      <c r="E207" s="112">
        <v>0</v>
      </c>
      <c r="F207" s="112">
        <v>0</v>
      </c>
      <c r="G207" s="112">
        <v>0</v>
      </c>
      <c r="H207" s="112">
        <v>0</v>
      </c>
      <c r="I207" s="112">
        <v>0</v>
      </c>
      <c r="J207" s="112">
        <v>0</v>
      </c>
      <c r="K207" s="112">
        <v>0</v>
      </c>
      <c r="L207" s="112">
        <v>0</v>
      </c>
      <c r="M207" s="112">
        <v>0</v>
      </c>
      <c r="N207" s="112">
        <v>0</v>
      </c>
      <c r="O207" s="112">
        <v>0</v>
      </c>
      <c r="P207" s="112">
        <v>44.285632846680187</v>
      </c>
      <c r="Q207" s="112">
        <v>155.64822984835342</v>
      </c>
      <c r="R207" s="112">
        <v>0</v>
      </c>
      <c r="S207" s="112">
        <v>0</v>
      </c>
      <c r="T207" s="112">
        <v>0</v>
      </c>
      <c r="U207" s="112">
        <v>0</v>
      </c>
      <c r="V207" s="112">
        <v>0</v>
      </c>
      <c r="W207" s="112">
        <v>0</v>
      </c>
      <c r="X207" s="112">
        <v>0</v>
      </c>
      <c r="Y207" s="112">
        <v>0</v>
      </c>
      <c r="Z207" s="112">
        <v>5.4256302824236968</v>
      </c>
      <c r="AA207" s="112">
        <v>0</v>
      </c>
      <c r="AB207" s="112">
        <v>0</v>
      </c>
      <c r="AC207" s="112">
        <v>0</v>
      </c>
      <c r="AD207" s="112">
        <v>27.221050435080272</v>
      </c>
      <c r="AE207" s="112">
        <v>0</v>
      </c>
      <c r="AF207" s="112">
        <v>0</v>
      </c>
      <c r="AG207" s="112">
        <v>0</v>
      </c>
      <c r="AH207" s="112">
        <v>67.004844390118393</v>
      </c>
      <c r="AI207" s="112">
        <v>117.41321663221282</v>
      </c>
      <c r="AJ207" s="112">
        <v>76.231033441270895</v>
      </c>
      <c r="AK207" s="112">
        <v>0</v>
      </c>
      <c r="AL207" s="112">
        <v>0</v>
      </c>
      <c r="AM207" s="112">
        <v>0</v>
      </c>
      <c r="AN207" s="112">
        <v>0</v>
      </c>
      <c r="AO207" s="112">
        <v>0</v>
      </c>
      <c r="AP207" s="112">
        <v>0</v>
      </c>
      <c r="AQ207" s="112">
        <v>0</v>
      </c>
      <c r="AR207" s="112">
        <v>0</v>
      </c>
      <c r="AS207" s="112">
        <v>0</v>
      </c>
      <c r="AT207" s="112">
        <v>0</v>
      </c>
      <c r="AU207" s="112">
        <v>0</v>
      </c>
      <c r="AV207" s="112">
        <v>0</v>
      </c>
      <c r="AW207" s="112">
        <v>0</v>
      </c>
      <c r="AX207" s="112">
        <v>0</v>
      </c>
      <c r="AY207" s="112">
        <v>0</v>
      </c>
    </row>
    <row r="208" spans="1:51" x14ac:dyDescent="0.2">
      <c r="A208" s="115"/>
      <c r="B208" s="136">
        <v>12</v>
      </c>
      <c r="C208" s="112">
        <v>0</v>
      </c>
      <c r="D208" s="112">
        <v>0</v>
      </c>
      <c r="E208" s="112">
        <v>0</v>
      </c>
      <c r="F208" s="112">
        <v>0</v>
      </c>
      <c r="G208" s="112">
        <v>0</v>
      </c>
      <c r="H208" s="112">
        <v>0</v>
      </c>
      <c r="I208" s="112">
        <v>0</v>
      </c>
      <c r="J208" s="112">
        <v>0</v>
      </c>
      <c r="K208" s="112">
        <v>0</v>
      </c>
      <c r="L208" s="112">
        <v>0</v>
      </c>
      <c r="M208" s="112">
        <v>0</v>
      </c>
      <c r="N208" s="112">
        <v>0</v>
      </c>
      <c r="O208" s="112">
        <v>0</v>
      </c>
      <c r="P208" s="112">
        <v>0</v>
      </c>
      <c r="Q208" s="112">
        <v>0</v>
      </c>
      <c r="R208" s="112">
        <v>113</v>
      </c>
      <c r="S208" s="112">
        <v>123</v>
      </c>
      <c r="T208" s="112">
        <v>145</v>
      </c>
      <c r="U208" s="112">
        <v>174</v>
      </c>
      <c r="V208" s="112">
        <v>156.31024352277979</v>
      </c>
      <c r="W208" s="112">
        <v>173.6318923247963</v>
      </c>
      <c r="X208" s="112">
        <v>200.01952173549304</v>
      </c>
      <c r="Y208" s="112">
        <v>165.17523886912204</v>
      </c>
      <c r="Z208" s="112">
        <v>171.5743697175763</v>
      </c>
      <c r="AA208" s="112">
        <v>145</v>
      </c>
      <c r="AB208" s="112">
        <v>162.12194374849588</v>
      </c>
      <c r="AC208" s="112">
        <v>184</v>
      </c>
      <c r="AD208" s="112">
        <v>117.77894956491973</v>
      </c>
      <c r="AE208" s="112">
        <v>174</v>
      </c>
      <c r="AF208" s="112">
        <v>241</v>
      </c>
      <c r="AG208" s="112">
        <v>231.78142176582452</v>
      </c>
      <c r="AH208" s="112">
        <v>227.99405277575678</v>
      </c>
      <c r="AI208" s="112">
        <v>168.0275143049065</v>
      </c>
      <c r="AJ208" s="112">
        <v>21.017584989754056</v>
      </c>
      <c r="AK208" s="112">
        <v>0</v>
      </c>
      <c r="AL208" s="112">
        <v>0</v>
      </c>
      <c r="AM208" s="112">
        <v>0</v>
      </c>
      <c r="AN208" s="112">
        <v>0</v>
      </c>
      <c r="AO208" s="112">
        <v>0</v>
      </c>
      <c r="AP208" s="112">
        <v>0</v>
      </c>
      <c r="AQ208" s="112">
        <v>0</v>
      </c>
      <c r="AR208" s="112">
        <v>0</v>
      </c>
      <c r="AS208" s="112">
        <v>0</v>
      </c>
      <c r="AT208" s="112">
        <v>0</v>
      </c>
      <c r="AU208" s="112">
        <v>0</v>
      </c>
      <c r="AV208" s="112">
        <v>0</v>
      </c>
      <c r="AW208" s="112">
        <v>0</v>
      </c>
      <c r="AX208" s="112">
        <v>0</v>
      </c>
      <c r="AY208" s="112">
        <v>0</v>
      </c>
    </row>
    <row r="209" spans="1:51" x14ac:dyDescent="0.2">
      <c r="A209" s="132" t="s">
        <v>123</v>
      </c>
      <c r="B209" s="129">
        <v>1</v>
      </c>
      <c r="C209" s="130">
        <v>0</v>
      </c>
      <c r="D209" s="130">
        <v>0</v>
      </c>
      <c r="E209" s="130">
        <v>0</v>
      </c>
      <c r="F209" s="130">
        <v>0</v>
      </c>
      <c r="G209" s="130">
        <v>0</v>
      </c>
      <c r="H209" s="130">
        <v>0</v>
      </c>
      <c r="I209" s="130">
        <v>0</v>
      </c>
      <c r="J209" s="130">
        <v>0</v>
      </c>
      <c r="K209" s="130">
        <v>0</v>
      </c>
      <c r="L209" s="130">
        <v>0</v>
      </c>
      <c r="M209" s="130">
        <v>0</v>
      </c>
      <c r="N209" s="130">
        <v>0</v>
      </c>
      <c r="O209" s="130">
        <v>0</v>
      </c>
      <c r="P209" s="130">
        <v>0</v>
      </c>
      <c r="Q209" s="130">
        <v>0</v>
      </c>
      <c r="R209" s="130">
        <v>7.4191460739610307</v>
      </c>
      <c r="S209" s="130">
        <v>0</v>
      </c>
      <c r="T209" s="130">
        <v>0</v>
      </c>
      <c r="U209" s="130">
        <v>0</v>
      </c>
      <c r="V209" s="130">
        <v>0</v>
      </c>
      <c r="W209" s="130">
        <v>0</v>
      </c>
      <c r="X209" s="130">
        <v>294.33430517623782</v>
      </c>
      <c r="Y209" s="130">
        <v>294.33430517623782</v>
      </c>
      <c r="Z209" s="130">
        <v>188.03843724534951</v>
      </c>
      <c r="AA209" s="130">
        <v>477</v>
      </c>
      <c r="AB209" s="130">
        <v>76.492018378854496</v>
      </c>
      <c r="AC209" s="130">
        <v>348.45312008166985</v>
      </c>
      <c r="AD209" s="130">
        <v>338.97261322773835</v>
      </c>
      <c r="AE209" s="130">
        <v>338.97261322773835</v>
      </c>
      <c r="AF209" s="130">
        <v>105</v>
      </c>
      <c r="AG209" s="130">
        <v>90.004198242916246</v>
      </c>
      <c r="AH209" s="130">
        <v>89.313614997744764</v>
      </c>
      <c r="AI209" s="130">
        <v>101.50010051489767</v>
      </c>
      <c r="AJ209" s="130">
        <v>132.91654212238166</v>
      </c>
      <c r="AK209" s="130">
        <v>36.916771336270479</v>
      </c>
      <c r="AL209" s="130">
        <v>0</v>
      </c>
      <c r="AM209" s="130">
        <v>0</v>
      </c>
      <c r="AN209" s="130">
        <v>0</v>
      </c>
      <c r="AO209" s="130">
        <v>22.743716479878742</v>
      </c>
      <c r="AP209" s="130">
        <v>0</v>
      </c>
      <c r="AQ209" s="130">
        <v>11.160346849906148</v>
      </c>
      <c r="AR209" s="130">
        <v>26.767230225227564</v>
      </c>
      <c r="AS209" s="130">
        <v>101.5653889909722</v>
      </c>
      <c r="AT209" s="130">
        <v>88.78477710308087</v>
      </c>
      <c r="AU209" s="130">
        <v>156.05067525155187</v>
      </c>
      <c r="AV209" s="130">
        <v>9.5491690119270345</v>
      </c>
      <c r="AW209" s="130">
        <v>5.5135999476994755</v>
      </c>
      <c r="AX209" s="130">
        <v>0</v>
      </c>
      <c r="AY209" s="130">
        <v>37.133441201919396</v>
      </c>
    </row>
    <row r="210" spans="1:51" x14ac:dyDescent="0.2">
      <c r="A210" s="115"/>
      <c r="B210" s="125">
        <v>2</v>
      </c>
      <c r="C210" s="112">
        <v>0</v>
      </c>
      <c r="D210" s="116">
        <v>0</v>
      </c>
      <c r="E210" s="116">
        <v>0</v>
      </c>
      <c r="F210" s="116">
        <v>0</v>
      </c>
      <c r="G210" s="116">
        <v>0</v>
      </c>
      <c r="H210" s="116">
        <v>54.750184071005904</v>
      </c>
      <c r="I210" s="116">
        <v>65.490185626111469</v>
      </c>
      <c r="J210" s="116">
        <v>51.366584673618704</v>
      </c>
      <c r="K210" s="116">
        <v>104.72666869885262</v>
      </c>
      <c r="L210" s="116">
        <v>73.75376930026809</v>
      </c>
      <c r="M210" s="116">
        <v>30.917774953298363</v>
      </c>
      <c r="N210" s="116">
        <v>0</v>
      </c>
      <c r="O210" s="116">
        <v>0</v>
      </c>
      <c r="P210" s="116">
        <v>172.28732259588764</v>
      </c>
      <c r="Q210" s="116">
        <v>205.89386282557757</v>
      </c>
      <c r="R210" s="116">
        <v>235.02036404686015</v>
      </c>
      <c r="S210" s="116">
        <v>278</v>
      </c>
      <c r="T210" s="116">
        <v>133.39671098393742</v>
      </c>
      <c r="U210" s="116">
        <v>93.198636264497935</v>
      </c>
      <c r="V210" s="116">
        <v>50.840486397132523</v>
      </c>
      <c r="W210" s="116">
        <v>66.937548648086192</v>
      </c>
      <c r="X210" s="116">
        <v>160.1161983273075</v>
      </c>
      <c r="Y210" s="116">
        <v>0</v>
      </c>
      <c r="Z210" s="116">
        <v>0</v>
      </c>
      <c r="AA210" s="116">
        <v>0</v>
      </c>
      <c r="AB210" s="116">
        <v>82.763747766579101</v>
      </c>
      <c r="AC210" s="116">
        <v>271.96110170281537</v>
      </c>
      <c r="AD210" s="116">
        <v>0</v>
      </c>
      <c r="AE210" s="116">
        <v>0</v>
      </c>
      <c r="AF210" s="116">
        <v>0</v>
      </c>
      <c r="AG210" s="116">
        <v>44.777223522908272</v>
      </c>
      <c r="AH210" s="116">
        <v>51.685282168130378</v>
      </c>
      <c r="AI210" s="116">
        <v>69.940630422221659</v>
      </c>
      <c r="AJ210" s="116">
        <v>20.083457877618333</v>
      </c>
      <c r="AK210" s="116">
        <v>10.1957630381039</v>
      </c>
      <c r="AL210" s="116">
        <v>0</v>
      </c>
      <c r="AM210" s="116">
        <v>60.119335089906258</v>
      </c>
      <c r="AN210" s="116">
        <v>165.59398760080131</v>
      </c>
      <c r="AO210" s="116">
        <v>301.12663836131981</v>
      </c>
      <c r="AP210" s="116">
        <v>279.31940395322681</v>
      </c>
      <c r="AQ210" s="116">
        <v>286.84728134891344</v>
      </c>
      <c r="AR210" s="116">
        <v>206.06408800603407</v>
      </c>
      <c r="AS210" s="116">
        <v>102.18907626987399</v>
      </c>
      <c r="AT210" s="116">
        <v>66.561826602682572</v>
      </c>
      <c r="AU210" s="116">
        <v>85.215591590857628</v>
      </c>
      <c r="AV210" s="116">
        <v>109.91488355179378</v>
      </c>
      <c r="AW210" s="116">
        <v>141.67645873407508</v>
      </c>
      <c r="AX210" s="116">
        <v>117.96655643638167</v>
      </c>
      <c r="AY210" s="116">
        <v>111.73749621010296</v>
      </c>
    </row>
    <row r="211" spans="1:51" x14ac:dyDescent="0.2">
      <c r="A211" s="115"/>
      <c r="B211" s="125">
        <v>3</v>
      </c>
      <c r="C211" s="112">
        <v>0</v>
      </c>
      <c r="D211" s="116">
        <v>0</v>
      </c>
      <c r="E211" s="116">
        <v>0</v>
      </c>
      <c r="F211" s="116">
        <v>0</v>
      </c>
      <c r="G211" s="116">
        <v>20.380495203397665</v>
      </c>
      <c r="H211" s="116">
        <v>77.288702039422631</v>
      </c>
      <c r="I211" s="116">
        <v>134.50981437388853</v>
      </c>
      <c r="J211" s="116">
        <v>101.6334153263813</v>
      </c>
      <c r="K211" s="116">
        <v>59.273331301147387</v>
      </c>
      <c r="L211" s="116">
        <v>68.24623069973191</v>
      </c>
      <c r="M211" s="116">
        <v>153.08222504670164</v>
      </c>
      <c r="N211" s="116">
        <v>163.6105372779559</v>
      </c>
      <c r="O211" s="116">
        <v>119.56053863345564</v>
      </c>
      <c r="P211" s="116">
        <v>17.946163339148253</v>
      </c>
      <c r="Q211" s="116">
        <v>79.754367022775838</v>
      </c>
      <c r="R211" s="116">
        <v>20.560489879178824</v>
      </c>
      <c r="S211" s="116">
        <v>0</v>
      </c>
      <c r="T211" s="116">
        <v>20.603289016062575</v>
      </c>
      <c r="U211" s="116">
        <v>60.801363735502065</v>
      </c>
      <c r="V211" s="116">
        <v>124.46975712564726</v>
      </c>
      <c r="W211" s="116">
        <v>153.6943436767101</v>
      </c>
      <c r="X211" s="116">
        <v>80.042234834857439</v>
      </c>
      <c r="Y211" s="116">
        <v>0</v>
      </c>
      <c r="Z211" s="116">
        <v>0</v>
      </c>
      <c r="AA211" s="116">
        <v>0</v>
      </c>
      <c r="AB211" s="116">
        <v>0</v>
      </c>
      <c r="AC211" s="116">
        <v>0</v>
      </c>
      <c r="AD211" s="116">
        <v>0</v>
      </c>
      <c r="AE211" s="116">
        <v>0</v>
      </c>
      <c r="AF211" s="116">
        <v>0</v>
      </c>
      <c r="AG211" s="116">
        <v>0</v>
      </c>
      <c r="AH211" s="116">
        <v>0</v>
      </c>
      <c r="AI211" s="116">
        <v>0</v>
      </c>
      <c r="AJ211" s="116">
        <v>0</v>
      </c>
      <c r="AK211" s="116">
        <v>101.88746562562562</v>
      </c>
      <c r="AL211" s="116">
        <v>143</v>
      </c>
      <c r="AM211" s="116">
        <v>70.30358870035306</v>
      </c>
      <c r="AN211" s="116">
        <v>67.406012399198687</v>
      </c>
      <c r="AO211" s="116">
        <v>36.076565081556737</v>
      </c>
      <c r="AP211" s="116">
        <v>0</v>
      </c>
      <c r="AQ211" s="116">
        <v>36.089017843055785</v>
      </c>
      <c r="AR211" s="116">
        <v>0</v>
      </c>
      <c r="AS211" s="116">
        <v>0</v>
      </c>
      <c r="AT211" s="116">
        <v>0</v>
      </c>
      <c r="AU211" s="116">
        <v>0</v>
      </c>
      <c r="AV211" s="116">
        <v>0</v>
      </c>
      <c r="AW211" s="116">
        <v>0</v>
      </c>
      <c r="AX211" s="116">
        <v>0</v>
      </c>
      <c r="AY211" s="116">
        <v>12.006139093780483</v>
      </c>
    </row>
    <row r="212" spans="1:51" x14ac:dyDescent="0.2">
      <c r="A212" s="115"/>
      <c r="B212" s="125">
        <v>4</v>
      </c>
      <c r="C212" s="112">
        <v>0</v>
      </c>
      <c r="D212" s="116">
        <v>0</v>
      </c>
      <c r="E212" s="116">
        <v>0</v>
      </c>
      <c r="F212" s="116">
        <v>3.0304226265733041</v>
      </c>
      <c r="G212" s="116">
        <v>54.458272473715645</v>
      </c>
      <c r="H212" s="116">
        <v>32.961113889571465</v>
      </c>
      <c r="I212" s="116">
        <v>0</v>
      </c>
      <c r="J212" s="116">
        <v>0</v>
      </c>
      <c r="K212" s="116">
        <v>0</v>
      </c>
      <c r="L212" s="116">
        <v>0</v>
      </c>
      <c r="M212" s="116">
        <v>0</v>
      </c>
      <c r="N212" s="116">
        <v>0</v>
      </c>
      <c r="O212" s="116">
        <v>36.901143141967637</v>
      </c>
      <c r="P212" s="116">
        <v>81.876722080391531</v>
      </c>
      <c r="Q212" s="116">
        <v>0</v>
      </c>
      <c r="R212" s="116">
        <v>0</v>
      </c>
      <c r="S212" s="116">
        <v>0</v>
      </c>
      <c r="T212" s="116">
        <v>0</v>
      </c>
      <c r="U212" s="116">
        <v>0</v>
      </c>
      <c r="V212" s="116">
        <v>0</v>
      </c>
      <c r="W212" s="116">
        <v>0</v>
      </c>
      <c r="X212" s="116">
        <v>0</v>
      </c>
      <c r="Y212" s="116">
        <v>0</v>
      </c>
      <c r="Z212" s="116">
        <v>0</v>
      </c>
      <c r="AA212" s="116">
        <v>0</v>
      </c>
      <c r="AB212" s="116">
        <v>0</v>
      </c>
      <c r="AC212" s="116">
        <v>0</v>
      </c>
      <c r="AD212" s="116">
        <v>0</v>
      </c>
      <c r="AE212" s="116">
        <v>0</v>
      </c>
      <c r="AF212" s="116">
        <v>0</v>
      </c>
      <c r="AG212" s="116">
        <v>0</v>
      </c>
      <c r="AH212" s="116">
        <v>0</v>
      </c>
      <c r="AI212" s="116">
        <v>0</v>
      </c>
      <c r="AJ212" s="116">
        <v>0</v>
      </c>
      <c r="AK212" s="116">
        <v>0</v>
      </c>
      <c r="AL212" s="116">
        <v>0</v>
      </c>
      <c r="AM212" s="116">
        <v>21.577076209740692</v>
      </c>
      <c r="AN212" s="116">
        <v>0</v>
      </c>
      <c r="AO212" s="116">
        <v>0</v>
      </c>
      <c r="AP212" s="116">
        <v>0</v>
      </c>
      <c r="AQ212" s="116">
        <v>0</v>
      </c>
      <c r="AR212" s="116">
        <v>0</v>
      </c>
      <c r="AS212" s="116">
        <v>0</v>
      </c>
      <c r="AT212" s="116">
        <v>0</v>
      </c>
      <c r="AU212" s="116">
        <v>0</v>
      </c>
      <c r="AV212" s="116">
        <v>0</v>
      </c>
      <c r="AW212" s="116">
        <v>0</v>
      </c>
      <c r="AX212" s="116">
        <v>0</v>
      </c>
      <c r="AY212" s="116">
        <v>0</v>
      </c>
    </row>
    <row r="213" spans="1:51" x14ac:dyDescent="0.2">
      <c r="A213" s="115"/>
      <c r="B213" s="125">
        <v>5</v>
      </c>
      <c r="C213" s="112">
        <v>0</v>
      </c>
      <c r="D213" s="116">
        <v>0</v>
      </c>
      <c r="E213" s="116">
        <v>0</v>
      </c>
      <c r="F213" s="116">
        <v>5.82559876254878</v>
      </c>
      <c r="G213" s="116">
        <v>21.068900646671445</v>
      </c>
      <c r="H213" s="116">
        <v>0</v>
      </c>
      <c r="I213" s="116">
        <v>0</v>
      </c>
      <c r="J213" s="116">
        <v>0</v>
      </c>
      <c r="K213" s="116">
        <v>0</v>
      </c>
      <c r="L213" s="116">
        <v>0</v>
      </c>
      <c r="M213" s="116">
        <v>0</v>
      </c>
      <c r="N213" s="116">
        <v>0</v>
      </c>
      <c r="O213" s="116">
        <v>0</v>
      </c>
      <c r="P213" s="116">
        <v>0</v>
      </c>
      <c r="Q213" s="116">
        <v>0</v>
      </c>
      <c r="R213" s="116">
        <v>0</v>
      </c>
      <c r="S213" s="116">
        <v>0</v>
      </c>
      <c r="T213" s="116">
        <v>0</v>
      </c>
      <c r="U213" s="116">
        <v>0</v>
      </c>
      <c r="V213" s="116">
        <v>0</v>
      </c>
      <c r="W213" s="116">
        <v>0</v>
      </c>
      <c r="X213" s="116">
        <v>0</v>
      </c>
      <c r="Y213" s="116">
        <v>0</v>
      </c>
      <c r="Z213" s="116">
        <v>0</v>
      </c>
      <c r="AA213" s="116">
        <v>0</v>
      </c>
      <c r="AB213" s="116">
        <v>0</v>
      </c>
      <c r="AC213" s="116">
        <v>0</v>
      </c>
      <c r="AD213" s="116">
        <v>0</v>
      </c>
      <c r="AE213" s="116">
        <v>0</v>
      </c>
      <c r="AF213" s="116">
        <v>0</v>
      </c>
      <c r="AG213" s="116">
        <v>0</v>
      </c>
      <c r="AH213" s="116">
        <v>0</v>
      </c>
      <c r="AI213" s="116">
        <v>0</v>
      </c>
      <c r="AJ213" s="116">
        <v>0</v>
      </c>
      <c r="AK213" s="116">
        <v>0</v>
      </c>
      <c r="AL213" s="116">
        <v>0</v>
      </c>
      <c r="AM213" s="116">
        <v>0</v>
      </c>
      <c r="AN213" s="116">
        <v>0</v>
      </c>
      <c r="AO213" s="116">
        <v>0</v>
      </c>
      <c r="AP213" s="116">
        <v>0</v>
      </c>
      <c r="AQ213" s="116">
        <v>0</v>
      </c>
      <c r="AR213" s="116">
        <v>0</v>
      </c>
      <c r="AS213" s="116">
        <v>0</v>
      </c>
      <c r="AT213" s="116">
        <v>0</v>
      </c>
      <c r="AU213" s="116">
        <v>0</v>
      </c>
      <c r="AV213" s="116">
        <v>0</v>
      </c>
      <c r="AW213" s="116">
        <v>0</v>
      </c>
      <c r="AX213" s="116">
        <v>0</v>
      </c>
      <c r="AY213" s="116">
        <v>0</v>
      </c>
    </row>
    <row r="214" spans="1:51" x14ac:dyDescent="0.2">
      <c r="A214" s="115"/>
      <c r="B214" s="125">
        <v>6</v>
      </c>
      <c r="C214" s="112">
        <v>0</v>
      </c>
      <c r="D214" s="116">
        <v>0</v>
      </c>
      <c r="E214" s="116">
        <v>0</v>
      </c>
      <c r="F214" s="116">
        <v>42.395057561535218</v>
      </c>
      <c r="G214" s="116">
        <v>0</v>
      </c>
      <c r="H214" s="116">
        <v>0</v>
      </c>
      <c r="I214" s="116">
        <v>0</v>
      </c>
      <c r="J214" s="116">
        <v>0</v>
      </c>
      <c r="K214" s="116">
        <v>0</v>
      </c>
      <c r="L214" s="116">
        <v>0</v>
      </c>
      <c r="M214" s="116">
        <v>0</v>
      </c>
      <c r="N214" s="116">
        <v>0</v>
      </c>
      <c r="O214" s="116">
        <v>0</v>
      </c>
      <c r="P214" s="116">
        <v>0</v>
      </c>
      <c r="Q214" s="116">
        <v>0</v>
      </c>
      <c r="R214" s="116">
        <v>0</v>
      </c>
      <c r="S214" s="116">
        <v>0</v>
      </c>
      <c r="T214" s="116">
        <v>0</v>
      </c>
      <c r="U214" s="116">
        <v>0</v>
      </c>
      <c r="V214" s="116">
        <v>0</v>
      </c>
      <c r="W214" s="116">
        <v>0</v>
      </c>
      <c r="X214" s="116">
        <v>0</v>
      </c>
      <c r="Y214" s="116">
        <v>0</v>
      </c>
      <c r="Z214" s="116">
        <v>0</v>
      </c>
      <c r="AA214" s="116">
        <v>0</v>
      </c>
      <c r="AB214" s="116">
        <v>0</v>
      </c>
      <c r="AC214" s="116">
        <v>0</v>
      </c>
      <c r="AD214" s="116">
        <v>0</v>
      </c>
      <c r="AE214" s="116">
        <v>0</v>
      </c>
      <c r="AF214" s="116">
        <v>0</v>
      </c>
      <c r="AG214" s="116">
        <v>0</v>
      </c>
      <c r="AH214" s="116">
        <v>0</v>
      </c>
      <c r="AI214" s="116">
        <v>0</v>
      </c>
      <c r="AJ214" s="116">
        <v>0</v>
      </c>
      <c r="AK214" s="116">
        <v>0</v>
      </c>
      <c r="AL214" s="116">
        <v>0</v>
      </c>
      <c r="AM214" s="116">
        <v>0</v>
      </c>
      <c r="AN214" s="116">
        <v>0</v>
      </c>
      <c r="AO214" s="116">
        <v>0</v>
      </c>
      <c r="AP214" s="116">
        <v>0</v>
      </c>
      <c r="AQ214" s="116">
        <v>0</v>
      </c>
      <c r="AR214" s="116">
        <v>0</v>
      </c>
      <c r="AS214" s="116">
        <v>0</v>
      </c>
      <c r="AT214" s="116">
        <v>0</v>
      </c>
      <c r="AU214" s="116">
        <v>0</v>
      </c>
      <c r="AV214" s="116">
        <v>0</v>
      </c>
      <c r="AW214" s="116">
        <v>0</v>
      </c>
      <c r="AX214" s="116">
        <v>0</v>
      </c>
      <c r="AY214" s="116">
        <v>0</v>
      </c>
    </row>
    <row r="215" spans="1:51" x14ac:dyDescent="0.2">
      <c r="A215" s="115"/>
      <c r="B215" s="125">
        <v>7</v>
      </c>
      <c r="C215" s="112">
        <v>0</v>
      </c>
      <c r="D215" s="116">
        <v>0</v>
      </c>
      <c r="E215" s="116">
        <v>31.378229979601969</v>
      </c>
      <c r="F215" s="116">
        <v>38.151205845001314</v>
      </c>
      <c r="G215" s="116">
        <v>0</v>
      </c>
      <c r="H215" s="116">
        <v>0</v>
      </c>
      <c r="I215" s="116">
        <v>0</v>
      </c>
      <c r="J215" s="116">
        <v>0</v>
      </c>
      <c r="K215" s="116">
        <v>0</v>
      </c>
      <c r="L215" s="116">
        <v>0</v>
      </c>
      <c r="M215" s="116">
        <v>0</v>
      </c>
      <c r="N215" s="116">
        <v>0</v>
      </c>
      <c r="O215" s="116">
        <v>0</v>
      </c>
      <c r="P215" s="116">
        <v>0</v>
      </c>
      <c r="Q215" s="116">
        <v>0</v>
      </c>
      <c r="R215" s="116">
        <v>0</v>
      </c>
      <c r="S215" s="116">
        <v>0</v>
      </c>
      <c r="T215" s="116">
        <v>0</v>
      </c>
      <c r="U215" s="116">
        <v>0</v>
      </c>
      <c r="V215" s="116">
        <v>0</v>
      </c>
      <c r="W215" s="116">
        <v>0</v>
      </c>
      <c r="X215" s="116">
        <v>0</v>
      </c>
      <c r="Y215" s="116">
        <v>0</v>
      </c>
      <c r="Z215" s="116">
        <v>0</v>
      </c>
      <c r="AA215" s="116">
        <v>0</v>
      </c>
      <c r="AB215" s="116">
        <v>0</v>
      </c>
      <c r="AC215" s="116">
        <v>0</v>
      </c>
      <c r="AD215" s="116">
        <v>0</v>
      </c>
      <c r="AE215" s="116">
        <v>0</v>
      </c>
      <c r="AF215" s="116">
        <v>0</v>
      </c>
      <c r="AG215" s="116">
        <v>0</v>
      </c>
      <c r="AH215" s="116">
        <v>0</v>
      </c>
      <c r="AI215" s="116">
        <v>0</v>
      </c>
      <c r="AJ215" s="116">
        <v>0</v>
      </c>
      <c r="AK215" s="116">
        <v>0</v>
      </c>
      <c r="AL215" s="116">
        <v>0</v>
      </c>
      <c r="AM215" s="116">
        <v>0</v>
      </c>
      <c r="AN215" s="116">
        <v>0</v>
      </c>
      <c r="AO215" s="116">
        <v>0</v>
      </c>
      <c r="AP215" s="116">
        <v>0</v>
      </c>
      <c r="AQ215" s="116">
        <v>0</v>
      </c>
      <c r="AR215" s="116">
        <v>0</v>
      </c>
      <c r="AS215" s="116">
        <v>0</v>
      </c>
      <c r="AT215" s="116">
        <v>0</v>
      </c>
      <c r="AU215" s="116">
        <v>0</v>
      </c>
      <c r="AV215" s="116">
        <v>0</v>
      </c>
      <c r="AW215" s="116">
        <v>0</v>
      </c>
      <c r="AX215" s="116">
        <v>0</v>
      </c>
      <c r="AY215" s="116">
        <v>0</v>
      </c>
    </row>
    <row r="216" spans="1:51" x14ac:dyDescent="0.2">
      <c r="A216" s="115"/>
      <c r="B216" s="125">
        <v>8</v>
      </c>
      <c r="C216" s="112">
        <v>154.36788305368066</v>
      </c>
      <c r="D216" s="116">
        <v>132.77152322370014</v>
      </c>
      <c r="E216" s="116">
        <v>64.514521451632945</v>
      </c>
      <c r="F216" s="116">
        <v>19.59771520434138</v>
      </c>
      <c r="G216" s="116">
        <v>0</v>
      </c>
      <c r="H216" s="116">
        <v>0</v>
      </c>
      <c r="I216" s="116">
        <v>0</v>
      </c>
      <c r="J216" s="116">
        <v>0</v>
      </c>
      <c r="K216" s="116">
        <v>0</v>
      </c>
      <c r="L216" s="116">
        <v>0</v>
      </c>
      <c r="M216" s="116">
        <v>0</v>
      </c>
      <c r="N216" s="116">
        <v>0</v>
      </c>
      <c r="O216" s="116">
        <v>0</v>
      </c>
      <c r="P216" s="116">
        <v>0</v>
      </c>
      <c r="Q216" s="116">
        <v>0</v>
      </c>
      <c r="R216" s="116">
        <v>0</v>
      </c>
      <c r="S216" s="116">
        <v>0</v>
      </c>
      <c r="T216" s="116">
        <v>0</v>
      </c>
      <c r="U216" s="116">
        <v>0</v>
      </c>
      <c r="V216" s="116">
        <v>0</v>
      </c>
      <c r="W216" s="116">
        <v>0</v>
      </c>
      <c r="X216" s="116">
        <v>0</v>
      </c>
      <c r="Y216" s="116">
        <v>0</v>
      </c>
      <c r="Z216" s="116">
        <v>0</v>
      </c>
      <c r="AA216" s="116">
        <v>0</v>
      </c>
      <c r="AB216" s="116">
        <v>0</v>
      </c>
      <c r="AC216" s="116">
        <v>0</v>
      </c>
      <c r="AD216" s="116">
        <v>0</v>
      </c>
      <c r="AE216" s="116">
        <v>0</v>
      </c>
      <c r="AF216" s="116">
        <v>0</v>
      </c>
      <c r="AG216" s="116">
        <v>0</v>
      </c>
      <c r="AH216" s="116">
        <v>0</v>
      </c>
      <c r="AI216" s="116">
        <v>0</v>
      </c>
      <c r="AJ216" s="116">
        <v>0</v>
      </c>
      <c r="AK216" s="116">
        <v>0</v>
      </c>
      <c r="AL216" s="116">
        <v>0</v>
      </c>
      <c r="AM216" s="116">
        <v>0</v>
      </c>
      <c r="AN216" s="116">
        <v>0</v>
      </c>
      <c r="AO216" s="116">
        <v>0</v>
      </c>
      <c r="AP216" s="116">
        <v>0</v>
      </c>
      <c r="AQ216" s="116">
        <v>0</v>
      </c>
      <c r="AR216" s="116">
        <v>0</v>
      </c>
      <c r="AS216" s="116">
        <v>0</v>
      </c>
      <c r="AT216" s="116">
        <v>0</v>
      </c>
      <c r="AU216" s="116">
        <v>0</v>
      </c>
      <c r="AV216" s="116">
        <v>0</v>
      </c>
      <c r="AW216" s="116">
        <v>0</v>
      </c>
      <c r="AX216" s="116">
        <v>0</v>
      </c>
      <c r="AY216" s="116">
        <v>0</v>
      </c>
    </row>
    <row r="217" spans="1:51" x14ac:dyDescent="0.2">
      <c r="A217" s="115"/>
      <c r="B217" s="125">
        <v>9</v>
      </c>
      <c r="C217" s="112">
        <v>0</v>
      </c>
      <c r="D217" s="116">
        <v>1.1010672327582525</v>
      </c>
      <c r="E217" s="116">
        <v>6.1072485687650833</v>
      </c>
      <c r="F217" s="116">
        <v>0</v>
      </c>
      <c r="G217" s="116">
        <v>0</v>
      </c>
      <c r="H217" s="116">
        <v>0</v>
      </c>
      <c r="I217" s="116">
        <v>0</v>
      </c>
      <c r="J217" s="116">
        <v>0</v>
      </c>
      <c r="K217" s="116">
        <v>0</v>
      </c>
      <c r="L217" s="116">
        <v>0</v>
      </c>
      <c r="M217" s="116">
        <v>0</v>
      </c>
      <c r="N217" s="116">
        <v>0</v>
      </c>
      <c r="O217" s="116">
        <v>0</v>
      </c>
      <c r="P217" s="116">
        <v>0</v>
      </c>
      <c r="Q217" s="116">
        <v>0</v>
      </c>
      <c r="R217" s="116">
        <v>0</v>
      </c>
      <c r="S217" s="116">
        <v>0</v>
      </c>
      <c r="T217" s="116">
        <v>0</v>
      </c>
      <c r="U217" s="116">
        <v>0</v>
      </c>
      <c r="V217" s="116">
        <v>0</v>
      </c>
      <c r="W217" s="116">
        <v>0</v>
      </c>
      <c r="X217" s="116">
        <v>0</v>
      </c>
      <c r="Y217" s="116">
        <v>0</v>
      </c>
      <c r="Z217" s="116">
        <v>0</v>
      </c>
      <c r="AA217" s="116">
        <v>0</v>
      </c>
      <c r="AB217" s="116">
        <v>0</v>
      </c>
      <c r="AC217" s="116">
        <v>0</v>
      </c>
      <c r="AD217" s="116">
        <v>0</v>
      </c>
      <c r="AE217" s="116">
        <v>0</v>
      </c>
      <c r="AF217" s="116">
        <v>0</v>
      </c>
      <c r="AG217" s="116">
        <v>0</v>
      </c>
      <c r="AH217" s="116">
        <v>0</v>
      </c>
      <c r="AI217" s="116">
        <v>0</v>
      </c>
      <c r="AJ217" s="116">
        <v>0</v>
      </c>
      <c r="AK217" s="116">
        <v>0</v>
      </c>
      <c r="AL217" s="116">
        <v>0</v>
      </c>
      <c r="AM217" s="116">
        <v>0</v>
      </c>
      <c r="AN217" s="116">
        <v>0</v>
      </c>
      <c r="AO217" s="116">
        <v>0</v>
      </c>
      <c r="AP217" s="116">
        <v>0</v>
      </c>
      <c r="AQ217" s="116">
        <v>0</v>
      </c>
      <c r="AR217" s="116">
        <v>0</v>
      </c>
      <c r="AS217" s="116">
        <v>0</v>
      </c>
      <c r="AT217" s="116">
        <v>0</v>
      </c>
      <c r="AU217" s="116">
        <v>0</v>
      </c>
      <c r="AV217" s="116">
        <v>0</v>
      </c>
      <c r="AW217" s="116">
        <v>0</v>
      </c>
      <c r="AX217" s="116">
        <v>0</v>
      </c>
      <c r="AY217" s="116">
        <v>0</v>
      </c>
    </row>
    <row r="218" spans="1:51" x14ac:dyDescent="0.2">
      <c r="A218" s="115"/>
      <c r="B218" s="125">
        <v>10</v>
      </c>
      <c r="C218" s="112">
        <v>0</v>
      </c>
      <c r="D218" s="116">
        <v>0</v>
      </c>
      <c r="E218" s="116">
        <v>0</v>
      </c>
      <c r="F218" s="116">
        <v>0</v>
      </c>
      <c r="G218" s="116">
        <v>0</v>
      </c>
      <c r="H218" s="116">
        <v>0</v>
      </c>
      <c r="I218" s="116">
        <v>0</v>
      </c>
      <c r="J218" s="116">
        <v>0</v>
      </c>
      <c r="K218" s="116">
        <v>0</v>
      </c>
      <c r="L218" s="116">
        <v>0</v>
      </c>
      <c r="M218" s="116">
        <v>0</v>
      </c>
      <c r="N218" s="116">
        <v>0</v>
      </c>
      <c r="O218" s="116">
        <v>0</v>
      </c>
      <c r="P218" s="116">
        <v>0</v>
      </c>
      <c r="Q218" s="116">
        <v>0</v>
      </c>
      <c r="R218" s="116">
        <v>0</v>
      </c>
      <c r="S218" s="116">
        <v>0</v>
      </c>
      <c r="T218" s="116">
        <v>0</v>
      </c>
      <c r="U218" s="116">
        <v>0</v>
      </c>
      <c r="V218" s="116">
        <v>0</v>
      </c>
      <c r="W218" s="116">
        <v>0</v>
      </c>
      <c r="X218" s="116">
        <v>0</v>
      </c>
      <c r="Y218" s="116">
        <v>0</v>
      </c>
      <c r="Z218" s="116">
        <v>0</v>
      </c>
      <c r="AA218" s="116">
        <v>0</v>
      </c>
      <c r="AB218" s="116">
        <v>0</v>
      </c>
      <c r="AC218" s="116">
        <v>0</v>
      </c>
      <c r="AD218" s="116">
        <v>0</v>
      </c>
      <c r="AE218" s="116">
        <v>0</v>
      </c>
      <c r="AF218" s="116">
        <v>0</v>
      </c>
      <c r="AG218" s="116">
        <v>0</v>
      </c>
      <c r="AH218" s="116">
        <v>0</v>
      </c>
      <c r="AI218" s="116">
        <v>0</v>
      </c>
      <c r="AJ218" s="116">
        <v>0</v>
      </c>
      <c r="AK218" s="116">
        <v>0</v>
      </c>
      <c r="AL218" s="116">
        <v>0</v>
      </c>
      <c r="AM218" s="116">
        <v>0</v>
      </c>
      <c r="AN218" s="116">
        <v>0</v>
      </c>
      <c r="AO218" s="116">
        <v>0</v>
      </c>
      <c r="AP218" s="116">
        <v>0</v>
      </c>
      <c r="AQ218" s="116">
        <v>0</v>
      </c>
      <c r="AR218" s="116">
        <v>0</v>
      </c>
      <c r="AS218" s="116">
        <v>0</v>
      </c>
      <c r="AT218" s="116">
        <v>0</v>
      </c>
      <c r="AU218" s="116">
        <v>0</v>
      </c>
      <c r="AV218" s="116">
        <v>0</v>
      </c>
      <c r="AW218" s="116">
        <v>0</v>
      </c>
      <c r="AX218" s="116">
        <v>0</v>
      </c>
      <c r="AY218" s="116">
        <v>0</v>
      </c>
    </row>
    <row r="219" spans="1:51" x14ac:dyDescent="0.2">
      <c r="A219" s="115"/>
      <c r="B219" s="125">
        <v>11</v>
      </c>
      <c r="C219" s="112">
        <v>0</v>
      </c>
      <c r="D219" s="116">
        <v>0</v>
      </c>
      <c r="E219" s="116">
        <v>0</v>
      </c>
      <c r="F219" s="116">
        <v>0</v>
      </c>
      <c r="G219" s="116">
        <v>0</v>
      </c>
      <c r="H219" s="116">
        <v>0</v>
      </c>
      <c r="I219" s="116">
        <v>0</v>
      </c>
      <c r="J219" s="116">
        <v>0</v>
      </c>
      <c r="K219" s="116">
        <v>0</v>
      </c>
      <c r="L219" s="116">
        <v>0</v>
      </c>
      <c r="M219" s="116">
        <v>0</v>
      </c>
      <c r="N219" s="116">
        <v>0</v>
      </c>
      <c r="O219" s="116">
        <v>0</v>
      </c>
      <c r="P219" s="116">
        <v>0</v>
      </c>
      <c r="Q219" s="116">
        <v>0</v>
      </c>
      <c r="R219" s="116">
        <v>0</v>
      </c>
      <c r="S219" s="116">
        <v>0</v>
      </c>
      <c r="T219" s="116">
        <v>0</v>
      </c>
      <c r="U219" s="116">
        <v>0</v>
      </c>
      <c r="V219" s="116">
        <v>0</v>
      </c>
      <c r="W219" s="116">
        <v>0</v>
      </c>
      <c r="X219" s="116">
        <v>0</v>
      </c>
      <c r="Y219" s="116">
        <v>0</v>
      </c>
      <c r="Z219" s="116">
        <v>0</v>
      </c>
      <c r="AA219" s="116">
        <v>0</v>
      </c>
      <c r="AB219" s="116">
        <v>0</v>
      </c>
      <c r="AC219" s="116">
        <v>0</v>
      </c>
      <c r="AD219" s="116">
        <v>0</v>
      </c>
      <c r="AE219" s="116">
        <v>0</v>
      </c>
      <c r="AF219" s="116">
        <v>0</v>
      </c>
      <c r="AG219" s="116">
        <v>0</v>
      </c>
      <c r="AH219" s="116">
        <v>0</v>
      </c>
      <c r="AI219" s="116">
        <v>0</v>
      </c>
      <c r="AJ219" s="116">
        <v>0</v>
      </c>
      <c r="AK219" s="116">
        <v>0</v>
      </c>
      <c r="AL219" s="116">
        <v>0</v>
      </c>
      <c r="AM219" s="116">
        <v>0</v>
      </c>
      <c r="AN219" s="116">
        <v>0</v>
      </c>
      <c r="AO219" s="116">
        <v>0</v>
      </c>
      <c r="AP219" s="116">
        <v>0</v>
      </c>
      <c r="AQ219" s="116">
        <v>0</v>
      </c>
      <c r="AR219" s="116">
        <v>0</v>
      </c>
      <c r="AS219" s="116">
        <v>0</v>
      </c>
      <c r="AT219" s="116">
        <v>0</v>
      </c>
      <c r="AU219" s="116">
        <v>0</v>
      </c>
      <c r="AV219" s="116">
        <v>0</v>
      </c>
      <c r="AW219" s="116">
        <v>0</v>
      </c>
      <c r="AX219" s="116">
        <v>0</v>
      </c>
      <c r="AY219" s="116">
        <v>0</v>
      </c>
    </row>
    <row r="220" spans="1:51" x14ac:dyDescent="0.2">
      <c r="A220" s="115"/>
      <c r="B220" s="125">
        <v>12</v>
      </c>
      <c r="C220" s="112">
        <v>0</v>
      </c>
      <c r="D220" s="116">
        <v>0</v>
      </c>
      <c r="E220" s="116">
        <v>0</v>
      </c>
      <c r="F220" s="116">
        <v>0</v>
      </c>
      <c r="G220" s="116">
        <v>0</v>
      </c>
      <c r="H220" s="116">
        <v>0</v>
      </c>
      <c r="I220" s="116">
        <v>0</v>
      </c>
      <c r="J220" s="116">
        <v>0</v>
      </c>
      <c r="K220" s="116">
        <v>0</v>
      </c>
      <c r="L220" s="116">
        <v>0</v>
      </c>
      <c r="M220" s="116">
        <v>0</v>
      </c>
      <c r="N220" s="116">
        <v>0</v>
      </c>
      <c r="O220" s="116">
        <v>0</v>
      </c>
      <c r="P220" s="116">
        <v>0</v>
      </c>
      <c r="Q220" s="116">
        <v>0</v>
      </c>
      <c r="R220" s="116">
        <v>0</v>
      </c>
      <c r="S220" s="116">
        <v>0</v>
      </c>
      <c r="T220" s="116">
        <v>0</v>
      </c>
      <c r="U220" s="116">
        <v>0</v>
      </c>
      <c r="V220" s="116">
        <v>0</v>
      </c>
      <c r="W220" s="116">
        <v>0</v>
      </c>
      <c r="X220" s="116">
        <v>0</v>
      </c>
      <c r="Y220" s="116">
        <v>0</v>
      </c>
      <c r="Z220" s="116">
        <v>0</v>
      </c>
      <c r="AA220" s="116">
        <v>0</v>
      </c>
      <c r="AB220" s="116">
        <v>0</v>
      </c>
      <c r="AC220" s="116">
        <v>0</v>
      </c>
      <c r="AD220" s="116">
        <v>0</v>
      </c>
      <c r="AE220" s="116">
        <v>0</v>
      </c>
      <c r="AF220" s="116">
        <v>0</v>
      </c>
      <c r="AG220" s="116">
        <v>0</v>
      </c>
      <c r="AH220" s="116">
        <v>0</v>
      </c>
      <c r="AI220" s="116">
        <v>0</v>
      </c>
      <c r="AJ220" s="116">
        <v>0</v>
      </c>
      <c r="AK220" s="116">
        <v>0</v>
      </c>
      <c r="AL220" s="116">
        <v>0</v>
      </c>
      <c r="AM220" s="116">
        <v>0</v>
      </c>
      <c r="AN220" s="116">
        <v>0</v>
      </c>
      <c r="AO220" s="116">
        <v>0</v>
      </c>
      <c r="AP220" s="116">
        <v>0</v>
      </c>
      <c r="AQ220" s="116">
        <v>0</v>
      </c>
      <c r="AR220" s="116">
        <v>0</v>
      </c>
      <c r="AS220" s="116">
        <v>0</v>
      </c>
      <c r="AT220" s="116">
        <v>0</v>
      </c>
      <c r="AU220" s="116">
        <v>0</v>
      </c>
      <c r="AV220" s="116">
        <v>0</v>
      </c>
      <c r="AW220" s="116">
        <v>0</v>
      </c>
      <c r="AX220" s="116">
        <v>0</v>
      </c>
      <c r="AY220" s="116">
        <v>0</v>
      </c>
    </row>
    <row r="221" spans="1:51" x14ac:dyDescent="0.2">
      <c r="A221" s="115"/>
      <c r="B221" s="126">
        <v>13</v>
      </c>
      <c r="C221" s="112">
        <v>0</v>
      </c>
      <c r="D221" s="116">
        <v>0</v>
      </c>
      <c r="E221" s="116">
        <v>0</v>
      </c>
      <c r="F221" s="116">
        <v>0</v>
      </c>
      <c r="G221" s="116">
        <v>0</v>
      </c>
      <c r="H221" s="116">
        <v>0</v>
      </c>
      <c r="I221" s="116">
        <v>0</v>
      </c>
      <c r="J221" s="116">
        <v>0</v>
      </c>
      <c r="K221" s="116">
        <v>0</v>
      </c>
      <c r="L221" s="116">
        <v>0</v>
      </c>
      <c r="M221" s="116">
        <v>0</v>
      </c>
      <c r="N221" s="116">
        <v>0</v>
      </c>
      <c r="O221" s="116">
        <v>0</v>
      </c>
      <c r="P221" s="116">
        <v>0</v>
      </c>
      <c r="Q221" s="116">
        <v>0</v>
      </c>
      <c r="R221" s="116">
        <v>0</v>
      </c>
      <c r="S221" s="116">
        <v>0</v>
      </c>
      <c r="T221" s="116">
        <v>0</v>
      </c>
      <c r="U221" s="116">
        <v>0</v>
      </c>
      <c r="V221" s="116">
        <v>0</v>
      </c>
      <c r="W221" s="116">
        <v>0</v>
      </c>
      <c r="X221" s="116">
        <v>0</v>
      </c>
      <c r="Y221" s="116">
        <v>0</v>
      </c>
      <c r="Z221" s="116">
        <v>0</v>
      </c>
      <c r="AA221" s="116">
        <v>0</v>
      </c>
      <c r="AB221" s="116">
        <v>0</v>
      </c>
      <c r="AC221" s="116">
        <v>0</v>
      </c>
      <c r="AD221" s="116">
        <v>0</v>
      </c>
      <c r="AE221" s="116">
        <v>0</v>
      </c>
      <c r="AF221" s="116">
        <v>0</v>
      </c>
      <c r="AG221" s="116">
        <v>0</v>
      </c>
      <c r="AH221" s="116">
        <v>0</v>
      </c>
      <c r="AI221" s="116">
        <v>0</v>
      </c>
      <c r="AJ221" s="116">
        <v>0</v>
      </c>
      <c r="AK221" s="116">
        <v>0</v>
      </c>
      <c r="AL221" s="116">
        <v>0</v>
      </c>
      <c r="AM221" s="116">
        <v>0</v>
      </c>
      <c r="AN221" s="116">
        <v>0</v>
      </c>
      <c r="AO221" s="116">
        <v>0</v>
      </c>
      <c r="AP221" s="116">
        <v>0</v>
      </c>
      <c r="AQ221" s="116">
        <v>0</v>
      </c>
      <c r="AR221" s="116">
        <v>0</v>
      </c>
      <c r="AS221" s="116">
        <v>0</v>
      </c>
      <c r="AT221" s="116">
        <v>0</v>
      </c>
      <c r="AU221" s="116">
        <v>0</v>
      </c>
      <c r="AV221" s="116">
        <v>0</v>
      </c>
      <c r="AW221" s="116">
        <v>0</v>
      </c>
      <c r="AX221" s="116">
        <v>0</v>
      </c>
      <c r="AY221" s="116">
        <v>0</v>
      </c>
    </row>
    <row r="222" spans="1:51" x14ac:dyDescent="0.2">
      <c r="A222" s="115"/>
      <c r="B222" s="126">
        <v>14</v>
      </c>
      <c r="C222" s="112">
        <v>0</v>
      </c>
      <c r="D222" s="116">
        <v>0</v>
      </c>
      <c r="E222" s="116">
        <v>0</v>
      </c>
      <c r="F222" s="116">
        <v>0</v>
      </c>
      <c r="G222" s="116">
        <v>0</v>
      </c>
      <c r="H222" s="116">
        <v>0</v>
      </c>
      <c r="I222" s="116">
        <v>0</v>
      </c>
      <c r="J222" s="116">
        <v>0</v>
      </c>
      <c r="K222" s="116">
        <v>0</v>
      </c>
      <c r="L222" s="116">
        <v>0</v>
      </c>
      <c r="M222" s="116">
        <v>0</v>
      </c>
      <c r="N222" s="116">
        <v>0</v>
      </c>
      <c r="O222" s="116">
        <v>0</v>
      </c>
      <c r="P222" s="116">
        <v>0</v>
      </c>
      <c r="Q222" s="116">
        <v>0</v>
      </c>
      <c r="R222" s="116">
        <v>0</v>
      </c>
      <c r="S222" s="116">
        <v>0</v>
      </c>
      <c r="T222" s="116">
        <v>0</v>
      </c>
      <c r="U222" s="116">
        <v>0</v>
      </c>
      <c r="V222" s="116">
        <v>0</v>
      </c>
      <c r="W222" s="116">
        <v>0</v>
      </c>
      <c r="X222" s="116">
        <v>0</v>
      </c>
      <c r="Y222" s="116">
        <v>0</v>
      </c>
      <c r="Z222" s="116">
        <v>0</v>
      </c>
      <c r="AA222" s="116">
        <v>0</v>
      </c>
      <c r="AB222" s="116">
        <v>0</v>
      </c>
      <c r="AC222" s="116">
        <v>0</v>
      </c>
      <c r="AD222" s="116">
        <v>0</v>
      </c>
      <c r="AE222" s="116">
        <v>0</v>
      </c>
      <c r="AF222" s="116">
        <v>0</v>
      </c>
      <c r="AG222" s="116">
        <v>0</v>
      </c>
      <c r="AH222" s="116">
        <v>0</v>
      </c>
      <c r="AI222" s="116">
        <v>0</v>
      </c>
      <c r="AJ222" s="116">
        <v>0</v>
      </c>
      <c r="AK222" s="116">
        <v>0</v>
      </c>
      <c r="AL222" s="116">
        <v>0</v>
      </c>
      <c r="AM222" s="116">
        <v>0</v>
      </c>
      <c r="AN222" s="116">
        <v>0</v>
      </c>
      <c r="AO222" s="116">
        <v>0</v>
      </c>
      <c r="AP222" s="116">
        <v>0</v>
      </c>
      <c r="AQ222" s="116">
        <v>0</v>
      </c>
      <c r="AR222" s="116">
        <v>0</v>
      </c>
      <c r="AS222" s="116">
        <v>0</v>
      </c>
      <c r="AT222" s="116">
        <v>0</v>
      </c>
      <c r="AU222" s="116">
        <v>0</v>
      </c>
      <c r="AV222" s="116">
        <v>0</v>
      </c>
      <c r="AW222" s="116">
        <v>0</v>
      </c>
      <c r="AX222" s="116">
        <v>0</v>
      </c>
      <c r="AY222" s="116">
        <v>0</v>
      </c>
    </row>
    <row r="223" spans="1:51" x14ac:dyDescent="0.2">
      <c r="A223" s="115"/>
      <c r="B223" s="126">
        <v>15</v>
      </c>
      <c r="C223" s="112">
        <v>0</v>
      </c>
      <c r="D223" s="116">
        <v>0</v>
      </c>
      <c r="E223" s="116">
        <v>0</v>
      </c>
      <c r="F223" s="116">
        <v>0</v>
      </c>
      <c r="G223" s="116">
        <v>0</v>
      </c>
      <c r="H223" s="116">
        <v>0</v>
      </c>
      <c r="I223" s="116">
        <v>0</v>
      </c>
      <c r="J223" s="116">
        <v>0</v>
      </c>
      <c r="K223" s="116">
        <v>0</v>
      </c>
      <c r="L223" s="116">
        <v>0</v>
      </c>
      <c r="M223" s="116">
        <v>0</v>
      </c>
      <c r="N223" s="116">
        <v>0</v>
      </c>
      <c r="O223" s="116">
        <v>0</v>
      </c>
      <c r="P223" s="116">
        <v>0</v>
      </c>
      <c r="Q223" s="116">
        <v>0</v>
      </c>
      <c r="R223" s="116">
        <v>0</v>
      </c>
      <c r="S223" s="116">
        <v>0</v>
      </c>
      <c r="T223" s="116">
        <v>0</v>
      </c>
      <c r="U223" s="116">
        <v>0</v>
      </c>
      <c r="V223" s="116">
        <v>0</v>
      </c>
      <c r="W223" s="116">
        <v>0</v>
      </c>
      <c r="X223" s="116">
        <v>0</v>
      </c>
      <c r="Y223" s="116">
        <v>0</v>
      </c>
      <c r="Z223" s="116">
        <v>0</v>
      </c>
      <c r="AA223" s="116">
        <v>0</v>
      </c>
      <c r="AB223" s="116">
        <v>0</v>
      </c>
      <c r="AC223" s="116">
        <v>0</v>
      </c>
      <c r="AD223" s="116">
        <v>0</v>
      </c>
      <c r="AE223" s="116">
        <v>0</v>
      </c>
      <c r="AF223" s="116">
        <v>0</v>
      </c>
      <c r="AG223" s="116">
        <v>0</v>
      </c>
      <c r="AH223" s="116">
        <v>0</v>
      </c>
      <c r="AI223" s="116">
        <v>0</v>
      </c>
      <c r="AJ223" s="116">
        <v>0</v>
      </c>
      <c r="AK223" s="116">
        <v>0</v>
      </c>
      <c r="AL223" s="116">
        <v>0</v>
      </c>
      <c r="AM223" s="116">
        <v>0</v>
      </c>
      <c r="AN223" s="116">
        <v>0</v>
      </c>
      <c r="AO223" s="116">
        <v>0</v>
      </c>
      <c r="AP223" s="116">
        <v>0</v>
      </c>
      <c r="AQ223" s="116">
        <v>0</v>
      </c>
      <c r="AR223" s="116">
        <v>0</v>
      </c>
      <c r="AS223" s="116">
        <v>0</v>
      </c>
      <c r="AT223" s="116">
        <v>0</v>
      </c>
      <c r="AU223" s="116">
        <v>0</v>
      </c>
      <c r="AV223" s="116">
        <v>0</v>
      </c>
      <c r="AW223" s="116">
        <v>0</v>
      </c>
      <c r="AX223" s="116">
        <v>0</v>
      </c>
      <c r="AY223" s="116">
        <v>0</v>
      </c>
    </row>
    <row r="224" spans="1:51" x14ac:dyDescent="0.2">
      <c r="A224" s="115"/>
      <c r="B224" s="126">
        <v>16</v>
      </c>
      <c r="C224" s="112">
        <v>0</v>
      </c>
      <c r="D224" s="116">
        <v>0</v>
      </c>
      <c r="E224" s="116">
        <v>0</v>
      </c>
      <c r="F224" s="116">
        <v>0</v>
      </c>
      <c r="G224" s="116">
        <v>0</v>
      </c>
      <c r="H224" s="116">
        <v>0</v>
      </c>
      <c r="I224" s="116">
        <v>0</v>
      </c>
      <c r="J224" s="116">
        <v>0</v>
      </c>
      <c r="K224" s="116">
        <v>0</v>
      </c>
      <c r="L224" s="116">
        <v>0</v>
      </c>
      <c r="M224" s="116">
        <v>0</v>
      </c>
      <c r="N224" s="116">
        <v>0</v>
      </c>
      <c r="O224" s="116">
        <v>0</v>
      </c>
      <c r="P224" s="116">
        <v>0</v>
      </c>
      <c r="Q224" s="116">
        <v>0</v>
      </c>
      <c r="R224" s="116">
        <v>0</v>
      </c>
      <c r="S224" s="116">
        <v>0</v>
      </c>
      <c r="T224" s="116">
        <v>0</v>
      </c>
      <c r="U224" s="116">
        <v>0</v>
      </c>
      <c r="V224" s="116">
        <v>0</v>
      </c>
      <c r="W224" s="116">
        <v>0</v>
      </c>
      <c r="X224" s="116">
        <v>0</v>
      </c>
      <c r="Y224" s="116">
        <v>0</v>
      </c>
      <c r="Z224" s="116">
        <v>0</v>
      </c>
      <c r="AA224" s="116">
        <v>0</v>
      </c>
      <c r="AB224" s="116">
        <v>0</v>
      </c>
      <c r="AC224" s="116">
        <v>0</v>
      </c>
      <c r="AD224" s="116">
        <v>0</v>
      </c>
      <c r="AE224" s="116">
        <v>0</v>
      </c>
      <c r="AF224" s="116">
        <v>0</v>
      </c>
      <c r="AG224" s="116">
        <v>0</v>
      </c>
      <c r="AH224" s="116">
        <v>0</v>
      </c>
      <c r="AI224" s="116">
        <v>0</v>
      </c>
      <c r="AJ224" s="116">
        <v>0</v>
      </c>
      <c r="AK224" s="116">
        <v>0</v>
      </c>
      <c r="AL224" s="116">
        <v>0</v>
      </c>
      <c r="AM224" s="116">
        <v>0</v>
      </c>
      <c r="AN224" s="116">
        <v>0</v>
      </c>
      <c r="AO224" s="116">
        <v>0</v>
      </c>
      <c r="AP224" s="116">
        <v>0</v>
      </c>
      <c r="AQ224" s="116">
        <v>0</v>
      </c>
      <c r="AR224" s="116">
        <v>0</v>
      </c>
      <c r="AS224" s="116">
        <v>0</v>
      </c>
      <c r="AT224" s="116">
        <v>0</v>
      </c>
      <c r="AU224" s="116">
        <v>0</v>
      </c>
      <c r="AV224" s="116">
        <v>0</v>
      </c>
      <c r="AW224" s="116">
        <v>0</v>
      </c>
      <c r="AX224" s="116">
        <v>0</v>
      </c>
      <c r="AY224" s="116">
        <v>0</v>
      </c>
    </row>
    <row r="225" spans="1:51" x14ac:dyDescent="0.2">
      <c r="A225" s="115"/>
      <c r="B225" s="126">
        <v>17</v>
      </c>
      <c r="C225" s="112">
        <v>0</v>
      </c>
      <c r="D225" s="116">
        <v>0</v>
      </c>
      <c r="E225" s="116">
        <v>0</v>
      </c>
      <c r="F225" s="116">
        <v>0</v>
      </c>
      <c r="G225" s="116">
        <v>0</v>
      </c>
      <c r="H225" s="116">
        <v>0</v>
      </c>
      <c r="I225" s="116">
        <v>0</v>
      </c>
      <c r="J225" s="116">
        <v>0</v>
      </c>
      <c r="K225" s="116">
        <v>0</v>
      </c>
      <c r="L225" s="116">
        <v>0</v>
      </c>
      <c r="M225" s="116">
        <v>0</v>
      </c>
      <c r="N225" s="116">
        <v>0</v>
      </c>
      <c r="O225" s="116">
        <v>0</v>
      </c>
      <c r="P225" s="116">
        <v>0</v>
      </c>
      <c r="Q225" s="116">
        <v>0</v>
      </c>
      <c r="R225" s="116">
        <v>0</v>
      </c>
      <c r="S225" s="116">
        <v>0</v>
      </c>
      <c r="T225" s="116">
        <v>0</v>
      </c>
      <c r="U225" s="116">
        <v>0</v>
      </c>
      <c r="V225" s="116">
        <v>0</v>
      </c>
      <c r="W225" s="116">
        <v>0</v>
      </c>
      <c r="X225" s="116">
        <v>0</v>
      </c>
      <c r="Y225" s="116">
        <v>0</v>
      </c>
      <c r="Z225" s="116">
        <v>0</v>
      </c>
      <c r="AA225" s="116">
        <v>0</v>
      </c>
      <c r="AB225" s="116">
        <v>0</v>
      </c>
      <c r="AC225" s="116">
        <v>0</v>
      </c>
      <c r="AD225" s="116">
        <v>0</v>
      </c>
      <c r="AE225" s="116">
        <v>0</v>
      </c>
      <c r="AF225" s="116">
        <v>0</v>
      </c>
      <c r="AG225" s="116">
        <v>0</v>
      </c>
      <c r="AH225" s="116">
        <v>0</v>
      </c>
      <c r="AI225" s="116">
        <v>0</v>
      </c>
      <c r="AJ225" s="116">
        <v>0</v>
      </c>
      <c r="AK225" s="116">
        <v>0</v>
      </c>
      <c r="AL225" s="116">
        <v>0</v>
      </c>
      <c r="AM225" s="116">
        <v>0</v>
      </c>
      <c r="AN225" s="116">
        <v>0</v>
      </c>
      <c r="AO225" s="116">
        <v>0</v>
      </c>
      <c r="AP225" s="116">
        <v>0</v>
      </c>
      <c r="AQ225" s="116">
        <v>0</v>
      </c>
      <c r="AR225" s="116">
        <v>0</v>
      </c>
      <c r="AS225" s="116">
        <v>0</v>
      </c>
      <c r="AT225" s="116">
        <v>0</v>
      </c>
      <c r="AU225" s="116">
        <v>0</v>
      </c>
      <c r="AV225" s="116">
        <v>0</v>
      </c>
      <c r="AW225" s="116">
        <v>0</v>
      </c>
      <c r="AX225" s="116">
        <v>0</v>
      </c>
      <c r="AY225" s="116">
        <v>0</v>
      </c>
    </row>
    <row r="226" spans="1:51" x14ac:dyDescent="0.2">
      <c r="A226" s="115"/>
      <c r="B226" s="126">
        <v>18</v>
      </c>
      <c r="C226" s="112">
        <v>0</v>
      </c>
      <c r="D226" s="116">
        <v>0</v>
      </c>
      <c r="E226" s="116">
        <v>0</v>
      </c>
      <c r="F226" s="116">
        <v>0</v>
      </c>
      <c r="G226" s="116">
        <v>0</v>
      </c>
      <c r="H226" s="116">
        <v>0</v>
      </c>
      <c r="I226" s="116">
        <v>0</v>
      </c>
      <c r="J226" s="116">
        <v>0</v>
      </c>
      <c r="K226" s="116">
        <v>0</v>
      </c>
      <c r="L226" s="116">
        <v>0</v>
      </c>
      <c r="M226" s="116">
        <v>0</v>
      </c>
      <c r="N226" s="116">
        <v>0</v>
      </c>
      <c r="O226" s="116">
        <v>0</v>
      </c>
      <c r="P226" s="116">
        <v>0</v>
      </c>
      <c r="Q226" s="116">
        <v>0</v>
      </c>
      <c r="R226" s="116">
        <v>0</v>
      </c>
      <c r="S226" s="116">
        <v>0</v>
      </c>
      <c r="T226" s="116">
        <v>0</v>
      </c>
      <c r="U226" s="116">
        <v>0</v>
      </c>
      <c r="V226" s="116">
        <v>0</v>
      </c>
      <c r="W226" s="116">
        <v>0</v>
      </c>
      <c r="X226" s="116">
        <v>0</v>
      </c>
      <c r="Y226" s="116">
        <v>0</v>
      </c>
      <c r="Z226" s="116">
        <v>0</v>
      </c>
      <c r="AA226" s="116">
        <v>0</v>
      </c>
      <c r="AB226" s="116">
        <v>0</v>
      </c>
      <c r="AC226" s="116">
        <v>0</v>
      </c>
      <c r="AD226" s="116">
        <v>0</v>
      </c>
      <c r="AE226" s="116">
        <v>0</v>
      </c>
      <c r="AF226" s="116">
        <v>0</v>
      </c>
      <c r="AG226" s="116">
        <v>0</v>
      </c>
      <c r="AH226" s="116">
        <v>0</v>
      </c>
      <c r="AI226" s="116">
        <v>0</v>
      </c>
      <c r="AJ226" s="116">
        <v>0</v>
      </c>
      <c r="AK226" s="116">
        <v>0</v>
      </c>
      <c r="AL226" s="116">
        <v>0</v>
      </c>
      <c r="AM226" s="116">
        <v>0</v>
      </c>
      <c r="AN226" s="116">
        <v>0</v>
      </c>
      <c r="AO226" s="116">
        <v>0</v>
      </c>
      <c r="AP226" s="116">
        <v>0</v>
      </c>
      <c r="AQ226" s="116">
        <v>0</v>
      </c>
      <c r="AR226" s="116">
        <v>0</v>
      </c>
      <c r="AS226" s="116">
        <v>0</v>
      </c>
      <c r="AT226" s="116">
        <v>0</v>
      </c>
      <c r="AU226" s="116">
        <v>0</v>
      </c>
      <c r="AV226" s="116">
        <v>0</v>
      </c>
      <c r="AW226" s="116">
        <v>0</v>
      </c>
      <c r="AX226" s="116">
        <v>0</v>
      </c>
      <c r="AY226" s="116">
        <v>0</v>
      </c>
    </row>
    <row r="227" spans="1:51" x14ac:dyDescent="0.2">
      <c r="A227" s="115"/>
      <c r="B227" s="126">
        <v>19</v>
      </c>
      <c r="C227" s="112">
        <v>0</v>
      </c>
      <c r="D227" s="116">
        <v>0</v>
      </c>
      <c r="E227" s="116">
        <v>0</v>
      </c>
      <c r="F227" s="116">
        <v>0</v>
      </c>
      <c r="G227" s="116">
        <v>0</v>
      </c>
      <c r="H227" s="116">
        <v>0</v>
      </c>
      <c r="I227" s="116">
        <v>0</v>
      </c>
      <c r="J227" s="116">
        <v>0</v>
      </c>
      <c r="K227" s="116">
        <v>0</v>
      </c>
      <c r="L227" s="116">
        <v>0</v>
      </c>
      <c r="M227" s="116">
        <v>0</v>
      </c>
      <c r="N227" s="116">
        <v>0</v>
      </c>
      <c r="O227" s="116">
        <v>0</v>
      </c>
      <c r="P227" s="116">
        <v>0</v>
      </c>
      <c r="Q227" s="116">
        <v>0</v>
      </c>
      <c r="R227" s="116">
        <v>0</v>
      </c>
      <c r="S227" s="116">
        <v>0</v>
      </c>
      <c r="T227" s="116">
        <v>0</v>
      </c>
      <c r="U227" s="116">
        <v>0</v>
      </c>
      <c r="V227" s="116">
        <v>0</v>
      </c>
      <c r="W227" s="116">
        <v>0</v>
      </c>
      <c r="X227" s="116">
        <v>0</v>
      </c>
      <c r="Y227" s="116">
        <v>0</v>
      </c>
      <c r="Z227" s="116">
        <v>0</v>
      </c>
      <c r="AA227" s="116">
        <v>0</v>
      </c>
      <c r="AB227" s="116">
        <v>0</v>
      </c>
      <c r="AC227" s="116">
        <v>0</v>
      </c>
      <c r="AD227" s="116">
        <v>0</v>
      </c>
      <c r="AE227" s="116">
        <v>0</v>
      </c>
      <c r="AF227" s="116">
        <v>0</v>
      </c>
      <c r="AG227" s="116">
        <v>0</v>
      </c>
      <c r="AH227" s="116">
        <v>0</v>
      </c>
      <c r="AI227" s="116">
        <v>0</v>
      </c>
      <c r="AJ227" s="116">
        <v>0</v>
      </c>
      <c r="AK227" s="116">
        <v>0</v>
      </c>
      <c r="AL227" s="116">
        <v>0</v>
      </c>
      <c r="AM227" s="116">
        <v>0</v>
      </c>
      <c r="AN227" s="116">
        <v>0</v>
      </c>
      <c r="AO227" s="116">
        <v>0</v>
      </c>
      <c r="AP227" s="116">
        <v>0</v>
      </c>
      <c r="AQ227" s="116">
        <v>0</v>
      </c>
      <c r="AR227" s="116">
        <v>0</v>
      </c>
      <c r="AS227" s="116">
        <v>0</v>
      </c>
      <c r="AT227" s="116">
        <v>0</v>
      </c>
      <c r="AU227" s="116">
        <v>0</v>
      </c>
      <c r="AV227" s="116">
        <v>0</v>
      </c>
      <c r="AW227" s="116">
        <v>0</v>
      </c>
      <c r="AX227" s="116">
        <v>0</v>
      </c>
      <c r="AY227" s="116">
        <v>0</v>
      </c>
    </row>
    <row r="228" spans="1:51" x14ac:dyDescent="0.2">
      <c r="A228" s="115"/>
      <c r="B228" s="126">
        <v>20</v>
      </c>
      <c r="C228" s="112">
        <v>0</v>
      </c>
      <c r="D228" s="116">
        <v>0</v>
      </c>
      <c r="E228" s="116">
        <v>0</v>
      </c>
      <c r="F228" s="116">
        <v>0</v>
      </c>
      <c r="G228" s="116">
        <v>0</v>
      </c>
      <c r="H228" s="116">
        <v>0</v>
      </c>
      <c r="I228" s="116">
        <v>0</v>
      </c>
      <c r="J228" s="116">
        <v>0</v>
      </c>
      <c r="K228" s="116">
        <v>0</v>
      </c>
      <c r="L228" s="116">
        <v>0</v>
      </c>
      <c r="M228" s="116">
        <v>0</v>
      </c>
      <c r="N228" s="116">
        <v>0</v>
      </c>
      <c r="O228" s="116">
        <v>0</v>
      </c>
      <c r="P228" s="116">
        <v>0</v>
      </c>
      <c r="Q228" s="116">
        <v>0</v>
      </c>
      <c r="R228" s="116">
        <v>0</v>
      </c>
      <c r="S228" s="116">
        <v>0</v>
      </c>
      <c r="T228" s="116">
        <v>0</v>
      </c>
      <c r="U228" s="116">
        <v>0</v>
      </c>
      <c r="V228" s="116">
        <v>0</v>
      </c>
      <c r="W228" s="116">
        <v>0</v>
      </c>
      <c r="X228" s="116">
        <v>0</v>
      </c>
      <c r="Y228" s="116">
        <v>0</v>
      </c>
      <c r="Z228" s="116">
        <v>0</v>
      </c>
      <c r="AA228" s="116">
        <v>0</v>
      </c>
      <c r="AB228" s="116">
        <v>0</v>
      </c>
      <c r="AC228" s="116">
        <v>0</v>
      </c>
      <c r="AD228" s="116">
        <v>0</v>
      </c>
      <c r="AE228" s="116">
        <v>0</v>
      </c>
      <c r="AF228" s="116">
        <v>0</v>
      </c>
      <c r="AG228" s="116">
        <v>0</v>
      </c>
      <c r="AH228" s="116">
        <v>0</v>
      </c>
      <c r="AI228" s="116">
        <v>0</v>
      </c>
      <c r="AJ228" s="116">
        <v>0</v>
      </c>
      <c r="AK228" s="116">
        <v>0</v>
      </c>
      <c r="AL228" s="116">
        <v>0</v>
      </c>
      <c r="AM228" s="116">
        <v>0</v>
      </c>
      <c r="AN228" s="116">
        <v>0</v>
      </c>
      <c r="AO228" s="116">
        <v>0</v>
      </c>
      <c r="AP228" s="116">
        <v>0</v>
      </c>
      <c r="AQ228" s="116">
        <v>0</v>
      </c>
      <c r="AR228" s="116">
        <v>0</v>
      </c>
      <c r="AS228" s="116">
        <v>0</v>
      </c>
      <c r="AT228" s="116">
        <v>0</v>
      </c>
      <c r="AU228" s="116">
        <v>0</v>
      </c>
      <c r="AV228" s="116">
        <v>0</v>
      </c>
      <c r="AW228" s="116">
        <v>0</v>
      </c>
      <c r="AX228" s="116">
        <v>0</v>
      </c>
      <c r="AY228" s="116">
        <v>0</v>
      </c>
    </row>
    <row r="229" spans="1:51" x14ac:dyDescent="0.2">
      <c r="A229" s="115"/>
      <c r="B229" s="126">
        <v>21</v>
      </c>
      <c r="C229" s="112">
        <v>0</v>
      </c>
      <c r="D229" s="116">
        <v>0</v>
      </c>
      <c r="E229" s="116">
        <v>0</v>
      </c>
      <c r="F229" s="116">
        <v>0</v>
      </c>
      <c r="G229" s="116">
        <v>0</v>
      </c>
      <c r="H229" s="116">
        <v>0</v>
      </c>
      <c r="I229" s="116">
        <v>0</v>
      </c>
      <c r="J229" s="116">
        <v>0</v>
      </c>
      <c r="K229" s="116">
        <v>0</v>
      </c>
      <c r="L229" s="116">
        <v>0</v>
      </c>
      <c r="M229" s="116">
        <v>0</v>
      </c>
      <c r="N229" s="116">
        <v>0</v>
      </c>
      <c r="O229" s="116">
        <v>0</v>
      </c>
      <c r="P229" s="116">
        <v>0</v>
      </c>
      <c r="Q229" s="116">
        <v>0</v>
      </c>
      <c r="R229" s="116">
        <v>0</v>
      </c>
      <c r="S229" s="116">
        <v>0</v>
      </c>
      <c r="T229" s="116">
        <v>0</v>
      </c>
      <c r="U229" s="116">
        <v>0</v>
      </c>
      <c r="V229" s="116">
        <v>0</v>
      </c>
      <c r="W229" s="116">
        <v>0</v>
      </c>
      <c r="X229" s="116">
        <v>0</v>
      </c>
      <c r="Y229" s="116">
        <v>0</v>
      </c>
      <c r="Z229" s="116">
        <v>0</v>
      </c>
      <c r="AA229" s="116">
        <v>0</v>
      </c>
      <c r="AB229" s="116">
        <v>0</v>
      </c>
      <c r="AC229" s="116">
        <v>0</v>
      </c>
      <c r="AD229" s="116">
        <v>0</v>
      </c>
      <c r="AE229" s="116">
        <v>0</v>
      </c>
      <c r="AF229" s="116">
        <v>0</v>
      </c>
      <c r="AG229" s="116">
        <v>0</v>
      </c>
      <c r="AH229" s="116">
        <v>0</v>
      </c>
      <c r="AI229" s="116">
        <v>0</v>
      </c>
      <c r="AJ229" s="116">
        <v>0</v>
      </c>
      <c r="AK229" s="116">
        <v>0</v>
      </c>
      <c r="AL229" s="116">
        <v>0</v>
      </c>
      <c r="AM229" s="116">
        <v>0</v>
      </c>
      <c r="AN229" s="116">
        <v>0</v>
      </c>
      <c r="AO229" s="116">
        <v>0</v>
      </c>
      <c r="AP229" s="116">
        <v>0</v>
      </c>
      <c r="AQ229" s="116">
        <v>0</v>
      </c>
      <c r="AR229" s="116">
        <v>0</v>
      </c>
      <c r="AS229" s="116">
        <v>0</v>
      </c>
      <c r="AT229" s="116">
        <v>0</v>
      </c>
      <c r="AU229" s="116">
        <v>0</v>
      </c>
      <c r="AV229" s="116">
        <v>0</v>
      </c>
      <c r="AW229" s="116">
        <v>0</v>
      </c>
      <c r="AX229" s="116">
        <v>0</v>
      </c>
      <c r="AY229" s="116">
        <v>0</v>
      </c>
    </row>
    <row r="230" spans="1:51" x14ac:dyDescent="0.2">
      <c r="A230" s="115"/>
      <c r="B230" s="126">
        <v>22</v>
      </c>
      <c r="C230" s="112">
        <v>0</v>
      </c>
      <c r="D230" s="116">
        <v>0</v>
      </c>
      <c r="E230" s="116">
        <v>0</v>
      </c>
      <c r="F230" s="116">
        <v>0</v>
      </c>
      <c r="G230" s="116">
        <v>0</v>
      </c>
      <c r="H230" s="116">
        <v>0</v>
      </c>
      <c r="I230" s="116">
        <v>0</v>
      </c>
      <c r="J230" s="116">
        <v>0</v>
      </c>
      <c r="K230" s="116">
        <v>0</v>
      </c>
      <c r="L230" s="116">
        <v>0</v>
      </c>
      <c r="M230" s="116">
        <v>0</v>
      </c>
      <c r="N230" s="116">
        <v>0</v>
      </c>
      <c r="O230" s="116">
        <v>0</v>
      </c>
      <c r="P230" s="116">
        <v>0</v>
      </c>
      <c r="Q230" s="116">
        <v>0</v>
      </c>
      <c r="R230" s="116">
        <v>0</v>
      </c>
      <c r="S230" s="116">
        <v>0</v>
      </c>
      <c r="T230" s="116">
        <v>0</v>
      </c>
      <c r="U230" s="116">
        <v>0</v>
      </c>
      <c r="V230" s="116">
        <v>0</v>
      </c>
      <c r="W230" s="116">
        <v>0</v>
      </c>
      <c r="X230" s="116">
        <v>0</v>
      </c>
      <c r="Y230" s="116">
        <v>0</v>
      </c>
      <c r="Z230" s="116">
        <v>0</v>
      </c>
      <c r="AA230" s="116">
        <v>0</v>
      </c>
      <c r="AB230" s="116">
        <v>0</v>
      </c>
      <c r="AC230" s="116">
        <v>0</v>
      </c>
      <c r="AD230" s="116">
        <v>0</v>
      </c>
      <c r="AE230" s="116">
        <v>0</v>
      </c>
      <c r="AF230" s="116">
        <v>0</v>
      </c>
      <c r="AG230" s="116">
        <v>0</v>
      </c>
      <c r="AH230" s="116">
        <v>0</v>
      </c>
      <c r="AI230" s="116">
        <v>0</v>
      </c>
      <c r="AJ230" s="116">
        <v>0</v>
      </c>
      <c r="AK230" s="116">
        <v>0</v>
      </c>
      <c r="AL230" s="116">
        <v>0</v>
      </c>
      <c r="AM230" s="116">
        <v>0</v>
      </c>
      <c r="AN230" s="116">
        <v>0</v>
      </c>
      <c r="AO230" s="116">
        <v>0</v>
      </c>
      <c r="AP230" s="116">
        <v>0</v>
      </c>
      <c r="AQ230" s="116">
        <v>0</v>
      </c>
      <c r="AR230" s="116">
        <v>0</v>
      </c>
      <c r="AS230" s="116">
        <v>0</v>
      </c>
      <c r="AT230" s="116">
        <v>0</v>
      </c>
      <c r="AU230" s="116">
        <v>0</v>
      </c>
      <c r="AV230" s="116">
        <v>0</v>
      </c>
      <c r="AW230" s="116">
        <v>0</v>
      </c>
      <c r="AX230" s="116">
        <v>0</v>
      </c>
      <c r="AY230" s="116">
        <v>0</v>
      </c>
    </row>
    <row r="231" spans="1:51" x14ac:dyDescent="0.2">
      <c r="A231" s="115"/>
      <c r="B231" s="126">
        <v>23</v>
      </c>
      <c r="C231" s="112">
        <v>0</v>
      </c>
      <c r="D231" s="116">
        <v>0</v>
      </c>
      <c r="E231" s="116">
        <v>0</v>
      </c>
      <c r="F231" s="116">
        <v>0</v>
      </c>
      <c r="G231" s="116">
        <v>0</v>
      </c>
      <c r="H231" s="116">
        <v>0</v>
      </c>
      <c r="I231" s="116">
        <v>0</v>
      </c>
      <c r="J231" s="116">
        <v>0</v>
      </c>
      <c r="K231" s="116">
        <v>0</v>
      </c>
      <c r="L231" s="116">
        <v>0</v>
      </c>
      <c r="M231" s="116">
        <v>0</v>
      </c>
      <c r="N231" s="116">
        <v>0</v>
      </c>
      <c r="O231" s="116">
        <v>0</v>
      </c>
      <c r="P231" s="116">
        <v>0</v>
      </c>
      <c r="Q231" s="116">
        <v>0</v>
      </c>
      <c r="R231" s="116">
        <v>0</v>
      </c>
      <c r="S231" s="116">
        <v>0</v>
      </c>
      <c r="T231" s="116">
        <v>0</v>
      </c>
      <c r="U231" s="116">
        <v>0</v>
      </c>
      <c r="V231" s="116">
        <v>0</v>
      </c>
      <c r="W231" s="116">
        <v>0</v>
      </c>
      <c r="X231" s="116">
        <v>0</v>
      </c>
      <c r="Y231" s="116">
        <v>0</v>
      </c>
      <c r="Z231" s="116">
        <v>0</v>
      </c>
      <c r="AA231" s="116">
        <v>0</v>
      </c>
      <c r="AB231" s="116">
        <v>0</v>
      </c>
      <c r="AC231" s="116">
        <v>0</v>
      </c>
      <c r="AD231" s="116">
        <v>0</v>
      </c>
      <c r="AE231" s="116">
        <v>0</v>
      </c>
      <c r="AF231" s="116">
        <v>0</v>
      </c>
      <c r="AG231" s="116">
        <v>0</v>
      </c>
      <c r="AH231" s="116">
        <v>0</v>
      </c>
      <c r="AI231" s="116">
        <v>0</v>
      </c>
      <c r="AJ231" s="116">
        <v>0</v>
      </c>
      <c r="AK231" s="116">
        <v>0</v>
      </c>
      <c r="AL231" s="116">
        <v>0</v>
      </c>
      <c r="AM231" s="116">
        <v>0</v>
      </c>
      <c r="AN231" s="116">
        <v>0</v>
      </c>
      <c r="AO231" s="116">
        <v>0</v>
      </c>
      <c r="AP231" s="116">
        <v>0</v>
      </c>
      <c r="AQ231" s="116">
        <v>0</v>
      </c>
      <c r="AR231" s="116">
        <v>0</v>
      </c>
      <c r="AS231" s="116">
        <v>0</v>
      </c>
      <c r="AT231" s="116">
        <v>0</v>
      </c>
      <c r="AU231" s="116">
        <v>0</v>
      </c>
      <c r="AV231" s="116">
        <v>0</v>
      </c>
      <c r="AW231" s="116">
        <v>0</v>
      </c>
      <c r="AX231" s="116">
        <v>0</v>
      </c>
      <c r="AY231" s="116">
        <v>0</v>
      </c>
    </row>
    <row r="232" spans="1:51" x14ac:dyDescent="0.2">
      <c r="A232" s="115"/>
      <c r="B232" s="126">
        <v>24</v>
      </c>
      <c r="C232" s="112">
        <v>0</v>
      </c>
      <c r="D232" s="116">
        <v>0</v>
      </c>
      <c r="E232" s="116">
        <v>0</v>
      </c>
      <c r="F232" s="116">
        <v>0</v>
      </c>
      <c r="G232" s="116">
        <v>0</v>
      </c>
      <c r="H232" s="116">
        <v>0</v>
      </c>
      <c r="I232" s="116">
        <v>0</v>
      </c>
      <c r="J232" s="116">
        <v>0</v>
      </c>
      <c r="K232" s="116">
        <v>0</v>
      </c>
      <c r="L232" s="116">
        <v>0</v>
      </c>
      <c r="M232" s="116">
        <v>0</v>
      </c>
      <c r="N232" s="116">
        <v>0</v>
      </c>
      <c r="O232" s="116">
        <v>0</v>
      </c>
      <c r="P232" s="116">
        <v>0</v>
      </c>
      <c r="Q232" s="116">
        <v>0</v>
      </c>
      <c r="R232" s="116">
        <v>0</v>
      </c>
      <c r="S232" s="116">
        <v>0</v>
      </c>
      <c r="T232" s="116">
        <v>0</v>
      </c>
      <c r="U232" s="116">
        <v>0</v>
      </c>
      <c r="V232" s="116">
        <v>0</v>
      </c>
      <c r="W232" s="116">
        <v>0</v>
      </c>
      <c r="X232" s="116">
        <v>0</v>
      </c>
      <c r="Y232" s="116">
        <v>0</v>
      </c>
      <c r="Z232" s="116">
        <v>0</v>
      </c>
      <c r="AA232" s="116">
        <v>0</v>
      </c>
      <c r="AB232" s="116">
        <v>0</v>
      </c>
      <c r="AC232" s="116">
        <v>0</v>
      </c>
      <c r="AD232" s="116">
        <v>0</v>
      </c>
      <c r="AE232" s="116">
        <v>0</v>
      </c>
      <c r="AF232" s="116">
        <v>0</v>
      </c>
      <c r="AG232" s="116">
        <v>0</v>
      </c>
      <c r="AH232" s="116">
        <v>0</v>
      </c>
      <c r="AI232" s="116">
        <v>0</v>
      </c>
      <c r="AJ232" s="116">
        <v>0</v>
      </c>
      <c r="AK232" s="116">
        <v>0</v>
      </c>
      <c r="AL232" s="116">
        <v>0</v>
      </c>
      <c r="AM232" s="116">
        <v>0</v>
      </c>
      <c r="AN232" s="116">
        <v>0</v>
      </c>
      <c r="AO232" s="116">
        <v>0</v>
      </c>
      <c r="AP232" s="116">
        <v>0</v>
      </c>
      <c r="AQ232" s="116">
        <v>0</v>
      </c>
      <c r="AR232" s="116">
        <v>0</v>
      </c>
      <c r="AS232" s="116">
        <v>0</v>
      </c>
      <c r="AT232" s="116">
        <v>0</v>
      </c>
      <c r="AU232" s="116">
        <v>0</v>
      </c>
      <c r="AV232" s="116">
        <v>0</v>
      </c>
      <c r="AW232" s="116">
        <v>0</v>
      </c>
      <c r="AX232" s="116">
        <v>0</v>
      </c>
      <c r="AY232" s="116">
        <v>0</v>
      </c>
    </row>
    <row r="233" spans="1:51" x14ac:dyDescent="0.2">
      <c r="A233" s="115"/>
      <c r="B233" s="133">
        <v>25</v>
      </c>
      <c r="C233" s="112">
        <v>0</v>
      </c>
      <c r="D233" s="116">
        <v>0</v>
      </c>
      <c r="E233" s="116">
        <v>0</v>
      </c>
      <c r="F233" s="116">
        <v>0</v>
      </c>
      <c r="G233" s="116">
        <v>0</v>
      </c>
      <c r="H233" s="116">
        <v>0</v>
      </c>
      <c r="I233" s="116">
        <v>0</v>
      </c>
      <c r="J233" s="116">
        <v>0</v>
      </c>
      <c r="K233" s="116">
        <v>0</v>
      </c>
      <c r="L233" s="116">
        <v>0</v>
      </c>
      <c r="M233" s="116">
        <v>0</v>
      </c>
      <c r="N233" s="116">
        <v>0</v>
      </c>
      <c r="O233" s="116">
        <v>0</v>
      </c>
      <c r="P233" s="116">
        <v>0</v>
      </c>
      <c r="Q233" s="116">
        <v>0</v>
      </c>
      <c r="R233" s="116">
        <v>0</v>
      </c>
      <c r="S233" s="116">
        <v>0</v>
      </c>
      <c r="T233" s="116">
        <v>0</v>
      </c>
      <c r="U233" s="116">
        <v>0</v>
      </c>
      <c r="V233" s="116">
        <v>0</v>
      </c>
      <c r="W233" s="116">
        <v>0</v>
      </c>
      <c r="X233" s="116">
        <v>0</v>
      </c>
      <c r="Y233" s="116">
        <v>0</v>
      </c>
      <c r="Z233" s="116">
        <v>0</v>
      </c>
      <c r="AA233" s="116">
        <v>0</v>
      </c>
      <c r="AB233" s="116">
        <v>0</v>
      </c>
      <c r="AC233" s="116">
        <v>0</v>
      </c>
      <c r="AD233" s="116">
        <v>0</v>
      </c>
      <c r="AE233" s="116">
        <v>0</v>
      </c>
      <c r="AF233" s="116">
        <v>0</v>
      </c>
      <c r="AG233" s="116">
        <v>0</v>
      </c>
      <c r="AH233" s="116">
        <v>0</v>
      </c>
      <c r="AI233" s="116">
        <v>0</v>
      </c>
      <c r="AJ233" s="116">
        <v>0</v>
      </c>
      <c r="AK233" s="116">
        <v>0</v>
      </c>
      <c r="AL233" s="116">
        <v>0</v>
      </c>
      <c r="AM233" s="116">
        <v>0</v>
      </c>
      <c r="AN233" s="116">
        <v>0</v>
      </c>
      <c r="AO233" s="116">
        <v>0</v>
      </c>
      <c r="AP233" s="116">
        <v>0</v>
      </c>
      <c r="AQ233" s="116">
        <v>0</v>
      </c>
      <c r="AR233" s="116">
        <v>0</v>
      </c>
      <c r="AS233" s="116">
        <v>0</v>
      </c>
      <c r="AT233" s="116">
        <v>0</v>
      </c>
      <c r="AU233" s="116">
        <v>0</v>
      </c>
      <c r="AV233" s="116">
        <v>0</v>
      </c>
      <c r="AW233" s="116">
        <v>0</v>
      </c>
      <c r="AX233" s="116">
        <v>0</v>
      </c>
      <c r="AY233" s="116">
        <v>0</v>
      </c>
    </row>
    <row r="234" spans="1:51" x14ac:dyDescent="0.2">
      <c r="A234" s="115"/>
      <c r="B234" s="133">
        <v>26</v>
      </c>
      <c r="C234" s="112">
        <v>0</v>
      </c>
      <c r="D234" s="116">
        <v>0</v>
      </c>
      <c r="E234" s="116">
        <v>0</v>
      </c>
      <c r="F234" s="116">
        <v>0</v>
      </c>
      <c r="G234" s="116">
        <v>0</v>
      </c>
      <c r="H234" s="116">
        <v>0</v>
      </c>
      <c r="I234" s="116">
        <v>0</v>
      </c>
      <c r="J234" s="116">
        <v>0</v>
      </c>
      <c r="K234" s="116">
        <v>0</v>
      </c>
      <c r="L234" s="116">
        <v>0</v>
      </c>
      <c r="M234" s="116">
        <v>0</v>
      </c>
      <c r="N234" s="116">
        <v>0</v>
      </c>
      <c r="O234" s="116">
        <v>0</v>
      </c>
      <c r="P234" s="116">
        <v>0</v>
      </c>
      <c r="Q234" s="116">
        <v>0</v>
      </c>
      <c r="R234" s="116">
        <v>0</v>
      </c>
      <c r="S234" s="116">
        <v>0</v>
      </c>
      <c r="T234" s="116">
        <v>0</v>
      </c>
      <c r="U234" s="116">
        <v>0</v>
      </c>
      <c r="V234" s="116">
        <v>0</v>
      </c>
      <c r="W234" s="116">
        <v>0</v>
      </c>
      <c r="X234" s="116">
        <v>0</v>
      </c>
      <c r="Y234" s="116">
        <v>0</v>
      </c>
      <c r="Z234" s="116">
        <v>0</v>
      </c>
      <c r="AA234" s="116">
        <v>0</v>
      </c>
      <c r="AB234" s="116">
        <v>0</v>
      </c>
      <c r="AC234" s="116">
        <v>0</v>
      </c>
      <c r="AD234" s="116">
        <v>0</v>
      </c>
      <c r="AE234" s="116">
        <v>0</v>
      </c>
      <c r="AF234" s="116">
        <v>0</v>
      </c>
      <c r="AG234" s="116">
        <v>0</v>
      </c>
      <c r="AH234" s="116">
        <v>0</v>
      </c>
      <c r="AI234" s="116">
        <v>0</v>
      </c>
      <c r="AJ234" s="116">
        <v>0</v>
      </c>
      <c r="AK234" s="116">
        <v>0</v>
      </c>
      <c r="AL234" s="116">
        <v>0</v>
      </c>
      <c r="AM234" s="116">
        <v>0</v>
      </c>
      <c r="AN234" s="116">
        <v>0</v>
      </c>
      <c r="AO234" s="116">
        <v>0</v>
      </c>
      <c r="AP234" s="116">
        <v>0</v>
      </c>
      <c r="AQ234" s="116">
        <v>0</v>
      </c>
      <c r="AR234" s="116">
        <v>0</v>
      </c>
      <c r="AS234" s="116">
        <v>0</v>
      </c>
      <c r="AT234" s="116">
        <v>0</v>
      </c>
      <c r="AU234" s="116">
        <v>0</v>
      </c>
      <c r="AV234" s="116">
        <v>0</v>
      </c>
      <c r="AW234" s="116">
        <v>0</v>
      </c>
      <c r="AX234" s="116">
        <v>0</v>
      </c>
      <c r="AY234" s="116">
        <v>0</v>
      </c>
    </row>
    <row r="235" spans="1:51" x14ac:dyDescent="0.2">
      <c r="A235" s="115"/>
      <c r="B235" s="133">
        <v>27</v>
      </c>
      <c r="C235" s="112">
        <v>0</v>
      </c>
      <c r="D235" s="116">
        <v>0</v>
      </c>
      <c r="E235" s="116">
        <v>0</v>
      </c>
      <c r="F235" s="116">
        <v>0</v>
      </c>
      <c r="G235" s="116">
        <v>0</v>
      </c>
      <c r="H235" s="116">
        <v>0</v>
      </c>
      <c r="I235" s="116">
        <v>0</v>
      </c>
      <c r="J235" s="116">
        <v>0</v>
      </c>
      <c r="K235" s="116">
        <v>0</v>
      </c>
      <c r="L235" s="116">
        <v>0</v>
      </c>
      <c r="M235" s="116">
        <v>0</v>
      </c>
      <c r="N235" s="116">
        <v>0</v>
      </c>
      <c r="O235" s="116">
        <v>0</v>
      </c>
      <c r="P235" s="116">
        <v>0</v>
      </c>
      <c r="Q235" s="116">
        <v>0</v>
      </c>
      <c r="R235" s="116">
        <v>0</v>
      </c>
      <c r="S235" s="116">
        <v>0</v>
      </c>
      <c r="T235" s="116">
        <v>0</v>
      </c>
      <c r="U235" s="116">
        <v>0</v>
      </c>
      <c r="V235" s="116">
        <v>0</v>
      </c>
      <c r="W235" s="116">
        <v>0</v>
      </c>
      <c r="X235" s="116">
        <v>0</v>
      </c>
      <c r="Y235" s="116">
        <v>0</v>
      </c>
      <c r="Z235" s="116">
        <v>0</v>
      </c>
      <c r="AA235" s="116">
        <v>0</v>
      </c>
      <c r="AB235" s="116">
        <v>0</v>
      </c>
      <c r="AC235" s="116">
        <v>0</v>
      </c>
      <c r="AD235" s="116">
        <v>0</v>
      </c>
      <c r="AE235" s="116">
        <v>0</v>
      </c>
      <c r="AF235" s="116">
        <v>0</v>
      </c>
      <c r="AG235" s="116">
        <v>0</v>
      </c>
      <c r="AH235" s="116">
        <v>0</v>
      </c>
      <c r="AI235" s="116">
        <v>0</v>
      </c>
      <c r="AJ235" s="116">
        <v>0</v>
      </c>
      <c r="AK235" s="116">
        <v>0</v>
      </c>
      <c r="AL235" s="116">
        <v>0</v>
      </c>
      <c r="AM235" s="116">
        <v>0</v>
      </c>
      <c r="AN235" s="116">
        <v>0</v>
      </c>
      <c r="AO235" s="116">
        <v>0</v>
      </c>
      <c r="AP235" s="116">
        <v>0</v>
      </c>
      <c r="AQ235" s="116">
        <v>0</v>
      </c>
      <c r="AR235" s="116">
        <v>0</v>
      </c>
      <c r="AS235" s="116">
        <v>0</v>
      </c>
      <c r="AT235" s="116">
        <v>0</v>
      </c>
      <c r="AU235" s="116">
        <v>0</v>
      </c>
      <c r="AV235" s="116">
        <v>0</v>
      </c>
      <c r="AW235" s="116">
        <v>0</v>
      </c>
      <c r="AX235" s="116">
        <v>0</v>
      </c>
      <c r="AY235" s="116">
        <v>0</v>
      </c>
    </row>
    <row r="236" spans="1:51" x14ac:dyDescent="0.2">
      <c r="A236" s="115"/>
      <c r="B236" s="133">
        <v>28</v>
      </c>
      <c r="C236" s="112">
        <v>0</v>
      </c>
      <c r="D236" s="116">
        <v>0</v>
      </c>
      <c r="E236" s="116">
        <v>0</v>
      </c>
      <c r="F236" s="116">
        <v>0</v>
      </c>
      <c r="G236" s="116">
        <v>0</v>
      </c>
      <c r="H236" s="116">
        <v>0</v>
      </c>
      <c r="I236" s="116">
        <v>0</v>
      </c>
      <c r="J236" s="116">
        <v>0</v>
      </c>
      <c r="K236" s="116">
        <v>0</v>
      </c>
      <c r="L236" s="116">
        <v>0</v>
      </c>
      <c r="M236" s="116">
        <v>0</v>
      </c>
      <c r="N236" s="116">
        <v>0</v>
      </c>
      <c r="O236" s="116">
        <v>0</v>
      </c>
      <c r="P236" s="116">
        <v>0</v>
      </c>
      <c r="Q236" s="116">
        <v>0</v>
      </c>
      <c r="R236" s="116">
        <v>0</v>
      </c>
      <c r="S236" s="116">
        <v>0</v>
      </c>
      <c r="T236" s="116">
        <v>0</v>
      </c>
      <c r="U236" s="116">
        <v>0</v>
      </c>
      <c r="V236" s="116">
        <v>0</v>
      </c>
      <c r="W236" s="116">
        <v>0</v>
      </c>
      <c r="X236" s="116">
        <v>0</v>
      </c>
      <c r="Y236" s="116">
        <v>0</v>
      </c>
      <c r="Z236" s="116">
        <v>0</v>
      </c>
      <c r="AA236" s="116">
        <v>0</v>
      </c>
      <c r="AB236" s="116">
        <v>0</v>
      </c>
      <c r="AC236" s="116">
        <v>0</v>
      </c>
      <c r="AD236" s="116">
        <v>0</v>
      </c>
      <c r="AE236" s="116">
        <v>0</v>
      </c>
      <c r="AF236" s="116">
        <v>0</v>
      </c>
      <c r="AG236" s="116">
        <v>0</v>
      </c>
      <c r="AH236" s="116">
        <v>0</v>
      </c>
      <c r="AI236" s="116">
        <v>0</v>
      </c>
      <c r="AJ236" s="116">
        <v>0</v>
      </c>
      <c r="AK236" s="116">
        <v>0</v>
      </c>
      <c r="AL236" s="116">
        <v>0</v>
      </c>
      <c r="AM236" s="116">
        <v>0</v>
      </c>
      <c r="AN236" s="116">
        <v>0</v>
      </c>
      <c r="AO236" s="116">
        <v>0</v>
      </c>
      <c r="AP236" s="116">
        <v>0</v>
      </c>
      <c r="AQ236" s="116">
        <v>0</v>
      </c>
      <c r="AR236" s="116">
        <v>0</v>
      </c>
      <c r="AS236" s="116">
        <v>0</v>
      </c>
      <c r="AT236" s="116">
        <v>0</v>
      </c>
      <c r="AU236" s="116">
        <v>0</v>
      </c>
      <c r="AV236" s="116">
        <v>0</v>
      </c>
      <c r="AW236" s="116">
        <v>0</v>
      </c>
      <c r="AX236" s="116">
        <v>0</v>
      </c>
      <c r="AY236" s="116">
        <v>0</v>
      </c>
    </row>
    <row r="237" spans="1:51" x14ac:dyDescent="0.2">
      <c r="A237" s="115"/>
      <c r="B237" s="133">
        <v>29</v>
      </c>
      <c r="C237" s="112">
        <v>0</v>
      </c>
      <c r="D237" s="116">
        <v>0</v>
      </c>
      <c r="E237" s="116">
        <v>0</v>
      </c>
      <c r="F237" s="116">
        <v>0</v>
      </c>
      <c r="G237" s="116">
        <v>0</v>
      </c>
      <c r="H237" s="116">
        <v>0</v>
      </c>
      <c r="I237" s="116">
        <v>0</v>
      </c>
      <c r="J237" s="116">
        <v>0</v>
      </c>
      <c r="K237" s="116">
        <v>0</v>
      </c>
      <c r="L237" s="116">
        <v>0</v>
      </c>
      <c r="M237" s="116">
        <v>0</v>
      </c>
      <c r="N237" s="116">
        <v>0</v>
      </c>
      <c r="O237" s="116">
        <v>0</v>
      </c>
      <c r="P237" s="116">
        <v>0</v>
      </c>
      <c r="Q237" s="116">
        <v>0</v>
      </c>
      <c r="R237" s="116">
        <v>0</v>
      </c>
      <c r="S237" s="116">
        <v>0</v>
      </c>
      <c r="T237" s="116">
        <v>0</v>
      </c>
      <c r="U237" s="116">
        <v>0</v>
      </c>
      <c r="V237" s="116">
        <v>0</v>
      </c>
      <c r="W237" s="116">
        <v>0</v>
      </c>
      <c r="X237" s="116">
        <v>0</v>
      </c>
      <c r="Y237" s="116">
        <v>0</v>
      </c>
      <c r="Z237" s="116">
        <v>0</v>
      </c>
      <c r="AA237" s="116">
        <v>0</v>
      </c>
      <c r="AB237" s="116">
        <v>0</v>
      </c>
      <c r="AC237" s="116">
        <v>0</v>
      </c>
      <c r="AD237" s="116">
        <v>0</v>
      </c>
      <c r="AE237" s="116">
        <v>0</v>
      </c>
      <c r="AF237" s="116">
        <v>0</v>
      </c>
      <c r="AG237" s="116">
        <v>0</v>
      </c>
      <c r="AH237" s="116">
        <v>0</v>
      </c>
      <c r="AI237" s="116">
        <v>0</v>
      </c>
      <c r="AJ237" s="116">
        <v>0</v>
      </c>
      <c r="AK237" s="116">
        <v>0</v>
      </c>
      <c r="AL237" s="116">
        <v>0</v>
      </c>
      <c r="AM237" s="116">
        <v>0</v>
      </c>
      <c r="AN237" s="116">
        <v>0</v>
      </c>
      <c r="AO237" s="116">
        <v>0</v>
      </c>
      <c r="AP237" s="116">
        <v>0</v>
      </c>
      <c r="AQ237" s="116">
        <v>0</v>
      </c>
      <c r="AR237" s="116">
        <v>0</v>
      </c>
      <c r="AS237" s="116">
        <v>0</v>
      </c>
      <c r="AT237" s="116">
        <v>0</v>
      </c>
      <c r="AU237" s="116">
        <v>0</v>
      </c>
      <c r="AV237" s="116">
        <v>0</v>
      </c>
      <c r="AW237" s="116">
        <v>0</v>
      </c>
      <c r="AX237" s="116">
        <v>0</v>
      </c>
      <c r="AY237" s="116">
        <v>0</v>
      </c>
    </row>
    <row r="238" spans="1:51" x14ac:dyDescent="0.2">
      <c r="A238" s="115"/>
      <c r="B238" s="133">
        <v>30</v>
      </c>
      <c r="C238" s="112">
        <v>0</v>
      </c>
      <c r="D238" s="116">
        <v>0</v>
      </c>
      <c r="E238" s="116">
        <v>0</v>
      </c>
      <c r="F238" s="116">
        <v>0</v>
      </c>
      <c r="G238" s="116">
        <v>0</v>
      </c>
      <c r="H238" s="116">
        <v>0</v>
      </c>
      <c r="I238" s="116">
        <v>0</v>
      </c>
      <c r="J238" s="116">
        <v>0</v>
      </c>
      <c r="K238" s="116">
        <v>0</v>
      </c>
      <c r="L238" s="116">
        <v>0</v>
      </c>
      <c r="M238" s="116">
        <v>0</v>
      </c>
      <c r="N238" s="116">
        <v>0</v>
      </c>
      <c r="O238" s="116">
        <v>0</v>
      </c>
      <c r="P238" s="116">
        <v>0</v>
      </c>
      <c r="Q238" s="116">
        <v>0</v>
      </c>
      <c r="R238" s="116">
        <v>0</v>
      </c>
      <c r="S238" s="116">
        <v>0</v>
      </c>
      <c r="T238" s="116">
        <v>0</v>
      </c>
      <c r="U238" s="116">
        <v>0</v>
      </c>
      <c r="V238" s="116">
        <v>0</v>
      </c>
      <c r="W238" s="116">
        <v>0</v>
      </c>
      <c r="X238" s="116">
        <v>0</v>
      </c>
      <c r="Y238" s="116">
        <v>0</v>
      </c>
      <c r="Z238" s="116">
        <v>0</v>
      </c>
      <c r="AA238" s="116">
        <v>0</v>
      </c>
      <c r="AB238" s="116">
        <v>0</v>
      </c>
      <c r="AC238" s="116">
        <v>0</v>
      </c>
      <c r="AD238" s="116">
        <v>0</v>
      </c>
      <c r="AE238" s="116">
        <v>0</v>
      </c>
      <c r="AF238" s="116">
        <v>0</v>
      </c>
      <c r="AG238" s="116">
        <v>0</v>
      </c>
      <c r="AH238" s="116">
        <v>0</v>
      </c>
      <c r="AI238" s="116">
        <v>0</v>
      </c>
      <c r="AJ238" s="116">
        <v>0</v>
      </c>
      <c r="AK238" s="116">
        <v>0</v>
      </c>
      <c r="AL238" s="116">
        <v>0</v>
      </c>
      <c r="AM238" s="116">
        <v>0</v>
      </c>
      <c r="AN238" s="116">
        <v>0</v>
      </c>
      <c r="AO238" s="116">
        <v>0</v>
      </c>
      <c r="AP238" s="116">
        <v>0</v>
      </c>
      <c r="AQ238" s="116">
        <v>0</v>
      </c>
      <c r="AR238" s="116">
        <v>0</v>
      </c>
      <c r="AS238" s="116">
        <v>0</v>
      </c>
      <c r="AT238" s="116">
        <v>0</v>
      </c>
      <c r="AU238" s="116">
        <v>0</v>
      </c>
      <c r="AV238" s="116">
        <v>0</v>
      </c>
      <c r="AW238" s="116">
        <v>0</v>
      </c>
      <c r="AX238" s="116">
        <v>0</v>
      </c>
      <c r="AY238" s="116">
        <v>0</v>
      </c>
    </row>
    <row r="239" spans="1:51" x14ac:dyDescent="0.2">
      <c r="A239" s="115"/>
      <c r="B239" s="133">
        <v>31</v>
      </c>
      <c r="C239" s="112">
        <v>0</v>
      </c>
      <c r="D239" s="116">
        <v>0</v>
      </c>
      <c r="E239" s="116">
        <v>0</v>
      </c>
      <c r="F239" s="116">
        <v>0</v>
      </c>
      <c r="G239" s="116">
        <v>0</v>
      </c>
      <c r="H239" s="116">
        <v>0</v>
      </c>
      <c r="I239" s="116">
        <v>0</v>
      </c>
      <c r="J239" s="116">
        <v>0</v>
      </c>
      <c r="K239" s="116">
        <v>0</v>
      </c>
      <c r="L239" s="116">
        <v>0</v>
      </c>
      <c r="M239" s="116">
        <v>0</v>
      </c>
      <c r="N239" s="116">
        <v>0</v>
      </c>
      <c r="O239" s="116">
        <v>0</v>
      </c>
      <c r="P239" s="116">
        <v>0</v>
      </c>
      <c r="Q239" s="116">
        <v>0</v>
      </c>
      <c r="R239" s="116">
        <v>0</v>
      </c>
      <c r="S239" s="116">
        <v>0</v>
      </c>
      <c r="T239" s="116">
        <v>0</v>
      </c>
      <c r="U239" s="116">
        <v>0</v>
      </c>
      <c r="V239" s="116">
        <v>0</v>
      </c>
      <c r="W239" s="116">
        <v>0</v>
      </c>
      <c r="X239" s="116">
        <v>0</v>
      </c>
      <c r="Y239" s="116">
        <v>0</v>
      </c>
      <c r="Z239" s="116">
        <v>0</v>
      </c>
      <c r="AA239" s="116">
        <v>0</v>
      </c>
      <c r="AB239" s="116">
        <v>0</v>
      </c>
      <c r="AC239" s="116">
        <v>0</v>
      </c>
      <c r="AD239" s="116">
        <v>0</v>
      </c>
      <c r="AE239" s="116">
        <v>0</v>
      </c>
      <c r="AF239" s="116">
        <v>0</v>
      </c>
      <c r="AG239" s="116">
        <v>0</v>
      </c>
      <c r="AH239" s="116">
        <v>0</v>
      </c>
      <c r="AI239" s="116">
        <v>0</v>
      </c>
      <c r="AJ239" s="116">
        <v>0</v>
      </c>
      <c r="AK239" s="116">
        <v>0</v>
      </c>
      <c r="AL239" s="116">
        <v>0</v>
      </c>
      <c r="AM239" s="116">
        <v>0</v>
      </c>
      <c r="AN239" s="116">
        <v>0</v>
      </c>
      <c r="AO239" s="116">
        <v>0</v>
      </c>
      <c r="AP239" s="116">
        <v>0</v>
      </c>
      <c r="AQ239" s="116">
        <v>0</v>
      </c>
      <c r="AR239" s="116">
        <v>0</v>
      </c>
      <c r="AS239" s="116">
        <v>0</v>
      </c>
      <c r="AT239" s="116">
        <v>0</v>
      </c>
      <c r="AU239" s="116">
        <v>0</v>
      </c>
      <c r="AV239" s="116">
        <v>0</v>
      </c>
      <c r="AW239" s="116">
        <v>0</v>
      </c>
      <c r="AX239" s="116">
        <v>0</v>
      </c>
      <c r="AY239" s="116">
        <v>0</v>
      </c>
    </row>
    <row r="240" spans="1:51" x14ac:dyDescent="0.2">
      <c r="A240" s="115"/>
      <c r="B240" s="133">
        <v>32</v>
      </c>
      <c r="C240" s="112">
        <v>0</v>
      </c>
      <c r="D240" s="116">
        <v>0</v>
      </c>
      <c r="E240" s="116">
        <v>0</v>
      </c>
      <c r="F240" s="116">
        <v>0</v>
      </c>
      <c r="G240" s="116">
        <v>0</v>
      </c>
      <c r="H240" s="116">
        <v>0</v>
      </c>
      <c r="I240" s="116">
        <v>0</v>
      </c>
      <c r="J240" s="116">
        <v>0</v>
      </c>
      <c r="K240" s="116">
        <v>0</v>
      </c>
      <c r="L240" s="116">
        <v>0</v>
      </c>
      <c r="M240" s="116">
        <v>0</v>
      </c>
      <c r="N240" s="116">
        <v>0</v>
      </c>
      <c r="O240" s="116">
        <v>0</v>
      </c>
      <c r="P240" s="116">
        <v>0</v>
      </c>
      <c r="Q240" s="116">
        <v>0</v>
      </c>
      <c r="R240" s="116">
        <v>0</v>
      </c>
      <c r="S240" s="116">
        <v>0</v>
      </c>
      <c r="T240" s="116">
        <v>0</v>
      </c>
      <c r="U240" s="116">
        <v>0</v>
      </c>
      <c r="V240" s="116">
        <v>0</v>
      </c>
      <c r="W240" s="116">
        <v>0</v>
      </c>
      <c r="X240" s="116">
        <v>0</v>
      </c>
      <c r="Y240" s="116">
        <v>0</v>
      </c>
      <c r="Z240" s="116">
        <v>0</v>
      </c>
      <c r="AA240" s="116">
        <v>0</v>
      </c>
      <c r="AB240" s="116">
        <v>0</v>
      </c>
      <c r="AC240" s="116">
        <v>0</v>
      </c>
      <c r="AD240" s="116">
        <v>0</v>
      </c>
      <c r="AE240" s="116">
        <v>0</v>
      </c>
      <c r="AF240" s="116">
        <v>0</v>
      </c>
      <c r="AG240" s="116">
        <v>0</v>
      </c>
      <c r="AH240" s="116">
        <v>0</v>
      </c>
      <c r="AI240" s="116">
        <v>0</v>
      </c>
      <c r="AJ240" s="116">
        <v>0</v>
      </c>
      <c r="AK240" s="116">
        <v>0</v>
      </c>
      <c r="AL240" s="116">
        <v>0</v>
      </c>
      <c r="AM240" s="116">
        <v>0</v>
      </c>
      <c r="AN240" s="116">
        <v>0</v>
      </c>
      <c r="AO240" s="116">
        <v>0</v>
      </c>
      <c r="AP240" s="116">
        <v>0</v>
      </c>
      <c r="AQ240" s="116">
        <v>0</v>
      </c>
      <c r="AR240" s="116">
        <v>0</v>
      </c>
      <c r="AS240" s="116">
        <v>0</v>
      </c>
      <c r="AT240" s="116">
        <v>0</v>
      </c>
      <c r="AU240" s="116">
        <v>0</v>
      </c>
      <c r="AV240" s="116">
        <v>0</v>
      </c>
      <c r="AW240" s="116">
        <v>0</v>
      </c>
      <c r="AX240" s="116">
        <v>0</v>
      </c>
      <c r="AY240" s="116">
        <v>0</v>
      </c>
    </row>
    <row r="241" spans="1:51" x14ac:dyDescent="0.2">
      <c r="A241" s="115"/>
      <c r="B241" s="133">
        <v>33</v>
      </c>
      <c r="C241" s="112">
        <v>0</v>
      </c>
      <c r="D241" s="116">
        <v>0</v>
      </c>
      <c r="E241" s="116">
        <v>0</v>
      </c>
      <c r="F241" s="116">
        <v>0</v>
      </c>
      <c r="G241" s="116">
        <v>0</v>
      </c>
      <c r="H241" s="116">
        <v>0</v>
      </c>
      <c r="I241" s="116">
        <v>0</v>
      </c>
      <c r="J241" s="116">
        <v>0</v>
      </c>
      <c r="K241" s="116">
        <v>0</v>
      </c>
      <c r="L241" s="116">
        <v>0</v>
      </c>
      <c r="M241" s="116">
        <v>0</v>
      </c>
      <c r="N241" s="116">
        <v>0</v>
      </c>
      <c r="O241" s="116">
        <v>0</v>
      </c>
      <c r="P241" s="116">
        <v>0</v>
      </c>
      <c r="Q241" s="116">
        <v>0</v>
      </c>
      <c r="R241" s="116">
        <v>0</v>
      </c>
      <c r="S241" s="116">
        <v>0</v>
      </c>
      <c r="T241" s="116">
        <v>0</v>
      </c>
      <c r="U241" s="116">
        <v>0</v>
      </c>
      <c r="V241" s="116">
        <v>0</v>
      </c>
      <c r="W241" s="116">
        <v>0</v>
      </c>
      <c r="X241" s="116">
        <v>0</v>
      </c>
      <c r="Y241" s="116">
        <v>0</v>
      </c>
      <c r="Z241" s="116">
        <v>0</v>
      </c>
      <c r="AA241" s="116">
        <v>0</v>
      </c>
      <c r="AB241" s="116">
        <v>0</v>
      </c>
      <c r="AC241" s="116">
        <v>0</v>
      </c>
      <c r="AD241" s="116">
        <v>0</v>
      </c>
      <c r="AE241" s="116">
        <v>0</v>
      </c>
      <c r="AF241" s="116">
        <v>0</v>
      </c>
      <c r="AG241" s="116">
        <v>0</v>
      </c>
      <c r="AH241" s="116">
        <v>0</v>
      </c>
      <c r="AI241" s="116">
        <v>0</v>
      </c>
      <c r="AJ241" s="116">
        <v>0</v>
      </c>
      <c r="AK241" s="116">
        <v>0</v>
      </c>
      <c r="AL241" s="116">
        <v>0</v>
      </c>
      <c r="AM241" s="116">
        <v>0</v>
      </c>
      <c r="AN241" s="116">
        <v>0</v>
      </c>
      <c r="AO241" s="116">
        <v>0</v>
      </c>
      <c r="AP241" s="116">
        <v>0</v>
      </c>
      <c r="AQ241" s="116">
        <v>0</v>
      </c>
      <c r="AR241" s="116">
        <v>0</v>
      </c>
      <c r="AS241" s="116">
        <v>0</v>
      </c>
      <c r="AT241" s="116">
        <v>0</v>
      </c>
      <c r="AU241" s="116">
        <v>0</v>
      </c>
      <c r="AV241" s="116">
        <v>0</v>
      </c>
      <c r="AW241" s="116">
        <v>0</v>
      </c>
      <c r="AX241" s="116">
        <v>0</v>
      </c>
      <c r="AY241" s="116">
        <v>0</v>
      </c>
    </row>
    <row r="242" spans="1:51" x14ac:dyDescent="0.2">
      <c r="A242" s="115"/>
      <c r="B242" s="133">
        <v>34</v>
      </c>
      <c r="C242" s="112">
        <v>0</v>
      </c>
      <c r="D242" s="116">
        <v>0</v>
      </c>
      <c r="E242" s="116">
        <v>0</v>
      </c>
      <c r="F242" s="116">
        <v>0</v>
      </c>
      <c r="G242" s="116">
        <v>0</v>
      </c>
      <c r="H242" s="116">
        <v>0</v>
      </c>
      <c r="I242" s="116">
        <v>0</v>
      </c>
      <c r="J242" s="116">
        <v>0</v>
      </c>
      <c r="K242" s="116">
        <v>0</v>
      </c>
      <c r="L242" s="116">
        <v>0</v>
      </c>
      <c r="M242" s="116">
        <v>0</v>
      </c>
      <c r="N242" s="116">
        <v>0</v>
      </c>
      <c r="O242" s="116">
        <v>0</v>
      </c>
      <c r="P242" s="116">
        <v>0</v>
      </c>
      <c r="Q242" s="116">
        <v>0</v>
      </c>
      <c r="R242" s="116">
        <v>0</v>
      </c>
      <c r="S242" s="116">
        <v>0</v>
      </c>
      <c r="T242" s="116">
        <v>0</v>
      </c>
      <c r="U242" s="116">
        <v>0</v>
      </c>
      <c r="V242" s="116">
        <v>0</v>
      </c>
      <c r="W242" s="116">
        <v>0</v>
      </c>
      <c r="X242" s="116">
        <v>0</v>
      </c>
      <c r="Y242" s="116">
        <v>0</v>
      </c>
      <c r="Z242" s="116">
        <v>0</v>
      </c>
      <c r="AA242" s="116">
        <v>0</v>
      </c>
      <c r="AB242" s="116">
        <v>0</v>
      </c>
      <c r="AC242" s="116">
        <v>0</v>
      </c>
      <c r="AD242" s="116">
        <v>0</v>
      </c>
      <c r="AE242" s="116">
        <v>0</v>
      </c>
      <c r="AF242" s="116">
        <v>0</v>
      </c>
      <c r="AG242" s="116">
        <v>0</v>
      </c>
      <c r="AH242" s="116">
        <v>0</v>
      </c>
      <c r="AI242" s="116">
        <v>0</v>
      </c>
      <c r="AJ242" s="116">
        <v>0</v>
      </c>
      <c r="AK242" s="116">
        <v>0</v>
      </c>
      <c r="AL242" s="116">
        <v>0</v>
      </c>
      <c r="AM242" s="116">
        <v>0</v>
      </c>
      <c r="AN242" s="116">
        <v>0</v>
      </c>
      <c r="AO242" s="116">
        <v>0</v>
      </c>
      <c r="AP242" s="116">
        <v>0</v>
      </c>
      <c r="AQ242" s="116">
        <v>0</v>
      </c>
      <c r="AR242" s="116">
        <v>0</v>
      </c>
      <c r="AS242" s="116">
        <v>0</v>
      </c>
      <c r="AT242" s="116">
        <v>0</v>
      </c>
      <c r="AU242" s="116">
        <v>0</v>
      </c>
      <c r="AV242" s="116">
        <v>0</v>
      </c>
      <c r="AW242" s="116">
        <v>0</v>
      </c>
      <c r="AX242" s="116">
        <v>0</v>
      </c>
      <c r="AY242" s="116">
        <v>0</v>
      </c>
    </row>
    <row r="243" spans="1:51" x14ac:dyDescent="0.2">
      <c r="A243" s="115"/>
      <c r="B243" s="133">
        <v>35</v>
      </c>
      <c r="C243" s="112">
        <v>0</v>
      </c>
      <c r="D243" s="116">
        <v>0</v>
      </c>
      <c r="E243" s="116">
        <v>0</v>
      </c>
      <c r="F243" s="116">
        <v>0</v>
      </c>
      <c r="G243" s="116">
        <v>0</v>
      </c>
      <c r="H243" s="116">
        <v>0</v>
      </c>
      <c r="I243" s="116">
        <v>0</v>
      </c>
      <c r="J243" s="116">
        <v>0</v>
      </c>
      <c r="K243" s="116">
        <v>0</v>
      </c>
      <c r="L243" s="116">
        <v>0</v>
      </c>
      <c r="M243" s="116">
        <v>0</v>
      </c>
      <c r="N243" s="116">
        <v>0</v>
      </c>
      <c r="O243" s="116">
        <v>0</v>
      </c>
      <c r="P243" s="116">
        <v>0</v>
      </c>
      <c r="Q243" s="116">
        <v>0</v>
      </c>
      <c r="R243" s="116">
        <v>0</v>
      </c>
      <c r="S243" s="116">
        <v>0</v>
      </c>
      <c r="T243" s="116">
        <v>0</v>
      </c>
      <c r="U243" s="116">
        <v>0</v>
      </c>
      <c r="V243" s="116">
        <v>0</v>
      </c>
      <c r="W243" s="116">
        <v>0</v>
      </c>
      <c r="X243" s="116">
        <v>0</v>
      </c>
      <c r="Y243" s="116">
        <v>0</v>
      </c>
      <c r="Z243" s="116">
        <v>0</v>
      </c>
      <c r="AA243" s="116">
        <v>0</v>
      </c>
      <c r="AB243" s="116">
        <v>0</v>
      </c>
      <c r="AC243" s="116">
        <v>0</v>
      </c>
      <c r="AD243" s="116">
        <v>0</v>
      </c>
      <c r="AE243" s="116">
        <v>0</v>
      </c>
      <c r="AF243" s="116">
        <v>0</v>
      </c>
      <c r="AG243" s="116">
        <v>0</v>
      </c>
      <c r="AH243" s="116">
        <v>0</v>
      </c>
      <c r="AI243" s="116">
        <v>0</v>
      </c>
      <c r="AJ243" s="116">
        <v>0</v>
      </c>
      <c r="AK243" s="116">
        <v>0</v>
      </c>
      <c r="AL243" s="116">
        <v>0</v>
      </c>
      <c r="AM243" s="116">
        <v>0</v>
      </c>
      <c r="AN243" s="116">
        <v>0</v>
      </c>
      <c r="AO243" s="116">
        <v>0</v>
      </c>
      <c r="AP243" s="116">
        <v>0</v>
      </c>
      <c r="AQ243" s="116">
        <v>0</v>
      </c>
      <c r="AR243" s="116">
        <v>0</v>
      </c>
      <c r="AS243" s="116">
        <v>0</v>
      </c>
      <c r="AT243" s="116">
        <v>0</v>
      </c>
      <c r="AU243" s="116">
        <v>0</v>
      </c>
      <c r="AV243" s="116">
        <v>0</v>
      </c>
      <c r="AW243" s="116">
        <v>0</v>
      </c>
      <c r="AX243" s="116">
        <v>0</v>
      </c>
      <c r="AY243" s="116">
        <v>0</v>
      </c>
    </row>
    <row r="244" spans="1:51" x14ac:dyDescent="0.2">
      <c r="A244" s="115"/>
      <c r="B244" s="133">
        <v>36</v>
      </c>
      <c r="C244" s="112">
        <v>0</v>
      </c>
      <c r="D244" s="116">
        <v>0</v>
      </c>
      <c r="E244" s="116">
        <v>0</v>
      </c>
      <c r="F244" s="116">
        <v>0</v>
      </c>
      <c r="G244" s="116">
        <v>0</v>
      </c>
      <c r="H244" s="116">
        <v>0</v>
      </c>
      <c r="I244" s="116">
        <v>0</v>
      </c>
      <c r="J244" s="116">
        <v>0</v>
      </c>
      <c r="K244" s="116">
        <v>0</v>
      </c>
      <c r="L244" s="116">
        <v>0</v>
      </c>
      <c r="M244" s="116">
        <v>0</v>
      </c>
      <c r="N244" s="116">
        <v>0</v>
      </c>
      <c r="O244" s="116">
        <v>0</v>
      </c>
      <c r="P244" s="116">
        <v>0</v>
      </c>
      <c r="Q244" s="116">
        <v>0</v>
      </c>
      <c r="R244" s="116">
        <v>0</v>
      </c>
      <c r="S244" s="116">
        <v>0</v>
      </c>
      <c r="T244" s="116">
        <v>0</v>
      </c>
      <c r="U244" s="116">
        <v>0</v>
      </c>
      <c r="V244" s="116">
        <v>0</v>
      </c>
      <c r="W244" s="116">
        <v>0</v>
      </c>
      <c r="X244" s="116">
        <v>0</v>
      </c>
      <c r="Y244" s="116">
        <v>0</v>
      </c>
      <c r="Z244" s="116">
        <v>0</v>
      </c>
      <c r="AA244" s="116">
        <v>0</v>
      </c>
      <c r="AB244" s="116">
        <v>0</v>
      </c>
      <c r="AC244" s="116">
        <v>0</v>
      </c>
      <c r="AD244" s="116">
        <v>0</v>
      </c>
      <c r="AE244" s="116">
        <v>0</v>
      </c>
      <c r="AF244" s="116">
        <v>0</v>
      </c>
      <c r="AG244" s="116">
        <v>0</v>
      </c>
      <c r="AH244" s="116">
        <v>0</v>
      </c>
      <c r="AI244" s="116">
        <v>0</v>
      </c>
      <c r="AJ244" s="116">
        <v>0</v>
      </c>
      <c r="AK244" s="116">
        <v>0</v>
      </c>
      <c r="AL244" s="116">
        <v>0</v>
      </c>
      <c r="AM244" s="116">
        <v>0</v>
      </c>
      <c r="AN244" s="116">
        <v>0</v>
      </c>
      <c r="AO244" s="116">
        <v>0</v>
      </c>
      <c r="AP244" s="116">
        <v>0</v>
      </c>
      <c r="AQ244" s="116">
        <v>0</v>
      </c>
      <c r="AR244" s="116">
        <v>0</v>
      </c>
      <c r="AS244" s="116">
        <v>0</v>
      </c>
      <c r="AT244" s="116">
        <v>0</v>
      </c>
      <c r="AU244" s="116">
        <v>0</v>
      </c>
      <c r="AV244" s="116">
        <v>0</v>
      </c>
      <c r="AW244" s="116">
        <v>0</v>
      </c>
      <c r="AX244" s="116">
        <v>0</v>
      </c>
      <c r="AY244" s="116">
        <v>0</v>
      </c>
    </row>
    <row r="245" spans="1:51" x14ac:dyDescent="0.2">
      <c r="A245" s="115"/>
      <c r="B245" s="136">
        <v>37</v>
      </c>
      <c r="C245" s="112">
        <v>0</v>
      </c>
      <c r="D245" s="116">
        <v>0</v>
      </c>
      <c r="E245" s="116">
        <v>0</v>
      </c>
      <c r="F245" s="116">
        <v>0</v>
      </c>
      <c r="G245" s="116">
        <v>0</v>
      </c>
      <c r="H245" s="116">
        <v>0</v>
      </c>
      <c r="I245" s="116">
        <v>0</v>
      </c>
      <c r="J245" s="116">
        <v>0</v>
      </c>
      <c r="K245" s="116">
        <v>0</v>
      </c>
      <c r="L245" s="116">
        <v>0</v>
      </c>
      <c r="M245" s="116">
        <v>0</v>
      </c>
      <c r="N245" s="116">
        <v>0</v>
      </c>
      <c r="O245" s="116">
        <v>0</v>
      </c>
      <c r="P245" s="116">
        <v>0</v>
      </c>
      <c r="Q245" s="116">
        <v>0</v>
      </c>
      <c r="R245" s="116">
        <v>0</v>
      </c>
      <c r="S245" s="116">
        <v>0</v>
      </c>
      <c r="T245" s="116">
        <v>0</v>
      </c>
      <c r="U245" s="116">
        <v>0</v>
      </c>
      <c r="V245" s="116">
        <v>0</v>
      </c>
      <c r="W245" s="116">
        <v>0</v>
      </c>
      <c r="X245" s="116">
        <v>0</v>
      </c>
      <c r="Y245" s="116">
        <v>0</v>
      </c>
      <c r="Z245" s="116">
        <v>0</v>
      </c>
      <c r="AA245" s="116">
        <v>0</v>
      </c>
      <c r="AB245" s="116">
        <v>0</v>
      </c>
      <c r="AC245" s="116">
        <v>0</v>
      </c>
      <c r="AD245" s="116">
        <v>0</v>
      </c>
      <c r="AE245" s="116">
        <v>0</v>
      </c>
      <c r="AF245" s="116">
        <v>0</v>
      </c>
      <c r="AG245" s="116">
        <v>0</v>
      </c>
      <c r="AH245" s="116">
        <v>0</v>
      </c>
      <c r="AI245" s="116">
        <v>0</v>
      </c>
      <c r="AJ245" s="116">
        <v>0</v>
      </c>
      <c r="AK245" s="116">
        <v>0</v>
      </c>
      <c r="AL245" s="116">
        <v>0</v>
      </c>
      <c r="AM245" s="116">
        <v>0</v>
      </c>
      <c r="AN245" s="116">
        <v>0</v>
      </c>
      <c r="AO245" s="116">
        <v>0</v>
      </c>
      <c r="AP245" s="116">
        <v>0</v>
      </c>
      <c r="AQ245" s="116">
        <v>0</v>
      </c>
      <c r="AR245" s="116">
        <v>0</v>
      </c>
      <c r="AS245" s="116">
        <v>0</v>
      </c>
      <c r="AT245" s="116">
        <v>0</v>
      </c>
      <c r="AU245" s="116">
        <v>0</v>
      </c>
      <c r="AV245" s="116">
        <v>0</v>
      </c>
      <c r="AW245" s="116">
        <v>0</v>
      </c>
      <c r="AX245" s="116">
        <v>0</v>
      </c>
      <c r="AY245" s="116">
        <v>0</v>
      </c>
    </row>
    <row r="246" spans="1:51" x14ac:dyDescent="0.2">
      <c r="A246" s="115"/>
      <c r="B246" s="136">
        <v>38</v>
      </c>
      <c r="C246" s="112">
        <v>0</v>
      </c>
      <c r="D246" s="116">
        <v>0</v>
      </c>
      <c r="E246" s="116">
        <v>0</v>
      </c>
      <c r="F246" s="116">
        <v>0</v>
      </c>
      <c r="G246" s="116">
        <v>0</v>
      </c>
      <c r="H246" s="116">
        <v>0</v>
      </c>
      <c r="I246" s="116">
        <v>0</v>
      </c>
      <c r="J246" s="116">
        <v>0</v>
      </c>
      <c r="K246" s="116">
        <v>0</v>
      </c>
      <c r="L246" s="116">
        <v>0</v>
      </c>
      <c r="M246" s="116">
        <v>0</v>
      </c>
      <c r="N246" s="116">
        <v>0</v>
      </c>
      <c r="O246" s="116">
        <v>0</v>
      </c>
      <c r="P246" s="116">
        <v>0</v>
      </c>
      <c r="Q246" s="116">
        <v>0</v>
      </c>
      <c r="R246" s="116">
        <v>0</v>
      </c>
      <c r="S246" s="116">
        <v>0</v>
      </c>
      <c r="T246" s="116">
        <v>0</v>
      </c>
      <c r="U246" s="116">
        <v>0</v>
      </c>
      <c r="V246" s="116">
        <v>0</v>
      </c>
      <c r="W246" s="116">
        <v>0</v>
      </c>
      <c r="X246" s="116">
        <v>0</v>
      </c>
      <c r="Y246" s="116">
        <v>0</v>
      </c>
      <c r="Z246" s="116">
        <v>0</v>
      </c>
      <c r="AA246" s="116">
        <v>0</v>
      </c>
      <c r="AB246" s="116">
        <v>0</v>
      </c>
      <c r="AC246" s="116">
        <v>0</v>
      </c>
      <c r="AD246" s="116">
        <v>0</v>
      </c>
      <c r="AE246" s="116">
        <v>0</v>
      </c>
      <c r="AF246" s="116">
        <v>0</v>
      </c>
      <c r="AG246" s="116">
        <v>0</v>
      </c>
      <c r="AH246" s="116">
        <v>0</v>
      </c>
      <c r="AI246" s="116">
        <v>0</v>
      </c>
      <c r="AJ246" s="116">
        <v>0</v>
      </c>
      <c r="AK246" s="116">
        <v>0</v>
      </c>
      <c r="AL246" s="116">
        <v>0</v>
      </c>
      <c r="AM246" s="116">
        <v>0</v>
      </c>
      <c r="AN246" s="116">
        <v>0</v>
      </c>
      <c r="AO246" s="116">
        <v>0</v>
      </c>
      <c r="AP246" s="116">
        <v>0</v>
      </c>
      <c r="AQ246" s="116">
        <v>0</v>
      </c>
      <c r="AR246" s="116">
        <v>0</v>
      </c>
      <c r="AS246" s="116">
        <v>0</v>
      </c>
      <c r="AT246" s="116">
        <v>0</v>
      </c>
      <c r="AU246" s="116">
        <v>0</v>
      </c>
      <c r="AV246" s="116">
        <v>0</v>
      </c>
      <c r="AW246" s="116">
        <v>0</v>
      </c>
      <c r="AX246" s="116">
        <v>0</v>
      </c>
      <c r="AY246" s="116">
        <v>0</v>
      </c>
    </row>
    <row r="247" spans="1:51" x14ac:dyDescent="0.2">
      <c r="A247" s="115"/>
      <c r="B247" s="136">
        <v>39</v>
      </c>
      <c r="C247" s="112">
        <v>0</v>
      </c>
      <c r="D247" s="116">
        <v>0</v>
      </c>
      <c r="E247" s="116">
        <v>0</v>
      </c>
      <c r="F247" s="116">
        <v>0</v>
      </c>
      <c r="G247" s="116">
        <v>0</v>
      </c>
      <c r="H247" s="116">
        <v>0</v>
      </c>
      <c r="I247" s="116">
        <v>0</v>
      </c>
      <c r="J247" s="116">
        <v>0</v>
      </c>
      <c r="K247" s="116">
        <v>0</v>
      </c>
      <c r="L247" s="116">
        <v>0</v>
      </c>
      <c r="M247" s="116">
        <v>0</v>
      </c>
      <c r="N247" s="116">
        <v>0</v>
      </c>
      <c r="O247" s="116">
        <v>0</v>
      </c>
      <c r="P247" s="116">
        <v>0</v>
      </c>
      <c r="Q247" s="116">
        <v>0</v>
      </c>
      <c r="R247" s="116">
        <v>0</v>
      </c>
      <c r="S247" s="116">
        <v>0</v>
      </c>
      <c r="T247" s="116">
        <v>0</v>
      </c>
      <c r="U247" s="116">
        <v>0</v>
      </c>
      <c r="V247" s="116">
        <v>0</v>
      </c>
      <c r="W247" s="116">
        <v>0</v>
      </c>
      <c r="X247" s="116">
        <v>0</v>
      </c>
      <c r="Y247" s="116">
        <v>0</v>
      </c>
      <c r="Z247" s="116">
        <v>0</v>
      </c>
      <c r="AA247" s="116">
        <v>0</v>
      </c>
      <c r="AB247" s="116">
        <v>0</v>
      </c>
      <c r="AC247" s="116">
        <v>0</v>
      </c>
      <c r="AD247" s="116">
        <v>0</v>
      </c>
      <c r="AE247" s="116">
        <v>0</v>
      </c>
      <c r="AF247" s="116">
        <v>0</v>
      </c>
      <c r="AG247" s="116">
        <v>0</v>
      </c>
      <c r="AH247" s="116">
        <v>0</v>
      </c>
      <c r="AI247" s="116">
        <v>0</v>
      </c>
      <c r="AJ247" s="116">
        <v>0</v>
      </c>
      <c r="AK247" s="116">
        <v>0</v>
      </c>
      <c r="AL247" s="116">
        <v>0</v>
      </c>
      <c r="AM247" s="116">
        <v>0</v>
      </c>
      <c r="AN247" s="116">
        <v>0</v>
      </c>
      <c r="AO247" s="116">
        <v>0</v>
      </c>
      <c r="AP247" s="116">
        <v>0</v>
      </c>
      <c r="AQ247" s="116">
        <v>0</v>
      </c>
      <c r="AR247" s="116">
        <v>0</v>
      </c>
      <c r="AS247" s="116">
        <v>0</v>
      </c>
      <c r="AT247" s="116">
        <v>0</v>
      </c>
      <c r="AU247" s="116">
        <v>0</v>
      </c>
      <c r="AV247" s="116">
        <v>0</v>
      </c>
      <c r="AW247" s="116">
        <v>0</v>
      </c>
      <c r="AX247" s="116">
        <v>0</v>
      </c>
      <c r="AY247" s="116">
        <v>0</v>
      </c>
    </row>
    <row r="248" spans="1:51" x14ac:dyDescent="0.2">
      <c r="A248" s="115"/>
      <c r="B248" s="136">
        <v>40</v>
      </c>
      <c r="C248" s="112">
        <v>0</v>
      </c>
      <c r="D248" s="116">
        <v>0</v>
      </c>
      <c r="E248" s="116">
        <v>0</v>
      </c>
      <c r="F248" s="116">
        <v>0</v>
      </c>
      <c r="G248" s="116">
        <v>0</v>
      </c>
      <c r="H248" s="116">
        <v>0</v>
      </c>
      <c r="I248" s="116">
        <v>0</v>
      </c>
      <c r="J248" s="116">
        <v>0</v>
      </c>
      <c r="K248" s="116">
        <v>0</v>
      </c>
      <c r="L248" s="116">
        <v>0</v>
      </c>
      <c r="M248" s="116">
        <v>0</v>
      </c>
      <c r="N248" s="116">
        <v>0</v>
      </c>
      <c r="O248" s="116">
        <v>0</v>
      </c>
      <c r="P248" s="116">
        <v>0</v>
      </c>
      <c r="Q248" s="116">
        <v>0</v>
      </c>
      <c r="R248" s="116">
        <v>0</v>
      </c>
      <c r="S248" s="116">
        <v>0</v>
      </c>
      <c r="T248" s="116">
        <v>0</v>
      </c>
      <c r="U248" s="116">
        <v>0</v>
      </c>
      <c r="V248" s="116">
        <v>0</v>
      </c>
      <c r="W248" s="116">
        <v>0</v>
      </c>
      <c r="X248" s="116">
        <v>0</v>
      </c>
      <c r="Y248" s="116">
        <v>0</v>
      </c>
      <c r="Z248" s="116">
        <v>0</v>
      </c>
      <c r="AA248" s="116">
        <v>0</v>
      </c>
      <c r="AB248" s="116">
        <v>0</v>
      </c>
      <c r="AC248" s="116">
        <v>0</v>
      </c>
      <c r="AD248" s="116">
        <v>0</v>
      </c>
      <c r="AE248" s="116">
        <v>0</v>
      </c>
      <c r="AF248" s="116">
        <v>0</v>
      </c>
      <c r="AG248" s="116">
        <v>0</v>
      </c>
      <c r="AH248" s="116">
        <v>0</v>
      </c>
      <c r="AI248" s="116">
        <v>0</v>
      </c>
      <c r="AJ248" s="116">
        <v>0</v>
      </c>
      <c r="AK248" s="116">
        <v>0</v>
      </c>
      <c r="AL248" s="116">
        <v>0</v>
      </c>
      <c r="AM248" s="116">
        <v>0</v>
      </c>
      <c r="AN248" s="116">
        <v>0</v>
      </c>
      <c r="AO248" s="116">
        <v>0</v>
      </c>
      <c r="AP248" s="116">
        <v>0</v>
      </c>
      <c r="AQ248" s="116">
        <v>0</v>
      </c>
      <c r="AR248" s="116">
        <v>0</v>
      </c>
      <c r="AS248" s="116">
        <v>0</v>
      </c>
      <c r="AT248" s="116">
        <v>0</v>
      </c>
      <c r="AU248" s="116">
        <v>0</v>
      </c>
      <c r="AV248" s="116">
        <v>0</v>
      </c>
      <c r="AW248" s="116">
        <v>0</v>
      </c>
      <c r="AX248" s="116">
        <v>0</v>
      </c>
      <c r="AY248" s="116">
        <v>0</v>
      </c>
    </row>
    <row r="249" spans="1:51" x14ac:dyDescent="0.2">
      <c r="A249" s="115"/>
      <c r="B249" s="136">
        <v>41</v>
      </c>
      <c r="C249" s="112">
        <v>0</v>
      </c>
      <c r="D249" s="116">
        <v>0</v>
      </c>
      <c r="E249" s="116">
        <v>0</v>
      </c>
      <c r="F249" s="116">
        <v>0</v>
      </c>
      <c r="G249" s="116">
        <v>0</v>
      </c>
      <c r="H249" s="116">
        <v>0</v>
      </c>
      <c r="I249" s="116">
        <v>0</v>
      </c>
      <c r="J249" s="116">
        <v>0</v>
      </c>
      <c r="K249" s="116">
        <v>0</v>
      </c>
      <c r="L249" s="116">
        <v>0</v>
      </c>
      <c r="M249" s="116">
        <v>0</v>
      </c>
      <c r="N249" s="116">
        <v>0</v>
      </c>
      <c r="O249" s="116">
        <v>0</v>
      </c>
      <c r="P249" s="116">
        <v>0</v>
      </c>
      <c r="Q249" s="116">
        <v>0</v>
      </c>
      <c r="R249" s="116">
        <v>0</v>
      </c>
      <c r="S249" s="116">
        <v>0</v>
      </c>
      <c r="T249" s="116">
        <v>0</v>
      </c>
      <c r="U249" s="116">
        <v>0</v>
      </c>
      <c r="V249" s="116">
        <v>0</v>
      </c>
      <c r="W249" s="116">
        <v>0</v>
      </c>
      <c r="X249" s="116">
        <v>0</v>
      </c>
      <c r="Y249" s="116">
        <v>0</v>
      </c>
      <c r="Z249" s="116">
        <v>0</v>
      </c>
      <c r="AA249" s="116">
        <v>0</v>
      </c>
      <c r="AB249" s="116">
        <v>0</v>
      </c>
      <c r="AC249" s="116">
        <v>0</v>
      </c>
      <c r="AD249" s="116">
        <v>0</v>
      </c>
      <c r="AE249" s="116">
        <v>0</v>
      </c>
      <c r="AF249" s="116">
        <v>0</v>
      </c>
      <c r="AG249" s="116">
        <v>0</v>
      </c>
      <c r="AH249" s="116">
        <v>0</v>
      </c>
      <c r="AI249" s="116">
        <v>0</v>
      </c>
      <c r="AJ249" s="116">
        <v>0</v>
      </c>
      <c r="AK249" s="116">
        <v>0</v>
      </c>
      <c r="AL249" s="116">
        <v>0</v>
      </c>
      <c r="AM249" s="116">
        <v>0</v>
      </c>
      <c r="AN249" s="116">
        <v>0</v>
      </c>
      <c r="AO249" s="116">
        <v>0</v>
      </c>
      <c r="AP249" s="116">
        <v>0</v>
      </c>
      <c r="AQ249" s="116">
        <v>0</v>
      </c>
      <c r="AR249" s="116">
        <v>0</v>
      </c>
      <c r="AS249" s="116">
        <v>0</v>
      </c>
      <c r="AT249" s="116">
        <v>0</v>
      </c>
      <c r="AU249" s="116">
        <v>0</v>
      </c>
      <c r="AV249" s="116">
        <v>0</v>
      </c>
      <c r="AW249" s="116">
        <v>0</v>
      </c>
      <c r="AX249" s="116">
        <v>0</v>
      </c>
      <c r="AY249" s="116">
        <v>0</v>
      </c>
    </row>
    <row r="250" spans="1:51" x14ac:dyDescent="0.2">
      <c r="A250" s="115"/>
      <c r="B250" s="136">
        <v>42</v>
      </c>
      <c r="C250" s="112">
        <v>0</v>
      </c>
      <c r="D250" s="116">
        <v>0</v>
      </c>
      <c r="E250" s="116">
        <v>0</v>
      </c>
      <c r="F250" s="116">
        <v>0</v>
      </c>
      <c r="G250" s="116">
        <v>0</v>
      </c>
      <c r="H250" s="116">
        <v>0</v>
      </c>
      <c r="I250" s="116">
        <v>0</v>
      </c>
      <c r="J250" s="116">
        <v>0</v>
      </c>
      <c r="K250" s="116">
        <v>0</v>
      </c>
      <c r="L250" s="116">
        <v>0</v>
      </c>
      <c r="M250" s="116">
        <v>0</v>
      </c>
      <c r="N250" s="116">
        <v>0</v>
      </c>
      <c r="O250" s="116">
        <v>0</v>
      </c>
      <c r="P250" s="116">
        <v>0</v>
      </c>
      <c r="Q250" s="116">
        <v>0</v>
      </c>
      <c r="R250" s="116">
        <v>0</v>
      </c>
      <c r="S250" s="116">
        <v>0</v>
      </c>
      <c r="T250" s="116">
        <v>0</v>
      </c>
      <c r="U250" s="116">
        <v>0</v>
      </c>
      <c r="V250" s="116">
        <v>0</v>
      </c>
      <c r="W250" s="116">
        <v>0</v>
      </c>
      <c r="X250" s="116">
        <v>0</v>
      </c>
      <c r="Y250" s="116">
        <v>0</v>
      </c>
      <c r="Z250" s="116">
        <v>0</v>
      </c>
      <c r="AA250" s="116">
        <v>0</v>
      </c>
      <c r="AB250" s="116">
        <v>0</v>
      </c>
      <c r="AC250" s="116">
        <v>0</v>
      </c>
      <c r="AD250" s="116">
        <v>0</v>
      </c>
      <c r="AE250" s="116">
        <v>0</v>
      </c>
      <c r="AF250" s="116">
        <v>0</v>
      </c>
      <c r="AG250" s="116">
        <v>0</v>
      </c>
      <c r="AH250" s="116">
        <v>0</v>
      </c>
      <c r="AI250" s="116">
        <v>0</v>
      </c>
      <c r="AJ250" s="116">
        <v>0</v>
      </c>
      <c r="AK250" s="116">
        <v>0</v>
      </c>
      <c r="AL250" s="116">
        <v>0</v>
      </c>
      <c r="AM250" s="116">
        <v>0</v>
      </c>
      <c r="AN250" s="116">
        <v>0</v>
      </c>
      <c r="AO250" s="116">
        <v>0</v>
      </c>
      <c r="AP250" s="116">
        <v>0</v>
      </c>
      <c r="AQ250" s="116">
        <v>0</v>
      </c>
      <c r="AR250" s="116">
        <v>0</v>
      </c>
      <c r="AS250" s="116">
        <v>0</v>
      </c>
      <c r="AT250" s="116">
        <v>0</v>
      </c>
      <c r="AU250" s="116">
        <v>0</v>
      </c>
      <c r="AV250" s="116">
        <v>0</v>
      </c>
      <c r="AW250" s="116">
        <v>0</v>
      </c>
      <c r="AX250" s="116">
        <v>0</v>
      </c>
      <c r="AY250" s="116">
        <v>0</v>
      </c>
    </row>
    <row r="251" spans="1:51" x14ac:dyDescent="0.2">
      <c r="A251" s="115"/>
      <c r="B251" s="136">
        <v>43</v>
      </c>
      <c r="C251" s="112">
        <v>0</v>
      </c>
      <c r="D251" s="116">
        <v>0</v>
      </c>
      <c r="E251" s="116">
        <v>0</v>
      </c>
      <c r="F251" s="116">
        <v>0</v>
      </c>
      <c r="G251" s="116">
        <v>0</v>
      </c>
      <c r="H251" s="116">
        <v>0</v>
      </c>
      <c r="I251" s="116">
        <v>0</v>
      </c>
      <c r="J251" s="116">
        <v>0</v>
      </c>
      <c r="K251" s="116">
        <v>0</v>
      </c>
      <c r="L251" s="116">
        <v>0</v>
      </c>
      <c r="M251" s="116">
        <v>0</v>
      </c>
      <c r="N251" s="116">
        <v>0</v>
      </c>
      <c r="O251" s="116">
        <v>0</v>
      </c>
      <c r="P251" s="116">
        <v>0</v>
      </c>
      <c r="Q251" s="116">
        <v>0</v>
      </c>
      <c r="R251" s="116">
        <v>0</v>
      </c>
      <c r="S251" s="116">
        <v>0</v>
      </c>
      <c r="T251" s="116">
        <v>0</v>
      </c>
      <c r="U251" s="116">
        <v>0</v>
      </c>
      <c r="V251" s="116">
        <v>0</v>
      </c>
      <c r="W251" s="116">
        <v>0</v>
      </c>
      <c r="X251" s="116">
        <v>0</v>
      </c>
      <c r="Y251" s="116">
        <v>0</v>
      </c>
      <c r="Z251" s="116">
        <v>0</v>
      </c>
      <c r="AA251" s="116">
        <v>0</v>
      </c>
      <c r="AB251" s="116">
        <v>0</v>
      </c>
      <c r="AC251" s="116">
        <v>0</v>
      </c>
      <c r="AD251" s="116">
        <v>0</v>
      </c>
      <c r="AE251" s="116">
        <v>0</v>
      </c>
      <c r="AF251" s="116">
        <v>0</v>
      </c>
      <c r="AG251" s="116">
        <v>0</v>
      </c>
      <c r="AH251" s="116">
        <v>0</v>
      </c>
      <c r="AI251" s="116">
        <v>0</v>
      </c>
      <c r="AJ251" s="116">
        <v>0</v>
      </c>
      <c r="AK251" s="116">
        <v>0</v>
      </c>
      <c r="AL251" s="116">
        <v>0</v>
      </c>
      <c r="AM251" s="116">
        <v>0</v>
      </c>
      <c r="AN251" s="116">
        <v>0</v>
      </c>
      <c r="AO251" s="116">
        <v>0</v>
      </c>
      <c r="AP251" s="116">
        <v>0</v>
      </c>
      <c r="AQ251" s="116">
        <v>0</v>
      </c>
      <c r="AR251" s="116">
        <v>0</v>
      </c>
      <c r="AS251" s="116">
        <v>0</v>
      </c>
      <c r="AT251" s="116">
        <v>0</v>
      </c>
      <c r="AU251" s="116">
        <v>0</v>
      </c>
      <c r="AV251" s="116">
        <v>0</v>
      </c>
      <c r="AW251" s="116">
        <v>0</v>
      </c>
      <c r="AX251" s="116">
        <v>0</v>
      </c>
      <c r="AY251" s="116">
        <v>0</v>
      </c>
    </row>
    <row r="252" spans="1:51" x14ac:dyDescent="0.2">
      <c r="A252" s="115"/>
      <c r="B252" s="136">
        <v>44</v>
      </c>
      <c r="C252" s="112">
        <v>0</v>
      </c>
      <c r="D252" s="116">
        <v>0</v>
      </c>
      <c r="E252" s="116">
        <v>0</v>
      </c>
      <c r="F252" s="116">
        <v>0</v>
      </c>
      <c r="G252" s="116">
        <v>0</v>
      </c>
      <c r="H252" s="116">
        <v>0</v>
      </c>
      <c r="I252" s="116">
        <v>0</v>
      </c>
      <c r="J252" s="116">
        <v>0</v>
      </c>
      <c r="K252" s="116">
        <v>0</v>
      </c>
      <c r="L252" s="116">
        <v>0</v>
      </c>
      <c r="M252" s="116">
        <v>0</v>
      </c>
      <c r="N252" s="116">
        <v>0</v>
      </c>
      <c r="O252" s="116">
        <v>0</v>
      </c>
      <c r="P252" s="116">
        <v>0</v>
      </c>
      <c r="Q252" s="116">
        <v>0</v>
      </c>
      <c r="R252" s="116">
        <v>0</v>
      </c>
      <c r="S252" s="116">
        <v>0</v>
      </c>
      <c r="T252" s="116">
        <v>0</v>
      </c>
      <c r="U252" s="116">
        <v>0</v>
      </c>
      <c r="V252" s="116">
        <v>0</v>
      </c>
      <c r="W252" s="116">
        <v>0</v>
      </c>
      <c r="X252" s="116">
        <v>0</v>
      </c>
      <c r="Y252" s="116">
        <v>0</v>
      </c>
      <c r="Z252" s="116">
        <v>0</v>
      </c>
      <c r="AA252" s="116">
        <v>0</v>
      </c>
      <c r="AB252" s="116">
        <v>0</v>
      </c>
      <c r="AC252" s="116">
        <v>0</v>
      </c>
      <c r="AD252" s="116">
        <v>0</v>
      </c>
      <c r="AE252" s="116">
        <v>0</v>
      </c>
      <c r="AF252" s="116">
        <v>0</v>
      </c>
      <c r="AG252" s="116">
        <v>0</v>
      </c>
      <c r="AH252" s="116">
        <v>0</v>
      </c>
      <c r="AI252" s="116">
        <v>0</v>
      </c>
      <c r="AJ252" s="116">
        <v>0</v>
      </c>
      <c r="AK252" s="116">
        <v>0</v>
      </c>
      <c r="AL252" s="116">
        <v>0</v>
      </c>
      <c r="AM252" s="116">
        <v>0</v>
      </c>
      <c r="AN252" s="116">
        <v>0</v>
      </c>
      <c r="AO252" s="116">
        <v>0</v>
      </c>
      <c r="AP252" s="116">
        <v>0</v>
      </c>
      <c r="AQ252" s="116">
        <v>0</v>
      </c>
      <c r="AR252" s="116">
        <v>0</v>
      </c>
      <c r="AS252" s="116">
        <v>0</v>
      </c>
      <c r="AT252" s="116">
        <v>0</v>
      </c>
      <c r="AU252" s="116">
        <v>0</v>
      </c>
      <c r="AV252" s="116">
        <v>0</v>
      </c>
      <c r="AW252" s="116">
        <v>0</v>
      </c>
      <c r="AX252" s="116">
        <v>0</v>
      </c>
      <c r="AY252" s="116">
        <v>0</v>
      </c>
    </row>
    <row r="253" spans="1:51" x14ac:dyDescent="0.2">
      <c r="A253" s="115"/>
      <c r="B253" s="136">
        <v>45</v>
      </c>
      <c r="C253" s="112">
        <v>0</v>
      </c>
      <c r="D253" s="116">
        <v>0</v>
      </c>
      <c r="E253" s="116">
        <v>0</v>
      </c>
      <c r="F253" s="116">
        <v>0</v>
      </c>
      <c r="G253" s="116">
        <v>0</v>
      </c>
      <c r="H253" s="116">
        <v>0</v>
      </c>
      <c r="I253" s="116">
        <v>0</v>
      </c>
      <c r="J253" s="116">
        <v>0</v>
      </c>
      <c r="K253" s="116">
        <v>0</v>
      </c>
      <c r="L253" s="116">
        <v>0</v>
      </c>
      <c r="M253" s="116">
        <v>0</v>
      </c>
      <c r="N253" s="116">
        <v>0</v>
      </c>
      <c r="O253" s="116">
        <v>0</v>
      </c>
      <c r="P253" s="116">
        <v>0</v>
      </c>
      <c r="Q253" s="116">
        <v>0</v>
      </c>
      <c r="R253" s="116">
        <v>0</v>
      </c>
      <c r="S253" s="116">
        <v>0</v>
      </c>
      <c r="T253" s="116">
        <v>0</v>
      </c>
      <c r="U253" s="116">
        <v>0</v>
      </c>
      <c r="V253" s="116">
        <v>0</v>
      </c>
      <c r="W253" s="116">
        <v>0</v>
      </c>
      <c r="X253" s="116">
        <v>0</v>
      </c>
      <c r="Y253" s="116">
        <v>0</v>
      </c>
      <c r="Z253" s="116">
        <v>0</v>
      </c>
      <c r="AA253" s="116">
        <v>0</v>
      </c>
      <c r="AB253" s="116">
        <v>0</v>
      </c>
      <c r="AC253" s="116">
        <v>0</v>
      </c>
      <c r="AD253" s="116">
        <v>0</v>
      </c>
      <c r="AE253" s="116">
        <v>0</v>
      </c>
      <c r="AF253" s="116">
        <v>0</v>
      </c>
      <c r="AG253" s="116">
        <v>0</v>
      </c>
      <c r="AH253" s="116">
        <v>0</v>
      </c>
      <c r="AI253" s="116">
        <v>0</v>
      </c>
      <c r="AJ253" s="116">
        <v>0</v>
      </c>
      <c r="AK253" s="116">
        <v>0</v>
      </c>
      <c r="AL253" s="116">
        <v>0</v>
      </c>
      <c r="AM253" s="116">
        <v>0</v>
      </c>
      <c r="AN253" s="116">
        <v>0</v>
      </c>
      <c r="AO253" s="116">
        <v>0</v>
      </c>
      <c r="AP253" s="116">
        <v>0</v>
      </c>
      <c r="AQ253" s="116">
        <v>0</v>
      </c>
      <c r="AR253" s="116">
        <v>0</v>
      </c>
      <c r="AS253" s="116">
        <v>0</v>
      </c>
      <c r="AT253" s="116">
        <v>0</v>
      </c>
      <c r="AU253" s="116">
        <v>0</v>
      </c>
      <c r="AV253" s="116">
        <v>0</v>
      </c>
      <c r="AW253" s="116">
        <v>0</v>
      </c>
      <c r="AX253" s="116">
        <v>0</v>
      </c>
      <c r="AY253" s="116">
        <v>0</v>
      </c>
    </row>
    <row r="254" spans="1:51" x14ac:dyDescent="0.2">
      <c r="A254" s="115"/>
      <c r="B254" s="136">
        <v>46</v>
      </c>
      <c r="C254" s="112">
        <v>0</v>
      </c>
      <c r="D254" s="116">
        <v>0</v>
      </c>
      <c r="E254" s="116">
        <v>0</v>
      </c>
      <c r="F254" s="116">
        <v>0</v>
      </c>
      <c r="G254" s="116">
        <v>0</v>
      </c>
      <c r="H254" s="116">
        <v>0</v>
      </c>
      <c r="I254" s="116">
        <v>0</v>
      </c>
      <c r="J254" s="116">
        <v>0</v>
      </c>
      <c r="K254" s="116">
        <v>0</v>
      </c>
      <c r="L254" s="116">
        <v>0</v>
      </c>
      <c r="M254" s="116">
        <v>0</v>
      </c>
      <c r="N254" s="116">
        <v>0</v>
      </c>
      <c r="O254" s="116">
        <v>0</v>
      </c>
      <c r="P254" s="116">
        <v>0</v>
      </c>
      <c r="Q254" s="116">
        <v>0</v>
      </c>
      <c r="R254" s="116">
        <v>0</v>
      </c>
      <c r="S254" s="116">
        <v>0</v>
      </c>
      <c r="T254" s="116">
        <v>0</v>
      </c>
      <c r="U254" s="116">
        <v>0</v>
      </c>
      <c r="V254" s="116">
        <v>0</v>
      </c>
      <c r="W254" s="116">
        <v>0</v>
      </c>
      <c r="X254" s="116">
        <v>0</v>
      </c>
      <c r="Y254" s="116">
        <v>0</v>
      </c>
      <c r="Z254" s="116">
        <v>0</v>
      </c>
      <c r="AA254" s="116">
        <v>0</v>
      </c>
      <c r="AB254" s="116">
        <v>0</v>
      </c>
      <c r="AC254" s="116">
        <v>0</v>
      </c>
      <c r="AD254" s="116">
        <v>0</v>
      </c>
      <c r="AE254" s="116">
        <v>0</v>
      </c>
      <c r="AF254" s="116">
        <v>0</v>
      </c>
      <c r="AG254" s="116">
        <v>0</v>
      </c>
      <c r="AH254" s="116">
        <v>0</v>
      </c>
      <c r="AI254" s="116">
        <v>0</v>
      </c>
      <c r="AJ254" s="116">
        <v>0</v>
      </c>
      <c r="AK254" s="116">
        <v>0</v>
      </c>
      <c r="AL254" s="116">
        <v>0</v>
      </c>
      <c r="AM254" s="116">
        <v>0</v>
      </c>
      <c r="AN254" s="116">
        <v>0</v>
      </c>
      <c r="AO254" s="116">
        <v>0</v>
      </c>
      <c r="AP254" s="116">
        <v>0</v>
      </c>
      <c r="AQ254" s="116">
        <v>0</v>
      </c>
      <c r="AR254" s="116">
        <v>0</v>
      </c>
      <c r="AS254" s="116">
        <v>0</v>
      </c>
      <c r="AT254" s="116">
        <v>0</v>
      </c>
      <c r="AU254" s="116">
        <v>0</v>
      </c>
      <c r="AV254" s="116">
        <v>0</v>
      </c>
      <c r="AW254" s="116">
        <v>0</v>
      </c>
      <c r="AX254" s="116">
        <v>0</v>
      </c>
      <c r="AY254" s="116">
        <v>0</v>
      </c>
    </row>
    <row r="255" spans="1:51" x14ac:dyDescent="0.2">
      <c r="A255" s="115"/>
      <c r="B255" s="136">
        <v>47</v>
      </c>
      <c r="C255" s="112">
        <v>0</v>
      </c>
      <c r="D255" s="116">
        <v>0</v>
      </c>
      <c r="E255" s="116">
        <v>0</v>
      </c>
      <c r="F255" s="116">
        <v>0</v>
      </c>
      <c r="G255" s="116">
        <v>0</v>
      </c>
      <c r="H255" s="116">
        <v>0</v>
      </c>
      <c r="I255" s="116">
        <v>0</v>
      </c>
      <c r="J255" s="116">
        <v>0</v>
      </c>
      <c r="K255" s="116">
        <v>0</v>
      </c>
      <c r="L255" s="116">
        <v>0</v>
      </c>
      <c r="M255" s="116">
        <v>0</v>
      </c>
      <c r="N255" s="116">
        <v>0</v>
      </c>
      <c r="O255" s="116">
        <v>0</v>
      </c>
      <c r="P255" s="116">
        <v>0</v>
      </c>
      <c r="Q255" s="116">
        <v>0</v>
      </c>
      <c r="R255" s="116">
        <v>0</v>
      </c>
      <c r="S255" s="116">
        <v>0</v>
      </c>
      <c r="T255" s="116">
        <v>0</v>
      </c>
      <c r="U255" s="116">
        <v>0</v>
      </c>
      <c r="V255" s="116">
        <v>0</v>
      </c>
      <c r="W255" s="116">
        <v>0</v>
      </c>
      <c r="X255" s="116">
        <v>0</v>
      </c>
      <c r="Y255" s="116">
        <v>0</v>
      </c>
      <c r="Z255" s="116">
        <v>0</v>
      </c>
      <c r="AA255" s="116">
        <v>0</v>
      </c>
      <c r="AB255" s="116">
        <v>0</v>
      </c>
      <c r="AC255" s="116">
        <v>0</v>
      </c>
      <c r="AD255" s="116">
        <v>0</v>
      </c>
      <c r="AE255" s="116">
        <v>0</v>
      </c>
      <c r="AF255" s="116">
        <v>0</v>
      </c>
      <c r="AG255" s="116">
        <v>0</v>
      </c>
      <c r="AH255" s="116">
        <v>0</v>
      </c>
      <c r="AI255" s="116">
        <v>0</v>
      </c>
      <c r="AJ255" s="116">
        <v>0</v>
      </c>
      <c r="AK255" s="116">
        <v>0</v>
      </c>
      <c r="AL255" s="116">
        <v>0</v>
      </c>
      <c r="AM255" s="116">
        <v>0</v>
      </c>
      <c r="AN255" s="116">
        <v>0</v>
      </c>
      <c r="AO255" s="116">
        <v>0</v>
      </c>
      <c r="AP255" s="116">
        <v>0</v>
      </c>
      <c r="AQ255" s="116">
        <v>0</v>
      </c>
      <c r="AR255" s="116">
        <v>0</v>
      </c>
      <c r="AS255" s="116">
        <v>0</v>
      </c>
      <c r="AT255" s="116">
        <v>0</v>
      </c>
      <c r="AU255" s="116">
        <v>0</v>
      </c>
      <c r="AV255" s="116">
        <v>0</v>
      </c>
      <c r="AW255" s="116">
        <v>0</v>
      </c>
      <c r="AX255" s="116">
        <v>0</v>
      </c>
      <c r="AY255" s="116">
        <v>0</v>
      </c>
    </row>
    <row r="256" spans="1:51" x14ac:dyDescent="0.2">
      <c r="A256" s="134"/>
      <c r="B256" s="135">
        <v>48</v>
      </c>
      <c r="C256" s="120">
        <v>0</v>
      </c>
      <c r="D256" s="131">
        <v>0</v>
      </c>
      <c r="E256" s="131">
        <v>0</v>
      </c>
      <c r="F256" s="131">
        <v>0</v>
      </c>
      <c r="G256" s="131">
        <v>0</v>
      </c>
      <c r="H256" s="131">
        <v>0</v>
      </c>
      <c r="I256" s="131">
        <v>0</v>
      </c>
      <c r="J256" s="131">
        <v>0</v>
      </c>
      <c r="K256" s="131">
        <v>0</v>
      </c>
      <c r="L256" s="131">
        <v>0</v>
      </c>
      <c r="M256" s="131">
        <v>0</v>
      </c>
      <c r="N256" s="131">
        <v>0</v>
      </c>
      <c r="O256" s="131">
        <v>0</v>
      </c>
      <c r="P256" s="131">
        <v>0</v>
      </c>
      <c r="Q256" s="131">
        <v>0</v>
      </c>
      <c r="R256" s="131">
        <v>0</v>
      </c>
      <c r="S256" s="131">
        <v>0</v>
      </c>
      <c r="T256" s="131">
        <v>0</v>
      </c>
      <c r="U256" s="131">
        <v>0</v>
      </c>
      <c r="V256" s="131">
        <v>0</v>
      </c>
      <c r="W256" s="131">
        <v>0</v>
      </c>
      <c r="X256" s="131">
        <v>0</v>
      </c>
      <c r="Y256" s="131">
        <v>0</v>
      </c>
      <c r="Z256" s="131">
        <v>0</v>
      </c>
      <c r="AA256" s="131">
        <v>0</v>
      </c>
      <c r="AB256" s="131">
        <v>0</v>
      </c>
      <c r="AC256" s="131">
        <v>0</v>
      </c>
      <c r="AD256" s="131">
        <v>0</v>
      </c>
      <c r="AE256" s="131">
        <v>0</v>
      </c>
      <c r="AF256" s="131">
        <v>0</v>
      </c>
      <c r="AG256" s="131">
        <v>0</v>
      </c>
      <c r="AH256" s="131">
        <v>0</v>
      </c>
      <c r="AI256" s="131">
        <v>0</v>
      </c>
      <c r="AJ256" s="131">
        <v>0</v>
      </c>
      <c r="AK256" s="131">
        <v>0</v>
      </c>
      <c r="AL256" s="131">
        <v>0</v>
      </c>
      <c r="AM256" s="131">
        <v>0</v>
      </c>
      <c r="AN256" s="131">
        <v>0</v>
      </c>
      <c r="AO256" s="131">
        <v>0</v>
      </c>
      <c r="AP256" s="131">
        <v>0</v>
      </c>
      <c r="AQ256" s="131">
        <v>0</v>
      </c>
      <c r="AR256" s="131">
        <v>0</v>
      </c>
      <c r="AS256" s="131">
        <v>0</v>
      </c>
      <c r="AT256" s="131">
        <v>0</v>
      </c>
      <c r="AU256" s="131">
        <v>0</v>
      </c>
      <c r="AV256" s="131">
        <v>0</v>
      </c>
      <c r="AW256" s="131">
        <v>0</v>
      </c>
      <c r="AX256" s="131">
        <v>0</v>
      </c>
      <c r="AY256" s="131">
        <v>0</v>
      </c>
    </row>
    <row r="258" spans="1:52" x14ac:dyDescent="0.2">
      <c r="A258" s="108" t="s">
        <v>301</v>
      </c>
    </row>
    <row r="259" spans="1:52" x14ac:dyDescent="0.2">
      <c r="A259" s="143" t="s">
        <v>124</v>
      </c>
      <c r="B259" s="144">
        <v>650</v>
      </c>
      <c r="C259" s="130" t="s">
        <v>293</v>
      </c>
      <c r="D259" s="130">
        <f>E$14*$B$259</f>
        <v>789264.94658611505</v>
      </c>
      <c r="E259" s="130">
        <f t="shared" ref="E259:AX259" si="5">F$14*$B$259</f>
        <v>706557.6415593836</v>
      </c>
      <c r="F259" s="130">
        <f t="shared" si="5"/>
        <v>514044.66787308577</v>
      </c>
      <c r="G259" s="130">
        <f t="shared" si="5"/>
        <v>353926.2473111545</v>
      </c>
      <c r="H259" s="130">
        <f t="shared" si="5"/>
        <v>175576.34913661875</v>
      </c>
      <c r="I259" s="130">
        <f t="shared" si="5"/>
        <v>379379.08126450796</v>
      </c>
      <c r="J259" s="130">
        <f t="shared" si="5"/>
        <v>343873.78437920159</v>
      </c>
      <c r="K259" s="130">
        <f t="shared" si="5"/>
        <v>338730.42026939243</v>
      </c>
      <c r="L259" s="130">
        <f t="shared" si="5"/>
        <v>150362.60092284324</v>
      </c>
      <c r="M259" s="130">
        <f t="shared" si="5"/>
        <v>174347.86055619241</v>
      </c>
      <c r="N259" s="130">
        <f t="shared" si="5"/>
        <v>111523.3403164246</v>
      </c>
      <c r="O259" s="130">
        <f t="shared" si="5"/>
        <v>141373.01907541629</v>
      </c>
      <c r="P259" s="130">
        <f t="shared" si="5"/>
        <v>194446.38569848609</v>
      </c>
      <c r="Q259" s="130">
        <f t="shared" si="5"/>
        <v>175403.97429795578</v>
      </c>
      <c r="R259" s="130">
        <f t="shared" si="5"/>
        <v>76556.317217197822</v>
      </c>
      <c r="S259" s="130">
        <f t="shared" si="5"/>
        <v>170320.03745921759</v>
      </c>
      <c r="T259" s="130">
        <f t="shared" si="5"/>
        <v>186568.02570976055</v>
      </c>
      <c r="U259" s="130">
        <f t="shared" si="5"/>
        <v>213524.31141988278</v>
      </c>
      <c r="V259" s="130">
        <f t="shared" si="5"/>
        <v>148196.13430424192</v>
      </c>
      <c r="W259" s="130">
        <f t="shared" si="5"/>
        <v>152771.03315176617</v>
      </c>
      <c r="X259" s="130">
        <f t="shared" si="5"/>
        <v>89980.021054278477</v>
      </c>
      <c r="Y259" s="130">
        <f t="shared" si="5"/>
        <v>49550.17173682608</v>
      </c>
      <c r="Z259" s="130">
        <f t="shared" si="5"/>
        <v>31655.626594570902</v>
      </c>
      <c r="AA259" s="130">
        <f t="shared" si="5"/>
        <v>96602.408866655125</v>
      </c>
      <c r="AB259" s="130">
        <f t="shared" si="5"/>
        <v>17593.981230669215</v>
      </c>
      <c r="AC259" s="130">
        <f t="shared" si="5"/>
        <v>68541.042108003239</v>
      </c>
      <c r="AD259" s="130">
        <f t="shared" si="5"/>
        <v>37448.426133553396</v>
      </c>
      <c r="AE259" s="130">
        <f t="shared" si="5"/>
        <v>37448.426133553396</v>
      </c>
      <c r="AF259" s="130">
        <f t="shared" si="5"/>
        <v>153874.99001807685</v>
      </c>
      <c r="AG259" s="130">
        <f t="shared" si="5"/>
        <v>187950.45967090153</v>
      </c>
      <c r="AH259" s="130">
        <f t="shared" si="5"/>
        <v>222838.98312754964</v>
      </c>
      <c r="AI259" s="130">
        <f t="shared" si="5"/>
        <v>162310.33908704045</v>
      </c>
      <c r="AJ259" s="130">
        <f t="shared" si="5"/>
        <v>122720.68770392587</v>
      </c>
      <c r="AK259" s="130">
        <f t="shared" si="5"/>
        <v>319895.90104832407</v>
      </c>
      <c r="AL259" s="130">
        <f t="shared" si="5"/>
        <v>476802.14381557307</v>
      </c>
      <c r="AM259" s="130">
        <f t="shared" si="5"/>
        <v>421758.37075792905</v>
      </c>
      <c r="AN259" s="130">
        <f t="shared" si="5"/>
        <v>268384.91800792987</v>
      </c>
      <c r="AO259" s="130">
        <f t="shared" si="5"/>
        <v>236591.82020620233</v>
      </c>
      <c r="AP259" s="130">
        <f t="shared" si="5"/>
        <v>277007.66240614338</v>
      </c>
      <c r="AQ259" s="130">
        <f t="shared" si="5"/>
        <v>272663.08477943542</v>
      </c>
      <c r="AR259" s="130">
        <f t="shared" si="5"/>
        <v>319716.57585318759</v>
      </c>
      <c r="AS259" s="130">
        <f t="shared" si="5"/>
        <v>245482.07439098507</v>
      </c>
      <c r="AT259" s="130">
        <f t="shared" si="5"/>
        <v>238875.15988481819</v>
      </c>
      <c r="AU259" s="130">
        <f t="shared" si="5"/>
        <v>172421.45862938295</v>
      </c>
      <c r="AV259" s="130">
        <f t="shared" si="5"/>
        <v>310319.47551261523</v>
      </c>
      <c r="AW259" s="130">
        <f t="shared" si="5"/>
        <v>333698.72076583694</v>
      </c>
      <c r="AX259" s="130">
        <f t="shared" si="5"/>
        <v>281068.77830625675</v>
      </c>
      <c r="AY259" s="130">
        <f>AZ$14*$B$259</f>
        <v>239591.83597061047</v>
      </c>
      <c r="AZ259" s="145">
        <f>SUM($D259:$AY259)</f>
        <v>11189539.722309679</v>
      </c>
    </row>
    <row r="260" spans="1:52" x14ac:dyDescent="0.2">
      <c r="A260" s="146" t="s">
        <v>302</v>
      </c>
      <c r="B260" s="120">
        <v>60</v>
      </c>
      <c r="C260" s="131" t="s">
        <v>293</v>
      </c>
      <c r="D260" s="131">
        <f>(D$175-D$176+D$177-D$178+D$179-D$180+D$181-D$182)*$B$260</f>
        <v>264936.09234158101</v>
      </c>
      <c r="E260" s="131">
        <f t="shared" ref="E260:AY260" si="6">(E$175-E$176+E$177-E$178+E$179-E$180+E$181-E$182)*$B$260</f>
        <v>295634.59960908181</v>
      </c>
      <c r="F260" s="131">
        <f t="shared" si="6"/>
        <v>294491.68696389644</v>
      </c>
      <c r="G260" s="131">
        <f t="shared" si="6"/>
        <v>255319.05908604368</v>
      </c>
      <c r="H260" s="131">
        <f t="shared" si="6"/>
        <v>257758.37216856043</v>
      </c>
      <c r="I260" s="131">
        <f t="shared" si="6"/>
        <v>314947.53873095079</v>
      </c>
      <c r="J260" s="131">
        <f t="shared" si="6"/>
        <v>348753.7564468151</v>
      </c>
      <c r="K260" s="131">
        <f t="shared" si="6"/>
        <v>371357.33421417198</v>
      </c>
      <c r="L260" s="131">
        <f t="shared" si="6"/>
        <v>398513.62844718707</v>
      </c>
      <c r="M260" s="131">
        <f t="shared" si="6"/>
        <v>405168.10000513465</v>
      </c>
      <c r="N260" s="131">
        <f t="shared" si="6"/>
        <v>384353.60407841392</v>
      </c>
      <c r="O260" s="131">
        <f t="shared" si="6"/>
        <v>398989.09583400213</v>
      </c>
      <c r="P260" s="131">
        <f t="shared" si="6"/>
        <v>398363.78207477357</v>
      </c>
      <c r="Q260" s="131">
        <f t="shared" si="6"/>
        <v>404630.74674392625</v>
      </c>
      <c r="R260" s="131">
        <f t="shared" si="6"/>
        <v>391748.31404752273</v>
      </c>
      <c r="S260" s="131">
        <f t="shared" si="6"/>
        <v>394501.2891126356</v>
      </c>
      <c r="T260" s="131">
        <f t="shared" si="6"/>
        <v>398849.77185439429</v>
      </c>
      <c r="U260" s="131">
        <f t="shared" si="6"/>
        <v>396270.06356124155</v>
      </c>
      <c r="V260" s="131">
        <f t="shared" si="6"/>
        <v>394909.76680318365</v>
      </c>
      <c r="W260" s="131">
        <f t="shared" si="6"/>
        <v>391454.38411064801</v>
      </c>
      <c r="X260" s="131">
        <f t="shared" si="6"/>
        <v>348692.97143135447</v>
      </c>
      <c r="Y260" s="131">
        <f t="shared" si="6"/>
        <v>324364.85713320912</v>
      </c>
      <c r="Z260" s="131">
        <f t="shared" si="6"/>
        <v>257578.32765340686</v>
      </c>
      <c r="AA260" s="131">
        <f t="shared" si="6"/>
        <v>227582.90711854867</v>
      </c>
      <c r="AB260" s="131">
        <f t="shared" si="6"/>
        <v>221604.46495285246</v>
      </c>
      <c r="AC260" s="131">
        <f t="shared" si="6"/>
        <v>230535.33983115549</v>
      </c>
      <c r="AD260" s="131">
        <f t="shared" si="6"/>
        <v>227738.88390057877</v>
      </c>
      <c r="AE260" s="131">
        <f t="shared" si="6"/>
        <v>212721.11453803495</v>
      </c>
      <c r="AF260" s="131">
        <f t="shared" si="6"/>
        <v>209721.61701929008</v>
      </c>
      <c r="AG260" s="131">
        <f t="shared" si="6"/>
        <v>213990.36352024259</v>
      </c>
      <c r="AH260" s="131">
        <f t="shared" si="6"/>
        <v>215456.10587860097</v>
      </c>
      <c r="AI260" s="131">
        <f t="shared" si="6"/>
        <v>226602.37194781256</v>
      </c>
      <c r="AJ260" s="131">
        <f t="shared" si="6"/>
        <v>215883.52494131317</v>
      </c>
      <c r="AK260" s="131">
        <f t="shared" si="6"/>
        <v>228505.63156862641</v>
      </c>
      <c r="AL260" s="131">
        <f t="shared" si="6"/>
        <v>265334.1159127563</v>
      </c>
      <c r="AM260" s="131">
        <f t="shared" si="6"/>
        <v>289619.13114408473</v>
      </c>
      <c r="AN260" s="131">
        <f t="shared" si="6"/>
        <v>335981.82179526839</v>
      </c>
      <c r="AO260" s="131">
        <f t="shared" si="6"/>
        <v>354416.73407026328</v>
      </c>
      <c r="AP260" s="131">
        <f t="shared" si="6"/>
        <v>403477.95643155806</v>
      </c>
      <c r="AQ260" s="131">
        <f t="shared" si="6"/>
        <v>401952.46153557464</v>
      </c>
      <c r="AR260" s="131">
        <f t="shared" si="6"/>
        <v>383300.90169680974</v>
      </c>
      <c r="AS260" s="131">
        <f t="shared" si="6"/>
        <v>352336.81863854785</v>
      </c>
      <c r="AT260" s="131">
        <f t="shared" si="6"/>
        <v>311796.10934641521</v>
      </c>
      <c r="AU260" s="131">
        <f t="shared" si="6"/>
        <v>258077.64152365504</v>
      </c>
      <c r="AV260" s="131">
        <f t="shared" si="6"/>
        <v>270387.88695939718</v>
      </c>
      <c r="AW260" s="131">
        <f t="shared" si="6"/>
        <v>261958.76332051808</v>
      </c>
      <c r="AX260" s="131">
        <f t="shared" si="6"/>
        <v>251182.42579677602</v>
      </c>
      <c r="AY260" s="131">
        <f t="shared" si="6"/>
        <v>240054.3731516843</v>
      </c>
      <c r="AZ260" s="147">
        <f>SUM($D260:$AY260)</f>
        <v>14901806.608992497</v>
      </c>
    </row>
  </sheetData>
  <pageMargins left="0.75" right="0.75" top="1" bottom="1" header="0.5" footer="0.5"/>
  <pageSetup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163" activePane="bottomRight" state="frozen"/>
      <selection pane="topRight"/>
      <selection pane="bottomLeft"/>
      <selection pane="bottomRight" activeCell="C185" sqref="C185:C256"/>
    </sheetView>
  </sheetViews>
  <sheetFormatPr defaultRowHeight="12.75" x14ac:dyDescent="0.2"/>
  <cols>
    <col min="1" max="1" width="14.7109375" style="106" customWidth="1"/>
    <col min="2" max="2" width="12.7109375" style="106" customWidth="1"/>
    <col min="3" max="16384" width="9.140625" style="106"/>
  </cols>
  <sheetData>
    <row r="1" spans="1:53" x14ac:dyDescent="0.2">
      <c r="A1" s="108" t="s">
        <v>284</v>
      </c>
    </row>
    <row r="2" spans="1:53" x14ac:dyDescent="0.2">
      <c r="A2" s="106" t="s">
        <v>285</v>
      </c>
      <c r="B2" s="113" t="s">
        <v>49</v>
      </c>
    </row>
    <row r="3" spans="1:53" x14ac:dyDescent="0.2">
      <c r="A3" s="106" t="s">
        <v>286</v>
      </c>
      <c r="B3" s="114">
        <v>13204</v>
      </c>
      <c r="C3" s="115"/>
    </row>
    <row r="4" spans="1:53" x14ac:dyDescent="0.2">
      <c r="B4" s="116"/>
      <c r="C4" s="116"/>
    </row>
    <row r="5" spans="1:53" x14ac:dyDescent="0.2">
      <c r="C5" s="117" t="s">
        <v>287</v>
      </c>
    </row>
    <row r="6" spans="1:53" x14ac:dyDescent="0.2">
      <c r="C6" s="118">
        <v>0</v>
      </c>
      <c r="D6" s="118">
        <v>1</v>
      </c>
      <c r="E6" s="118">
        <v>2</v>
      </c>
      <c r="F6" s="118">
        <v>3</v>
      </c>
      <c r="G6" s="118">
        <v>4</v>
      </c>
      <c r="H6" s="118">
        <v>5</v>
      </c>
      <c r="I6" s="118">
        <v>6</v>
      </c>
      <c r="J6" s="118">
        <v>7</v>
      </c>
      <c r="K6" s="118">
        <v>8</v>
      </c>
      <c r="L6" s="118">
        <v>9</v>
      </c>
      <c r="M6" s="118">
        <v>10</v>
      </c>
      <c r="N6" s="118">
        <v>11</v>
      </c>
      <c r="O6" s="118">
        <v>12</v>
      </c>
      <c r="P6" s="118">
        <v>13</v>
      </c>
      <c r="Q6" s="118">
        <v>14</v>
      </c>
      <c r="R6" s="118">
        <v>15</v>
      </c>
      <c r="S6" s="118">
        <v>16</v>
      </c>
      <c r="T6" s="118">
        <v>17</v>
      </c>
      <c r="U6" s="118">
        <v>18</v>
      </c>
      <c r="V6" s="118">
        <v>19</v>
      </c>
      <c r="W6" s="118">
        <v>20</v>
      </c>
      <c r="X6" s="118">
        <v>21</v>
      </c>
      <c r="Y6" s="118">
        <v>22</v>
      </c>
      <c r="Z6" s="118">
        <v>23</v>
      </c>
      <c r="AA6" s="118">
        <v>24</v>
      </c>
      <c r="AB6" s="118">
        <v>25</v>
      </c>
      <c r="AC6" s="118">
        <v>26</v>
      </c>
      <c r="AD6" s="118">
        <v>27</v>
      </c>
      <c r="AE6" s="118">
        <v>28</v>
      </c>
      <c r="AF6" s="118">
        <v>29</v>
      </c>
      <c r="AG6" s="118">
        <v>30</v>
      </c>
      <c r="AH6" s="118">
        <v>31</v>
      </c>
      <c r="AI6" s="118">
        <v>32</v>
      </c>
      <c r="AJ6" s="118">
        <v>33</v>
      </c>
      <c r="AK6" s="118">
        <v>34</v>
      </c>
      <c r="AL6" s="118">
        <v>35</v>
      </c>
      <c r="AM6" s="118">
        <v>36</v>
      </c>
      <c r="AN6" s="118">
        <v>37</v>
      </c>
      <c r="AO6" s="118">
        <v>38</v>
      </c>
      <c r="AP6" s="118">
        <v>39</v>
      </c>
      <c r="AQ6" s="118">
        <v>40</v>
      </c>
      <c r="AR6" s="118">
        <v>41</v>
      </c>
      <c r="AS6" s="118">
        <v>42</v>
      </c>
      <c r="AT6" s="118">
        <v>43</v>
      </c>
      <c r="AU6" s="118">
        <v>44</v>
      </c>
      <c r="AV6" s="118">
        <v>45</v>
      </c>
      <c r="AW6" s="118">
        <v>46</v>
      </c>
      <c r="AX6" s="118">
        <v>47</v>
      </c>
      <c r="AY6" s="118">
        <v>48</v>
      </c>
    </row>
    <row r="7" spans="1:53" x14ac:dyDescent="0.2">
      <c r="B7" s="116"/>
      <c r="C7" s="119" t="s">
        <v>288</v>
      </c>
      <c r="D7" s="118" t="s">
        <v>289</v>
      </c>
      <c r="E7" s="118" t="s">
        <v>289</v>
      </c>
      <c r="F7" s="118" t="s">
        <v>289</v>
      </c>
      <c r="G7" s="118" t="s">
        <v>289</v>
      </c>
      <c r="H7" s="118" t="s">
        <v>289</v>
      </c>
      <c r="I7" s="118" t="s">
        <v>289</v>
      </c>
      <c r="J7" s="118" t="s">
        <v>289</v>
      </c>
      <c r="K7" s="118" t="s">
        <v>289</v>
      </c>
      <c r="L7" s="118" t="s">
        <v>289</v>
      </c>
      <c r="M7" s="118" t="s">
        <v>289</v>
      </c>
      <c r="N7" s="118" t="s">
        <v>289</v>
      </c>
      <c r="O7" s="118" t="s">
        <v>289</v>
      </c>
      <c r="P7" s="118" t="s">
        <v>289</v>
      </c>
      <c r="Q7" s="118" t="s">
        <v>289</v>
      </c>
      <c r="R7" s="118" t="s">
        <v>289</v>
      </c>
      <c r="S7" s="118" t="s">
        <v>289</v>
      </c>
      <c r="T7" s="118" t="s">
        <v>289</v>
      </c>
      <c r="U7" s="118" t="s">
        <v>289</v>
      </c>
      <c r="V7" s="118" t="s">
        <v>289</v>
      </c>
      <c r="W7" s="118" t="s">
        <v>289</v>
      </c>
      <c r="X7" s="118" t="s">
        <v>289</v>
      </c>
      <c r="Y7" s="118" t="s">
        <v>289</v>
      </c>
      <c r="Z7" s="118" t="s">
        <v>289</v>
      </c>
      <c r="AA7" s="118" t="s">
        <v>289</v>
      </c>
      <c r="AB7" s="118" t="s">
        <v>289</v>
      </c>
      <c r="AC7" s="118" t="s">
        <v>289</v>
      </c>
      <c r="AD7" s="118" t="s">
        <v>289</v>
      </c>
      <c r="AE7" s="118" t="s">
        <v>289</v>
      </c>
      <c r="AF7" s="118" t="s">
        <v>289</v>
      </c>
      <c r="AG7" s="118" t="s">
        <v>289</v>
      </c>
      <c r="AH7" s="118" t="s">
        <v>289</v>
      </c>
      <c r="AI7" s="118" t="s">
        <v>289</v>
      </c>
      <c r="AJ7" s="118" t="s">
        <v>289</v>
      </c>
      <c r="AK7" s="118" t="s">
        <v>289</v>
      </c>
      <c r="AL7" s="118" t="s">
        <v>289</v>
      </c>
      <c r="AM7" s="118" t="s">
        <v>289</v>
      </c>
      <c r="AN7" s="118" t="s">
        <v>289</v>
      </c>
      <c r="AO7" s="118" t="s">
        <v>289</v>
      </c>
      <c r="AP7" s="118" t="s">
        <v>289</v>
      </c>
      <c r="AQ7" s="118" t="s">
        <v>289</v>
      </c>
      <c r="AR7" s="118" t="s">
        <v>289</v>
      </c>
      <c r="AS7" s="118" t="s">
        <v>289</v>
      </c>
      <c r="AT7" s="118" t="s">
        <v>289</v>
      </c>
      <c r="AU7" s="118" t="s">
        <v>289</v>
      </c>
      <c r="AV7" s="118" t="s">
        <v>289</v>
      </c>
      <c r="AW7" s="118" t="s">
        <v>289</v>
      </c>
      <c r="AX7" s="118" t="s">
        <v>289</v>
      </c>
      <c r="AY7" s="117" t="s">
        <v>290</v>
      </c>
      <c r="AZ7" s="117" t="s">
        <v>291</v>
      </c>
    </row>
    <row r="8" spans="1:53" x14ac:dyDescent="0.2">
      <c r="A8" s="108" t="s">
        <v>292</v>
      </c>
      <c r="B8" s="120"/>
      <c r="AY8" s="116"/>
    </row>
    <row r="9" spans="1:53" x14ac:dyDescent="0.2">
      <c r="A9" s="121" t="s">
        <v>125</v>
      </c>
      <c r="B9" s="122">
        <v>1</v>
      </c>
      <c r="C9" s="123" t="s">
        <v>293</v>
      </c>
      <c r="D9" s="123">
        <v>1346.2068520915441</v>
      </c>
      <c r="E9" s="123">
        <v>1346.2068520915441</v>
      </c>
      <c r="F9" s="123">
        <v>1346.2068520915441</v>
      </c>
      <c r="G9" s="123">
        <v>1346.2068520915441</v>
      </c>
      <c r="H9" s="123">
        <v>1802.2791578774475</v>
      </c>
      <c r="I9" s="123">
        <v>1802.2791578774475</v>
      </c>
      <c r="J9" s="123">
        <v>1802.2791578774475</v>
      </c>
      <c r="K9" s="123">
        <v>1802.2791578774475</v>
      </c>
      <c r="L9" s="123">
        <v>1541.1471602846063</v>
      </c>
      <c r="M9" s="123">
        <v>1541.1471602846063</v>
      </c>
      <c r="N9" s="123">
        <v>1541.1471602846063</v>
      </c>
      <c r="O9" s="123">
        <v>1541.1471602846063</v>
      </c>
      <c r="P9" s="123">
        <v>1543.6129456590807</v>
      </c>
      <c r="Q9" s="123">
        <v>1543.6129456590807</v>
      </c>
      <c r="R9" s="123">
        <v>1543.6129456590807</v>
      </c>
      <c r="S9" s="123">
        <v>1543.6129456590807</v>
      </c>
      <c r="T9" s="123">
        <v>496.06553959333922</v>
      </c>
      <c r="U9" s="123">
        <v>496.06553959333922</v>
      </c>
      <c r="V9" s="123">
        <v>496.06553959333922</v>
      </c>
      <c r="W9" s="123">
        <v>496.06553959333922</v>
      </c>
      <c r="X9" s="123">
        <v>1179.4454525283545</v>
      </c>
      <c r="Y9" s="123">
        <v>1179.4454525283545</v>
      </c>
      <c r="Z9" s="123">
        <v>1179.4454525283545</v>
      </c>
      <c r="AA9" s="123">
        <v>1179.4454525283545</v>
      </c>
      <c r="AB9" s="123">
        <v>1138.3302319084871</v>
      </c>
      <c r="AC9" s="123">
        <v>1138.3302319084871</v>
      </c>
      <c r="AD9" s="123">
        <v>1138.3302319084871</v>
      </c>
      <c r="AE9" s="123">
        <v>1138.3302319084871</v>
      </c>
      <c r="AF9" s="123">
        <v>1451.6452747288749</v>
      </c>
      <c r="AG9" s="123">
        <v>1451.6452747288749</v>
      </c>
      <c r="AH9" s="123">
        <v>1451.6452747288749</v>
      </c>
      <c r="AI9" s="123">
        <v>1451.6452747288749</v>
      </c>
      <c r="AJ9" s="123">
        <v>1396.277737527568</v>
      </c>
      <c r="AK9" s="123">
        <v>1396.277737527568</v>
      </c>
      <c r="AL9" s="123">
        <v>1396.277737527568</v>
      </c>
      <c r="AM9" s="123">
        <v>1396.277737527568</v>
      </c>
      <c r="AN9" s="123">
        <v>1274.6935914908211</v>
      </c>
      <c r="AO9" s="123">
        <v>1274.6935914908211</v>
      </c>
      <c r="AP9" s="123">
        <v>1274.6935914908211</v>
      </c>
      <c r="AQ9" s="123">
        <v>1274.6935914908211</v>
      </c>
      <c r="AR9" s="123">
        <v>1533.56337872739</v>
      </c>
      <c r="AS9" s="123">
        <v>1533.56337872739</v>
      </c>
      <c r="AT9" s="123">
        <v>1533.56337872739</v>
      </c>
      <c r="AU9" s="123">
        <v>1533.56337872739</v>
      </c>
      <c r="AV9" s="123">
        <v>953.43321224447197</v>
      </c>
      <c r="AW9" s="123">
        <v>953.43321224447197</v>
      </c>
      <c r="AX9" s="123">
        <v>953.43321224447197</v>
      </c>
      <c r="AY9" s="123">
        <v>953.43321224447197</v>
      </c>
    </row>
    <row r="10" spans="1:53" x14ac:dyDescent="0.2">
      <c r="A10" s="124" t="s">
        <v>133</v>
      </c>
      <c r="B10" s="125">
        <v>1</v>
      </c>
      <c r="C10" s="112" t="s">
        <v>293</v>
      </c>
      <c r="D10" s="106">
        <v>0</v>
      </c>
      <c r="E10" s="106">
        <v>136.424845614568</v>
      </c>
      <c r="F10" s="106">
        <v>0</v>
      </c>
      <c r="G10" s="106">
        <v>51.214008961348867</v>
      </c>
      <c r="H10" s="106">
        <v>104.62464857256899</v>
      </c>
      <c r="I10" s="106">
        <v>104.62464857256899</v>
      </c>
      <c r="J10" s="106">
        <v>136.424845614568</v>
      </c>
      <c r="K10" s="106">
        <v>51.214008961348867</v>
      </c>
      <c r="L10" s="106">
        <v>0</v>
      </c>
      <c r="M10" s="106">
        <v>136.424845614568</v>
      </c>
      <c r="N10" s="106">
        <v>0</v>
      </c>
      <c r="O10" s="106">
        <v>136.424845614568</v>
      </c>
      <c r="P10" s="106">
        <v>0</v>
      </c>
      <c r="Q10" s="106">
        <v>51.214008961348867</v>
      </c>
      <c r="R10" s="106">
        <v>116.964979434236</v>
      </c>
      <c r="S10" s="106">
        <v>51.214008961348867</v>
      </c>
      <c r="T10" s="106">
        <v>0</v>
      </c>
      <c r="U10" s="106">
        <v>116.964979434236</v>
      </c>
      <c r="V10" s="106">
        <v>37.58862984385906</v>
      </c>
      <c r="W10" s="106">
        <v>37.58862984385906</v>
      </c>
      <c r="X10" s="106">
        <v>37.58862984385906</v>
      </c>
      <c r="Y10" s="106">
        <v>37.58862984385906</v>
      </c>
      <c r="Z10" s="106">
        <v>0</v>
      </c>
      <c r="AA10" s="106">
        <v>136.424845614568</v>
      </c>
      <c r="AB10" s="106">
        <v>89.370728255896836</v>
      </c>
      <c r="AC10" s="106">
        <v>89.370728255896836</v>
      </c>
      <c r="AD10" s="106">
        <v>0</v>
      </c>
      <c r="AE10" s="106">
        <v>51.214008961348867</v>
      </c>
      <c r="AF10" s="106">
        <v>0</v>
      </c>
      <c r="AG10" s="106">
        <v>51.214008961348867</v>
      </c>
      <c r="AH10" s="106">
        <v>0</v>
      </c>
      <c r="AI10" s="106">
        <v>109.99626569727445</v>
      </c>
      <c r="AJ10" s="106">
        <v>109.99626569727445</v>
      </c>
      <c r="AK10" s="106">
        <v>109.99626569727445</v>
      </c>
      <c r="AL10" s="106">
        <v>0</v>
      </c>
      <c r="AM10" s="106">
        <v>110.24599252420771</v>
      </c>
      <c r="AN10" s="106">
        <v>110.24599252420771</v>
      </c>
      <c r="AO10" s="106">
        <v>110.24599252420771</v>
      </c>
      <c r="AP10" s="106">
        <v>100.64606516393586</v>
      </c>
      <c r="AQ10" s="106">
        <v>100.64606516393586</v>
      </c>
      <c r="AR10" s="106">
        <v>0</v>
      </c>
      <c r="AS10" s="106">
        <v>100.64606516393586</v>
      </c>
      <c r="AT10" s="106">
        <v>0</v>
      </c>
      <c r="AU10" s="106">
        <v>51.21400896134886</v>
      </c>
      <c r="AV10" s="106">
        <v>0</v>
      </c>
      <c r="AW10" s="106">
        <v>116.20348841876233</v>
      </c>
      <c r="AX10" s="106">
        <v>0</v>
      </c>
      <c r="AY10" s="106">
        <v>51.214008961348874</v>
      </c>
      <c r="AZ10" s="106">
        <v>72.244986267899534</v>
      </c>
    </row>
    <row r="11" spans="1:53" x14ac:dyDescent="0.2">
      <c r="B11" s="125">
        <v>2</v>
      </c>
      <c r="C11" s="112" t="s">
        <v>293</v>
      </c>
      <c r="E11" s="106">
        <v>77.180770280936798</v>
      </c>
      <c r="G11" s="106">
        <v>104.62464857256899</v>
      </c>
      <c r="H11" s="106">
        <v>53.41063961122012</v>
      </c>
      <c r="L11" s="106">
        <v>85.210836653219133</v>
      </c>
      <c r="M11" s="106">
        <v>136.424845614568</v>
      </c>
      <c r="Q11" s="106">
        <v>121.6844569994342</v>
      </c>
      <c r="R11" s="106">
        <v>70.470448038085337</v>
      </c>
      <c r="T11" s="106">
        <v>65.750970472887133</v>
      </c>
      <c r="X11" s="106">
        <v>0</v>
      </c>
      <c r="AE11" s="106">
        <v>86.255283449761507</v>
      </c>
      <c r="AG11" s="106">
        <v>86.255283449761507</v>
      </c>
      <c r="AI11" s="106">
        <v>109.99626569727445</v>
      </c>
      <c r="AM11" s="106">
        <v>110.24599252420771</v>
      </c>
      <c r="AS11" s="106">
        <v>100.64606516393586</v>
      </c>
      <c r="AU11" s="106">
        <v>116.20348841876233</v>
      </c>
      <c r="AV11" s="106">
        <v>64.989479457413466</v>
      </c>
    </row>
    <row r="12" spans="1:53" x14ac:dyDescent="0.2">
      <c r="B12" s="126">
        <v>3</v>
      </c>
      <c r="C12" s="112" t="s">
        <v>293</v>
      </c>
      <c r="V12" s="106">
        <v>116.964979434236</v>
      </c>
      <c r="AG12" s="106">
        <v>35.04127448841264</v>
      </c>
      <c r="AI12" s="106">
        <v>35.04127448841264</v>
      </c>
      <c r="AX12" s="106">
        <v>116.20348841876233</v>
      </c>
      <c r="AZ12" s="106">
        <v>72.244986267899534</v>
      </c>
      <c r="BA12" s="106">
        <v>21.03097730655066</v>
      </c>
    </row>
    <row r="13" spans="1:53" x14ac:dyDescent="0.2">
      <c r="B13" s="126">
        <v>4</v>
      </c>
      <c r="C13" s="112" t="s">
        <v>293</v>
      </c>
    </row>
    <row r="14" spans="1:53" x14ac:dyDescent="0.2">
      <c r="A14" s="121" t="s">
        <v>134</v>
      </c>
      <c r="B14" s="127">
        <v>1</v>
      </c>
      <c r="C14" s="123" t="s">
        <v>293</v>
      </c>
      <c r="D14" s="123">
        <v>269.4830393728119</v>
      </c>
      <c r="E14" s="123">
        <f t="shared" ref="E14:AZ14" si="0">D$172*SUM(D$122:D$169)</f>
        <v>1665.9012262948927</v>
      </c>
      <c r="F14" s="123">
        <f t="shared" si="0"/>
        <v>1791.9228737449944</v>
      </c>
      <c r="G14" s="123">
        <f t="shared" si="0"/>
        <v>1439.8276844962761</v>
      </c>
      <c r="H14" s="123">
        <f t="shared" si="0"/>
        <v>1415.7841303549362</v>
      </c>
      <c r="I14" s="123">
        <f t="shared" si="0"/>
        <v>1428.4578604760441</v>
      </c>
      <c r="J14" s="123">
        <f t="shared" si="0"/>
        <v>1219.7735837851251</v>
      </c>
      <c r="K14" s="123">
        <f t="shared" si="0"/>
        <v>1172.2083481937145</v>
      </c>
      <c r="L14" s="123">
        <f t="shared" si="0"/>
        <v>1017.0673782801863</v>
      </c>
      <c r="M14" s="123">
        <f t="shared" si="0"/>
        <v>900.03430260323535</v>
      </c>
      <c r="N14" s="123">
        <f t="shared" si="0"/>
        <v>886.53004245081252</v>
      </c>
      <c r="O14" s="123">
        <f t="shared" si="0"/>
        <v>236.14334974734854</v>
      </c>
      <c r="P14" s="123">
        <f t="shared" si="0"/>
        <v>362.54701590489344</v>
      </c>
      <c r="Q14" s="123">
        <f t="shared" si="0"/>
        <v>104.65593885084733</v>
      </c>
      <c r="R14" s="123">
        <f t="shared" si="0"/>
        <v>585.91339881243323</v>
      </c>
      <c r="S14" s="123">
        <f t="shared" si="0"/>
        <v>626.37657547352092</v>
      </c>
      <c r="T14" s="123">
        <f t="shared" si="0"/>
        <v>291.32556787825098</v>
      </c>
      <c r="U14" s="123">
        <f t="shared" si="0"/>
        <v>577.95917667501828</v>
      </c>
      <c r="V14" s="123">
        <f t="shared" si="0"/>
        <v>771.66855963298542</v>
      </c>
      <c r="W14" s="123">
        <f t="shared" si="0"/>
        <v>996.75786110770855</v>
      </c>
      <c r="X14" s="123">
        <f t="shared" si="0"/>
        <v>715.34573053621784</v>
      </c>
      <c r="Y14" s="123">
        <f t="shared" si="0"/>
        <v>883.69919945585423</v>
      </c>
      <c r="Z14" s="123">
        <f t="shared" si="0"/>
        <v>956.61149752273207</v>
      </c>
      <c r="AA14" s="123">
        <f t="shared" si="0"/>
        <v>881.81343423454268</v>
      </c>
      <c r="AB14" s="123">
        <f t="shared" si="0"/>
        <v>1193.1268954256627</v>
      </c>
      <c r="AC14" s="123">
        <f t="shared" si="0"/>
        <v>873.89277307071882</v>
      </c>
      <c r="AD14" s="123">
        <f t="shared" si="0"/>
        <v>592.38321016484508</v>
      </c>
      <c r="AE14" s="123">
        <f t="shared" si="0"/>
        <v>268.8073581669712</v>
      </c>
      <c r="AF14" s="123">
        <f t="shared" si="0"/>
        <v>690.67591232698408</v>
      </c>
      <c r="AG14" s="123">
        <f t="shared" si="0"/>
        <v>433.49134299883463</v>
      </c>
      <c r="AH14" s="123">
        <f t="shared" si="0"/>
        <v>1013.0144220720771</v>
      </c>
      <c r="AI14" s="123">
        <f t="shared" si="0"/>
        <v>548.42963396444372</v>
      </c>
      <c r="AJ14" s="123">
        <f t="shared" si="0"/>
        <v>1290.2387243876217</v>
      </c>
      <c r="AK14" s="123">
        <f t="shared" si="0"/>
        <v>1708.4438220383231</v>
      </c>
      <c r="AL14" s="123">
        <f t="shared" si="0"/>
        <v>1713.4332768592412</v>
      </c>
      <c r="AM14" s="123">
        <f t="shared" si="0"/>
        <v>1318.9382338395476</v>
      </c>
      <c r="AN14" s="123">
        <f t="shared" si="0"/>
        <v>2069.1310994554319</v>
      </c>
      <c r="AO14" s="123">
        <f t="shared" si="0"/>
        <v>2104.5618576315505</v>
      </c>
      <c r="AP14" s="123">
        <f t="shared" si="0"/>
        <v>1778.2837623516471</v>
      </c>
      <c r="AQ14" s="123">
        <f t="shared" si="0"/>
        <v>1738.7239649633664</v>
      </c>
      <c r="AR14" s="123">
        <f t="shared" si="0"/>
        <v>1738.7239649633664</v>
      </c>
      <c r="AS14" s="123">
        <f t="shared" si="0"/>
        <v>605.0616288740091</v>
      </c>
      <c r="AT14" s="123">
        <f t="shared" si="0"/>
        <v>1444.1815394945447</v>
      </c>
      <c r="AU14" s="123">
        <f t="shared" si="0"/>
        <v>605.0616288740091</v>
      </c>
      <c r="AV14" s="123">
        <f t="shared" si="0"/>
        <v>1302.9694666473413</v>
      </c>
      <c r="AW14" s="123">
        <f t="shared" si="0"/>
        <v>993.90288913087443</v>
      </c>
      <c r="AX14" s="123">
        <f t="shared" si="0"/>
        <v>1157.8086119290097</v>
      </c>
      <c r="AY14" s="123">
        <f t="shared" si="0"/>
        <v>1157.8086119290097</v>
      </c>
      <c r="AZ14" s="116">
        <f t="shared" si="0"/>
        <v>1005.1091075399014</v>
      </c>
      <c r="BA14" s="113">
        <f>SUM($E14:$AZ14)</f>
        <v>50274.528475611893</v>
      </c>
    </row>
    <row r="15" spans="1:53" x14ac:dyDescent="0.2">
      <c r="A15" s="128" t="s">
        <v>123</v>
      </c>
      <c r="B15" s="129">
        <v>1</v>
      </c>
      <c r="C15" s="130" t="s">
        <v>293</v>
      </c>
      <c r="D15" s="130">
        <v>1169.4058142471117</v>
      </c>
      <c r="E15" s="130">
        <v>1832.1266421387572</v>
      </c>
      <c r="F15" s="130">
        <v>1169.4058142471117</v>
      </c>
      <c r="G15" s="130">
        <v>1418.1918052857629</v>
      </c>
      <c r="H15" s="130">
        <v>1359.8532198188441</v>
      </c>
      <c r="I15" s="130">
        <v>1359.8532198188441</v>
      </c>
      <c r="J15" s="130">
        <v>1514.3313342404053</v>
      </c>
      <c r="K15" s="130">
        <v>1100.3964973874108</v>
      </c>
      <c r="L15" s="130">
        <v>207.383087813244</v>
      </c>
      <c r="M15" s="130">
        <v>870.10391570488957</v>
      </c>
      <c r="N15" s="130">
        <v>207.383087813244</v>
      </c>
      <c r="O15" s="130">
        <v>870.10391570488957</v>
      </c>
      <c r="P15" s="130">
        <v>182.64790378372601</v>
      </c>
      <c r="Q15" s="130">
        <v>431.43389482237717</v>
      </c>
      <c r="R15" s="130">
        <v>750.83713394774236</v>
      </c>
      <c r="S15" s="130">
        <v>431.43389482237717</v>
      </c>
      <c r="T15" s="130">
        <v>752.90928782793571</v>
      </c>
      <c r="U15" s="130">
        <v>1321.0985179919521</v>
      </c>
      <c r="V15" s="130">
        <v>935.50629042828041</v>
      </c>
      <c r="W15" s="130">
        <v>935.50629042828041</v>
      </c>
      <c r="X15" s="130">
        <v>1308.2096508633338</v>
      </c>
      <c r="Y15" s="130">
        <v>1308.2096508633338</v>
      </c>
      <c r="Z15" s="130">
        <v>1125.6126482629891</v>
      </c>
      <c r="AA15" s="130">
        <v>1788.3334761546348</v>
      </c>
      <c r="AB15" s="130">
        <v>859.64977516828844</v>
      </c>
      <c r="AC15" s="130">
        <v>859.64977516828844</v>
      </c>
      <c r="AD15" s="130">
        <v>425.5071323658205</v>
      </c>
      <c r="AE15" s="130">
        <v>674.29312340447166</v>
      </c>
      <c r="AF15" s="130">
        <v>626.84843201319154</v>
      </c>
      <c r="AG15" s="130">
        <v>875.63442305184276</v>
      </c>
      <c r="AH15" s="130">
        <v>626.84843201319154</v>
      </c>
      <c r="AI15" s="130">
        <v>1161.1852380363234</v>
      </c>
      <c r="AJ15" s="130">
        <v>2061.5278749858217</v>
      </c>
      <c r="AK15" s="130">
        <v>2061.5278749858217</v>
      </c>
      <c r="AL15" s="130">
        <v>1527.1910689626898</v>
      </c>
      <c r="AM15" s="130">
        <v>2062.7409910333158</v>
      </c>
      <c r="AN15" s="130">
        <v>2096.2935590396196</v>
      </c>
      <c r="AO15" s="130">
        <v>2096.2935590396196</v>
      </c>
      <c r="AP15" s="130">
        <v>2049.6592984015438</v>
      </c>
      <c r="AQ15" s="130">
        <v>2049.6592984015438</v>
      </c>
      <c r="AR15" s="130">
        <v>705.08184287899508</v>
      </c>
      <c r="AS15" s="130">
        <v>1193.9975043115455</v>
      </c>
      <c r="AT15" s="130">
        <v>705.08184287899508</v>
      </c>
      <c r="AU15" s="130">
        <v>953.86783391764629</v>
      </c>
      <c r="AV15" s="130">
        <v>1192.9016571143993</v>
      </c>
      <c r="AW15" s="130">
        <v>1757.3917373623328</v>
      </c>
      <c r="AX15" s="130">
        <v>1192.9016571143993</v>
      </c>
      <c r="AY15" s="130">
        <v>1441.6876481530503</v>
      </c>
      <c r="AZ15" s="106">
        <v>350.94968878139821</v>
      </c>
    </row>
    <row r="16" spans="1:53" x14ac:dyDescent="0.2">
      <c r="A16" s="116"/>
      <c r="B16" s="125">
        <v>2</v>
      </c>
      <c r="C16" s="115" t="s">
        <v>293</v>
      </c>
      <c r="D16" s="112"/>
      <c r="E16" s="116">
        <v>805.18096933297011</v>
      </c>
      <c r="F16" s="116"/>
      <c r="G16" s="116">
        <v>508.24271347008448</v>
      </c>
      <c r="H16" s="116">
        <v>259.45672243143326</v>
      </c>
      <c r="I16" s="116"/>
      <c r="J16" s="116"/>
      <c r="K16" s="116"/>
      <c r="L16" s="116">
        <v>413.93483685299441</v>
      </c>
      <c r="M16" s="116">
        <v>662.72082789164563</v>
      </c>
      <c r="N16" s="116"/>
      <c r="O16" s="116"/>
      <c r="P16" s="116"/>
      <c r="Q16" s="116">
        <v>591.11537726819324</v>
      </c>
      <c r="R16" s="116">
        <v>342.32938622954202</v>
      </c>
      <c r="S16" s="116"/>
      <c r="T16" s="116">
        <v>319.40323912536519</v>
      </c>
      <c r="U16" s="116"/>
      <c r="V16" s="116"/>
      <c r="W16" s="116"/>
      <c r="X16" s="116">
        <v>0</v>
      </c>
      <c r="Y16" s="116"/>
      <c r="Z16" s="116"/>
      <c r="AA16" s="116"/>
      <c r="AB16" s="116"/>
      <c r="AC16" s="116"/>
      <c r="AD16" s="116"/>
      <c r="AE16" s="116">
        <v>419.00852150753968</v>
      </c>
      <c r="AF16" s="116"/>
      <c r="AG16" s="116">
        <v>419.00852150753968</v>
      </c>
      <c r="AH16" s="116"/>
      <c r="AI16" s="116">
        <v>534.33680602313189</v>
      </c>
      <c r="AJ16" s="116"/>
      <c r="AK16" s="116"/>
      <c r="AL16" s="116"/>
      <c r="AM16" s="116">
        <v>535.54992207062617</v>
      </c>
      <c r="AN16" s="116"/>
      <c r="AO16" s="116"/>
      <c r="AP16" s="116"/>
      <c r="AQ16" s="116"/>
      <c r="AR16" s="116"/>
      <c r="AS16" s="116">
        <v>488.91566143255039</v>
      </c>
      <c r="AT16" s="116"/>
      <c r="AU16" s="116">
        <v>564.49008024793352</v>
      </c>
      <c r="AV16" s="116">
        <v>315.7040892092823</v>
      </c>
      <c r="AW16" s="116"/>
      <c r="AX16" s="116"/>
      <c r="AY16" s="116"/>
    </row>
    <row r="17" spans="1:53" x14ac:dyDescent="0.2">
      <c r="A17" s="116"/>
      <c r="B17" s="125">
        <v>3</v>
      </c>
      <c r="C17" s="115" t="s">
        <v>293</v>
      </c>
      <c r="D17" s="112"/>
      <c r="E17" s="116"/>
      <c r="F17" s="116"/>
      <c r="G17" s="116"/>
      <c r="H17" s="116"/>
      <c r="I17" s="116"/>
      <c r="J17" s="116"/>
      <c r="K17" s="116"/>
      <c r="L17" s="116"/>
      <c r="M17" s="116"/>
      <c r="N17" s="116"/>
      <c r="O17" s="116"/>
      <c r="P17" s="116"/>
      <c r="Q17" s="116"/>
      <c r="R17" s="116"/>
      <c r="S17" s="116"/>
      <c r="T17" s="116"/>
      <c r="U17" s="116"/>
      <c r="V17" s="116">
        <v>568.18923016401641</v>
      </c>
      <c r="W17" s="116"/>
      <c r="X17" s="116"/>
      <c r="Y17" s="116"/>
      <c r="Z17" s="116"/>
      <c r="AA17" s="116"/>
      <c r="AB17" s="116"/>
      <c r="AC17" s="116"/>
      <c r="AD17" s="116"/>
      <c r="AE17" s="116"/>
      <c r="AF17" s="116"/>
      <c r="AG17" s="116">
        <v>170.22253046888849</v>
      </c>
      <c r="AH17" s="116"/>
      <c r="AI17" s="116">
        <v>170.22253046888849</v>
      </c>
      <c r="AJ17" s="116"/>
      <c r="AK17" s="116"/>
      <c r="AL17" s="116"/>
      <c r="AM17" s="116"/>
      <c r="AN17" s="116"/>
      <c r="AO17" s="116"/>
      <c r="AP17" s="116"/>
      <c r="AQ17" s="116"/>
      <c r="AR17" s="116"/>
      <c r="AS17" s="116"/>
      <c r="AT17" s="116"/>
      <c r="AU17" s="116"/>
      <c r="AV17" s="116"/>
      <c r="AW17" s="116"/>
      <c r="AX17" s="116">
        <v>564.49008024793352</v>
      </c>
      <c r="AY17" s="116"/>
      <c r="AZ17" s="106">
        <v>350.94968878139821</v>
      </c>
      <c r="BA17" s="106">
        <v>102.1636977427471</v>
      </c>
    </row>
    <row r="18" spans="1:53" x14ac:dyDescent="0.2">
      <c r="A18" s="131"/>
      <c r="B18" s="122">
        <v>4</v>
      </c>
      <c r="C18" s="131" t="s">
        <v>293</v>
      </c>
      <c r="D18" s="131"/>
      <c r="E18" s="131"/>
      <c r="F18" s="131"/>
      <c r="G18" s="131"/>
      <c r="H18" s="131"/>
      <c r="I18" s="131"/>
      <c r="J18" s="131"/>
      <c r="K18" s="131"/>
      <c r="L18" s="131"/>
      <c r="M18" s="131"/>
      <c r="N18" s="131"/>
      <c r="O18" s="131"/>
      <c r="P18" s="131"/>
      <c r="Q18" s="131"/>
      <c r="R18" s="131"/>
      <c r="S18" s="131"/>
      <c r="T18" s="131"/>
      <c r="U18" s="131"/>
      <c r="V18" s="131"/>
      <c r="W18" s="131"/>
      <c r="X18" s="131"/>
      <c r="Y18" s="131"/>
      <c r="Z18" s="131"/>
      <c r="AA18" s="131"/>
      <c r="AB18" s="131"/>
      <c r="AC18" s="131"/>
      <c r="AD18" s="131"/>
      <c r="AE18" s="131"/>
      <c r="AF18" s="131"/>
      <c r="AG18" s="131"/>
      <c r="AH18" s="131"/>
      <c r="AI18" s="131"/>
      <c r="AJ18" s="131"/>
      <c r="AK18" s="131"/>
      <c r="AL18" s="131"/>
      <c r="AM18" s="131"/>
      <c r="AN18" s="131"/>
      <c r="AO18" s="131"/>
      <c r="AP18" s="131"/>
      <c r="AQ18" s="131"/>
      <c r="AR18" s="131"/>
      <c r="AS18" s="131"/>
      <c r="AT18" s="131"/>
      <c r="AU18" s="131"/>
      <c r="AV18" s="131"/>
      <c r="AW18" s="131"/>
      <c r="AX18" s="131"/>
      <c r="AY18" s="131"/>
    </row>
    <row r="20" spans="1:53" x14ac:dyDescent="0.2">
      <c r="A20" s="108" t="s">
        <v>294</v>
      </c>
    </row>
    <row r="21" spans="1:53" x14ac:dyDescent="0.2">
      <c r="A21" s="132" t="s">
        <v>125</v>
      </c>
      <c r="B21" s="129">
        <v>1</v>
      </c>
      <c r="C21" s="130" t="s">
        <v>293</v>
      </c>
      <c r="D21" s="130"/>
      <c r="E21" s="130"/>
      <c r="F21" s="130"/>
      <c r="G21" s="130"/>
      <c r="H21" s="130"/>
      <c r="I21" s="130"/>
      <c r="J21" s="130"/>
      <c r="K21" s="130"/>
      <c r="L21" s="130"/>
      <c r="M21" s="130"/>
      <c r="N21" s="130"/>
      <c r="O21" s="130"/>
      <c r="P21" s="130"/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30"/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>
        <v>108.81694081589049</v>
      </c>
      <c r="AN21" s="130">
        <v>874.3650294275003</v>
      </c>
      <c r="AO21" s="130">
        <v>540.59506088545822</v>
      </c>
      <c r="AP21" s="130">
        <v>289.52247352475388</v>
      </c>
      <c r="AQ21" s="130">
        <v>303.21971563388956</v>
      </c>
      <c r="AR21" s="130"/>
      <c r="AS21" s="130"/>
      <c r="AT21" s="130"/>
      <c r="AU21" s="130"/>
      <c r="AV21" s="130"/>
      <c r="AW21" s="130"/>
      <c r="AX21" s="130"/>
      <c r="AY21" s="130"/>
    </row>
    <row r="22" spans="1:53" x14ac:dyDescent="0.2">
      <c r="A22" s="115"/>
      <c r="B22" s="126">
        <v>2</v>
      </c>
      <c r="C22" s="116" t="s">
        <v>293</v>
      </c>
      <c r="D22" s="116"/>
      <c r="E22" s="116"/>
      <c r="F22" s="116"/>
      <c r="G22" s="116"/>
      <c r="H22" s="116"/>
      <c r="I22" s="116"/>
      <c r="J22" s="116"/>
      <c r="K22" s="116"/>
      <c r="L22" s="116"/>
      <c r="M22" s="116"/>
      <c r="N22" s="116"/>
      <c r="O22" s="116"/>
      <c r="P22" s="116"/>
      <c r="Q22" s="116"/>
      <c r="R22" s="116"/>
      <c r="S22" s="116"/>
      <c r="T22" s="116"/>
      <c r="U22" s="116"/>
      <c r="V22" s="116"/>
      <c r="W22" s="116"/>
      <c r="X22" s="116"/>
      <c r="Y22" s="116"/>
      <c r="Z22" s="116"/>
      <c r="AA22" s="116"/>
      <c r="AB22" s="116"/>
      <c r="AC22" s="116"/>
      <c r="AD22" s="116"/>
      <c r="AE22" s="116"/>
      <c r="AF22" s="116"/>
      <c r="AG22" s="116"/>
      <c r="AH22" s="116"/>
      <c r="AI22" s="116"/>
      <c r="AJ22" s="116"/>
      <c r="AK22" s="116"/>
      <c r="AL22" s="116"/>
      <c r="AM22" s="116">
        <v>0</v>
      </c>
      <c r="AN22" s="116">
        <v>0</v>
      </c>
      <c r="AO22" s="116">
        <v>0</v>
      </c>
      <c r="AP22" s="116">
        <v>0</v>
      </c>
      <c r="AQ22" s="116">
        <v>186.17111796606719</v>
      </c>
      <c r="AR22" s="116"/>
      <c r="AS22" s="116"/>
      <c r="AT22" s="116"/>
      <c r="AU22" s="116"/>
      <c r="AV22" s="116"/>
      <c r="AW22" s="116"/>
      <c r="AX22" s="116"/>
      <c r="AY22" s="116"/>
    </row>
    <row r="23" spans="1:53" x14ac:dyDescent="0.2">
      <c r="A23" s="115"/>
      <c r="B23" s="133">
        <v>3</v>
      </c>
      <c r="C23" s="116" t="s">
        <v>293</v>
      </c>
      <c r="D23" s="116">
        <v>700.0496782481041</v>
      </c>
      <c r="E23" s="116">
        <v>651.49172623392997</v>
      </c>
      <c r="F23" s="116"/>
      <c r="G23" s="116"/>
      <c r="H23" s="116"/>
      <c r="I23" s="116">
        <v>278.68956407324004</v>
      </c>
      <c r="J23" s="116">
        <v>589.37200710261095</v>
      </c>
      <c r="K23" s="116">
        <v>325.69460217534106</v>
      </c>
      <c r="L23" s="116"/>
      <c r="M23" s="116">
        <v>335.637686269798</v>
      </c>
      <c r="N23" s="116"/>
      <c r="O23" s="116"/>
      <c r="P23" s="116"/>
      <c r="Q23" s="116"/>
      <c r="R23" s="116"/>
      <c r="S23" s="116"/>
      <c r="T23" s="116"/>
      <c r="U23" s="116"/>
      <c r="V23" s="116"/>
      <c r="W23" s="116"/>
      <c r="X23" s="116"/>
      <c r="Y23" s="116"/>
      <c r="Z23" s="116"/>
      <c r="AA23" s="116"/>
      <c r="AB23" s="116"/>
      <c r="AC23" s="116"/>
      <c r="AD23" s="116"/>
      <c r="AE23" s="116"/>
      <c r="AF23" s="116"/>
      <c r="AG23" s="116"/>
      <c r="AH23" s="116"/>
      <c r="AI23" s="116"/>
      <c r="AJ23" s="116"/>
      <c r="AK23" s="116">
        <v>0</v>
      </c>
      <c r="AL23" s="116">
        <v>0</v>
      </c>
      <c r="AM23" s="116">
        <v>0</v>
      </c>
      <c r="AN23" s="116">
        <v>0</v>
      </c>
      <c r="AO23" s="116">
        <v>0</v>
      </c>
      <c r="AP23" s="116">
        <v>0</v>
      </c>
      <c r="AQ23" s="116">
        <v>0</v>
      </c>
      <c r="AR23" s="116"/>
      <c r="AS23" s="116"/>
      <c r="AT23" s="116"/>
      <c r="AU23" s="116"/>
      <c r="AV23" s="116"/>
      <c r="AW23" s="116"/>
      <c r="AX23" s="116"/>
      <c r="AY23" s="116"/>
    </row>
    <row r="24" spans="1:53" x14ac:dyDescent="0.2">
      <c r="A24" s="134"/>
      <c r="B24" s="135">
        <v>4</v>
      </c>
      <c r="C24" s="134" t="s">
        <v>293</v>
      </c>
      <c r="D24" s="131">
        <v>0</v>
      </c>
      <c r="E24" s="131">
        <v>1420.1453138520333</v>
      </c>
      <c r="F24" s="131">
        <v>0</v>
      </c>
      <c r="G24" s="131">
        <v>370.10937504502726</v>
      </c>
      <c r="H24" s="131">
        <v>537.25372990672622</v>
      </c>
      <c r="I24" s="131">
        <v>0</v>
      </c>
      <c r="J24" s="131">
        <v>0</v>
      </c>
      <c r="K24" s="131">
        <v>0</v>
      </c>
      <c r="L24" s="131">
        <v>0</v>
      </c>
      <c r="M24" s="131">
        <v>0</v>
      </c>
      <c r="N24" s="131">
        <v>0</v>
      </c>
      <c r="O24" s="131">
        <v>0</v>
      </c>
      <c r="P24" s="131">
        <v>0</v>
      </c>
      <c r="Q24" s="131">
        <v>29.149403414494373</v>
      </c>
      <c r="R24" s="131">
        <v>596.78885837651796</v>
      </c>
      <c r="S24" s="131">
        <v>0</v>
      </c>
      <c r="T24" s="131">
        <v>0</v>
      </c>
      <c r="U24" s="131">
        <v>0</v>
      </c>
      <c r="V24" s="131">
        <v>0</v>
      </c>
      <c r="W24" s="131">
        <v>0</v>
      </c>
      <c r="X24" s="131">
        <v>0</v>
      </c>
      <c r="Y24" s="131">
        <v>0</v>
      </c>
      <c r="Z24" s="131">
        <v>0</v>
      </c>
      <c r="AA24" s="131">
        <v>0</v>
      </c>
      <c r="AB24" s="131">
        <v>0</v>
      </c>
      <c r="AC24" s="131">
        <v>0</v>
      </c>
      <c r="AD24" s="131">
        <v>0</v>
      </c>
      <c r="AE24" s="131">
        <v>0</v>
      </c>
      <c r="AF24" s="131">
        <v>0</v>
      </c>
      <c r="AG24" s="131">
        <v>0</v>
      </c>
      <c r="AH24" s="131">
        <v>0</v>
      </c>
      <c r="AI24" s="131">
        <v>0</v>
      </c>
      <c r="AJ24" s="131">
        <v>0</v>
      </c>
      <c r="AK24" s="131">
        <v>0</v>
      </c>
      <c r="AL24" s="131">
        <v>0</v>
      </c>
      <c r="AM24" s="131">
        <v>0</v>
      </c>
      <c r="AN24" s="131">
        <v>0</v>
      </c>
      <c r="AO24" s="131">
        <v>0</v>
      </c>
      <c r="AP24" s="131">
        <v>0</v>
      </c>
      <c r="AQ24" s="131">
        <v>0</v>
      </c>
      <c r="AR24" s="131">
        <v>0</v>
      </c>
      <c r="AS24" s="131">
        <v>0</v>
      </c>
      <c r="AT24" s="131">
        <v>0</v>
      </c>
      <c r="AU24" s="131">
        <v>0</v>
      </c>
      <c r="AV24" s="131">
        <v>0</v>
      </c>
      <c r="AW24" s="131">
        <v>0</v>
      </c>
      <c r="AX24" s="131">
        <v>0</v>
      </c>
      <c r="AY24" s="131">
        <v>0</v>
      </c>
    </row>
    <row r="25" spans="1:53" x14ac:dyDescent="0.2">
      <c r="A25" s="132" t="s">
        <v>133</v>
      </c>
      <c r="B25" s="129">
        <v>1</v>
      </c>
      <c r="C25" s="115" t="s">
        <v>293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116"/>
      <c r="AC25" s="116"/>
      <c r="AD25" s="116"/>
      <c r="AE25" s="116"/>
      <c r="AF25" s="116"/>
      <c r="AG25" s="116"/>
      <c r="AH25" s="116"/>
      <c r="AI25" s="116"/>
      <c r="AJ25" s="116"/>
      <c r="AK25" s="116"/>
      <c r="AL25" s="116"/>
      <c r="AM25" s="116"/>
      <c r="AN25" s="116"/>
      <c r="AO25" s="116"/>
      <c r="AP25" s="116"/>
      <c r="AQ25" s="116"/>
      <c r="AR25" s="116"/>
      <c r="AS25" s="116"/>
      <c r="AT25" s="116"/>
      <c r="AU25" s="116"/>
      <c r="AV25" s="116"/>
      <c r="AW25" s="116"/>
      <c r="AX25" s="116"/>
      <c r="AY25" s="116"/>
    </row>
    <row r="26" spans="1:53" x14ac:dyDescent="0.2">
      <c r="A26" s="115"/>
      <c r="B26" s="125">
        <v>2</v>
      </c>
      <c r="C26" s="115" t="s">
        <v>293</v>
      </c>
      <c r="D26" s="116"/>
      <c r="E26" s="116"/>
      <c r="F26" s="116"/>
      <c r="G26" s="116"/>
      <c r="H26" s="116"/>
      <c r="I26" s="116"/>
      <c r="J26" s="116"/>
      <c r="K26" s="116"/>
      <c r="L26" s="116"/>
      <c r="M26" s="116"/>
      <c r="N26" s="116"/>
      <c r="O26" s="116"/>
      <c r="P26" s="116"/>
      <c r="Q26" s="116"/>
      <c r="R26" s="116"/>
      <c r="S26" s="116"/>
      <c r="T26" s="116"/>
      <c r="U26" s="116"/>
      <c r="V26" s="116"/>
      <c r="W26" s="116"/>
      <c r="X26" s="116"/>
      <c r="Y26" s="116"/>
      <c r="Z26" s="116"/>
      <c r="AA26" s="116"/>
      <c r="AB26" s="116"/>
      <c r="AC26" s="116"/>
      <c r="AD26" s="116"/>
      <c r="AE26" s="116"/>
      <c r="AF26" s="116"/>
      <c r="AG26" s="116"/>
      <c r="AH26" s="116"/>
      <c r="AI26" s="116"/>
      <c r="AJ26" s="116"/>
      <c r="AK26" s="116"/>
      <c r="AL26" s="116"/>
      <c r="AM26" s="116"/>
      <c r="AN26" s="116"/>
      <c r="AO26" s="116"/>
      <c r="AP26" s="116"/>
      <c r="AQ26" s="116"/>
      <c r="AR26" s="116"/>
      <c r="AS26" s="116"/>
      <c r="AT26" s="116"/>
      <c r="AU26" s="116"/>
      <c r="AV26" s="116"/>
      <c r="AW26" s="116"/>
      <c r="AX26" s="116"/>
      <c r="AY26" s="116"/>
    </row>
    <row r="27" spans="1:53" x14ac:dyDescent="0.2">
      <c r="A27" s="115"/>
      <c r="B27" s="126">
        <v>3</v>
      </c>
      <c r="C27" s="115" t="s">
        <v>293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116"/>
      <c r="AC27" s="116"/>
      <c r="AD27" s="116"/>
      <c r="AE27" s="116"/>
      <c r="AF27" s="116"/>
      <c r="AG27" s="116"/>
      <c r="AH27" s="116"/>
      <c r="AI27" s="116"/>
      <c r="AJ27" s="116"/>
      <c r="AK27" s="116"/>
      <c r="AL27" s="116"/>
      <c r="AM27" s="116"/>
      <c r="AN27" s="116"/>
      <c r="AO27" s="116"/>
      <c r="AP27" s="116"/>
      <c r="AQ27" s="116"/>
      <c r="AR27" s="116"/>
      <c r="AS27" s="116"/>
      <c r="AT27" s="116"/>
      <c r="AU27" s="116"/>
      <c r="AV27" s="116"/>
      <c r="AW27" s="116"/>
      <c r="AX27" s="116"/>
      <c r="AY27" s="116"/>
    </row>
    <row r="28" spans="1:53" x14ac:dyDescent="0.2">
      <c r="A28" s="115"/>
      <c r="B28" s="126">
        <v>4</v>
      </c>
      <c r="C28" s="115" t="s">
        <v>293</v>
      </c>
      <c r="D28" s="116"/>
      <c r="E28" s="116"/>
      <c r="F28" s="116"/>
      <c r="G28" s="116"/>
      <c r="H28" s="116"/>
      <c r="I28" s="116"/>
      <c r="J28" s="116"/>
      <c r="K28" s="116"/>
      <c r="L28" s="116"/>
      <c r="M28" s="116"/>
      <c r="N28" s="116"/>
      <c r="O28" s="116"/>
      <c r="P28" s="116"/>
      <c r="Q28" s="116"/>
      <c r="R28" s="116"/>
      <c r="S28" s="116"/>
      <c r="T28" s="116"/>
      <c r="U28" s="116"/>
      <c r="V28" s="116"/>
      <c r="W28" s="116"/>
      <c r="X28" s="116"/>
      <c r="Y28" s="116"/>
      <c r="Z28" s="116"/>
      <c r="AA28" s="116"/>
      <c r="AB28" s="116"/>
      <c r="AC28" s="116"/>
      <c r="AD28" s="116"/>
      <c r="AE28" s="116"/>
      <c r="AF28" s="116"/>
      <c r="AG28" s="116"/>
      <c r="AH28" s="116"/>
      <c r="AI28" s="116"/>
      <c r="AJ28" s="116"/>
      <c r="AK28" s="116"/>
      <c r="AL28" s="116"/>
      <c r="AM28" s="116"/>
      <c r="AN28" s="116"/>
      <c r="AO28" s="116"/>
      <c r="AP28" s="116"/>
      <c r="AQ28" s="116"/>
      <c r="AR28" s="116"/>
      <c r="AS28" s="116"/>
      <c r="AT28" s="116"/>
      <c r="AU28" s="116"/>
      <c r="AV28" s="116"/>
      <c r="AW28" s="116"/>
      <c r="AX28" s="116"/>
      <c r="AY28" s="116"/>
    </row>
    <row r="29" spans="1:53" x14ac:dyDescent="0.2">
      <c r="A29" s="115"/>
      <c r="B29" s="133">
        <v>5</v>
      </c>
      <c r="C29" s="115" t="s">
        <v>293</v>
      </c>
      <c r="D29" s="116"/>
      <c r="E29" s="116"/>
      <c r="F29" s="116"/>
      <c r="G29" s="116"/>
      <c r="H29" s="116"/>
      <c r="I29" s="116"/>
      <c r="J29" s="116"/>
      <c r="K29" s="116"/>
      <c r="L29" s="116"/>
      <c r="M29" s="116"/>
      <c r="N29" s="116"/>
      <c r="O29" s="116"/>
      <c r="P29" s="116"/>
      <c r="Q29" s="116"/>
      <c r="R29" s="116"/>
      <c r="S29" s="116"/>
      <c r="T29" s="116"/>
      <c r="U29" s="116"/>
      <c r="V29" s="116"/>
      <c r="W29" s="116"/>
      <c r="X29" s="116"/>
      <c r="Y29" s="116"/>
      <c r="Z29" s="116"/>
      <c r="AA29" s="116"/>
      <c r="AB29" s="116"/>
      <c r="AC29" s="116"/>
      <c r="AD29" s="116"/>
      <c r="AE29" s="116"/>
      <c r="AF29" s="116"/>
      <c r="AG29" s="116"/>
      <c r="AH29" s="116"/>
      <c r="AI29" s="116"/>
      <c r="AJ29" s="116"/>
      <c r="AK29" s="116"/>
      <c r="AL29" s="116"/>
      <c r="AM29" s="116">
        <v>0</v>
      </c>
      <c r="AN29" s="116">
        <v>0</v>
      </c>
      <c r="AO29" s="116">
        <v>0</v>
      </c>
      <c r="AP29" s="116">
        <v>0</v>
      </c>
      <c r="AQ29" s="116">
        <v>0</v>
      </c>
      <c r="AR29" s="116"/>
      <c r="AS29" s="116"/>
      <c r="AT29" s="116"/>
      <c r="AU29" s="116"/>
      <c r="AV29" s="116"/>
      <c r="AW29" s="116"/>
      <c r="AX29" s="116"/>
      <c r="AY29" s="116"/>
    </row>
    <row r="30" spans="1:53" x14ac:dyDescent="0.2">
      <c r="A30" s="115"/>
      <c r="B30" s="133">
        <v>6</v>
      </c>
      <c r="C30" s="115" t="s">
        <v>293</v>
      </c>
      <c r="D30" s="116"/>
      <c r="E30" s="116"/>
      <c r="F30" s="116"/>
      <c r="G30" s="116"/>
      <c r="H30" s="116"/>
      <c r="I30" s="116"/>
      <c r="J30" s="116"/>
      <c r="K30" s="116"/>
      <c r="L30" s="116"/>
      <c r="M30" s="116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6"/>
      <c r="AB30" s="116"/>
      <c r="AC30" s="116"/>
      <c r="AD30" s="116"/>
      <c r="AE30" s="116"/>
      <c r="AF30" s="116"/>
      <c r="AG30" s="116"/>
      <c r="AH30" s="116"/>
      <c r="AI30" s="116"/>
      <c r="AJ30" s="116"/>
      <c r="AK30" s="116"/>
      <c r="AL30" s="116"/>
      <c r="AM30" s="116">
        <v>0</v>
      </c>
      <c r="AN30" s="116">
        <v>0</v>
      </c>
      <c r="AO30" s="116">
        <v>0</v>
      </c>
      <c r="AP30" s="116">
        <v>0</v>
      </c>
      <c r="AQ30" s="116">
        <v>0</v>
      </c>
      <c r="AR30" s="116"/>
      <c r="AS30" s="116"/>
      <c r="AT30" s="116"/>
      <c r="AU30" s="116"/>
      <c r="AV30" s="116"/>
      <c r="AW30" s="116"/>
      <c r="AX30" s="116"/>
      <c r="AY30" s="116"/>
    </row>
    <row r="31" spans="1:53" x14ac:dyDescent="0.2">
      <c r="A31" s="115"/>
      <c r="B31" s="136">
        <v>7</v>
      </c>
      <c r="C31" s="115" t="s">
        <v>293</v>
      </c>
      <c r="D31" s="116">
        <v>0</v>
      </c>
      <c r="E31" s="116">
        <v>0</v>
      </c>
      <c r="F31" s="116"/>
      <c r="G31" s="116"/>
      <c r="H31" s="116"/>
      <c r="I31" s="116">
        <v>0</v>
      </c>
      <c r="J31" s="116">
        <v>0</v>
      </c>
      <c r="K31" s="116">
        <v>0</v>
      </c>
      <c r="L31" s="116"/>
      <c r="M31" s="116">
        <v>0</v>
      </c>
      <c r="N31" s="116"/>
      <c r="O31" s="116"/>
      <c r="P31" s="116"/>
      <c r="Q31" s="116"/>
      <c r="R31" s="116"/>
      <c r="S31" s="116"/>
      <c r="T31" s="116"/>
      <c r="U31" s="116"/>
      <c r="V31" s="116"/>
      <c r="W31" s="116"/>
      <c r="X31" s="116"/>
      <c r="Y31" s="116"/>
      <c r="Z31" s="116"/>
      <c r="AA31" s="116"/>
      <c r="AB31" s="116"/>
      <c r="AC31" s="116"/>
      <c r="AD31" s="116"/>
      <c r="AE31" s="116"/>
      <c r="AF31" s="116"/>
      <c r="AG31" s="116"/>
      <c r="AH31" s="116"/>
      <c r="AI31" s="116"/>
      <c r="AJ31" s="116"/>
      <c r="AK31" s="116">
        <v>0</v>
      </c>
      <c r="AL31" s="116">
        <v>0</v>
      </c>
      <c r="AM31" s="116">
        <v>0</v>
      </c>
      <c r="AN31" s="116">
        <v>0</v>
      </c>
      <c r="AO31" s="116">
        <v>0</v>
      </c>
      <c r="AP31" s="116">
        <v>0</v>
      </c>
      <c r="AQ31" s="116">
        <v>0</v>
      </c>
      <c r="AR31" s="116"/>
      <c r="AS31" s="116"/>
      <c r="AT31" s="116"/>
      <c r="AU31" s="116"/>
      <c r="AV31" s="116"/>
      <c r="AW31" s="116"/>
      <c r="AX31" s="116"/>
      <c r="AY31" s="116"/>
    </row>
    <row r="32" spans="1:53" x14ac:dyDescent="0.2">
      <c r="A32" s="134"/>
      <c r="B32" s="135">
        <v>8</v>
      </c>
      <c r="C32" s="134" t="s">
        <v>293</v>
      </c>
      <c r="D32" s="131">
        <v>0</v>
      </c>
      <c r="E32" s="131">
        <v>0</v>
      </c>
      <c r="F32" s="131">
        <v>0</v>
      </c>
      <c r="G32" s="131">
        <v>0</v>
      </c>
      <c r="H32" s="131">
        <v>0</v>
      </c>
      <c r="I32" s="131">
        <v>0</v>
      </c>
      <c r="J32" s="131">
        <v>0</v>
      </c>
      <c r="K32" s="131">
        <v>0</v>
      </c>
      <c r="L32" s="131">
        <v>0</v>
      </c>
      <c r="M32" s="131">
        <v>0</v>
      </c>
      <c r="N32" s="131">
        <v>0</v>
      </c>
      <c r="O32" s="131">
        <v>0</v>
      </c>
      <c r="P32" s="131">
        <v>0</v>
      </c>
      <c r="Q32" s="131">
        <v>0</v>
      </c>
      <c r="R32" s="131">
        <v>0</v>
      </c>
      <c r="S32" s="131">
        <v>0</v>
      </c>
      <c r="T32" s="131">
        <v>0</v>
      </c>
      <c r="U32" s="131">
        <v>0</v>
      </c>
      <c r="V32" s="131">
        <v>0</v>
      </c>
      <c r="W32" s="131">
        <v>0</v>
      </c>
      <c r="X32" s="131">
        <v>0</v>
      </c>
      <c r="Y32" s="131">
        <v>0</v>
      </c>
      <c r="Z32" s="131">
        <v>0</v>
      </c>
      <c r="AA32" s="131">
        <v>0</v>
      </c>
      <c r="AB32" s="131">
        <v>0</v>
      </c>
      <c r="AC32" s="131">
        <v>0</v>
      </c>
      <c r="AD32" s="131">
        <v>0</v>
      </c>
      <c r="AE32" s="131">
        <v>0</v>
      </c>
      <c r="AF32" s="131">
        <v>0</v>
      </c>
      <c r="AG32" s="131">
        <v>0</v>
      </c>
      <c r="AH32" s="131">
        <v>0</v>
      </c>
      <c r="AI32" s="131">
        <v>0</v>
      </c>
      <c r="AJ32" s="131">
        <v>0</v>
      </c>
      <c r="AK32" s="131">
        <v>0</v>
      </c>
      <c r="AL32" s="131">
        <v>0</v>
      </c>
      <c r="AM32" s="131">
        <v>0</v>
      </c>
      <c r="AN32" s="131">
        <v>0</v>
      </c>
      <c r="AO32" s="131">
        <v>0</v>
      </c>
      <c r="AP32" s="131">
        <v>0</v>
      </c>
      <c r="AQ32" s="131">
        <v>0</v>
      </c>
      <c r="AR32" s="131">
        <v>0</v>
      </c>
      <c r="AS32" s="131">
        <v>0</v>
      </c>
      <c r="AT32" s="131">
        <v>0</v>
      </c>
      <c r="AU32" s="131">
        <v>0</v>
      </c>
      <c r="AV32" s="131">
        <v>0</v>
      </c>
      <c r="AW32" s="131">
        <v>0</v>
      </c>
      <c r="AX32" s="131">
        <v>0</v>
      </c>
      <c r="AY32" s="131">
        <v>0</v>
      </c>
    </row>
    <row r="33" spans="1:51" x14ac:dyDescent="0.2">
      <c r="A33" s="137" t="s">
        <v>134</v>
      </c>
      <c r="B33" s="125">
        <v>1</v>
      </c>
      <c r="C33" s="115" t="s">
        <v>293</v>
      </c>
      <c r="D33" s="112"/>
      <c r="E33" s="112"/>
      <c r="F33" s="112"/>
      <c r="G33" s="112"/>
      <c r="H33" s="112"/>
      <c r="I33" s="112"/>
      <c r="J33" s="112"/>
      <c r="K33" s="112"/>
      <c r="L33" s="112"/>
      <c r="M33" s="112"/>
      <c r="N33" s="112"/>
      <c r="O33" s="112"/>
      <c r="P33" s="112"/>
      <c r="Q33" s="112"/>
      <c r="R33" s="112"/>
      <c r="S33" s="112"/>
      <c r="T33" s="112"/>
      <c r="U33" s="112"/>
      <c r="V33" s="112"/>
      <c r="W33" s="112"/>
      <c r="X33" s="112"/>
      <c r="Y33" s="112"/>
      <c r="Z33" s="112"/>
      <c r="AA33" s="112"/>
      <c r="AB33" s="112"/>
      <c r="AC33" s="112"/>
      <c r="AD33" s="112"/>
      <c r="AE33" s="112"/>
      <c r="AF33" s="112"/>
      <c r="AG33" s="112"/>
      <c r="AH33" s="112"/>
      <c r="AI33" s="112"/>
      <c r="AJ33" s="112"/>
      <c r="AK33" s="112"/>
      <c r="AL33" s="112"/>
      <c r="AM33" s="112"/>
      <c r="AN33" s="112"/>
      <c r="AO33" s="112"/>
      <c r="AP33" s="112"/>
      <c r="AQ33" s="112"/>
      <c r="AR33" s="112"/>
      <c r="AS33" s="112"/>
      <c r="AT33" s="112"/>
      <c r="AU33" s="112"/>
      <c r="AV33" s="112"/>
      <c r="AW33" s="112"/>
      <c r="AX33" s="112"/>
      <c r="AY33" s="112"/>
    </row>
    <row r="34" spans="1:51" x14ac:dyDescent="0.2">
      <c r="A34" s="115"/>
      <c r="B34" s="125">
        <v>2</v>
      </c>
      <c r="C34" s="115" t="s">
        <v>293</v>
      </c>
      <c r="D34" s="112"/>
      <c r="E34" s="112"/>
      <c r="F34" s="112"/>
      <c r="G34" s="112"/>
      <c r="H34" s="112"/>
      <c r="I34" s="112"/>
      <c r="J34" s="112"/>
      <c r="K34" s="112"/>
      <c r="L34" s="112"/>
      <c r="M34" s="112"/>
      <c r="N34" s="112"/>
      <c r="O34" s="112"/>
      <c r="P34" s="112"/>
      <c r="Q34" s="112"/>
      <c r="R34" s="112"/>
      <c r="S34" s="112"/>
      <c r="T34" s="112"/>
      <c r="U34" s="112"/>
      <c r="V34" s="112"/>
      <c r="W34" s="112"/>
      <c r="X34" s="112"/>
      <c r="Y34" s="112"/>
      <c r="Z34" s="112"/>
      <c r="AA34" s="112"/>
      <c r="AB34" s="112"/>
      <c r="AC34" s="112"/>
      <c r="AD34" s="112"/>
      <c r="AE34" s="112"/>
      <c r="AF34" s="112"/>
      <c r="AG34" s="112"/>
      <c r="AH34" s="112"/>
      <c r="AI34" s="112"/>
      <c r="AJ34" s="112"/>
      <c r="AK34" s="112"/>
      <c r="AL34" s="112"/>
      <c r="AM34" s="112"/>
      <c r="AN34" s="112"/>
      <c r="AO34" s="112"/>
      <c r="AP34" s="112"/>
      <c r="AQ34" s="112"/>
      <c r="AR34" s="112"/>
      <c r="AS34" s="112"/>
      <c r="AT34" s="112"/>
      <c r="AU34" s="112"/>
      <c r="AV34" s="112"/>
      <c r="AW34" s="112"/>
      <c r="AX34" s="112"/>
      <c r="AY34" s="112"/>
    </row>
    <row r="35" spans="1:51" x14ac:dyDescent="0.2">
      <c r="A35" s="115"/>
      <c r="B35" s="125">
        <v>3</v>
      </c>
      <c r="C35" s="115" t="s">
        <v>293</v>
      </c>
      <c r="D35" s="112"/>
      <c r="E35" s="112"/>
      <c r="F35" s="112"/>
      <c r="G35" s="112"/>
      <c r="H35" s="112"/>
      <c r="I35" s="112"/>
      <c r="J35" s="112"/>
      <c r="K35" s="112"/>
      <c r="L35" s="112"/>
      <c r="M35" s="112"/>
      <c r="N35" s="112"/>
      <c r="O35" s="112"/>
      <c r="P35" s="112"/>
      <c r="Q35" s="112"/>
      <c r="R35" s="112"/>
      <c r="S35" s="112"/>
      <c r="T35" s="112"/>
      <c r="U35" s="112"/>
      <c r="V35" s="112"/>
      <c r="W35" s="112"/>
      <c r="X35" s="112"/>
      <c r="Y35" s="112"/>
      <c r="Z35" s="112"/>
      <c r="AA35" s="112"/>
      <c r="AB35" s="112"/>
      <c r="AC35" s="112"/>
      <c r="AD35" s="112"/>
      <c r="AE35" s="112"/>
      <c r="AF35" s="112"/>
      <c r="AG35" s="112"/>
      <c r="AH35" s="112"/>
      <c r="AI35" s="112"/>
      <c r="AJ35" s="112"/>
      <c r="AK35" s="112"/>
      <c r="AL35" s="112"/>
      <c r="AM35" s="112"/>
      <c r="AN35" s="112"/>
      <c r="AO35" s="112"/>
      <c r="AP35" s="112"/>
      <c r="AQ35" s="112"/>
      <c r="AR35" s="112"/>
      <c r="AS35" s="112"/>
      <c r="AT35" s="112"/>
      <c r="AU35" s="112"/>
      <c r="AV35" s="112"/>
      <c r="AW35" s="112"/>
      <c r="AX35" s="112"/>
      <c r="AY35" s="112"/>
    </row>
    <row r="36" spans="1:51" x14ac:dyDescent="0.2">
      <c r="A36" s="115"/>
      <c r="B36" s="126">
        <v>4</v>
      </c>
      <c r="C36" s="115" t="s">
        <v>293</v>
      </c>
      <c r="D36" s="112"/>
      <c r="E36" s="112"/>
      <c r="F36" s="112"/>
      <c r="G36" s="112"/>
      <c r="H36" s="112"/>
      <c r="I36" s="112"/>
      <c r="J36" s="112"/>
      <c r="K36" s="112"/>
      <c r="L36" s="112"/>
      <c r="M36" s="112"/>
      <c r="N36" s="112"/>
      <c r="O36" s="112"/>
      <c r="P36" s="112"/>
      <c r="Q36" s="112"/>
      <c r="R36" s="112"/>
      <c r="S36" s="112"/>
      <c r="T36" s="112"/>
      <c r="U36" s="112"/>
      <c r="V36" s="112"/>
      <c r="W36" s="112"/>
      <c r="X36" s="112"/>
      <c r="Y36" s="112"/>
      <c r="Z36" s="112"/>
      <c r="AA36" s="112"/>
      <c r="AB36" s="112"/>
      <c r="AC36" s="112"/>
      <c r="AD36" s="112"/>
      <c r="AE36" s="112"/>
      <c r="AF36" s="112"/>
      <c r="AG36" s="112"/>
      <c r="AH36" s="112"/>
      <c r="AI36" s="112"/>
      <c r="AJ36" s="112"/>
      <c r="AK36" s="112"/>
      <c r="AL36" s="112"/>
      <c r="AM36" s="112"/>
      <c r="AN36" s="112"/>
      <c r="AO36" s="112"/>
      <c r="AP36" s="112"/>
      <c r="AQ36" s="112"/>
      <c r="AR36" s="112"/>
      <c r="AS36" s="112"/>
      <c r="AT36" s="112"/>
      <c r="AU36" s="112"/>
      <c r="AV36" s="112"/>
      <c r="AW36" s="112"/>
      <c r="AX36" s="112"/>
      <c r="AY36" s="112"/>
    </row>
    <row r="37" spans="1:51" x14ac:dyDescent="0.2">
      <c r="A37" s="115"/>
      <c r="B37" s="126">
        <v>5</v>
      </c>
      <c r="C37" s="115" t="s">
        <v>293</v>
      </c>
      <c r="D37" s="112"/>
      <c r="E37" s="112"/>
      <c r="F37" s="112"/>
      <c r="G37" s="112"/>
      <c r="H37" s="112"/>
      <c r="I37" s="112"/>
      <c r="J37" s="112"/>
      <c r="K37" s="112"/>
      <c r="L37" s="112"/>
      <c r="M37" s="112"/>
      <c r="N37" s="112"/>
      <c r="O37" s="112"/>
      <c r="P37" s="112"/>
      <c r="Q37" s="112"/>
      <c r="R37" s="112"/>
      <c r="S37" s="112"/>
      <c r="T37" s="112"/>
      <c r="U37" s="112"/>
      <c r="V37" s="112"/>
      <c r="W37" s="112"/>
      <c r="X37" s="112"/>
      <c r="Y37" s="112"/>
      <c r="Z37" s="112"/>
      <c r="AA37" s="112"/>
      <c r="AB37" s="112"/>
      <c r="AC37" s="112"/>
      <c r="AD37" s="112"/>
      <c r="AE37" s="112"/>
      <c r="AF37" s="112"/>
      <c r="AG37" s="112"/>
      <c r="AH37" s="112"/>
      <c r="AI37" s="112"/>
      <c r="AJ37" s="112"/>
      <c r="AK37" s="112"/>
      <c r="AL37" s="112"/>
      <c r="AM37" s="112"/>
      <c r="AN37" s="112"/>
      <c r="AO37" s="112"/>
      <c r="AP37" s="112"/>
      <c r="AQ37" s="112"/>
      <c r="AR37" s="112"/>
      <c r="AS37" s="112"/>
      <c r="AT37" s="112"/>
      <c r="AU37" s="112"/>
      <c r="AV37" s="112"/>
      <c r="AW37" s="112"/>
      <c r="AX37" s="112"/>
      <c r="AY37" s="112"/>
    </row>
    <row r="38" spans="1:51" x14ac:dyDescent="0.2">
      <c r="A38" s="115"/>
      <c r="B38" s="126">
        <v>6</v>
      </c>
      <c r="C38" s="115" t="s">
        <v>293</v>
      </c>
      <c r="D38" s="112"/>
      <c r="E38" s="112"/>
      <c r="F38" s="112"/>
      <c r="G38" s="112"/>
      <c r="H38" s="112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112"/>
      <c r="T38" s="112"/>
      <c r="U38" s="112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  <c r="AH38" s="112"/>
      <c r="AI38" s="112"/>
      <c r="AJ38" s="112"/>
      <c r="AK38" s="112"/>
      <c r="AL38" s="112"/>
      <c r="AM38" s="112"/>
      <c r="AN38" s="112"/>
      <c r="AO38" s="112"/>
      <c r="AP38" s="112"/>
      <c r="AQ38" s="112"/>
      <c r="AR38" s="112"/>
      <c r="AS38" s="112"/>
      <c r="AT38" s="112"/>
      <c r="AU38" s="112"/>
      <c r="AV38" s="112"/>
      <c r="AW38" s="112"/>
      <c r="AX38" s="112"/>
      <c r="AY38" s="112"/>
    </row>
    <row r="39" spans="1:51" x14ac:dyDescent="0.2">
      <c r="A39" s="115"/>
      <c r="B39" s="133">
        <v>7</v>
      </c>
      <c r="C39" s="115" t="s">
        <v>293</v>
      </c>
      <c r="D39" s="112"/>
      <c r="E39" s="112"/>
      <c r="F39" s="112"/>
      <c r="G39" s="112"/>
      <c r="H39" s="112"/>
      <c r="I39" s="112"/>
      <c r="J39" s="112"/>
      <c r="K39" s="112"/>
      <c r="L39" s="112"/>
      <c r="M39" s="112"/>
      <c r="N39" s="112"/>
      <c r="O39" s="112"/>
      <c r="P39" s="112"/>
      <c r="Q39" s="112"/>
      <c r="R39" s="112"/>
      <c r="S39" s="112"/>
      <c r="T39" s="112"/>
      <c r="U39" s="112"/>
      <c r="V39" s="112"/>
      <c r="W39" s="112"/>
      <c r="X39" s="112"/>
      <c r="Y39" s="112"/>
      <c r="Z39" s="112"/>
      <c r="AA39" s="112"/>
      <c r="AB39" s="112"/>
      <c r="AC39" s="112"/>
      <c r="AD39" s="112"/>
      <c r="AE39" s="112"/>
      <c r="AF39" s="112"/>
      <c r="AG39" s="112"/>
      <c r="AH39" s="112"/>
      <c r="AI39" s="112"/>
      <c r="AJ39" s="112"/>
      <c r="AK39" s="112"/>
      <c r="AL39" s="112"/>
      <c r="AM39" s="112"/>
      <c r="AN39" s="112"/>
      <c r="AO39" s="112"/>
      <c r="AP39" s="112"/>
      <c r="AQ39" s="112"/>
      <c r="AR39" s="112"/>
      <c r="AS39" s="112"/>
      <c r="AT39" s="112"/>
      <c r="AU39" s="112"/>
      <c r="AV39" s="112"/>
      <c r="AW39" s="112"/>
      <c r="AX39" s="112"/>
      <c r="AY39" s="112"/>
    </row>
    <row r="40" spans="1:51" x14ac:dyDescent="0.2">
      <c r="A40" s="115"/>
      <c r="B40" s="133">
        <v>8</v>
      </c>
      <c r="C40" s="115" t="s">
        <v>293</v>
      </c>
      <c r="D40" s="112"/>
      <c r="E40" s="112"/>
      <c r="F40" s="112"/>
      <c r="G40" s="112"/>
      <c r="H40" s="112"/>
      <c r="I40" s="112"/>
      <c r="J40" s="112"/>
      <c r="K40" s="112"/>
      <c r="L40" s="112"/>
      <c r="M40" s="112"/>
      <c r="N40" s="112"/>
      <c r="O40" s="112"/>
      <c r="P40" s="112"/>
      <c r="Q40" s="112"/>
      <c r="R40" s="112"/>
      <c r="S40" s="112"/>
      <c r="T40" s="112"/>
      <c r="U40" s="112"/>
      <c r="V40" s="112"/>
      <c r="W40" s="112"/>
      <c r="X40" s="112"/>
      <c r="Y40" s="112"/>
      <c r="Z40" s="112"/>
      <c r="AA40" s="112"/>
      <c r="AB40" s="112"/>
      <c r="AC40" s="112"/>
      <c r="AD40" s="112"/>
      <c r="AE40" s="112"/>
      <c r="AF40" s="112"/>
      <c r="AG40" s="112"/>
      <c r="AH40" s="112"/>
      <c r="AI40" s="112"/>
      <c r="AJ40" s="112"/>
      <c r="AK40" s="112"/>
      <c r="AL40" s="112"/>
      <c r="AM40" s="112"/>
      <c r="AN40" s="112"/>
      <c r="AO40" s="112"/>
      <c r="AP40" s="112"/>
      <c r="AQ40" s="112"/>
      <c r="AR40" s="112"/>
      <c r="AS40" s="112"/>
      <c r="AT40" s="112"/>
      <c r="AU40" s="112"/>
      <c r="AV40" s="112"/>
      <c r="AW40" s="112"/>
      <c r="AX40" s="112"/>
      <c r="AY40" s="112"/>
    </row>
    <row r="41" spans="1:51" x14ac:dyDescent="0.2">
      <c r="A41" s="115"/>
      <c r="B41" s="133">
        <v>9</v>
      </c>
      <c r="C41" s="115" t="s">
        <v>293</v>
      </c>
      <c r="D41" s="112"/>
      <c r="E41" s="112"/>
      <c r="F41" s="112"/>
      <c r="G41" s="112"/>
      <c r="H41" s="112"/>
      <c r="I41" s="112"/>
      <c r="J41" s="112"/>
      <c r="K41" s="112"/>
      <c r="L41" s="112"/>
      <c r="M41" s="112"/>
      <c r="N41" s="112"/>
      <c r="O41" s="112"/>
      <c r="P41" s="112"/>
      <c r="Q41" s="112"/>
      <c r="R41" s="112"/>
      <c r="S41" s="112"/>
      <c r="T41" s="112"/>
      <c r="U41" s="112"/>
      <c r="V41" s="112"/>
      <c r="W41" s="112"/>
      <c r="X41" s="112"/>
      <c r="Y41" s="112"/>
      <c r="Z41" s="112"/>
      <c r="AA41" s="112"/>
      <c r="AB41" s="112"/>
      <c r="AC41" s="112"/>
      <c r="AD41" s="112"/>
      <c r="AE41" s="112"/>
      <c r="AF41" s="112"/>
      <c r="AG41" s="112"/>
      <c r="AH41" s="112"/>
      <c r="AI41" s="112"/>
      <c r="AJ41" s="112"/>
      <c r="AK41" s="112"/>
      <c r="AL41" s="112"/>
      <c r="AM41" s="112">
        <v>20.949123228396139</v>
      </c>
      <c r="AN41" s="112">
        <v>256.38286260390396</v>
      </c>
      <c r="AO41" s="112">
        <v>0</v>
      </c>
      <c r="AP41" s="112">
        <v>0</v>
      </c>
      <c r="AQ41" s="112">
        <v>0</v>
      </c>
      <c r="AR41" s="112"/>
      <c r="AS41" s="112"/>
      <c r="AT41" s="112"/>
      <c r="AU41" s="112"/>
      <c r="AV41" s="112"/>
      <c r="AW41" s="112"/>
      <c r="AX41" s="112"/>
      <c r="AY41" s="112"/>
    </row>
    <row r="42" spans="1:51" x14ac:dyDescent="0.2">
      <c r="A42" s="115"/>
      <c r="B42" s="136">
        <v>10</v>
      </c>
      <c r="C42" s="115" t="s">
        <v>293</v>
      </c>
      <c r="D42" s="112"/>
      <c r="E42" s="112"/>
      <c r="F42" s="112"/>
      <c r="G42" s="112"/>
      <c r="H42" s="112"/>
      <c r="I42" s="112"/>
      <c r="J42" s="112"/>
      <c r="K42" s="112"/>
      <c r="L42" s="112"/>
      <c r="M42" s="112"/>
      <c r="N42" s="112"/>
      <c r="O42" s="112"/>
      <c r="P42" s="112"/>
      <c r="Q42" s="112"/>
      <c r="R42" s="112"/>
      <c r="S42" s="112"/>
      <c r="T42" s="112"/>
      <c r="U42" s="112"/>
      <c r="V42" s="112"/>
      <c r="W42" s="112"/>
      <c r="X42" s="112"/>
      <c r="Y42" s="112"/>
      <c r="Z42" s="112"/>
      <c r="AA42" s="112"/>
      <c r="AB42" s="112"/>
      <c r="AC42" s="112"/>
      <c r="AD42" s="112"/>
      <c r="AE42" s="112"/>
      <c r="AF42" s="112"/>
      <c r="AG42" s="112"/>
      <c r="AH42" s="112"/>
      <c r="AI42" s="112"/>
      <c r="AJ42" s="112"/>
      <c r="AK42" s="112"/>
      <c r="AL42" s="112"/>
      <c r="AM42" s="112">
        <v>592.38321016484508</v>
      </c>
      <c r="AN42" s="112">
        <v>0</v>
      </c>
      <c r="AO42" s="112">
        <v>0</v>
      </c>
      <c r="AP42" s="112">
        <v>0</v>
      </c>
      <c r="AQ42" s="112">
        <v>0</v>
      </c>
      <c r="AR42" s="112"/>
      <c r="AS42" s="112"/>
      <c r="AT42" s="112"/>
      <c r="AU42" s="112"/>
      <c r="AV42" s="112"/>
      <c r="AW42" s="112"/>
      <c r="AX42" s="112"/>
      <c r="AY42" s="112"/>
    </row>
    <row r="43" spans="1:51" x14ac:dyDescent="0.2">
      <c r="A43" s="115"/>
      <c r="B43" s="136">
        <v>11</v>
      </c>
      <c r="C43" s="115" t="s">
        <v>293</v>
      </c>
      <c r="D43" s="112">
        <v>0</v>
      </c>
      <c r="E43" s="112">
        <v>0</v>
      </c>
      <c r="F43" s="112"/>
      <c r="G43" s="112"/>
      <c r="H43" s="112"/>
      <c r="I43" s="112">
        <v>0</v>
      </c>
      <c r="J43" s="112">
        <v>0</v>
      </c>
      <c r="K43" s="112">
        <v>0</v>
      </c>
      <c r="L43" s="112"/>
      <c r="M43" s="112">
        <v>0</v>
      </c>
      <c r="N43" s="112"/>
      <c r="O43" s="112"/>
      <c r="P43" s="112"/>
      <c r="Q43" s="112"/>
      <c r="R43" s="112"/>
      <c r="S43" s="112"/>
      <c r="T43" s="112"/>
      <c r="U43" s="112"/>
      <c r="V43" s="112"/>
      <c r="W43" s="112"/>
      <c r="X43" s="112"/>
      <c r="Y43" s="112"/>
      <c r="Z43" s="112"/>
      <c r="AA43" s="112"/>
      <c r="AB43" s="112"/>
      <c r="AC43" s="112"/>
      <c r="AD43" s="112"/>
      <c r="AE43" s="112"/>
      <c r="AF43" s="112"/>
      <c r="AG43" s="112"/>
      <c r="AH43" s="112"/>
      <c r="AI43" s="112"/>
      <c r="AJ43" s="112"/>
      <c r="AK43" s="112">
        <v>202.72727341376549</v>
      </c>
      <c r="AL43" s="112">
        <v>295.84354615773907</v>
      </c>
      <c r="AM43" s="112">
        <v>873.89277307071882</v>
      </c>
      <c r="AN43" s="112">
        <v>0</v>
      </c>
      <c r="AO43" s="112">
        <v>0</v>
      </c>
      <c r="AP43" s="112">
        <v>0</v>
      </c>
      <c r="AQ43" s="112">
        <v>0</v>
      </c>
      <c r="AR43" s="112"/>
      <c r="AS43" s="112"/>
      <c r="AT43" s="112"/>
      <c r="AU43" s="112"/>
      <c r="AV43" s="112"/>
      <c r="AW43" s="112"/>
      <c r="AX43" s="112"/>
      <c r="AY43" s="112"/>
    </row>
    <row r="44" spans="1:51" x14ac:dyDescent="0.2">
      <c r="A44" s="115"/>
      <c r="B44" s="136">
        <v>12</v>
      </c>
      <c r="C44" s="134" t="s">
        <v>293</v>
      </c>
      <c r="D44" s="112">
        <v>0</v>
      </c>
      <c r="E44" s="112">
        <v>0</v>
      </c>
      <c r="F44" s="112">
        <v>0</v>
      </c>
      <c r="G44" s="112">
        <v>0</v>
      </c>
      <c r="H44" s="112">
        <v>0</v>
      </c>
      <c r="I44" s="112">
        <v>0</v>
      </c>
      <c r="J44" s="112">
        <v>0</v>
      </c>
      <c r="K44" s="112">
        <v>0</v>
      </c>
      <c r="L44" s="112">
        <v>0</v>
      </c>
      <c r="M44" s="112">
        <v>0</v>
      </c>
      <c r="N44" s="112">
        <v>0</v>
      </c>
      <c r="O44" s="112">
        <v>0</v>
      </c>
      <c r="P44" s="112">
        <v>0</v>
      </c>
      <c r="Q44" s="112">
        <v>0</v>
      </c>
      <c r="R44" s="112">
        <v>0</v>
      </c>
      <c r="S44" s="112">
        <v>0</v>
      </c>
      <c r="T44" s="112">
        <v>0</v>
      </c>
      <c r="U44" s="112">
        <v>0</v>
      </c>
      <c r="V44" s="112">
        <v>0</v>
      </c>
      <c r="W44" s="112">
        <v>0</v>
      </c>
      <c r="X44" s="112">
        <v>0</v>
      </c>
      <c r="Y44" s="112">
        <v>0</v>
      </c>
      <c r="Z44" s="112">
        <v>0</v>
      </c>
      <c r="AA44" s="112">
        <v>0</v>
      </c>
      <c r="AB44" s="112">
        <v>0</v>
      </c>
      <c r="AC44" s="112">
        <v>0</v>
      </c>
      <c r="AD44" s="112">
        <v>0</v>
      </c>
      <c r="AE44" s="112">
        <v>0</v>
      </c>
      <c r="AF44" s="112">
        <v>0</v>
      </c>
      <c r="AG44" s="112">
        <v>0</v>
      </c>
      <c r="AH44" s="112">
        <v>0</v>
      </c>
      <c r="AI44" s="112">
        <v>0</v>
      </c>
      <c r="AJ44" s="112">
        <v>247.42096758473781</v>
      </c>
      <c r="AK44" s="112">
        <v>692.08369879312568</v>
      </c>
      <c r="AL44" s="112">
        <v>134.54332700631142</v>
      </c>
      <c r="AM44" s="112">
        <v>313.28334926792365</v>
      </c>
      <c r="AN44" s="112">
        <v>0</v>
      </c>
      <c r="AO44" s="112">
        <v>0</v>
      </c>
      <c r="AP44" s="112">
        <v>0</v>
      </c>
      <c r="AQ44" s="112">
        <v>0</v>
      </c>
      <c r="AR44" s="112">
        <v>0</v>
      </c>
      <c r="AS44" s="112">
        <v>0</v>
      </c>
      <c r="AT44" s="112">
        <v>0</v>
      </c>
      <c r="AU44" s="112">
        <v>0</v>
      </c>
      <c r="AV44" s="112">
        <v>0</v>
      </c>
      <c r="AW44" s="112">
        <v>0</v>
      </c>
      <c r="AX44" s="112">
        <v>0</v>
      </c>
      <c r="AY44" s="112">
        <v>0</v>
      </c>
    </row>
    <row r="45" spans="1:51" x14ac:dyDescent="0.2">
      <c r="A45" s="132" t="s">
        <v>123</v>
      </c>
      <c r="B45" s="129">
        <v>1</v>
      </c>
      <c r="C45" s="115" t="s">
        <v>293</v>
      </c>
      <c r="D45" s="130"/>
      <c r="E45" s="130"/>
      <c r="F45" s="130"/>
      <c r="G45" s="130"/>
      <c r="H45" s="130"/>
      <c r="I45" s="130"/>
      <c r="J45" s="130"/>
      <c r="K45" s="130"/>
      <c r="L45" s="130"/>
      <c r="M45" s="130"/>
      <c r="N45" s="130"/>
      <c r="O45" s="130"/>
      <c r="P45" s="130"/>
      <c r="Q45" s="130"/>
      <c r="R45" s="130"/>
      <c r="S45" s="130"/>
      <c r="T45" s="130"/>
      <c r="U45" s="130"/>
      <c r="V45" s="130"/>
      <c r="W45" s="130"/>
      <c r="X45" s="130"/>
      <c r="Y45" s="130"/>
      <c r="Z45" s="130"/>
      <c r="AA45" s="130"/>
      <c r="AB45" s="130"/>
      <c r="AC45" s="130"/>
      <c r="AD45" s="130"/>
      <c r="AE45" s="130"/>
      <c r="AF45" s="130"/>
      <c r="AG45" s="130"/>
      <c r="AH45" s="130"/>
      <c r="AI45" s="130"/>
      <c r="AJ45" s="130"/>
      <c r="AK45" s="130"/>
      <c r="AL45" s="130"/>
      <c r="AM45" s="130"/>
      <c r="AN45" s="130"/>
      <c r="AO45" s="130"/>
      <c r="AP45" s="130"/>
      <c r="AQ45" s="130"/>
      <c r="AR45" s="130"/>
      <c r="AS45" s="130"/>
      <c r="AT45" s="130"/>
      <c r="AU45" s="130"/>
      <c r="AV45" s="130"/>
      <c r="AW45" s="130"/>
      <c r="AX45" s="130"/>
      <c r="AY45" s="130"/>
    </row>
    <row r="46" spans="1:51" x14ac:dyDescent="0.2">
      <c r="A46" s="115"/>
      <c r="B46" s="125">
        <v>2</v>
      </c>
      <c r="C46" s="115" t="s">
        <v>293</v>
      </c>
      <c r="D46" s="116"/>
      <c r="E46" s="116"/>
      <c r="F46" s="116"/>
      <c r="G46" s="116"/>
      <c r="H46" s="116"/>
      <c r="I46" s="116"/>
      <c r="J46" s="116"/>
      <c r="K46" s="116"/>
      <c r="L46" s="116"/>
      <c r="M46" s="116"/>
      <c r="N46" s="116"/>
      <c r="O46" s="116"/>
      <c r="P46" s="116"/>
      <c r="Q46" s="116"/>
      <c r="R46" s="116"/>
      <c r="S46" s="116"/>
      <c r="T46" s="116"/>
      <c r="U46" s="116"/>
      <c r="V46" s="116"/>
      <c r="W46" s="116"/>
      <c r="X46" s="116"/>
      <c r="Y46" s="116"/>
      <c r="Z46" s="116"/>
      <c r="AA46" s="116"/>
      <c r="AB46" s="116"/>
      <c r="AC46" s="116"/>
      <c r="AD46" s="116"/>
      <c r="AE46" s="116"/>
      <c r="AF46" s="116"/>
      <c r="AG46" s="116"/>
      <c r="AH46" s="116"/>
      <c r="AI46" s="116"/>
      <c r="AJ46" s="116"/>
      <c r="AK46" s="116"/>
      <c r="AL46" s="116"/>
      <c r="AM46" s="116"/>
      <c r="AN46" s="116"/>
      <c r="AO46" s="116"/>
      <c r="AP46" s="116"/>
      <c r="AQ46" s="116"/>
      <c r="AR46" s="116"/>
      <c r="AS46" s="116"/>
      <c r="AT46" s="116"/>
      <c r="AU46" s="116"/>
      <c r="AV46" s="116"/>
      <c r="AW46" s="116"/>
      <c r="AX46" s="116"/>
      <c r="AY46" s="116"/>
    </row>
    <row r="47" spans="1:51" x14ac:dyDescent="0.2">
      <c r="A47" s="115"/>
      <c r="B47" s="125">
        <v>3</v>
      </c>
      <c r="C47" s="115" t="s">
        <v>293</v>
      </c>
      <c r="D47" s="116"/>
      <c r="E47" s="116"/>
      <c r="F47" s="116"/>
      <c r="G47" s="116"/>
      <c r="H47" s="116"/>
      <c r="I47" s="116"/>
      <c r="J47" s="116"/>
      <c r="K47" s="116"/>
      <c r="L47" s="116"/>
      <c r="M47" s="116"/>
      <c r="N47" s="116"/>
      <c r="O47" s="116"/>
      <c r="P47" s="116"/>
      <c r="Q47" s="116"/>
      <c r="R47" s="116"/>
      <c r="S47" s="116"/>
      <c r="T47" s="116"/>
      <c r="U47" s="116"/>
      <c r="V47" s="116"/>
      <c r="W47" s="116"/>
      <c r="X47" s="116"/>
      <c r="Y47" s="116"/>
      <c r="Z47" s="116"/>
      <c r="AA47" s="116"/>
      <c r="AB47" s="116"/>
      <c r="AC47" s="116"/>
      <c r="AD47" s="116"/>
      <c r="AE47" s="116"/>
      <c r="AF47" s="116"/>
      <c r="AG47" s="116"/>
      <c r="AH47" s="116"/>
      <c r="AI47" s="116"/>
      <c r="AJ47" s="116"/>
      <c r="AK47" s="116"/>
      <c r="AL47" s="116"/>
      <c r="AM47" s="116"/>
      <c r="AN47" s="116"/>
      <c r="AO47" s="116"/>
      <c r="AP47" s="116"/>
      <c r="AQ47" s="116"/>
      <c r="AR47" s="116"/>
      <c r="AS47" s="116"/>
      <c r="AT47" s="116"/>
      <c r="AU47" s="116"/>
      <c r="AV47" s="116"/>
      <c r="AW47" s="116"/>
      <c r="AX47" s="116"/>
      <c r="AY47" s="116"/>
    </row>
    <row r="48" spans="1:51" x14ac:dyDescent="0.2">
      <c r="A48" s="115"/>
      <c r="B48" s="125">
        <v>4</v>
      </c>
      <c r="C48" s="115" t="s">
        <v>293</v>
      </c>
      <c r="D48" s="116"/>
      <c r="E48" s="116"/>
      <c r="F48" s="116"/>
      <c r="G48" s="116"/>
      <c r="H48" s="116"/>
      <c r="I48" s="116"/>
      <c r="J48" s="116"/>
      <c r="K48" s="116"/>
      <c r="L48" s="116"/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6"/>
      <c r="X48" s="116"/>
      <c r="Y48" s="116"/>
      <c r="Z48" s="116"/>
      <c r="AA48" s="116"/>
      <c r="AB48" s="116"/>
      <c r="AC48" s="116"/>
      <c r="AD48" s="116"/>
      <c r="AE48" s="116"/>
      <c r="AF48" s="116"/>
      <c r="AG48" s="116"/>
      <c r="AH48" s="116"/>
      <c r="AI48" s="116"/>
      <c r="AJ48" s="116"/>
      <c r="AK48" s="116"/>
      <c r="AL48" s="116"/>
      <c r="AM48" s="116"/>
      <c r="AN48" s="116"/>
      <c r="AO48" s="116"/>
      <c r="AP48" s="116"/>
      <c r="AQ48" s="116"/>
      <c r="AR48" s="116"/>
      <c r="AS48" s="116"/>
      <c r="AT48" s="116"/>
      <c r="AU48" s="116"/>
      <c r="AV48" s="116"/>
      <c r="AW48" s="116"/>
      <c r="AX48" s="116"/>
      <c r="AY48" s="116"/>
    </row>
    <row r="49" spans="1:51" x14ac:dyDescent="0.2">
      <c r="A49" s="115"/>
      <c r="B49" s="125">
        <v>5</v>
      </c>
      <c r="C49" s="115" t="s">
        <v>293</v>
      </c>
      <c r="D49" s="116"/>
      <c r="E49" s="116"/>
      <c r="F49" s="116"/>
      <c r="G49" s="116"/>
      <c r="H49" s="116"/>
      <c r="I49" s="116"/>
      <c r="J49" s="116"/>
      <c r="K49" s="116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6"/>
      <c r="X49" s="116"/>
      <c r="Y49" s="116"/>
      <c r="Z49" s="116"/>
      <c r="AA49" s="116"/>
      <c r="AB49" s="116"/>
      <c r="AC49" s="116"/>
      <c r="AD49" s="116"/>
      <c r="AE49" s="116"/>
      <c r="AF49" s="116"/>
      <c r="AG49" s="116"/>
      <c r="AH49" s="116"/>
      <c r="AI49" s="116"/>
      <c r="AJ49" s="116"/>
      <c r="AK49" s="116"/>
      <c r="AL49" s="116"/>
      <c r="AM49" s="116"/>
      <c r="AN49" s="116"/>
      <c r="AO49" s="116"/>
      <c r="AP49" s="116"/>
      <c r="AQ49" s="116"/>
      <c r="AR49" s="116"/>
      <c r="AS49" s="116"/>
      <c r="AT49" s="116"/>
      <c r="AU49" s="116"/>
      <c r="AV49" s="116"/>
      <c r="AW49" s="116"/>
      <c r="AX49" s="116"/>
      <c r="AY49" s="116"/>
    </row>
    <row r="50" spans="1:51" x14ac:dyDescent="0.2">
      <c r="A50" s="115"/>
      <c r="B50" s="125">
        <v>6</v>
      </c>
      <c r="C50" s="115" t="s">
        <v>293</v>
      </c>
      <c r="D50" s="116"/>
      <c r="E50" s="116"/>
      <c r="F50" s="116"/>
      <c r="G50" s="116"/>
      <c r="H50" s="116"/>
      <c r="I50" s="116"/>
      <c r="J50" s="116"/>
      <c r="K50" s="116"/>
      <c r="L50" s="116"/>
      <c r="M50" s="116"/>
      <c r="N50" s="116"/>
      <c r="O50" s="116"/>
      <c r="P50" s="116"/>
      <c r="Q50" s="116"/>
      <c r="R50" s="116"/>
      <c r="S50" s="116"/>
      <c r="T50" s="116"/>
      <c r="U50" s="116"/>
      <c r="V50" s="116"/>
      <c r="W50" s="116"/>
      <c r="X50" s="116"/>
      <c r="Y50" s="116"/>
      <c r="Z50" s="116"/>
      <c r="AA50" s="116"/>
      <c r="AB50" s="116"/>
      <c r="AC50" s="116"/>
      <c r="AD50" s="116"/>
      <c r="AE50" s="116"/>
      <c r="AF50" s="116"/>
      <c r="AG50" s="116"/>
      <c r="AH50" s="116"/>
      <c r="AI50" s="116"/>
      <c r="AJ50" s="116"/>
      <c r="AK50" s="116"/>
      <c r="AL50" s="116"/>
      <c r="AM50" s="116"/>
      <c r="AN50" s="116"/>
      <c r="AO50" s="116"/>
      <c r="AP50" s="116"/>
      <c r="AQ50" s="116"/>
      <c r="AR50" s="116"/>
      <c r="AS50" s="116"/>
      <c r="AT50" s="116"/>
      <c r="AU50" s="116"/>
      <c r="AV50" s="116"/>
      <c r="AW50" s="116"/>
      <c r="AX50" s="116"/>
      <c r="AY50" s="116"/>
    </row>
    <row r="51" spans="1:51" x14ac:dyDescent="0.2">
      <c r="A51" s="115"/>
      <c r="B51" s="125">
        <v>7</v>
      </c>
      <c r="C51" s="115" t="s">
        <v>293</v>
      </c>
      <c r="D51" s="116"/>
      <c r="E51" s="116"/>
      <c r="F51" s="116"/>
      <c r="G51" s="116"/>
      <c r="H51" s="116"/>
      <c r="I51" s="116"/>
      <c r="J51" s="116"/>
      <c r="K51" s="116"/>
      <c r="L51" s="116"/>
      <c r="M51" s="116"/>
      <c r="N51" s="116"/>
      <c r="O51" s="116"/>
      <c r="P51" s="116"/>
      <c r="Q51" s="116"/>
      <c r="R51" s="116"/>
      <c r="S51" s="116"/>
      <c r="T51" s="116"/>
      <c r="U51" s="116"/>
      <c r="V51" s="116"/>
      <c r="W51" s="116"/>
      <c r="X51" s="116"/>
      <c r="Y51" s="116"/>
      <c r="Z51" s="116"/>
      <c r="AA51" s="116"/>
      <c r="AB51" s="116"/>
      <c r="AC51" s="116"/>
      <c r="AD51" s="116"/>
      <c r="AE51" s="116"/>
      <c r="AF51" s="116"/>
      <c r="AG51" s="116"/>
      <c r="AH51" s="116"/>
      <c r="AI51" s="116"/>
      <c r="AJ51" s="116"/>
      <c r="AK51" s="116"/>
      <c r="AL51" s="116"/>
      <c r="AM51" s="116"/>
      <c r="AN51" s="116"/>
      <c r="AO51" s="116"/>
      <c r="AP51" s="116"/>
      <c r="AQ51" s="116"/>
      <c r="AR51" s="116"/>
      <c r="AS51" s="116"/>
      <c r="AT51" s="116"/>
      <c r="AU51" s="116"/>
      <c r="AV51" s="116"/>
      <c r="AW51" s="116"/>
      <c r="AX51" s="116"/>
      <c r="AY51" s="116"/>
    </row>
    <row r="52" spans="1:51" x14ac:dyDescent="0.2">
      <c r="A52" s="115"/>
      <c r="B52" s="125">
        <v>8</v>
      </c>
      <c r="C52" s="115" t="s">
        <v>293</v>
      </c>
      <c r="D52" s="116"/>
      <c r="E52" s="116"/>
      <c r="F52" s="116"/>
      <c r="G52" s="116"/>
      <c r="H52" s="116"/>
      <c r="I52" s="116"/>
      <c r="J52" s="116"/>
      <c r="K52" s="116"/>
      <c r="L52" s="116"/>
      <c r="M52" s="116"/>
      <c r="N52" s="116"/>
      <c r="O52" s="116"/>
      <c r="P52" s="116"/>
      <c r="Q52" s="116"/>
      <c r="R52" s="116"/>
      <c r="S52" s="116"/>
      <c r="T52" s="116"/>
      <c r="U52" s="116"/>
      <c r="V52" s="116"/>
      <c r="W52" s="116"/>
      <c r="X52" s="116"/>
      <c r="Y52" s="116"/>
      <c r="Z52" s="116"/>
      <c r="AA52" s="116"/>
      <c r="AB52" s="116"/>
      <c r="AC52" s="116"/>
      <c r="AD52" s="116"/>
      <c r="AE52" s="116"/>
      <c r="AF52" s="116"/>
      <c r="AG52" s="116"/>
      <c r="AH52" s="116"/>
      <c r="AI52" s="116"/>
      <c r="AJ52" s="116"/>
      <c r="AK52" s="116"/>
      <c r="AL52" s="116"/>
      <c r="AM52" s="116"/>
      <c r="AN52" s="116"/>
      <c r="AO52" s="116"/>
      <c r="AP52" s="116"/>
      <c r="AQ52" s="116"/>
      <c r="AR52" s="116"/>
      <c r="AS52" s="116"/>
      <c r="AT52" s="116"/>
      <c r="AU52" s="116"/>
      <c r="AV52" s="116"/>
      <c r="AW52" s="116"/>
      <c r="AX52" s="116"/>
      <c r="AY52" s="116"/>
    </row>
    <row r="53" spans="1:51" x14ac:dyDescent="0.2">
      <c r="A53" s="115"/>
      <c r="B53" s="125">
        <v>9</v>
      </c>
      <c r="C53" s="115" t="s">
        <v>293</v>
      </c>
      <c r="D53" s="116"/>
      <c r="E53" s="116"/>
      <c r="F53" s="116"/>
      <c r="G53" s="116"/>
      <c r="H53" s="116"/>
      <c r="I53" s="116"/>
      <c r="J53" s="116"/>
      <c r="K53" s="116"/>
      <c r="L53" s="116"/>
      <c r="M53" s="116"/>
      <c r="N53" s="116"/>
      <c r="O53" s="116"/>
      <c r="P53" s="116"/>
      <c r="Q53" s="116"/>
      <c r="R53" s="116"/>
      <c r="S53" s="116"/>
      <c r="T53" s="116"/>
      <c r="U53" s="116"/>
      <c r="V53" s="116"/>
      <c r="W53" s="116"/>
      <c r="X53" s="116"/>
      <c r="Y53" s="116"/>
      <c r="Z53" s="116"/>
      <c r="AA53" s="116"/>
      <c r="AB53" s="116"/>
      <c r="AC53" s="116"/>
      <c r="AD53" s="116"/>
      <c r="AE53" s="116"/>
      <c r="AF53" s="116"/>
      <c r="AG53" s="116"/>
      <c r="AH53" s="116"/>
      <c r="AI53" s="116"/>
      <c r="AJ53" s="116"/>
      <c r="AK53" s="116"/>
      <c r="AL53" s="116"/>
      <c r="AM53" s="116"/>
      <c r="AN53" s="116"/>
      <c r="AO53" s="116"/>
      <c r="AP53" s="116"/>
      <c r="AQ53" s="116"/>
      <c r="AR53" s="116"/>
      <c r="AS53" s="116"/>
      <c r="AT53" s="116"/>
      <c r="AU53" s="116"/>
      <c r="AV53" s="116"/>
      <c r="AW53" s="116"/>
      <c r="AX53" s="116"/>
      <c r="AY53" s="116"/>
    </row>
    <row r="54" spans="1:51" x14ac:dyDescent="0.2">
      <c r="A54" s="115"/>
      <c r="B54" s="125">
        <v>10</v>
      </c>
      <c r="C54" s="115" t="s">
        <v>293</v>
      </c>
      <c r="D54" s="116"/>
      <c r="E54" s="116"/>
      <c r="F54" s="116"/>
      <c r="G54" s="116"/>
      <c r="H54" s="116"/>
      <c r="I54" s="116"/>
      <c r="J54" s="116"/>
      <c r="K54" s="116"/>
      <c r="L54" s="116"/>
      <c r="M54" s="116"/>
      <c r="N54" s="116"/>
      <c r="O54" s="116"/>
      <c r="P54" s="116"/>
      <c r="Q54" s="116"/>
      <c r="R54" s="116"/>
      <c r="S54" s="116"/>
      <c r="T54" s="116"/>
      <c r="U54" s="116"/>
      <c r="V54" s="116"/>
      <c r="W54" s="116"/>
      <c r="X54" s="116"/>
      <c r="Y54" s="116"/>
      <c r="Z54" s="116"/>
      <c r="AA54" s="116"/>
      <c r="AB54" s="116"/>
      <c r="AC54" s="116"/>
      <c r="AD54" s="116"/>
      <c r="AE54" s="116"/>
      <c r="AF54" s="116"/>
      <c r="AG54" s="116"/>
      <c r="AH54" s="116"/>
      <c r="AI54" s="116"/>
      <c r="AJ54" s="116"/>
      <c r="AK54" s="116"/>
      <c r="AL54" s="116"/>
      <c r="AM54" s="116"/>
      <c r="AN54" s="116"/>
      <c r="AO54" s="116"/>
      <c r="AP54" s="116"/>
      <c r="AQ54" s="116"/>
      <c r="AR54" s="116"/>
      <c r="AS54" s="116"/>
      <c r="AT54" s="116"/>
      <c r="AU54" s="116"/>
      <c r="AV54" s="116"/>
      <c r="AW54" s="116"/>
      <c r="AX54" s="116"/>
      <c r="AY54" s="116"/>
    </row>
    <row r="55" spans="1:51" x14ac:dyDescent="0.2">
      <c r="A55" s="115"/>
      <c r="B55" s="125">
        <v>11</v>
      </c>
      <c r="C55" s="115" t="s">
        <v>293</v>
      </c>
      <c r="D55" s="116"/>
      <c r="E55" s="116"/>
      <c r="F55" s="116"/>
      <c r="G55" s="116"/>
      <c r="H55" s="116"/>
      <c r="I55" s="116"/>
      <c r="J55" s="116"/>
      <c r="K55" s="116"/>
      <c r="L55" s="116"/>
      <c r="M55" s="116"/>
      <c r="N55" s="116"/>
      <c r="O55" s="116"/>
      <c r="P55" s="116"/>
      <c r="Q55" s="116"/>
      <c r="R55" s="116"/>
      <c r="S55" s="116"/>
      <c r="T55" s="116"/>
      <c r="U55" s="116"/>
      <c r="V55" s="116"/>
      <c r="W55" s="116"/>
      <c r="X55" s="116"/>
      <c r="Y55" s="116"/>
      <c r="Z55" s="116"/>
      <c r="AA55" s="116"/>
      <c r="AB55" s="116"/>
      <c r="AC55" s="116"/>
      <c r="AD55" s="116"/>
      <c r="AE55" s="116"/>
      <c r="AF55" s="116"/>
      <c r="AG55" s="116"/>
      <c r="AH55" s="116"/>
      <c r="AI55" s="116"/>
      <c r="AJ55" s="116"/>
      <c r="AK55" s="116"/>
      <c r="AL55" s="116"/>
      <c r="AM55" s="116"/>
      <c r="AN55" s="116"/>
      <c r="AO55" s="116"/>
      <c r="AP55" s="116"/>
      <c r="AQ55" s="116"/>
      <c r="AR55" s="116"/>
      <c r="AS55" s="116"/>
      <c r="AT55" s="116"/>
      <c r="AU55" s="116"/>
      <c r="AV55" s="116"/>
      <c r="AW55" s="116"/>
      <c r="AX55" s="116"/>
      <c r="AY55" s="116"/>
    </row>
    <row r="56" spans="1:51" x14ac:dyDescent="0.2">
      <c r="A56" s="115"/>
      <c r="B56" s="125">
        <v>12</v>
      </c>
      <c r="C56" s="115" t="s">
        <v>293</v>
      </c>
      <c r="D56" s="116"/>
      <c r="E56" s="116"/>
      <c r="F56" s="116"/>
      <c r="G56" s="116"/>
      <c r="H56" s="116"/>
      <c r="I56" s="116"/>
      <c r="J56" s="116"/>
      <c r="K56" s="116"/>
      <c r="L56" s="116"/>
      <c r="M56" s="116"/>
      <c r="N56" s="116"/>
      <c r="O56" s="116"/>
      <c r="P56" s="116"/>
      <c r="Q56" s="116"/>
      <c r="R56" s="116"/>
      <c r="S56" s="116"/>
      <c r="T56" s="116"/>
      <c r="U56" s="116"/>
      <c r="V56" s="116"/>
      <c r="W56" s="116"/>
      <c r="X56" s="116"/>
      <c r="Y56" s="116"/>
      <c r="Z56" s="116"/>
      <c r="AA56" s="116"/>
      <c r="AB56" s="116"/>
      <c r="AC56" s="116"/>
      <c r="AD56" s="116"/>
      <c r="AE56" s="116"/>
      <c r="AF56" s="116"/>
      <c r="AG56" s="116"/>
      <c r="AH56" s="116"/>
      <c r="AI56" s="116"/>
      <c r="AJ56" s="116"/>
      <c r="AK56" s="116"/>
      <c r="AL56" s="116"/>
      <c r="AM56" s="116"/>
      <c r="AN56" s="116"/>
      <c r="AO56" s="116"/>
      <c r="AP56" s="116"/>
      <c r="AQ56" s="116"/>
      <c r="AR56" s="116"/>
      <c r="AS56" s="116"/>
      <c r="AT56" s="116"/>
      <c r="AU56" s="116"/>
      <c r="AV56" s="116"/>
      <c r="AW56" s="116"/>
      <c r="AX56" s="116"/>
      <c r="AY56" s="116"/>
    </row>
    <row r="57" spans="1:51" x14ac:dyDescent="0.2">
      <c r="A57" s="115"/>
      <c r="B57" s="126">
        <v>13</v>
      </c>
      <c r="C57" s="115" t="s">
        <v>293</v>
      </c>
      <c r="D57" s="116"/>
      <c r="E57" s="116"/>
      <c r="F57" s="116"/>
      <c r="G57" s="116"/>
      <c r="H57" s="116"/>
      <c r="I57" s="116"/>
      <c r="J57" s="116"/>
      <c r="K57" s="116"/>
      <c r="L57" s="116"/>
      <c r="M57" s="116"/>
      <c r="N57" s="116"/>
      <c r="O57" s="116"/>
      <c r="P57" s="116"/>
      <c r="Q57" s="116"/>
      <c r="R57" s="116"/>
      <c r="S57" s="116"/>
      <c r="T57" s="116"/>
      <c r="U57" s="116"/>
      <c r="V57" s="116"/>
      <c r="W57" s="116"/>
      <c r="X57" s="116"/>
      <c r="Y57" s="116"/>
      <c r="Z57" s="116"/>
      <c r="AA57" s="116"/>
      <c r="AB57" s="116"/>
      <c r="AC57" s="116"/>
      <c r="AD57" s="116"/>
      <c r="AE57" s="116"/>
      <c r="AF57" s="116"/>
      <c r="AG57" s="116"/>
      <c r="AH57" s="116"/>
      <c r="AI57" s="116"/>
      <c r="AJ57" s="116"/>
      <c r="AK57" s="116"/>
      <c r="AL57" s="116"/>
      <c r="AM57" s="116"/>
      <c r="AN57" s="116"/>
      <c r="AO57" s="116"/>
      <c r="AP57" s="116"/>
      <c r="AQ57" s="116"/>
      <c r="AR57" s="116"/>
      <c r="AS57" s="116"/>
      <c r="AT57" s="116"/>
      <c r="AU57" s="116"/>
      <c r="AV57" s="116"/>
      <c r="AW57" s="116"/>
      <c r="AX57" s="116"/>
      <c r="AY57" s="116"/>
    </row>
    <row r="58" spans="1:51" x14ac:dyDescent="0.2">
      <c r="A58" s="115"/>
      <c r="B58" s="126">
        <v>14</v>
      </c>
      <c r="C58" s="115" t="s">
        <v>293</v>
      </c>
      <c r="D58" s="116"/>
      <c r="E58" s="116"/>
      <c r="F58" s="116"/>
      <c r="G58" s="116"/>
      <c r="H58" s="116"/>
      <c r="I58" s="116"/>
      <c r="J58" s="116"/>
      <c r="K58" s="116"/>
      <c r="L58" s="116"/>
      <c r="M58" s="116"/>
      <c r="N58" s="116"/>
      <c r="O58" s="116"/>
      <c r="P58" s="116"/>
      <c r="Q58" s="116"/>
      <c r="R58" s="116"/>
      <c r="S58" s="116"/>
      <c r="T58" s="116"/>
      <c r="U58" s="116"/>
      <c r="V58" s="116"/>
      <c r="W58" s="116"/>
      <c r="X58" s="116"/>
      <c r="Y58" s="116"/>
      <c r="Z58" s="116"/>
      <c r="AA58" s="116"/>
      <c r="AB58" s="116"/>
      <c r="AC58" s="116"/>
      <c r="AD58" s="116"/>
      <c r="AE58" s="116"/>
      <c r="AF58" s="116"/>
      <c r="AG58" s="116"/>
      <c r="AH58" s="116"/>
      <c r="AI58" s="116"/>
      <c r="AJ58" s="116"/>
      <c r="AK58" s="116"/>
      <c r="AL58" s="116"/>
      <c r="AM58" s="116"/>
      <c r="AN58" s="116"/>
      <c r="AO58" s="116"/>
      <c r="AP58" s="116"/>
      <c r="AQ58" s="116"/>
      <c r="AR58" s="116"/>
      <c r="AS58" s="116"/>
      <c r="AT58" s="116"/>
      <c r="AU58" s="116"/>
      <c r="AV58" s="116"/>
      <c r="AW58" s="116"/>
      <c r="AX58" s="116"/>
      <c r="AY58" s="116"/>
    </row>
    <row r="59" spans="1:51" x14ac:dyDescent="0.2">
      <c r="A59" s="115"/>
      <c r="B59" s="126">
        <v>15</v>
      </c>
      <c r="C59" s="115" t="s">
        <v>293</v>
      </c>
      <c r="D59" s="116"/>
      <c r="E59" s="116"/>
      <c r="F59" s="116"/>
      <c r="G59" s="116"/>
      <c r="H59" s="116"/>
      <c r="I59" s="116"/>
      <c r="J59" s="116"/>
      <c r="K59" s="116"/>
      <c r="L59" s="116"/>
      <c r="M59" s="116"/>
      <c r="N59" s="116"/>
      <c r="O59" s="116"/>
      <c r="P59" s="116"/>
      <c r="Q59" s="116"/>
      <c r="R59" s="116"/>
      <c r="S59" s="116"/>
      <c r="T59" s="116"/>
      <c r="U59" s="116"/>
      <c r="V59" s="116"/>
      <c r="W59" s="116"/>
      <c r="X59" s="116"/>
      <c r="Y59" s="116"/>
      <c r="Z59" s="116"/>
      <c r="AA59" s="116"/>
      <c r="AB59" s="116"/>
      <c r="AC59" s="116"/>
      <c r="AD59" s="116"/>
      <c r="AE59" s="116"/>
      <c r="AF59" s="116"/>
      <c r="AG59" s="116"/>
      <c r="AH59" s="116"/>
      <c r="AI59" s="116"/>
      <c r="AJ59" s="116"/>
      <c r="AK59" s="116"/>
      <c r="AL59" s="116"/>
      <c r="AM59" s="116"/>
      <c r="AN59" s="116"/>
      <c r="AO59" s="116"/>
      <c r="AP59" s="116"/>
      <c r="AQ59" s="116"/>
      <c r="AR59" s="116"/>
      <c r="AS59" s="116"/>
      <c r="AT59" s="116"/>
      <c r="AU59" s="116"/>
      <c r="AV59" s="116"/>
      <c r="AW59" s="116"/>
      <c r="AX59" s="116"/>
      <c r="AY59" s="116"/>
    </row>
    <row r="60" spans="1:51" x14ac:dyDescent="0.2">
      <c r="A60" s="115"/>
      <c r="B60" s="126">
        <v>16</v>
      </c>
      <c r="C60" s="115" t="s">
        <v>293</v>
      </c>
      <c r="D60" s="116"/>
      <c r="E60" s="116"/>
      <c r="F60" s="116"/>
      <c r="G60" s="116"/>
      <c r="H60" s="116"/>
      <c r="I60" s="116"/>
      <c r="J60" s="116"/>
      <c r="K60" s="116"/>
      <c r="L60" s="116"/>
      <c r="M60" s="116"/>
      <c r="N60" s="116"/>
      <c r="O60" s="116"/>
      <c r="P60" s="116"/>
      <c r="Q60" s="116"/>
      <c r="R60" s="116"/>
      <c r="S60" s="116"/>
      <c r="T60" s="116"/>
      <c r="U60" s="116"/>
      <c r="V60" s="116"/>
      <c r="W60" s="116"/>
      <c r="X60" s="116"/>
      <c r="Y60" s="116"/>
      <c r="Z60" s="116"/>
      <c r="AA60" s="116"/>
      <c r="AB60" s="116"/>
      <c r="AC60" s="116"/>
      <c r="AD60" s="116"/>
      <c r="AE60" s="116"/>
      <c r="AF60" s="116"/>
      <c r="AG60" s="116"/>
      <c r="AH60" s="116"/>
      <c r="AI60" s="116"/>
      <c r="AJ60" s="116"/>
      <c r="AK60" s="116"/>
      <c r="AL60" s="116"/>
      <c r="AM60" s="116"/>
      <c r="AN60" s="116"/>
      <c r="AO60" s="116"/>
      <c r="AP60" s="116"/>
      <c r="AQ60" s="116"/>
      <c r="AR60" s="116"/>
      <c r="AS60" s="116"/>
      <c r="AT60" s="116"/>
      <c r="AU60" s="116"/>
      <c r="AV60" s="116"/>
      <c r="AW60" s="116"/>
      <c r="AX60" s="116"/>
      <c r="AY60" s="116"/>
    </row>
    <row r="61" spans="1:51" x14ac:dyDescent="0.2">
      <c r="A61" s="115"/>
      <c r="B61" s="126">
        <v>17</v>
      </c>
      <c r="C61" s="115" t="s">
        <v>293</v>
      </c>
      <c r="D61" s="116"/>
      <c r="E61" s="116"/>
      <c r="F61" s="116"/>
      <c r="G61" s="116"/>
      <c r="H61" s="116"/>
      <c r="I61" s="116"/>
      <c r="J61" s="116"/>
      <c r="K61" s="116"/>
      <c r="L61" s="116"/>
      <c r="M61" s="116"/>
      <c r="N61" s="116"/>
      <c r="O61" s="116"/>
      <c r="P61" s="116"/>
      <c r="Q61" s="116"/>
      <c r="R61" s="116"/>
      <c r="S61" s="116"/>
      <c r="T61" s="116"/>
      <c r="U61" s="116"/>
      <c r="V61" s="116"/>
      <c r="W61" s="116"/>
      <c r="X61" s="116"/>
      <c r="Y61" s="116"/>
      <c r="Z61" s="116"/>
      <c r="AA61" s="116"/>
      <c r="AB61" s="116"/>
      <c r="AC61" s="116"/>
      <c r="AD61" s="116"/>
      <c r="AE61" s="116"/>
      <c r="AF61" s="116"/>
      <c r="AG61" s="116"/>
      <c r="AH61" s="116"/>
      <c r="AI61" s="116"/>
      <c r="AJ61" s="116"/>
      <c r="AK61" s="116"/>
      <c r="AL61" s="116"/>
      <c r="AM61" s="116"/>
      <c r="AN61" s="116"/>
      <c r="AO61" s="116"/>
      <c r="AP61" s="116"/>
      <c r="AQ61" s="116"/>
      <c r="AR61" s="116"/>
      <c r="AS61" s="116"/>
      <c r="AT61" s="116"/>
      <c r="AU61" s="116"/>
      <c r="AV61" s="116"/>
      <c r="AW61" s="116"/>
      <c r="AX61" s="116"/>
      <c r="AY61" s="116"/>
    </row>
    <row r="62" spans="1:51" x14ac:dyDescent="0.2">
      <c r="A62" s="115"/>
      <c r="B62" s="126">
        <v>18</v>
      </c>
      <c r="C62" s="115" t="s">
        <v>293</v>
      </c>
      <c r="D62" s="116"/>
      <c r="E62" s="116"/>
      <c r="F62" s="116"/>
      <c r="G62" s="116"/>
      <c r="H62" s="116"/>
      <c r="I62" s="116"/>
      <c r="J62" s="116"/>
      <c r="K62" s="116"/>
      <c r="L62" s="116"/>
      <c r="M62" s="116"/>
      <c r="N62" s="116"/>
      <c r="O62" s="116"/>
      <c r="P62" s="116"/>
      <c r="Q62" s="116"/>
      <c r="R62" s="116"/>
      <c r="S62" s="116"/>
      <c r="T62" s="116"/>
      <c r="U62" s="116"/>
      <c r="V62" s="116"/>
      <c r="W62" s="116"/>
      <c r="X62" s="116"/>
      <c r="Y62" s="116"/>
      <c r="Z62" s="116"/>
      <c r="AA62" s="116"/>
      <c r="AB62" s="116"/>
      <c r="AC62" s="116"/>
      <c r="AD62" s="116"/>
      <c r="AE62" s="116"/>
      <c r="AF62" s="116"/>
      <c r="AG62" s="116"/>
      <c r="AH62" s="116"/>
      <c r="AI62" s="116"/>
      <c r="AJ62" s="116"/>
      <c r="AK62" s="116"/>
      <c r="AL62" s="116"/>
      <c r="AM62" s="116"/>
      <c r="AN62" s="116"/>
      <c r="AO62" s="116"/>
      <c r="AP62" s="116"/>
      <c r="AQ62" s="116"/>
      <c r="AR62" s="116"/>
      <c r="AS62" s="116"/>
      <c r="AT62" s="116"/>
      <c r="AU62" s="116"/>
      <c r="AV62" s="116"/>
      <c r="AW62" s="116"/>
      <c r="AX62" s="116"/>
      <c r="AY62" s="116"/>
    </row>
    <row r="63" spans="1:51" x14ac:dyDescent="0.2">
      <c r="A63" s="115"/>
      <c r="B63" s="126">
        <v>19</v>
      </c>
      <c r="C63" s="115" t="s">
        <v>293</v>
      </c>
      <c r="D63" s="116"/>
      <c r="E63" s="116"/>
      <c r="F63" s="116"/>
      <c r="G63" s="116"/>
      <c r="H63" s="116"/>
      <c r="I63" s="116"/>
      <c r="J63" s="116"/>
      <c r="K63" s="116"/>
      <c r="L63" s="116"/>
      <c r="M63" s="116"/>
      <c r="N63" s="116"/>
      <c r="O63" s="116"/>
      <c r="P63" s="116"/>
      <c r="Q63" s="116"/>
      <c r="R63" s="116"/>
      <c r="S63" s="116"/>
      <c r="T63" s="116"/>
      <c r="U63" s="116"/>
      <c r="V63" s="116"/>
      <c r="W63" s="116"/>
      <c r="X63" s="116"/>
      <c r="Y63" s="116"/>
      <c r="Z63" s="116"/>
      <c r="AA63" s="116"/>
      <c r="AB63" s="116"/>
      <c r="AC63" s="116"/>
      <c r="AD63" s="116"/>
      <c r="AE63" s="116"/>
      <c r="AF63" s="116"/>
      <c r="AG63" s="116"/>
      <c r="AH63" s="116"/>
      <c r="AI63" s="116"/>
      <c r="AJ63" s="116"/>
      <c r="AK63" s="116"/>
      <c r="AL63" s="116"/>
      <c r="AM63" s="116"/>
      <c r="AN63" s="116"/>
      <c r="AO63" s="116"/>
      <c r="AP63" s="116"/>
      <c r="AQ63" s="116"/>
      <c r="AR63" s="116"/>
      <c r="AS63" s="116"/>
      <c r="AT63" s="116"/>
      <c r="AU63" s="116"/>
      <c r="AV63" s="116"/>
      <c r="AW63" s="116"/>
      <c r="AX63" s="116"/>
      <c r="AY63" s="116"/>
    </row>
    <row r="64" spans="1:51" x14ac:dyDescent="0.2">
      <c r="A64" s="115"/>
      <c r="B64" s="126">
        <v>20</v>
      </c>
      <c r="C64" s="115" t="s">
        <v>293</v>
      </c>
      <c r="D64" s="116"/>
      <c r="E64" s="116"/>
      <c r="F64" s="116"/>
      <c r="G64" s="116"/>
      <c r="H64" s="116"/>
      <c r="I64" s="116"/>
      <c r="J64" s="116"/>
      <c r="K64" s="116"/>
      <c r="L64" s="116"/>
      <c r="M64" s="116"/>
      <c r="N64" s="116"/>
      <c r="O64" s="116"/>
      <c r="P64" s="116"/>
      <c r="Q64" s="116"/>
      <c r="R64" s="116"/>
      <c r="S64" s="116"/>
      <c r="T64" s="116"/>
      <c r="U64" s="116"/>
      <c r="V64" s="116"/>
      <c r="W64" s="116"/>
      <c r="X64" s="116"/>
      <c r="Y64" s="116"/>
      <c r="Z64" s="116"/>
      <c r="AA64" s="116"/>
      <c r="AB64" s="116"/>
      <c r="AC64" s="116"/>
      <c r="AD64" s="116"/>
      <c r="AE64" s="116"/>
      <c r="AF64" s="116"/>
      <c r="AG64" s="116"/>
      <c r="AH64" s="116"/>
      <c r="AI64" s="116"/>
      <c r="AJ64" s="116"/>
      <c r="AK64" s="116"/>
      <c r="AL64" s="116"/>
      <c r="AM64" s="116"/>
      <c r="AN64" s="116"/>
      <c r="AO64" s="116"/>
      <c r="AP64" s="116"/>
      <c r="AQ64" s="116"/>
      <c r="AR64" s="116"/>
      <c r="AS64" s="116"/>
      <c r="AT64" s="116"/>
      <c r="AU64" s="116"/>
      <c r="AV64" s="116"/>
      <c r="AW64" s="116"/>
      <c r="AX64" s="116"/>
      <c r="AY64" s="116"/>
    </row>
    <row r="65" spans="1:51" x14ac:dyDescent="0.2">
      <c r="A65" s="115"/>
      <c r="B65" s="126">
        <v>21</v>
      </c>
      <c r="C65" s="115" t="s">
        <v>293</v>
      </c>
      <c r="D65" s="116"/>
      <c r="E65" s="116"/>
      <c r="F65" s="116"/>
      <c r="G65" s="116"/>
      <c r="H65" s="116"/>
      <c r="I65" s="116"/>
      <c r="J65" s="116"/>
      <c r="K65" s="116"/>
      <c r="L65" s="116"/>
      <c r="M65" s="116"/>
      <c r="N65" s="116"/>
      <c r="O65" s="116"/>
      <c r="P65" s="116"/>
      <c r="Q65" s="116"/>
      <c r="R65" s="116"/>
      <c r="S65" s="116"/>
      <c r="T65" s="116"/>
      <c r="U65" s="116"/>
      <c r="V65" s="116"/>
      <c r="W65" s="116"/>
      <c r="X65" s="116"/>
      <c r="Y65" s="116"/>
      <c r="Z65" s="116"/>
      <c r="AA65" s="116"/>
      <c r="AB65" s="116"/>
      <c r="AC65" s="116"/>
      <c r="AD65" s="116"/>
      <c r="AE65" s="116"/>
      <c r="AF65" s="116"/>
      <c r="AG65" s="116"/>
      <c r="AH65" s="116"/>
      <c r="AI65" s="116"/>
      <c r="AJ65" s="116"/>
      <c r="AK65" s="116"/>
      <c r="AL65" s="116"/>
      <c r="AM65" s="116"/>
      <c r="AN65" s="116"/>
      <c r="AO65" s="116"/>
      <c r="AP65" s="116"/>
      <c r="AQ65" s="116"/>
      <c r="AR65" s="116"/>
      <c r="AS65" s="116"/>
      <c r="AT65" s="116"/>
      <c r="AU65" s="116"/>
      <c r="AV65" s="116"/>
      <c r="AW65" s="116"/>
      <c r="AX65" s="116"/>
      <c r="AY65" s="116"/>
    </row>
    <row r="66" spans="1:51" x14ac:dyDescent="0.2">
      <c r="A66" s="115"/>
      <c r="B66" s="126">
        <v>22</v>
      </c>
      <c r="C66" s="115" t="s">
        <v>293</v>
      </c>
      <c r="D66" s="116"/>
      <c r="E66" s="116"/>
      <c r="F66" s="116"/>
      <c r="G66" s="116"/>
      <c r="H66" s="116"/>
      <c r="I66" s="116"/>
      <c r="J66" s="116"/>
      <c r="K66" s="116"/>
      <c r="L66" s="116"/>
      <c r="M66" s="116"/>
      <c r="N66" s="116"/>
      <c r="O66" s="116"/>
      <c r="P66" s="116"/>
      <c r="Q66" s="116"/>
      <c r="R66" s="116"/>
      <c r="S66" s="116"/>
      <c r="T66" s="116"/>
      <c r="U66" s="116"/>
      <c r="V66" s="116"/>
      <c r="W66" s="116"/>
      <c r="X66" s="116"/>
      <c r="Y66" s="116"/>
      <c r="Z66" s="116"/>
      <c r="AA66" s="116"/>
      <c r="AB66" s="116"/>
      <c r="AC66" s="116"/>
      <c r="AD66" s="116"/>
      <c r="AE66" s="116"/>
      <c r="AF66" s="116"/>
      <c r="AG66" s="116"/>
      <c r="AH66" s="116"/>
      <c r="AI66" s="116"/>
      <c r="AJ66" s="116"/>
      <c r="AK66" s="116"/>
      <c r="AL66" s="116"/>
      <c r="AM66" s="116"/>
      <c r="AN66" s="116"/>
      <c r="AO66" s="116"/>
      <c r="AP66" s="116"/>
      <c r="AQ66" s="116"/>
      <c r="AR66" s="116"/>
      <c r="AS66" s="116"/>
      <c r="AT66" s="116"/>
      <c r="AU66" s="116"/>
      <c r="AV66" s="116"/>
      <c r="AW66" s="116"/>
      <c r="AX66" s="116"/>
      <c r="AY66" s="116"/>
    </row>
    <row r="67" spans="1:51" x14ac:dyDescent="0.2">
      <c r="A67" s="115"/>
      <c r="B67" s="126">
        <v>23</v>
      </c>
      <c r="C67" s="115" t="s">
        <v>293</v>
      </c>
      <c r="D67" s="116"/>
      <c r="E67" s="116"/>
      <c r="F67" s="116"/>
      <c r="G67" s="116"/>
      <c r="H67" s="116"/>
      <c r="I67" s="116"/>
      <c r="J67" s="116"/>
      <c r="K67" s="116"/>
      <c r="L67" s="116"/>
      <c r="M67" s="116"/>
      <c r="N67" s="116"/>
      <c r="O67" s="116"/>
      <c r="P67" s="116"/>
      <c r="Q67" s="116"/>
      <c r="R67" s="116"/>
      <c r="S67" s="116"/>
      <c r="T67" s="116"/>
      <c r="U67" s="116"/>
      <c r="V67" s="116"/>
      <c r="W67" s="116"/>
      <c r="X67" s="116"/>
      <c r="Y67" s="116"/>
      <c r="Z67" s="116"/>
      <c r="AA67" s="116"/>
      <c r="AB67" s="116"/>
      <c r="AC67" s="116"/>
      <c r="AD67" s="116"/>
      <c r="AE67" s="116"/>
      <c r="AF67" s="116"/>
      <c r="AG67" s="116"/>
      <c r="AH67" s="116"/>
      <c r="AI67" s="116"/>
      <c r="AJ67" s="116"/>
      <c r="AK67" s="116"/>
      <c r="AL67" s="116"/>
      <c r="AM67" s="116"/>
      <c r="AN67" s="116"/>
      <c r="AO67" s="116"/>
      <c r="AP67" s="116"/>
      <c r="AQ67" s="116"/>
      <c r="AR67" s="116"/>
      <c r="AS67" s="116"/>
      <c r="AT67" s="116"/>
      <c r="AU67" s="116"/>
      <c r="AV67" s="116"/>
      <c r="AW67" s="116"/>
      <c r="AX67" s="116"/>
      <c r="AY67" s="116"/>
    </row>
    <row r="68" spans="1:51" x14ac:dyDescent="0.2">
      <c r="A68" s="115"/>
      <c r="B68" s="126">
        <v>24</v>
      </c>
      <c r="C68" s="115" t="s">
        <v>293</v>
      </c>
      <c r="D68" s="116"/>
      <c r="E68" s="116"/>
      <c r="F68" s="116"/>
      <c r="G68" s="116"/>
      <c r="H68" s="116"/>
      <c r="I68" s="116"/>
      <c r="J68" s="116"/>
      <c r="K68" s="116"/>
      <c r="L68" s="116"/>
      <c r="M68" s="116"/>
      <c r="N68" s="116"/>
      <c r="O68" s="116"/>
      <c r="P68" s="116"/>
      <c r="Q68" s="116"/>
      <c r="R68" s="116"/>
      <c r="S68" s="116"/>
      <c r="T68" s="116"/>
      <c r="U68" s="116"/>
      <c r="V68" s="116"/>
      <c r="W68" s="116"/>
      <c r="X68" s="116"/>
      <c r="Y68" s="116"/>
      <c r="Z68" s="116"/>
      <c r="AA68" s="116"/>
      <c r="AB68" s="116"/>
      <c r="AC68" s="116"/>
      <c r="AD68" s="116"/>
      <c r="AE68" s="116"/>
      <c r="AF68" s="116"/>
      <c r="AG68" s="116"/>
      <c r="AH68" s="116"/>
      <c r="AI68" s="116"/>
      <c r="AJ68" s="116"/>
      <c r="AK68" s="116"/>
      <c r="AL68" s="116"/>
      <c r="AM68" s="116"/>
      <c r="AN68" s="116"/>
      <c r="AO68" s="116"/>
      <c r="AP68" s="116"/>
      <c r="AQ68" s="116"/>
      <c r="AR68" s="116"/>
      <c r="AS68" s="116"/>
      <c r="AT68" s="116"/>
      <c r="AU68" s="116"/>
      <c r="AV68" s="116"/>
      <c r="AW68" s="116"/>
      <c r="AX68" s="116"/>
      <c r="AY68" s="116"/>
    </row>
    <row r="69" spans="1:51" x14ac:dyDescent="0.2">
      <c r="A69" s="115"/>
      <c r="B69" s="133">
        <v>25</v>
      </c>
      <c r="C69" s="115" t="s">
        <v>293</v>
      </c>
      <c r="D69" s="116"/>
      <c r="E69" s="116"/>
      <c r="F69" s="116"/>
      <c r="G69" s="116"/>
      <c r="H69" s="116"/>
      <c r="I69" s="116"/>
      <c r="J69" s="116"/>
      <c r="K69" s="116"/>
      <c r="L69" s="116"/>
      <c r="M69" s="116"/>
      <c r="N69" s="116"/>
      <c r="O69" s="116"/>
      <c r="P69" s="116"/>
      <c r="Q69" s="116"/>
      <c r="R69" s="116"/>
      <c r="S69" s="116"/>
      <c r="T69" s="116"/>
      <c r="U69" s="116"/>
      <c r="V69" s="116"/>
      <c r="W69" s="116"/>
      <c r="X69" s="116"/>
      <c r="Y69" s="116"/>
      <c r="Z69" s="116"/>
      <c r="AA69" s="116"/>
      <c r="AB69" s="116"/>
      <c r="AC69" s="116"/>
      <c r="AD69" s="116"/>
      <c r="AE69" s="116"/>
      <c r="AF69" s="116"/>
      <c r="AG69" s="116"/>
      <c r="AH69" s="116"/>
      <c r="AI69" s="116"/>
      <c r="AJ69" s="116"/>
      <c r="AK69" s="116"/>
      <c r="AL69" s="116"/>
      <c r="AM69" s="116"/>
      <c r="AN69" s="116"/>
      <c r="AO69" s="116"/>
      <c r="AP69" s="116"/>
      <c r="AQ69" s="116"/>
      <c r="AR69" s="116"/>
      <c r="AS69" s="116"/>
      <c r="AT69" s="116"/>
      <c r="AU69" s="116"/>
      <c r="AV69" s="116"/>
      <c r="AW69" s="116"/>
      <c r="AX69" s="116"/>
      <c r="AY69" s="116"/>
    </row>
    <row r="70" spans="1:51" x14ac:dyDescent="0.2">
      <c r="A70" s="115"/>
      <c r="B70" s="133">
        <v>26</v>
      </c>
      <c r="C70" s="115" t="s">
        <v>293</v>
      </c>
      <c r="D70" s="116"/>
      <c r="E70" s="116"/>
      <c r="F70" s="116"/>
      <c r="G70" s="116"/>
      <c r="H70" s="116"/>
      <c r="I70" s="116"/>
      <c r="J70" s="116"/>
      <c r="K70" s="116"/>
      <c r="L70" s="116"/>
      <c r="M70" s="116"/>
      <c r="N70" s="116"/>
      <c r="O70" s="116"/>
      <c r="P70" s="116"/>
      <c r="Q70" s="116"/>
      <c r="R70" s="116"/>
      <c r="S70" s="116"/>
      <c r="T70" s="116"/>
      <c r="U70" s="116"/>
      <c r="V70" s="116"/>
      <c r="W70" s="116"/>
      <c r="X70" s="116"/>
      <c r="Y70" s="116"/>
      <c r="Z70" s="116"/>
      <c r="AA70" s="116"/>
      <c r="AB70" s="116"/>
      <c r="AC70" s="116"/>
      <c r="AD70" s="116"/>
      <c r="AE70" s="116"/>
      <c r="AF70" s="116"/>
      <c r="AG70" s="116"/>
      <c r="AH70" s="116"/>
      <c r="AI70" s="116"/>
      <c r="AJ70" s="116"/>
      <c r="AK70" s="116"/>
      <c r="AL70" s="116"/>
      <c r="AM70" s="116"/>
      <c r="AN70" s="116"/>
      <c r="AO70" s="116"/>
      <c r="AP70" s="116"/>
      <c r="AQ70" s="116"/>
      <c r="AR70" s="116"/>
      <c r="AS70" s="116"/>
      <c r="AT70" s="116"/>
      <c r="AU70" s="116"/>
      <c r="AV70" s="116"/>
      <c r="AW70" s="116"/>
      <c r="AX70" s="116"/>
      <c r="AY70" s="116"/>
    </row>
    <row r="71" spans="1:51" x14ac:dyDescent="0.2">
      <c r="A71" s="115"/>
      <c r="B71" s="133">
        <v>27</v>
      </c>
      <c r="C71" s="115" t="s">
        <v>293</v>
      </c>
      <c r="D71" s="116"/>
      <c r="E71" s="116"/>
      <c r="F71" s="116"/>
      <c r="G71" s="116"/>
      <c r="H71" s="116"/>
      <c r="I71" s="116"/>
      <c r="J71" s="116"/>
      <c r="K71" s="116"/>
      <c r="L71" s="116"/>
      <c r="M71" s="116"/>
      <c r="N71" s="116"/>
      <c r="O71" s="116"/>
      <c r="P71" s="116"/>
      <c r="Q71" s="116"/>
      <c r="R71" s="116"/>
      <c r="S71" s="116"/>
      <c r="T71" s="116"/>
      <c r="U71" s="116"/>
      <c r="V71" s="116"/>
      <c r="W71" s="116"/>
      <c r="X71" s="116"/>
      <c r="Y71" s="116"/>
      <c r="Z71" s="116"/>
      <c r="AA71" s="116"/>
      <c r="AB71" s="116"/>
      <c r="AC71" s="116"/>
      <c r="AD71" s="116"/>
      <c r="AE71" s="116"/>
      <c r="AF71" s="116"/>
      <c r="AG71" s="116"/>
      <c r="AH71" s="116"/>
      <c r="AI71" s="116"/>
      <c r="AJ71" s="116"/>
      <c r="AK71" s="116"/>
      <c r="AL71" s="116"/>
      <c r="AM71" s="116"/>
      <c r="AN71" s="116"/>
      <c r="AO71" s="116"/>
      <c r="AP71" s="116"/>
      <c r="AQ71" s="116"/>
      <c r="AR71" s="116"/>
      <c r="AS71" s="116"/>
      <c r="AT71" s="116"/>
      <c r="AU71" s="116"/>
      <c r="AV71" s="116"/>
      <c r="AW71" s="116"/>
      <c r="AX71" s="116"/>
      <c r="AY71" s="116"/>
    </row>
    <row r="72" spans="1:51" x14ac:dyDescent="0.2">
      <c r="A72" s="115"/>
      <c r="B72" s="133">
        <v>28</v>
      </c>
      <c r="C72" s="115" t="s">
        <v>293</v>
      </c>
      <c r="D72" s="116"/>
      <c r="E72" s="116"/>
      <c r="F72" s="116"/>
      <c r="G72" s="116"/>
      <c r="H72" s="116"/>
      <c r="I72" s="116"/>
      <c r="J72" s="116"/>
      <c r="K72" s="116"/>
      <c r="L72" s="116"/>
      <c r="M72" s="116"/>
      <c r="N72" s="116"/>
      <c r="O72" s="116"/>
      <c r="P72" s="116"/>
      <c r="Q72" s="116"/>
      <c r="R72" s="116"/>
      <c r="S72" s="116"/>
      <c r="T72" s="116"/>
      <c r="U72" s="116"/>
      <c r="V72" s="116"/>
      <c r="W72" s="116"/>
      <c r="X72" s="116"/>
      <c r="Y72" s="116"/>
      <c r="Z72" s="116"/>
      <c r="AA72" s="116"/>
      <c r="AB72" s="116"/>
      <c r="AC72" s="116"/>
      <c r="AD72" s="116"/>
      <c r="AE72" s="116"/>
      <c r="AF72" s="116"/>
      <c r="AG72" s="116"/>
      <c r="AH72" s="116"/>
      <c r="AI72" s="116"/>
      <c r="AJ72" s="116"/>
      <c r="AK72" s="116"/>
      <c r="AL72" s="116"/>
      <c r="AM72" s="116"/>
      <c r="AN72" s="116"/>
      <c r="AO72" s="116"/>
      <c r="AP72" s="116"/>
      <c r="AQ72" s="116"/>
      <c r="AR72" s="116"/>
      <c r="AS72" s="116"/>
      <c r="AT72" s="116"/>
      <c r="AU72" s="116"/>
      <c r="AV72" s="116"/>
      <c r="AW72" s="116"/>
      <c r="AX72" s="116"/>
      <c r="AY72" s="116"/>
    </row>
    <row r="73" spans="1:51" x14ac:dyDescent="0.2">
      <c r="A73" s="115"/>
      <c r="B73" s="133">
        <v>29</v>
      </c>
      <c r="C73" s="115" t="s">
        <v>293</v>
      </c>
      <c r="D73" s="116"/>
      <c r="E73" s="116"/>
      <c r="F73" s="116"/>
      <c r="G73" s="116"/>
      <c r="H73" s="116"/>
      <c r="I73" s="116"/>
      <c r="J73" s="116"/>
      <c r="K73" s="116"/>
      <c r="L73" s="116"/>
      <c r="M73" s="116"/>
      <c r="N73" s="116"/>
      <c r="O73" s="116"/>
      <c r="P73" s="116"/>
      <c r="Q73" s="116"/>
      <c r="R73" s="116"/>
      <c r="S73" s="116"/>
      <c r="T73" s="116"/>
      <c r="U73" s="116"/>
      <c r="V73" s="116"/>
      <c r="W73" s="116"/>
      <c r="X73" s="116"/>
      <c r="Y73" s="116"/>
      <c r="Z73" s="116"/>
      <c r="AA73" s="116"/>
      <c r="AB73" s="116"/>
      <c r="AC73" s="116"/>
      <c r="AD73" s="116"/>
      <c r="AE73" s="116"/>
      <c r="AF73" s="116"/>
      <c r="AG73" s="116"/>
      <c r="AH73" s="116"/>
      <c r="AI73" s="116"/>
      <c r="AJ73" s="116"/>
      <c r="AK73" s="116"/>
      <c r="AL73" s="116"/>
      <c r="AM73" s="116"/>
      <c r="AN73" s="116"/>
      <c r="AO73" s="116"/>
      <c r="AP73" s="116"/>
      <c r="AQ73" s="116"/>
      <c r="AR73" s="116"/>
      <c r="AS73" s="116"/>
      <c r="AT73" s="116"/>
      <c r="AU73" s="116"/>
      <c r="AV73" s="116"/>
      <c r="AW73" s="116"/>
      <c r="AX73" s="116"/>
      <c r="AY73" s="116"/>
    </row>
    <row r="74" spans="1:51" x14ac:dyDescent="0.2">
      <c r="A74" s="115"/>
      <c r="B74" s="133">
        <v>30</v>
      </c>
      <c r="C74" s="115" t="s">
        <v>293</v>
      </c>
      <c r="D74" s="116"/>
      <c r="E74" s="116"/>
      <c r="F74" s="116"/>
      <c r="G74" s="116"/>
      <c r="H74" s="116"/>
      <c r="I74" s="116"/>
      <c r="J74" s="116"/>
      <c r="K74" s="116"/>
      <c r="L74" s="116"/>
      <c r="M74" s="116"/>
      <c r="N74" s="116"/>
      <c r="O74" s="116"/>
      <c r="P74" s="116"/>
      <c r="Q74" s="116"/>
      <c r="R74" s="116"/>
      <c r="S74" s="116"/>
      <c r="T74" s="116"/>
      <c r="U74" s="116"/>
      <c r="V74" s="116"/>
      <c r="W74" s="116"/>
      <c r="X74" s="116"/>
      <c r="Y74" s="116"/>
      <c r="Z74" s="116"/>
      <c r="AA74" s="116"/>
      <c r="AB74" s="116"/>
      <c r="AC74" s="116"/>
      <c r="AD74" s="116"/>
      <c r="AE74" s="116"/>
      <c r="AF74" s="116"/>
      <c r="AG74" s="116"/>
      <c r="AH74" s="116"/>
      <c r="AI74" s="116"/>
      <c r="AJ74" s="116"/>
      <c r="AK74" s="116"/>
      <c r="AL74" s="116"/>
      <c r="AM74" s="116"/>
      <c r="AN74" s="116"/>
      <c r="AO74" s="116"/>
      <c r="AP74" s="116"/>
      <c r="AQ74" s="116"/>
      <c r="AR74" s="116"/>
      <c r="AS74" s="116"/>
      <c r="AT74" s="116"/>
      <c r="AU74" s="116"/>
      <c r="AV74" s="116"/>
      <c r="AW74" s="116"/>
      <c r="AX74" s="116"/>
      <c r="AY74" s="116"/>
    </row>
    <row r="75" spans="1:51" x14ac:dyDescent="0.2">
      <c r="A75" s="115"/>
      <c r="B75" s="133">
        <v>31</v>
      </c>
      <c r="C75" s="115" t="s">
        <v>293</v>
      </c>
      <c r="D75" s="116"/>
      <c r="E75" s="116"/>
      <c r="F75" s="116"/>
      <c r="G75" s="116"/>
      <c r="H75" s="116"/>
      <c r="I75" s="116"/>
      <c r="J75" s="116"/>
      <c r="K75" s="116"/>
      <c r="L75" s="116"/>
      <c r="M75" s="116"/>
      <c r="N75" s="116"/>
      <c r="O75" s="116"/>
      <c r="P75" s="116"/>
      <c r="Q75" s="116"/>
      <c r="R75" s="116"/>
      <c r="S75" s="116"/>
      <c r="T75" s="116"/>
      <c r="U75" s="116"/>
      <c r="V75" s="116"/>
      <c r="W75" s="116"/>
      <c r="X75" s="116"/>
      <c r="Y75" s="116"/>
      <c r="Z75" s="116"/>
      <c r="AA75" s="116"/>
      <c r="AB75" s="116"/>
      <c r="AC75" s="116"/>
      <c r="AD75" s="116"/>
      <c r="AE75" s="116"/>
      <c r="AF75" s="116"/>
      <c r="AG75" s="116"/>
      <c r="AH75" s="116"/>
      <c r="AI75" s="116"/>
      <c r="AJ75" s="116"/>
      <c r="AK75" s="116"/>
      <c r="AL75" s="116"/>
      <c r="AM75" s="116"/>
      <c r="AN75" s="116"/>
      <c r="AO75" s="116"/>
      <c r="AP75" s="116"/>
      <c r="AQ75" s="116"/>
      <c r="AR75" s="116"/>
      <c r="AS75" s="116"/>
      <c r="AT75" s="116"/>
      <c r="AU75" s="116"/>
      <c r="AV75" s="116"/>
      <c r="AW75" s="116"/>
      <c r="AX75" s="116"/>
      <c r="AY75" s="116"/>
    </row>
    <row r="76" spans="1:51" x14ac:dyDescent="0.2">
      <c r="A76" s="115"/>
      <c r="B76" s="133">
        <v>32</v>
      </c>
      <c r="C76" s="115" t="s">
        <v>293</v>
      </c>
      <c r="D76" s="116"/>
      <c r="E76" s="116"/>
      <c r="F76" s="116"/>
      <c r="G76" s="116"/>
      <c r="H76" s="116"/>
      <c r="I76" s="116"/>
      <c r="J76" s="116"/>
      <c r="K76" s="116"/>
      <c r="L76" s="116"/>
      <c r="M76" s="116"/>
      <c r="N76" s="116"/>
      <c r="O76" s="116"/>
      <c r="P76" s="116"/>
      <c r="Q76" s="116"/>
      <c r="R76" s="116"/>
      <c r="S76" s="116"/>
      <c r="T76" s="116"/>
      <c r="U76" s="116"/>
      <c r="V76" s="116"/>
      <c r="W76" s="116"/>
      <c r="X76" s="116"/>
      <c r="Y76" s="116"/>
      <c r="Z76" s="116"/>
      <c r="AA76" s="116"/>
      <c r="AB76" s="116"/>
      <c r="AC76" s="116"/>
      <c r="AD76" s="116"/>
      <c r="AE76" s="116"/>
      <c r="AF76" s="116"/>
      <c r="AG76" s="116"/>
      <c r="AH76" s="116"/>
      <c r="AI76" s="116"/>
      <c r="AJ76" s="116"/>
      <c r="AK76" s="116"/>
      <c r="AL76" s="116"/>
      <c r="AM76" s="116"/>
      <c r="AN76" s="116"/>
      <c r="AO76" s="116"/>
      <c r="AP76" s="116"/>
      <c r="AQ76" s="116"/>
      <c r="AR76" s="116"/>
      <c r="AS76" s="116"/>
      <c r="AT76" s="116"/>
      <c r="AU76" s="116"/>
      <c r="AV76" s="116"/>
      <c r="AW76" s="116"/>
      <c r="AX76" s="116"/>
      <c r="AY76" s="116"/>
    </row>
    <row r="77" spans="1:51" x14ac:dyDescent="0.2">
      <c r="A77" s="115"/>
      <c r="B77" s="133">
        <v>33</v>
      </c>
      <c r="C77" s="115" t="s">
        <v>293</v>
      </c>
      <c r="D77" s="116"/>
      <c r="E77" s="116"/>
      <c r="F77" s="116"/>
      <c r="G77" s="116"/>
      <c r="H77" s="116"/>
      <c r="I77" s="116"/>
      <c r="J77" s="116"/>
      <c r="K77" s="116"/>
      <c r="L77" s="116"/>
      <c r="M77" s="116"/>
      <c r="N77" s="116"/>
      <c r="O77" s="116"/>
      <c r="P77" s="116"/>
      <c r="Q77" s="116"/>
      <c r="R77" s="116"/>
      <c r="S77" s="116"/>
      <c r="T77" s="116"/>
      <c r="U77" s="116"/>
      <c r="V77" s="116"/>
      <c r="W77" s="116"/>
      <c r="X77" s="116"/>
      <c r="Y77" s="116"/>
      <c r="Z77" s="116"/>
      <c r="AA77" s="116"/>
      <c r="AB77" s="116"/>
      <c r="AC77" s="116"/>
      <c r="AD77" s="116"/>
      <c r="AE77" s="116"/>
      <c r="AF77" s="116"/>
      <c r="AG77" s="116"/>
      <c r="AH77" s="116"/>
      <c r="AI77" s="116"/>
      <c r="AJ77" s="116"/>
      <c r="AK77" s="116"/>
      <c r="AL77" s="116"/>
      <c r="AM77" s="116"/>
      <c r="AN77" s="116"/>
      <c r="AO77" s="116"/>
      <c r="AP77" s="116"/>
      <c r="AQ77" s="116"/>
      <c r="AR77" s="116"/>
      <c r="AS77" s="116"/>
      <c r="AT77" s="116"/>
      <c r="AU77" s="116"/>
      <c r="AV77" s="116"/>
      <c r="AW77" s="116"/>
      <c r="AX77" s="116"/>
      <c r="AY77" s="116"/>
    </row>
    <row r="78" spans="1:51" x14ac:dyDescent="0.2">
      <c r="A78" s="115"/>
      <c r="B78" s="133">
        <v>34</v>
      </c>
      <c r="C78" s="115" t="s">
        <v>293</v>
      </c>
      <c r="D78" s="116"/>
      <c r="E78" s="116"/>
      <c r="F78" s="116"/>
      <c r="G78" s="116"/>
      <c r="H78" s="116"/>
      <c r="I78" s="116"/>
      <c r="J78" s="116"/>
      <c r="K78" s="116"/>
      <c r="L78" s="116"/>
      <c r="M78" s="116"/>
      <c r="N78" s="116"/>
      <c r="O78" s="116"/>
      <c r="P78" s="116"/>
      <c r="Q78" s="116"/>
      <c r="R78" s="116"/>
      <c r="S78" s="116"/>
      <c r="T78" s="116"/>
      <c r="U78" s="116"/>
      <c r="V78" s="116"/>
      <c r="W78" s="116"/>
      <c r="X78" s="116"/>
      <c r="Y78" s="116"/>
      <c r="Z78" s="116"/>
      <c r="AA78" s="116"/>
      <c r="AB78" s="116"/>
      <c r="AC78" s="116"/>
      <c r="AD78" s="116"/>
      <c r="AE78" s="116"/>
      <c r="AF78" s="116"/>
      <c r="AG78" s="116"/>
      <c r="AH78" s="116"/>
      <c r="AI78" s="116"/>
      <c r="AJ78" s="116"/>
      <c r="AK78" s="116"/>
      <c r="AL78" s="116"/>
      <c r="AM78" s="116"/>
      <c r="AN78" s="116"/>
      <c r="AO78" s="116"/>
      <c r="AP78" s="116"/>
      <c r="AQ78" s="116"/>
      <c r="AR78" s="116"/>
      <c r="AS78" s="116"/>
      <c r="AT78" s="116"/>
      <c r="AU78" s="116"/>
      <c r="AV78" s="116"/>
      <c r="AW78" s="116"/>
      <c r="AX78" s="116"/>
      <c r="AY78" s="116"/>
    </row>
    <row r="79" spans="1:51" x14ac:dyDescent="0.2">
      <c r="A79" s="115"/>
      <c r="B79" s="133">
        <v>35</v>
      </c>
      <c r="C79" s="115" t="s">
        <v>293</v>
      </c>
      <c r="D79" s="116"/>
      <c r="E79" s="116"/>
      <c r="F79" s="116"/>
      <c r="G79" s="116"/>
      <c r="H79" s="116"/>
      <c r="I79" s="116"/>
      <c r="J79" s="116"/>
      <c r="K79" s="116"/>
      <c r="L79" s="116"/>
      <c r="M79" s="116"/>
      <c r="N79" s="116"/>
      <c r="O79" s="116"/>
      <c r="P79" s="116"/>
      <c r="Q79" s="116"/>
      <c r="R79" s="116"/>
      <c r="S79" s="116"/>
      <c r="T79" s="116"/>
      <c r="U79" s="116"/>
      <c r="V79" s="116"/>
      <c r="W79" s="116"/>
      <c r="X79" s="116"/>
      <c r="Y79" s="116"/>
      <c r="Z79" s="116"/>
      <c r="AA79" s="116"/>
      <c r="AB79" s="116"/>
      <c r="AC79" s="116"/>
      <c r="AD79" s="116"/>
      <c r="AE79" s="116"/>
      <c r="AF79" s="116"/>
      <c r="AG79" s="116"/>
      <c r="AH79" s="116"/>
      <c r="AI79" s="116"/>
      <c r="AJ79" s="116"/>
      <c r="AK79" s="116"/>
      <c r="AL79" s="116"/>
      <c r="AM79" s="116"/>
      <c r="AN79" s="116"/>
      <c r="AO79" s="116"/>
      <c r="AP79" s="116"/>
      <c r="AQ79" s="116"/>
      <c r="AR79" s="116"/>
      <c r="AS79" s="116"/>
      <c r="AT79" s="116"/>
      <c r="AU79" s="116"/>
      <c r="AV79" s="116"/>
      <c r="AW79" s="116"/>
      <c r="AX79" s="116"/>
      <c r="AY79" s="116"/>
    </row>
    <row r="80" spans="1:51" x14ac:dyDescent="0.2">
      <c r="A80" s="115"/>
      <c r="B80" s="133">
        <v>36</v>
      </c>
      <c r="C80" s="115" t="s">
        <v>293</v>
      </c>
      <c r="D80" s="116"/>
      <c r="E80" s="116"/>
      <c r="F80" s="116"/>
      <c r="G80" s="116"/>
      <c r="H80" s="116"/>
      <c r="I80" s="116"/>
      <c r="J80" s="116"/>
      <c r="K80" s="116"/>
      <c r="L80" s="116"/>
      <c r="M80" s="116"/>
      <c r="N80" s="116"/>
      <c r="O80" s="116"/>
      <c r="P80" s="116"/>
      <c r="Q80" s="116"/>
      <c r="R80" s="116"/>
      <c r="S80" s="116"/>
      <c r="T80" s="116"/>
      <c r="U80" s="116"/>
      <c r="V80" s="116"/>
      <c r="W80" s="116"/>
      <c r="X80" s="116"/>
      <c r="Y80" s="116"/>
      <c r="Z80" s="116"/>
      <c r="AA80" s="116"/>
      <c r="AB80" s="116"/>
      <c r="AC80" s="116"/>
      <c r="AD80" s="116"/>
      <c r="AE80" s="116"/>
      <c r="AF80" s="116"/>
      <c r="AG80" s="116"/>
      <c r="AH80" s="116"/>
      <c r="AI80" s="116"/>
      <c r="AJ80" s="116"/>
      <c r="AK80" s="116"/>
      <c r="AL80" s="116"/>
      <c r="AM80" s="116"/>
      <c r="AN80" s="116"/>
      <c r="AO80" s="116"/>
      <c r="AP80" s="116"/>
      <c r="AQ80" s="116"/>
      <c r="AR80" s="116"/>
      <c r="AS80" s="116"/>
      <c r="AT80" s="116"/>
      <c r="AU80" s="116"/>
      <c r="AV80" s="116"/>
      <c r="AW80" s="116"/>
      <c r="AX80" s="116"/>
      <c r="AY80" s="116"/>
    </row>
    <row r="81" spans="1:52" x14ac:dyDescent="0.2">
      <c r="A81" s="115"/>
      <c r="B81" s="136">
        <v>37</v>
      </c>
      <c r="C81" s="115" t="s">
        <v>293</v>
      </c>
      <c r="D81" s="116"/>
      <c r="E81" s="116"/>
      <c r="F81" s="116"/>
      <c r="G81" s="116"/>
      <c r="H81" s="116"/>
      <c r="I81" s="116"/>
      <c r="J81" s="116"/>
      <c r="K81" s="116"/>
      <c r="L81" s="116"/>
      <c r="M81" s="116"/>
      <c r="N81" s="116"/>
      <c r="O81" s="116"/>
      <c r="P81" s="116"/>
      <c r="Q81" s="116"/>
      <c r="R81" s="116"/>
      <c r="S81" s="116"/>
      <c r="T81" s="116"/>
      <c r="U81" s="116"/>
      <c r="V81" s="116"/>
      <c r="W81" s="116"/>
      <c r="X81" s="116"/>
      <c r="Y81" s="116"/>
      <c r="Z81" s="116"/>
      <c r="AA81" s="116"/>
      <c r="AB81" s="116"/>
      <c r="AC81" s="116"/>
      <c r="AD81" s="116"/>
      <c r="AE81" s="116"/>
      <c r="AF81" s="116"/>
      <c r="AG81" s="116"/>
      <c r="AH81" s="116"/>
      <c r="AI81" s="116"/>
      <c r="AJ81" s="116"/>
      <c r="AK81" s="116"/>
      <c r="AL81" s="116"/>
      <c r="AM81" s="116"/>
      <c r="AN81" s="116"/>
      <c r="AO81" s="116"/>
      <c r="AP81" s="116"/>
      <c r="AQ81" s="116"/>
      <c r="AR81" s="116"/>
      <c r="AS81" s="116"/>
      <c r="AT81" s="116"/>
      <c r="AU81" s="116"/>
      <c r="AV81" s="116"/>
      <c r="AW81" s="116"/>
      <c r="AX81" s="116"/>
      <c r="AY81" s="116"/>
    </row>
    <row r="82" spans="1:52" x14ac:dyDescent="0.2">
      <c r="A82" s="115"/>
      <c r="B82" s="136">
        <v>38</v>
      </c>
      <c r="C82" s="115" t="s">
        <v>293</v>
      </c>
      <c r="D82" s="116"/>
      <c r="E82" s="116"/>
      <c r="F82" s="116"/>
      <c r="G82" s="116"/>
      <c r="H82" s="116"/>
      <c r="I82" s="116"/>
      <c r="J82" s="116"/>
      <c r="K82" s="116"/>
      <c r="L82" s="116"/>
      <c r="M82" s="116"/>
      <c r="N82" s="116"/>
      <c r="O82" s="116"/>
      <c r="P82" s="116"/>
      <c r="Q82" s="116"/>
      <c r="R82" s="116"/>
      <c r="S82" s="116"/>
      <c r="T82" s="116"/>
      <c r="U82" s="116"/>
      <c r="V82" s="116"/>
      <c r="W82" s="116"/>
      <c r="X82" s="116"/>
      <c r="Y82" s="116"/>
      <c r="Z82" s="116"/>
      <c r="AA82" s="116"/>
      <c r="AB82" s="116"/>
      <c r="AC82" s="116"/>
      <c r="AD82" s="116"/>
      <c r="AE82" s="116"/>
      <c r="AF82" s="116"/>
      <c r="AG82" s="116"/>
      <c r="AH82" s="116"/>
      <c r="AI82" s="116"/>
      <c r="AJ82" s="116"/>
      <c r="AK82" s="116"/>
      <c r="AL82" s="116"/>
      <c r="AM82" s="116"/>
      <c r="AN82" s="116"/>
      <c r="AO82" s="116"/>
      <c r="AP82" s="116"/>
      <c r="AQ82" s="116"/>
      <c r="AR82" s="116"/>
      <c r="AS82" s="116"/>
      <c r="AT82" s="116"/>
      <c r="AU82" s="116"/>
      <c r="AV82" s="116"/>
      <c r="AW82" s="116"/>
      <c r="AX82" s="116"/>
      <c r="AY82" s="116"/>
    </row>
    <row r="83" spans="1:52" x14ac:dyDescent="0.2">
      <c r="A83" s="115"/>
      <c r="B83" s="136">
        <v>39</v>
      </c>
      <c r="C83" s="115" t="s">
        <v>293</v>
      </c>
      <c r="D83" s="116"/>
      <c r="E83" s="116"/>
      <c r="F83" s="116"/>
      <c r="G83" s="116"/>
      <c r="H83" s="116"/>
      <c r="I83" s="116"/>
      <c r="J83" s="116"/>
      <c r="K83" s="116"/>
      <c r="L83" s="116"/>
      <c r="M83" s="116"/>
      <c r="N83" s="116"/>
      <c r="O83" s="116"/>
      <c r="P83" s="116"/>
      <c r="Q83" s="116"/>
      <c r="R83" s="116"/>
      <c r="S83" s="116"/>
      <c r="T83" s="116"/>
      <c r="U83" s="116"/>
      <c r="V83" s="116"/>
      <c r="W83" s="116"/>
      <c r="X83" s="116"/>
      <c r="Y83" s="116"/>
      <c r="Z83" s="116"/>
      <c r="AA83" s="116"/>
      <c r="AB83" s="116"/>
      <c r="AC83" s="116"/>
      <c r="AD83" s="116"/>
      <c r="AE83" s="116"/>
      <c r="AF83" s="116"/>
      <c r="AG83" s="116"/>
      <c r="AH83" s="116"/>
      <c r="AI83" s="116"/>
      <c r="AJ83" s="116"/>
      <c r="AK83" s="116"/>
      <c r="AL83" s="116"/>
      <c r="AM83" s="116"/>
      <c r="AN83" s="116"/>
      <c r="AO83" s="116"/>
      <c r="AP83" s="116"/>
      <c r="AQ83" s="116"/>
      <c r="AR83" s="116"/>
      <c r="AS83" s="116"/>
      <c r="AT83" s="116"/>
      <c r="AU83" s="116"/>
      <c r="AV83" s="116"/>
      <c r="AW83" s="116"/>
      <c r="AX83" s="116"/>
      <c r="AY83" s="116"/>
    </row>
    <row r="84" spans="1:52" x14ac:dyDescent="0.2">
      <c r="A84" s="115"/>
      <c r="B84" s="136">
        <v>40</v>
      </c>
      <c r="C84" s="115" t="s">
        <v>293</v>
      </c>
      <c r="D84" s="116"/>
      <c r="E84" s="116"/>
      <c r="F84" s="116"/>
      <c r="G84" s="116"/>
      <c r="H84" s="116"/>
      <c r="I84" s="116"/>
      <c r="J84" s="116"/>
      <c r="K84" s="116"/>
      <c r="L84" s="116"/>
      <c r="M84" s="116"/>
      <c r="N84" s="116"/>
      <c r="O84" s="116"/>
      <c r="P84" s="116"/>
      <c r="Q84" s="116"/>
      <c r="R84" s="116"/>
      <c r="S84" s="116"/>
      <c r="T84" s="116"/>
      <c r="U84" s="116"/>
      <c r="V84" s="116"/>
      <c r="W84" s="116"/>
      <c r="X84" s="116"/>
      <c r="Y84" s="116"/>
      <c r="Z84" s="116"/>
      <c r="AA84" s="116"/>
      <c r="AB84" s="116"/>
      <c r="AC84" s="116"/>
      <c r="AD84" s="116"/>
      <c r="AE84" s="116"/>
      <c r="AF84" s="116"/>
      <c r="AG84" s="116"/>
      <c r="AH84" s="116"/>
      <c r="AI84" s="116"/>
      <c r="AJ84" s="116"/>
      <c r="AK84" s="116"/>
      <c r="AL84" s="116"/>
      <c r="AM84" s="116"/>
      <c r="AN84" s="116"/>
      <c r="AO84" s="116"/>
      <c r="AP84" s="116"/>
      <c r="AQ84" s="116"/>
      <c r="AR84" s="116"/>
      <c r="AS84" s="116"/>
      <c r="AT84" s="116"/>
      <c r="AU84" s="116"/>
      <c r="AV84" s="116"/>
      <c r="AW84" s="116"/>
      <c r="AX84" s="116"/>
      <c r="AY84" s="116"/>
    </row>
    <row r="85" spans="1:52" x14ac:dyDescent="0.2">
      <c r="A85" s="115"/>
      <c r="B85" s="136">
        <v>41</v>
      </c>
      <c r="C85" s="115" t="s">
        <v>293</v>
      </c>
      <c r="D85" s="116"/>
      <c r="E85" s="116"/>
      <c r="F85" s="116"/>
      <c r="G85" s="116"/>
      <c r="H85" s="116"/>
      <c r="I85" s="116"/>
      <c r="J85" s="116"/>
      <c r="K85" s="116"/>
      <c r="L85" s="116"/>
      <c r="M85" s="116"/>
      <c r="N85" s="116"/>
      <c r="O85" s="116"/>
      <c r="P85" s="116"/>
      <c r="Q85" s="116"/>
      <c r="R85" s="116"/>
      <c r="S85" s="116"/>
      <c r="T85" s="116"/>
      <c r="U85" s="116"/>
      <c r="V85" s="116"/>
      <c r="W85" s="116"/>
      <c r="X85" s="116"/>
      <c r="Y85" s="116"/>
      <c r="Z85" s="116"/>
      <c r="AA85" s="116"/>
      <c r="AB85" s="116"/>
      <c r="AC85" s="116"/>
      <c r="AD85" s="116"/>
      <c r="AE85" s="116"/>
      <c r="AF85" s="116"/>
      <c r="AG85" s="116"/>
      <c r="AH85" s="116"/>
      <c r="AI85" s="116"/>
      <c r="AJ85" s="116"/>
      <c r="AK85" s="116"/>
      <c r="AL85" s="116"/>
      <c r="AM85" s="116"/>
      <c r="AN85" s="116"/>
      <c r="AO85" s="116"/>
      <c r="AP85" s="116"/>
      <c r="AQ85" s="116"/>
      <c r="AR85" s="116"/>
      <c r="AS85" s="116"/>
      <c r="AT85" s="116"/>
      <c r="AU85" s="116"/>
      <c r="AV85" s="116"/>
      <c r="AW85" s="116"/>
      <c r="AX85" s="116"/>
      <c r="AY85" s="116"/>
    </row>
    <row r="86" spans="1:52" x14ac:dyDescent="0.2">
      <c r="A86" s="115"/>
      <c r="B86" s="136">
        <v>42</v>
      </c>
      <c r="C86" s="115" t="s">
        <v>293</v>
      </c>
      <c r="D86" s="116"/>
      <c r="E86" s="116"/>
      <c r="F86" s="116"/>
      <c r="G86" s="116"/>
      <c r="H86" s="116"/>
      <c r="I86" s="116"/>
      <c r="J86" s="116"/>
      <c r="K86" s="116"/>
      <c r="L86" s="116"/>
      <c r="M86" s="116"/>
      <c r="N86" s="116"/>
      <c r="O86" s="116"/>
      <c r="P86" s="116"/>
      <c r="Q86" s="116"/>
      <c r="R86" s="116"/>
      <c r="S86" s="116"/>
      <c r="T86" s="116"/>
      <c r="U86" s="116"/>
      <c r="V86" s="116"/>
      <c r="W86" s="116"/>
      <c r="X86" s="116"/>
      <c r="Y86" s="116"/>
      <c r="Z86" s="116"/>
      <c r="AA86" s="116"/>
      <c r="AB86" s="116"/>
      <c r="AC86" s="116"/>
      <c r="AD86" s="116"/>
      <c r="AE86" s="116"/>
      <c r="AF86" s="116"/>
      <c r="AG86" s="116"/>
      <c r="AH86" s="116"/>
      <c r="AI86" s="116"/>
      <c r="AJ86" s="116"/>
      <c r="AK86" s="116"/>
      <c r="AL86" s="116"/>
      <c r="AM86" s="116"/>
      <c r="AN86" s="116"/>
      <c r="AO86" s="116"/>
      <c r="AP86" s="116"/>
      <c r="AQ86" s="116"/>
      <c r="AR86" s="116"/>
      <c r="AS86" s="116"/>
      <c r="AT86" s="116"/>
      <c r="AU86" s="116"/>
      <c r="AV86" s="116"/>
      <c r="AW86" s="116"/>
      <c r="AX86" s="116"/>
      <c r="AY86" s="116"/>
    </row>
    <row r="87" spans="1:52" x14ac:dyDescent="0.2">
      <c r="A87" s="115"/>
      <c r="B87" s="136">
        <v>43</v>
      </c>
      <c r="C87" s="115" t="s">
        <v>293</v>
      </c>
      <c r="D87" s="116"/>
      <c r="E87" s="116"/>
      <c r="F87" s="116"/>
      <c r="G87" s="116"/>
      <c r="H87" s="116"/>
      <c r="I87" s="116"/>
      <c r="J87" s="116"/>
      <c r="K87" s="116"/>
      <c r="L87" s="116"/>
      <c r="M87" s="116"/>
      <c r="N87" s="116"/>
      <c r="O87" s="116"/>
      <c r="P87" s="116"/>
      <c r="Q87" s="116"/>
      <c r="R87" s="116"/>
      <c r="S87" s="116"/>
      <c r="T87" s="116"/>
      <c r="U87" s="116"/>
      <c r="V87" s="116"/>
      <c r="W87" s="116"/>
      <c r="X87" s="116"/>
      <c r="Y87" s="116"/>
      <c r="Z87" s="116"/>
      <c r="AA87" s="116"/>
      <c r="AB87" s="116"/>
      <c r="AC87" s="116"/>
      <c r="AD87" s="116"/>
      <c r="AE87" s="116"/>
      <c r="AF87" s="116"/>
      <c r="AG87" s="116"/>
      <c r="AH87" s="116"/>
      <c r="AI87" s="116"/>
      <c r="AJ87" s="116"/>
      <c r="AK87" s="116"/>
      <c r="AL87" s="116"/>
      <c r="AM87" s="116"/>
      <c r="AN87" s="116"/>
      <c r="AO87" s="116"/>
      <c r="AP87" s="116"/>
      <c r="AQ87" s="116"/>
      <c r="AR87" s="116"/>
      <c r="AS87" s="116"/>
      <c r="AT87" s="116"/>
      <c r="AU87" s="116"/>
      <c r="AV87" s="116"/>
      <c r="AW87" s="116"/>
      <c r="AX87" s="116"/>
      <c r="AY87" s="116"/>
    </row>
    <row r="88" spans="1:52" x14ac:dyDescent="0.2">
      <c r="A88" s="115"/>
      <c r="B88" s="136">
        <v>44</v>
      </c>
      <c r="C88" s="115" t="s">
        <v>293</v>
      </c>
      <c r="D88" s="116"/>
      <c r="E88" s="116"/>
      <c r="F88" s="116"/>
      <c r="G88" s="116"/>
      <c r="H88" s="116"/>
      <c r="I88" s="116"/>
      <c r="J88" s="116"/>
      <c r="K88" s="116"/>
      <c r="L88" s="116"/>
      <c r="M88" s="116"/>
      <c r="N88" s="116"/>
      <c r="O88" s="116"/>
      <c r="P88" s="116"/>
      <c r="Q88" s="116"/>
      <c r="R88" s="116"/>
      <c r="S88" s="116"/>
      <c r="T88" s="116"/>
      <c r="U88" s="116"/>
      <c r="V88" s="116"/>
      <c r="W88" s="116"/>
      <c r="X88" s="116"/>
      <c r="Y88" s="116"/>
      <c r="Z88" s="116"/>
      <c r="AA88" s="116"/>
      <c r="AB88" s="116"/>
      <c r="AC88" s="116"/>
      <c r="AD88" s="116"/>
      <c r="AE88" s="116"/>
      <c r="AF88" s="116"/>
      <c r="AG88" s="116"/>
      <c r="AH88" s="116"/>
      <c r="AI88" s="116"/>
      <c r="AJ88" s="116"/>
      <c r="AK88" s="116"/>
      <c r="AL88" s="116"/>
      <c r="AM88" s="116"/>
      <c r="AN88" s="116"/>
      <c r="AO88" s="116"/>
      <c r="AP88" s="116"/>
      <c r="AQ88" s="116"/>
      <c r="AR88" s="116"/>
      <c r="AS88" s="116"/>
      <c r="AT88" s="116"/>
      <c r="AU88" s="116"/>
      <c r="AV88" s="116"/>
      <c r="AW88" s="116"/>
      <c r="AX88" s="116"/>
      <c r="AY88" s="116"/>
    </row>
    <row r="89" spans="1:52" x14ac:dyDescent="0.2">
      <c r="A89" s="115"/>
      <c r="B89" s="136">
        <v>45</v>
      </c>
      <c r="C89" s="115" t="s">
        <v>293</v>
      </c>
      <c r="D89" s="116"/>
      <c r="E89" s="116"/>
      <c r="F89" s="116"/>
      <c r="G89" s="116"/>
      <c r="H89" s="116"/>
      <c r="I89" s="116"/>
      <c r="J89" s="116"/>
      <c r="K89" s="116"/>
      <c r="L89" s="116"/>
      <c r="M89" s="116"/>
      <c r="N89" s="116"/>
      <c r="O89" s="116"/>
      <c r="P89" s="116"/>
      <c r="Q89" s="116"/>
      <c r="R89" s="116"/>
      <c r="S89" s="116"/>
      <c r="T89" s="116"/>
      <c r="U89" s="116"/>
      <c r="V89" s="116"/>
      <c r="W89" s="116"/>
      <c r="X89" s="116"/>
      <c r="Y89" s="116"/>
      <c r="Z89" s="116"/>
      <c r="AA89" s="116"/>
      <c r="AB89" s="116"/>
      <c r="AC89" s="116"/>
      <c r="AD89" s="116"/>
      <c r="AE89" s="116"/>
      <c r="AF89" s="116"/>
      <c r="AG89" s="116"/>
      <c r="AH89" s="116"/>
      <c r="AI89" s="116"/>
      <c r="AJ89" s="116"/>
      <c r="AK89" s="116"/>
      <c r="AL89" s="116"/>
      <c r="AM89" s="116">
        <v>0</v>
      </c>
      <c r="AN89" s="116">
        <v>0</v>
      </c>
      <c r="AO89" s="116">
        <v>0</v>
      </c>
      <c r="AP89" s="116">
        <v>0</v>
      </c>
      <c r="AQ89" s="116">
        <v>0</v>
      </c>
      <c r="AR89" s="116"/>
      <c r="AS89" s="116"/>
      <c r="AT89" s="116"/>
      <c r="AU89" s="116"/>
      <c r="AV89" s="116"/>
      <c r="AW89" s="116"/>
      <c r="AX89" s="116"/>
      <c r="AY89" s="116"/>
    </row>
    <row r="90" spans="1:52" x14ac:dyDescent="0.2">
      <c r="A90" s="115"/>
      <c r="B90" s="136">
        <v>46</v>
      </c>
      <c r="C90" s="115" t="s">
        <v>293</v>
      </c>
      <c r="D90" s="116"/>
      <c r="E90" s="116"/>
      <c r="F90" s="116"/>
      <c r="G90" s="116"/>
      <c r="H90" s="116"/>
      <c r="I90" s="116"/>
      <c r="J90" s="116"/>
      <c r="K90" s="116"/>
      <c r="L90" s="116"/>
      <c r="M90" s="116"/>
      <c r="N90" s="116"/>
      <c r="O90" s="116"/>
      <c r="P90" s="116"/>
      <c r="Q90" s="116"/>
      <c r="R90" s="116"/>
      <c r="S90" s="116"/>
      <c r="T90" s="116"/>
      <c r="U90" s="116"/>
      <c r="V90" s="116"/>
      <c r="W90" s="116"/>
      <c r="X90" s="116"/>
      <c r="Y90" s="116"/>
      <c r="Z90" s="116"/>
      <c r="AA90" s="116"/>
      <c r="AB90" s="116"/>
      <c r="AC90" s="116"/>
      <c r="AD90" s="116"/>
      <c r="AE90" s="116"/>
      <c r="AF90" s="116"/>
      <c r="AG90" s="116"/>
      <c r="AH90" s="116"/>
      <c r="AI90" s="116"/>
      <c r="AJ90" s="116"/>
      <c r="AK90" s="116"/>
      <c r="AL90" s="116"/>
      <c r="AM90" s="116">
        <v>0</v>
      </c>
      <c r="AN90" s="116">
        <v>0</v>
      </c>
      <c r="AO90" s="116">
        <v>0</v>
      </c>
      <c r="AP90" s="116">
        <v>0</v>
      </c>
      <c r="AQ90" s="116">
        <v>0</v>
      </c>
      <c r="AR90" s="116"/>
      <c r="AS90" s="116"/>
      <c r="AT90" s="116"/>
      <c r="AU90" s="116"/>
      <c r="AV90" s="116"/>
      <c r="AW90" s="116"/>
      <c r="AX90" s="116"/>
      <c r="AY90" s="116"/>
    </row>
    <row r="91" spans="1:52" x14ac:dyDescent="0.2">
      <c r="A91" s="115"/>
      <c r="B91" s="136">
        <v>47</v>
      </c>
      <c r="C91" s="115" t="s">
        <v>293</v>
      </c>
      <c r="D91" s="116">
        <v>0</v>
      </c>
      <c r="E91" s="116">
        <v>0</v>
      </c>
      <c r="F91" s="116"/>
      <c r="G91" s="116"/>
      <c r="H91" s="116"/>
      <c r="I91" s="116">
        <v>0</v>
      </c>
      <c r="J91" s="116">
        <v>0</v>
      </c>
      <c r="K91" s="116">
        <v>0</v>
      </c>
      <c r="L91" s="116"/>
      <c r="M91" s="116">
        <v>0</v>
      </c>
      <c r="N91" s="116"/>
      <c r="O91" s="116"/>
      <c r="P91" s="116"/>
      <c r="Q91" s="116"/>
      <c r="R91" s="116"/>
      <c r="S91" s="116"/>
      <c r="T91" s="116"/>
      <c r="U91" s="116"/>
      <c r="V91" s="116"/>
      <c r="W91" s="116"/>
      <c r="X91" s="116"/>
      <c r="Y91" s="116"/>
      <c r="Z91" s="116"/>
      <c r="AA91" s="116"/>
      <c r="AB91" s="116"/>
      <c r="AC91" s="116"/>
      <c r="AD91" s="116"/>
      <c r="AE91" s="116"/>
      <c r="AF91" s="116"/>
      <c r="AG91" s="116"/>
      <c r="AH91" s="116"/>
      <c r="AI91" s="116"/>
      <c r="AJ91" s="116"/>
      <c r="AK91" s="116">
        <v>0</v>
      </c>
      <c r="AL91" s="116">
        <v>0</v>
      </c>
      <c r="AM91" s="116">
        <v>0</v>
      </c>
      <c r="AN91" s="116">
        <v>0</v>
      </c>
      <c r="AO91" s="116">
        <v>0</v>
      </c>
      <c r="AP91" s="116">
        <v>0</v>
      </c>
      <c r="AQ91" s="116">
        <v>0</v>
      </c>
      <c r="AR91" s="116"/>
      <c r="AS91" s="116"/>
      <c r="AT91" s="116"/>
      <c r="AU91" s="116"/>
      <c r="AV91" s="116"/>
      <c r="AW91" s="116"/>
      <c r="AX91" s="116"/>
      <c r="AY91" s="116"/>
    </row>
    <row r="92" spans="1:52" x14ac:dyDescent="0.2">
      <c r="A92" s="134"/>
      <c r="B92" s="135">
        <v>48</v>
      </c>
      <c r="C92" s="134" t="s">
        <v>293</v>
      </c>
      <c r="D92" s="131">
        <v>0</v>
      </c>
      <c r="E92" s="131">
        <v>0</v>
      </c>
      <c r="F92" s="131">
        <v>0</v>
      </c>
      <c r="G92" s="131">
        <v>0</v>
      </c>
      <c r="H92" s="131">
        <v>0</v>
      </c>
      <c r="I92" s="131">
        <v>0</v>
      </c>
      <c r="J92" s="131">
        <v>0</v>
      </c>
      <c r="K92" s="131">
        <v>0</v>
      </c>
      <c r="L92" s="131">
        <v>0</v>
      </c>
      <c r="M92" s="131">
        <v>0</v>
      </c>
      <c r="N92" s="131">
        <v>0</v>
      </c>
      <c r="O92" s="131">
        <v>0</v>
      </c>
      <c r="P92" s="131">
        <v>0</v>
      </c>
      <c r="Q92" s="131">
        <v>0</v>
      </c>
      <c r="R92" s="131">
        <v>0</v>
      </c>
      <c r="S92" s="131">
        <v>0</v>
      </c>
      <c r="T92" s="131">
        <v>0</v>
      </c>
      <c r="U92" s="131">
        <v>0</v>
      </c>
      <c r="V92" s="131">
        <v>0</v>
      </c>
      <c r="W92" s="131">
        <v>0</v>
      </c>
      <c r="X92" s="131">
        <v>0</v>
      </c>
      <c r="Y92" s="131">
        <v>0</v>
      </c>
      <c r="Z92" s="131">
        <v>0</v>
      </c>
      <c r="AA92" s="131">
        <v>0</v>
      </c>
      <c r="AB92" s="131">
        <v>0</v>
      </c>
      <c r="AC92" s="131">
        <v>0</v>
      </c>
      <c r="AD92" s="131">
        <v>0</v>
      </c>
      <c r="AE92" s="131">
        <v>0</v>
      </c>
      <c r="AF92" s="131">
        <v>0</v>
      </c>
      <c r="AG92" s="131">
        <v>0</v>
      </c>
      <c r="AH92" s="131">
        <v>0</v>
      </c>
      <c r="AI92" s="131">
        <v>0</v>
      </c>
      <c r="AJ92" s="131">
        <v>0</v>
      </c>
      <c r="AK92" s="131">
        <v>0</v>
      </c>
      <c r="AL92" s="131">
        <v>0</v>
      </c>
      <c r="AM92" s="131">
        <v>0</v>
      </c>
      <c r="AN92" s="131">
        <v>0</v>
      </c>
      <c r="AO92" s="131">
        <v>0</v>
      </c>
      <c r="AP92" s="131">
        <v>0</v>
      </c>
      <c r="AQ92" s="131">
        <v>0</v>
      </c>
      <c r="AR92" s="131">
        <v>0</v>
      </c>
      <c r="AS92" s="131">
        <v>0</v>
      </c>
      <c r="AT92" s="131">
        <v>0</v>
      </c>
      <c r="AU92" s="131">
        <v>0</v>
      </c>
      <c r="AV92" s="131">
        <v>0</v>
      </c>
      <c r="AW92" s="131">
        <v>0</v>
      </c>
      <c r="AX92" s="131">
        <v>0</v>
      </c>
      <c r="AY92" s="131">
        <v>0</v>
      </c>
      <c r="AZ92" s="113">
        <f>SUM(D21:AY92)</f>
        <v>11766.582414242852</v>
      </c>
    </row>
    <row r="94" spans="1:52" x14ac:dyDescent="0.2">
      <c r="A94" s="108" t="s">
        <v>295</v>
      </c>
      <c r="B94" s="112"/>
      <c r="C94" s="112"/>
      <c r="D94" s="120"/>
      <c r="E94" s="120"/>
      <c r="F94" s="120"/>
      <c r="G94" s="120"/>
      <c r="H94" s="120"/>
      <c r="I94" s="120"/>
      <c r="J94" s="120"/>
      <c r="K94" s="120"/>
      <c r="L94" s="120"/>
      <c r="M94" s="120"/>
      <c r="N94" s="120"/>
      <c r="O94" s="120"/>
      <c r="P94" s="120"/>
      <c r="Q94" s="120"/>
      <c r="R94" s="120"/>
      <c r="S94" s="120"/>
      <c r="T94" s="120"/>
      <c r="U94" s="120"/>
      <c r="V94" s="120"/>
      <c r="W94" s="120"/>
      <c r="X94" s="120"/>
      <c r="Y94" s="120"/>
      <c r="Z94" s="120"/>
      <c r="AA94" s="120"/>
      <c r="AB94" s="120"/>
      <c r="AC94" s="120"/>
      <c r="AD94" s="120"/>
      <c r="AE94" s="120"/>
      <c r="AF94" s="120"/>
      <c r="AG94" s="120"/>
      <c r="AH94" s="120"/>
      <c r="AI94" s="120"/>
      <c r="AJ94" s="120"/>
      <c r="AK94" s="120"/>
      <c r="AL94" s="120"/>
      <c r="AM94" s="120"/>
      <c r="AN94" s="120"/>
      <c r="AO94" s="120"/>
      <c r="AP94" s="120"/>
      <c r="AQ94" s="120"/>
      <c r="AR94" s="120"/>
      <c r="AS94" s="120"/>
      <c r="AT94" s="120"/>
      <c r="AU94" s="120"/>
      <c r="AV94" s="120"/>
      <c r="AW94" s="120"/>
      <c r="AX94" s="120"/>
      <c r="AY94" s="120"/>
    </row>
    <row r="95" spans="1:52" x14ac:dyDescent="0.2">
      <c r="A95" s="132" t="s">
        <v>125</v>
      </c>
      <c r="B95" s="129">
        <v>1</v>
      </c>
      <c r="C95" s="130">
        <v>3590.1258479700446</v>
      </c>
      <c r="D95" s="116">
        <v>1346.2068520915441</v>
      </c>
      <c r="E95" s="116">
        <v>1346.2068520915441</v>
      </c>
      <c r="F95" s="116">
        <v>1346.2068520915441</v>
      </c>
      <c r="G95" s="116">
        <v>1346.2068520915441</v>
      </c>
      <c r="H95" s="116">
        <v>1802.2791578774475</v>
      </c>
      <c r="I95" s="116">
        <v>1802.2791578774475</v>
      </c>
      <c r="J95" s="116">
        <v>1802.2791578774475</v>
      </c>
      <c r="K95" s="116">
        <v>1802.2791578774475</v>
      </c>
      <c r="L95" s="116">
        <v>1541.1471602846063</v>
      </c>
      <c r="M95" s="116">
        <v>1541.1471602846063</v>
      </c>
      <c r="N95" s="116">
        <v>1541.1471602846063</v>
      </c>
      <c r="O95" s="116">
        <v>1541.1471602846063</v>
      </c>
      <c r="P95" s="116">
        <v>1543.6129456590807</v>
      </c>
      <c r="Q95" s="116">
        <v>1543.6129456590807</v>
      </c>
      <c r="R95" s="116">
        <v>1543.6129456590807</v>
      </c>
      <c r="S95" s="116">
        <v>1543.6129456590807</v>
      </c>
      <c r="T95" s="116">
        <v>496.06553959333922</v>
      </c>
      <c r="U95" s="116">
        <v>496.06553959333922</v>
      </c>
      <c r="V95" s="116">
        <v>496.06553959333922</v>
      </c>
      <c r="W95" s="116">
        <v>496.06553959333922</v>
      </c>
      <c r="X95" s="116">
        <v>1179.4454525283545</v>
      </c>
      <c r="Y95" s="116">
        <v>1179.4454525283545</v>
      </c>
      <c r="Z95" s="116">
        <v>1179.4454525283545</v>
      </c>
      <c r="AA95" s="116">
        <v>1179.4454525283545</v>
      </c>
      <c r="AB95" s="116">
        <v>1138.3302319084871</v>
      </c>
      <c r="AC95" s="116">
        <v>1138.3302319084871</v>
      </c>
      <c r="AD95" s="116">
        <v>1138.3302319084871</v>
      </c>
      <c r="AE95" s="116">
        <v>1138.3302319084871</v>
      </c>
      <c r="AF95" s="116">
        <v>1451.6452747288749</v>
      </c>
      <c r="AG95" s="116">
        <v>1451.6452747288749</v>
      </c>
      <c r="AH95" s="116">
        <v>1451.6452747288749</v>
      </c>
      <c r="AI95" s="116">
        <v>1451.6452747288749</v>
      </c>
      <c r="AJ95" s="116">
        <v>1396.277737527568</v>
      </c>
      <c r="AK95" s="116">
        <v>1396.277737527568</v>
      </c>
      <c r="AL95" s="116">
        <v>1396.277737527568</v>
      </c>
      <c r="AM95" s="116">
        <v>1287.4607967116774</v>
      </c>
      <c r="AN95" s="116">
        <v>400.32856206332076</v>
      </c>
      <c r="AO95" s="116">
        <v>734.09853060536284</v>
      </c>
      <c r="AP95" s="116">
        <v>985.17111796606719</v>
      </c>
      <c r="AQ95" s="116">
        <v>971.4738758569315</v>
      </c>
      <c r="AR95" s="116">
        <v>1533.56337872739</v>
      </c>
      <c r="AS95" s="116">
        <v>1533.56337872739</v>
      </c>
      <c r="AT95" s="116">
        <v>1533.56337872739</v>
      </c>
      <c r="AU95" s="116">
        <v>1533.56337872739</v>
      </c>
      <c r="AV95" s="116">
        <v>953.43321224447197</v>
      </c>
      <c r="AW95" s="116">
        <v>953.43321224447197</v>
      </c>
      <c r="AX95" s="116">
        <v>953.43321224447197</v>
      </c>
      <c r="AY95" s="116">
        <v>953.43321224447197</v>
      </c>
    </row>
    <row r="96" spans="1:52" x14ac:dyDescent="0.2">
      <c r="A96" s="115"/>
      <c r="B96" s="126">
        <v>2</v>
      </c>
      <c r="C96" s="116">
        <v>3590.1258479700446</v>
      </c>
      <c r="D96" s="116">
        <v>3590.1258479700446</v>
      </c>
      <c r="E96" s="116">
        <v>1346.2068520915441</v>
      </c>
      <c r="F96" s="116">
        <v>1346.2068520915441</v>
      </c>
      <c r="G96" s="116">
        <v>1346.2068520915441</v>
      </c>
      <c r="H96" s="116">
        <v>1346.2068520915441</v>
      </c>
      <c r="I96" s="116">
        <v>1802.2791578774475</v>
      </c>
      <c r="J96" s="116">
        <v>1802.2791578774475</v>
      </c>
      <c r="K96" s="116">
        <v>1802.2791578774475</v>
      </c>
      <c r="L96" s="116">
        <v>1802.2791578774475</v>
      </c>
      <c r="M96" s="116">
        <v>1541.1471602846063</v>
      </c>
      <c r="N96" s="116">
        <v>1541.1471602846063</v>
      </c>
      <c r="O96" s="116">
        <v>1541.1471602846063</v>
      </c>
      <c r="P96" s="116">
        <v>1541.1471602846063</v>
      </c>
      <c r="Q96" s="116">
        <v>1543.6129456590807</v>
      </c>
      <c r="R96" s="116">
        <v>1543.6129456590807</v>
      </c>
      <c r="S96" s="116">
        <v>1543.6129456590807</v>
      </c>
      <c r="T96" s="116">
        <v>1543.6129456590807</v>
      </c>
      <c r="U96" s="116">
        <v>496.06553959333922</v>
      </c>
      <c r="V96" s="116">
        <v>496.06553959333922</v>
      </c>
      <c r="W96" s="116">
        <v>496.06553959333922</v>
      </c>
      <c r="X96" s="116">
        <v>496.06553959333922</v>
      </c>
      <c r="Y96" s="116">
        <v>500.7076109017114</v>
      </c>
      <c r="Z96" s="116">
        <v>163.15306343006591</v>
      </c>
      <c r="AA96" s="116">
        <v>0</v>
      </c>
      <c r="AB96" s="116">
        <v>0</v>
      </c>
      <c r="AC96" s="116">
        <v>0.33023190848712147</v>
      </c>
      <c r="AD96" s="116">
        <v>229.66046381697424</v>
      </c>
      <c r="AE96" s="116">
        <v>386.99069572546136</v>
      </c>
      <c r="AF96" s="116">
        <v>549.32092763394849</v>
      </c>
      <c r="AG96" s="116">
        <v>473.96620236282342</v>
      </c>
      <c r="AH96" s="116">
        <v>634.61147709169836</v>
      </c>
      <c r="AI96" s="116">
        <v>266.2567518205733</v>
      </c>
      <c r="AJ96" s="116">
        <v>331.90202654944824</v>
      </c>
      <c r="AK96" s="116">
        <v>144.17976407701622</v>
      </c>
      <c r="AL96" s="116">
        <v>36.457501604584195</v>
      </c>
      <c r="AM96" s="116">
        <v>0</v>
      </c>
      <c r="AN96" s="116">
        <v>0</v>
      </c>
      <c r="AO96" s="116">
        <v>0</v>
      </c>
      <c r="AP96" s="116">
        <v>0</v>
      </c>
      <c r="AQ96" s="116">
        <v>0</v>
      </c>
      <c r="AR96" s="116">
        <v>119.4738758569315</v>
      </c>
      <c r="AS96" s="116">
        <v>752.03725458432154</v>
      </c>
      <c r="AT96" s="116">
        <v>1482.6006333117116</v>
      </c>
      <c r="AU96" s="116">
        <v>1533.56337872739</v>
      </c>
      <c r="AV96" s="116">
        <v>1533.56337872739</v>
      </c>
      <c r="AW96" s="116">
        <v>953.43321224447197</v>
      </c>
      <c r="AX96" s="116">
        <v>953.43321224447197</v>
      </c>
      <c r="AY96" s="116">
        <v>953.43321224447197</v>
      </c>
    </row>
    <row r="97" spans="1:52" x14ac:dyDescent="0.2">
      <c r="A97" s="115"/>
      <c r="B97" s="133">
        <v>3</v>
      </c>
      <c r="C97" s="116">
        <v>813.06914413009281</v>
      </c>
      <c r="D97" s="116">
        <v>2705.1453138520333</v>
      </c>
      <c r="E97" s="116">
        <v>2938.6341217361146</v>
      </c>
      <c r="F97" s="116">
        <v>1346.2068520915441</v>
      </c>
      <c r="G97" s="116">
        <v>1346.2068520915441</v>
      </c>
      <c r="H97" s="116">
        <v>1346.2068520915441</v>
      </c>
      <c r="I97" s="116">
        <v>831.40886107729739</v>
      </c>
      <c r="J97" s="116">
        <v>229.3160118521339</v>
      </c>
      <c r="K97" s="116">
        <v>292.9005675542403</v>
      </c>
      <c r="L97" s="116">
        <v>166.17972543168776</v>
      </c>
      <c r="M97" s="116">
        <v>758.82119703933722</v>
      </c>
      <c r="N97" s="116">
        <v>1223.9683573239436</v>
      </c>
      <c r="O97" s="116">
        <v>1429.1155176085499</v>
      </c>
      <c r="P97" s="116">
        <v>1541.1471602846063</v>
      </c>
      <c r="Q97" s="116">
        <v>1541.1471602846063</v>
      </c>
      <c r="R97" s="116">
        <v>1543.6129456590807</v>
      </c>
      <c r="S97" s="116">
        <v>1543.6129456590807</v>
      </c>
      <c r="T97" s="116">
        <v>1543.6129456590807</v>
      </c>
      <c r="U97" s="116">
        <v>1543.6129456590807</v>
      </c>
      <c r="V97" s="116">
        <v>496.06553959333922</v>
      </c>
      <c r="W97" s="116">
        <v>496.06553959333922</v>
      </c>
      <c r="X97" s="116">
        <v>196.19661878001773</v>
      </c>
      <c r="Y97" s="116">
        <v>0</v>
      </c>
      <c r="Z97" s="116">
        <v>0</v>
      </c>
      <c r="AA97" s="116">
        <v>0</v>
      </c>
      <c r="AB97" s="116">
        <v>0</v>
      </c>
      <c r="AC97" s="116">
        <v>0</v>
      </c>
      <c r="AD97" s="116">
        <v>0</v>
      </c>
      <c r="AE97" s="116">
        <v>0</v>
      </c>
      <c r="AF97" s="116">
        <v>0</v>
      </c>
      <c r="AG97" s="116">
        <v>0</v>
      </c>
      <c r="AH97" s="116">
        <v>0</v>
      </c>
      <c r="AI97" s="116">
        <v>0</v>
      </c>
      <c r="AJ97" s="116">
        <v>0</v>
      </c>
      <c r="AK97" s="116">
        <v>0</v>
      </c>
      <c r="AL97" s="116">
        <v>0</v>
      </c>
      <c r="AM97" s="116">
        <v>0</v>
      </c>
      <c r="AN97" s="116">
        <v>0</v>
      </c>
      <c r="AO97" s="116">
        <v>0</v>
      </c>
      <c r="AP97" s="116">
        <v>0</v>
      </c>
      <c r="AQ97" s="116">
        <v>0</v>
      </c>
      <c r="AR97" s="116">
        <v>0</v>
      </c>
      <c r="AS97" s="116">
        <v>0</v>
      </c>
      <c r="AT97" s="116">
        <v>0</v>
      </c>
      <c r="AU97" s="116">
        <v>483.60063331171159</v>
      </c>
      <c r="AV97" s="116">
        <v>1010.1640120391016</v>
      </c>
      <c r="AW97" s="116">
        <v>1345.7273907664917</v>
      </c>
      <c r="AX97" s="116">
        <v>953.43321224447197</v>
      </c>
      <c r="AY97" s="116">
        <v>953.43321224447197</v>
      </c>
    </row>
    <row r="98" spans="1:52" x14ac:dyDescent="0.2">
      <c r="A98" s="115"/>
      <c r="B98" s="136">
        <v>4</v>
      </c>
      <c r="C98" s="112">
        <v>0</v>
      </c>
      <c r="D98" s="116">
        <v>0</v>
      </c>
      <c r="E98" s="116">
        <v>0</v>
      </c>
      <c r="F98" s="116">
        <v>1264.6341217361146</v>
      </c>
      <c r="G98" s="116">
        <v>845.73159878263141</v>
      </c>
      <c r="H98" s="116">
        <v>117.68472096744927</v>
      </c>
      <c r="I98" s="116">
        <v>0</v>
      </c>
      <c r="J98" s="116">
        <v>0</v>
      </c>
      <c r="K98" s="116">
        <v>0</v>
      </c>
      <c r="L98" s="116">
        <v>0</v>
      </c>
      <c r="M98" s="116">
        <v>0</v>
      </c>
      <c r="N98" s="116">
        <v>0</v>
      </c>
      <c r="O98" s="116">
        <v>0</v>
      </c>
      <c r="P98" s="116">
        <v>332.11551760854991</v>
      </c>
      <c r="Q98" s="116">
        <v>1021.1132744786619</v>
      </c>
      <c r="R98" s="116">
        <v>944.35830190808838</v>
      </c>
      <c r="S98" s="116">
        <v>1275.971247567169</v>
      </c>
      <c r="T98" s="116">
        <v>1543.6129456590807</v>
      </c>
      <c r="U98" s="116">
        <v>1543.6129456590807</v>
      </c>
      <c r="V98" s="116">
        <v>1543.6129456590807</v>
      </c>
      <c r="W98" s="116">
        <v>496.06553959333922</v>
      </c>
      <c r="X98" s="116">
        <v>0</v>
      </c>
      <c r="Y98" s="116">
        <v>0</v>
      </c>
      <c r="Z98" s="116">
        <v>0</v>
      </c>
      <c r="AA98" s="116">
        <v>0</v>
      </c>
      <c r="AB98" s="116">
        <v>0</v>
      </c>
      <c r="AC98" s="116">
        <v>0</v>
      </c>
      <c r="AD98" s="116">
        <v>0</v>
      </c>
      <c r="AE98" s="116">
        <v>0</v>
      </c>
      <c r="AF98" s="116">
        <v>0</v>
      </c>
      <c r="AG98" s="116">
        <v>0</v>
      </c>
      <c r="AH98" s="116">
        <v>0</v>
      </c>
      <c r="AI98" s="116">
        <v>0</v>
      </c>
      <c r="AJ98" s="116">
        <v>0</v>
      </c>
      <c r="AK98" s="116">
        <v>0</v>
      </c>
      <c r="AL98" s="116">
        <v>0</v>
      </c>
      <c r="AM98" s="116">
        <v>0</v>
      </c>
      <c r="AN98" s="116">
        <v>0</v>
      </c>
      <c r="AO98" s="116">
        <v>0</v>
      </c>
      <c r="AP98" s="116">
        <v>0</v>
      </c>
      <c r="AQ98" s="116">
        <v>0</v>
      </c>
      <c r="AR98" s="116">
        <v>0</v>
      </c>
      <c r="AS98" s="116">
        <v>0</v>
      </c>
      <c r="AT98" s="116">
        <v>0</v>
      </c>
      <c r="AU98" s="116">
        <v>0</v>
      </c>
      <c r="AV98" s="116">
        <v>0</v>
      </c>
      <c r="AW98" s="116">
        <v>0</v>
      </c>
      <c r="AX98" s="116">
        <v>354.72739076649168</v>
      </c>
      <c r="AY98" s="116">
        <v>378.16060301096365</v>
      </c>
    </row>
    <row r="99" spans="1:52" x14ac:dyDescent="0.2">
      <c r="A99" s="134"/>
      <c r="B99" s="138" t="s">
        <v>296</v>
      </c>
      <c r="C99" s="131">
        <v>0</v>
      </c>
      <c r="D99" s="131">
        <v>0</v>
      </c>
      <c r="E99" s="131">
        <v>0</v>
      </c>
      <c r="F99" s="131">
        <v>0</v>
      </c>
      <c r="G99" s="131">
        <v>0</v>
      </c>
      <c r="H99" s="131">
        <v>0</v>
      </c>
      <c r="I99" s="131">
        <v>0</v>
      </c>
      <c r="J99" s="131">
        <v>0</v>
      </c>
      <c r="K99" s="131">
        <v>0</v>
      </c>
      <c r="L99" s="131">
        <v>0</v>
      </c>
      <c r="M99" s="131">
        <v>0</v>
      </c>
      <c r="N99" s="131">
        <v>0</v>
      </c>
      <c r="O99" s="131">
        <v>0</v>
      </c>
      <c r="P99" s="131">
        <v>0</v>
      </c>
      <c r="Q99" s="131">
        <v>0</v>
      </c>
      <c r="R99" s="131">
        <v>8.1132744786618787</v>
      </c>
      <c r="S99" s="131">
        <v>0</v>
      </c>
      <c r="T99" s="131">
        <v>234.97124756716903</v>
      </c>
      <c r="U99" s="131">
        <v>92.612945659080651</v>
      </c>
      <c r="V99" s="131">
        <v>111.61294565908065</v>
      </c>
      <c r="W99" s="131">
        <v>294.61294565908065</v>
      </c>
      <c r="X99" s="131">
        <v>0</v>
      </c>
      <c r="Y99" s="131">
        <v>0</v>
      </c>
      <c r="Z99" s="131">
        <v>0</v>
      </c>
      <c r="AA99" s="131">
        <v>0</v>
      </c>
      <c r="AB99" s="131">
        <v>0</v>
      </c>
      <c r="AC99" s="131">
        <v>0</v>
      </c>
      <c r="AD99" s="131">
        <v>0</v>
      </c>
      <c r="AE99" s="131">
        <v>0</v>
      </c>
      <c r="AF99" s="131">
        <v>0</v>
      </c>
      <c r="AG99" s="131">
        <v>0</v>
      </c>
      <c r="AH99" s="131">
        <v>0</v>
      </c>
      <c r="AI99" s="131">
        <v>0</v>
      </c>
      <c r="AJ99" s="131">
        <v>0</v>
      </c>
      <c r="AK99" s="131">
        <v>0</v>
      </c>
      <c r="AL99" s="131">
        <v>0</v>
      </c>
      <c r="AM99" s="131">
        <v>0</v>
      </c>
      <c r="AN99" s="131">
        <v>0</v>
      </c>
      <c r="AO99" s="131">
        <v>0</v>
      </c>
      <c r="AP99" s="131">
        <v>0</v>
      </c>
      <c r="AQ99" s="131">
        <v>0</v>
      </c>
      <c r="AR99" s="131">
        <v>0</v>
      </c>
      <c r="AS99" s="131">
        <v>0</v>
      </c>
      <c r="AT99" s="131">
        <v>0</v>
      </c>
      <c r="AU99" s="131">
        <v>0</v>
      </c>
      <c r="AV99" s="131">
        <v>0</v>
      </c>
      <c r="AW99" s="131">
        <v>0</v>
      </c>
      <c r="AX99" s="131">
        <v>0</v>
      </c>
      <c r="AY99" s="131">
        <v>0</v>
      </c>
      <c r="AZ99" s="113">
        <f>SUM($D99:$AY99)</f>
        <v>741.92335902307286</v>
      </c>
    </row>
    <row r="100" spans="1:52" x14ac:dyDescent="0.2">
      <c r="A100" s="137" t="s">
        <v>133</v>
      </c>
      <c r="B100" s="125">
        <v>1</v>
      </c>
      <c r="C100" s="112">
        <v>77.180770280936798</v>
      </c>
      <c r="D100" s="112">
        <v>0</v>
      </c>
      <c r="E100" s="112">
        <v>136.424845614568</v>
      </c>
      <c r="F100" s="112">
        <v>0</v>
      </c>
      <c r="G100" s="112">
        <v>51.214008961348867</v>
      </c>
      <c r="H100" s="112">
        <v>104.62464857256899</v>
      </c>
      <c r="I100" s="112">
        <v>104.62464857256899</v>
      </c>
      <c r="J100" s="112">
        <v>136.424845614568</v>
      </c>
      <c r="K100" s="112">
        <v>51.214008961348867</v>
      </c>
      <c r="L100" s="112">
        <v>0</v>
      </c>
      <c r="M100" s="112">
        <v>136.424845614568</v>
      </c>
      <c r="N100" s="112">
        <v>0</v>
      </c>
      <c r="O100" s="112">
        <v>136.424845614568</v>
      </c>
      <c r="P100" s="112">
        <v>0</v>
      </c>
      <c r="Q100" s="112">
        <v>51.214008961348867</v>
      </c>
      <c r="R100" s="112">
        <v>116.964979434236</v>
      </c>
      <c r="S100" s="112">
        <v>51.214008961348867</v>
      </c>
      <c r="T100" s="112">
        <v>0</v>
      </c>
      <c r="U100" s="112">
        <v>116.964979434236</v>
      </c>
      <c r="V100" s="112">
        <v>37.58862984385906</v>
      </c>
      <c r="W100" s="112">
        <v>37.58862984385906</v>
      </c>
      <c r="X100" s="112">
        <v>37.58862984385906</v>
      </c>
      <c r="Y100" s="112">
        <v>37.58862984385906</v>
      </c>
      <c r="Z100" s="112">
        <v>0</v>
      </c>
      <c r="AA100" s="112">
        <v>136.424845614568</v>
      </c>
      <c r="AB100" s="112">
        <v>89.370728255896836</v>
      </c>
      <c r="AC100" s="112">
        <v>89.370728255896836</v>
      </c>
      <c r="AD100" s="112">
        <v>0</v>
      </c>
      <c r="AE100" s="112">
        <v>51.214008961348867</v>
      </c>
      <c r="AF100" s="112">
        <v>0</v>
      </c>
      <c r="AG100" s="112">
        <v>51.214008961348867</v>
      </c>
      <c r="AH100" s="112">
        <v>0</v>
      </c>
      <c r="AI100" s="112">
        <v>109.99626569727445</v>
      </c>
      <c r="AJ100" s="112">
        <v>109.99626569727445</v>
      </c>
      <c r="AK100" s="112">
        <v>109.99626569727445</v>
      </c>
      <c r="AL100" s="112">
        <v>0</v>
      </c>
      <c r="AM100" s="112">
        <v>110.24599252420771</v>
      </c>
      <c r="AN100" s="112">
        <v>110.24599252420771</v>
      </c>
      <c r="AO100" s="112">
        <v>110.24599252420771</v>
      </c>
      <c r="AP100" s="112">
        <v>100.64606516393586</v>
      </c>
      <c r="AQ100" s="112">
        <v>100.64606516393586</v>
      </c>
      <c r="AR100" s="112">
        <v>0</v>
      </c>
      <c r="AS100" s="112">
        <v>100.64606516393586</v>
      </c>
      <c r="AT100" s="112">
        <v>0</v>
      </c>
      <c r="AU100" s="112">
        <v>51.21400896134886</v>
      </c>
      <c r="AV100" s="112">
        <v>0</v>
      </c>
      <c r="AW100" s="112">
        <v>116.20348841876233</v>
      </c>
      <c r="AX100" s="112">
        <v>0</v>
      </c>
      <c r="AY100" s="112">
        <v>51.214008961348874</v>
      </c>
    </row>
    <row r="101" spans="1:52" x14ac:dyDescent="0.2">
      <c r="A101" s="115"/>
      <c r="B101" s="125">
        <v>2</v>
      </c>
      <c r="C101" s="112">
        <v>0</v>
      </c>
      <c r="D101" s="112">
        <v>0</v>
      </c>
      <c r="E101" s="112">
        <v>77.180770280936798</v>
      </c>
      <c r="F101" s="112">
        <v>0</v>
      </c>
      <c r="G101" s="112">
        <v>104.62464857256899</v>
      </c>
      <c r="H101" s="112">
        <v>53.41063961122012</v>
      </c>
      <c r="I101" s="112">
        <v>0</v>
      </c>
      <c r="J101" s="112">
        <v>0</v>
      </c>
      <c r="K101" s="112">
        <v>0</v>
      </c>
      <c r="L101" s="112">
        <v>85.210836653219133</v>
      </c>
      <c r="M101" s="112">
        <v>136.424845614568</v>
      </c>
      <c r="N101" s="112">
        <v>0</v>
      </c>
      <c r="O101" s="112">
        <v>0</v>
      </c>
      <c r="P101" s="112">
        <v>0</v>
      </c>
      <c r="Q101" s="112">
        <v>121.6844569994342</v>
      </c>
      <c r="R101" s="112">
        <v>70.470448038085337</v>
      </c>
      <c r="S101" s="112">
        <v>0</v>
      </c>
      <c r="T101" s="112">
        <v>65.750970472887133</v>
      </c>
      <c r="U101" s="112">
        <v>0</v>
      </c>
      <c r="V101" s="112">
        <v>0</v>
      </c>
      <c r="W101" s="112">
        <v>7.1054273576010019E-15</v>
      </c>
      <c r="X101" s="112">
        <v>0</v>
      </c>
      <c r="Y101" s="112">
        <v>0</v>
      </c>
      <c r="Z101" s="112">
        <v>0</v>
      </c>
      <c r="AA101" s="112">
        <v>0</v>
      </c>
      <c r="AB101" s="112">
        <v>0</v>
      </c>
      <c r="AC101" s="112">
        <v>0</v>
      </c>
      <c r="AD101" s="112">
        <v>0</v>
      </c>
      <c r="AE101" s="112">
        <v>86.255283449761507</v>
      </c>
      <c r="AF101" s="112">
        <v>1.4210854715202004E-14</v>
      </c>
      <c r="AG101" s="112">
        <v>86.255283449761507</v>
      </c>
      <c r="AH101" s="112">
        <v>1.4210854715202004E-14</v>
      </c>
      <c r="AI101" s="112">
        <v>109.99626569727445</v>
      </c>
      <c r="AJ101" s="112">
        <v>0</v>
      </c>
      <c r="AK101" s="112">
        <v>0</v>
      </c>
      <c r="AL101" s="112">
        <v>0</v>
      </c>
      <c r="AM101" s="112">
        <v>110.24599252420771</v>
      </c>
      <c r="AN101" s="112">
        <v>0</v>
      </c>
      <c r="AO101" s="112">
        <v>0</v>
      </c>
      <c r="AP101" s="112">
        <v>0</v>
      </c>
      <c r="AQ101" s="112">
        <v>0</v>
      </c>
      <c r="AR101" s="112">
        <v>0</v>
      </c>
      <c r="AS101" s="112">
        <v>100.64606516393586</v>
      </c>
      <c r="AT101" s="112">
        <v>0</v>
      </c>
      <c r="AU101" s="112">
        <v>116.20348841876233</v>
      </c>
      <c r="AV101" s="112">
        <v>64.989479457413466</v>
      </c>
      <c r="AW101" s="112">
        <v>0</v>
      </c>
      <c r="AX101" s="112">
        <v>0</v>
      </c>
      <c r="AY101" s="112">
        <v>0</v>
      </c>
    </row>
    <row r="102" spans="1:52" x14ac:dyDescent="0.2">
      <c r="A102" s="115"/>
      <c r="B102" s="126">
        <v>3</v>
      </c>
      <c r="C102" s="112">
        <v>0</v>
      </c>
      <c r="D102" s="112">
        <v>0</v>
      </c>
      <c r="E102" s="112">
        <v>0</v>
      </c>
      <c r="F102" s="112">
        <v>0</v>
      </c>
      <c r="G102" s="112">
        <v>0</v>
      </c>
      <c r="H102" s="112">
        <v>0</v>
      </c>
      <c r="I102" s="112">
        <v>0</v>
      </c>
      <c r="J102" s="112">
        <v>0</v>
      </c>
      <c r="K102" s="112">
        <v>0</v>
      </c>
      <c r="L102" s="112">
        <v>0</v>
      </c>
      <c r="M102" s="112">
        <v>0</v>
      </c>
      <c r="N102" s="112">
        <v>0</v>
      </c>
      <c r="O102" s="112">
        <v>0</v>
      </c>
      <c r="P102" s="112">
        <v>0</v>
      </c>
      <c r="Q102" s="112">
        <v>0</v>
      </c>
      <c r="R102" s="112">
        <v>0</v>
      </c>
      <c r="S102" s="112">
        <v>0</v>
      </c>
      <c r="T102" s="112">
        <v>0</v>
      </c>
      <c r="U102" s="112">
        <v>0</v>
      </c>
      <c r="V102" s="112">
        <v>116.964979434236</v>
      </c>
      <c r="W102" s="112">
        <v>0</v>
      </c>
      <c r="X102" s="112">
        <v>0</v>
      </c>
      <c r="Y102" s="112">
        <v>0</v>
      </c>
      <c r="Z102" s="112">
        <v>0</v>
      </c>
      <c r="AA102" s="112">
        <v>0</v>
      </c>
      <c r="AB102" s="112">
        <v>0</v>
      </c>
      <c r="AC102" s="112">
        <v>0</v>
      </c>
      <c r="AD102" s="112">
        <v>0</v>
      </c>
      <c r="AE102" s="112">
        <v>0</v>
      </c>
      <c r="AF102" s="112">
        <v>0</v>
      </c>
      <c r="AG102" s="112">
        <v>35.04127448841264</v>
      </c>
      <c r="AH102" s="112">
        <v>0</v>
      </c>
      <c r="AI102" s="112">
        <v>35.04127448841264</v>
      </c>
      <c r="AJ102" s="112">
        <v>0</v>
      </c>
      <c r="AK102" s="112">
        <v>0</v>
      </c>
      <c r="AL102" s="112">
        <v>0</v>
      </c>
      <c r="AM102" s="112">
        <v>0</v>
      </c>
      <c r="AN102" s="112">
        <v>0</v>
      </c>
      <c r="AO102" s="112">
        <v>0</v>
      </c>
      <c r="AP102" s="112">
        <v>0</v>
      </c>
      <c r="AQ102" s="112">
        <v>0</v>
      </c>
      <c r="AR102" s="112">
        <v>0</v>
      </c>
      <c r="AS102" s="112">
        <v>0</v>
      </c>
      <c r="AT102" s="112">
        <v>0</v>
      </c>
      <c r="AU102" s="112">
        <v>0</v>
      </c>
      <c r="AV102" s="112">
        <v>0</v>
      </c>
      <c r="AW102" s="112">
        <v>0</v>
      </c>
      <c r="AX102" s="112">
        <v>116.20348841876233</v>
      </c>
      <c r="AY102" s="112">
        <v>0</v>
      </c>
    </row>
    <row r="103" spans="1:52" x14ac:dyDescent="0.2">
      <c r="A103" s="115"/>
      <c r="B103" s="126">
        <v>4</v>
      </c>
      <c r="C103" s="112">
        <v>0</v>
      </c>
      <c r="D103" s="112">
        <v>0</v>
      </c>
      <c r="E103" s="112">
        <v>0</v>
      </c>
      <c r="F103" s="112">
        <v>0</v>
      </c>
      <c r="G103" s="112">
        <v>0</v>
      </c>
      <c r="H103" s="112">
        <v>0</v>
      </c>
      <c r="I103" s="112">
        <v>0</v>
      </c>
      <c r="J103" s="112">
        <v>0</v>
      </c>
      <c r="K103" s="112">
        <v>0</v>
      </c>
      <c r="L103" s="112">
        <v>0</v>
      </c>
      <c r="M103" s="112">
        <v>0</v>
      </c>
      <c r="N103" s="112">
        <v>0</v>
      </c>
      <c r="O103" s="112">
        <v>0</v>
      </c>
      <c r="P103" s="112">
        <v>0</v>
      </c>
      <c r="Q103" s="112">
        <v>0</v>
      </c>
      <c r="R103" s="112">
        <v>0</v>
      </c>
      <c r="S103" s="112">
        <v>0</v>
      </c>
      <c r="T103" s="112">
        <v>0</v>
      </c>
      <c r="U103" s="112">
        <v>0</v>
      </c>
      <c r="V103" s="112">
        <v>0</v>
      </c>
      <c r="W103" s="112">
        <v>0</v>
      </c>
      <c r="X103" s="112">
        <v>0</v>
      </c>
      <c r="Y103" s="112">
        <v>0</v>
      </c>
      <c r="Z103" s="112">
        <v>0</v>
      </c>
      <c r="AA103" s="112">
        <v>0</v>
      </c>
      <c r="AB103" s="112">
        <v>0</v>
      </c>
      <c r="AC103" s="112">
        <v>0</v>
      </c>
      <c r="AD103" s="112">
        <v>0</v>
      </c>
      <c r="AE103" s="112">
        <v>0</v>
      </c>
      <c r="AF103" s="112">
        <v>0</v>
      </c>
      <c r="AG103" s="112">
        <v>0</v>
      </c>
      <c r="AH103" s="112">
        <v>0</v>
      </c>
      <c r="AI103" s="112">
        <v>0</v>
      </c>
      <c r="AJ103" s="112">
        <v>0</v>
      </c>
      <c r="AK103" s="112">
        <v>0</v>
      </c>
      <c r="AL103" s="112">
        <v>0</v>
      </c>
      <c r="AM103" s="112">
        <v>0</v>
      </c>
      <c r="AN103" s="112">
        <v>0</v>
      </c>
      <c r="AO103" s="112">
        <v>0</v>
      </c>
      <c r="AP103" s="112">
        <v>0</v>
      </c>
      <c r="AQ103" s="112">
        <v>0</v>
      </c>
      <c r="AR103" s="112">
        <v>0</v>
      </c>
      <c r="AS103" s="112">
        <v>0</v>
      </c>
      <c r="AT103" s="112">
        <v>0</v>
      </c>
      <c r="AU103" s="112">
        <v>0</v>
      </c>
      <c r="AV103" s="112">
        <v>0</v>
      </c>
      <c r="AW103" s="112">
        <v>0</v>
      </c>
      <c r="AX103" s="112">
        <v>0</v>
      </c>
      <c r="AY103" s="112">
        <v>0</v>
      </c>
    </row>
    <row r="104" spans="1:52" x14ac:dyDescent="0.2">
      <c r="A104" s="115"/>
      <c r="B104" s="133">
        <v>5</v>
      </c>
      <c r="C104" s="112">
        <v>0</v>
      </c>
      <c r="D104" s="112">
        <v>0</v>
      </c>
      <c r="E104" s="112">
        <v>0</v>
      </c>
      <c r="F104" s="112">
        <v>0</v>
      </c>
      <c r="G104" s="112">
        <v>0</v>
      </c>
      <c r="H104" s="112">
        <v>0</v>
      </c>
      <c r="I104" s="112">
        <v>0</v>
      </c>
      <c r="J104" s="112">
        <v>0</v>
      </c>
      <c r="K104" s="112">
        <v>0</v>
      </c>
      <c r="L104" s="112">
        <v>0</v>
      </c>
      <c r="M104" s="112">
        <v>0</v>
      </c>
      <c r="N104" s="112">
        <v>0</v>
      </c>
      <c r="O104" s="112">
        <v>0</v>
      </c>
      <c r="P104" s="112">
        <v>0</v>
      </c>
      <c r="Q104" s="112">
        <v>0</v>
      </c>
      <c r="R104" s="112">
        <v>0</v>
      </c>
      <c r="S104" s="112">
        <v>0</v>
      </c>
      <c r="T104" s="112">
        <v>0</v>
      </c>
      <c r="U104" s="112">
        <v>0</v>
      </c>
      <c r="V104" s="112">
        <v>0</v>
      </c>
      <c r="W104" s="112">
        <v>0</v>
      </c>
      <c r="X104" s="112">
        <v>0</v>
      </c>
      <c r="Y104" s="112">
        <v>0</v>
      </c>
      <c r="Z104" s="112">
        <v>0</v>
      </c>
      <c r="AA104" s="112">
        <v>0</v>
      </c>
      <c r="AB104" s="112">
        <v>0</v>
      </c>
      <c r="AC104" s="112">
        <v>0</v>
      </c>
      <c r="AD104" s="112">
        <v>0</v>
      </c>
      <c r="AE104" s="112">
        <v>0</v>
      </c>
      <c r="AF104" s="112">
        <v>0</v>
      </c>
      <c r="AG104" s="112">
        <v>0</v>
      </c>
      <c r="AH104" s="112">
        <v>0</v>
      </c>
      <c r="AI104" s="112">
        <v>0</v>
      </c>
      <c r="AJ104" s="112">
        <v>0</v>
      </c>
      <c r="AK104" s="112">
        <v>0</v>
      </c>
      <c r="AL104" s="112">
        <v>0</v>
      </c>
      <c r="AM104" s="112">
        <v>0</v>
      </c>
      <c r="AN104" s="112">
        <v>0</v>
      </c>
      <c r="AO104" s="112">
        <v>0</v>
      </c>
      <c r="AP104" s="112">
        <v>0</v>
      </c>
      <c r="AQ104" s="112">
        <v>0</v>
      </c>
      <c r="AR104" s="112">
        <v>0</v>
      </c>
      <c r="AS104" s="112">
        <v>0</v>
      </c>
      <c r="AT104" s="112">
        <v>0</v>
      </c>
      <c r="AU104" s="112">
        <v>0</v>
      </c>
      <c r="AV104" s="112">
        <v>0</v>
      </c>
      <c r="AW104" s="112">
        <v>0</v>
      </c>
      <c r="AX104" s="112">
        <v>0</v>
      </c>
      <c r="AY104" s="112">
        <v>0</v>
      </c>
    </row>
    <row r="105" spans="1:52" x14ac:dyDescent="0.2">
      <c r="A105" s="115"/>
      <c r="B105" s="133">
        <v>6</v>
      </c>
      <c r="C105" s="112">
        <v>0</v>
      </c>
      <c r="D105" s="112">
        <v>0</v>
      </c>
      <c r="E105" s="112">
        <v>0</v>
      </c>
      <c r="F105" s="112">
        <v>0</v>
      </c>
      <c r="G105" s="112">
        <v>0</v>
      </c>
      <c r="H105" s="112">
        <v>0</v>
      </c>
      <c r="I105" s="112">
        <v>0</v>
      </c>
      <c r="J105" s="112">
        <v>0</v>
      </c>
      <c r="K105" s="112">
        <v>0</v>
      </c>
      <c r="L105" s="112">
        <v>0</v>
      </c>
      <c r="M105" s="112">
        <v>0</v>
      </c>
      <c r="N105" s="112">
        <v>0</v>
      </c>
      <c r="O105" s="112">
        <v>0</v>
      </c>
      <c r="P105" s="112">
        <v>0</v>
      </c>
      <c r="Q105" s="112">
        <v>0</v>
      </c>
      <c r="R105" s="112">
        <v>0</v>
      </c>
      <c r="S105" s="112">
        <v>0</v>
      </c>
      <c r="T105" s="112">
        <v>0</v>
      </c>
      <c r="U105" s="112">
        <v>0</v>
      </c>
      <c r="V105" s="112">
        <v>0</v>
      </c>
      <c r="W105" s="112">
        <v>0</v>
      </c>
      <c r="X105" s="112">
        <v>0</v>
      </c>
      <c r="Y105" s="112">
        <v>0</v>
      </c>
      <c r="Z105" s="112">
        <v>0</v>
      </c>
      <c r="AA105" s="112">
        <v>0</v>
      </c>
      <c r="AB105" s="112">
        <v>0</v>
      </c>
      <c r="AC105" s="112">
        <v>0</v>
      </c>
      <c r="AD105" s="112">
        <v>0</v>
      </c>
      <c r="AE105" s="112">
        <v>0</v>
      </c>
      <c r="AF105" s="112">
        <v>0</v>
      </c>
      <c r="AG105" s="112">
        <v>0</v>
      </c>
      <c r="AH105" s="112">
        <v>0</v>
      </c>
      <c r="AI105" s="112">
        <v>0</v>
      </c>
      <c r="AJ105" s="112">
        <v>0</v>
      </c>
      <c r="AK105" s="112">
        <v>0</v>
      </c>
      <c r="AL105" s="112">
        <v>0</v>
      </c>
      <c r="AM105" s="112">
        <v>0</v>
      </c>
      <c r="AN105" s="112">
        <v>0</v>
      </c>
      <c r="AO105" s="112">
        <v>0</v>
      </c>
      <c r="AP105" s="112">
        <v>0</v>
      </c>
      <c r="AQ105" s="112">
        <v>0</v>
      </c>
      <c r="AR105" s="112">
        <v>0</v>
      </c>
      <c r="AS105" s="112">
        <v>0</v>
      </c>
      <c r="AT105" s="112">
        <v>0</v>
      </c>
      <c r="AU105" s="112">
        <v>0</v>
      </c>
      <c r="AV105" s="112">
        <v>0</v>
      </c>
      <c r="AW105" s="112">
        <v>0</v>
      </c>
      <c r="AX105" s="112">
        <v>0</v>
      </c>
      <c r="AY105" s="112">
        <v>0</v>
      </c>
    </row>
    <row r="106" spans="1:52" x14ac:dyDescent="0.2">
      <c r="A106" s="115"/>
      <c r="B106" s="136">
        <v>7</v>
      </c>
      <c r="C106" s="112">
        <v>0</v>
      </c>
      <c r="D106" s="112">
        <v>0</v>
      </c>
      <c r="E106" s="112">
        <v>0</v>
      </c>
      <c r="F106" s="112">
        <v>0</v>
      </c>
      <c r="G106" s="112">
        <v>0</v>
      </c>
      <c r="H106" s="112">
        <v>0</v>
      </c>
      <c r="I106" s="112">
        <v>0</v>
      </c>
      <c r="J106" s="112">
        <v>0</v>
      </c>
      <c r="K106" s="112">
        <v>0</v>
      </c>
      <c r="L106" s="112">
        <v>0</v>
      </c>
      <c r="M106" s="112">
        <v>0</v>
      </c>
      <c r="N106" s="112">
        <v>0</v>
      </c>
      <c r="O106" s="112">
        <v>0</v>
      </c>
      <c r="P106" s="112">
        <v>0</v>
      </c>
      <c r="Q106" s="112">
        <v>0</v>
      </c>
      <c r="R106" s="112">
        <v>0</v>
      </c>
      <c r="S106" s="112">
        <v>0</v>
      </c>
      <c r="T106" s="112">
        <v>0</v>
      </c>
      <c r="U106" s="112">
        <v>0</v>
      </c>
      <c r="V106" s="112">
        <v>0</v>
      </c>
      <c r="W106" s="112">
        <v>0</v>
      </c>
      <c r="X106" s="112">
        <v>0</v>
      </c>
      <c r="Y106" s="112">
        <v>0</v>
      </c>
      <c r="Z106" s="112">
        <v>0</v>
      </c>
      <c r="AA106" s="112">
        <v>0</v>
      </c>
      <c r="AB106" s="112">
        <v>0</v>
      </c>
      <c r="AC106" s="112">
        <v>0</v>
      </c>
      <c r="AD106" s="112">
        <v>0</v>
      </c>
      <c r="AE106" s="112">
        <v>0</v>
      </c>
      <c r="AF106" s="112">
        <v>0</v>
      </c>
      <c r="AG106" s="112">
        <v>0</v>
      </c>
      <c r="AH106" s="112">
        <v>0</v>
      </c>
      <c r="AI106" s="112">
        <v>0</v>
      </c>
      <c r="AJ106" s="112">
        <v>0</v>
      </c>
      <c r="AK106" s="112">
        <v>0</v>
      </c>
      <c r="AL106" s="112">
        <v>0</v>
      </c>
      <c r="AM106" s="112">
        <v>0</v>
      </c>
      <c r="AN106" s="112">
        <v>0</v>
      </c>
      <c r="AO106" s="112">
        <v>0</v>
      </c>
      <c r="AP106" s="112">
        <v>0</v>
      </c>
      <c r="AQ106" s="112">
        <v>0</v>
      </c>
      <c r="AR106" s="112">
        <v>0</v>
      </c>
      <c r="AS106" s="112">
        <v>0</v>
      </c>
      <c r="AT106" s="112">
        <v>0</v>
      </c>
      <c r="AU106" s="112">
        <v>0</v>
      </c>
      <c r="AV106" s="112">
        <v>0</v>
      </c>
      <c r="AW106" s="112">
        <v>0</v>
      </c>
      <c r="AX106" s="112">
        <v>0</v>
      </c>
      <c r="AY106" s="112">
        <v>0</v>
      </c>
    </row>
    <row r="107" spans="1:52" x14ac:dyDescent="0.2">
      <c r="A107" s="115"/>
      <c r="B107" s="136">
        <v>8</v>
      </c>
      <c r="C107" s="112">
        <v>0</v>
      </c>
      <c r="D107" s="112">
        <v>0</v>
      </c>
      <c r="E107" s="112">
        <v>0</v>
      </c>
      <c r="F107" s="112">
        <v>0</v>
      </c>
      <c r="G107" s="112">
        <v>0</v>
      </c>
      <c r="H107" s="112">
        <v>0</v>
      </c>
      <c r="I107" s="112">
        <v>0</v>
      </c>
      <c r="J107" s="112">
        <v>0</v>
      </c>
      <c r="K107" s="112">
        <v>0</v>
      </c>
      <c r="L107" s="112">
        <v>0</v>
      </c>
      <c r="M107" s="112">
        <v>0</v>
      </c>
      <c r="N107" s="112">
        <v>0</v>
      </c>
      <c r="O107" s="112">
        <v>0</v>
      </c>
      <c r="P107" s="112">
        <v>0</v>
      </c>
      <c r="Q107" s="112">
        <v>0</v>
      </c>
      <c r="R107" s="112">
        <v>0</v>
      </c>
      <c r="S107" s="112">
        <v>0</v>
      </c>
      <c r="T107" s="112">
        <v>0</v>
      </c>
      <c r="U107" s="112">
        <v>0</v>
      </c>
      <c r="V107" s="112">
        <v>0</v>
      </c>
      <c r="W107" s="112">
        <v>0</v>
      </c>
      <c r="X107" s="112">
        <v>0</v>
      </c>
      <c r="Y107" s="112">
        <v>0</v>
      </c>
      <c r="Z107" s="112">
        <v>0</v>
      </c>
      <c r="AA107" s="112">
        <v>0</v>
      </c>
      <c r="AB107" s="112">
        <v>0</v>
      </c>
      <c r="AC107" s="112">
        <v>0</v>
      </c>
      <c r="AD107" s="112">
        <v>0</v>
      </c>
      <c r="AE107" s="112">
        <v>0</v>
      </c>
      <c r="AF107" s="112">
        <v>0</v>
      </c>
      <c r="AG107" s="112">
        <v>0</v>
      </c>
      <c r="AH107" s="112">
        <v>0</v>
      </c>
      <c r="AI107" s="112">
        <v>0</v>
      </c>
      <c r="AJ107" s="112">
        <v>0</v>
      </c>
      <c r="AK107" s="112">
        <v>0</v>
      </c>
      <c r="AL107" s="112">
        <v>0</v>
      </c>
      <c r="AM107" s="112">
        <v>0</v>
      </c>
      <c r="AN107" s="112">
        <v>0</v>
      </c>
      <c r="AO107" s="112">
        <v>0</v>
      </c>
      <c r="AP107" s="112">
        <v>0</v>
      </c>
      <c r="AQ107" s="112">
        <v>0</v>
      </c>
      <c r="AR107" s="112">
        <v>0</v>
      </c>
      <c r="AS107" s="112">
        <v>0</v>
      </c>
      <c r="AT107" s="112">
        <v>0</v>
      </c>
      <c r="AU107" s="112">
        <v>0</v>
      </c>
      <c r="AV107" s="112">
        <v>0</v>
      </c>
      <c r="AW107" s="112">
        <v>0</v>
      </c>
      <c r="AX107" s="112">
        <v>0</v>
      </c>
      <c r="AY107" s="112">
        <v>0</v>
      </c>
    </row>
    <row r="108" spans="1:52" x14ac:dyDescent="0.2">
      <c r="A108" s="134"/>
      <c r="B108" s="138" t="s">
        <v>296</v>
      </c>
      <c r="C108" s="120">
        <v>0</v>
      </c>
      <c r="D108" s="131">
        <v>0</v>
      </c>
      <c r="E108" s="131">
        <v>0</v>
      </c>
      <c r="F108" s="131">
        <v>0</v>
      </c>
      <c r="G108" s="131">
        <v>0</v>
      </c>
      <c r="H108" s="131">
        <v>0</v>
      </c>
      <c r="I108" s="131">
        <v>0</v>
      </c>
      <c r="J108" s="131">
        <v>0</v>
      </c>
      <c r="K108" s="131">
        <v>0</v>
      </c>
      <c r="L108" s="131">
        <v>0</v>
      </c>
      <c r="M108" s="131">
        <v>0</v>
      </c>
      <c r="N108" s="131">
        <v>0</v>
      </c>
      <c r="O108" s="131">
        <v>0</v>
      </c>
      <c r="P108" s="131">
        <v>0</v>
      </c>
      <c r="Q108" s="131">
        <v>0</v>
      </c>
      <c r="R108" s="131">
        <v>0</v>
      </c>
      <c r="S108" s="131">
        <v>0</v>
      </c>
      <c r="T108" s="131">
        <v>0</v>
      </c>
      <c r="U108" s="131">
        <v>0</v>
      </c>
      <c r="V108" s="131">
        <v>0</v>
      </c>
      <c r="W108" s="131">
        <v>0</v>
      </c>
      <c r="X108" s="131">
        <v>0</v>
      </c>
      <c r="Y108" s="131">
        <v>0</v>
      </c>
      <c r="Z108" s="131">
        <v>0</v>
      </c>
      <c r="AA108" s="131">
        <v>0</v>
      </c>
      <c r="AB108" s="131">
        <v>0</v>
      </c>
      <c r="AC108" s="131">
        <v>0</v>
      </c>
      <c r="AD108" s="131">
        <v>0</v>
      </c>
      <c r="AE108" s="131">
        <v>0</v>
      </c>
      <c r="AF108" s="131">
        <v>0</v>
      </c>
      <c r="AG108" s="131">
        <v>0</v>
      </c>
      <c r="AH108" s="131">
        <v>0</v>
      </c>
      <c r="AI108" s="131">
        <v>0</v>
      </c>
      <c r="AJ108" s="131">
        <v>0</v>
      </c>
      <c r="AK108" s="131">
        <v>0</v>
      </c>
      <c r="AL108" s="131">
        <v>0</v>
      </c>
      <c r="AM108" s="131">
        <v>0</v>
      </c>
      <c r="AN108" s="131">
        <v>0</v>
      </c>
      <c r="AO108" s="131">
        <v>0</v>
      </c>
      <c r="AP108" s="131">
        <v>0</v>
      </c>
      <c r="AQ108" s="131">
        <v>0</v>
      </c>
      <c r="AR108" s="131">
        <v>0</v>
      </c>
      <c r="AS108" s="131">
        <v>0</v>
      </c>
      <c r="AT108" s="131">
        <v>0</v>
      </c>
      <c r="AU108" s="131">
        <v>0</v>
      </c>
      <c r="AV108" s="131">
        <v>0</v>
      </c>
      <c r="AW108" s="131">
        <v>0</v>
      </c>
      <c r="AX108" s="131">
        <v>0</v>
      </c>
      <c r="AY108" s="131">
        <v>0</v>
      </c>
      <c r="AZ108" s="113">
        <f>SUM($D108:$AY108)</f>
        <v>0</v>
      </c>
    </row>
    <row r="109" spans="1:52" x14ac:dyDescent="0.2">
      <c r="A109" s="137" t="s">
        <v>134</v>
      </c>
      <c r="B109" s="125">
        <v>1</v>
      </c>
      <c r="C109" s="112">
        <v>268.71027317391963</v>
      </c>
      <c r="D109" s="112">
        <v>269.4830393728119</v>
      </c>
      <c r="E109" s="112">
        <v>1665.9012262948927</v>
      </c>
      <c r="F109" s="112">
        <v>1791.9228737449944</v>
      </c>
      <c r="G109" s="112">
        <v>1439.8276844962761</v>
      </c>
      <c r="H109" s="112">
        <v>1415.7841303549362</v>
      </c>
      <c r="I109" s="112">
        <v>1428.4578604760441</v>
      </c>
      <c r="J109" s="112">
        <v>1219.7735837851251</v>
      </c>
      <c r="K109" s="112">
        <v>1172.2083481937145</v>
      </c>
      <c r="L109" s="112">
        <v>1017.0673782801863</v>
      </c>
      <c r="M109" s="112">
        <v>900.03430260323535</v>
      </c>
      <c r="N109" s="112">
        <v>886.53004245081252</v>
      </c>
      <c r="O109" s="112">
        <v>236.14334974734854</v>
      </c>
      <c r="P109" s="112">
        <v>362.54701590489344</v>
      </c>
      <c r="Q109" s="112">
        <v>104.65593885084733</v>
      </c>
      <c r="R109" s="112">
        <v>585.91339881243323</v>
      </c>
      <c r="S109" s="112">
        <v>626.37657547352092</v>
      </c>
      <c r="T109" s="112">
        <v>291.32556787825098</v>
      </c>
      <c r="U109" s="112">
        <v>577.95917667501828</v>
      </c>
      <c r="V109" s="112">
        <v>771.66855963298542</v>
      </c>
      <c r="W109" s="112">
        <v>996.75786110770855</v>
      </c>
      <c r="X109" s="112">
        <v>715.34573053621784</v>
      </c>
      <c r="Y109" s="112">
        <v>883.69919945585423</v>
      </c>
      <c r="Z109" s="112">
        <v>956.61149752273207</v>
      </c>
      <c r="AA109" s="112">
        <v>881.81343423454268</v>
      </c>
      <c r="AB109" s="112">
        <v>1193.1268954256627</v>
      </c>
      <c r="AC109" s="112">
        <v>873.89277307071882</v>
      </c>
      <c r="AD109" s="112">
        <v>592.38321016484508</v>
      </c>
      <c r="AE109" s="112">
        <v>268.8073581669712</v>
      </c>
      <c r="AF109" s="112">
        <v>690.67591232698408</v>
      </c>
      <c r="AG109" s="112">
        <v>433.49134299883463</v>
      </c>
      <c r="AH109" s="112">
        <v>1013.0144220720771</v>
      </c>
      <c r="AI109" s="112">
        <v>548.42963396444372</v>
      </c>
      <c r="AJ109" s="112">
        <v>1290.2387243876217</v>
      </c>
      <c r="AK109" s="112">
        <v>1708.4438220383231</v>
      </c>
      <c r="AL109" s="112">
        <v>1713.4332768592412</v>
      </c>
      <c r="AM109" s="112">
        <v>1318.9382338395476</v>
      </c>
      <c r="AN109" s="112">
        <v>2069.1310994554319</v>
      </c>
      <c r="AO109" s="112">
        <v>2104.5618576315505</v>
      </c>
      <c r="AP109" s="112">
        <v>1778.2837623516471</v>
      </c>
      <c r="AQ109" s="112">
        <v>1738.7239649633664</v>
      </c>
      <c r="AR109" s="112">
        <v>1738.7239649633664</v>
      </c>
      <c r="AS109" s="112">
        <v>605.0616288740091</v>
      </c>
      <c r="AT109" s="112">
        <v>1444.1815394945447</v>
      </c>
      <c r="AU109" s="112">
        <v>605.0616288740091</v>
      </c>
      <c r="AV109" s="112">
        <v>1302.9694666473413</v>
      </c>
      <c r="AW109" s="112">
        <v>993.90288913087443</v>
      </c>
      <c r="AX109" s="112">
        <v>1157.8086119290097</v>
      </c>
      <c r="AY109" s="112">
        <v>1157.8086119290097</v>
      </c>
    </row>
    <row r="110" spans="1:52" x14ac:dyDescent="0.2">
      <c r="A110" s="115"/>
      <c r="B110" s="125">
        <v>2</v>
      </c>
      <c r="C110" s="112">
        <v>0</v>
      </c>
      <c r="D110" s="112">
        <v>0</v>
      </c>
      <c r="E110" s="112">
        <v>0</v>
      </c>
      <c r="F110" s="112">
        <v>1050.7123744051755</v>
      </c>
      <c r="G110" s="112">
        <v>1791.9228737449944</v>
      </c>
      <c r="H110" s="112">
        <v>1439.8276844962761</v>
      </c>
      <c r="I110" s="112">
        <v>1415.7841303549362</v>
      </c>
      <c r="J110" s="112">
        <v>1428.4578604760441</v>
      </c>
      <c r="K110" s="112">
        <v>1219.7735837851251</v>
      </c>
      <c r="L110" s="112">
        <v>1172.2083481937145</v>
      </c>
      <c r="M110" s="112">
        <v>1017.0673782801863</v>
      </c>
      <c r="N110" s="112">
        <v>900.03430260323535</v>
      </c>
      <c r="O110" s="112">
        <v>886.53004245081252</v>
      </c>
      <c r="P110" s="112">
        <v>236.14334974734854</v>
      </c>
      <c r="Q110" s="112">
        <v>362.54701590489344</v>
      </c>
      <c r="R110" s="112">
        <v>104.65593885084733</v>
      </c>
      <c r="S110" s="112">
        <v>585.91339881243323</v>
      </c>
      <c r="T110" s="112">
        <v>626.37657547352092</v>
      </c>
      <c r="U110" s="112">
        <v>291.32556787825098</v>
      </c>
      <c r="V110" s="112">
        <v>577.95917667501828</v>
      </c>
      <c r="W110" s="112">
        <v>771.66855963298542</v>
      </c>
      <c r="X110" s="112">
        <v>996.75786110770855</v>
      </c>
      <c r="Y110" s="112">
        <v>715.34573053621784</v>
      </c>
      <c r="Z110" s="112">
        <v>883.69919945585423</v>
      </c>
      <c r="AA110" s="112">
        <v>956.61149752273207</v>
      </c>
      <c r="AB110" s="112">
        <v>881.81343423454268</v>
      </c>
      <c r="AC110" s="112">
        <v>1193.1268954256627</v>
      </c>
      <c r="AD110" s="112">
        <v>873.89277307071882</v>
      </c>
      <c r="AE110" s="112">
        <v>592.38321016484508</v>
      </c>
      <c r="AF110" s="112">
        <v>268.8073581669712</v>
      </c>
      <c r="AG110" s="112">
        <v>690.67591232698408</v>
      </c>
      <c r="AH110" s="112">
        <v>433.49134299883463</v>
      </c>
      <c r="AI110" s="112">
        <v>1013.0144220720771</v>
      </c>
      <c r="AJ110" s="112">
        <v>548.42963396444372</v>
      </c>
      <c r="AK110" s="112">
        <v>1290.2387243876217</v>
      </c>
      <c r="AL110" s="112">
        <v>1708.4438220383231</v>
      </c>
      <c r="AM110" s="112">
        <v>1713.4332768592412</v>
      </c>
      <c r="AN110" s="112">
        <v>1318.9382338395476</v>
      </c>
      <c r="AO110" s="112">
        <v>2069.1310994554319</v>
      </c>
      <c r="AP110" s="112">
        <v>2104.5618576315505</v>
      </c>
      <c r="AQ110" s="112">
        <v>1778.2837623516471</v>
      </c>
      <c r="AR110" s="112">
        <v>1738.7239649633664</v>
      </c>
      <c r="AS110" s="112">
        <v>1738.7239649633664</v>
      </c>
      <c r="AT110" s="112">
        <v>605.0616288740091</v>
      </c>
      <c r="AU110" s="112">
        <v>1444.1815394945447</v>
      </c>
      <c r="AV110" s="112">
        <v>605.0616288740091</v>
      </c>
      <c r="AW110" s="112">
        <v>1302.9694666473413</v>
      </c>
      <c r="AX110" s="112">
        <v>993.90288913087443</v>
      </c>
      <c r="AY110" s="112">
        <v>1157.8086119290097</v>
      </c>
    </row>
    <row r="111" spans="1:52" x14ac:dyDescent="0.2">
      <c r="A111" s="115"/>
      <c r="B111" s="125">
        <v>3</v>
      </c>
      <c r="C111" s="112">
        <v>0</v>
      </c>
      <c r="D111" s="112">
        <v>0</v>
      </c>
      <c r="E111" s="112">
        <v>0</v>
      </c>
      <c r="F111" s="112">
        <v>0</v>
      </c>
      <c r="G111" s="112">
        <v>433.71237440517552</v>
      </c>
      <c r="H111" s="112">
        <v>1524.8692477147356</v>
      </c>
      <c r="I111" s="112">
        <v>1439.8276844962761</v>
      </c>
      <c r="J111" s="112">
        <v>1415.7841303549362</v>
      </c>
      <c r="K111" s="112">
        <v>1428.4578604760441</v>
      </c>
      <c r="L111" s="112">
        <v>1219.7735837851251</v>
      </c>
      <c r="M111" s="112">
        <v>1172.2083481937145</v>
      </c>
      <c r="N111" s="112">
        <v>1017.0673782801863</v>
      </c>
      <c r="O111" s="112">
        <v>900.03430260323535</v>
      </c>
      <c r="P111" s="112">
        <v>886.53004245081252</v>
      </c>
      <c r="Q111" s="112">
        <v>236.14334974734854</v>
      </c>
      <c r="R111" s="112">
        <v>362.54701590489344</v>
      </c>
      <c r="S111" s="112">
        <v>104.65593885084733</v>
      </c>
      <c r="T111" s="112">
        <v>585.91339881243323</v>
      </c>
      <c r="U111" s="112">
        <v>626.37657547352092</v>
      </c>
      <c r="V111" s="112">
        <v>291.32556787825098</v>
      </c>
      <c r="W111" s="112">
        <v>577.95917667501828</v>
      </c>
      <c r="X111" s="112">
        <v>771.66855963298542</v>
      </c>
      <c r="Y111" s="112">
        <v>996.75786110770855</v>
      </c>
      <c r="Z111" s="112">
        <v>715.34573053621784</v>
      </c>
      <c r="AA111" s="112">
        <v>883.69919945585423</v>
      </c>
      <c r="AB111" s="112">
        <v>956.61149752273207</v>
      </c>
      <c r="AC111" s="112">
        <v>881.81343423454268</v>
      </c>
      <c r="AD111" s="112">
        <v>1193.1268954256627</v>
      </c>
      <c r="AE111" s="112">
        <v>873.89277307071882</v>
      </c>
      <c r="AF111" s="112">
        <v>592.38321016484508</v>
      </c>
      <c r="AG111" s="112">
        <v>268.8073581669712</v>
      </c>
      <c r="AH111" s="112">
        <v>690.67591232698408</v>
      </c>
      <c r="AI111" s="112">
        <v>433.49134299883463</v>
      </c>
      <c r="AJ111" s="112">
        <v>1013.0144220720771</v>
      </c>
      <c r="AK111" s="112">
        <v>548.42963396444372</v>
      </c>
      <c r="AL111" s="112">
        <v>1290.2387243876217</v>
      </c>
      <c r="AM111" s="112">
        <v>1708.4438220383231</v>
      </c>
      <c r="AN111" s="112">
        <v>1713.4332768592412</v>
      </c>
      <c r="AO111" s="112">
        <v>1318.9382338395476</v>
      </c>
      <c r="AP111" s="112">
        <v>2069.1310994554319</v>
      </c>
      <c r="AQ111" s="112">
        <v>2104.5618576315505</v>
      </c>
      <c r="AR111" s="112">
        <v>1778.2837623516471</v>
      </c>
      <c r="AS111" s="112">
        <v>1738.7239649633664</v>
      </c>
      <c r="AT111" s="112">
        <v>1738.7239649633664</v>
      </c>
      <c r="AU111" s="112">
        <v>605.0616288740091</v>
      </c>
      <c r="AV111" s="112">
        <v>1444.1815394945447</v>
      </c>
      <c r="AW111" s="112">
        <v>605.0616288740091</v>
      </c>
      <c r="AX111" s="112">
        <v>1302.9694666473413</v>
      </c>
      <c r="AY111" s="112">
        <v>993.90288913087443</v>
      </c>
    </row>
    <row r="112" spans="1:52" x14ac:dyDescent="0.2">
      <c r="A112" s="115"/>
      <c r="B112" s="126">
        <v>4</v>
      </c>
      <c r="C112" s="112">
        <v>0</v>
      </c>
      <c r="D112" s="112">
        <v>0</v>
      </c>
      <c r="E112" s="112">
        <v>0</v>
      </c>
      <c r="F112" s="112">
        <v>0</v>
      </c>
      <c r="G112" s="112">
        <v>0</v>
      </c>
      <c r="H112" s="112">
        <v>0</v>
      </c>
      <c r="I112" s="112">
        <v>918.35316070881947</v>
      </c>
      <c r="J112" s="112">
        <v>1439.8276844962761</v>
      </c>
      <c r="K112" s="112">
        <v>1415.7841303549362</v>
      </c>
      <c r="L112" s="112">
        <v>1428.4578604760441</v>
      </c>
      <c r="M112" s="112">
        <v>1219.7735837851251</v>
      </c>
      <c r="N112" s="112">
        <v>1172.2083481937145</v>
      </c>
      <c r="O112" s="112">
        <v>1017.0673782801863</v>
      </c>
      <c r="P112" s="112">
        <v>900.03430260323535</v>
      </c>
      <c r="Q112" s="112">
        <v>886.53004245081252</v>
      </c>
      <c r="R112" s="112">
        <v>236.14334974734854</v>
      </c>
      <c r="S112" s="112">
        <v>362.54701590489344</v>
      </c>
      <c r="T112" s="112">
        <v>104.65593885084733</v>
      </c>
      <c r="U112" s="112">
        <v>585.91339881243323</v>
      </c>
      <c r="V112" s="112">
        <v>626.37657547352092</v>
      </c>
      <c r="W112" s="112">
        <v>291.32556787825098</v>
      </c>
      <c r="X112" s="112">
        <v>577.95917667501828</v>
      </c>
      <c r="Y112" s="112">
        <v>771.66855963298542</v>
      </c>
      <c r="Z112" s="112">
        <v>996.75786110770855</v>
      </c>
      <c r="AA112" s="112">
        <v>715.34573053621784</v>
      </c>
      <c r="AB112" s="112">
        <v>883.69919945585423</v>
      </c>
      <c r="AC112" s="112">
        <v>956.61149752273207</v>
      </c>
      <c r="AD112" s="112">
        <v>881.81343423454268</v>
      </c>
      <c r="AE112" s="112">
        <v>1193.1268954256627</v>
      </c>
      <c r="AF112" s="112">
        <v>873.89277307071882</v>
      </c>
      <c r="AG112" s="112">
        <v>592.38321016484508</v>
      </c>
      <c r="AH112" s="112">
        <v>268.8073581669712</v>
      </c>
      <c r="AI112" s="112">
        <v>690.67591232698408</v>
      </c>
      <c r="AJ112" s="112">
        <v>433.49134299883463</v>
      </c>
      <c r="AK112" s="112">
        <v>1013.0144220720771</v>
      </c>
      <c r="AL112" s="112">
        <v>548.42963396444372</v>
      </c>
      <c r="AM112" s="112">
        <v>1290.2387243876217</v>
      </c>
      <c r="AN112" s="112">
        <v>1708.4438220383231</v>
      </c>
      <c r="AO112" s="112">
        <v>1713.4332768592412</v>
      </c>
      <c r="AP112" s="112">
        <v>1318.9382338395476</v>
      </c>
      <c r="AQ112" s="112">
        <v>2069.1310994554319</v>
      </c>
      <c r="AR112" s="112">
        <v>2104.5618576315505</v>
      </c>
      <c r="AS112" s="112">
        <v>1778.2837623516471</v>
      </c>
      <c r="AT112" s="112">
        <v>1738.7239649633664</v>
      </c>
      <c r="AU112" s="112">
        <v>1738.7239649633664</v>
      </c>
      <c r="AV112" s="112">
        <v>605.0616288740091</v>
      </c>
      <c r="AW112" s="112">
        <v>1444.1815394945447</v>
      </c>
      <c r="AX112" s="112">
        <v>605.0616288740091</v>
      </c>
      <c r="AY112" s="112">
        <v>1302.9694666473413</v>
      </c>
    </row>
    <row r="113" spans="1:52" x14ac:dyDescent="0.2">
      <c r="A113" s="115"/>
      <c r="B113" s="126">
        <v>5</v>
      </c>
      <c r="C113" s="112">
        <v>0</v>
      </c>
      <c r="D113" s="112">
        <v>0</v>
      </c>
      <c r="E113" s="112">
        <v>0</v>
      </c>
      <c r="F113" s="112">
        <v>0</v>
      </c>
      <c r="G113" s="112">
        <v>0</v>
      </c>
      <c r="H113" s="112">
        <v>0</v>
      </c>
      <c r="I113" s="112">
        <v>0</v>
      </c>
      <c r="J113" s="112">
        <v>403.83381968019876</v>
      </c>
      <c r="K113" s="112">
        <v>1133.2763959583267</v>
      </c>
      <c r="L113" s="112">
        <v>1415.7841303549362</v>
      </c>
      <c r="M113" s="112">
        <v>1428.4578604760441</v>
      </c>
      <c r="N113" s="112">
        <v>1219.7735837851251</v>
      </c>
      <c r="O113" s="112">
        <v>1172.2083481937145</v>
      </c>
      <c r="P113" s="112">
        <v>1017.0673782801863</v>
      </c>
      <c r="Q113" s="112">
        <v>900.03430260323535</v>
      </c>
      <c r="R113" s="112">
        <v>886.53004245081252</v>
      </c>
      <c r="S113" s="112">
        <v>236.14334974734854</v>
      </c>
      <c r="T113" s="112">
        <v>362.54701590489344</v>
      </c>
      <c r="U113" s="112">
        <v>104.65593885084733</v>
      </c>
      <c r="V113" s="112">
        <v>585.91339881243323</v>
      </c>
      <c r="W113" s="112">
        <v>626.37657547352092</v>
      </c>
      <c r="X113" s="112">
        <v>291.32556787825098</v>
      </c>
      <c r="Y113" s="112">
        <v>577.95917667501828</v>
      </c>
      <c r="Z113" s="112">
        <v>771.66855963298542</v>
      </c>
      <c r="AA113" s="112">
        <v>996.75786110770855</v>
      </c>
      <c r="AB113" s="112">
        <v>715.34573053621784</v>
      </c>
      <c r="AC113" s="112">
        <v>883.69919945585423</v>
      </c>
      <c r="AD113" s="112">
        <v>956.61149752273207</v>
      </c>
      <c r="AE113" s="112">
        <v>881.81343423454268</v>
      </c>
      <c r="AF113" s="112">
        <v>1193.1268954256627</v>
      </c>
      <c r="AG113" s="112">
        <v>873.89277307071882</v>
      </c>
      <c r="AH113" s="112">
        <v>592.38321016484508</v>
      </c>
      <c r="AI113" s="112">
        <v>268.8073581669712</v>
      </c>
      <c r="AJ113" s="112">
        <v>690.67591232698408</v>
      </c>
      <c r="AK113" s="112">
        <v>433.49134299883463</v>
      </c>
      <c r="AL113" s="112">
        <v>1013.0144220720771</v>
      </c>
      <c r="AM113" s="112">
        <v>548.42963396444372</v>
      </c>
      <c r="AN113" s="112">
        <v>1290.2387243876217</v>
      </c>
      <c r="AO113" s="112">
        <v>1708.4438220383231</v>
      </c>
      <c r="AP113" s="112">
        <v>1713.4332768592412</v>
      </c>
      <c r="AQ113" s="112">
        <v>1318.9382338395476</v>
      </c>
      <c r="AR113" s="112">
        <v>2069.1310994554319</v>
      </c>
      <c r="AS113" s="112">
        <v>2104.5618576315505</v>
      </c>
      <c r="AT113" s="112">
        <v>1778.2837623516471</v>
      </c>
      <c r="AU113" s="112">
        <v>1738.7239649633664</v>
      </c>
      <c r="AV113" s="112">
        <v>1738.7239649633664</v>
      </c>
      <c r="AW113" s="112">
        <v>605.0616288740091</v>
      </c>
      <c r="AX113" s="112">
        <v>1444.1815394945447</v>
      </c>
      <c r="AY113" s="112">
        <v>605.0616288740091</v>
      </c>
    </row>
    <row r="114" spans="1:52" x14ac:dyDescent="0.2">
      <c r="A114" s="115"/>
      <c r="B114" s="126">
        <v>6</v>
      </c>
      <c r="C114" s="112">
        <v>0</v>
      </c>
      <c r="D114" s="112">
        <v>0</v>
      </c>
      <c r="E114" s="112">
        <v>0</v>
      </c>
      <c r="F114" s="112">
        <v>0</v>
      </c>
      <c r="G114" s="112">
        <v>0</v>
      </c>
      <c r="H114" s="112">
        <v>0</v>
      </c>
      <c r="I114" s="112">
        <v>0</v>
      </c>
      <c r="J114" s="112">
        <v>0</v>
      </c>
      <c r="K114" s="112">
        <v>0</v>
      </c>
      <c r="L114" s="112">
        <v>482.2592365557266</v>
      </c>
      <c r="M114" s="112">
        <v>1224.8430338982739</v>
      </c>
      <c r="N114" s="112">
        <v>1428.4578604760441</v>
      </c>
      <c r="O114" s="112">
        <v>1219.7735837851251</v>
      </c>
      <c r="P114" s="112">
        <v>1172.2083481937145</v>
      </c>
      <c r="Q114" s="112">
        <v>1017.0673782801863</v>
      </c>
      <c r="R114" s="112">
        <v>900.03430260323535</v>
      </c>
      <c r="S114" s="112">
        <v>886.53004245081252</v>
      </c>
      <c r="T114" s="112">
        <v>236.14334974734854</v>
      </c>
      <c r="U114" s="112">
        <v>362.54701590489344</v>
      </c>
      <c r="V114" s="112">
        <v>104.65593885084733</v>
      </c>
      <c r="W114" s="112">
        <v>585.91339881243323</v>
      </c>
      <c r="X114" s="112">
        <v>626.37657547352092</v>
      </c>
      <c r="Y114" s="112">
        <v>291.32556787825098</v>
      </c>
      <c r="Z114" s="112">
        <v>577.95917667501828</v>
      </c>
      <c r="AA114" s="112">
        <v>771.66855963298542</v>
      </c>
      <c r="AB114" s="112">
        <v>996.75786110770855</v>
      </c>
      <c r="AC114" s="112">
        <v>715.34573053621784</v>
      </c>
      <c r="AD114" s="112">
        <v>883.69919945585423</v>
      </c>
      <c r="AE114" s="112">
        <v>956.61149752273207</v>
      </c>
      <c r="AF114" s="112">
        <v>881.81343423454268</v>
      </c>
      <c r="AG114" s="112">
        <v>1193.1268954256627</v>
      </c>
      <c r="AH114" s="112">
        <v>873.89277307071882</v>
      </c>
      <c r="AI114" s="112">
        <v>592.38321016484508</v>
      </c>
      <c r="AJ114" s="112">
        <v>268.8073581669712</v>
      </c>
      <c r="AK114" s="112">
        <v>690.67591232698408</v>
      </c>
      <c r="AL114" s="112">
        <v>433.49134299883463</v>
      </c>
      <c r="AM114" s="112">
        <v>1013.0144220720771</v>
      </c>
      <c r="AN114" s="112">
        <v>548.42963396444372</v>
      </c>
      <c r="AO114" s="112">
        <v>1290.2387243876217</v>
      </c>
      <c r="AP114" s="112">
        <v>1084.1752883310355</v>
      </c>
      <c r="AQ114" s="112">
        <v>1072.5818423360449</v>
      </c>
      <c r="AR114" s="112">
        <v>820.396688197103</v>
      </c>
      <c r="AS114" s="112">
        <v>415.52778765253493</v>
      </c>
      <c r="AT114" s="112">
        <v>705.98891270878676</v>
      </c>
      <c r="AU114" s="112">
        <v>557.27267506043381</v>
      </c>
      <c r="AV114" s="112">
        <v>434.56979476040897</v>
      </c>
      <c r="AW114" s="112">
        <v>1132.120327089375</v>
      </c>
      <c r="AX114" s="112">
        <v>379.78682136218117</v>
      </c>
      <c r="AY114" s="112">
        <v>283.3128077300837</v>
      </c>
    </row>
    <row r="115" spans="1:52" x14ac:dyDescent="0.2">
      <c r="A115" s="115"/>
      <c r="B115" s="133">
        <v>7</v>
      </c>
      <c r="C115" s="112">
        <v>0</v>
      </c>
      <c r="D115" s="112">
        <v>0</v>
      </c>
      <c r="E115" s="112">
        <v>0</v>
      </c>
      <c r="F115" s="112">
        <v>0</v>
      </c>
      <c r="G115" s="112">
        <v>0</v>
      </c>
      <c r="H115" s="112">
        <v>0</v>
      </c>
      <c r="I115" s="112">
        <v>0</v>
      </c>
      <c r="J115" s="112">
        <v>0</v>
      </c>
      <c r="K115" s="112">
        <v>0</v>
      </c>
      <c r="L115" s="112">
        <v>0</v>
      </c>
      <c r="M115" s="112">
        <v>0</v>
      </c>
      <c r="N115" s="112">
        <v>593.07793239554371</v>
      </c>
      <c r="O115" s="112">
        <v>1428.4578604760441</v>
      </c>
      <c r="P115" s="112">
        <v>1219.7735837851251</v>
      </c>
      <c r="Q115" s="112">
        <v>1172.2083481937145</v>
      </c>
      <c r="R115" s="112">
        <v>1017.0673782801863</v>
      </c>
      <c r="S115" s="112">
        <v>900.03430260323535</v>
      </c>
      <c r="T115" s="112">
        <v>886.53004245081252</v>
      </c>
      <c r="U115" s="112">
        <v>236.14334974734854</v>
      </c>
      <c r="V115" s="112">
        <v>362.54701590489344</v>
      </c>
      <c r="W115" s="112">
        <v>104.65593885084733</v>
      </c>
      <c r="X115" s="112">
        <v>585.91339881243323</v>
      </c>
      <c r="Y115" s="112">
        <v>626.37657547352092</v>
      </c>
      <c r="Z115" s="112">
        <v>291.32556787825098</v>
      </c>
      <c r="AA115" s="112">
        <v>577.95917667501828</v>
      </c>
      <c r="AB115" s="112">
        <v>771.66855963298542</v>
      </c>
      <c r="AC115" s="112">
        <v>996.75786110770855</v>
      </c>
      <c r="AD115" s="112">
        <v>715.34573053621784</v>
      </c>
      <c r="AE115" s="112">
        <v>883.69919945585423</v>
      </c>
      <c r="AF115" s="112">
        <v>956.61149752273207</v>
      </c>
      <c r="AG115" s="112">
        <v>881.81343423454268</v>
      </c>
      <c r="AH115" s="112">
        <v>1193.1268954256627</v>
      </c>
      <c r="AI115" s="112">
        <v>873.89277307071882</v>
      </c>
      <c r="AJ115" s="112">
        <v>592.38321016484508</v>
      </c>
      <c r="AK115" s="112">
        <v>268.8073581669712</v>
      </c>
      <c r="AL115" s="112">
        <v>690.67591232698408</v>
      </c>
      <c r="AM115" s="112">
        <v>433.49134299883463</v>
      </c>
      <c r="AN115" s="112">
        <v>1013.0144220720771</v>
      </c>
      <c r="AO115" s="112">
        <v>58.614903619092956</v>
      </c>
      <c r="AP115" s="112">
        <v>0</v>
      </c>
      <c r="AQ115" s="112">
        <v>0</v>
      </c>
      <c r="AR115" s="112">
        <v>0</v>
      </c>
      <c r="AS115" s="112">
        <v>0</v>
      </c>
      <c r="AT115" s="112">
        <v>0</v>
      </c>
      <c r="AU115" s="112">
        <v>0</v>
      </c>
      <c r="AV115" s="112">
        <v>0</v>
      </c>
      <c r="AW115" s="112">
        <v>0</v>
      </c>
      <c r="AX115" s="112">
        <v>0</v>
      </c>
      <c r="AY115" s="112">
        <v>0</v>
      </c>
    </row>
    <row r="116" spans="1:52" x14ac:dyDescent="0.2">
      <c r="A116" s="115"/>
      <c r="B116" s="133">
        <v>8</v>
      </c>
      <c r="C116" s="112">
        <v>0</v>
      </c>
      <c r="D116" s="112">
        <v>0</v>
      </c>
      <c r="E116" s="112">
        <v>0</v>
      </c>
      <c r="F116" s="112">
        <v>0</v>
      </c>
      <c r="G116" s="112">
        <v>0</v>
      </c>
      <c r="H116" s="112">
        <v>0</v>
      </c>
      <c r="I116" s="112">
        <v>0</v>
      </c>
      <c r="J116" s="112">
        <v>0</v>
      </c>
      <c r="K116" s="112">
        <v>0</v>
      </c>
      <c r="L116" s="112">
        <v>0</v>
      </c>
      <c r="M116" s="112">
        <v>0</v>
      </c>
      <c r="N116" s="112">
        <v>0</v>
      </c>
      <c r="O116" s="112">
        <v>20.077932395543712</v>
      </c>
      <c r="P116" s="112">
        <v>925.10597605105306</v>
      </c>
      <c r="Q116" s="112">
        <v>1219.7735837851251</v>
      </c>
      <c r="R116" s="112">
        <v>1172.2083481937145</v>
      </c>
      <c r="S116" s="112">
        <v>1017.0673782801863</v>
      </c>
      <c r="T116" s="112">
        <v>900.03430260323535</v>
      </c>
      <c r="U116" s="112">
        <v>886.53004245081252</v>
      </c>
      <c r="V116" s="112">
        <v>236.14334974734854</v>
      </c>
      <c r="W116" s="112">
        <v>362.54701590489344</v>
      </c>
      <c r="X116" s="112">
        <v>104.65593885084733</v>
      </c>
      <c r="Y116" s="112">
        <v>585.91339881243323</v>
      </c>
      <c r="Z116" s="112">
        <v>626.37657547352092</v>
      </c>
      <c r="AA116" s="112">
        <v>291.32556787825098</v>
      </c>
      <c r="AB116" s="112">
        <v>577.95917667501828</v>
      </c>
      <c r="AC116" s="112">
        <v>771.66855963298542</v>
      </c>
      <c r="AD116" s="112">
        <v>996.75786110770855</v>
      </c>
      <c r="AE116" s="112">
        <v>715.34573053621784</v>
      </c>
      <c r="AF116" s="112">
        <v>883.69919945585423</v>
      </c>
      <c r="AG116" s="112">
        <v>956.61149752273207</v>
      </c>
      <c r="AH116" s="112">
        <v>881.81343423454268</v>
      </c>
      <c r="AI116" s="112">
        <v>1193.1268954256627</v>
      </c>
      <c r="AJ116" s="112">
        <v>873.89277307071882</v>
      </c>
      <c r="AK116" s="112">
        <v>592.38321016484508</v>
      </c>
      <c r="AL116" s="112">
        <v>268.8073581669712</v>
      </c>
      <c r="AM116" s="112">
        <v>690.67591232698408</v>
      </c>
      <c r="AN116" s="112">
        <v>433.49134299883463</v>
      </c>
      <c r="AO116" s="112">
        <v>0</v>
      </c>
      <c r="AP116" s="112">
        <v>0</v>
      </c>
      <c r="AQ116" s="112">
        <v>0</v>
      </c>
      <c r="AR116" s="112">
        <v>0</v>
      </c>
      <c r="AS116" s="112">
        <v>0</v>
      </c>
      <c r="AT116" s="112">
        <v>0</v>
      </c>
      <c r="AU116" s="112">
        <v>0</v>
      </c>
      <c r="AV116" s="112">
        <v>0</v>
      </c>
      <c r="AW116" s="112">
        <v>0</v>
      </c>
      <c r="AX116" s="112">
        <v>0</v>
      </c>
      <c r="AY116" s="112">
        <v>0</v>
      </c>
    </row>
    <row r="117" spans="1:52" x14ac:dyDescent="0.2">
      <c r="A117" s="115"/>
      <c r="B117" s="133">
        <v>9</v>
      </c>
      <c r="C117" s="112">
        <v>0</v>
      </c>
      <c r="D117" s="112">
        <v>0</v>
      </c>
      <c r="E117" s="112">
        <v>0</v>
      </c>
      <c r="F117" s="112">
        <v>0</v>
      </c>
      <c r="G117" s="112">
        <v>0</v>
      </c>
      <c r="H117" s="112">
        <v>0</v>
      </c>
      <c r="I117" s="112">
        <v>0</v>
      </c>
      <c r="J117" s="112">
        <v>0</v>
      </c>
      <c r="K117" s="112">
        <v>0</v>
      </c>
      <c r="L117" s="112">
        <v>0</v>
      </c>
      <c r="M117" s="112">
        <v>0</v>
      </c>
      <c r="N117" s="112">
        <v>0</v>
      </c>
      <c r="O117" s="112">
        <v>0</v>
      </c>
      <c r="P117" s="112">
        <v>0</v>
      </c>
      <c r="Q117" s="112">
        <v>460.10597605105306</v>
      </c>
      <c r="R117" s="112">
        <v>1083.1011386215928</v>
      </c>
      <c r="S117" s="112">
        <v>1172.2083481937145</v>
      </c>
      <c r="T117" s="112">
        <v>1017.0673782801863</v>
      </c>
      <c r="U117" s="112">
        <v>900.03430260323535</v>
      </c>
      <c r="V117" s="112">
        <v>886.53004245081252</v>
      </c>
      <c r="W117" s="112">
        <v>236.14334974734854</v>
      </c>
      <c r="X117" s="112">
        <v>362.54701590489344</v>
      </c>
      <c r="Y117" s="112">
        <v>104.65593885084733</v>
      </c>
      <c r="Z117" s="112">
        <v>585.91339881243323</v>
      </c>
      <c r="AA117" s="112">
        <v>626.37657547352092</v>
      </c>
      <c r="AB117" s="112">
        <v>291.32556787825098</v>
      </c>
      <c r="AC117" s="112">
        <v>577.95917667501828</v>
      </c>
      <c r="AD117" s="112">
        <v>771.66855963298542</v>
      </c>
      <c r="AE117" s="112">
        <v>996.75786110770855</v>
      </c>
      <c r="AF117" s="112">
        <v>715.34573053621784</v>
      </c>
      <c r="AG117" s="112">
        <v>883.69919945585423</v>
      </c>
      <c r="AH117" s="112">
        <v>956.61149752273207</v>
      </c>
      <c r="AI117" s="112">
        <v>881.81343423454268</v>
      </c>
      <c r="AJ117" s="112">
        <v>1193.1268954256627</v>
      </c>
      <c r="AK117" s="112">
        <v>873.89277307071882</v>
      </c>
      <c r="AL117" s="112">
        <v>592.38321016484508</v>
      </c>
      <c r="AM117" s="112">
        <v>247.85823493857507</v>
      </c>
      <c r="AN117" s="112">
        <v>117.38505003007924</v>
      </c>
      <c r="AO117" s="112">
        <v>0</v>
      </c>
      <c r="AP117" s="112">
        <v>0</v>
      </c>
      <c r="AQ117" s="112">
        <v>0</v>
      </c>
      <c r="AR117" s="112">
        <v>0</v>
      </c>
      <c r="AS117" s="112">
        <v>0</v>
      </c>
      <c r="AT117" s="112">
        <v>0</v>
      </c>
      <c r="AU117" s="112">
        <v>0</v>
      </c>
      <c r="AV117" s="112">
        <v>0</v>
      </c>
      <c r="AW117" s="112">
        <v>0</v>
      </c>
      <c r="AX117" s="112">
        <v>0</v>
      </c>
      <c r="AY117" s="112">
        <v>0</v>
      </c>
    </row>
    <row r="118" spans="1:52" x14ac:dyDescent="0.2">
      <c r="A118" s="115"/>
      <c r="B118" s="136">
        <v>10</v>
      </c>
      <c r="C118" s="112">
        <v>0</v>
      </c>
      <c r="D118" s="112">
        <v>0</v>
      </c>
      <c r="E118" s="112">
        <v>0</v>
      </c>
      <c r="F118" s="112">
        <v>0</v>
      </c>
      <c r="G118" s="112">
        <v>0</v>
      </c>
      <c r="H118" s="112">
        <v>0</v>
      </c>
      <c r="I118" s="112">
        <v>0</v>
      </c>
      <c r="J118" s="112">
        <v>0</v>
      </c>
      <c r="K118" s="112">
        <v>0</v>
      </c>
      <c r="L118" s="112">
        <v>0</v>
      </c>
      <c r="M118" s="112">
        <v>0</v>
      </c>
      <c r="N118" s="112">
        <v>0</v>
      </c>
      <c r="O118" s="112">
        <v>0</v>
      </c>
      <c r="P118" s="112">
        <v>0</v>
      </c>
      <c r="Q118" s="112">
        <v>0</v>
      </c>
      <c r="R118" s="112">
        <v>0</v>
      </c>
      <c r="S118" s="112">
        <v>551.30524762687287</v>
      </c>
      <c r="T118" s="112">
        <v>1172.2083481937145</v>
      </c>
      <c r="U118" s="112">
        <v>1017.0673782801863</v>
      </c>
      <c r="V118" s="112">
        <v>900.03430260323535</v>
      </c>
      <c r="W118" s="112">
        <v>886.53004245081252</v>
      </c>
      <c r="X118" s="112">
        <v>236.14334974734854</v>
      </c>
      <c r="Y118" s="112">
        <v>362.54701590489344</v>
      </c>
      <c r="Z118" s="112">
        <v>104.65593885084733</v>
      </c>
      <c r="AA118" s="112">
        <v>585.91339881243323</v>
      </c>
      <c r="AB118" s="112">
        <v>626.37657547352092</v>
      </c>
      <c r="AC118" s="112">
        <v>291.32556787825098</v>
      </c>
      <c r="AD118" s="112">
        <v>577.95917667501828</v>
      </c>
      <c r="AE118" s="112">
        <v>771.66855963298542</v>
      </c>
      <c r="AF118" s="112">
        <v>996.75786110770855</v>
      </c>
      <c r="AG118" s="112">
        <v>715.34573053621784</v>
      </c>
      <c r="AH118" s="112">
        <v>883.69919945585423</v>
      </c>
      <c r="AI118" s="112">
        <v>956.61149752273207</v>
      </c>
      <c r="AJ118" s="112">
        <v>881.81343423454268</v>
      </c>
      <c r="AK118" s="112">
        <v>1193.1268954256627</v>
      </c>
      <c r="AL118" s="112">
        <v>873.89277307071882</v>
      </c>
      <c r="AM118" s="112">
        <v>0</v>
      </c>
      <c r="AN118" s="112">
        <v>0</v>
      </c>
      <c r="AO118" s="112">
        <v>0</v>
      </c>
      <c r="AP118" s="112">
        <v>0</v>
      </c>
      <c r="AQ118" s="112">
        <v>0</v>
      </c>
      <c r="AR118" s="112">
        <v>0</v>
      </c>
      <c r="AS118" s="112">
        <v>0</v>
      </c>
      <c r="AT118" s="112">
        <v>0</v>
      </c>
      <c r="AU118" s="112">
        <v>0</v>
      </c>
      <c r="AV118" s="112">
        <v>0</v>
      </c>
      <c r="AW118" s="112">
        <v>0</v>
      </c>
      <c r="AX118" s="112">
        <v>0</v>
      </c>
      <c r="AY118" s="112">
        <v>0</v>
      </c>
    </row>
    <row r="119" spans="1:52" x14ac:dyDescent="0.2">
      <c r="A119" s="115"/>
      <c r="B119" s="136">
        <v>11</v>
      </c>
      <c r="C119" s="112">
        <v>0</v>
      </c>
      <c r="D119" s="112">
        <v>0</v>
      </c>
      <c r="E119" s="112">
        <v>0</v>
      </c>
      <c r="F119" s="112">
        <v>0</v>
      </c>
      <c r="G119" s="112">
        <v>0</v>
      </c>
      <c r="H119" s="112">
        <v>0</v>
      </c>
      <c r="I119" s="112">
        <v>0</v>
      </c>
      <c r="J119" s="112">
        <v>0</v>
      </c>
      <c r="K119" s="112">
        <v>0</v>
      </c>
      <c r="L119" s="112">
        <v>0</v>
      </c>
      <c r="M119" s="112">
        <v>0</v>
      </c>
      <c r="N119" s="112">
        <v>0</v>
      </c>
      <c r="O119" s="112">
        <v>0</v>
      </c>
      <c r="P119" s="112">
        <v>0</v>
      </c>
      <c r="Q119" s="112">
        <v>0</v>
      </c>
      <c r="R119" s="112">
        <v>0</v>
      </c>
      <c r="S119" s="112">
        <v>0</v>
      </c>
      <c r="T119" s="112">
        <v>68.657877097688925</v>
      </c>
      <c r="U119" s="112">
        <v>817.12423644703017</v>
      </c>
      <c r="V119" s="112">
        <v>1017.0673782801863</v>
      </c>
      <c r="W119" s="112">
        <v>900.03430260323535</v>
      </c>
      <c r="X119" s="112">
        <v>886.53004245081252</v>
      </c>
      <c r="Y119" s="112">
        <v>236.14334974734854</v>
      </c>
      <c r="Z119" s="112">
        <v>362.54701590489344</v>
      </c>
      <c r="AA119" s="112">
        <v>104.65593885084733</v>
      </c>
      <c r="AB119" s="112">
        <v>259.81641519068916</v>
      </c>
      <c r="AC119" s="112">
        <v>422.82197092048216</v>
      </c>
      <c r="AD119" s="112">
        <v>216.37988521387223</v>
      </c>
      <c r="AE119" s="112">
        <v>337.33906188889051</v>
      </c>
      <c r="AF119" s="112">
        <v>691.89717312537437</v>
      </c>
      <c r="AG119" s="112">
        <v>986.65503423308292</v>
      </c>
      <c r="AH119" s="112">
        <v>715.34573053621784</v>
      </c>
      <c r="AI119" s="112">
        <v>883.69919945585423</v>
      </c>
      <c r="AJ119" s="112">
        <v>956.61149752273207</v>
      </c>
      <c r="AK119" s="112">
        <v>679.0861608207772</v>
      </c>
      <c r="AL119" s="112">
        <v>897.28334926792365</v>
      </c>
      <c r="AM119" s="112">
        <v>0</v>
      </c>
      <c r="AN119" s="112">
        <v>0</v>
      </c>
      <c r="AO119" s="112">
        <v>0</v>
      </c>
      <c r="AP119" s="112">
        <v>0</v>
      </c>
      <c r="AQ119" s="112">
        <v>0</v>
      </c>
      <c r="AR119" s="112">
        <v>0</v>
      </c>
      <c r="AS119" s="112">
        <v>0</v>
      </c>
      <c r="AT119" s="112">
        <v>0</v>
      </c>
      <c r="AU119" s="112">
        <v>0</v>
      </c>
      <c r="AV119" s="112">
        <v>0</v>
      </c>
      <c r="AW119" s="112">
        <v>0</v>
      </c>
      <c r="AX119" s="112">
        <v>0</v>
      </c>
      <c r="AY119" s="112">
        <v>0</v>
      </c>
    </row>
    <row r="120" spans="1:52" x14ac:dyDescent="0.2">
      <c r="A120" s="115"/>
      <c r="B120" s="136">
        <v>12</v>
      </c>
      <c r="C120" s="112">
        <v>0</v>
      </c>
      <c r="D120" s="112">
        <v>0</v>
      </c>
      <c r="E120" s="112">
        <v>0</v>
      </c>
      <c r="F120" s="112">
        <v>0</v>
      </c>
      <c r="G120" s="112">
        <v>0</v>
      </c>
      <c r="H120" s="112">
        <v>0</v>
      </c>
      <c r="I120" s="112">
        <v>0</v>
      </c>
      <c r="J120" s="112">
        <v>0</v>
      </c>
      <c r="K120" s="112">
        <v>0</v>
      </c>
      <c r="L120" s="112">
        <v>0</v>
      </c>
      <c r="M120" s="112">
        <v>0</v>
      </c>
      <c r="N120" s="112">
        <v>0</v>
      </c>
      <c r="O120" s="112">
        <v>0</v>
      </c>
      <c r="P120" s="112">
        <v>0</v>
      </c>
      <c r="Q120" s="112">
        <v>0</v>
      </c>
      <c r="R120" s="112">
        <v>0</v>
      </c>
      <c r="S120" s="112">
        <v>0</v>
      </c>
      <c r="T120" s="112">
        <v>0</v>
      </c>
      <c r="U120" s="112">
        <v>0</v>
      </c>
      <c r="V120" s="112">
        <v>397.71514089317066</v>
      </c>
      <c r="W120" s="112">
        <v>978.91805635634739</v>
      </c>
      <c r="X120" s="112">
        <v>900.03430260323535</v>
      </c>
      <c r="Y120" s="112">
        <v>886.53004245081252</v>
      </c>
      <c r="Z120" s="112">
        <v>236.14334974734854</v>
      </c>
      <c r="AA120" s="112">
        <v>94.690365652242008</v>
      </c>
      <c r="AB120" s="112">
        <v>0</v>
      </c>
      <c r="AC120" s="112">
        <v>0</v>
      </c>
      <c r="AD120" s="112">
        <v>0</v>
      </c>
      <c r="AE120" s="112">
        <v>0</v>
      </c>
      <c r="AF120" s="112">
        <v>0</v>
      </c>
      <c r="AG120" s="112">
        <v>0</v>
      </c>
      <c r="AH120" s="112">
        <v>469.01003967621864</v>
      </c>
      <c r="AI120" s="112">
        <v>408.35577021243648</v>
      </c>
      <c r="AJ120" s="112">
        <v>367.96952142364148</v>
      </c>
      <c r="AK120" s="112">
        <v>0</v>
      </c>
      <c r="AL120" s="112">
        <v>0</v>
      </c>
      <c r="AM120" s="112">
        <v>0</v>
      </c>
      <c r="AN120" s="112">
        <v>0</v>
      </c>
      <c r="AO120" s="112">
        <v>0</v>
      </c>
      <c r="AP120" s="112">
        <v>0</v>
      </c>
      <c r="AQ120" s="112">
        <v>0</v>
      </c>
      <c r="AR120" s="112">
        <v>0</v>
      </c>
      <c r="AS120" s="112">
        <v>0</v>
      </c>
      <c r="AT120" s="112">
        <v>0</v>
      </c>
      <c r="AU120" s="112">
        <v>0</v>
      </c>
      <c r="AV120" s="112">
        <v>0</v>
      </c>
      <c r="AW120" s="112">
        <v>0</v>
      </c>
      <c r="AX120" s="112">
        <v>0</v>
      </c>
      <c r="AY120" s="112">
        <v>0</v>
      </c>
    </row>
    <row r="121" spans="1:52" x14ac:dyDescent="0.2">
      <c r="A121" s="134"/>
      <c r="B121" s="138" t="s">
        <v>296</v>
      </c>
      <c r="C121" s="120">
        <v>0</v>
      </c>
      <c r="D121" s="131">
        <v>0</v>
      </c>
      <c r="E121" s="131">
        <v>0</v>
      </c>
      <c r="F121" s="131">
        <v>0</v>
      </c>
      <c r="G121" s="131">
        <v>0</v>
      </c>
      <c r="H121" s="131">
        <v>0</v>
      </c>
      <c r="I121" s="131">
        <v>0</v>
      </c>
      <c r="J121" s="131">
        <v>0</v>
      </c>
      <c r="K121" s="131">
        <v>0</v>
      </c>
      <c r="L121" s="131">
        <v>0</v>
      </c>
      <c r="M121" s="131">
        <v>0</v>
      </c>
      <c r="N121" s="131">
        <v>0</v>
      </c>
      <c r="O121" s="131">
        <v>0</v>
      </c>
      <c r="P121" s="131">
        <v>0</v>
      </c>
      <c r="Q121" s="131">
        <v>0</v>
      </c>
      <c r="R121" s="131">
        <v>0</v>
      </c>
      <c r="S121" s="131">
        <v>0</v>
      </c>
      <c r="T121" s="131">
        <v>0</v>
      </c>
      <c r="U121" s="131">
        <v>0</v>
      </c>
      <c r="V121" s="131">
        <v>0</v>
      </c>
      <c r="W121" s="131">
        <v>0</v>
      </c>
      <c r="X121" s="131">
        <v>510.81650272735135</v>
      </c>
      <c r="Y121" s="131">
        <v>431.18147314906997</v>
      </c>
      <c r="Z121" s="131">
        <v>541.6213272982211</v>
      </c>
      <c r="AA121" s="131">
        <v>0</v>
      </c>
      <c r="AB121" s="131">
        <v>0</v>
      </c>
      <c r="AC121" s="131">
        <v>0</v>
      </c>
      <c r="AD121" s="131">
        <v>0</v>
      </c>
      <c r="AE121" s="131">
        <v>0</v>
      </c>
      <c r="AF121" s="131">
        <v>0</v>
      </c>
      <c r="AG121" s="131">
        <v>0</v>
      </c>
      <c r="AH121" s="131">
        <v>0</v>
      </c>
      <c r="AI121" s="131">
        <v>0</v>
      </c>
      <c r="AJ121" s="131">
        <v>0</v>
      </c>
      <c r="AK121" s="131">
        <v>0</v>
      </c>
      <c r="AL121" s="131">
        <v>0</v>
      </c>
      <c r="AM121" s="131">
        <v>0</v>
      </c>
      <c r="AN121" s="131">
        <v>0</v>
      </c>
      <c r="AO121" s="131">
        <v>0</v>
      </c>
      <c r="AP121" s="131">
        <v>0</v>
      </c>
      <c r="AQ121" s="131">
        <v>0</v>
      </c>
      <c r="AR121" s="131">
        <v>0</v>
      </c>
      <c r="AS121" s="131">
        <v>0</v>
      </c>
      <c r="AT121" s="131">
        <v>0</v>
      </c>
      <c r="AU121" s="131">
        <v>0</v>
      </c>
      <c r="AV121" s="131">
        <v>0</v>
      </c>
      <c r="AW121" s="131">
        <v>0</v>
      </c>
      <c r="AX121" s="131">
        <v>0</v>
      </c>
      <c r="AY121" s="131">
        <v>0</v>
      </c>
      <c r="AZ121" s="113">
        <f>SUM($D121:$AY121)</f>
        <v>1483.6193031746425</v>
      </c>
    </row>
    <row r="122" spans="1:52" x14ac:dyDescent="0.2">
      <c r="A122" s="137" t="s">
        <v>123</v>
      </c>
      <c r="B122" s="125">
        <v>1</v>
      </c>
      <c r="C122" s="112">
        <v>911.66047883411306</v>
      </c>
      <c r="D122" s="112">
        <v>1169.4058142471117</v>
      </c>
      <c r="E122" s="112">
        <v>1832.1266421387572</v>
      </c>
      <c r="F122" s="112">
        <v>1169.4058142471117</v>
      </c>
      <c r="G122" s="112">
        <v>1418.1918052857629</v>
      </c>
      <c r="H122" s="112">
        <v>1359.8532198188441</v>
      </c>
      <c r="I122" s="112">
        <v>1359.8532198188441</v>
      </c>
      <c r="J122" s="112">
        <v>1514.3313342404053</v>
      </c>
      <c r="K122" s="112">
        <v>1100.3964973874108</v>
      </c>
      <c r="L122" s="112">
        <v>207.383087813244</v>
      </c>
      <c r="M122" s="112">
        <v>870.10391570488957</v>
      </c>
      <c r="N122" s="112">
        <v>207.383087813244</v>
      </c>
      <c r="O122" s="112">
        <v>870.10391570488957</v>
      </c>
      <c r="P122" s="112">
        <v>182.64790378372601</v>
      </c>
      <c r="Q122" s="112">
        <v>431.43389482237717</v>
      </c>
      <c r="R122" s="112">
        <v>750.83713394774236</v>
      </c>
      <c r="S122" s="112">
        <v>431.43389482237717</v>
      </c>
      <c r="T122" s="112">
        <v>752.90928782793571</v>
      </c>
      <c r="U122" s="112">
        <v>1321.0985179919521</v>
      </c>
      <c r="V122" s="112">
        <v>935.50629042828041</v>
      </c>
      <c r="W122" s="112">
        <v>935.50629042828041</v>
      </c>
      <c r="X122" s="112">
        <v>1308.2096508633338</v>
      </c>
      <c r="Y122" s="112">
        <v>1308.2096508633338</v>
      </c>
      <c r="Z122" s="112">
        <v>1125.6126482629891</v>
      </c>
      <c r="AA122" s="112">
        <v>1788.3334761546348</v>
      </c>
      <c r="AB122" s="112">
        <v>859.64977516828844</v>
      </c>
      <c r="AC122" s="112">
        <v>859.64977516828844</v>
      </c>
      <c r="AD122" s="112">
        <v>425.5071323658205</v>
      </c>
      <c r="AE122" s="112">
        <v>674.29312340447166</v>
      </c>
      <c r="AF122" s="112">
        <v>626.84843201319154</v>
      </c>
      <c r="AG122" s="112">
        <v>875.63442305184276</v>
      </c>
      <c r="AH122" s="112">
        <v>626.84843201319154</v>
      </c>
      <c r="AI122" s="112">
        <v>1161.1852380363234</v>
      </c>
      <c r="AJ122" s="112">
        <v>2061.5278749858217</v>
      </c>
      <c r="AK122" s="112">
        <v>2061.5278749858217</v>
      </c>
      <c r="AL122" s="112">
        <v>1527.1910689626898</v>
      </c>
      <c r="AM122" s="112">
        <v>2062.7409910333158</v>
      </c>
      <c r="AN122" s="112">
        <v>2096.2935590396196</v>
      </c>
      <c r="AO122" s="112">
        <v>2096.2935590396196</v>
      </c>
      <c r="AP122" s="112">
        <v>2049.6592984015438</v>
      </c>
      <c r="AQ122" s="112">
        <v>2049.6592984015438</v>
      </c>
      <c r="AR122" s="112">
        <v>705.08184287899508</v>
      </c>
      <c r="AS122" s="112">
        <v>1193.9975043115455</v>
      </c>
      <c r="AT122" s="112">
        <v>705.08184287899508</v>
      </c>
      <c r="AU122" s="112">
        <v>953.86783391764629</v>
      </c>
      <c r="AV122" s="112">
        <v>1192.9016571143993</v>
      </c>
      <c r="AW122" s="112">
        <v>1757.3917373623328</v>
      </c>
      <c r="AX122" s="112">
        <v>1192.9016571143993</v>
      </c>
      <c r="AY122" s="112">
        <v>1441.6876481530503</v>
      </c>
    </row>
    <row r="123" spans="1:52" x14ac:dyDescent="0.2">
      <c r="A123" s="115"/>
      <c r="B123" s="125">
        <v>2</v>
      </c>
      <c r="C123" s="112">
        <v>100.5811186227986</v>
      </c>
      <c r="D123" s="112">
        <v>861.15940235756796</v>
      </c>
      <c r="E123" s="112">
        <v>1606.5345928437525</v>
      </c>
      <c r="F123" s="112">
        <v>1255.4934356588451</v>
      </c>
      <c r="G123" s="112">
        <v>1309.5963369808669</v>
      </c>
      <c r="H123" s="112">
        <v>1231.2948372698904</v>
      </c>
      <c r="I123" s="112">
        <v>880.59287251823719</v>
      </c>
      <c r="J123" s="112">
        <v>880.59287251823719</v>
      </c>
      <c r="K123" s="112">
        <v>980.6274384089628</v>
      </c>
      <c r="L123" s="112">
        <v>1126.5127080680031</v>
      </c>
      <c r="M123" s="112">
        <v>783.69340969662255</v>
      </c>
      <c r="N123" s="112">
        <v>359.35513997219101</v>
      </c>
      <c r="O123" s="112">
        <v>1.4210854715202004E-14</v>
      </c>
      <c r="P123" s="112">
        <v>0</v>
      </c>
      <c r="Q123" s="112">
        <v>591.11537726819324</v>
      </c>
      <c r="R123" s="112">
        <v>342.32938622954202</v>
      </c>
      <c r="S123" s="112">
        <v>76.994053709043556</v>
      </c>
      <c r="T123" s="112">
        <v>319.40323912536525</v>
      </c>
      <c r="U123" s="112">
        <v>110.61136143390925</v>
      </c>
      <c r="V123" s="112">
        <v>345.63222423901641</v>
      </c>
      <c r="W123" s="112">
        <v>391.70542090659524</v>
      </c>
      <c r="X123" s="112">
        <v>214.76442716966176</v>
      </c>
      <c r="Y123" s="112">
        <v>340.42204912297592</v>
      </c>
      <c r="Z123" s="112">
        <v>394.11148731098638</v>
      </c>
      <c r="AA123" s="112">
        <v>267.91070133943276</v>
      </c>
      <c r="AB123" s="112">
        <v>523.67399394357142</v>
      </c>
      <c r="AC123" s="112">
        <v>78.059976297413073</v>
      </c>
      <c r="AD123" s="112">
        <v>0</v>
      </c>
      <c r="AE123" s="112">
        <v>419.00852150753974</v>
      </c>
      <c r="AF123" s="112">
        <v>0</v>
      </c>
      <c r="AG123" s="112">
        <v>419.00852150753963</v>
      </c>
      <c r="AH123" s="112">
        <v>166.20605839932941</v>
      </c>
      <c r="AI123" s="112">
        <v>534.33680602313189</v>
      </c>
      <c r="AJ123" s="112">
        <v>193.84136948081073</v>
      </c>
      <c r="AK123" s="112">
        <v>200.42810227506118</v>
      </c>
      <c r="AL123" s="112">
        <v>213.97986658717565</v>
      </c>
      <c r="AM123" s="112">
        <v>668.78262378094382</v>
      </c>
      <c r="AN123" s="112">
        <v>384.62628072725153</v>
      </c>
      <c r="AO123" s="112">
        <v>5.6843418860808015E-14</v>
      </c>
      <c r="AP123" s="112">
        <v>0</v>
      </c>
      <c r="AQ123" s="112">
        <v>0</v>
      </c>
      <c r="AR123" s="112">
        <v>0</v>
      </c>
      <c r="AS123" s="112">
        <v>488.91566143255034</v>
      </c>
      <c r="AT123" s="112">
        <v>2.8421709430404007E-14</v>
      </c>
      <c r="AU123" s="112">
        <v>564.49008024793352</v>
      </c>
      <c r="AV123" s="112">
        <v>315.7040892092823</v>
      </c>
      <c r="AW123" s="112">
        <v>0</v>
      </c>
      <c r="AX123" s="112">
        <v>0</v>
      </c>
      <c r="AY123" s="112">
        <v>83.927572306680872</v>
      </c>
    </row>
    <row r="124" spans="1:52" x14ac:dyDescent="0.2">
      <c r="A124" s="115"/>
      <c r="B124" s="125">
        <v>3</v>
      </c>
      <c r="C124" s="112">
        <v>813.45581330589334</v>
      </c>
      <c r="D124" s="112">
        <v>95.009466805487918</v>
      </c>
      <c r="E124" s="112">
        <v>590.12294884467758</v>
      </c>
      <c r="F124" s="112">
        <v>1100.9029556601081</v>
      </c>
      <c r="G124" s="112">
        <v>860.34651247818681</v>
      </c>
      <c r="H124" s="112">
        <v>897.4213717688101</v>
      </c>
      <c r="I124" s="112">
        <v>797.34300869090248</v>
      </c>
      <c r="J124" s="112">
        <v>570.24081410288011</v>
      </c>
      <c r="K124" s="112">
        <v>570.24081410288011</v>
      </c>
      <c r="L124" s="112">
        <v>635.01966261754842</v>
      </c>
      <c r="M124" s="112">
        <v>473.85295852422161</v>
      </c>
      <c r="N124" s="112">
        <v>0</v>
      </c>
      <c r="O124" s="112">
        <v>0</v>
      </c>
      <c r="P124" s="112">
        <v>0</v>
      </c>
      <c r="Q124" s="112">
        <v>0</v>
      </c>
      <c r="R124" s="112">
        <v>0</v>
      </c>
      <c r="S124" s="112">
        <v>0</v>
      </c>
      <c r="T124" s="112">
        <v>0</v>
      </c>
      <c r="U124" s="112">
        <v>0</v>
      </c>
      <c r="V124" s="112">
        <v>568.18923016401641</v>
      </c>
      <c r="W124" s="112">
        <v>0</v>
      </c>
      <c r="X124" s="112">
        <v>0</v>
      </c>
      <c r="Y124" s="112">
        <v>0</v>
      </c>
      <c r="Z124" s="112">
        <v>0</v>
      </c>
      <c r="AA124" s="112">
        <v>0</v>
      </c>
      <c r="AB124" s="112">
        <v>0</v>
      </c>
      <c r="AC124" s="112">
        <v>0</v>
      </c>
      <c r="AD124" s="112">
        <v>0</v>
      </c>
      <c r="AE124" s="112">
        <v>0</v>
      </c>
      <c r="AF124" s="112">
        <v>0</v>
      </c>
      <c r="AG124" s="112">
        <v>170.22253046888849</v>
      </c>
      <c r="AH124" s="112">
        <v>0</v>
      </c>
      <c r="AI124" s="112">
        <v>170.22253046888849</v>
      </c>
      <c r="AJ124" s="112">
        <v>0</v>
      </c>
      <c r="AK124" s="112">
        <v>0</v>
      </c>
      <c r="AL124" s="112">
        <v>0</v>
      </c>
      <c r="AM124" s="112">
        <v>0</v>
      </c>
      <c r="AN124" s="112">
        <v>0</v>
      </c>
      <c r="AO124" s="112">
        <v>0</v>
      </c>
      <c r="AP124" s="112">
        <v>0</v>
      </c>
      <c r="AQ124" s="112">
        <v>0</v>
      </c>
      <c r="AR124" s="112">
        <v>0</v>
      </c>
      <c r="AS124" s="112">
        <v>0</v>
      </c>
      <c r="AT124" s="112">
        <v>0</v>
      </c>
      <c r="AU124" s="112">
        <v>0</v>
      </c>
      <c r="AV124" s="112">
        <v>0</v>
      </c>
      <c r="AW124" s="112">
        <v>0</v>
      </c>
      <c r="AX124" s="112">
        <v>564.49008024793352</v>
      </c>
      <c r="AY124" s="112">
        <v>0</v>
      </c>
    </row>
    <row r="125" spans="1:52" x14ac:dyDescent="0.2">
      <c r="A125" s="115"/>
      <c r="B125" s="125">
        <v>4</v>
      </c>
      <c r="C125" s="112">
        <v>768.39474595482511</v>
      </c>
      <c r="D125" s="112">
        <v>768.39474595482511</v>
      </c>
      <c r="E125" s="112">
        <v>65.10672305954219</v>
      </c>
      <c r="F125" s="112">
        <v>404.39098011327377</v>
      </c>
      <c r="G125" s="112">
        <v>754.41096829157209</v>
      </c>
      <c r="H125" s="112">
        <v>564.53663736473391</v>
      </c>
      <c r="I125" s="112">
        <v>423.19623753117867</v>
      </c>
      <c r="J125" s="112">
        <v>360.85872712429966</v>
      </c>
      <c r="K125" s="112">
        <v>234.56203906211658</v>
      </c>
      <c r="L125" s="112">
        <v>191.14471744602702</v>
      </c>
      <c r="M125" s="112">
        <v>0</v>
      </c>
      <c r="N125" s="112">
        <v>0</v>
      </c>
      <c r="O125" s="112">
        <v>0</v>
      </c>
      <c r="P125" s="112">
        <v>0</v>
      </c>
      <c r="Q125" s="112">
        <v>0</v>
      </c>
      <c r="R125" s="112">
        <v>0</v>
      </c>
      <c r="S125" s="112">
        <v>0</v>
      </c>
      <c r="T125" s="112">
        <v>0</v>
      </c>
      <c r="U125" s="112">
        <v>0</v>
      </c>
      <c r="V125" s="112">
        <v>0</v>
      </c>
      <c r="W125" s="112">
        <v>0</v>
      </c>
      <c r="X125" s="112">
        <v>0</v>
      </c>
      <c r="Y125" s="112">
        <v>0</v>
      </c>
      <c r="Z125" s="112">
        <v>0</v>
      </c>
      <c r="AA125" s="112">
        <v>0</v>
      </c>
      <c r="AB125" s="112">
        <v>0</v>
      </c>
      <c r="AC125" s="112">
        <v>0</v>
      </c>
      <c r="AD125" s="112">
        <v>0</v>
      </c>
      <c r="AE125" s="112">
        <v>0</v>
      </c>
      <c r="AF125" s="112">
        <v>0</v>
      </c>
      <c r="AG125" s="112">
        <v>0</v>
      </c>
      <c r="AH125" s="112">
        <v>0</v>
      </c>
      <c r="AI125" s="112">
        <v>0</v>
      </c>
      <c r="AJ125" s="112">
        <v>0</v>
      </c>
      <c r="AK125" s="112">
        <v>0</v>
      </c>
      <c r="AL125" s="112">
        <v>0</v>
      </c>
      <c r="AM125" s="112">
        <v>0</v>
      </c>
      <c r="AN125" s="112">
        <v>0</v>
      </c>
      <c r="AO125" s="112">
        <v>0</v>
      </c>
      <c r="AP125" s="112">
        <v>0</v>
      </c>
      <c r="AQ125" s="112">
        <v>0</v>
      </c>
      <c r="AR125" s="112">
        <v>0</v>
      </c>
      <c r="AS125" s="112">
        <v>0</v>
      </c>
      <c r="AT125" s="112">
        <v>0</v>
      </c>
      <c r="AU125" s="112">
        <v>0</v>
      </c>
      <c r="AV125" s="112">
        <v>0</v>
      </c>
      <c r="AW125" s="112">
        <v>0</v>
      </c>
      <c r="AX125" s="112">
        <v>0</v>
      </c>
      <c r="AY125" s="112">
        <v>0</v>
      </c>
    </row>
    <row r="126" spans="1:52" x14ac:dyDescent="0.2">
      <c r="A126" s="115"/>
      <c r="B126" s="125">
        <v>5</v>
      </c>
      <c r="C126" s="112">
        <v>742.30138882291703</v>
      </c>
      <c r="D126" s="112">
        <v>725.8298188459238</v>
      </c>
      <c r="E126" s="112">
        <v>526.55451722204998</v>
      </c>
      <c r="F126" s="112">
        <v>44.615400234064644</v>
      </c>
      <c r="G126" s="112">
        <v>155.80063172598295</v>
      </c>
      <c r="H126" s="112">
        <v>0</v>
      </c>
      <c r="I126" s="112">
        <v>0</v>
      </c>
      <c r="J126" s="112">
        <v>0</v>
      </c>
      <c r="K126" s="112">
        <v>0</v>
      </c>
      <c r="L126" s="112">
        <v>0</v>
      </c>
      <c r="M126" s="112">
        <v>0</v>
      </c>
      <c r="N126" s="112">
        <v>0</v>
      </c>
      <c r="O126" s="112">
        <v>0</v>
      </c>
      <c r="P126" s="112">
        <v>0</v>
      </c>
      <c r="Q126" s="112">
        <v>0</v>
      </c>
      <c r="R126" s="112">
        <v>0</v>
      </c>
      <c r="S126" s="112">
        <v>0</v>
      </c>
      <c r="T126" s="112">
        <v>0</v>
      </c>
      <c r="U126" s="112">
        <v>0</v>
      </c>
      <c r="V126" s="112">
        <v>0</v>
      </c>
      <c r="W126" s="112">
        <v>0</v>
      </c>
      <c r="X126" s="112">
        <v>0</v>
      </c>
      <c r="Y126" s="112">
        <v>0</v>
      </c>
      <c r="Z126" s="112">
        <v>0</v>
      </c>
      <c r="AA126" s="112">
        <v>0</v>
      </c>
      <c r="AB126" s="112">
        <v>0</v>
      </c>
      <c r="AC126" s="112">
        <v>0</v>
      </c>
      <c r="AD126" s="112">
        <v>0</v>
      </c>
      <c r="AE126" s="112">
        <v>0</v>
      </c>
      <c r="AF126" s="112">
        <v>0</v>
      </c>
      <c r="AG126" s="112">
        <v>0</v>
      </c>
      <c r="AH126" s="112">
        <v>0</v>
      </c>
      <c r="AI126" s="112">
        <v>0</v>
      </c>
      <c r="AJ126" s="112">
        <v>0</v>
      </c>
      <c r="AK126" s="112">
        <v>0</v>
      </c>
      <c r="AL126" s="112">
        <v>0</v>
      </c>
      <c r="AM126" s="112">
        <v>0</v>
      </c>
      <c r="AN126" s="112">
        <v>0</v>
      </c>
      <c r="AO126" s="112">
        <v>0</v>
      </c>
      <c r="AP126" s="112">
        <v>0</v>
      </c>
      <c r="AQ126" s="112">
        <v>0</v>
      </c>
      <c r="AR126" s="112">
        <v>0</v>
      </c>
      <c r="AS126" s="112">
        <v>0</v>
      </c>
      <c r="AT126" s="112">
        <v>0</v>
      </c>
      <c r="AU126" s="112">
        <v>0</v>
      </c>
      <c r="AV126" s="112">
        <v>0</v>
      </c>
      <c r="AW126" s="112">
        <v>0</v>
      </c>
      <c r="AX126" s="112">
        <v>0</v>
      </c>
      <c r="AY126" s="112">
        <v>0</v>
      </c>
    </row>
    <row r="127" spans="1:52" x14ac:dyDescent="0.2">
      <c r="A127" s="115"/>
      <c r="B127" s="125">
        <v>6</v>
      </c>
      <c r="C127" s="112">
        <v>707.0793801617998</v>
      </c>
      <c r="D127" s="112">
        <v>701.18189305017881</v>
      </c>
      <c r="E127" s="112">
        <v>497.38623521282221</v>
      </c>
      <c r="F127" s="112">
        <v>360.82971814495801</v>
      </c>
      <c r="G127" s="112">
        <v>0</v>
      </c>
      <c r="H127" s="112">
        <v>0</v>
      </c>
      <c r="I127" s="112">
        <v>0</v>
      </c>
      <c r="J127" s="112">
        <v>0</v>
      </c>
      <c r="K127" s="112">
        <v>0</v>
      </c>
      <c r="L127" s="112">
        <v>0</v>
      </c>
      <c r="M127" s="112">
        <v>0</v>
      </c>
      <c r="N127" s="112">
        <v>0</v>
      </c>
      <c r="O127" s="112">
        <v>0</v>
      </c>
      <c r="P127" s="112">
        <v>0</v>
      </c>
      <c r="Q127" s="112">
        <v>0</v>
      </c>
      <c r="R127" s="112">
        <v>0</v>
      </c>
      <c r="S127" s="112">
        <v>0</v>
      </c>
      <c r="T127" s="112">
        <v>0</v>
      </c>
      <c r="U127" s="112">
        <v>0</v>
      </c>
      <c r="V127" s="112">
        <v>0</v>
      </c>
      <c r="W127" s="112">
        <v>0</v>
      </c>
      <c r="X127" s="112">
        <v>0</v>
      </c>
      <c r="Y127" s="112">
        <v>0</v>
      </c>
      <c r="Z127" s="112">
        <v>0</v>
      </c>
      <c r="AA127" s="112">
        <v>0</v>
      </c>
      <c r="AB127" s="112">
        <v>0</v>
      </c>
      <c r="AC127" s="112">
        <v>0</v>
      </c>
      <c r="AD127" s="112">
        <v>0</v>
      </c>
      <c r="AE127" s="112">
        <v>0</v>
      </c>
      <c r="AF127" s="112">
        <v>0</v>
      </c>
      <c r="AG127" s="112">
        <v>0</v>
      </c>
      <c r="AH127" s="112">
        <v>0</v>
      </c>
      <c r="AI127" s="112">
        <v>0</v>
      </c>
      <c r="AJ127" s="112">
        <v>0</v>
      </c>
      <c r="AK127" s="112">
        <v>0</v>
      </c>
      <c r="AL127" s="112">
        <v>0</v>
      </c>
      <c r="AM127" s="112">
        <v>0</v>
      </c>
      <c r="AN127" s="112">
        <v>0</v>
      </c>
      <c r="AO127" s="112">
        <v>0</v>
      </c>
      <c r="AP127" s="112">
        <v>0</v>
      </c>
      <c r="AQ127" s="112">
        <v>0</v>
      </c>
      <c r="AR127" s="112">
        <v>0</v>
      </c>
      <c r="AS127" s="112">
        <v>0</v>
      </c>
      <c r="AT127" s="112">
        <v>0</v>
      </c>
      <c r="AU127" s="112">
        <v>0</v>
      </c>
      <c r="AV127" s="112">
        <v>0</v>
      </c>
      <c r="AW127" s="112">
        <v>0</v>
      </c>
      <c r="AX127" s="112">
        <v>0</v>
      </c>
      <c r="AY127" s="112">
        <v>0</v>
      </c>
    </row>
    <row r="128" spans="1:52" x14ac:dyDescent="0.2">
      <c r="A128" s="115"/>
      <c r="B128" s="125">
        <v>7</v>
      </c>
      <c r="C128" s="112">
        <v>702.74691045980194</v>
      </c>
      <c r="D128" s="112">
        <v>667.91099381449965</v>
      </c>
      <c r="E128" s="112">
        <v>480.49585857213339</v>
      </c>
      <c r="F128" s="112">
        <v>239.10111644443913</v>
      </c>
      <c r="G128" s="112">
        <v>0</v>
      </c>
      <c r="H128" s="112">
        <v>0</v>
      </c>
      <c r="I128" s="112">
        <v>0</v>
      </c>
      <c r="J128" s="112">
        <v>0</v>
      </c>
      <c r="K128" s="112">
        <v>0</v>
      </c>
      <c r="L128" s="112">
        <v>0</v>
      </c>
      <c r="M128" s="112">
        <v>0</v>
      </c>
      <c r="N128" s="112">
        <v>0</v>
      </c>
      <c r="O128" s="112">
        <v>0</v>
      </c>
      <c r="P128" s="112">
        <v>0</v>
      </c>
      <c r="Q128" s="112">
        <v>0</v>
      </c>
      <c r="R128" s="112">
        <v>0</v>
      </c>
      <c r="S128" s="112">
        <v>0</v>
      </c>
      <c r="T128" s="112">
        <v>0</v>
      </c>
      <c r="U128" s="112">
        <v>0</v>
      </c>
      <c r="V128" s="112">
        <v>0</v>
      </c>
      <c r="W128" s="112">
        <v>0</v>
      </c>
      <c r="X128" s="112">
        <v>0</v>
      </c>
      <c r="Y128" s="112">
        <v>0</v>
      </c>
      <c r="Z128" s="112">
        <v>0</v>
      </c>
      <c r="AA128" s="112">
        <v>0</v>
      </c>
      <c r="AB128" s="112">
        <v>0</v>
      </c>
      <c r="AC128" s="112">
        <v>0</v>
      </c>
      <c r="AD128" s="112">
        <v>0</v>
      </c>
      <c r="AE128" s="112">
        <v>0</v>
      </c>
      <c r="AF128" s="112">
        <v>0</v>
      </c>
      <c r="AG128" s="112">
        <v>0</v>
      </c>
      <c r="AH128" s="112">
        <v>0</v>
      </c>
      <c r="AI128" s="112">
        <v>0</v>
      </c>
      <c r="AJ128" s="112">
        <v>0</v>
      </c>
      <c r="AK128" s="112">
        <v>0</v>
      </c>
      <c r="AL128" s="112">
        <v>0</v>
      </c>
      <c r="AM128" s="112">
        <v>0</v>
      </c>
      <c r="AN128" s="112">
        <v>0</v>
      </c>
      <c r="AO128" s="112">
        <v>0</v>
      </c>
      <c r="AP128" s="112">
        <v>0</v>
      </c>
      <c r="AQ128" s="112">
        <v>0</v>
      </c>
      <c r="AR128" s="112">
        <v>0</v>
      </c>
      <c r="AS128" s="112">
        <v>0</v>
      </c>
      <c r="AT128" s="112">
        <v>0</v>
      </c>
      <c r="AU128" s="112">
        <v>0</v>
      </c>
      <c r="AV128" s="112">
        <v>0</v>
      </c>
      <c r="AW128" s="112">
        <v>0</v>
      </c>
      <c r="AX128" s="112">
        <v>0</v>
      </c>
      <c r="AY128" s="112">
        <v>0</v>
      </c>
    </row>
    <row r="129" spans="1:51" x14ac:dyDescent="0.2">
      <c r="A129" s="115"/>
      <c r="B129" s="125">
        <v>8</v>
      </c>
      <c r="C129" s="112">
        <v>118.56828031281304</v>
      </c>
      <c r="D129" s="112">
        <v>304.14681163797064</v>
      </c>
      <c r="E129" s="112">
        <v>95.117813996665063</v>
      </c>
      <c r="F129" s="112">
        <v>0</v>
      </c>
      <c r="G129" s="112">
        <v>0</v>
      </c>
      <c r="H129" s="112">
        <v>0</v>
      </c>
      <c r="I129" s="112">
        <v>0</v>
      </c>
      <c r="J129" s="112">
        <v>0</v>
      </c>
      <c r="K129" s="112">
        <v>0</v>
      </c>
      <c r="L129" s="112">
        <v>0</v>
      </c>
      <c r="M129" s="112">
        <v>0</v>
      </c>
      <c r="N129" s="112">
        <v>0</v>
      </c>
      <c r="O129" s="112">
        <v>0</v>
      </c>
      <c r="P129" s="112">
        <v>0</v>
      </c>
      <c r="Q129" s="112">
        <v>0</v>
      </c>
      <c r="R129" s="112">
        <v>0</v>
      </c>
      <c r="S129" s="112">
        <v>0</v>
      </c>
      <c r="T129" s="112">
        <v>0</v>
      </c>
      <c r="U129" s="112">
        <v>0</v>
      </c>
      <c r="V129" s="112">
        <v>0</v>
      </c>
      <c r="W129" s="112">
        <v>0</v>
      </c>
      <c r="X129" s="112">
        <v>0</v>
      </c>
      <c r="Y129" s="112">
        <v>0</v>
      </c>
      <c r="Z129" s="112">
        <v>0</v>
      </c>
      <c r="AA129" s="112">
        <v>0</v>
      </c>
      <c r="AB129" s="112">
        <v>0</v>
      </c>
      <c r="AC129" s="112">
        <v>0</v>
      </c>
      <c r="AD129" s="112">
        <v>0</v>
      </c>
      <c r="AE129" s="112">
        <v>0</v>
      </c>
      <c r="AF129" s="112">
        <v>0</v>
      </c>
      <c r="AG129" s="112">
        <v>0</v>
      </c>
      <c r="AH129" s="112">
        <v>0</v>
      </c>
      <c r="AI129" s="112">
        <v>0</v>
      </c>
      <c r="AJ129" s="112">
        <v>0</v>
      </c>
      <c r="AK129" s="112">
        <v>0</v>
      </c>
      <c r="AL129" s="112">
        <v>0</v>
      </c>
      <c r="AM129" s="112">
        <v>0</v>
      </c>
      <c r="AN129" s="112">
        <v>0</v>
      </c>
      <c r="AO129" s="112">
        <v>0</v>
      </c>
      <c r="AP129" s="112">
        <v>0</v>
      </c>
      <c r="AQ129" s="112">
        <v>0</v>
      </c>
      <c r="AR129" s="112">
        <v>0</v>
      </c>
      <c r="AS129" s="112">
        <v>0</v>
      </c>
      <c r="AT129" s="112">
        <v>0</v>
      </c>
      <c r="AU129" s="112">
        <v>0</v>
      </c>
      <c r="AV129" s="112">
        <v>0</v>
      </c>
      <c r="AW129" s="112">
        <v>0</v>
      </c>
      <c r="AX129" s="112">
        <v>0</v>
      </c>
      <c r="AY129" s="112">
        <v>0</v>
      </c>
    </row>
    <row r="130" spans="1:51" x14ac:dyDescent="0.2">
      <c r="A130" s="115"/>
      <c r="B130" s="125">
        <v>9</v>
      </c>
      <c r="C130" s="112">
        <v>0</v>
      </c>
      <c r="D130" s="112">
        <v>0</v>
      </c>
      <c r="E130" s="112">
        <v>0</v>
      </c>
      <c r="F130" s="112">
        <v>0</v>
      </c>
      <c r="G130" s="112">
        <v>0</v>
      </c>
      <c r="H130" s="112">
        <v>0</v>
      </c>
      <c r="I130" s="112">
        <v>0</v>
      </c>
      <c r="J130" s="112">
        <v>0</v>
      </c>
      <c r="K130" s="112">
        <v>0</v>
      </c>
      <c r="L130" s="112">
        <v>0</v>
      </c>
      <c r="M130" s="112">
        <v>0</v>
      </c>
      <c r="N130" s="112">
        <v>0</v>
      </c>
      <c r="O130" s="112">
        <v>0</v>
      </c>
      <c r="P130" s="112">
        <v>0</v>
      </c>
      <c r="Q130" s="112">
        <v>0</v>
      </c>
      <c r="R130" s="112">
        <v>0</v>
      </c>
      <c r="S130" s="112">
        <v>0</v>
      </c>
      <c r="T130" s="112">
        <v>0</v>
      </c>
      <c r="U130" s="112">
        <v>0</v>
      </c>
      <c r="V130" s="112">
        <v>0</v>
      </c>
      <c r="W130" s="112">
        <v>0</v>
      </c>
      <c r="X130" s="112">
        <v>0</v>
      </c>
      <c r="Y130" s="112">
        <v>0</v>
      </c>
      <c r="Z130" s="112">
        <v>0</v>
      </c>
      <c r="AA130" s="112">
        <v>0</v>
      </c>
      <c r="AB130" s="112">
        <v>0</v>
      </c>
      <c r="AC130" s="112">
        <v>0</v>
      </c>
      <c r="AD130" s="112">
        <v>0</v>
      </c>
      <c r="AE130" s="112">
        <v>0</v>
      </c>
      <c r="AF130" s="112">
        <v>0</v>
      </c>
      <c r="AG130" s="112">
        <v>0</v>
      </c>
      <c r="AH130" s="112">
        <v>0</v>
      </c>
      <c r="AI130" s="112">
        <v>0</v>
      </c>
      <c r="AJ130" s="112">
        <v>0</v>
      </c>
      <c r="AK130" s="112">
        <v>0</v>
      </c>
      <c r="AL130" s="112">
        <v>0</v>
      </c>
      <c r="AM130" s="112">
        <v>0</v>
      </c>
      <c r="AN130" s="112">
        <v>0</v>
      </c>
      <c r="AO130" s="112">
        <v>0</v>
      </c>
      <c r="AP130" s="112">
        <v>0</v>
      </c>
      <c r="AQ130" s="112">
        <v>0</v>
      </c>
      <c r="AR130" s="112">
        <v>0</v>
      </c>
      <c r="AS130" s="112">
        <v>0</v>
      </c>
      <c r="AT130" s="112">
        <v>0</v>
      </c>
      <c r="AU130" s="112">
        <v>0</v>
      </c>
      <c r="AV130" s="112">
        <v>0</v>
      </c>
      <c r="AW130" s="112">
        <v>0</v>
      </c>
      <c r="AX130" s="112">
        <v>0</v>
      </c>
      <c r="AY130" s="112">
        <v>0</v>
      </c>
    </row>
    <row r="131" spans="1:51" x14ac:dyDescent="0.2">
      <c r="A131" s="115"/>
      <c r="B131" s="125">
        <v>10</v>
      </c>
      <c r="C131" s="112">
        <v>0</v>
      </c>
      <c r="D131" s="112">
        <v>0</v>
      </c>
      <c r="E131" s="112">
        <v>0</v>
      </c>
      <c r="F131" s="112">
        <v>0</v>
      </c>
      <c r="G131" s="112">
        <v>0</v>
      </c>
      <c r="H131" s="112">
        <v>0</v>
      </c>
      <c r="I131" s="112">
        <v>0</v>
      </c>
      <c r="J131" s="112">
        <v>0</v>
      </c>
      <c r="K131" s="112">
        <v>0</v>
      </c>
      <c r="L131" s="112">
        <v>0</v>
      </c>
      <c r="M131" s="112">
        <v>0</v>
      </c>
      <c r="N131" s="112">
        <v>0</v>
      </c>
      <c r="O131" s="112">
        <v>0</v>
      </c>
      <c r="P131" s="112">
        <v>0</v>
      </c>
      <c r="Q131" s="112">
        <v>0</v>
      </c>
      <c r="R131" s="112">
        <v>0</v>
      </c>
      <c r="S131" s="112">
        <v>0</v>
      </c>
      <c r="T131" s="112">
        <v>0</v>
      </c>
      <c r="U131" s="112">
        <v>0</v>
      </c>
      <c r="V131" s="112">
        <v>0</v>
      </c>
      <c r="W131" s="112">
        <v>0</v>
      </c>
      <c r="X131" s="112">
        <v>0</v>
      </c>
      <c r="Y131" s="112">
        <v>0</v>
      </c>
      <c r="Z131" s="112">
        <v>0</v>
      </c>
      <c r="AA131" s="112">
        <v>0</v>
      </c>
      <c r="AB131" s="112">
        <v>0</v>
      </c>
      <c r="AC131" s="112">
        <v>0</v>
      </c>
      <c r="AD131" s="112">
        <v>0</v>
      </c>
      <c r="AE131" s="112">
        <v>0</v>
      </c>
      <c r="AF131" s="112">
        <v>0</v>
      </c>
      <c r="AG131" s="112">
        <v>0</v>
      </c>
      <c r="AH131" s="112">
        <v>0</v>
      </c>
      <c r="AI131" s="112">
        <v>0</v>
      </c>
      <c r="AJ131" s="112">
        <v>0</v>
      </c>
      <c r="AK131" s="112">
        <v>0</v>
      </c>
      <c r="AL131" s="112">
        <v>0</v>
      </c>
      <c r="AM131" s="112">
        <v>0</v>
      </c>
      <c r="AN131" s="112">
        <v>0</v>
      </c>
      <c r="AO131" s="112">
        <v>0</v>
      </c>
      <c r="AP131" s="112">
        <v>0</v>
      </c>
      <c r="AQ131" s="112">
        <v>0</v>
      </c>
      <c r="AR131" s="112">
        <v>0</v>
      </c>
      <c r="AS131" s="112">
        <v>0</v>
      </c>
      <c r="AT131" s="112">
        <v>0</v>
      </c>
      <c r="AU131" s="112">
        <v>0</v>
      </c>
      <c r="AV131" s="112">
        <v>0</v>
      </c>
      <c r="AW131" s="112">
        <v>0</v>
      </c>
      <c r="AX131" s="112">
        <v>0</v>
      </c>
      <c r="AY131" s="112">
        <v>0</v>
      </c>
    </row>
    <row r="132" spans="1:51" x14ac:dyDescent="0.2">
      <c r="A132" s="115"/>
      <c r="B132" s="125">
        <v>11</v>
      </c>
      <c r="C132" s="112">
        <v>0</v>
      </c>
      <c r="D132" s="112">
        <v>0</v>
      </c>
      <c r="E132" s="112">
        <v>0</v>
      </c>
      <c r="F132" s="112">
        <v>0</v>
      </c>
      <c r="G132" s="112">
        <v>0</v>
      </c>
      <c r="H132" s="112">
        <v>0</v>
      </c>
      <c r="I132" s="112">
        <v>0</v>
      </c>
      <c r="J132" s="112">
        <v>0</v>
      </c>
      <c r="K132" s="112">
        <v>0</v>
      </c>
      <c r="L132" s="112">
        <v>0</v>
      </c>
      <c r="M132" s="112">
        <v>0</v>
      </c>
      <c r="N132" s="112">
        <v>0</v>
      </c>
      <c r="O132" s="112">
        <v>0</v>
      </c>
      <c r="P132" s="112">
        <v>0</v>
      </c>
      <c r="Q132" s="112">
        <v>0</v>
      </c>
      <c r="R132" s="112">
        <v>0</v>
      </c>
      <c r="S132" s="112">
        <v>0</v>
      </c>
      <c r="T132" s="112">
        <v>0</v>
      </c>
      <c r="U132" s="112">
        <v>0</v>
      </c>
      <c r="V132" s="112">
        <v>0</v>
      </c>
      <c r="W132" s="112">
        <v>0</v>
      </c>
      <c r="X132" s="112">
        <v>0</v>
      </c>
      <c r="Y132" s="112">
        <v>0</v>
      </c>
      <c r="Z132" s="112">
        <v>0</v>
      </c>
      <c r="AA132" s="112">
        <v>0</v>
      </c>
      <c r="AB132" s="112">
        <v>0</v>
      </c>
      <c r="AC132" s="112">
        <v>0</v>
      </c>
      <c r="AD132" s="112">
        <v>0</v>
      </c>
      <c r="AE132" s="112">
        <v>0</v>
      </c>
      <c r="AF132" s="112">
        <v>0</v>
      </c>
      <c r="AG132" s="112">
        <v>0</v>
      </c>
      <c r="AH132" s="112">
        <v>0</v>
      </c>
      <c r="AI132" s="112">
        <v>0</v>
      </c>
      <c r="AJ132" s="112">
        <v>0</v>
      </c>
      <c r="AK132" s="112">
        <v>0</v>
      </c>
      <c r="AL132" s="112">
        <v>0</v>
      </c>
      <c r="AM132" s="112">
        <v>0</v>
      </c>
      <c r="AN132" s="112">
        <v>0</v>
      </c>
      <c r="AO132" s="112">
        <v>0</v>
      </c>
      <c r="AP132" s="112">
        <v>0</v>
      </c>
      <c r="AQ132" s="112">
        <v>0</v>
      </c>
      <c r="AR132" s="112">
        <v>0</v>
      </c>
      <c r="AS132" s="112">
        <v>0</v>
      </c>
      <c r="AT132" s="112">
        <v>0</v>
      </c>
      <c r="AU132" s="112">
        <v>0</v>
      </c>
      <c r="AV132" s="112">
        <v>0</v>
      </c>
      <c r="AW132" s="112">
        <v>0</v>
      </c>
      <c r="AX132" s="112">
        <v>0</v>
      </c>
      <c r="AY132" s="112">
        <v>0</v>
      </c>
    </row>
    <row r="133" spans="1:51" x14ac:dyDescent="0.2">
      <c r="A133" s="115"/>
      <c r="B133" s="125">
        <v>12</v>
      </c>
      <c r="C133" s="112">
        <v>0</v>
      </c>
      <c r="D133" s="112">
        <v>0</v>
      </c>
      <c r="E133" s="112">
        <v>0</v>
      </c>
      <c r="F133" s="112">
        <v>0</v>
      </c>
      <c r="G133" s="112">
        <v>0</v>
      </c>
      <c r="H133" s="112">
        <v>0</v>
      </c>
      <c r="I133" s="112">
        <v>0</v>
      </c>
      <c r="J133" s="112">
        <v>0</v>
      </c>
      <c r="K133" s="112">
        <v>0</v>
      </c>
      <c r="L133" s="112">
        <v>0</v>
      </c>
      <c r="M133" s="112">
        <v>0</v>
      </c>
      <c r="N133" s="112">
        <v>0</v>
      </c>
      <c r="O133" s="112">
        <v>0</v>
      </c>
      <c r="P133" s="112">
        <v>0</v>
      </c>
      <c r="Q133" s="112">
        <v>0</v>
      </c>
      <c r="R133" s="112">
        <v>0</v>
      </c>
      <c r="S133" s="112">
        <v>0</v>
      </c>
      <c r="T133" s="112">
        <v>0</v>
      </c>
      <c r="U133" s="112">
        <v>0</v>
      </c>
      <c r="V133" s="112">
        <v>0</v>
      </c>
      <c r="W133" s="112">
        <v>0</v>
      </c>
      <c r="X133" s="112">
        <v>0</v>
      </c>
      <c r="Y133" s="112">
        <v>0</v>
      </c>
      <c r="Z133" s="112">
        <v>0</v>
      </c>
      <c r="AA133" s="112">
        <v>0</v>
      </c>
      <c r="AB133" s="112">
        <v>0</v>
      </c>
      <c r="AC133" s="112">
        <v>0</v>
      </c>
      <c r="AD133" s="112">
        <v>0</v>
      </c>
      <c r="AE133" s="112">
        <v>0</v>
      </c>
      <c r="AF133" s="112">
        <v>0</v>
      </c>
      <c r="AG133" s="112">
        <v>0</v>
      </c>
      <c r="AH133" s="112">
        <v>0</v>
      </c>
      <c r="AI133" s="112">
        <v>0</v>
      </c>
      <c r="AJ133" s="112">
        <v>0</v>
      </c>
      <c r="AK133" s="112">
        <v>0</v>
      </c>
      <c r="AL133" s="112">
        <v>0</v>
      </c>
      <c r="AM133" s="112">
        <v>0</v>
      </c>
      <c r="AN133" s="112">
        <v>0</v>
      </c>
      <c r="AO133" s="112">
        <v>0</v>
      </c>
      <c r="AP133" s="112">
        <v>0</v>
      </c>
      <c r="AQ133" s="112">
        <v>0</v>
      </c>
      <c r="AR133" s="112">
        <v>0</v>
      </c>
      <c r="AS133" s="112">
        <v>0</v>
      </c>
      <c r="AT133" s="112">
        <v>0</v>
      </c>
      <c r="AU133" s="112">
        <v>0</v>
      </c>
      <c r="AV133" s="112">
        <v>0</v>
      </c>
      <c r="AW133" s="112">
        <v>0</v>
      </c>
      <c r="AX133" s="112">
        <v>0</v>
      </c>
      <c r="AY133" s="112">
        <v>0</v>
      </c>
    </row>
    <row r="134" spans="1:51" x14ac:dyDescent="0.2">
      <c r="A134" s="115"/>
      <c r="B134" s="126">
        <v>13</v>
      </c>
      <c r="C134" s="112">
        <v>0</v>
      </c>
      <c r="D134" s="112">
        <v>0</v>
      </c>
      <c r="E134" s="112">
        <v>0</v>
      </c>
      <c r="F134" s="112">
        <v>0</v>
      </c>
      <c r="G134" s="112">
        <v>0</v>
      </c>
      <c r="H134" s="112">
        <v>0</v>
      </c>
      <c r="I134" s="112">
        <v>0</v>
      </c>
      <c r="J134" s="112">
        <v>0</v>
      </c>
      <c r="K134" s="112">
        <v>0</v>
      </c>
      <c r="L134" s="112">
        <v>0</v>
      </c>
      <c r="M134" s="112">
        <v>0</v>
      </c>
      <c r="N134" s="112">
        <v>0</v>
      </c>
      <c r="O134" s="112">
        <v>0</v>
      </c>
      <c r="P134" s="112">
        <v>0</v>
      </c>
      <c r="Q134" s="112">
        <v>0</v>
      </c>
      <c r="R134" s="112">
        <v>0</v>
      </c>
      <c r="S134" s="112">
        <v>0</v>
      </c>
      <c r="T134" s="112">
        <v>0</v>
      </c>
      <c r="U134" s="112">
        <v>0</v>
      </c>
      <c r="V134" s="112">
        <v>0</v>
      </c>
      <c r="W134" s="112">
        <v>0</v>
      </c>
      <c r="X134" s="112">
        <v>0</v>
      </c>
      <c r="Y134" s="112">
        <v>0</v>
      </c>
      <c r="Z134" s="112">
        <v>0</v>
      </c>
      <c r="AA134" s="112">
        <v>0</v>
      </c>
      <c r="AB134" s="112">
        <v>0</v>
      </c>
      <c r="AC134" s="112">
        <v>0</v>
      </c>
      <c r="AD134" s="112">
        <v>0</v>
      </c>
      <c r="AE134" s="112">
        <v>0</v>
      </c>
      <c r="AF134" s="112">
        <v>0</v>
      </c>
      <c r="AG134" s="112">
        <v>0</v>
      </c>
      <c r="AH134" s="112">
        <v>0</v>
      </c>
      <c r="AI134" s="112">
        <v>0</v>
      </c>
      <c r="AJ134" s="112">
        <v>0</v>
      </c>
      <c r="AK134" s="112">
        <v>0</v>
      </c>
      <c r="AL134" s="112">
        <v>0</v>
      </c>
      <c r="AM134" s="112">
        <v>0</v>
      </c>
      <c r="AN134" s="112">
        <v>0</v>
      </c>
      <c r="AO134" s="112">
        <v>0</v>
      </c>
      <c r="AP134" s="112">
        <v>0</v>
      </c>
      <c r="AQ134" s="112">
        <v>0</v>
      </c>
      <c r="AR134" s="112">
        <v>0</v>
      </c>
      <c r="AS134" s="112">
        <v>0</v>
      </c>
      <c r="AT134" s="112">
        <v>0</v>
      </c>
      <c r="AU134" s="112">
        <v>0</v>
      </c>
      <c r="AV134" s="112">
        <v>0</v>
      </c>
      <c r="AW134" s="112">
        <v>0</v>
      </c>
      <c r="AX134" s="112">
        <v>0</v>
      </c>
      <c r="AY134" s="112">
        <v>0</v>
      </c>
    </row>
    <row r="135" spans="1:51" x14ac:dyDescent="0.2">
      <c r="A135" s="115"/>
      <c r="B135" s="126">
        <v>14</v>
      </c>
      <c r="C135" s="112">
        <v>0</v>
      </c>
      <c r="D135" s="112">
        <v>0</v>
      </c>
      <c r="E135" s="112">
        <v>0</v>
      </c>
      <c r="F135" s="112">
        <v>0</v>
      </c>
      <c r="G135" s="112">
        <v>0</v>
      </c>
      <c r="H135" s="112">
        <v>0</v>
      </c>
      <c r="I135" s="112">
        <v>0</v>
      </c>
      <c r="J135" s="112">
        <v>0</v>
      </c>
      <c r="K135" s="112">
        <v>0</v>
      </c>
      <c r="L135" s="112">
        <v>0</v>
      </c>
      <c r="M135" s="112">
        <v>0</v>
      </c>
      <c r="N135" s="112">
        <v>0</v>
      </c>
      <c r="O135" s="112">
        <v>0</v>
      </c>
      <c r="P135" s="112">
        <v>0</v>
      </c>
      <c r="Q135" s="112">
        <v>0</v>
      </c>
      <c r="R135" s="112">
        <v>0</v>
      </c>
      <c r="S135" s="112">
        <v>0</v>
      </c>
      <c r="T135" s="112">
        <v>0</v>
      </c>
      <c r="U135" s="112">
        <v>0</v>
      </c>
      <c r="V135" s="112">
        <v>0</v>
      </c>
      <c r="W135" s="112">
        <v>0</v>
      </c>
      <c r="X135" s="112">
        <v>0</v>
      </c>
      <c r="Y135" s="112">
        <v>0</v>
      </c>
      <c r="Z135" s="112">
        <v>0</v>
      </c>
      <c r="AA135" s="112">
        <v>0</v>
      </c>
      <c r="AB135" s="112">
        <v>0</v>
      </c>
      <c r="AC135" s="112">
        <v>0</v>
      </c>
      <c r="AD135" s="112">
        <v>0</v>
      </c>
      <c r="AE135" s="112">
        <v>0</v>
      </c>
      <c r="AF135" s="112">
        <v>0</v>
      </c>
      <c r="AG135" s="112">
        <v>0</v>
      </c>
      <c r="AH135" s="112">
        <v>0</v>
      </c>
      <c r="AI135" s="112">
        <v>0</v>
      </c>
      <c r="AJ135" s="112">
        <v>0</v>
      </c>
      <c r="AK135" s="112">
        <v>0</v>
      </c>
      <c r="AL135" s="112">
        <v>0</v>
      </c>
      <c r="AM135" s="112">
        <v>0</v>
      </c>
      <c r="AN135" s="112">
        <v>0</v>
      </c>
      <c r="AO135" s="112">
        <v>0</v>
      </c>
      <c r="AP135" s="112">
        <v>0</v>
      </c>
      <c r="AQ135" s="112">
        <v>0</v>
      </c>
      <c r="AR135" s="112">
        <v>0</v>
      </c>
      <c r="AS135" s="112">
        <v>0</v>
      </c>
      <c r="AT135" s="112">
        <v>0</v>
      </c>
      <c r="AU135" s="112">
        <v>0</v>
      </c>
      <c r="AV135" s="112">
        <v>0</v>
      </c>
      <c r="AW135" s="112">
        <v>0</v>
      </c>
      <c r="AX135" s="112">
        <v>0</v>
      </c>
      <c r="AY135" s="112">
        <v>0</v>
      </c>
    </row>
    <row r="136" spans="1:51" x14ac:dyDescent="0.2">
      <c r="A136" s="115"/>
      <c r="B136" s="126">
        <v>15</v>
      </c>
      <c r="C136" s="112">
        <v>0</v>
      </c>
      <c r="D136" s="112">
        <v>0</v>
      </c>
      <c r="E136" s="112">
        <v>0</v>
      </c>
      <c r="F136" s="112">
        <v>0</v>
      </c>
      <c r="G136" s="112">
        <v>0</v>
      </c>
      <c r="H136" s="112">
        <v>0</v>
      </c>
      <c r="I136" s="112">
        <v>0</v>
      </c>
      <c r="J136" s="112">
        <v>0</v>
      </c>
      <c r="K136" s="112">
        <v>0</v>
      </c>
      <c r="L136" s="112">
        <v>0</v>
      </c>
      <c r="M136" s="112">
        <v>0</v>
      </c>
      <c r="N136" s="112">
        <v>0</v>
      </c>
      <c r="O136" s="112">
        <v>0</v>
      </c>
      <c r="P136" s="112">
        <v>0</v>
      </c>
      <c r="Q136" s="112">
        <v>0</v>
      </c>
      <c r="R136" s="112">
        <v>0</v>
      </c>
      <c r="S136" s="112">
        <v>0</v>
      </c>
      <c r="T136" s="112">
        <v>0</v>
      </c>
      <c r="U136" s="112">
        <v>0</v>
      </c>
      <c r="V136" s="112">
        <v>0</v>
      </c>
      <c r="W136" s="112">
        <v>0</v>
      </c>
      <c r="X136" s="112">
        <v>0</v>
      </c>
      <c r="Y136" s="112">
        <v>0</v>
      </c>
      <c r="Z136" s="112">
        <v>0</v>
      </c>
      <c r="AA136" s="112">
        <v>0</v>
      </c>
      <c r="AB136" s="112">
        <v>0</v>
      </c>
      <c r="AC136" s="112">
        <v>0</v>
      </c>
      <c r="AD136" s="112">
        <v>0</v>
      </c>
      <c r="AE136" s="112">
        <v>0</v>
      </c>
      <c r="AF136" s="112">
        <v>0</v>
      </c>
      <c r="AG136" s="112">
        <v>0</v>
      </c>
      <c r="AH136" s="112">
        <v>0</v>
      </c>
      <c r="AI136" s="112">
        <v>0</v>
      </c>
      <c r="AJ136" s="112">
        <v>0</v>
      </c>
      <c r="AK136" s="112">
        <v>0</v>
      </c>
      <c r="AL136" s="112">
        <v>0</v>
      </c>
      <c r="AM136" s="112">
        <v>0</v>
      </c>
      <c r="AN136" s="112">
        <v>0</v>
      </c>
      <c r="AO136" s="112">
        <v>0</v>
      </c>
      <c r="AP136" s="112">
        <v>0</v>
      </c>
      <c r="AQ136" s="112">
        <v>0</v>
      </c>
      <c r="AR136" s="112">
        <v>0</v>
      </c>
      <c r="AS136" s="112">
        <v>0</v>
      </c>
      <c r="AT136" s="112">
        <v>0</v>
      </c>
      <c r="AU136" s="112">
        <v>0</v>
      </c>
      <c r="AV136" s="112">
        <v>0</v>
      </c>
      <c r="AW136" s="112">
        <v>0</v>
      </c>
      <c r="AX136" s="112">
        <v>0</v>
      </c>
      <c r="AY136" s="112">
        <v>0</v>
      </c>
    </row>
    <row r="137" spans="1:51" x14ac:dyDescent="0.2">
      <c r="A137" s="115"/>
      <c r="B137" s="126">
        <v>16</v>
      </c>
      <c r="C137" s="112">
        <v>0</v>
      </c>
      <c r="D137" s="112">
        <v>0</v>
      </c>
      <c r="E137" s="112">
        <v>0</v>
      </c>
      <c r="F137" s="112">
        <v>0</v>
      </c>
      <c r="G137" s="112">
        <v>0</v>
      </c>
      <c r="H137" s="112">
        <v>0</v>
      </c>
      <c r="I137" s="112">
        <v>0</v>
      </c>
      <c r="J137" s="112">
        <v>0</v>
      </c>
      <c r="K137" s="112">
        <v>0</v>
      </c>
      <c r="L137" s="112">
        <v>0</v>
      </c>
      <c r="M137" s="112">
        <v>0</v>
      </c>
      <c r="N137" s="112">
        <v>0</v>
      </c>
      <c r="O137" s="112">
        <v>0</v>
      </c>
      <c r="P137" s="112">
        <v>0</v>
      </c>
      <c r="Q137" s="112">
        <v>0</v>
      </c>
      <c r="R137" s="112">
        <v>0</v>
      </c>
      <c r="S137" s="112">
        <v>0</v>
      </c>
      <c r="T137" s="112">
        <v>0</v>
      </c>
      <c r="U137" s="112">
        <v>0</v>
      </c>
      <c r="V137" s="112">
        <v>0</v>
      </c>
      <c r="W137" s="112">
        <v>0</v>
      </c>
      <c r="X137" s="112">
        <v>0</v>
      </c>
      <c r="Y137" s="112">
        <v>0</v>
      </c>
      <c r="Z137" s="112">
        <v>0</v>
      </c>
      <c r="AA137" s="112">
        <v>0</v>
      </c>
      <c r="AB137" s="112">
        <v>0</v>
      </c>
      <c r="AC137" s="112">
        <v>0</v>
      </c>
      <c r="AD137" s="112">
        <v>0</v>
      </c>
      <c r="AE137" s="112">
        <v>0</v>
      </c>
      <c r="AF137" s="112">
        <v>0</v>
      </c>
      <c r="AG137" s="112">
        <v>0</v>
      </c>
      <c r="AH137" s="112">
        <v>0</v>
      </c>
      <c r="AI137" s="112">
        <v>0</v>
      </c>
      <c r="AJ137" s="112">
        <v>0</v>
      </c>
      <c r="AK137" s="112">
        <v>0</v>
      </c>
      <c r="AL137" s="112">
        <v>0</v>
      </c>
      <c r="AM137" s="112">
        <v>0</v>
      </c>
      <c r="AN137" s="112">
        <v>0</v>
      </c>
      <c r="AO137" s="112">
        <v>0</v>
      </c>
      <c r="AP137" s="112">
        <v>0</v>
      </c>
      <c r="AQ137" s="112">
        <v>0</v>
      </c>
      <c r="AR137" s="112">
        <v>0</v>
      </c>
      <c r="AS137" s="112">
        <v>0</v>
      </c>
      <c r="AT137" s="112">
        <v>0</v>
      </c>
      <c r="AU137" s="112">
        <v>0</v>
      </c>
      <c r="AV137" s="112">
        <v>0</v>
      </c>
      <c r="AW137" s="112">
        <v>0</v>
      </c>
      <c r="AX137" s="112">
        <v>0</v>
      </c>
      <c r="AY137" s="112">
        <v>0</v>
      </c>
    </row>
    <row r="138" spans="1:51" x14ac:dyDescent="0.2">
      <c r="A138" s="115"/>
      <c r="B138" s="126">
        <v>17</v>
      </c>
      <c r="C138" s="112">
        <v>0</v>
      </c>
      <c r="D138" s="112">
        <v>0</v>
      </c>
      <c r="E138" s="112">
        <v>0</v>
      </c>
      <c r="F138" s="112">
        <v>0</v>
      </c>
      <c r="G138" s="112">
        <v>0</v>
      </c>
      <c r="H138" s="112">
        <v>0</v>
      </c>
      <c r="I138" s="112">
        <v>0</v>
      </c>
      <c r="J138" s="112">
        <v>0</v>
      </c>
      <c r="K138" s="112">
        <v>0</v>
      </c>
      <c r="L138" s="112">
        <v>0</v>
      </c>
      <c r="M138" s="112">
        <v>0</v>
      </c>
      <c r="N138" s="112">
        <v>0</v>
      </c>
      <c r="O138" s="112">
        <v>0</v>
      </c>
      <c r="P138" s="112">
        <v>0</v>
      </c>
      <c r="Q138" s="112">
        <v>0</v>
      </c>
      <c r="R138" s="112">
        <v>0</v>
      </c>
      <c r="S138" s="112">
        <v>0</v>
      </c>
      <c r="T138" s="112">
        <v>0</v>
      </c>
      <c r="U138" s="112">
        <v>0</v>
      </c>
      <c r="V138" s="112">
        <v>0</v>
      </c>
      <c r="W138" s="112">
        <v>0</v>
      </c>
      <c r="X138" s="112">
        <v>0</v>
      </c>
      <c r="Y138" s="112">
        <v>0</v>
      </c>
      <c r="Z138" s="112">
        <v>0</v>
      </c>
      <c r="AA138" s="112">
        <v>0</v>
      </c>
      <c r="AB138" s="112">
        <v>0</v>
      </c>
      <c r="AC138" s="112">
        <v>0</v>
      </c>
      <c r="AD138" s="112">
        <v>0</v>
      </c>
      <c r="AE138" s="112">
        <v>0</v>
      </c>
      <c r="AF138" s="112">
        <v>0</v>
      </c>
      <c r="AG138" s="112">
        <v>0</v>
      </c>
      <c r="AH138" s="112">
        <v>0</v>
      </c>
      <c r="AI138" s="112">
        <v>0</v>
      </c>
      <c r="AJ138" s="112">
        <v>0</v>
      </c>
      <c r="AK138" s="112">
        <v>0</v>
      </c>
      <c r="AL138" s="112">
        <v>0</v>
      </c>
      <c r="AM138" s="112">
        <v>0</v>
      </c>
      <c r="AN138" s="112">
        <v>0</v>
      </c>
      <c r="AO138" s="112">
        <v>0</v>
      </c>
      <c r="AP138" s="112">
        <v>0</v>
      </c>
      <c r="AQ138" s="112">
        <v>0</v>
      </c>
      <c r="AR138" s="112">
        <v>0</v>
      </c>
      <c r="AS138" s="112">
        <v>0</v>
      </c>
      <c r="AT138" s="112">
        <v>0</v>
      </c>
      <c r="AU138" s="112">
        <v>0</v>
      </c>
      <c r="AV138" s="112">
        <v>0</v>
      </c>
      <c r="AW138" s="112">
        <v>0</v>
      </c>
      <c r="AX138" s="112">
        <v>0</v>
      </c>
      <c r="AY138" s="112">
        <v>0</v>
      </c>
    </row>
    <row r="139" spans="1:51" x14ac:dyDescent="0.2">
      <c r="A139" s="115"/>
      <c r="B139" s="126">
        <v>18</v>
      </c>
      <c r="C139" s="112">
        <v>0</v>
      </c>
      <c r="D139" s="112">
        <v>0</v>
      </c>
      <c r="E139" s="112">
        <v>0</v>
      </c>
      <c r="F139" s="112">
        <v>0</v>
      </c>
      <c r="G139" s="112">
        <v>0</v>
      </c>
      <c r="H139" s="112">
        <v>0</v>
      </c>
      <c r="I139" s="112">
        <v>0</v>
      </c>
      <c r="J139" s="112">
        <v>0</v>
      </c>
      <c r="K139" s="112">
        <v>0</v>
      </c>
      <c r="L139" s="112">
        <v>0</v>
      </c>
      <c r="M139" s="112">
        <v>0</v>
      </c>
      <c r="N139" s="112">
        <v>0</v>
      </c>
      <c r="O139" s="112">
        <v>0</v>
      </c>
      <c r="P139" s="112">
        <v>0</v>
      </c>
      <c r="Q139" s="112">
        <v>0</v>
      </c>
      <c r="R139" s="112">
        <v>0</v>
      </c>
      <c r="S139" s="112">
        <v>0</v>
      </c>
      <c r="T139" s="112">
        <v>0</v>
      </c>
      <c r="U139" s="112">
        <v>0</v>
      </c>
      <c r="V139" s="112">
        <v>0</v>
      </c>
      <c r="W139" s="112">
        <v>0</v>
      </c>
      <c r="X139" s="112">
        <v>0</v>
      </c>
      <c r="Y139" s="112">
        <v>0</v>
      </c>
      <c r="Z139" s="112">
        <v>0</v>
      </c>
      <c r="AA139" s="112">
        <v>0</v>
      </c>
      <c r="AB139" s="112">
        <v>0</v>
      </c>
      <c r="AC139" s="112">
        <v>0</v>
      </c>
      <c r="AD139" s="112">
        <v>0</v>
      </c>
      <c r="AE139" s="112">
        <v>0</v>
      </c>
      <c r="AF139" s="112">
        <v>0</v>
      </c>
      <c r="AG139" s="112">
        <v>0</v>
      </c>
      <c r="AH139" s="112">
        <v>0</v>
      </c>
      <c r="AI139" s="112">
        <v>0</v>
      </c>
      <c r="AJ139" s="112">
        <v>0</v>
      </c>
      <c r="AK139" s="112">
        <v>0</v>
      </c>
      <c r="AL139" s="112">
        <v>0</v>
      </c>
      <c r="AM139" s="112">
        <v>0</v>
      </c>
      <c r="AN139" s="112">
        <v>0</v>
      </c>
      <c r="AO139" s="112">
        <v>0</v>
      </c>
      <c r="AP139" s="112">
        <v>0</v>
      </c>
      <c r="AQ139" s="112">
        <v>0</v>
      </c>
      <c r="AR139" s="112">
        <v>0</v>
      </c>
      <c r="AS139" s="112">
        <v>0</v>
      </c>
      <c r="AT139" s="112">
        <v>0</v>
      </c>
      <c r="AU139" s="112">
        <v>0</v>
      </c>
      <c r="AV139" s="112">
        <v>0</v>
      </c>
      <c r="AW139" s="112">
        <v>0</v>
      </c>
      <c r="AX139" s="112">
        <v>0</v>
      </c>
      <c r="AY139" s="112">
        <v>0</v>
      </c>
    </row>
    <row r="140" spans="1:51" x14ac:dyDescent="0.2">
      <c r="A140" s="115"/>
      <c r="B140" s="126">
        <v>19</v>
      </c>
      <c r="C140" s="112">
        <v>0</v>
      </c>
      <c r="D140" s="112">
        <v>0</v>
      </c>
      <c r="E140" s="112">
        <v>0</v>
      </c>
      <c r="F140" s="112">
        <v>0</v>
      </c>
      <c r="G140" s="112">
        <v>0</v>
      </c>
      <c r="H140" s="112">
        <v>0</v>
      </c>
      <c r="I140" s="112">
        <v>0</v>
      </c>
      <c r="J140" s="112">
        <v>0</v>
      </c>
      <c r="K140" s="112">
        <v>0</v>
      </c>
      <c r="L140" s="112">
        <v>0</v>
      </c>
      <c r="M140" s="112">
        <v>0</v>
      </c>
      <c r="N140" s="112">
        <v>0</v>
      </c>
      <c r="O140" s="112">
        <v>0</v>
      </c>
      <c r="P140" s="112">
        <v>0</v>
      </c>
      <c r="Q140" s="112">
        <v>0</v>
      </c>
      <c r="R140" s="112">
        <v>0</v>
      </c>
      <c r="S140" s="112">
        <v>0</v>
      </c>
      <c r="T140" s="112">
        <v>0</v>
      </c>
      <c r="U140" s="112">
        <v>0</v>
      </c>
      <c r="V140" s="112">
        <v>0</v>
      </c>
      <c r="W140" s="112">
        <v>0</v>
      </c>
      <c r="X140" s="112">
        <v>0</v>
      </c>
      <c r="Y140" s="112">
        <v>0</v>
      </c>
      <c r="Z140" s="112">
        <v>0</v>
      </c>
      <c r="AA140" s="112">
        <v>0</v>
      </c>
      <c r="AB140" s="112">
        <v>0</v>
      </c>
      <c r="AC140" s="112">
        <v>0</v>
      </c>
      <c r="AD140" s="112">
        <v>0</v>
      </c>
      <c r="AE140" s="112">
        <v>0</v>
      </c>
      <c r="AF140" s="112">
        <v>0</v>
      </c>
      <c r="AG140" s="112">
        <v>0</v>
      </c>
      <c r="AH140" s="112">
        <v>0</v>
      </c>
      <c r="AI140" s="112">
        <v>0</v>
      </c>
      <c r="AJ140" s="112">
        <v>0</v>
      </c>
      <c r="AK140" s="112">
        <v>0</v>
      </c>
      <c r="AL140" s="112">
        <v>0</v>
      </c>
      <c r="AM140" s="112">
        <v>0</v>
      </c>
      <c r="AN140" s="112">
        <v>0</v>
      </c>
      <c r="AO140" s="112">
        <v>0</v>
      </c>
      <c r="AP140" s="112">
        <v>0</v>
      </c>
      <c r="AQ140" s="112">
        <v>0</v>
      </c>
      <c r="AR140" s="112">
        <v>0</v>
      </c>
      <c r="AS140" s="112">
        <v>0</v>
      </c>
      <c r="AT140" s="112">
        <v>0</v>
      </c>
      <c r="AU140" s="112">
        <v>0</v>
      </c>
      <c r="AV140" s="112">
        <v>0</v>
      </c>
      <c r="AW140" s="112">
        <v>0</v>
      </c>
      <c r="AX140" s="112">
        <v>0</v>
      </c>
      <c r="AY140" s="112">
        <v>0</v>
      </c>
    </row>
    <row r="141" spans="1:51" x14ac:dyDescent="0.2">
      <c r="A141" s="115"/>
      <c r="B141" s="126">
        <v>20</v>
      </c>
      <c r="C141" s="112">
        <v>0</v>
      </c>
      <c r="D141" s="112">
        <v>0</v>
      </c>
      <c r="E141" s="112">
        <v>0</v>
      </c>
      <c r="F141" s="112">
        <v>0</v>
      </c>
      <c r="G141" s="112">
        <v>0</v>
      </c>
      <c r="H141" s="112">
        <v>0</v>
      </c>
      <c r="I141" s="112">
        <v>0</v>
      </c>
      <c r="J141" s="112">
        <v>0</v>
      </c>
      <c r="K141" s="112">
        <v>0</v>
      </c>
      <c r="L141" s="112">
        <v>0</v>
      </c>
      <c r="M141" s="112">
        <v>0</v>
      </c>
      <c r="N141" s="112">
        <v>0</v>
      </c>
      <c r="O141" s="112">
        <v>0</v>
      </c>
      <c r="P141" s="112">
        <v>0</v>
      </c>
      <c r="Q141" s="112">
        <v>0</v>
      </c>
      <c r="R141" s="112">
        <v>0</v>
      </c>
      <c r="S141" s="112">
        <v>0</v>
      </c>
      <c r="T141" s="112">
        <v>0</v>
      </c>
      <c r="U141" s="112">
        <v>0</v>
      </c>
      <c r="V141" s="112">
        <v>0</v>
      </c>
      <c r="W141" s="112">
        <v>0</v>
      </c>
      <c r="X141" s="112">
        <v>0</v>
      </c>
      <c r="Y141" s="112">
        <v>0</v>
      </c>
      <c r="Z141" s="112">
        <v>0</v>
      </c>
      <c r="AA141" s="112">
        <v>0</v>
      </c>
      <c r="AB141" s="112">
        <v>0</v>
      </c>
      <c r="AC141" s="112">
        <v>0</v>
      </c>
      <c r="AD141" s="112">
        <v>0</v>
      </c>
      <c r="AE141" s="112">
        <v>0</v>
      </c>
      <c r="AF141" s="112">
        <v>0</v>
      </c>
      <c r="AG141" s="112">
        <v>0</v>
      </c>
      <c r="AH141" s="112">
        <v>0</v>
      </c>
      <c r="AI141" s="112">
        <v>0</v>
      </c>
      <c r="AJ141" s="112">
        <v>0</v>
      </c>
      <c r="AK141" s="112">
        <v>0</v>
      </c>
      <c r="AL141" s="112">
        <v>0</v>
      </c>
      <c r="AM141" s="112">
        <v>0</v>
      </c>
      <c r="AN141" s="112">
        <v>0</v>
      </c>
      <c r="AO141" s="112">
        <v>0</v>
      </c>
      <c r="AP141" s="112">
        <v>0</v>
      </c>
      <c r="AQ141" s="112">
        <v>0</v>
      </c>
      <c r="AR141" s="112">
        <v>0</v>
      </c>
      <c r="AS141" s="112">
        <v>0</v>
      </c>
      <c r="AT141" s="112">
        <v>0</v>
      </c>
      <c r="AU141" s="112">
        <v>0</v>
      </c>
      <c r="AV141" s="112">
        <v>0</v>
      </c>
      <c r="AW141" s="112">
        <v>0</v>
      </c>
      <c r="AX141" s="112">
        <v>0</v>
      </c>
      <c r="AY141" s="112">
        <v>0</v>
      </c>
    </row>
    <row r="142" spans="1:51" x14ac:dyDescent="0.2">
      <c r="A142" s="115"/>
      <c r="B142" s="126">
        <v>21</v>
      </c>
      <c r="C142" s="112">
        <v>0</v>
      </c>
      <c r="D142" s="112">
        <v>0</v>
      </c>
      <c r="E142" s="112">
        <v>0</v>
      </c>
      <c r="F142" s="112">
        <v>0</v>
      </c>
      <c r="G142" s="112">
        <v>0</v>
      </c>
      <c r="H142" s="112">
        <v>0</v>
      </c>
      <c r="I142" s="112">
        <v>0</v>
      </c>
      <c r="J142" s="112">
        <v>0</v>
      </c>
      <c r="K142" s="112">
        <v>0</v>
      </c>
      <c r="L142" s="112">
        <v>0</v>
      </c>
      <c r="M142" s="112">
        <v>0</v>
      </c>
      <c r="N142" s="112">
        <v>0</v>
      </c>
      <c r="O142" s="112">
        <v>0</v>
      </c>
      <c r="P142" s="112">
        <v>0</v>
      </c>
      <c r="Q142" s="112">
        <v>0</v>
      </c>
      <c r="R142" s="112">
        <v>0</v>
      </c>
      <c r="S142" s="112">
        <v>0</v>
      </c>
      <c r="T142" s="112">
        <v>0</v>
      </c>
      <c r="U142" s="112">
        <v>0</v>
      </c>
      <c r="V142" s="112">
        <v>0</v>
      </c>
      <c r="W142" s="112">
        <v>0</v>
      </c>
      <c r="X142" s="112">
        <v>0</v>
      </c>
      <c r="Y142" s="112">
        <v>0</v>
      </c>
      <c r="Z142" s="112">
        <v>0</v>
      </c>
      <c r="AA142" s="112">
        <v>0</v>
      </c>
      <c r="AB142" s="112">
        <v>0</v>
      </c>
      <c r="AC142" s="112">
        <v>0</v>
      </c>
      <c r="AD142" s="112">
        <v>0</v>
      </c>
      <c r="AE142" s="112">
        <v>0</v>
      </c>
      <c r="AF142" s="112">
        <v>0</v>
      </c>
      <c r="AG142" s="112">
        <v>0</v>
      </c>
      <c r="AH142" s="112">
        <v>0</v>
      </c>
      <c r="AI142" s="112">
        <v>0</v>
      </c>
      <c r="AJ142" s="112">
        <v>0</v>
      </c>
      <c r="AK142" s="112">
        <v>0</v>
      </c>
      <c r="AL142" s="112">
        <v>0</v>
      </c>
      <c r="AM142" s="112">
        <v>0</v>
      </c>
      <c r="AN142" s="112">
        <v>0</v>
      </c>
      <c r="AO142" s="112">
        <v>0</v>
      </c>
      <c r="AP142" s="112">
        <v>0</v>
      </c>
      <c r="AQ142" s="112">
        <v>0</v>
      </c>
      <c r="AR142" s="112">
        <v>0</v>
      </c>
      <c r="AS142" s="112">
        <v>0</v>
      </c>
      <c r="AT142" s="112">
        <v>0</v>
      </c>
      <c r="AU142" s="112">
        <v>0</v>
      </c>
      <c r="AV142" s="112">
        <v>0</v>
      </c>
      <c r="AW142" s="112">
        <v>0</v>
      </c>
      <c r="AX142" s="112">
        <v>0</v>
      </c>
      <c r="AY142" s="112">
        <v>0</v>
      </c>
    </row>
    <row r="143" spans="1:51" x14ac:dyDescent="0.2">
      <c r="A143" s="115"/>
      <c r="B143" s="126">
        <v>22</v>
      </c>
      <c r="C143" s="112">
        <v>0</v>
      </c>
      <c r="D143" s="112">
        <v>0</v>
      </c>
      <c r="E143" s="112">
        <v>0</v>
      </c>
      <c r="F143" s="112">
        <v>0</v>
      </c>
      <c r="G143" s="112">
        <v>0</v>
      </c>
      <c r="H143" s="112">
        <v>0</v>
      </c>
      <c r="I143" s="112">
        <v>0</v>
      </c>
      <c r="J143" s="112">
        <v>0</v>
      </c>
      <c r="K143" s="112">
        <v>0</v>
      </c>
      <c r="L143" s="112">
        <v>0</v>
      </c>
      <c r="M143" s="112">
        <v>0</v>
      </c>
      <c r="N143" s="112">
        <v>0</v>
      </c>
      <c r="O143" s="112">
        <v>0</v>
      </c>
      <c r="P143" s="112">
        <v>0</v>
      </c>
      <c r="Q143" s="112">
        <v>0</v>
      </c>
      <c r="R143" s="112">
        <v>0</v>
      </c>
      <c r="S143" s="112">
        <v>0</v>
      </c>
      <c r="T143" s="112">
        <v>0</v>
      </c>
      <c r="U143" s="112">
        <v>0</v>
      </c>
      <c r="V143" s="112">
        <v>0</v>
      </c>
      <c r="W143" s="112">
        <v>0</v>
      </c>
      <c r="X143" s="112">
        <v>0</v>
      </c>
      <c r="Y143" s="112">
        <v>0</v>
      </c>
      <c r="Z143" s="112">
        <v>0</v>
      </c>
      <c r="AA143" s="112">
        <v>0</v>
      </c>
      <c r="AB143" s="112">
        <v>0</v>
      </c>
      <c r="AC143" s="112">
        <v>0</v>
      </c>
      <c r="AD143" s="112">
        <v>0</v>
      </c>
      <c r="AE143" s="112">
        <v>0</v>
      </c>
      <c r="AF143" s="112">
        <v>0</v>
      </c>
      <c r="AG143" s="112">
        <v>0</v>
      </c>
      <c r="AH143" s="112">
        <v>0</v>
      </c>
      <c r="AI143" s="112">
        <v>0</v>
      </c>
      <c r="AJ143" s="112">
        <v>0</v>
      </c>
      <c r="AK143" s="112">
        <v>0</v>
      </c>
      <c r="AL143" s="112">
        <v>0</v>
      </c>
      <c r="AM143" s="112">
        <v>0</v>
      </c>
      <c r="AN143" s="112">
        <v>0</v>
      </c>
      <c r="AO143" s="112">
        <v>0</v>
      </c>
      <c r="AP143" s="112">
        <v>0</v>
      </c>
      <c r="AQ143" s="112">
        <v>0</v>
      </c>
      <c r="AR143" s="112">
        <v>0</v>
      </c>
      <c r="AS143" s="112">
        <v>0</v>
      </c>
      <c r="AT143" s="112">
        <v>0</v>
      </c>
      <c r="AU143" s="112">
        <v>0</v>
      </c>
      <c r="AV143" s="112">
        <v>0</v>
      </c>
      <c r="AW143" s="112">
        <v>0</v>
      </c>
      <c r="AX143" s="112">
        <v>0</v>
      </c>
      <c r="AY143" s="112">
        <v>0</v>
      </c>
    </row>
    <row r="144" spans="1:51" x14ac:dyDescent="0.2">
      <c r="A144" s="115"/>
      <c r="B144" s="126">
        <v>23</v>
      </c>
      <c r="C144" s="112">
        <v>0</v>
      </c>
      <c r="D144" s="112">
        <v>0</v>
      </c>
      <c r="E144" s="112">
        <v>0</v>
      </c>
      <c r="F144" s="112">
        <v>0</v>
      </c>
      <c r="G144" s="112">
        <v>0</v>
      </c>
      <c r="H144" s="112">
        <v>0</v>
      </c>
      <c r="I144" s="112">
        <v>0</v>
      </c>
      <c r="J144" s="112">
        <v>0</v>
      </c>
      <c r="K144" s="112">
        <v>0</v>
      </c>
      <c r="L144" s="112">
        <v>0</v>
      </c>
      <c r="M144" s="112">
        <v>0</v>
      </c>
      <c r="N144" s="112">
        <v>0</v>
      </c>
      <c r="O144" s="112">
        <v>0</v>
      </c>
      <c r="P144" s="112">
        <v>0</v>
      </c>
      <c r="Q144" s="112">
        <v>0</v>
      </c>
      <c r="R144" s="112">
        <v>0</v>
      </c>
      <c r="S144" s="112">
        <v>0</v>
      </c>
      <c r="T144" s="112">
        <v>0</v>
      </c>
      <c r="U144" s="112">
        <v>0</v>
      </c>
      <c r="V144" s="112">
        <v>0</v>
      </c>
      <c r="W144" s="112">
        <v>0</v>
      </c>
      <c r="X144" s="112">
        <v>0</v>
      </c>
      <c r="Y144" s="112">
        <v>0</v>
      </c>
      <c r="Z144" s="112">
        <v>0</v>
      </c>
      <c r="AA144" s="112">
        <v>0</v>
      </c>
      <c r="AB144" s="112">
        <v>0</v>
      </c>
      <c r="AC144" s="112">
        <v>0</v>
      </c>
      <c r="AD144" s="112">
        <v>0</v>
      </c>
      <c r="AE144" s="112">
        <v>0</v>
      </c>
      <c r="AF144" s="112">
        <v>0</v>
      </c>
      <c r="AG144" s="112">
        <v>0</v>
      </c>
      <c r="AH144" s="112">
        <v>0</v>
      </c>
      <c r="AI144" s="112">
        <v>0</v>
      </c>
      <c r="AJ144" s="112">
        <v>0</v>
      </c>
      <c r="AK144" s="112">
        <v>0</v>
      </c>
      <c r="AL144" s="112">
        <v>0</v>
      </c>
      <c r="AM144" s="112">
        <v>0</v>
      </c>
      <c r="AN144" s="112">
        <v>0</v>
      </c>
      <c r="AO144" s="112">
        <v>0</v>
      </c>
      <c r="AP144" s="112">
        <v>0</v>
      </c>
      <c r="AQ144" s="112">
        <v>0</v>
      </c>
      <c r="AR144" s="112">
        <v>0</v>
      </c>
      <c r="AS144" s="112">
        <v>0</v>
      </c>
      <c r="AT144" s="112">
        <v>0</v>
      </c>
      <c r="AU144" s="112">
        <v>0</v>
      </c>
      <c r="AV144" s="112">
        <v>0</v>
      </c>
      <c r="AW144" s="112">
        <v>0</v>
      </c>
      <c r="AX144" s="112">
        <v>0</v>
      </c>
      <c r="AY144" s="112">
        <v>0</v>
      </c>
    </row>
    <row r="145" spans="1:51" x14ac:dyDescent="0.2">
      <c r="A145" s="115"/>
      <c r="B145" s="126">
        <v>24</v>
      </c>
      <c r="C145" s="112">
        <v>0</v>
      </c>
      <c r="D145" s="112">
        <v>0</v>
      </c>
      <c r="E145" s="112">
        <v>0</v>
      </c>
      <c r="F145" s="112">
        <v>0</v>
      </c>
      <c r="G145" s="112">
        <v>0</v>
      </c>
      <c r="H145" s="112">
        <v>0</v>
      </c>
      <c r="I145" s="112">
        <v>0</v>
      </c>
      <c r="J145" s="112">
        <v>0</v>
      </c>
      <c r="K145" s="112">
        <v>0</v>
      </c>
      <c r="L145" s="112">
        <v>0</v>
      </c>
      <c r="M145" s="112">
        <v>0</v>
      </c>
      <c r="N145" s="112">
        <v>0</v>
      </c>
      <c r="O145" s="112">
        <v>0</v>
      </c>
      <c r="P145" s="112">
        <v>0</v>
      </c>
      <c r="Q145" s="112">
        <v>0</v>
      </c>
      <c r="R145" s="112">
        <v>0</v>
      </c>
      <c r="S145" s="112">
        <v>0</v>
      </c>
      <c r="T145" s="112">
        <v>0</v>
      </c>
      <c r="U145" s="112">
        <v>0</v>
      </c>
      <c r="V145" s="112">
        <v>0</v>
      </c>
      <c r="W145" s="112">
        <v>0</v>
      </c>
      <c r="X145" s="112">
        <v>0</v>
      </c>
      <c r="Y145" s="112">
        <v>0</v>
      </c>
      <c r="Z145" s="112">
        <v>0</v>
      </c>
      <c r="AA145" s="112">
        <v>0</v>
      </c>
      <c r="AB145" s="112">
        <v>0</v>
      </c>
      <c r="AC145" s="112">
        <v>0</v>
      </c>
      <c r="AD145" s="112">
        <v>0</v>
      </c>
      <c r="AE145" s="112">
        <v>0</v>
      </c>
      <c r="AF145" s="112">
        <v>0</v>
      </c>
      <c r="AG145" s="112">
        <v>0</v>
      </c>
      <c r="AH145" s="112">
        <v>0</v>
      </c>
      <c r="AI145" s="112">
        <v>0</v>
      </c>
      <c r="AJ145" s="112">
        <v>0</v>
      </c>
      <c r="AK145" s="112">
        <v>0</v>
      </c>
      <c r="AL145" s="112">
        <v>0</v>
      </c>
      <c r="AM145" s="112">
        <v>0</v>
      </c>
      <c r="AN145" s="112">
        <v>0</v>
      </c>
      <c r="AO145" s="112">
        <v>0</v>
      </c>
      <c r="AP145" s="112">
        <v>0</v>
      </c>
      <c r="AQ145" s="112">
        <v>0</v>
      </c>
      <c r="AR145" s="112">
        <v>0</v>
      </c>
      <c r="AS145" s="112">
        <v>0</v>
      </c>
      <c r="AT145" s="112">
        <v>0</v>
      </c>
      <c r="AU145" s="112">
        <v>0</v>
      </c>
      <c r="AV145" s="112">
        <v>0</v>
      </c>
      <c r="AW145" s="112">
        <v>0</v>
      </c>
      <c r="AX145" s="112">
        <v>0</v>
      </c>
      <c r="AY145" s="112">
        <v>0</v>
      </c>
    </row>
    <row r="146" spans="1:51" x14ac:dyDescent="0.2">
      <c r="A146" s="115"/>
      <c r="B146" s="133">
        <v>25</v>
      </c>
      <c r="C146" s="112">
        <v>0</v>
      </c>
      <c r="D146" s="112">
        <v>0</v>
      </c>
      <c r="E146" s="112">
        <v>0</v>
      </c>
      <c r="F146" s="112">
        <v>0</v>
      </c>
      <c r="G146" s="112">
        <v>0</v>
      </c>
      <c r="H146" s="112">
        <v>0</v>
      </c>
      <c r="I146" s="112">
        <v>0</v>
      </c>
      <c r="J146" s="112">
        <v>0</v>
      </c>
      <c r="K146" s="112">
        <v>0</v>
      </c>
      <c r="L146" s="112">
        <v>0</v>
      </c>
      <c r="M146" s="112">
        <v>0</v>
      </c>
      <c r="N146" s="112">
        <v>0</v>
      </c>
      <c r="O146" s="112">
        <v>0</v>
      </c>
      <c r="P146" s="112">
        <v>0</v>
      </c>
      <c r="Q146" s="112">
        <v>0</v>
      </c>
      <c r="R146" s="112">
        <v>0</v>
      </c>
      <c r="S146" s="112">
        <v>0</v>
      </c>
      <c r="T146" s="112">
        <v>0</v>
      </c>
      <c r="U146" s="112">
        <v>0</v>
      </c>
      <c r="V146" s="112">
        <v>0</v>
      </c>
      <c r="W146" s="112">
        <v>0</v>
      </c>
      <c r="X146" s="112">
        <v>0</v>
      </c>
      <c r="Y146" s="112">
        <v>0</v>
      </c>
      <c r="Z146" s="112">
        <v>0</v>
      </c>
      <c r="AA146" s="112">
        <v>0</v>
      </c>
      <c r="AB146" s="112">
        <v>0</v>
      </c>
      <c r="AC146" s="112">
        <v>0</v>
      </c>
      <c r="AD146" s="112">
        <v>0</v>
      </c>
      <c r="AE146" s="112">
        <v>0</v>
      </c>
      <c r="AF146" s="112">
        <v>0</v>
      </c>
      <c r="AG146" s="112">
        <v>0</v>
      </c>
      <c r="AH146" s="112">
        <v>0</v>
      </c>
      <c r="AI146" s="112">
        <v>0</v>
      </c>
      <c r="AJ146" s="112">
        <v>0</v>
      </c>
      <c r="AK146" s="112">
        <v>0</v>
      </c>
      <c r="AL146" s="112">
        <v>0</v>
      </c>
      <c r="AM146" s="112">
        <v>0</v>
      </c>
      <c r="AN146" s="112">
        <v>0</v>
      </c>
      <c r="AO146" s="112">
        <v>0</v>
      </c>
      <c r="AP146" s="112">
        <v>0</v>
      </c>
      <c r="AQ146" s="112">
        <v>0</v>
      </c>
      <c r="AR146" s="112">
        <v>0</v>
      </c>
      <c r="AS146" s="112">
        <v>0</v>
      </c>
      <c r="AT146" s="112">
        <v>0</v>
      </c>
      <c r="AU146" s="112">
        <v>0</v>
      </c>
      <c r="AV146" s="112">
        <v>0</v>
      </c>
      <c r="AW146" s="112">
        <v>0</v>
      </c>
      <c r="AX146" s="112">
        <v>0</v>
      </c>
      <c r="AY146" s="112">
        <v>0</v>
      </c>
    </row>
    <row r="147" spans="1:51" x14ac:dyDescent="0.2">
      <c r="A147" s="115"/>
      <c r="B147" s="133">
        <v>26</v>
      </c>
      <c r="C147" s="112">
        <v>0</v>
      </c>
      <c r="D147" s="112">
        <v>0</v>
      </c>
      <c r="E147" s="112">
        <v>0</v>
      </c>
      <c r="F147" s="112">
        <v>0</v>
      </c>
      <c r="G147" s="112">
        <v>0</v>
      </c>
      <c r="H147" s="112">
        <v>0</v>
      </c>
      <c r="I147" s="112">
        <v>0</v>
      </c>
      <c r="J147" s="112">
        <v>0</v>
      </c>
      <c r="K147" s="112">
        <v>0</v>
      </c>
      <c r="L147" s="112">
        <v>0</v>
      </c>
      <c r="M147" s="112">
        <v>0</v>
      </c>
      <c r="N147" s="112">
        <v>0</v>
      </c>
      <c r="O147" s="112">
        <v>0</v>
      </c>
      <c r="P147" s="112">
        <v>0</v>
      </c>
      <c r="Q147" s="112">
        <v>0</v>
      </c>
      <c r="R147" s="112">
        <v>0</v>
      </c>
      <c r="S147" s="112">
        <v>0</v>
      </c>
      <c r="T147" s="112">
        <v>0</v>
      </c>
      <c r="U147" s="112">
        <v>0</v>
      </c>
      <c r="V147" s="112">
        <v>0</v>
      </c>
      <c r="W147" s="112">
        <v>0</v>
      </c>
      <c r="X147" s="112">
        <v>0</v>
      </c>
      <c r="Y147" s="112">
        <v>0</v>
      </c>
      <c r="Z147" s="112">
        <v>0</v>
      </c>
      <c r="AA147" s="112">
        <v>0</v>
      </c>
      <c r="AB147" s="112">
        <v>0</v>
      </c>
      <c r="AC147" s="112">
        <v>0</v>
      </c>
      <c r="AD147" s="112">
        <v>0</v>
      </c>
      <c r="AE147" s="112">
        <v>0</v>
      </c>
      <c r="AF147" s="112">
        <v>0</v>
      </c>
      <c r="AG147" s="112">
        <v>0</v>
      </c>
      <c r="AH147" s="112">
        <v>0</v>
      </c>
      <c r="AI147" s="112">
        <v>0</v>
      </c>
      <c r="AJ147" s="112">
        <v>0</v>
      </c>
      <c r="AK147" s="112">
        <v>0</v>
      </c>
      <c r="AL147" s="112">
        <v>0</v>
      </c>
      <c r="AM147" s="112">
        <v>0</v>
      </c>
      <c r="AN147" s="112">
        <v>0</v>
      </c>
      <c r="AO147" s="112">
        <v>0</v>
      </c>
      <c r="AP147" s="112">
        <v>0</v>
      </c>
      <c r="AQ147" s="112">
        <v>0</v>
      </c>
      <c r="AR147" s="112">
        <v>0</v>
      </c>
      <c r="AS147" s="112">
        <v>0</v>
      </c>
      <c r="AT147" s="112">
        <v>0</v>
      </c>
      <c r="AU147" s="112">
        <v>0</v>
      </c>
      <c r="AV147" s="112">
        <v>0</v>
      </c>
      <c r="AW147" s="112">
        <v>0</v>
      </c>
      <c r="AX147" s="112">
        <v>0</v>
      </c>
      <c r="AY147" s="112">
        <v>0</v>
      </c>
    </row>
    <row r="148" spans="1:51" x14ac:dyDescent="0.2">
      <c r="A148" s="115"/>
      <c r="B148" s="133">
        <v>27</v>
      </c>
      <c r="C148" s="112">
        <v>0</v>
      </c>
      <c r="D148" s="112">
        <v>0</v>
      </c>
      <c r="E148" s="112">
        <v>0</v>
      </c>
      <c r="F148" s="112">
        <v>0</v>
      </c>
      <c r="G148" s="112">
        <v>0</v>
      </c>
      <c r="H148" s="112">
        <v>0</v>
      </c>
      <c r="I148" s="112">
        <v>0</v>
      </c>
      <c r="J148" s="112">
        <v>0</v>
      </c>
      <c r="K148" s="112">
        <v>0</v>
      </c>
      <c r="L148" s="112">
        <v>0</v>
      </c>
      <c r="M148" s="112">
        <v>0</v>
      </c>
      <c r="N148" s="112">
        <v>0</v>
      </c>
      <c r="O148" s="112">
        <v>0</v>
      </c>
      <c r="P148" s="112">
        <v>0</v>
      </c>
      <c r="Q148" s="112">
        <v>0</v>
      </c>
      <c r="R148" s="112">
        <v>0</v>
      </c>
      <c r="S148" s="112">
        <v>0</v>
      </c>
      <c r="T148" s="112">
        <v>0</v>
      </c>
      <c r="U148" s="112">
        <v>0</v>
      </c>
      <c r="V148" s="112">
        <v>0</v>
      </c>
      <c r="W148" s="112">
        <v>0</v>
      </c>
      <c r="X148" s="112">
        <v>0</v>
      </c>
      <c r="Y148" s="112">
        <v>0</v>
      </c>
      <c r="Z148" s="112">
        <v>0</v>
      </c>
      <c r="AA148" s="112">
        <v>0</v>
      </c>
      <c r="AB148" s="112">
        <v>0</v>
      </c>
      <c r="AC148" s="112">
        <v>0</v>
      </c>
      <c r="AD148" s="112">
        <v>0</v>
      </c>
      <c r="AE148" s="112">
        <v>0</v>
      </c>
      <c r="AF148" s="112">
        <v>0</v>
      </c>
      <c r="AG148" s="112">
        <v>0</v>
      </c>
      <c r="AH148" s="112">
        <v>0</v>
      </c>
      <c r="AI148" s="112">
        <v>0</v>
      </c>
      <c r="AJ148" s="112">
        <v>0</v>
      </c>
      <c r="AK148" s="112">
        <v>0</v>
      </c>
      <c r="AL148" s="112">
        <v>0</v>
      </c>
      <c r="AM148" s="112">
        <v>0</v>
      </c>
      <c r="AN148" s="112">
        <v>0</v>
      </c>
      <c r="AO148" s="112">
        <v>0</v>
      </c>
      <c r="AP148" s="112">
        <v>0</v>
      </c>
      <c r="AQ148" s="112">
        <v>0</v>
      </c>
      <c r="AR148" s="112">
        <v>0</v>
      </c>
      <c r="AS148" s="112">
        <v>0</v>
      </c>
      <c r="AT148" s="112">
        <v>0</v>
      </c>
      <c r="AU148" s="112">
        <v>0</v>
      </c>
      <c r="AV148" s="112">
        <v>0</v>
      </c>
      <c r="AW148" s="112">
        <v>0</v>
      </c>
      <c r="AX148" s="112">
        <v>0</v>
      </c>
      <c r="AY148" s="112">
        <v>0</v>
      </c>
    </row>
    <row r="149" spans="1:51" x14ac:dyDescent="0.2">
      <c r="A149" s="115"/>
      <c r="B149" s="133">
        <v>28</v>
      </c>
      <c r="C149" s="112">
        <v>0</v>
      </c>
      <c r="D149" s="112">
        <v>0</v>
      </c>
      <c r="E149" s="112">
        <v>0</v>
      </c>
      <c r="F149" s="112">
        <v>0</v>
      </c>
      <c r="G149" s="112">
        <v>0</v>
      </c>
      <c r="H149" s="112">
        <v>0</v>
      </c>
      <c r="I149" s="112">
        <v>0</v>
      </c>
      <c r="J149" s="112">
        <v>0</v>
      </c>
      <c r="K149" s="112">
        <v>0</v>
      </c>
      <c r="L149" s="112">
        <v>0</v>
      </c>
      <c r="M149" s="112">
        <v>0</v>
      </c>
      <c r="N149" s="112">
        <v>0</v>
      </c>
      <c r="O149" s="112">
        <v>0</v>
      </c>
      <c r="P149" s="112">
        <v>0</v>
      </c>
      <c r="Q149" s="112">
        <v>0</v>
      </c>
      <c r="R149" s="112">
        <v>0</v>
      </c>
      <c r="S149" s="112">
        <v>0</v>
      </c>
      <c r="T149" s="112">
        <v>0</v>
      </c>
      <c r="U149" s="112">
        <v>0</v>
      </c>
      <c r="V149" s="112">
        <v>0</v>
      </c>
      <c r="W149" s="112">
        <v>0</v>
      </c>
      <c r="X149" s="112">
        <v>0</v>
      </c>
      <c r="Y149" s="112">
        <v>0</v>
      </c>
      <c r="Z149" s="112">
        <v>0</v>
      </c>
      <c r="AA149" s="112">
        <v>0</v>
      </c>
      <c r="AB149" s="112">
        <v>0</v>
      </c>
      <c r="AC149" s="112">
        <v>0</v>
      </c>
      <c r="AD149" s="112">
        <v>0</v>
      </c>
      <c r="AE149" s="112">
        <v>0</v>
      </c>
      <c r="AF149" s="112">
        <v>0</v>
      </c>
      <c r="AG149" s="112">
        <v>0</v>
      </c>
      <c r="AH149" s="112">
        <v>0</v>
      </c>
      <c r="AI149" s="112">
        <v>0</v>
      </c>
      <c r="AJ149" s="112">
        <v>0</v>
      </c>
      <c r="AK149" s="112">
        <v>0</v>
      </c>
      <c r="AL149" s="112">
        <v>0</v>
      </c>
      <c r="AM149" s="112">
        <v>0</v>
      </c>
      <c r="AN149" s="112">
        <v>0</v>
      </c>
      <c r="AO149" s="112">
        <v>0</v>
      </c>
      <c r="AP149" s="112">
        <v>0</v>
      </c>
      <c r="AQ149" s="112">
        <v>0</v>
      </c>
      <c r="AR149" s="112">
        <v>0</v>
      </c>
      <c r="AS149" s="112">
        <v>0</v>
      </c>
      <c r="AT149" s="112">
        <v>0</v>
      </c>
      <c r="AU149" s="112">
        <v>0</v>
      </c>
      <c r="AV149" s="112">
        <v>0</v>
      </c>
      <c r="AW149" s="112">
        <v>0</v>
      </c>
      <c r="AX149" s="112">
        <v>0</v>
      </c>
      <c r="AY149" s="112">
        <v>0</v>
      </c>
    </row>
    <row r="150" spans="1:51" x14ac:dyDescent="0.2">
      <c r="A150" s="115"/>
      <c r="B150" s="133">
        <v>29</v>
      </c>
      <c r="C150" s="112">
        <v>0</v>
      </c>
      <c r="D150" s="112">
        <v>0</v>
      </c>
      <c r="E150" s="112">
        <v>0</v>
      </c>
      <c r="F150" s="112">
        <v>0</v>
      </c>
      <c r="G150" s="112">
        <v>0</v>
      </c>
      <c r="H150" s="112">
        <v>0</v>
      </c>
      <c r="I150" s="112">
        <v>0</v>
      </c>
      <c r="J150" s="112">
        <v>0</v>
      </c>
      <c r="K150" s="112">
        <v>0</v>
      </c>
      <c r="L150" s="112">
        <v>0</v>
      </c>
      <c r="M150" s="112">
        <v>0</v>
      </c>
      <c r="N150" s="112">
        <v>0</v>
      </c>
      <c r="O150" s="112">
        <v>0</v>
      </c>
      <c r="P150" s="112">
        <v>0</v>
      </c>
      <c r="Q150" s="112">
        <v>0</v>
      </c>
      <c r="R150" s="112">
        <v>0</v>
      </c>
      <c r="S150" s="112">
        <v>0</v>
      </c>
      <c r="T150" s="112">
        <v>0</v>
      </c>
      <c r="U150" s="112">
        <v>0</v>
      </c>
      <c r="V150" s="112">
        <v>0</v>
      </c>
      <c r="W150" s="112">
        <v>0</v>
      </c>
      <c r="X150" s="112">
        <v>0</v>
      </c>
      <c r="Y150" s="112">
        <v>0</v>
      </c>
      <c r="Z150" s="112">
        <v>0</v>
      </c>
      <c r="AA150" s="112">
        <v>0</v>
      </c>
      <c r="AB150" s="112">
        <v>0</v>
      </c>
      <c r="AC150" s="112">
        <v>0</v>
      </c>
      <c r="AD150" s="112">
        <v>0</v>
      </c>
      <c r="AE150" s="112">
        <v>0</v>
      </c>
      <c r="AF150" s="112">
        <v>0</v>
      </c>
      <c r="AG150" s="112">
        <v>0</v>
      </c>
      <c r="AH150" s="112">
        <v>0</v>
      </c>
      <c r="AI150" s="112">
        <v>0</v>
      </c>
      <c r="AJ150" s="112">
        <v>0</v>
      </c>
      <c r="AK150" s="112">
        <v>0</v>
      </c>
      <c r="AL150" s="112">
        <v>0</v>
      </c>
      <c r="AM150" s="112">
        <v>0</v>
      </c>
      <c r="AN150" s="112">
        <v>0</v>
      </c>
      <c r="AO150" s="112">
        <v>0</v>
      </c>
      <c r="AP150" s="112">
        <v>0</v>
      </c>
      <c r="AQ150" s="112">
        <v>0</v>
      </c>
      <c r="AR150" s="112">
        <v>0</v>
      </c>
      <c r="AS150" s="112">
        <v>0</v>
      </c>
      <c r="AT150" s="112">
        <v>0</v>
      </c>
      <c r="AU150" s="112">
        <v>0</v>
      </c>
      <c r="AV150" s="112">
        <v>0</v>
      </c>
      <c r="AW150" s="112">
        <v>0</v>
      </c>
      <c r="AX150" s="112">
        <v>0</v>
      </c>
      <c r="AY150" s="112">
        <v>0</v>
      </c>
    </row>
    <row r="151" spans="1:51" x14ac:dyDescent="0.2">
      <c r="A151" s="115"/>
      <c r="B151" s="133">
        <v>30</v>
      </c>
      <c r="C151" s="112">
        <v>0</v>
      </c>
      <c r="D151" s="112">
        <v>0</v>
      </c>
      <c r="E151" s="112">
        <v>0</v>
      </c>
      <c r="F151" s="112">
        <v>0</v>
      </c>
      <c r="G151" s="112">
        <v>0</v>
      </c>
      <c r="H151" s="112">
        <v>0</v>
      </c>
      <c r="I151" s="112">
        <v>0</v>
      </c>
      <c r="J151" s="112">
        <v>0</v>
      </c>
      <c r="K151" s="112">
        <v>0</v>
      </c>
      <c r="L151" s="112">
        <v>0</v>
      </c>
      <c r="M151" s="112">
        <v>0</v>
      </c>
      <c r="N151" s="112">
        <v>0</v>
      </c>
      <c r="O151" s="112">
        <v>0</v>
      </c>
      <c r="P151" s="112">
        <v>0</v>
      </c>
      <c r="Q151" s="112">
        <v>0</v>
      </c>
      <c r="R151" s="112">
        <v>0</v>
      </c>
      <c r="S151" s="112">
        <v>0</v>
      </c>
      <c r="T151" s="112">
        <v>0</v>
      </c>
      <c r="U151" s="112">
        <v>0</v>
      </c>
      <c r="V151" s="112">
        <v>0</v>
      </c>
      <c r="W151" s="112">
        <v>0</v>
      </c>
      <c r="X151" s="112">
        <v>0</v>
      </c>
      <c r="Y151" s="112">
        <v>0</v>
      </c>
      <c r="Z151" s="112">
        <v>0</v>
      </c>
      <c r="AA151" s="112">
        <v>0</v>
      </c>
      <c r="AB151" s="112">
        <v>0</v>
      </c>
      <c r="AC151" s="112">
        <v>0</v>
      </c>
      <c r="AD151" s="112">
        <v>0</v>
      </c>
      <c r="AE151" s="112">
        <v>0</v>
      </c>
      <c r="AF151" s="112">
        <v>0</v>
      </c>
      <c r="AG151" s="112">
        <v>0</v>
      </c>
      <c r="AH151" s="112">
        <v>0</v>
      </c>
      <c r="AI151" s="112">
        <v>0</v>
      </c>
      <c r="AJ151" s="112">
        <v>0</v>
      </c>
      <c r="AK151" s="112">
        <v>0</v>
      </c>
      <c r="AL151" s="112">
        <v>0</v>
      </c>
      <c r="AM151" s="112">
        <v>0</v>
      </c>
      <c r="AN151" s="112">
        <v>0</v>
      </c>
      <c r="AO151" s="112">
        <v>0</v>
      </c>
      <c r="AP151" s="112">
        <v>0</v>
      </c>
      <c r="AQ151" s="112">
        <v>0</v>
      </c>
      <c r="AR151" s="112">
        <v>0</v>
      </c>
      <c r="AS151" s="112">
        <v>0</v>
      </c>
      <c r="AT151" s="112">
        <v>0</v>
      </c>
      <c r="AU151" s="112">
        <v>0</v>
      </c>
      <c r="AV151" s="112">
        <v>0</v>
      </c>
      <c r="AW151" s="112">
        <v>0</v>
      </c>
      <c r="AX151" s="112">
        <v>0</v>
      </c>
      <c r="AY151" s="112">
        <v>0</v>
      </c>
    </row>
    <row r="152" spans="1:51" x14ac:dyDescent="0.2">
      <c r="A152" s="115"/>
      <c r="B152" s="133">
        <v>31</v>
      </c>
      <c r="C152" s="112">
        <v>0</v>
      </c>
      <c r="D152" s="112">
        <v>0</v>
      </c>
      <c r="E152" s="112">
        <v>0</v>
      </c>
      <c r="F152" s="112">
        <v>0</v>
      </c>
      <c r="G152" s="112">
        <v>0</v>
      </c>
      <c r="H152" s="112">
        <v>0</v>
      </c>
      <c r="I152" s="112">
        <v>0</v>
      </c>
      <c r="J152" s="112">
        <v>0</v>
      </c>
      <c r="K152" s="112">
        <v>0</v>
      </c>
      <c r="L152" s="112">
        <v>0</v>
      </c>
      <c r="M152" s="112">
        <v>0</v>
      </c>
      <c r="N152" s="112">
        <v>0</v>
      </c>
      <c r="O152" s="112">
        <v>0</v>
      </c>
      <c r="P152" s="112">
        <v>0</v>
      </c>
      <c r="Q152" s="112">
        <v>0</v>
      </c>
      <c r="R152" s="112">
        <v>0</v>
      </c>
      <c r="S152" s="112">
        <v>0</v>
      </c>
      <c r="T152" s="112">
        <v>0</v>
      </c>
      <c r="U152" s="112">
        <v>0</v>
      </c>
      <c r="V152" s="112">
        <v>0</v>
      </c>
      <c r="W152" s="112">
        <v>0</v>
      </c>
      <c r="X152" s="112">
        <v>0</v>
      </c>
      <c r="Y152" s="112">
        <v>0</v>
      </c>
      <c r="Z152" s="112">
        <v>0</v>
      </c>
      <c r="AA152" s="112">
        <v>0</v>
      </c>
      <c r="AB152" s="112">
        <v>0</v>
      </c>
      <c r="AC152" s="112">
        <v>0</v>
      </c>
      <c r="AD152" s="112">
        <v>0</v>
      </c>
      <c r="AE152" s="112">
        <v>0</v>
      </c>
      <c r="AF152" s="112">
        <v>0</v>
      </c>
      <c r="AG152" s="112">
        <v>0</v>
      </c>
      <c r="AH152" s="112">
        <v>0</v>
      </c>
      <c r="AI152" s="112">
        <v>0</v>
      </c>
      <c r="AJ152" s="112">
        <v>0</v>
      </c>
      <c r="AK152" s="112">
        <v>0</v>
      </c>
      <c r="AL152" s="112">
        <v>0</v>
      </c>
      <c r="AM152" s="112">
        <v>0</v>
      </c>
      <c r="AN152" s="112">
        <v>0</v>
      </c>
      <c r="AO152" s="112">
        <v>0</v>
      </c>
      <c r="AP152" s="112">
        <v>0</v>
      </c>
      <c r="AQ152" s="112">
        <v>0</v>
      </c>
      <c r="AR152" s="112">
        <v>0</v>
      </c>
      <c r="AS152" s="112">
        <v>0</v>
      </c>
      <c r="AT152" s="112">
        <v>0</v>
      </c>
      <c r="AU152" s="112">
        <v>0</v>
      </c>
      <c r="AV152" s="112">
        <v>0</v>
      </c>
      <c r="AW152" s="112">
        <v>0</v>
      </c>
      <c r="AX152" s="112">
        <v>0</v>
      </c>
      <c r="AY152" s="112">
        <v>0</v>
      </c>
    </row>
    <row r="153" spans="1:51" x14ac:dyDescent="0.2">
      <c r="A153" s="115"/>
      <c r="B153" s="133">
        <v>32</v>
      </c>
      <c r="C153" s="112">
        <v>0</v>
      </c>
      <c r="D153" s="112">
        <v>0</v>
      </c>
      <c r="E153" s="112">
        <v>0</v>
      </c>
      <c r="F153" s="112">
        <v>0</v>
      </c>
      <c r="G153" s="112">
        <v>0</v>
      </c>
      <c r="H153" s="112">
        <v>0</v>
      </c>
      <c r="I153" s="112">
        <v>0</v>
      </c>
      <c r="J153" s="112">
        <v>0</v>
      </c>
      <c r="K153" s="112">
        <v>0</v>
      </c>
      <c r="L153" s="112">
        <v>0</v>
      </c>
      <c r="M153" s="112">
        <v>0</v>
      </c>
      <c r="N153" s="112">
        <v>0</v>
      </c>
      <c r="O153" s="112">
        <v>0</v>
      </c>
      <c r="P153" s="112">
        <v>0</v>
      </c>
      <c r="Q153" s="112">
        <v>0</v>
      </c>
      <c r="R153" s="112">
        <v>0</v>
      </c>
      <c r="S153" s="112">
        <v>0</v>
      </c>
      <c r="T153" s="112">
        <v>0</v>
      </c>
      <c r="U153" s="112">
        <v>0</v>
      </c>
      <c r="V153" s="112">
        <v>0</v>
      </c>
      <c r="W153" s="112">
        <v>0</v>
      </c>
      <c r="X153" s="112">
        <v>0</v>
      </c>
      <c r="Y153" s="112">
        <v>0</v>
      </c>
      <c r="Z153" s="112">
        <v>0</v>
      </c>
      <c r="AA153" s="112">
        <v>0</v>
      </c>
      <c r="AB153" s="112">
        <v>0</v>
      </c>
      <c r="AC153" s="112">
        <v>0</v>
      </c>
      <c r="AD153" s="112">
        <v>0</v>
      </c>
      <c r="AE153" s="112">
        <v>0</v>
      </c>
      <c r="AF153" s="112">
        <v>0</v>
      </c>
      <c r="AG153" s="112">
        <v>0</v>
      </c>
      <c r="AH153" s="112">
        <v>0</v>
      </c>
      <c r="AI153" s="112">
        <v>0</v>
      </c>
      <c r="AJ153" s="112">
        <v>0</v>
      </c>
      <c r="AK153" s="112">
        <v>0</v>
      </c>
      <c r="AL153" s="112">
        <v>0</v>
      </c>
      <c r="AM153" s="112">
        <v>0</v>
      </c>
      <c r="AN153" s="112">
        <v>0</v>
      </c>
      <c r="AO153" s="112">
        <v>0</v>
      </c>
      <c r="AP153" s="112">
        <v>0</v>
      </c>
      <c r="AQ153" s="112">
        <v>0</v>
      </c>
      <c r="AR153" s="112">
        <v>0</v>
      </c>
      <c r="AS153" s="112">
        <v>0</v>
      </c>
      <c r="AT153" s="112">
        <v>0</v>
      </c>
      <c r="AU153" s="112">
        <v>0</v>
      </c>
      <c r="AV153" s="112">
        <v>0</v>
      </c>
      <c r="AW153" s="112">
        <v>0</v>
      </c>
      <c r="AX153" s="112">
        <v>0</v>
      </c>
      <c r="AY153" s="112">
        <v>0</v>
      </c>
    </row>
    <row r="154" spans="1:51" x14ac:dyDescent="0.2">
      <c r="A154" s="115"/>
      <c r="B154" s="133">
        <v>33</v>
      </c>
      <c r="C154" s="112">
        <v>0</v>
      </c>
      <c r="D154" s="112">
        <v>0</v>
      </c>
      <c r="E154" s="112">
        <v>0</v>
      </c>
      <c r="F154" s="112">
        <v>0</v>
      </c>
      <c r="G154" s="112">
        <v>0</v>
      </c>
      <c r="H154" s="112">
        <v>0</v>
      </c>
      <c r="I154" s="112">
        <v>0</v>
      </c>
      <c r="J154" s="112">
        <v>0</v>
      </c>
      <c r="K154" s="112">
        <v>0</v>
      </c>
      <c r="L154" s="112">
        <v>0</v>
      </c>
      <c r="M154" s="112">
        <v>0</v>
      </c>
      <c r="N154" s="112">
        <v>0</v>
      </c>
      <c r="O154" s="112">
        <v>0</v>
      </c>
      <c r="P154" s="112">
        <v>0</v>
      </c>
      <c r="Q154" s="112">
        <v>0</v>
      </c>
      <c r="R154" s="112">
        <v>0</v>
      </c>
      <c r="S154" s="112">
        <v>0</v>
      </c>
      <c r="T154" s="112">
        <v>0</v>
      </c>
      <c r="U154" s="112">
        <v>0</v>
      </c>
      <c r="V154" s="112">
        <v>0</v>
      </c>
      <c r="W154" s="112">
        <v>0</v>
      </c>
      <c r="X154" s="112">
        <v>0</v>
      </c>
      <c r="Y154" s="112">
        <v>0</v>
      </c>
      <c r="Z154" s="112">
        <v>0</v>
      </c>
      <c r="AA154" s="112">
        <v>0</v>
      </c>
      <c r="AB154" s="112">
        <v>0</v>
      </c>
      <c r="AC154" s="112">
        <v>0</v>
      </c>
      <c r="AD154" s="112">
        <v>0</v>
      </c>
      <c r="AE154" s="112">
        <v>0</v>
      </c>
      <c r="AF154" s="112">
        <v>0</v>
      </c>
      <c r="AG154" s="112">
        <v>0</v>
      </c>
      <c r="AH154" s="112">
        <v>0</v>
      </c>
      <c r="AI154" s="112">
        <v>0</v>
      </c>
      <c r="AJ154" s="112">
        <v>0</v>
      </c>
      <c r="AK154" s="112">
        <v>0</v>
      </c>
      <c r="AL154" s="112">
        <v>0</v>
      </c>
      <c r="AM154" s="112">
        <v>0</v>
      </c>
      <c r="AN154" s="112">
        <v>0</v>
      </c>
      <c r="AO154" s="112">
        <v>0</v>
      </c>
      <c r="AP154" s="112">
        <v>0</v>
      </c>
      <c r="AQ154" s="112">
        <v>0</v>
      </c>
      <c r="AR154" s="112">
        <v>0</v>
      </c>
      <c r="AS154" s="112">
        <v>0</v>
      </c>
      <c r="AT154" s="112">
        <v>0</v>
      </c>
      <c r="AU154" s="112">
        <v>0</v>
      </c>
      <c r="AV154" s="112">
        <v>0</v>
      </c>
      <c r="AW154" s="112">
        <v>0</v>
      </c>
      <c r="AX154" s="112">
        <v>0</v>
      </c>
      <c r="AY154" s="112">
        <v>0</v>
      </c>
    </row>
    <row r="155" spans="1:51" x14ac:dyDescent="0.2">
      <c r="A155" s="115"/>
      <c r="B155" s="133">
        <v>34</v>
      </c>
      <c r="C155" s="112">
        <v>0</v>
      </c>
      <c r="D155" s="112">
        <v>0</v>
      </c>
      <c r="E155" s="112">
        <v>0</v>
      </c>
      <c r="F155" s="112">
        <v>0</v>
      </c>
      <c r="G155" s="112">
        <v>0</v>
      </c>
      <c r="H155" s="112">
        <v>0</v>
      </c>
      <c r="I155" s="112">
        <v>0</v>
      </c>
      <c r="J155" s="112">
        <v>0</v>
      </c>
      <c r="K155" s="112">
        <v>0</v>
      </c>
      <c r="L155" s="112">
        <v>0</v>
      </c>
      <c r="M155" s="112">
        <v>0</v>
      </c>
      <c r="N155" s="112">
        <v>0</v>
      </c>
      <c r="O155" s="112">
        <v>0</v>
      </c>
      <c r="P155" s="112">
        <v>0</v>
      </c>
      <c r="Q155" s="112">
        <v>0</v>
      </c>
      <c r="R155" s="112">
        <v>0</v>
      </c>
      <c r="S155" s="112">
        <v>0</v>
      </c>
      <c r="T155" s="112">
        <v>0</v>
      </c>
      <c r="U155" s="112">
        <v>0</v>
      </c>
      <c r="V155" s="112">
        <v>0</v>
      </c>
      <c r="W155" s="112">
        <v>0</v>
      </c>
      <c r="X155" s="112">
        <v>0</v>
      </c>
      <c r="Y155" s="112">
        <v>0</v>
      </c>
      <c r="Z155" s="112">
        <v>0</v>
      </c>
      <c r="AA155" s="112">
        <v>0</v>
      </c>
      <c r="AB155" s="112">
        <v>0</v>
      </c>
      <c r="AC155" s="112">
        <v>0</v>
      </c>
      <c r="AD155" s="112">
        <v>0</v>
      </c>
      <c r="AE155" s="112">
        <v>0</v>
      </c>
      <c r="AF155" s="112">
        <v>0</v>
      </c>
      <c r="AG155" s="112">
        <v>0</v>
      </c>
      <c r="AH155" s="112">
        <v>0</v>
      </c>
      <c r="AI155" s="112">
        <v>0</v>
      </c>
      <c r="AJ155" s="112">
        <v>0</v>
      </c>
      <c r="AK155" s="112">
        <v>0</v>
      </c>
      <c r="AL155" s="112">
        <v>0</v>
      </c>
      <c r="AM155" s="112">
        <v>0</v>
      </c>
      <c r="AN155" s="112">
        <v>0</v>
      </c>
      <c r="AO155" s="112">
        <v>0</v>
      </c>
      <c r="AP155" s="112">
        <v>0</v>
      </c>
      <c r="AQ155" s="112">
        <v>0</v>
      </c>
      <c r="AR155" s="112">
        <v>0</v>
      </c>
      <c r="AS155" s="112">
        <v>0</v>
      </c>
      <c r="AT155" s="112">
        <v>0</v>
      </c>
      <c r="AU155" s="112">
        <v>0</v>
      </c>
      <c r="AV155" s="112">
        <v>0</v>
      </c>
      <c r="AW155" s="112">
        <v>0</v>
      </c>
      <c r="AX155" s="112">
        <v>0</v>
      </c>
      <c r="AY155" s="112">
        <v>0</v>
      </c>
    </row>
    <row r="156" spans="1:51" x14ac:dyDescent="0.2">
      <c r="A156" s="115"/>
      <c r="B156" s="133">
        <v>35</v>
      </c>
      <c r="C156" s="112">
        <v>0</v>
      </c>
      <c r="D156" s="112">
        <v>0</v>
      </c>
      <c r="E156" s="112">
        <v>0</v>
      </c>
      <c r="F156" s="112">
        <v>0</v>
      </c>
      <c r="G156" s="112">
        <v>0</v>
      </c>
      <c r="H156" s="112">
        <v>0</v>
      </c>
      <c r="I156" s="112">
        <v>0</v>
      </c>
      <c r="J156" s="112">
        <v>0</v>
      </c>
      <c r="K156" s="112">
        <v>0</v>
      </c>
      <c r="L156" s="112">
        <v>0</v>
      </c>
      <c r="M156" s="112">
        <v>0</v>
      </c>
      <c r="N156" s="112">
        <v>0</v>
      </c>
      <c r="O156" s="112">
        <v>0</v>
      </c>
      <c r="P156" s="112">
        <v>0</v>
      </c>
      <c r="Q156" s="112">
        <v>0</v>
      </c>
      <c r="R156" s="112">
        <v>0</v>
      </c>
      <c r="S156" s="112">
        <v>0</v>
      </c>
      <c r="T156" s="112">
        <v>0</v>
      </c>
      <c r="U156" s="112">
        <v>0</v>
      </c>
      <c r="V156" s="112">
        <v>0</v>
      </c>
      <c r="W156" s="112">
        <v>0</v>
      </c>
      <c r="X156" s="112">
        <v>0</v>
      </c>
      <c r="Y156" s="112">
        <v>0</v>
      </c>
      <c r="Z156" s="112">
        <v>0</v>
      </c>
      <c r="AA156" s="112">
        <v>0</v>
      </c>
      <c r="AB156" s="112">
        <v>0</v>
      </c>
      <c r="AC156" s="112">
        <v>0</v>
      </c>
      <c r="AD156" s="112">
        <v>0</v>
      </c>
      <c r="AE156" s="112">
        <v>0</v>
      </c>
      <c r="AF156" s="112">
        <v>0</v>
      </c>
      <c r="AG156" s="112">
        <v>0</v>
      </c>
      <c r="AH156" s="112">
        <v>0</v>
      </c>
      <c r="AI156" s="112">
        <v>0</v>
      </c>
      <c r="AJ156" s="112">
        <v>0</v>
      </c>
      <c r="AK156" s="112">
        <v>0</v>
      </c>
      <c r="AL156" s="112">
        <v>0</v>
      </c>
      <c r="AM156" s="112">
        <v>0</v>
      </c>
      <c r="AN156" s="112">
        <v>0</v>
      </c>
      <c r="AO156" s="112">
        <v>0</v>
      </c>
      <c r="AP156" s="112">
        <v>0</v>
      </c>
      <c r="AQ156" s="112">
        <v>0</v>
      </c>
      <c r="AR156" s="112">
        <v>0</v>
      </c>
      <c r="AS156" s="112">
        <v>0</v>
      </c>
      <c r="AT156" s="112">
        <v>0</v>
      </c>
      <c r="AU156" s="112">
        <v>0</v>
      </c>
      <c r="AV156" s="112">
        <v>0</v>
      </c>
      <c r="AW156" s="112">
        <v>0</v>
      </c>
      <c r="AX156" s="112">
        <v>0</v>
      </c>
      <c r="AY156" s="112">
        <v>0</v>
      </c>
    </row>
    <row r="157" spans="1:51" x14ac:dyDescent="0.2">
      <c r="A157" s="115"/>
      <c r="B157" s="133">
        <v>36</v>
      </c>
      <c r="C157" s="112">
        <v>0</v>
      </c>
      <c r="D157" s="112">
        <v>0</v>
      </c>
      <c r="E157" s="112">
        <v>0</v>
      </c>
      <c r="F157" s="112">
        <v>0</v>
      </c>
      <c r="G157" s="112">
        <v>0</v>
      </c>
      <c r="H157" s="112">
        <v>0</v>
      </c>
      <c r="I157" s="112">
        <v>0</v>
      </c>
      <c r="J157" s="112">
        <v>0</v>
      </c>
      <c r="K157" s="112">
        <v>0</v>
      </c>
      <c r="L157" s="112">
        <v>0</v>
      </c>
      <c r="M157" s="112">
        <v>0</v>
      </c>
      <c r="N157" s="112">
        <v>0</v>
      </c>
      <c r="O157" s="112">
        <v>0</v>
      </c>
      <c r="P157" s="112">
        <v>0</v>
      </c>
      <c r="Q157" s="112">
        <v>0</v>
      </c>
      <c r="R157" s="112">
        <v>0</v>
      </c>
      <c r="S157" s="112">
        <v>0</v>
      </c>
      <c r="T157" s="112">
        <v>0</v>
      </c>
      <c r="U157" s="112">
        <v>0</v>
      </c>
      <c r="V157" s="112">
        <v>0</v>
      </c>
      <c r="W157" s="112">
        <v>0</v>
      </c>
      <c r="X157" s="112">
        <v>0</v>
      </c>
      <c r="Y157" s="112">
        <v>0</v>
      </c>
      <c r="Z157" s="112">
        <v>0</v>
      </c>
      <c r="AA157" s="112">
        <v>0</v>
      </c>
      <c r="AB157" s="112">
        <v>0</v>
      </c>
      <c r="AC157" s="112">
        <v>0</v>
      </c>
      <c r="AD157" s="112">
        <v>0</v>
      </c>
      <c r="AE157" s="112">
        <v>0</v>
      </c>
      <c r="AF157" s="112">
        <v>0</v>
      </c>
      <c r="AG157" s="112">
        <v>0</v>
      </c>
      <c r="AH157" s="112">
        <v>0</v>
      </c>
      <c r="AI157" s="112">
        <v>0</v>
      </c>
      <c r="AJ157" s="112">
        <v>0</v>
      </c>
      <c r="AK157" s="112">
        <v>0</v>
      </c>
      <c r="AL157" s="112">
        <v>0</v>
      </c>
      <c r="AM157" s="112">
        <v>0</v>
      </c>
      <c r="AN157" s="112">
        <v>0</v>
      </c>
      <c r="AO157" s="112">
        <v>0</v>
      </c>
      <c r="AP157" s="112">
        <v>0</v>
      </c>
      <c r="AQ157" s="112">
        <v>0</v>
      </c>
      <c r="AR157" s="112">
        <v>0</v>
      </c>
      <c r="AS157" s="112">
        <v>0</v>
      </c>
      <c r="AT157" s="112">
        <v>0</v>
      </c>
      <c r="AU157" s="112">
        <v>0</v>
      </c>
      <c r="AV157" s="112">
        <v>0</v>
      </c>
      <c r="AW157" s="112">
        <v>0</v>
      </c>
      <c r="AX157" s="112">
        <v>0</v>
      </c>
      <c r="AY157" s="112">
        <v>0</v>
      </c>
    </row>
    <row r="158" spans="1:51" x14ac:dyDescent="0.2">
      <c r="A158" s="115"/>
      <c r="B158" s="136">
        <v>37</v>
      </c>
      <c r="C158" s="112">
        <v>0</v>
      </c>
      <c r="D158" s="112">
        <v>0</v>
      </c>
      <c r="E158" s="112">
        <v>0</v>
      </c>
      <c r="F158" s="112">
        <v>0</v>
      </c>
      <c r="G158" s="112">
        <v>0</v>
      </c>
      <c r="H158" s="112">
        <v>0</v>
      </c>
      <c r="I158" s="112">
        <v>0</v>
      </c>
      <c r="J158" s="112">
        <v>0</v>
      </c>
      <c r="K158" s="112">
        <v>0</v>
      </c>
      <c r="L158" s="112">
        <v>0</v>
      </c>
      <c r="M158" s="112">
        <v>0</v>
      </c>
      <c r="N158" s="112">
        <v>0</v>
      </c>
      <c r="O158" s="112">
        <v>0</v>
      </c>
      <c r="P158" s="112">
        <v>0</v>
      </c>
      <c r="Q158" s="112">
        <v>0</v>
      </c>
      <c r="R158" s="112">
        <v>0</v>
      </c>
      <c r="S158" s="112">
        <v>0</v>
      </c>
      <c r="T158" s="112">
        <v>0</v>
      </c>
      <c r="U158" s="112">
        <v>0</v>
      </c>
      <c r="V158" s="112">
        <v>0</v>
      </c>
      <c r="W158" s="112">
        <v>0</v>
      </c>
      <c r="X158" s="112">
        <v>0</v>
      </c>
      <c r="Y158" s="112">
        <v>0</v>
      </c>
      <c r="Z158" s="112">
        <v>0</v>
      </c>
      <c r="AA158" s="112">
        <v>0</v>
      </c>
      <c r="AB158" s="112">
        <v>0</v>
      </c>
      <c r="AC158" s="112">
        <v>0</v>
      </c>
      <c r="AD158" s="112">
        <v>0</v>
      </c>
      <c r="AE158" s="112">
        <v>0</v>
      </c>
      <c r="AF158" s="112">
        <v>0</v>
      </c>
      <c r="AG158" s="112">
        <v>0</v>
      </c>
      <c r="AH158" s="112">
        <v>0</v>
      </c>
      <c r="AI158" s="112">
        <v>0</v>
      </c>
      <c r="AJ158" s="112">
        <v>0</v>
      </c>
      <c r="AK158" s="112">
        <v>0</v>
      </c>
      <c r="AL158" s="112">
        <v>0</v>
      </c>
      <c r="AM158" s="112">
        <v>0</v>
      </c>
      <c r="AN158" s="112">
        <v>0</v>
      </c>
      <c r="AO158" s="112">
        <v>0</v>
      </c>
      <c r="AP158" s="112">
        <v>0</v>
      </c>
      <c r="AQ158" s="112">
        <v>0</v>
      </c>
      <c r="AR158" s="112">
        <v>0</v>
      </c>
      <c r="AS158" s="112">
        <v>0</v>
      </c>
      <c r="AT158" s="112">
        <v>0</v>
      </c>
      <c r="AU158" s="112">
        <v>0</v>
      </c>
      <c r="AV158" s="112">
        <v>0</v>
      </c>
      <c r="AW158" s="112">
        <v>0</v>
      </c>
      <c r="AX158" s="112">
        <v>0</v>
      </c>
      <c r="AY158" s="112">
        <v>0</v>
      </c>
    </row>
    <row r="159" spans="1:51" x14ac:dyDescent="0.2">
      <c r="A159" s="115"/>
      <c r="B159" s="136">
        <v>38</v>
      </c>
      <c r="C159" s="112">
        <v>0</v>
      </c>
      <c r="D159" s="112">
        <v>0</v>
      </c>
      <c r="E159" s="112">
        <v>0</v>
      </c>
      <c r="F159" s="112">
        <v>0</v>
      </c>
      <c r="G159" s="112">
        <v>0</v>
      </c>
      <c r="H159" s="112">
        <v>0</v>
      </c>
      <c r="I159" s="112">
        <v>0</v>
      </c>
      <c r="J159" s="112">
        <v>0</v>
      </c>
      <c r="K159" s="112">
        <v>0</v>
      </c>
      <c r="L159" s="112">
        <v>0</v>
      </c>
      <c r="M159" s="112">
        <v>0</v>
      </c>
      <c r="N159" s="112">
        <v>0</v>
      </c>
      <c r="O159" s="112">
        <v>0</v>
      </c>
      <c r="P159" s="112">
        <v>0</v>
      </c>
      <c r="Q159" s="112">
        <v>0</v>
      </c>
      <c r="R159" s="112">
        <v>0</v>
      </c>
      <c r="S159" s="112">
        <v>0</v>
      </c>
      <c r="T159" s="112">
        <v>0</v>
      </c>
      <c r="U159" s="112">
        <v>0</v>
      </c>
      <c r="V159" s="112">
        <v>0</v>
      </c>
      <c r="W159" s="112">
        <v>0</v>
      </c>
      <c r="X159" s="112">
        <v>0</v>
      </c>
      <c r="Y159" s="112">
        <v>0</v>
      </c>
      <c r="Z159" s="112">
        <v>0</v>
      </c>
      <c r="AA159" s="112">
        <v>0</v>
      </c>
      <c r="AB159" s="112">
        <v>0</v>
      </c>
      <c r="AC159" s="112">
        <v>0</v>
      </c>
      <c r="AD159" s="112">
        <v>0</v>
      </c>
      <c r="AE159" s="112">
        <v>0</v>
      </c>
      <c r="AF159" s="112">
        <v>0</v>
      </c>
      <c r="AG159" s="112">
        <v>0</v>
      </c>
      <c r="AH159" s="112">
        <v>0</v>
      </c>
      <c r="AI159" s="112">
        <v>0</v>
      </c>
      <c r="AJ159" s="112">
        <v>0</v>
      </c>
      <c r="AK159" s="112">
        <v>0</v>
      </c>
      <c r="AL159" s="112">
        <v>0</v>
      </c>
      <c r="AM159" s="112">
        <v>0</v>
      </c>
      <c r="AN159" s="112">
        <v>0</v>
      </c>
      <c r="AO159" s="112">
        <v>0</v>
      </c>
      <c r="AP159" s="112">
        <v>0</v>
      </c>
      <c r="AQ159" s="112">
        <v>0</v>
      </c>
      <c r="AR159" s="112">
        <v>0</v>
      </c>
      <c r="AS159" s="112">
        <v>0</v>
      </c>
      <c r="AT159" s="112">
        <v>0</v>
      </c>
      <c r="AU159" s="112">
        <v>0</v>
      </c>
      <c r="AV159" s="112">
        <v>0</v>
      </c>
      <c r="AW159" s="112">
        <v>0</v>
      </c>
      <c r="AX159" s="112">
        <v>0</v>
      </c>
      <c r="AY159" s="112">
        <v>0</v>
      </c>
    </row>
    <row r="160" spans="1:51" x14ac:dyDescent="0.2">
      <c r="A160" s="115"/>
      <c r="B160" s="136">
        <v>39</v>
      </c>
      <c r="C160" s="112">
        <v>0</v>
      </c>
      <c r="D160" s="112">
        <v>0</v>
      </c>
      <c r="E160" s="112">
        <v>0</v>
      </c>
      <c r="F160" s="112">
        <v>0</v>
      </c>
      <c r="G160" s="112">
        <v>0</v>
      </c>
      <c r="H160" s="112">
        <v>0</v>
      </c>
      <c r="I160" s="112">
        <v>0</v>
      </c>
      <c r="J160" s="112">
        <v>0</v>
      </c>
      <c r="K160" s="112">
        <v>0</v>
      </c>
      <c r="L160" s="112">
        <v>0</v>
      </c>
      <c r="M160" s="112">
        <v>0</v>
      </c>
      <c r="N160" s="112">
        <v>0</v>
      </c>
      <c r="O160" s="112">
        <v>0</v>
      </c>
      <c r="P160" s="112">
        <v>0</v>
      </c>
      <c r="Q160" s="112">
        <v>0</v>
      </c>
      <c r="R160" s="112">
        <v>0</v>
      </c>
      <c r="S160" s="112">
        <v>0</v>
      </c>
      <c r="T160" s="112">
        <v>0</v>
      </c>
      <c r="U160" s="112">
        <v>0</v>
      </c>
      <c r="V160" s="112">
        <v>0</v>
      </c>
      <c r="W160" s="112">
        <v>0</v>
      </c>
      <c r="X160" s="112">
        <v>0</v>
      </c>
      <c r="Y160" s="112">
        <v>0</v>
      </c>
      <c r="Z160" s="112">
        <v>0</v>
      </c>
      <c r="AA160" s="112">
        <v>0</v>
      </c>
      <c r="AB160" s="112">
        <v>0</v>
      </c>
      <c r="AC160" s="112">
        <v>0</v>
      </c>
      <c r="AD160" s="112">
        <v>0</v>
      </c>
      <c r="AE160" s="112">
        <v>0</v>
      </c>
      <c r="AF160" s="112">
        <v>0</v>
      </c>
      <c r="AG160" s="112">
        <v>0</v>
      </c>
      <c r="AH160" s="112">
        <v>0</v>
      </c>
      <c r="AI160" s="112">
        <v>0</v>
      </c>
      <c r="AJ160" s="112">
        <v>0</v>
      </c>
      <c r="AK160" s="112">
        <v>0</v>
      </c>
      <c r="AL160" s="112">
        <v>0</v>
      </c>
      <c r="AM160" s="112">
        <v>0</v>
      </c>
      <c r="AN160" s="112">
        <v>0</v>
      </c>
      <c r="AO160" s="112">
        <v>0</v>
      </c>
      <c r="AP160" s="112">
        <v>0</v>
      </c>
      <c r="AQ160" s="112">
        <v>0</v>
      </c>
      <c r="AR160" s="112">
        <v>0</v>
      </c>
      <c r="AS160" s="112">
        <v>0</v>
      </c>
      <c r="AT160" s="112">
        <v>0</v>
      </c>
      <c r="AU160" s="112">
        <v>0</v>
      </c>
      <c r="AV160" s="112">
        <v>0</v>
      </c>
      <c r="AW160" s="112">
        <v>0</v>
      </c>
      <c r="AX160" s="112">
        <v>0</v>
      </c>
      <c r="AY160" s="112">
        <v>0</v>
      </c>
    </row>
    <row r="161" spans="1:52" x14ac:dyDescent="0.2">
      <c r="A161" s="115"/>
      <c r="B161" s="136">
        <v>40</v>
      </c>
      <c r="C161" s="112">
        <v>0</v>
      </c>
      <c r="D161" s="112">
        <v>0</v>
      </c>
      <c r="E161" s="112">
        <v>0</v>
      </c>
      <c r="F161" s="112">
        <v>0</v>
      </c>
      <c r="G161" s="112">
        <v>0</v>
      </c>
      <c r="H161" s="112">
        <v>0</v>
      </c>
      <c r="I161" s="112">
        <v>0</v>
      </c>
      <c r="J161" s="112">
        <v>0</v>
      </c>
      <c r="K161" s="112">
        <v>0</v>
      </c>
      <c r="L161" s="112">
        <v>0</v>
      </c>
      <c r="M161" s="112">
        <v>0</v>
      </c>
      <c r="N161" s="112">
        <v>0</v>
      </c>
      <c r="O161" s="112">
        <v>0</v>
      </c>
      <c r="P161" s="112">
        <v>0</v>
      </c>
      <c r="Q161" s="112">
        <v>0</v>
      </c>
      <c r="R161" s="112">
        <v>0</v>
      </c>
      <c r="S161" s="112">
        <v>0</v>
      </c>
      <c r="T161" s="112">
        <v>0</v>
      </c>
      <c r="U161" s="112">
        <v>0</v>
      </c>
      <c r="V161" s="112">
        <v>0</v>
      </c>
      <c r="W161" s="112">
        <v>0</v>
      </c>
      <c r="X161" s="112">
        <v>0</v>
      </c>
      <c r="Y161" s="112">
        <v>0</v>
      </c>
      <c r="Z161" s="112">
        <v>0</v>
      </c>
      <c r="AA161" s="112">
        <v>0</v>
      </c>
      <c r="AB161" s="112">
        <v>0</v>
      </c>
      <c r="AC161" s="112">
        <v>0</v>
      </c>
      <c r="AD161" s="112">
        <v>0</v>
      </c>
      <c r="AE161" s="112">
        <v>0</v>
      </c>
      <c r="AF161" s="112">
        <v>0</v>
      </c>
      <c r="AG161" s="112">
        <v>0</v>
      </c>
      <c r="AH161" s="112">
        <v>0</v>
      </c>
      <c r="AI161" s="112">
        <v>0</v>
      </c>
      <c r="AJ161" s="112">
        <v>0</v>
      </c>
      <c r="AK161" s="112">
        <v>0</v>
      </c>
      <c r="AL161" s="112">
        <v>0</v>
      </c>
      <c r="AM161" s="112">
        <v>0</v>
      </c>
      <c r="AN161" s="112">
        <v>0</v>
      </c>
      <c r="AO161" s="112">
        <v>0</v>
      </c>
      <c r="AP161" s="112">
        <v>0</v>
      </c>
      <c r="AQ161" s="112">
        <v>0</v>
      </c>
      <c r="AR161" s="112">
        <v>0</v>
      </c>
      <c r="AS161" s="112">
        <v>0</v>
      </c>
      <c r="AT161" s="112">
        <v>0</v>
      </c>
      <c r="AU161" s="112">
        <v>0</v>
      </c>
      <c r="AV161" s="112">
        <v>0</v>
      </c>
      <c r="AW161" s="112">
        <v>0</v>
      </c>
      <c r="AX161" s="112">
        <v>0</v>
      </c>
      <c r="AY161" s="112">
        <v>0</v>
      </c>
    </row>
    <row r="162" spans="1:52" x14ac:dyDescent="0.2">
      <c r="A162" s="115"/>
      <c r="B162" s="136">
        <v>41</v>
      </c>
      <c r="C162" s="112">
        <v>0</v>
      </c>
      <c r="D162" s="112">
        <v>0</v>
      </c>
      <c r="E162" s="112">
        <v>0</v>
      </c>
      <c r="F162" s="112">
        <v>0</v>
      </c>
      <c r="G162" s="112">
        <v>0</v>
      </c>
      <c r="H162" s="112">
        <v>0</v>
      </c>
      <c r="I162" s="112">
        <v>0</v>
      </c>
      <c r="J162" s="112">
        <v>0</v>
      </c>
      <c r="K162" s="112">
        <v>0</v>
      </c>
      <c r="L162" s="112">
        <v>0</v>
      </c>
      <c r="M162" s="112">
        <v>0</v>
      </c>
      <c r="N162" s="112">
        <v>0</v>
      </c>
      <c r="O162" s="112">
        <v>0</v>
      </c>
      <c r="P162" s="112">
        <v>0</v>
      </c>
      <c r="Q162" s="112">
        <v>0</v>
      </c>
      <c r="R162" s="112">
        <v>0</v>
      </c>
      <c r="S162" s="112">
        <v>0</v>
      </c>
      <c r="T162" s="112">
        <v>0</v>
      </c>
      <c r="U162" s="112">
        <v>0</v>
      </c>
      <c r="V162" s="112">
        <v>0</v>
      </c>
      <c r="W162" s="112">
        <v>0</v>
      </c>
      <c r="X162" s="112">
        <v>0</v>
      </c>
      <c r="Y162" s="112">
        <v>0</v>
      </c>
      <c r="Z162" s="112">
        <v>0</v>
      </c>
      <c r="AA162" s="112">
        <v>0</v>
      </c>
      <c r="AB162" s="112">
        <v>0</v>
      </c>
      <c r="AC162" s="112">
        <v>0</v>
      </c>
      <c r="AD162" s="112">
        <v>0</v>
      </c>
      <c r="AE162" s="112">
        <v>0</v>
      </c>
      <c r="AF162" s="112">
        <v>0</v>
      </c>
      <c r="AG162" s="112">
        <v>0</v>
      </c>
      <c r="AH162" s="112">
        <v>0</v>
      </c>
      <c r="AI162" s="112">
        <v>0</v>
      </c>
      <c r="AJ162" s="112">
        <v>0</v>
      </c>
      <c r="AK162" s="112">
        <v>0</v>
      </c>
      <c r="AL162" s="112">
        <v>0</v>
      </c>
      <c r="AM162" s="112">
        <v>0</v>
      </c>
      <c r="AN162" s="112">
        <v>0</v>
      </c>
      <c r="AO162" s="112">
        <v>0</v>
      </c>
      <c r="AP162" s="112">
        <v>0</v>
      </c>
      <c r="AQ162" s="112">
        <v>0</v>
      </c>
      <c r="AR162" s="112">
        <v>0</v>
      </c>
      <c r="AS162" s="112">
        <v>0</v>
      </c>
      <c r="AT162" s="112">
        <v>0</v>
      </c>
      <c r="AU162" s="112">
        <v>0</v>
      </c>
      <c r="AV162" s="112">
        <v>0</v>
      </c>
      <c r="AW162" s="112">
        <v>0</v>
      </c>
      <c r="AX162" s="112">
        <v>0</v>
      </c>
      <c r="AY162" s="112">
        <v>0</v>
      </c>
    </row>
    <row r="163" spans="1:52" x14ac:dyDescent="0.2">
      <c r="A163" s="115"/>
      <c r="B163" s="136">
        <v>42</v>
      </c>
      <c r="C163" s="112">
        <v>0</v>
      </c>
      <c r="D163" s="112">
        <v>0</v>
      </c>
      <c r="E163" s="112">
        <v>0</v>
      </c>
      <c r="F163" s="112">
        <v>0</v>
      </c>
      <c r="G163" s="112">
        <v>0</v>
      </c>
      <c r="H163" s="112">
        <v>0</v>
      </c>
      <c r="I163" s="112">
        <v>0</v>
      </c>
      <c r="J163" s="112">
        <v>0</v>
      </c>
      <c r="K163" s="112">
        <v>0</v>
      </c>
      <c r="L163" s="112">
        <v>0</v>
      </c>
      <c r="M163" s="112">
        <v>0</v>
      </c>
      <c r="N163" s="112">
        <v>0</v>
      </c>
      <c r="O163" s="112">
        <v>0</v>
      </c>
      <c r="P163" s="112">
        <v>0</v>
      </c>
      <c r="Q163" s="112">
        <v>0</v>
      </c>
      <c r="R163" s="112">
        <v>0</v>
      </c>
      <c r="S163" s="112">
        <v>0</v>
      </c>
      <c r="T163" s="112">
        <v>0</v>
      </c>
      <c r="U163" s="112">
        <v>0</v>
      </c>
      <c r="V163" s="112">
        <v>0</v>
      </c>
      <c r="W163" s="112">
        <v>0</v>
      </c>
      <c r="X163" s="112">
        <v>0</v>
      </c>
      <c r="Y163" s="112">
        <v>0</v>
      </c>
      <c r="Z163" s="112">
        <v>0</v>
      </c>
      <c r="AA163" s="112">
        <v>0</v>
      </c>
      <c r="AB163" s="112">
        <v>0</v>
      </c>
      <c r="AC163" s="112">
        <v>0</v>
      </c>
      <c r="AD163" s="112">
        <v>0</v>
      </c>
      <c r="AE163" s="112">
        <v>0</v>
      </c>
      <c r="AF163" s="112">
        <v>0</v>
      </c>
      <c r="AG163" s="112">
        <v>0</v>
      </c>
      <c r="AH163" s="112">
        <v>0</v>
      </c>
      <c r="AI163" s="112">
        <v>0</v>
      </c>
      <c r="AJ163" s="112">
        <v>0</v>
      </c>
      <c r="AK163" s="112">
        <v>0</v>
      </c>
      <c r="AL163" s="112">
        <v>0</v>
      </c>
      <c r="AM163" s="112">
        <v>0</v>
      </c>
      <c r="AN163" s="112">
        <v>0</v>
      </c>
      <c r="AO163" s="112">
        <v>0</v>
      </c>
      <c r="AP163" s="112">
        <v>0</v>
      </c>
      <c r="AQ163" s="112">
        <v>0</v>
      </c>
      <c r="AR163" s="112">
        <v>0</v>
      </c>
      <c r="AS163" s="112">
        <v>0</v>
      </c>
      <c r="AT163" s="112">
        <v>0</v>
      </c>
      <c r="AU163" s="112">
        <v>0</v>
      </c>
      <c r="AV163" s="112">
        <v>0</v>
      </c>
      <c r="AW163" s="112">
        <v>0</v>
      </c>
      <c r="AX163" s="112">
        <v>0</v>
      </c>
      <c r="AY163" s="112">
        <v>0</v>
      </c>
    </row>
    <row r="164" spans="1:52" x14ac:dyDescent="0.2">
      <c r="A164" s="115"/>
      <c r="B164" s="136">
        <v>43</v>
      </c>
      <c r="C164" s="112">
        <v>0</v>
      </c>
      <c r="D164" s="112">
        <v>0</v>
      </c>
      <c r="E164" s="112">
        <v>0</v>
      </c>
      <c r="F164" s="112">
        <v>0</v>
      </c>
      <c r="G164" s="112">
        <v>0</v>
      </c>
      <c r="H164" s="112">
        <v>0</v>
      </c>
      <c r="I164" s="112">
        <v>0</v>
      </c>
      <c r="J164" s="112">
        <v>0</v>
      </c>
      <c r="K164" s="112">
        <v>0</v>
      </c>
      <c r="L164" s="112">
        <v>0</v>
      </c>
      <c r="M164" s="112">
        <v>0</v>
      </c>
      <c r="N164" s="112">
        <v>0</v>
      </c>
      <c r="O164" s="112">
        <v>0</v>
      </c>
      <c r="P164" s="112">
        <v>0</v>
      </c>
      <c r="Q164" s="112">
        <v>0</v>
      </c>
      <c r="R164" s="112">
        <v>0</v>
      </c>
      <c r="S164" s="112">
        <v>0</v>
      </c>
      <c r="T164" s="112">
        <v>0</v>
      </c>
      <c r="U164" s="112">
        <v>0</v>
      </c>
      <c r="V164" s="112">
        <v>0</v>
      </c>
      <c r="W164" s="112">
        <v>0</v>
      </c>
      <c r="X164" s="112">
        <v>0</v>
      </c>
      <c r="Y164" s="112">
        <v>0</v>
      </c>
      <c r="Z164" s="112">
        <v>0</v>
      </c>
      <c r="AA164" s="112">
        <v>0</v>
      </c>
      <c r="AB164" s="112">
        <v>0</v>
      </c>
      <c r="AC164" s="112">
        <v>0</v>
      </c>
      <c r="AD164" s="112">
        <v>0</v>
      </c>
      <c r="AE164" s="112">
        <v>0</v>
      </c>
      <c r="AF164" s="112">
        <v>0</v>
      </c>
      <c r="AG164" s="112">
        <v>0</v>
      </c>
      <c r="AH164" s="112">
        <v>0</v>
      </c>
      <c r="AI164" s="112">
        <v>0</v>
      </c>
      <c r="AJ164" s="112">
        <v>0</v>
      </c>
      <c r="AK164" s="112">
        <v>0</v>
      </c>
      <c r="AL164" s="112">
        <v>0</v>
      </c>
      <c r="AM164" s="112">
        <v>0</v>
      </c>
      <c r="AN164" s="112">
        <v>0</v>
      </c>
      <c r="AO164" s="112">
        <v>0</v>
      </c>
      <c r="AP164" s="112">
        <v>0</v>
      </c>
      <c r="AQ164" s="112">
        <v>0</v>
      </c>
      <c r="AR164" s="112">
        <v>0</v>
      </c>
      <c r="AS164" s="112">
        <v>0</v>
      </c>
      <c r="AT164" s="112">
        <v>0</v>
      </c>
      <c r="AU164" s="112">
        <v>0</v>
      </c>
      <c r="AV164" s="112">
        <v>0</v>
      </c>
      <c r="AW164" s="112">
        <v>0</v>
      </c>
      <c r="AX164" s="112">
        <v>0</v>
      </c>
      <c r="AY164" s="112">
        <v>0</v>
      </c>
    </row>
    <row r="165" spans="1:52" x14ac:dyDescent="0.2">
      <c r="A165" s="115"/>
      <c r="B165" s="136">
        <v>44</v>
      </c>
      <c r="C165" s="112">
        <v>0</v>
      </c>
      <c r="D165" s="112">
        <v>0</v>
      </c>
      <c r="E165" s="112">
        <v>0</v>
      </c>
      <c r="F165" s="112">
        <v>0</v>
      </c>
      <c r="G165" s="112">
        <v>0</v>
      </c>
      <c r="H165" s="112">
        <v>0</v>
      </c>
      <c r="I165" s="112">
        <v>0</v>
      </c>
      <c r="J165" s="112">
        <v>0</v>
      </c>
      <c r="K165" s="112">
        <v>0</v>
      </c>
      <c r="L165" s="112">
        <v>0</v>
      </c>
      <c r="M165" s="112">
        <v>0</v>
      </c>
      <c r="N165" s="112">
        <v>0</v>
      </c>
      <c r="O165" s="112">
        <v>0</v>
      </c>
      <c r="P165" s="112">
        <v>0</v>
      </c>
      <c r="Q165" s="112">
        <v>0</v>
      </c>
      <c r="R165" s="112">
        <v>0</v>
      </c>
      <c r="S165" s="112">
        <v>0</v>
      </c>
      <c r="T165" s="112">
        <v>0</v>
      </c>
      <c r="U165" s="112">
        <v>0</v>
      </c>
      <c r="V165" s="112">
        <v>0</v>
      </c>
      <c r="W165" s="112">
        <v>0</v>
      </c>
      <c r="X165" s="112">
        <v>0</v>
      </c>
      <c r="Y165" s="112">
        <v>0</v>
      </c>
      <c r="Z165" s="112">
        <v>0</v>
      </c>
      <c r="AA165" s="112">
        <v>0</v>
      </c>
      <c r="AB165" s="112">
        <v>0</v>
      </c>
      <c r="AC165" s="112">
        <v>0</v>
      </c>
      <c r="AD165" s="112">
        <v>0</v>
      </c>
      <c r="AE165" s="112">
        <v>0</v>
      </c>
      <c r="AF165" s="112">
        <v>0</v>
      </c>
      <c r="AG165" s="112">
        <v>0</v>
      </c>
      <c r="AH165" s="112">
        <v>0</v>
      </c>
      <c r="AI165" s="112">
        <v>0</v>
      </c>
      <c r="AJ165" s="112">
        <v>0</v>
      </c>
      <c r="AK165" s="112">
        <v>0</v>
      </c>
      <c r="AL165" s="112">
        <v>0</v>
      </c>
      <c r="AM165" s="112">
        <v>0</v>
      </c>
      <c r="AN165" s="112">
        <v>0</v>
      </c>
      <c r="AO165" s="112">
        <v>0</v>
      </c>
      <c r="AP165" s="112">
        <v>0</v>
      </c>
      <c r="AQ165" s="112">
        <v>0</v>
      </c>
      <c r="AR165" s="112">
        <v>0</v>
      </c>
      <c r="AS165" s="112">
        <v>0</v>
      </c>
      <c r="AT165" s="112">
        <v>0</v>
      </c>
      <c r="AU165" s="112">
        <v>0</v>
      </c>
      <c r="AV165" s="112">
        <v>0</v>
      </c>
      <c r="AW165" s="112">
        <v>0</v>
      </c>
      <c r="AX165" s="112">
        <v>0</v>
      </c>
      <c r="AY165" s="112">
        <v>0</v>
      </c>
    </row>
    <row r="166" spans="1:52" x14ac:dyDescent="0.2">
      <c r="A166" s="115"/>
      <c r="B166" s="136">
        <v>45</v>
      </c>
      <c r="C166" s="112">
        <v>0</v>
      </c>
      <c r="D166" s="112">
        <v>0</v>
      </c>
      <c r="E166" s="112">
        <v>0</v>
      </c>
      <c r="F166" s="112">
        <v>0</v>
      </c>
      <c r="G166" s="112">
        <v>0</v>
      </c>
      <c r="H166" s="112">
        <v>0</v>
      </c>
      <c r="I166" s="112">
        <v>0</v>
      </c>
      <c r="J166" s="112">
        <v>0</v>
      </c>
      <c r="K166" s="112">
        <v>0</v>
      </c>
      <c r="L166" s="112">
        <v>0</v>
      </c>
      <c r="M166" s="112">
        <v>0</v>
      </c>
      <c r="N166" s="112">
        <v>0</v>
      </c>
      <c r="O166" s="112">
        <v>0</v>
      </c>
      <c r="P166" s="112">
        <v>0</v>
      </c>
      <c r="Q166" s="112">
        <v>0</v>
      </c>
      <c r="R166" s="112">
        <v>0</v>
      </c>
      <c r="S166" s="112">
        <v>0</v>
      </c>
      <c r="T166" s="112">
        <v>0</v>
      </c>
      <c r="U166" s="112">
        <v>0</v>
      </c>
      <c r="V166" s="112">
        <v>0</v>
      </c>
      <c r="W166" s="112">
        <v>0</v>
      </c>
      <c r="X166" s="112">
        <v>0</v>
      </c>
      <c r="Y166" s="112">
        <v>0</v>
      </c>
      <c r="Z166" s="112">
        <v>0</v>
      </c>
      <c r="AA166" s="112">
        <v>0</v>
      </c>
      <c r="AB166" s="112">
        <v>0</v>
      </c>
      <c r="AC166" s="112">
        <v>0</v>
      </c>
      <c r="AD166" s="112">
        <v>0</v>
      </c>
      <c r="AE166" s="112">
        <v>0</v>
      </c>
      <c r="AF166" s="112">
        <v>0</v>
      </c>
      <c r="AG166" s="112">
        <v>0</v>
      </c>
      <c r="AH166" s="112">
        <v>0</v>
      </c>
      <c r="AI166" s="112">
        <v>0</v>
      </c>
      <c r="AJ166" s="112">
        <v>0</v>
      </c>
      <c r="AK166" s="112">
        <v>0</v>
      </c>
      <c r="AL166" s="112">
        <v>0</v>
      </c>
      <c r="AM166" s="112">
        <v>0</v>
      </c>
      <c r="AN166" s="112">
        <v>0</v>
      </c>
      <c r="AO166" s="112">
        <v>0</v>
      </c>
      <c r="AP166" s="112">
        <v>0</v>
      </c>
      <c r="AQ166" s="112">
        <v>0</v>
      </c>
      <c r="AR166" s="112">
        <v>0</v>
      </c>
      <c r="AS166" s="112">
        <v>0</v>
      </c>
      <c r="AT166" s="112">
        <v>0</v>
      </c>
      <c r="AU166" s="112">
        <v>0</v>
      </c>
      <c r="AV166" s="112">
        <v>0</v>
      </c>
      <c r="AW166" s="112">
        <v>0</v>
      </c>
      <c r="AX166" s="112">
        <v>0</v>
      </c>
      <c r="AY166" s="112">
        <v>0</v>
      </c>
    </row>
    <row r="167" spans="1:52" x14ac:dyDescent="0.2">
      <c r="A167" s="115"/>
      <c r="B167" s="136">
        <v>46</v>
      </c>
      <c r="C167" s="112">
        <v>0</v>
      </c>
      <c r="D167" s="112">
        <v>0</v>
      </c>
      <c r="E167" s="112">
        <v>0</v>
      </c>
      <c r="F167" s="112">
        <v>0</v>
      </c>
      <c r="G167" s="112">
        <v>0</v>
      </c>
      <c r="H167" s="112">
        <v>0</v>
      </c>
      <c r="I167" s="112">
        <v>0</v>
      </c>
      <c r="J167" s="112">
        <v>0</v>
      </c>
      <c r="K167" s="112">
        <v>0</v>
      </c>
      <c r="L167" s="112">
        <v>0</v>
      </c>
      <c r="M167" s="112">
        <v>0</v>
      </c>
      <c r="N167" s="112">
        <v>0</v>
      </c>
      <c r="O167" s="112">
        <v>0</v>
      </c>
      <c r="P167" s="112">
        <v>0</v>
      </c>
      <c r="Q167" s="112">
        <v>0</v>
      </c>
      <c r="R167" s="112">
        <v>0</v>
      </c>
      <c r="S167" s="112">
        <v>0</v>
      </c>
      <c r="T167" s="112">
        <v>0</v>
      </c>
      <c r="U167" s="112">
        <v>0</v>
      </c>
      <c r="V167" s="112">
        <v>0</v>
      </c>
      <c r="W167" s="112">
        <v>0</v>
      </c>
      <c r="X167" s="112">
        <v>0</v>
      </c>
      <c r="Y167" s="112">
        <v>0</v>
      </c>
      <c r="Z167" s="112">
        <v>0</v>
      </c>
      <c r="AA167" s="112">
        <v>0</v>
      </c>
      <c r="AB167" s="112">
        <v>0</v>
      </c>
      <c r="AC167" s="112">
        <v>0</v>
      </c>
      <c r="AD167" s="112">
        <v>0</v>
      </c>
      <c r="AE167" s="112">
        <v>0</v>
      </c>
      <c r="AF167" s="112">
        <v>0</v>
      </c>
      <c r="AG167" s="112">
        <v>0</v>
      </c>
      <c r="AH167" s="112">
        <v>0</v>
      </c>
      <c r="AI167" s="112">
        <v>0</v>
      </c>
      <c r="AJ167" s="112">
        <v>0</v>
      </c>
      <c r="AK167" s="112">
        <v>0</v>
      </c>
      <c r="AL167" s="112">
        <v>0</v>
      </c>
      <c r="AM167" s="112">
        <v>0</v>
      </c>
      <c r="AN167" s="112">
        <v>0</v>
      </c>
      <c r="AO167" s="112">
        <v>0</v>
      </c>
      <c r="AP167" s="112">
        <v>0</v>
      </c>
      <c r="AQ167" s="112">
        <v>0</v>
      </c>
      <c r="AR167" s="112">
        <v>0</v>
      </c>
      <c r="AS167" s="112">
        <v>0</v>
      </c>
      <c r="AT167" s="112">
        <v>0</v>
      </c>
      <c r="AU167" s="112">
        <v>0</v>
      </c>
      <c r="AV167" s="112">
        <v>0</v>
      </c>
      <c r="AW167" s="112">
        <v>0</v>
      </c>
      <c r="AX167" s="112">
        <v>0</v>
      </c>
      <c r="AY167" s="112">
        <v>0</v>
      </c>
    </row>
    <row r="168" spans="1:52" x14ac:dyDescent="0.2">
      <c r="A168" s="115"/>
      <c r="B168" s="136">
        <v>47</v>
      </c>
      <c r="C168" s="112">
        <v>0</v>
      </c>
      <c r="D168" s="112">
        <v>0</v>
      </c>
      <c r="E168" s="112">
        <v>0</v>
      </c>
      <c r="F168" s="112">
        <v>0</v>
      </c>
      <c r="G168" s="112">
        <v>0</v>
      </c>
      <c r="H168" s="112">
        <v>0</v>
      </c>
      <c r="I168" s="112">
        <v>0</v>
      </c>
      <c r="J168" s="112">
        <v>0</v>
      </c>
      <c r="K168" s="112">
        <v>0</v>
      </c>
      <c r="L168" s="112">
        <v>0</v>
      </c>
      <c r="M168" s="112">
        <v>0</v>
      </c>
      <c r="N168" s="112">
        <v>0</v>
      </c>
      <c r="O168" s="112">
        <v>0</v>
      </c>
      <c r="P168" s="112">
        <v>0</v>
      </c>
      <c r="Q168" s="112">
        <v>0</v>
      </c>
      <c r="R168" s="112">
        <v>0</v>
      </c>
      <c r="S168" s="112">
        <v>0</v>
      </c>
      <c r="T168" s="112">
        <v>0</v>
      </c>
      <c r="U168" s="112">
        <v>0</v>
      </c>
      <c r="V168" s="112">
        <v>0</v>
      </c>
      <c r="W168" s="112">
        <v>0</v>
      </c>
      <c r="X168" s="112">
        <v>0</v>
      </c>
      <c r="Y168" s="112">
        <v>0</v>
      </c>
      <c r="Z168" s="112">
        <v>0</v>
      </c>
      <c r="AA168" s="112">
        <v>0</v>
      </c>
      <c r="AB168" s="112">
        <v>0</v>
      </c>
      <c r="AC168" s="112">
        <v>0</v>
      </c>
      <c r="AD168" s="112">
        <v>0</v>
      </c>
      <c r="AE168" s="112">
        <v>0</v>
      </c>
      <c r="AF168" s="112">
        <v>0</v>
      </c>
      <c r="AG168" s="112">
        <v>0</v>
      </c>
      <c r="AH168" s="112">
        <v>0</v>
      </c>
      <c r="AI168" s="112">
        <v>0</v>
      </c>
      <c r="AJ168" s="112">
        <v>0</v>
      </c>
      <c r="AK168" s="112">
        <v>0</v>
      </c>
      <c r="AL168" s="112">
        <v>0</v>
      </c>
      <c r="AM168" s="112">
        <v>0</v>
      </c>
      <c r="AN168" s="112">
        <v>0</v>
      </c>
      <c r="AO168" s="112">
        <v>0</v>
      </c>
      <c r="AP168" s="112">
        <v>0</v>
      </c>
      <c r="AQ168" s="112">
        <v>0</v>
      </c>
      <c r="AR168" s="112">
        <v>0</v>
      </c>
      <c r="AS168" s="112">
        <v>0</v>
      </c>
      <c r="AT168" s="112">
        <v>0</v>
      </c>
      <c r="AU168" s="112">
        <v>0</v>
      </c>
      <c r="AV168" s="112">
        <v>0</v>
      </c>
      <c r="AW168" s="112">
        <v>0</v>
      </c>
      <c r="AX168" s="112">
        <v>0</v>
      </c>
      <c r="AY168" s="112">
        <v>0</v>
      </c>
    </row>
    <row r="169" spans="1:52" x14ac:dyDescent="0.2">
      <c r="A169" s="115"/>
      <c r="B169" s="136">
        <v>48</v>
      </c>
      <c r="C169" s="112">
        <v>0</v>
      </c>
      <c r="D169" s="112">
        <v>0</v>
      </c>
      <c r="E169" s="112">
        <v>0</v>
      </c>
      <c r="F169" s="112">
        <v>0</v>
      </c>
      <c r="G169" s="112">
        <v>0</v>
      </c>
      <c r="H169" s="112">
        <v>0</v>
      </c>
      <c r="I169" s="112">
        <v>0</v>
      </c>
      <c r="J169" s="112">
        <v>0</v>
      </c>
      <c r="K169" s="112">
        <v>0</v>
      </c>
      <c r="L169" s="112">
        <v>0</v>
      </c>
      <c r="M169" s="112">
        <v>0</v>
      </c>
      <c r="N169" s="112">
        <v>0</v>
      </c>
      <c r="O169" s="112">
        <v>0</v>
      </c>
      <c r="P169" s="112">
        <v>0</v>
      </c>
      <c r="Q169" s="112">
        <v>0</v>
      </c>
      <c r="R169" s="112">
        <v>0</v>
      </c>
      <c r="S169" s="112">
        <v>0</v>
      </c>
      <c r="T169" s="112">
        <v>0</v>
      </c>
      <c r="U169" s="112">
        <v>0</v>
      </c>
      <c r="V169" s="112">
        <v>0</v>
      </c>
      <c r="W169" s="112">
        <v>0</v>
      </c>
      <c r="X169" s="112">
        <v>0</v>
      </c>
      <c r="Y169" s="112">
        <v>0</v>
      </c>
      <c r="Z169" s="112">
        <v>0</v>
      </c>
      <c r="AA169" s="112">
        <v>0</v>
      </c>
      <c r="AB169" s="112">
        <v>0</v>
      </c>
      <c r="AC169" s="112">
        <v>0</v>
      </c>
      <c r="AD169" s="112">
        <v>0</v>
      </c>
      <c r="AE169" s="112">
        <v>0</v>
      </c>
      <c r="AF169" s="112">
        <v>0</v>
      </c>
      <c r="AG169" s="112">
        <v>0</v>
      </c>
      <c r="AH169" s="112">
        <v>0</v>
      </c>
      <c r="AI169" s="112">
        <v>0</v>
      </c>
      <c r="AJ169" s="112">
        <v>0</v>
      </c>
      <c r="AK169" s="112">
        <v>0</v>
      </c>
      <c r="AL169" s="112">
        <v>0</v>
      </c>
      <c r="AM169" s="112">
        <v>0</v>
      </c>
      <c r="AN169" s="112">
        <v>0</v>
      </c>
      <c r="AO169" s="112">
        <v>0</v>
      </c>
      <c r="AP169" s="112">
        <v>0</v>
      </c>
      <c r="AQ169" s="112">
        <v>0</v>
      </c>
      <c r="AR169" s="112">
        <v>0</v>
      </c>
      <c r="AS169" s="112">
        <v>0</v>
      </c>
      <c r="AT169" s="112">
        <v>0</v>
      </c>
      <c r="AU169" s="112">
        <v>0</v>
      </c>
      <c r="AV169" s="112">
        <v>0</v>
      </c>
      <c r="AW169" s="112">
        <v>0</v>
      </c>
      <c r="AX169" s="112">
        <v>0</v>
      </c>
      <c r="AY169" s="112">
        <v>0</v>
      </c>
    </row>
    <row r="170" spans="1:52" x14ac:dyDescent="0.2">
      <c r="A170" s="134"/>
      <c r="B170" s="138" t="s">
        <v>296</v>
      </c>
      <c r="C170" s="120">
        <v>0</v>
      </c>
      <c r="D170" s="131">
        <v>0</v>
      </c>
      <c r="E170" s="131">
        <v>0</v>
      </c>
      <c r="F170" s="131">
        <v>0</v>
      </c>
      <c r="G170" s="131">
        <v>0</v>
      </c>
      <c r="H170" s="131">
        <v>0</v>
      </c>
      <c r="I170" s="131">
        <v>0</v>
      </c>
      <c r="J170" s="131">
        <v>0</v>
      </c>
      <c r="K170" s="131">
        <v>0</v>
      </c>
      <c r="L170" s="131">
        <v>0</v>
      </c>
      <c r="M170" s="131">
        <v>0</v>
      </c>
      <c r="N170" s="131">
        <v>0</v>
      </c>
      <c r="O170" s="131">
        <v>0</v>
      </c>
      <c r="P170" s="131">
        <v>0</v>
      </c>
      <c r="Q170" s="131">
        <v>0</v>
      </c>
      <c r="R170" s="131">
        <v>0</v>
      </c>
      <c r="S170" s="131">
        <v>0</v>
      </c>
      <c r="T170" s="131">
        <v>0</v>
      </c>
      <c r="U170" s="131">
        <v>0</v>
      </c>
      <c r="V170" s="131">
        <v>0</v>
      </c>
      <c r="W170" s="131">
        <v>0</v>
      </c>
      <c r="X170" s="131">
        <v>0</v>
      </c>
      <c r="Y170" s="131">
        <v>0</v>
      </c>
      <c r="Z170" s="131">
        <v>0</v>
      </c>
      <c r="AA170" s="131">
        <v>0</v>
      </c>
      <c r="AB170" s="131">
        <v>0</v>
      </c>
      <c r="AC170" s="131">
        <v>0</v>
      </c>
      <c r="AD170" s="131">
        <v>0</v>
      </c>
      <c r="AE170" s="131">
        <v>0</v>
      </c>
      <c r="AF170" s="131">
        <v>0</v>
      </c>
      <c r="AG170" s="131">
        <v>0</v>
      </c>
      <c r="AH170" s="131">
        <v>0</v>
      </c>
      <c r="AI170" s="131">
        <v>0</v>
      </c>
      <c r="AJ170" s="131">
        <v>0</v>
      </c>
      <c r="AK170" s="131">
        <v>0</v>
      </c>
      <c r="AL170" s="131">
        <v>0</v>
      </c>
      <c r="AM170" s="131">
        <v>0</v>
      </c>
      <c r="AN170" s="131">
        <v>0</v>
      </c>
      <c r="AO170" s="131">
        <v>0</v>
      </c>
      <c r="AP170" s="131">
        <v>0</v>
      </c>
      <c r="AQ170" s="131">
        <v>0</v>
      </c>
      <c r="AR170" s="131">
        <v>0</v>
      </c>
      <c r="AS170" s="131">
        <v>0</v>
      </c>
      <c r="AT170" s="131">
        <v>0</v>
      </c>
      <c r="AU170" s="131">
        <v>0</v>
      </c>
      <c r="AV170" s="131">
        <v>0</v>
      </c>
      <c r="AW170" s="131">
        <v>0</v>
      </c>
      <c r="AX170" s="131">
        <v>0</v>
      </c>
      <c r="AY170" s="131">
        <v>0</v>
      </c>
      <c r="AZ170" s="113">
        <f>SUM($D170:$AY170)</f>
        <v>0</v>
      </c>
    </row>
    <row r="172" spans="1:52" x14ac:dyDescent="0.2">
      <c r="A172" s="108" t="s">
        <v>124</v>
      </c>
      <c r="B172" s="139" t="s">
        <v>297</v>
      </c>
      <c r="C172" s="140">
        <v>5.5394609779650598E-2</v>
      </c>
      <c r="D172" s="140">
        <v>0.31473436017871104</v>
      </c>
      <c r="E172" s="140">
        <v>0.31473436017871104</v>
      </c>
      <c r="F172" s="140">
        <v>0.31473436017871104</v>
      </c>
      <c r="G172" s="140">
        <v>0.31473436017871104</v>
      </c>
      <c r="H172" s="140">
        <v>0.35243535134214904</v>
      </c>
      <c r="I172" s="140">
        <v>0.35243535134214904</v>
      </c>
      <c r="J172" s="140">
        <v>0.35243535134214904</v>
      </c>
      <c r="K172" s="140">
        <v>0.35243535134214904</v>
      </c>
      <c r="L172" s="140">
        <v>0.41667093936841604</v>
      </c>
      <c r="M172" s="140">
        <v>0.41667093936841604</v>
      </c>
      <c r="N172" s="140">
        <v>0.41667093936841604</v>
      </c>
      <c r="O172" s="140">
        <v>0.41667093936841604</v>
      </c>
      <c r="P172" s="140">
        <v>0.57299282763612103</v>
      </c>
      <c r="Q172" s="140">
        <v>0.57299282763612103</v>
      </c>
      <c r="R172" s="140">
        <v>0.57299282763612103</v>
      </c>
      <c r="S172" s="140">
        <v>0.57299282763612103</v>
      </c>
      <c r="T172" s="140">
        <v>0.53898388962883803</v>
      </c>
      <c r="U172" s="140">
        <v>0.53898388962883803</v>
      </c>
      <c r="V172" s="140">
        <v>0.53898388962883803</v>
      </c>
      <c r="W172" s="140">
        <v>0.53898388962883803</v>
      </c>
      <c r="X172" s="140">
        <v>0.58024572591360202</v>
      </c>
      <c r="Y172" s="140">
        <v>0.58024572591360202</v>
      </c>
      <c r="Z172" s="140">
        <v>0.58024572591360202</v>
      </c>
      <c r="AA172" s="140">
        <v>0.58024572591360202</v>
      </c>
      <c r="AB172" s="140">
        <v>0.63173408321595403</v>
      </c>
      <c r="AC172" s="140">
        <v>0.63173408321595403</v>
      </c>
      <c r="AD172" s="140">
        <v>0.63173408321595403</v>
      </c>
      <c r="AE172" s="140">
        <v>0.63173408321595403</v>
      </c>
      <c r="AF172" s="140">
        <v>0.69154092259053801</v>
      </c>
      <c r="AG172" s="140">
        <v>0.69154092259053801</v>
      </c>
      <c r="AH172" s="140">
        <v>0.69154092259053801</v>
      </c>
      <c r="AI172" s="140">
        <v>0.69154092259053801</v>
      </c>
      <c r="AJ172" s="140">
        <v>0.75750071799988106</v>
      </c>
      <c r="AK172" s="140">
        <v>0.75750071799988106</v>
      </c>
      <c r="AL172" s="140">
        <v>0.75750071799988106</v>
      </c>
      <c r="AM172" s="140">
        <v>0.75750071799988106</v>
      </c>
      <c r="AN172" s="140">
        <v>0.84829901550922893</v>
      </c>
      <c r="AO172" s="140">
        <v>0.84829901550922893</v>
      </c>
      <c r="AP172" s="140">
        <v>0.84829901550922893</v>
      </c>
      <c r="AQ172" s="140">
        <v>0.84829901550922893</v>
      </c>
      <c r="AR172" s="140">
        <v>0.8581438239898751</v>
      </c>
      <c r="AS172" s="140">
        <v>0.8581438239898751</v>
      </c>
      <c r="AT172" s="140">
        <v>0.8581438239898751</v>
      </c>
      <c r="AU172" s="140">
        <v>0.8581438239898751</v>
      </c>
      <c r="AV172" s="140">
        <v>0.65882215519390297</v>
      </c>
      <c r="AW172" s="140">
        <v>0.65882215519390297</v>
      </c>
      <c r="AX172" s="140">
        <v>0.65882215519390297</v>
      </c>
      <c r="AY172" s="140">
        <v>0.65882215519390297</v>
      </c>
    </row>
    <row r="174" spans="1:52" x14ac:dyDescent="0.2">
      <c r="A174" s="108" t="s">
        <v>272</v>
      </c>
    </row>
    <row r="175" spans="1:52" x14ac:dyDescent="0.2">
      <c r="A175" s="141" t="s">
        <v>125</v>
      </c>
      <c r="B175" s="141" t="s">
        <v>298</v>
      </c>
      <c r="C175" s="130" t="s">
        <v>293</v>
      </c>
      <c r="D175" s="130">
        <f t="shared" ref="D175:AY175" si="1">SUM(D95:D98)</f>
        <v>7641.4780139136219</v>
      </c>
      <c r="E175" s="130">
        <f t="shared" si="1"/>
        <v>5631.0478259192023</v>
      </c>
      <c r="F175" s="130">
        <f t="shared" si="1"/>
        <v>5303.2546780107468</v>
      </c>
      <c r="G175" s="130">
        <f t="shared" si="1"/>
        <v>4884.3521550572641</v>
      </c>
      <c r="H175" s="130">
        <f t="shared" si="1"/>
        <v>4612.3775830279847</v>
      </c>
      <c r="I175" s="130">
        <f t="shared" si="1"/>
        <v>4435.9671768321923</v>
      </c>
      <c r="J175" s="130">
        <f t="shared" si="1"/>
        <v>3833.874327607029</v>
      </c>
      <c r="K175" s="130">
        <f t="shared" si="1"/>
        <v>3897.4588833091352</v>
      </c>
      <c r="L175" s="130">
        <f t="shared" si="1"/>
        <v>3509.6060435937416</v>
      </c>
      <c r="M175" s="130">
        <f t="shared" si="1"/>
        <v>3841.1155176085499</v>
      </c>
      <c r="N175" s="130">
        <f t="shared" si="1"/>
        <v>4306.2626778931563</v>
      </c>
      <c r="O175" s="130">
        <f t="shared" si="1"/>
        <v>4511.4098381777621</v>
      </c>
      <c r="P175" s="130">
        <f t="shared" si="1"/>
        <v>4958.0227838368428</v>
      </c>
      <c r="Q175" s="130">
        <f t="shared" si="1"/>
        <v>5649.48632608143</v>
      </c>
      <c r="R175" s="130">
        <f t="shared" si="1"/>
        <v>5575.1971388853308</v>
      </c>
      <c r="S175" s="130">
        <f t="shared" si="1"/>
        <v>5906.8100845444114</v>
      </c>
      <c r="T175" s="130">
        <f t="shared" si="1"/>
        <v>5126.904376570581</v>
      </c>
      <c r="U175" s="130">
        <f t="shared" si="1"/>
        <v>4079.3569705048399</v>
      </c>
      <c r="V175" s="130">
        <f t="shared" si="1"/>
        <v>3031.8095644390983</v>
      </c>
      <c r="W175" s="130">
        <f t="shared" si="1"/>
        <v>1984.2621583733569</v>
      </c>
      <c r="X175" s="130">
        <f t="shared" si="1"/>
        <v>1871.7076109017116</v>
      </c>
      <c r="Y175" s="130">
        <f t="shared" si="1"/>
        <v>1680.1530634300659</v>
      </c>
      <c r="Z175" s="130">
        <f t="shared" si="1"/>
        <v>1342.5985159584204</v>
      </c>
      <c r="AA175" s="130">
        <f t="shared" si="1"/>
        <v>1179.4454525283545</v>
      </c>
      <c r="AB175" s="130">
        <f t="shared" si="1"/>
        <v>1138.3302319084871</v>
      </c>
      <c r="AC175" s="130">
        <f t="shared" si="1"/>
        <v>1138.6604638169742</v>
      </c>
      <c r="AD175" s="130">
        <f t="shared" si="1"/>
        <v>1367.9906957254614</v>
      </c>
      <c r="AE175" s="130">
        <f t="shared" si="1"/>
        <v>1525.3209276339485</v>
      </c>
      <c r="AF175" s="130">
        <f t="shared" si="1"/>
        <v>2000.9662023628234</v>
      </c>
      <c r="AG175" s="130">
        <f t="shared" si="1"/>
        <v>1925.6114770916984</v>
      </c>
      <c r="AH175" s="130">
        <f t="shared" si="1"/>
        <v>2086.2567518205733</v>
      </c>
      <c r="AI175" s="130">
        <f t="shared" si="1"/>
        <v>1717.9020265494482</v>
      </c>
      <c r="AJ175" s="130">
        <f t="shared" si="1"/>
        <v>1728.1797640770162</v>
      </c>
      <c r="AK175" s="130">
        <f t="shared" si="1"/>
        <v>1540.4575016045842</v>
      </c>
      <c r="AL175" s="130">
        <f t="shared" si="1"/>
        <v>1432.7352391321522</v>
      </c>
      <c r="AM175" s="130">
        <f t="shared" si="1"/>
        <v>1287.4607967116774</v>
      </c>
      <c r="AN175" s="130">
        <f t="shared" si="1"/>
        <v>400.32856206332076</v>
      </c>
      <c r="AO175" s="130">
        <f t="shared" si="1"/>
        <v>734.09853060536284</v>
      </c>
      <c r="AP175" s="130">
        <f t="shared" si="1"/>
        <v>985.17111796606719</v>
      </c>
      <c r="AQ175" s="130">
        <f t="shared" si="1"/>
        <v>971.4738758569315</v>
      </c>
      <c r="AR175" s="130">
        <f t="shared" si="1"/>
        <v>1653.0372545843215</v>
      </c>
      <c r="AS175" s="130">
        <f t="shared" si="1"/>
        <v>2285.6006333117116</v>
      </c>
      <c r="AT175" s="130">
        <f t="shared" si="1"/>
        <v>3016.1640120391016</v>
      </c>
      <c r="AU175" s="130">
        <f t="shared" si="1"/>
        <v>3550.7273907664917</v>
      </c>
      <c r="AV175" s="130">
        <f t="shared" si="1"/>
        <v>3497.1606030109638</v>
      </c>
      <c r="AW175" s="130">
        <f t="shared" si="1"/>
        <v>3252.5938152554354</v>
      </c>
      <c r="AX175" s="130">
        <f t="shared" si="1"/>
        <v>3215.0270274999075</v>
      </c>
      <c r="AY175" s="130">
        <f t="shared" si="1"/>
        <v>3238.4602397443796</v>
      </c>
    </row>
    <row r="176" spans="1:52" x14ac:dyDescent="0.2">
      <c r="A176" s="131"/>
      <c r="B176" s="142" t="s">
        <v>299</v>
      </c>
      <c r="C176" s="131" t="s">
        <v>293</v>
      </c>
      <c r="D176" s="131">
        <v>1285</v>
      </c>
      <c r="E176" s="131">
        <v>1674</v>
      </c>
      <c r="F176" s="131">
        <v>1395</v>
      </c>
      <c r="G176" s="131">
        <v>1537</v>
      </c>
      <c r="H176" s="131">
        <v>1700</v>
      </c>
      <c r="I176" s="131">
        <v>1815</v>
      </c>
      <c r="J176" s="131">
        <v>1413</v>
      </c>
      <c r="K176" s="131">
        <v>1929</v>
      </c>
      <c r="L176" s="131">
        <v>874</v>
      </c>
      <c r="M176" s="131">
        <v>1076</v>
      </c>
      <c r="N176" s="131">
        <v>1336</v>
      </c>
      <c r="O176" s="131">
        <v>1097</v>
      </c>
      <c r="P176" s="131">
        <v>823</v>
      </c>
      <c r="Q176" s="131">
        <v>1013</v>
      </c>
      <c r="R176" s="131">
        <v>1212</v>
      </c>
      <c r="S176" s="131">
        <v>1041</v>
      </c>
      <c r="T176" s="131">
        <v>1451</v>
      </c>
      <c r="U176" s="131">
        <v>1432</v>
      </c>
      <c r="V176" s="131">
        <v>1249</v>
      </c>
      <c r="W176" s="131">
        <v>1292</v>
      </c>
      <c r="X176" s="131">
        <v>1371</v>
      </c>
      <c r="Y176" s="131">
        <v>1517</v>
      </c>
      <c r="Z176" s="131">
        <v>1342.5985159584204</v>
      </c>
      <c r="AA176" s="131">
        <v>1179.4454525283545</v>
      </c>
      <c r="AB176" s="131">
        <v>1138</v>
      </c>
      <c r="AC176" s="131">
        <v>909</v>
      </c>
      <c r="AD176" s="131">
        <v>981</v>
      </c>
      <c r="AE176" s="131">
        <v>976</v>
      </c>
      <c r="AF176" s="131">
        <v>1527</v>
      </c>
      <c r="AG176" s="131">
        <v>1291</v>
      </c>
      <c r="AH176" s="131">
        <v>1820</v>
      </c>
      <c r="AI176" s="131">
        <v>1386</v>
      </c>
      <c r="AJ176" s="131">
        <v>1584</v>
      </c>
      <c r="AK176" s="131">
        <v>1504</v>
      </c>
      <c r="AL176" s="131">
        <v>1432.7352391321522</v>
      </c>
      <c r="AM176" s="131">
        <v>1287.4607967116774</v>
      </c>
      <c r="AN176" s="131">
        <v>400.32856206332076</v>
      </c>
      <c r="AO176" s="131">
        <v>734.09853060536284</v>
      </c>
      <c r="AP176" s="131">
        <v>799</v>
      </c>
      <c r="AQ176" s="131">
        <v>852</v>
      </c>
      <c r="AR176" s="131">
        <v>901</v>
      </c>
      <c r="AS176" s="131">
        <v>803</v>
      </c>
      <c r="AT176" s="131">
        <v>999</v>
      </c>
      <c r="AU176" s="131">
        <v>1007</v>
      </c>
      <c r="AV176" s="131">
        <v>1198</v>
      </c>
      <c r="AW176" s="131">
        <v>991</v>
      </c>
      <c r="AX176" s="131">
        <v>930</v>
      </c>
      <c r="AY176" s="131">
        <v>1071</v>
      </c>
    </row>
    <row r="177" spans="1:51" x14ac:dyDescent="0.2">
      <c r="A177" s="141" t="s">
        <v>133</v>
      </c>
      <c r="B177" s="141" t="s">
        <v>298</v>
      </c>
      <c r="C177" s="130" t="s">
        <v>293</v>
      </c>
      <c r="D177" s="130">
        <f t="shared" ref="D177:AY177" si="2">SUM(D100:D107)</f>
        <v>0</v>
      </c>
      <c r="E177" s="130">
        <f t="shared" si="2"/>
        <v>213.6056158955048</v>
      </c>
      <c r="F177" s="130">
        <f t="shared" si="2"/>
        <v>0</v>
      </c>
      <c r="G177" s="130">
        <f t="shared" si="2"/>
        <v>155.83865753391785</v>
      </c>
      <c r="H177" s="130">
        <f t="shared" si="2"/>
        <v>158.03528818378911</v>
      </c>
      <c r="I177" s="130">
        <f t="shared" si="2"/>
        <v>104.62464857256899</v>
      </c>
      <c r="J177" s="130">
        <f t="shared" si="2"/>
        <v>136.424845614568</v>
      </c>
      <c r="K177" s="130">
        <f t="shared" si="2"/>
        <v>51.214008961348867</v>
      </c>
      <c r="L177" s="130">
        <f t="shared" si="2"/>
        <v>85.210836653219133</v>
      </c>
      <c r="M177" s="130">
        <f t="shared" si="2"/>
        <v>272.849691229136</v>
      </c>
      <c r="N177" s="130">
        <f t="shared" si="2"/>
        <v>0</v>
      </c>
      <c r="O177" s="130">
        <f t="shared" si="2"/>
        <v>136.424845614568</v>
      </c>
      <c r="P177" s="130">
        <f t="shared" si="2"/>
        <v>0</v>
      </c>
      <c r="Q177" s="130">
        <f t="shared" si="2"/>
        <v>172.89846596078308</v>
      </c>
      <c r="R177" s="130">
        <f t="shared" si="2"/>
        <v>187.43542747232135</v>
      </c>
      <c r="S177" s="130">
        <f t="shared" si="2"/>
        <v>51.214008961348867</v>
      </c>
      <c r="T177" s="130">
        <f t="shared" si="2"/>
        <v>65.750970472887133</v>
      </c>
      <c r="U177" s="130">
        <f t="shared" si="2"/>
        <v>116.964979434236</v>
      </c>
      <c r="V177" s="130">
        <f t="shared" si="2"/>
        <v>154.55360927809505</v>
      </c>
      <c r="W177" s="130">
        <f t="shared" si="2"/>
        <v>37.588629843859067</v>
      </c>
      <c r="X177" s="130">
        <f t="shared" si="2"/>
        <v>37.58862984385906</v>
      </c>
      <c r="Y177" s="130">
        <f t="shared" si="2"/>
        <v>37.58862984385906</v>
      </c>
      <c r="Z177" s="130">
        <f t="shared" si="2"/>
        <v>0</v>
      </c>
      <c r="AA177" s="130">
        <f t="shared" si="2"/>
        <v>136.424845614568</v>
      </c>
      <c r="AB177" s="130">
        <f t="shared" si="2"/>
        <v>89.370728255896836</v>
      </c>
      <c r="AC177" s="130">
        <f t="shared" si="2"/>
        <v>89.370728255896836</v>
      </c>
      <c r="AD177" s="130">
        <f t="shared" si="2"/>
        <v>0</v>
      </c>
      <c r="AE177" s="130">
        <f t="shared" si="2"/>
        <v>137.46929241111036</v>
      </c>
      <c r="AF177" s="130">
        <f t="shared" si="2"/>
        <v>1.4210854715202004E-14</v>
      </c>
      <c r="AG177" s="130">
        <f t="shared" si="2"/>
        <v>172.51056689952298</v>
      </c>
      <c r="AH177" s="130">
        <f t="shared" si="2"/>
        <v>1.4210854715202004E-14</v>
      </c>
      <c r="AI177" s="130">
        <f t="shared" si="2"/>
        <v>255.03380588296153</v>
      </c>
      <c r="AJ177" s="130">
        <f t="shared" si="2"/>
        <v>109.99626569727445</v>
      </c>
      <c r="AK177" s="130">
        <f t="shared" si="2"/>
        <v>109.99626569727445</v>
      </c>
      <c r="AL177" s="130">
        <f t="shared" si="2"/>
        <v>0</v>
      </c>
      <c r="AM177" s="130">
        <f t="shared" si="2"/>
        <v>220.49198504841542</v>
      </c>
      <c r="AN177" s="130">
        <f t="shared" si="2"/>
        <v>110.24599252420771</v>
      </c>
      <c r="AO177" s="130">
        <f t="shared" si="2"/>
        <v>110.24599252420771</v>
      </c>
      <c r="AP177" s="130">
        <f t="shared" si="2"/>
        <v>100.64606516393586</v>
      </c>
      <c r="AQ177" s="130">
        <f t="shared" si="2"/>
        <v>100.64606516393586</v>
      </c>
      <c r="AR177" s="130">
        <f t="shared" si="2"/>
        <v>0</v>
      </c>
      <c r="AS177" s="130">
        <f t="shared" si="2"/>
        <v>201.29213032787172</v>
      </c>
      <c r="AT177" s="130">
        <f t="shared" si="2"/>
        <v>0</v>
      </c>
      <c r="AU177" s="130">
        <f t="shared" si="2"/>
        <v>167.4174973801112</v>
      </c>
      <c r="AV177" s="130">
        <f t="shared" si="2"/>
        <v>64.989479457413466</v>
      </c>
      <c r="AW177" s="130">
        <f t="shared" si="2"/>
        <v>116.20348841876233</v>
      </c>
      <c r="AX177" s="130">
        <f t="shared" si="2"/>
        <v>116.20348841876233</v>
      </c>
      <c r="AY177" s="130">
        <f t="shared" si="2"/>
        <v>51.214008961348874</v>
      </c>
    </row>
    <row r="178" spans="1:51" x14ac:dyDescent="0.2">
      <c r="A178" s="131"/>
      <c r="B178" s="142" t="s">
        <v>299</v>
      </c>
      <c r="C178" s="131" t="s">
        <v>293</v>
      </c>
      <c r="D178" s="131">
        <v>0</v>
      </c>
      <c r="E178" s="131">
        <v>213.6056158955048</v>
      </c>
      <c r="F178" s="131">
        <v>0</v>
      </c>
      <c r="G178" s="131">
        <v>155.83865753391785</v>
      </c>
      <c r="H178" s="131">
        <v>158.03528818378911</v>
      </c>
      <c r="I178" s="131">
        <v>104.62464857256899</v>
      </c>
      <c r="J178" s="131">
        <v>136.424845614568</v>
      </c>
      <c r="K178" s="131">
        <v>51.214008961348867</v>
      </c>
      <c r="L178" s="131">
        <v>85.210836653219133</v>
      </c>
      <c r="M178" s="131">
        <v>272.849691229136</v>
      </c>
      <c r="N178" s="131">
        <v>0</v>
      </c>
      <c r="O178" s="131">
        <v>136.424845614568</v>
      </c>
      <c r="P178" s="131">
        <v>0</v>
      </c>
      <c r="Q178" s="131">
        <v>172.89846596078308</v>
      </c>
      <c r="R178" s="131">
        <v>187.43542747232135</v>
      </c>
      <c r="S178" s="131">
        <v>51.214008961348867</v>
      </c>
      <c r="T178" s="131">
        <v>65.750970472887133</v>
      </c>
      <c r="U178" s="131">
        <v>116.964979434236</v>
      </c>
      <c r="V178" s="131">
        <v>154.55360927809505</v>
      </c>
      <c r="W178" s="131">
        <v>37.588629843859067</v>
      </c>
      <c r="X178" s="131">
        <v>37.58862984385906</v>
      </c>
      <c r="Y178" s="131">
        <v>37.58862984385906</v>
      </c>
      <c r="Z178" s="131">
        <v>0</v>
      </c>
      <c r="AA178" s="131">
        <v>136.424845614568</v>
      </c>
      <c r="AB178" s="131">
        <v>89.370728255896836</v>
      </c>
      <c r="AC178" s="131">
        <v>89.370728255896836</v>
      </c>
      <c r="AD178" s="131">
        <v>0</v>
      </c>
      <c r="AE178" s="131">
        <v>137.46929241111036</v>
      </c>
      <c r="AF178" s="131">
        <v>1.4210854715202004E-14</v>
      </c>
      <c r="AG178" s="131">
        <v>172.51056689952298</v>
      </c>
      <c r="AH178" s="131">
        <v>1.4210854715202004E-14</v>
      </c>
      <c r="AI178" s="131">
        <v>255.03380588296153</v>
      </c>
      <c r="AJ178" s="131">
        <v>109.99626569727445</v>
      </c>
      <c r="AK178" s="131">
        <v>109.99626569727445</v>
      </c>
      <c r="AL178" s="131">
        <v>0</v>
      </c>
      <c r="AM178" s="131">
        <v>220.49198504841542</v>
      </c>
      <c r="AN178" s="131">
        <v>110.24599252420771</v>
      </c>
      <c r="AO178" s="131">
        <v>110.24599252420771</v>
      </c>
      <c r="AP178" s="131">
        <v>100.64606516393586</v>
      </c>
      <c r="AQ178" s="131">
        <v>100.64606516393586</v>
      </c>
      <c r="AR178" s="131">
        <v>0</v>
      </c>
      <c r="AS178" s="131">
        <v>201.29213032787172</v>
      </c>
      <c r="AT178" s="131">
        <v>0</v>
      </c>
      <c r="AU178" s="131">
        <v>167.4174973801112</v>
      </c>
      <c r="AV178" s="131">
        <v>64.989479457413466</v>
      </c>
      <c r="AW178" s="131">
        <v>116.20348841876233</v>
      </c>
      <c r="AX178" s="131">
        <v>116.20348841876233</v>
      </c>
      <c r="AY178" s="131">
        <v>51.214008961348874</v>
      </c>
    </row>
    <row r="179" spans="1:51" x14ac:dyDescent="0.2">
      <c r="A179" s="141" t="s">
        <v>134</v>
      </c>
      <c r="B179" s="141" t="s">
        <v>298</v>
      </c>
      <c r="C179" s="130" t="s">
        <v>293</v>
      </c>
      <c r="D179" s="130">
        <f t="shared" ref="D179:AY179" si="3">SUM(D109:D120)</f>
        <v>269.4830393728119</v>
      </c>
      <c r="E179" s="130">
        <f t="shared" si="3"/>
        <v>1665.9012262948927</v>
      </c>
      <c r="F179" s="130">
        <f t="shared" si="3"/>
        <v>2842.6352481501699</v>
      </c>
      <c r="G179" s="130">
        <f t="shared" si="3"/>
        <v>3665.462932646446</v>
      </c>
      <c r="H179" s="130">
        <f t="shared" si="3"/>
        <v>4380.4810625659484</v>
      </c>
      <c r="I179" s="130">
        <f t="shared" si="3"/>
        <v>5202.4228360360767</v>
      </c>
      <c r="J179" s="130">
        <f t="shared" si="3"/>
        <v>5907.6770787925807</v>
      </c>
      <c r="K179" s="130">
        <f t="shared" si="3"/>
        <v>6369.5003187681468</v>
      </c>
      <c r="L179" s="130">
        <f t="shared" si="3"/>
        <v>6735.5505376457331</v>
      </c>
      <c r="M179" s="130">
        <f t="shared" si="3"/>
        <v>6962.3845072365802</v>
      </c>
      <c r="N179" s="130">
        <f t="shared" si="3"/>
        <v>7217.1494481846612</v>
      </c>
      <c r="O179" s="130">
        <f t="shared" si="3"/>
        <v>6880.2927979320111</v>
      </c>
      <c r="P179" s="130">
        <f t="shared" si="3"/>
        <v>6719.4099970163697</v>
      </c>
      <c r="Q179" s="130">
        <f t="shared" si="3"/>
        <v>6359.0659358672165</v>
      </c>
      <c r="R179" s="130">
        <f t="shared" si="3"/>
        <v>6348.2009134650634</v>
      </c>
      <c r="S179" s="130">
        <f t="shared" si="3"/>
        <v>6442.7815979438647</v>
      </c>
      <c r="T179" s="130">
        <f t="shared" si="3"/>
        <v>6251.4597952929307</v>
      </c>
      <c r="U179" s="130">
        <f t="shared" si="3"/>
        <v>6405.6769831235761</v>
      </c>
      <c r="V179" s="130">
        <f t="shared" si="3"/>
        <v>6757.9364472027019</v>
      </c>
      <c r="W179" s="130">
        <f t="shared" si="3"/>
        <v>7318.8298454934011</v>
      </c>
      <c r="X179" s="130">
        <f t="shared" si="3"/>
        <v>7055.2575196732723</v>
      </c>
      <c r="Y179" s="130">
        <f t="shared" si="3"/>
        <v>7038.9224165258911</v>
      </c>
      <c r="Z179" s="130">
        <f t="shared" si="3"/>
        <v>7109.0038715978108</v>
      </c>
      <c r="AA179" s="130">
        <f t="shared" si="3"/>
        <v>7486.8173058323528</v>
      </c>
      <c r="AB179" s="130">
        <f t="shared" si="3"/>
        <v>8154.5009131331826</v>
      </c>
      <c r="AC179" s="130">
        <f t="shared" si="3"/>
        <v>8565.0226664601723</v>
      </c>
      <c r="AD179" s="130">
        <f t="shared" si="3"/>
        <v>8659.6382230401578</v>
      </c>
      <c r="AE179" s="130">
        <f t="shared" si="3"/>
        <v>8471.4455812071283</v>
      </c>
      <c r="AF179" s="130">
        <f t="shared" si="3"/>
        <v>8745.0110451376113</v>
      </c>
      <c r="AG179" s="130">
        <f t="shared" si="3"/>
        <v>8476.5023881364468</v>
      </c>
      <c r="AH179" s="130">
        <f t="shared" si="3"/>
        <v>8971.8718156516588</v>
      </c>
      <c r="AI179" s="130">
        <f t="shared" si="3"/>
        <v>8744.3014496161031</v>
      </c>
      <c r="AJ179" s="130">
        <f t="shared" si="3"/>
        <v>9110.4547257590766</v>
      </c>
      <c r="AK179" s="130">
        <f t="shared" si="3"/>
        <v>9291.5902554372606</v>
      </c>
      <c r="AL179" s="130">
        <f t="shared" si="3"/>
        <v>10030.093825317983</v>
      </c>
      <c r="AM179" s="130">
        <f t="shared" si="3"/>
        <v>8964.5236034256468</v>
      </c>
      <c r="AN179" s="130">
        <f t="shared" si="3"/>
        <v>10212.505605645601</v>
      </c>
      <c r="AO179" s="130">
        <f t="shared" si="3"/>
        <v>10263.361917830809</v>
      </c>
      <c r="AP179" s="130">
        <f t="shared" si="3"/>
        <v>10068.523518468453</v>
      </c>
      <c r="AQ179" s="130">
        <f t="shared" si="3"/>
        <v>10082.220760577589</v>
      </c>
      <c r="AR179" s="130">
        <f t="shared" si="3"/>
        <v>10249.821337562464</v>
      </c>
      <c r="AS179" s="130">
        <f t="shared" si="3"/>
        <v>8380.882966436473</v>
      </c>
      <c r="AT179" s="130">
        <f t="shared" si="3"/>
        <v>8010.9637733557211</v>
      </c>
      <c r="AU179" s="130">
        <f t="shared" si="3"/>
        <v>6689.0254022297304</v>
      </c>
      <c r="AV179" s="130">
        <f t="shared" si="3"/>
        <v>6130.5680236136795</v>
      </c>
      <c r="AW179" s="130">
        <f t="shared" si="3"/>
        <v>6083.2974801101536</v>
      </c>
      <c r="AX179" s="130">
        <f t="shared" si="3"/>
        <v>5883.7109574379601</v>
      </c>
      <c r="AY179" s="130">
        <f t="shared" si="3"/>
        <v>5500.8640162403281</v>
      </c>
    </row>
    <row r="180" spans="1:51" x14ac:dyDescent="0.2">
      <c r="A180" s="131"/>
      <c r="B180" s="142" t="s">
        <v>299</v>
      </c>
      <c r="C180" s="131" t="s">
        <v>293</v>
      </c>
      <c r="D180" s="131">
        <v>269.4830393728119</v>
      </c>
      <c r="E180" s="131">
        <v>615.18885188971717</v>
      </c>
      <c r="F180" s="131">
        <v>617</v>
      </c>
      <c r="G180" s="131">
        <v>700.76600043543442</v>
      </c>
      <c r="H180" s="131">
        <v>606.51608700591612</v>
      </c>
      <c r="I180" s="131">
        <v>514.51934102862072</v>
      </c>
      <c r="J180" s="131">
        <v>710.38510821814828</v>
      </c>
      <c r="K180" s="131">
        <v>651.0171594026001</v>
      </c>
      <c r="L180" s="131">
        <v>673.2003330123888</v>
      </c>
      <c r="M180" s="131">
        <v>631.7651015027302</v>
      </c>
      <c r="N180" s="131">
        <v>573</v>
      </c>
      <c r="O180" s="131">
        <v>523.42981682053471</v>
      </c>
      <c r="P180" s="131">
        <v>465</v>
      </c>
      <c r="Q180" s="131">
        <v>596.77842121458548</v>
      </c>
      <c r="R180" s="131">
        <v>531.79589099471991</v>
      </c>
      <c r="S180" s="131">
        <v>482.64737052918395</v>
      </c>
      <c r="T180" s="131">
        <v>423.74198884437334</v>
      </c>
      <c r="U180" s="131">
        <v>419.40909555385952</v>
      </c>
      <c r="V180" s="131">
        <v>435.86446281700955</v>
      </c>
      <c r="W180" s="131">
        <v>468.10155362899604</v>
      </c>
      <c r="X180" s="131">
        <v>468.85282945416537</v>
      </c>
      <c r="Y180" s="131">
        <v>344.90871515259136</v>
      </c>
      <c r="Z180" s="131">
        <v>504</v>
      </c>
      <c r="AA180" s="131">
        <v>525.44328812483343</v>
      </c>
      <c r="AB180" s="131">
        <v>463.37101974372791</v>
      </c>
      <c r="AC180" s="131">
        <v>497.76765358486091</v>
      </c>
      <c r="AD180" s="131">
        <v>457</v>
      </c>
      <c r="AE180" s="131">
        <v>417.11044839650157</v>
      </c>
      <c r="AF180" s="131">
        <v>702</v>
      </c>
      <c r="AG180" s="131">
        <v>517.64499455686428</v>
      </c>
      <c r="AH180" s="131">
        <v>776</v>
      </c>
      <c r="AI180" s="131">
        <v>676.66448065991142</v>
      </c>
      <c r="AJ180" s="131">
        <v>632.49732015324787</v>
      </c>
      <c r="AK180" s="131">
        <v>544.54283381446578</v>
      </c>
      <c r="AL180" s="131">
        <v>584</v>
      </c>
      <c r="AM180" s="131">
        <v>564.76623463157591</v>
      </c>
      <c r="AN180" s="131">
        <v>2053.7055454463416</v>
      </c>
      <c r="AO180" s="131">
        <v>1973.1221617140022</v>
      </c>
      <c r="AP180" s="131">
        <v>1725.0267228542318</v>
      </c>
      <c r="AQ180" s="131">
        <v>1571.1233879784895</v>
      </c>
      <c r="AR180" s="131">
        <v>2474</v>
      </c>
      <c r="AS180" s="131">
        <v>1814.1007325752987</v>
      </c>
      <c r="AT180" s="131">
        <v>1927</v>
      </c>
      <c r="AU180" s="131">
        <v>1861.4268452633912</v>
      </c>
      <c r="AV180" s="131">
        <v>1041.1734326344003</v>
      </c>
      <c r="AW180" s="131">
        <v>1357.3951346012029</v>
      </c>
      <c r="AX180" s="131">
        <v>1540.6555531266422</v>
      </c>
      <c r="AY180" s="131">
        <v>1131.1219151624009</v>
      </c>
    </row>
    <row r="181" spans="1:51" x14ac:dyDescent="0.2">
      <c r="A181" s="141" t="s">
        <v>123</v>
      </c>
      <c r="B181" s="141" t="s">
        <v>298</v>
      </c>
      <c r="C181" s="130" t="s">
        <v>293</v>
      </c>
      <c r="D181" s="130">
        <f t="shared" ref="D181:AY181" si="4">(1-D172)*SUM(D122:D169)</f>
        <v>3627.1377204186729</v>
      </c>
      <c r="E181" s="130">
        <f t="shared" si="4"/>
        <v>3901.5224581454063</v>
      </c>
      <c r="F181" s="130">
        <f t="shared" si="4"/>
        <v>3134.9117360065243</v>
      </c>
      <c r="G181" s="130">
        <f t="shared" si="4"/>
        <v>3082.5621244074359</v>
      </c>
      <c r="H181" s="130">
        <f t="shared" si="4"/>
        <v>2624.648205746234</v>
      </c>
      <c r="I181" s="130">
        <f t="shared" si="4"/>
        <v>2241.2117547740377</v>
      </c>
      <c r="J181" s="130">
        <f t="shared" si="4"/>
        <v>2153.8153997921077</v>
      </c>
      <c r="K181" s="130">
        <f t="shared" si="4"/>
        <v>1868.7594106811841</v>
      </c>
      <c r="L181" s="130">
        <f t="shared" si="4"/>
        <v>1260.0258733415874</v>
      </c>
      <c r="M181" s="130">
        <f t="shared" si="4"/>
        <v>1241.1202414749212</v>
      </c>
      <c r="N181" s="130">
        <f t="shared" si="4"/>
        <v>330.59487803808645</v>
      </c>
      <c r="O181" s="130">
        <f t="shared" si="4"/>
        <v>507.55689979999613</v>
      </c>
      <c r="P181" s="130">
        <f t="shared" si="4"/>
        <v>77.991964932878673</v>
      </c>
      <c r="Q181" s="130">
        <f t="shared" si="4"/>
        <v>436.63587327813718</v>
      </c>
      <c r="R181" s="130">
        <f t="shared" si="4"/>
        <v>466.78994470376347</v>
      </c>
      <c r="S181" s="130">
        <f t="shared" si="4"/>
        <v>217.10238065316975</v>
      </c>
      <c r="T181" s="130">
        <f t="shared" si="4"/>
        <v>494.35335027828256</v>
      </c>
      <c r="U181" s="130">
        <f t="shared" si="4"/>
        <v>660.04131979287592</v>
      </c>
      <c r="V181" s="130">
        <f t="shared" si="4"/>
        <v>852.56988372360479</v>
      </c>
      <c r="W181" s="130">
        <f t="shared" si="4"/>
        <v>611.8659807986578</v>
      </c>
      <c r="X181" s="130">
        <f t="shared" si="4"/>
        <v>639.27487857714129</v>
      </c>
      <c r="Y181" s="130">
        <f t="shared" si="4"/>
        <v>692.02020246357768</v>
      </c>
      <c r="Z181" s="130">
        <f t="shared" si="4"/>
        <v>637.91070133943276</v>
      </c>
      <c r="AA181" s="130">
        <f t="shared" si="4"/>
        <v>863.11728206840485</v>
      </c>
      <c r="AB181" s="130">
        <f t="shared" si="4"/>
        <v>509.43099604114093</v>
      </c>
      <c r="AC181" s="130">
        <f t="shared" si="4"/>
        <v>345.32654130085643</v>
      </c>
      <c r="AD181" s="130">
        <f t="shared" si="4"/>
        <v>156.69977419884927</v>
      </c>
      <c r="AE181" s="130">
        <f t="shared" si="4"/>
        <v>402.62573258502738</v>
      </c>
      <c r="AF181" s="130">
        <f t="shared" si="4"/>
        <v>193.35708901435692</v>
      </c>
      <c r="AG181" s="130">
        <f t="shared" si="4"/>
        <v>451.85105295619371</v>
      </c>
      <c r="AH181" s="130">
        <f t="shared" si="4"/>
        <v>244.62485644807725</v>
      </c>
      <c r="AI181" s="130">
        <f t="shared" si="4"/>
        <v>575.50585014072215</v>
      </c>
      <c r="AJ181" s="130">
        <f t="shared" si="4"/>
        <v>546.92542242830905</v>
      </c>
      <c r="AK181" s="130">
        <f t="shared" si="4"/>
        <v>548.52270040164149</v>
      </c>
      <c r="AL181" s="130">
        <f t="shared" si="4"/>
        <v>422.23270171031771</v>
      </c>
      <c r="AM181" s="130">
        <f t="shared" si="4"/>
        <v>662.39251535882738</v>
      </c>
      <c r="AN181" s="130">
        <f t="shared" si="4"/>
        <v>376.35798213532036</v>
      </c>
      <c r="AO181" s="130">
        <f t="shared" si="4"/>
        <v>318.00979668797265</v>
      </c>
      <c r="AP181" s="130">
        <f t="shared" si="4"/>
        <v>310.93533343817734</v>
      </c>
      <c r="AQ181" s="130">
        <f t="shared" si="4"/>
        <v>310.93533343817734</v>
      </c>
      <c r="AR181" s="130">
        <f t="shared" si="4"/>
        <v>100.02021400498596</v>
      </c>
      <c r="AS181" s="130">
        <f t="shared" si="4"/>
        <v>238.73162624955094</v>
      </c>
      <c r="AT181" s="130">
        <f t="shared" si="4"/>
        <v>100.02021400498596</v>
      </c>
      <c r="AU181" s="130">
        <f t="shared" si="4"/>
        <v>215.38844751823862</v>
      </c>
      <c r="AV181" s="130">
        <f t="shared" si="4"/>
        <v>514.70285719280719</v>
      </c>
      <c r="AW181" s="130">
        <f t="shared" si="4"/>
        <v>599.58312543332318</v>
      </c>
      <c r="AX181" s="130">
        <f t="shared" si="4"/>
        <v>599.58312543332318</v>
      </c>
      <c r="AY181" s="130">
        <f t="shared" si="4"/>
        <v>520.50611291982966</v>
      </c>
    </row>
    <row r="182" spans="1:51" x14ac:dyDescent="0.2">
      <c r="A182" s="131"/>
      <c r="B182" s="142" t="s">
        <v>299</v>
      </c>
      <c r="C182" s="131" t="s">
        <v>293</v>
      </c>
      <c r="D182" s="131">
        <v>571</v>
      </c>
      <c r="E182" s="131">
        <v>496.18885188971717</v>
      </c>
      <c r="F182" s="131">
        <v>563</v>
      </c>
      <c r="G182" s="131">
        <v>648.76600043543442</v>
      </c>
      <c r="H182" s="131">
        <v>523.51608700591612</v>
      </c>
      <c r="I182" s="131">
        <v>429.51934102862066</v>
      </c>
      <c r="J182" s="131">
        <v>368.38510821814833</v>
      </c>
      <c r="K182" s="131">
        <v>330.0171594026001</v>
      </c>
      <c r="L182" s="131">
        <v>665.2003330123888</v>
      </c>
      <c r="M182" s="131">
        <v>881.7651015027302</v>
      </c>
      <c r="N182" s="131">
        <v>330.59487803808645</v>
      </c>
      <c r="O182" s="131">
        <v>507.55689979999613</v>
      </c>
      <c r="P182" s="131">
        <v>77.991964932878673</v>
      </c>
      <c r="Q182" s="131">
        <v>436.63587327813718</v>
      </c>
      <c r="R182" s="131">
        <v>389.79589099471991</v>
      </c>
      <c r="S182" s="131">
        <v>217.10238065316975</v>
      </c>
      <c r="T182" s="131">
        <v>383.74198884437334</v>
      </c>
      <c r="U182" s="131">
        <v>314.40909555385952</v>
      </c>
      <c r="V182" s="131">
        <v>460.86446281700955</v>
      </c>
      <c r="W182" s="131">
        <v>397.10155362899604</v>
      </c>
      <c r="X182" s="131">
        <v>298.85282945416537</v>
      </c>
      <c r="Y182" s="131">
        <v>297.90871515259136</v>
      </c>
      <c r="Z182" s="131">
        <v>370</v>
      </c>
      <c r="AA182" s="131">
        <v>339.44328812483343</v>
      </c>
      <c r="AB182" s="131">
        <v>431.37101974372791</v>
      </c>
      <c r="AC182" s="131">
        <v>345.32654130085643</v>
      </c>
      <c r="AD182" s="131">
        <v>156.69977419884927</v>
      </c>
      <c r="AE182" s="131">
        <v>402.62573258502738</v>
      </c>
      <c r="AF182" s="131">
        <v>193.35708901435692</v>
      </c>
      <c r="AG182" s="131">
        <v>285.64499455686433</v>
      </c>
      <c r="AH182" s="131">
        <v>244.62485644807725</v>
      </c>
      <c r="AI182" s="131">
        <v>381.66448065991142</v>
      </c>
      <c r="AJ182" s="131">
        <v>346.49732015324787</v>
      </c>
      <c r="AK182" s="131">
        <v>334.54283381446578</v>
      </c>
      <c r="AL182" s="131">
        <v>289</v>
      </c>
      <c r="AM182" s="131">
        <v>277.76623463157591</v>
      </c>
      <c r="AN182" s="131">
        <v>376.35798213532036</v>
      </c>
      <c r="AO182" s="131">
        <v>318.00979668797265</v>
      </c>
      <c r="AP182" s="131">
        <v>310.93533343817734</v>
      </c>
      <c r="AQ182" s="131">
        <v>310.93533343817734</v>
      </c>
      <c r="AR182" s="131">
        <v>100.02021400498596</v>
      </c>
      <c r="AS182" s="131">
        <v>238.73162624955094</v>
      </c>
      <c r="AT182" s="131">
        <v>100.02021400498596</v>
      </c>
      <c r="AU182" s="131">
        <v>215.38844751823862</v>
      </c>
      <c r="AV182" s="131">
        <v>514.70285719280719</v>
      </c>
      <c r="AW182" s="131">
        <v>599.58312543332318</v>
      </c>
      <c r="AX182" s="131">
        <v>515.6555531266423</v>
      </c>
      <c r="AY182" s="131">
        <v>480.12191516240091</v>
      </c>
    </row>
    <row r="184" spans="1:51" x14ac:dyDescent="0.2">
      <c r="A184" s="108" t="s">
        <v>300</v>
      </c>
    </row>
    <row r="185" spans="1:51" x14ac:dyDescent="0.2">
      <c r="A185" s="132" t="s">
        <v>125</v>
      </c>
      <c r="B185" s="129">
        <v>1</v>
      </c>
      <c r="C185" s="130">
        <v>0</v>
      </c>
      <c r="D185" s="130">
        <v>0</v>
      </c>
      <c r="E185" s="130">
        <v>0</v>
      </c>
      <c r="F185" s="130">
        <v>0</v>
      </c>
      <c r="G185" s="130">
        <v>0</v>
      </c>
      <c r="H185" s="130">
        <v>0</v>
      </c>
      <c r="I185" s="130">
        <v>0</v>
      </c>
      <c r="J185" s="130">
        <v>0</v>
      </c>
      <c r="K185" s="130">
        <v>0</v>
      </c>
      <c r="L185" s="130">
        <v>0</v>
      </c>
      <c r="M185" s="130">
        <v>0</v>
      </c>
      <c r="N185" s="130">
        <v>0</v>
      </c>
      <c r="O185" s="130">
        <v>0</v>
      </c>
      <c r="P185" s="130">
        <v>0</v>
      </c>
      <c r="Q185" s="130">
        <v>0</v>
      </c>
      <c r="R185" s="130">
        <v>0</v>
      </c>
      <c r="S185" s="130">
        <v>0</v>
      </c>
      <c r="T185" s="130">
        <v>0</v>
      </c>
      <c r="U185" s="130">
        <v>0</v>
      </c>
      <c r="V185" s="130">
        <v>0</v>
      </c>
      <c r="W185" s="130">
        <v>0</v>
      </c>
      <c r="X185" s="130">
        <v>678.7378416266431</v>
      </c>
      <c r="Y185" s="130">
        <v>1016.2923890982886</v>
      </c>
      <c r="Z185" s="130">
        <v>1179.4454525283545</v>
      </c>
      <c r="AA185" s="130">
        <v>1179.4454525283545</v>
      </c>
      <c r="AB185" s="130">
        <v>1138</v>
      </c>
      <c r="AC185" s="130">
        <v>908.66976809151288</v>
      </c>
      <c r="AD185" s="130">
        <v>751.33953618302576</v>
      </c>
      <c r="AE185" s="130">
        <v>589.00930427453864</v>
      </c>
      <c r="AF185" s="130">
        <v>977.67907236605151</v>
      </c>
      <c r="AG185" s="130">
        <v>817.03379763717658</v>
      </c>
      <c r="AH185" s="130">
        <v>1185.3885229083016</v>
      </c>
      <c r="AI185" s="130">
        <v>1119.7432481794267</v>
      </c>
      <c r="AJ185" s="130">
        <v>1252.0979734505518</v>
      </c>
      <c r="AK185" s="130">
        <v>1359.8202359229838</v>
      </c>
      <c r="AL185" s="130">
        <v>1396.277737527568</v>
      </c>
      <c r="AM185" s="130">
        <v>1287.4607967116774</v>
      </c>
      <c r="AN185" s="130">
        <v>400.32856206332076</v>
      </c>
      <c r="AO185" s="130">
        <v>734.09853060536284</v>
      </c>
      <c r="AP185" s="130">
        <v>799</v>
      </c>
      <c r="AQ185" s="130">
        <v>852</v>
      </c>
      <c r="AR185" s="130">
        <v>781.5261241430685</v>
      </c>
      <c r="AS185" s="130">
        <v>50.962745415678455</v>
      </c>
      <c r="AT185" s="130">
        <v>0</v>
      </c>
      <c r="AU185" s="130">
        <v>0</v>
      </c>
      <c r="AV185" s="130">
        <v>0</v>
      </c>
      <c r="AW185" s="130">
        <v>0</v>
      </c>
      <c r="AX185" s="130">
        <v>0</v>
      </c>
      <c r="AY185" s="130">
        <v>0</v>
      </c>
    </row>
    <row r="186" spans="1:51" x14ac:dyDescent="0.2">
      <c r="A186" s="115"/>
      <c r="B186" s="126">
        <v>2</v>
      </c>
      <c r="C186" s="112">
        <v>184.93085586990719</v>
      </c>
      <c r="D186" s="112">
        <v>0</v>
      </c>
      <c r="E186" s="112">
        <v>0</v>
      </c>
      <c r="F186" s="112">
        <v>0</v>
      </c>
      <c r="G186" s="112">
        <v>0</v>
      </c>
      <c r="H186" s="112">
        <v>236.10842694100666</v>
      </c>
      <c r="I186" s="112">
        <v>983.59113892270261</v>
      </c>
      <c r="J186" s="112">
        <v>1183.6839881478661</v>
      </c>
      <c r="K186" s="112">
        <v>1636.0994324457597</v>
      </c>
      <c r="L186" s="112">
        <v>707.82027456831224</v>
      </c>
      <c r="M186" s="112">
        <v>317.17880296066278</v>
      </c>
      <c r="N186" s="112">
        <v>112.03164267605644</v>
      </c>
      <c r="O186" s="112">
        <v>0</v>
      </c>
      <c r="P186" s="112">
        <v>0</v>
      </c>
      <c r="Q186" s="112">
        <v>0</v>
      </c>
      <c r="R186" s="112">
        <v>0</v>
      </c>
      <c r="S186" s="112">
        <v>0</v>
      </c>
      <c r="T186" s="112">
        <v>0</v>
      </c>
      <c r="U186" s="112">
        <v>0</v>
      </c>
      <c r="V186" s="112">
        <v>0</v>
      </c>
      <c r="W186" s="112">
        <v>299.86892081332149</v>
      </c>
      <c r="X186" s="112">
        <v>496.06553959333922</v>
      </c>
      <c r="Y186" s="112">
        <v>500.7076109017114</v>
      </c>
      <c r="Z186" s="112">
        <v>163.15306343006591</v>
      </c>
      <c r="AA186" s="112">
        <v>0</v>
      </c>
      <c r="AB186" s="112">
        <v>0</v>
      </c>
      <c r="AC186" s="112">
        <v>0.33023190848712147</v>
      </c>
      <c r="AD186" s="112">
        <v>229.66046381697424</v>
      </c>
      <c r="AE186" s="112">
        <v>386.99069572546136</v>
      </c>
      <c r="AF186" s="112">
        <v>549.32092763394849</v>
      </c>
      <c r="AG186" s="112">
        <v>473.96620236282342</v>
      </c>
      <c r="AH186" s="112">
        <v>634.61147709169836</v>
      </c>
      <c r="AI186" s="112">
        <v>266.2567518205733</v>
      </c>
      <c r="AJ186" s="112">
        <v>331.90202654944824</v>
      </c>
      <c r="AK186" s="112">
        <v>144.17976407701622</v>
      </c>
      <c r="AL186" s="112">
        <v>36.457501604584195</v>
      </c>
      <c r="AM186" s="112">
        <v>0</v>
      </c>
      <c r="AN186" s="112">
        <v>0</v>
      </c>
      <c r="AO186" s="112">
        <v>0</v>
      </c>
      <c r="AP186" s="112">
        <v>0</v>
      </c>
      <c r="AQ186" s="112">
        <v>0</v>
      </c>
      <c r="AR186" s="112">
        <v>119.4738758569315</v>
      </c>
      <c r="AS186" s="112">
        <v>752.03725458432154</v>
      </c>
      <c r="AT186" s="112">
        <v>999</v>
      </c>
      <c r="AU186" s="112">
        <v>523.39936668828841</v>
      </c>
      <c r="AV186" s="112">
        <v>187.83598796089836</v>
      </c>
      <c r="AW186" s="112">
        <v>0</v>
      </c>
      <c r="AX186" s="112">
        <v>0</v>
      </c>
      <c r="AY186" s="112">
        <v>0</v>
      </c>
    </row>
    <row r="187" spans="1:51" x14ac:dyDescent="0.2">
      <c r="A187" s="115"/>
      <c r="B187" s="133">
        <v>3</v>
      </c>
      <c r="C187" s="112">
        <v>813.06914413009281</v>
      </c>
      <c r="D187" s="112">
        <v>1285</v>
      </c>
      <c r="E187" s="112">
        <v>1674</v>
      </c>
      <c r="F187" s="112">
        <v>130.36587826388541</v>
      </c>
      <c r="G187" s="112">
        <v>691.26840121736859</v>
      </c>
      <c r="H187" s="112">
        <v>1346.2068520915441</v>
      </c>
      <c r="I187" s="112">
        <v>831.40886107729739</v>
      </c>
      <c r="J187" s="112">
        <v>229.3160118521339</v>
      </c>
      <c r="K187" s="112">
        <v>292.9005675542403</v>
      </c>
      <c r="L187" s="112">
        <v>166.17972543168776</v>
      </c>
      <c r="M187" s="112">
        <v>758.82119703933722</v>
      </c>
      <c r="N187" s="112">
        <v>1223.9683573239436</v>
      </c>
      <c r="O187" s="112">
        <v>1097</v>
      </c>
      <c r="P187" s="112">
        <v>490.88448239145009</v>
      </c>
      <c r="Q187" s="112">
        <v>0</v>
      </c>
      <c r="R187" s="112">
        <v>267.64169809191162</v>
      </c>
      <c r="S187" s="112">
        <v>0</v>
      </c>
      <c r="T187" s="112">
        <v>0</v>
      </c>
      <c r="U187" s="112">
        <v>0</v>
      </c>
      <c r="V187" s="112">
        <v>0</v>
      </c>
      <c r="W187" s="112">
        <v>496.06553959333922</v>
      </c>
      <c r="X187" s="112">
        <v>196.19661878001773</v>
      </c>
      <c r="Y187" s="112">
        <v>0</v>
      </c>
      <c r="Z187" s="112">
        <v>0</v>
      </c>
      <c r="AA187" s="112">
        <v>0</v>
      </c>
      <c r="AB187" s="112">
        <v>0</v>
      </c>
      <c r="AC187" s="112">
        <v>0</v>
      </c>
      <c r="AD187" s="112">
        <v>0</v>
      </c>
      <c r="AE187" s="112">
        <v>0</v>
      </c>
      <c r="AF187" s="112">
        <v>0</v>
      </c>
      <c r="AG187" s="112">
        <v>0</v>
      </c>
      <c r="AH187" s="112">
        <v>0</v>
      </c>
      <c r="AI187" s="112">
        <v>0</v>
      </c>
      <c r="AJ187" s="112">
        <v>0</v>
      </c>
      <c r="AK187" s="112">
        <v>0</v>
      </c>
      <c r="AL187" s="112">
        <v>0</v>
      </c>
      <c r="AM187" s="112">
        <v>0</v>
      </c>
      <c r="AN187" s="112">
        <v>0</v>
      </c>
      <c r="AO187" s="112">
        <v>0</v>
      </c>
      <c r="AP187" s="112">
        <v>0</v>
      </c>
      <c r="AQ187" s="112">
        <v>0</v>
      </c>
      <c r="AR187" s="112">
        <v>0</v>
      </c>
      <c r="AS187" s="112">
        <v>0</v>
      </c>
      <c r="AT187" s="112">
        <v>0</v>
      </c>
      <c r="AU187" s="112">
        <v>483.60063331171159</v>
      </c>
      <c r="AV187" s="112">
        <v>1010.1640120391016</v>
      </c>
      <c r="AW187" s="112">
        <v>991</v>
      </c>
      <c r="AX187" s="112">
        <v>575.27260923350832</v>
      </c>
      <c r="AY187" s="112">
        <v>692.83939698903635</v>
      </c>
    </row>
    <row r="188" spans="1:51" x14ac:dyDescent="0.2">
      <c r="A188" s="134"/>
      <c r="B188" s="135">
        <v>4</v>
      </c>
      <c r="C188" s="112">
        <v>0</v>
      </c>
      <c r="D188" s="112">
        <v>0</v>
      </c>
      <c r="E188" s="112">
        <v>0</v>
      </c>
      <c r="F188" s="112">
        <v>1264.6341217361146</v>
      </c>
      <c r="G188" s="112">
        <v>845.73159878263141</v>
      </c>
      <c r="H188" s="112">
        <v>117.68472096744927</v>
      </c>
      <c r="I188" s="112">
        <v>0</v>
      </c>
      <c r="J188" s="112">
        <v>0</v>
      </c>
      <c r="K188" s="112">
        <v>0</v>
      </c>
      <c r="L188" s="112">
        <v>0</v>
      </c>
      <c r="M188" s="112">
        <v>0</v>
      </c>
      <c r="N188" s="112">
        <v>0</v>
      </c>
      <c r="O188" s="112">
        <v>0</v>
      </c>
      <c r="P188" s="112">
        <v>332.11551760854991</v>
      </c>
      <c r="Q188" s="112">
        <v>1013</v>
      </c>
      <c r="R188" s="112">
        <v>944.35830190808838</v>
      </c>
      <c r="S188" s="112">
        <v>1041</v>
      </c>
      <c r="T188" s="112">
        <v>1451</v>
      </c>
      <c r="U188" s="112">
        <v>1432</v>
      </c>
      <c r="V188" s="112">
        <v>1249</v>
      </c>
      <c r="W188" s="112">
        <v>496.06553959333922</v>
      </c>
      <c r="X188" s="112">
        <v>0</v>
      </c>
      <c r="Y188" s="112">
        <v>0</v>
      </c>
      <c r="Z188" s="112">
        <v>0</v>
      </c>
      <c r="AA188" s="112">
        <v>0</v>
      </c>
      <c r="AB188" s="112">
        <v>0</v>
      </c>
      <c r="AC188" s="112">
        <v>0</v>
      </c>
      <c r="AD188" s="112">
        <v>0</v>
      </c>
      <c r="AE188" s="112">
        <v>0</v>
      </c>
      <c r="AF188" s="112">
        <v>0</v>
      </c>
      <c r="AG188" s="112">
        <v>0</v>
      </c>
      <c r="AH188" s="112">
        <v>0</v>
      </c>
      <c r="AI188" s="112">
        <v>0</v>
      </c>
      <c r="AJ188" s="112">
        <v>0</v>
      </c>
      <c r="AK188" s="112">
        <v>0</v>
      </c>
      <c r="AL188" s="112">
        <v>0</v>
      </c>
      <c r="AM188" s="112">
        <v>0</v>
      </c>
      <c r="AN188" s="112">
        <v>0</v>
      </c>
      <c r="AO188" s="112">
        <v>0</v>
      </c>
      <c r="AP188" s="112">
        <v>0</v>
      </c>
      <c r="AQ188" s="112">
        <v>0</v>
      </c>
      <c r="AR188" s="112">
        <v>0</v>
      </c>
      <c r="AS188" s="112">
        <v>0</v>
      </c>
      <c r="AT188" s="112">
        <v>0</v>
      </c>
      <c r="AU188" s="112">
        <v>0</v>
      </c>
      <c r="AV188" s="112">
        <v>0</v>
      </c>
      <c r="AW188" s="112">
        <v>0</v>
      </c>
      <c r="AX188" s="112">
        <v>354.72739076649168</v>
      </c>
      <c r="AY188" s="112">
        <v>378.16060301096365</v>
      </c>
    </row>
    <row r="189" spans="1:51" x14ac:dyDescent="0.2">
      <c r="A189" s="132" t="s">
        <v>133</v>
      </c>
      <c r="B189" s="129">
        <v>1</v>
      </c>
      <c r="C189" s="130">
        <v>77.180770280936798</v>
      </c>
      <c r="D189" s="130">
        <v>0</v>
      </c>
      <c r="E189" s="130">
        <v>136.424845614568</v>
      </c>
      <c r="F189" s="130">
        <v>0</v>
      </c>
      <c r="G189" s="130">
        <v>51.214008961348867</v>
      </c>
      <c r="H189" s="130">
        <v>104.62464857256899</v>
      </c>
      <c r="I189" s="130">
        <v>104.62464857256899</v>
      </c>
      <c r="J189" s="130">
        <v>136.424845614568</v>
      </c>
      <c r="K189" s="130">
        <v>51.214008961348867</v>
      </c>
      <c r="L189" s="130">
        <v>0</v>
      </c>
      <c r="M189" s="130">
        <v>136.424845614568</v>
      </c>
      <c r="N189" s="130">
        <v>0</v>
      </c>
      <c r="O189" s="130">
        <v>136.424845614568</v>
      </c>
      <c r="P189" s="130">
        <v>0</v>
      </c>
      <c r="Q189" s="130">
        <v>51.214008961348867</v>
      </c>
      <c r="R189" s="130">
        <v>116.964979434236</v>
      </c>
      <c r="S189" s="130">
        <v>51.214008961348867</v>
      </c>
      <c r="T189" s="130">
        <v>0</v>
      </c>
      <c r="U189" s="130">
        <v>116.964979434236</v>
      </c>
      <c r="V189" s="130">
        <v>37.588629843859053</v>
      </c>
      <c r="W189" s="130">
        <v>37.58862984385906</v>
      </c>
      <c r="X189" s="130">
        <v>37.58862984385906</v>
      </c>
      <c r="Y189" s="130">
        <v>37.58862984385906</v>
      </c>
      <c r="Z189" s="130">
        <v>0</v>
      </c>
      <c r="AA189" s="130">
        <v>136.424845614568</v>
      </c>
      <c r="AB189" s="130">
        <v>89.370728255896836</v>
      </c>
      <c r="AC189" s="130">
        <v>89.370728255896836</v>
      </c>
      <c r="AD189" s="130">
        <v>0</v>
      </c>
      <c r="AE189" s="130">
        <v>51.214008961348853</v>
      </c>
      <c r="AF189" s="130">
        <v>0</v>
      </c>
      <c r="AG189" s="130">
        <v>51.214008961348853</v>
      </c>
      <c r="AH189" s="130">
        <v>0</v>
      </c>
      <c r="AI189" s="130">
        <v>109.99626569727445</v>
      </c>
      <c r="AJ189" s="130">
        <v>109.99626569727445</v>
      </c>
      <c r="AK189" s="130">
        <v>109.99626569727445</v>
      </c>
      <c r="AL189" s="130">
        <v>0</v>
      </c>
      <c r="AM189" s="130">
        <v>110.24599252420771</v>
      </c>
      <c r="AN189" s="130">
        <v>110.24599252420771</v>
      </c>
      <c r="AO189" s="130">
        <v>110.24599252420771</v>
      </c>
      <c r="AP189" s="130">
        <v>100.64606516393586</v>
      </c>
      <c r="AQ189" s="130">
        <v>100.64606516393586</v>
      </c>
      <c r="AR189" s="130">
        <v>0</v>
      </c>
      <c r="AS189" s="130">
        <v>100.64606516393586</v>
      </c>
      <c r="AT189" s="130">
        <v>0</v>
      </c>
      <c r="AU189" s="130">
        <v>51.21400896134886</v>
      </c>
      <c r="AV189" s="130">
        <v>0</v>
      </c>
      <c r="AW189" s="130">
        <v>116.20348841876233</v>
      </c>
      <c r="AX189" s="130">
        <v>0</v>
      </c>
      <c r="AY189" s="130">
        <v>51.214008961348874</v>
      </c>
    </row>
    <row r="190" spans="1:51" x14ac:dyDescent="0.2">
      <c r="A190" s="115"/>
      <c r="B190" s="125">
        <v>2</v>
      </c>
      <c r="C190" s="112">
        <v>0</v>
      </c>
      <c r="D190" s="112">
        <v>0</v>
      </c>
      <c r="E190" s="112">
        <v>77.180770280936798</v>
      </c>
      <c r="F190" s="112">
        <v>0</v>
      </c>
      <c r="G190" s="112">
        <v>104.62464857256899</v>
      </c>
      <c r="H190" s="112">
        <v>53.41063961122012</v>
      </c>
      <c r="I190" s="112">
        <v>0</v>
      </c>
      <c r="J190" s="112">
        <v>0</v>
      </c>
      <c r="K190" s="112">
        <v>0</v>
      </c>
      <c r="L190" s="112">
        <v>85.210836653219133</v>
      </c>
      <c r="M190" s="112">
        <v>136.424845614568</v>
      </c>
      <c r="N190" s="112">
        <v>0</v>
      </c>
      <c r="O190" s="112">
        <v>0</v>
      </c>
      <c r="P190" s="112">
        <v>0</v>
      </c>
      <c r="Q190" s="112">
        <v>121.6844569994342</v>
      </c>
      <c r="R190" s="112">
        <v>70.470448038085337</v>
      </c>
      <c r="S190" s="112">
        <v>0</v>
      </c>
      <c r="T190" s="112">
        <v>65.750970472887133</v>
      </c>
      <c r="U190" s="112">
        <v>0</v>
      </c>
      <c r="V190" s="112">
        <v>0</v>
      </c>
      <c r="W190" s="112">
        <v>7.1054273576010019E-15</v>
      </c>
      <c r="X190" s="112">
        <v>0</v>
      </c>
      <c r="Y190" s="112">
        <v>0</v>
      </c>
      <c r="Z190" s="112">
        <v>0</v>
      </c>
      <c r="AA190" s="112">
        <v>0</v>
      </c>
      <c r="AB190" s="112">
        <v>0</v>
      </c>
      <c r="AC190" s="112">
        <v>0</v>
      </c>
      <c r="AD190" s="112">
        <v>0</v>
      </c>
      <c r="AE190" s="112">
        <v>86.255283449761507</v>
      </c>
      <c r="AF190" s="112">
        <v>1.4210854715202004E-14</v>
      </c>
      <c r="AG190" s="112">
        <v>86.255283449761507</v>
      </c>
      <c r="AH190" s="112">
        <v>1.4210854715202004E-14</v>
      </c>
      <c r="AI190" s="112">
        <v>109.99626569727445</v>
      </c>
      <c r="AJ190" s="112">
        <v>0</v>
      </c>
      <c r="AK190" s="112">
        <v>0</v>
      </c>
      <c r="AL190" s="112">
        <v>0</v>
      </c>
      <c r="AM190" s="112">
        <v>110.24599252420771</v>
      </c>
      <c r="AN190" s="112">
        <v>0</v>
      </c>
      <c r="AO190" s="112">
        <v>0</v>
      </c>
      <c r="AP190" s="112">
        <v>0</v>
      </c>
      <c r="AQ190" s="112">
        <v>0</v>
      </c>
      <c r="AR190" s="112">
        <v>0</v>
      </c>
      <c r="AS190" s="112">
        <v>100.64606516393586</v>
      </c>
      <c r="AT190" s="112">
        <v>0</v>
      </c>
      <c r="AU190" s="112">
        <v>116.20348841876233</v>
      </c>
      <c r="AV190" s="112">
        <v>64.989479457413466</v>
      </c>
      <c r="AW190" s="112">
        <v>0</v>
      </c>
      <c r="AX190" s="112">
        <v>0</v>
      </c>
      <c r="AY190" s="112">
        <v>0</v>
      </c>
    </row>
    <row r="191" spans="1:51" x14ac:dyDescent="0.2">
      <c r="A191" s="115"/>
      <c r="B191" s="126">
        <v>3</v>
      </c>
      <c r="C191" s="112">
        <v>0</v>
      </c>
      <c r="D191" s="112">
        <v>0</v>
      </c>
      <c r="E191" s="112">
        <v>0</v>
      </c>
      <c r="F191" s="112">
        <v>0</v>
      </c>
      <c r="G191" s="112">
        <v>0</v>
      </c>
      <c r="H191" s="112">
        <v>0</v>
      </c>
      <c r="I191" s="112">
        <v>0</v>
      </c>
      <c r="J191" s="112">
        <v>0</v>
      </c>
      <c r="K191" s="112">
        <v>0</v>
      </c>
      <c r="L191" s="112">
        <v>0</v>
      </c>
      <c r="M191" s="112">
        <v>0</v>
      </c>
      <c r="N191" s="112">
        <v>0</v>
      </c>
      <c r="O191" s="112">
        <v>0</v>
      </c>
      <c r="P191" s="112">
        <v>0</v>
      </c>
      <c r="Q191" s="112">
        <v>0</v>
      </c>
      <c r="R191" s="112">
        <v>0</v>
      </c>
      <c r="S191" s="112">
        <v>0</v>
      </c>
      <c r="T191" s="112">
        <v>0</v>
      </c>
      <c r="U191" s="112">
        <v>0</v>
      </c>
      <c r="V191" s="112">
        <v>116.964979434236</v>
      </c>
      <c r="W191" s="112">
        <v>0</v>
      </c>
      <c r="X191" s="112">
        <v>0</v>
      </c>
      <c r="Y191" s="112">
        <v>0</v>
      </c>
      <c r="Z191" s="112">
        <v>0</v>
      </c>
      <c r="AA191" s="112">
        <v>0</v>
      </c>
      <c r="AB191" s="112">
        <v>0</v>
      </c>
      <c r="AC191" s="112">
        <v>0</v>
      </c>
      <c r="AD191" s="112">
        <v>0</v>
      </c>
      <c r="AE191" s="112">
        <v>0</v>
      </c>
      <c r="AF191" s="112">
        <v>0</v>
      </c>
      <c r="AG191" s="112">
        <v>35.04127448841264</v>
      </c>
      <c r="AH191" s="112">
        <v>0</v>
      </c>
      <c r="AI191" s="112">
        <v>35.04127448841264</v>
      </c>
      <c r="AJ191" s="112">
        <v>0</v>
      </c>
      <c r="AK191" s="112">
        <v>0</v>
      </c>
      <c r="AL191" s="112">
        <v>0</v>
      </c>
      <c r="AM191" s="112">
        <v>0</v>
      </c>
      <c r="AN191" s="112">
        <v>0</v>
      </c>
      <c r="AO191" s="112">
        <v>0</v>
      </c>
      <c r="AP191" s="112">
        <v>0</v>
      </c>
      <c r="AQ191" s="112">
        <v>0</v>
      </c>
      <c r="AR191" s="112">
        <v>0</v>
      </c>
      <c r="AS191" s="112">
        <v>0</v>
      </c>
      <c r="AT191" s="112">
        <v>0</v>
      </c>
      <c r="AU191" s="112">
        <v>0</v>
      </c>
      <c r="AV191" s="112">
        <v>0</v>
      </c>
      <c r="AW191" s="112">
        <v>0</v>
      </c>
      <c r="AX191" s="112">
        <v>116.20348841876233</v>
      </c>
      <c r="AY191" s="112">
        <v>0</v>
      </c>
    </row>
    <row r="192" spans="1:51" x14ac:dyDescent="0.2">
      <c r="A192" s="115"/>
      <c r="B192" s="126">
        <v>4</v>
      </c>
      <c r="C192" s="112">
        <v>0</v>
      </c>
      <c r="D192" s="112">
        <v>0</v>
      </c>
      <c r="E192" s="112">
        <v>0</v>
      </c>
      <c r="F192" s="112">
        <v>0</v>
      </c>
      <c r="G192" s="112">
        <v>0</v>
      </c>
      <c r="H192" s="112">
        <v>0</v>
      </c>
      <c r="I192" s="112">
        <v>0</v>
      </c>
      <c r="J192" s="112">
        <v>0</v>
      </c>
      <c r="K192" s="112">
        <v>0</v>
      </c>
      <c r="L192" s="112">
        <v>0</v>
      </c>
      <c r="M192" s="112">
        <v>0</v>
      </c>
      <c r="N192" s="112">
        <v>0</v>
      </c>
      <c r="O192" s="112">
        <v>0</v>
      </c>
      <c r="P192" s="112">
        <v>0</v>
      </c>
      <c r="Q192" s="112">
        <v>0</v>
      </c>
      <c r="R192" s="112">
        <v>0</v>
      </c>
      <c r="S192" s="112">
        <v>0</v>
      </c>
      <c r="T192" s="112">
        <v>0</v>
      </c>
      <c r="U192" s="112">
        <v>0</v>
      </c>
      <c r="V192" s="112">
        <v>0</v>
      </c>
      <c r="W192" s="112">
        <v>0</v>
      </c>
      <c r="X192" s="112">
        <v>0</v>
      </c>
      <c r="Y192" s="112">
        <v>0</v>
      </c>
      <c r="Z192" s="112">
        <v>0</v>
      </c>
      <c r="AA192" s="112">
        <v>0</v>
      </c>
      <c r="AB192" s="112">
        <v>0</v>
      </c>
      <c r="AC192" s="112">
        <v>0</v>
      </c>
      <c r="AD192" s="112">
        <v>0</v>
      </c>
      <c r="AE192" s="112">
        <v>0</v>
      </c>
      <c r="AF192" s="112">
        <v>0</v>
      </c>
      <c r="AG192" s="112">
        <v>0</v>
      </c>
      <c r="AH192" s="112">
        <v>0</v>
      </c>
      <c r="AI192" s="112">
        <v>0</v>
      </c>
      <c r="AJ192" s="112">
        <v>0</v>
      </c>
      <c r="AK192" s="112">
        <v>0</v>
      </c>
      <c r="AL192" s="112">
        <v>0</v>
      </c>
      <c r="AM192" s="112">
        <v>0</v>
      </c>
      <c r="AN192" s="112">
        <v>0</v>
      </c>
      <c r="AO192" s="112">
        <v>0</v>
      </c>
      <c r="AP192" s="112">
        <v>0</v>
      </c>
      <c r="AQ192" s="112">
        <v>0</v>
      </c>
      <c r="AR192" s="112">
        <v>0</v>
      </c>
      <c r="AS192" s="112">
        <v>0</v>
      </c>
      <c r="AT192" s="112">
        <v>0</v>
      </c>
      <c r="AU192" s="112">
        <v>0</v>
      </c>
      <c r="AV192" s="112">
        <v>0</v>
      </c>
      <c r="AW192" s="112">
        <v>0</v>
      </c>
      <c r="AX192" s="112">
        <v>0</v>
      </c>
      <c r="AY192" s="112">
        <v>0</v>
      </c>
    </row>
    <row r="193" spans="1:51" x14ac:dyDescent="0.2">
      <c r="A193" s="115"/>
      <c r="B193" s="133">
        <v>5</v>
      </c>
      <c r="C193" s="112">
        <v>0</v>
      </c>
      <c r="D193" s="112">
        <v>0</v>
      </c>
      <c r="E193" s="112">
        <v>0</v>
      </c>
      <c r="F193" s="112">
        <v>0</v>
      </c>
      <c r="G193" s="112">
        <v>0</v>
      </c>
      <c r="H193" s="112">
        <v>0</v>
      </c>
      <c r="I193" s="112">
        <v>0</v>
      </c>
      <c r="J193" s="112">
        <v>0</v>
      </c>
      <c r="K193" s="112">
        <v>0</v>
      </c>
      <c r="L193" s="112">
        <v>0</v>
      </c>
      <c r="M193" s="112">
        <v>0</v>
      </c>
      <c r="N193" s="112">
        <v>0</v>
      </c>
      <c r="O193" s="112">
        <v>0</v>
      </c>
      <c r="P193" s="112">
        <v>0</v>
      </c>
      <c r="Q193" s="112">
        <v>0</v>
      </c>
      <c r="R193" s="112">
        <v>0</v>
      </c>
      <c r="S193" s="112">
        <v>0</v>
      </c>
      <c r="T193" s="112">
        <v>0</v>
      </c>
      <c r="U193" s="112">
        <v>0</v>
      </c>
      <c r="V193" s="112">
        <v>0</v>
      </c>
      <c r="W193" s="112">
        <v>0</v>
      </c>
      <c r="X193" s="112">
        <v>0</v>
      </c>
      <c r="Y193" s="112">
        <v>0</v>
      </c>
      <c r="Z193" s="112">
        <v>0</v>
      </c>
      <c r="AA193" s="112">
        <v>0</v>
      </c>
      <c r="AB193" s="112">
        <v>0</v>
      </c>
      <c r="AC193" s="112">
        <v>0</v>
      </c>
      <c r="AD193" s="112">
        <v>0</v>
      </c>
      <c r="AE193" s="112">
        <v>0</v>
      </c>
      <c r="AF193" s="112">
        <v>0</v>
      </c>
      <c r="AG193" s="112">
        <v>0</v>
      </c>
      <c r="AH193" s="112">
        <v>0</v>
      </c>
      <c r="AI193" s="112">
        <v>0</v>
      </c>
      <c r="AJ193" s="112">
        <v>0</v>
      </c>
      <c r="AK193" s="112">
        <v>0</v>
      </c>
      <c r="AL193" s="112">
        <v>0</v>
      </c>
      <c r="AM193" s="112">
        <v>0</v>
      </c>
      <c r="AN193" s="112">
        <v>0</v>
      </c>
      <c r="AO193" s="112">
        <v>0</v>
      </c>
      <c r="AP193" s="112">
        <v>0</v>
      </c>
      <c r="AQ193" s="112">
        <v>0</v>
      </c>
      <c r="AR193" s="112">
        <v>0</v>
      </c>
      <c r="AS193" s="112">
        <v>0</v>
      </c>
      <c r="AT193" s="112">
        <v>0</v>
      </c>
      <c r="AU193" s="112">
        <v>0</v>
      </c>
      <c r="AV193" s="112">
        <v>0</v>
      </c>
      <c r="AW193" s="112">
        <v>0</v>
      </c>
      <c r="AX193" s="112">
        <v>0</v>
      </c>
      <c r="AY193" s="112">
        <v>0</v>
      </c>
    </row>
    <row r="194" spans="1:51" x14ac:dyDescent="0.2">
      <c r="A194" s="115"/>
      <c r="B194" s="133">
        <v>6</v>
      </c>
      <c r="C194" s="112">
        <v>0</v>
      </c>
      <c r="D194" s="112">
        <v>0</v>
      </c>
      <c r="E194" s="112">
        <v>0</v>
      </c>
      <c r="F194" s="112">
        <v>0</v>
      </c>
      <c r="G194" s="112">
        <v>0</v>
      </c>
      <c r="H194" s="112">
        <v>0</v>
      </c>
      <c r="I194" s="112">
        <v>0</v>
      </c>
      <c r="J194" s="112">
        <v>0</v>
      </c>
      <c r="K194" s="112">
        <v>0</v>
      </c>
      <c r="L194" s="112">
        <v>0</v>
      </c>
      <c r="M194" s="112">
        <v>0</v>
      </c>
      <c r="N194" s="112">
        <v>0</v>
      </c>
      <c r="O194" s="112">
        <v>0</v>
      </c>
      <c r="P194" s="112">
        <v>0</v>
      </c>
      <c r="Q194" s="112">
        <v>0</v>
      </c>
      <c r="R194" s="112">
        <v>0</v>
      </c>
      <c r="S194" s="112">
        <v>0</v>
      </c>
      <c r="T194" s="112">
        <v>0</v>
      </c>
      <c r="U194" s="112">
        <v>0</v>
      </c>
      <c r="V194" s="112">
        <v>0</v>
      </c>
      <c r="W194" s="112">
        <v>0</v>
      </c>
      <c r="X194" s="112">
        <v>0</v>
      </c>
      <c r="Y194" s="112">
        <v>0</v>
      </c>
      <c r="Z194" s="112">
        <v>0</v>
      </c>
      <c r="AA194" s="112">
        <v>0</v>
      </c>
      <c r="AB194" s="112">
        <v>0</v>
      </c>
      <c r="AC194" s="112">
        <v>0</v>
      </c>
      <c r="AD194" s="112">
        <v>0</v>
      </c>
      <c r="AE194" s="112">
        <v>0</v>
      </c>
      <c r="AF194" s="112">
        <v>0</v>
      </c>
      <c r="AG194" s="112">
        <v>0</v>
      </c>
      <c r="AH194" s="112">
        <v>0</v>
      </c>
      <c r="AI194" s="112">
        <v>0</v>
      </c>
      <c r="AJ194" s="112">
        <v>0</v>
      </c>
      <c r="AK194" s="112">
        <v>0</v>
      </c>
      <c r="AL194" s="112">
        <v>0</v>
      </c>
      <c r="AM194" s="112">
        <v>0</v>
      </c>
      <c r="AN194" s="112">
        <v>0</v>
      </c>
      <c r="AO194" s="112">
        <v>0</v>
      </c>
      <c r="AP194" s="112">
        <v>0</v>
      </c>
      <c r="AQ194" s="112">
        <v>0</v>
      </c>
      <c r="AR194" s="112">
        <v>0</v>
      </c>
      <c r="AS194" s="112">
        <v>0</v>
      </c>
      <c r="AT194" s="112">
        <v>0</v>
      </c>
      <c r="AU194" s="112">
        <v>0</v>
      </c>
      <c r="AV194" s="112">
        <v>0</v>
      </c>
      <c r="AW194" s="112">
        <v>0</v>
      </c>
      <c r="AX194" s="112">
        <v>0</v>
      </c>
      <c r="AY194" s="112">
        <v>0</v>
      </c>
    </row>
    <row r="195" spans="1:51" x14ac:dyDescent="0.2">
      <c r="A195" s="115"/>
      <c r="B195" s="136">
        <v>7</v>
      </c>
      <c r="C195" s="112">
        <v>0</v>
      </c>
      <c r="D195" s="112">
        <v>0</v>
      </c>
      <c r="E195" s="112">
        <v>0</v>
      </c>
      <c r="F195" s="112">
        <v>0</v>
      </c>
      <c r="G195" s="112">
        <v>0</v>
      </c>
      <c r="H195" s="112">
        <v>0</v>
      </c>
      <c r="I195" s="112">
        <v>0</v>
      </c>
      <c r="J195" s="112">
        <v>0</v>
      </c>
      <c r="K195" s="112">
        <v>0</v>
      </c>
      <c r="L195" s="112">
        <v>0</v>
      </c>
      <c r="M195" s="112">
        <v>0</v>
      </c>
      <c r="N195" s="112">
        <v>0</v>
      </c>
      <c r="O195" s="112">
        <v>0</v>
      </c>
      <c r="P195" s="112">
        <v>0</v>
      </c>
      <c r="Q195" s="112">
        <v>0</v>
      </c>
      <c r="R195" s="112">
        <v>0</v>
      </c>
      <c r="S195" s="112">
        <v>0</v>
      </c>
      <c r="T195" s="112">
        <v>0</v>
      </c>
      <c r="U195" s="112">
        <v>0</v>
      </c>
      <c r="V195" s="112">
        <v>0</v>
      </c>
      <c r="W195" s="112">
        <v>0</v>
      </c>
      <c r="X195" s="112">
        <v>0</v>
      </c>
      <c r="Y195" s="112">
        <v>0</v>
      </c>
      <c r="Z195" s="112">
        <v>0</v>
      </c>
      <c r="AA195" s="112">
        <v>0</v>
      </c>
      <c r="AB195" s="112">
        <v>0</v>
      </c>
      <c r="AC195" s="112">
        <v>0</v>
      </c>
      <c r="AD195" s="112">
        <v>0</v>
      </c>
      <c r="AE195" s="112">
        <v>0</v>
      </c>
      <c r="AF195" s="112">
        <v>0</v>
      </c>
      <c r="AG195" s="112">
        <v>0</v>
      </c>
      <c r="AH195" s="112">
        <v>0</v>
      </c>
      <c r="AI195" s="112">
        <v>0</v>
      </c>
      <c r="AJ195" s="112">
        <v>0</v>
      </c>
      <c r="AK195" s="112">
        <v>0</v>
      </c>
      <c r="AL195" s="112">
        <v>0</v>
      </c>
      <c r="AM195" s="112">
        <v>0</v>
      </c>
      <c r="AN195" s="112">
        <v>0</v>
      </c>
      <c r="AO195" s="112">
        <v>0</v>
      </c>
      <c r="AP195" s="112">
        <v>0</v>
      </c>
      <c r="AQ195" s="112">
        <v>0</v>
      </c>
      <c r="AR195" s="112">
        <v>0</v>
      </c>
      <c r="AS195" s="112">
        <v>0</v>
      </c>
      <c r="AT195" s="112">
        <v>0</v>
      </c>
      <c r="AU195" s="112">
        <v>0</v>
      </c>
      <c r="AV195" s="112">
        <v>0</v>
      </c>
      <c r="AW195" s="112">
        <v>0</v>
      </c>
      <c r="AX195" s="112">
        <v>0</v>
      </c>
      <c r="AY195" s="112">
        <v>0</v>
      </c>
    </row>
    <row r="196" spans="1:51" x14ac:dyDescent="0.2">
      <c r="A196" s="134"/>
      <c r="B196" s="135">
        <v>8</v>
      </c>
      <c r="C196" s="120">
        <v>0</v>
      </c>
      <c r="D196" s="120">
        <v>0</v>
      </c>
      <c r="E196" s="120">
        <v>0</v>
      </c>
      <c r="F196" s="120">
        <v>0</v>
      </c>
      <c r="G196" s="120">
        <v>0</v>
      </c>
      <c r="H196" s="120">
        <v>0</v>
      </c>
      <c r="I196" s="120">
        <v>0</v>
      </c>
      <c r="J196" s="120">
        <v>0</v>
      </c>
      <c r="K196" s="120">
        <v>0</v>
      </c>
      <c r="L196" s="120">
        <v>0</v>
      </c>
      <c r="M196" s="120">
        <v>0</v>
      </c>
      <c r="N196" s="120">
        <v>0</v>
      </c>
      <c r="O196" s="120">
        <v>0</v>
      </c>
      <c r="P196" s="120">
        <v>0</v>
      </c>
      <c r="Q196" s="120">
        <v>0</v>
      </c>
      <c r="R196" s="120">
        <v>0</v>
      </c>
      <c r="S196" s="120">
        <v>0</v>
      </c>
      <c r="T196" s="120">
        <v>0</v>
      </c>
      <c r="U196" s="120">
        <v>0</v>
      </c>
      <c r="V196" s="120">
        <v>0</v>
      </c>
      <c r="W196" s="120">
        <v>0</v>
      </c>
      <c r="X196" s="120">
        <v>0</v>
      </c>
      <c r="Y196" s="120">
        <v>0</v>
      </c>
      <c r="Z196" s="120">
        <v>0</v>
      </c>
      <c r="AA196" s="120">
        <v>0</v>
      </c>
      <c r="AB196" s="120">
        <v>0</v>
      </c>
      <c r="AC196" s="120">
        <v>0</v>
      </c>
      <c r="AD196" s="120">
        <v>0</v>
      </c>
      <c r="AE196" s="120">
        <v>0</v>
      </c>
      <c r="AF196" s="120">
        <v>0</v>
      </c>
      <c r="AG196" s="120">
        <v>0</v>
      </c>
      <c r="AH196" s="120">
        <v>0</v>
      </c>
      <c r="AI196" s="120">
        <v>0</v>
      </c>
      <c r="AJ196" s="120">
        <v>0</v>
      </c>
      <c r="AK196" s="120">
        <v>0</v>
      </c>
      <c r="AL196" s="120">
        <v>0</v>
      </c>
      <c r="AM196" s="120">
        <v>0</v>
      </c>
      <c r="AN196" s="120">
        <v>0</v>
      </c>
      <c r="AO196" s="120">
        <v>0</v>
      </c>
      <c r="AP196" s="120">
        <v>0</v>
      </c>
      <c r="AQ196" s="120">
        <v>0</v>
      </c>
      <c r="AR196" s="120">
        <v>0</v>
      </c>
      <c r="AS196" s="120">
        <v>0</v>
      </c>
      <c r="AT196" s="120">
        <v>0</v>
      </c>
      <c r="AU196" s="120">
        <v>0</v>
      </c>
      <c r="AV196" s="120">
        <v>0</v>
      </c>
      <c r="AW196" s="120">
        <v>0</v>
      </c>
      <c r="AX196" s="120">
        <v>0</v>
      </c>
      <c r="AY196" s="120">
        <v>0</v>
      </c>
    </row>
    <row r="197" spans="1:51" x14ac:dyDescent="0.2">
      <c r="A197" s="137" t="s">
        <v>134</v>
      </c>
      <c r="B197" s="125">
        <v>1</v>
      </c>
      <c r="C197" s="112">
        <v>268.71027317391963</v>
      </c>
      <c r="D197" s="112">
        <v>269.4830393728119</v>
      </c>
      <c r="E197" s="112">
        <v>615.18885188971717</v>
      </c>
      <c r="F197" s="112">
        <v>0</v>
      </c>
      <c r="G197" s="112">
        <v>0</v>
      </c>
      <c r="H197" s="112">
        <v>0</v>
      </c>
      <c r="I197" s="112">
        <v>0</v>
      </c>
      <c r="J197" s="112">
        <v>0</v>
      </c>
      <c r="K197" s="112">
        <v>0</v>
      </c>
      <c r="L197" s="112">
        <v>0</v>
      </c>
      <c r="M197" s="112">
        <v>0</v>
      </c>
      <c r="N197" s="112">
        <v>0</v>
      </c>
      <c r="O197" s="112">
        <v>0</v>
      </c>
      <c r="P197" s="112">
        <v>0</v>
      </c>
      <c r="Q197" s="112">
        <v>0</v>
      </c>
      <c r="R197" s="112">
        <v>0</v>
      </c>
      <c r="S197" s="112">
        <v>0</v>
      </c>
      <c r="T197" s="112">
        <v>0</v>
      </c>
      <c r="U197" s="112">
        <v>0</v>
      </c>
      <c r="V197" s="112">
        <v>0</v>
      </c>
      <c r="W197" s="112">
        <v>0</v>
      </c>
      <c r="X197" s="112">
        <v>0</v>
      </c>
      <c r="Y197" s="112">
        <v>0</v>
      </c>
      <c r="Z197" s="112">
        <v>0</v>
      </c>
      <c r="AA197" s="112">
        <v>0</v>
      </c>
      <c r="AB197" s="112">
        <v>0</v>
      </c>
      <c r="AC197" s="112">
        <v>0</v>
      </c>
      <c r="AD197" s="112">
        <v>0</v>
      </c>
      <c r="AE197" s="112">
        <v>0</v>
      </c>
      <c r="AF197" s="112">
        <v>0</v>
      </c>
      <c r="AG197" s="112">
        <v>0</v>
      </c>
      <c r="AH197" s="112">
        <v>0</v>
      </c>
      <c r="AI197" s="112">
        <v>0</v>
      </c>
      <c r="AJ197" s="112">
        <v>0</v>
      </c>
      <c r="AK197" s="112">
        <v>0</v>
      </c>
      <c r="AL197" s="112">
        <v>0</v>
      </c>
      <c r="AM197" s="112">
        <v>0</v>
      </c>
      <c r="AN197" s="112">
        <v>0</v>
      </c>
      <c r="AO197" s="112">
        <v>0</v>
      </c>
      <c r="AP197" s="112">
        <v>0</v>
      </c>
      <c r="AQ197" s="112">
        <v>0</v>
      </c>
      <c r="AR197" s="112">
        <v>0</v>
      </c>
      <c r="AS197" s="112">
        <v>0</v>
      </c>
      <c r="AT197" s="112">
        <v>0</v>
      </c>
      <c r="AU197" s="112">
        <v>0</v>
      </c>
      <c r="AV197" s="112">
        <v>0</v>
      </c>
      <c r="AW197" s="112">
        <v>0</v>
      </c>
      <c r="AX197" s="112">
        <v>0</v>
      </c>
      <c r="AY197" s="112">
        <v>0</v>
      </c>
    </row>
    <row r="198" spans="1:51" x14ac:dyDescent="0.2">
      <c r="A198" s="115"/>
      <c r="B198" s="125">
        <v>2</v>
      </c>
      <c r="C198" s="112">
        <v>0</v>
      </c>
      <c r="D198" s="112">
        <v>0</v>
      </c>
      <c r="E198" s="112">
        <v>0</v>
      </c>
      <c r="F198" s="112">
        <v>617</v>
      </c>
      <c r="G198" s="112">
        <v>267.0536260302589</v>
      </c>
      <c r="H198" s="112">
        <v>0</v>
      </c>
      <c r="I198" s="112">
        <v>0</v>
      </c>
      <c r="J198" s="112">
        <v>0</v>
      </c>
      <c r="K198" s="112">
        <v>0</v>
      </c>
      <c r="L198" s="112">
        <v>0</v>
      </c>
      <c r="M198" s="112">
        <v>0</v>
      </c>
      <c r="N198" s="112">
        <v>0</v>
      </c>
      <c r="O198" s="112">
        <v>0</v>
      </c>
      <c r="P198" s="112">
        <v>0</v>
      </c>
      <c r="Q198" s="112">
        <v>0</v>
      </c>
      <c r="R198" s="112">
        <v>0</v>
      </c>
      <c r="S198" s="112">
        <v>0</v>
      </c>
      <c r="T198" s="112">
        <v>0</v>
      </c>
      <c r="U198" s="112">
        <v>0</v>
      </c>
      <c r="V198" s="112">
        <v>0</v>
      </c>
      <c r="W198" s="112">
        <v>0</v>
      </c>
      <c r="X198" s="112">
        <v>0</v>
      </c>
      <c r="Y198" s="112">
        <v>0</v>
      </c>
      <c r="Z198" s="112">
        <v>0</v>
      </c>
      <c r="AA198" s="112">
        <v>0</v>
      </c>
      <c r="AB198" s="112">
        <v>0</v>
      </c>
      <c r="AC198" s="112">
        <v>0</v>
      </c>
      <c r="AD198" s="112">
        <v>0</v>
      </c>
      <c r="AE198" s="112">
        <v>0</v>
      </c>
      <c r="AF198" s="112">
        <v>0</v>
      </c>
      <c r="AG198" s="112">
        <v>0</v>
      </c>
      <c r="AH198" s="112">
        <v>0</v>
      </c>
      <c r="AI198" s="112">
        <v>0</v>
      </c>
      <c r="AJ198" s="112">
        <v>0</v>
      </c>
      <c r="AK198" s="112">
        <v>0</v>
      </c>
      <c r="AL198" s="112">
        <v>0</v>
      </c>
      <c r="AM198" s="112">
        <v>0</v>
      </c>
      <c r="AN198" s="112">
        <v>0</v>
      </c>
      <c r="AO198" s="112">
        <v>0</v>
      </c>
      <c r="AP198" s="112">
        <v>0</v>
      </c>
      <c r="AQ198" s="112">
        <v>0</v>
      </c>
      <c r="AR198" s="112">
        <v>0</v>
      </c>
      <c r="AS198" s="112">
        <v>0</v>
      </c>
      <c r="AT198" s="112">
        <v>0</v>
      </c>
      <c r="AU198" s="112">
        <v>0</v>
      </c>
      <c r="AV198" s="112">
        <v>0</v>
      </c>
      <c r="AW198" s="112">
        <v>0</v>
      </c>
      <c r="AX198" s="112">
        <v>0</v>
      </c>
      <c r="AY198" s="112">
        <v>0</v>
      </c>
    </row>
    <row r="199" spans="1:51" x14ac:dyDescent="0.2">
      <c r="A199" s="115"/>
      <c r="B199" s="125">
        <v>3</v>
      </c>
      <c r="C199" s="112">
        <v>0</v>
      </c>
      <c r="D199" s="112">
        <v>0</v>
      </c>
      <c r="E199" s="112">
        <v>0</v>
      </c>
      <c r="F199" s="112">
        <v>0</v>
      </c>
      <c r="G199" s="112">
        <v>433.71237440517552</v>
      </c>
      <c r="H199" s="112">
        <v>606.51608700591612</v>
      </c>
      <c r="I199" s="112">
        <v>0</v>
      </c>
      <c r="J199" s="112">
        <v>0</v>
      </c>
      <c r="K199" s="112">
        <v>0</v>
      </c>
      <c r="L199" s="112">
        <v>0</v>
      </c>
      <c r="M199" s="112">
        <v>0</v>
      </c>
      <c r="N199" s="112">
        <v>0</v>
      </c>
      <c r="O199" s="112">
        <v>0</v>
      </c>
      <c r="P199" s="112">
        <v>0</v>
      </c>
      <c r="Q199" s="112">
        <v>0</v>
      </c>
      <c r="R199" s="112">
        <v>0</v>
      </c>
      <c r="S199" s="112">
        <v>0</v>
      </c>
      <c r="T199" s="112">
        <v>0</v>
      </c>
      <c r="U199" s="112">
        <v>0</v>
      </c>
      <c r="V199" s="112">
        <v>0</v>
      </c>
      <c r="W199" s="112">
        <v>0</v>
      </c>
      <c r="X199" s="112">
        <v>0</v>
      </c>
      <c r="Y199" s="112">
        <v>0</v>
      </c>
      <c r="Z199" s="112">
        <v>0</v>
      </c>
      <c r="AA199" s="112">
        <v>0</v>
      </c>
      <c r="AB199" s="112">
        <v>0</v>
      </c>
      <c r="AC199" s="112">
        <v>0</v>
      </c>
      <c r="AD199" s="112">
        <v>0</v>
      </c>
      <c r="AE199" s="112">
        <v>0</v>
      </c>
      <c r="AF199" s="112">
        <v>0</v>
      </c>
      <c r="AG199" s="112">
        <v>0</v>
      </c>
      <c r="AH199" s="112">
        <v>0</v>
      </c>
      <c r="AI199" s="112">
        <v>0</v>
      </c>
      <c r="AJ199" s="112">
        <v>0</v>
      </c>
      <c r="AK199" s="112">
        <v>0</v>
      </c>
      <c r="AL199" s="112">
        <v>0</v>
      </c>
      <c r="AM199" s="112">
        <v>0</v>
      </c>
      <c r="AN199" s="112">
        <v>0</v>
      </c>
      <c r="AO199" s="112">
        <v>0</v>
      </c>
      <c r="AP199" s="112">
        <v>0</v>
      </c>
      <c r="AQ199" s="112">
        <v>0</v>
      </c>
      <c r="AR199" s="112">
        <v>0</v>
      </c>
      <c r="AS199" s="112">
        <v>0</v>
      </c>
      <c r="AT199" s="112">
        <v>0</v>
      </c>
      <c r="AU199" s="112">
        <v>0</v>
      </c>
      <c r="AV199" s="112">
        <v>0</v>
      </c>
      <c r="AW199" s="112">
        <v>0</v>
      </c>
      <c r="AX199" s="112">
        <v>0</v>
      </c>
      <c r="AY199" s="112">
        <v>0</v>
      </c>
    </row>
    <row r="200" spans="1:51" x14ac:dyDescent="0.2">
      <c r="A200" s="115"/>
      <c r="B200" s="126">
        <v>4</v>
      </c>
      <c r="C200" s="112">
        <v>0</v>
      </c>
      <c r="D200" s="112">
        <v>0</v>
      </c>
      <c r="E200" s="112">
        <v>0</v>
      </c>
      <c r="F200" s="112">
        <v>0</v>
      </c>
      <c r="G200" s="112">
        <v>0</v>
      </c>
      <c r="H200" s="112">
        <v>0</v>
      </c>
      <c r="I200" s="112">
        <v>514.51934102862072</v>
      </c>
      <c r="J200" s="112">
        <v>306.55128853794952</v>
      </c>
      <c r="K200" s="112">
        <v>0</v>
      </c>
      <c r="L200" s="112">
        <v>0</v>
      </c>
      <c r="M200" s="112">
        <v>0</v>
      </c>
      <c r="N200" s="112">
        <v>0</v>
      </c>
      <c r="O200" s="112">
        <v>0</v>
      </c>
      <c r="P200" s="112">
        <v>0</v>
      </c>
      <c r="Q200" s="112">
        <v>0</v>
      </c>
      <c r="R200" s="112">
        <v>0</v>
      </c>
      <c r="S200" s="112">
        <v>0</v>
      </c>
      <c r="T200" s="112">
        <v>0</v>
      </c>
      <c r="U200" s="112">
        <v>0</v>
      </c>
      <c r="V200" s="112">
        <v>0</v>
      </c>
      <c r="W200" s="112">
        <v>0</v>
      </c>
      <c r="X200" s="112">
        <v>0</v>
      </c>
      <c r="Y200" s="112">
        <v>0</v>
      </c>
      <c r="Z200" s="112">
        <v>0</v>
      </c>
      <c r="AA200" s="112">
        <v>0</v>
      </c>
      <c r="AB200" s="112">
        <v>0</v>
      </c>
      <c r="AC200" s="112">
        <v>0</v>
      </c>
      <c r="AD200" s="112">
        <v>0</v>
      </c>
      <c r="AE200" s="112">
        <v>0</v>
      </c>
      <c r="AF200" s="112">
        <v>0</v>
      </c>
      <c r="AG200" s="112">
        <v>0</v>
      </c>
      <c r="AH200" s="112">
        <v>0</v>
      </c>
      <c r="AI200" s="112">
        <v>0</v>
      </c>
      <c r="AJ200" s="112">
        <v>0</v>
      </c>
      <c r="AK200" s="112">
        <v>0</v>
      </c>
      <c r="AL200" s="112">
        <v>0</v>
      </c>
      <c r="AM200" s="112">
        <v>0</v>
      </c>
      <c r="AN200" s="112">
        <v>0</v>
      </c>
      <c r="AO200" s="112">
        <v>0</v>
      </c>
      <c r="AP200" s="112">
        <v>0</v>
      </c>
      <c r="AQ200" s="112">
        <v>0</v>
      </c>
      <c r="AR200" s="112">
        <v>0</v>
      </c>
      <c r="AS200" s="112">
        <v>0</v>
      </c>
      <c r="AT200" s="112">
        <v>0</v>
      </c>
      <c r="AU200" s="112">
        <v>0</v>
      </c>
      <c r="AV200" s="112">
        <v>0</v>
      </c>
      <c r="AW200" s="112">
        <v>0</v>
      </c>
      <c r="AX200" s="112">
        <v>0</v>
      </c>
      <c r="AY200" s="112">
        <v>242.7474785583081</v>
      </c>
    </row>
    <row r="201" spans="1:51" x14ac:dyDescent="0.2">
      <c r="A201" s="115"/>
      <c r="B201" s="126">
        <v>5</v>
      </c>
      <c r="C201" s="112">
        <v>0</v>
      </c>
      <c r="D201" s="112">
        <v>0</v>
      </c>
      <c r="E201" s="112">
        <v>0</v>
      </c>
      <c r="F201" s="112">
        <v>0</v>
      </c>
      <c r="G201" s="112">
        <v>0</v>
      </c>
      <c r="H201" s="112">
        <v>0</v>
      </c>
      <c r="I201" s="112">
        <v>0</v>
      </c>
      <c r="J201" s="112">
        <v>403.83381968019876</v>
      </c>
      <c r="K201" s="112">
        <v>651.0171594026001</v>
      </c>
      <c r="L201" s="112">
        <v>190.94109645666219</v>
      </c>
      <c r="M201" s="112">
        <v>0</v>
      </c>
      <c r="N201" s="112">
        <v>0</v>
      </c>
      <c r="O201" s="112">
        <v>0</v>
      </c>
      <c r="P201" s="112">
        <v>0</v>
      </c>
      <c r="Q201" s="112">
        <v>0</v>
      </c>
      <c r="R201" s="112">
        <v>0</v>
      </c>
      <c r="S201" s="112">
        <v>0</v>
      </c>
      <c r="T201" s="112">
        <v>0</v>
      </c>
      <c r="U201" s="112">
        <v>0</v>
      </c>
      <c r="V201" s="112">
        <v>0</v>
      </c>
      <c r="W201" s="112">
        <v>0</v>
      </c>
      <c r="X201" s="112">
        <v>0</v>
      </c>
      <c r="Y201" s="112">
        <v>0</v>
      </c>
      <c r="Z201" s="112">
        <v>0</v>
      </c>
      <c r="AA201" s="112">
        <v>0</v>
      </c>
      <c r="AB201" s="112">
        <v>0</v>
      </c>
      <c r="AC201" s="112">
        <v>0</v>
      </c>
      <c r="AD201" s="112">
        <v>0</v>
      </c>
      <c r="AE201" s="112">
        <v>0</v>
      </c>
      <c r="AF201" s="112">
        <v>0</v>
      </c>
      <c r="AG201" s="112">
        <v>0</v>
      </c>
      <c r="AH201" s="112">
        <v>0</v>
      </c>
      <c r="AI201" s="112">
        <v>0</v>
      </c>
      <c r="AJ201" s="112">
        <v>0</v>
      </c>
      <c r="AK201" s="112">
        <v>0</v>
      </c>
      <c r="AL201" s="112">
        <v>0</v>
      </c>
      <c r="AM201" s="112">
        <v>0</v>
      </c>
      <c r="AN201" s="112">
        <v>0</v>
      </c>
      <c r="AO201" s="112">
        <v>624.26853370728759</v>
      </c>
      <c r="AP201" s="112">
        <v>640.8514345231963</v>
      </c>
      <c r="AQ201" s="112">
        <v>498.54154564244459</v>
      </c>
      <c r="AR201" s="112">
        <v>1653.603311802897</v>
      </c>
      <c r="AS201" s="112">
        <v>1398.5729449227638</v>
      </c>
      <c r="AT201" s="112">
        <v>1221.0110872912132</v>
      </c>
      <c r="AU201" s="112">
        <v>1304.1541702029574</v>
      </c>
      <c r="AV201" s="112">
        <v>606.60363787399137</v>
      </c>
      <c r="AW201" s="112">
        <v>225.27480751182793</v>
      </c>
      <c r="AX201" s="112">
        <v>1160.868731764461</v>
      </c>
      <c r="AY201" s="112">
        <v>605.0616288740091</v>
      </c>
    </row>
    <row r="202" spans="1:51" x14ac:dyDescent="0.2">
      <c r="A202" s="115"/>
      <c r="B202" s="126">
        <v>6</v>
      </c>
      <c r="C202" s="112">
        <v>0</v>
      </c>
      <c r="D202" s="112">
        <v>0</v>
      </c>
      <c r="E202" s="112">
        <v>0</v>
      </c>
      <c r="F202" s="112">
        <v>0</v>
      </c>
      <c r="G202" s="112">
        <v>0</v>
      </c>
      <c r="H202" s="112">
        <v>0</v>
      </c>
      <c r="I202" s="112">
        <v>0</v>
      </c>
      <c r="J202" s="112">
        <v>0</v>
      </c>
      <c r="K202" s="112">
        <v>0</v>
      </c>
      <c r="L202" s="112">
        <v>482.2592365557266</v>
      </c>
      <c r="M202" s="112">
        <v>631.7651015027302</v>
      </c>
      <c r="N202" s="112">
        <v>0</v>
      </c>
      <c r="O202" s="112">
        <v>0</v>
      </c>
      <c r="P202" s="112">
        <v>0</v>
      </c>
      <c r="Q202" s="112">
        <v>0</v>
      </c>
      <c r="R202" s="112">
        <v>0</v>
      </c>
      <c r="S202" s="112">
        <v>0</v>
      </c>
      <c r="T202" s="112">
        <v>0</v>
      </c>
      <c r="U202" s="112">
        <v>0</v>
      </c>
      <c r="V202" s="112">
        <v>0</v>
      </c>
      <c r="W202" s="112">
        <v>0</v>
      </c>
      <c r="X202" s="112">
        <v>0</v>
      </c>
      <c r="Y202" s="112">
        <v>0</v>
      </c>
      <c r="Z202" s="112">
        <v>0</v>
      </c>
      <c r="AA202" s="112">
        <v>0</v>
      </c>
      <c r="AB202" s="112">
        <v>0</v>
      </c>
      <c r="AC202" s="112">
        <v>0</v>
      </c>
      <c r="AD202" s="112">
        <v>0</v>
      </c>
      <c r="AE202" s="112">
        <v>0</v>
      </c>
      <c r="AF202" s="112">
        <v>0</v>
      </c>
      <c r="AG202" s="112">
        <v>0</v>
      </c>
      <c r="AH202" s="112">
        <v>0</v>
      </c>
      <c r="AI202" s="112">
        <v>0</v>
      </c>
      <c r="AJ202" s="112">
        <v>0</v>
      </c>
      <c r="AK202" s="112">
        <v>0</v>
      </c>
      <c r="AL202" s="112">
        <v>0</v>
      </c>
      <c r="AM202" s="112">
        <v>0</v>
      </c>
      <c r="AN202" s="112">
        <v>489.81473034535077</v>
      </c>
      <c r="AO202" s="112">
        <v>1290.2387243876217</v>
      </c>
      <c r="AP202" s="112">
        <v>1084.1752883310355</v>
      </c>
      <c r="AQ202" s="112">
        <v>1072.5818423360449</v>
      </c>
      <c r="AR202" s="112">
        <v>820.396688197103</v>
      </c>
      <c r="AS202" s="112">
        <v>415.52778765253493</v>
      </c>
      <c r="AT202" s="112">
        <v>705.98891270878676</v>
      </c>
      <c r="AU202" s="112">
        <v>557.27267506043381</v>
      </c>
      <c r="AV202" s="112">
        <v>434.56979476040897</v>
      </c>
      <c r="AW202" s="112">
        <v>1132.120327089375</v>
      </c>
      <c r="AX202" s="112">
        <v>379.78682136218117</v>
      </c>
      <c r="AY202" s="112">
        <v>283.3128077300837</v>
      </c>
    </row>
    <row r="203" spans="1:51" x14ac:dyDescent="0.2">
      <c r="A203" s="115"/>
      <c r="B203" s="133">
        <v>7</v>
      </c>
      <c r="C203" s="112">
        <v>0</v>
      </c>
      <c r="D203" s="112">
        <v>0</v>
      </c>
      <c r="E203" s="112">
        <v>0</v>
      </c>
      <c r="F203" s="112">
        <v>0</v>
      </c>
      <c r="G203" s="112">
        <v>0</v>
      </c>
      <c r="H203" s="112">
        <v>0</v>
      </c>
      <c r="I203" s="112">
        <v>0</v>
      </c>
      <c r="J203" s="112">
        <v>0</v>
      </c>
      <c r="K203" s="112">
        <v>0</v>
      </c>
      <c r="L203" s="112">
        <v>0</v>
      </c>
      <c r="M203" s="112">
        <v>0</v>
      </c>
      <c r="N203" s="112">
        <v>573</v>
      </c>
      <c r="O203" s="112">
        <v>503.351884424991</v>
      </c>
      <c r="P203" s="112">
        <v>0</v>
      </c>
      <c r="Q203" s="112">
        <v>0</v>
      </c>
      <c r="R203" s="112">
        <v>0</v>
      </c>
      <c r="S203" s="112">
        <v>0</v>
      </c>
      <c r="T203" s="112">
        <v>0</v>
      </c>
      <c r="U203" s="112">
        <v>0</v>
      </c>
      <c r="V203" s="112">
        <v>0</v>
      </c>
      <c r="W203" s="112">
        <v>0</v>
      </c>
      <c r="X203" s="112">
        <v>0</v>
      </c>
      <c r="Y203" s="112">
        <v>0</v>
      </c>
      <c r="Z203" s="112">
        <v>0</v>
      </c>
      <c r="AA203" s="112">
        <v>0</v>
      </c>
      <c r="AB203" s="112">
        <v>0</v>
      </c>
      <c r="AC203" s="112">
        <v>0</v>
      </c>
      <c r="AD203" s="112">
        <v>0</v>
      </c>
      <c r="AE203" s="112">
        <v>0</v>
      </c>
      <c r="AF203" s="112">
        <v>0</v>
      </c>
      <c r="AG203" s="112">
        <v>0</v>
      </c>
      <c r="AH203" s="112">
        <v>0</v>
      </c>
      <c r="AI203" s="112">
        <v>0</v>
      </c>
      <c r="AJ203" s="112">
        <v>0</v>
      </c>
      <c r="AK203" s="112">
        <v>0</v>
      </c>
      <c r="AL203" s="112">
        <v>0</v>
      </c>
      <c r="AM203" s="112">
        <v>0</v>
      </c>
      <c r="AN203" s="112">
        <v>1013.0144220720771</v>
      </c>
      <c r="AO203" s="112">
        <v>58.614903619092956</v>
      </c>
      <c r="AP203" s="112">
        <v>0</v>
      </c>
      <c r="AQ203" s="112">
        <v>0</v>
      </c>
      <c r="AR203" s="112">
        <v>0</v>
      </c>
      <c r="AS203" s="112">
        <v>0</v>
      </c>
      <c r="AT203" s="112">
        <v>0</v>
      </c>
      <c r="AU203" s="112">
        <v>0</v>
      </c>
      <c r="AV203" s="112">
        <v>0</v>
      </c>
      <c r="AW203" s="112">
        <v>0</v>
      </c>
      <c r="AX203" s="112">
        <v>0</v>
      </c>
      <c r="AY203" s="112">
        <v>0</v>
      </c>
    </row>
    <row r="204" spans="1:51" x14ac:dyDescent="0.2">
      <c r="A204" s="115"/>
      <c r="B204" s="133">
        <v>8</v>
      </c>
      <c r="C204" s="112">
        <v>0</v>
      </c>
      <c r="D204" s="112">
        <v>0</v>
      </c>
      <c r="E204" s="112">
        <v>0</v>
      </c>
      <c r="F204" s="112">
        <v>0</v>
      </c>
      <c r="G204" s="112">
        <v>0</v>
      </c>
      <c r="H204" s="112">
        <v>0</v>
      </c>
      <c r="I204" s="112">
        <v>0</v>
      </c>
      <c r="J204" s="112">
        <v>0</v>
      </c>
      <c r="K204" s="112">
        <v>0</v>
      </c>
      <c r="L204" s="112">
        <v>0</v>
      </c>
      <c r="M204" s="112">
        <v>0</v>
      </c>
      <c r="N204" s="112">
        <v>0</v>
      </c>
      <c r="O204" s="112">
        <v>20.077932395543712</v>
      </c>
      <c r="P204" s="112">
        <v>465</v>
      </c>
      <c r="Q204" s="112">
        <v>136.67244516353242</v>
      </c>
      <c r="R204" s="112">
        <v>0</v>
      </c>
      <c r="S204" s="112">
        <v>0</v>
      </c>
      <c r="T204" s="112">
        <v>0</v>
      </c>
      <c r="U204" s="112">
        <v>0</v>
      </c>
      <c r="V204" s="112">
        <v>0</v>
      </c>
      <c r="W204" s="112">
        <v>0</v>
      </c>
      <c r="X204" s="112">
        <v>0</v>
      </c>
      <c r="Y204" s="112">
        <v>0</v>
      </c>
      <c r="Z204" s="112">
        <v>0</v>
      </c>
      <c r="AA204" s="112">
        <v>0</v>
      </c>
      <c r="AB204" s="112">
        <v>0</v>
      </c>
      <c r="AC204" s="112">
        <v>0</v>
      </c>
      <c r="AD204" s="112">
        <v>0</v>
      </c>
      <c r="AE204" s="112">
        <v>0</v>
      </c>
      <c r="AF204" s="112">
        <v>0</v>
      </c>
      <c r="AG204" s="112">
        <v>0</v>
      </c>
      <c r="AH204" s="112">
        <v>0</v>
      </c>
      <c r="AI204" s="112">
        <v>0</v>
      </c>
      <c r="AJ204" s="112">
        <v>0</v>
      </c>
      <c r="AK204" s="112">
        <v>0</v>
      </c>
      <c r="AL204" s="112">
        <v>0</v>
      </c>
      <c r="AM204" s="112">
        <v>316.90799969300087</v>
      </c>
      <c r="AN204" s="112">
        <v>433.49134299883463</v>
      </c>
      <c r="AO204" s="112">
        <v>0</v>
      </c>
      <c r="AP204" s="112">
        <v>0</v>
      </c>
      <c r="AQ204" s="112">
        <v>0</v>
      </c>
      <c r="AR204" s="112">
        <v>0</v>
      </c>
      <c r="AS204" s="112">
        <v>0</v>
      </c>
      <c r="AT204" s="112">
        <v>0</v>
      </c>
      <c r="AU204" s="112">
        <v>0</v>
      </c>
      <c r="AV204" s="112">
        <v>0</v>
      </c>
      <c r="AW204" s="112">
        <v>0</v>
      </c>
      <c r="AX204" s="112">
        <v>0</v>
      </c>
      <c r="AY204" s="112">
        <v>0</v>
      </c>
    </row>
    <row r="205" spans="1:51" x14ac:dyDescent="0.2">
      <c r="A205" s="115"/>
      <c r="B205" s="133">
        <v>9</v>
      </c>
      <c r="C205" s="112">
        <v>0</v>
      </c>
      <c r="D205" s="112">
        <v>0</v>
      </c>
      <c r="E205" s="112">
        <v>0</v>
      </c>
      <c r="F205" s="112">
        <v>0</v>
      </c>
      <c r="G205" s="112">
        <v>0</v>
      </c>
      <c r="H205" s="112">
        <v>0</v>
      </c>
      <c r="I205" s="112">
        <v>0</v>
      </c>
      <c r="J205" s="112">
        <v>0</v>
      </c>
      <c r="K205" s="112">
        <v>0</v>
      </c>
      <c r="L205" s="112">
        <v>0</v>
      </c>
      <c r="M205" s="112">
        <v>0</v>
      </c>
      <c r="N205" s="112">
        <v>0</v>
      </c>
      <c r="O205" s="112">
        <v>0</v>
      </c>
      <c r="P205" s="112">
        <v>0</v>
      </c>
      <c r="Q205" s="112">
        <v>460.10597605105306</v>
      </c>
      <c r="R205" s="112">
        <v>531.79589099471991</v>
      </c>
      <c r="S205" s="112">
        <v>0</v>
      </c>
      <c r="T205" s="112">
        <v>0</v>
      </c>
      <c r="U205" s="112">
        <v>0</v>
      </c>
      <c r="V205" s="112">
        <v>0</v>
      </c>
      <c r="W205" s="112">
        <v>0</v>
      </c>
      <c r="X205" s="112">
        <v>0</v>
      </c>
      <c r="Y205" s="112">
        <v>0</v>
      </c>
      <c r="Z205" s="112">
        <v>0</v>
      </c>
      <c r="AA205" s="112">
        <v>0</v>
      </c>
      <c r="AB205" s="112">
        <v>0</v>
      </c>
      <c r="AC205" s="112">
        <v>0</v>
      </c>
      <c r="AD205" s="112">
        <v>0</v>
      </c>
      <c r="AE205" s="112">
        <v>0</v>
      </c>
      <c r="AF205" s="112">
        <v>0</v>
      </c>
      <c r="AG205" s="112">
        <v>0</v>
      </c>
      <c r="AH205" s="112">
        <v>0</v>
      </c>
      <c r="AI205" s="112">
        <v>0</v>
      </c>
      <c r="AJ205" s="112">
        <v>0</v>
      </c>
      <c r="AK205" s="112">
        <v>0</v>
      </c>
      <c r="AL205" s="112">
        <v>0</v>
      </c>
      <c r="AM205" s="112">
        <v>247.85823493857507</v>
      </c>
      <c r="AN205" s="112">
        <v>117.38505003007924</v>
      </c>
      <c r="AO205" s="112">
        <v>0</v>
      </c>
      <c r="AP205" s="112">
        <v>0</v>
      </c>
      <c r="AQ205" s="112">
        <v>0</v>
      </c>
      <c r="AR205" s="112">
        <v>0</v>
      </c>
      <c r="AS205" s="112">
        <v>0</v>
      </c>
      <c r="AT205" s="112">
        <v>0</v>
      </c>
      <c r="AU205" s="112">
        <v>0</v>
      </c>
      <c r="AV205" s="112">
        <v>0</v>
      </c>
      <c r="AW205" s="112">
        <v>0</v>
      </c>
      <c r="AX205" s="112">
        <v>0</v>
      </c>
      <c r="AY205" s="112">
        <v>0</v>
      </c>
    </row>
    <row r="206" spans="1:51" x14ac:dyDescent="0.2">
      <c r="A206" s="115"/>
      <c r="B206" s="136">
        <v>10</v>
      </c>
      <c r="C206" s="112">
        <v>0</v>
      </c>
      <c r="D206" s="112">
        <v>0</v>
      </c>
      <c r="E206" s="112">
        <v>0</v>
      </c>
      <c r="F206" s="112">
        <v>0</v>
      </c>
      <c r="G206" s="112">
        <v>0</v>
      </c>
      <c r="H206" s="112">
        <v>0</v>
      </c>
      <c r="I206" s="112">
        <v>0</v>
      </c>
      <c r="J206" s="112">
        <v>0</v>
      </c>
      <c r="K206" s="112">
        <v>0</v>
      </c>
      <c r="L206" s="112">
        <v>0</v>
      </c>
      <c r="M206" s="112">
        <v>0</v>
      </c>
      <c r="N206" s="112">
        <v>0</v>
      </c>
      <c r="O206" s="112">
        <v>0</v>
      </c>
      <c r="P206" s="112">
        <v>0</v>
      </c>
      <c r="Q206" s="112">
        <v>0</v>
      </c>
      <c r="R206" s="112">
        <v>0</v>
      </c>
      <c r="S206" s="112">
        <v>482.64737052918395</v>
      </c>
      <c r="T206" s="112">
        <v>355.08411174668441</v>
      </c>
      <c r="U206" s="112">
        <v>0</v>
      </c>
      <c r="V206" s="112">
        <v>0</v>
      </c>
      <c r="W206" s="112">
        <v>0</v>
      </c>
      <c r="X206" s="112">
        <v>0</v>
      </c>
      <c r="Y206" s="112">
        <v>0</v>
      </c>
      <c r="Z206" s="112">
        <v>0</v>
      </c>
      <c r="AA206" s="112">
        <v>326.09698362174407</v>
      </c>
      <c r="AB206" s="112">
        <v>203.55460455303876</v>
      </c>
      <c r="AC206" s="112">
        <v>74.945682664378751</v>
      </c>
      <c r="AD206" s="112">
        <v>240.62011478612777</v>
      </c>
      <c r="AE206" s="112">
        <v>79.771386507611055</v>
      </c>
      <c r="AF206" s="112">
        <v>10.102826874625634</v>
      </c>
      <c r="AG206" s="112">
        <v>0</v>
      </c>
      <c r="AH206" s="112">
        <v>0</v>
      </c>
      <c r="AI206" s="112">
        <v>0</v>
      </c>
      <c r="AJ206" s="112">
        <v>0</v>
      </c>
      <c r="AK206" s="112">
        <v>0</v>
      </c>
      <c r="AL206" s="112">
        <v>0</v>
      </c>
      <c r="AM206" s="112">
        <v>0</v>
      </c>
      <c r="AN206" s="112">
        <v>0</v>
      </c>
      <c r="AO206" s="112">
        <v>0</v>
      </c>
      <c r="AP206" s="112">
        <v>0</v>
      </c>
      <c r="AQ206" s="112">
        <v>0</v>
      </c>
      <c r="AR206" s="112">
        <v>0</v>
      </c>
      <c r="AS206" s="112">
        <v>0</v>
      </c>
      <c r="AT206" s="112">
        <v>0</v>
      </c>
      <c r="AU206" s="112">
        <v>0</v>
      </c>
      <c r="AV206" s="112">
        <v>0</v>
      </c>
      <c r="AW206" s="112">
        <v>0</v>
      </c>
      <c r="AX206" s="112">
        <v>0</v>
      </c>
      <c r="AY206" s="112">
        <v>0</v>
      </c>
    </row>
    <row r="207" spans="1:51" x14ac:dyDescent="0.2">
      <c r="A207" s="115"/>
      <c r="B207" s="136">
        <v>11</v>
      </c>
      <c r="C207" s="112">
        <v>0</v>
      </c>
      <c r="D207" s="112">
        <v>0</v>
      </c>
      <c r="E207" s="112">
        <v>0</v>
      </c>
      <c r="F207" s="112">
        <v>0</v>
      </c>
      <c r="G207" s="112">
        <v>0</v>
      </c>
      <c r="H207" s="112">
        <v>0</v>
      </c>
      <c r="I207" s="112">
        <v>0</v>
      </c>
      <c r="J207" s="112">
        <v>0</v>
      </c>
      <c r="K207" s="112">
        <v>0</v>
      </c>
      <c r="L207" s="112">
        <v>0</v>
      </c>
      <c r="M207" s="112">
        <v>0</v>
      </c>
      <c r="N207" s="112">
        <v>0</v>
      </c>
      <c r="O207" s="112">
        <v>0</v>
      </c>
      <c r="P207" s="112">
        <v>0</v>
      </c>
      <c r="Q207" s="112">
        <v>0</v>
      </c>
      <c r="R207" s="112">
        <v>0</v>
      </c>
      <c r="S207" s="112">
        <v>0</v>
      </c>
      <c r="T207" s="112">
        <v>68.657877097688925</v>
      </c>
      <c r="U207" s="112">
        <v>419.40909555385952</v>
      </c>
      <c r="V207" s="112">
        <v>38.149321923838897</v>
      </c>
      <c r="W207" s="112">
        <v>0</v>
      </c>
      <c r="X207" s="112">
        <v>0</v>
      </c>
      <c r="Y207" s="112">
        <v>0</v>
      </c>
      <c r="Z207" s="112">
        <v>267.85665025265143</v>
      </c>
      <c r="AA207" s="112">
        <v>104.65593885084733</v>
      </c>
      <c r="AB207" s="112">
        <v>259.81641519068916</v>
      </c>
      <c r="AC207" s="112">
        <v>422.82197092048216</v>
      </c>
      <c r="AD207" s="112">
        <v>216.37988521387223</v>
      </c>
      <c r="AE207" s="112">
        <v>337.33906188889051</v>
      </c>
      <c r="AF207" s="112">
        <v>691.89717312537437</v>
      </c>
      <c r="AG207" s="112">
        <v>517.64499455686428</v>
      </c>
      <c r="AH207" s="112">
        <v>306.98996032378136</v>
      </c>
      <c r="AI207" s="112">
        <v>268.30871044747494</v>
      </c>
      <c r="AJ207" s="112">
        <v>264.52779872960639</v>
      </c>
      <c r="AK207" s="112">
        <v>544.54283381446578</v>
      </c>
      <c r="AL207" s="112">
        <v>584</v>
      </c>
      <c r="AM207" s="112">
        <v>0</v>
      </c>
      <c r="AN207" s="112">
        <v>0</v>
      </c>
      <c r="AO207" s="112">
        <v>0</v>
      </c>
      <c r="AP207" s="112">
        <v>0</v>
      </c>
      <c r="AQ207" s="112">
        <v>0</v>
      </c>
      <c r="AR207" s="112">
        <v>0</v>
      </c>
      <c r="AS207" s="112">
        <v>0</v>
      </c>
      <c r="AT207" s="112">
        <v>0</v>
      </c>
      <c r="AU207" s="112">
        <v>0</v>
      </c>
      <c r="AV207" s="112">
        <v>0</v>
      </c>
      <c r="AW207" s="112">
        <v>0</v>
      </c>
      <c r="AX207" s="112">
        <v>0</v>
      </c>
      <c r="AY207" s="112">
        <v>0</v>
      </c>
    </row>
    <row r="208" spans="1:51" x14ac:dyDescent="0.2">
      <c r="A208" s="115"/>
      <c r="B208" s="136">
        <v>12</v>
      </c>
      <c r="C208" s="112">
        <v>0</v>
      </c>
      <c r="D208" s="112">
        <v>0</v>
      </c>
      <c r="E208" s="112">
        <v>0</v>
      </c>
      <c r="F208" s="112">
        <v>0</v>
      </c>
      <c r="G208" s="112">
        <v>0</v>
      </c>
      <c r="H208" s="112">
        <v>0</v>
      </c>
      <c r="I208" s="112">
        <v>0</v>
      </c>
      <c r="J208" s="112">
        <v>0</v>
      </c>
      <c r="K208" s="112">
        <v>0</v>
      </c>
      <c r="L208" s="112">
        <v>0</v>
      </c>
      <c r="M208" s="112">
        <v>0</v>
      </c>
      <c r="N208" s="112">
        <v>0</v>
      </c>
      <c r="O208" s="112">
        <v>0</v>
      </c>
      <c r="P208" s="112">
        <v>0</v>
      </c>
      <c r="Q208" s="112">
        <v>0</v>
      </c>
      <c r="R208" s="112">
        <v>0</v>
      </c>
      <c r="S208" s="112">
        <v>0</v>
      </c>
      <c r="T208" s="112">
        <v>0</v>
      </c>
      <c r="U208" s="112">
        <v>0</v>
      </c>
      <c r="V208" s="112">
        <v>397.71514089317066</v>
      </c>
      <c r="W208" s="112">
        <v>468.10155362899604</v>
      </c>
      <c r="X208" s="112">
        <v>468.85282945416537</v>
      </c>
      <c r="Y208" s="112">
        <v>344.90871515259136</v>
      </c>
      <c r="Z208" s="112">
        <v>236.14334974734854</v>
      </c>
      <c r="AA208" s="112">
        <v>94.690365652242008</v>
      </c>
      <c r="AB208" s="112">
        <v>0</v>
      </c>
      <c r="AC208" s="112">
        <v>0</v>
      </c>
      <c r="AD208" s="112">
        <v>0</v>
      </c>
      <c r="AE208" s="112">
        <v>0</v>
      </c>
      <c r="AF208" s="112">
        <v>0</v>
      </c>
      <c r="AG208" s="112">
        <v>0</v>
      </c>
      <c r="AH208" s="112">
        <v>469.01003967621864</v>
      </c>
      <c r="AI208" s="112">
        <v>408.35577021243648</v>
      </c>
      <c r="AJ208" s="112">
        <v>367.96952142364148</v>
      </c>
      <c r="AK208" s="112">
        <v>0</v>
      </c>
      <c r="AL208" s="112">
        <v>0</v>
      </c>
      <c r="AM208" s="112">
        <v>0</v>
      </c>
      <c r="AN208" s="112">
        <v>0</v>
      </c>
      <c r="AO208" s="112">
        <v>0</v>
      </c>
      <c r="AP208" s="112">
        <v>0</v>
      </c>
      <c r="AQ208" s="112">
        <v>0</v>
      </c>
      <c r="AR208" s="112">
        <v>0</v>
      </c>
      <c r="AS208" s="112">
        <v>0</v>
      </c>
      <c r="AT208" s="112">
        <v>0</v>
      </c>
      <c r="AU208" s="112">
        <v>0</v>
      </c>
      <c r="AV208" s="112">
        <v>0</v>
      </c>
      <c r="AW208" s="112">
        <v>0</v>
      </c>
      <c r="AX208" s="112">
        <v>0</v>
      </c>
      <c r="AY208" s="112">
        <v>0</v>
      </c>
    </row>
    <row r="209" spans="1:51" x14ac:dyDescent="0.2">
      <c r="A209" s="132" t="s">
        <v>123</v>
      </c>
      <c r="B209" s="129">
        <v>1</v>
      </c>
      <c r="C209" s="130">
        <v>0</v>
      </c>
      <c r="D209" s="130">
        <v>0</v>
      </c>
      <c r="E209" s="130">
        <v>0</v>
      </c>
      <c r="F209" s="130">
        <v>0</v>
      </c>
      <c r="G209" s="130">
        <v>0</v>
      </c>
      <c r="H209" s="130">
        <v>0</v>
      </c>
      <c r="I209" s="130">
        <v>0</v>
      </c>
      <c r="J209" s="130">
        <v>0</v>
      </c>
      <c r="K209" s="130">
        <v>0</v>
      </c>
      <c r="L209" s="130">
        <v>0</v>
      </c>
      <c r="M209" s="130">
        <v>148.20175982780512</v>
      </c>
      <c r="N209" s="130">
        <v>120.9725818049769</v>
      </c>
      <c r="O209" s="130">
        <v>507.55689979999613</v>
      </c>
      <c r="P209" s="130">
        <v>77.991964932878673</v>
      </c>
      <c r="Q209" s="130">
        <v>184.22536749003845</v>
      </c>
      <c r="R209" s="130">
        <v>243.61878776378097</v>
      </c>
      <c r="S209" s="130">
        <v>184.22536749003842</v>
      </c>
      <c r="T209" s="130">
        <v>236.49194990284732</v>
      </c>
      <c r="U209" s="130">
        <v>263.41547594273993</v>
      </c>
      <c r="V209" s="130">
        <v>39.578050334405191</v>
      </c>
      <c r="W209" s="130">
        <v>216.51904407133867</v>
      </c>
      <c r="X209" s="130">
        <v>208.70454322798292</v>
      </c>
      <c r="Y209" s="130">
        <v>155.0151050399725</v>
      </c>
      <c r="Z209" s="130">
        <v>204.57001873466626</v>
      </c>
      <c r="AA209" s="130">
        <v>226.98662616412207</v>
      </c>
      <c r="AB209" s="130">
        <v>238.51973626813566</v>
      </c>
      <c r="AC209" s="130">
        <v>316.57971256554873</v>
      </c>
      <c r="AD209" s="130">
        <v>156.69977419884927</v>
      </c>
      <c r="AE209" s="130">
        <v>248.31917527172558</v>
      </c>
      <c r="AF209" s="130">
        <v>193.35708901435692</v>
      </c>
      <c r="AG209" s="130">
        <v>103.89132788320856</v>
      </c>
      <c r="AH209" s="130">
        <v>193.35708901435692</v>
      </c>
      <c r="AI209" s="130">
        <v>164.3367577453601</v>
      </c>
      <c r="AJ209" s="130">
        <v>299.49092723223151</v>
      </c>
      <c r="AK209" s="130">
        <v>285.93916292011704</v>
      </c>
      <c r="AL209" s="130">
        <v>237.11003599012867</v>
      </c>
      <c r="AM209" s="130">
        <v>115.58692855054136</v>
      </c>
      <c r="AN209" s="130">
        <v>318.0097966879726</v>
      </c>
      <c r="AO209" s="130">
        <v>318.00979668797265</v>
      </c>
      <c r="AP209" s="130">
        <v>310.93533343817734</v>
      </c>
      <c r="AQ209" s="130">
        <v>310.93533343817734</v>
      </c>
      <c r="AR209" s="130">
        <v>100.02021400498596</v>
      </c>
      <c r="AS209" s="130">
        <v>169.37592012726844</v>
      </c>
      <c r="AT209" s="130">
        <v>100.02021400498596</v>
      </c>
      <c r="AU209" s="130">
        <v>135.31204333861822</v>
      </c>
      <c r="AV209" s="130">
        <v>406.99161643991249</v>
      </c>
      <c r="AW209" s="130">
        <v>599.58312543332318</v>
      </c>
      <c r="AX209" s="130">
        <v>323.06404413323162</v>
      </c>
      <c r="AY209" s="130">
        <v>451.48768692299967</v>
      </c>
    </row>
    <row r="210" spans="1:51" x14ac:dyDescent="0.2">
      <c r="A210" s="115"/>
      <c r="B210" s="125">
        <v>2</v>
      </c>
      <c r="C210" s="112">
        <v>0</v>
      </c>
      <c r="D210" s="116">
        <v>0</v>
      </c>
      <c r="E210" s="116">
        <v>0</v>
      </c>
      <c r="F210" s="116">
        <v>0</v>
      </c>
      <c r="G210" s="116">
        <v>0</v>
      </c>
      <c r="H210" s="116">
        <v>0</v>
      </c>
      <c r="I210" s="116">
        <v>0</v>
      </c>
      <c r="J210" s="116">
        <v>0</v>
      </c>
      <c r="K210" s="116">
        <v>0</v>
      </c>
      <c r="L210" s="116">
        <v>183.27464126262845</v>
      </c>
      <c r="M210" s="116">
        <v>457.1511405014939</v>
      </c>
      <c r="N210" s="116">
        <v>209.62229623310955</v>
      </c>
      <c r="O210" s="116">
        <v>8.2896045317907005E-15</v>
      </c>
      <c r="P210" s="116">
        <v>0</v>
      </c>
      <c r="Q210" s="116">
        <v>252.41050578809873</v>
      </c>
      <c r="R210" s="116">
        <v>146.17710323093894</v>
      </c>
      <c r="S210" s="116">
        <v>32.877013163131316</v>
      </c>
      <c r="T210" s="116">
        <v>147.25003894152601</v>
      </c>
      <c r="U210" s="116">
        <v>50.993619611119598</v>
      </c>
      <c r="V210" s="116">
        <v>159.3420236376046</v>
      </c>
      <c r="W210" s="116">
        <v>180.58250955765737</v>
      </c>
      <c r="X210" s="116">
        <v>90.148286226182464</v>
      </c>
      <c r="Y210" s="116">
        <v>142.89361011261886</v>
      </c>
      <c r="Z210" s="116">
        <v>165.42998126533374</v>
      </c>
      <c r="AA210" s="116">
        <v>112.45666196071137</v>
      </c>
      <c r="AB210" s="116">
        <v>192.85128347559225</v>
      </c>
      <c r="AC210" s="116">
        <v>28.746828735307723</v>
      </c>
      <c r="AD210" s="116">
        <v>0</v>
      </c>
      <c r="AE210" s="116">
        <v>154.30655731330177</v>
      </c>
      <c r="AF210" s="116">
        <v>0</v>
      </c>
      <c r="AG210" s="116">
        <v>129.2469819709184</v>
      </c>
      <c r="AH210" s="116">
        <v>51.267767433720309</v>
      </c>
      <c r="AI210" s="116">
        <v>164.82103821181391</v>
      </c>
      <c r="AJ210" s="116">
        <v>47.006392921016371</v>
      </c>
      <c r="AK210" s="116">
        <v>48.603670894348738</v>
      </c>
      <c r="AL210" s="116">
        <v>51.889964009871335</v>
      </c>
      <c r="AM210" s="116">
        <v>162.17930608103455</v>
      </c>
      <c r="AN210" s="116">
        <v>58.348185447347745</v>
      </c>
      <c r="AO210" s="116">
        <v>8.6232026030058406E-15</v>
      </c>
      <c r="AP210" s="116">
        <v>0</v>
      </c>
      <c r="AQ210" s="116">
        <v>0</v>
      </c>
      <c r="AR210" s="116">
        <v>0</v>
      </c>
      <c r="AS210" s="116">
        <v>69.355706122282498</v>
      </c>
      <c r="AT210" s="116">
        <v>4.0317950154680176E-15</v>
      </c>
      <c r="AU210" s="116">
        <v>80.076404179620383</v>
      </c>
      <c r="AV210" s="116">
        <v>107.71124075289472</v>
      </c>
      <c r="AW210" s="116">
        <v>0</v>
      </c>
      <c r="AX210" s="116">
        <v>0</v>
      </c>
      <c r="AY210" s="116">
        <v>28.634228239401253</v>
      </c>
    </row>
    <row r="211" spans="1:51" x14ac:dyDescent="0.2">
      <c r="A211" s="115"/>
      <c r="B211" s="125">
        <v>3</v>
      </c>
      <c r="C211" s="112">
        <v>0</v>
      </c>
      <c r="D211" s="116">
        <v>0</v>
      </c>
      <c r="E211" s="116">
        <v>0</v>
      </c>
      <c r="F211" s="116">
        <v>0</v>
      </c>
      <c r="G211" s="116">
        <v>25.02926597664532</v>
      </c>
      <c r="H211" s="116">
        <v>157.94211777633757</v>
      </c>
      <c r="I211" s="116">
        <v>155.47241815841846</v>
      </c>
      <c r="J211" s="116">
        <v>134.70575337278188</v>
      </c>
      <c r="K211" s="116">
        <v>178.12307498887145</v>
      </c>
      <c r="L211" s="116">
        <v>370.42542327727989</v>
      </c>
      <c r="M211" s="116">
        <v>276.41220117343113</v>
      </c>
      <c r="N211" s="116">
        <v>0</v>
      </c>
      <c r="O211" s="116">
        <v>0</v>
      </c>
      <c r="P211" s="116">
        <v>0</v>
      </c>
      <c r="Q211" s="116">
        <v>0</v>
      </c>
      <c r="R211" s="116">
        <v>0</v>
      </c>
      <c r="S211" s="116">
        <v>0</v>
      </c>
      <c r="T211" s="116">
        <v>0</v>
      </c>
      <c r="U211" s="116">
        <v>0</v>
      </c>
      <c r="V211" s="116">
        <v>261.94438884499976</v>
      </c>
      <c r="W211" s="116">
        <v>0</v>
      </c>
      <c r="X211" s="116">
        <v>0</v>
      </c>
      <c r="Y211" s="116">
        <v>0</v>
      </c>
      <c r="Z211" s="116">
        <v>0</v>
      </c>
      <c r="AA211" s="116">
        <v>0</v>
      </c>
      <c r="AB211" s="116">
        <v>0</v>
      </c>
      <c r="AC211" s="116">
        <v>0</v>
      </c>
      <c r="AD211" s="116">
        <v>0</v>
      </c>
      <c r="AE211" s="116">
        <v>0</v>
      </c>
      <c r="AF211" s="116">
        <v>0</v>
      </c>
      <c r="AG211" s="116">
        <v>52.506684702737381</v>
      </c>
      <c r="AH211" s="116">
        <v>0</v>
      </c>
      <c r="AI211" s="116">
        <v>52.506684702737381</v>
      </c>
      <c r="AJ211" s="116">
        <v>0</v>
      </c>
      <c r="AK211" s="116">
        <v>0</v>
      </c>
      <c r="AL211" s="116">
        <v>0</v>
      </c>
      <c r="AM211" s="116">
        <v>0</v>
      </c>
      <c r="AN211" s="116">
        <v>0</v>
      </c>
      <c r="AO211" s="116">
        <v>0</v>
      </c>
      <c r="AP211" s="116">
        <v>0</v>
      </c>
      <c r="AQ211" s="116">
        <v>0</v>
      </c>
      <c r="AR211" s="116">
        <v>0</v>
      </c>
      <c r="AS211" s="116">
        <v>0</v>
      </c>
      <c r="AT211" s="116">
        <v>0</v>
      </c>
      <c r="AU211" s="116">
        <v>0</v>
      </c>
      <c r="AV211" s="116">
        <v>0</v>
      </c>
      <c r="AW211" s="116">
        <v>0</v>
      </c>
      <c r="AX211" s="116">
        <v>192.59150899341071</v>
      </c>
      <c r="AY211" s="116">
        <v>0</v>
      </c>
    </row>
    <row r="212" spans="1:51" x14ac:dyDescent="0.2">
      <c r="A212" s="115"/>
      <c r="B212" s="125">
        <v>4</v>
      </c>
      <c r="C212" s="112">
        <v>0</v>
      </c>
      <c r="D212" s="116">
        <v>0</v>
      </c>
      <c r="E212" s="116">
        <v>0</v>
      </c>
      <c r="F212" s="116">
        <v>121.3146119992977</v>
      </c>
      <c r="G212" s="116">
        <v>516.97191487452233</v>
      </c>
      <c r="H212" s="116">
        <v>365.57396922957855</v>
      </c>
      <c r="I212" s="116">
        <v>274.0469228702022</v>
      </c>
      <c r="J212" s="116">
        <v>233.67935484536645</v>
      </c>
      <c r="K212" s="116">
        <v>151.89408441372865</v>
      </c>
      <c r="L212" s="116">
        <v>111.50026847248049</v>
      </c>
      <c r="M212" s="116">
        <v>0</v>
      </c>
      <c r="N212" s="116">
        <v>0</v>
      </c>
      <c r="O212" s="116">
        <v>0</v>
      </c>
      <c r="P212" s="116">
        <v>0</v>
      </c>
      <c r="Q212" s="116">
        <v>0</v>
      </c>
      <c r="R212" s="116">
        <v>0</v>
      </c>
      <c r="S212" s="116">
        <v>0</v>
      </c>
      <c r="T212" s="116">
        <v>0</v>
      </c>
      <c r="U212" s="116">
        <v>0</v>
      </c>
      <c r="V212" s="116">
        <v>0</v>
      </c>
      <c r="W212" s="116">
        <v>0</v>
      </c>
      <c r="X212" s="116">
        <v>0</v>
      </c>
      <c r="Y212" s="116">
        <v>0</v>
      </c>
      <c r="Z212" s="116">
        <v>0</v>
      </c>
      <c r="AA212" s="116">
        <v>0</v>
      </c>
      <c r="AB212" s="116">
        <v>0</v>
      </c>
      <c r="AC212" s="116">
        <v>0</v>
      </c>
      <c r="AD212" s="116">
        <v>0</v>
      </c>
      <c r="AE212" s="116">
        <v>0</v>
      </c>
      <c r="AF212" s="116">
        <v>0</v>
      </c>
      <c r="AG212" s="116">
        <v>0</v>
      </c>
      <c r="AH212" s="116">
        <v>0</v>
      </c>
      <c r="AI212" s="116">
        <v>0</v>
      </c>
      <c r="AJ212" s="116">
        <v>0</v>
      </c>
      <c r="AK212" s="116">
        <v>0</v>
      </c>
      <c r="AL212" s="116">
        <v>0</v>
      </c>
      <c r="AM212" s="116">
        <v>0</v>
      </c>
      <c r="AN212" s="116">
        <v>0</v>
      </c>
      <c r="AO212" s="116">
        <v>0</v>
      </c>
      <c r="AP212" s="116">
        <v>0</v>
      </c>
      <c r="AQ212" s="116">
        <v>0</v>
      </c>
      <c r="AR212" s="116">
        <v>0</v>
      </c>
      <c r="AS212" s="116">
        <v>0</v>
      </c>
      <c r="AT212" s="116">
        <v>0</v>
      </c>
      <c r="AU212" s="116">
        <v>0</v>
      </c>
      <c r="AV212" s="116">
        <v>0</v>
      </c>
      <c r="AW212" s="116">
        <v>0</v>
      </c>
      <c r="AX212" s="116">
        <v>0</v>
      </c>
      <c r="AY212" s="116">
        <v>0</v>
      </c>
    </row>
    <row r="213" spans="1:51" x14ac:dyDescent="0.2">
      <c r="A213" s="115"/>
      <c r="B213" s="125">
        <v>5</v>
      </c>
      <c r="C213" s="112">
        <v>0</v>
      </c>
      <c r="D213" s="116">
        <v>0</v>
      </c>
      <c r="E213" s="116">
        <v>0</v>
      </c>
      <c r="F213" s="116">
        <v>30.573400787279194</v>
      </c>
      <c r="G213" s="116">
        <v>106.76481958426672</v>
      </c>
      <c r="H213" s="116">
        <v>0</v>
      </c>
      <c r="I213" s="116">
        <v>0</v>
      </c>
      <c r="J213" s="116">
        <v>0</v>
      </c>
      <c r="K213" s="116">
        <v>0</v>
      </c>
      <c r="L213" s="116">
        <v>0</v>
      </c>
      <c r="M213" s="116">
        <v>0</v>
      </c>
      <c r="N213" s="116">
        <v>0</v>
      </c>
      <c r="O213" s="116">
        <v>0</v>
      </c>
      <c r="P213" s="116">
        <v>0</v>
      </c>
      <c r="Q213" s="116">
        <v>0</v>
      </c>
      <c r="R213" s="116">
        <v>0</v>
      </c>
      <c r="S213" s="116">
        <v>0</v>
      </c>
      <c r="T213" s="116">
        <v>0</v>
      </c>
      <c r="U213" s="116">
        <v>0</v>
      </c>
      <c r="V213" s="116">
        <v>0</v>
      </c>
      <c r="W213" s="116">
        <v>0</v>
      </c>
      <c r="X213" s="116">
        <v>0</v>
      </c>
      <c r="Y213" s="116">
        <v>0</v>
      </c>
      <c r="Z213" s="116">
        <v>0</v>
      </c>
      <c r="AA213" s="116">
        <v>0</v>
      </c>
      <c r="AB213" s="116">
        <v>0</v>
      </c>
      <c r="AC213" s="116">
        <v>0</v>
      </c>
      <c r="AD213" s="116">
        <v>0</v>
      </c>
      <c r="AE213" s="116">
        <v>0</v>
      </c>
      <c r="AF213" s="116">
        <v>0</v>
      </c>
      <c r="AG213" s="116">
        <v>0</v>
      </c>
      <c r="AH213" s="116">
        <v>0</v>
      </c>
      <c r="AI213" s="116">
        <v>0</v>
      </c>
      <c r="AJ213" s="116">
        <v>0</v>
      </c>
      <c r="AK213" s="116">
        <v>0</v>
      </c>
      <c r="AL213" s="116">
        <v>0</v>
      </c>
      <c r="AM213" s="116">
        <v>0</v>
      </c>
      <c r="AN213" s="116">
        <v>0</v>
      </c>
      <c r="AO213" s="116">
        <v>0</v>
      </c>
      <c r="AP213" s="116">
        <v>0</v>
      </c>
      <c r="AQ213" s="116">
        <v>0</v>
      </c>
      <c r="AR213" s="116">
        <v>0</v>
      </c>
      <c r="AS213" s="116">
        <v>0</v>
      </c>
      <c r="AT213" s="116">
        <v>0</v>
      </c>
      <c r="AU213" s="116">
        <v>0</v>
      </c>
      <c r="AV213" s="116">
        <v>0</v>
      </c>
      <c r="AW213" s="116">
        <v>0</v>
      </c>
      <c r="AX213" s="116">
        <v>0</v>
      </c>
      <c r="AY213" s="116">
        <v>0</v>
      </c>
    </row>
    <row r="214" spans="1:51" x14ac:dyDescent="0.2">
      <c r="A214" s="115"/>
      <c r="B214" s="125">
        <v>6</v>
      </c>
      <c r="C214" s="112">
        <v>0</v>
      </c>
      <c r="D214" s="116">
        <v>0</v>
      </c>
      <c r="E214" s="116">
        <v>101.74058026697759</v>
      </c>
      <c r="F214" s="116">
        <v>247.26420767114001</v>
      </c>
      <c r="G214" s="116">
        <v>0</v>
      </c>
      <c r="H214" s="116">
        <v>0</v>
      </c>
      <c r="I214" s="116">
        <v>0</v>
      </c>
      <c r="J214" s="116">
        <v>0</v>
      </c>
      <c r="K214" s="116">
        <v>0</v>
      </c>
      <c r="L214" s="116">
        <v>0</v>
      </c>
      <c r="M214" s="116">
        <v>0</v>
      </c>
      <c r="N214" s="116">
        <v>0</v>
      </c>
      <c r="O214" s="116">
        <v>0</v>
      </c>
      <c r="P214" s="116">
        <v>0</v>
      </c>
      <c r="Q214" s="116">
        <v>0</v>
      </c>
      <c r="R214" s="116">
        <v>0</v>
      </c>
      <c r="S214" s="116">
        <v>0</v>
      </c>
      <c r="T214" s="116">
        <v>0</v>
      </c>
      <c r="U214" s="116">
        <v>0</v>
      </c>
      <c r="V214" s="116">
        <v>0</v>
      </c>
      <c r="W214" s="116">
        <v>0</v>
      </c>
      <c r="X214" s="116">
        <v>0</v>
      </c>
      <c r="Y214" s="116">
        <v>0</v>
      </c>
      <c r="Z214" s="116">
        <v>0</v>
      </c>
      <c r="AA214" s="116">
        <v>0</v>
      </c>
      <c r="AB214" s="116">
        <v>0</v>
      </c>
      <c r="AC214" s="116">
        <v>0</v>
      </c>
      <c r="AD214" s="116">
        <v>0</v>
      </c>
      <c r="AE214" s="116">
        <v>0</v>
      </c>
      <c r="AF214" s="116">
        <v>0</v>
      </c>
      <c r="AG214" s="116">
        <v>0</v>
      </c>
      <c r="AH214" s="116">
        <v>0</v>
      </c>
      <c r="AI214" s="116">
        <v>0</v>
      </c>
      <c r="AJ214" s="116">
        <v>0</v>
      </c>
      <c r="AK214" s="116">
        <v>0</v>
      </c>
      <c r="AL214" s="116">
        <v>0</v>
      </c>
      <c r="AM214" s="116">
        <v>0</v>
      </c>
      <c r="AN214" s="116">
        <v>0</v>
      </c>
      <c r="AO214" s="116">
        <v>0</v>
      </c>
      <c r="AP214" s="116">
        <v>0</v>
      </c>
      <c r="AQ214" s="116">
        <v>0</v>
      </c>
      <c r="AR214" s="116">
        <v>0</v>
      </c>
      <c r="AS214" s="116">
        <v>0</v>
      </c>
      <c r="AT214" s="116">
        <v>0</v>
      </c>
      <c r="AU214" s="116">
        <v>0</v>
      </c>
      <c r="AV214" s="116">
        <v>0</v>
      </c>
      <c r="AW214" s="116">
        <v>0</v>
      </c>
      <c r="AX214" s="116">
        <v>0</v>
      </c>
      <c r="AY214" s="116">
        <v>0</v>
      </c>
    </row>
    <row r="215" spans="1:51" x14ac:dyDescent="0.2">
      <c r="A215" s="115"/>
      <c r="B215" s="125">
        <v>7</v>
      </c>
      <c r="C215" s="112">
        <v>359.67170794305554</v>
      </c>
      <c r="D215" s="116">
        <v>362.57864052330103</v>
      </c>
      <c r="E215" s="116">
        <v>329.26730195591256</v>
      </c>
      <c r="F215" s="116">
        <v>163.84777954228309</v>
      </c>
      <c r="G215" s="116">
        <v>0</v>
      </c>
      <c r="H215" s="116">
        <v>0</v>
      </c>
      <c r="I215" s="116">
        <v>0</v>
      </c>
      <c r="J215" s="116">
        <v>0</v>
      </c>
      <c r="K215" s="116">
        <v>0</v>
      </c>
      <c r="L215" s="116">
        <v>0</v>
      </c>
      <c r="M215" s="116">
        <v>0</v>
      </c>
      <c r="N215" s="116">
        <v>0</v>
      </c>
      <c r="O215" s="116">
        <v>0</v>
      </c>
      <c r="P215" s="116">
        <v>0</v>
      </c>
      <c r="Q215" s="116">
        <v>0</v>
      </c>
      <c r="R215" s="116">
        <v>0</v>
      </c>
      <c r="S215" s="116">
        <v>0</v>
      </c>
      <c r="T215" s="116">
        <v>0</v>
      </c>
      <c r="U215" s="116">
        <v>0</v>
      </c>
      <c r="V215" s="116">
        <v>0</v>
      </c>
      <c r="W215" s="116">
        <v>0</v>
      </c>
      <c r="X215" s="116">
        <v>0</v>
      </c>
      <c r="Y215" s="116">
        <v>0</v>
      </c>
      <c r="Z215" s="116">
        <v>0</v>
      </c>
      <c r="AA215" s="116">
        <v>0</v>
      </c>
      <c r="AB215" s="116">
        <v>0</v>
      </c>
      <c r="AC215" s="116">
        <v>0</v>
      </c>
      <c r="AD215" s="116">
        <v>0</v>
      </c>
      <c r="AE215" s="116">
        <v>0</v>
      </c>
      <c r="AF215" s="116">
        <v>0</v>
      </c>
      <c r="AG215" s="116">
        <v>0</v>
      </c>
      <c r="AH215" s="116">
        <v>0</v>
      </c>
      <c r="AI215" s="116">
        <v>0</v>
      </c>
      <c r="AJ215" s="116">
        <v>0</v>
      </c>
      <c r="AK215" s="116">
        <v>0</v>
      </c>
      <c r="AL215" s="116">
        <v>0</v>
      </c>
      <c r="AM215" s="116">
        <v>0</v>
      </c>
      <c r="AN215" s="116">
        <v>0</v>
      </c>
      <c r="AO215" s="116">
        <v>0</v>
      </c>
      <c r="AP215" s="116">
        <v>0</v>
      </c>
      <c r="AQ215" s="116">
        <v>0</v>
      </c>
      <c r="AR215" s="116">
        <v>0</v>
      </c>
      <c r="AS215" s="116">
        <v>0</v>
      </c>
      <c r="AT215" s="116">
        <v>0</v>
      </c>
      <c r="AU215" s="116">
        <v>0</v>
      </c>
      <c r="AV215" s="116">
        <v>0</v>
      </c>
      <c r="AW215" s="116">
        <v>0</v>
      </c>
      <c r="AX215" s="116">
        <v>0</v>
      </c>
      <c r="AY215" s="116">
        <v>0</v>
      </c>
    </row>
    <row r="216" spans="1:51" x14ac:dyDescent="0.2">
      <c r="A216" s="115"/>
      <c r="B216" s="125">
        <v>8</v>
      </c>
      <c r="C216" s="112">
        <v>112.00023669264054</v>
      </c>
      <c r="D216" s="116">
        <v>208.421359476699</v>
      </c>
      <c r="E216" s="116">
        <v>65.180969666827039</v>
      </c>
      <c r="F216" s="116">
        <v>0</v>
      </c>
      <c r="G216" s="116">
        <v>0</v>
      </c>
      <c r="H216" s="116">
        <v>0</v>
      </c>
      <c r="I216" s="116">
        <v>0</v>
      </c>
      <c r="J216" s="116">
        <v>0</v>
      </c>
      <c r="K216" s="116">
        <v>0</v>
      </c>
      <c r="L216" s="116">
        <v>0</v>
      </c>
      <c r="M216" s="116">
        <v>0</v>
      </c>
      <c r="N216" s="116">
        <v>0</v>
      </c>
      <c r="O216" s="116">
        <v>0</v>
      </c>
      <c r="P216" s="116">
        <v>0</v>
      </c>
      <c r="Q216" s="116">
        <v>0</v>
      </c>
      <c r="R216" s="116">
        <v>0</v>
      </c>
      <c r="S216" s="116">
        <v>0</v>
      </c>
      <c r="T216" s="116">
        <v>0</v>
      </c>
      <c r="U216" s="116">
        <v>0</v>
      </c>
      <c r="V216" s="116">
        <v>0</v>
      </c>
      <c r="W216" s="116">
        <v>0</v>
      </c>
      <c r="X216" s="116">
        <v>0</v>
      </c>
      <c r="Y216" s="116">
        <v>0</v>
      </c>
      <c r="Z216" s="116">
        <v>0</v>
      </c>
      <c r="AA216" s="116">
        <v>0</v>
      </c>
      <c r="AB216" s="116">
        <v>0</v>
      </c>
      <c r="AC216" s="116">
        <v>0</v>
      </c>
      <c r="AD216" s="116">
        <v>0</v>
      </c>
      <c r="AE216" s="116">
        <v>0</v>
      </c>
      <c r="AF216" s="116">
        <v>0</v>
      </c>
      <c r="AG216" s="116">
        <v>0</v>
      </c>
      <c r="AH216" s="116">
        <v>0</v>
      </c>
      <c r="AI216" s="116">
        <v>0</v>
      </c>
      <c r="AJ216" s="116">
        <v>0</v>
      </c>
      <c r="AK216" s="116">
        <v>0</v>
      </c>
      <c r="AL216" s="116">
        <v>0</v>
      </c>
      <c r="AM216" s="116">
        <v>0</v>
      </c>
      <c r="AN216" s="116">
        <v>0</v>
      </c>
      <c r="AO216" s="116">
        <v>0</v>
      </c>
      <c r="AP216" s="116">
        <v>0</v>
      </c>
      <c r="AQ216" s="116">
        <v>0</v>
      </c>
      <c r="AR216" s="116">
        <v>0</v>
      </c>
      <c r="AS216" s="116">
        <v>0</v>
      </c>
      <c r="AT216" s="116">
        <v>0</v>
      </c>
      <c r="AU216" s="116">
        <v>0</v>
      </c>
      <c r="AV216" s="116">
        <v>0</v>
      </c>
      <c r="AW216" s="116">
        <v>0</v>
      </c>
      <c r="AX216" s="116">
        <v>0</v>
      </c>
      <c r="AY216" s="116">
        <v>0</v>
      </c>
    </row>
    <row r="217" spans="1:51" x14ac:dyDescent="0.2">
      <c r="A217" s="115"/>
      <c r="B217" s="125">
        <v>9</v>
      </c>
      <c r="C217" s="112">
        <v>0</v>
      </c>
      <c r="D217" s="116">
        <v>0</v>
      </c>
      <c r="E217" s="116">
        <v>0</v>
      </c>
      <c r="F217" s="116">
        <v>0</v>
      </c>
      <c r="G217" s="116">
        <v>0</v>
      </c>
      <c r="H217" s="116">
        <v>0</v>
      </c>
      <c r="I217" s="116">
        <v>0</v>
      </c>
      <c r="J217" s="116">
        <v>0</v>
      </c>
      <c r="K217" s="116">
        <v>0</v>
      </c>
      <c r="L217" s="116">
        <v>0</v>
      </c>
      <c r="M217" s="116">
        <v>0</v>
      </c>
      <c r="N217" s="116">
        <v>0</v>
      </c>
      <c r="O217" s="116">
        <v>0</v>
      </c>
      <c r="P217" s="116">
        <v>0</v>
      </c>
      <c r="Q217" s="116">
        <v>0</v>
      </c>
      <c r="R217" s="116">
        <v>0</v>
      </c>
      <c r="S217" s="116">
        <v>0</v>
      </c>
      <c r="T217" s="116">
        <v>0</v>
      </c>
      <c r="U217" s="116">
        <v>0</v>
      </c>
      <c r="V217" s="116">
        <v>0</v>
      </c>
      <c r="W217" s="116">
        <v>0</v>
      </c>
      <c r="X217" s="116">
        <v>0</v>
      </c>
      <c r="Y217" s="116">
        <v>0</v>
      </c>
      <c r="Z217" s="116">
        <v>0</v>
      </c>
      <c r="AA217" s="116">
        <v>0</v>
      </c>
      <c r="AB217" s="116">
        <v>0</v>
      </c>
      <c r="AC217" s="116">
        <v>0</v>
      </c>
      <c r="AD217" s="116">
        <v>0</v>
      </c>
      <c r="AE217" s="116">
        <v>0</v>
      </c>
      <c r="AF217" s="116">
        <v>0</v>
      </c>
      <c r="AG217" s="116">
        <v>0</v>
      </c>
      <c r="AH217" s="116">
        <v>0</v>
      </c>
      <c r="AI217" s="116">
        <v>0</v>
      </c>
      <c r="AJ217" s="116">
        <v>0</v>
      </c>
      <c r="AK217" s="116">
        <v>0</v>
      </c>
      <c r="AL217" s="116">
        <v>0</v>
      </c>
      <c r="AM217" s="116">
        <v>0</v>
      </c>
      <c r="AN217" s="116">
        <v>0</v>
      </c>
      <c r="AO217" s="116">
        <v>0</v>
      </c>
      <c r="AP217" s="116">
        <v>0</v>
      </c>
      <c r="AQ217" s="116">
        <v>0</v>
      </c>
      <c r="AR217" s="116">
        <v>0</v>
      </c>
      <c r="AS217" s="116">
        <v>0</v>
      </c>
      <c r="AT217" s="116">
        <v>0</v>
      </c>
      <c r="AU217" s="116">
        <v>0</v>
      </c>
      <c r="AV217" s="116">
        <v>0</v>
      </c>
      <c r="AW217" s="116">
        <v>0</v>
      </c>
      <c r="AX217" s="116">
        <v>0</v>
      </c>
      <c r="AY217" s="116">
        <v>0</v>
      </c>
    </row>
    <row r="218" spans="1:51" x14ac:dyDescent="0.2">
      <c r="A218" s="115"/>
      <c r="B218" s="125">
        <v>10</v>
      </c>
      <c r="C218" s="112">
        <v>0</v>
      </c>
      <c r="D218" s="116">
        <v>0</v>
      </c>
      <c r="E218" s="116">
        <v>0</v>
      </c>
      <c r="F218" s="116">
        <v>0</v>
      </c>
      <c r="G218" s="116">
        <v>0</v>
      </c>
      <c r="H218" s="116">
        <v>0</v>
      </c>
      <c r="I218" s="116">
        <v>0</v>
      </c>
      <c r="J218" s="116">
        <v>0</v>
      </c>
      <c r="K218" s="116">
        <v>0</v>
      </c>
      <c r="L218" s="116">
        <v>0</v>
      </c>
      <c r="M218" s="116">
        <v>0</v>
      </c>
      <c r="N218" s="116">
        <v>0</v>
      </c>
      <c r="O218" s="116">
        <v>0</v>
      </c>
      <c r="P218" s="116">
        <v>0</v>
      </c>
      <c r="Q218" s="116">
        <v>0</v>
      </c>
      <c r="R218" s="116">
        <v>0</v>
      </c>
      <c r="S218" s="116">
        <v>0</v>
      </c>
      <c r="T218" s="116">
        <v>0</v>
      </c>
      <c r="U218" s="116">
        <v>0</v>
      </c>
      <c r="V218" s="116">
        <v>0</v>
      </c>
      <c r="W218" s="116">
        <v>0</v>
      </c>
      <c r="X218" s="116">
        <v>0</v>
      </c>
      <c r="Y218" s="116">
        <v>0</v>
      </c>
      <c r="Z218" s="116">
        <v>0</v>
      </c>
      <c r="AA218" s="116">
        <v>0</v>
      </c>
      <c r="AB218" s="116">
        <v>0</v>
      </c>
      <c r="AC218" s="116">
        <v>0</v>
      </c>
      <c r="AD218" s="116">
        <v>0</v>
      </c>
      <c r="AE218" s="116">
        <v>0</v>
      </c>
      <c r="AF218" s="116">
        <v>0</v>
      </c>
      <c r="AG218" s="116">
        <v>0</v>
      </c>
      <c r="AH218" s="116">
        <v>0</v>
      </c>
      <c r="AI218" s="116">
        <v>0</v>
      </c>
      <c r="AJ218" s="116">
        <v>0</v>
      </c>
      <c r="AK218" s="116">
        <v>0</v>
      </c>
      <c r="AL218" s="116">
        <v>0</v>
      </c>
      <c r="AM218" s="116">
        <v>0</v>
      </c>
      <c r="AN218" s="116">
        <v>0</v>
      </c>
      <c r="AO218" s="116">
        <v>0</v>
      </c>
      <c r="AP218" s="116">
        <v>0</v>
      </c>
      <c r="AQ218" s="116">
        <v>0</v>
      </c>
      <c r="AR218" s="116">
        <v>0</v>
      </c>
      <c r="AS218" s="116">
        <v>0</v>
      </c>
      <c r="AT218" s="116">
        <v>0</v>
      </c>
      <c r="AU218" s="116">
        <v>0</v>
      </c>
      <c r="AV218" s="116">
        <v>0</v>
      </c>
      <c r="AW218" s="116">
        <v>0</v>
      </c>
      <c r="AX218" s="116">
        <v>0</v>
      </c>
      <c r="AY218" s="116">
        <v>0</v>
      </c>
    </row>
    <row r="219" spans="1:51" x14ac:dyDescent="0.2">
      <c r="A219" s="115"/>
      <c r="B219" s="125">
        <v>11</v>
      </c>
      <c r="C219" s="112">
        <v>0</v>
      </c>
      <c r="D219" s="116">
        <v>0</v>
      </c>
      <c r="E219" s="116">
        <v>0</v>
      </c>
      <c r="F219" s="116">
        <v>0</v>
      </c>
      <c r="G219" s="116">
        <v>0</v>
      </c>
      <c r="H219" s="116">
        <v>0</v>
      </c>
      <c r="I219" s="116">
        <v>0</v>
      </c>
      <c r="J219" s="116">
        <v>0</v>
      </c>
      <c r="K219" s="116">
        <v>0</v>
      </c>
      <c r="L219" s="116">
        <v>0</v>
      </c>
      <c r="M219" s="116">
        <v>0</v>
      </c>
      <c r="N219" s="116">
        <v>0</v>
      </c>
      <c r="O219" s="116">
        <v>0</v>
      </c>
      <c r="P219" s="116">
        <v>0</v>
      </c>
      <c r="Q219" s="116">
        <v>0</v>
      </c>
      <c r="R219" s="116">
        <v>0</v>
      </c>
      <c r="S219" s="116">
        <v>0</v>
      </c>
      <c r="T219" s="116">
        <v>0</v>
      </c>
      <c r="U219" s="116">
        <v>0</v>
      </c>
      <c r="V219" s="116">
        <v>0</v>
      </c>
      <c r="W219" s="116">
        <v>0</v>
      </c>
      <c r="X219" s="116">
        <v>0</v>
      </c>
      <c r="Y219" s="116">
        <v>0</v>
      </c>
      <c r="Z219" s="116">
        <v>0</v>
      </c>
      <c r="AA219" s="116">
        <v>0</v>
      </c>
      <c r="AB219" s="116">
        <v>0</v>
      </c>
      <c r="AC219" s="116">
        <v>0</v>
      </c>
      <c r="AD219" s="116">
        <v>0</v>
      </c>
      <c r="AE219" s="116">
        <v>0</v>
      </c>
      <c r="AF219" s="116">
        <v>0</v>
      </c>
      <c r="AG219" s="116">
        <v>0</v>
      </c>
      <c r="AH219" s="116">
        <v>0</v>
      </c>
      <c r="AI219" s="116">
        <v>0</v>
      </c>
      <c r="AJ219" s="116">
        <v>0</v>
      </c>
      <c r="AK219" s="116">
        <v>0</v>
      </c>
      <c r="AL219" s="116">
        <v>0</v>
      </c>
      <c r="AM219" s="116">
        <v>0</v>
      </c>
      <c r="AN219" s="116">
        <v>0</v>
      </c>
      <c r="AO219" s="116">
        <v>0</v>
      </c>
      <c r="AP219" s="116">
        <v>0</v>
      </c>
      <c r="AQ219" s="116">
        <v>0</v>
      </c>
      <c r="AR219" s="116">
        <v>0</v>
      </c>
      <c r="AS219" s="116">
        <v>0</v>
      </c>
      <c r="AT219" s="116">
        <v>0</v>
      </c>
      <c r="AU219" s="116">
        <v>0</v>
      </c>
      <c r="AV219" s="116">
        <v>0</v>
      </c>
      <c r="AW219" s="116">
        <v>0</v>
      </c>
      <c r="AX219" s="116">
        <v>0</v>
      </c>
      <c r="AY219" s="116">
        <v>0</v>
      </c>
    </row>
    <row r="220" spans="1:51" x14ac:dyDescent="0.2">
      <c r="A220" s="115"/>
      <c r="B220" s="125">
        <v>12</v>
      </c>
      <c r="C220" s="112">
        <v>0</v>
      </c>
      <c r="D220" s="116">
        <v>0</v>
      </c>
      <c r="E220" s="116">
        <v>0</v>
      </c>
      <c r="F220" s="116">
        <v>0</v>
      </c>
      <c r="G220" s="116">
        <v>0</v>
      </c>
      <c r="H220" s="116">
        <v>0</v>
      </c>
      <c r="I220" s="116">
        <v>0</v>
      </c>
      <c r="J220" s="116">
        <v>0</v>
      </c>
      <c r="K220" s="116">
        <v>0</v>
      </c>
      <c r="L220" s="116">
        <v>0</v>
      </c>
      <c r="M220" s="116">
        <v>0</v>
      </c>
      <c r="N220" s="116">
        <v>0</v>
      </c>
      <c r="O220" s="116">
        <v>0</v>
      </c>
      <c r="P220" s="116">
        <v>0</v>
      </c>
      <c r="Q220" s="116">
        <v>0</v>
      </c>
      <c r="R220" s="116">
        <v>0</v>
      </c>
      <c r="S220" s="116">
        <v>0</v>
      </c>
      <c r="T220" s="116">
        <v>0</v>
      </c>
      <c r="U220" s="116">
        <v>0</v>
      </c>
      <c r="V220" s="116">
        <v>0</v>
      </c>
      <c r="W220" s="116">
        <v>0</v>
      </c>
      <c r="X220" s="116">
        <v>0</v>
      </c>
      <c r="Y220" s="116">
        <v>0</v>
      </c>
      <c r="Z220" s="116">
        <v>0</v>
      </c>
      <c r="AA220" s="116">
        <v>0</v>
      </c>
      <c r="AB220" s="116">
        <v>0</v>
      </c>
      <c r="AC220" s="116">
        <v>0</v>
      </c>
      <c r="AD220" s="116">
        <v>0</v>
      </c>
      <c r="AE220" s="116">
        <v>0</v>
      </c>
      <c r="AF220" s="116">
        <v>0</v>
      </c>
      <c r="AG220" s="116">
        <v>0</v>
      </c>
      <c r="AH220" s="116">
        <v>0</v>
      </c>
      <c r="AI220" s="116">
        <v>0</v>
      </c>
      <c r="AJ220" s="116">
        <v>0</v>
      </c>
      <c r="AK220" s="116">
        <v>0</v>
      </c>
      <c r="AL220" s="116">
        <v>0</v>
      </c>
      <c r="AM220" s="116">
        <v>0</v>
      </c>
      <c r="AN220" s="116">
        <v>0</v>
      </c>
      <c r="AO220" s="116">
        <v>0</v>
      </c>
      <c r="AP220" s="116">
        <v>0</v>
      </c>
      <c r="AQ220" s="116">
        <v>0</v>
      </c>
      <c r="AR220" s="116">
        <v>0</v>
      </c>
      <c r="AS220" s="116">
        <v>0</v>
      </c>
      <c r="AT220" s="116">
        <v>0</v>
      </c>
      <c r="AU220" s="116">
        <v>0</v>
      </c>
      <c r="AV220" s="116">
        <v>0</v>
      </c>
      <c r="AW220" s="116">
        <v>0</v>
      </c>
      <c r="AX220" s="116">
        <v>0</v>
      </c>
      <c r="AY220" s="116">
        <v>0</v>
      </c>
    </row>
    <row r="221" spans="1:51" x14ac:dyDescent="0.2">
      <c r="A221" s="115"/>
      <c r="B221" s="126">
        <v>13</v>
      </c>
      <c r="C221" s="112">
        <v>0</v>
      </c>
      <c r="D221" s="116">
        <v>0</v>
      </c>
      <c r="E221" s="116">
        <v>0</v>
      </c>
      <c r="F221" s="116">
        <v>0</v>
      </c>
      <c r="G221" s="116">
        <v>0</v>
      </c>
      <c r="H221" s="116">
        <v>0</v>
      </c>
      <c r="I221" s="116">
        <v>0</v>
      </c>
      <c r="J221" s="116">
        <v>0</v>
      </c>
      <c r="K221" s="116">
        <v>0</v>
      </c>
      <c r="L221" s="116">
        <v>0</v>
      </c>
      <c r="M221" s="116">
        <v>0</v>
      </c>
      <c r="N221" s="116">
        <v>0</v>
      </c>
      <c r="O221" s="116">
        <v>0</v>
      </c>
      <c r="P221" s="116">
        <v>0</v>
      </c>
      <c r="Q221" s="116">
        <v>0</v>
      </c>
      <c r="R221" s="116">
        <v>0</v>
      </c>
      <c r="S221" s="116">
        <v>0</v>
      </c>
      <c r="T221" s="116">
        <v>0</v>
      </c>
      <c r="U221" s="116">
        <v>0</v>
      </c>
      <c r="V221" s="116">
        <v>0</v>
      </c>
      <c r="W221" s="116">
        <v>0</v>
      </c>
      <c r="X221" s="116">
        <v>0</v>
      </c>
      <c r="Y221" s="116">
        <v>0</v>
      </c>
      <c r="Z221" s="116">
        <v>0</v>
      </c>
      <c r="AA221" s="116">
        <v>0</v>
      </c>
      <c r="AB221" s="116">
        <v>0</v>
      </c>
      <c r="AC221" s="116">
        <v>0</v>
      </c>
      <c r="AD221" s="116">
        <v>0</v>
      </c>
      <c r="AE221" s="116">
        <v>0</v>
      </c>
      <c r="AF221" s="116">
        <v>0</v>
      </c>
      <c r="AG221" s="116">
        <v>0</v>
      </c>
      <c r="AH221" s="116">
        <v>0</v>
      </c>
      <c r="AI221" s="116">
        <v>0</v>
      </c>
      <c r="AJ221" s="116">
        <v>0</v>
      </c>
      <c r="AK221" s="116">
        <v>0</v>
      </c>
      <c r="AL221" s="116">
        <v>0</v>
      </c>
      <c r="AM221" s="116">
        <v>0</v>
      </c>
      <c r="AN221" s="116">
        <v>0</v>
      </c>
      <c r="AO221" s="116">
        <v>0</v>
      </c>
      <c r="AP221" s="116">
        <v>0</v>
      </c>
      <c r="AQ221" s="116">
        <v>0</v>
      </c>
      <c r="AR221" s="116">
        <v>0</v>
      </c>
      <c r="AS221" s="116">
        <v>0</v>
      </c>
      <c r="AT221" s="116">
        <v>0</v>
      </c>
      <c r="AU221" s="116">
        <v>0</v>
      </c>
      <c r="AV221" s="116">
        <v>0</v>
      </c>
      <c r="AW221" s="116">
        <v>0</v>
      </c>
      <c r="AX221" s="116">
        <v>0</v>
      </c>
      <c r="AY221" s="116">
        <v>0</v>
      </c>
    </row>
    <row r="222" spans="1:51" x14ac:dyDescent="0.2">
      <c r="A222" s="115"/>
      <c r="B222" s="126">
        <v>14</v>
      </c>
      <c r="C222" s="112">
        <v>0</v>
      </c>
      <c r="D222" s="116">
        <v>0</v>
      </c>
      <c r="E222" s="116">
        <v>0</v>
      </c>
      <c r="F222" s="116">
        <v>0</v>
      </c>
      <c r="G222" s="116">
        <v>0</v>
      </c>
      <c r="H222" s="116">
        <v>0</v>
      </c>
      <c r="I222" s="116">
        <v>0</v>
      </c>
      <c r="J222" s="116">
        <v>0</v>
      </c>
      <c r="K222" s="116">
        <v>0</v>
      </c>
      <c r="L222" s="116">
        <v>0</v>
      </c>
      <c r="M222" s="116">
        <v>0</v>
      </c>
      <c r="N222" s="116">
        <v>0</v>
      </c>
      <c r="O222" s="116">
        <v>0</v>
      </c>
      <c r="P222" s="116">
        <v>0</v>
      </c>
      <c r="Q222" s="116">
        <v>0</v>
      </c>
      <c r="R222" s="116">
        <v>0</v>
      </c>
      <c r="S222" s="116">
        <v>0</v>
      </c>
      <c r="T222" s="116">
        <v>0</v>
      </c>
      <c r="U222" s="116">
        <v>0</v>
      </c>
      <c r="V222" s="116">
        <v>0</v>
      </c>
      <c r="W222" s="116">
        <v>0</v>
      </c>
      <c r="X222" s="116">
        <v>0</v>
      </c>
      <c r="Y222" s="116">
        <v>0</v>
      </c>
      <c r="Z222" s="116">
        <v>0</v>
      </c>
      <c r="AA222" s="116">
        <v>0</v>
      </c>
      <c r="AB222" s="116">
        <v>0</v>
      </c>
      <c r="AC222" s="116">
        <v>0</v>
      </c>
      <c r="AD222" s="116">
        <v>0</v>
      </c>
      <c r="AE222" s="116">
        <v>0</v>
      </c>
      <c r="AF222" s="116">
        <v>0</v>
      </c>
      <c r="AG222" s="116">
        <v>0</v>
      </c>
      <c r="AH222" s="116">
        <v>0</v>
      </c>
      <c r="AI222" s="116">
        <v>0</v>
      </c>
      <c r="AJ222" s="116">
        <v>0</v>
      </c>
      <c r="AK222" s="116">
        <v>0</v>
      </c>
      <c r="AL222" s="116">
        <v>0</v>
      </c>
      <c r="AM222" s="116">
        <v>0</v>
      </c>
      <c r="AN222" s="116">
        <v>0</v>
      </c>
      <c r="AO222" s="116">
        <v>0</v>
      </c>
      <c r="AP222" s="116">
        <v>0</v>
      </c>
      <c r="AQ222" s="116">
        <v>0</v>
      </c>
      <c r="AR222" s="116">
        <v>0</v>
      </c>
      <c r="AS222" s="116">
        <v>0</v>
      </c>
      <c r="AT222" s="116">
        <v>0</v>
      </c>
      <c r="AU222" s="116">
        <v>0</v>
      </c>
      <c r="AV222" s="116">
        <v>0</v>
      </c>
      <c r="AW222" s="116">
        <v>0</v>
      </c>
      <c r="AX222" s="116">
        <v>0</v>
      </c>
      <c r="AY222" s="116">
        <v>0</v>
      </c>
    </row>
    <row r="223" spans="1:51" x14ac:dyDescent="0.2">
      <c r="A223" s="115"/>
      <c r="B223" s="126">
        <v>15</v>
      </c>
      <c r="C223" s="112">
        <v>0</v>
      </c>
      <c r="D223" s="116">
        <v>0</v>
      </c>
      <c r="E223" s="116">
        <v>0</v>
      </c>
      <c r="F223" s="116">
        <v>0</v>
      </c>
      <c r="G223" s="116">
        <v>0</v>
      </c>
      <c r="H223" s="116">
        <v>0</v>
      </c>
      <c r="I223" s="116">
        <v>0</v>
      </c>
      <c r="J223" s="116">
        <v>0</v>
      </c>
      <c r="K223" s="116">
        <v>0</v>
      </c>
      <c r="L223" s="116">
        <v>0</v>
      </c>
      <c r="M223" s="116">
        <v>0</v>
      </c>
      <c r="N223" s="116">
        <v>0</v>
      </c>
      <c r="O223" s="116">
        <v>0</v>
      </c>
      <c r="P223" s="116">
        <v>0</v>
      </c>
      <c r="Q223" s="116">
        <v>0</v>
      </c>
      <c r="R223" s="116">
        <v>0</v>
      </c>
      <c r="S223" s="116">
        <v>0</v>
      </c>
      <c r="T223" s="116">
        <v>0</v>
      </c>
      <c r="U223" s="116">
        <v>0</v>
      </c>
      <c r="V223" s="116">
        <v>0</v>
      </c>
      <c r="W223" s="116">
        <v>0</v>
      </c>
      <c r="X223" s="116">
        <v>0</v>
      </c>
      <c r="Y223" s="116">
        <v>0</v>
      </c>
      <c r="Z223" s="116">
        <v>0</v>
      </c>
      <c r="AA223" s="116">
        <v>0</v>
      </c>
      <c r="AB223" s="116">
        <v>0</v>
      </c>
      <c r="AC223" s="116">
        <v>0</v>
      </c>
      <c r="AD223" s="116">
        <v>0</v>
      </c>
      <c r="AE223" s="116">
        <v>0</v>
      </c>
      <c r="AF223" s="116">
        <v>0</v>
      </c>
      <c r="AG223" s="116">
        <v>0</v>
      </c>
      <c r="AH223" s="116">
        <v>0</v>
      </c>
      <c r="AI223" s="116">
        <v>0</v>
      </c>
      <c r="AJ223" s="116">
        <v>0</v>
      </c>
      <c r="AK223" s="116">
        <v>0</v>
      </c>
      <c r="AL223" s="116">
        <v>0</v>
      </c>
      <c r="AM223" s="116">
        <v>0</v>
      </c>
      <c r="AN223" s="116">
        <v>0</v>
      </c>
      <c r="AO223" s="116">
        <v>0</v>
      </c>
      <c r="AP223" s="116">
        <v>0</v>
      </c>
      <c r="AQ223" s="116">
        <v>0</v>
      </c>
      <c r="AR223" s="116">
        <v>0</v>
      </c>
      <c r="AS223" s="116">
        <v>0</v>
      </c>
      <c r="AT223" s="116">
        <v>0</v>
      </c>
      <c r="AU223" s="116">
        <v>0</v>
      </c>
      <c r="AV223" s="116">
        <v>0</v>
      </c>
      <c r="AW223" s="116">
        <v>0</v>
      </c>
      <c r="AX223" s="116">
        <v>0</v>
      </c>
      <c r="AY223" s="116">
        <v>0</v>
      </c>
    </row>
    <row r="224" spans="1:51" x14ac:dyDescent="0.2">
      <c r="A224" s="115"/>
      <c r="B224" s="126">
        <v>16</v>
      </c>
      <c r="C224" s="112">
        <v>0</v>
      </c>
      <c r="D224" s="116">
        <v>0</v>
      </c>
      <c r="E224" s="116">
        <v>0</v>
      </c>
      <c r="F224" s="116">
        <v>0</v>
      </c>
      <c r="G224" s="116">
        <v>0</v>
      </c>
      <c r="H224" s="116">
        <v>0</v>
      </c>
      <c r="I224" s="116">
        <v>0</v>
      </c>
      <c r="J224" s="116">
        <v>0</v>
      </c>
      <c r="K224" s="116">
        <v>0</v>
      </c>
      <c r="L224" s="116">
        <v>0</v>
      </c>
      <c r="M224" s="116">
        <v>0</v>
      </c>
      <c r="N224" s="116">
        <v>0</v>
      </c>
      <c r="O224" s="116">
        <v>0</v>
      </c>
      <c r="P224" s="116">
        <v>0</v>
      </c>
      <c r="Q224" s="116">
        <v>0</v>
      </c>
      <c r="R224" s="116">
        <v>0</v>
      </c>
      <c r="S224" s="116">
        <v>0</v>
      </c>
      <c r="T224" s="116">
        <v>0</v>
      </c>
      <c r="U224" s="116">
        <v>0</v>
      </c>
      <c r="V224" s="116">
        <v>0</v>
      </c>
      <c r="W224" s="116">
        <v>0</v>
      </c>
      <c r="X224" s="116">
        <v>0</v>
      </c>
      <c r="Y224" s="116">
        <v>0</v>
      </c>
      <c r="Z224" s="116">
        <v>0</v>
      </c>
      <c r="AA224" s="116">
        <v>0</v>
      </c>
      <c r="AB224" s="116">
        <v>0</v>
      </c>
      <c r="AC224" s="116">
        <v>0</v>
      </c>
      <c r="AD224" s="116">
        <v>0</v>
      </c>
      <c r="AE224" s="116">
        <v>0</v>
      </c>
      <c r="AF224" s="116">
        <v>0</v>
      </c>
      <c r="AG224" s="116">
        <v>0</v>
      </c>
      <c r="AH224" s="116">
        <v>0</v>
      </c>
      <c r="AI224" s="116">
        <v>0</v>
      </c>
      <c r="AJ224" s="116">
        <v>0</v>
      </c>
      <c r="AK224" s="116">
        <v>0</v>
      </c>
      <c r="AL224" s="116">
        <v>0</v>
      </c>
      <c r="AM224" s="116">
        <v>0</v>
      </c>
      <c r="AN224" s="116">
        <v>0</v>
      </c>
      <c r="AO224" s="116">
        <v>0</v>
      </c>
      <c r="AP224" s="116">
        <v>0</v>
      </c>
      <c r="AQ224" s="116">
        <v>0</v>
      </c>
      <c r="AR224" s="116">
        <v>0</v>
      </c>
      <c r="AS224" s="116">
        <v>0</v>
      </c>
      <c r="AT224" s="116">
        <v>0</v>
      </c>
      <c r="AU224" s="116">
        <v>0</v>
      </c>
      <c r="AV224" s="116">
        <v>0</v>
      </c>
      <c r="AW224" s="116">
        <v>0</v>
      </c>
      <c r="AX224" s="116">
        <v>0</v>
      </c>
      <c r="AY224" s="116">
        <v>0</v>
      </c>
    </row>
    <row r="225" spans="1:51" x14ac:dyDescent="0.2">
      <c r="A225" s="115"/>
      <c r="B225" s="126">
        <v>17</v>
      </c>
      <c r="C225" s="112">
        <v>0</v>
      </c>
      <c r="D225" s="116">
        <v>0</v>
      </c>
      <c r="E225" s="116">
        <v>0</v>
      </c>
      <c r="F225" s="116">
        <v>0</v>
      </c>
      <c r="G225" s="116">
        <v>0</v>
      </c>
      <c r="H225" s="116">
        <v>0</v>
      </c>
      <c r="I225" s="116">
        <v>0</v>
      </c>
      <c r="J225" s="116">
        <v>0</v>
      </c>
      <c r="K225" s="116">
        <v>0</v>
      </c>
      <c r="L225" s="116">
        <v>0</v>
      </c>
      <c r="M225" s="116">
        <v>0</v>
      </c>
      <c r="N225" s="116">
        <v>0</v>
      </c>
      <c r="O225" s="116">
        <v>0</v>
      </c>
      <c r="P225" s="116">
        <v>0</v>
      </c>
      <c r="Q225" s="116">
        <v>0</v>
      </c>
      <c r="R225" s="116">
        <v>0</v>
      </c>
      <c r="S225" s="116">
        <v>0</v>
      </c>
      <c r="T225" s="116">
        <v>0</v>
      </c>
      <c r="U225" s="116">
        <v>0</v>
      </c>
      <c r="V225" s="116">
        <v>0</v>
      </c>
      <c r="W225" s="116">
        <v>0</v>
      </c>
      <c r="X225" s="116">
        <v>0</v>
      </c>
      <c r="Y225" s="116">
        <v>0</v>
      </c>
      <c r="Z225" s="116">
        <v>0</v>
      </c>
      <c r="AA225" s="116">
        <v>0</v>
      </c>
      <c r="AB225" s="116">
        <v>0</v>
      </c>
      <c r="AC225" s="116">
        <v>0</v>
      </c>
      <c r="AD225" s="116">
        <v>0</v>
      </c>
      <c r="AE225" s="116">
        <v>0</v>
      </c>
      <c r="AF225" s="116">
        <v>0</v>
      </c>
      <c r="AG225" s="116">
        <v>0</v>
      </c>
      <c r="AH225" s="116">
        <v>0</v>
      </c>
      <c r="AI225" s="116">
        <v>0</v>
      </c>
      <c r="AJ225" s="116">
        <v>0</v>
      </c>
      <c r="AK225" s="116">
        <v>0</v>
      </c>
      <c r="AL225" s="116">
        <v>0</v>
      </c>
      <c r="AM225" s="116">
        <v>0</v>
      </c>
      <c r="AN225" s="116">
        <v>0</v>
      </c>
      <c r="AO225" s="116">
        <v>0</v>
      </c>
      <c r="AP225" s="116">
        <v>0</v>
      </c>
      <c r="AQ225" s="116">
        <v>0</v>
      </c>
      <c r="AR225" s="116">
        <v>0</v>
      </c>
      <c r="AS225" s="116">
        <v>0</v>
      </c>
      <c r="AT225" s="116">
        <v>0</v>
      </c>
      <c r="AU225" s="116">
        <v>0</v>
      </c>
      <c r="AV225" s="116">
        <v>0</v>
      </c>
      <c r="AW225" s="116">
        <v>0</v>
      </c>
      <c r="AX225" s="116">
        <v>0</v>
      </c>
      <c r="AY225" s="116">
        <v>0</v>
      </c>
    </row>
    <row r="226" spans="1:51" x14ac:dyDescent="0.2">
      <c r="A226" s="115"/>
      <c r="B226" s="126">
        <v>18</v>
      </c>
      <c r="C226" s="112">
        <v>0</v>
      </c>
      <c r="D226" s="116">
        <v>0</v>
      </c>
      <c r="E226" s="116">
        <v>0</v>
      </c>
      <c r="F226" s="116">
        <v>0</v>
      </c>
      <c r="G226" s="116">
        <v>0</v>
      </c>
      <c r="H226" s="116">
        <v>0</v>
      </c>
      <c r="I226" s="116">
        <v>0</v>
      </c>
      <c r="J226" s="116">
        <v>0</v>
      </c>
      <c r="K226" s="116">
        <v>0</v>
      </c>
      <c r="L226" s="116">
        <v>0</v>
      </c>
      <c r="M226" s="116">
        <v>0</v>
      </c>
      <c r="N226" s="116">
        <v>0</v>
      </c>
      <c r="O226" s="116">
        <v>0</v>
      </c>
      <c r="P226" s="116">
        <v>0</v>
      </c>
      <c r="Q226" s="116">
        <v>0</v>
      </c>
      <c r="R226" s="116">
        <v>0</v>
      </c>
      <c r="S226" s="116">
        <v>0</v>
      </c>
      <c r="T226" s="116">
        <v>0</v>
      </c>
      <c r="U226" s="116">
        <v>0</v>
      </c>
      <c r="V226" s="116">
        <v>0</v>
      </c>
      <c r="W226" s="116">
        <v>0</v>
      </c>
      <c r="X226" s="116">
        <v>0</v>
      </c>
      <c r="Y226" s="116">
        <v>0</v>
      </c>
      <c r="Z226" s="116">
        <v>0</v>
      </c>
      <c r="AA226" s="116">
        <v>0</v>
      </c>
      <c r="AB226" s="116">
        <v>0</v>
      </c>
      <c r="AC226" s="116">
        <v>0</v>
      </c>
      <c r="AD226" s="116">
        <v>0</v>
      </c>
      <c r="AE226" s="116">
        <v>0</v>
      </c>
      <c r="AF226" s="116">
        <v>0</v>
      </c>
      <c r="AG226" s="116">
        <v>0</v>
      </c>
      <c r="AH226" s="116">
        <v>0</v>
      </c>
      <c r="AI226" s="116">
        <v>0</v>
      </c>
      <c r="AJ226" s="116">
        <v>0</v>
      </c>
      <c r="AK226" s="116">
        <v>0</v>
      </c>
      <c r="AL226" s="116">
        <v>0</v>
      </c>
      <c r="AM226" s="116">
        <v>0</v>
      </c>
      <c r="AN226" s="116">
        <v>0</v>
      </c>
      <c r="AO226" s="116">
        <v>0</v>
      </c>
      <c r="AP226" s="116">
        <v>0</v>
      </c>
      <c r="AQ226" s="116">
        <v>0</v>
      </c>
      <c r="AR226" s="116">
        <v>0</v>
      </c>
      <c r="AS226" s="116">
        <v>0</v>
      </c>
      <c r="AT226" s="116">
        <v>0</v>
      </c>
      <c r="AU226" s="116">
        <v>0</v>
      </c>
      <c r="AV226" s="116">
        <v>0</v>
      </c>
      <c r="AW226" s="116">
        <v>0</v>
      </c>
      <c r="AX226" s="116">
        <v>0</v>
      </c>
      <c r="AY226" s="116">
        <v>0</v>
      </c>
    </row>
    <row r="227" spans="1:51" x14ac:dyDescent="0.2">
      <c r="A227" s="115"/>
      <c r="B227" s="126">
        <v>19</v>
      </c>
      <c r="C227" s="112">
        <v>0</v>
      </c>
      <c r="D227" s="116">
        <v>0</v>
      </c>
      <c r="E227" s="116">
        <v>0</v>
      </c>
      <c r="F227" s="116">
        <v>0</v>
      </c>
      <c r="G227" s="116">
        <v>0</v>
      </c>
      <c r="H227" s="116">
        <v>0</v>
      </c>
      <c r="I227" s="116">
        <v>0</v>
      </c>
      <c r="J227" s="116">
        <v>0</v>
      </c>
      <c r="K227" s="116">
        <v>0</v>
      </c>
      <c r="L227" s="116">
        <v>0</v>
      </c>
      <c r="M227" s="116">
        <v>0</v>
      </c>
      <c r="N227" s="116">
        <v>0</v>
      </c>
      <c r="O227" s="116">
        <v>0</v>
      </c>
      <c r="P227" s="116">
        <v>0</v>
      </c>
      <c r="Q227" s="116">
        <v>0</v>
      </c>
      <c r="R227" s="116">
        <v>0</v>
      </c>
      <c r="S227" s="116">
        <v>0</v>
      </c>
      <c r="T227" s="116">
        <v>0</v>
      </c>
      <c r="U227" s="116">
        <v>0</v>
      </c>
      <c r="V227" s="116">
        <v>0</v>
      </c>
      <c r="W227" s="116">
        <v>0</v>
      </c>
      <c r="X227" s="116">
        <v>0</v>
      </c>
      <c r="Y227" s="116">
        <v>0</v>
      </c>
      <c r="Z227" s="116">
        <v>0</v>
      </c>
      <c r="AA227" s="116">
        <v>0</v>
      </c>
      <c r="AB227" s="116">
        <v>0</v>
      </c>
      <c r="AC227" s="116">
        <v>0</v>
      </c>
      <c r="AD227" s="116">
        <v>0</v>
      </c>
      <c r="AE227" s="116">
        <v>0</v>
      </c>
      <c r="AF227" s="116">
        <v>0</v>
      </c>
      <c r="AG227" s="116">
        <v>0</v>
      </c>
      <c r="AH227" s="116">
        <v>0</v>
      </c>
      <c r="AI227" s="116">
        <v>0</v>
      </c>
      <c r="AJ227" s="116">
        <v>0</v>
      </c>
      <c r="AK227" s="116">
        <v>0</v>
      </c>
      <c r="AL227" s="116">
        <v>0</v>
      </c>
      <c r="AM227" s="116">
        <v>0</v>
      </c>
      <c r="AN227" s="116">
        <v>0</v>
      </c>
      <c r="AO227" s="116">
        <v>0</v>
      </c>
      <c r="AP227" s="116">
        <v>0</v>
      </c>
      <c r="AQ227" s="116">
        <v>0</v>
      </c>
      <c r="AR227" s="116">
        <v>0</v>
      </c>
      <c r="AS227" s="116">
        <v>0</v>
      </c>
      <c r="AT227" s="116">
        <v>0</v>
      </c>
      <c r="AU227" s="116">
        <v>0</v>
      </c>
      <c r="AV227" s="116">
        <v>0</v>
      </c>
      <c r="AW227" s="116">
        <v>0</v>
      </c>
      <c r="AX227" s="116">
        <v>0</v>
      </c>
      <c r="AY227" s="116">
        <v>0</v>
      </c>
    </row>
    <row r="228" spans="1:51" x14ac:dyDescent="0.2">
      <c r="A228" s="115"/>
      <c r="B228" s="126">
        <v>20</v>
      </c>
      <c r="C228" s="112">
        <v>0</v>
      </c>
      <c r="D228" s="116">
        <v>0</v>
      </c>
      <c r="E228" s="116">
        <v>0</v>
      </c>
      <c r="F228" s="116">
        <v>0</v>
      </c>
      <c r="G228" s="116">
        <v>0</v>
      </c>
      <c r="H228" s="116">
        <v>0</v>
      </c>
      <c r="I228" s="116">
        <v>0</v>
      </c>
      <c r="J228" s="116">
        <v>0</v>
      </c>
      <c r="K228" s="116">
        <v>0</v>
      </c>
      <c r="L228" s="116">
        <v>0</v>
      </c>
      <c r="M228" s="116">
        <v>0</v>
      </c>
      <c r="N228" s="116">
        <v>0</v>
      </c>
      <c r="O228" s="116">
        <v>0</v>
      </c>
      <c r="P228" s="116">
        <v>0</v>
      </c>
      <c r="Q228" s="116">
        <v>0</v>
      </c>
      <c r="R228" s="116">
        <v>0</v>
      </c>
      <c r="S228" s="116">
        <v>0</v>
      </c>
      <c r="T228" s="116">
        <v>0</v>
      </c>
      <c r="U228" s="116">
        <v>0</v>
      </c>
      <c r="V228" s="116">
        <v>0</v>
      </c>
      <c r="W228" s="116">
        <v>0</v>
      </c>
      <c r="X228" s="116">
        <v>0</v>
      </c>
      <c r="Y228" s="116">
        <v>0</v>
      </c>
      <c r="Z228" s="116">
        <v>0</v>
      </c>
      <c r="AA228" s="116">
        <v>0</v>
      </c>
      <c r="AB228" s="116">
        <v>0</v>
      </c>
      <c r="AC228" s="116">
        <v>0</v>
      </c>
      <c r="AD228" s="116">
        <v>0</v>
      </c>
      <c r="AE228" s="116">
        <v>0</v>
      </c>
      <c r="AF228" s="116">
        <v>0</v>
      </c>
      <c r="AG228" s="116">
        <v>0</v>
      </c>
      <c r="AH228" s="116">
        <v>0</v>
      </c>
      <c r="AI228" s="116">
        <v>0</v>
      </c>
      <c r="AJ228" s="116">
        <v>0</v>
      </c>
      <c r="AK228" s="116">
        <v>0</v>
      </c>
      <c r="AL228" s="116">
        <v>0</v>
      </c>
      <c r="AM228" s="116">
        <v>0</v>
      </c>
      <c r="AN228" s="116">
        <v>0</v>
      </c>
      <c r="AO228" s="116">
        <v>0</v>
      </c>
      <c r="AP228" s="116">
        <v>0</v>
      </c>
      <c r="AQ228" s="116">
        <v>0</v>
      </c>
      <c r="AR228" s="116">
        <v>0</v>
      </c>
      <c r="AS228" s="116">
        <v>0</v>
      </c>
      <c r="AT228" s="116">
        <v>0</v>
      </c>
      <c r="AU228" s="116">
        <v>0</v>
      </c>
      <c r="AV228" s="116">
        <v>0</v>
      </c>
      <c r="AW228" s="116">
        <v>0</v>
      </c>
      <c r="AX228" s="116">
        <v>0</v>
      </c>
      <c r="AY228" s="116">
        <v>0</v>
      </c>
    </row>
    <row r="229" spans="1:51" x14ac:dyDescent="0.2">
      <c r="A229" s="115"/>
      <c r="B229" s="126">
        <v>21</v>
      </c>
      <c r="C229" s="112">
        <v>0</v>
      </c>
      <c r="D229" s="116">
        <v>0</v>
      </c>
      <c r="E229" s="116">
        <v>0</v>
      </c>
      <c r="F229" s="116">
        <v>0</v>
      </c>
      <c r="G229" s="116">
        <v>0</v>
      </c>
      <c r="H229" s="116">
        <v>0</v>
      </c>
      <c r="I229" s="116">
        <v>0</v>
      </c>
      <c r="J229" s="116">
        <v>0</v>
      </c>
      <c r="K229" s="116">
        <v>0</v>
      </c>
      <c r="L229" s="116">
        <v>0</v>
      </c>
      <c r="M229" s="116">
        <v>0</v>
      </c>
      <c r="N229" s="116">
        <v>0</v>
      </c>
      <c r="O229" s="116">
        <v>0</v>
      </c>
      <c r="P229" s="116">
        <v>0</v>
      </c>
      <c r="Q229" s="116">
        <v>0</v>
      </c>
      <c r="R229" s="116">
        <v>0</v>
      </c>
      <c r="S229" s="116">
        <v>0</v>
      </c>
      <c r="T229" s="116">
        <v>0</v>
      </c>
      <c r="U229" s="116">
        <v>0</v>
      </c>
      <c r="V229" s="116">
        <v>0</v>
      </c>
      <c r="W229" s="116">
        <v>0</v>
      </c>
      <c r="X229" s="116">
        <v>0</v>
      </c>
      <c r="Y229" s="116">
        <v>0</v>
      </c>
      <c r="Z229" s="116">
        <v>0</v>
      </c>
      <c r="AA229" s="116">
        <v>0</v>
      </c>
      <c r="AB229" s="116">
        <v>0</v>
      </c>
      <c r="AC229" s="116">
        <v>0</v>
      </c>
      <c r="AD229" s="116">
        <v>0</v>
      </c>
      <c r="AE229" s="116">
        <v>0</v>
      </c>
      <c r="AF229" s="116">
        <v>0</v>
      </c>
      <c r="AG229" s="116">
        <v>0</v>
      </c>
      <c r="AH229" s="116">
        <v>0</v>
      </c>
      <c r="AI229" s="116">
        <v>0</v>
      </c>
      <c r="AJ229" s="116">
        <v>0</v>
      </c>
      <c r="AK229" s="116">
        <v>0</v>
      </c>
      <c r="AL229" s="116">
        <v>0</v>
      </c>
      <c r="AM229" s="116">
        <v>0</v>
      </c>
      <c r="AN229" s="116">
        <v>0</v>
      </c>
      <c r="AO229" s="116">
        <v>0</v>
      </c>
      <c r="AP229" s="116">
        <v>0</v>
      </c>
      <c r="AQ229" s="116">
        <v>0</v>
      </c>
      <c r="AR229" s="116">
        <v>0</v>
      </c>
      <c r="AS229" s="116">
        <v>0</v>
      </c>
      <c r="AT229" s="116">
        <v>0</v>
      </c>
      <c r="AU229" s="116">
        <v>0</v>
      </c>
      <c r="AV229" s="116">
        <v>0</v>
      </c>
      <c r="AW229" s="116">
        <v>0</v>
      </c>
      <c r="AX229" s="116">
        <v>0</v>
      </c>
      <c r="AY229" s="116">
        <v>0</v>
      </c>
    </row>
    <row r="230" spans="1:51" x14ac:dyDescent="0.2">
      <c r="A230" s="115"/>
      <c r="B230" s="126">
        <v>22</v>
      </c>
      <c r="C230" s="112">
        <v>0</v>
      </c>
      <c r="D230" s="116">
        <v>0</v>
      </c>
      <c r="E230" s="116">
        <v>0</v>
      </c>
      <c r="F230" s="116">
        <v>0</v>
      </c>
      <c r="G230" s="116">
        <v>0</v>
      </c>
      <c r="H230" s="116">
        <v>0</v>
      </c>
      <c r="I230" s="116">
        <v>0</v>
      </c>
      <c r="J230" s="116">
        <v>0</v>
      </c>
      <c r="K230" s="116">
        <v>0</v>
      </c>
      <c r="L230" s="116">
        <v>0</v>
      </c>
      <c r="M230" s="116">
        <v>0</v>
      </c>
      <c r="N230" s="116">
        <v>0</v>
      </c>
      <c r="O230" s="116">
        <v>0</v>
      </c>
      <c r="P230" s="116">
        <v>0</v>
      </c>
      <c r="Q230" s="116">
        <v>0</v>
      </c>
      <c r="R230" s="116">
        <v>0</v>
      </c>
      <c r="S230" s="116">
        <v>0</v>
      </c>
      <c r="T230" s="116">
        <v>0</v>
      </c>
      <c r="U230" s="116">
        <v>0</v>
      </c>
      <c r="V230" s="116">
        <v>0</v>
      </c>
      <c r="W230" s="116">
        <v>0</v>
      </c>
      <c r="X230" s="116">
        <v>0</v>
      </c>
      <c r="Y230" s="116">
        <v>0</v>
      </c>
      <c r="Z230" s="116">
        <v>0</v>
      </c>
      <c r="AA230" s="116">
        <v>0</v>
      </c>
      <c r="AB230" s="116">
        <v>0</v>
      </c>
      <c r="AC230" s="116">
        <v>0</v>
      </c>
      <c r="AD230" s="116">
        <v>0</v>
      </c>
      <c r="AE230" s="116">
        <v>0</v>
      </c>
      <c r="AF230" s="116">
        <v>0</v>
      </c>
      <c r="AG230" s="116">
        <v>0</v>
      </c>
      <c r="AH230" s="116">
        <v>0</v>
      </c>
      <c r="AI230" s="116">
        <v>0</v>
      </c>
      <c r="AJ230" s="116">
        <v>0</v>
      </c>
      <c r="AK230" s="116">
        <v>0</v>
      </c>
      <c r="AL230" s="116">
        <v>0</v>
      </c>
      <c r="AM230" s="116">
        <v>0</v>
      </c>
      <c r="AN230" s="116">
        <v>0</v>
      </c>
      <c r="AO230" s="116">
        <v>0</v>
      </c>
      <c r="AP230" s="116">
        <v>0</v>
      </c>
      <c r="AQ230" s="116">
        <v>0</v>
      </c>
      <c r="AR230" s="116">
        <v>0</v>
      </c>
      <c r="AS230" s="116">
        <v>0</v>
      </c>
      <c r="AT230" s="116">
        <v>0</v>
      </c>
      <c r="AU230" s="116">
        <v>0</v>
      </c>
      <c r="AV230" s="116">
        <v>0</v>
      </c>
      <c r="AW230" s="116">
        <v>0</v>
      </c>
      <c r="AX230" s="116">
        <v>0</v>
      </c>
      <c r="AY230" s="116">
        <v>0</v>
      </c>
    </row>
    <row r="231" spans="1:51" x14ac:dyDescent="0.2">
      <c r="A231" s="115"/>
      <c r="B231" s="126">
        <v>23</v>
      </c>
      <c r="C231" s="112">
        <v>0</v>
      </c>
      <c r="D231" s="116">
        <v>0</v>
      </c>
      <c r="E231" s="116">
        <v>0</v>
      </c>
      <c r="F231" s="116">
        <v>0</v>
      </c>
      <c r="G231" s="116">
        <v>0</v>
      </c>
      <c r="H231" s="116">
        <v>0</v>
      </c>
      <c r="I231" s="116">
        <v>0</v>
      </c>
      <c r="J231" s="116">
        <v>0</v>
      </c>
      <c r="K231" s="116">
        <v>0</v>
      </c>
      <c r="L231" s="116">
        <v>0</v>
      </c>
      <c r="M231" s="116">
        <v>0</v>
      </c>
      <c r="N231" s="116">
        <v>0</v>
      </c>
      <c r="O231" s="116">
        <v>0</v>
      </c>
      <c r="P231" s="116">
        <v>0</v>
      </c>
      <c r="Q231" s="116">
        <v>0</v>
      </c>
      <c r="R231" s="116">
        <v>0</v>
      </c>
      <c r="S231" s="116">
        <v>0</v>
      </c>
      <c r="T231" s="116">
        <v>0</v>
      </c>
      <c r="U231" s="116">
        <v>0</v>
      </c>
      <c r="V231" s="116">
        <v>0</v>
      </c>
      <c r="W231" s="116">
        <v>0</v>
      </c>
      <c r="X231" s="116">
        <v>0</v>
      </c>
      <c r="Y231" s="116">
        <v>0</v>
      </c>
      <c r="Z231" s="116">
        <v>0</v>
      </c>
      <c r="AA231" s="116">
        <v>0</v>
      </c>
      <c r="AB231" s="116">
        <v>0</v>
      </c>
      <c r="AC231" s="116">
        <v>0</v>
      </c>
      <c r="AD231" s="116">
        <v>0</v>
      </c>
      <c r="AE231" s="116">
        <v>0</v>
      </c>
      <c r="AF231" s="116">
        <v>0</v>
      </c>
      <c r="AG231" s="116">
        <v>0</v>
      </c>
      <c r="AH231" s="116">
        <v>0</v>
      </c>
      <c r="AI231" s="116">
        <v>0</v>
      </c>
      <c r="AJ231" s="116">
        <v>0</v>
      </c>
      <c r="AK231" s="116">
        <v>0</v>
      </c>
      <c r="AL231" s="116">
        <v>0</v>
      </c>
      <c r="AM231" s="116">
        <v>0</v>
      </c>
      <c r="AN231" s="116">
        <v>0</v>
      </c>
      <c r="AO231" s="116">
        <v>0</v>
      </c>
      <c r="AP231" s="116">
        <v>0</v>
      </c>
      <c r="AQ231" s="116">
        <v>0</v>
      </c>
      <c r="AR231" s="116">
        <v>0</v>
      </c>
      <c r="AS231" s="116">
        <v>0</v>
      </c>
      <c r="AT231" s="116">
        <v>0</v>
      </c>
      <c r="AU231" s="116">
        <v>0</v>
      </c>
      <c r="AV231" s="116">
        <v>0</v>
      </c>
      <c r="AW231" s="116">
        <v>0</v>
      </c>
      <c r="AX231" s="116">
        <v>0</v>
      </c>
      <c r="AY231" s="116">
        <v>0</v>
      </c>
    </row>
    <row r="232" spans="1:51" x14ac:dyDescent="0.2">
      <c r="A232" s="115"/>
      <c r="B232" s="126">
        <v>24</v>
      </c>
      <c r="C232" s="112">
        <v>0</v>
      </c>
      <c r="D232" s="116">
        <v>0</v>
      </c>
      <c r="E232" s="116">
        <v>0</v>
      </c>
      <c r="F232" s="116">
        <v>0</v>
      </c>
      <c r="G232" s="116">
        <v>0</v>
      </c>
      <c r="H232" s="116">
        <v>0</v>
      </c>
      <c r="I232" s="116">
        <v>0</v>
      </c>
      <c r="J232" s="116">
        <v>0</v>
      </c>
      <c r="K232" s="116">
        <v>0</v>
      </c>
      <c r="L232" s="116">
        <v>0</v>
      </c>
      <c r="M232" s="116">
        <v>0</v>
      </c>
      <c r="N232" s="116">
        <v>0</v>
      </c>
      <c r="O232" s="116">
        <v>0</v>
      </c>
      <c r="P232" s="116">
        <v>0</v>
      </c>
      <c r="Q232" s="116">
        <v>0</v>
      </c>
      <c r="R232" s="116">
        <v>0</v>
      </c>
      <c r="S232" s="116">
        <v>0</v>
      </c>
      <c r="T232" s="116">
        <v>0</v>
      </c>
      <c r="U232" s="116">
        <v>0</v>
      </c>
      <c r="V232" s="116">
        <v>0</v>
      </c>
      <c r="W232" s="116">
        <v>0</v>
      </c>
      <c r="X232" s="116">
        <v>0</v>
      </c>
      <c r="Y232" s="116">
        <v>0</v>
      </c>
      <c r="Z232" s="116">
        <v>0</v>
      </c>
      <c r="AA232" s="116">
        <v>0</v>
      </c>
      <c r="AB232" s="116">
        <v>0</v>
      </c>
      <c r="AC232" s="116">
        <v>0</v>
      </c>
      <c r="AD232" s="116">
        <v>0</v>
      </c>
      <c r="AE232" s="116">
        <v>0</v>
      </c>
      <c r="AF232" s="116">
        <v>0</v>
      </c>
      <c r="AG232" s="116">
        <v>0</v>
      </c>
      <c r="AH232" s="116">
        <v>0</v>
      </c>
      <c r="AI232" s="116">
        <v>0</v>
      </c>
      <c r="AJ232" s="116">
        <v>0</v>
      </c>
      <c r="AK232" s="116">
        <v>0</v>
      </c>
      <c r="AL232" s="116">
        <v>0</v>
      </c>
      <c r="AM232" s="116">
        <v>0</v>
      </c>
      <c r="AN232" s="116">
        <v>0</v>
      </c>
      <c r="AO232" s="116">
        <v>0</v>
      </c>
      <c r="AP232" s="116">
        <v>0</v>
      </c>
      <c r="AQ232" s="116">
        <v>0</v>
      </c>
      <c r="AR232" s="116">
        <v>0</v>
      </c>
      <c r="AS232" s="116">
        <v>0</v>
      </c>
      <c r="AT232" s="116">
        <v>0</v>
      </c>
      <c r="AU232" s="116">
        <v>0</v>
      </c>
      <c r="AV232" s="116">
        <v>0</v>
      </c>
      <c r="AW232" s="116">
        <v>0</v>
      </c>
      <c r="AX232" s="116">
        <v>0</v>
      </c>
      <c r="AY232" s="116">
        <v>0</v>
      </c>
    </row>
    <row r="233" spans="1:51" x14ac:dyDescent="0.2">
      <c r="A233" s="115"/>
      <c r="B233" s="133">
        <v>25</v>
      </c>
      <c r="C233" s="112">
        <v>0</v>
      </c>
      <c r="D233" s="116">
        <v>0</v>
      </c>
      <c r="E233" s="116">
        <v>0</v>
      </c>
      <c r="F233" s="116">
        <v>0</v>
      </c>
      <c r="G233" s="116">
        <v>0</v>
      </c>
      <c r="H233" s="116">
        <v>0</v>
      </c>
      <c r="I233" s="116">
        <v>0</v>
      </c>
      <c r="J233" s="116">
        <v>0</v>
      </c>
      <c r="K233" s="116">
        <v>0</v>
      </c>
      <c r="L233" s="116">
        <v>0</v>
      </c>
      <c r="M233" s="116">
        <v>0</v>
      </c>
      <c r="N233" s="116">
        <v>0</v>
      </c>
      <c r="O233" s="116">
        <v>0</v>
      </c>
      <c r="P233" s="116">
        <v>0</v>
      </c>
      <c r="Q233" s="116">
        <v>0</v>
      </c>
      <c r="R233" s="116">
        <v>0</v>
      </c>
      <c r="S233" s="116">
        <v>0</v>
      </c>
      <c r="T233" s="116">
        <v>0</v>
      </c>
      <c r="U233" s="116">
        <v>0</v>
      </c>
      <c r="V233" s="116">
        <v>0</v>
      </c>
      <c r="W233" s="116">
        <v>0</v>
      </c>
      <c r="X233" s="116">
        <v>0</v>
      </c>
      <c r="Y233" s="116">
        <v>0</v>
      </c>
      <c r="Z233" s="116">
        <v>0</v>
      </c>
      <c r="AA233" s="116">
        <v>0</v>
      </c>
      <c r="AB233" s="116">
        <v>0</v>
      </c>
      <c r="AC233" s="116">
        <v>0</v>
      </c>
      <c r="AD233" s="116">
        <v>0</v>
      </c>
      <c r="AE233" s="116">
        <v>0</v>
      </c>
      <c r="AF233" s="116">
        <v>0</v>
      </c>
      <c r="AG233" s="116">
        <v>0</v>
      </c>
      <c r="AH233" s="116">
        <v>0</v>
      </c>
      <c r="AI233" s="116">
        <v>0</v>
      </c>
      <c r="AJ233" s="116">
        <v>0</v>
      </c>
      <c r="AK233" s="116">
        <v>0</v>
      </c>
      <c r="AL233" s="116">
        <v>0</v>
      </c>
      <c r="AM233" s="116">
        <v>0</v>
      </c>
      <c r="AN233" s="116">
        <v>0</v>
      </c>
      <c r="AO233" s="116">
        <v>0</v>
      </c>
      <c r="AP233" s="116">
        <v>0</v>
      </c>
      <c r="AQ233" s="116">
        <v>0</v>
      </c>
      <c r="AR233" s="116">
        <v>0</v>
      </c>
      <c r="AS233" s="116">
        <v>0</v>
      </c>
      <c r="AT233" s="116">
        <v>0</v>
      </c>
      <c r="AU233" s="116">
        <v>0</v>
      </c>
      <c r="AV233" s="116">
        <v>0</v>
      </c>
      <c r="AW233" s="116">
        <v>0</v>
      </c>
      <c r="AX233" s="116">
        <v>0</v>
      </c>
      <c r="AY233" s="116">
        <v>0</v>
      </c>
    </row>
    <row r="234" spans="1:51" x14ac:dyDescent="0.2">
      <c r="A234" s="115"/>
      <c r="B234" s="133">
        <v>26</v>
      </c>
      <c r="C234" s="112">
        <v>0</v>
      </c>
      <c r="D234" s="116">
        <v>0</v>
      </c>
      <c r="E234" s="116">
        <v>0</v>
      </c>
      <c r="F234" s="116">
        <v>0</v>
      </c>
      <c r="G234" s="116">
        <v>0</v>
      </c>
      <c r="H234" s="116">
        <v>0</v>
      </c>
      <c r="I234" s="116">
        <v>0</v>
      </c>
      <c r="J234" s="116">
        <v>0</v>
      </c>
      <c r="K234" s="116">
        <v>0</v>
      </c>
      <c r="L234" s="116">
        <v>0</v>
      </c>
      <c r="M234" s="116">
        <v>0</v>
      </c>
      <c r="N234" s="116">
        <v>0</v>
      </c>
      <c r="O234" s="116">
        <v>0</v>
      </c>
      <c r="P234" s="116">
        <v>0</v>
      </c>
      <c r="Q234" s="116">
        <v>0</v>
      </c>
      <c r="R234" s="116">
        <v>0</v>
      </c>
      <c r="S234" s="116">
        <v>0</v>
      </c>
      <c r="T234" s="116">
        <v>0</v>
      </c>
      <c r="U234" s="116">
        <v>0</v>
      </c>
      <c r="V234" s="116">
        <v>0</v>
      </c>
      <c r="W234" s="116">
        <v>0</v>
      </c>
      <c r="X234" s="116">
        <v>0</v>
      </c>
      <c r="Y234" s="116">
        <v>0</v>
      </c>
      <c r="Z234" s="116">
        <v>0</v>
      </c>
      <c r="AA234" s="116">
        <v>0</v>
      </c>
      <c r="AB234" s="116">
        <v>0</v>
      </c>
      <c r="AC234" s="116">
        <v>0</v>
      </c>
      <c r="AD234" s="116">
        <v>0</v>
      </c>
      <c r="AE234" s="116">
        <v>0</v>
      </c>
      <c r="AF234" s="116">
        <v>0</v>
      </c>
      <c r="AG234" s="116">
        <v>0</v>
      </c>
      <c r="AH234" s="116">
        <v>0</v>
      </c>
      <c r="AI234" s="116">
        <v>0</v>
      </c>
      <c r="AJ234" s="116">
        <v>0</v>
      </c>
      <c r="AK234" s="116">
        <v>0</v>
      </c>
      <c r="AL234" s="116">
        <v>0</v>
      </c>
      <c r="AM234" s="116">
        <v>0</v>
      </c>
      <c r="AN234" s="116">
        <v>0</v>
      </c>
      <c r="AO234" s="116">
        <v>0</v>
      </c>
      <c r="AP234" s="116">
        <v>0</v>
      </c>
      <c r="AQ234" s="116">
        <v>0</v>
      </c>
      <c r="AR234" s="116">
        <v>0</v>
      </c>
      <c r="AS234" s="116">
        <v>0</v>
      </c>
      <c r="AT234" s="116">
        <v>0</v>
      </c>
      <c r="AU234" s="116">
        <v>0</v>
      </c>
      <c r="AV234" s="116">
        <v>0</v>
      </c>
      <c r="AW234" s="116">
        <v>0</v>
      </c>
      <c r="AX234" s="116">
        <v>0</v>
      </c>
      <c r="AY234" s="116">
        <v>0</v>
      </c>
    </row>
    <row r="235" spans="1:51" x14ac:dyDescent="0.2">
      <c r="A235" s="115"/>
      <c r="B235" s="133">
        <v>27</v>
      </c>
      <c r="C235" s="112">
        <v>0</v>
      </c>
      <c r="D235" s="116">
        <v>0</v>
      </c>
      <c r="E235" s="116">
        <v>0</v>
      </c>
      <c r="F235" s="116">
        <v>0</v>
      </c>
      <c r="G235" s="116">
        <v>0</v>
      </c>
      <c r="H235" s="116">
        <v>0</v>
      </c>
      <c r="I235" s="116">
        <v>0</v>
      </c>
      <c r="J235" s="116">
        <v>0</v>
      </c>
      <c r="K235" s="116">
        <v>0</v>
      </c>
      <c r="L235" s="116">
        <v>0</v>
      </c>
      <c r="M235" s="116">
        <v>0</v>
      </c>
      <c r="N235" s="116">
        <v>0</v>
      </c>
      <c r="O235" s="116">
        <v>0</v>
      </c>
      <c r="P235" s="116">
        <v>0</v>
      </c>
      <c r="Q235" s="116">
        <v>0</v>
      </c>
      <c r="R235" s="116">
        <v>0</v>
      </c>
      <c r="S235" s="116">
        <v>0</v>
      </c>
      <c r="T235" s="116">
        <v>0</v>
      </c>
      <c r="U235" s="116">
        <v>0</v>
      </c>
      <c r="V235" s="116">
        <v>0</v>
      </c>
      <c r="W235" s="116">
        <v>0</v>
      </c>
      <c r="X235" s="116">
        <v>0</v>
      </c>
      <c r="Y235" s="116">
        <v>0</v>
      </c>
      <c r="Z235" s="116">
        <v>0</v>
      </c>
      <c r="AA235" s="116">
        <v>0</v>
      </c>
      <c r="AB235" s="116">
        <v>0</v>
      </c>
      <c r="AC235" s="116">
        <v>0</v>
      </c>
      <c r="AD235" s="116">
        <v>0</v>
      </c>
      <c r="AE235" s="116">
        <v>0</v>
      </c>
      <c r="AF235" s="116">
        <v>0</v>
      </c>
      <c r="AG235" s="116">
        <v>0</v>
      </c>
      <c r="AH235" s="116">
        <v>0</v>
      </c>
      <c r="AI235" s="116">
        <v>0</v>
      </c>
      <c r="AJ235" s="116">
        <v>0</v>
      </c>
      <c r="AK235" s="116">
        <v>0</v>
      </c>
      <c r="AL235" s="116">
        <v>0</v>
      </c>
      <c r="AM235" s="116">
        <v>0</v>
      </c>
      <c r="AN235" s="116">
        <v>0</v>
      </c>
      <c r="AO235" s="116">
        <v>0</v>
      </c>
      <c r="AP235" s="116">
        <v>0</v>
      </c>
      <c r="AQ235" s="116">
        <v>0</v>
      </c>
      <c r="AR235" s="116">
        <v>0</v>
      </c>
      <c r="AS235" s="116">
        <v>0</v>
      </c>
      <c r="AT235" s="116">
        <v>0</v>
      </c>
      <c r="AU235" s="116">
        <v>0</v>
      </c>
      <c r="AV235" s="116">
        <v>0</v>
      </c>
      <c r="AW235" s="116">
        <v>0</v>
      </c>
      <c r="AX235" s="116">
        <v>0</v>
      </c>
      <c r="AY235" s="116">
        <v>0</v>
      </c>
    </row>
    <row r="236" spans="1:51" x14ac:dyDescent="0.2">
      <c r="A236" s="115"/>
      <c r="B236" s="133">
        <v>28</v>
      </c>
      <c r="C236" s="112">
        <v>0</v>
      </c>
      <c r="D236" s="116">
        <v>0</v>
      </c>
      <c r="E236" s="116">
        <v>0</v>
      </c>
      <c r="F236" s="116">
        <v>0</v>
      </c>
      <c r="G236" s="116">
        <v>0</v>
      </c>
      <c r="H236" s="116">
        <v>0</v>
      </c>
      <c r="I236" s="116">
        <v>0</v>
      </c>
      <c r="J236" s="116">
        <v>0</v>
      </c>
      <c r="K236" s="116">
        <v>0</v>
      </c>
      <c r="L236" s="116">
        <v>0</v>
      </c>
      <c r="M236" s="116">
        <v>0</v>
      </c>
      <c r="N236" s="116">
        <v>0</v>
      </c>
      <c r="O236" s="116">
        <v>0</v>
      </c>
      <c r="P236" s="116">
        <v>0</v>
      </c>
      <c r="Q236" s="116">
        <v>0</v>
      </c>
      <c r="R236" s="116">
        <v>0</v>
      </c>
      <c r="S236" s="116">
        <v>0</v>
      </c>
      <c r="T236" s="116">
        <v>0</v>
      </c>
      <c r="U236" s="116">
        <v>0</v>
      </c>
      <c r="V236" s="116">
        <v>0</v>
      </c>
      <c r="W236" s="116">
        <v>0</v>
      </c>
      <c r="X236" s="116">
        <v>0</v>
      </c>
      <c r="Y236" s="116">
        <v>0</v>
      </c>
      <c r="Z236" s="116">
        <v>0</v>
      </c>
      <c r="AA236" s="116">
        <v>0</v>
      </c>
      <c r="AB236" s="116">
        <v>0</v>
      </c>
      <c r="AC236" s="116">
        <v>0</v>
      </c>
      <c r="AD236" s="116">
        <v>0</v>
      </c>
      <c r="AE236" s="116">
        <v>0</v>
      </c>
      <c r="AF236" s="116">
        <v>0</v>
      </c>
      <c r="AG236" s="116">
        <v>0</v>
      </c>
      <c r="AH236" s="116">
        <v>0</v>
      </c>
      <c r="AI236" s="116">
        <v>0</v>
      </c>
      <c r="AJ236" s="116">
        <v>0</v>
      </c>
      <c r="AK236" s="116">
        <v>0</v>
      </c>
      <c r="AL236" s="116">
        <v>0</v>
      </c>
      <c r="AM236" s="116">
        <v>0</v>
      </c>
      <c r="AN236" s="116">
        <v>0</v>
      </c>
      <c r="AO236" s="116">
        <v>0</v>
      </c>
      <c r="AP236" s="116">
        <v>0</v>
      </c>
      <c r="AQ236" s="116">
        <v>0</v>
      </c>
      <c r="AR236" s="116">
        <v>0</v>
      </c>
      <c r="AS236" s="116">
        <v>0</v>
      </c>
      <c r="AT236" s="116">
        <v>0</v>
      </c>
      <c r="AU236" s="116">
        <v>0</v>
      </c>
      <c r="AV236" s="116">
        <v>0</v>
      </c>
      <c r="AW236" s="116">
        <v>0</v>
      </c>
      <c r="AX236" s="116">
        <v>0</v>
      </c>
      <c r="AY236" s="116">
        <v>0</v>
      </c>
    </row>
    <row r="237" spans="1:51" x14ac:dyDescent="0.2">
      <c r="A237" s="115"/>
      <c r="B237" s="133">
        <v>29</v>
      </c>
      <c r="C237" s="112">
        <v>0</v>
      </c>
      <c r="D237" s="116">
        <v>0</v>
      </c>
      <c r="E237" s="116">
        <v>0</v>
      </c>
      <c r="F237" s="116">
        <v>0</v>
      </c>
      <c r="G237" s="116">
        <v>0</v>
      </c>
      <c r="H237" s="116">
        <v>0</v>
      </c>
      <c r="I237" s="116">
        <v>0</v>
      </c>
      <c r="J237" s="116">
        <v>0</v>
      </c>
      <c r="K237" s="116">
        <v>0</v>
      </c>
      <c r="L237" s="116">
        <v>0</v>
      </c>
      <c r="M237" s="116">
        <v>0</v>
      </c>
      <c r="N237" s="116">
        <v>0</v>
      </c>
      <c r="O237" s="116">
        <v>0</v>
      </c>
      <c r="P237" s="116">
        <v>0</v>
      </c>
      <c r="Q237" s="116">
        <v>0</v>
      </c>
      <c r="R237" s="116">
        <v>0</v>
      </c>
      <c r="S237" s="116">
        <v>0</v>
      </c>
      <c r="T237" s="116">
        <v>0</v>
      </c>
      <c r="U237" s="116">
        <v>0</v>
      </c>
      <c r="V237" s="116">
        <v>0</v>
      </c>
      <c r="W237" s="116">
        <v>0</v>
      </c>
      <c r="X237" s="116">
        <v>0</v>
      </c>
      <c r="Y237" s="116">
        <v>0</v>
      </c>
      <c r="Z237" s="116">
        <v>0</v>
      </c>
      <c r="AA237" s="116">
        <v>0</v>
      </c>
      <c r="AB237" s="116">
        <v>0</v>
      </c>
      <c r="AC237" s="116">
        <v>0</v>
      </c>
      <c r="AD237" s="116">
        <v>0</v>
      </c>
      <c r="AE237" s="116">
        <v>0</v>
      </c>
      <c r="AF237" s="116">
        <v>0</v>
      </c>
      <c r="AG237" s="116">
        <v>0</v>
      </c>
      <c r="AH237" s="116">
        <v>0</v>
      </c>
      <c r="AI237" s="116">
        <v>0</v>
      </c>
      <c r="AJ237" s="116">
        <v>0</v>
      </c>
      <c r="AK237" s="116">
        <v>0</v>
      </c>
      <c r="AL237" s="116">
        <v>0</v>
      </c>
      <c r="AM237" s="116">
        <v>0</v>
      </c>
      <c r="AN237" s="116">
        <v>0</v>
      </c>
      <c r="AO237" s="116">
        <v>0</v>
      </c>
      <c r="AP237" s="116">
        <v>0</v>
      </c>
      <c r="AQ237" s="116">
        <v>0</v>
      </c>
      <c r="AR237" s="116">
        <v>0</v>
      </c>
      <c r="AS237" s="116">
        <v>0</v>
      </c>
      <c r="AT237" s="116">
        <v>0</v>
      </c>
      <c r="AU237" s="116">
        <v>0</v>
      </c>
      <c r="AV237" s="116">
        <v>0</v>
      </c>
      <c r="AW237" s="116">
        <v>0</v>
      </c>
      <c r="AX237" s="116">
        <v>0</v>
      </c>
      <c r="AY237" s="116">
        <v>0</v>
      </c>
    </row>
    <row r="238" spans="1:51" x14ac:dyDescent="0.2">
      <c r="A238" s="115"/>
      <c r="B238" s="133">
        <v>30</v>
      </c>
      <c r="C238" s="112">
        <v>0</v>
      </c>
      <c r="D238" s="116">
        <v>0</v>
      </c>
      <c r="E238" s="116">
        <v>0</v>
      </c>
      <c r="F238" s="116">
        <v>0</v>
      </c>
      <c r="G238" s="116">
        <v>0</v>
      </c>
      <c r="H238" s="116">
        <v>0</v>
      </c>
      <c r="I238" s="116">
        <v>0</v>
      </c>
      <c r="J238" s="116">
        <v>0</v>
      </c>
      <c r="K238" s="116">
        <v>0</v>
      </c>
      <c r="L238" s="116">
        <v>0</v>
      </c>
      <c r="M238" s="116">
        <v>0</v>
      </c>
      <c r="N238" s="116">
        <v>0</v>
      </c>
      <c r="O238" s="116">
        <v>0</v>
      </c>
      <c r="P238" s="116">
        <v>0</v>
      </c>
      <c r="Q238" s="116">
        <v>0</v>
      </c>
      <c r="R238" s="116">
        <v>0</v>
      </c>
      <c r="S238" s="116">
        <v>0</v>
      </c>
      <c r="T238" s="116">
        <v>0</v>
      </c>
      <c r="U238" s="116">
        <v>0</v>
      </c>
      <c r="V238" s="116">
        <v>0</v>
      </c>
      <c r="W238" s="116">
        <v>0</v>
      </c>
      <c r="X238" s="116">
        <v>0</v>
      </c>
      <c r="Y238" s="116">
        <v>0</v>
      </c>
      <c r="Z238" s="116">
        <v>0</v>
      </c>
      <c r="AA238" s="116">
        <v>0</v>
      </c>
      <c r="AB238" s="116">
        <v>0</v>
      </c>
      <c r="AC238" s="116">
        <v>0</v>
      </c>
      <c r="AD238" s="116">
        <v>0</v>
      </c>
      <c r="AE238" s="116">
        <v>0</v>
      </c>
      <c r="AF238" s="116">
        <v>0</v>
      </c>
      <c r="AG238" s="116">
        <v>0</v>
      </c>
      <c r="AH238" s="116">
        <v>0</v>
      </c>
      <c r="AI238" s="116">
        <v>0</v>
      </c>
      <c r="AJ238" s="116">
        <v>0</v>
      </c>
      <c r="AK238" s="116">
        <v>0</v>
      </c>
      <c r="AL238" s="116">
        <v>0</v>
      </c>
      <c r="AM238" s="116">
        <v>0</v>
      </c>
      <c r="AN238" s="116">
        <v>0</v>
      </c>
      <c r="AO238" s="116">
        <v>0</v>
      </c>
      <c r="AP238" s="116">
        <v>0</v>
      </c>
      <c r="AQ238" s="116">
        <v>0</v>
      </c>
      <c r="AR238" s="116">
        <v>0</v>
      </c>
      <c r="AS238" s="116">
        <v>0</v>
      </c>
      <c r="AT238" s="116">
        <v>0</v>
      </c>
      <c r="AU238" s="116">
        <v>0</v>
      </c>
      <c r="AV238" s="116">
        <v>0</v>
      </c>
      <c r="AW238" s="116">
        <v>0</v>
      </c>
      <c r="AX238" s="116">
        <v>0</v>
      </c>
      <c r="AY238" s="116">
        <v>0</v>
      </c>
    </row>
    <row r="239" spans="1:51" x14ac:dyDescent="0.2">
      <c r="A239" s="115"/>
      <c r="B239" s="133">
        <v>31</v>
      </c>
      <c r="C239" s="112">
        <v>0</v>
      </c>
      <c r="D239" s="116">
        <v>0</v>
      </c>
      <c r="E239" s="116">
        <v>0</v>
      </c>
      <c r="F239" s="116">
        <v>0</v>
      </c>
      <c r="G239" s="116">
        <v>0</v>
      </c>
      <c r="H239" s="116">
        <v>0</v>
      </c>
      <c r="I239" s="116">
        <v>0</v>
      </c>
      <c r="J239" s="116">
        <v>0</v>
      </c>
      <c r="K239" s="116">
        <v>0</v>
      </c>
      <c r="L239" s="116">
        <v>0</v>
      </c>
      <c r="M239" s="116">
        <v>0</v>
      </c>
      <c r="N239" s="116">
        <v>0</v>
      </c>
      <c r="O239" s="116">
        <v>0</v>
      </c>
      <c r="P239" s="116">
        <v>0</v>
      </c>
      <c r="Q239" s="116">
        <v>0</v>
      </c>
      <c r="R239" s="116">
        <v>0</v>
      </c>
      <c r="S239" s="116">
        <v>0</v>
      </c>
      <c r="T239" s="116">
        <v>0</v>
      </c>
      <c r="U239" s="116">
        <v>0</v>
      </c>
      <c r="V239" s="116">
        <v>0</v>
      </c>
      <c r="W239" s="116">
        <v>0</v>
      </c>
      <c r="X239" s="116">
        <v>0</v>
      </c>
      <c r="Y239" s="116">
        <v>0</v>
      </c>
      <c r="Z239" s="116">
        <v>0</v>
      </c>
      <c r="AA239" s="116">
        <v>0</v>
      </c>
      <c r="AB239" s="116">
        <v>0</v>
      </c>
      <c r="AC239" s="116">
        <v>0</v>
      </c>
      <c r="AD239" s="116">
        <v>0</v>
      </c>
      <c r="AE239" s="116">
        <v>0</v>
      </c>
      <c r="AF239" s="116">
        <v>0</v>
      </c>
      <c r="AG239" s="116">
        <v>0</v>
      </c>
      <c r="AH239" s="116">
        <v>0</v>
      </c>
      <c r="AI239" s="116">
        <v>0</v>
      </c>
      <c r="AJ239" s="116">
        <v>0</v>
      </c>
      <c r="AK239" s="116">
        <v>0</v>
      </c>
      <c r="AL239" s="116">
        <v>0</v>
      </c>
      <c r="AM239" s="116">
        <v>0</v>
      </c>
      <c r="AN239" s="116">
        <v>0</v>
      </c>
      <c r="AO239" s="116">
        <v>0</v>
      </c>
      <c r="AP239" s="116">
        <v>0</v>
      </c>
      <c r="AQ239" s="116">
        <v>0</v>
      </c>
      <c r="AR239" s="116">
        <v>0</v>
      </c>
      <c r="AS239" s="116">
        <v>0</v>
      </c>
      <c r="AT239" s="116">
        <v>0</v>
      </c>
      <c r="AU239" s="116">
        <v>0</v>
      </c>
      <c r="AV239" s="116">
        <v>0</v>
      </c>
      <c r="AW239" s="116">
        <v>0</v>
      </c>
      <c r="AX239" s="116">
        <v>0</v>
      </c>
      <c r="AY239" s="116">
        <v>0</v>
      </c>
    </row>
    <row r="240" spans="1:51" x14ac:dyDescent="0.2">
      <c r="A240" s="115"/>
      <c r="B240" s="133">
        <v>32</v>
      </c>
      <c r="C240" s="112">
        <v>0</v>
      </c>
      <c r="D240" s="116">
        <v>0</v>
      </c>
      <c r="E240" s="116">
        <v>0</v>
      </c>
      <c r="F240" s="116">
        <v>0</v>
      </c>
      <c r="G240" s="116">
        <v>0</v>
      </c>
      <c r="H240" s="116">
        <v>0</v>
      </c>
      <c r="I240" s="116">
        <v>0</v>
      </c>
      <c r="J240" s="116">
        <v>0</v>
      </c>
      <c r="K240" s="116">
        <v>0</v>
      </c>
      <c r="L240" s="116">
        <v>0</v>
      </c>
      <c r="M240" s="116">
        <v>0</v>
      </c>
      <c r="N240" s="116">
        <v>0</v>
      </c>
      <c r="O240" s="116">
        <v>0</v>
      </c>
      <c r="P240" s="116">
        <v>0</v>
      </c>
      <c r="Q240" s="116">
        <v>0</v>
      </c>
      <c r="R240" s="116">
        <v>0</v>
      </c>
      <c r="S240" s="116">
        <v>0</v>
      </c>
      <c r="T240" s="116">
        <v>0</v>
      </c>
      <c r="U240" s="116">
        <v>0</v>
      </c>
      <c r="V240" s="116">
        <v>0</v>
      </c>
      <c r="W240" s="116">
        <v>0</v>
      </c>
      <c r="X240" s="116">
        <v>0</v>
      </c>
      <c r="Y240" s="116">
        <v>0</v>
      </c>
      <c r="Z240" s="116">
        <v>0</v>
      </c>
      <c r="AA240" s="116">
        <v>0</v>
      </c>
      <c r="AB240" s="116">
        <v>0</v>
      </c>
      <c r="AC240" s="116">
        <v>0</v>
      </c>
      <c r="AD240" s="116">
        <v>0</v>
      </c>
      <c r="AE240" s="116">
        <v>0</v>
      </c>
      <c r="AF240" s="116">
        <v>0</v>
      </c>
      <c r="AG240" s="116">
        <v>0</v>
      </c>
      <c r="AH240" s="116">
        <v>0</v>
      </c>
      <c r="AI240" s="116">
        <v>0</v>
      </c>
      <c r="AJ240" s="116">
        <v>0</v>
      </c>
      <c r="AK240" s="116">
        <v>0</v>
      </c>
      <c r="AL240" s="116">
        <v>0</v>
      </c>
      <c r="AM240" s="116">
        <v>0</v>
      </c>
      <c r="AN240" s="116">
        <v>0</v>
      </c>
      <c r="AO240" s="116">
        <v>0</v>
      </c>
      <c r="AP240" s="116">
        <v>0</v>
      </c>
      <c r="AQ240" s="116">
        <v>0</v>
      </c>
      <c r="AR240" s="116">
        <v>0</v>
      </c>
      <c r="AS240" s="116">
        <v>0</v>
      </c>
      <c r="AT240" s="116">
        <v>0</v>
      </c>
      <c r="AU240" s="116">
        <v>0</v>
      </c>
      <c r="AV240" s="116">
        <v>0</v>
      </c>
      <c r="AW240" s="116">
        <v>0</v>
      </c>
      <c r="AX240" s="116">
        <v>0</v>
      </c>
      <c r="AY240" s="116">
        <v>0</v>
      </c>
    </row>
    <row r="241" spans="1:51" x14ac:dyDescent="0.2">
      <c r="A241" s="115"/>
      <c r="B241" s="133">
        <v>33</v>
      </c>
      <c r="C241" s="112">
        <v>0</v>
      </c>
      <c r="D241" s="116">
        <v>0</v>
      </c>
      <c r="E241" s="116">
        <v>0</v>
      </c>
      <c r="F241" s="116">
        <v>0</v>
      </c>
      <c r="G241" s="116">
        <v>0</v>
      </c>
      <c r="H241" s="116">
        <v>0</v>
      </c>
      <c r="I241" s="116">
        <v>0</v>
      </c>
      <c r="J241" s="116">
        <v>0</v>
      </c>
      <c r="K241" s="116">
        <v>0</v>
      </c>
      <c r="L241" s="116">
        <v>0</v>
      </c>
      <c r="M241" s="116">
        <v>0</v>
      </c>
      <c r="N241" s="116">
        <v>0</v>
      </c>
      <c r="O241" s="116">
        <v>0</v>
      </c>
      <c r="P241" s="116">
        <v>0</v>
      </c>
      <c r="Q241" s="116">
        <v>0</v>
      </c>
      <c r="R241" s="116">
        <v>0</v>
      </c>
      <c r="S241" s="116">
        <v>0</v>
      </c>
      <c r="T241" s="116">
        <v>0</v>
      </c>
      <c r="U241" s="116">
        <v>0</v>
      </c>
      <c r="V241" s="116">
        <v>0</v>
      </c>
      <c r="W241" s="116">
        <v>0</v>
      </c>
      <c r="X241" s="116">
        <v>0</v>
      </c>
      <c r="Y241" s="116">
        <v>0</v>
      </c>
      <c r="Z241" s="116">
        <v>0</v>
      </c>
      <c r="AA241" s="116">
        <v>0</v>
      </c>
      <c r="AB241" s="116">
        <v>0</v>
      </c>
      <c r="AC241" s="116">
        <v>0</v>
      </c>
      <c r="AD241" s="116">
        <v>0</v>
      </c>
      <c r="AE241" s="116">
        <v>0</v>
      </c>
      <c r="AF241" s="116">
        <v>0</v>
      </c>
      <c r="AG241" s="116">
        <v>0</v>
      </c>
      <c r="AH241" s="116">
        <v>0</v>
      </c>
      <c r="AI241" s="116">
        <v>0</v>
      </c>
      <c r="AJ241" s="116">
        <v>0</v>
      </c>
      <c r="AK241" s="116">
        <v>0</v>
      </c>
      <c r="AL241" s="116">
        <v>0</v>
      </c>
      <c r="AM241" s="116">
        <v>0</v>
      </c>
      <c r="AN241" s="116">
        <v>0</v>
      </c>
      <c r="AO241" s="116">
        <v>0</v>
      </c>
      <c r="AP241" s="116">
        <v>0</v>
      </c>
      <c r="AQ241" s="116">
        <v>0</v>
      </c>
      <c r="AR241" s="116">
        <v>0</v>
      </c>
      <c r="AS241" s="116">
        <v>0</v>
      </c>
      <c r="AT241" s="116">
        <v>0</v>
      </c>
      <c r="AU241" s="116">
        <v>0</v>
      </c>
      <c r="AV241" s="116">
        <v>0</v>
      </c>
      <c r="AW241" s="116">
        <v>0</v>
      </c>
      <c r="AX241" s="116">
        <v>0</v>
      </c>
      <c r="AY241" s="116">
        <v>0</v>
      </c>
    </row>
    <row r="242" spans="1:51" x14ac:dyDescent="0.2">
      <c r="A242" s="115"/>
      <c r="B242" s="133">
        <v>34</v>
      </c>
      <c r="C242" s="112">
        <v>0</v>
      </c>
      <c r="D242" s="116">
        <v>0</v>
      </c>
      <c r="E242" s="116">
        <v>0</v>
      </c>
      <c r="F242" s="116">
        <v>0</v>
      </c>
      <c r="G242" s="116">
        <v>0</v>
      </c>
      <c r="H242" s="116">
        <v>0</v>
      </c>
      <c r="I242" s="116">
        <v>0</v>
      </c>
      <c r="J242" s="116">
        <v>0</v>
      </c>
      <c r="K242" s="116">
        <v>0</v>
      </c>
      <c r="L242" s="116">
        <v>0</v>
      </c>
      <c r="M242" s="116">
        <v>0</v>
      </c>
      <c r="N242" s="116">
        <v>0</v>
      </c>
      <c r="O242" s="116">
        <v>0</v>
      </c>
      <c r="P242" s="116">
        <v>0</v>
      </c>
      <c r="Q242" s="116">
        <v>0</v>
      </c>
      <c r="R242" s="116">
        <v>0</v>
      </c>
      <c r="S242" s="116">
        <v>0</v>
      </c>
      <c r="T242" s="116">
        <v>0</v>
      </c>
      <c r="U242" s="116">
        <v>0</v>
      </c>
      <c r="V242" s="116">
        <v>0</v>
      </c>
      <c r="W242" s="116">
        <v>0</v>
      </c>
      <c r="X242" s="116">
        <v>0</v>
      </c>
      <c r="Y242" s="116">
        <v>0</v>
      </c>
      <c r="Z242" s="116">
        <v>0</v>
      </c>
      <c r="AA242" s="116">
        <v>0</v>
      </c>
      <c r="AB242" s="116">
        <v>0</v>
      </c>
      <c r="AC242" s="116">
        <v>0</v>
      </c>
      <c r="AD242" s="116">
        <v>0</v>
      </c>
      <c r="AE242" s="116">
        <v>0</v>
      </c>
      <c r="AF242" s="116">
        <v>0</v>
      </c>
      <c r="AG242" s="116">
        <v>0</v>
      </c>
      <c r="AH242" s="116">
        <v>0</v>
      </c>
      <c r="AI242" s="116">
        <v>0</v>
      </c>
      <c r="AJ242" s="116">
        <v>0</v>
      </c>
      <c r="AK242" s="116">
        <v>0</v>
      </c>
      <c r="AL242" s="116">
        <v>0</v>
      </c>
      <c r="AM242" s="116">
        <v>0</v>
      </c>
      <c r="AN242" s="116">
        <v>0</v>
      </c>
      <c r="AO242" s="116">
        <v>0</v>
      </c>
      <c r="AP242" s="116">
        <v>0</v>
      </c>
      <c r="AQ242" s="116">
        <v>0</v>
      </c>
      <c r="AR242" s="116">
        <v>0</v>
      </c>
      <c r="AS242" s="116">
        <v>0</v>
      </c>
      <c r="AT242" s="116">
        <v>0</v>
      </c>
      <c r="AU242" s="116">
        <v>0</v>
      </c>
      <c r="AV242" s="116">
        <v>0</v>
      </c>
      <c r="AW242" s="116">
        <v>0</v>
      </c>
      <c r="AX242" s="116">
        <v>0</v>
      </c>
      <c r="AY242" s="116">
        <v>0</v>
      </c>
    </row>
    <row r="243" spans="1:51" x14ac:dyDescent="0.2">
      <c r="A243" s="115"/>
      <c r="B243" s="133">
        <v>35</v>
      </c>
      <c r="C243" s="112">
        <v>0</v>
      </c>
      <c r="D243" s="116">
        <v>0</v>
      </c>
      <c r="E243" s="116">
        <v>0</v>
      </c>
      <c r="F243" s="116">
        <v>0</v>
      </c>
      <c r="G243" s="116">
        <v>0</v>
      </c>
      <c r="H243" s="116">
        <v>0</v>
      </c>
      <c r="I243" s="116">
        <v>0</v>
      </c>
      <c r="J243" s="116">
        <v>0</v>
      </c>
      <c r="K243" s="116">
        <v>0</v>
      </c>
      <c r="L243" s="116">
        <v>0</v>
      </c>
      <c r="M243" s="116">
        <v>0</v>
      </c>
      <c r="N243" s="116">
        <v>0</v>
      </c>
      <c r="O243" s="116">
        <v>0</v>
      </c>
      <c r="P243" s="116">
        <v>0</v>
      </c>
      <c r="Q243" s="116">
        <v>0</v>
      </c>
      <c r="R243" s="116">
        <v>0</v>
      </c>
      <c r="S243" s="116">
        <v>0</v>
      </c>
      <c r="T243" s="116">
        <v>0</v>
      </c>
      <c r="U243" s="116">
        <v>0</v>
      </c>
      <c r="V243" s="116">
        <v>0</v>
      </c>
      <c r="W243" s="116">
        <v>0</v>
      </c>
      <c r="X243" s="116">
        <v>0</v>
      </c>
      <c r="Y243" s="116">
        <v>0</v>
      </c>
      <c r="Z243" s="116">
        <v>0</v>
      </c>
      <c r="AA243" s="116">
        <v>0</v>
      </c>
      <c r="AB243" s="116">
        <v>0</v>
      </c>
      <c r="AC243" s="116">
        <v>0</v>
      </c>
      <c r="AD243" s="116">
        <v>0</v>
      </c>
      <c r="AE243" s="116">
        <v>0</v>
      </c>
      <c r="AF243" s="116">
        <v>0</v>
      </c>
      <c r="AG243" s="116">
        <v>0</v>
      </c>
      <c r="AH243" s="116">
        <v>0</v>
      </c>
      <c r="AI243" s="116">
        <v>0</v>
      </c>
      <c r="AJ243" s="116">
        <v>0</v>
      </c>
      <c r="AK243" s="116">
        <v>0</v>
      </c>
      <c r="AL243" s="116">
        <v>0</v>
      </c>
      <c r="AM243" s="116">
        <v>0</v>
      </c>
      <c r="AN243" s="116">
        <v>0</v>
      </c>
      <c r="AO243" s="116">
        <v>0</v>
      </c>
      <c r="AP243" s="116">
        <v>0</v>
      </c>
      <c r="AQ243" s="116">
        <v>0</v>
      </c>
      <c r="AR243" s="116">
        <v>0</v>
      </c>
      <c r="AS243" s="116">
        <v>0</v>
      </c>
      <c r="AT243" s="116">
        <v>0</v>
      </c>
      <c r="AU243" s="116">
        <v>0</v>
      </c>
      <c r="AV243" s="116">
        <v>0</v>
      </c>
      <c r="AW243" s="116">
        <v>0</v>
      </c>
      <c r="AX243" s="116">
        <v>0</v>
      </c>
      <c r="AY243" s="116">
        <v>0</v>
      </c>
    </row>
    <row r="244" spans="1:51" x14ac:dyDescent="0.2">
      <c r="A244" s="115"/>
      <c r="B244" s="133">
        <v>36</v>
      </c>
      <c r="C244" s="112">
        <v>0</v>
      </c>
      <c r="D244" s="116">
        <v>0</v>
      </c>
      <c r="E244" s="116">
        <v>0</v>
      </c>
      <c r="F244" s="116">
        <v>0</v>
      </c>
      <c r="G244" s="116">
        <v>0</v>
      </c>
      <c r="H244" s="116">
        <v>0</v>
      </c>
      <c r="I244" s="116">
        <v>0</v>
      </c>
      <c r="J244" s="116">
        <v>0</v>
      </c>
      <c r="K244" s="116">
        <v>0</v>
      </c>
      <c r="L244" s="116">
        <v>0</v>
      </c>
      <c r="M244" s="116">
        <v>0</v>
      </c>
      <c r="N244" s="116">
        <v>0</v>
      </c>
      <c r="O244" s="116">
        <v>0</v>
      </c>
      <c r="P244" s="116">
        <v>0</v>
      </c>
      <c r="Q244" s="116">
        <v>0</v>
      </c>
      <c r="R244" s="116">
        <v>0</v>
      </c>
      <c r="S244" s="116">
        <v>0</v>
      </c>
      <c r="T244" s="116">
        <v>0</v>
      </c>
      <c r="U244" s="116">
        <v>0</v>
      </c>
      <c r="V244" s="116">
        <v>0</v>
      </c>
      <c r="W244" s="116">
        <v>0</v>
      </c>
      <c r="X244" s="116">
        <v>0</v>
      </c>
      <c r="Y244" s="116">
        <v>0</v>
      </c>
      <c r="Z244" s="116">
        <v>0</v>
      </c>
      <c r="AA244" s="116">
        <v>0</v>
      </c>
      <c r="AB244" s="116">
        <v>0</v>
      </c>
      <c r="AC244" s="116">
        <v>0</v>
      </c>
      <c r="AD244" s="116">
        <v>0</v>
      </c>
      <c r="AE244" s="116">
        <v>0</v>
      </c>
      <c r="AF244" s="116">
        <v>0</v>
      </c>
      <c r="AG244" s="116">
        <v>0</v>
      </c>
      <c r="AH244" s="116">
        <v>0</v>
      </c>
      <c r="AI244" s="116">
        <v>0</v>
      </c>
      <c r="AJ244" s="116">
        <v>0</v>
      </c>
      <c r="AK244" s="116">
        <v>0</v>
      </c>
      <c r="AL244" s="116">
        <v>0</v>
      </c>
      <c r="AM244" s="116">
        <v>0</v>
      </c>
      <c r="AN244" s="116">
        <v>0</v>
      </c>
      <c r="AO244" s="116">
        <v>0</v>
      </c>
      <c r="AP244" s="116">
        <v>0</v>
      </c>
      <c r="AQ244" s="116">
        <v>0</v>
      </c>
      <c r="AR244" s="116">
        <v>0</v>
      </c>
      <c r="AS244" s="116">
        <v>0</v>
      </c>
      <c r="AT244" s="116">
        <v>0</v>
      </c>
      <c r="AU244" s="116">
        <v>0</v>
      </c>
      <c r="AV244" s="116">
        <v>0</v>
      </c>
      <c r="AW244" s="116">
        <v>0</v>
      </c>
      <c r="AX244" s="116">
        <v>0</v>
      </c>
      <c r="AY244" s="116">
        <v>0</v>
      </c>
    </row>
    <row r="245" spans="1:51" x14ac:dyDescent="0.2">
      <c r="A245" s="115"/>
      <c r="B245" s="136">
        <v>37</v>
      </c>
      <c r="C245" s="112">
        <v>0</v>
      </c>
      <c r="D245" s="116">
        <v>0</v>
      </c>
      <c r="E245" s="116">
        <v>0</v>
      </c>
      <c r="F245" s="116">
        <v>0</v>
      </c>
      <c r="G245" s="116">
        <v>0</v>
      </c>
      <c r="H245" s="116">
        <v>0</v>
      </c>
      <c r="I245" s="116">
        <v>0</v>
      </c>
      <c r="J245" s="116">
        <v>0</v>
      </c>
      <c r="K245" s="116">
        <v>0</v>
      </c>
      <c r="L245" s="116">
        <v>0</v>
      </c>
      <c r="M245" s="116">
        <v>0</v>
      </c>
      <c r="N245" s="116">
        <v>0</v>
      </c>
      <c r="O245" s="116">
        <v>0</v>
      </c>
      <c r="P245" s="116">
        <v>0</v>
      </c>
      <c r="Q245" s="116">
        <v>0</v>
      </c>
      <c r="R245" s="116">
        <v>0</v>
      </c>
      <c r="S245" s="116">
        <v>0</v>
      </c>
      <c r="T245" s="116">
        <v>0</v>
      </c>
      <c r="U245" s="116">
        <v>0</v>
      </c>
      <c r="V245" s="116">
        <v>0</v>
      </c>
      <c r="W245" s="116">
        <v>0</v>
      </c>
      <c r="X245" s="116">
        <v>0</v>
      </c>
      <c r="Y245" s="116">
        <v>0</v>
      </c>
      <c r="Z245" s="116">
        <v>0</v>
      </c>
      <c r="AA245" s="116">
        <v>0</v>
      </c>
      <c r="AB245" s="116">
        <v>0</v>
      </c>
      <c r="AC245" s="116">
        <v>0</v>
      </c>
      <c r="AD245" s="116">
        <v>0</v>
      </c>
      <c r="AE245" s="116">
        <v>0</v>
      </c>
      <c r="AF245" s="116">
        <v>0</v>
      </c>
      <c r="AG245" s="116">
        <v>0</v>
      </c>
      <c r="AH245" s="116">
        <v>0</v>
      </c>
      <c r="AI245" s="116">
        <v>0</v>
      </c>
      <c r="AJ245" s="116">
        <v>0</v>
      </c>
      <c r="AK245" s="116">
        <v>0</v>
      </c>
      <c r="AL245" s="116">
        <v>0</v>
      </c>
      <c r="AM245" s="116">
        <v>0</v>
      </c>
      <c r="AN245" s="116">
        <v>0</v>
      </c>
      <c r="AO245" s="116">
        <v>0</v>
      </c>
      <c r="AP245" s="116">
        <v>0</v>
      </c>
      <c r="AQ245" s="116">
        <v>0</v>
      </c>
      <c r="AR245" s="116">
        <v>0</v>
      </c>
      <c r="AS245" s="116">
        <v>0</v>
      </c>
      <c r="AT245" s="116">
        <v>0</v>
      </c>
      <c r="AU245" s="116">
        <v>0</v>
      </c>
      <c r="AV245" s="116">
        <v>0</v>
      </c>
      <c r="AW245" s="116">
        <v>0</v>
      </c>
      <c r="AX245" s="116">
        <v>0</v>
      </c>
      <c r="AY245" s="116">
        <v>0</v>
      </c>
    </row>
    <row r="246" spans="1:51" x14ac:dyDescent="0.2">
      <c r="A246" s="115"/>
      <c r="B246" s="136">
        <v>38</v>
      </c>
      <c r="C246" s="112">
        <v>0</v>
      </c>
      <c r="D246" s="116">
        <v>0</v>
      </c>
      <c r="E246" s="116">
        <v>0</v>
      </c>
      <c r="F246" s="116">
        <v>0</v>
      </c>
      <c r="G246" s="116">
        <v>0</v>
      </c>
      <c r="H246" s="116">
        <v>0</v>
      </c>
      <c r="I246" s="116">
        <v>0</v>
      </c>
      <c r="J246" s="116">
        <v>0</v>
      </c>
      <c r="K246" s="116">
        <v>0</v>
      </c>
      <c r="L246" s="116">
        <v>0</v>
      </c>
      <c r="M246" s="116">
        <v>0</v>
      </c>
      <c r="N246" s="116">
        <v>0</v>
      </c>
      <c r="O246" s="116">
        <v>0</v>
      </c>
      <c r="P246" s="116">
        <v>0</v>
      </c>
      <c r="Q246" s="116">
        <v>0</v>
      </c>
      <c r="R246" s="116">
        <v>0</v>
      </c>
      <c r="S246" s="116">
        <v>0</v>
      </c>
      <c r="T246" s="116">
        <v>0</v>
      </c>
      <c r="U246" s="116">
        <v>0</v>
      </c>
      <c r="V246" s="116">
        <v>0</v>
      </c>
      <c r="W246" s="116">
        <v>0</v>
      </c>
      <c r="X246" s="116">
        <v>0</v>
      </c>
      <c r="Y246" s="116">
        <v>0</v>
      </c>
      <c r="Z246" s="116">
        <v>0</v>
      </c>
      <c r="AA246" s="116">
        <v>0</v>
      </c>
      <c r="AB246" s="116">
        <v>0</v>
      </c>
      <c r="AC246" s="116">
        <v>0</v>
      </c>
      <c r="AD246" s="116">
        <v>0</v>
      </c>
      <c r="AE246" s="116">
        <v>0</v>
      </c>
      <c r="AF246" s="116">
        <v>0</v>
      </c>
      <c r="AG246" s="116">
        <v>0</v>
      </c>
      <c r="AH246" s="116">
        <v>0</v>
      </c>
      <c r="AI246" s="116">
        <v>0</v>
      </c>
      <c r="AJ246" s="116">
        <v>0</v>
      </c>
      <c r="AK246" s="116">
        <v>0</v>
      </c>
      <c r="AL246" s="116">
        <v>0</v>
      </c>
      <c r="AM246" s="116">
        <v>0</v>
      </c>
      <c r="AN246" s="116">
        <v>0</v>
      </c>
      <c r="AO246" s="116">
        <v>0</v>
      </c>
      <c r="AP246" s="116">
        <v>0</v>
      </c>
      <c r="AQ246" s="116">
        <v>0</v>
      </c>
      <c r="AR246" s="116">
        <v>0</v>
      </c>
      <c r="AS246" s="116">
        <v>0</v>
      </c>
      <c r="AT246" s="116">
        <v>0</v>
      </c>
      <c r="AU246" s="116">
        <v>0</v>
      </c>
      <c r="AV246" s="116">
        <v>0</v>
      </c>
      <c r="AW246" s="116">
        <v>0</v>
      </c>
      <c r="AX246" s="116">
        <v>0</v>
      </c>
      <c r="AY246" s="116">
        <v>0</v>
      </c>
    </row>
    <row r="247" spans="1:51" x14ac:dyDescent="0.2">
      <c r="A247" s="115"/>
      <c r="B247" s="136">
        <v>39</v>
      </c>
      <c r="C247" s="112">
        <v>0</v>
      </c>
      <c r="D247" s="116">
        <v>0</v>
      </c>
      <c r="E247" s="116">
        <v>0</v>
      </c>
      <c r="F247" s="116">
        <v>0</v>
      </c>
      <c r="G247" s="116">
        <v>0</v>
      </c>
      <c r="H247" s="116">
        <v>0</v>
      </c>
      <c r="I247" s="116">
        <v>0</v>
      </c>
      <c r="J247" s="116">
        <v>0</v>
      </c>
      <c r="K247" s="116">
        <v>0</v>
      </c>
      <c r="L247" s="116">
        <v>0</v>
      </c>
      <c r="M247" s="116">
        <v>0</v>
      </c>
      <c r="N247" s="116">
        <v>0</v>
      </c>
      <c r="O247" s="116">
        <v>0</v>
      </c>
      <c r="P247" s="116">
        <v>0</v>
      </c>
      <c r="Q247" s="116">
        <v>0</v>
      </c>
      <c r="R247" s="116">
        <v>0</v>
      </c>
      <c r="S247" s="116">
        <v>0</v>
      </c>
      <c r="T247" s="116">
        <v>0</v>
      </c>
      <c r="U247" s="116">
        <v>0</v>
      </c>
      <c r="V247" s="116">
        <v>0</v>
      </c>
      <c r="W247" s="116">
        <v>0</v>
      </c>
      <c r="X247" s="116">
        <v>0</v>
      </c>
      <c r="Y247" s="116">
        <v>0</v>
      </c>
      <c r="Z247" s="116">
        <v>0</v>
      </c>
      <c r="AA247" s="116">
        <v>0</v>
      </c>
      <c r="AB247" s="116">
        <v>0</v>
      </c>
      <c r="AC247" s="116">
        <v>0</v>
      </c>
      <c r="AD247" s="116">
        <v>0</v>
      </c>
      <c r="AE247" s="116">
        <v>0</v>
      </c>
      <c r="AF247" s="116">
        <v>0</v>
      </c>
      <c r="AG247" s="116">
        <v>0</v>
      </c>
      <c r="AH247" s="116">
        <v>0</v>
      </c>
      <c r="AI247" s="116">
        <v>0</v>
      </c>
      <c r="AJ247" s="116">
        <v>0</v>
      </c>
      <c r="AK247" s="116">
        <v>0</v>
      </c>
      <c r="AL247" s="116">
        <v>0</v>
      </c>
      <c r="AM247" s="116">
        <v>0</v>
      </c>
      <c r="AN247" s="116">
        <v>0</v>
      </c>
      <c r="AO247" s="116">
        <v>0</v>
      </c>
      <c r="AP247" s="116">
        <v>0</v>
      </c>
      <c r="AQ247" s="116">
        <v>0</v>
      </c>
      <c r="AR247" s="116">
        <v>0</v>
      </c>
      <c r="AS247" s="116">
        <v>0</v>
      </c>
      <c r="AT247" s="116">
        <v>0</v>
      </c>
      <c r="AU247" s="116">
        <v>0</v>
      </c>
      <c r="AV247" s="116">
        <v>0</v>
      </c>
      <c r="AW247" s="116">
        <v>0</v>
      </c>
      <c r="AX247" s="116">
        <v>0</v>
      </c>
      <c r="AY247" s="116">
        <v>0</v>
      </c>
    </row>
    <row r="248" spans="1:51" x14ac:dyDescent="0.2">
      <c r="A248" s="115"/>
      <c r="B248" s="136">
        <v>40</v>
      </c>
      <c r="C248" s="112">
        <v>0</v>
      </c>
      <c r="D248" s="116">
        <v>0</v>
      </c>
      <c r="E248" s="116">
        <v>0</v>
      </c>
      <c r="F248" s="116">
        <v>0</v>
      </c>
      <c r="G248" s="116">
        <v>0</v>
      </c>
      <c r="H248" s="116">
        <v>0</v>
      </c>
      <c r="I248" s="116">
        <v>0</v>
      </c>
      <c r="J248" s="116">
        <v>0</v>
      </c>
      <c r="K248" s="116">
        <v>0</v>
      </c>
      <c r="L248" s="116">
        <v>0</v>
      </c>
      <c r="M248" s="116">
        <v>0</v>
      </c>
      <c r="N248" s="116">
        <v>0</v>
      </c>
      <c r="O248" s="116">
        <v>0</v>
      </c>
      <c r="P248" s="116">
        <v>0</v>
      </c>
      <c r="Q248" s="116">
        <v>0</v>
      </c>
      <c r="R248" s="116">
        <v>0</v>
      </c>
      <c r="S248" s="116">
        <v>0</v>
      </c>
      <c r="T248" s="116">
        <v>0</v>
      </c>
      <c r="U248" s="116">
        <v>0</v>
      </c>
      <c r="V248" s="116">
        <v>0</v>
      </c>
      <c r="W248" s="116">
        <v>0</v>
      </c>
      <c r="X248" s="116">
        <v>0</v>
      </c>
      <c r="Y248" s="116">
        <v>0</v>
      </c>
      <c r="Z248" s="116">
        <v>0</v>
      </c>
      <c r="AA248" s="116">
        <v>0</v>
      </c>
      <c r="AB248" s="116">
        <v>0</v>
      </c>
      <c r="AC248" s="116">
        <v>0</v>
      </c>
      <c r="AD248" s="116">
        <v>0</v>
      </c>
      <c r="AE248" s="116">
        <v>0</v>
      </c>
      <c r="AF248" s="116">
        <v>0</v>
      </c>
      <c r="AG248" s="116">
        <v>0</v>
      </c>
      <c r="AH248" s="116">
        <v>0</v>
      </c>
      <c r="AI248" s="116">
        <v>0</v>
      </c>
      <c r="AJ248" s="116">
        <v>0</v>
      </c>
      <c r="AK248" s="116">
        <v>0</v>
      </c>
      <c r="AL248" s="116">
        <v>0</v>
      </c>
      <c r="AM248" s="116">
        <v>0</v>
      </c>
      <c r="AN248" s="116">
        <v>0</v>
      </c>
      <c r="AO248" s="116">
        <v>0</v>
      </c>
      <c r="AP248" s="116">
        <v>0</v>
      </c>
      <c r="AQ248" s="116">
        <v>0</v>
      </c>
      <c r="AR248" s="116">
        <v>0</v>
      </c>
      <c r="AS248" s="116">
        <v>0</v>
      </c>
      <c r="AT248" s="116">
        <v>0</v>
      </c>
      <c r="AU248" s="116">
        <v>0</v>
      </c>
      <c r="AV248" s="116">
        <v>0</v>
      </c>
      <c r="AW248" s="116">
        <v>0</v>
      </c>
      <c r="AX248" s="116">
        <v>0</v>
      </c>
      <c r="AY248" s="116">
        <v>0</v>
      </c>
    </row>
    <row r="249" spans="1:51" x14ac:dyDescent="0.2">
      <c r="A249" s="115"/>
      <c r="B249" s="136">
        <v>41</v>
      </c>
      <c r="C249" s="112">
        <v>0</v>
      </c>
      <c r="D249" s="116">
        <v>0</v>
      </c>
      <c r="E249" s="116">
        <v>0</v>
      </c>
      <c r="F249" s="116">
        <v>0</v>
      </c>
      <c r="G249" s="116">
        <v>0</v>
      </c>
      <c r="H249" s="116">
        <v>0</v>
      </c>
      <c r="I249" s="116">
        <v>0</v>
      </c>
      <c r="J249" s="116">
        <v>0</v>
      </c>
      <c r="K249" s="116">
        <v>0</v>
      </c>
      <c r="L249" s="116">
        <v>0</v>
      </c>
      <c r="M249" s="116">
        <v>0</v>
      </c>
      <c r="N249" s="116">
        <v>0</v>
      </c>
      <c r="O249" s="116">
        <v>0</v>
      </c>
      <c r="P249" s="116">
        <v>0</v>
      </c>
      <c r="Q249" s="116">
        <v>0</v>
      </c>
      <c r="R249" s="116">
        <v>0</v>
      </c>
      <c r="S249" s="116">
        <v>0</v>
      </c>
      <c r="T249" s="116">
        <v>0</v>
      </c>
      <c r="U249" s="116">
        <v>0</v>
      </c>
      <c r="V249" s="116">
        <v>0</v>
      </c>
      <c r="W249" s="116">
        <v>0</v>
      </c>
      <c r="X249" s="116">
        <v>0</v>
      </c>
      <c r="Y249" s="116">
        <v>0</v>
      </c>
      <c r="Z249" s="116">
        <v>0</v>
      </c>
      <c r="AA249" s="116">
        <v>0</v>
      </c>
      <c r="AB249" s="116">
        <v>0</v>
      </c>
      <c r="AC249" s="116">
        <v>0</v>
      </c>
      <c r="AD249" s="116">
        <v>0</v>
      </c>
      <c r="AE249" s="116">
        <v>0</v>
      </c>
      <c r="AF249" s="116">
        <v>0</v>
      </c>
      <c r="AG249" s="116">
        <v>0</v>
      </c>
      <c r="AH249" s="116">
        <v>0</v>
      </c>
      <c r="AI249" s="116">
        <v>0</v>
      </c>
      <c r="AJ249" s="116">
        <v>0</v>
      </c>
      <c r="AK249" s="116">
        <v>0</v>
      </c>
      <c r="AL249" s="116">
        <v>0</v>
      </c>
      <c r="AM249" s="116">
        <v>0</v>
      </c>
      <c r="AN249" s="116">
        <v>0</v>
      </c>
      <c r="AO249" s="116">
        <v>0</v>
      </c>
      <c r="AP249" s="116">
        <v>0</v>
      </c>
      <c r="AQ249" s="116">
        <v>0</v>
      </c>
      <c r="AR249" s="116">
        <v>0</v>
      </c>
      <c r="AS249" s="116">
        <v>0</v>
      </c>
      <c r="AT249" s="116">
        <v>0</v>
      </c>
      <c r="AU249" s="116">
        <v>0</v>
      </c>
      <c r="AV249" s="116">
        <v>0</v>
      </c>
      <c r="AW249" s="116">
        <v>0</v>
      </c>
      <c r="AX249" s="116">
        <v>0</v>
      </c>
      <c r="AY249" s="116">
        <v>0</v>
      </c>
    </row>
    <row r="250" spans="1:51" x14ac:dyDescent="0.2">
      <c r="A250" s="115"/>
      <c r="B250" s="136">
        <v>42</v>
      </c>
      <c r="C250" s="112">
        <v>0</v>
      </c>
      <c r="D250" s="116">
        <v>0</v>
      </c>
      <c r="E250" s="116">
        <v>0</v>
      </c>
      <c r="F250" s="116">
        <v>0</v>
      </c>
      <c r="G250" s="116">
        <v>0</v>
      </c>
      <c r="H250" s="116">
        <v>0</v>
      </c>
      <c r="I250" s="116">
        <v>0</v>
      </c>
      <c r="J250" s="116">
        <v>0</v>
      </c>
      <c r="K250" s="116">
        <v>0</v>
      </c>
      <c r="L250" s="116">
        <v>0</v>
      </c>
      <c r="M250" s="116">
        <v>0</v>
      </c>
      <c r="N250" s="116">
        <v>0</v>
      </c>
      <c r="O250" s="116">
        <v>0</v>
      </c>
      <c r="P250" s="116">
        <v>0</v>
      </c>
      <c r="Q250" s="116">
        <v>0</v>
      </c>
      <c r="R250" s="116">
        <v>0</v>
      </c>
      <c r="S250" s="116">
        <v>0</v>
      </c>
      <c r="T250" s="116">
        <v>0</v>
      </c>
      <c r="U250" s="116">
        <v>0</v>
      </c>
      <c r="V250" s="116">
        <v>0</v>
      </c>
      <c r="W250" s="116">
        <v>0</v>
      </c>
      <c r="X250" s="116">
        <v>0</v>
      </c>
      <c r="Y250" s="116">
        <v>0</v>
      </c>
      <c r="Z250" s="116">
        <v>0</v>
      </c>
      <c r="AA250" s="116">
        <v>0</v>
      </c>
      <c r="AB250" s="116">
        <v>0</v>
      </c>
      <c r="AC250" s="116">
        <v>0</v>
      </c>
      <c r="AD250" s="116">
        <v>0</v>
      </c>
      <c r="AE250" s="116">
        <v>0</v>
      </c>
      <c r="AF250" s="116">
        <v>0</v>
      </c>
      <c r="AG250" s="116">
        <v>0</v>
      </c>
      <c r="AH250" s="116">
        <v>0</v>
      </c>
      <c r="AI250" s="116">
        <v>0</v>
      </c>
      <c r="AJ250" s="116">
        <v>0</v>
      </c>
      <c r="AK250" s="116">
        <v>0</v>
      </c>
      <c r="AL250" s="116">
        <v>0</v>
      </c>
      <c r="AM250" s="116">
        <v>0</v>
      </c>
      <c r="AN250" s="116">
        <v>0</v>
      </c>
      <c r="AO250" s="116">
        <v>0</v>
      </c>
      <c r="AP250" s="116">
        <v>0</v>
      </c>
      <c r="AQ250" s="116">
        <v>0</v>
      </c>
      <c r="AR250" s="116">
        <v>0</v>
      </c>
      <c r="AS250" s="116">
        <v>0</v>
      </c>
      <c r="AT250" s="116">
        <v>0</v>
      </c>
      <c r="AU250" s="116">
        <v>0</v>
      </c>
      <c r="AV250" s="116">
        <v>0</v>
      </c>
      <c r="AW250" s="116">
        <v>0</v>
      </c>
      <c r="AX250" s="116">
        <v>0</v>
      </c>
      <c r="AY250" s="116">
        <v>0</v>
      </c>
    </row>
    <row r="251" spans="1:51" x14ac:dyDescent="0.2">
      <c r="A251" s="115"/>
      <c r="B251" s="136">
        <v>43</v>
      </c>
      <c r="C251" s="112">
        <v>0</v>
      </c>
      <c r="D251" s="116">
        <v>0</v>
      </c>
      <c r="E251" s="116">
        <v>0</v>
      </c>
      <c r="F251" s="116">
        <v>0</v>
      </c>
      <c r="G251" s="116">
        <v>0</v>
      </c>
      <c r="H251" s="116">
        <v>0</v>
      </c>
      <c r="I251" s="116">
        <v>0</v>
      </c>
      <c r="J251" s="116">
        <v>0</v>
      </c>
      <c r="K251" s="116">
        <v>0</v>
      </c>
      <c r="L251" s="116">
        <v>0</v>
      </c>
      <c r="M251" s="116">
        <v>0</v>
      </c>
      <c r="N251" s="116">
        <v>0</v>
      </c>
      <c r="O251" s="116">
        <v>0</v>
      </c>
      <c r="P251" s="116">
        <v>0</v>
      </c>
      <c r="Q251" s="116">
        <v>0</v>
      </c>
      <c r="R251" s="116">
        <v>0</v>
      </c>
      <c r="S251" s="116">
        <v>0</v>
      </c>
      <c r="T251" s="116">
        <v>0</v>
      </c>
      <c r="U251" s="116">
        <v>0</v>
      </c>
      <c r="V251" s="116">
        <v>0</v>
      </c>
      <c r="W251" s="116">
        <v>0</v>
      </c>
      <c r="X251" s="116">
        <v>0</v>
      </c>
      <c r="Y251" s="116">
        <v>0</v>
      </c>
      <c r="Z251" s="116">
        <v>0</v>
      </c>
      <c r="AA251" s="116">
        <v>0</v>
      </c>
      <c r="AB251" s="116">
        <v>0</v>
      </c>
      <c r="AC251" s="116">
        <v>0</v>
      </c>
      <c r="AD251" s="116">
        <v>0</v>
      </c>
      <c r="AE251" s="116">
        <v>0</v>
      </c>
      <c r="AF251" s="116">
        <v>0</v>
      </c>
      <c r="AG251" s="116">
        <v>0</v>
      </c>
      <c r="AH251" s="116">
        <v>0</v>
      </c>
      <c r="AI251" s="116">
        <v>0</v>
      </c>
      <c r="AJ251" s="116">
        <v>0</v>
      </c>
      <c r="AK251" s="116">
        <v>0</v>
      </c>
      <c r="AL251" s="116">
        <v>0</v>
      </c>
      <c r="AM251" s="116">
        <v>0</v>
      </c>
      <c r="AN251" s="116">
        <v>0</v>
      </c>
      <c r="AO251" s="116">
        <v>0</v>
      </c>
      <c r="AP251" s="116">
        <v>0</v>
      </c>
      <c r="AQ251" s="116">
        <v>0</v>
      </c>
      <c r="AR251" s="116">
        <v>0</v>
      </c>
      <c r="AS251" s="116">
        <v>0</v>
      </c>
      <c r="AT251" s="116">
        <v>0</v>
      </c>
      <c r="AU251" s="116">
        <v>0</v>
      </c>
      <c r="AV251" s="116">
        <v>0</v>
      </c>
      <c r="AW251" s="116">
        <v>0</v>
      </c>
      <c r="AX251" s="116">
        <v>0</v>
      </c>
      <c r="AY251" s="116">
        <v>0</v>
      </c>
    </row>
    <row r="252" spans="1:51" x14ac:dyDescent="0.2">
      <c r="A252" s="115"/>
      <c r="B252" s="136">
        <v>44</v>
      </c>
      <c r="C252" s="112">
        <v>0</v>
      </c>
      <c r="D252" s="116">
        <v>0</v>
      </c>
      <c r="E252" s="116">
        <v>0</v>
      </c>
      <c r="F252" s="116">
        <v>0</v>
      </c>
      <c r="G252" s="116">
        <v>0</v>
      </c>
      <c r="H252" s="116">
        <v>0</v>
      </c>
      <c r="I252" s="116">
        <v>0</v>
      </c>
      <c r="J252" s="116">
        <v>0</v>
      </c>
      <c r="K252" s="116">
        <v>0</v>
      </c>
      <c r="L252" s="116">
        <v>0</v>
      </c>
      <c r="M252" s="116">
        <v>0</v>
      </c>
      <c r="N252" s="116">
        <v>0</v>
      </c>
      <c r="O252" s="116">
        <v>0</v>
      </c>
      <c r="P252" s="116">
        <v>0</v>
      </c>
      <c r="Q252" s="116">
        <v>0</v>
      </c>
      <c r="R252" s="116">
        <v>0</v>
      </c>
      <c r="S252" s="116">
        <v>0</v>
      </c>
      <c r="T252" s="116">
        <v>0</v>
      </c>
      <c r="U252" s="116">
        <v>0</v>
      </c>
      <c r="V252" s="116">
        <v>0</v>
      </c>
      <c r="W252" s="116">
        <v>0</v>
      </c>
      <c r="X252" s="116">
        <v>0</v>
      </c>
      <c r="Y252" s="116">
        <v>0</v>
      </c>
      <c r="Z252" s="116">
        <v>0</v>
      </c>
      <c r="AA252" s="116">
        <v>0</v>
      </c>
      <c r="AB252" s="116">
        <v>0</v>
      </c>
      <c r="AC252" s="116">
        <v>0</v>
      </c>
      <c r="AD252" s="116">
        <v>0</v>
      </c>
      <c r="AE252" s="116">
        <v>0</v>
      </c>
      <c r="AF252" s="116">
        <v>0</v>
      </c>
      <c r="AG252" s="116">
        <v>0</v>
      </c>
      <c r="AH252" s="116">
        <v>0</v>
      </c>
      <c r="AI252" s="116">
        <v>0</v>
      </c>
      <c r="AJ252" s="116">
        <v>0</v>
      </c>
      <c r="AK252" s="116">
        <v>0</v>
      </c>
      <c r="AL252" s="116">
        <v>0</v>
      </c>
      <c r="AM252" s="116">
        <v>0</v>
      </c>
      <c r="AN252" s="116">
        <v>0</v>
      </c>
      <c r="AO252" s="116">
        <v>0</v>
      </c>
      <c r="AP252" s="116">
        <v>0</v>
      </c>
      <c r="AQ252" s="116">
        <v>0</v>
      </c>
      <c r="AR252" s="116">
        <v>0</v>
      </c>
      <c r="AS252" s="116">
        <v>0</v>
      </c>
      <c r="AT252" s="116">
        <v>0</v>
      </c>
      <c r="AU252" s="116">
        <v>0</v>
      </c>
      <c r="AV252" s="116">
        <v>0</v>
      </c>
      <c r="AW252" s="116">
        <v>0</v>
      </c>
      <c r="AX252" s="116">
        <v>0</v>
      </c>
      <c r="AY252" s="116">
        <v>0</v>
      </c>
    </row>
    <row r="253" spans="1:51" x14ac:dyDescent="0.2">
      <c r="A253" s="115"/>
      <c r="B253" s="136">
        <v>45</v>
      </c>
      <c r="C253" s="112">
        <v>0</v>
      </c>
      <c r="D253" s="116">
        <v>0</v>
      </c>
      <c r="E253" s="116">
        <v>0</v>
      </c>
      <c r="F253" s="116">
        <v>0</v>
      </c>
      <c r="G253" s="116">
        <v>0</v>
      </c>
      <c r="H253" s="116">
        <v>0</v>
      </c>
      <c r="I253" s="116">
        <v>0</v>
      </c>
      <c r="J253" s="116">
        <v>0</v>
      </c>
      <c r="K253" s="116">
        <v>0</v>
      </c>
      <c r="L253" s="116">
        <v>0</v>
      </c>
      <c r="M253" s="116">
        <v>0</v>
      </c>
      <c r="N253" s="116">
        <v>0</v>
      </c>
      <c r="O253" s="116">
        <v>0</v>
      </c>
      <c r="P253" s="116">
        <v>0</v>
      </c>
      <c r="Q253" s="116">
        <v>0</v>
      </c>
      <c r="R253" s="116">
        <v>0</v>
      </c>
      <c r="S253" s="116">
        <v>0</v>
      </c>
      <c r="T253" s="116">
        <v>0</v>
      </c>
      <c r="U253" s="116">
        <v>0</v>
      </c>
      <c r="V253" s="116">
        <v>0</v>
      </c>
      <c r="W253" s="116">
        <v>0</v>
      </c>
      <c r="X253" s="116">
        <v>0</v>
      </c>
      <c r="Y253" s="116">
        <v>0</v>
      </c>
      <c r="Z253" s="116">
        <v>0</v>
      </c>
      <c r="AA253" s="116">
        <v>0</v>
      </c>
      <c r="AB253" s="116">
        <v>0</v>
      </c>
      <c r="AC253" s="116">
        <v>0</v>
      </c>
      <c r="AD253" s="116">
        <v>0</v>
      </c>
      <c r="AE253" s="116">
        <v>0</v>
      </c>
      <c r="AF253" s="116">
        <v>0</v>
      </c>
      <c r="AG253" s="116">
        <v>0</v>
      </c>
      <c r="AH253" s="116">
        <v>0</v>
      </c>
      <c r="AI253" s="116">
        <v>0</v>
      </c>
      <c r="AJ253" s="116">
        <v>0</v>
      </c>
      <c r="AK253" s="116">
        <v>0</v>
      </c>
      <c r="AL253" s="116">
        <v>0</v>
      </c>
      <c r="AM253" s="116">
        <v>0</v>
      </c>
      <c r="AN253" s="116">
        <v>0</v>
      </c>
      <c r="AO253" s="116">
        <v>0</v>
      </c>
      <c r="AP253" s="116">
        <v>0</v>
      </c>
      <c r="AQ253" s="116">
        <v>0</v>
      </c>
      <c r="AR253" s="116">
        <v>0</v>
      </c>
      <c r="AS253" s="116">
        <v>0</v>
      </c>
      <c r="AT253" s="116">
        <v>0</v>
      </c>
      <c r="AU253" s="116">
        <v>0</v>
      </c>
      <c r="AV253" s="116">
        <v>0</v>
      </c>
      <c r="AW253" s="116">
        <v>0</v>
      </c>
      <c r="AX253" s="116">
        <v>0</v>
      </c>
      <c r="AY253" s="116">
        <v>0</v>
      </c>
    </row>
    <row r="254" spans="1:51" x14ac:dyDescent="0.2">
      <c r="A254" s="115"/>
      <c r="B254" s="136">
        <v>46</v>
      </c>
      <c r="C254" s="112">
        <v>0</v>
      </c>
      <c r="D254" s="116">
        <v>0</v>
      </c>
      <c r="E254" s="116">
        <v>0</v>
      </c>
      <c r="F254" s="116">
        <v>0</v>
      </c>
      <c r="G254" s="116">
        <v>0</v>
      </c>
      <c r="H254" s="116">
        <v>0</v>
      </c>
      <c r="I254" s="116">
        <v>0</v>
      </c>
      <c r="J254" s="116">
        <v>0</v>
      </c>
      <c r="K254" s="116">
        <v>0</v>
      </c>
      <c r="L254" s="116">
        <v>0</v>
      </c>
      <c r="M254" s="116">
        <v>0</v>
      </c>
      <c r="N254" s="116">
        <v>0</v>
      </c>
      <c r="O254" s="116">
        <v>0</v>
      </c>
      <c r="P254" s="116">
        <v>0</v>
      </c>
      <c r="Q254" s="116">
        <v>0</v>
      </c>
      <c r="R254" s="116">
        <v>0</v>
      </c>
      <c r="S254" s="116">
        <v>0</v>
      </c>
      <c r="T254" s="116">
        <v>0</v>
      </c>
      <c r="U254" s="116">
        <v>0</v>
      </c>
      <c r="V254" s="116">
        <v>0</v>
      </c>
      <c r="W254" s="116">
        <v>0</v>
      </c>
      <c r="X254" s="116">
        <v>0</v>
      </c>
      <c r="Y254" s="116">
        <v>0</v>
      </c>
      <c r="Z254" s="116">
        <v>0</v>
      </c>
      <c r="AA254" s="116">
        <v>0</v>
      </c>
      <c r="AB254" s="116">
        <v>0</v>
      </c>
      <c r="AC254" s="116">
        <v>0</v>
      </c>
      <c r="AD254" s="116">
        <v>0</v>
      </c>
      <c r="AE254" s="116">
        <v>0</v>
      </c>
      <c r="AF254" s="116">
        <v>0</v>
      </c>
      <c r="AG254" s="116">
        <v>0</v>
      </c>
      <c r="AH254" s="116">
        <v>0</v>
      </c>
      <c r="AI254" s="116">
        <v>0</v>
      </c>
      <c r="AJ254" s="116">
        <v>0</v>
      </c>
      <c r="AK254" s="116">
        <v>0</v>
      </c>
      <c r="AL254" s="116">
        <v>0</v>
      </c>
      <c r="AM254" s="116">
        <v>0</v>
      </c>
      <c r="AN254" s="116">
        <v>0</v>
      </c>
      <c r="AO254" s="116">
        <v>0</v>
      </c>
      <c r="AP254" s="116">
        <v>0</v>
      </c>
      <c r="AQ254" s="116">
        <v>0</v>
      </c>
      <c r="AR254" s="116">
        <v>0</v>
      </c>
      <c r="AS254" s="116">
        <v>0</v>
      </c>
      <c r="AT254" s="116">
        <v>0</v>
      </c>
      <c r="AU254" s="116">
        <v>0</v>
      </c>
      <c r="AV254" s="116">
        <v>0</v>
      </c>
      <c r="AW254" s="116">
        <v>0</v>
      </c>
      <c r="AX254" s="116">
        <v>0</v>
      </c>
      <c r="AY254" s="116">
        <v>0</v>
      </c>
    </row>
    <row r="255" spans="1:51" x14ac:dyDescent="0.2">
      <c r="A255" s="115"/>
      <c r="B255" s="136">
        <v>47</v>
      </c>
      <c r="C255" s="112">
        <v>0</v>
      </c>
      <c r="D255" s="116">
        <v>0</v>
      </c>
      <c r="E255" s="116">
        <v>0</v>
      </c>
      <c r="F255" s="116">
        <v>0</v>
      </c>
      <c r="G255" s="116">
        <v>0</v>
      </c>
      <c r="H255" s="116">
        <v>0</v>
      </c>
      <c r="I255" s="116">
        <v>0</v>
      </c>
      <c r="J255" s="116">
        <v>0</v>
      </c>
      <c r="K255" s="116">
        <v>0</v>
      </c>
      <c r="L255" s="116">
        <v>0</v>
      </c>
      <c r="M255" s="116">
        <v>0</v>
      </c>
      <c r="N255" s="116">
        <v>0</v>
      </c>
      <c r="O255" s="116">
        <v>0</v>
      </c>
      <c r="P255" s="116">
        <v>0</v>
      </c>
      <c r="Q255" s="116">
        <v>0</v>
      </c>
      <c r="R255" s="116">
        <v>0</v>
      </c>
      <c r="S255" s="116">
        <v>0</v>
      </c>
      <c r="T255" s="116">
        <v>0</v>
      </c>
      <c r="U255" s="116">
        <v>0</v>
      </c>
      <c r="V255" s="116">
        <v>0</v>
      </c>
      <c r="W255" s="116">
        <v>0</v>
      </c>
      <c r="X255" s="116">
        <v>0</v>
      </c>
      <c r="Y255" s="116">
        <v>0</v>
      </c>
      <c r="Z255" s="116">
        <v>0</v>
      </c>
      <c r="AA255" s="116">
        <v>0</v>
      </c>
      <c r="AB255" s="116">
        <v>0</v>
      </c>
      <c r="AC255" s="116">
        <v>0</v>
      </c>
      <c r="AD255" s="116">
        <v>0</v>
      </c>
      <c r="AE255" s="116">
        <v>0</v>
      </c>
      <c r="AF255" s="116">
        <v>0</v>
      </c>
      <c r="AG255" s="116">
        <v>0</v>
      </c>
      <c r="AH255" s="116">
        <v>0</v>
      </c>
      <c r="AI255" s="116">
        <v>0</v>
      </c>
      <c r="AJ255" s="116">
        <v>0</v>
      </c>
      <c r="AK255" s="116">
        <v>0</v>
      </c>
      <c r="AL255" s="116">
        <v>0</v>
      </c>
      <c r="AM255" s="116">
        <v>0</v>
      </c>
      <c r="AN255" s="116">
        <v>0</v>
      </c>
      <c r="AO255" s="116">
        <v>0</v>
      </c>
      <c r="AP255" s="116">
        <v>0</v>
      </c>
      <c r="AQ255" s="116">
        <v>0</v>
      </c>
      <c r="AR255" s="116">
        <v>0</v>
      </c>
      <c r="AS255" s="116">
        <v>0</v>
      </c>
      <c r="AT255" s="116">
        <v>0</v>
      </c>
      <c r="AU255" s="116">
        <v>0</v>
      </c>
      <c r="AV255" s="116">
        <v>0</v>
      </c>
      <c r="AW255" s="116">
        <v>0</v>
      </c>
      <c r="AX255" s="116">
        <v>0</v>
      </c>
      <c r="AY255" s="116">
        <v>0</v>
      </c>
    </row>
    <row r="256" spans="1:51" x14ac:dyDescent="0.2">
      <c r="A256" s="134"/>
      <c r="B256" s="135">
        <v>48</v>
      </c>
      <c r="C256" s="120">
        <v>0</v>
      </c>
      <c r="D256" s="131">
        <v>0</v>
      </c>
      <c r="E256" s="131">
        <v>0</v>
      </c>
      <c r="F256" s="131">
        <v>0</v>
      </c>
      <c r="G256" s="131">
        <v>0</v>
      </c>
      <c r="H256" s="131">
        <v>0</v>
      </c>
      <c r="I256" s="131">
        <v>0</v>
      </c>
      <c r="J256" s="131">
        <v>0</v>
      </c>
      <c r="K256" s="131">
        <v>0</v>
      </c>
      <c r="L256" s="131">
        <v>0</v>
      </c>
      <c r="M256" s="131">
        <v>0</v>
      </c>
      <c r="N256" s="131">
        <v>0</v>
      </c>
      <c r="O256" s="131">
        <v>0</v>
      </c>
      <c r="P256" s="131">
        <v>0</v>
      </c>
      <c r="Q256" s="131">
        <v>0</v>
      </c>
      <c r="R256" s="131">
        <v>0</v>
      </c>
      <c r="S256" s="131">
        <v>0</v>
      </c>
      <c r="T256" s="131">
        <v>0</v>
      </c>
      <c r="U256" s="131">
        <v>0</v>
      </c>
      <c r="V256" s="131">
        <v>0</v>
      </c>
      <c r="W256" s="131">
        <v>0</v>
      </c>
      <c r="X256" s="131">
        <v>0</v>
      </c>
      <c r="Y256" s="131">
        <v>0</v>
      </c>
      <c r="Z256" s="131">
        <v>0</v>
      </c>
      <c r="AA256" s="131">
        <v>0</v>
      </c>
      <c r="AB256" s="131">
        <v>0</v>
      </c>
      <c r="AC256" s="131">
        <v>0</v>
      </c>
      <c r="AD256" s="131">
        <v>0</v>
      </c>
      <c r="AE256" s="131">
        <v>0</v>
      </c>
      <c r="AF256" s="131">
        <v>0</v>
      </c>
      <c r="AG256" s="131">
        <v>0</v>
      </c>
      <c r="AH256" s="131">
        <v>0</v>
      </c>
      <c r="AI256" s="131">
        <v>0</v>
      </c>
      <c r="AJ256" s="131">
        <v>0</v>
      </c>
      <c r="AK256" s="131">
        <v>0</v>
      </c>
      <c r="AL256" s="131">
        <v>0</v>
      </c>
      <c r="AM256" s="131">
        <v>0</v>
      </c>
      <c r="AN256" s="131">
        <v>0</v>
      </c>
      <c r="AO256" s="131">
        <v>0</v>
      </c>
      <c r="AP256" s="131">
        <v>0</v>
      </c>
      <c r="AQ256" s="131">
        <v>0</v>
      </c>
      <c r="AR256" s="131">
        <v>0</v>
      </c>
      <c r="AS256" s="131">
        <v>0</v>
      </c>
      <c r="AT256" s="131">
        <v>0</v>
      </c>
      <c r="AU256" s="131">
        <v>0</v>
      </c>
      <c r="AV256" s="131">
        <v>0</v>
      </c>
      <c r="AW256" s="131">
        <v>0</v>
      </c>
      <c r="AX256" s="131">
        <v>0</v>
      </c>
      <c r="AY256" s="131">
        <v>0</v>
      </c>
    </row>
    <row r="258" spans="1:52" x14ac:dyDescent="0.2">
      <c r="A258" s="108" t="s">
        <v>301</v>
      </c>
    </row>
    <row r="259" spans="1:52" x14ac:dyDescent="0.2">
      <c r="A259" s="143" t="s">
        <v>124</v>
      </c>
      <c r="B259" s="144">
        <v>650</v>
      </c>
      <c r="C259" s="130" t="s">
        <v>293</v>
      </c>
      <c r="D259" s="130">
        <f>E$14*$B$259</f>
        <v>1082835.7970916803</v>
      </c>
      <c r="E259" s="130">
        <f t="shared" ref="E259:AX259" si="5">F$14*$B$259</f>
        <v>1164749.8679342463</v>
      </c>
      <c r="F259" s="130">
        <f t="shared" si="5"/>
        <v>935887.9949225795</v>
      </c>
      <c r="G259" s="130">
        <f t="shared" si="5"/>
        <v>920259.6847307086</v>
      </c>
      <c r="H259" s="130">
        <f t="shared" si="5"/>
        <v>928497.6093094286</v>
      </c>
      <c r="I259" s="130">
        <f t="shared" si="5"/>
        <v>792852.82946033136</v>
      </c>
      <c r="J259" s="130">
        <f t="shared" si="5"/>
        <v>761935.42632591445</v>
      </c>
      <c r="K259" s="130">
        <f t="shared" si="5"/>
        <v>661093.79588212108</v>
      </c>
      <c r="L259" s="130">
        <f t="shared" si="5"/>
        <v>585022.29669210303</v>
      </c>
      <c r="M259" s="130">
        <f t="shared" si="5"/>
        <v>576244.52759302815</v>
      </c>
      <c r="N259" s="130">
        <f t="shared" si="5"/>
        <v>153493.17733577656</v>
      </c>
      <c r="O259" s="130">
        <f t="shared" si="5"/>
        <v>235655.56033818075</v>
      </c>
      <c r="P259" s="130">
        <f t="shared" si="5"/>
        <v>68026.360253050763</v>
      </c>
      <c r="Q259" s="130">
        <f t="shared" si="5"/>
        <v>380843.70922808157</v>
      </c>
      <c r="R259" s="130">
        <f t="shared" si="5"/>
        <v>407144.7740577886</v>
      </c>
      <c r="S259" s="130">
        <f t="shared" si="5"/>
        <v>189361.61912086315</v>
      </c>
      <c r="T259" s="130">
        <f t="shared" si="5"/>
        <v>375673.46483876189</v>
      </c>
      <c r="U259" s="130">
        <f t="shared" si="5"/>
        <v>501584.56376144051</v>
      </c>
      <c r="V259" s="130">
        <f t="shared" si="5"/>
        <v>647892.60972001054</v>
      </c>
      <c r="W259" s="130">
        <f t="shared" si="5"/>
        <v>464974.72484854161</v>
      </c>
      <c r="X259" s="130">
        <f t="shared" si="5"/>
        <v>574404.4796463052</v>
      </c>
      <c r="Y259" s="130">
        <f t="shared" si="5"/>
        <v>621797.47338977584</v>
      </c>
      <c r="Z259" s="130">
        <f t="shared" si="5"/>
        <v>573178.73225245276</v>
      </c>
      <c r="AA259" s="130">
        <f t="shared" si="5"/>
        <v>775532.48202668072</v>
      </c>
      <c r="AB259" s="130">
        <f t="shared" si="5"/>
        <v>568030.30249596725</v>
      </c>
      <c r="AC259" s="130">
        <f t="shared" si="5"/>
        <v>385049.08660714928</v>
      </c>
      <c r="AD259" s="130">
        <f t="shared" si="5"/>
        <v>174724.78280853128</v>
      </c>
      <c r="AE259" s="130">
        <f t="shared" si="5"/>
        <v>448939.34301253967</v>
      </c>
      <c r="AF259" s="130">
        <f t="shared" si="5"/>
        <v>281769.37294924253</v>
      </c>
      <c r="AG259" s="130">
        <f t="shared" si="5"/>
        <v>658459.37434685009</v>
      </c>
      <c r="AH259" s="130">
        <f t="shared" si="5"/>
        <v>356479.26207688841</v>
      </c>
      <c r="AI259" s="130">
        <f t="shared" si="5"/>
        <v>838655.17085195414</v>
      </c>
      <c r="AJ259" s="130">
        <f t="shared" si="5"/>
        <v>1110488.48432491</v>
      </c>
      <c r="AK259" s="130">
        <f t="shared" si="5"/>
        <v>1113731.6299585069</v>
      </c>
      <c r="AL259" s="130">
        <f t="shared" si="5"/>
        <v>857309.85199570598</v>
      </c>
      <c r="AM259" s="130">
        <f t="shared" si="5"/>
        <v>1344935.2146460307</v>
      </c>
      <c r="AN259" s="130">
        <f t="shared" si="5"/>
        <v>1367965.2074605078</v>
      </c>
      <c r="AO259" s="130">
        <f t="shared" si="5"/>
        <v>1155884.4455285706</v>
      </c>
      <c r="AP259" s="130">
        <f t="shared" si="5"/>
        <v>1130170.577226188</v>
      </c>
      <c r="AQ259" s="130">
        <f t="shared" si="5"/>
        <v>1130170.577226188</v>
      </c>
      <c r="AR259" s="130">
        <f t="shared" si="5"/>
        <v>393290.05876810593</v>
      </c>
      <c r="AS259" s="130">
        <f t="shared" si="5"/>
        <v>938718.00067145412</v>
      </c>
      <c r="AT259" s="130">
        <f t="shared" si="5"/>
        <v>393290.05876810593</v>
      </c>
      <c r="AU259" s="130">
        <f t="shared" si="5"/>
        <v>846930.15332077187</v>
      </c>
      <c r="AV259" s="130">
        <f t="shared" si="5"/>
        <v>646036.87793506833</v>
      </c>
      <c r="AW259" s="130">
        <f t="shared" si="5"/>
        <v>752575.59775385633</v>
      </c>
      <c r="AX259" s="130">
        <f t="shared" si="5"/>
        <v>752575.59775385633</v>
      </c>
      <c r="AY259" s="130">
        <f>AZ$14*$B$259</f>
        <v>653320.91990093596</v>
      </c>
      <c r="AZ259" s="145">
        <f>SUM($D259:$AY259)</f>
        <v>32678443.50914773</v>
      </c>
    </row>
    <row r="260" spans="1:52" x14ac:dyDescent="0.2">
      <c r="A260" s="146" t="s">
        <v>302</v>
      </c>
      <c r="B260" s="120">
        <v>60</v>
      </c>
      <c r="C260" s="131" t="s">
        <v>293</v>
      </c>
      <c r="D260" s="131">
        <f>(D$175-D$176+D$177-D$178+D$179-D$180+D$181-D$182)*$B$260</f>
        <v>564756.94405993773</v>
      </c>
      <c r="E260" s="131">
        <f t="shared" ref="E260:AY260" si="6">(E$175-E$176+E$177-E$178+E$179-E$180+E$181-E$182)*$B$260</f>
        <v>504785.62839480396</v>
      </c>
      <c r="F260" s="131">
        <f t="shared" si="6"/>
        <v>522348.09973004647</v>
      </c>
      <c r="G260" s="131">
        <f t="shared" si="6"/>
        <v>524750.71267441649</v>
      </c>
      <c r="H260" s="131">
        <f t="shared" si="6"/>
        <v>527248.48063970008</v>
      </c>
      <c r="I260" s="131">
        <f t="shared" si="6"/>
        <v>547233.78513510386</v>
      </c>
      <c r="J260" s="131">
        <f t="shared" si="6"/>
        <v>564215.79538532521</v>
      </c>
      <c r="K260" s="131">
        <f t="shared" si="6"/>
        <v>553541.05763719603</v>
      </c>
      <c r="L260" s="131">
        <f t="shared" si="6"/>
        <v>557566.90731337713</v>
      </c>
      <c r="M260" s="131">
        <f t="shared" si="6"/>
        <v>567305.40379887552</v>
      </c>
      <c r="N260" s="131">
        <f t="shared" si="6"/>
        <v>576864.7275646691</v>
      </c>
      <c r="O260" s="131">
        <f t="shared" si="6"/>
        <v>586276.36915735435</v>
      </c>
      <c r="P260" s="131">
        <f t="shared" si="6"/>
        <v>623365.96685119276</v>
      </c>
      <c r="Q260" s="131">
        <f t="shared" si="6"/>
        <v>623926.43044404371</v>
      </c>
      <c r="R260" s="131">
        <f t="shared" si="6"/>
        <v>615395.77290388313</v>
      </c>
      <c r="S260" s="131">
        <f t="shared" si="6"/>
        <v>649556.65871754556</v>
      </c>
      <c r="T260" s="131">
        <f t="shared" si="6"/>
        <v>576854.01266718295</v>
      </c>
      <c r="U260" s="131">
        <f t="shared" si="6"/>
        <v>538755.42493881437</v>
      </c>
      <c r="V260" s="131">
        <f t="shared" si="6"/>
        <v>509795.21818388317</v>
      </c>
      <c r="W260" s="131">
        <f t="shared" si="6"/>
        <v>465465.29264444544</v>
      </c>
      <c r="X260" s="131">
        <f t="shared" si="6"/>
        <v>445652.06101462763</v>
      </c>
      <c r="Y260" s="131">
        <f t="shared" si="6"/>
        <v>435076.69512686116</v>
      </c>
      <c r="Z260" s="131">
        <f t="shared" si="6"/>
        <v>412374.8743762346</v>
      </c>
      <c r="AA260" s="131">
        <f t="shared" si="6"/>
        <v>449102.88069906551</v>
      </c>
      <c r="AB260" s="131">
        <f t="shared" si="6"/>
        <v>466171.20609572128</v>
      </c>
      <c r="AC260" s="131">
        <f t="shared" si="6"/>
        <v>497814.92860153713</v>
      </c>
      <c r="AD260" s="131">
        <f t="shared" si="6"/>
        <v>515377.73512593709</v>
      </c>
      <c r="AE260" s="131">
        <f t="shared" si="6"/>
        <v>516219.36362667452</v>
      </c>
      <c r="AF260" s="131">
        <f t="shared" si="6"/>
        <v>511018.63485002611</v>
      </c>
      <c r="AG260" s="131">
        <f t="shared" si="6"/>
        <v>525580.49574423663</v>
      </c>
      <c r="AH260" s="131">
        <f t="shared" si="6"/>
        <v>507727.71404833387</v>
      </c>
      <c r="AI260" s="131">
        <f t="shared" si="6"/>
        <v>515602.82189918717</v>
      </c>
      <c r="AJ260" s="131">
        <f t="shared" si="6"/>
        <v>529353.91631747433</v>
      </c>
      <c r="AK260" s="131">
        <f t="shared" si="6"/>
        <v>539849.0873888731</v>
      </c>
      <c r="AL260" s="131">
        <f t="shared" si="6"/>
        <v>574759.59162169811</v>
      </c>
      <c r="AM260" s="131">
        <f t="shared" si="6"/>
        <v>527063.01897127938</v>
      </c>
      <c r="AN260" s="131">
        <f t="shared" si="6"/>
        <v>489528.00361195562</v>
      </c>
      <c r="AO260" s="131">
        <f t="shared" si="6"/>
        <v>497414.38536700845</v>
      </c>
      <c r="AP260" s="131">
        <f t="shared" si="6"/>
        <v>511780.07481481729</v>
      </c>
      <c r="AQ260" s="131">
        <f t="shared" si="6"/>
        <v>517834.27490736189</v>
      </c>
      <c r="AR260" s="131">
        <f t="shared" si="6"/>
        <v>511671.51552880713</v>
      </c>
      <c r="AS260" s="131">
        <f t="shared" si="6"/>
        <v>482962.97203037312</v>
      </c>
      <c r="AT260" s="131">
        <f t="shared" si="6"/>
        <v>486067.66712368937</v>
      </c>
      <c r="AU260" s="131">
        <f t="shared" si="6"/>
        <v>442279.55686396983</v>
      </c>
      <c r="AV260" s="131">
        <f t="shared" si="6"/>
        <v>443313.31163941452</v>
      </c>
      <c r="AW260" s="131">
        <f t="shared" si="6"/>
        <v>419249.76964586315</v>
      </c>
      <c r="AX260" s="131">
        <f t="shared" si="6"/>
        <v>402720.60024707438</v>
      </c>
      <c r="AY260" s="131">
        <f t="shared" si="6"/>
        <v>394655.1923147841</v>
      </c>
      <c r="AZ260" s="147">
        <f>SUM($D260:$AY260)</f>
        <v>24768231.038444676</v>
      </c>
    </row>
  </sheetData>
  <pageMargins left="0.75" right="0.75" top="1" bottom="1" header="0.5" footer="0.5"/>
  <pageSetup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163" activePane="bottomRight" state="frozen"/>
      <selection pane="topRight"/>
      <selection pane="bottomLeft"/>
      <selection pane="bottomRight" activeCell="C185" sqref="C185:C256"/>
    </sheetView>
  </sheetViews>
  <sheetFormatPr defaultRowHeight="12.75" x14ac:dyDescent="0.2"/>
  <cols>
    <col min="1" max="1" width="14.7109375" style="106" customWidth="1"/>
    <col min="2" max="2" width="12.7109375" style="106" customWidth="1"/>
    <col min="3" max="16384" width="9.140625" style="106"/>
  </cols>
  <sheetData>
    <row r="1" spans="1:53" x14ac:dyDescent="0.2">
      <c r="A1" s="108" t="s">
        <v>284</v>
      </c>
    </row>
    <row r="2" spans="1:53" x14ac:dyDescent="0.2">
      <c r="A2" s="106" t="s">
        <v>285</v>
      </c>
      <c r="B2" s="113" t="s">
        <v>66</v>
      </c>
    </row>
    <row r="3" spans="1:53" x14ac:dyDescent="0.2">
      <c r="A3" s="106" t="s">
        <v>286</v>
      </c>
      <c r="B3" s="114">
        <v>5458</v>
      </c>
      <c r="C3" s="115"/>
    </row>
    <row r="4" spans="1:53" x14ac:dyDescent="0.2">
      <c r="B4" s="116"/>
      <c r="C4" s="116"/>
    </row>
    <row r="5" spans="1:53" x14ac:dyDescent="0.2">
      <c r="C5" s="117" t="s">
        <v>287</v>
      </c>
    </row>
    <row r="6" spans="1:53" x14ac:dyDescent="0.2">
      <c r="C6" s="118">
        <v>0</v>
      </c>
      <c r="D6" s="118">
        <v>1</v>
      </c>
      <c r="E6" s="118">
        <v>2</v>
      </c>
      <c r="F6" s="118">
        <v>3</v>
      </c>
      <c r="G6" s="118">
        <v>4</v>
      </c>
      <c r="H6" s="118">
        <v>5</v>
      </c>
      <c r="I6" s="118">
        <v>6</v>
      </c>
      <c r="J6" s="118">
        <v>7</v>
      </c>
      <c r="K6" s="118">
        <v>8</v>
      </c>
      <c r="L6" s="118">
        <v>9</v>
      </c>
      <c r="M6" s="118">
        <v>10</v>
      </c>
      <c r="N6" s="118">
        <v>11</v>
      </c>
      <c r="O6" s="118">
        <v>12</v>
      </c>
      <c r="P6" s="118">
        <v>13</v>
      </c>
      <c r="Q6" s="118">
        <v>14</v>
      </c>
      <c r="R6" s="118">
        <v>15</v>
      </c>
      <c r="S6" s="118">
        <v>16</v>
      </c>
      <c r="T6" s="118">
        <v>17</v>
      </c>
      <c r="U6" s="118">
        <v>18</v>
      </c>
      <c r="V6" s="118">
        <v>19</v>
      </c>
      <c r="W6" s="118">
        <v>20</v>
      </c>
      <c r="X6" s="118">
        <v>21</v>
      </c>
      <c r="Y6" s="118">
        <v>22</v>
      </c>
      <c r="Z6" s="118">
        <v>23</v>
      </c>
      <c r="AA6" s="118">
        <v>24</v>
      </c>
      <c r="AB6" s="118">
        <v>25</v>
      </c>
      <c r="AC6" s="118">
        <v>26</v>
      </c>
      <c r="AD6" s="118">
        <v>27</v>
      </c>
      <c r="AE6" s="118">
        <v>28</v>
      </c>
      <c r="AF6" s="118">
        <v>29</v>
      </c>
      <c r="AG6" s="118">
        <v>30</v>
      </c>
      <c r="AH6" s="118">
        <v>31</v>
      </c>
      <c r="AI6" s="118">
        <v>32</v>
      </c>
      <c r="AJ6" s="118">
        <v>33</v>
      </c>
      <c r="AK6" s="118">
        <v>34</v>
      </c>
      <c r="AL6" s="118">
        <v>35</v>
      </c>
      <c r="AM6" s="118">
        <v>36</v>
      </c>
      <c r="AN6" s="118">
        <v>37</v>
      </c>
      <c r="AO6" s="118">
        <v>38</v>
      </c>
      <c r="AP6" s="118">
        <v>39</v>
      </c>
      <c r="AQ6" s="118">
        <v>40</v>
      </c>
      <c r="AR6" s="118">
        <v>41</v>
      </c>
      <c r="AS6" s="118">
        <v>42</v>
      </c>
      <c r="AT6" s="118">
        <v>43</v>
      </c>
      <c r="AU6" s="118">
        <v>44</v>
      </c>
      <c r="AV6" s="118">
        <v>45</v>
      </c>
      <c r="AW6" s="118">
        <v>46</v>
      </c>
      <c r="AX6" s="118">
        <v>47</v>
      </c>
      <c r="AY6" s="118">
        <v>48</v>
      </c>
    </row>
    <row r="7" spans="1:53" x14ac:dyDescent="0.2">
      <c r="B7" s="116"/>
      <c r="C7" s="119" t="s">
        <v>288</v>
      </c>
      <c r="D7" s="118" t="s">
        <v>289</v>
      </c>
      <c r="E7" s="118" t="s">
        <v>289</v>
      </c>
      <c r="F7" s="118" t="s">
        <v>289</v>
      </c>
      <c r="G7" s="118" t="s">
        <v>289</v>
      </c>
      <c r="H7" s="118" t="s">
        <v>289</v>
      </c>
      <c r="I7" s="118" t="s">
        <v>289</v>
      </c>
      <c r="J7" s="118" t="s">
        <v>289</v>
      </c>
      <c r="K7" s="118" t="s">
        <v>289</v>
      </c>
      <c r="L7" s="118" t="s">
        <v>289</v>
      </c>
      <c r="M7" s="118" t="s">
        <v>289</v>
      </c>
      <c r="N7" s="118" t="s">
        <v>289</v>
      </c>
      <c r="O7" s="118" t="s">
        <v>289</v>
      </c>
      <c r="P7" s="118" t="s">
        <v>289</v>
      </c>
      <c r="Q7" s="118" t="s">
        <v>289</v>
      </c>
      <c r="R7" s="118" t="s">
        <v>289</v>
      </c>
      <c r="S7" s="118" t="s">
        <v>289</v>
      </c>
      <c r="T7" s="118" t="s">
        <v>289</v>
      </c>
      <c r="U7" s="118" t="s">
        <v>289</v>
      </c>
      <c r="V7" s="118" t="s">
        <v>289</v>
      </c>
      <c r="W7" s="118" t="s">
        <v>289</v>
      </c>
      <c r="X7" s="118" t="s">
        <v>289</v>
      </c>
      <c r="Y7" s="118" t="s">
        <v>289</v>
      </c>
      <c r="Z7" s="118" t="s">
        <v>289</v>
      </c>
      <c r="AA7" s="118" t="s">
        <v>289</v>
      </c>
      <c r="AB7" s="118" t="s">
        <v>289</v>
      </c>
      <c r="AC7" s="118" t="s">
        <v>289</v>
      </c>
      <c r="AD7" s="118" t="s">
        <v>289</v>
      </c>
      <c r="AE7" s="118" t="s">
        <v>289</v>
      </c>
      <c r="AF7" s="118" t="s">
        <v>289</v>
      </c>
      <c r="AG7" s="118" t="s">
        <v>289</v>
      </c>
      <c r="AH7" s="118" t="s">
        <v>289</v>
      </c>
      <c r="AI7" s="118" t="s">
        <v>289</v>
      </c>
      <c r="AJ7" s="118" t="s">
        <v>289</v>
      </c>
      <c r="AK7" s="118" t="s">
        <v>289</v>
      </c>
      <c r="AL7" s="118" t="s">
        <v>289</v>
      </c>
      <c r="AM7" s="118" t="s">
        <v>289</v>
      </c>
      <c r="AN7" s="118" t="s">
        <v>289</v>
      </c>
      <c r="AO7" s="118" t="s">
        <v>289</v>
      </c>
      <c r="AP7" s="118" t="s">
        <v>289</v>
      </c>
      <c r="AQ7" s="118" t="s">
        <v>289</v>
      </c>
      <c r="AR7" s="118" t="s">
        <v>289</v>
      </c>
      <c r="AS7" s="118" t="s">
        <v>289</v>
      </c>
      <c r="AT7" s="118" t="s">
        <v>289</v>
      </c>
      <c r="AU7" s="118" t="s">
        <v>289</v>
      </c>
      <c r="AV7" s="118" t="s">
        <v>289</v>
      </c>
      <c r="AW7" s="118" t="s">
        <v>289</v>
      </c>
      <c r="AX7" s="118" t="s">
        <v>289</v>
      </c>
      <c r="AY7" s="117" t="s">
        <v>290</v>
      </c>
      <c r="AZ7" s="117" t="s">
        <v>291</v>
      </c>
    </row>
    <row r="8" spans="1:53" x14ac:dyDescent="0.2">
      <c r="A8" s="108" t="s">
        <v>292</v>
      </c>
      <c r="B8" s="120"/>
      <c r="AY8" s="116"/>
    </row>
    <row r="9" spans="1:53" x14ac:dyDescent="0.2">
      <c r="A9" s="121" t="s">
        <v>125</v>
      </c>
      <c r="B9" s="122">
        <v>1</v>
      </c>
      <c r="C9" s="123" t="s">
        <v>293</v>
      </c>
      <c r="D9" s="123">
        <v>162.125</v>
      </c>
      <c r="E9" s="123">
        <v>162.125</v>
      </c>
      <c r="F9" s="123">
        <v>162.125</v>
      </c>
      <c r="G9" s="123">
        <v>162.125</v>
      </c>
      <c r="H9" s="123">
        <v>311.75</v>
      </c>
      <c r="I9" s="123">
        <v>311.75</v>
      </c>
      <c r="J9" s="123">
        <v>311.75</v>
      </c>
      <c r="K9" s="123">
        <v>311.75</v>
      </c>
      <c r="L9" s="123">
        <v>202.625</v>
      </c>
      <c r="M9" s="123">
        <v>202.625</v>
      </c>
      <c r="N9" s="123">
        <v>202.625</v>
      </c>
      <c r="O9" s="123">
        <v>202.625</v>
      </c>
      <c r="P9" s="123">
        <v>180.375</v>
      </c>
      <c r="Q9" s="123">
        <v>180.375</v>
      </c>
      <c r="R9" s="123">
        <v>180.375</v>
      </c>
      <c r="S9" s="123">
        <v>180.375</v>
      </c>
      <c r="T9" s="123">
        <v>207.5</v>
      </c>
      <c r="U9" s="123">
        <v>207.5</v>
      </c>
      <c r="V9" s="123">
        <v>207.5</v>
      </c>
      <c r="W9" s="123">
        <v>207.5</v>
      </c>
      <c r="X9" s="123">
        <v>243.125</v>
      </c>
      <c r="Y9" s="123">
        <v>243.125</v>
      </c>
      <c r="Z9" s="123">
        <v>243.125</v>
      </c>
      <c r="AA9" s="123">
        <v>243.125</v>
      </c>
      <c r="AB9" s="123">
        <v>221.25</v>
      </c>
      <c r="AC9" s="123">
        <v>221.25</v>
      </c>
      <c r="AD9" s="123">
        <v>221.25</v>
      </c>
      <c r="AE9" s="123">
        <v>221.25</v>
      </c>
      <c r="AF9" s="123">
        <v>197</v>
      </c>
      <c r="AG9" s="123">
        <v>197</v>
      </c>
      <c r="AH9" s="123">
        <v>197</v>
      </c>
      <c r="AI9" s="123">
        <v>197</v>
      </c>
      <c r="AJ9" s="123">
        <v>194.625</v>
      </c>
      <c r="AK9" s="123">
        <v>194.625</v>
      </c>
      <c r="AL9" s="123">
        <v>194.625</v>
      </c>
      <c r="AM9" s="123">
        <v>194.625</v>
      </c>
      <c r="AN9" s="123">
        <v>226.875</v>
      </c>
      <c r="AO9" s="123">
        <v>226.875</v>
      </c>
      <c r="AP9" s="123">
        <v>226.875</v>
      </c>
      <c r="AQ9" s="123">
        <v>226.875</v>
      </c>
      <c r="AR9" s="123">
        <v>268.75</v>
      </c>
      <c r="AS9" s="123">
        <v>268.75</v>
      </c>
      <c r="AT9" s="123">
        <v>268.75</v>
      </c>
      <c r="AU9" s="123">
        <v>268.75</v>
      </c>
      <c r="AV9" s="123">
        <v>259.875</v>
      </c>
      <c r="AW9" s="123">
        <v>259.875</v>
      </c>
      <c r="AX9" s="123">
        <v>259.875</v>
      </c>
      <c r="AY9" s="123">
        <v>259.875</v>
      </c>
    </row>
    <row r="10" spans="1:53" x14ac:dyDescent="0.2">
      <c r="A10" s="124" t="s">
        <v>133</v>
      </c>
      <c r="B10" s="125">
        <v>1</v>
      </c>
      <c r="C10" s="112" t="s">
        <v>293</v>
      </c>
      <c r="D10" s="106">
        <v>0</v>
      </c>
      <c r="E10" s="106">
        <v>37.519140082273886</v>
      </c>
      <c r="F10" s="106">
        <v>28.773548015902751</v>
      </c>
      <c r="G10" s="106">
        <v>0</v>
      </c>
      <c r="H10" s="106">
        <v>28.773548015902751</v>
      </c>
      <c r="I10" s="106">
        <v>0</v>
      </c>
      <c r="J10" s="106">
        <v>0</v>
      </c>
      <c r="K10" s="106">
        <v>37.519140082273886</v>
      </c>
      <c r="L10" s="106">
        <v>37.519140082273886</v>
      </c>
      <c r="M10" s="106">
        <v>37.519140082273886</v>
      </c>
      <c r="N10" s="106">
        <v>0</v>
      </c>
      <c r="O10" s="106">
        <v>37.519140082273886</v>
      </c>
      <c r="P10" s="106">
        <v>33.465283888946423</v>
      </c>
      <c r="Q10" s="106">
        <v>0</v>
      </c>
      <c r="R10" s="106">
        <v>32.167347731598028</v>
      </c>
      <c r="S10" s="106">
        <v>0</v>
      </c>
      <c r="T10" s="106">
        <v>32.167347731598028</v>
      </c>
      <c r="U10" s="106">
        <v>0</v>
      </c>
      <c r="V10" s="106">
        <v>0</v>
      </c>
      <c r="W10" s="106">
        <v>10.337508994489871</v>
      </c>
      <c r="X10" s="106">
        <v>0</v>
      </c>
      <c r="Y10" s="106">
        <v>10.337508994489871</v>
      </c>
      <c r="Z10" s="106">
        <v>0</v>
      </c>
      <c r="AA10" s="106">
        <v>0</v>
      </c>
      <c r="AB10" s="106">
        <v>24.578461918594741</v>
      </c>
      <c r="AC10" s="106">
        <v>24.578461918594741</v>
      </c>
      <c r="AD10" s="106">
        <v>23.721661901168133</v>
      </c>
      <c r="AE10" s="106">
        <v>23.721661901168133</v>
      </c>
      <c r="AF10" s="106">
        <v>0</v>
      </c>
      <c r="AG10" s="106">
        <v>23.721661901168133</v>
      </c>
      <c r="AH10" s="106">
        <v>30.25083358263565</v>
      </c>
      <c r="AI10" s="106">
        <v>30.25083358263565</v>
      </c>
      <c r="AJ10" s="106">
        <v>30.25083358263565</v>
      </c>
      <c r="AK10" s="106">
        <v>0</v>
      </c>
      <c r="AL10" s="106">
        <v>30.319512684010498</v>
      </c>
      <c r="AM10" s="106">
        <v>0</v>
      </c>
      <c r="AN10" s="106">
        <v>30.319512684010498</v>
      </c>
      <c r="AO10" s="106">
        <v>30.319512684010498</v>
      </c>
      <c r="AP10" s="106">
        <v>0</v>
      </c>
      <c r="AQ10" s="106">
        <v>27.679370283356526</v>
      </c>
      <c r="AR10" s="106">
        <v>0</v>
      </c>
      <c r="AS10" s="106">
        <v>27.679370283356526</v>
      </c>
      <c r="AT10" s="106">
        <v>0</v>
      </c>
      <c r="AU10" s="106">
        <v>0</v>
      </c>
      <c r="AV10" s="106">
        <v>0</v>
      </c>
      <c r="AW10" s="106">
        <v>0</v>
      </c>
      <c r="AX10" s="106">
        <v>19.868593201016093</v>
      </c>
      <c r="AY10" s="106">
        <v>19.868593201016093</v>
      </c>
      <c r="AZ10" s="106">
        <v>19.868593201016093</v>
      </c>
    </row>
    <row r="11" spans="1:53" x14ac:dyDescent="0.2">
      <c r="B11" s="125">
        <v>2</v>
      </c>
      <c r="C11" s="112" t="s">
        <v>293</v>
      </c>
      <c r="E11" s="106">
        <v>43.540325891316058</v>
      </c>
      <c r="H11" s="106">
        <v>28.773548015902751</v>
      </c>
      <c r="J11" s="106">
        <v>28.773548015902751</v>
      </c>
      <c r="R11" s="106">
        <v>33.465283888946423</v>
      </c>
      <c r="T11" s="106">
        <v>32.167347731598028</v>
      </c>
      <c r="V11" s="106">
        <v>32.167347731598028</v>
      </c>
      <c r="W11" s="106">
        <v>10.337508994489871</v>
      </c>
      <c r="Y11" s="106">
        <v>10.337508994489871</v>
      </c>
      <c r="AB11" s="106">
        <v>37.519140082273886</v>
      </c>
      <c r="AG11" s="106">
        <v>23.721661901168133</v>
      </c>
      <c r="AL11" s="106">
        <v>30.25083358263565</v>
      </c>
      <c r="AN11" s="106">
        <v>30.319512684010498</v>
      </c>
      <c r="AQ11" s="106">
        <v>27.679370283356526</v>
      </c>
      <c r="AS11" s="106">
        <v>27.679370283356526</v>
      </c>
      <c r="AU11" s="106">
        <v>31.957924822213414</v>
      </c>
      <c r="AV11" s="106">
        <v>31.957924822213414</v>
      </c>
      <c r="AW11" s="106">
        <v>31.957924822213414</v>
      </c>
      <c r="AX11" s="106">
        <v>31.957924822213414</v>
      </c>
    </row>
    <row r="12" spans="1:53" x14ac:dyDescent="0.2">
      <c r="B12" s="126">
        <v>3</v>
      </c>
      <c r="C12" s="112" t="s">
        <v>293</v>
      </c>
      <c r="L12" s="106">
        <v>37.519140082273886</v>
      </c>
    </row>
    <row r="13" spans="1:53" x14ac:dyDescent="0.2">
      <c r="B13" s="126">
        <v>4</v>
      </c>
      <c r="C13" s="112" t="s">
        <v>293</v>
      </c>
    </row>
    <row r="14" spans="1:53" x14ac:dyDescent="0.2">
      <c r="A14" s="121" t="s">
        <v>134</v>
      </c>
      <c r="B14" s="127">
        <v>1</v>
      </c>
      <c r="C14" s="123" t="s">
        <v>293</v>
      </c>
      <c r="D14" s="123">
        <v>129.28657436975507</v>
      </c>
      <c r="E14" s="123">
        <f t="shared" ref="E14:AZ14" si="0">D$172*SUM(D$122:D$169)</f>
        <v>792.29434719075255</v>
      </c>
      <c r="F14" s="123">
        <f t="shared" si="0"/>
        <v>415.01289630751785</v>
      </c>
      <c r="G14" s="123">
        <f t="shared" si="0"/>
        <v>138.75604338210675</v>
      </c>
      <c r="H14" s="123">
        <f t="shared" si="0"/>
        <v>9.9275047809164523</v>
      </c>
      <c r="I14" s="123">
        <f t="shared" si="0"/>
        <v>43.986844453659977</v>
      </c>
      <c r="J14" s="123">
        <f t="shared" si="0"/>
        <v>11.724647166757643</v>
      </c>
      <c r="K14" s="123">
        <f t="shared" si="0"/>
        <v>21.993422226829988</v>
      </c>
      <c r="L14" s="123">
        <f t="shared" si="0"/>
        <v>28.678225186583447</v>
      </c>
      <c r="M14" s="123">
        <f t="shared" si="0"/>
        <v>194.62174669974146</v>
      </c>
      <c r="N14" s="123">
        <f t="shared" si="0"/>
        <v>97.310873349870732</v>
      </c>
      <c r="O14" s="123">
        <f t="shared" si="0"/>
        <v>0</v>
      </c>
      <c r="P14" s="123">
        <f t="shared" si="0"/>
        <v>97.310873349870732</v>
      </c>
      <c r="Q14" s="123">
        <f t="shared" si="0"/>
        <v>53.272807291150549</v>
      </c>
      <c r="R14" s="123">
        <f t="shared" si="0"/>
        <v>0</v>
      </c>
      <c r="S14" s="123">
        <f t="shared" si="0"/>
        <v>104.47945243599771</v>
      </c>
      <c r="T14" s="123">
        <f t="shared" si="0"/>
        <v>0</v>
      </c>
      <c r="U14" s="123">
        <f t="shared" si="0"/>
        <v>104.81178997924908</v>
      </c>
      <c r="V14" s="123">
        <f t="shared" si="0"/>
        <v>6.3137254352537076</v>
      </c>
      <c r="W14" s="123">
        <f t="shared" si="0"/>
        <v>52.405894989624542</v>
      </c>
      <c r="X14" s="123">
        <f t="shared" si="0"/>
        <v>33.683001492061287</v>
      </c>
      <c r="Y14" s="123">
        <f t="shared" si="0"/>
        <v>0</v>
      </c>
      <c r="Z14" s="123">
        <f t="shared" si="0"/>
        <v>35.643484870127473</v>
      </c>
      <c r="AA14" s="123">
        <f t="shared" si="0"/>
        <v>0</v>
      </c>
      <c r="AB14" s="123">
        <f t="shared" si="0"/>
        <v>0</v>
      </c>
      <c r="AC14" s="123">
        <f t="shared" si="0"/>
        <v>104.20999340572615</v>
      </c>
      <c r="AD14" s="123">
        <f t="shared" si="0"/>
        <v>41.246703124282014</v>
      </c>
      <c r="AE14" s="123">
        <f t="shared" si="0"/>
        <v>39.808851721182677</v>
      </c>
      <c r="AF14" s="123">
        <f t="shared" si="0"/>
        <v>39.808851721182677</v>
      </c>
      <c r="AG14" s="123">
        <f t="shared" si="0"/>
        <v>0</v>
      </c>
      <c r="AH14" s="123">
        <f t="shared" si="0"/>
        <v>15.688158350434614</v>
      </c>
      <c r="AI14" s="123">
        <f t="shared" si="0"/>
        <v>12.338466284977088</v>
      </c>
      <c r="AJ14" s="123">
        <f t="shared" si="0"/>
        <v>12.01467576494988</v>
      </c>
      <c r="AK14" s="123">
        <f t="shared" si="0"/>
        <v>0</v>
      </c>
      <c r="AL14" s="123">
        <f t="shared" si="0"/>
        <v>0</v>
      </c>
      <c r="AM14" s="123">
        <f t="shared" si="0"/>
        <v>0</v>
      </c>
      <c r="AN14" s="123">
        <f t="shared" si="0"/>
        <v>0</v>
      </c>
      <c r="AO14" s="123">
        <f t="shared" si="0"/>
        <v>2.9908694595901717</v>
      </c>
      <c r="AP14" s="123">
        <f t="shared" si="0"/>
        <v>2.7134992793357249</v>
      </c>
      <c r="AQ14" s="123">
        <f t="shared" si="0"/>
        <v>0.87535627040369302</v>
      </c>
      <c r="AR14" s="123">
        <f t="shared" si="0"/>
        <v>2.7123828262284668</v>
      </c>
      <c r="AS14" s="123">
        <f t="shared" si="0"/>
        <v>17.000949818260345</v>
      </c>
      <c r="AT14" s="123">
        <f t="shared" si="0"/>
        <v>49.205792987663436</v>
      </c>
      <c r="AU14" s="123">
        <f t="shared" si="0"/>
        <v>0</v>
      </c>
      <c r="AV14" s="123">
        <f t="shared" si="0"/>
        <v>28.405903331960726</v>
      </c>
      <c r="AW14" s="123">
        <f t="shared" si="0"/>
        <v>53.034700891227565</v>
      </c>
      <c r="AX14" s="123">
        <f t="shared" si="0"/>
        <v>53.034700891227565</v>
      </c>
      <c r="AY14" s="123">
        <f t="shared" si="0"/>
        <v>86.006957488218475</v>
      </c>
      <c r="AZ14" s="116">
        <f t="shared" si="0"/>
        <v>32.972256596990924</v>
      </c>
      <c r="BA14" s="113">
        <f>SUM($E14:$AZ14)</f>
        <v>2836.2966508019135</v>
      </c>
    </row>
    <row r="15" spans="1:53" x14ac:dyDescent="0.2">
      <c r="A15" s="128" t="s">
        <v>123</v>
      </c>
      <c r="B15" s="129">
        <v>1</v>
      </c>
      <c r="C15" s="130" t="s">
        <v>293</v>
      </c>
      <c r="D15" s="130">
        <v>0</v>
      </c>
      <c r="E15" s="130">
        <v>98.792517462034212</v>
      </c>
      <c r="F15" s="130">
        <v>75.764296265115064</v>
      </c>
      <c r="G15" s="130">
        <v>0</v>
      </c>
      <c r="H15" s="130">
        <v>75.764296265115064</v>
      </c>
      <c r="I15" s="130">
        <v>0</v>
      </c>
      <c r="J15" s="130">
        <v>0</v>
      </c>
      <c r="K15" s="130">
        <v>98.792517462034212</v>
      </c>
      <c r="L15" s="130">
        <v>98.792517462034212</v>
      </c>
      <c r="M15" s="130">
        <v>98.792517462034212</v>
      </c>
      <c r="N15" s="130">
        <v>0</v>
      </c>
      <c r="O15" s="130">
        <v>98.792517462034212</v>
      </c>
      <c r="P15" s="130">
        <v>88.118214749081218</v>
      </c>
      <c r="Q15" s="130">
        <v>0</v>
      </c>
      <c r="R15" s="130">
        <v>84.700588966393624</v>
      </c>
      <c r="S15" s="130">
        <v>0</v>
      </c>
      <c r="T15" s="130">
        <v>84.700588966393624</v>
      </c>
      <c r="U15" s="130">
        <v>0</v>
      </c>
      <c r="V15" s="130">
        <v>0</v>
      </c>
      <c r="W15" s="130">
        <v>27.219934561735325</v>
      </c>
      <c r="X15" s="130">
        <v>0</v>
      </c>
      <c r="Y15" s="130">
        <v>27.219934561735325</v>
      </c>
      <c r="Z15" s="130">
        <v>0</v>
      </c>
      <c r="AA15" s="130">
        <v>0</v>
      </c>
      <c r="AB15" s="130">
        <v>64.718117818214992</v>
      </c>
      <c r="AC15" s="130">
        <v>64.718117818214992</v>
      </c>
      <c r="AD15" s="130">
        <v>62.462057831299653</v>
      </c>
      <c r="AE15" s="130">
        <v>62.462057831299653</v>
      </c>
      <c r="AF15" s="130">
        <v>0</v>
      </c>
      <c r="AG15" s="130">
        <v>62.462057831299653</v>
      </c>
      <c r="AH15" s="130">
        <v>79.654171135057084</v>
      </c>
      <c r="AI15" s="130">
        <v>79.654171135057084</v>
      </c>
      <c r="AJ15" s="130">
        <v>79.654171135057084</v>
      </c>
      <c r="AK15" s="130">
        <v>0</v>
      </c>
      <c r="AL15" s="130">
        <v>79.835011668901217</v>
      </c>
      <c r="AM15" s="130">
        <v>0</v>
      </c>
      <c r="AN15" s="130">
        <v>79.835011668901217</v>
      </c>
      <c r="AO15" s="130">
        <v>79.835011668901217</v>
      </c>
      <c r="AP15" s="130">
        <v>0</v>
      </c>
      <c r="AQ15" s="130">
        <v>72.883191513990653</v>
      </c>
      <c r="AR15" s="130">
        <v>0</v>
      </c>
      <c r="AS15" s="130">
        <v>72.883191513990653</v>
      </c>
      <c r="AT15" s="130">
        <v>0</v>
      </c>
      <c r="AU15" s="130">
        <v>0</v>
      </c>
      <c r="AV15" s="130">
        <v>0</v>
      </c>
      <c r="AW15" s="130">
        <v>0</v>
      </c>
      <c r="AX15" s="130">
        <v>52.316453320975867</v>
      </c>
      <c r="AY15" s="130">
        <v>52.316453320975867</v>
      </c>
      <c r="AZ15" s="106">
        <v>52.316453320975867</v>
      </c>
    </row>
    <row r="16" spans="1:53" x14ac:dyDescent="0.2">
      <c r="A16" s="116"/>
      <c r="B16" s="125">
        <v>2</v>
      </c>
      <c r="C16" s="115" t="s">
        <v>293</v>
      </c>
      <c r="D16" s="112"/>
      <c r="E16" s="116">
        <v>169.87691311499452</v>
      </c>
      <c r="F16" s="116"/>
      <c r="G16" s="116"/>
      <c r="H16" s="116">
        <v>75.764296265115064</v>
      </c>
      <c r="I16" s="116"/>
      <c r="J16" s="116">
        <v>75.764296265115064</v>
      </c>
      <c r="K16" s="116"/>
      <c r="L16" s="116"/>
      <c r="M16" s="116"/>
      <c r="N16" s="116"/>
      <c r="O16" s="116"/>
      <c r="P16" s="116"/>
      <c r="Q16" s="116"/>
      <c r="R16" s="116">
        <v>88.118214749081218</v>
      </c>
      <c r="S16" s="116"/>
      <c r="T16" s="116">
        <v>84.700588966393624</v>
      </c>
      <c r="U16" s="116"/>
      <c r="V16" s="116">
        <v>84.700588966393624</v>
      </c>
      <c r="W16" s="116">
        <v>27.219934561735325</v>
      </c>
      <c r="X16" s="116"/>
      <c r="Y16" s="116">
        <v>27.219934561735325</v>
      </c>
      <c r="Z16" s="116"/>
      <c r="AA16" s="116"/>
      <c r="AB16" s="116">
        <v>98.792517462034212</v>
      </c>
      <c r="AC16" s="116"/>
      <c r="AD16" s="116"/>
      <c r="AE16" s="116"/>
      <c r="AF16" s="116"/>
      <c r="AG16" s="116">
        <v>62.462057831299653</v>
      </c>
      <c r="AH16" s="116"/>
      <c r="AI16" s="116"/>
      <c r="AJ16" s="116"/>
      <c r="AK16" s="116"/>
      <c r="AL16" s="116">
        <v>79.654171135057084</v>
      </c>
      <c r="AM16" s="116"/>
      <c r="AN16" s="116">
        <v>79.835011668901217</v>
      </c>
      <c r="AO16" s="116"/>
      <c r="AP16" s="116"/>
      <c r="AQ16" s="116">
        <v>72.883191513990653</v>
      </c>
      <c r="AR16" s="116"/>
      <c r="AS16" s="116">
        <v>72.883191513990653</v>
      </c>
      <c r="AT16" s="116"/>
      <c r="AU16" s="116">
        <v>84.149152649170986</v>
      </c>
      <c r="AV16" s="116">
        <v>84.149152649170986</v>
      </c>
      <c r="AW16" s="116">
        <v>84.149152649170986</v>
      </c>
      <c r="AX16" s="116">
        <v>84.149152649170986</v>
      </c>
      <c r="AY16" s="116"/>
    </row>
    <row r="17" spans="1:51" x14ac:dyDescent="0.2">
      <c r="A17" s="116"/>
      <c r="B17" s="125">
        <v>3</v>
      </c>
      <c r="C17" s="115" t="s">
        <v>293</v>
      </c>
      <c r="D17" s="112"/>
      <c r="E17" s="116"/>
      <c r="F17" s="116"/>
      <c r="G17" s="116"/>
      <c r="H17" s="116"/>
      <c r="I17" s="116"/>
      <c r="J17" s="116"/>
      <c r="K17" s="116"/>
      <c r="L17" s="116">
        <v>98.792517462034212</v>
      </c>
      <c r="M17" s="116"/>
      <c r="N17" s="116"/>
      <c r="O17" s="116"/>
      <c r="P17" s="116"/>
      <c r="Q17" s="116"/>
      <c r="R17" s="116"/>
      <c r="S17" s="116"/>
      <c r="T17" s="116"/>
      <c r="U17" s="116"/>
      <c r="V17" s="116"/>
      <c r="W17" s="116"/>
      <c r="X17" s="116"/>
      <c r="Y17" s="116"/>
      <c r="Z17" s="116"/>
      <c r="AA17" s="116"/>
      <c r="AB17" s="116"/>
      <c r="AC17" s="116"/>
      <c r="AD17" s="116"/>
      <c r="AE17" s="116"/>
      <c r="AF17" s="116"/>
      <c r="AG17" s="116"/>
      <c r="AH17" s="116"/>
      <c r="AI17" s="116"/>
      <c r="AJ17" s="116"/>
      <c r="AK17" s="116"/>
      <c r="AL17" s="116"/>
      <c r="AM17" s="116"/>
      <c r="AN17" s="116"/>
      <c r="AO17" s="116"/>
      <c r="AP17" s="116"/>
      <c r="AQ17" s="116"/>
      <c r="AR17" s="116"/>
      <c r="AS17" s="116"/>
      <c r="AT17" s="116"/>
      <c r="AU17" s="116"/>
      <c r="AV17" s="116"/>
      <c r="AW17" s="116"/>
      <c r="AX17" s="116"/>
      <c r="AY17" s="116"/>
    </row>
    <row r="18" spans="1:51" x14ac:dyDescent="0.2">
      <c r="A18" s="131"/>
      <c r="B18" s="122">
        <v>4</v>
      </c>
      <c r="C18" s="131" t="s">
        <v>293</v>
      </c>
      <c r="D18" s="131"/>
      <c r="E18" s="131"/>
      <c r="F18" s="131"/>
      <c r="G18" s="131"/>
      <c r="H18" s="131"/>
      <c r="I18" s="131"/>
      <c r="J18" s="131"/>
      <c r="K18" s="131"/>
      <c r="L18" s="131"/>
      <c r="M18" s="131"/>
      <c r="N18" s="131"/>
      <c r="O18" s="131"/>
      <c r="P18" s="131"/>
      <c r="Q18" s="131"/>
      <c r="R18" s="131"/>
      <c r="S18" s="131"/>
      <c r="T18" s="131"/>
      <c r="U18" s="131"/>
      <c r="V18" s="131"/>
      <c r="W18" s="131"/>
      <c r="X18" s="131"/>
      <c r="Y18" s="131"/>
      <c r="Z18" s="131"/>
      <c r="AA18" s="131"/>
      <c r="AB18" s="131"/>
      <c r="AC18" s="131"/>
      <c r="AD18" s="131"/>
      <c r="AE18" s="131"/>
      <c r="AF18" s="131"/>
      <c r="AG18" s="131"/>
      <c r="AH18" s="131"/>
      <c r="AI18" s="131"/>
      <c r="AJ18" s="131"/>
      <c r="AK18" s="131"/>
      <c r="AL18" s="131"/>
      <c r="AM18" s="131"/>
      <c r="AN18" s="131"/>
      <c r="AO18" s="131"/>
      <c r="AP18" s="131"/>
      <c r="AQ18" s="131"/>
      <c r="AR18" s="131"/>
      <c r="AS18" s="131"/>
      <c r="AT18" s="131"/>
      <c r="AU18" s="131"/>
      <c r="AV18" s="131"/>
      <c r="AW18" s="131"/>
      <c r="AX18" s="131"/>
      <c r="AY18" s="131"/>
    </row>
    <row r="20" spans="1:51" x14ac:dyDescent="0.2">
      <c r="A20" s="108" t="s">
        <v>294</v>
      </c>
    </row>
    <row r="21" spans="1:51" x14ac:dyDescent="0.2">
      <c r="A21" s="132" t="s">
        <v>125</v>
      </c>
      <c r="B21" s="129">
        <v>1</v>
      </c>
      <c r="C21" s="130" t="s">
        <v>293</v>
      </c>
      <c r="D21" s="130"/>
      <c r="E21" s="130"/>
      <c r="F21" s="130"/>
      <c r="G21" s="130"/>
      <c r="H21" s="130"/>
      <c r="I21" s="130"/>
      <c r="J21" s="130"/>
      <c r="K21" s="130"/>
      <c r="L21" s="130"/>
      <c r="M21" s="130"/>
      <c r="N21" s="130"/>
      <c r="O21" s="130"/>
      <c r="P21" s="130"/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30"/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/>
      <c r="AO21" s="130"/>
      <c r="AP21" s="130"/>
      <c r="AQ21" s="130"/>
      <c r="AR21" s="130"/>
      <c r="AS21" s="130"/>
      <c r="AT21" s="130"/>
      <c r="AU21" s="130"/>
      <c r="AV21" s="130"/>
      <c r="AW21" s="130"/>
      <c r="AX21" s="130"/>
      <c r="AY21" s="130"/>
    </row>
    <row r="22" spans="1:51" x14ac:dyDescent="0.2">
      <c r="A22" s="115"/>
      <c r="B22" s="126">
        <v>2</v>
      </c>
      <c r="C22" s="116" t="s">
        <v>293</v>
      </c>
      <c r="D22" s="116"/>
      <c r="E22" s="116"/>
      <c r="F22" s="116"/>
      <c r="G22" s="116"/>
      <c r="H22" s="116"/>
      <c r="I22" s="116"/>
      <c r="J22" s="116"/>
      <c r="K22" s="116"/>
      <c r="L22" s="116"/>
      <c r="M22" s="116"/>
      <c r="N22" s="116"/>
      <c r="O22" s="116"/>
      <c r="P22" s="116"/>
      <c r="Q22" s="116"/>
      <c r="R22" s="116"/>
      <c r="S22" s="116"/>
      <c r="T22" s="116"/>
      <c r="U22" s="116"/>
      <c r="V22" s="116"/>
      <c r="W22" s="116"/>
      <c r="X22" s="116"/>
      <c r="Y22" s="116"/>
      <c r="Z22" s="116"/>
      <c r="AA22" s="116"/>
      <c r="AB22" s="116"/>
      <c r="AC22" s="116"/>
      <c r="AD22" s="116"/>
      <c r="AE22" s="116"/>
      <c r="AF22" s="116"/>
      <c r="AG22" s="116"/>
      <c r="AH22" s="116"/>
      <c r="AI22" s="116"/>
      <c r="AJ22" s="116"/>
      <c r="AK22" s="116"/>
      <c r="AL22" s="116"/>
      <c r="AM22" s="116"/>
      <c r="AN22" s="116"/>
      <c r="AO22" s="116"/>
      <c r="AP22" s="116"/>
      <c r="AQ22" s="116"/>
      <c r="AR22" s="116"/>
      <c r="AS22" s="116"/>
      <c r="AT22" s="116"/>
      <c r="AU22" s="116"/>
      <c r="AV22" s="116"/>
      <c r="AW22" s="116"/>
      <c r="AX22" s="116"/>
      <c r="AY22" s="116"/>
    </row>
    <row r="23" spans="1:51" x14ac:dyDescent="0.2">
      <c r="A23" s="115"/>
      <c r="B23" s="133">
        <v>3</v>
      </c>
      <c r="C23" s="116" t="s">
        <v>293</v>
      </c>
      <c r="D23" s="116"/>
      <c r="E23" s="116"/>
      <c r="F23" s="116"/>
      <c r="G23" s="116"/>
      <c r="H23" s="116"/>
      <c r="I23" s="116"/>
      <c r="J23" s="116"/>
      <c r="K23" s="116"/>
      <c r="L23" s="116"/>
      <c r="M23" s="116"/>
      <c r="N23" s="116"/>
      <c r="O23" s="116"/>
      <c r="P23" s="116"/>
      <c r="Q23" s="116"/>
      <c r="R23" s="116"/>
      <c r="S23" s="116"/>
      <c r="T23" s="116"/>
      <c r="U23" s="116"/>
      <c r="V23" s="116"/>
      <c r="W23" s="116"/>
      <c r="X23" s="116"/>
      <c r="Y23" s="116"/>
      <c r="Z23" s="116"/>
      <c r="AA23" s="116"/>
      <c r="AB23" s="116"/>
      <c r="AC23" s="116"/>
      <c r="AD23" s="116"/>
      <c r="AE23" s="116"/>
      <c r="AF23" s="116"/>
      <c r="AG23" s="116"/>
      <c r="AH23" s="116"/>
      <c r="AI23" s="116"/>
      <c r="AJ23" s="116"/>
      <c r="AK23" s="116"/>
      <c r="AL23" s="116"/>
      <c r="AM23" s="116"/>
      <c r="AN23" s="116"/>
      <c r="AO23" s="116"/>
      <c r="AP23" s="116"/>
      <c r="AQ23" s="116"/>
      <c r="AR23" s="116"/>
      <c r="AS23" s="116"/>
      <c r="AT23" s="116"/>
      <c r="AU23" s="116"/>
      <c r="AV23" s="116"/>
      <c r="AW23" s="116"/>
      <c r="AX23" s="116"/>
      <c r="AY23" s="116"/>
    </row>
    <row r="24" spans="1:51" x14ac:dyDescent="0.2">
      <c r="A24" s="134"/>
      <c r="B24" s="135">
        <v>4</v>
      </c>
      <c r="C24" s="134" t="s">
        <v>293</v>
      </c>
      <c r="D24" s="131">
        <v>0</v>
      </c>
      <c r="E24" s="131">
        <v>0</v>
      </c>
      <c r="F24" s="131">
        <v>0</v>
      </c>
      <c r="G24" s="131">
        <v>0</v>
      </c>
      <c r="H24" s="131">
        <v>0</v>
      </c>
      <c r="I24" s="131">
        <v>0</v>
      </c>
      <c r="J24" s="131">
        <v>0</v>
      </c>
      <c r="K24" s="131">
        <v>0</v>
      </c>
      <c r="L24" s="131">
        <v>0</v>
      </c>
      <c r="M24" s="131">
        <v>0</v>
      </c>
      <c r="N24" s="131">
        <v>0</v>
      </c>
      <c r="O24" s="131">
        <v>0</v>
      </c>
      <c r="P24" s="131">
        <v>0</v>
      </c>
      <c r="Q24" s="131">
        <v>0</v>
      </c>
      <c r="R24" s="131">
        <v>0</v>
      </c>
      <c r="S24" s="131">
        <v>0</v>
      </c>
      <c r="T24" s="131">
        <v>0</v>
      </c>
      <c r="U24" s="131">
        <v>0</v>
      </c>
      <c r="V24" s="131">
        <v>0</v>
      </c>
      <c r="W24" s="131">
        <v>0</v>
      </c>
      <c r="X24" s="131">
        <v>0</v>
      </c>
      <c r="Y24" s="131">
        <v>0</v>
      </c>
      <c r="Z24" s="131">
        <v>0</v>
      </c>
      <c r="AA24" s="131">
        <v>0</v>
      </c>
      <c r="AB24" s="131">
        <v>0</v>
      </c>
      <c r="AC24" s="131">
        <v>0</v>
      </c>
      <c r="AD24" s="131">
        <v>0</v>
      </c>
      <c r="AE24" s="131">
        <v>0</v>
      </c>
      <c r="AF24" s="131">
        <v>0</v>
      </c>
      <c r="AG24" s="131">
        <v>0</v>
      </c>
      <c r="AH24" s="131">
        <v>0</v>
      </c>
      <c r="AI24" s="131">
        <v>0</v>
      </c>
      <c r="AJ24" s="131">
        <v>0</v>
      </c>
      <c r="AK24" s="131">
        <v>0</v>
      </c>
      <c r="AL24" s="131">
        <v>0</v>
      </c>
      <c r="AM24" s="131">
        <v>0</v>
      </c>
      <c r="AN24" s="131">
        <v>0</v>
      </c>
      <c r="AO24" s="131">
        <v>0</v>
      </c>
      <c r="AP24" s="131">
        <v>0</v>
      </c>
      <c r="AQ24" s="131">
        <v>0</v>
      </c>
      <c r="AR24" s="131">
        <v>0</v>
      </c>
      <c r="AS24" s="131">
        <v>0</v>
      </c>
      <c r="AT24" s="131">
        <v>0</v>
      </c>
      <c r="AU24" s="131">
        <v>0</v>
      </c>
      <c r="AV24" s="131">
        <v>0</v>
      </c>
      <c r="AW24" s="131">
        <v>0</v>
      </c>
      <c r="AX24" s="131">
        <v>0</v>
      </c>
      <c r="AY24" s="131">
        <v>0</v>
      </c>
    </row>
    <row r="25" spans="1:51" x14ac:dyDescent="0.2">
      <c r="A25" s="132" t="s">
        <v>133</v>
      </c>
      <c r="B25" s="129">
        <v>1</v>
      </c>
      <c r="C25" s="115" t="s">
        <v>293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116"/>
      <c r="AC25" s="116"/>
      <c r="AD25" s="116"/>
      <c r="AE25" s="116"/>
      <c r="AF25" s="116"/>
      <c r="AG25" s="116"/>
      <c r="AH25" s="116"/>
      <c r="AI25" s="116"/>
      <c r="AJ25" s="116"/>
      <c r="AK25" s="116"/>
      <c r="AL25" s="116"/>
      <c r="AM25" s="116"/>
      <c r="AN25" s="116"/>
      <c r="AO25" s="116"/>
      <c r="AP25" s="116"/>
      <c r="AQ25" s="116"/>
      <c r="AR25" s="116"/>
      <c r="AS25" s="116"/>
      <c r="AT25" s="116"/>
      <c r="AU25" s="116"/>
      <c r="AV25" s="116"/>
      <c r="AW25" s="116"/>
      <c r="AX25" s="116"/>
      <c r="AY25" s="116"/>
    </row>
    <row r="26" spans="1:51" x14ac:dyDescent="0.2">
      <c r="A26" s="115"/>
      <c r="B26" s="125">
        <v>2</v>
      </c>
      <c r="C26" s="115" t="s">
        <v>293</v>
      </c>
      <c r="D26" s="116"/>
      <c r="E26" s="116"/>
      <c r="F26" s="116"/>
      <c r="G26" s="116"/>
      <c r="H26" s="116"/>
      <c r="I26" s="116"/>
      <c r="J26" s="116"/>
      <c r="K26" s="116"/>
      <c r="L26" s="116"/>
      <c r="M26" s="116"/>
      <c r="N26" s="116"/>
      <c r="O26" s="116"/>
      <c r="P26" s="116"/>
      <c r="Q26" s="116"/>
      <c r="R26" s="116"/>
      <c r="S26" s="116"/>
      <c r="T26" s="116"/>
      <c r="U26" s="116"/>
      <c r="V26" s="116"/>
      <c r="W26" s="116"/>
      <c r="X26" s="116"/>
      <c r="Y26" s="116"/>
      <c r="Z26" s="116"/>
      <c r="AA26" s="116"/>
      <c r="AB26" s="116"/>
      <c r="AC26" s="116"/>
      <c r="AD26" s="116"/>
      <c r="AE26" s="116"/>
      <c r="AF26" s="116"/>
      <c r="AG26" s="116"/>
      <c r="AH26" s="116"/>
      <c r="AI26" s="116"/>
      <c r="AJ26" s="116"/>
      <c r="AK26" s="116"/>
      <c r="AL26" s="116"/>
      <c r="AM26" s="116"/>
      <c r="AN26" s="116"/>
      <c r="AO26" s="116"/>
      <c r="AP26" s="116"/>
      <c r="AQ26" s="116"/>
      <c r="AR26" s="116"/>
      <c r="AS26" s="116"/>
      <c r="AT26" s="116"/>
      <c r="AU26" s="116"/>
      <c r="AV26" s="116"/>
      <c r="AW26" s="116"/>
      <c r="AX26" s="116"/>
      <c r="AY26" s="116"/>
    </row>
    <row r="27" spans="1:51" x14ac:dyDescent="0.2">
      <c r="A27" s="115"/>
      <c r="B27" s="126">
        <v>3</v>
      </c>
      <c r="C27" s="115" t="s">
        <v>293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116"/>
      <c r="AC27" s="116"/>
      <c r="AD27" s="116"/>
      <c r="AE27" s="116"/>
      <c r="AF27" s="116"/>
      <c r="AG27" s="116"/>
      <c r="AH27" s="116"/>
      <c r="AI27" s="116"/>
      <c r="AJ27" s="116"/>
      <c r="AK27" s="116"/>
      <c r="AL27" s="116"/>
      <c r="AM27" s="116"/>
      <c r="AN27" s="116"/>
      <c r="AO27" s="116"/>
      <c r="AP27" s="116"/>
      <c r="AQ27" s="116"/>
      <c r="AR27" s="116"/>
      <c r="AS27" s="116"/>
      <c r="AT27" s="116"/>
      <c r="AU27" s="116"/>
      <c r="AV27" s="116"/>
      <c r="AW27" s="116"/>
      <c r="AX27" s="116"/>
      <c r="AY27" s="116"/>
    </row>
    <row r="28" spans="1:51" x14ac:dyDescent="0.2">
      <c r="A28" s="115"/>
      <c r="B28" s="126">
        <v>4</v>
      </c>
      <c r="C28" s="115" t="s">
        <v>293</v>
      </c>
      <c r="D28" s="116"/>
      <c r="E28" s="116"/>
      <c r="F28" s="116"/>
      <c r="G28" s="116"/>
      <c r="H28" s="116"/>
      <c r="I28" s="116"/>
      <c r="J28" s="116"/>
      <c r="K28" s="116"/>
      <c r="L28" s="116"/>
      <c r="M28" s="116"/>
      <c r="N28" s="116"/>
      <c r="O28" s="116"/>
      <c r="P28" s="116"/>
      <c r="Q28" s="116"/>
      <c r="R28" s="116"/>
      <c r="S28" s="116"/>
      <c r="T28" s="116"/>
      <c r="U28" s="116"/>
      <c r="V28" s="116"/>
      <c r="W28" s="116"/>
      <c r="X28" s="116"/>
      <c r="Y28" s="116"/>
      <c r="Z28" s="116"/>
      <c r="AA28" s="116"/>
      <c r="AB28" s="116"/>
      <c r="AC28" s="116"/>
      <c r="AD28" s="116"/>
      <c r="AE28" s="116"/>
      <c r="AF28" s="116"/>
      <c r="AG28" s="116"/>
      <c r="AH28" s="116"/>
      <c r="AI28" s="116"/>
      <c r="AJ28" s="116"/>
      <c r="AK28" s="116"/>
      <c r="AL28" s="116"/>
      <c r="AM28" s="116"/>
      <c r="AN28" s="116"/>
      <c r="AO28" s="116"/>
      <c r="AP28" s="116"/>
      <c r="AQ28" s="116"/>
      <c r="AR28" s="116"/>
      <c r="AS28" s="116"/>
      <c r="AT28" s="116"/>
      <c r="AU28" s="116"/>
      <c r="AV28" s="116"/>
      <c r="AW28" s="116"/>
      <c r="AX28" s="116"/>
      <c r="AY28" s="116"/>
    </row>
    <row r="29" spans="1:51" x14ac:dyDescent="0.2">
      <c r="A29" s="115"/>
      <c r="B29" s="133">
        <v>5</v>
      </c>
      <c r="C29" s="115" t="s">
        <v>293</v>
      </c>
      <c r="D29" s="116"/>
      <c r="E29" s="116"/>
      <c r="F29" s="116"/>
      <c r="G29" s="116"/>
      <c r="H29" s="116"/>
      <c r="I29" s="116"/>
      <c r="J29" s="116"/>
      <c r="K29" s="116"/>
      <c r="L29" s="116"/>
      <c r="M29" s="116"/>
      <c r="N29" s="116"/>
      <c r="O29" s="116"/>
      <c r="P29" s="116"/>
      <c r="Q29" s="116"/>
      <c r="R29" s="116"/>
      <c r="S29" s="116"/>
      <c r="T29" s="116"/>
      <c r="U29" s="116"/>
      <c r="V29" s="116"/>
      <c r="W29" s="116"/>
      <c r="X29" s="116"/>
      <c r="Y29" s="116"/>
      <c r="Z29" s="116"/>
      <c r="AA29" s="116"/>
      <c r="AB29" s="116"/>
      <c r="AC29" s="116"/>
      <c r="AD29" s="116"/>
      <c r="AE29" s="116"/>
      <c r="AF29" s="116"/>
      <c r="AG29" s="116"/>
      <c r="AH29" s="116"/>
      <c r="AI29" s="116"/>
      <c r="AJ29" s="116"/>
      <c r="AK29" s="116"/>
      <c r="AL29" s="116"/>
      <c r="AM29" s="116"/>
      <c r="AN29" s="116"/>
      <c r="AO29" s="116"/>
      <c r="AP29" s="116"/>
      <c r="AQ29" s="116"/>
      <c r="AR29" s="116"/>
      <c r="AS29" s="116"/>
      <c r="AT29" s="116"/>
      <c r="AU29" s="116"/>
      <c r="AV29" s="116"/>
      <c r="AW29" s="116"/>
      <c r="AX29" s="116"/>
      <c r="AY29" s="116"/>
    </row>
    <row r="30" spans="1:51" x14ac:dyDescent="0.2">
      <c r="A30" s="115"/>
      <c r="B30" s="133">
        <v>6</v>
      </c>
      <c r="C30" s="115" t="s">
        <v>293</v>
      </c>
      <c r="D30" s="116"/>
      <c r="E30" s="116"/>
      <c r="F30" s="116"/>
      <c r="G30" s="116"/>
      <c r="H30" s="116"/>
      <c r="I30" s="116"/>
      <c r="J30" s="116"/>
      <c r="K30" s="116"/>
      <c r="L30" s="116"/>
      <c r="M30" s="116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6"/>
      <c r="AB30" s="116"/>
      <c r="AC30" s="116"/>
      <c r="AD30" s="116"/>
      <c r="AE30" s="116"/>
      <c r="AF30" s="116"/>
      <c r="AG30" s="116"/>
      <c r="AH30" s="116"/>
      <c r="AI30" s="116"/>
      <c r="AJ30" s="116"/>
      <c r="AK30" s="116"/>
      <c r="AL30" s="116"/>
      <c r="AM30" s="116"/>
      <c r="AN30" s="116"/>
      <c r="AO30" s="116"/>
      <c r="AP30" s="116"/>
      <c r="AQ30" s="116"/>
      <c r="AR30" s="116"/>
      <c r="AS30" s="116"/>
      <c r="AT30" s="116"/>
      <c r="AU30" s="116"/>
      <c r="AV30" s="116"/>
      <c r="AW30" s="116"/>
      <c r="AX30" s="116"/>
      <c r="AY30" s="116"/>
    </row>
    <row r="31" spans="1:51" x14ac:dyDescent="0.2">
      <c r="A31" s="115"/>
      <c r="B31" s="136">
        <v>7</v>
      </c>
      <c r="C31" s="115" t="s">
        <v>293</v>
      </c>
      <c r="D31" s="116"/>
      <c r="E31" s="116"/>
      <c r="F31" s="116"/>
      <c r="G31" s="116"/>
      <c r="H31" s="116"/>
      <c r="I31" s="116"/>
      <c r="J31" s="116"/>
      <c r="K31" s="116"/>
      <c r="L31" s="116"/>
      <c r="M31" s="116"/>
      <c r="N31" s="116"/>
      <c r="O31" s="116"/>
      <c r="P31" s="116"/>
      <c r="Q31" s="116"/>
      <c r="R31" s="116"/>
      <c r="S31" s="116"/>
      <c r="T31" s="116"/>
      <c r="U31" s="116"/>
      <c r="V31" s="116"/>
      <c r="W31" s="116"/>
      <c r="X31" s="116"/>
      <c r="Y31" s="116"/>
      <c r="Z31" s="116"/>
      <c r="AA31" s="116"/>
      <c r="AB31" s="116"/>
      <c r="AC31" s="116"/>
      <c r="AD31" s="116"/>
      <c r="AE31" s="116"/>
      <c r="AF31" s="116"/>
      <c r="AG31" s="116"/>
      <c r="AH31" s="116"/>
      <c r="AI31" s="116"/>
      <c r="AJ31" s="116"/>
      <c r="AK31" s="116"/>
      <c r="AL31" s="116"/>
      <c r="AM31" s="116"/>
      <c r="AN31" s="116"/>
      <c r="AO31" s="116"/>
      <c r="AP31" s="116"/>
      <c r="AQ31" s="116"/>
      <c r="AR31" s="116"/>
      <c r="AS31" s="116"/>
      <c r="AT31" s="116"/>
      <c r="AU31" s="116"/>
      <c r="AV31" s="116"/>
      <c r="AW31" s="116"/>
      <c r="AX31" s="116"/>
      <c r="AY31" s="116"/>
    </row>
    <row r="32" spans="1:51" x14ac:dyDescent="0.2">
      <c r="A32" s="134"/>
      <c r="B32" s="135">
        <v>8</v>
      </c>
      <c r="C32" s="134" t="s">
        <v>293</v>
      </c>
      <c r="D32" s="131">
        <v>0</v>
      </c>
      <c r="E32" s="131">
        <v>0</v>
      </c>
      <c r="F32" s="131">
        <v>0</v>
      </c>
      <c r="G32" s="131">
        <v>0</v>
      </c>
      <c r="H32" s="131">
        <v>0</v>
      </c>
      <c r="I32" s="131">
        <v>0</v>
      </c>
      <c r="J32" s="131">
        <v>0</v>
      </c>
      <c r="K32" s="131">
        <v>0</v>
      </c>
      <c r="L32" s="131">
        <v>0</v>
      </c>
      <c r="M32" s="131">
        <v>0</v>
      </c>
      <c r="N32" s="131">
        <v>0</v>
      </c>
      <c r="O32" s="131">
        <v>0</v>
      </c>
      <c r="P32" s="131">
        <v>0</v>
      </c>
      <c r="Q32" s="131">
        <v>0</v>
      </c>
      <c r="R32" s="131">
        <v>0</v>
      </c>
      <c r="S32" s="131">
        <v>0</v>
      </c>
      <c r="T32" s="131">
        <v>0</v>
      </c>
      <c r="U32" s="131">
        <v>0</v>
      </c>
      <c r="V32" s="131">
        <v>0</v>
      </c>
      <c r="W32" s="131">
        <v>0</v>
      </c>
      <c r="X32" s="131">
        <v>0</v>
      </c>
      <c r="Y32" s="131">
        <v>0</v>
      </c>
      <c r="Z32" s="131">
        <v>0</v>
      </c>
      <c r="AA32" s="131">
        <v>0</v>
      </c>
      <c r="AB32" s="131">
        <v>0</v>
      </c>
      <c r="AC32" s="131">
        <v>0</v>
      </c>
      <c r="AD32" s="131">
        <v>0</v>
      </c>
      <c r="AE32" s="131">
        <v>0</v>
      </c>
      <c r="AF32" s="131">
        <v>0</v>
      </c>
      <c r="AG32" s="131">
        <v>0</v>
      </c>
      <c r="AH32" s="131">
        <v>0</v>
      </c>
      <c r="AI32" s="131">
        <v>0</v>
      </c>
      <c r="AJ32" s="131">
        <v>0</v>
      </c>
      <c r="AK32" s="131">
        <v>0</v>
      </c>
      <c r="AL32" s="131">
        <v>0</v>
      </c>
      <c r="AM32" s="131">
        <v>0</v>
      </c>
      <c r="AN32" s="131">
        <v>0</v>
      </c>
      <c r="AO32" s="131">
        <v>0</v>
      </c>
      <c r="AP32" s="131">
        <v>0</v>
      </c>
      <c r="AQ32" s="131">
        <v>0</v>
      </c>
      <c r="AR32" s="131">
        <v>0</v>
      </c>
      <c r="AS32" s="131">
        <v>0</v>
      </c>
      <c r="AT32" s="131">
        <v>0</v>
      </c>
      <c r="AU32" s="131">
        <v>0</v>
      </c>
      <c r="AV32" s="131">
        <v>0</v>
      </c>
      <c r="AW32" s="131">
        <v>0</v>
      </c>
      <c r="AX32" s="131">
        <v>0</v>
      </c>
      <c r="AY32" s="131">
        <v>0</v>
      </c>
    </row>
    <row r="33" spans="1:51" x14ac:dyDescent="0.2">
      <c r="A33" s="137" t="s">
        <v>134</v>
      </c>
      <c r="B33" s="125">
        <v>1</v>
      </c>
      <c r="C33" s="115" t="s">
        <v>293</v>
      </c>
      <c r="D33" s="112"/>
      <c r="E33" s="112"/>
      <c r="F33" s="112"/>
      <c r="G33" s="112"/>
      <c r="H33" s="112"/>
      <c r="I33" s="112"/>
      <c r="J33" s="112"/>
      <c r="K33" s="112"/>
      <c r="L33" s="112"/>
      <c r="M33" s="112"/>
      <c r="N33" s="112"/>
      <c r="O33" s="112"/>
      <c r="P33" s="112"/>
      <c r="Q33" s="112"/>
      <c r="R33" s="112"/>
      <c r="S33" s="112"/>
      <c r="T33" s="112"/>
      <c r="U33" s="112"/>
      <c r="V33" s="112"/>
      <c r="W33" s="112"/>
      <c r="X33" s="112"/>
      <c r="Y33" s="112"/>
      <c r="Z33" s="112"/>
      <c r="AA33" s="112"/>
      <c r="AB33" s="112"/>
      <c r="AC33" s="112"/>
      <c r="AD33" s="112"/>
      <c r="AE33" s="112"/>
      <c r="AF33" s="112"/>
      <c r="AG33" s="112"/>
      <c r="AH33" s="112"/>
      <c r="AI33" s="112"/>
      <c r="AJ33" s="112"/>
      <c r="AK33" s="112"/>
      <c r="AL33" s="112"/>
      <c r="AM33" s="112"/>
      <c r="AN33" s="112"/>
      <c r="AO33" s="112"/>
      <c r="AP33" s="112"/>
      <c r="AQ33" s="112"/>
      <c r="AR33" s="112"/>
      <c r="AS33" s="112"/>
      <c r="AT33" s="112"/>
      <c r="AU33" s="112"/>
      <c r="AV33" s="112"/>
      <c r="AW33" s="112"/>
      <c r="AX33" s="112"/>
      <c r="AY33" s="112"/>
    </row>
    <row r="34" spans="1:51" x14ac:dyDescent="0.2">
      <c r="A34" s="115"/>
      <c r="B34" s="125">
        <v>2</v>
      </c>
      <c r="C34" s="115" t="s">
        <v>293</v>
      </c>
      <c r="D34" s="112"/>
      <c r="E34" s="112"/>
      <c r="F34" s="112"/>
      <c r="G34" s="112"/>
      <c r="H34" s="112"/>
      <c r="I34" s="112"/>
      <c r="J34" s="112"/>
      <c r="K34" s="112"/>
      <c r="L34" s="112"/>
      <c r="M34" s="112"/>
      <c r="N34" s="112"/>
      <c r="O34" s="112"/>
      <c r="P34" s="112"/>
      <c r="Q34" s="112"/>
      <c r="R34" s="112"/>
      <c r="S34" s="112"/>
      <c r="T34" s="112"/>
      <c r="U34" s="112"/>
      <c r="V34" s="112"/>
      <c r="W34" s="112"/>
      <c r="X34" s="112"/>
      <c r="Y34" s="112"/>
      <c r="Z34" s="112"/>
      <c r="AA34" s="112"/>
      <c r="AB34" s="112"/>
      <c r="AC34" s="112"/>
      <c r="AD34" s="112"/>
      <c r="AE34" s="112"/>
      <c r="AF34" s="112"/>
      <c r="AG34" s="112"/>
      <c r="AH34" s="112"/>
      <c r="AI34" s="112"/>
      <c r="AJ34" s="112"/>
      <c r="AK34" s="112"/>
      <c r="AL34" s="112"/>
      <c r="AM34" s="112"/>
      <c r="AN34" s="112"/>
      <c r="AO34" s="112"/>
      <c r="AP34" s="112"/>
      <c r="AQ34" s="112"/>
      <c r="AR34" s="112"/>
      <c r="AS34" s="112"/>
      <c r="AT34" s="112"/>
      <c r="AU34" s="112"/>
      <c r="AV34" s="112"/>
      <c r="AW34" s="112"/>
      <c r="AX34" s="112"/>
      <c r="AY34" s="112"/>
    </row>
    <row r="35" spans="1:51" x14ac:dyDescent="0.2">
      <c r="A35" s="115"/>
      <c r="B35" s="125">
        <v>3</v>
      </c>
      <c r="C35" s="115" t="s">
        <v>293</v>
      </c>
      <c r="D35" s="112"/>
      <c r="E35" s="112"/>
      <c r="F35" s="112"/>
      <c r="G35" s="112"/>
      <c r="H35" s="112"/>
      <c r="I35" s="112"/>
      <c r="J35" s="112"/>
      <c r="K35" s="112"/>
      <c r="L35" s="112"/>
      <c r="M35" s="112"/>
      <c r="N35" s="112"/>
      <c r="O35" s="112"/>
      <c r="P35" s="112"/>
      <c r="Q35" s="112"/>
      <c r="R35" s="112"/>
      <c r="S35" s="112"/>
      <c r="T35" s="112"/>
      <c r="U35" s="112"/>
      <c r="V35" s="112"/>
      <c r="W35" s="112"/>
      <c r="X35" s="112"/>
      <c r="Y35" s="112"/>
      <c r="Z35" s="112"/>
      <c r="AA35" s="112"/>
      <c r="AB35" s="112"/>
      <c r="AC35" s="112"/>
      <c r="AD35" s="112"/>
      <c r="AE35" s="112"/>
      <c r="AF35" s="112"/>
      <c r="AG35" s="112"/>
      <c r="AH35" s="112"/>
      <c r="AI35" s="112"/>
      <c r="AJ35" s="112"/>
      <c r="AK35" s="112"/>
      <c r="AL35" s="112"/>
      <c r="AM35" s="112"/>
      <c r="AN35" s="112"/>
      <c r="AO35" s="112"/>
      <c r="AP35" s="112"/>
      <c r="AQ35" s="112"/>
      <c r="AR35" s="112"/>
      <c r="AS35" s="112"/>
      <c r="AT35" s="112"/>
      <c r="AU35" s="112"/>
      <c r="AV35" s="112"/>
      <c r="AW35" s="112"/>
      <c r="AX35" s="112"/>
      <c r="AY35" s="112"/>
    </row>
    <row r="36" spans="1:51" x14ac:dyDescent="0.2">
      <c r="A36" s="115"/>
      <c r="B36" s="126">
        <v>4</v>
      </c>
      <c r="C36" s="115" t="s">
        <v>293</v>
      </c>
      <c r="D36" s="112"/>
      <c r="E36" s="112"/>
      <c r="F36" s="112"/>
      <c r="G36" s="112"/>
      <c r="H36" s="112"/>
      <c r="I36" s="112"/>
      <c r="J36" s="112"/>
      <c r="K36" s="112"/>
      <c r="L36" s="112"/>
      <c r="M36" s="112"/>
      <c r="N36" s="112"/>
      <c r="O36" s="112"/>
      <c r="P36" s="112"/>
      <c r="Q36" s="112"/>
      <c r="R36" s="112"/>
      <c r="S36" s="112"/>
      <c r="T36" s="112"/>
      <c r="U36" s="112"/>
      <c r="V36" s="112"/>
      <c r="W36" s="112"/>
      <c r="X36" s="112"/>
      <c r="Y36" s="112"/>
      <c r="Z36" s="112"/>
      <c r="AA36" s="112"/>
      <c r="AB36" s="112"/>
      <c r="AC36" s="112"/>
      <c r="AD36" s="112"/>
      <c r="AE36" s="112"/>
      <c r="AF36" s="112"/>
      <c r="AG36" s="112"/>
      <c r="AH36" s="112"/>
      <c r="AI36" s="112"/>
      <c r="AJ36" s="112"/>
      <c r="AK36" s="112"/>
      <c r="AL36" s="112"/>
      <c r="AM36" s="112"/>
      <c r="AN36" s="112"/>
      <c r="AO36" s="112"/>
      <c r="AP36" s="112"/>
      <c r="AQ36" s="112"/>
      <c r="AR36" s="112"/>
      <c r="AS36" s="112"/>
      <c r="AT36" s="112"/>
      <c r="AU36" s="112"/>
      <c r="AV36" s="112"/>
      <c r="AW36" s="112"/>
      <c r="AX36" s="112"/>
      <c r="AY36" s="112"/>
    </row>
    <row r="37" spans="1:51" x14ac:dyDescent="0.2">
      <c r="A37" s="115"/>
      <c r="B37" s="126">
        <v>5</v>
      </c>
      <c r="C37" s="115" t="s">
        <v>293</v>
      </c>
      <c r="D37" s="112"/>
      <c r="E37" s="112"/>
      <c r="F37" s="112"/>
      <c r="G37" s="112"/>
      <c r="H37" s="112"/>
      <c r="I37" s="112"/>
      <c r="J37" s="112"/>
      <c r="K37" s="112"/>
      <c r="L37" s="112"/>
      <c r="M37" s="112"/>
      <c r="N37" s="112"/>
      <c r="O37" s="112"/>
      <c r="P37" s="112"/>
      <c r="Q37" s="112"/>
      <c r="R37" s="112"/>
      <c r="S37" s="112"/>
      <c r="T37" s="112"/>
      <c r="U37" s="112"/>
      <c r="V37" s="112"/>
      <c r="W37" s="112"/>
      <c r="X37" s="112"/>
      <c r="Y37" s="112"/>
      <c r="Z37" s="112"/>
      <c r="AA37" s="112"/>
      <c r="AB37" s="112"/>
      <c r="AC37" s="112"/>
      <c r="AD37" s="112"/>
      <c r="AE37" s="112"/>
      <c r="AF37" s="112"/>
      <c r="AG37" s="112"/>
      <c r="AH37" s="112"/>
      <c r="AI37" s="112"/>
      <c r="AJ37" s="112"/>
      <c r="AK37" s="112"/>
      <c r="AL37" s="112"/>
      <c r="AM37" s="112"/>
      <c r="AN37" s="112"/>
      <c r="AO37" s="112"/>
      <c r="AP37" s="112"/>
      <c r="AQ37" s="112"/>
      <c r="AR37" s="112"/>
      <c r="AS37" s="112"/>
      <c r="AT37" s="112"/>
      <c r="AU37" s="112"/>
      <c r="AV37" s="112"/>
      <c r="AW37" s="112"/>
      <c r="AX37" s="112"/>
      <c r="AY37" s="112"/>
    </row>
    <row r="38" spans="1:51" x14ac:dyDescent="0.2">
      <c r="A38" s="115"/>
      <c r="B38" s="126">
        <v>6</v>
      </c>
      <c r="C38" s="115" t="s">
        <v>293</v>
      </c>
      <c r="D38" s="112"/>
      <c r="E38" s="112"/>
      <c r="F38" s="112"/>
      <c r="G38" s="112"/>
      <c r="H38" s="112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112"/>
      <c r="T38" s="112"/>
      <c r="U38" s="112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  <c r="AH38" s="112"/>
      <c r="AI38" s="112"/>
      <c r="AJ38" s="112"/>
      <c r="AK38" s="112"/>
      <c r="AL38" s="112"/>
      <c r="AM38" s="112"/>
      <c r="AN38" s="112"/>
      <c r="AO38" s="112"/>
      <c r="AP38" s="112"/>
      <c r="AQ38" s="112"/>
      <c r="AR38" s="112"/>
      <c r="AS38" s="112"/>
      <c r="AT38" s="112"/>
      <c r="AU38" s="112"/>
      <c r="AV38" s="112"/>
      <c r="AW38" s="112"/>
      <c r="AX38" s="112"/>
      <c r="AY38" s="112"/>
    </row>
    <row r="39" spans="1:51" x14ac:dyDescent="0.2">
      <c r="A39" s="115"/>
      <c r="B39" s="133">
        <v>7</v>
      </c>
      <c r="C39" s="115" t="s">
        <v>293</v>
      </c>
      <c r="D39" s="112"/>
      <c r="E39" s="112"/>
      <c r="F39" s="112"/>
      <c r="G39" s="112"/>
      <c r="H39" s="112"/>
      <c r="I39" s="112"/>
      <c r="J39" s="112"/>
      <c r="K39" s="112"/>
      <c r="L39" s="112"/>
      <c r="M39" s="112"/>
      <c r="N39" s="112"/>
      <c r="O39" s="112"/>
      <c r="P39" s="112"/>
      <c r="Q39" s="112"/>
      <c r="R39" s="112"/>
      <c r="S39" s="112"/>
      <c r="T39" s="112"/>
      <c r="U39" s="112"/>
      <c r="V39" s="112"/>
      <c r="W39" s="112"/>
      <c r="X39" s="112"/>
      <c r="Y39" s="112"/>
      <c r="Z39" s="112"/>
      <c r="AA39" s="112"/>
      <c r="AB39" s="112"/>
      <c r="AC39" s="112"/>
      <c r="AD39" s="112"/>
      <c r="AE39" s="112"/>
      <c r="AF39" s="112"/>
      <c r="AG39" s="112"/>
      <c r="AH39" s="112"/>
      <c r="AI39" s="112"/>
      <c r="AJ39" s="112"/>
      <c r="AK39" s="112"/>
      <c r="AL39" s="112"/>
      <c r="AM39" s="112"/>
      <c r="AN39" s="112"/>
      <c r="AO39" s="112"/>
      <c r="AP39" s="112"/>
      <c r="AQ39" s="112"/>
      <c r="AR39" s="112"/>
      <c r="AS39" s="112"/>
      <c r="AT39" s="112"/>
      <c r="AU39" s="112"/>
      <c r="AV39" s="112"/>
      <c r="AW39" s="112"/>
      <c r="AX39" s="112"/>
      <c r="AY39" s="112"/>
    </row>
    <row r="40" spans="1:51" x14ac:dyDescent="0.2">
      <c r="A40" s="115"/>
      <c r="B40" s="133">
        <v>8</v>
      </c>
      <c r="C40" s="115" t="s">
        <v>293</v>
      </c>
      <c r="D40" s="112"/>
      <c r="E40" s="112"/>
      <c r="F40" s="112"/>
      <c r="G40" s="112"/>
      <c r="H40" s="112"/>
      <c r="I40" s="112"/>
      <c r="J40" s="112"/>
      <c r="K40" s="112"/>
      <c r="L40" s="112"/>
      <c r="M40" s="112"/>
      <c r="N40" s="112"/>
      <c r="O40" s="112"/>
      <c r="P40" s="112"/>
      <c r="Q40" s="112"/>
      <c r="R40" s="112"/>
      <c r="S40" s="112"/>
      <c r="T40" s="112"/>
      <c r="U40" s="112"/>
      <c r="V40" s="112"/>
      <c r="W40" s="112"/>
      <c r="X40" s="112"/>
      <c r="Y40" s="112"/>
      <c r="Z40" s="112"/>
      <c r="AA40" s="112"/>
      <c r="AB40" s="112"/>
      <c r="AC40" s="112"/>
      <c r="AD40" s="112"/>
      <c r="AE40" s="112"/>
      <c r="AF40" s="112"/>
      <c r="AG40" s="112"/>
      <c r="AH40" s="112"/>
      <c r="AI40" s="112"/>
      <c r="AJ40" s="112"/>
      <c r="AK40" s="112"/>
      <c r="AL40" s="112"/>
      <c r="AM40" s="112"/>
      <c r="AN40" s="112"/>
      <c r="AO40" s="112"/>
      <c r="AP40" s="112"/>
      <c r="AQ40" s="112"/>
      <c r="AR40" s="112"/>
      <c r="AS40" s="112"/>
      <c r="AT40" s="112"/>
      <c r="AU40" s="112"/>
      <c r="AV40" s="112"/>
      <c r="AW40" s="112"/>
      <c r="AX40" s="112"/>
      <c r="AY40" s="112"/>
    </row>
    <row r="41" spans="1:51" x14ac:dyDescent="0.2">
      <c r="A41" s="115"/>
      <c r="B41" s="133">
        <v>9</v>
      </c>
      <c r="C41" s="115" t="s">
        <v>293</v>
      </c>
      <c r="D41" s="112"/>
      <c r="E41" s="112"/>
      <c r="F41" s="112"/>
      <c r="G41" s="112"/>
      <c r="H41" s="112"/>
      <c r="I41" s="112"/>
      <c r="J41" s="112"/>
      <c r="K41" s="112"/>
      <c r="L41" s="112"/>
      <c r="M41" s="112"/>
      <c r="N41" s="112"/>
      <c r="O41" s="112"/>
      <c r="P41" s="112"/>
      <c r="Q41" s="112"/>
      <c r="R41" s="112"/>
      <c r="S41" s="112"/>
      <c r="T41" s="112"/>
      <c r="U41" s="112"/>
      <c r="V41" s="112"/>
      <c r="W41" s="112"/>
      <c r="X41" s="112"/>
      <c r="Y41" s="112"/>
      <c r="Z41" s="112"/>
      <c r="AA41" s="112"/>
      <c r="AB41" s="112"/>
      <c r="AC41" s="112"/>
      <c r="AD41" s="112"/>
      <c r="AE41" s="112"/>
      <c r="AF41" s="112"/>
      <c r="AG41" s="112"/>
      <c r="AH41" s="112"/>
      <c r="AI41" s="112"/>
      <c r="AJ41" s="112"/>
      <c r="AK41" s="112"/>
      <c r="AL41" s="112"/>
      <c r="AM41" s="112"/>
      <c r="AN41" s="112"/>
      <c r="AO41" s="112"/>
      <c r="AP41" s="112"/>
      <c r="AQ41" s="112"/>
      <c r="AR41" s="112"/>
      <c r="AS41" s="112"/>
      <c r="AT41" s="112"/>
      <c r="AU41" s="112"/>
      <c r="AV41" s="112"/>
      <c r="AW41" s="112"/>
      <c r="AX41" s="112"/>
      <c r="AY41" s="112"/>
    </row>
    <row r="42" spans="1:51" x14ac:dyDescent="0.2">
      <c r="A42" s="115"/>
      <c r="B42" s="136">
        <v>10</v>
      </c>
      <c r="C42" s="115" t="s">
        <v>293</v>
      </c>
      <c r="D42" s="112"/>
      <c r="E42" s="112"/>
      <c r="F42" s="112"/>
      <c r="G42" s="112"/>
      <c r="H42" s="112"/>
      <c r="I42" s="112"/>
      <c r="J42" s="112"/>
      <c r="K42" s="112"/>
      <c r="L42" s="112"/>
      <c r="M42" s="112"/>
      <c r="N42" s="112"/>
      <c r="O42" s="112"/>
      <c r="P42" s="112"/>
      <c r="Q42" s="112"/>
      <c r="R42" s="112"/>
      <c r="S42" s="112"/>
      <c r="T42" s="112"/>
      <c r="U42" s="112"/>
      <c r="V42" s="112"/>
      <c r="W42" s="112"/>
      <c r="X42" s="112"/>
      <c r="Y42" s="112"/>
      <c r="Z42" s="112"/>
      <c r="AA42" s="112"/>
      <c r="AB42" s="112"/>
      <c r="AC42" s="112"/>
      <c r="AD42" s="112"/>
      <c r="AE42" s="112"/>
      <c r="AF42" s="112"/>
      <c r="AG42" s="112"/>
      <c r="AH42" s="112"/>
      <c r="AI42" s="112"/>
      <c r="AJ42" s="112"/>
      <c r="AK42" s="112"/>
      <c r="AL42" s="112"/>
      <c r="AM42" s="112"/>
      <c r="AN42" s="112"/>
      <c r="AO42" s="112"/>
      <c r="AP42" s="112"/>
      <c r="AQ42" s="112"/>
      <c r="AR42" s="112"/>
      <c r="AS42" s="112"/>
      <c r="AT42" s="112"/>
      <c r="AU42" s="112"/>
      <c r="AV42" s="112"/>
      <c r="AW42" s="112"/>
      <c r="AX42" s="112"/>
      <c r="AY42" s="112"/>
    </row>
    <row r="43" spans="1:51" x14ac:dyDescent="0.2">
      <c r="A43" s="115"/>
      <c r="B43" s="136">
        <v>11</v>
      </c>
      <c r="C43" s="115" t="s">
        <v>293</v>
      </c>
      <c r="D43" s="112"/>
      <c r="E43" s="112"/>
      <c r="F43" s="112"/>
      <c r="G43" s="112"/>
      <c r="H43" s="112"/>
      <c r="I43" s="112"/>
      <c r="J43" s="112"/>
      <c r="K43" s="112"/>
      <c r="L43" s="112"/>
      <c r="M43" s="112"/>
      <c r="N43" s="112"/>
      <c r="O43" s="112"/>
      <c r="P43" s="112"/>
      <c r="Q43" s="112"/>
      <c r="R43" s="112"/>
      <c r="S43" s="112"/>
      <c r="T43" s="112"/>
      <c r="U43" s="112"/>
      <c r="V43" s="112"/>
      <c r="W43" s="112"/>
      <c r="X43" s="112"/>
      <c r="Y43" s="112"/>
      <c r="Z43" s="112"/>
      <c r="AA43" s="112"/>
      <c r="AB43" s="112"/>
      <c r="AC43" s="112"/>
      <c r="AD43" s="112"/>
      <c r="AE43" s="112"/>
      <c r="AF43" s="112"/>
      <c r="AG43" s="112"/>
      <c r="AH43" s="112"/>
      <c r="AI43" s="112"/>
      <c r="AJ43" s="112"/>
      <c r="AK43" s="112"/>
      <c r="AL43" s="112"/>
      <c r="AM43" s="112"/>
      <c r="AN43" s="112"/>
      <c r="AO43" s="112"/>
      <c r="AP43" s="112"/>
      <c r="AQ43" s="112"/>
      <c r="AR43" s="112"/>
      <c r="AS43" s="112"/>
      <c r="AT43" s="112"/>
      <c r="AU43" s="112"/>
      <c r="AV43" s="112"/>
      <c r="AW43" s="112"/>
      <c r="AX43" s="112"/>
      <c r="AY43" s="112"/>
    </row>
    <row r="44" spans="1:51" x14ac:dyDescent="0.2">
      <c r="A44" s="115"/>
      <c r="B44" s="136">
        <v>12</v>
      </c>
      <c r="C44" s="134" t="s">
        <v>293</v>
      </c>
      <c r="D44" s="112">
        <v>0</v>
      </c>
      <c r="E44" s="112">
        <v>0</v>
      </c>
      <c r="F44" s="112">
        <v>0</v>
      </c>
      <c r="G44" s="112">
        <v>0</v>
      </c>
      <c r="H44" s="112">
        <v>0</v>
      </c>
      <c r="I44" s="112">
        <v>0</v>
      </c>
      <c r="J44" s="112">
        <v>0</v>
      </c>
      <c r="K44" s="112">
        <v>0</v>
      </c>
      <c r="L44" s="112">
        <v>0</v>
      </c>
      <c r="M44" s="112">
        <v>0</v>
      </c>
      <c r="N44" s="112">
        <v>0</v>
      </c>
      <c r="O44" s="112">
        <v>0</v>
      </c>
      <c r="P44" s="112">
        <v>0</v>
      </c>
      <c r="Q44" s="112">
        <v>0</v>
      </c>
      <c r="R44" s="112">
        <v>0</v>
      </c>
      <c r="S44" s="112">
        <v>0</v>
      </c>
      <c r="T44" s="112">
        <v>0</v>
      </c>
      <c r="U44" s="112">
        <v>0</v>
      </c>
      <c r="V44" s="112">
        <v>0</v>
      </c>
      <c r="W44" s="112">
        <v>0</v>
      </c>
      <c r="X44" s="112">
        <v>0</v>
      </c>
      <c r="Y44" s="112">
        <v>0</v>
      </c>
      <c r="Z44" s="112">
        <v>0</v>
      </c>
      <c r="AA44" s="112">
        <v>0</v>
      </c>
      <c r="AB44" s="112">
        <v>0</v>
      </c>
      <c r="AC44" s="112">
        <v>0</v>
      </c>
      <c r="AD44" s="112">
        <v>0</v>
      </c>
      <c r="AE44" s="112">
        <v>0</v>
      </c>
      <c r="AF44" s="112">
        <v>0</v>
      </c>
      <c r="AG44" s="112">
        <v>0</v>
      </c>
      <c r="AH44" s="112">
        <v>0</v>
      </c>
      <c r="AI44" s="112">
        <v>0</v>
      </c>
      <c r="AJ44" s="112">
        <v>0</v>
      </c>
      <c r="AK44" s="112">
        <v>0</v>
      </c>
      <c r="AL44" s="112">
        <v>0</v>
      </c>
      <c r="AM44" s="112">
        <v>0</v>
      </c>
      <c r="AN44" s="112">
        <v>0</v>
      </c>
      <c r="AO44" s="112">
        <v>0</v>
      </c>
      <c r="AP44" s="112">
        <v>0</v>
      </c>
      <c r="AQ44" s="112">
        <v>0</v>
      </c>
      <c r="AR44" s="112">
        <v>0</v>
      </c>
      <c r="AS44" s="112">
        <v>0</v>
      </c>
      <c r="AT44" s="112">
        <v>0</v>
      </c>
      <c r="AU44" s="112">
        <v>0</v>
      </c>
      <c r="AV44" s="112">
        <v>0</v>
      </c>
      <c r="AW44" s="112">
        <v>0</v>
      </c>
      <c r="AX44" s="112">
        <v>0</v>
      </c>
      <c r="AY44" s="112">
        <v>0</v>
      </c>
    </row>
    <row r="45" spans="1:51" x14ac:dyDescent="0.2">
      <c r="A45" s="132" t="s">
        <v>123</v>
      </c>
      <c r="B45" s="129">
        <v>1</v>
      </c>
      <c r="C45" s="115" t="s">
        <v>293</v>
      </c>
      <c r="D45" s="130"/>
      <c r="E45" s="130"/>
      <c r="F45" s="130"/>
      <c r="G45" s="130"/>
      <c r="H45" s="130"/>
      <c r="I45" s="130"/>
      <c r="J45" s="130"/>
      <c r="K45" s="130"/>
      <c r="L45" s="130"/>
      <c r="M45" s="130"/>
      <c r="N45" s="130"/>
      <c r="O45" s="130"/>
      <c r="P45" s="130"/>
      <c r="Q45" s="130"/>
      <c r="R45" s="130"/>
      <c r="S45" s="130"/>
      <c r="T45" s="130"/>
      <c r="U45" s="130"/>
      <c r="V45" s="130"/>
      <c r="W45" s="130"/>
      <c r="X45" s="130"/>
      <c r="Y45" s="130"/>
      <c r="Z45" s="130"/>
      <c r="AA45" s="130"/>
      <c r="AB45" s="130"/>
      <c r="AC45" s="130"/>
      <c r="AD45" s="130"/>
      <c r="AE45" s="130"/>
      <c r="AF45" s="130"/>
      <c r="AG45" s="130"/>
      <c r="AH45" s="130"/>
      <c r="AI45" s="130"/>
      <c r="AJ45" s="130"/>
      <c r="AK45" s="130"/>
      <c r="AL45" s="130"/>
      <c r="AM45" s="130"/>
      <c r="AN45" s="130"/>
      <c r="AO45" s="130"/>
      <c r="AP45" s="130"/>
      <c r="AQ45" s="130"/>
      <c r="AR45" s="130"/>
      <c r="AS45" s="130"/>
      <c r="AT45" s="130"/>
      <c r="AU45" s="130"/>
      <c r="AV45" s="130"/>
      <c r="AW45" s="130"/>
      <c r="AX45" s="130"/>
      <c r="AY45" s="130"/>
    </row>
    <row r="46" spans="1:51" x14ac:dyDescent="0.2">
      <c r="A46" s="115"/>
      <c r="B46" s="125">
        <v>2</v>
      </c>
      <c r="C46" s="115" t="s">
        <v>293</v>
      </c>
      <c r="D46" s="116"/>
      <c r="E46" s="116"/>
      <c r="F46" s="116"/>
      <c r="G46" s="116"/>
      <c r="H46" s="116"/>
      <c r="I46" s="116"/>
      <c r="J46" s="116"/>
      <c r="K46" s="116"/>
      <c r="L46" s="116"/>
      <c r="M46" s="116"/>
      <c r="N46" s="116"/>
      <c r="O46" s="116"/>
      <c r="P46" s="116"/>
      <c r="Q46" s="116"/>
      <c r="R46" s="116"/>
      <c r="S46" s="116"/>
      <c r="T46" s="116"/>
      <c r="U46" s="116"/>
      <c r="V46" s="116"/>
      <c r="W46" s="116"/>
      <c r="X46" s="116"/>
      <c r="Y46" s="116"/>
      <c r="Z46" s="116"/>
      <c r="AA46" s="116"/>
      <c r="AB46" s="116"/>
      <c r="AC46" s="116"/>
      <c r="AD46" s="116"/>
      <c r="AE46" s="116"/>
      <c r="AF46" s="116"/>
      <c r="AG46" s="116"/>
      <c r="AH46" s="116"/>
      <c r="AI46" s="116"/>
      <c r="AJ46" s="116"/>
      <c r="AK46" s="116"/>
      <c r="AL46" s="116"/>
      <c r="AM46" s="116"/>
      <c r="AN46" s="116"/>
      <c r="AO46" s="116"/>
      <c r="AP46" s="116"/>
      <c r="AQ46" s="116"/>
      <c r="AR46" s="116"/>
      <c r="AS46" s="116"/>
      <c r="AT46" s="116"/>
      <c r="AU46" s="116"/>
      <c r="AV46" s="116"/>
      <c r="AW46" s="116"/>
      <c r="AX46" s="116"/>
      <c r="AY46" s="116"/>
    </row>
    <row r="47" spans="1:51" x14ac:dyDescent="0.2">
      <c r="A47" s="115"/>
      <c r="B47" s="125">
        <v>3</v>
      </c>
      <c r="C47" s="115" t="s">
        <v>293</v>
      </c>
      <c r="D47" s="116"/>
      <c r="E47" s="116"/>
      <c r="F47" s="116"/>
      <c r="G47" s="116"/>
      <c r="H47" s="116"/>
      <c r="I47" s="116"/>
      <c r="J47" s="116"/>
      <c r="K47" s="116"/>
      <c r="L47" s="116"/>
      <c r="M47" s="116"/>
      <c r="N47" s="116"/>
      <c r="O47" s="116"/>
      <c r="P47" s="116"/>
      <c r="Q47" s="116"/>
      <c r="R47" s="116"/>
      <c r="S47" s="116"/>
      <c r="T47" s="116"/>
      <c r="U47" s="116"/>
      <c r="V47" s="116"/>
      <c r="W47" s="116"/>
      <c r="X47" s="116"/>
      <c r="Y47" s="116"/>
      <c r="Z47" s="116"/>
      <c r="AA47" s="116"/>
      <c r="AB47" s="116"/>
      <c r="AC47" s="116"/>
      <c r="AD47" s="116"/>
      <c r="AE47" s="116"/>
      <c r="AF47" s="116"/>
      <c r="AG47" s="116"/>
      <c r="AH47" s="116"/>
      <c r="AI47" s="116"/>
      <c r="AJ47" s="116"/>
      <c r="AK47" s="116"/>
      <c r="AL47" s="116"/>
      <c r="AM47" s="116"/>
      <c r="AN47" s="116"/>
      <c r="AO47" s="116"/>
      <c r="AP47" s="116"/>
      <c r="AQ47" s="116"/>
      <c r="AR47" s="116"/>
      <c r="AS47" s="116"/>
      <c r="AT47" s="116"/>
      <c r="AU47" s="116"/>
      <c r="AV47" s="116"/>
      <c r="AW47" s="116"/>
      <c r="AX47" s="116"/>
      <c r="AY47" s="116"/>
    </row>
    <row r="48" spans="1:51" x14ac:dyDescent="0.2">
      <c r="A48" s="115"/>
      <c r="B48" s="125">
        <v>4</v>
      </c>
      <c r="C48" s="115" t="s">
        <v>293</v>
      </c>
      <c r="D48" s="116"/>
      <c r="E48" s="116"/>
      <c r="F48" s="116"/>
      <c r="G48" s="116"/>
      <c r="H48" s="116"/>
      <c r="I48" s="116"/>
      <c r="J48" s="116"/>
      <c r="K48" s="116"/>
      <c r="L48" s="116"/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6"/>
      <c r="X48" s="116"/>
      <c r="Y48" s="116"/>
      <c r="Z48" s="116"/>
      <c r="AA48" s="116"/>
      <c r="AB48" s="116"/>
      <c r="AC48" s="116"/>
      <c r="AD48" s="116"/>
      <c r="AE48" s="116"/>
      <c r="AF48" s="116"/>
      <c r="AG48" s="116"/>
      <c r="AH48" s="116"/>
      <c r="AI48" s="116"/>
      <c r="AJ48" s="116"/>
      <c r="AK48" s="116"/>
      <c r="AL48" s="116"/>
      <c r="AM48" s="116"/>
      <c r="AN48" s="116"/>
      <c r="AO48" s="116"/>
      <c r="AP48" s="116"/>
      <c r="AQ48" s="116"/>
      <c r="AR48" s="116"/>
      <c r="AS48" s="116"/>
      <c r="AT48" s="116"/>
      <c r="AU48" s="116"/>
      <c r="AV48" s="116"/>
      <c r="AW48" s="116"/>
      <c r="AX48" s="116"/>
      <c r="AY48" s="116"/>
    </row>
    <row r="49" spans="1:51" x14ac:dyDescent="0.2">
      <c r="A49" s="115"/>
      <c r="B49" s="125">
        <v>5</v>
      </c>
      <c r="C49" s="115" t="s">
        <v>293</v>
      </c>
      <c r="D49" s="116"/>
      <c r="E49" s="116"/>
      <c r="F49" s="116"/>
      <c r="G49" s="116"/>
      <c r="H49" s="116"/>
      <c r="I49" s="116"/>
      <c r="J49" s="116"/>
      <c r="K49" s="116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6"/>
      <c r="X49" s="116"/>
      <c r="Y49" s="116"/>
      <c r="Z49" s="116"/>
      <c r="AA49" s="116"/>
      <c r="AB49" s="116"/>
      <c r="AC49" s="116"/>
      <c r="AD49" s="116"/>
      <c r="AE49" s="116"/>
      <c r="AF49" s="116"/>
      <c r="AG49" s="116"/>
      <c r="AH49" s="116"/>
      <c r="AI49" s="116"/>
      <c r="AJ49" s="116"/>
      <c r="AK49" s="116"/>
      <c r="AL49" s="116"/>
      <c r="AM49" s="116"/>
      <c r="AN49" s="116"/>
      <c r="AO49" s="116"/>
      <c r="AP49" s="116"/>
      <c r="AQ49" s="116"/>
      <c r="AR49" s="116"/>
      <c r="AS49" s="116"/>
      <c r="AT49" s="116"/>
      <c r="AU49" s="116"/>
      <c r="AV49" s="116"/>
      <c r="AW49" s="116"/>
      <c r="AX49" s="116"/>
      <c r="AY49" s="116"/>
    </row>
    <row r="50" spans="1:51" x14ac:dyDescent="0.2">
      <c r="A50" s="115"/>
      <c r="B50" s="125">
        <v>6</v>
      </c>
      <c r="C50" s="115" t="s">
        <v>293</v>
      </c>
      <c r="D50" s="116"/>
      <c r="E50" s="116"/>
      <c r="F50" s="116"/>
      <c r="G50" s="116"/>
      <c r="H50" s="116"/>
      <c r="I50" s="116"/>
      <c r="J50" s="116"/>
      <c r="K50" s="116"/>
      <c r="L50" s="116"/>
      <c r="M50" s="116"/>
      <c r="N50" s="116"/>
      <c r="O50" s="116"/>
      <c r="P50" s="116"/>
      <c r="Q50" s="116"/>
      <c r="R50" s="116"/>
      <c r="S50" s="116"/>
      <c r="T50" s="116"/>
      <c r="U50" s="116"/>
      <c r="V50" s="116"/>
      <c r="W50" s="116"/>
      <c r="X50" s="116"/>
      <c r="Y50" s="116"/>
      <c r="Z50" s="116"/>
      <c r="AA50" s="116"/>
      <c r="AB50" s="116"/>
      <c r="AC50" s="116"/>
      <c r="AD50" s="116"/>
      <c r="AE50" s="116"/>
      <c r="AF50" s="116"/>
      <c r="AG50" s="116"/>
      <c r="AH50" s="116"/>
      <c r="AI50" s="116"/>
      <c r="AJ50" s="116"/>
      <c r="AK50" s="116"/>
      <c r="AL50" s="116"/>
      <c r="AM50" s="116"/>
      <c r="AN50" s="116"/>
      <c r="AO50" s="116"/>
      <c r="AP50" s="116"/>
      <c r="AQ50" s="116"/>
      <c r="AR50" s="116"/>
      <c r="AS50" s="116"/>
      <c r="AT50" s="116"/>
      <c r="AU50" s="116"/>
      <c r="AV50" s="116"/>
      <c r="AW50" s="116"/>
      <c r="AX50" s="116"/>
      <c r="AY50" s="116"/>
    </row>
    <row r="51" spans="1:51" x14ac:dyDescent="0.2">
      <c r="A51" s="115"/>
      <c r="B51" s="125">
        <v>7</v>
      </c>
      <c r="C51" s="115" t="s">
        <v>293</v>
      </c>
      <c r="D51" s="116"/>
      <c r="E51" s="116"/>
      <c r="F51" s="116"/>
      <c r="G51" s="116"/>
      <c r="H51" s="116"/>
      <c r="I51" s="116"/>
      <c r="J51" s="116"/>
      <c r="K51" s="116"/>
      <c r="L51" s="116"/>
      <c r="M51" s="116"/>
      <c r="N51" s="116"/>
      <c r="O51" s="116"/>
      <c r="P51" s="116"/>
      <c r="Q51" s="116"/>
      <c r="R51" s="116"/>
      <c r="S51" s="116"/>
      <c r="T51" s="116"/>
      <c r="U51" s="116"/>
      <c r="V51" s="116"/>
      <c r="W51" s="116"/>
      <c r="X51" s="116"/>
      <c r="Y51" s="116"/>
      <c r="Z51" s="116"/>
      <c r="AA51" s="116"/>
      <c r="AB51" s="116"/>
      <c r="AC51" s="116"/>
      <c r="AD51" s="116"/>
      <c r="AE51" s="116"/>
      <c r="AF51" s="116"/>
      <c r="AG51" s="116"/>
      <c r="AH51" s="116"/>
      <c r="AI51" s="116"/>
      <c r="AJ51" s="116"/>
      <c r="AK51" s="116"/>
      <c r="AL51" s="116"/>
      <c r="AM51" s="116"/>
      <c r="AN51" s="116"/>
      <c r="AO51" s="116"/>
      <c r="AP51" s="116"/>
      <c r="AQ51" s="116"/>
      <c r="AR51" s="116"/>
      <c r="AS51" s="116"/>
      <c r="AT51" s="116"/>
      <c r="AU51" s="116"/>
      <c r="AV51" s="116"/>
      <c r="AW51" s="116"/>
      <c r="AX51" s="116"/>
      <c r="AY51" s="116"/>
    </row>
    <row r="52" spans="1:51" x14ac:dyDescent="0.2">
      <c r="A52" s="115"/>
      <c r="B52" s="125">
        <v>8</v>
      </c>
      <c r="C52" s="115" t="s">
        <v>293</v>
      </c>
      <c r="D52" s="116"/>
      <c r="E52" s="116"/>
      <c r="F52" s="116"/>
      <c r="G52" s="116"/>
      <c r="H52" s="116"/>
      <c r="I52" s="116"/>
      <c r="J52" s="116"/>
      <c r="K52" s="116"/>
      <c r="L52" s="116"/>
      <c r="M52" s="116"/>
      <c r="N52" s="116"/>
      <c r="O52" s="116"/>
      <c r="P52" s="116"/>
      <c r="Q52" s="116"/>
      <c r="R52" s="116"/>
      <c r="S52" s="116"/>
      <c r="T52" s="116"/>
      <c r="U52" s="116"/>
      <c r="V52" s="116"/>
      <c r="W52" s="116"/>
      <c r="X52" s="116"/>
      <c r="Y52" s="116"/>
      <c r="Z52" s="116"/>
      <c r="AA52" s="116"/>
      <c r="AB52" s="116"/>
      <c r="AC52" s="116"/>
      <c r="AD52" s="116"/>
      <c r="AE52" s="116"/>
      <c r="AF52" s="116"/>
      <c r="AG52" s="116"/>
      <c r="AH52" s="116"/>
      <c r="AI52" s="116"/>
      <c r="AJ52" s="116"/>
      <c r="AK52" s="116"/>
      <c r="AL52" s="116"/>
      <c r="AM52" s="116"/>
      <c r="AN52" s="116"/>
      <c r="AO52" s="116"/>
      <c r="AP52" s="116"/>
      <c r="AQ52" s="116"/>
      <c r="AR52" s="116"/>
      <c r="AS52" s="116"/>
      <c r="AT52" s="116"/>
      <c r="AU52" s="116"/>
      <c r="AV52" s="116"/>
      <c r="AW52" s="116"/>
      <c r="AX52" s="116"/>
      <c r="AY52" s="116"/>
    </row>
    <row r="53" spans="1:51" x14ac:dyDescent="0.2">
      <c r="A53" s="115"/>
      <c r="B53" s="125">
        <v>9</v>
      </c>
      <c r="C53" s="115" t="s">
        <v>293</v>
      </c>
      <c r="D53" s="116"/>
      <c r="E53" s="116"/>
      <c r="F53" s="116"/>
      <c r="G53" s="116"/>
      <c r="H53" s="116"/>
      <c r="I53" s="116"/>
      <c r="J53" s="116"/>
      <c r="K53" s="116"/>
      <c r="L53" s="116"/>
      <c r="M53" s="116"/>
      <c r="N53" s="116"/>
      <c r="O53" s="116"/>
      <c r="P53" s="116"/>
      <c r="Q53" s="116"/>
      <c r="R53" s="116"/>
      <c r="S53" s="116"/>
      <c r="T53" s="116"/>
      <c r="U53" s="116"/>
      <c r="V53" s="116"/>
      <c r="W53" s="116"/>
      <c r="X53" s="116"/>
      <c r="Y53" s="116"/>
      <c r="Z53" s="116"/>
      <c r="AA53" s="116"/>
      <c r="AB53" s="116"/>
      <c r="AC53" s="116"/>
      <c r="AD53" s="116"/>
      <c r="AE53" s="116"/>
      <c r="AF53" s="116"/>
      <c r="AG53" s="116"/>
      <c r="AH53" s="116"/>
      <c r="AI53" s="116"/>
      <c r="AJ53" s="116"/>
      <c r="AK53" s="116"/>
      <c r="AL53" s="116"/>
      <c r="AM53" s="116"/>
      <c r="AN53" s="116"/>
      <c r="AO53" s="116"/>
      <c r="AP53" s="116"/>
      <c r="AQ53" s="116"/>
      <c r="AR53" s="116"/>
      <c r="AS53" s="116"/>
      <c r="AT53" s="116"/>
      <c r="AU53" s="116"/>
      <c r="AV53" s="116"/>
      <c r="AW53" s="116"/>
      <c r="AX53" s="116"/>
      <c r="AY53" s="116"/>
    </row>
    <row r="54" spans="1:51" x14ac:dyDescent="0.2">
      <c r="A54" s="115"/>
      <c r="B54" s="125">
        <v>10</v>
      </c>
      <c r="C54" s="115" t="s">
        <v>293</v>
      </c>
      <c r="D54" s="116"/>
      <c r="E54" s="116"/>
      <c r="F54" s="116"/>
      <c r="G54" s="116"/>
      <c r="H54" s="116"/>
      <c r="I54" s="116"/>
      <c r="J54" s="116"/>
      <c r="K54" s="116"/>
      <c r="L54" s="116"/>
      <c r="M54" s="116"/>
      <c r="N54" s="116"/>
      <c r="O54" s="116"/>
      <c r="P54" s="116"/>
      <c r="Q54" s="116"/>
      <c r="R54" s="116"/>
      <c r="S54" s="116"/>
      <c r="T54" s="116"/>
      <c r="U54" s="116"/>
      <c r="V54" s="116"/>
      <c r="W54" s="116"/>
      <c r="X54" s="116"/>
      <c r="Y54" s="116"/>
      <c r="Z54" s="116"/>
      <c r="AA54" s="116"/>
      <c r="AB54" s="116"/>
      <c r="AC54" s="116"/>
      <c r="AD54" s="116"/>
      <c r="AE54" s="116"/>
      <c r="AF54" s="116"/>
      <c r="AG54" s="116"/>
      <c r="AH54" s="116"/>
      <c r="AI54" s="116"/>
      <c r="AJ54" s="116"/>
      <c r="AK54" s="116"/>
      <c r="AL54" s="116"/>
      <c r="AM54" s="116"/>
      <c r="AN54" s="116"/>
      <c r="AO54" s="116"/>
      <c r="AP54" s="116"/>
      <c r="AQ54" s="116"/>
      <c r="AR54" s="116"/>
      <c r="AS54" s="116"/>
      <c r="AT54" s="116"/>
      <c r="AU54" s="116"/>
      <c r="AV54" s="116"/>
      <c r="AW54" s="116"/>
      <c r="AX54" s="116"/>
      <c r="AY54" s="116"/>
    </row>
    <row r="55" spans="1:51" x14ac:dyDescent="0.2">
      <c r="A55" s="115"/>
      <c r="B55" s="125">
        <v>11</v>
      </c>
      <c r="C55" s="115" t="s">
        <v>293</v>
      </c>
      <c r="D55" s="116"/>
      <c r="E55" s="116"/>
      <c r="F55" s="116"/>
      <c r="G55" s="116"/>
      <c r="H55" s="116"/>
      <c r="I55" s="116"/>
      <c r="J55" s="116"/>
      <c r="K55" s="116"/>
      <c r="L55" s="116"/>
      <c r="M55" s="116"/>
      <c r="N55" s="116"/>
      <c r="O55" s="116"/>
      <c r="P55" s="116"/>
      <c r="Q55" s="116"/>
      <c r="R55" s="116"/>
      <c r="S55" s="116"/>
      <c r="T55" s="116"/>
      <c r="U55" s="116"/>
      <c r="V55" s="116"/>
      <c r="W55" s="116"/>
      <c r="X55" s="116"/>
      <c r="Y55" s="116"/>
      <c r="Z55" s="116"/>
      <c r="AA55" s="116"/>
      <c r="AB55" s="116"/>
      <c r="AC55" s="116"/>
      <c r="AD55" s="116"/>
      <c r="AE55" s="116"/>
      <c r="AF55" s="116"/>
      <c r="AG55" s="116"/>
      <c r="AH55" s="116"/>
      <c r="AI55" s="116"/>
      <c r="AJ55" s="116"/>
      <c r="AK55" s="116"/>
      <c r="AL55" s="116"/>
      <c r="AM55" s="116"/>
      <c r="AN55" s="116"/>
      <c r="AO55" s="116"/>
      <c r="AP55" s="116"/>
      <c r="AQ55" s="116"/>
      <c r="AR55" s="116"/>
      <c r="AS55" s="116"/>
      <c r="AT55" s="116"/>
      <c r="AU55" s="116"/>
      <c r="AV55" s="116"/>
      <c r="AW55" s="116"/>
      <c r="AX55" s="116"/>
      <c r="AY55" s="116"/>
    </row>
    <row r="56" spans="1:51" x14ac:dyDescent="0.2">
      <c r="A56" s="115"/>
      <c r="B56" s="125">
        <v>12</v>
      </c>
      <c r="C56" s="115" t="s">
        <v>293</v>
      </c>
      <c r="D56" s="116"/>
      <c r="E56" s="116"/>
      <c r="F56" s="116"/>
      <c r="G56" s="116"/>
      <c r="H56" s="116"/>
      <c r="I56" s="116"/>
      <c r="J56" s="116"/>
      <c r="K56" s="116"/>
      <c r="L56" s="116"/>
      <c r="M56" s="116"/>
      <c r="N56" s="116"/>
      <c r="O56" s="116"/>
      <c r="P56" s="116"/>
      <c r="Q56" s="116"/>
      <c r="R56" s="116"/>
      <c r="S56" s="116"/>
      <c r="T56" s="116"/>
      <c r="U56" s="116"/>
      <c r="V56" s="116"/>
      <c r="W56" s="116"/>
      <c r="X56" s="116"/>
      <c r="Y56" s="116"/>
      <c r="Z56" s="116"/>
      <c r="AA56" s="116"/>
      <c r="AB56" s="116"/>
      <c r="AC56" s="116"/>
      <c r="AD56" s="116"/>
      <c r="AE56" s="116"/>
      <c r="AF56" s="116"/>
      <c r="AG56" s="116"/>
      <c r="AH56" s="116"/>
      <c r="AI56" s="116"/>
      <c r="AJ56" s="116"/>
      <c r="AK56" s="116"/>
      <c r="AL56" s="116"/>
      <c r="AM56" s="116"/>
      <c r="AN56" s="116"/>
      <c r="AO56" s="116"/>
      <c r="AP56" s="116"/>
      <c r="AQ56" s="116"/>
      <c r="AR56" s="116"/>
      <c r="AS56" s="116"/>
      <c r="AT56" s="116"/>
      <c r="AU56" s="116"/>
      <c r="AV56" s="116"/>
      <c r="AW56" s="116"/>
      <c r="AX56" s="116"/>
      <c r="AY56" s="116"/>
    </row>
    <row r="57" spans="1:51" x14ac:dyDescent="0.2">
      <c r="A57" s="115"/>
      <c r="B57" s="126">
        <v>13</v>
      </c>
      <c r="C57" s="115" t="s">
        <v>293</v>
      </c>
      <c r="D57" s="116"/>
      <c r="E57" s="116"/>
      <c r="F57" s="116"/>
      <c r="G57" s="116"/>
      <c r="H57" s="116"/>
      <c r="I57" s="116"/>
      <c r="J57" s="116"/>
      <c r="K57" s="116"/>
      <c r="L57" s="116"/>
      <c r="M57" s="116"/>
      <c r="N57" s="116"/>
      <c r="O57" s="116"/>
      <c r="P57" s="116"/>
      <c r="Q57" s="116"/>
      <c r="R57" s="116"/>
      <c r="S57" s="116"/>
      <c r="T57" s="116"/>
      <c r="U57" s="116"/>
      <c r="V57" s="116"/>
      <c r="W57" s="116"/>
      <c r="X57" s="116"/>
      <c r="Y57" s="116"/>
      <c r="Z57" s="116"/>
      <c r="AA57" s="116"/>
      <c r="AB57" s="116"/>
      <c r="AC57" s="116"/>
      <c r="AD57" s="116"/>
      <c r="AE57" s="116"/>
      <c r="AF57" s="116"/>
      <c r="AG57" s="116"/>
      <c r="AH57" s="116"/>
      <c r="AI57" s="116"/>
      <c r="AJ57" s="116"/>
      <c r="AK57" s="116"/>
      <c r="AL57" s="116"/>
      <c r="AM57" s="116"/>
      <c r="AN57" s="116"/>
      <c r="AO57" s="116"/>
      <c r="AP57" s="116"/>
      <c r="AQ57" s="116"/>
      <c r="AR57" s="116"/>
      <c r="AS57" s="116"/>
      <c r="AT57" s="116"/>
      <c r="AU57" s="116"/>
      <c r="AV57" s="116"/>
      <c r="AW57" s="116"/>
      <c r="AX57" s="116"/>
      <c r="AY57" s="116"/>
    </row>
    <row r="58" spans="1:51" x14ac:dyDescent="0.2">
      <c r="A58" s="115"/>
      <c r="B58" s="126">
        <v>14</v>
      </c>
      <c r="C58" s="115" t="s">
        <v>293</v>
      </c>
      <c r="D58" s="116"/>
      <c r="E58" s="116"/>
      <c r="F58" s="116"/>
      <c r="G58" s="116"/>
      <c r="H58" s="116"/>
      <c r="I58" s="116"/>
      <c r="J58" s="116"/>
      <c r="K58" s="116"/>
      <c r="L58" s="116"/>
      <c r="M58" s="116"/>
      <c r="N58" s="116"/>
      <c r="O58" s="116"/>
      <c r="P58" s="116"/>
      <c r="Q58" s="116"/>
      <c r="R58" s="116"/>
      <c r="S58" s="116"/>
      <c r="T58" s="116"/>
      <c r="U58" s="116"/>
      <c r="V58" s="116"/>
      <c r="W58" s="116"/>
      <c r="X58" s="116"/>
      <c r="Y58" s="116"/>
      <c r="Z58" s="116"/>
      <c r="AA58" s="116"/>
      <c r="AB58" s="116"/>
      <c r="AC58" s="116"/>
      <c r="AD58" s="116"/>
      <c r="AE58" s="116"/>
      <c r="AF58" s="116"/>
      <c r="AG58" s="116"/>
      <c r="AH58" s="116"/>
      <c r="AI58" s="116"/>
      <c r="AJ58" s="116"/>
      <c r="AK58" s="116"/>
      <c r="AL58" s="116"/>
      <c r="AM58" s="116"/>
      <c r="AN58" s="116"/>
      <c r="AO58" s="116"/>
      <c r="AP58" s="116"/>
      <c r="AQ58" s="116"/>
      <c r="AR58" s="116"/>
      <c r="AS58" s="116"/>
      <c r="AT58" s="116"/>
      <c r="AU58" s="116"/>
      <c r="AV58" s="116"/>
      <c r="AW58" s="116"/>
      <c r="AX58" s="116"/>
      <c r="AY58" s="116"/>
    </row>
    <row r="59" spans="1:51" x14ac:dyDescent="0.2">
      <c r="A59" s="115"/>
      <c r="B59" s="126">
        <v>15</v>
      </c>
      <c r="C59" s="115" t="s">
        <v>293</v>
      </c>
      <c r="D59" s="116"/>
      <c r="E59" s="116"/>
      <c r="F59" s="116"/>
      <c r="G59" s="116"/>
      <c r="H59" s="116"/>
      <c r="I59" s="116"/>
      <c r="J59" s="116"/>
      <c r="K59" s="116"/>
      <c r="L59" s="116"/>
      <c r="M59" s="116"/>
      <c r="N59" s="116"/>
      <c r="O59" s="116"/>
      <c r="P59" s="116"/>
      <c r="Q59" s="116"/>
      <c r="R59" s="116"/>
      <c r="S59" s="116"/>
      <c r="T59" s="116"/>
      <c r="U59" s="116"/>
      <c r="V59" s="116"/>
      <c r="W59" s="116"/>
      <c r="X59" s="116"/>
      <c r="Y59" s="116"/>
      <c r="Z59" s="116"/>
      <c r="AA59" s="116"/>
      <c r="AB59" s="116"/>
      <c r="AC59" s="116"/>
      <c r="AD59" s="116"/>
      <c r="AE59" s="116"/>
      <c r="AF59" s="116"/>
      <c r="AG59" s="116"/>
      <c r="AH59" s="116"/>
      <c r="AI59" s="116"/>
      <c r="AJ59" s="116"/>
      <c r="AK59" s="116"/>
      <c r="AL59" s="116"/>
      <c r="AM59" s="116"/>
      <c r="AN59" s="116"/>
      <c r="AO59" s="116"/>
      <c r="AP59" s="116"/>
      <c r="AQ59" s="116"/>
      <c r="AR59" s="116"/>
      <c r="AS59" s="116"/>
      <c r="AT59" s="116"/>
      <c r="AU59" s="116"/>
      <c r="AV59" s="116"/>
      <c r="AW59" s="116"/>
      <c r="AX59" s="116"/>
      <c r="AY59" s="116"/>
    </row>
    <row r="60" spans="1:51" x14ac:dyDescent="0.2">
      <c r="A60" s="115"/>
      <c r="B60" s="126">
        <v>16</v>
      </c>
      <c r="C60" s="115" t="s">
        <v>293</v>
      </c>
      <c r="D60" s="116"/>
      <c r="E60" s="116"/>
      <c r="F60" s="116"/>
      <c r="G60" s="116"/>
      <c r="H60" s="116"/>
      <c r="I60" s="116"/>
      <c r="J60" s="116"/>
      <c r="K60" s="116"/>
      <c r="L60" s="116"/>
      <c r="M60" s="116"/>
      <c r="N60" s="116"/>
      <c r="O60" s="116"/>
      <c r="P60" s="116"/>
      <c r="Q60" s="116"/>
      <c r="R60" s="116"/>
      <c r="S60" s="116"/>
      <c r="T60" s="116"/>
      <c r="U60" s="116"/>
      <c r="V60" s="116"/>
      <c r="W60" s="116"/>
      <c r="X60" s="116"/>
      <c r="Y60" s="116"/>
      <c r="Z60" s="116"/>
      <c r="AA60" s="116"/>
      <c r="AB60" s="116"/>
      <c r="AC60" s="116"/>
      <c r="AD60" s="116"/>
      <c r="AE60" s="116"/>
      <c r="AF60" s="116"/>
      <c r="AG60" s="116"/>
      <c r="AH60" s="116"/>
      <c r="AI60" s="116"/>
      <c r="AJ60" s="116"/>
      <c r="AK60" s="116"/>
      <c r="AL60" s="116"/>
      <c r="AM60" s="116"/>
      <c r="AN60" s="116"/>
      <c r="AO60" s="116"/>
      <c r="AP60" s="116"/>
      <c r="AQ60" s="116"/>
      <c r="AR60" s="116"/>
      <c r="AS60" s="116"/>
      <c r="AT60" s="116"/>
      <c r="AU60" s="116"/>
      <c r="AV60" s="116"/>
      <c r="AW60" s="116"/>
      <c r="AX60" s="116"/>
      <c r="AY60" s="116"/>
    </row>
    <row r="61" spans="1:51" x14ac:dyDescent="0.2">
      <c r="A61" s="115"/>
      <c r="B61" s="126">
        <v>17</v>
      </c>
      <c r="C61" s="115" t="s">
        <v>293</v>
      </c>
      <c r="D61" s="116"/>
      <c r="E61" s="116"/>
      <c r="F61" s="116"/>
      <c r="G61" s="116"/>
      <c r="H61" s="116"/>
      <c r="I61" s="116"/>
      <c r="J61" s="116"/>
      <c r="K61" s="116"/>
      <c r="L61" s="116"/>
      <c r="M61" s="116"/>
      <c r="N61" s="116"/>
      <c r="O61" s="116"/>
      <c r="P61" s="116"/>
      <c r="Q61" s="116"/>
      <c r="R61" s="116"/>
      <c r="S61" s="116"/>
      <c r="T61" s="116"/>
      <c r="U61" s="116"/>
      <c r="V61" s="116"/>
      <c r="W61" s="116"/>
      <c r="X61" s="116"/>
      <c r="Y61" s="116"/>
      <c r="Z61" s="116"/>
      <c r="AA61" s="116"/>
      <c r="AB61" s="116"/>
      <c r="AC61" s="116"/>
      <c r="AD61" s="116"/>
      <c r="AE61" s="116"/>
      <c r="AF61" s="116"/>
      <c r="AG61" s="116"/>
      <c r="AH61" s="116"/>
      <c r="AI61" s="116"/>
      <c r="AJ61" s="116"/>
      <c r="AK61" s="116"/>
      <c r="AL61" s="116"/>
      <c r="AM61" s="116"/>
      <c r="AN61" s="116"/>
      <c r="AO61" s="116"/>
      <c r="AP61" s="116"/>
      <c r="AQ61" s="116"/>
      <c r="AR61" s="116"/>
      <c r="AS61" s="116"/>
      <c r="AT61" s="116"/>
      <c r="AU61" s="116"/>
      <c r="AV61" s="116"/>
      <c r="AW61" s="116"/>
      <c r="AX61" s="116"/>
      <c r="AY61" s="116"/>
    </row>
    <row r="62" spans="1:51" x14ac:dyDescent="0.2">
      <c r="A62" s="115"/>
      <c r="B62" s="126">
        <v>18</v>
      </c>
      <c r="C62" s="115" t="s">
        <v>293</v>
      </c>
      <c r="D62" s="116"/>
      <c r="E62" s="116"/>
      <c r="F62" s="116"/>
      <c r="G62" s="116"/>
      <c r="H62" s="116"/>
      <c r="I62" s="116"/>
      <c r="J62" s="116"/>
      <c r="K62" s="116"/>
      <c r="L62" s="116"/>
      <c r="M62" s="116"/>
      <c r="N62" s="116"/>
      <c r="O62" s="116"/>
      <c r="P62" s="116"/>
      <c r="Q62" s="116"/>
      <c r="R62" s="116"/>
      <c r="S62" s="116"/>
      <c r="T62" s="116"/>
      <c r="U62" s="116"/>
      <c r="V62" s="116"/>
      <c r="W62" s="116"/>
      <c r="X62" s="116"/>
      <c r="Y62" s="116"/>
      <c r="Z62" s="116"/>
      <c r="AA62" s="116"/>
      <c r="AB62" s="116"/>
      <c r="AC62" s="116"/>
      <c r="AD62" s="116"/>
      <c r="AE62" s="116"/>
      <c r="AF62" s="116"/>
      <c r="AG62" s="116"/>
      <c r="AH62" s="116"/>
      <c r="AI62" s="116"/>
      <c r="AJ62" s="116"/>
      <c r="AK62" s="116"/>
      <c r="AL62" s="116"/>
      <c r="AM62" s="116"/>
      <c r="AN62" s="116"/>
      <c r="AO62" s="116"/>
      <c r="AP62" s="116"/>
      <c r="AQ62" s="116"/>
      <c r="AR62" s="116"/>
      <c r="AS62" s="116"/>
      <c r="AT62" s="116"/>
      <c r="AU62" s="116"/>
      <c r="AV62" s="116"/>
      <c r="AW62" s="116"/>
      <c r="AX62" s="116"/>
      <c r="AY62" s="116"/>
    </row>
    <row r="63" spans="1:51" x14ac:dyDescent="0.2">
      <c r="A63" s="115"/>
      <c r="B63" s="126">
        <v>19</v>
      </c>
      <c r="C63" s="115" t="s">
        <v>293</v>
      </c>
      <c r="D63" s="116"/>
      <c r="E63" s="116"/>
      <c r="F63" s="116"/>
      <c r="G63" s="116"/>
      <c r="H63" s="116"/>
      <c r="I63" s="116"/>
      <c r="J63" s="116"/>
      <c r="K63" s="116"/>
      <c r="L63" s="116"/>
      <c r="M63" s="116"/>
      <c r="N63" s="116"/>
      <c r="O63" s="116"/>
      <c r="P63" s="116"/>
      <c r="Q63" s="116"/>
      <c r="R63" s="116"/>
      <c r="S63" s="116"/>
      <c r="T63" s="116"/>
      <c r="U63" s="116"/>
      <c r="V63" s="116"/>
      <c r="W63" s="116"/>
      <c r="X63" s="116"/>
      <c r="Y63" s="116"/>
      <c r="Z63" s="116"/>
      <c r="AA63" s="116"/>
      <c r="AB63" s="116"/>
      <c r="AC63" s="116"/>
      <c r="AD63" s="116"/>
      <c r="AE63" s="116"/>
      <c r="AF63" s="116"/>
      <c r="AG63" s="116"/>
      <c r="AH63" s="116"/>
      <c r="AI63" s="116"/>
      <c r="AJ63" s="116"/>
      <c r="AK63" s="116"/>
      <c r="AL63" s="116"/>
      <c r="AM63" s="116"/>
      <c r="AN63" s="116"/>
      <c r="AO63" s="116"/>
      <c r="AP63" s="116"/>
      <c r="AQ63" s="116"/>
      <c r="AR63" s="116"/>
      <c r="AS63" s="116"/>
      <c r="AT63" s="116"/>
      <c r="AU63" s="116"/>
      <c r="AV63" s="116"/>
      <c r="AW63" s="116"/>
      <c r="AX63" s="116"/>
      <c r="AY63" s="116"/>
    </row>
    <row r="64" spans="1:51" x14ac:dyDescent="0.2">
      <c r="A64" s="115"/>
      <c r="B64" s="126">
        <v>20</v>
      </c>
      <c r="C64" s="115" t="s">
        <v>293</v>
      </c>
      <c r="D64" s="116"/>
      <c r="E64" s="116"/>
      <c r="F64" s="116"/>
      <c r="G64" s="116"/>
      <c r="H64" s="116"/>
      <c r="I64" s="116"/>
      <c r="J64" s="116"/>
      <c r="K64" s="116"/>
      <c r="L64" s="116"/>
      <c r="M64" s="116"/>
      <c r="N64" s="116"/>
      <c r="O64" s="116"/>
      <c r="P64" s="116"/>
      <c r="Q64" s="116"/>
      <c r="R64" s="116"/>
      <c r="S64" s="116"/>
      <c r="T64" s="116"/>
      <c r="U64" s="116"/>
      <c r="V64" s="116"/>
      <c r="W64" s="116"/>
      <c r="X64" s="116"/>
      <c r="Y64" s="116"/>
      <c r="Z64" s="116"/>
      <c r="AA64" s="116"/>
      <c r="AB64" s="116"/>
      <c r="AC64" s="116"/>
      <c r="AD64" s="116"/>
      <c r="AE64" s="116"/>
      <c r="AF64" s="116"/>
      <c r="AG64" s="116"/>
      <c r="AH64" s="116"/>
      <c r="AI64" s="116"/>
      <c r="AJ64" s="116"/>
      <c r="AK64" s="116"/>
      <c r="AL64" s="116"/>
      <c r="AM64" s="116"/>
      <c r="AN64" s="116"/>
      <c r="AO64" s="116"/>
      <c r="AP64" s="116"/>
      <c r="AQ64" s="116"/>
      <c r="AR64" s="116"/>
      <c r="AS64" s="116"/>
      <c r="AT64" s="116"/>
      <c r="AU64" s="116"/>
      <c r="AV64" s="116"/>
      <c r="AW64" s="116"/>
      <c r="AX64" s="116"/>
      <c r="AY64" s="116"/>
    </row>
    <row r="65" spans="1:51" x14ac:dyDescent="0.2">
      <c r="A65" s="115"/>
      <c r="B65" s="126">
        <v>21</v>
      </c>
      <c r="C65" s="115" t="s">
        <v>293</v>
      </c>
      <c r="D65" s="116"/>
      <c r="E65" s="116"/>
      <c r="F65" s="116"/>
      <c r="G65" s="116"/>
      <c r="H65" s="116"/>
      <c r="I65" s="116"/>
      <c r="J65" s="116"/>
      <c r="K65" s="116"/>
      <c r="L65" s="116"/>
      <c r="M65" s="116"/>
      <c r="N65" s="116"/>
      <c r="O65" s="116"/>
      <c r="P65" s="116"/>
      <c r="Q65" s="116"/>
      <c r="R65" s="116"/>
      <c r="S65" s="116"/>
      <c r="T65" s="116"/>
      <c r="U65" s="116"/>
      <c r="V65" s="116"/>
      <c r="W65" s="116"/>
      <c r="X65" s="116"/>
      <c r="Y65" s="116"/>
      <c r="Z65" s="116"/>
      <c r="AA65" s="116"/>
      <c r="AB65" s="116"/>
      <c r="AC65" s="116"/>
      <c r="AD65" s="116"/>
      <c r="AE65" s="116"/>
      <c r="AF65" s="116"/>
      <c r="AG65" s="116"/>
      <c r="AH65" s="116"/>
      <c r="AI65" s="116"/>
      <c r="AJ65" s="116"/>
      <c r="AK65" s="116"/>
      <c r="AL65" s="116"/>
      <c r="AM65" s="116"/>
      <c r="AN65" s="116"/>
      <c r="AO65" s="116"/>
      <c r="AP65" s="116"/>
      <c r="AQ65" s="116"/>
      <c r="AR65" s="116"/>
      <c r="AS65" s="116"/>
      <c r="AT65" s="116"/>
      <c r="AU65" s="116"/>
      <c r="AV65" s="116"/>
      <c r="AW65" s="116"/>
      <c r="AX65" s="116"/>
      <c r="AY65" s="116"/>
    </row>
    <row r="66" spans="1:51" x14ac:dyDescent="0.2">
      <c r="A66" s="115"/>
      <c r="B66" s="126">
        <v>22</v>
      </c>
      <c r="C66" s="115" t="s">
        <v>293</v>
      </c>
      <c r="D66" s="116"/>
      <c r="E66" s="116"/>
      <c r="F66" s="116"/>
      <c r="G66" s="116"/>
      <c r="H66" s="116"/>
      <c r="I66" s="116"/>
      <c r="J66" s="116"/>
      <c r="K66" s="116"/>
      <c r="L66" s="116"/>
      <c r="M66" s="116"/>
      <c r="N66" s="116"/>
      <c r="O66" s="116"/>
      <c r="P66" s="116"/>
      <c r="Q66" s="116"/>
      <c r="R66" s="116"/>
      <c r="S66" s="116"/>
      <c r="T66" s="116"/>
      <c r="U66" s="116"/>
      <c r="V66" s="116"/>
      <c r="W66" s="116"/>
      <c r="X66" s="116"/>
      <c r="Y66" s="116"/>
      <c r="Z66" s="116"/>
      <c r="AA66" s="116"/>
      <c r="AB66" s="116"/>
      <c r="AC66" s="116"/>
      <c r="AD66" s="116"/>
      <c r="AE66" s="116"/>
      <c r="AF66" s="116"/>
      <c r="AG66" s="116"/>
      <c r="AH66" s="116"/>
      <c r="AI66" s="116"/>
      <c r="AJ66" s="116"/>
      <c r="AK66" s="116"/>
      <c r="AL66" s="116"/>
      <c r="AM66" s="116"/>
      <c r="AN66" s="116"/>
      <c r="AO66" s="116"/>
      <c r="AP66" s="116"/>
      <c r="AQ66" s="116"/>
      <c r="AR66" s="116"/>
      <c r="AS66" s="116"/>
      <c r="AT66" s="116"/>
      <c r="AU66" s="116"/>
      <c r="AV66" s="116"/>
      <c r="AW66" s="116"/>
      <c r="AX66" s="116"/>
      <c r="AY66" s="116"/>
    </row>
    <row r="67" spans="1:51" x14ac:dyDescent="0.2">
      <c r="A67" s="115"/>
      <c r="B67" s="126">
        <v>23</v>
      </c>
      <c r="C67" s="115" t="s">
        <v>293</v>
      </c>
      <c r="D67" s="116"/>
      <c r="E67" s="116"/>
      <c r="F67" s="116"/>
      <c r="G67" s="116"/>
      <c r="H67" s="116"/>
      <c r="I67" s="116"/>
      <c r="J67" s="116"/>
      <c r="K67" s="116"/>
      <c r="L67" s="116"/>
      <c r="M67" s="116"/>
      <c r="N67" s="116"/>
      <c r="O67" s="116"/>
      <c r="P67" s="116"/>
      <c r="Q67" s="116"/>
      <c r="R67" s="116"/>
      <c r="S67" s="116"/>
      <c r="T67" s="116"/>
      <c r="U67" s="116"/>
      <c r="V67" s="116"/>
      <c r="W67" s="116"/>
      <c r="X67" s="116"/>
      <c r="Y67" s="116"/>
      <c r="Z67" s="116"/>
      <c r="AA67" s="116"/>
      <c r="AB67" s="116"/>
      <c r="AC67" s="116"/>
      <c r="AD67" s="116"/>
      <c r="AE67" s="116"/>
      <c r="AF67" s="116"/>
      <c r="AG67" s="116"/>
      <c r="AH67" s="116"/>
      <c r="AI67" s="116"/>
      <c r="AJ67" s="116"/>
      <c r="AK67" s="116"/>
      <c r="AL67" s="116"/>
      <c r="AM67" s="116"/>
      <c r="AN67" s="116"/>
      <c r="AO67" s="116"/>
      <c r="AP67" s="116"/>
      <c r="AQ67" s="116"/>
      <c r="AR67" s="116"/>
      <c r="AS67" s="116"/>
      <c r="AT67" s="116"/>
      <c r="AU67" s="116"/>
      <c r="AV67" s="116"/>
      <c r="AW67" s="116"/>
      <c r="AX67" s="116"/>
      <c r="AY67" s="116"/>
    </row>
    <row r="68" spans="1:51" x14ac:dyDescent="0.2">
      <c r="A68" s="115"/>
      <c r="B68" s="126">
        <v>24</v>
      </c>
      <c r="C68" s="115" t="s">
        <v>293</v>
      </c>
      <c r="D68" s="116"/>
      <c r="E68" s="116"/>
      <c r="F68" s="116"/>
      <c r="G68" s="116"/>
      <c r="H68" s="116"/>
      <c r="I68" s="116"/>
      <c r="J68" s="116"/>
      <c r="K68" s="116"/>
      <c r="L68" s="116"/>
      <c r="M68" s="116"/>
      <c r="N68" s="116"/>
      <c r="O68" s="116"/>
      <c r="P68" s="116"/>
      <c r="Q68" s="116"/>
      <c r="R68" s="116"/>
      <c r="S68" s="116"/>
      <c r="T68" s="116"/>
      <c r="U68" s="116"/>
      <c r="V68" s="116"/>
      <c r="W68" s="116"/>
      <c r="X68" s="116"/>
      <c r="Y68" s="116"/>
      <c r="Z68" s="116"/>
      <c r="AA68" s="116"/>
      <c r="AB68" s="116"/>
      <c r="AC68" s="116"/>
      <c r="AD68" s="116"/>
      <c r="AE68" s="116"/>
      <c r="AF68" s="116"/>
      <c r="AG68" s="116"/>
      <c r="AH68" s="116"/>
      <c r="AI68" s="116"/>
      <c r="AJ68" s="116"/>
      <c r="AK68" s="116"/>
      <c r="AL68" s="116"/>
      <c r="AM68" s="116"/>
      <c r="AN68" s="116"/>
      <c r="AO68" s="116"/>
      <c r="AP68" s="116"/>
      <c r="AQ68" s="116"/>
      <c r="AR68" s="116"/>
      <c r="AS68" s="116"/>
      <c r="AT68" s="116"/>
      <c r="AU68" s="116"/>
      <c r="AV68" s="116"/>
      <c r="AW68" s="116"/>
      <c r="AX68" s="116"/>
      <c r="AY68" s="116"/>
    </row>
    <row r="69" spans="1:51" x14ac:dyDescent="0.2">
      <c r="A69" s="115"/>
      <c r="B69" s="133">
        <v>25</v>
      </c>
      <c r="C69" s="115" t="s">
        <v>293</v>
      </c>
      <c r="D69" s="116"/>
      <c r="E69" s="116"/>
      <c r="F69" s="116"/>
      <c r="G69" s="116"/>
      <c r="H69" s="116"/>
      <c r="I69" s="116"/>
      <c r="J69" s="116"/>
      <c r="K69" s="116"/>
      <c r="L69" s="116"/>
      <c r="M69" s="116"/>
      <c r="N69" s="116"/>
      <c r="O69" s="116"/>
      <c r="P69" s="116"/>
      <c r="Q69" s="116"/>
      <c r="R69" s="116"/>
      <c r="S69" s="116"/>
      <c r="T69" s="116"/>
      <c r="U69" s="116"/>
      <c r="V69" s="116"/>
      <c r="W69" s="116"/>
      <c r="X69" s="116"/>
      <c r="Y69" s="116"/>
      <c r="Z69" s="116"/>
      <c r="AA69" s="116"/>
      <c r="AB69" s="116"/>
      <c r="AC69" s="116"/>
      <c r="AD69" s="116"/>
      <c r="AE69" s="116"/>
      <c r="AF69" s="116"/>
      <c r="AG69" s="116"/>
      <c r="AH69" s="116"/>
      <c r="AI69" s="116"/>
      <c r="AJ69" s="116"/>
      <c r="AK69" s="116"/>
      <c r="AL69" s="116"/>
      <c r="AM69" s="116"/>
      <c r="AN69" s="116"/>
      <c r="AO69" s="116"/>
      <c r="AP69" s="116"/>
      <c r="AQ69" s="116"/>
      <c r="AR69" s="116"/>
      <c r="AS69" s="116"/>
      <c r="AT69" s="116"/>
      <c r="AU69" s="116"/>
      <c r="AV69" s="116"/>
      <c r="AW69" s="116"/>
      <c r="AX69" s="116"/>
      <c r="AY69" s="116"/>
    </row>
    <row r="70" spans="1:51" x14ac:dyDescent="0.2">
      <c r="A70" s="115"/>
      <c r="B70" s="133">
        <v>26</v>
      </c>
      <c r="C70" s="115" t="s">
        <v>293</v>
      </c>
      <c r="D70" s="116"/>
      <c r="E70" s="116"/>
      <c r="F70" s="116"/>
      <c r="G70" s="116"/>
      <c r="H70" s="116"/>
      <c r="I70" s="116"/>
      <c r="J70" s="116"/>
      <c r="K70" s="116"/>
      <c r="L70" s="116"/>
      <c r="M70" s="116"/>
      <c r="N70" s="116"/>
      <c r="O70" s="116"/>
      <c r="P70" s="116"/>
      <c r="Q70" s="116"/>
      <c r="R70" s="116"/>
      <c r="S70" s="116"/>
      <c r="T70" s="116"/>
      <c r="U70" s="116"/>
      <c r="V70" s="116"/>
      <c r="W70" s="116"/>
      <c r="X70" s="116"/>
      <c r="Y70" s="116"/>
      <c r="Z70" s="116"/>
      <c r="AA70" s="116"/>
      <c r="AB70" s="116"/>
      <c r="AC70" s="116"/>
      <c r="AD70" s="116"/>
      <c r="AE70" s="116"/>
      <c r="AF70" s="116"/>
      <c r="AG70" s="116"/>
      <c r="AH70" s="116"/>
      <c r="AI70" s="116"/>
      <c r="AJ70" s="116"/>
      <c r="AK70" s="116"/>
      <c r="AL70" s="116"/>
      <c r="AM70" s="116"/>
      <c r="AN70" s="116"/>
      <c r="AO70" s="116"/>
      <c r="AP70" s="116"/>
      <c r="AQ70" s="116"/>
      <c r="AR70" s="116"/>
      <c r="AS70" s="116"/>
      <c r="AT70" s="116"/>
      <c r="AU70" s="116"/>
      <c r="AV70" s="116"/>
      <c r="AW70" s="116"/>
      <c r="AX70" s="116"/>
      <c r="AY70" s="116"/>
    </row>
    <row r="71" spans="1:51" x14ac:dyDescent="0.2">
      <c r="A71" s="115"/>
      <c r="B71" s="133">
        <v>27</v>
      </c>
      <c r="C71" s="115" t="s">
        <v>293</v>
      </c>
      <c r="D71" s="116"/>
      <c r="E71" s="116"/>
      <c r="F71" s="116"/>
      <c r="G71" s="116"/>
      <c r="H71" s="116"/>
      <c r="I71" s="116"/>
      <c r="J71" s="116"/>
      <c r="K71" s="116"/>
      <c r="L71" s="116"/>
      <c r="M71" s="116"/>
      <c r="N71" s="116"/>
      <c r="O71" s="116"/>
      <c r="P71" s="116"/>
      <c r="Q71" s="116"/>
      <c r="R71" s="116"/>
      <c r="S71" s="116"/>
      <c r="T71" s="116"/>
      <c r="U71" s="116"/>
      <c r="V71" s="116"/>
      <c r="W71" s="116"/>
      <c r="X71" s="116"/>
      <c r="Y71" s="116"/>
      <c r="Z71" s="116"/>
      <c r="AA71" s="116"/>
      <c r="AB71" s="116"/>
      <c r="AC71" s="116"/>
      <c r="AD71" s="116"/>
      <c r="AE71" s="116"/>
      <c r="AF71" s="116"/>
      <c r="AG71" s="116"/>
      <c r="AH71" s="116"/>
      <c r="AI71" s="116"/>
      <c r="AJ71" s="116"/>
      <c r="AK71" s="116"/>
      <c r="AL71" s="116"/>
      <c r="AM71" s="116"/>
      <c r="AN71" s="116"/>
      <c r="AO71" s="116"/>
      <c r="AP71" s="116"/>
      <c r="AQ71" s="116"/>
      <c r="AR71" s="116"/>
      <c r="AS71" s="116"/>
      <c r="AT71" s="116"/>
      <c r="AU71" s="116"/>
      <c r="AV71" s="116"/>
      <c r="AW71" s="116"/>
      <c r="AX71" s="116"/>
      <c r="AY71" s="116"/>
    </row>
    <row r="72" spans="1:51" x14ac:dyDescent="0.2">
      <c r="A72" s="115"/>
      <c r="B72" s="133">
        <v>28</v>
      </c>
      <c r="C72" s="115" t="s">
        <v>293</v>
      </c>
      <c r="D72" s="116"/>
      <c r="E72" s="116"/>
      <c r="F72" s="116"/>
      <c r="G72" s="116"/>
      <c r="H72" s="116"/>
      <c r="I72" s="116"/>
      <c r="J72" s="116"/>
      <c r="K72" s="116"/>
      <c r="L72" s="116"/>
      <c r="M72" s="116"/>
      <c r="N72" s="116"/>
      <c r="O72" s="116"/>
      <c r="P72" s="116"/>
      <c r="Q72" s="116"/>
      <c r="R72" s="116"/>
      <c r="S72" s="116"/>
      <c r="T72" s="116"/>
      <c r="U72" s="116"/>
      <c r="V72" s="116"/>
      <c r="W72" s="116"/>
      <c r="X72" s="116"/>
      <c r="Y72" s="116"/>
      <c r="Z72" s="116"/>
      <c r="AA72" s="116"/>
      <c r="AB72" s="116"/>
      <c r="AC72" s="116"/>
      <c r="AD72" s="116"/>
      <c r="AE72" s="116"/>
      <c r="AF72" s="116"/>
      <c r="AG72" s="116"/>
      <c r="AH72" s="116"/>
      <c r="AI72" s="116"/>
      <c r="AJ72" s="116"/>
      <c r="AK72" s="116"/>
      <c r="AL72" s="116"/>
      <c r="AM72" s="116"/>
      <c r="AN72" s="116"/>
      <c r="AO72" s="116"/>
      <c r="AP72" s="116"/>
      <c r="AQ72" s="116"/>
      <c r="AR72" s="116"/>
      <c r="AS72" s="116"/>
      <c r="AT72" s="116"/>
      <c r="AU72" s="116"/>
      <c r="AV72" s="116"/>
      <c r="AW72" s="116"/>
      <c r="AX72" s="116"/>
      <c r="AY72" s="116"/>
    </row>
    <row r="73" spans="1:51" x14ac:dyDescent="0.2">
      <c r="A73" s="115"/>
      <c r="B73" s="133">
        <v>29</v>
      </c>
      <c r="C73" s="115" t="s">
        <v>293</v>
      </c>
      <c r="D73" s="116"/>
      <c r="E73" s="116"/>
      <c r="F73" s="116"/>
      <c r="G73" s="116"/>
      <c r="H73" s="116"/>
      <c r="I73" s="116"/>
      <c r="J73" s="116"/>
      <c r="K73" s="116"/>
      <c r="L73" s="116"/>
      <c r="M73" s="116"/>
      <c r="N73" s="116"/>
      <c r="O73" s="116"/>
      <c r="P73" s="116"/>
      <c r="Q73" s="116"/>
      <c r="R73" s="116"/>
      <c r="S73" s="116"/>
      <c r="T73" s="116"/>
      <c r="U73" s="116"/>
      <c r="V73" s="116"/>
      <c r="W73" s="116"/>
      <c r="X73" s="116"/>
      <c r="Y73" s="116"/>
      <c r="Z73" s="116"/>
      <c r="AA73" s="116"/>
      <c r="AB73" s="116"/>
      <c r="AC73" s="116"/>
      <c r="AD73" s="116"/>
      <c r="AE73" s="116"/>
      <c r="AF73" s="116"/>
      <c r="AG73" s="116"/>
      <c r="AH73" s="116"/>
      <c r="AI73" s="116"/>
      <c r="AJ73" s="116"/>
      <c r="AK73" s="116"/>
      <c r="AL73" s="116"/>
      <c r="AM73" s="116"/>
      <c r="AN73" s="116"/>
      <c r="AO73" s="116"/>
      <c r="AP73" s="116"/>
      <c r="AQ73" s="116"/>
      <c r="AR73" s="116"/>
      <c r="AS73" s="116"/>
      <c r="AT73" s="116"/>
      <c r="AU73" s="116"/>
      <c r="AV73" s="116"/>
      <c r="AW73" s="116"/>
      <c r="AX73" s="116"/>
      <c r="AY73" s="116"/>
    </row>
    <row r="74" spans="1:51" x14ac:dyDescent="0.2">
      <c r="A74" s="115"/>
      <c r="B74" s="133">
        <v>30</v>
      </c>
      <c r="C74" s="115" t="s">
        <v>293</v>
      </c>
      <c r="D74" s="116"/>
      <c r="E74" s="116"/>
      <c r="F74" s="116"/>
      <c r="G74" s="116"/>
      <c r="H74" s="116"/>
      <c r="I74" s="116"/>
      <c r="J74" s="116"/>
      <c r="K74" s="116"/>
      <c r="L74" s="116"/>
      <c r="M74" s="116"/>
      <c r="N74" s="116"/>
      <c r="O74" s="116"/>
      <c r="P74" s="116"/>
      <c r="Q74" s="116"/>
      <c r="R74" s="116"/>
      <c r="S74" s="116"/>
      <c r="T74" s="116"/>
      <c r="U74" s="116"/>
      <c r="V74" s="116"/>
      <c r="W74" s="116"/>
      <c r="X74" s="116"/>
      <c r="Y74" s="116"/>
      <c r="Z74" s="116"/>
      <c r="AA74" s="116"/>
      <c r="AB74" s="116"/>
      <c r="AC74" s="116"/>
      <c r="AD74" s="116"/>
      <c r="AE74" s="116"/>
      <c r="AF74" s="116"/>
      <c r="AG74" s="116"/>
      <c r="AH74" s="116"/>
      <c r="AI74" s="116"/>
      <c r="AJ74" s="116"/>
      <c r="AK74" s="116"/>
      <c r="AL74" s="116"/>
      <c r="AM74" s="116"/>
      <c r="AN74" s="116"/>
      <c r="AO74" s="116"/>
      <c r="AP74" s="116"/>
      <c r="AQ74" s="116"/>
      <c r="AR74" s="116"/>
      <c r="AS74" s="116"/>
      <c r="AT74" s="116"/>
      <c r="AU74" s="116"/>
      <c r="AV74" s="116"/>
      <c r="AW74" s="116"/>
      <c r="AX74" s="116"/>
      <c r="AY74" s="116"/>
    </row>
    <row r="75" spans="1:51" x14ac:dyDescent="0.2">
      <c r="A75" s="115"/>
      <c r="B75" s="133">
        <v>31</v>
      </c>
      <c r="C75" s="115" t="s">
        <v>293</v>
      </c>
      <c r="D75" s="116"/>
      <c r="E75" s="116"/>
      <c r="F75" s="116"/>
      <c r="G75" s="116"/>
      <c r="H75" s="116"/>
      <c r="I75" s="116"/>
      <c r="J75" s="116"/>
      <c r="K75" s="116"/>
      <c r="L75" s="116"/>
      <c r="M75" s="116"/>
      <c r="N75" s="116"/>
      <c r="O75" s="116"/>
      <c r="P75" s="116"/>
      <c r="Q75" s="116"/>
      <c r="R75" s="116"/>
      <c r="S75" s="116"/>
      <c r="T75" s="116"/>
      <c r="U75" s="116"/>
      <c r="V75" s="116"/>
      <c r="W75" s="116"/>
      <c r="X75" s="116"/>
      <c r="Y75" s="116"/>
      <c r="Z75" s="116"/>
      <c r="AA75" s="116"/>
      <c r="AB75" s="116"/>
      <c r="AC75" s="116"/>
      <c r="AD75" s="116"/>
      <c r="AE75" s="116"/>
      <c r="AF75" s="116"/>
      <c r="AG75" s="116"/>
      <c r="AH75" s="116"/>
      <c r="AI75" s="116"/>
      <c r="AJ75" s="116"/>
      <c r="AK75" s="116"/>
      <c r="AL75" s="116"/>
      <c r="AM75" s="116"/>
      <c r="AN75" s="116"/>
      <c r="AO75" s="116"/>
      <c r="AP75" s="116"/>
      <c r="AQ75" s="116"/>
      <c r="AR75" s="116"/>
      <c r="AS75" s="116"/>
      <c r="AT75" s="116"/>
      <c r="AU75" s="116"/>
      <c r="AV75" s="116"/>
      <c r="AW75" s="116"/>
      <c r="AX75" s="116"/>
      <c r="AY75" s="116"/>
    </row>
    <row r="76" spans="1:51" x14ac:dyDescent="0.2">
      <c r="A76" s="115"/>
      <c r="B76" s="133">
        <v>32</v>
      </c>
      <c r="C76" s="115" t="s">
        <v>293</v>
      </c>
      <c r="D76" s="116"/>
      <c r="E76" s="116"/>
      <c r="F76" s="116"/>
      <c r="G76" s="116"/>
      <c r="H76" s="116"/>
      <c r="I76" s="116"/>
      <c r="J76" s="116"/>
      <c r="K76" s="116"/>
      <c r="L76" s="116"/>
      <c r="M76" s="116"/>
      <c r="N76" s="116"/>
      <c r="O76" s="116"/>
      <c r="P76" s="116"/>
      <c r="Q76" s="116"/>
      <c r="R76" s="116"/>
      <c r="S76" s="116"/>
      <c r="T76" s="116"/>
      <c r="U76" s="116"/>
      <c r="V76" s="116"/>
      <c r="W76" s="116"/>
      <c r="X76" s="116"/>
      <c r="Y76" s="116"/>
      <c r="Z76" s="116"/>
      <c r="AA76" s="116"/>
      <c r="AB76" s="116"/>
      <c r="AC76" s="116"/>
      <c r="AD76" s="116"/>
      <c r="AE76" s="116"/>
      <c r="AF76" s="116"/>
      <c r="AG76" s="116"/>
      <c r="AH76" s="116"/>
      <c r="AI76" s="116"/>
      <c r="AJ76" s="116"/>
      <c r="AK76" s="116"/>
      <c r="AL76" s="116"/>
      <c r="AM76" s="116"/>
      <c r="AN76" s="116"/>
      <c r="AO76" s="116"/>
      <c r="AP76" s="116"/>
      <c r="AQ76" s="116"/>
      <c r="AR76" s="116"/>
      <c r="AS76" s="116"/>
      <c r="AT76" s="116"/>
      <c r="AU76" s="116"/>
      <c r="AV76" s="116"/>
      <c r="AW76" s="116"/>
      <c r="AX76" s="116"/>
      <c r="AY76" s="116"/>
    </row>
    <row r="77" spans="1:51" x14ac:dyDescent="0.2">
      <c r="A77" s="115"/>
      <c r="B77" s="133">
        <v>33</v>
      </c>
      <c r="C77" s="115" t="s">
        <v>293</v>
      </c>
      <c r="D77" s="116"/>
      <c r="E77" s="116"/>
      <c r="F77" s="116"/>
      <c r="G77" s="116"/>
      <c r="H77" s="116"/>
      <c r="I77" s="116"/>
      <c r="J77" s="116"/>
      <c r="K77" s="116"/>
      <c r="L77" s="116"/>
      <c r="M77" s="116"/>
      <c r="N77" s="116"/>
      <c r="O77" s="116"/>
      <c r="P77" s="116"/>
      <c r="Q77" s="116"/>
      <c r="R77" s="116"/>
      <c r="S77" s="116"/>
      <c r="T77" s="116"/>
      <c r="U77" s="116"/>
      <c r="V77" s="116"/>
      <c r="W77" s="116"/>
      <c r="X77" s="116"/>
      <c r="Y77" s="116"/>
      <c r="Z77" s="116"/>
      <c r="AA77" s="116"/>
      <c r="AB77" s="116"/>
      <c r="AC77" s="116"/>
      <c r="AD77" s="116"/>
      <c r="AE77" s="116"/>
      <c r="AF77" s="116"/>
      <c r="AG77" s="116"/>
      <c r="AH77" s="116"/>
      <c r="AI77" s="116"/>
      <c r="AJ77" s="116"/>
      <c r="AK77" s="116"/>
      <c r="AL77" s="116"/>
      <c r="AM77" s="116"/>
      <c r="AN77" s="116"/>
      <c r="AO77" s="116"/>
      <c r="AP77" s="116"/>
      <c r="AQ77" s="116"/>
      <c r="AR77" s="116"/>
      <c r="AS77" s="116"/>
      <c r="AT77" s="116"/>
      <c r="AU77" s="116"/>
      <c r="AV77" s="116"/>
      <c r="AW77" s="116"/>
      <c r="AX77" s="116"/>
      <c r="AY77" s="116"/>
    </row>
    <row r="78" spans="1:51" x14ac:dyDescent="0.2">
      <c r="A78" s="115"/>
      <c r="B78" s="133">
        <v>34</v>
      </c>
      <c r="C78" s="115" t="s">
        <v>293</v>
      </c>
      <c r="D78" s="116"/>
      <c r="E78" s="116"/>
      <c r="F78" s="116"/>
      <c r="G78" s="116"/>
      <c r="H78" s="116"/>
      <c r="I78" s="116"/>
      <c r="J78" s="116"/>
      <c r="K78" s="116"/>
      <c r="L78" s="116"/>
      <c r="M78" s="116"/>
      <c r="N78" s="116"/>
      <c r="O78" s="116"/>
      <c r="P78" s="116"/>
      <c r="Q78" s="116"/>
      <c r="R78" s="116"/>
      <c r="S78" s="116"/>
      <c r="T78" s="116"/>
      <c r="U78" s="116"/>
      <c r="V78" s="116"/>
      <c r="W78" s="116"/>
      <c r="X78" s="116"/>
      <c r="Y78" s="116"/>
      <c r="Z78" s="116"/>
      <c r="AA78" s="116"/>
      <c r="AB78" s="116"/>
      <c r="AC78" s="116"/>
      <c r="AD78" s="116"/>
      <c r="AE78" s="116"/>
      <c r="AF78" s="116"/>
      <c r="AG78" s="116"/>
      <c r="AH78" s="116"/>
      <c r="AI78" s="116"/>
      <c r="AJ78" s="116"/>
      <c r="AK78" s="116"/>
      <c r="AL78" s="116"/>
      <c r="AM78" s="116"/>
      <c r="AN78" s="116"/>
      <c r="AO78" s="116"/>
      <c r="AP78" s="116"/>
      <c r="AQ78" s="116"/>
      <c r="AR78" s="116"/>
      <c r="AS78" s="116"/>
      <c r="AT78" s="116"/>
      <c r="AU78" s="116"/>
      <c r="AV78" s="116"/>
      <c r="AW78" s="116"/>
      <c r="AX78" s="116"/>
      <c r="AY78" s="116"/>
    </row>
    <row r="79" spans="1:51" x14ac:dyDescent="0.2">
      <c r="A79" s="115"/>
      <c r="B79" s="133">
        <v>35</v>
      </c>
      <c r="C79" s="115" t="s">
        <v>293</v>
      </c>
      <c r="D79" s="116"/>
      <c r="E79" s="116"/>
      <c r="F79" s="116"/>
      <c r="G79" s="116"/>
      <c r="H79" s="116"/>
      <c r="I79" s="116"/>
      <c r="J79" s="116"/>
      <c r="K79" s="116"/>
      <c r="L79" s="116"/>
      <c r="M79" s="116"/>
      <c r="N79" s="116"/>
      <c r="O79" s="116"/>
      <c r="P79" s="116"/>
      <c r="Q79" s="116"/>
      <c r="R79" s="116"/>
      <c r="S79" s="116"/>
      <c r="T79" s="116"/>
      <c r="U79" s="116"/>
      <c r="V79" s="116"/>
      <c r="W79" s="116"/>
      <c r="X79" s="116"/>
      <c r="Y79" s="116"/>
      <c r="Z79" s="116"/>
      <c r="AA79" s="116"/>
      <c r="AB79" s="116"/>
      <c r="AC79" s="116"/>
      <c r="AD79" s="116"/>
      <c r="AE79" s="116"/>
      <c r="AF79" s="116"/>
      <c r="AG79" s="116"/>
      <c r="AH79" s="116"/>
      <c r="AI79" s="116"/>
      <c r="AJ79" s="116"/>
      <c r="AK79" s="116"/>
      <c r="AL79" s="116"/>
      <c r="AM79" s="116"/>
      <c r="AN79" s="116"/>
      <c r="AO79" s="116"/>
      <c r="AP79" s="116"/>
      <c r="AQ79" s="116"/>
      <c r="AR79" s="116"/>
      <c r="AS79" s="116"/>
      <c r="AT79" s="116"/>
      <c r="AU79" s="116"/>
      <c r="AV79" s="116"/>
      <c r="AW79" s="116"/>
      <c r="AX79" s="116"/>
      <c r="AY79" s="116"/>
    </row>
    <row r="80" spans="1:51" x14ac:dyDescent="0.2">
      <c r="A80" s="115"/>
      <c r="B80" s="133">
        <v>36</v>
      </c>
      <c r="C80" s="115" t="s">
        <v>293</v>
      </c>
      <c r="D80" s="116"/>
      <c r="E80" s="116"/>
      <c r="F80" s="116"/>
      <c r="G80" s="116"/>
      <c r="H80" s="116"/>
      <c r="I80" s="116"/>
      <c r="J80" s="116"/>
      <c r="K80" s="116"/>
      <c r="L80" s="116"/>
      <c r="M80" s="116"/>
      <c r="N80" s="116"/>
      <c r="O80" s="116"/>
      <c r="P80" s="116"/>
      <c r="Q80" s="116"/>
      <c r="R80" s="116"/>
      <c r="S80" s="116"/>
      <c r="T80" s="116"/>
      <c r="U80" s="116"/>
      <c r="V80" s="116"/>
      <c r="W80" s="116"/>
      <c r="X80" s="116"/>
      <c r="Y80" s="116"/>
      <c r="Z80" s="116"/>
      <c r="AA80" s="116"/>
      <c r="AB80" s="116"/>
      <c r="AC80" s="116"/>
      <c r="AD80" s="116"/>
      <c r="AE80" s="116"/>
      <c r="AF80" s="116"/>
      <c r="AG80" s="116"/>
      <c r="AH80" s="116"/>
      <c r="AI80" s="116"/>
      <c r="AJ80" s="116"/>
      <c r="AK80" s="116"/>
      <c r="AL80" s="116"/>
      <c r="AM80" s="116"/>
      <c r="AN80" s="116"/>
      <c r="AO80" s="116"/>
      <c r="AP80" s="116"/>
      <c r="AQ80" s="116"/>
      <c r="AR80" s="116"/>
      <c r="AS80" s="116"/>
      <c r="AT80" s="116"/>
      <c r="AU80" s="116"/>
      <c r="AV80" s="116"/>
      <c r="AW80" s="116"/>
      <c r="AX80" s="116"/>
      <c r="AY80" s="116"/>
    </row>
    <row r="81" spans="1:52" x14ac:dyDescent="0.2">
      <c r="A81" s="115"/>
      <c r="B81" s="136">
        <v>37</v>
      </c>
      <c r="C81" s="115" t="s">
        <v>293</v>
      </c>
      <c r="D81" s="116"/>
      <c r="E81" s="116"/>
      <c r="F81" s="116"/>
      <c r="G81" s="116"/>
      <c r="H81" s="116"/>
      <c r="I81" s="116"/>
      <c r="J81" s="116"/>
      <c r="K81" s="116"/>
      <c r="L81" s="116"/>
      <c r="M81" s="116"/>
      <c r="N81" s="116"/>
      <c r="O81" s="116"/>
      <c r="P81" s="116"/>
      <c r="Q81" s="116"/>
      <c r="R81" s="116"/>
      <c r="S81" s="116"/>
      <c r="T81" s="116"/>
      <c r="U81" s="116"/>
      <c r="V81" s="116"/>
      <c r="W81" s="116"/>
      <c r="X81" s="116"/>
      <c r="Y81" s="116"/>
      <c r="Z81" s="116"/>
      <c r="AA81" s="116"/>
      <c r="AB81" s="116"/>
      <c r="AC81" s="116"/>
      <c r="AD81" s="116"/>
      <c r="AE81" s="116"/>
      <c r="AF81" s="116"/>
      <c r="AG81" s="116"/>
      <c r="AH81" s="116"/>
      <c r="AI81" s="116"/>
      <c r="AJ81" s="116"/>
      <c r="AK81" s="116"/>
      <c r="AL81" s="116"/>
      <c r="AM81" s="116"/>
      <c r="AN81" s="116"/>
      <c r="AO81" s="116"/>
      <c r="AP81" s="116"/>
      <c r="AQ81" s="116"/>
      <c r="AR81" s="116"/>
      <c r="AS81" s="116"/>
      <c r="AT81" s="116"/>
      <c r="AU81" s="116"/>
      <c r="AV81" s="116"/>
      <c r="AW81" s="116"/>
      <c r="AX81" s="116"/>
      <c r="AY81" s="116"/>
    </row>
    <row r="82" spans="1:52" x14ac:dyDescent="0.2">
      <c r="A82" s="115"/>
      <c r="B82" s="136">
        <v>38</v>
      </c>
      <c r="C82" s="115" t="s">
        <v>293</v>
      </c>
      <c r="D82" s="116"/>
      <c r="E82" s="116"/>
      <c r="F82" s="116"/>
      <c r="G82" s="116"/>
      <c r="H82" s="116"/>
      <c r="I82" s="116"/>
      <c r="J82" s="116"/>
      <c r="K82" s="116"/>
      <c r="L82" s="116"/>
      <c r="M82" s="116"/>
      <c r="N82" s="116"/>
      <c r="O82" s="116"/>
      <c r="P82" s="116"/>
      <c r="Q82" s="116"/>
      <c r="R82" s="116"/>
      <c r="S82" s="116"/>
      <c r="T82" s="116"/>
      <c r="U82" s="116"/>
      <c r="V82" s="116"/>
      <c r="W82" s="116"/>
      <c r="X82" s="116"/>
      <c r="Y82" s="116"/>
      <c r="Z82" s="116"/>
      <c r="AA82" s="116"/>
      <c r="AB82" s="116"/>
      <c r="AC82" s="116"/>
      <c r="AD82" s="116"/>
      <c r="AE82" s="116"/>
      <c r="AF82" s="116"/>
      <c r="AG82" s="116"/>
      <c r="AH82" s="116"/>
      <c r="AI82" s="116"/>
      <c r="AJ82" s="116"/>
      <c r="AK82" s="116"/>
      <c r="AL82" s="116"/>
      <c r="AM82" s="116"/>
      <c r="AN82" s="116"/>
      <c r="AO82" s="116"/>
      <c r="AP82" s="116"/>
      <c r="AQ82" s="116"/>
      <c r="AR82" s="116"/>
      <c r="AS82" s="116"/>
      <c r="AT82" s="116"/>
      <c r="AU82" s="116"/>
      <c r="AV82" s="116"/>
      <c r="AW82" s="116"/>
      <c r="AX82" s="116"/>
      <c r="AY82" s="116"/>
    </row>
    <row r="83" spans="1:52" x14ac:dyDescent="0.2">
      <c r="A83" s="115"/>
      <c r="B83" s="136">
        <v>39</v>
      </c>
      <c r="C83" s="115" t="s">
        <v>293</v>
      </c>
      <c r="D83" s="116"/>
      <c r="E83" s="116"/>
      <c r="F83" s="116"/>
      <c r="G83" s="116"/>
      <c r="H83" s="116"/>
      <c r="I83" s="116"/>
      <c r="J83" s="116"/>
      <c r="K83" s="116"/>
      <c r="L83" s="116"/>
      <c r="M83" s="116"/>
      <c r="N83" s="116"/>
      <c r="O83" s="116"/>
      <c r="P83" s="116"/>
      <c r="Q83" s="116"/>
      <c r="R83" s="116"/>
      <c r="S83" s="116"/>
      <c r="T83" s="116"/>
      <c r="U83" s="116"/>
      <c r="V83" s="116"/>
      <c r="W83" s="116"/>
      <c r="X83" s="116"/>
      <c r="Y83" s="116"/>
      <c r="Z83" s="116"/>
      <c r="AA83" s="116"/>
      <c r="AB83" s="116"/>
      <c r="AC83" s="116"/>
      <c r="AD83" s="116"/>
      <c r="AE83" s="116"/>
      <c r="AF83" s="116"/>
      <c r="AG83" s="116"/>
      <c r="AH83" s="116"/>
      <c r="AI83" s="116"/>
      <c r="AJ83" s="116"/>
      <c r="AK83" s="116"/>
      <c r="AL83" s="116"/>
      <c r="AM83" s="116"/>
      <c r="AN83" s="116"/>
      <c r="AO83" s="116"/>
      <c r="AP83" s="116"/>
      <c r="AQ83" s="116"/>
      <c r="AR83" s="116"/>
      <c r="AS83" s="116"/>
      <c r="AT83" s="116"/>
      <c r="AU83" s="116"/>
      <c r="AV83" s="116"/>
      <c r="AW83" s="116"/>
      <c r="AX83" s="116"/>
      <c r="AY83" s="116"/>
    </row>
    <row r="84" spans="1:52" x14ac:dyDescent="0.2">
      <c r="A84" s="115"/>
      <c r="B84" s="136">
        <v>40</v>
      </c>
      <c r="C84" s="115" t="s">
        <v>293</v>
      </c>
      <c r="D84" s="116"/>
      <c r="E84" s="116"/>
      <c r="F84" s="116"/>
      <c r="G84" s="116"/>
      <c r="H84" s="116"/>
      <c r="I84" s="116"/>
      <c r="J84" s="116"/>
      <c r="K84" s="116"/>
      <c r="L84" s="116"/>
      <c r="M84" s="116"/>
      <c r="N84" s="116"/>
      <c r="O84" s="116"/>
      <c r="P84" s="116"/>
      <c r="Q84" s="116"/>
      <c r="R84" s="116"/>
      <c r="S84" s="116"/>
      <c r="T84" s="116"/>
      <c r="U84" s="116"/>
      <c r="V84" s="116"/>
      <c r="W84" s="116"/>
      <c r="X84" s="116"/>
      <c r="Y84" s="116"/>
      <c r="Z84" s="116"/>
      <c r="AA84" s="116"/>
      <c r="AB84" s="116"/>
      <c r="AC84" s="116"/>
      <c r="AD84" s="116"/>
      <c r="AE84" s="116"/>
      <c r="AF84" s="116"/>
      <c r="AG84" s="116"/>
      <c r="AH84" s="116"/>
      <c r="AI84" s="116"/>
      <c r="AJ84" s="116"/>
      <c r="AK84" s="116"/>
      <c r="AL84" s="116"/>
      <c r="AM84" s="116"/>
      <c r="AN84" s="116"/>
      <c r="AO84" s="116"/>
      <c r="AP84" s="116"/>
      <c r="AQ84" s="116"/>
      <c r="AR84" s="116"/>
      <c r="AS84" s="116"/>
      <c r="AT84" s="116"/>
      <c r="AU84" s="116"/>
      <c r="AV84" s="116"/>
      <c r="AW84" s="116"/>
      <c r="AX84" s="116"/>
      <c r="AY84" s="116"/>
    </row>
    <row r="85" spans="1:52" x14ac:dyDescent="0.2">
      <c r="A85" s="115"/>
      <c r="B85" s="136">
        <v>41</v>
      </c>
      <c r="C85" s="115" t="s">
        <v>293</v>
      </c>
      <c r="D85" s="116"/>
      <c r="E85" s="116"/>
      <c r="F85" s="116"/>
      <c r="G85" s="116"/>
      <c r="H85" s="116"/>
      <c r="I85" s="116"/>
      <c r="J85" s="116"/>
      <c r="K85" s="116"/>
      <c r="L85" s="116"/>
      <c r="M85" s="116"/>
      <c r="N85" s="116"/>
      <c r="O85" s="116"/>
      <c r="P85" s="116"/>
      <c r="Q85" s="116"/>
      <c r="R85" s="116"/>
      <c r="S85" s="116"/>
      <c r="T85" s="116"/>
      <c r="U85" s="116"/>
      <c r="V85" s="116"/>
      <c r="W85" s="116"/>
      <c r="X85" s="116"/>
      <c r="Y85" s="116"/>
      <c r="Z85" s="116"/>
      <c r="AA85" s="116"/>
      <c r="AB85" s="116"/>
      <c r="AC85" s="116"/>
      <c r="AD85" s="116"/>
      <c r="AE85" s="116"/>
      <c r="AF85" s="116"/>
      <c r="AG85" s="116"/>
      <c r="AH85" s="116"/>
      <c r="AI85" s="116"/>
      <c r="AJ85" s="116"/>
      <c r="AK85" s="116"/>
      <c r="AL85" s="116"/>
      <c r="AM85" s="116"/>
      <c r="AN85" s="116"/>
      <c r="AO85" s="116"/>
      <c r="AP85" s="116"/>
      <c r="AQ85" s="116"/>
      <c r="AR85" s="116"/>
      <c r="AS85" s="116"/>
      <c r="AT85" s="116"/>
      <c r="AU85" s="116"/>
      <c r="AV85" s="116"/>
      <c r="AW85" s="116"/>
      <c r="AX85" s="116"/>
      <c r="AY85" s="116"/>
    </row>
    <row r="86" spans="1:52" x14ac:dyDescent="0.2">
      <c r="A86" s="115"/>
      <c r="B86" s="136">
        <v>42</v>
      </c>
      <c r="C86" s="115" t="s">
        <v>293</v>
      </c>
      <c r="D86" s="116"/>
      <c r="E86" s="116"/>
      <c r="F86" s="116"/>
      <c r="G86" s="116"/>
      <c r="H86" s="116"/>
      <c r="I86" s="116"/>
      <c r="J86" s="116"/>
      <c r="K86" s="116"/>
      <c r="L86" s="116"/>
      <c r="M86" s="116"/>
      <c r="N86" s="116"/>
      <c r="O86" s="116"/>
      <c r="P86" s="116"/>
      <c r="Q86" s="116"/>
      <c r="R86" s="116"/>
      <c r="S86" s="116"/>
      <c r="T86" s="116"/>
      <c r="U86" s="116"/>
      <c r="V86" s="116"/>
      <c r="W86" s="116"/>
      <c r="X86" s="116"/>
      <c r="Y86" s="116"/>
      <c r="Z86" s="116"/>
      <c r="AA86" s="116"/>
      <c r="AB86" s="116"/>
      <c r="AC86" s="116"/>
      <c r="AD86" s="116"/>
      <c r="AE86" s="116"/>
      <c r="AF86" s="116"/>
      <c r="AG86" s="116"/>
      <c r="AH86" s="116"/>
      <c r="AI86" s="116"/>
      <c r="AJ86" s="116"/>
      <c r="AK86" s="116"/>
      <c r="AL86" s="116"/>
      <c r="AM86" s="116"/>
      <c r="AN86" s="116"/>
      <c r="AO86" s="116"/>
      <c r="AP86" s="116"/>
      <c r="AQ86" s="116"/>
      <c r="AR86" s="116"/>
      <c r="AS86" s="116"/>
      <c r="AT86" s="116"/>
      <c r="AU86" s="116"/>
      <c r="AV86" s="116"/>
      <c r="AW86" s="116"/>
      <c r="AX86" s="116"/>
      <c r="AY86" s="116"/>
    </row>
    <row r="87" spans="1:52" x14ac:dyDescent="0.2">
      <c r="A87" s="115"/>
      <c r="B87" s="136">
        <v>43</v>
      </c>
      <c r="C87" s="115" t="s">
        <v>293</v>
      </c>
      <c r="D87" s="116"/>
      <c r="E87" s="116"/>
      <c r="F87" s="116"/>
      <c r="G87" s="116"/>
      <c r="H87" s="116"/>
      <c r="I87" s="116"/>
      <c r="J87" s="116"/>
      <c r="K87" s="116"/>
      <c r="L87" s="116"/>
      <c r="M87" s="116"/>
      <c r="N87" s="116"/>
      <c r="O87" s="116"/>
      <c r="P87" s="116"/>
      <c r="Q87" s="116"/>
      <c r="R87" s="116"/>
      <c r="S87" s="116"/>
      <c r="T87" s="116"/>
      <c r="U87" s="116"/>
      <c r="V87" s="116"/>
      <c r="W87" s="116"/>
      <c r="X87" s="116"/>
      <c r="Y87" s="116"/>
      <c r="Z87" s="116"/>
      <c r="AA87" s="116"/>
      <c r="AB87" s="116"/>
      <c r="AC87" s="116"/>
      <c r="AD87" s="116"/>
      <c r="AE87" s="116"/>
      <c r="AF87" s="116"/>
      <c r="AG87" s="116"/>
      <c r="AH87" s="116"/>
      <c r="AI87" s="116"/>
      <c r="AJ87" s="116"/>
      <c r="AK87" s="116"/>
      <c r="AL87" s="116"/>
      <c r="AM87" s="116"/>
      <c r="AN87" s="116"/>
      <c r="AO87" s="116"/>
      <c r="AP87" s="116"/>
      <c r="AQ87" s="116"/>
      <c r="AR87" s="116"/>
      <c r="AS87" s="116"/>
      <c r="AT87" s="116"/>
      <c r="AU87" s="116"/>
      <c r="AV87" s="116"/>
      <c r="AW87" s="116"/>
      <c r="AX87" s="116"/>
      <c r="AY87" s="116"/>
    </row>
    <row r="88" spans="1:52" x14ac:dyDescent="0.2">
      <c r="A88" s="115"/>
      <c r="B88" s="136">
        <v>44</v>
      </c>
      <c r="C88" s="115" t="s">
        <v>293</v>
      </c>
      <c r="D88" s="116"/>
      <c r="E88" s="116"/>
      <c r="F88" s="116"/>
      <c r="G88" s="116"/>
      <c r="H88" s="116"/>
      <c r="I88" s="116"/>
      <c r="J88" s="116"/>
      <c r="K88" s="116"/>
      <c r="L88" s="116"/>
      <c r="M88" s="116"/>
      <c r="N88" s="116"/>
      <c r="O88" s="116"/>
      <c r="P88" s="116"/>
      <c r="Q88" s="116"/>
      <c r="R88" s="116"/>
      <c r="S88" s="116"/>
      <c r="T88" s="116"/>
      <c r="U88" s="116"/>
      <c r="V88" s="116"/>
      <c r="W88" s="116"/>
      <c r="X88" s="116"/>
      <c r="Y88" s="116"/>
      <c r="Z88" s="116"/>
      <c r="AA88" s="116"/>
      <c r="AB88" s="116"/>
      <c r="AC88" s="116"/>
      <c r="AD88" s="116"/>
      <c r="AE88" s="116"/>
      <c r="AF88" s="116"/>
      <c r="AG88" s="116"/>
      <c r="AH88" s="116"/>
      <c r="AI88" s="116"/>
      <c r="AJ88" s="116"/>
      <c r="AK88" s="116"/>
      <c r="AL88" s="116"/>
      <c r="AM88" s="116"/>
      <c r="AN88" s="116"/>
      <c r="AO88" s="116"/>
      <c r="AP88" s="116"/>
      <c r="AQ88" s="116"/>
      <c r="AR88" s="116"/>
      <c r="AS88" s="116"/>
      <c r="AT88" s="116"/>
      <c r="AU88" s="116"/>
      <c r="AV88" s="116"/>
      <c r="AW88" s="116"/>
      <c r="AX88" s="116"/>
      <c r="AY88" s="116"/>
    </row>
    <row r="89" spans="1:52" x14ac:dyDescent="0.2">
      <c r="A89" s="115"/>
      <c r="B89" s="136">
        <v>45</v>
      </c>
      <c r="C89" s="115" t="s">
        <v>293</v>
      </c>
      <c r="D89" s="116"/>
      <c r="E89" s="116"/>
      <c r="F89" s="116"/>
      <c r="G89" s="116"/>
      <c r="H89" s="116"/>
      <c r="I89" s="116"/>
      <c r="J89" s="116"/>
      <c r="K89" s="116"/>
      <c r="L89" s="116"/>
      <c r="M89" s="116"/>
      <c r="N89" s="116"/>
      <c r="O89" s="116"/>
      <c r="P89" s="116"/>
      <c r="Q89" s="116"/>
      <c r="R89" s="116"/>
      <c r="S89" s="116"/>
      <c r="T89" s="116"/>
      <c r="U89" s="116"/>
      <c r="V89" s="116"/>
      <c r="W89" s="116"/>
      <c r="X89" s="116"/>
      <c r="Y89" s="116"/>
      <c r="Z89" s="116"/>
      <c r="AA89" s="116"/>
      <c r="AB89" s="116"/>
      <c r="AC89" s="116"/>
      <c r="AD89" s="116"/>
      <c r="AE89" s="116"/>
      <c r="AF89" s="116"/>
      <c r="AG89" s="116"/>
      <c r="AH89" s="116"/>
      <c r="AI89" s="116"/>
      <c r="AJ89" s="116"/>
      <c r="AK89" s="116"/>
      <c r="AL89" s="116"/>
      <c r="AM89" s="116"/>
      <c r="AN89" s="116"/>
      <c r="AO89" s="116"/>
      <c r="AP89" s="116"/>
      <c r="AQ89" s="116"/>
      <c r="AR89" s="116"/>
      <c r="AS89" s="116"/>
      <c r="AT89" s="116"/>
      <c r="AU89" s="116"/>
      <c r="AV89" s="116"/>
      <c r="AW89" s="116"/>
      <c r="AX89" s="116"/>
      <c r="AY89" s="116"/>
    </row>
    <row r="90" spans="1:52" x14ac:dyDescent="0.2">
      <c r="A90" s="115"/>
      <c r="B90" s="136">
        <v>46</v>
      </c>
      <c r="C90" s="115" t="s">
        <v>293</v>
      </c>
      <c r="D90" s="116"/>
      <c r="E90" s="116"/>
      <c r="F90" s="116"/>
      <c r="G90" s="116"/>
      <c r="H90" s="116"/>
      <c r="I90" s="116"/>
      <c r="J90" s="116"/>
      <c r="K90" s="116"/>
      <c r="L90" s="116"/>
      <c r="M90" s="116"/>
      <c r="N90" s="116"/>
      <c r="O90" s="116"/>
      <c r="P90" s="116"/>
      <c r="Q90" s="116"/>
      <c r="R90" s="116"/>
      <c r="S90" s="116"/>
      <c r="T90" s="116"/>
      <c r="U90" s="116"/>
      <c r="V90" s="116"/>
      <c r="W90" s="116"/>
      <c r="X90" s="116"/>
      <c r="Y90" s="116"/>
      <c r="Z90" s="116"/>
      <c r="AA90" s="116"/>
      <c r="AB90" s="116"/>
      <c r="AC90" s="116"/>
      <c r="AD90" s="116"/>
      <c r="AE90" s="116"/>
      <c r="AF90" s="116"/>
      <c r="AG90" s="116"/>
      <c r="AH90" s="116"/>
      <c r="AI90" s="116"/>
      <c r="AJ90" s="116"/>
      <c r="AK90" s="116"/>
      <c r="AL90" s="116"/>
      <c r="AM90" s="116"/>
      <c r="AN90" s="116"/>
      <c r="AO90" s="116"/>
      <c r="AP90" s="116"/>
      <c r="AQ90" s="116"/>
      <c r="AR90" s="116"/>
      <c r="AS90" s="116"/>
      <c r="AT90" s="116"/>
      <c r="AU90" s="116"/>
      <c r="AV90" s="116"/>
      <c r="AW90" s="116"/>
      <c r="AX90" s="116"/>
      <c r="AY90" s="116"/>
    </row>
    <row r="91" spans="1:52" x14ac:dyDescent="0.2">
      <c r="A91" s="115"/>
      <c r="B91" s="136">
        <v>47</v>
      </c>
      <c r="C91" s="115" t="s">
        <v>293</v>
      </c>
      <c r="D91" s="116"/>
      <c r="E91" s="116"/>
      <c r="F91" s="116"/>
      <c r="G91" s="116"/>
      <c r="H91" s="116"/>
      <c r="I91" s="116"/>
      <c r="J91" s="116"/>
      <c r="K91" s="116"/>
      <c r="L91" s="116"/>
      <c r="M91" s="116"/>
      <c r="N91" s="116"/>
      <c r="O91" s="116"/>
      <c r="P91" s="116"/>
      <c r="Q91" s="116"/>
      <c r="R91" s="116"/>
      <c r="S91" s="116"/>
      <c r="T91" s="116"/>
      <c r="U91" s="116"/>
      <c r="V91" s="116"/>
      <c r="W91" s="116"/>
      <c r="X91" s="116"/>
      <c r="Y91" s="116"/>
      <c r="Z91" s="116"/>
      <c r="AA91" s="116"/>
      <c r="AB91" s="116"/>
      <c r="AC91" s="116"/>
      <c r="AD91" s="116"/>
      <c r="AE91" s="116"/>
      <c r="AF91" s="116"/>
      <c r="AG91" s="116"/>
      <c r="AH91" s="116"/>
      <c r="AI91" s="116"/>
      <c r="AJ91" s="116"/>
      <c r="AK91" s="116"/>
      <c r="AL91" s="116"/>
      <c r="AM91" s="116"/>
      <c r="AN91" s="116"/>
      <c r="AO91" s="116"/>
      <c r="AP91" s="116"/>
      <c r="AQ91" s="116"/>
      <c r="AR91" s="116"/>
      <c r="AS91" s="116"/>
      <c r="AT91" s="116"/>
      <c r="AU91" s="116"/>
      <c r="AV91" s="116"/>
      <c r="AW91" s="116"/>
      <c r="AX91" s="116"/>
      <c r="AY91" s="116"/>
    </row>
    <row r="92" spans="1:52" x14ac:dyDescent="0.2">
      <c r="A92" s="134"/>
      <c r="B92" s="135">
        <v>48</v>
      </c>
      <c r="C92" s="134" t="s">
        <v>293</v>
      </c>
      <c r="D92" s="131">
        <v>0</v>
      </c>
      <c r="E92" s="131">
        <v>0</v>
      </c>
      <c r="F92" s="131">
        <v>0</v>
      </c>
      <c r="G92" s="131">
        <v>0</v>
      </c>
      <c r="H92" s="131">
        <v>0</v>
      </c>
      <c r="I92" s="131">
        <v>0</v>
      </c>
      <c r="J92" s="131">
        <v>0</v>
      </c>
      <c r="K92" s="131">
        <v>0</v>
      </c>
      <c r="L92" s="131">
        <v>0</v>
      </c>
      <c r="M92" s="131">
        <v>0</v>
      </c>
      <c r="N92" s="131">
        <v>0</v>
      </c>
      <c r="O92" s="131">
        <v>0</v>
      </c>
      <c r="P92" s="131">
        <v>0</v>
      </c>
      <c r="Q92" s="131">
        <v>0</v>
      </c>
      <c r="R92" s="131">
        <v>0</v>
      </c>
      <c r="S92" s="131">
        <v>0</v>
      </c>
      <c r="T92" s="131">
        <v>0</v>
      </c>
      <c r="U92" s="131">
        <v>0</v>
      </c>
      <c r="V92" s="131">
        <v>0</v>
      </c>
      <c r="W92" s="131">
        <v>0</v>
      </c>
      <c r="X92" s="131">
        <v>0</v>
      </c>
      <c r="Y92" s="131">
        <v>0</v>
      </c>
      <c r="Z92" s="131">
        <v>0</v>
      </c>
      <c r="AA92" s="131">
        <v>0</v>
      </c>
      <c r="AB92" s="131">
        <v>0</v>
      </c>
      <c r="AC92" s="131">
        <v>0</v>
      </c>
      <c r="AD92" s="131">
        <v>0</v>
      </c>
      <c r="AE92" s="131">
        <v>0</v>
      </c>
      <c r="AF92" s="131">
        <v>0</v>
      </c>
      <c r="AG92" s="131">
        <v>0</v>
      </c>
      <c r="AH92" s="131">
        <v>0</v>
      </c>
      <c r="AI92" s="131">
        <v>0</v>
      </c>
      <c r="AJ92" s="131">
        <v>0</v>
      </c>
      <c r="AK92" s="131">
        <v>0</v>
      </c>
      <c r="AL92" s="131">
        <v>0</v>
      </c>
      <c r="AM92" s="131">
        <v>0</v>
      </c>
      <c r="AN92" s="131">
        <v>0</v>
      </c>
      <c r="AO92" s="131">
        <v>0</v>
      </c>
      <c r="AP92" s="131">
        <v>0</v>
      </c>
      <c r="AQ92" s="131">
        <v>0</v>
      </c>
      <c r="AR92" s="131">
        <v>0</v>
      </c>
      <c r="AS92" s="131">
        <v>0</v>
      </c>
      <c r="AT92" s="131">
        <v>0</v>
      </c>
      <c r="AU92" s="131">
        <v>0</v>
      </c>
      <c r="AV92" s="131">
        <v>0</v>
      </c>
      <c r="AW92" s="131">
        <v>0</v>
      </c>
      <c r="AX92" s="131">
        <v>0</v>
      </c>
      <c r="AY92" s="131">
        <v>0</v>
      </c>
      <c r="AZ92" s="113">
        <f>SUM(D21:AY92)</f>
        <v>0</v>
      </c>
    </row>
    <row r="94" spans="1:52" x14ac:dyDescent="0.2">
      <c r="A94" s="108" t="s">
        <v>295</v>
      </c>
      <c r="B94" s="112"/>
      <c r="C94" s="112"/>
      <c r="D94" s="120"/>
      <c r="E94" s="120"/>
      <c r="F94" s="120"/>
      <c r="G94" s="120"/>
      <c r="H94" s="120"/>
      <c r="I94" s="120"/>
      <c r="J94" s="120"/>
      <c r="K94" s="120"/>
      <c r="L94" s="120"/>
      <c r="M94" s="120"/>
      <c r="N94" s="120"/>
      <c r="O94" s="120"/>
      <c r="P94" s="120"/>
      <c r="Q94" s="120"/>
      <c r="R94" s="120"/>
      <c r="S94" s="120"/>
      <c r="T94" s="120"/>
      <c r="U94" s="120"/>
      <c r="V94" s="120"/>
      <c r="W94" s="120"/>
      <c r="X94" s="120"/>
      <c r="Y94" s="120"/>
      <c r="Z94" s="120"/>
      <c r="AA94" s="120"/>
      <c r="AB94" s="120"/>
      <c r="AC94" s="120"/>
      <c r="AD94" s="120"/>
      <c r="AE94" s="120"/>
      <c r="AF94" s="120"/>
      <c r="AG94" s="120"/>
      <c r="AH94" s="120"/>
      <c r="AI94" s="120"/>
      <c r="AJ94" s="120"/>
      <c r="AK94" s="120"/>
      <c r="AL94" s="120"/>
      <c r="AM94" s="120"/>
      <c r="AN94" s="120"/>
      <c r="AO94" s="120"/>
      <c r="AP94" s="120"/>
      <c r="AQ94" s="120"/>
      <c r="AR94" s="120"/>
      <c r="AS94" s="120"/>
      <c r="AT94" s="120"/>
      <c r="AU94" s="120"/>
      <c r="AV94" s="120"/>
      <c r="AW94" s="120"/>
      <c r="AX94" s="120"/>
      <c r="AY94" s="120"/>
    </row>
    <row r="95" spans="1:52" x14ac:dyDescent="0.2">
      <c r="A95" s="132" t="s">
        <v>125</v>
      </c>
      <c r="B95" s="129">
        <v>1</v>
      </c>
      <c r="C95" s="130">
        <v>313.05248385016745</v>
      </c>
      <c r="D95" s="116">
        <v>162.125</v>
      </c>
      <c r="E95" s="116">
        <v>162.125</v>
      </c>
      <c r="F95" s="116">
        <v>162.125</v>
      </c>
      <c r="G95" s="116">
        <v>162.125</v>
      </c>
      <c r="H95" s="116">
        <v>311.75</v>
      </c>
      <c r="I95" s="116">
        <v>311.75</v>
      </c>
      <c r="J95" s="116">
        <v>311.75</v>
      </c>
      <c r="K95" s="116">
        <v>311.75</v>
      </c>
      <c r="L95" s="116">
        <v>202.625</v>
      </c>
      <c r="M95" s="116">
        <v>202.625</v>
      </c>
      <c r="N95" s="116">
        <v>202.625</v>
      </c>
      <c r="O95" s="116">
        <v>202.625</v>
      </c>
      <c r="P95" s="116">
        <v>180.375</v>
      </c>
      <c r="Q95" s="116">
        <v>180.375</v>
      </c>
      <c r="R95" s="116">
        <v>180.375</v>
      </c>
      <c r="S95" s="116">
        <v>180.375</v>
      </c>
      <c r="T95" s="116">
        <v>207.5</v>
      </c>
      <c r="U95" s="116">
        <v>207.5</v>
      </c>
      <c r="V95" s="116">
        <v>207.5</v>
      </c>
      <c r="W95" s="116">
        <v>207.5</v>
      </c>
      <c r="X95" s="116">
        <v>243.125</v>
      </c>
      <c r="Y95" s="116">
        <v>243.125</v>
      </c>
      <c r="Z95" s="116">
        <v>243.125</v>
      </c>
      <c r="AA95" s="116">
        <v>243.125</v>
      </c>
      <c r="AB95" s="116">
        <v>221.25</v>
      </c>
      <c r="AC95" s="116">
        <v>221.25</v>
      </c>
      <c r="AD95" s="116">
        <v>221.25</v>
      </c>
      <c r="AE95" s="116">
        <v>221.25</v>
      </c>
      <c r="AF95" s="116">
        <v>197</v>
      </c>
      <c r="AG95" s="116">
        <v>197</v>
      </c>
      <c r="AH95" s="116">
        <v>197</v>
      </c>
      <c r="AI95" s="116">
        <v>197</v>
      </c>
      <c r="AJ95" s="116">
        <v>194.625</v>
      </c>
      <c r="AK95" s="116">
        <v>194.625</v>
      </c>
      <c r="AL95" s="116">
        <v>194.625</v>
      </c>
      <c r="AM95" s="116">
        <v>194.625</v>
      </c>
      <c r="AN95" s="116">
        <v>226.875</v>
      </c>
      <c r="AO95" s="116">
        <v>226.875</v>
      </c>
      <c r="AP95" s="116">
        <v>226.875</v>
      </c>
      <c r="AQ95" s="116">
        <v>226.875</v>
      </c>
      <c r="AR95" s="116">
        <v>268.75</v>
      </c>
      <c r="AS95" s="116">
        <v>268.75</v>
      </c>
      <c r="AT95" s="116">
        <v>268.75</v>
      </c>
      <c r="AU95" s="116">
        <v>268.75</v>
      </c>
      <c r="AV95" s="116">
        <v>259.875</v>
      </c>
      <c r="AW95" s="116">
        <v>259.875</v>
      </c>
      <c r="AX95" s="116">
        <v>259.875</v>
      </c>
      <c r="AY95" s="116">
        <v>259.875</v>
      </c>
    </row>
    <row r="96" spans="1:52" x14ac:dyDescent="0.2">
      <c r="A96" s="115"/>
      <c r="B96" s="126">
        <v>2</v>
      </c>
      <c r="C96" s="116">
        <v>313.05248385016745</v>
      </c>
      <c r="D96" s="116">
        <v>313.05248385016745</v>
      </c>
      <c r="E96" s="116">
        <v>162.125</v>
      </c>
      <c r="F96" s="116">
        <v>162.125</v>
      </c>
      <c r="G96" s="116">
        <v>162.125</v>
      </c>
      <c r="H96" s="116">
        <v>162.125</v>
      </c>
      <c r="I96" s="116">
        <v>289.25276993671145</v>
      </c>
      <c r="J96" s="116">
        <v>180.00276993671145</v>
      </c>
      <c r="K96" s="116">
        <v>151.75276993671145</v>
      </c>
      <c r="L96" s="116">
        <v>39.502769936711445</v>
      </c>
      <c r="M96" s="116">
        <v>0</v>
      </c>
      <c r="N96" s="116">
        <v>0</v>
      </c>
      <c r="O96" s="116">
        <v>0</v>
      </c>
      <c r="P96" s="116">
        <v>0</v>
      </c>
      <c r="Q96" s="116">
        <v>0</v>
      </c>
      <c r="R96" s="116">
        <v>0</v>
      </c>
      <c r="S96" s="116">
        <v>0</v>
      </c>
      <c r="T96" s="116">
        <v>0</v>
      </c>
      <c r="U96" s="116">
        <v>0</v>
      </c>
      <c r="V96" s="116">
        <v>0</v>
      </c>
      <c r="W96" s="116">
        <v>0</v>
      </c>
      <c r="X96" s="116">
        <v>0</v>
      </c>
      <c r="Y96" s="116">
        <v>0</v>
      </c>
      <c r="Z96" s="116">
        <v>0</v>
      </c>
      <c r="AA96" s="116">
        <v>30.125</v>
      </c>
      <c r="AB96" s="116">
        <v>39.25</v>
      </c>
      <c r="AC96" s="116">
        <v>0</v>
      </c>
      <c r="AD96" s="116">
        <v>0</v>
      </c>
      <c r="AE96" s="116">
        <v>0</v>
      </c>
      <c r="AF96" s="116">
        <v>0</v>
      </c>
      <c r="AG96" s="116">
        <v>0</v>
      </c>
      <c r="AH96" s="116">
        <v>23</v>
      </c>
      <c r="AI96" s="116">
        <v>20</v>
      </c>
      <c r="AJ96" s="116">
        <v>0</v>
      </c>
      <c r="AK96" s="116">
        <v>0</v>
      </c>
      <c r="AL96" s="116">
        <v>0</v>
      </c>
      <c r="AM96" s="116">
        <v>0</v>
      </c>
      <c r="AN96" s="116">
        <v>0</v>
      </c>
      <c r="AO96" s="116">
        <v>68.875</v>
      </c>
      <c r="AP96" s="116">
        <v>74.75</v>
      </c>
      <c r="AQ96" s="116">
        <v>117.625</v>
      </c>
      <c r="AR96" s="116">
        <v>170.5</v>
      </c>
      <c r="AS96" s="116">
        <v>189.25</v>
      </c>
      <c r="AT96" s="116">
        <v>160</v>
      </c>
      <c r="AU96" s="116">
        <v>38.75</v>
      </c>
      <c r="AV96" s="116">
        <v>18.5</v>
      </c>
      <c r="AW96" s="116">
        <v>66.375</v>
      </c>
      <c r="AX96" s="116">
        <v>75.25</v>
      </c>
      <c r="AY96" s="116">
        <v>32.125</v>
      </c>
    </row>
    <row r="97" spans="1:52" x14ac:dyDescent="0.2">
      <c r="A97" s="115"/>
      <c r="B97" s="133">
        <v>3</v>
      </c>
      <c r="C97" s="116">
        <v>313.05248385016745</v>
      </c>
      <c r="D97" s="116">
        <v>313.05248385016745</v>
      </c>
      <c r="E97" s="116">
        <v>313.05248385016745</v>
      </c>
      <c r="F97" s="116">
        <v>162.125</v>
      </c>
      <c r="G97" s="116">
        <v>162.125</v>
      </c>
      <c r="H97" s="116">
        <v>162.125</v>
      </c>
      <c r="I97" s="116">
        <v>0</v>
      </c>
      <c r="J97" s="116">
        <v>0</v>
      </c>
      <c r="K97" s="116">
        <v>0</v>
      </c>
      <c r="L97" s="116">
        <v>0</v>
      </c>
      <c r="M97" s="116">
        <v>0</v>
      </c>
      <c r="N97" s="116">
        <v>0</v>
      </c>
      <c r="O97" s="116">
        <v>0</v>
      </c>
      <c r="P97" s="116">
        <v>0</v>
      </c>
      <c r="Q97" s="116">
        <v>0</v>
      </c>
      <c r="R97" s="116">
        <v>0</v>
      </c>
      <c r="S97" s="116">
        <v>0</v>
      </c>
      <c r="T97" s="116">
        <v>0</v>
      </c>
      <c r="U97" s="116">
        <v>0</v>
      </c>
      <c r="V97" s="116">
        <v>0</v>
      </c>
      <c r="W97" s="116">
        <v>0</v>
      </c>
      <c r="X97" s="116">
        <v>0</v>
      </c>
      <c r="Y97" s="116">
        <v>0</v>
      </c>
      <c r="Z97" s="116">
        <v>0</v>
      </c>
      <c r="AA97" s="116">
        <v>0</v>
      </c>
      <c r="AB97" s="116">
        <v>0</v>
      </c>
      <c r="AC97" s="116">
        <v>0</v>
      </c>
      <c r="AD97" s="116">
        <v>0</v>
      </c>
      <c r="AE97" s="116">
        <v>0</v>
      </c>
      <c r="AF97" s="116">
        <v>0</v>
      </c>
      <c r="AG97" s="116">
        <v>0</v>
      </c>
      <c r="AH97" s="116">
        <v>0</v>
      </c>
      <c r="AI97" s="116">
        <v>0</v>
      </c>
      <c r="AJ97" s="116">
        <v>0</v>
      </c>
      <c r="AK97" s="116">
        <v>0</v>
      </c>
      <c r="AL97" s="116">
        <v>0</v>
      </c>
      <c r="AM97" s="116">
        <v>0</v>
      </c>
      <c r="AN97" s="116">
        <v>0</v>
      </c>
      <c r="AO97" s="116">
        <v>0</v>
      </c>
      <c r="AP97" s="116">
        <v>0</v>
      </c>
      <c r="AQ97" s="116">
        <v>0</v>
      </c>
      <c r="AR97" s="116">
        <v>0</v>
      </c>
      <c r="AS97" s="116">
        <v>0</v>
      </c>
      <c r="AT97" s="116">
        <v>0</v>
      </c>
      <c r="AU97" s="116">
        <v>0</v>
      </c>
      <c r="AV97" s="116">
        <v>0</v>
      </c>
      <c r="AW97" s="116">
        <v>0</v>
      </c>
      <c r="AX97" s="116">
        <v>0</v>
      </c>
      <c r="AY97" s="116">
        <v>0</v>
      </c>
    </row>
    <row r="98" spans="1:52" x14ac:dyDescent="0.2">
      <c r="A98" s="115"/>
      <c r="B98" s="136">
        <v>4</v>
      </c>
      <c r="C98" s="112">
        <v>79.845318386209101</v>
      </c>
      <c r="D98" s="116">
        <v>79.897802236376549</v>
      </c>
      <c r="E98" s="116">
        <v>131.950286086544</v>
      </c>
      <c r="F98" s="116">
        <v>218.00276993671145</v>
      </c>
      <c r="G98" s="116">
        <v>138.12776993671145</v>
      </c>
      <c r="H98" s="116">
        <v>88.252769936711445</v>
      </c>
      <c r="I98" s="116">
        <v>0</v>
      </c>
      <c r="J98" s="116">
        <v>0</v>
      </c>
      <c r="K98" s="116">
        <v>0</v>
      </c>
      <c r="L98" s="116">
        <v>0</v>
      </c>
      <c r="M98" s="116">
        <v>0</v>
      </c>
      <c r="N98" s="116">
        <v>0</v>
      </c>
      <c r="O98" s="116">
        <v>0</v>
      </c>
      <c r="P98" s="116">
        <v>0</v>
      </c>
      <c r="Q98" s="116">
        <v>0</v>
      </c>
      <c r="R98" s="116">
        <v>0</v>
      </c>
      <c r="S98" s="116">
        <v>0</v>
      </c>
      <c r="T98" s="116">
        <v>0</v>
      </c>
      <c r="U98" s="116">
        <v>0</v>
      </c>
      <c r="V98" s="116">
        <v>0</v>
      </c>
      <c r="W98" s="116">
        <v>0</v>
      </c>
      <c r="X98" s="116">
        <v>0</v>
      </c>
      <c r="Y98" s="116">
        <v>0</v>
      </c>
      <c r="Z98" s="116">
        <v>0</v>
      </c>
      <c r="AA98" s="116">
        <v>0</v>
      </c>
      <c r="AB98" s="116">
        <v>0</v>
      </c>
      <c r="AC98" s="116">
        <v>0</v>
      </c>
      <c r="AD98" s="116">
        <v>0</v>
      </c>
      <c r="AE98" s="116">
        <v>0</v>
      </c>
      <c r="AF98" s="116">
        <v>0</v>
      </c>
      <c r="AG98" s="116">
        <v>0</v>
      </c>
      <c r="AH98" s="116">
        <v>0</v>
      </c>
      <c r="AI98" s="116">
        <v>0</v>
      </c>
      <c r="AJ98" s="116">
        <v>0</v>
      </c>
      <c r="AK98" s="116">
        <v>0</v>
      </c>
      <c r="AL98" s="116">
        <v>0</v>
      </c>
      <c r="AM98" s="116">
        <v>0</v>
      </c>
      <c r="AN98" s="116">
        <v>0</v>
      </c>
      <c r="AO98" s="116">
        <v>0</v>
      </c>
      <c r="AP98" s="116">
        <v>0</v>
      </c>
      <c r="AQ98" s="116">
        <v>0</v>
      </c>
      <c r="AR98" s="116">
        <v>0</v>
      </c>
      <c r="AS98" s="116">
        <v>0</v>
      </c>
      <c r="AT98" s="116">
        <v>0</v>
      </c>
      <c r="AU98" s="116">
        <v>0</v>
      </c>
      <c r="AV98" s="116">
        <v>0</v>
      </c>
      <c r="AW98" s="116">
        <v>0</v>
      </c>
      <c r="AX98" s="116">
        <v>0</v>
      </c>
      <c r="AY98" s="116">
        <v>0</v>
      </c>
    </row>
    <row r="99" spans="1:52" x14ac:dyDescent="0.2">
      <c r="A99" s="134"/>
      <c r="B99" s="138" t="s">
        <v>296</v>
      </c>
      <c r="C99" s="131">
        <v>0</v>
      </c>
      <c r="D99" s="131">
        <v>0</v>
      </c>
      <c r="E99" s="131">
        <v>0</v>
      </c>
      <c r="F99" s="131">
        <v>0</v>
      </c>
      <c r="G99" s="131">
        <v>0</v>
      </c>
      <c r="H99" s="131">
        <v>0</v>
      </c>
      <c r="I99" s="131">
        <v>0</v>
      </c>
      <c r="J99" s="131">
        <v>0</v>
      </c>
      <c r="K99" s="131">
        <v>0</v>
      </c>
      <c r="L99" s="131">
        <v>0</v>
      </c>
      <c r="M99" s="131">
        <v>0</v>
      </c>
      <c r="N99" s="131">
        <v>0</v>
      </c>
      <c r="O99" s="131">
        <v>0</v>
      </c>
      <c r="P99" s="131">
        <v>0</v>
      </c>
      <c r="Q99" s="131">
        <v>0</v>
      </c>
      <c r="R99" s="131">
        <v>0</v>
      </c>
      <c r="S99" s="131">
        <v>0</v>
      </c>
      <c r="T99" s="131">
        <v>0</v>
      </c>
      <c r="U99" s="131">
        <v>0</v>
      </c>
      <c r="V99" s="131">
        <v>0</v>
      </c>
      <c r="W99" s="131">
        <v>0</v>
      </c>
      <c r="X99" s="131">
        <v>0</v>
      </c>
      <c r="Y99" s="131">
        <v>0</v>
      </c>
      <c r="Z99" s="131">
        <v>0</v>
      </c>
      <c r="AA99" s="131">
        <v>0</v>
      </c>
      <c r="AB99" s="131">
        <v>0</v>
      </c>
      <c r="AC99" s="131">
        <v>0</v>
      </c>
      <c r="AD99" s="131">
        <v>0</v>
      </c>
      <c r="AE99" s="131">
        <v>0</v>
      </c>
      <c r="AF99" s="131">
        <v>0</v>
      </c>
      <c r="AG99" s="131">
        <v>0</v>
      </c>
      <c r="AH99" s="131">
        <v>0</v>
      </c>
      <c r="AI99" s="131">
        <v>0</v>
      </c>
      <c r="AJ99" s="131">
        <v>0</v>
      </c>
      <c r="AK99" s="131">
        <v>0</v>
      </c>
      <c r="AL99" s="131">
        <v>0</v>
      </c>
      <c r="AM99" s="131">
        <v>0</v>
      </c>
      <c r="AN99" s="131">
        <v>0</v>
      </c>
      <c r="AO99" s="131">
        <v>0</v>
      </c>
      <c r="AP99" s="131">
        <v>0</v>
      </c>
      <c r="AQ99" s="131">
        <v>0</v>
      </c>
      <c r="AR99" s="131">
        <v>0</v>
      </c>
      <c r="AS99" s="131">
        <v>0</v>
      </c>
      <c r="AT99" s="131">
        <v>0</v>
      </c>
      <c r="AU99" s="131">
        <v>0</v>
      </c>
      <c r="AV99" s="131">
        <v>0</v>
      </c>
      <c r="AW99" s="131">
        <v>0</v>
      </c>
      <c r="AX99" s="131">
        <v>0</v>
      </c>
      <c r="AY99" s="131">
        <v>0</v>
      </c>
      <c r="AZ99" s="113">
        <f>SUM($D99:$AY99)</f>
        <v>0</v>
      </c>
    </row>
    <row r="100" spans="1:52" x14ac:dyDescent="0.2">
      <c r="A100" s="137" t="s">
        <v>133</v>
      </c>
      <c r="B100" s="125">
        <v>1</v>
      </c>
      <c r="C100" s="112">
        <v>43.540325891316058</v>
      </c>
      <c r="D100" s="112">
        <v>0</v>
      </c>
      <c r="E100" s="112">
        <v>37.519140082273886</v>
      </c>
      <c r="F100" s="112">
        <v>28.773548015902751</v>
      </c>
      <c r="G100" s="112">
        <v>0</v>
      </c>
      <c r="H100" s="112">
        <v>28.773548015902751</v>
      </c>
      <c r="I100" s="112">
        <v>0</v>
      </c>
      <c r="J100" s="112">
        <v>0</v>
      </c>
      <c r="K100" s="112">
        <v>37.519140082273886</v>
      </c>
      <c r="L100" s="112">
        <v>37.519140082273886</v>
      </c>
      <c r="M100" s="112">
        <v>37.519140082273886</v>
      </c>
      <c r="N100" s="112">
        <v>0</v>
      </c>
      <c r="O100" s="112">
        <v>37.519140082273886</v>
      </c>
      <c r="P100" s="112">
        <v>33.465283888946423</v>
      </c>
      <c r="Q100" s="112">
        <v>0</v>
      </c>
      <c r="R100" s="112">
        <v>32.167347731598028</v>
      </c>
      <c r="S100" s="112">
        <v>0</v>
      </c>
      <c r="T100" s="112">
        <v>32.167347731598028</v>
      </c>
      <c r="U100" s="112">
        <v>0</v>
      </c>
      <c r="V100" s="112">
        <v>0</v>
      </c>
      <c r="W100" s="112">
        <v>10.337508994489871</v>
      </c>
      <c r="X100" s="112">
        <v>0</v>
      </c>
      <c r="Y100" s="112">
        <v>10.337508994489871</v>
      </c>
      <c r="Z100" s="112">
        <v>0</v>
      </c>
      <c r="AA100" s="112">
        <v>0</v>
      </c>
      <c r="AB100" s="112">
        <v>24.578461918594741</v>
      </c>
      <c r="AC100" s="112">
        <v>24.578461918594741</v>
      </c>
      <c r="AD100" s="112">
        <v>23.721661901168133</v>
      </c>
      <c r="AE100" s="112">
        <v>23.721661901168133</v>
      </c>
      <c r="AF100" s="112">
        <v>0</v>
      </c>
      <c r="AG100" s="112">
        <v>23.721661901168133</v>
      </c>
      <c r="AH100" s="112">
        <v>30.25083358263565</v>
      </c>
      <c r="AI100" s="112">
        <v>30.25083358263565</v>
      </c>
      <c r="AJ100" s="112">
        <v>30.25083358263565</v>
      </c>
      <c r="AK100" s="112">
        <v>0</v>
      </c>
      <c r="AL100" s="112">
        <v>30.319512684010498</v>
      </c>
      <c r="AM100" s="112">
        <v>0</v>
      </c>
      <c r="AN100" s="112">
        <v>30.319512684010498</v>
      </c>
      <c r="AO100" s="112">
        <v>30.319512684010498</v>
      </c>
      <c r="AP100" s="112">
        <v>0</v>
      </c>
      <c r="AQ100" s="112">
        <v>27.679370283356526</v>
      </c>
      <c r="AR100" s="112">
        <v>0</v>
      </c>
      <c r="AS100" s="112">
        <v>27.679370283356526</v>
      </c>
      <c r="AT100" s="112">
        <v>0</v>
      </c>
      <c r="AU100" s="112">
        <v>0</v>
      </c>
      <c r="AV100" s="112">
        <v>0</v>
      </c>
      <c r="AW100" s="112">
        <v>0</v>
      </c>
      <c r="AX100" s="112">
        <v>19.868593201016093</v>
      </c>
      <c r="AY100" s="112">
        <v>19.868593201016093</v>
      </c>
    </row>
    <row r="101" spans="1:52" x14ac:dyDescent="0.2">
      <c r="A101" s="115"/>
      <c r="B101" s="125">
        <v>2</v>
      </c>
      <c r="C101" s="112">
        <v>0</v>
      </c>
      <c r="D101" s="112">
        <v>0</v>
      </c>
      <c r="E101" s="112">
        <v>43.540325891316058</v>
      </c>
      <c r="F101" s="112">
        <v>7.1054273576010019E-15</v>
      </c>
      <c r="G101" s="112">
        <v>0</v>
      </c>
      <c r="H101" s="112">
        <v>28.773548015902751</v>
      </c>
      <c r="I101" s="112">
        <v>0</v>
      </c>
      <c r="J101" s="112">
        <v>28.773548015902751</v>
      </c>
      <c r="K101" s="112">
        <v>0</v>
      </c>
      <c r="L101" s="112">
        <v>0</v>
      </c>
      <c r="M101" s="112">
        <v>0</v>
      </c>
      <c r="N101" s="112">
        <v>0</v>
      </c>
      <c r="O101" s="112">
        <v>0</v>
      </c>
      <c r="P101" s="112">
        <v>0</v>
      </c>
      <c r="Q101" s="112">
        <v>0</v>
      </c>
      <c r="R101" s="112">
        <v>33.465283888946423</v>
      </c>
      <c r="S101" s="112">
        <v>0</v>
      </c>
      <c r="T101" s="112">
        <v>32.167347731598028</v>
      </c>
      <c r="U101" s="112">
        <v>0</v>
      </c>
      <c r="V101" s="112">
        <v>32.167347731598028</v>
      </c>
      <c r="W101" s="112">
        <v>10.337508994489871</v>
      </c>
      <c r="X101" s="112">
        <v>0</v>
      </c>
      <c r="Y101" s="112">
        <v>10.337508994489871</v>
      </c>
      <c r="Z101" s="112">
        <v>0</v>
      </c>
      <c r="AA101" s="112">
        <v>0</v>
      </c>
      <c r="AB101" s="112">
        <v>37.519140082273886</v>
      </c>
      <c r="AC101" s="112">
        <v>0</v>
      </c>
      <c r="AD101" s="112">
        <v>0</v>
      </c>
      <c r="AE101" s="112">
        <v>0</v>
      </c>
      <c r="AF101" s="112">
        <v>0</v>
      </c>
      <c r="AG101" s="112">
        <v>23.721661901168133</v>
      </c>
      <c r="AH101" s="112">
        <v>0</v>
      </c>
      <c r="AI101" s="112">
        <v>0</v>
      </c>
      <c r="AJ101" s="112">
        <v>0</v>
      </c>
      <c r="AK101" s="112">
        <v>0</v>
      </c>
      <c r="AL101" s="112">
        <v>30.25083358263565</v>
      </c>
      <c r="AM101" s="112">
        <v>0</v>
      </c>
      <c r="AN101" s="112">
        <v>30.319512684010498</v>
      </c>
      <c r="AO101" s="112">
        <v>0</v>
      </c>
      <c r="AP101" s="112">
        <v>0</v>
      </c>
      <c r="AQ101" s="112">
        <v>27.679370283356526</v>
      </c>
      <c r="AR101" s="112">
        <v>0</v>
      </c>
      <c r="AS101" s="112">
        <v>27.679370283356526</v>
      </c>
      <c r="AT101" s="112">
        <v>0</v>
      </c>
      <c r="AU101" s="112">
        <v>31.957924822213414</v>
      </c>
      <c r="AV101" s="112">
        <v>31.957924822213414</v>
      </c>
      <c r="AW101" s="112">
        <v>31.957924822213414</v>
      </c>
      <c r="AX101" s="112">
        <v>31.957924822213414</v>
      </c>
      <c r="AY101" s="112">
        <v>0</v>
      </c>
    </row>
    <row r="102" spans="1:52" x14ac:dyDescent="0.2">
      <c r="A102" s="115"/>
      <c r="B102" s="126">
        <v>3</v>
      </c>
      <c r="C102" s="112">
        <v>0</v>
      </c>
      <c r="D102" s="112">
        <v>0</v>
      </c>
      <c r="E102" s="112">
        <v>0</v>
      </c>
      <c r="F102" s="112">
        <v>0</v>
      </c>
      <c r="G102" s="112">
        <v>0</v>
      </c>
      <c r="H102" s="112">
        <v>0</v>
      </c>
      <c r="I102" s="112">
        <v>0</v>
      </c>
      <c r="J102" s="112">
        <v>0</v>
      </c>
      <c r="K102" s="112">
        <v>0</v>
      </c>
      <c r="L102" s="112">
        <v>37.519140082273886</v>
      </c>
      <c r="M102" s="112">
        <v>0</v>
      </c>
      <c r="N102" s="112">
        <v>0</v>
      </c>
      <c r="O102" s="112">
        <v>0</v>
      </c>
      <c r="P102" s="112">
        <v>0</v>
      </c>
      <c r="Q102" s="112">
        <v>0</v>
      </c>
      <c r="R102" s="112">
        <v>0</v>
      </c>
      <c r="S102" s="112">
        <v>0</v>
      </c>
      <c r="T102" s="112">
        <v>0</v>
      </c>
      <c r="U102" s="112">
        <v>0</v>
      </c>
      <c r="V102" s="112">
        <v>0</v>
      </c>
      <c r="W102" s="112">
        <v>0</v>
      </c>
      <c r="X102" s="112">
        <v>0</v>
      </c>
      <c r="Y102" s="112">
        <v>0</v>
      </c>
      <c r="Z102" s="112">
        <v>0</v>
      </c>
      <c r="AA102" s="112">
        <v>0</v>
      </c>
      <c r="AB102" s="112">
        <v>0</v>
      </c>
      <c r="AC102" s="112">
        <v>0</v>
      </c>
      <c r="AD102" s="112">
        <v>0</v>
      </c>
      <c r="AE102" s="112">
        <v>0</v>
      </c>
      <c r="AF102" s="112">
        <v>0</v>
      </c>
      <c r="AG102" s="112">
        <v>0</v>
      </c>
      <c r="AH102" s="112">
        <v>0</v>
      </c>
      <c r="AI102" s="112">
        <v>0</v>
      </c>
      <c r="AJ102" s="112">
        <v>0</v>
      </c>
      <c r="AK102" s="112">
        <v>0</v>
      </c>
      <c r="AL102" s="112">
        <v>0</v>
      </c>
      <c r="AM102" s="112">
        <v>0</v>
      </c>
      <c r="AN102" s="112">
        <v>0</v>
      </c>
      <c r="AO102" s="112">
        <v>0</v>
      </c>
      <c r="AP102" s="112">
        <v>0</v>
      </c>
      <c r="AQ102" s="112">
        <v>0</v>
      </c>
      <c r="AR102" s="112">
        <v>0</v>
      </c>
      <c r="AS102" s="112">
        <v>0</v>
      </c>
      <c r="AT102" s="112">
        <v>0</v>
      </c>
      <c r="AU102" s="112">
        <v>0</v>
      </c>
      <c r="AV102" s="112">
        <v>0</v>
      </c>
      <c r="AW102" s="112">
        <v>0</v>
      </c>
      <c r="AX102" s="112">
        <v>0</v>
      </c>
      <c r="AY102" s="112">
        <v>0</v>
      </c>
    </row>
    <row r="103" spans="1:52" x14ac:dyDescent="0.2">
      <c r="A103" s="115"/>
      <c r="B103" s="126">
        <v>4</v>
      </c>
      <c r="C103" s="112">
        <v>0</v>
      </c>
      <c r="D103" s="112">
        <v>0</v>
      </c>
      <c r="E103" s="112">
        <v>0</v>
      </c>
      <c r="F103" s="112">
        <v>0</v>
      </c>
      <c r="G103" s="112">
        <v>0</v>
      </c>
      <c r="H103" s="112">
        <v>0</v>
      </c>
      <c r="I103" s="112">
        <v>0</v>
      </c>
      <c r="J103" s="112">
        <v>0</v>
      </c>
      <c r="K103" s="112">
        <v>0</v>
      </c>
      <c r="L103" s="112">
        <v>0</v>
      </c>
      <c r="M103" s="112">
        <v>0</v>
      </c>
      <c r="N103" s="112">
        <v>0</v>
      </c>
      <c r="O103" s="112">
        <v>0</v>
      </c>
      <c r="P103" s="112">
        <v>0</v>
      </c>
      <c r="Q103" s="112">
        <v>0</v>
      </c>
      <c r="R103" s="112">
        <v>0</v>
      </c>
      <c r="S103" s="112">
        <v>0</v>
      </c>
      <c r="T103" s="112">
        <v>0</v>
      </c>
      <c r="U103" s="112">
        <v>0</v>
      </c>
      <c r="V103" s="112">
        <v>0</v>
      </c>
      <c r="W103" s="112">
        <v>0</v>
      </c>
      <c r="X103" s="112">
        <v>0</v>
      </c>
      <c r="Y103" s="112">
        <v>0</v>
      </c>
      <c r="Z103" s="112">
        <v>0</v>
      </c>
      <c r="AA103" s="112">
        <v>0</v>
      </c>
      <c r="AB103" s="112">
        <v>0</v>
      </c>
      <c r="AC103" s="112">
        <v>0</v>
      </c>
      <c r="AD103" s="112">
        <v>0</v>
      </c>
      <c r="AE103" s="112">
        <v>0</v>
      </c>
      <c r="AF103" s="112">
        <v>0</v>
      </c>
      <c r="AG103" s="112">
        <v>0</v>
      </c>
      <c r="AH103" s="112">
        <v>0</v>
      </c>
      <c r="AI103" s="112">
        <v>0</v>
      </c>
      <c r="AJ103" s="112">
        <v>0</v>
      </c>
      <c r="AK103" s="112">
        <v>0</v>
      </c>
      <c r="AL103" s="112">
        <v>0</v>
      </c>
      <c r="AM103" s="112">
        <v>0</v>
      </c>
      <c r="AN103" s="112">
        <v>0</v>
      </c>
      <c r="AO103" s="112">
        <v>0</v>
      </c>
      <c r="AP103" s="112">
        <v>0</v>
      </c>
      <c r="AQ103" s="112">
        <v>0</v>
      </c>
      <c r="AR103" s="112">
        <v>0</v>
      </c>
      <c r="AS103" s="112">
        <v>0</v>
      </c>
      <c r="AT103" s="112">
        <v>0</v>
      </c>
      <c r="AU103" s="112">
        <v>0</v>
      </c>
      <c r="AV103" s="112">
        <v>0</v>
      </c>
      <c r="AW103" s="112">
        <v>0</v>
      </c>
      <c r="AX103" s="112">
        <v>0</v>
      </c>
      <c r="AY103" s="112">
        <v>0</v>
      </c>
    </row>
    <row r="104" spans="1:52" x14ac:dyDescent="0.2">
      <c r="A104" s="115"/>
      <c r="B104" s="133">
        <v>5</v>
      </c>
      <c r="C104" s="112">
        <v>0</v>
      </c>
      <c r="D104" s="112">
        <v>0</v>
      </c>
      <c r="E104" s="112">
        <v>0</v>
      </c>
      <c r="F104" s="112">
        <v>0</v>
      </c>
      <c r="G104" s="112">
        <v>0</v>
      </c>
      <c r="H104" s="112">
        <v>0</v>
      </c>
      <c r="I104" s="112">
        <v>0</v>
      </c>
      <c r="J104" s="112">
        <v>0</v>
      </c>
      <c r="K104" s="112">
        <v>0</v>
      </c>
      <c r="L104" s="112">
        <v>0</v>
      </c>
      <c r="M104" s="112">
        <v>0</v>
      </c>
      <c r="N104" s="112">
        <v>0</v>
      </c>
      <c r="O104" s="112">
        <v>0</v>
      </c>
      <c r="P104" s="112">
        <v>0</v>
      </c>
      <c r="Q104" s="112">
        <v>0</v>
      </c>
      <c r="R104" s="112">
        <v>0</v>
      </c>
      <c r="S104" s="112">
        <v>0</v>
      </c>
      <c r="T104" s="112">
        <v>0</v>
      </c>
      <c r="U104" s="112">
        <v>0</v>
      </c>
      <c r="V104" s="112">
        <v>0</v>
      </c>
      <c r="W104" s="112">
        <v>0</v>
      </c>
      <c r="X104" s="112">
        <v>0</v>
      </c>
      <c r="Y104" s="112">
        <v>0</v>
      </c>
      <c r="Z104" s="112">
        <v>0</v>
      </c>
      <c r="AA104" s="112">
        <v>0</v>
      </c>
      <c r="AB104" s="112">
        <v>0</v>
      </c>
      <c r="AC104" s="112">
        <v>0</v>
      </c>
      <c r="AD104" s="112">
        <v>0</v>
      </c>
      <c r="AE104" s="112">
        <v>0</v>
      </c>
      <c r="AF104" s="112">
        <v>0</v>
      </c>
      <c r="AG104" s="112">
        <v>0</v>
      </c>
      <c r="AH104" s="112">
        <v>0</v>
      </c>
      <c r="AI104" s="112">
        <v>0</v>
      </c>
      <c r="AJ104" s="112">
        <v>0</v>
      </c>
      <c r="AK104" s="112">
        <v>0</v>
      </c>
      <c r="AL104" s="112">
        <v>0</v>
      </c>
      <c r="AM104" s="112">
        <v>0</v>
      </c>
      <c r="AN104" s="112">
        <v>0</v>
      </c>
      <c r="AO104" s="112">
        <v>0</v>
      </c>
      <c r="AP104" s="112">
        <v>0</v>
      </c>
      <c r="AQ104" s="112">
        <v>0</v>
      </c>
      <c r="AR104" s="112">
        <v>0</v>
      </c>
      <c r="AS104" s="112">
        <v>0</v>
      </c>
      <c r="AT104" s="112">
        <v>0</v>
      </c>
      <c r="AU104" s="112">
        <v>0</v>
      </c>
      <c r="AV104" s="112">
        <v>0</v>
      </c>
      <c r="AW104" s="112">
        <v>0</v>
      </c>
      <c r="AX104" s="112">
        <v>0</v>
      </c>
      <c r="AY104" s="112">
        <v>0</v>
      </c>
    </row>
    <row r="105" spans="1:52" x14ac:dyDescent="0.2">
      <c r="A105" s="115"/>
      <c r="B105" s="133">
        <v>6</v>
      </c>
      <c r="C105" s="112">
        <v>0</v>
      </c>
      <c r="D105" s="112">
        <v>0</v>
      </c>
      <c r="E105" s="112">
        <v>0</v>
      </c>
      <c r="F105" s="112">
        <v>0</v>
      </c>
      <c r="G105" s="112">
        <v>0</v>
      </c>
      <c r="H105" s="112">
        <v>0</v>
      </c>
      <c r="I105" s="112">
        <v>0</v>
      </c>
      <c r="J105" s="112">
        <v>0</v>
      </c>
      <c r="K105" s="112">
        <v>0</v>
      </c>
      <c r="L105" s="112">
        <v>0</v>
      </c>
      <c r="M105" s="112">
        <v>0</v>
      </c>
      <c r="N105" s="112">
        <v>0</v>
      </c>
      <c r="O105" s="112">
        <v>0</v>
      </c>
      <c r="P105" s="112">
        <v>0</v>
      </c>
      <c r="Q105" s="112">
        <v>0</v>
      </c>
      <c r="R105" s="112">
        <v>0</v>
      </c>
      <c r="S105" s="112">
        <v>0</v>
      </c>
      <c r="T105" s="112">
        <v>0</v>
      </c>
      <c r="U105" s="112">
        <v>0</v>
      </c>
      <c r="V105" s="112">
        <v>0</v>
      </c>
      <c r="W105" s="112">
        <v>0</v>
      </c>
      <c r="X105" s="112">
        <v>0</v>
      </c>
      <c r="Y105" s="112">
        <v>0</v>
      </c>
      <c r="Z105" s="112">
        <v>0</v>
      </c>
      <c r="AA105" s="112">
        <v>0</v>
      </c>
      <c r="AB105" s="112">
        <v>0</v>
      </c>
      <c r="AC105" s="112">
        <v>0</v>
      </c>
      <c r="AD105" s="112">
        <v>0</v>
      </c>
      <c r="AE105" s="112">
        <v>0</v>
      </c>
      <c r="AF105" s="112">
        <v>0</v>
      </c>
      <c r="AG105" s="112">
        <v>0</v>
      </c>
      <c r="AH105" s="112">
        <v>0</v>
      </c>
      <c r="AI105" s="112">
        <v>0</v>
      </c>
      <c r="AJ105" s="112">
        <v>0</v>
      </c>
      <c r="AK105" s="112">
        <v>0</v>
      </c>
      <c r="AL105" s="112">
        <v>0</v>
      </c>
      <c r="AM105" s="112">
        <v>0</v>
      </c>
      <c r="AN105" s="112">
        <v>0</v>
      </c>
      <c r="AO105" s="112">
        <v>0</v>
      </c>
      <c r="AP105" s="112">
        <v>0</v>
      </c>
      <c r="AQ105" s="112">
        <v>0</v>
      </c>
      <c r="AR105" s="112">
        <v>0</v>
      </c>
      <c r="AS105" s="112">
        <v>0</v>
      </c>
      <c r="AT105" s="112">
        <v>0</v>
      </c>
      <c r="AU105" s="112">
        <v>0</v>
      </c>
      <c r="AV105" s="112">
        <v>0</v>
      </c>
      <c r="AW105" s="112">
        <v>0</v>
      </c>
      <c r="AX105" s="112">
        <v>0</v>
      </c>
      <c r="AY105" s="112">
        <v>0</v>
      </c>
    </row>
    <row r="106" spans="1:52" x14ac:dyDescent="0.2">
      <c r="A106" s="115"/>
      <c r="B106" s="136">
        <v>7</v>
      </c>
      <c r="C106" s="112">
        <v>0</v>
      </c>
      <c r="D106" s="112">
        <v>0</v>
      </c>
      <c r="E106" s="112">
        <v>0</v>
      </c>
      <c r="F106" s="112">
        <v>0</v>
      </c>
      <c r="G106" s="112">
        <v>0</v>
      </c>
      <c r="H106" s="112">
        <v>0</v>
      </c>
      <c r="I106" s="112">
        <v>0</v>
      </c>
      <c r="J106" s="112">
        <v>0</v>
      </c>
      <c r="K106" s="112">
        <v>0</v>
      </c>
      <c r="L106" s="112">
        <v>0</v>
      </c>
      <c r="M106" s="112">
        <v>0</v>
      </c>
      <c r="N106" s="112">
        <v>0</v>
      </c>
      <c r="O106" s="112">
        <v>0</v>
      </c>
      <c r="P106" s="112">
        <v>0</v>
      </c>
      <c r="Q106" s="112">
        <v>0</v>
      </c>
      <c r="R106" s="112">
        <v>0</v>
      </c>
      <c r="S106" s="112">
        <v>0</v>
      </c>
      <c r="T106" s="112">
        <v>0</v>
      </c>
      <c r="U106" s="112">
        <v>0</v>
      </c>
      <c r="V106" s="112">
        <v>0</v>
      </c>
      <c r="W106" s="112">
        <v>0</v>
      </c>
      <c r="X106" s="112">
        <v>0</v>
      </c>
      <c r="Y106" s="112">
        <v>0</v>
      </c>
      <c r="Z106" s="112">
        <v>0</v>
      </c>
      <c r="AA106" s="112">
        <v>0</v>
      </c>
      <c r="AB106" s="112">
        <v>0</v>
      </c>
      <c r="AC106" s="112">
        <v>0</v>
      </c>
      <c r="AD106" s="112">
        <v>0</v>
      </c>
      <c r="AE106" s="112">
        <v>0</v>
      </c>
      <c r="AF106" s="112">
        <v>0</v>
      </c>
      <c r="AG106" s="112">
        <v>0</v>
      </c>
      <c r="AH106" s="112">
        <v>0</v>
      </c>
      <c r="AI106" s="112">
        <v>0</v>
      </c>
      <c r="AJ106" s="112">
        <v>0</v>
      </c>
      <c r="AK106" s="112">
        <v>0</v>
      </c>
      <c r="AL106" s="112">
        <v>0</v>
      </c>
      <c r="AM106" s="112">
        <v>0</v>
      </c>
      <c r="AN106" s="112">
        <v>0</v>
      </c>
      <c r="AO106" s="112">
        <v>0</v>
      </c>
      <c r="AP106" s="112">
        <v>0</v>
      </c>
      <c r="AQ106" s="112">
        <v>0</v>
      </c>
      <c r="AR106" s="112">
        <v>0</v>
      </c>
      <c r="AS106" s="112">
        <v>0</v>
      </c>
      <c r="AT106" s="112">
        <v>0</v>
      </c>
      <c r="AU106" s="112">
        <v>0</v>
      </c>
      <c r="AV106" s="112">
        <v>0</v>
      </c>
      <c r="AW106" s="112">
        <v>0</v>
      </c>
      <c r="AX106" s="112">
        <v>0</v>
      </c>
      <c r="AY106" s="112">
        <v>0</v>
      </c>
    </row>
    <row r="107" spans="1:52" x14ac:dyDescent="0.2">
      <c r="A107" s="115"/>
      <c r="B107" s="136">
        <v>8</v>
      </c>
      <c r="C107" s="112">
        <v>0</v>
      </c>
      <c r="D107" s="112">
        <v>0</v>
      </c>
      <c r="E107" s="112">
        <v>0</v>
      </c>
      <c r="F107" s="112">
        <v>0</v>
      </c>
      <c r="G107" s="112">
        <v>0</v>
      </c>
      <c r="H107" s="112">
        <v>0</v>
      </c>
      <c r="I107" s="112">
        <v>0</v>
      </c>
      <c r="J107" s="112">
        <v>0</v>
      </c>
      <c r="K107" s="112">
        <v>0</v>
      </c>
      <c r="L107" s="112">
        <v>0</v>
      </c>
      <c r="M107" s="112">
        <v>0</v>
      </c>
      <c r="N107" s="112">
        <v>0</v>
      </c>
      <c r="O107" s="112">
        <v>0</v>
      </c>
      <c r="P107" s="112">
        <v>0</v>
      </c>
      <c r="Q107" s="112">
        <v>0</v>
      </c>
      <c r="R107" s="112">
        <v>0</v>
      </c>
      <c r="S107" s="112">
        <v>0</v>
      </c>
      <c r="T107" s="112">
        <v>0</v>
      </c>
      <c r="U107" s="112">
        <v>0</v>
      </c>
      <c r="V107" s="112">
        <v>0</v>
      </c>
      <c r="W107" s="112">
        <v>0</v>
      </c>
      <c r="X107" s="112">
        <v>0</v>
      </c>
      <c r="Y107" s="112">
        <v>0</v>
      </c>
      <c r="Z107" s="112">
        <v>0</v>
      </c>
      <c r="AA107" s="112">
        <v>0</v>
      </c>
      <c r="AB107" s="112">
        <v>0</v>
      </c>
      <c r="AC107" s="112">
        <v>0</v>
      </c>
      <c r="AD107" s="112">
        <v>0</v>
      </c>
      <c r="AE107" s="112">
        <v>0</v>
      </c>
      <c r="AF107" s="112">
        <v>0</v>
      </c>
      <c r="AG107" s="112">
        <v>0</v>
      </c>
      <c r="AH107" s="112">
        <v>0</v>
      </c>
      <c r="AI107" s="112">
        <v>0</v>
      </c>
      <c r="AJ107" s="112">
        <v>0</v>
      </c>
      <c r="AK107" s="112">
        <v>0</v>
      </c>
      <c r="AL107" s="112">
        <v>0</v>
      </c>
      <c r="AM107" s="112">
        <v>0</v>
      </c>
      <c r="AN107" s="112">
        <v>0</v>
      </c>
      <c r="AO107" s="112">
        <v>0</v>
      </c>
      <c r="AP107" s="112">
        <v>0</v>
      </c>
      <c r="AQ107" s="112">
        <v>0</v>
      </c>
      <c r="AR107" s="112">
        <v>0</v>
      </c>
      <c r="AS107" s="112">
        <v>0</v>
      </c>
      <c r="AT107" s="112">
        <v>0</v>
      </c>
      <c r="AU107" s="112">
        <v>0</v>
      </c>
      <c r="AV107" s="112">
        <v>0</v>
      </c>
      <c r="AW107" s="112">
        <v>0</v>
      </c>
      <c r="AX107" s="112">
        <v>0</v>
      </c>
      <c r="AY107" s="112">
        <v>0</v>
      </c>
    </row>
    <row r="108" spans="1:52" x14ac:dyDescent="0.2">
      <c r="A108" s="134"/>
      <c r="B108" s="138" t="s">
        <v>296</v>
      </c>
      <c r="C108" s="120">
        <v>0</v>
      </c>
      <c r="D108" s="131">
        <v>0</v>
      </c>
      <c r="E108" s="131">
        <v>0</v>
      </c>
      <c r="F108" s="131">
        <v>0</v>
      </c>
      <c r="G108" s="131">
        <v>0</v>
      </c>
      <c r="H108" s="131">
        <v>0</v>
      </c>
      <c r="I108" s="131">
        <v>0</v>
      </c>
      <c r="J108" s="131">
        <v>0</v>
      </c>
      <c r="K108" s="131">
        <v>0</v>
      </c>
      <c r="L108" s="131">
        <v>0</v>
      </c>
      <c r="M108" s="131">
        <v>0</v>
      </c>
      <c r="N108" s="131">
        <v>0</v>
      </c>
      <c r="O108" s="131">
        <v>0</v>
      </c>
      <c r="P108" s="131">
        <v>0</v>
      </c>
      <c r="Q108" s="131">
        <v>0</v>
      </c>
      <c r="R108" s="131">
        <v>0</v>
      </c>
      <c r="S108" s="131">
        <v>0</v>
      </c>
      <c r="T108" s="131">
        <v>0</v>
      </c>
      <c r="U108" s="131">
        <v>0</v>
      </c>
      <c r="V108" s="131">
        <v>0</v>
      </c>
      <c r="W108" s="131">
        <v>0</v>
      </c>
      <c r="X108" s="131">
        <v>0</v>
      </c>
      <c r="Y108" s="131">
        <v>0</v>
      </c>
      <c r="Z108" s="131">
        <v>0</v>
      </c>
      <c r="AA108" s="131">
        <v>0</v>
      </c>
      <c r="AB108" s="131">
        <v>0</v>
      </c>
      <c r="AC108" s="131">
        <v>0</v>
      </c>
      <c r="AD108" s="131">
        <v>0</v>
      </c>
      <c r="AE108" s="131">
        <v>0</v>
      </c>
      <c r="AF108" s="131">
        <v>0</v>
      </c>
      <c r="AG108" s="131">
        <v>0</v>
      </c>
      <c r="AH108" s="131">
        <v>0</v>
      </c>
      <c r="AI108" s="131">
        <v>0</v>
      </c>
      <c r="AJ108" s="131">
        <v>0</v>
      </c>
      <c r="AK108" s="131">
        <v>0</v>
      </c>
      <c r="AL108" s="131">
        <v>0</v>
      </c>
      <c r="AM108" s="131">
        <v>0</v>
      </c>
      <c r="AN108" s="131">
        <v>0</v>
      </c>
      <c r="AO108" s="131">
        <v>0</v>
      </c>
      <c r="AP108" s="131">
        <v>0</v>
      </c>
      <c r="AQ108" s="131">
        <v>0</v>
      </c>
      <c r="AR108" s="131">
        <v>0</v>
      </c>
      <c r="AS108" s="131">
        <v>0</v>
      </c>
      <c r="AT108" s="131">
        <v>0</v>
      </c>
      <c r="AU108" s="131">
        <v>0</v>
      </c>
      <c r="AV108" s="131">
        <v>0</v>
      </c>
      <c r="AW108" s="131">
        <v>0</v>
      </c>
      <c r="AX108" s="131">
        <v>0</v>
      </c>
      <c r="AY108" s="131">
        <v>0</v>
      </c>
      <c r="AZ108" s="113">
        <f>SUM($D108:$AY108)</f>
        <v>0</v>
      </c>
    </row>
    <row r="109" spans="1:52" x14ac:dyDescent="0.2">
      <c r="A109" s="137" t="s">
        <v>134</v>
      </c>
      <c r="B109" s="125">
        <v>1</v>
      </c>
      <c r="C109" s="112">
        <v>129.02192579504035</v>
      </c>
      <c r="D109" s="112">
        <v>129.28657436975507</v>
      </c>
      <c r="E109" s="112">
        <v>792.29434719075255</v>
      </c>
      <c r="F109" s="112">
        <v>415.01289630751785</v>
      </c>
      <c r="G109" s="112">
        <v>138.75604338210675</v>
      </c>
      <c r="H109" s="112">
        <v>9.9275047809164523</v>
      </c>
      <c r="I109" s="112">
        <v>43.986844453659977</v>
      </c>
      <c r="J109" s="112">
        <v>11.724647166757643</v>
      </c>
      <c r="K109" s="112">
        <v>21.993422226829988</v>
      </c>
      <c r="L109" s="112">
        <v>28.678225186583447</v>
      </c>
      <c r="M109" s="112">
        <v>194.62174669974146</v>
      </c>
      <c r="N109" s="112">
        <v>97.310873349870732</v>
      </c>
      <c r="O109" s="112">
        <v>0</v>
      </c>
      <c r="P109" s="112">
        <v>97.310873349870732</v>
      </c>
      <c r="Q109" s="112">
        <v>53.272807291150549</v>
      </c>
      <c r="R109" s="112">
        <v>0</v>
      </c>
      <c r="S109" s="112">
        <v>104.47945243599771</v>
      </c>
      <c r="T109" s="112">
        <v>0</v>
      </c>
      <c r="U109" s="112">
        <v>104.81178997924908</v>
      </c>
      <c r="V109" s="112">
        <v>6.3137254352537076</v>
      </c>
      <c r="W109" s="112">
        <v>52.405894989624542</v>
      </c>
      <c r="X109" s="112">
        <v>33.683001492061287</v>
      </c>
      <c r="Y109" s="112">
        <v>0</v>
      </c>
      <c r="Z109" s="112">
        <v>35.643484870127473</v>
      </c>
      <c r="AA109" s="112">
        <v>0</v>
      </c>
      <c r="AB109" s="112">
        <v>0</v>
      </c>
      <c r="AC109" s="112">
        <v>104.20999340572615</v>
      </c>
      <c r="AD109" s="112">
        <v>41.246703124282014</v>
      </c>
      <c r="AE109" s="112">
        <v>39.808851721182677</v>
      </c>
      <c r="AF109" s="112">
        <v>39.808851721182677</v>
      </c>
      <c r="AG109" s="112">
        <v>0</v>
      </c>
      <c r="AH109" s="112">
        <v>15.688158350434614</v>
      </c>
      <c r="AI109" s="112">
        <v>12.338466284977088</v>
      </c>
      <c r="AJ109" s="112">
        <v>12.01467576494988</v>
      </c>
      <c r="AK109" s="112">
        <v>0</v>
      </c>
      <c r="AL109" s="112">
        <v>0</v>
      </c>
      <c r="AM109" s="112">
        <v>0</v>
      </c>
      <c r="AN109" s="112">
        <v>0</v>
      </c>
      <c r="AO109" s="112">
        <v>2.9908694595901717</v>
      </c>
      <c r="AP109" s="112">
        <v>2.7134992793357249</v>
      </c>
      <c r="AQ109" s="112">
        <v>0.87535627040369302</v>
      </c>
      <c r="AR109" s="112">
        <v>2.7123828262284668</v>
      </c>
      <c r="AS109" s="112">
        <v>17.000949818260345</v>
      </c>
      <c r="AT109" s="112">
        <v>49.205792987663436</v>
      </c>
      <c r="AU109" s="112">
        <v>0</v>
      </c>
      <c r="AV109" s="112">
        <v>28.405903331960726</v>
      </c>
      <c r="AW109" s="112">
        <v>53.034700891227565</v>
      </c>
      <c r="AX109" s="112">
        <v>53.034700891227565</v>
      </c>
      <c r="AY109" s="112">
        <v>86.006957488218475</v>
      </c>
    </row>
    <row r="110" spans="1:52" x14ac:dyDescent="0.2">
      <c r="A110" s="115"/>
      <c r="B110" s="125">
        <v>2</v>
      </c>
      <c r="C110" s="112">
        <v>62.405413804499389</v>
      </c>
      <c r="D110" s="112">
        <v>43.736040356087173</v>
      </c>
      <c r="E110" s="112">
        <v>10.022614725842246</v>
      </c>
      <c r="F110" s="112">
        <v>650.62773107538919</v>
      </c>
      <c r="G110" s="112">
        <v>415.01289630751785</v>
      </c>
      <c r="H110" s="112">
        <v>138.75604338210675</v>
      </c>
      <c r="I110" s="112">
        <v>9.9275047809164523</v>
      </c>
      <c r="J110" s="112">
        <v>43.986844453659977</v>
      </c>
      <c r="K110" s="112">
        <v>11.724647166757643</v>
      </c>
      <c r="L110" s="112">
        <v>21.993422226829988</v>
      </c>
      <c r="M110" s="112">
        <v>28.678225186583447</v>
      </c>
      <c r="N110" s="112">
        <v>194.62174669974146</v>
      </c>
      <c r="O110" s="112">
        <v>97.310873349870732</v>
      </c>
      <c r="P110" s="112">
        <v>0</v>
      </c>
      <c r="Q110" s="112">
        <v>97.310873349870732</v>
      </c>
      <c r="R110" s="112">
        <v>53.272807291150549</v>
      </c>
      <c r="S110" s="112">
        <v>0</v>
      </c>
      <c r="T110" s="112">
        <v>104.47945243599771</v>
      </c>
      <c r="U110" s="112">
        <v>0</v>
      </c>
      <c r="V110" s="112">
        <v>67.332774292130111</v>
      </c>
      <c r="W110" s="112">
        <v>6.2172489379008766E-15</v>
      </c>
      <c r="X110" s="112">
        <v>0</v>
      </c>
      <c r="Y110" s="112">
        <v>0</v>
      </c>
      <c r="Z110" s="112">
        <v>0</v>
      </c>
      <c r="AA110" s="112">
        <v>0</v>
      </c>
      <c r="AB110" s="112">
        <v>0</v>
      </c>
      <c r="AC110" s="112">
        <v>0</v>
      </c>
      <c r="AD110" s="112">
        <v>0</v>
      </c>
      <c r="AE110" s="112">
        <v>0</v>
      </c>
      <c r="AF110" s="112">
        <v>0</v>
      </c>
      <c r="AG110" s="112">
        <v>0</v>
      </c>
      <c r="AH110" s="112">
        <v>0</v>
      </c>
      <c r="AI110" s="112">
        <v>0</v>
      </c>
      <c r="AJ110" s="112">
        <v>0</v>
      </c>
      <c r="AK110" s="112">
        <v>0</v>
      </c>
      <c r="AL110" s="112">
        <v>0</v>
      </c>
      <c r="AM110" s="112">
        <v>0</v>
      </c>
      <c r="AN110" s="112">
        <v>0</v>
      </c>
      <c r="AO110" s="112">
        <v>0</v>
      </c>
      <c r="AP110" s="112">
        <v>0</v>
      </c>
      <c r="AQ110" s="112">
        <v>0</v>
      </c>
      <c r="AR110" s="112">
        <v>0</v>
      </c>
      <c r="AS110" s="112">
        <v>0</v>
      </c>
      <c r="AT110" s="112">
        <v>0</v>
      </c>
      <c r="AU110" s="112">
        <v>0</v>
      </c>
      <c r="AV110" s="112">
        <v>0</v>
      </c>
      <c r="AW110" s="112">
        <v>0</v>
      </c>
      <c r="AX110" s="112">
        <v>0</v>
      </c>
      <c r="AY110" s="112">
        <v>0</v>
      </c>
    </row>
    <row r="111" spans="1:52" x14ac:dyDescent="0.2">
      <c r="A111" s="115"/>
      <c r="B111" s="125">
        <v>3</v>
      </c>
      <c r="C111" s="112">
        <v>0</v>
      </c>
      <c r="D111" s="112">
        <v>0</v>
      </c>
      <c r="E111" s="112">
        <v>0</v>
      </c>
      <c r="F111" s="112">
        <v>0</v>
      </c>
      <c r="G111" s="112">
        <v>518.02290628529681</v>
      </c>
      <c r="H111" s="112">
        <v>415.01289630751785</v>
      </c>
      <c r="I111" s="112">
        <v>138.75604338210675</v>
      </c>
      <c r="J111" s="112">
        <v>9.9275047809164523</v>
      </c>
      <c r="K111" s="112">
        <v>43.986844453659977</v>
      </c>
      <c r="L111" s="112">
        <v>11.724647166757643</v>
      </c>
      <c r="M111" s="112">
        <v>21.993422226829988</v>
      </c>
      <c r="N111" s="112">
        <v>28.678225186583447</v>
      </c>
      <c r="O111" s="112">
        <v>194.62174669974146</v>
      </c>
      <c r="P111" s="112">
        <v>97.310873349870732</v>
      </c>
      <c r="Q111" s="112">
        <v>0</v>
      </c>
      <c r="R111" s="112">
        <v>97.310873349870732</v>
      </c>
      <c r="S111" s="112">
        <v>53.272807291150549</v>
      </c>
      <c r="T111" s="112">
        <v>0</v>
      </c>
      <c r="U111" s="112">
        <v>104.47945243599771</v>
      </c>
      <c r="V111" s="112">
        <v>0</v>
      </c>
      <c r="W111" s="112">
        <v>0</v>
      </c>
      <c r="X111" s="112">
        <v>0</v>
      </c>
      <c r="Y111" s="112">
        <v>0</v>
      </c>
      <c r="Z111" s="112">
        <v>0</v>
      </c>
      <c r="AA111" s="112">
        <v>0</v>
      </c>
      <c r="AB111" s="112">
        <v>0</v>
      </c>
      <c r="AC111" s="112">
        <v>0</v>
      </c>
      <c r="AD111" s="112">
        <v>0</v>
      </c>
      <c r="AE111" s="112">
        <v>0</v>
      </c>
      <c r="AF111" s="112">
        <v>0</v>
      </c>
      <c r="AG111" s="112">
        <v>0</v>
      </c>
      <c r="AH111" s="112">
        <v>0</v>
      </c>
      <c r="AI111" s="112">
        <v>0</v>
      </c>
      <c r="AJ111" s="112">
        <v>0</v>
      </c>
      <c r="AK111" s="112">
        <v>0</v>
      </c>
      <c r="AL111" s="112">
        <v>0</v>
      </c>
      <c r="AM111" s="112">
        <v>0</v>
      </c>
      <c r="AN111" s="112">
        <v>0</v>
      </c>
      <c r="AO111" s="112">
        <v>0</v>
      </c>
      <c r="AP111" s="112">
        <v>0</v>
      </c>
      <c r="AQ111" s="112">
        <v>0</v>
      </c>
      <c r="AR111" s="112">
        <v>0</v>
      </c>
      <c r="AS111" s="112">
        <v>0</v>
      </c>
      <c r="AT111" s="112">
        <v>0</v>
      </c>
      <c r="AU111" s="112">
        <v>0</v>
      </c>
      <c r="AV111" s="112">
        <v>0</v>
      </c>
      <c r="AW111" s="112">
        <v>0</v>
      </c>
      <c r="AX111" s="112">
        <v>0</v>
      </c>
      <c r="AY111" s="112">
        <v>0</v>
      </c>
    </row>
    <row r="112" spans="1:52" x14ac:dyDescent="0.2">
      <c r="A112" s="115"/>
      <c r="B112" s="126">
        <v>4</v>
      </c>
      <c r="C112" s="112">
        <v>0</v>
      </c>
      <c r="D112" s="112">
        <v>0</v>
      </c>
      <c r="E112" s="112">
        <v>0</v>
      </c>
      <c r="F112" s="112">
        <v>0</v>
      </c>
      <c r="G112" s="112">
        <v>0</v>
      </c>
      <c r="H112" s="112">
        <v>373.02290628529681</v>
      </c>
      <c r="I112" s="112">
        <v>415.01289630751785</v>
      </c>
      <c r="J112" s="112">
        <v>138.75604338210675</v>
      </c>
      <c r="K112" s="112">
        <v>9.9275047809164523</v>
      </c>
      <c r="L112" s="112">
        <v>43.986844453659977</v>
      </c>
      <c r="M112" s="112">
        <v>11.724647166757643</v>
      </c>
      <c r="N112" s="112">
        <v>21.993422226829988</v>
      </c>
      <c r="O112" s="112">
        <v>28.678225186583447</v>
      </c>
      <c r="P112" s="112">
        <v>194.62174669974146</v>
      </c>
      <c r="Q112" s="112">
        <v>97.310873349870732</v>
      </c>
      <c r="R112" s="112">
        <v>0</v>
      </c>
      <c r="S112" s="112">
        <v>97.310873349870732</v>
      </c>
      <c r="T112" s="112">
        <v>53.272807291150549</v>
      </c>
      <c r="U112" s="112">
        <v>0</v>
      </c>
      <c r="V112" s="112">
        <v>0</v>
      </c>
      <c r="W112" s="112">
        <v>0</v>
      </c>
      <c r="X112" s="112">
        <v>0</v>
      </c>
      <c r="Y112" s="112">
        <v>0</v>
      </c>
      <c r="Z112" s="112">
        <v>0</v>
      </c>
      <c r="AA112" s="112">
        <v>0</v>
      </c>
      <c r="AB112" s="112">
        <v>0</v>
      </c>
      <c r="AC112" s="112">
        <v>0</v>
      </c>
      <c r="AD112" s="112">
        <v>0</v>
      </c>
      <c r="AE112" s="112">
        <v>0</v>
      </c>
      <c r="AF112" s="112">
        <v>0</v>
      </c>
      <c r="AG112" s="112">
        <v>0</v>
      </c>
      <c r="AH112" s="112">
        <v>0</v>
      </c>
      <c r="AI112" s="112">
        <v>0</v>
      </c>
      <c r="AJ112" s="112">
        <v>0</v>
      </c>
      <c r="AK112" s="112">
        <v>0</v>
      </c>
      <c r="AL112" s="112">
        <v>0</v>
      </c>
      <c r="AM112" s="112">
        <v>0</v>
      </c>
      <c r="AN112" s="112">
        <v>0</v>
      </c>
      <c r="AO112" s="112">
        <v>0</v>
      </c>
      <c r="AP112" s="112">
        <v>0</v>
      </c>
      <c r="AQ112" s="112">
        <v>0</v>
      </c>
      <c r="AR112" s="112">
        <v>0</v>
      </c>
      <c r="AS112" s="112">
        <v>0</v>
      </c>
      <c r="AT112" s="112">
        <v>0</v>
      </c>
      <c r="AU112" s="112">
        <v>0</v>
      </c>
      <c r="AV112" s="112">
        <v>0</v>
      </c>
      <c r="AW112" s="112">
        <v>0</v>
      </c>
      <c r="AX112" s="112">
        <v>0</v>
      </c>
      <c r="AY112" s="112">
        <v>0</v>
      </c>
    </row>
    <row r="113" spans="1:52" x14ac:dyDescent="0.2">
      <c r="A113" s="115"/>
      <c r="B113" s="126">
        <v>5</v>
      </c>
      <c r="C113" s="112">
        <v>0</v>
      </c>
      <c r="D113" s="112">
        <v>0</v>
      </c>
      <c r="E113" s="112">
        <v>0</v>
      </c>
      <c r="F113" s="112">
        <v>0</v>
      </c>
      <c r="G113" s="112">
        <v>0</v>
      </c>
      <c r="H113" s="112">
        <v>0</v>
      </c>
      <c r="I113" s="112">
        <v>256.87094531800653</v>
      </c>
      <c r="J113" s="112">
        <v>415.01289630751785</v>
      </c>
      <c r="K113" s="112">
        <v>138.75604338210675</v>
      </c>
      <c r="L113" s="112">
        <v>9.9275047809164523</v>
      </c>
      <c r="M113" s="112">
        <v>43.986844453659977</v>
      </c>
      <c r="N113" s="112">
        <v>11.724647166757643</v>
      </c>
      <c r="O113" s="112">
        <v>21.993422226829988</v>
      </c>
      <c r="P113" s="112">
        <v>28.678225186583447</v>
      </c>
      <c r="Q113" s="112">
        <v>194.62174669974146</v>
      </c>
      <c r="R113" s="112">
        <v>97.310873349870732</v>
      </c>
      <c r="S113" s="112">
        <v>0</v>
      </c>
      <c r="T113" s="112">
        <v>97.310873349870732</v>
      </c>
      <c r="U113" s="112">
        <v>18.041531876883305</v>
      </c>
      <c r="V113" s="112">
        <v>0</v>
      </c>
      <c r="W113" s="112">
        <v>0</v>
      </c>
      <c r="X113" s="112">
        <v>0</v>
      </c>
      <c r="Y113" s="112">
        <v>0</v>
      </c>
      <c r="Z113" s="112">
        <v>0</v>
      </c>
      <c r="AA113" s="112">
        <v>0</v>
      </c>
      <c r="AB113" s="112">
        <v>0</v>
      </c>
      <c r="AC113" s="112">
        <v>0</v>
      </c>
      <c r="AD113" s="112">
        <v>0</v>
      </c>
      <c r="AE113" s="112">
        <v>0</v>
      </c>
      <c r="AF113" s="112">
        <v>0</v>
      </c>
      <c r="AG113" s="112">
        <v>0</v>
      </c>
      <c r="AH113" s="112">
        <v>0</v>
      </c>
      <c r="AI113" s="112">
        <v>0</v>
      </c>
      <c r="AJ113" s="112">
        <v>0</v>
      </c>
      <c r="AK113" s="112">
        <v>0</v>
      </c>
      <c r="AL113" s="112">
        <v>0</v>
      </c>
      <c r="AM113" s="112">
        <v>0</v>
      </c>
      <c r="AN113" s="112">
        <v>0</v>
      </c>
      <c r="AO113" s="112">
        <v>0</v>
      </c>
      <c r="AP113" s="112">
        <v>0</v>
      </c>
      <c r="AQ113" s="112">
        <v>0</v>
      </c>
      <c r="AR113" s="112">
        <v>0</v>
      </c>
      <c r="AS113" s="112">
        <v>0</v>
      </c>
      <c r="AT113" s="112">
        <v>0</v>
      </c>
      <c r="AU113" s="112">
        <v>0</v>
      </c>
      <c r="AV113" s="112">
        <v>0</v>
      </c>
      <c r="AW113" s="112">
        <v>0</v>
      </c>
      <c r="AX113" s="112">
        <v>0</v>
      </c>
      <c r="AY113" s="112">
        <v>0</v>
      </c>
    </row>
    <row r="114" spans="1:52" x14ac:dyDescent="0.2">
      <c r="A114" s="115"/>
      <c r="B114" s="126">
        <v>6</v>
      </c>
      <c r="C114" s="112">
        <v>0</v>
      </c>
      <c r="D114" s="112">
        <v>0</v>
      </c>
      <c r="E114" s="112">
        <v>0</v>
      </c>
      <c r="F114" s="112">
        <v>0</v>
      </c>
      <c r="G114" s="112">
        <v>0</v>
      </c>
      <c r="H114" s="112">
        <v>0</v>
      </c>
      <c r="I114" s="112">
        <v>0</v>
      </c>
      <c r="J114" s="112">
        <v>159.87094531800653</v>
      </c>
      <c r="K114" s="112">
        <v>415.01289630751785</v>
      </c>
      <c r="L114" s="112">
        <v>138.75604338210675</v>
      </c>
      <c r="M114" s="112">
        <v>9.9275047809164523</v>
      </c>
      <c r="N114" s="112">
        <v>43.986844453659977</v>
      </c>
      <c r="O114" s="112">
        <v>11.724647166757643</v>
      </c>
      <c r="P114" s="112">
        <v>21.993422226829988</v>
      </c>
      <c r="Q114" s="112">
        <v>28.678225186583447</v>
      </c>
      <c r="R114" s="112">
        <v>154.27049004875198</v>
      </c>
      <c r="S114" s="112">
        <v>97.310873349870732</v>
      </c>
      <c r="T114" s="112">
        <v>0</v>
      </c>
      <c r="U114" s="112">
        <v>0</v>
      </c>
      <c r="V114" s="112">
        <v>0</v>
      </c>
      <c r="W114" s="112">
        <v>0</v>
      </c>
      <c r="X114" s="112">
        <v>0</v>
      </c>
      <c r="Y114" s="112">
        <v>0</v>
      </c>
      <c r="Z114" s="112">
        <v>0</v>
      </c>
      <c r="AA114" s="112">
        <v>0</v>
      </c>
      <c r="AB114" s="112">
        <v>0</v>
      </c>
      <c r="AC114" s="112">
        <v>0</v>
      </c>
      <c r="AD114" s="112">
        <v>0</v>
      </c>
      <c r="AE114" s="112">
        <v>0</v>
      </c>
      <c r="AF114" s="112">
        <v>0</v>
      </c>
      <c r="AG114" s="112">
        <v>0</v>
      </c>
      <c r="AH114" s="112">
        <v>0</v>
      </c>
      <c r="AI114" s="112">
        <v>0</v>
      </c>
      <c r="AJ114" s="112">
        <v>0</v>
      </c>
      <c r="AK114" s="112">
        <v>0</v>
      </c>
      <c r="AL114" s="112">
        <v>0</v>
      </c>
      <c r="AM114" s="112">
        <v>0</v>
      </c>
      <c r="AN114" s="112">
        <v>0</v>
      </c>
      <c r="AO114" s="112">
        <v>0</v>
      </c>
      <c r="AP114" s="112">
        <v>0</v>
      </c>
      <c r="AQ114" s="112">
        <v>0</v>
      </c>
      <c r="AR114" s="112">
        <v>0</v>
      </c>
      <c r="AS114" s="112">
        <v>0</v>
      </c>
      <c r="AT114" s="112">
        <v>0</v>
      </c>
      <c r="AU114" s="112">
        <v>0</v>
      </c>
      <c r="AV114" s="112">
        <v>0</v>
      </c>
      <c r="AW114" s="112">
        <v>0</v>
      </c>
      <c r="AX114" s="112">
        <v>0</v>
      </c>
      <c r="AY114" s="112">
        <v>0</v>
      </c>
    </row>
    <row r="115" spans="1:52" x14ac:dyDescent="0.2">
      <c r="A115" s="115"/>
      <c r="B115" s="133">
        <v>7</v>
      </c>
      <c r="C115" s="112">
        <v>0</v>
      </c>
      <c r="D115" s="112">
        <v>0</v>
      </c>
      <c r="E115" s="112">
        <v>0</v>
      </c>
      <c r="F115" s="112">
        <v>0</v>
      </c>
      <c r="G115" s="112">
        <v>0</v>
      </c>
      <c r="H115" s="112">
        <v>0</v>
      </c>
      <c r="I115" s="112">
        <v>0</v>
      </c>
      <c r="J115" s="112">
        <v>0</v>
      </c>
      <c r="K115" s="112">
        <v>46.496097490531753</v>
      </c>
      <c r="L115" s="112">
        <v>362.04529023451266</v>
      </c>
      <c r="M115" s="112">
        <v>138.75604338210675</v>
      </c>
      <c r="N115" s="112">
        <v>9.9275047809164523</v>
      </c>
      <c r="O115" s="112">
        <v>43.986844453659977</v>
      </c>
      <c r="P115" s="112">
        <v>11.724647166757643</v>
      </c>
      <c r="Q115" s="112">
        <v>21.993422226829988</v>
      </c>
      <c r="R115" s="112">
        <v>0</v>
      </c>
      <c r="S115" s="112">
        <v>42.531859971554766</v>
      </c>
      <c r="T115" s="112">
        <v>31.842733321425499</v>
      </c>
      <c r="U115" s="112">
        <v>0</v>
      </c>
      <c r="V115" s="112">
        <v>0</v>
      </c>
      <c r="W115" s="112">
        <v>0</v>
      </c>
      <c r="X115" s="112">
        <v>0</v>
      </c>
      <c r="Y115" s="112">
        <v>0</v>
      </c>
      <c r="Z115" s="112">
        <v>0</v>
      </c>
      <c r="AA115" s="112">
        <v>0</v>
      </c>
      <c r="AB115" s="112">
        <v>0</v>
      </c>
      <c r="AC115" s="112">
        <v>0</v>
      </c>
      <c r="AD115" s="112">
        <v>0</v>
      </c>
      <c r="AE115" s="112">
        <v>0</v>
      </c>
      <c r="AF115" s="112">
        <v>0</v>
      </c>
      <c r="AG115" s="112">
        <v>0</v>
      </c>
      <c r="AH115" s="112">
        <v>0</v>
      </c>
      <c r="AI115" s="112">
        <v>0</v>
      </c>
      <c r="AJ115" s="112">
        <v>0</v>
      </c>
      <c r="AK115" s="112">
        <v>0</v>
      </c>
      <c r="AL115" s="112">
        <v>0</v>
      </c>
      <c r="AM115" s="112">
        <v>0</v>
      </c>
      <c r="AN115" s="112">
        <v>0</v>
      </c>
      <c r="AO115" s="112">
        <v>0</v>
      </c>
      <c r="AP115" s="112">
        <v>0</v>
      </c>
      <c r="AQ115" s="112">
        <v>0</v>
      </c>
      <c r="AR115" s="112">
        <v>0</v>
      </c>
      <c r="AS115" s="112">
        <v>0</v>
      </c>
      <c r="AT115" s="112">
        <v>0</v>
      </c>
      <c r="AU115" s="112">
        <v>0</v>
      </c>
      <c r="AV115" s="112">
        <v>0</v>
      </c>
      <c r="AW115" s="112">
        <v>0</v>
      </c>
      <c r="AX115" s="112">
        <v>0</v>
      </c>
      <c r="AY115" s="112">
        <v>0</v>
      </c>
    </row>
    <row r="116" spans="1:52" x14ac:dyDescent="0.2">
      <c r="A116" s="115"/>
      <c r="B116" s="133">
        <v>8</v>
      </c>
      <c r="C116" s="112">
        <v>0</v>
      </c>
      <c r="D116" s="112">
        <v>0</v>
      </c>
      <c r="E116" s="112">
        <v>0</v>
      </c>
      <c r="F116" s="112">
        <v>0</v>
      </c>
      <c r="G116" s="112">
        <v>0</v>
      </c>
      <c r="H116" s="112">
        <v>0</v>
      </c>
      <c r="I116" s="112">
        <v>0</v>
      </c>
      <c r="J116" s="112">
        <v>0</v>
      </c>
      <c r="K116" s="112">
        <v>0</v>
      </c>
      <c r="L116" s="112">
        <v>0</v>
      </c>
      <c r="M116" s="112">
        <v>267.0701533542977</v>
      </c>
      <c r="N116" s="112">
        <v>138.75604338210675</v>
      </c>
      <c r="O116" s="112">
        <v>9.9275047809164523</v>
      </c>
      <c r="P116" s="112">
        <v>43.986844453659977</v>
      </c>
      <c r="Q116" s="112">
        <v>11.724647166757643</v>
      </c>
      <c r="R116" s="112">
        <v>0</v>
      </c>
      <c r="S116" s="112">
        <v>0</v>
      </c>
      <c r="T116" s="112">
        <v>0</v>
      </c>
      <c r="U116" s="112">
        <v>0</v>
      </c>
      <c r="V116" s="112">
        <v>0</v>
      </c>
      <c r="W116" s="112">
        <v>0</v>
      </c>
      <c r="X116" s="112">
        <v>0</v>
      </c>
      <c r="Y116" s="112">
        <v>0</v>
      </c>
      <c r="Z116" s="112">
        <v>0</v>
      </c>
      <c r="AA116" s="112">
        <v>0</v>
      </c>
      <c r="AB116" s="112">
        <v>0</v>
      </c>
      <c r="AC116" s="112">
        <v>0</v>
      </c>
      <c r="AD116" s="112">
        <v>0</v>
      </c>
      <c r="AE116" s="112">
        <v>0</v>
      </c>
      <c r="AF116" s="112">
        <v>0</v>
      </c>
      <c r="AG116" s="112">
        <v>0</v>
      </c>
      <c r="AH116" s="112">
        <v>0</v>
      </c>
      <c r="AI116" s="112">
        <v>0</v>
      </c>
      <c r="AJ116" s="112">
        <v>0</v>
      </c>
      <c r="AK116" s="112">
        <v>0</v>
      </c>
      <c r="AL116" s="112">
        <v>0</v>
      </c>
      <c r="AM116" s="112">
        <v>0</v>
      </c>
      <c r="AN116" s="112">
        <v>0</v>
      </c>
      <c r="AO116" s="112">
        <v>0</v>
      </c>
      <c r="AP116" s="112">
        <v>0</v>
      </c>
      <c r="AQ116" s="112">
        <v>0</v>
      </c>
      <c r="AR116" s="112">
        <v>0</v>
      </c>
      <c r="AS116" s="112">
        <v>0</v>
      </c>
      <c r="AT116" s="112">
        <v>0</v>
      </c>
      <c r="AU116" s="112">
        <v>0</v>
      </c>
      <c r="AV116" s="112">
        <v>0</v>
      </c>
      <c r="AW116" s="112">
        <v>0</v>
      </c>
      <c r="AX116" s="112">
        <v>0</v>
      </c>
      <c r="AY116" s="112">
        <v>0</v>
      </c>
    </row>
    <row r="117" spans="1:52" x14ac:dyDescent="0.2">
      <c r="A117" s="115"/>
      <c r="B117" s="133">
        <v>9</v>
      </c>
      <c r="C117" s="112">
        <v>0</v>
      </c>
      <c r="D117" s="112">
        <v>0</v>
      </c>
      <c r="E117" s="112">
        <v>0</v>
      </c>
      <c r="F117" s="112">
        <v>0</v>
      </c>
      <c r="G117" s="112">
        <v>0</v>
      </c>
      <c r="H117" s="112">
        <v>0</v>
      </c>
      <c r="I117" s="112">
        <v>0</v>
      </c>
      <c r="J117" s="112">
        <v>0</v>
      </c>
      <c r="K117" s="112">
        <v>0</v>
      </c>
      <c r="L117" s="112">
        <v>0</v>
      </c>
      <c r="M117" s="112">
        <v>0</v>
      </c>
      <c r="N117" s="112">
        <v>176.32593267848455</v>
      </c>
      <c r="O117" s="112">
        <v>138.75604338210675</v>
      </c>
      <c r="P117" s="112">
        <v>9.9275047809164523</v>
      </c>
      <c r="Q117" s="112">
        <v>43.986844453659977</v>
      </c>
      <c r="R117" s="112">
        <v>0</v>
      </c>
      <c r="S117" s="112">
        <v>0</v>
      </c>
      <c r="T117" s="112">
        <v>0</v>
      </c>
      <c r="U117" s="112">
        <v>0</v>
      </c>
      <c r="V117" s="112">
        <v>0</v>
      </c>
      <c r="W117" s="112">
        <v>0</v>
      </c>
      <c r="X117" s="112">
        <v>0</v>
      </c>
      <c r="Y117" s="112">
        <v>0</v>
      </c>
      <c r="Z117" s="112">
        <v>0</v>
      </c>
      <c r="AA117" s="112">
        <v>0</v>
      </c>
      <c r="AB117" s="112">
        <v>0</v>
      </c>
      <c r="AC117" s="112">
        <v>0</v>
      </c>
      <c r="AD117" s="112">
        <v>0</v>
      </c>
      <c r="AE117" s="112">
        <v>0</v>
      </c>
      <c r="AF117" s="112">
        <v>0</v>
      </c>
      <c r="AG117" s="112">
        <v>0</v>
      </c>
      <c r="AH117" s="112">
        <v>0</v>
      </c>
      <c r="AI117" s="112">
        <v>0</v>
      </c>
      <c r="AJ117" s="112">
        <v>0</v>
      </c>
      <c r="AK117" s="112">
        <v>0</v>
      </c>
      <c r="AL117" s="112">
        <v>0</v>
      </c>
      <c r="AM117" s="112">
        <v>0</v>
      </c>
      <c r="AN117" s="112">
        <v>0</v>
      </c>
      <c r="AO117" s="112">
        <v>0</v>
      </c>
      <c r="AP117" s="112">
        <v>0</v>
      </c>
      <c r="AQ117" s="112">
        <v>0</v>
      </c>
      <c r="AR117" s="112">
        <v>0</v>
      </c>
      <c r="AS117" s="112">
        <v>0</v>
      </c>
      <c r="AT117" s="112">
        <v>0</v>
      </c>
      <c r="AU117" s="112">
        <v>0</v>
      </c>
      <c r="AV117" s="112">
        <v>0</v>
      </c>
      <c r="AW117" s="112">
        <v>0</v>
      </c>
      <c r="AX117" s="112">
        <v>0</v>
      </c>
      <c r="AY117" s="112">
        <v>0</v>
      </c>
    </row>
    <row r="118" spans="1:52" x14ac:dyDescent="0.2">
      <c r="A118" s="115"/>
      <c r="B118" s="136">
        <v>10</v>
      </c>
      <c r="C118" s="112">
        <v>0</v>
      </c>
      <c r="D118" s="112">
        <v>0</v>
      </c>
      <c r="E118" s="112">
        <v>0</v>
      </c>
      <c r="F118" s="112">
        <v>0</v>
      </c>
      <c r="G118" s="112">
        <v>0</v>
      </c>
      <c r="H118" s="112">
        <v>0</v>
      </c>
      <c r="I118" s="112">
        <v>0</v>
      </c>
      <c r="J118" s="112">
        <v>0</v>
      </c>
      <c r="K118" s="112">
        <v>0</v>
      </c>
      <c r="L118" s="112">
        <v>0</v>
      </c>
      <c r="M118" s="112">
        <v>0</v>
      </c>
      <c r="N118" s="112">
        <v>0</v>
      </c>
      <c r="O118" s="112">
        <v>88.325932678484548</v>
      </c>
      <c r="P118" s="112">
        <v>132.29483813256735</v>
      </c>
      <c r="Q118" s="112">
        <v>5.2656043151794467</v>
      </c>
      <c r="R118" s="112">
        <v>0</v>
      </c>
      <c r="S118" s="112">
        <v>0</v>
      </c>
      <c r="T118" s="112">
        <v>0</v>
      </c>
      <c r="U118" s="112">
        <v>0</v>
      </c>
      <c r="V118" s="112">
        <v>0</v>
      </c>
      <c r="W118" s="112">
        <v>0</v>
      </c>
      <c r="X118" s="112">
        <v>0</v>
      </c>
      <c r="Y118" s="112">
        <v>0</v>
      </c>
      <c r="Z118" s="112">
        <v>0</v>
      </c>
      <c r="AA118" s="112">
        <v>0</v>
      </c>
      <c r="AB118" s="112">
        <v>0</v>
      </c>
      <c r="AC118" s="112">
        <v>0</v>
      </c>
      <c r="AD118" s="112">
        <v>0</v>
      </c>
      <c r="AE118" s="112">
        <v>0</v>
      </c>
      <c r="AF118" s="112">
        <v>0</v>
      </c>
      <c r="AG118" s="112">
        <v>0</v>
      </c>
      <c r="AH118" s="112">
        <v>0</v>
      </c>
      <c r="AI118" s="112">
        <v>0</v>
      </c>
      <c r="AJ118" s="112">
        <v>0</v>
      </c>
      <c r="AK118" s="112">
        <v>0</v>
      </c>
      <c r="AL118" s="112">
        <v>0</v>
      </c>
      <c r="AM118" s="112">
        <v>0</v>
      </c>
      <c r="AN118" s="112">
        <v>0</v>
      </c>
      <c r="AO118" s="112">
        <v>0</v>
      </c>
      <c r="AP118" s="112">
        <v>0</v>
      </c>
      <c r="AQ118" s="112">
        <v>0</v>
      </c>
      <c r="AR118" s="112">
        <v>0</v>
      </c>
      <c r="AS118" s="112">
        <v>0</v>
      </c>
      <c r="AT118" s="112">
        <v>0</v>
      </c>
      <c r="AU118" s="112">
        <v>0</v>
      </c>
      <c r="AV118" s="112">
        <v>0</v>
      </c>
      <c r="AW118" s="112">
        <v>0</v>
      </c>
      <c r="AX118" s="112">
        <v>0</v>
      </c>
      <c r="AY118" s="112">
        <v>0</v>
      </c>
    </row>
    <row r="119" spans="1:52" x14ac:dyDescent="0.2">
      <c r="A119" s="115"/>
      <c r="B119" s="136">
        <v>11</v>
      </c>
      <c r="C119" s="112">
        <v>0</v>
      </c>
      <c r="D119" s="112">
        <v>0</v>
      </c>
      <c r="E119" s="112">
        <v>0</v>
      </c>
      <c r="F119" s="112">
        <v>0</v>
      </c>
      <c r="G119" s="112">
        <v>0</v>
      </c>
      <c r="H119" s="112">
        <v>0</v>
      </c>
      <c r="I119" s="112">
        <v>0</v>
      </c>
      <c r="J119" s="112">
        <v>0</v>
      </c>
      <c r="K119" s="112">
        <v>0</v>
      </c>
      <c r="L119" s="112">
        <v>0</v>
      </c>
      <c r="M119" s="112">
        <v>0</v>
      </c>
      <c r="N119" s="112">
        <v>0</v>
      </c>
      <c r="O119" s="112">
        <v>0</v>
      </c>
      <c r="P119" s="112">
        <v>0</v>
      </c>
      <c r="Q119" s="112">
        <v>0</v>
      </c>
      <c r="R119" s="112">
        <v>0</v>
      </c>
      <c r="S119" s="112">
        <v>0</v>
      </c>
      <c r="T119" s="112">
        <v>0</v>
      </c>
      <c r="U119" s="112">
        <v>0</v>
      </c>
      <c r="V119" s="112">
        <v>0</v>
      </c>
      <c r="W119" s="112">
        <v>0</v>
      </c>
      <c r="X119" s="112">
        <v>0</v>
      </c>
      <c r="Y119" s="112">
        <v>0</v>
      </c>
      <c r="Z119" s="112">
        <v>0</v>
      </c>
      <c r="AA119" s="112">
        <v>0</v>
      </c>
      <c r="AB119" s="112">
        <v>0</v>
      </c>
      <c r="AC119" s="112">
        <v>0</v>
      </c>
      <c r="AD119" s="112">
        <v>0</v>
      </c>
      <c r="AE119" s="112">
        <v>0</v>
      </c>
      <c r="AF119" s="112">
        <v>0</v>
      </c>
      <c r="AG119" s="112">
        <v>0</v>
      </c>
      <c r="AH119" s="112">
        <v>0</v>
      </c>
      <c r="AI119" s="112">
        <v>0</v>
      </c>
      <c r="AJ119" s="112">
        <v>0</v>
      </c>
      <c r="AK119" s="112">
        <v>0</v>
      </c>
      <c r="AL119" s="112">
        <v>0</v>
      </c>
      <c r="AM119" s="112">
        <v>0</v>
      </c>
      <c r="AN119" s="112">
        <v>0</v>
      </c>
      <c r="AO119" s="112">
        <v>0</v>
      </c>
      <c r="AP119" s="112">
        <v>0</v>
      </c>
      <c r="AQ119" s="112">
        <v>0</v>
      </c>
      <c r="AR119" s="112">
        <v>0</v>
      </c>
      <c r="AS119" s="112">
        <v>0</v>
      </c>
      <c r="AT119" s="112">
        <v>0</v>
      </c>
      <c r="AU119" s="112">
        <v>0</v>
      </c>
      <c r="AV119" s="112">
        <v>0</v>
      </c>
      <c r="AW119" s="112">
        <v>0</v>
      </c>
      <c r="AX119" s="112">
        <v>0</v>
      </c>
      <c r="AY119" s="112">
        <v>0</v>
      </c>
    </row>
    <row r="120" spans="1:52" x14ac:dyDescent="0.2">
      <c r="A120" s="115"/>
      <c r="B120" s="136">
        <v>12</v>
      </c>
      <c r="C120" s="112">
        <v>0</v>
      </c>
      <c r="D120" s="112">
        <v>0</v>
      </c>
      <c r="E120" s="112">
        <v>0</v>
      </c>
      <c r="F120" s="112">
        <v>0</v>
      </c>
      <c r="G120" s="112">
        <v>0</v>
      </c>
      <c r="H120" s="112">
        <v>0</v>
      </c>
      <c r="I120" s="112">
        <v>0</v>
      </c>
      <c r="J120" s="112">
        <v>0</v>
      </c>
      <c r="K120" s="112">
        <v>0</v>
      </c>
      <c r="L120" s="112">
        <v>0</v>
      </c>
      <c r="M120" s="112">
        <v>0</v>
      </c>
      <c r="N120" s="112">
        <v>0</v>
      </c>
      <c r="O120" s="112">
        <v>0</v>
      </c>
      <c r="P120" s="112">
        <v>0</v>
      </c>
      <c r="Q120" s="112">
        <v>0</v>
      </c>
      <c r="R120" s="112">
        <v>0</v>
      </c>
      <c r="S120" s="112">
        <v>0</v>
      </c>
      <c r="T120" s="112">
        <v>0</v>
      </c>
      <c r="U120" s="112">
        <v>0</v>
      </c>
      <c r="V120" s="112">
        <v>0</v>
      </c>
      <c r="W120" s="112">
        <v>0</v>
      </c>
      <c r="X120" s="112">
        <v>0</v>
      </c>
      <c r="Y120" s="112">
        <v>0</v>
      </c>
      <c r="Z120" s="112">
        <v>0</v>
      </c>
      <c r="AA120" s="112">
        <v>0</v>
      </c>
      <c r="AB120" s="112">
        <v>0</v>
      </c>
      <c r="AC120" s="112">
        <v>0</v>
      </c>
      <c r="AD120" s="112">
        <v>0</v>
      </c>
      <c r="AE120" s="112">
        <v>0</v>
      </c>
      <c r="AF120" s="112">
        <v>0</v>
      </c>
      <c r="AG120" s="112">
        <v>0</v>
      </c>
      <c r="AH120" s="112">
        <v>0</v>
      </c>
      <c r="AI120" s="112">
        <v>0</v>
      </c>
      <c r="AJ120" s="112">
        <v>0</v>
      </c>
      <c r="AK120" s="112">
        <v>0</v>
      </c>
      <c r="AL120" s="112">
        <v>0</v>
      </c>
      <c r="AM120" s="112">
        <v>0</v>
      </c>
      <c r="AN120" s="112">
        <v>0</v>
      </c>
      <c r="AO120" s="112">
        <v>0</v>
      </c>
      <c r="AP120" s="112">
        <v>0</v>
      </c>
      <c r="AQ120" s="112">
        <v>0</v>
      </c>
      <c r="AR120" s="112">
        <v>0</v>
      </c>
      <c r="AS120" s="112">
        <v>0</v>
      </c>
      <c r="AT120" s="112">
        <v>0</v>
      </c>
      <c r="AU120" s="112">
        <v>0</v>
      </c>
      <c r="AV120" s="112">
        <v>0</v>
      </c>
      <c r="AW120" s="112">
        <v>0</v>
      </c>
      <c r="AX120" s="112">
        <v>0</v>
      </c>
      <c r="AY120" s="112">
        <v>0</v>
      </c>
    </row>
    <row r="121" spans="1:52" x14ac:dyDescent="0.2">
      <c r="A121" s="134"/>
      <c r="B121" s="138" t="s">
        <v>296</v>
      </c>
      <c r="C121" s="120">
        <v>0</v>
      </c>
      <c r="D121" s="131">
        <v>0</v>
      </c>
      <c r="E121" s="131">
        <v>0</v>
      </c>
      <c r="F121" s="131">
        <v>0</v>
      </c>
      <c r="G121" s="131">
        <v>0</v>
      </c>
      <c r="H121" s="131">
        <v>0</v>
      </c>
      <c r="I121" s="131">
        <v>0</v>
      </c>
      <c r="J121" s="131">
        <v>0</v>
      </c>
      <c r="K121" s="131">
        <v>0</v>
      </c>
      <c r="L121" s="131">
        <v>0</v>
      </c>
      <c r="M121" s="131">
        <v>0</v>
      </c>
      <c r="N121" s="131">
        <v>0</v>
      </c>
      <c r="O121" s="131">
        <v>0</v>
      </c>
      <c r="P121" s="131">
        <v>0</v>
      </c>
      <c r="Q121" s="131">
        <v>0</v>
      </c>
      <c r="R121" s="131">
        <v>0</v>
      </c>
      <c r="S121" s="131">
        <v>0</v>
      </c>
      <c r="T121" s="131">
        <v>0</v>
      </c>
      <c r="U121" s="131">
        <v>0</v>
      </c>
      <c r="V121" s="131">
        <v>0</v>
      </c>
      <c r="W121" s="131">
        <v>0</v>
      </c>
      <c r="X121" s="131">
        <v>0</v>
      </c>
      <c r="Y121" s="131">
        <v>0</v>
      </c>
      <c r="Z121" s="131">
        <v>0</v>
      </c>
      <c r="AA121" s="131">
        <v>0</v>
      </c>
      <c r="AB121" s="131">
        <v>0</v>
      </c>
      <c r="AC121" s="131">
        <v>0</v>
      </c>
      <c r="AD121" s="131">
        <v>0</v>
      </c>
      <c r="AE121" s="131">
        <v>0</v>
      </c>
      <c r="AF121" s="131">
        <v>0</v>
      </c>
      <c r="AG121" s="131">
        <v>0</v>
      </c>
      <c r="AH121" s="131">
        <v>0</v>
      </c>
      <c r="AI121" s="131">
        <v>0</v>
      </c>
      <c r="AJ121" s="131">
        <v>0</v>
      </c>
      <c r="AK121" s="131">
        <v>0</v>
      </c>
      <c r="AL121" s="131">
        <v>0</v>
      </c>
      <c r="AM121" s="131">
        <v>0</v>
      </c>
      <c r="AN121" s="131">
        <v>0</v>
      </c>
      <c r="AO121" s="131">
        <v>0</v>
      </c>
      <c r="AP121" s="131">
        <v>0</v>
      </c>
      <c r="AQ121" s="131">
        <v>0</v>
      </c>
      <c r="AR121" s="131">
        <v>0</v>
      </c>
      <c r="AS121" s="131">
        <v>0</v>
      </c>
      <c r="AT121" s="131">
        <v>0</v>
      </c>
      <c r="AU121" s="131">
        <v>0</v>
      </c>
      <c r="AV121" s="131">
        <v>0</v>
      </c>
      <c r="AW121" s="131">
        <v>0</v>
      </c>
      <c r="AX121" s="131">
        <v>0</v>
      </c>
      <c r="AY121" s="131">
        <v>0</v>
      </c>
      <c r="AZ121" s="113">
        <f>SUM($D121:$AY121)</f>
        <v>0</v>
      </c>
    </row>
    <row r="122" spans="1:52" x14ac:dyDescent="0.2">
      <c r="A122" s="137" t="s">
        <v>123</v>
      </c>
      <c r="B122" s="125">
        <v>1</v>
      </c>
      <c r="C122" s="112">
        <v>201.66069172956847</v>
      </c>
      <c r="D122" s="112">
        <v>0</v>
      </c>
      <c r="E122" s="112">
        <v>98.792517462034212</v>
      </c>
      <c r="F122" s="112">
        <v>75.764296265115064</v>
      </c>
      <c r="G122" s="112">
        <v>0</v>
      </c>
      <c r="H122" s="112">
        <v>75.764296265115064</v>
      </c>
      <c r="I122" s="112">
        <v>0</v>
      </c>
      <c r="J122" s="112">
        <v>0</v>
      </c>
      <c r="K122" s="112">
        <v>98.792517462034212</v>
      </c>
      <c r="L122" s="112">
        <v>98.792517462034212</v>
      </c>
      <c r="M122" s="112">
        <v>98.792517462034212</v>
      </c>
      <c r="N122" s="112">
        <v>0</v>
      </c>
      <c r="O122" s="112">
        <v>98.792517462034212</v>
      </c>
      <c r="P122" s="112">
        <v>88.118214749081218</v>
      </c>
      <c r="Q122" s="112">
        <v>0</v>
      </c>
      <c r="R122" s="112">
        <v>84.700588966393624</v>
      </c>
      <c r="S122" s="112">
        <v>0</v>
      </c>
      <c r="T122" s="112">
        <v>84.700588966393624</v>
      </c>
      <c r="U122" s="112">
        <v>0</v>
      </c>
      <c r="V122" s="112">
        <v>0</v>
      </c>
      <c r="W122" s="112">
        <v>27.219934561735325</v>
      </c>
      <c r="X122" s="112">
        <v>0</v>
      </c>
      <c r="Y122" s="112">
        <v>27.219934561735325</v>
      </c>
      <c r="Z122" s="112">
        <v>0</v>
      </c>
      <c r="AA122" s="112">
        <v>0</v>
      </c>
      <c r="AB122" s="112">
        <v>64.718117818214992</v>
      </c>
      <c r="AC122" s="112">
        <v>64.718117818214992</v>
      </c>
      <c r="AD122" s="112">
        <v>62.462057831299653</v>
      </c>
      <c r="AE122" s="112">
        <v>62.462057831299653</v>
      </c>
      <c r="AF122" s="112">
        <v>0</v>
      </c>
      <c r="AG122" s="112">
        <v>62.462057831299653</v>
      </c>
      <c r="AH122" s="112">
        <v>79.654171135057084</v>
      </c>
      <c r="AI122" s="112">
        <v>79.654171135057084</v>
      </c>
      <c r="AJ122" s="112">
        <v>79.654171135057084</v>
      </c>
      <c r="AK122" s="112">
        <v>0</v>
      </c>
      <c r="AL122" s="112">
        <v>79.835011668901217</v>
      </c>
      <c r="AM122" s="112">
        <v>0</v>
      </c>
      <c r="AN122" s="112">
        <v>79.835011668901217</v>
      </c>
      <c r="AO122" s="112">
        <v>79.835011668901217</v>
      </c>
      <c r="AP122" s="112">
        <v>0</v>
      </c>
      <c r="AQ122" s="112">
        <v>72.883191513990653</v>
      </c>
      <c r="AR122" s="112">
        <v>0</v>
      </c>
      <c r="AS122" s="112">
        <v>72.883191513990653</v>
      </c>
      <c r="AT122" s="112">
        <v>0</v>
      </c>
      <c r="AU122" s="112">
        <v>0</v>
      </c>
      <c r="AV122" s="112">
        <v>0</v>
      </c>
      <c r="AW122" s="112">
        <v>0</v>
      </c>
      <c r="AX122" s="112">
        <v>52.316453320975867</v>
      </c>
      <c r="AY122" s="112">
        <v>52.316453320975867</v>
      </c>
    </row>
    <row r="123" spans="1:52" x14ac:dyDescent="0.2">
      <c r="A123" s="115"/>
      <c r="B123" s="125">
        <v>2</v>
      </c>
      <c r="C123" s="112">
        <v>28.950804510058468</v>
      </c>
      <c r="D123" s="112">
        <v>183.68612915485346</v>
      </c>
      <c r="E123" s="112">
        <v>169.87691311499452</v>
      </c>
      <c r="F123" s="112">
        <v>35.898462083026168</v>
      </c>
      <c r="G123" s="112">
        <v>15.593893310153172</v>
      </c>
      <c r="H123" s="112">
        <v>75.764296265115064</v>
      </c>
      <c r="I123" s="112">
        <v>40.389787109279908</v>
      </c>
      <c r="J123" s="112">
        <v>75.764296265115064</v>
      </c>
      <c r="K123" s="112">
        <v>0</v>
      </c>
      <c r="L123" s="112">
        <v>0</v>
      </c>
      <c r="M123" s="112">
        <v>0</v>
      </c>
      <c r="N123" s="112">
        <v>0</v>
      </c>
      <c r="O123" s="112">
        <v>0</v>
      </c>
      <c r="P123" s="112">
        <v>0</v>
      </c>
      <c r="Q123" s="112">
        <v>0</v>
      </c>
      <c r="R123" s="112">
        <v>88.118214749081218</v>
      </c>
      <c r="S123" s="112">
        <v>0</v>
      </c>
      <c r="T123" s="112">
        <v>84.700588966393624</v>
      </c>
      <c r="U123" s="112">
        <v>10.204505867974689</v>
      </c>
      <c r="V123" s="112">
        <v>84.700588966393624</v>
      </c>
      <c r="W123" s="112">
        <v>27.219934561735325</v>
      </c>
      <c r="X123" s="112">
        <v>0</v>
      </c>
      <c r="Y123" s="112">
        <v>27.219934561735325</v>
      </c>
      <c r="Z123" s="112">
        <v>0</v>
      </c>
      <c r="AA123" s="112">
        <v>0</v>
      </c>
      <c r="AB123" s="112">
        <v>98.792517462034212</v>
      </c>
      <c r="AC123" s="112">
        <v>0</v>
      </c>
      <c r="AD123" s="112">
        <v>0</v>
      </c>
      <c r="AE123" s="112">
        <v>0</v>
      </c>
      <c r="AF123" s="112">
        <v>0</v>
      </c>
      <c r="AG123" s="112">
        <v>62.462057831299653</v>
      </c>
      <c r="AH123" s="112">
        <v>18.596493783866208</v>
      </c>
      <c r="AI123" s="112">
        <v>16.018164099094044</v>
      </c>
      <c r="AJ123" s="112">
        <v>10.749164453258139</v>
      </c>
      <c r="AK123" s="112">
        <v>0</v>
      </c>
      <c r="AL123" s="112">
        <v>79.654171135057084</v>
      </c>
      <c r="AM123" s="112">
        <v>79.835011668901217</v>
      </c>
      <c r="AN123" s="112">
        <v>79.835011668901217</v>
      </c>
      <c r="AO123" s="112">
        <v>65.991370755069369</v>
      </c>
      <c r="AP123" s="112">
        <v>47.042591541192067</v>
      </c>
      <c r="AQ123" s="112">
        <v>72.883191513990653</v>
      </c>
      <c r="AR123" s="112">
        <v>50.363317255538121</v>
      </c>
      <c r="AS123" s="112">
        <v>72.883191513990653</v>
      </c>
      <c r="AT123" s="112">
        <v>0</v>
      </c>
      <c r="AU123" s="112">
        <v>84.149152649170986</v>
      </c>
      <c r="AV123" s="112">
        <v>84.149152649170986</v>
      </c>
      <c r="AW123" s="112">
        <v>84.149152649170986</v>
      </c>
      <c r="AX123" s="112">
        <v>84.149152649170986</v>
      </c>
      <c r="AY123" s="112">
        <v>7.1054273576010019E-15</v>
      </c>
    </row>
    <row r="124" spans="1:52" x14ac:dyDescent="0.2">
      <c r="A124" s="115"/>
      <c r="B124" s="125">
        <v>3</v>
      </c>
      <c r="C124" s="112">
        <v>181.10566569025212</v>
      </c>
      <c r="D124" s="112">
        <v>26.370341045457117</v>
      </c>
      <c r="E124" s="112">
        <v>66.746447120121573</v>
      </c>
      <c r="F124" s="112">
        <v>61.728560835426975</v>
      </c>
      <c r="G124" s="112">
        <v>0</v>
      </c>
      <c r="H124" s="112">
        <v>0</v>
      </c>
      <c r="I124" s="112">
        <v>0</v>
      </c>
      <c r="J124" s="112">
        <v>0</v>
      </c>
      <c r="K124" s="112">
        <v>0</v>
      </c>
      <c r="L124" s="112">
        <v>98.792517462034212</v>
      </c>
      <c r="M124" s="112">
        <v>0</v>
      </c>
      <c r="N124" s="112">
        <v>0</v>
      </c>
      <c r="O124" s="112">
        <v>0</v>
      </c>
      <c r="P124" s="112">
        <v>0</v>
      </c>
      <c r="Q124" s="112">
        <v>0</v>
      </c>
      <c r="R124" s="112">
        <v>0</v>
      </c>
      <c r="S124" s="112">
        <v>0</v>
      </c>
      <c r="T124" s="112">
        <v>0</v>
      </c>
      <c r="U124" s="112">
        <v>0</v>
      </c>
      <c r="V124" s="112">
        <v>0</v>
      </c>
      <c r="W124" s="112">
        <v>0</v>
      </c>
      <c r="X124" s="112">
        <v>0</v>
      </c>
      <c r="Y124" s="112">
        <v>0</v>
      </c>
      <c r="Z124" s="112">
        <v>0</v>
      </c>
      <c r="AA124" s="112">
        <v>0</v>
      </c>
      <c r="AB124" s="112">
        <v>0</v>
      </c>
      <c r="AC124" s="112">
        <v>0</v>
      </c>
      <c r="AD124" s="112">
        <v>0</v>
      </c>
      <c r="AE124" s="112">
        <v>0</v>
      </c>
      <c r="AF124" s="112">
        <v>0</v>
      </c>
      <c r="AG124" s="112">
        <v>0</v>
      </c>
      <c r="AH124" s="112">
        <v>0</v>
      </c>
      <c r="AI124" s="112">
        <v>0</v>
      </c>
      <c r="AJ124" s="112">
        <v>0</v>
      </c>
      <c r="AK124" s="112">
        <v>0</v>
      </c>
      <c r="AL124" s="112">
        <v>0</v>
      </c>
      <c r="AM124" s="112">
        <v>13.227520522532117</v>
      </c>
      <c r="AN124" s="112">
        <v>1.0625321914333341</v>
      </c>
      <c r="AO124" s="112">
        <v>0</v>
      </c>
      <c r="AP124" s="112">
        <v>0</v>
      </c>
      <c r="AQ124" s="112">
        <v>0</v>
      </c>
      <c r="AR124" s="112">
        <v>0</v>
      </c>
      <c r="AS124" s="112">
        <v>0</v>
      </c>
      <c r="AT124" s="112">
        <v>0</v>
      </c>
      <c r="AU124" s="112">
        <v>0</v>
      </c>
      <c r="AV124" s="112">
        <v>0</v>
      </c>
      <c r="AW124" s="112">
        <v>0</v>
      </c>
      <c r="AX124" s="112">
        <v>0</v>
      </c>
      <c r="AY124" s="112">
        <v>0</v>
      </c>
    </row>
    <row r="125" spans="1:52" x14ac:dyDescent="0.2">
      <c r="A125" s="115"/>
      <c r="B125" s="125">
        <v>4</v>
      </c>
      <c r="C125" s="112">
        <v>152.40056664981583</v>
      </c>
      <c r="D125" s="112">
        <v>164.96322814991939</v>
      </c>
      <c r="E125" s="112">
        <v>9.5822508875797059</v>
      </c>
      <c r="F125" s="112">
        <v>24.2538085137795</v>
      </c>
      <c r="G125" s="112">
        <v>0</v>
      </c>
      <c r="H125" s="112">
        <v>0</v>
      </c>
      <c r="I125" s="112">
        <v>0</v>
      </c>
      <c r="J125" s="112">
        <v>0</v>
      </c>
      <c r="K125" s="112">
        <v>0</v>
      </c>
      <c r="L125" s="112">
        <v>0</v>
      </c>
      <c r="M125" s="112">
        <v>0</v>
      </c>
      <c r="N125" s="112">
        <v>0</v>
      </c>
      <c r="O125" s="112">
        <v>0</v>
      </c>
      <c r="P125" s="112">
        <v>0</v>
      </c>
      <c r="Q125" s="112">
        <v>0</v>
      </c>
      <c r="R125" s="112">
        <v>0</v>
      </c>
      <c r="S125" s="112">
        <v>0</v>
      </c>
      <c r="T125" s="112">
        <v>0</v>
      </c>
      <c r="U125" s="112">
        <v>0</v>
      </c>
      <c r="V125" s="112">
        <v>0</v>
      </c>
      <c r="W125" s="112">
        <v>0</v>
      </c>
      <c r="X125" s="112">
        <v>0</v>
      </c>
      <c r="Y125" s="112">
        <v>0</v>
      </c>
      <c r="Z125" s="112">
        <v>0</v>
      </c>
      <c r="AA125" s="112">
        <v>0</v>
      </c>
      <c r="AB125" s="112">
        <v>0</v>
      </c>
      <c r="AC125" s="112">
        <v>0</v>
      </c>
      <c r="AD125" s="112">
        <v>0</v>
      </c>
      <c r="AE125" s="112">
        <v>0</v>
      </c>
      <c r="AF125" s="112">
        <v>0</v>
      </c>
      <c r="AG125" s="112">
        <v>0</v>
      </c>
      <c r="AH125" s="112">
        <v>0</v>
      </c>
      <c r="AI125" s="112">
        <v>0</v>
      </c>
      <c r="AJ125" s="112">
        <v>0</v>
      </c>
      <c r="AK125" s="112">
        <v>0</v>
      </c>
      <c r="AL125" s="112">
        <v>0</v>
      </c>
      <c r="AM125" s="112">
        <v>0</v>
      </c>
      <c r="AN125" s="112">
        <v>0</v>
      </c>
      <c r="AO125" s="112">
        <v>0</v>
      </c>
      <c r="AP125" s="112">
        <v>0</v>
      </c>
      <c r="AQ125" s="112">
        <v>0</v>
      </c>
      <c r="AR125" s="112">
        <v>0</v>
      </c>
      <c r="AS125" s="112">
        <v>0</v>
      </c>
      <c r="AT125" s="112">
        <v>0</v>
      </c>
      <c r="AU125" s="112">
        <v>0</v>
      </c>
      <c r="AV125" s="112">
        <v>0</v>
      </c>
      <c r="AW125" s="112">
        <v>0</v>
      </c>
      <c r="AX125" s="112">
        <v>0</v>
      </c>
      <c r="AY125" s="112">
        <v>0</v>
      </c>
    </row>
    <row r="126" spans="1:52" x14ac:dyDescent="0.2">
      <c r="A126" s="115"/>
      <c r="B126" s="125">
        <v>5</v>
      </c>
      <c r="C126" s="112">
        <v>154.97695275750101</v>
      </c>
      <c r="D126" s="112">
        <v>138.81669218139615</v>
      </c>
      <c r="E126" s="112">
        <v>59.943063938109091</v>
      </c>
      <c r="F126" s="112">
        <v>3.4819243298463154</v>
      </c>
      <c r="G126" s="112">
        <v>0</v>
      </c>
      <c r="H126" s="112">
        <v>0</v>
      </c>
      <c r="I126" s="112">
        <v>0</v>
      </c>
      <c r="J126" s="112">
        <v>0</v>
      </c>
      <c r="K126" s="112">
        <v>0</v>
      </c>
      <c r="L126" s="112">
        <v>0</v>
      </c>
      <c r="M126" s="112">
        <v>0</v>
      </c>
      <c r="N126" s="112">
        <v>0</v>
      </c>
      <c r="O126" s="112">
        <v>0</v>
      </c>
      <c r="P126" s="112">
        <v>0</v>
      </c>
      <c r="Q126" s="112">
        <v>0</v>
      </c>
      <c r="R126" s="112">
        <v>0</v>
      </c>
      <c r="S126" s="112">
        <v>0</v>
      </c>
      <c r="T126" s="112">
        <v>0</v>
      </c>
      <c r="U126" s="112">
        <v>0</v>
      </c>
      <c r="V126" s="112">
        <v>0</v>
      </c>
      <c r="W126" s="112">
        <v>0</v>
      </c>
      <c r="X126" s="112">
        <v>0</v>
      </c>
      <c r="Y126" s="112">
        <v>0</v>
      </c>
      <c r="Z126" s="112">
        <v>0</v>
      </c>
      <c r="AA126" s="112">
        <v>0</v>
      </c>
      <c r="AB126" s="112">
        <v>0</v>
      </c>
      <c r="AC126" s="112">
        <v>0</v>
      </c>
      <c r="AD126" s="112">
        <v>0</v>
      </c>
      <c r="AE126" s="112">
        <v>0</v>
      </c>
      <c r="AF126" s="112">
        <v>0</v>
      </c>
      <c r="AG126" s="112">
        <v>0</v>
      </c>
      <c r="AH126" s="112">
        <v>0</v>
      </c>
      <c r="AI126" s="112">
        <v>0</v>
      </c>
      <c r="AJ126" s="112">
        <v>0</v>
      </c>
      <c r="AK126" s="112">
        <v>0</v>
      </c>
      <c r="AL126" s="112">
        <v>0</v>
      </c>
      <c r="AM126" s="112">
        <v>0</v>
      </c>
      <c r="AN126" s="112">
        <v>0</v>
      </c>
      <c r="AO126" s="112">
        <v>0</v>
      </c>
      <c r="AP126" s="112">
        <v>0</v>
      </c>
      <c r="AQ126" s="112">
        <v>0</v>
      </c>
      <c r="AR126" s="112">
        <v>0</v>
      </c>
      <c r="AS126" s="112">
        <v>0</v>
      </c>
      <c r="AT126" s="112">
        <v>0</v>
      </c>
      <c r="AU126" s="112">
        <v>0</v>
      </c>
      <c r="AV126" s="112">
        <v>0</v>
      </c>
      <c r="AW126" s="112">
        <v>0</v>
      </c>
      <c r="AX126" s="112">
        <v>0</v>
      </c>
      <c r="AY126" s="112">
        <v>0</v>
      </c>
    </row>
    <row r="127" spans="1:52" x14ac:dyDescent="0.2">
      <c r="A127" s="115"/>
      <c r="B127" s="125">
        <v>6</v>
      </c>
      <c r="C127" s="112">
        <v>154.64127659595877</v>
      </c>
      <c r="D127" s="112">
        <v>141.16343803092275</v>
      </c>
      <c r="E127" s="112">
        <v>50.442137611080106</v>
      </c>
      <c r="F127" s="112">
        <v>16.827709455158296</v>
      </c>
      <c r="G127" s="112">
        <v>0</v>
      </c>
      <c r="H127" s="112">
        <v>0</v>
      </c>
      <c r="I127" s="112">
        <v>0</v>
      </c>
      <c r="J127" s="112">
        <v>0</v>
      </c>
      <c r="K127" s="112">
        <v>0</v>
      </c>
      <c r="L127" s="112">
        <v>0</v>
      </c>
      <c r="M127" s="112">
        <v>0</v>
      </c>
      <c r="N127" s="112">
        <v>0</v>
      </c>
      <c r="O127" s="112">
        <v>0</v>
      </c>
      <c r="P127" s="112">
        <v>0</v>
      </c>
      <c r="Q127" s="112">
        <v>0</v>
      </c>
      <c r="R127" s="112">
        <v>0</v>
      </c>
      <c r="S127" s="112">
        <v>0</v>
      </c>
      <c r="T127" s="112">
        <v>0</v>
      </c>
      <c r="U127" s="112">
        <v>0</v>
      </c>
      <c r="V127" s="112">
        <v>0</v>
      </c>
      <c r="W127" s="112">
        <v>0</v>
      </c>
      <c r="X127" s="112">
        <v>0</v>
      </c>
      <c r="Y127" s="112">
        <v>0</v>
      </c>
      <c r="Z127" s="112">
        <v>0</v>
      </c>
      <c r="AA127" s="112">
        <v>0</v>
      </c>
      <c r="AB127" s="112">
        <v>0</v>
      </c>
      <c r="AC127" s="112">
        <v>0</v>
      </c>
      <c r="AD127" s="112">
        <v>0</v>
      </c>
      <c r="AE127" s="112">
        <v>0</v>
      </c>
      <c r="AF127" s="112">
        <v>0</v>
      </c>
      <c r="AG127" s="112">
        <v>0</v>
      </c>
      <c r="AH127" s="112">
        <v>0</v>
      </c>
      <c r="AI127" s="112">
        <v>0</v>
      </c>
      <c r="AJ127" s="112">
        <v>0</v>
      </c>
      <c r="AK127" s="112">
        <v>0</v>
      </c>
      <c r="AL127" s="112">
        <v>0</v>
      </c>
      <c r="AM127" s="112">
        <v>0</v>
      </c>
      <c r="AN127" s="112">
        <v>0</v>
      </c>
      <c r="AO127" s="112">
        <v>0</v>
      </c>
      <c r="AP127" s="112">
        <v>0</v>
      </c>
      <c r="AQ127" s="112">
        <v>0</v>
      </c>
      <c r="AR127" s="112">
        <v>0</v>
      </c>
      <c r="AS127" s="112">
        <v>0</v>
      </c>
      <c r="AT127" s="112">
        <v>0</v>
      </c>
      <c r="AU127" s="112">
        <v>0</v>
      </c>
      <c r="AV127" s="112">
        <v>0</v>
      </c>
      <c r="AW127" s="112">
        <v>0</v>
      </c>
      <c r="AX127" s="112">
        <v>0</v>
      </c>
      <c r="AY127" s="112">
        <v>0</v>
      </c>
    </row>
    <row r="128" spans="1:52" x14ac:dyDescent="0.2">
      <c r="A128" s="115"/>
      <c r="B128" s="125">
        <v>7</v>
      </c>
      <c r="C128" s="112">
        <v>154.30632750049585</v>
      </c>
      <c r="D128" s="112">
        <v>140.85768159304473</v>
      </c>
      <c r="E128" s="112">
        <v>51.294879995442415</v>
      </c>
      <c r="F128" s="112">
        <v>0</v>
      </c>
      <c r="G128" s="112">
        <v>0</v>
      </c>
      <c r="H128" s="112">
        <v>0</v>
      </c>
      <c r="I128" s="112">
        <v>0</v>
      </c>
      <c r="J128" s="112">
        <v>0</v>
      </c>
      <c r="K128" s="112">
        <v>0</v>
      </c>
      <c r="L128" s="112">
        <v>0</v>
      </c>
      <c r="M128" s="112">
        <v>0</v>
      </c>
      <c r="N128" s="112">
        <v>0</v>
      </c>
      <c r="O128" s="112">
        <v>0</v>
      </c>
      <c r="P128" s="112">
        <v>0</v>
      </c>
      <c r="Q128" s="112">
        <v>0</v>
      </c>
      <c r="R128" s="112">
        <v>0</v>
      </c>
      <c r="S128" s="112">
        <v>0</v>
      </c>
      <c r="T128" s="112">
        <v>0</v>
      </c>
      <c r="U128" s="112">
        <v>0</v>
      </c>
      <c r="V128" s="112">
        <v>0</v>
      </c>
      <c r="W128" s="112">
        <v>0</v>
      </c>
      <c r="X128" s="112">
        <v>0</v>
      </c>
      <c r="Y128" s="112">
        <v>0</v>
      </c>
      <c r="Z128" s="112">
        <v>0</v>
      </c>
      <c r="AA128" s="112">
        <v>0</v>
      </c>
      <c r="AB128" s="112">
        <v>0</v>
      </c>
      <c r="AC128" s="112">
        <v>0</v>
      </c>
      <c r="AD128" s="112">
        <v>0</v>
      </c>
      <c r="AE128" s="112">
        <v>0</v>
      </c>
      <c r="AF128" s="112">
        <v>0</v>
      </c>
      <c r="AG128" s="112">
        <v>0</v>
      </c>
      <c r="AH128" s="112">
        <v>0</v>
      </c>
      <c r="AI128" s="112">
        <v>0</v>
      </c>
      <c r="AJ128" s="112">
        <v>0</v>
      </c>
      <c r="AK128" s="112">
        <v>0</v>
      </c>
      <c r="AL128" s="112">
        <v>0</v>
      </c>
      <c r="AM128" s="112">
        <v>0</v>
      </c>
      <c r="AN128" s="112">
        <v>0</v>
      </c>
      <c r="AO128" s="112">
        <v>0</v>
      </c>
      <c r="AP128" s="112">
        <v>0</v>
      </c>
      <c r="AQ128" s="112">
        <v>0</v>
      </c>
      <c r="AR128" s="112">
        <v>0</v>
      </c>
      <c r="AS128" s="112">
        <v>0</v>
      </c>
      <c r="AT128" s="112">
        <v>0</v>
      </c>
      <c r="AU128" s="112">
        <v>0</v>
      </c>
      <c r="AV128" s="112">
        <v>0</v>
      </c>
      <c r="AW128" s="112">
        <v>0</v>
      </c>
      <c r="AX128" s="112">
        <v>0</v>
      </c>
      <c r="AY128" s="112">
        <v>0</v>
      </c>
    </row>
    <row r="129" spans="1:51" x14ac:dyDescent="0.2">
      <c r="A129" s="115"/>
      <c r="B129" s="125">
        <v>8</v>
      </c>
      <c r="C129" s="112">
        <v>153.97210389630553</v>
      </c>
      <c r="D129" s="112">
        <v>140.55258741588099</v>
      </c>
      <c r="E129" s="112">
        <v>51.183776582210498</v>
      </c>
      <c r="F129" s="112">
        <v>0</v>
      </c>
      <c r="G129" s="112">
        <v>0</v>
      </c>
      <c r="H129" s="112">
        <v>0</v>
      </c>
      <c r="I129" s="112">
        <v>0</v>
      </c>
      <c r="J129" s="112">
        <v>0</v>
      </c>
      <c r="K129" s="112">
        <v>0</v>
      </c>
      <c r="L129" s="112">
        <v>0</v>
      </c>
      <c r="M129" s="112">
        <v>0</v>
      </c>
      <c r="N129" s="112">
        <v>0</v>
      </c>
      <c r="O129" s="112">
        <v>0</v>
      </c>
      <c r="P129" s="112">
        <v>0</v>
      </c>
      <c r="Q129" s="112">
        <v>0</v>
      </c>
      <c r="R129" s="112">
        <v>0</v>
      </c>
      <c r="S129" s="112">
        <v>0</v>
      </c>
      <c r="T129" s="112">
        <v>0</v>
      </c>
      <c r="U129" s="112">
        <v>0</v>
      </c>
      <c r="V129" s="112">
        <v>0</v>
      </c>
      <c r="W129" s="112">
        <v>0</v>
      </c>
      <c r="X129" s="112">
        <v>0</v>
      </c>
      <c r="Y129" s="112">
        <v>0</v>
      </c>
      <c r="Z129" s="112">
        <v>0</v>
      </c>
      <c r="AA129" s="112">
        <v>0</v>
      </c>
      <c r="AB129" s="112">
        <v>0</v>
      </c>
      <c r="AC129" s="112">
        <v>0</v>
      </c>
      <c r="AD129" s="112">
        <v>0</v>
      </c>
      <c r="AE129" s="112">
        <v>0</v>
      </c>
      <c r="AF129" s="112">
        <v>0</v>
      </c>
      <c r="AG129" s="112">
        <v>0</v>
      </c>
      <c r="AH129" s="112">
        <v>0</v>
      </c>
      <c r="AI129" s="112">
        <v>0</v>
      </c>
      <c r="AJ129" s="112">
        <v>0</v>
      </c>
      <c r="AK129" s="112">
        <v>0</v>
      </c>
      <c r="AL129" s="112">
        <v>0</v>
      </c>
      <c r="AM129" s="112">
        <v>0</v>
      </c>
      <c r="AN129" s="112">
        <v>0</v>
      </c>
      <c r="AO129" s="112">
        <v>0</v>
      </c>
      <c r="AP129" s="112">
        <v>0</v>
      </c>
      <c r="AQ129" s="112">
        <v>0</v>
      </c>
      <c r="AR129" s="112">
        <v>0</v>
      </c>
      <c r="AS129" s="112">
        <v>0</v>
      </c>
      <c r="AT129" s="112">
        <v>0</v>
      </c>
      <c r="AU129" s="112">
        <v>0</v>
      </c>
      <c r="AV129" s="112">
        <v>0</v>
      </c>
      <c r="AW129" s="112">
        <v>0</v>
      </c>
      <c r="AX129" s="112">
        <v>0</v>
      </c>
      <c r="AY129" s="112">
        <v>0</v>
      </c>
    </row>
    <row r="130" spans="1:51" x14ac:dyDescent="0.2">
      <c r="A130" s="115"/>
      <c r="B130" s="125">
        <v>9</v>
      </c>
      <c r="C130" s="112">
        <v>37.150854984069426</v>
      </c>
      <c r="D130" s="112">
        <v>140.24815406499158</v>
      </c>
      <c r="E130" s="112">
        <v>51.072913816162725</v>
      </c>
      <c r="F130" s="112">
        <v>0</v>
      </c>
      <c r="G130" s="112">
        <v>0</v>
      </c>
      <c r="H130" s="112">
        <v>0</v>
      </c>
      <c r="I130" s="112">
        <v>0</v>
      </c>
      <c r="J130" s="112">
        <v>0</v>
      </c>
      <c r="K130" s="112">
        <v>0</v>
      </c>
      <c r="L130" s="112">
        <v>0</v>
      </c>
      <c r="M130" s="112">
        <v>0</v>
      </c>
      <c r="N130" s="112">
        <v>0</v>
      </c>
      <c r="O130" s="112">
        <v>0</v>
      </c>
      <c r="P130" s="112">
        <v>0</v>
      </c>
      <c r="Q130" s="112">
        <v>0</v>
      </c>
      <c r="R130" s="112">
        <v>0</v>
      </c>
      <c r="S130" s="112">
        <v>0</v>
      </c>
      <c r="T130" s="112">
        <v>0</v>
      </c>
      <c r="U130" s="112">
        <v>0</v>
      </c>
      <c r="V130" s="112">
        <v>0</v>
      </c>
      <c r="W130" s="112">
        <v>0</v>
      </c>
      <c r="X130" s="112">
        <v>0</v>
      </c>
      <c r="Y130" s="112">
        <v>0</v>
      </c>
      <c r="Z130" s="112">
        <v>0</v>
      </c>
      <c r="AA130" s="112">
        <v>0</v>
      </c>
      <c r="AB130" s="112">
        <v>0</v>
      </c>
      <c r="AC130" s="112">
        <v>0</v>
      </c>
      <c r="AD130" s="112">
        <v>0</v>
      </c>
      <c r="AE130" s="112">
        <v>0</v>
      </c>
      <c r="AF130" s="112">
        <v>0</v>
      </c>
      <c r="AG130" s="112">
        <v>0</v>
      </c>
      <c r="AH130" s="112">
        <v>0</v>
      </c>
      <c r="AI130" s="112">
        <v>0</v>
      </c>
      <c r="AJ130" s="112">
        <v>0</v>
      </c>
      <c r="AK130" s="112">
        <v>0</v>
      </c>
      <c r="AL130" s="112">
        <v>0</v>
      </c>
      <c r="AM130" s="112">
        <v>0</v>
      </c>
      <c r="AN130" s="112">
        <v>0</v>
      </c>
      <c r="AO130" s="112">
        <v>0</v>
      </c>
      <c r="AP130" s="112">
        <v>0</v>
      </c>
      <c r="AQ130" s="112">
        <v>0</v>
      </c>
      <c r="AR130" s="112">
        <v>0</v>
      </c>
      <c r="AS130" s="112">
        <v>0</v>
      </c>
      <c r="AT130" s="112">
        <v>0</v>
      </c>
      <c r="AU130" s="112">
        <v>0</v>
      </c>
      <c r="AV130" s="112">
        <v>0</v>
      </c>
      <c r="AW130" s="112">
        <v>0</v>
      </c>
      <c r="AX130" s="112">
        <v>0</v>
      </c>
      <c r="AY130" s="112">
        <v>0</v>
      </c>
    </row>
    <row r="131" spans="1:51" x14ac:dyDescent="0.2">
      <c r="A131" s="115"/>
      <c r="B131" s="125">
        <v>10</v>
      </c>
      <c r="C131" s="112">
        <v>164.4228716250673</v>
      </c>
      <c r="D131" s="112">
        <v>33.839498854681487</v>
      </c>
      <c r="E131" s="112">
        <v>42.957691838225699</v>
      </c>
      <c r="F131" s="112">
        <v>0</v>
      </c>
      <c r="G131" s="112">
        <v>0</v>
      </c>
      <c r="H131" s="112">
        <v>0</v>
      </c>
      <c r="I131" s="112">
        <v>0</v>
      </c>
      <c r="J131" s="112">
        <v>0</v>
      </c>
      <c r="K131" s="112">
        <v>0</v>
      </c>
      <c r="L131" s="112">
        <v>0</v>
      </c>
      <c r="M131" s="112">
        <v>0</v>
      </c>
      <c r="N131" s="112">
        <v>0</v>
      </c>
      <c r="O131" s="112">
        <v>0</v>
      </c>
      <c r="P131" s="112">
        <v>0</v>
      </c>
      <c r="Q131" s="112">
        <v>0</v>
      </c>
      <c r="R131" s="112">
        <v>0</v>
      </c>
      <c r="S131" s="112">
        <v>0</v>
      </c>
      <c r="T131" s="112">
        <v>0</v>
      </c>
      <c r="U131" s="112">
        <v>0</v>
      </c>
      <c r="V131" s="112">
        <v>0</v>
      </c>
      <c r="W131" s="112">
        <v>0</v>
      </c>
      <c r="X131" s="112">
        <v>0</v>
      </c>
      <c r="Y131" s="112">
        <v>0</v>
      </c>
      <c r="Z131" s="112">
        <v>0</v>
      </c>
      <c r="AA131" s="112">
        <v>0</v>
      </c>
      <c r="AB131" s="112">
        <v>0</v>
      </c>
      <c r="AC131" s="112">
        <v>0</v>
      </c>
      <c r="AD131" s="112">
        <v>0</v>
      </c>
      <c r="AE131" s="112">
        <v>0</v>
      </c>
      <c r="AF131" s="112">
        <v>0</v>
      </c>
      <c r="AG131" s="112">
        <v>0</v>
      </c>
      <c r="AH131" s="112">
        <v>0</v>
      </c>
      <c r="AI131" s="112">
        <v>0</v>
      </c>
      <c r="AJ131" s="112">
        <v>0</v>
      </c>
      <c r="AK131" s="112">
        <v>0</v>
      </c>
      <c r="AL131" s="112">
        <v>0</v>
      </c>
      <c r="AM131" s="112">
        <v>0</v>
      </c>
      <c r="AN131" s="112">
        <v>0</v>
      </c>
      <c r="AO131" s="112">
        <v>0</v>
      </c>
      <c r="AP131" s="112">
        <v>0</v>
      </c>
      <c r="AQ131" s="112">
        <v>0</v>
      </c>
      <c r="AR131" s="112">
        <v>0</v>
      </c>
      <c r="AS131" s="112">
        <v>0</v>
      </c>
      <c r="AT131" s="112">
        <v>0</v>
      </c>
      <c r="AU131" s="112">
        <v>0</v>
      </c>
      <c r="AV131" s="112">
        <v>0</v>
      </c>
      <c r="AW131" s="112">
        <v>0</v>
      </c>
      <c r="AX131" s="112">
        <v>0</v>
      </c>
      <c r="AY131" s="112">
        <v>0</v>
      </c>
    </row>
    <row r="132" spans="1:51" x14ac:dyDescent="0.2">
      <c r="A132" s="115"/>
      <c r="B132" s="125">
        <v>11</v>
      </c>
      <c r="C132" s="112">
        <v>66.907266653799113</v>
      </c>
      <c r="D132" s="112">
        <v>134.01975848853658</v>
      </c>
      <c r="E132" s="112">
        <v>0</v>
      </c>
      <c r="F132" s="112">
        <v>0</v>
      </c>
      <c r="G132" s="112">
        <v>0</v>
      </c>
      <c r="H132" s="112">
        <v>0</v>
      </c>
      <c r="I132" s="112">
        <v>0</v>
      </c>
      <c r="J132" s="112">
        <v>0</v>
      </c>
      <c r="K132" s="112">
        <v>0</v>
      </c>
      <c r="L132" s="112">
        <v>0</v>
      </c>
      <c r="M132" s="112">
        <v>0</v>
      </c>
      <c r="N132" s="112">
        <v>0</v>
      </c>
      <c r="O132" s="112">
        <v>0</v>
      </c>
      <c r="P132" s="112">
        <v>0</v>
      </c>
      <c r="Q132" s="112">
        <v>0</v>
      </c>
      <c r="R132" s="112">
        <v>0</v>
      </c>
      <c r="S132" s="112">
        <v>0</v>
      </c>
      <c r="T132" s="112">
        <v>0</v>
      </c>
      <c r="U132" s="112">
        <v>0</v>
      </c>
      <c r="V132" s="112">
        <v>0</v>
      </c>
      <c r="W132" s="112">
        <v>0</v>
      </c>
      <c r="X132" s="112">
        <v>0</v>
      </c>
      <c r="Y132" s="112">
        <v>0</v>
      </c>
      <c r="Z132" s="112">
        <v>0</v>
      </c>
      <c r="AA132" s="112">
        <v>0</v>
      </c>
      <c r="AB132" s="112">
        <v>0</v>
      </c>
      <c r="AC132" s="112">
        <v>0</v>
      </c>
      <c r="AD132" s="112">
        <v>0</v>
      </c>
      <c r="AE132" s="112">
        <v>0</v>
      </c>
      <c r="AF132" s="112">
        <v>0</v>
      </c>
      <c r="AG132" s="112">
        <v>0</v>
      </c>
      <c r="AH132" s="112">
        <v>0</v>
      </c>
      <c r="AI132" s="112">
        <v>0</v>
      </c>
      <c r="AJ132" s="112">
        <v>0</v>
      </c>
      <c r="AK132" s="112">
        <v>0</v>
      </c>
      <c r="AL132" s="112">
        <v>0</v>
      </c>
      <c r="AM132" s="112">
        <v>0</v>
      </c>
      <c r="AN132" s="112">
        <v>0</v>
      </c>
      <c r="AO132" s="112">
        <v>0</v>
      </c>
      <c r="AP132" s="112">
        <v>0</v>
      </c>
      <c r="AQ132" s="112">
        <v>0</v>
      </c>
      <c r="AR132" s="112">
        <v>0</v>
      </c>
      <c r="AS132" s="112">
        <v>0</v>
      </c>
      <c r="AT132" s="112">
        <v>0</v>
      </c>
      <c r="AU132" s="112">
        <v>0</v>
      </c>
      <c r="AV132" s="112">
        <v>0</v>
      </c>
      <c r="AW132" s="112">
        <v>0</v>
      </c>
      <c r="AX132" s="112">
        <v>0</v>
      </c>
      <c r="AY132" s="112">
        <v>0</v>
      </c>
    </row>
    <row r="133" spans="1:51" x14ac:dyDescent="0.2">
      <c r="A133" s="115"/>
      <c r="B133" s="125">
        <v>12</v>
      </c>
      <c r="C133" s="112">
        <v>0</v>
      </c>
      <c r="D133" s="112">
        <v>0</v>
      </c>
      <c r="E133" s="112">
        <v>0</v>
      </c>
      <c r="F133" s="112">
        <v>0</v>
      </c>
      <c r="G133" s="112">
        <v>0</v>
      </c>
      <c r="H133" s="112">
        <v>0</v>
      </c>
      <c r="I133" s="112">
        <v>0</v>
      </c>
      <c r="J133" s="112">
        <v>0</v>
      </c>
      <c r="K133" s="112">
        <v>0</v>
      </c>
      <c r="L133" s="112">
        <v>0</v>
      </c>
      <c r="M133" s="112">
        <v>0</v>
      </c>
      <c r="N133" s="112">
        <v>0</v>
      </c>
      <c r="O133" s="112">
        <v>0</v>
      </c>
      <c r="P133" s="112">
        <v>0</v>
      </c>
      <c r="Q133" s="112">
        <v>0</v>
      </c>
      <c r="R133" s="112">
        <v>0</v>
      </c>
      <c r="S133" s="112">
        <v>0</v>
      </c>
      <c r="T133" s="112">
        <v>0</v>
      </c>
      <c r="U133" s="112">
        <v>0</v>
      </c>
      <c r="V133" s="112">
        <v>0</v>
      </c>
      <c r="W133" s="112">
        <v>0</v>
      </c>
      <c r="X133" s="112">
        <v>0</v>
      </c>
      <c r="Y133" s="112">
        <v>0</v>
      </c>
      <c r="Z133" s="112">
        <v>0</v>
      </c>
      <c r="AA133" s="112">
        <v>0</v>
      </c>
      <c r="AB133" s="112">
        <v>0</v>
      </c>
      <c r="AC133" s="112">
        <v>0</v>
      </c>
      <c r="AD133" s="112">
        <v>0</v>
      </c>
      <c r="AE133" s="112">
        <v>0</v>
      </c>
      <c r="AF133" s="112">
        <v>0</v>
      </c>
      <c r="AG133" s="112">
        <v>0</v>
      </c>
      <c r="AH133" s="112">
        <v>0</v>
      </c>
      <c r="AI133" s="112">
        <v>0</v>
      </c>
      <c r="AJ133" s="112">
        <v>0</v>
      </c>
      <c r="AK133" s="112">
        <v>0</v>
      </c>
      <c r="AL133" s="112">
        <v>0</v>
      </c>
      <c r="AM133" s="112">
        <v>0</v>
      </c>
      <c r="AN133" s="112">
        <v>0</v>
      </c>
      <c r="AO133" s="112">
        <v>0</v>
      </c>
      <c r="AP133" s="112">
        <v>0</v>
      </c>
      <c r="AQ133" s="112">
        <v>0</v>
      </c>
      <c r="AR133" s="112">
        <v>0</v>
      </c>
      <c r="AS133" s="112">
        <v>0</v>
      </c>
      <c r="AT133" s="112">
        <v>0</v>
      </c>
      <c r="AU133" s="112">
        <v>0</v>
      </c>
      <c r="AV133" s="112">
        <v>0</v>
      </c>
      <c r="AW133" s="112">
        <v>0</v>
      </c>
      <c r="AX133" s="112">
        <v>0</v>
      </c>
      <c r="AY133" s="112">
        <v>0</v>
      </c>
    </row>
    <row r="134" spans="1:51" x14ac:dyDescent="0.2">
      <c r="A134" s="115"/>
      <c r="B134" s="126">
        <v>13</v>
      </c>
      <c r="C134" s="112">
        <v>0</v>
      </c>
      <c r="D134" s="112">
        <v>0</v>
      </c>
      <c r="E134" s="112">
        <v>0</v>
      </c>
      <c r="F134" s="112">
        <v>0</v>
      </c>
      <c r="G134" s="112">
        <v>0</v>
      </c>
      <c r="H134" s="112">
        <v>0</v>
      </c>
      <c r="I134" s="112">
        <v>0</v>
      </c>
      <c r="J134" s="112">
        <v>0</v>
      </c>
      <c r="K134" s="112">
        <v>0</v>
      </c>
      <c r="L134" s="112">
        <v>0</v>
      </c>
      <c r="M134" s="112">
        <v>0</v>
      </c>
      <c r="N134" s="112">
        <v>0</v>
      </c>
      <c r="O134" s="112">
        <v>0</v>
      </c>
      <c r="P134" s="112">
        <v>0</v>
      </c>
      <c r="Q134" s="112">
        <v>0</v>
      </c>
      <c r="R134" s="112">
        <v>0</v>
      </c>
      <c r="S134" s="112">
        <v>0</v>
      </c>
      <c r="T134" s="112">
        <v>0</v>
      </c>
      <c r="U134" s="112">
        <v>0</v>
      </c>
      <c r="V134" s="112">
        <v>0</v>
      </c>
      <c r="W134" s="112">
        <v>0</v>
      </c>
      <c r="X134" s="112">
        <v>0</v>
      </c>
      <c r="Y134" s="112">
        <v>0</v>
      </c>
      <c r="Z134" s="112">
        <v>0</v>
      </c>
      <c r="AA134" s="112">
        <v>0</v>
      </c>
      <c r="AB134" s="112">
        <v>0</v>
      </c>
      <c r="AC134" s="112">
        <v>0</v>
      </c>
      <c r="AD134" s="112">
        <v>0</v>
      </c>
      <c r="AE134" s="112">
        <v>0</v>
      </c>
      <c r="AF134" s="112">
        <v>0</v>
      </c>
      <c r="AG134" s="112">
        <v>0</v>
      </c>
      <c r="AH134" s="112">
        <v>0</v>
      </c>
      <c r="AI134" s="112">
        <v>0</v>
      </c>
      <c r="AJ134" s="112">
        <v>0</v>
      </c>
      <c r="AK134" s="112">
        <v>0</v>
      </c>
      <c r="AL134" s="112">
        <v>0</v>
      </c>
      <c r="AM134" s="112">
        <v>0</v>
      </c>
      <c r="AN134" s="112">
        <v>0</v>
      </c>
      <c r="AO134" s="112">
        <v>0</v>
      </c>
      <c r="AP134" s="112">
        <v>0</v>
      </c>
      <c r="AQ134" s="112">
        <v>0</v>
      </c>
      <c r="AR134" s="112">
        <v>0</v>
      </c>
      <c r="AS134" s="112">
        <v>0</v>
      </c>
      <c r="AT134" s="112">
        <v>0</v>
      </c>
      <c r="AU134" s="112">
        <v>0</v>
      </c>
      <c r="AV134" s="112">
        <v>0</v>
      </c>
      <c r="AW134" s="112">
        <v>0</v>
      </c>
      <c r="AX134" s="112">
        <v>0</v>
      </c>
      <c r="AY134" s="112">
        <v>0</v>
      </c>
    </row>
    <row r="135" spans="1:51" x14ac:dyDescent="0.2">
      <c r="A135" s="115"/>
      <c r="B135" s="126">
        <v>14</v>
      </c>
      <c r="C135" s="112">
        <v>0</v>
      </c>
      <c r="D135" s="112">
        <v>0</v>
      </c>
      <c r="E135" s="112">
        <v>0</v>
      </c>
      <c r="F135" s="112">
        <v>0</v>
      </c>
      <c r="G135" s="112">
        <v>0</v>
      </c>
      <c r="H135" s="112">
        <v>0</v>
      </c>
      <c r="I135" s="112">
        <v>0</v>
      </c>
      <c r="J135" s="112">
        <v>0</v>
      </c>
      <c r="K135" s="112">
        <v>0</v>
      </c>
      <c r="L135" s="112">
        <v>0</v>
      </c>
      <c r="M135" s="112">
        <v>0</v>
      </c>
      <c r="N135" s="112">
        <v>0</v>
      </c>
      <c r="O135" s="112">
        <v>0</v>
      </c>
      <c r="P135" s="112">
        <v>0</v>
      </c>
      <c r="Q135" s="112">
        <v>0</v>
      </c>
      <c r="R135" s="112">
        <v>0</v>
      </c>
      <c r="S135" s="112">
        <v>0</v>
      </c>
      <c r="T135" s="112">
        <v>0</v>
      </c>
      <c r="U135" s="112">
        <v>0</v>
      </c>
      <c r="V135" s="112">
        <v>0</v>
      </c>
      <c r="W135" s="112">
        <v>0</v>
      </c>
      <c r="X135" s="112">
        <v>0</v>
      </c>
      <c r="Y135" s="112">
        <v>0</v>
      </c>
      <c r="Z135" s="112">
        <v>0</v>
      </c>
      <c r="AA135" s="112">
        <v>0</v>
      </c>
      <c r="AB135" s="112">
        <v>0</v>
      </c>
      <c r="AC135" s="112">
        <v>0</v>
      </c>
      <c r="AD135" s="112">
        <v>0</v>
      </c>
      <c r="AE135" s="112">
        <v>0</v>
      </c>
      <c r="AF135" s="112">
        <v>0</v>
      </c>
      <c r="AG135" s="112">
        <v>0</v>
      </c>
      <c r="AH135" s="112">
        <v>0</v>
      </c>
      <c r="AI135" s="112">
        <v>0</v>
      </c>
      <c r="AJ135" s="112">
        <v>0</v>
      </c>
      <c r="AK135" s="112">
        <v>0</v>
      </c>
      <c r="AL135" s="112">
        <v>0</v>
      </c>
      <c r="AM135" s="112">
        <v>0</v>
      </c>
      <c r="AN135" s="112">
        <v>0</v>
      </c>
      <c r="AO135" s="112">
        <v>0</v>
      </c>
      <c r="AP135" s="112">
        <v>0</v>
      </c>
      <c r="AQ135" s="112">
        <v>0</v>
      </c>
      <c r="AR135" s="112">
        <v>0</v>
      </c>
      <c r="AS135" s="112">
        <v>0</v>
      </c>
      <c r="AT135" s="112">
        <v>0</v>
      </c>
      <c r="AU135" s="112">
        <v>0</v>
      </c>
      <c r="AV135" s="112">
        <v>0</v>
      </c>
      <c r="AW135" s="112">
        <v>0</v>
      </c>
      <c r="AX135" s="112">
        <v>0</v>
      </c>
      <c r="AY135" s="112">
        <v>0</v>
      </c>
    </row>
    <row r="136" spans="1:51" x14ac:dyDescent="0.2">
      <c r="A136" s="115"/>
      <c r="B136" s="126">
        <v>15</v>
      </c>
      <c r="C136" s="112">
        <v>0</v>
      </c>
      <c r="D136" s="112">
        <v>0</v>
      </c>
      <c r="E136" s="112">
        <v>0</v>
      </c>
      <c r="F136" s="112">
        <v>0</v>
      </c>
      <c r="G136" s="112">
        <v>0</v>
      </c>
      <c r="H136" s="112">
        <v>0</v>
      </c>
      <c r="I136" s="112">
        <v>0</v>
      </c>
      <c r="J136" s="112">
        <v>0</v>
      </c>
      <c r="K136" s="112">
        <v>0</v>
      </c>
      <c r="L136" s="112">
        <v>0</v>
      </c>
      <c r="M136" s="112">
        <v>0</v>
      </c>
      <c r="N136" s="112">
        <v>0</v>
      </c>
      <c r="O136" s="112">
        <v>0</v>
      </c>
      <c r="P136" s="112">
        <v>0</v>
      </c>
      <c r="Q136" s="112">
        <v>0</v>
      </c>
      <c r="R136" s="112">
        <v>0</v>
      </c>
      <c r="S136" s="112">
        <v>0</v>
      </c>
      <c r="T136" s="112">
        <v>0</v>
      </c>
      <c r="U136" s="112">
        <v>0</v>
      </c>
      <c r="V136" s="112">
        <v>0</v>
      </c>
      <c r="W136" s="112">
        <v>0</v>
      </c>
      <c r="X136" s="112">
        <v>0</v>
      </c>
      <c r="Y136" s="112">
        <v>0</v>
      </c>
      <c r="Z136" s="112">
        <v>0</v>
      </c>
      <c r="AA136" s="112">
        <v>0</v>
      </c>
      <c r="AB136" s="112">
        <v>0</v>
      </c>
      <c r="AC136" s="112">
        <v>0</v>
      </c>
      <c r="AD136" s="112">
        <v>0</v>
      </c>
      <c r="AE136" s="112">
        <v>0</v>
      </c>
      <c r="AF136" s="112">
        <v>0</v>
      </c>
      <c r="AG136" s="112">
        <v>0</v>
      </c>
      <c r="AH136" s="112">
        <v>0</v>
      </c>
      <c r="AI136" s="112">
        <v>0</v>
      </c>
      <c r="AJ136" s="112">
        <v>0</v>
      </c>
      <c r="AK136" s="112">
        <v>0</v>
      </c>
      <c r="AL136" s="112">
        <v>0</v>
      </c>
      <c r="AM136" s="112">
        <v>0</v>
      </c>
      <c r="AN136" s="112">
        <v>0</v>
      </c>
      <c r="AO136" s="112">
        <v>0</v>
      </c>
      <c r="AP136" s="112">
        <v>0</v>
      </c>
      <c r="AQ136" s="112">
        <v>0</v>
      </c>
      <c r="AR136" s="112">
        <v>0</v>
      </c>
      <c r="AS136" s="112">
        <v>0</v>
      </c>
      <c r="AT136" s="112">
        <v>0</v>
      </c>
      <c r="AU136" s="112">
        <v>0</v>
      </c>
      <c r="AV136" s="112">
        <v>0</v>
      </c>
      <c r="AW136" s="112">
        <v>0</v>
      </c>
      <c r="AX136" s="112">
        <v>0</v>
      </c>
      <c r="AY136" s="112">
        <v>0</v>
      </c>
    </row>
    <row r="137" spans="1:51" x14ac:dyDescent="0.2">
      <c r="A137" s="115"/>
      <c r="B137" s="126">
        <v>16</v>
      </c>
      <c r="C137" s="112">
        <v>0</v>
      </c>
      <c r="D137" s="112">
        <v>0</v>
      </c>
      <c r="E137" s="112">
        <v>0</v>
      </c>
      <c r="F137" s="112">
        <v>0</v>
      </c>
      <c r="G137" s="112">
        <v>0</v>
      </c>
      <c r="H137" s="112">
        <v>0</v>
      </c>
      <c r="I137" s="112">
        <v>0</v>
      </c>
      <c r="J137" s="112">
        <v>0</v>
      </c>
      <c r="K137" s="112">
        <v>0</v>
      </c>
      <c r="L137" s="112">
        <v>0</v>
      </c>
      <c r="M137" s="112">
        <v>0</v>
      </c>
      <c r="N137" s="112">
        <v>0</v>
      </c>
      <c r="O137" s="112">
        <v>0</v>
      </c>
      <c r="P137" s="112">
        <v>0</v>
      </c>
      <c r="Q137" s="112">
        <v>0</v>
      </c>
      <c r="R137" s="112">
        <v>0</v>
      </c>
      <c r="S137" s="112">
        <v>0</v>
      </c>
      <c r="T137" s="112">
        <v>0</v>
      </c>
      <c r="U137" s="112">
        <v>0</v>
      </c>
      <c r="V137" s="112">
        <v>0</v>
      </c>
      <c r="W137" s="112">
        <v>0</v>
      </c>
      <c r="X137" s="112">
        <v>0</v>
      </c>
      <c r="Y137" s="112">
        <v>0</v>
      </c>
      <c r="Z137" s="112">
        <v>0</v>
      </c>
      <c r="AA137" s="112">
        <v>0</v>
      </c>
      <c r="AB137" s="112">
        <v>0</v>
      </c>
      <c r="AC137" s="112">
        <v>0</v>
      </c>
      <c r="AD137" s="112">
        <v>0</v>
      </c>
      <c r="AE137" s="112">
        <v>0</v>
      </c>
      <c r="AF137" s="112">
        <v>0</v>
      </c>
      <c r="AG137" s="112">
        <v>0</v>
      </c>
      <c r="AH137" s="112">
        <v>0</v>
      </c>
      <c r="AI137" s="112">
        <v>0</v>
      </c>
      <c r="AJ137" s="112">
        <v>0</v>
      </c>
      <c r="AK137" s="112">
        <v>0</v>
      </c>
      <c r="AL137" s="112">
        <v>0</v>
      </c>
      <c r="AM137" s="112">
        <v>0</v>
      </c>
      <c r="AN137" s="112">
        <v>0</v>
      </c>
      <c r="AO137" s="112">
        <v>0</v>
      </c>
      <c r="AP137" s="112">
        <v>0</v>
      </c>
      <c r="AQ137" s="112">
        <v>0</v>
      </c>
      <c r="AR137" s="112">
        <v>0</v>
      </c>
      <c r="AS137" s="112">
        <v>0</v>
      </c>
      <c r="AT137" s="112">
        <v>0</v>
      </c>
      <c r="AU137" s="112">
        <v>0</v>
      </c>
      <c r="AV137" s="112">
        <v>0</v>
      </c>
      <c r="AW137" s="112">
        <v>0</v>
      </c>
      <c r="AX137" s="112">
        <v>0</v>
      </c>
      <c r="AY137" s="112">
        <v>0</v>
      </c>
    </row>
    <row r="138" spans="1:51" x14ac:dyDescent="0.2">
      <c r="A138" s="115"/>
      <c r="B138" s="126">
        <v>17</v>
      </c>
      <c r="C138" s="112">
        <v>0</v>
      </c>
      <c r="D138" s="112">
        <v>0</v>
      </c>
      <c r="E138" s="112">
        <v>0</v>
      </c>
      <c r="F138" s="112">
        <v>0</v>
      </c>
      <c r="G138" s="112">
        <v>0</v>
      </c>
      <c r="H138" s="112">
        <v>0</v>
      </c>
      <c r="I138" s="112">
        <v>0</v>
      </c>
      <c r="J138" s="112">
        <v>0</v>
      </c>
      <c r="K138" s="112">
        <v>0</v>
      </c>
      <c r="L138" s="112">
        <v>0</v>
      </c>
      <c r="M138" s="112">
        <v>0</v>
      </c>
      <c r="N138" s="112">
        <v>0</v>
      </c>
      <c r="O138" s="112">
        <v>0</v>
      </c>
      <c r="P138" s="112">
        <v>0</v>
      </c>
      <c r="Q138" s="112">
        <v>0</v>
      </c>
      <c r="R138" s="112">
        <v>0</v>
      </c>
      <c r="S138" s="112">
        <v>0</v>
      </c>
      <c r="T138" s="112">
        <v>0</v>
      </c>
      <c r="U138" s="112">
        <v>0</v>
      </c>
      <c r="V138" s="112">
        <v>0</v>
      </c>
      <c r="W138" s="112">
        <v>0</v>
      </c>
      <c r="X138" s="112">
        <v>0</v>
      </c>
      <c r="Y138" s="112">
        <v>0</v>
      </c>
      <c r="Z138" s="112">
        <v>0</v>
      </c>
      <c r="AA138" s="112">
        <v>0</v>
      </c>
      <c r="AB138" s="112">
        <v>0</v>
      </c>
      <c r="AC138" s="112">
        <v>0</v>
      </c>
      <c r="AD138" s="112">
        <v>0</v>
      </c>
      <c r="AE138" s="112">
        <v>0</v>
      </c>
      <c r="AF138" s="112">
        <v>0</v>
      </c>
      <c r="AG138" s="112">
        <v>0</v>
      </c>
      <c r="AH138" s="112">
        <v>0</v>
      </c>
      <c r="AI138" s="112">
        <v>0</v>
      </c>
      <c r="AJ138" s="112">
        <v>0</v>
      </c>
      <c r="AK138" s="112">
        <v>0</v>
      </c>
      <c r="AL138" s="112">
        <v>0</v>
      </c>
      <c r="AM138" s="112">
        <v>0</v>
      </c>
      <c r="AN138" s="112">
        <v>0</v>
      </c>
      <c r="AO138" s="112">
        <v>0</v>
      </c>
      <c r="AP138" s="112">
        <v>0</v>
      </c>
      <c r="AQ138" s="112">
        <v>0</v>
      </c>
      <c r="AR138" s="112">
        <v>0</v>
      </c>
      <c r="AS138" s="112">
        <v>0</v>
      </c>
      <c r="AT138" s="112">
        <v>0</v>
      </c>
      <c r="AU138" s="112">
        <v>0</v>
      </c>
      <c r="AV138" s="112">
        <v>0</v>
      </c>
      <c r="AW138" s="112">
        <v>0</v>
      </c>
      <c r="AX138" s="112">
        <v>0</v>
      </c>
      <c r="AY138" s="112">
        <v>0</v>
      </c>
    </row>
    <row r="139" spans="1:51" x14ac:dyDescent="0.2">
      <c r="A139" s="115"/>
      <c r="B139" s="126">
        <v>18</v>
      </c>
      <c r="C139" s="112">
        <v>0</v>
      </c>
      <c r="D139" s="112">
        <v>0</v>
      </c>
      <c r="E139" s="112">
        <v>0</v>
      </c>
      <c r="F139" s="112">
        <v>0</v>
      </c>
      <c r="G139" s="112">
        <v>0</v>
      </c>
      <c r="H139" s="112">
        <v>0</v>
      </c>
      <c r="I139" s="112">
        <v>0</v>
      </c>
      <c r="J139" s="112">
        <v>0</v>
      </c>
      <c r="K139" s="112">
        <v>0</v>
      </c>
      <c r="L139" s="112">
        <v>0</v>
      </c>
      <c r="M139" s="112">
        <v>0</v>
      </c>
      <c r="N139" s="112">
        <v>0</v>
      </c>
      <c r="O139" s="112">
        <v>0</v>
      </c>
      <c r="P139" s="112">
        <v>0</v>
      </c>
      <c r="Q139" s="112">
        <v>0</v>
      </c>
      <c r="R139" s="112">
        <v>0</v>
      </c>
      <c r="S139" s="112">
        <v>0</v>
      </c>
      <c r="T139" s="112">
        <v>0</v>
      </c>
      <c r="U139" s="112">
        <v>0</v>
      </c>
      <c r="V139" s="112">
        <v>0</v>
      </c>
      <c r="W139" s="112">
        <v>0</v>
      </c>
      <c r="X139" s="112">
        <v>0</v>
      </c>
      <c r="Y139" s="112">
        <v>0</v>
      </c>
      <c r="Z139" s="112">
        <v>0</v>
      </c>
      <c r="AA139" s="112">
        <v>0</v>
      </c>
      <c r="AB139" s="112">
        <v>0</v>
      </c>
      <c r="AC139" s="112">
        <v>0</v>
      </c>
      <c r="AD139" s="112">
        <v>0</v>
      </c>
      <c r="AE139" s="112">
        <v>0</v>
      </c>
      <c r="AF139" s="112">
        <v>0</v>
      </c>
      <c r="AG139" s="112">
        <v>0</v>
      </c>
      <c r="AH139" s="112">
        <v>0</v>
      </c>
      <c r="AI139" s="112">
        <v>0</v>
      </c>
      <c r="AJ139" s="112">
        <v>0</v>
      </c>
      <c r="AK139" s="112">
        <v>0</v>
      </c>
      <c r="AL139" s="112">
        <v>0</v>
      </c>
      <c r="AM139" s="112">
        <v>0</v>
      </c>
      <c r="AN139" s="112">
        <v>0</v>
      </c>
      <c r="AO139" s="112">
        <v>0</v>
      </c>
      <c r="AP139" s="112">
        <v>0</v>
      </c>
      <c r="AQ139" s="112">
        <v>0</v>
      </c>
      <c r="AR139" s="112">
        <v>0</v>
      </c>
      <c r="AS139" s="112">
        <v>0</v>
      </c>
      <c r="AT139" s="112">
        <v>0</v>
      </c>
      <c r="AU139" s="112">
        <v>0</v>
      </c>
      <c r="AV139" s="112">
        <v>0</v>
      </c>
      <c r="AW139" s="112">
        <v>0</v>
      </c>
      <c r="AX139" s="112">
        <v>0</v>
      </c>
      <c r="AY139" s="112">
        <v>0</v>
      </c>
    </row>
    <row r="140" spans="1:51" x14ac:dyDescent="0.2">
      <c r="A140" s="115"/>
      <c r="B140" s="126">
        <v>19</v>
      </c>
      <c r="C140" s="112">
        <v>0</v>
      </c>
      <c r="D140" s="112">
        <v>0</v>
      </c>
      <c r="E140" s="112">
        <v>0</v>
      </c>
      <c r="F140" s="112">
        <v>0</v>
      </c>
      <c r="G140" s="112">
        <v>0</v>
      </c>
      <c r="H140" s="112">
        <v>0</v>
      </c>
      <c r="I140" s="112">
        <v>0</v>
      </c>
      <c r="J140" s="112">
        <v>0</v>
      </c>
      <c r="K140" s="112">
        <v>0</v>
      </c>
      <c r="L140" s="112">
        <v>0</v>
      </c>
      <c r="M140" s="112">
        <v>0</v>
      </c>
      <c r="N140" s="112">
        <v>0</v>
      </c>
      <c r="O140" s="112">
        <v>0</v>
      </c>
      <c r="P140" s="112">
        <v>0</v>
      </c>
      <c r="Q140" s="112">
        <v>0</v>
      </c>
      <c r="R140" s="112">
        <v>0</v>
      </c>
      <c r="S140" s="112">
        <v>0</v>
      </c>
      <c r="T140" s="112">
        <v>0</v>
      </c>
      <c r="U140" s="112">
        <v>0</v>
      </c>
      <c r="V140" s="112">
        <v>0</v>
      </c>
      <c r="W140" s="112">
        <v>0</v>
      </c>
      <c r="X140" s="112">
        <v>0</v>
      </c>
      <c r="Y140" s="112">
        <v>0</v>
      </c>
      <c r="Z140" s="112">
        <v>0</v>
      </c>
      <c r="AA140" s="112">
        <v>0</v>
      </c>
      <c r="AB140" s="112">
        <v>0</v>
      </c>
      <c r="AC140" s="112">
        <v>0</v>
      </c>
      <c r="AD140" s="112">
        <v>0</v>
      </c>
      <c r="AE140" s="112">
        <v>0</v>
      </c>
      <c r="AF140" s="112">
        <v>0</v>
      </c>
      <c r="AG140" s="112">
        <v>0</v>
      </c>
      <c r="AH140" s="112">
        <v>0</v>
      </c>
      <c r="AI140" s="112">
        <v>0</v>
      </c>
      <c r="AJ140" s="112">
        <v>0</v>
      </c>
      <c r="AK140" s="112">
        <v>0</v>
      </c>
      <c r="AL140" s="112">
        <v>0</v>
      </c>
      <c r="AM140" s="112">
        <v>0</v>
      </c>
      <c r="AN140" s="112">
        <v>0</v>
      </c>
      <c r="AO140" s="112">
        <v>0</v>
      </c>
      <c r="AP140" s="112">
        <v>0</v>
      </c>
      <c r="AQ140" s="112">
        <v>0</v>
      </c>
      <c r="AR140" s="112">
        <v>0</v>
      </c>
      <c r="AS140" s="112">
        <v>0</v>
      </c>
      <c r="AT140" s="112">
        <v>0</v>
      </c>
      <c r="AU140" s="112">
        <v>0</v>
      </c>
      <c r="AV140" s="112">
        <v>0</v>
      </c>
      <c r="AW140" s="112">
        <v>0</v>
      </c>
      <c r="AX140" s="112">
        <v>0</v>
      </c>
      <c r="AY140" s="112">
        <v>0</v>
      </c>
    </row>
    <row r="141" spans="1:51" x14ac:dyDescent="0.2">
      <c r="A141" s="115"/>
      <c r="B141" s="126">
        <v>20</v>
      </c>
      <c r="C141" s="112">
        <v>0</v>
      </c>
      <c r="D141" s="112">
        <v>0</v>
      </c>
      <c r="E141" s="112">
        <v>0</v>
      </c>
      <c r="F141" s="112">
        <v>0</v>
      </c>
      <c r="G141" s="112">
        <v>0</v>
      </c>
      <c r="H141" s="112">
        <v>0</v>
      </c>
      <c r="I141" s="112">
        <v>0</v>
      </c>
      <c r="J141" s="112">
        <v>0</v>
      </c>
      <c r="K141" s="112">
        <v>0</v>
      </c>
      <c r="L141" s="112">
        <v>0</v>
      </c>
      <c r="M141" s="112">
        <v>0</v>
      </c>
      <c r="N141" s="112">
        <v>0</v>
      </c>
      <c r="O141" s="112">
        <v>0</v>
      </c>
      <c r="P141" s="112">
        <v>0</v>
      </c>
      <c r="Q141" s="112">
        <v>0</v>
      </c>
      <c r="R141" s="112">
        <v>0</v>
      </c>
      <c r="S141" s="112">
        <v>0</v>
      </c>
      <c r="T141" s="112">
        <v>0</v>
      </c>
      <c r="U141" s="112">
        <v>0</v>
      </c>
      <c r="V141" s="112">
        <v>0</v>
      </c>
      <c r="W141" s="112">
        <v>0</v>
      </c>
      <c r="X141" s="112">
        <v>0</v>
      </c>
      <c r="Y141" s="112">
        <v>0</v>
      </c>
      <c r="Z141" s="112">
        <v>0</v>
      </c>
      <c r="AA141" s="112">
        <v>0</v>
      </c>
      <c r="AB141" s="112">
        <v>0</v>
      </c>
      <c r="AC141" s="112">
        <v>0</v>
      </c>
      <c r="AD141" s="112">
        <v>0</v>
      </c>
      <c r="AE141" s="112">
        <v>0</v>
      </c>
      <c r="AF141" s="112">
        <v>0</v>
      </c>
      <c r="AG141" s="112">
        <v>0</v>
      </c>
      <c r="AH141" s="112">
        <v>0</v>
      </c>
      <c r="AI141" s="112">
        <v>0</v>
      </c>
      <c r="AJ141" s="112">
        <v>0</v>
      </c>
      <c r="AK141" s="112">
        <v>0</v>
      </c>
      <c r="AL141" s="112">
        <v>0</v>
      </c>
      <c r="AM141" s="112">
        <v>0</v>
      </c>
      <c r="AN141" s="112">
        <v>0</v>
      </c>
      <c r="AO141" s="112">
        <v>0</v>
      </c>
      <c r="AP141" s="112">
        <v>0</v>
      </c>
      <c r="AQ141" s="112">
        <v>0</v>
      </c>
      <c r="AR141" s="112">
        <v>0</v>
      </c>
      <c r="AS141" s="112">
        <v>0</v>
      </c>
      <c r="AT141" s="112">
        <v>0</v>
      </c>
      <c r="AU141" s="112">
        <v>0</v>
      </c>
      <c r="AV141" s="112">
        <v>0</v>
      </c>
      <c r="AW141" s="112">
        <v>0</v>
      </c>
      <c r="AX141" s="112">
        <v>0</v>
      </c>
      <c r="AY141" s="112">
        <v>0</v>
      </c>
    </row>
    <row r="142" spans="1:51" x14ac:dyDescent="0.2">
      <c r="A142" s="115"/>
      <c r="B142" s="126">
        <v>21</v>
      </c>
      <c r="C142" s="112">
        <v>0</v>
      </c>
      <c r="D142" s="112">
        <v>0</v>
      </c>
      <c r="E142" s="112">
        <v>0</v>
      </c>
      <c r="F142" s="112">
        <v>0</v>
      </c>
      <c r="G142" s="112">
        <v>0</v>
      </c>
      <c r="H142" s="112">
        <v>0</v>
      </c>
      <c r="I142" s="112">
        <v>0</v>
      </c>
      <c r="J142" s="112">
        <v>0</v>
      </c>
      <c r="K142" s="112">
        <v>0</v>
      </c>
      <c r="L142" s="112">
        <v>0</v>
      </c>
      <c r="M142" s="112">
        <v>0</v>
      </c>
      <c r="N142" s="112">
        <v>0</v>
      </c>
      <c r="O142" s="112">
        <v>0</v>
      </c>
      <c r="P142" s="112">
        <v>0</v>
      </c>
      <c r="Q142" s="112">
        <v>0</v>
      </c>
      <c r="R142" s="112">
        <v>0</v>
      </c>
      <c r="S142" s="112">
        <v>0</v>
      </c>
      <c r="T142" s="112">
        <v>0</v>
      </c>
      <c r="U142" s="112">
        <v>0</v>
      </c>
      <c r="V142" s="112">
        <v>0</v>
      </c>
      <c r="W142" s="112">
        <v>0</v>
      </c>
      <c r="X142" s="112">
        <v>0</v>
      </c>
      <c r="Y142" s="112">
        <v>0</v>
      </c>
      <c r="Z142" s="112">
        <v>0</v>
      </c>
      <c r="AA142" s="112">
        <v>0</v>
      </c>
      <c r="AB142" s="112">
        <v>0</v>
      </c>
      <c r="AC142" s="112">
        <v>0</v>
      </c>
      <c r="AD142" s="112">
        <v>0</v>
      </c>
      <c r="AE142" s="112">
        <v>0</v>
      </c>
      <c r="AF142" s="112">
        <v>0</v>
      </c>
      <c r="AG142" s="112">
        <v>0</v>
      </c>
      <c r="AH142" s="112">
        <v>0</v>
      </c>
      <c r="AI142" s="112">
        <v>0</v>
      </c>
      <c r="AJ142" s="112">
        <v>0</v>
      </c>
      <c r="AK142" s="112">
        <v>0</v>
      </c>
      <c r="AL142" s="112">
        <v>0</v>
      </c>
      <c r="AM142" s="112">
        <v>0</v>
      </c>
      <c r="AN142" s="112">
        <v>0</v>
      </c>
      <c r="AO142" s="112">
        <v>0</v>
      </c>
      <c r="AP142" s="112">
        <v>0</v>
      </c>
      <c r="AQ142" s="112">
        <v>0</v>
      </c>
      <c r="AR142" s="112">
        <v>0</v>
      </c>
      <c r="AS142" s="112">
        <v>0</v>
      </c>
      <c r="AT142" s="112">
        <v>0</v>
      </c>
      <c r="AU142" s="112">
        <v>0</v>
      </c>
      <c r="AV142" s="112">
        <v>0</v>
      </c>
      <c r="AW142" s="112">
        <v>0</v>
      </c>
      <c r="AX142" s="112">
        <v>0</v>
      </c>
      <c r="AY142" s="112">
        <v>0</v>
      </c>
    </row>
    <row r="143" spans="1:51" x14ac:dyDescent="0.2">
      <c r="A143" s="115"/>
      <c r="B143" s="126">
        <v>22</v>
      </c>
      <c r="C143" s="112">
        <v>0</v>
      </c>
      <c r="D143" s="112">
        <v>0</v>
      </c>
      <c r="E143" s="112">
        <v>0</v>
      </c>
      <c r="F143" s="112">
        <v>0</v>
      </c>
      <c r="G143" s="112">
        <v>0</v>
      </c>
      <c r="H143" s="112">
        <v>0</v>
      </c>
      <c r="I143" s="112">
        <v>0</v>
      </c>
      <c r="J143" s="112">
        <v>0</v>
      </c>
      <c r="K143" s="112">
        <v>0</v>
      </c>
      <c r="L143" s="112">
        <v>0</v>
      </c>
      <c r="M143" s="112">
        <v>0</v>
      </c>
      <c r="N143" s="112">
        <v>0</v>
      </c>
      <c r="O143" s="112">
        <v>0</v>
      </c>
      <c r="P143" s="112">
        <v>0</v>
      </c>
      <c r="Q143" s="112">
        <v>0</v>
      </c>
      <c r="R143" s="112">
        <v>0</v>
      </c>
      <c r="S143" s="112">
        <v>0</v>
      </c>
      <c r="T143" s="112">
        <v>0</v>
      </c>
      <c r="U143" s="112">
        <v>0</v>
      </c>
      <c r="V143" s="112">
        <v>0</v>
      </c>
      <c r="W143" s="112">
        <v>0</v>
      </c>
      <c r="X143" s="112">
        <v>0</v>
      </c>
      <c r="Y143" s="112">
        <v>0</v>
      </c>
      <c r="Z143" s="112">
        <v>0</v>
      </c>
      <c r="AA143" s="112">
        <v>0</v>
      </c>
      <c r="AB143" s="112">
        <v>0</v>
      </c>
      <c r="AC143" s="112">
        <v>0</v>
      </c>
      <c r="AD143" s="112">
        <v>0</v>
      </c>
      <c r="AE143" s="112">
        <v>0</v>
      </c>
      <c r="AF143" s="112">
        <v>0</v>
      </c>
      <c r="AG143" s="112">
        <v>0</v>
      </c>
      <c r="AH143" s="112">
        <v>0</v>
      </c>
      <c r="AI143" s="112">
        <v>0</v>
      </c>
      <c r="AJ143" s="112">
        <v>0</v>
      </c>
      <c r="AK143" s="112">
        <v>0</v>
      </c>
      <c r="AL143" s="112">
        <v>0</v>
      </c>
      <c r="AM143" s="112">
        <v>0</v>
      </c>
      <c r="AN143" s="112">
        <v>0</v>
      </c>
      <c r="AO143" s="112">
        <v>0</v>
      </c>
      <c r="AP143" s="112">
        <v>0</v>
      </c>
      <c r="AQ143" s="112">
        <v>0</v>
      </c>
      <c r="AR143" s="112">
        <v>0</v>
      </c>
      <c r="AS143" s="112">
        <v>0</v>
      </c>
      <c r="AT143" s="112">
        <v>0</v>
      </c>
      <c r="AU143" s="112">
        <v>0</v>
      </c>
      <c r="AV143" s="112">
        <v>0</v>
      </c>
      <c r="AW143" s="112">
        <v>0</v>
      </c>
      <c r="AX143" s="112">
        <v>0</v>
      </c>
      <c r="AY143" s="112">
        <v>0</v>
      </c>
    </row>
    <row r="144" spans="1:51" x14ac:dyDescent="0.2">
      <c r="A144" s="115"/>
      <c r="B144" s="126">
        <v>23</v>
      </c>
      <c r="C144" s="112">
        <v>0</v>
      </c>
      <c r="D144" s="112">
        <v>0</v>
      </c>
      <c r="E144" s="112">
        <v>0</v>
      </c>
      <c r="F144" s="112">
        <v>0</v>
      </c>
      <c r="G144" s="112">
        <v>0</v>
      </c>
      <c r="H144" s="112">
        <v>0</v>
      </c>
      <c r="I144" s="112">
        <v>0</v>
      </c>
      <c r="J144" s="112">
        <v>0</v>
      </c>
      <c r="K144" s="112">
        <v>0</v>
      </c>
      <c r="L144" s="112">
        <v>0</v>
      </c>
      <c r="M144" s="112">
        <v>0</v>
      </c>
      <c r="N144" s="112">
        <v>0</v>
      </c>
      <c r="O144" s="112">
        <v>0</v>
      </c>
      <c r="P144" s="112">
        <v>0</v>
      </c>
      <c r="Q144" s="112">
        <v>0</v>
      </c>
      <c r="R144" s="112">
        <v>0</v>
      </c>
      <c r="S144" s="112">
        <v>0</v>
      </c>
      <c r="T144" s="112">
        <v>0</v>
      </c>
      <c r="U144" s="112">
        <v>0</v>
      </c>
      <c r="V144" s="112">
        <v>0</v>
      </c>
      <c r="W144" s="112">
        <v>0</v>
      </c>
      <c r="X144" s="112">
        <v>0</v>
      </c>
      <c r="Y144" s="112">
        <v>0</v>
      </c>
      <c r="Z144" s="112">
        <v>0</v>
      </c>
      <c r="AA144" s="112">
        <v>0</v>
      </c>
      <c r="AB144" s="112">
        <v>0</v>
      </c>
      <c r="AC144" s="112">
        <v>0</v>
      </c>
      <c r="AD144" s="112">
        <v>0</v>
      </c>
      <c r="AE144" s="112">
        <v>0</v>
      </c>
      <c r="AF144" s="112">
        <v>0</v>
      </c>
      <c r="AG144" s="112">
        <v>0</v>
      </c>
      <c r="AH144" s="112">
        <v>0</v>
      </c>
      <c r="AI144" s="112">
        <v>0</v>
      </c>
      <c r="AJ144" s="112">
        <v>0</v>
      </c>
      <c r="AK144" s="112">
        <v>0</v>
      </c>
      <c r="AL144" s="112">
        <v>0</v>
      </c>
      <c r="AM144" s="112">
        <v>0</v>
      </c>
      <c r="AN144" s="112">
        <v>0</v>
      </c>
      <c r="AO144" s="112">
        <v>0</v>
      </c>
      <c r="AP144" s="112">
        <v>0</v>
      </c>
      <c r="AQ144" s="112">
        <v>0</v>
      </c>
      <c r="AR144" s="112">
        <v>0</v>
      </c>
      <c r="AS144" s="112">
        <v>0</v>
      </c>
      <c r="AT144" s="112">
        <v>0</v>
      </c>
      <c r="AU144" s="112">
        <v>0</v>
      </c>
      <c r="AV144" s="112">
        <v>0</v>
      </c>
      <c r="AW144" s="112">
        <v>0</v>
      </c>
      <c r="AX144" s="112">
        <v>0</v>
      </c>
      <c r="AY144" s="112">
        <v>0</v>
      </c>
    </row>
    <row r="145" spans="1:51" x14ac:dyDescent="0.2">
      <c r="A145" s="115"/>
      <c r="B145" s="126">
        <v>24</v>
      </c>
      <c r="C145" s="112">
        <v>0</v>
      </c>
      <c r="D145" s="112">
        <v>0</v>
      </c>
      <c r="E145" s="112">
        <v>0</v>
      </c>
      <c r="F145" s="112">
        <v>0</v>
      </c>
      <c r="G145" s="112">
        <v>0</v>
      </c>
      <c r="H145" s="112">
        <v>0</v>
      </c>
      <c r="I145" s="112">
        <v>0</v>
      </c>
      <c r="J145" s="112">
        <v>0</v>
      </c>
      <c r="K145" s="112">
        <v>0</v>
      </c>
      <c r="L145" s="112">
        <v>0</v>
      </c>
      <c r="M145" s="112">
        <v>0</v>
      </c>
      <c r="N145" s="112">
        <v>0</v>
      </c>
      <c r="O145" s="112">
        <v>0</v>
      </c>
      <c r="P145" s="112">
        <v>0</v>
      </c>
      <c r="Q145" s="112">
        <v>0</v>
      </c>
      <c r="R145" s="112">
        <v>0</v>
      </c>
      <c r="S145" s="112">
        <v>0</v>
      </c>
      <c r="T145" s="112">
        <v>0</v>
      </c>
      <c r="U145" s="112">
        <v>0</v>
      </c>
      <c r="V145" s="112">
        <v>0</v>
      </c>
      <c r="W145" s="112">
        <v>0</v>
      </c>
      <c r="X145" s="112">
        <v>0</v>
      </c>
      <c r="Y145" s="112">
        <v>0</v>
      </c>
      <c r="Z145" s="112">
        <v>0</v>
      </c>
      <c r="AA145" s="112">
        <v>0</v>
      </c>
      <c r="AB145" s="112">
        <v>0</v>
      </c>
      <c r="AC145" s="112">
        <v>0</v>
      </c>
      <c r="AD145" s="112">
        <v>0</v>
      </c>
      <c r="AE145" s="112">
        <v>0</v>
      </c>
      <c r="AF145" s="112">
        <v>0</v>
      </c>
      <c r="AG145" s="112">
        <v>0</v>
      </c>
      <c r="AH145" s="112">
        <v>0</v>
      </c>
      <c r="AI145" s="112">
        <v>0</v>
      </c>
      <c r="AJ145" s="112">
        <v>0</v>
      </c>
      <c r="AK145" s="112">
        <v>0</v>
      </c>
      <c r="AL145" s="112">
        <v>0</v>
      </c>
      <c r="AM145" s="112">
        <v>0</v>
      </c>
      <c r="AN145" s="112">
        <v>0</v>
      </c>
      <c r="AO145" s="112">
        <v>0</v>
      </c>
      <c r="AP145" s="112">
        <v>0</v>
      </c>
      <c r="AQ145" s="112">
        <v>0</v>
      </c>
      <c r="AR145" s="112">
        <v>0</v>
      </c>
      <c r="AS145" s="112">
        <v>0</v>
      </c>
      <c r="AT145" s="112">
        <v>0</v>
      </c>
      <c r="AU145" s="112">
        <v>0</v>
      </c>
      <c r="AV145" s="112">
        <v>0</v>
      </c>
      <c r="AW145" s="112">
        <v>0</v>
      </c>
      <c r="AX145" s="112">
        <v>0</v>
      </c>
      <c r="AY145" s="112">
        <v>0</v>
      </c>
    </row>
    <row r="146" spans="1:51" x14ac:dyDescent="0.2">
      <c r="A146" s="115"/>
      <c r="B146" s="133">
        <v>25</v>
      </c>
      <c r="C146" s="112">
        <v>0</v>
      </c>
      <c r="D146" s="112">
        <v>0</v>
      </c>
      <c r="E146" s="112">
        <v>0</v>
      </c>
      <c r="F146" s="112">
        <v>0</v>
      </c>
      <c r="G146" s="112">
        <v>0</v>
      </c>
      <c r="H146" s="112">
        <v>0</v>
      </c>
      <c r="I146" s="112">
        <v>0</v>
      </c>
      <c r="J146" s="112">
        <v>0</v>
      </c>
      <c r="K146" s="112">
        <v>0</v>
      </c>
      <c r="L146" s="112">
        <v>0</v>
      </c>
      <c r="M146" s="112">
        <v>0</v>
      </c>
      <c r="N146" s="112">
        <v>0</v>
      </c>
      <c r="O146" s="112">
        <v>0</v>
      </c>
      <c r="P146" s="112">
        <v>0</v>
      </c>
      <c r="Q146" s="112">
        <v>0</v>
      </c>
      <c r="R146" s="112">
        <v>0</v>
      </c>
      <c r="S146" s="112">
        <v>0</v>
      </c>
      <c r="T146" s="112">
        <v>0</v>
      </c>
      <c r="U146" s="112">
        <v>0</v>
      </c>
      <c r="V146" s="112">
        <v>0</v>
      </c>
      <c r="W146" s="112">
        <v>0</v>
      </c>
      <c r="X146" s="112">
        <v>0</v>
      </c>
      <c r="Y146" s="112">
        <v>0</v>
      </c>
      <c r="Z146" s="112">
        <v>0</v>
      </c>
      <c r="AA146" s="112">
        <v>0</v>
      </c>
      <c r="AB146" s="112">
        <v>0</v>
      </c>
      <c r="AC146" s="112">
        <v>0</v>
      </c>
      <c r="AD146" s="112">
        <v>0</v>
      </c>
      <c r="AE146" s="112">
        <v>0</v>
      </c>
      <c r="AF146" s="112">
        <v>0</v>
      </c>
      <c r="AG146" s="112">
        <v>0</v>
      </c>
      <c r="AH146" s="112">
        <v>0</v>
      </c>
      <c r="AI146" s="112">
        <v>0</v>
      </c>
      <c r="AJ146" s="112">
        <v>0</v>
      </c>
      <c r="AK146" s="112">
        <v>0</v>
      </c>
      <c r="AL146" s="112">
        <v>0</v>
      </c>
      <c r="AM146" s="112">
        <v>0</v>
      </c>
      <c r="AN146" s="112">
        <v>0</v>
      </c>
      <c r="AO146" s="112">
        <v>0</v>
      </c>
      <c r="AP146" s="112">
        <v>0</v>
      </c>
      <c r="AQ146" s="112">
        <v>0</v>
      </c>
      <c r="AR146" s="112">
        <v>0</v>
      </c>
      <c r="AS146" s="112">
        <v>0</v>
      </c>
      <c r="AT146" s="112">
        <v>0</v>
      </c>
      <c r="AU146" s="112">
        <v>0</v>
      </c>
      <c r="AV146" s="112">
        <v>0</v>
      </c>
      <c r="AW146" s="112">
        <v>0</v>
      </c>
      <c r="AX146" s="112">
        <v>0</v>
      </c>
      <c r="AY146" s="112">
        <v>0</v>
      </c>
    </row>
    <row r="147" spans="1:51" x14ac:dyDescent="0.2">
      <c r="A147" s="115"/>
      <c r="B147" s="133">
        <v>26</v>
      </c>
      <c r="C147" s="112">
        <v>0</v>
      </c>
      <c r="D147" s="112">
        <v>0</v>
      </c>
      <c r="E147" s="112">
        <v>0</v>
      </c>
      <c r="F147" s="112">
        <v>0</v>
      </c>
      <c r="G147" s="112">
        <v>0</v>
      </c>
      <c r="H147" s="112">
        <v>0</v>
      </c>
      <c r="I147" s="112">
        <v>0</v>
      </c>
      <c r="J147" s="112">
        <v>0</v>
      </c>
      <c r="K147" s="112">
        <v>0</v>
      </c>
      <c r="L147" s="112">
        <v>0</v>
      </c>
      <c r="M147" s="112">
        <v>0</v>
      </c>
      <c r="N147" s="112">
        <v>0</v>
      </c>
      <c r="O147" s="112">
        <v>0</v>
      </c>
      <c r="P147" s="112">
        <v>0</v>
      </c>
      <c r="Q147" s="112">
        <v>0</v>
      </c>
      <c r="R147" s="112">
        <v>0</v>
      </c>
      <c r="S147" s="112">
        <v>0</v>
      </c>
      <c r="T147" s="112">
        <v>0</v>
      </c>
      <c r="U147" s="112">
        <v>0</v>
      </c>
      <c r="V147" s="112">
        <v>0</v>
      </c>
      <c r="W147" s="112">
        <v>0</v>
      </c>
      <c r="X147" s="112">
        <v>0</v>
      </c>
      <c r="Y147" s="112">
        <v>0</v>
      </c>
      <c r="Z147" s="112">
        <v>0</v>
      </c>
      <c r="AA147" s="112">
        <v>0</v>
      </c>
      <c r="AB147" s="112">
        <v>0</v>
      </c>
      <c r="AC147" s="112">
        <v>0</v>
      </c>
      <c r="AD147" s="112">
        <v>0</v>
      </c>
      <c r="AE147" s="112">
        <v>0</v>
      </c>
      <c r="AF147" s="112">
        <v>0</v>
      </c>
      <c r="AG147" s="112">
        <v>0</v>
      </c>
      <c r="AH147" s="112">
        <v>0</v>
      </c>
      <c r="AI147" s="112">
        <v>0</v>
      </c>
      <c r="AJ147" s="112">
        <v>0</v>
      </c>
      <c r="AK147" s="112">
        <v>0</v>
      </c>
      <c r="AL147" s="112">
        <v>0</v>
      </c>
      <c r="AM147" s="112">
        <v>0</v>
      </c>
      <c r="AN147" s="112">
        <v>0</v>
      </c>
      <c r="AO147" s="112">
        <v>0</v>
      </c>
      <c r="AP147" s="112">
        <v>0</v>
      </c>
      <c r="AQ147" s="112">
        <v>0</v>
      </c>
      <c r="AR147" s="112">
        <v>0</v>
      </c>
      <c r="AS147" s="112">
        <v>0</v>
      </c>
      <c r="AT147" s="112">
        <v>0</v>
      </c>
      <c r="AU147" s="112">
        <v>0</v>
      </c>
      <c r="AV147" s="112">
        <v>0</v>
      </c>
      <c r="AW147" s="112">
        <v>0</v>
      </c>
      <c r="AX147" s="112">
        <v>0</v>
      </c>
      <c r="AY147" s="112">
        <v>0</v>
      </c>
    </row>
    <row r="148" spans="1:51" x14ac:dyDescent="0.2">
      <c r="A148" s="115"/>
      <c r="B148" s="133">
        <v>27</v>
      </c>
      <c r="C148" s="112">
        <v>0</v>
      </c>
      <c r="D148" s="112">
        <v>0</v>
      </c>
      <c r="E148" s="112">
        <v>0</v>
      </c>
      <c r="F148" s="112">
        <v>0</v>
      </c>
      <c r="G148" s="112">
        <v>0</v>
      </c>
      <c r="H148" s="112">
        <v>0</v>
      </c>
      <c r="I148" s="112">
        <v>0</v>
      </c>
      <c r="J148" s="112">
        <v>0</v>
      </c>
      <c r="K148" s="112">
        <v>0</v>
      </c>
      <c r="L148" s="112">
        <v>0</v>
      </c>
      <c r="M148" s="112">
        <v>0</v>
      </c>
      <c r="N148" s="112">
        <v>0</v>
      </c>
      <c r="O148" s="112">
        <v>0</v>
      </c>
      <c r="P148" s="112">
        <v>0</v>
      </c>
      <c r="Q148" s="112">
        <v>0</v>
      </c>
      <c r="R148" s="112">
        <v>0</v>
      </c>
      <c r="S148" s="112">
        <v>0</v>
      </c>
      <c r="T148" s="112">
        <v>0</v>
      </c>
      <c r="U148" s="112">
        <v>0</v>
      </c>
      <c r="V148" s="112">
        <v>0</v>
      </c>
      <c r="W148" s="112">
        <v>0</v>
      </c>
      <c r="X148" s="112">
        <v>0</v>
      </c>
      <c r="Y148" s="112">
        <v>0</v>
      </c>
      <c r="Z148" s="112">
        <v>0</v>
      </c>
      <c r="AA148" s="112">
        <v>0</v>
      </c>
      <c r="AB148" s="112">
        <v>0</v>
      </c>
      <c r="AC148" s="112">
        <v>0</v>
      </c>
      <c r="AD148" s="112">
        <v>0</v>
      </c>
      <c r="AE148" s="112">
        <v>0</v>
      </c>
      <c r="AF148" s="112">
        <v>0</v>
      </c>
      <c r="AG148" s="112">
        <v>0</v>
      </c>
      <c r="AH148" s="112">
        <v>0</v>
      </c>
      <c r="AI148" s="112">
        <v>0</v>
      </c>
      <c r="AJ148" s="112">
        <v>0</v>
      </c>
      <c r="AK148" s="112">
        <v>0</v>
      </c>
      <c r="AL148" s="112">
        <v>0</v>
      </c>
      <c r="AM148" s="112">
        <v>0</v>
      </c>
      <c r="AN148" s="112">
        <v>0</v>
      </c>
      <c r="AO148" s="112">
        <v>0</v>
      </c>
      <c r="AP148" s="112">
        <v>0</v>
      </c>
      <c r="AQ148" s="112">
        <v>0</v>
      </c>
      <c r="AR148" s="112">
        <v>0</v>
      </c>
      <c r="AS148" s="112">
        <v>0</v>
      </c>
      <c r="AT148" s="112">
        <v>0</v>
      </c>
      <c r="AU148" s="112">
        <v>0</v>
      </c>
      <c r="AV148" s="112">
        <v>0</v>
      </c>
      <c r="AW148" s="112">
        <v>0</v>
      </c>
      <c r="AX148" s="112">
        <v>0</v>
      </c>
      <c r="AY148" s="112">
        <v>0</v>
      </c>
    </row>
    <row r="149" spans="1:51" x14ac:dyDescent="0.2">
      <c r="A149" s="115"/>
      <c r="B149" s="133">
        <v>28</v>
      </c>
      <c r="C149" s="112">
        <v>0</v>
      </c>
      <c r="D149" s="112">
        <v>0</v>
      </c>
      <c r="E149" s="112">
        <v>0</v>
      </c>
      <c r="F149" s="112">
        <v>0</v>
      </c>
      <c r="G149" s="112">
        <v>0</v>
      </c>
      <c r="H149" s="112">
        <v>0</v>
      </c>
      <c r="I149" s="112">
        <v>0</v>
      </c>
      <c r="J149" s="112">
        <v>0</v>
      </c>
      <c r="K149" s="112">
        <v>0</v>
      </c>
      <c r="L149" s="112">
        <v>0</v>
      </c>
      <c r="M149" s="112">
        <v>0</v>
      </c>
      <c r="N149" s="112">
        <v>0</v>
      </c>
      <c r="O149" s="112">
        <v>0</v>
      </c>
      <c r="P149" s="112">
        <v>0</v>
      </c>
      <c r="Q149" s="112">
        <v>0</v>
      </c>
      <c r="R149" s="112">
        <v>0</v>
      </c>
      <c r="S149" s="112">
        <v>0</v>
      </c>
      <c r="T149" s="112">
        <v>0</v>
      </c>
      <c r="U149" s="112">
        <v>0</v>
      </c>
      <c r="V149" s="112">
        <v>0</v>
      </c>
      <c r="W149" s="112">
        <v>0</v>
      </c>
      <c r="X149" s="112">
        <v>0</v>
      </c>
      <c r="Y149" s="112">
        <v>0</v>
      </c>
      <c r="Z149" s="112">
        <v>0</v>
      </c>
      <c r="AA149" s="112">
        <v>0</v>
      </c>
      <c r="AB149" s="112">
        <v>0</v>
      </c>
      <c r="AC149" s="112">
        <v>0</v>
      </c>
      <c r="AD149" s="112">
        <v>0</v>
      </c>
      <c r="AE149" s="112">
        <v>0</v>
      </c>
      <c r="AF149" s="112">
        <v>0</v>
      </c>
      <c r="AG149" s="112">
        <v>0</v>
      </c>
      <c r="AH149" s="112">
        <v>0</v>
      </c>
      <c r="AI149" s="112">
        <v>0</v>
      </c>
      <c r="AJ149" s="112">
        <v>0</v>
      </c>
      <c r="AK149" s="112">
        <v>0</v>
      </c>
      <c r="AL149" s="112">
        <v>0</v>
      </c>
      <c r="AM149" s="112">
        <v>0</v>
      </c>
      <c r="AN149" s="112">
        <v>0</v>
      </c>
      <c r="AO149" s="112">
        <v>0</v>
      </c>
      <c r="AP149" s="112">
        <v>0</v>
      </c>
      <c r="AQ149" s="112">
        <v>0</v>
      </c>
      <c r="AR149" s="112">
        <v>0</v>
      </c>
      <c r="AS149" s="112">
        <v>0</v>
      </c>
      <c r="AT149" s="112">
        <v>0</v>
      </c>
      <c r="AU149" s="112">
        <v>0</v>
      </c>
      <c r="AV149" s="112">
        <v>0</v>
      </c>
      <c r="AW149" s="112">
        <v>0</v>
      </c>
      <c r="AX149" s="112">
        <v>0</v>
      </c>
      <c r="AY149" s="112">
        <v>0</v>
      </c>
    </row>
    <row r="150" spans="1:51" x14ac:dyDescent="0.2">
      <c r="A150" s="115"/>
      <c r="B150" s="133">
        <v>29</v>
      </c>
      <c r="C150" s="112">
        <v>0</v>
      </c>
      <c r="D150" s="112">
        <v>0</v>
      </c>
      <c r="E150" s="112">
        <v>0</v>
      </c>
      <c r="F150" s="112">
        <v>0</v>
      </c>
      <c r="G150" s="112">
        <v>0</v>
      </c>
      <c r="H150" s="112">
        <v>0</v>
      </c>
      <c r="I150" s="112">
        <v>0</v>
      </c>
      <c r="J150" s="112">
        <v>0</v>
      </c>
      <c r="K150" s="112">
        <v>0</v>
      </c>
      <c r="L150" s="112">
        <v>0</v>
      </c>
      <c r="M150" s="112">
        <v>0</v>
      </c>
      <c r="N150" s="112">
        <v>0</v>
      </c>
      <c r="O150" s="112">
        <v>0</v>
      </c>
      <c r="P150" s="112">
        <v>0</v>
      </c>
      <c r="Q150" s="112">
        <v>0</v>
      </c>
      <c r="R150" s="112">
        <v>0</v>
      </c>
      <c r="S150" s="112">
        <v>0</v>
      </c>
      <c r="T150" s="112">
        <v>0</v>
      </c>
      <c r="U150" s="112">
        <v>0</v>
      </c>
      <c r="V150" s="112">
        <v>0</v>
      </c>
      <c r="W150" s="112">
        <v>0</v>
      </c>
      <c r="X150" s="112">
        <v>0</v>
      </c>
      <c r="Y150" s="112">
        <v>0</v>
      </c>
      <c r="Z150" s="112">
        <v>0</v>
      </c>
      <c r="AA150" s="112">
        <v>0</v>
      </c>
      <c r="AB150" s="112">
        <v>0</v>
      </c>
      <c r="AC150" s="112">
        <v>0</v>
      </c>
      <c r="AD150" s="112">
        <v>0</v>
      </c>
      <c r="AE150" s="112">
        <v>0</v>
      </c>
      <c r="AF150" s="112">
        <v>0</v>
      </c>
      <c r="AG150" s="112">
        <v>0</v>
      </c>
      <c r="AH150" s="112">
        <v>0</v>
      </c>
      <c r="AI150" s="112">
        <v>0</v>
      </c>
      <c r="AJ150" s="112">
        <v>0</v>
      </c>
      <c r="AK150" s="112">
        <v>0</v>
      </c>
      <c r="AL150" s="112">
        <v>0</v>
      </c>
      <c r="AM150" s="112">
        <v>0</v>
      </c>
      <c r="AN150" s="112">
        <v>0</v>
      </c>
      <c r="AO150" s="112">
        <v>0</v>
      </c>
      <c r="AP150" s="112">
        <v>0</v>
      </c>
      <c r="AQ150" s="112">
        <v>0</v>
      </c>
      <c r="AR150" s="112">
        <v>0</v>
      </c>
      <c r="AS150" s="112">
        <v>0</v>
      </c>
      <c r="AT150" s="112">
        <v>0</v>
      </c>
      <c r="AU150" s="112">
        <v>0</v>
      </c>
      <c r="AV150" s="112">
        <v>0</v>
      </c>
      <c r="AW150" s="112">
        <v>0</v>
      </c>
      <c r="AX150" s="112">
        <v>0</v>
      </c>
      <c r="AY150" s="112">
        <v>0</v>
      </c>
    </row>
    <row r="151" spans="1:51" x14ac:dyDescent="0.2">
      <c r="A151" s="115"/>
      <c r="B151" s="133">
        <v>30</v>
      </c>
      <c r="C151" s="112">
        <v>0</v>
      </c>
      <c r="D151" s="112">
        <v>0</v>
      </c>
      <c r="E151" s="112">
        <v>0</v>
      </c>
      <c r="F151" s="112">
        <v>0</v>
      </c>
      <c r="G151" s="112">
        <v>0</v>
      </c>
      <c r="H151" s="112">
        <v>0</v>
      </c>
      <c r="I151" s="112">
        <v>0</v>
      </c>
      <c r="J151" s="112">
        <v>0</v>
      </c>
      <c r="K151" s="112">
        <v>0</v>
      </c>
      <c r="L151" s="112">
        <v>0</v>
      </c>
      <c r="M151" s="112">
        <v>0</v>
      </c>
      <c r="N151" s="112">
        <v>0</v>
      </c>
      <c r="O151" s="112">
        <v>0</v>
      </c>
      <c r="P151" s="112">
        <v>0</v>
      </c>
      <c r="Q151" s="112">
        <v>0</v>
      </c>
      <c r="R151" s="112">
        <v>0</v>
      </c>
      <c r="S151" s="112">
        <v>0</v>
      </c>
      <c r="T151" s="112">
        <v>0</v>
      </c>
      <c r="U151" s="112">
        <v>0</v>
      </c>
      <c r="V151" s="112">
        <v>0</v>
      </c>
      <c r="W151" s="112">
        <v>0</v>
      </c>
      <c r="X151" s="112">
        <v>0</v>
      </c>
      <c r="Y151" s="112">
        <v>0</v>
      </c>
      <c r="Z151" s="112">
        <v>0</v>
      </c>
      <c r="AA151" s="112">
        <v>0</v>
      </c>
      <c r="AB151" s="112">
        <v>0</v>
      </c>
      <c r="AC151" s="112">
        <v>0</v>
      </c>
      <c r="AD151" s="112">
        <v>0</v>
      </c>
      <c r="AE151" s="112">
        <v>0</v>
      </c>
      <c r="AF151" s="112">
        <v>0</v>
      </c>
      <c r="AG151" s="112">
        <v>0</v>
      </c>
      <c r="AH151" s="112">
        <v>0</v>
      </c>
      <c r="AI151" s="112">
        <v>0</v>
      </c>
      <c r="AJ151" s="112">
        <v>0</v>
      </c>
      <c r="AK151" s="112">
        <v>0</v>
      </c>
      <c r="AL151" s="112">
        <v>0</v>
      </c>
      <c r="AM151" s="112">
        <v>0</v>
      </c>
      <c r="AN151" s="112">
        <v>0</v>
      </c>
      <c r="AO151" s="112">
        <v>0</v>
      </c>
      <c r="AP151" s="112">
        <v>0</v>
      </c>
      <c r="AQ151" s="112">
        <v>0</v>
      </c>
      <c r="AR151" s="112">
        <v>0</v>
      </c>
      <c r="AS151" s="112">
        <v>0</v>
      </c>
      <c r="AT151" s="112">
        <v>0</v>
      </c>
      <c r="AU151" s="112">
        <v>0</v>
      </c>
      <c r="AV151" s="112">
        <v>0</v>
      </c>
      <c r="AW151" s="112">
        <v>0</v>
      </c>
      <c r="AX151" s="112">
        <v>0</v>
      </c>
      <c r="AY151" s="112">
        <v>0</v>
      </c>
    </row>
    <row r="152" spans="1:51" x14ac:dyDescent="0.2">
      <c r="A152" s="115"/>
      <c r="B152" s="133">
        <v>31</v>
      </c>
      <c r="C152" s="112">
        <v>0</v>
      </c>
      <c r="D152" s="112">
        <v>0</v>
      </c>
      <c r="E152" s="112">
        <v>0</v>
      </c>
      <c r="F152" s="112">
        <v>0</v>
      </c>
      <c r="G152" s="112">
        <v>0</v>
      </c>
      <c r="H152" s="112">
        <v>0</v>
      </c>
      <c r="I152" s="112">
        <v>0</v>
      </c>
      <c r="J152" s="112">
        <v>0</v>
      </c>
      <c r="K152" s="112">
        <v>0</v>
      </c>
      <c r="L152" s="112">
        <v>0</v>
      </c>
      <c r="M152" s="112">
        <v>0</v>
      </c>
      <c r="N152" s="112">
        <v>0</v>
      </c>
      <c r="O152" s="112">
        <v>0</v>
      </c>
      <c r="P152" s="112">
        <v>0</v>
      </c>
      <c r="Q152" s="112">
        <v>0</v>
      </c>
      <c r="R152" s="112">
        <v>0</v>
      </c>
      <c r="S152" s="112">
        <v>0</v>
      </c>
      <c r="T152" s="112">
        <v>0</v>
      </c>
      <c r="U152" s="112">
        <v>0</v>
      </c>
      <c r="V152" s="112">
        <v>0</v>
      </c>
      <c r="W152" s="112">
        <v>0</v>
      </c>
      <c r="X152" s="112">
        <v>0</v>
      </c>
      <c r="Y152" s="112">
        <v>0</v>
      </c>
      <c r="Z152" s="112">
        <v>0</v>
      </c>
      <c r="AA152" s="112">
        <v>0</v>
      </c>
      <c r="AB152" s="112">
        <v>0</v>
      </c>
      <c r="AC152" s="112">
        <v>0</v>
      </c>
      <c r="AD152" s="112">
        <v>0</v>
      </c>
      <c r="AE152" s="112">
        <v>0</v>
      </c>
      <c r="AF152" s="112">
        <v>0</v>
      </c>
      <c r="AG152" s="112">
        <v>0</v>
      </c>
      <c r="AH152" s="112">
        <v>0</v>
      </c>
      <c r="AI152" s="112">
        <v>0</v>
      </c>
      <c r="AJ152" s="112">
        <v>0</v>
      </c>
      <c r="AK152" s="112">
        <v>0</v>
      </c>
      <c r="AL152" s="112">
        <v>0</v>
      </c>
      <c r="AM152" s="112">
        <v>0</v>
      </c>
      <c r="AN152" s="112">
        <v>0</v>
      </c>
      <c r="AO152" s="112">
        <v>0</v>
      </c>
      <c r="AP152" s="112">
        <v>0</v>
      </c>
      <c r="AQ152" s="112">
        <v>0</v>
      </c>
      <c r="AR152" s="112">
        <v>0</v>
      </c>
      <c r="AS152" s="112">
        <v>0</v>
      </c>
      <c r="AT152" s="112">
        <v>0</v>
      </c>
      <c r="AU152" s="112">
        <v>0</v>
      </c>
      <c r="AV152" s="112">
        <v>0</v>
      </c>
      <c r="AW152" s="112">
        <v>0</v>
      </c>
      <c r="AX152" s="112">
        <v>0</v>
      </c>
      <c r="AY152" s="112">
        <v>0</v>
      </c>
    </row>
    <row r="153" spans="1:51" x14ac:dyDescent="0.2">
      <c r="A153" s="115"/>
      <c r="B153" s="133">
        <v>32</v>
      </c>
      <c r="C153" s="112">
        <v>0</v>
      </c>
      <c r="D153" s="112">
        <v>0</v>
      </c>
      <c r="E153" s="112">
        <v>0</v>
      </c>
      <c r="F153" s="112">
        <v>0</v>
      </c>
      <c r="G153" s="112">
        <v>0</v>
      </c>
      <c r="H153" s="112">
        <v>0</v>
      </c>
      <c r="I153" s="112">
        <v>0</v>
      </c>
      <c r="J153" s="112">
        <v>0</v>
      </c>
      <c r="K153" s="112">
        <v>0</v>
      </c>
      <c r="L153" s="112">
        <v>0</v>
      </c>
      <c r="M153" s="112">
        <v>0</v>
      </c>
      <c r="N153" s="112">
        <v>0</v>
      </c>
      <c r="O153" s="112">
        <v>0</v>
      </c>
      <c r="P153" s="112">
        <v>0</v>
      </c>
      <c r="Q153" s="112">
        <v>0</v>
      </c>
      <c r="R153" s="112">
        <v>0</v>
      </c>
      <c r="S153" s="112">
        <v>0</v>
      </c>
      <c r="T153" s="112">
        <v>0</v>
      </c>
      <c r="U153" s="112">
        <v>0</v>
      </c>
      <c r="V153" s="112">
        <v>0</v>
      </c>
      <c r="W153" s="112">
        <v>0</v>
      </c>
      <c r="X153" s="112">
        <v>0</v>
      </c>
      <c r="Y153" s="112">
        <v>0</v>
      </c>
      <c r="Z153" s="112">
        <v>0</v>
      </c>
      <c r="AA153" s="112">
        <v>0</v>
      </c>
      <c r="AB153" s="112">
        <v>0</v>
      </c>
      <c r="AC153" s="112">
        <v>0</v>
      </c>
      <c r="AD153" s="112">
        <v>0</v>
      </c>
      <c r="AE153" s="112">
        <v>0</v>
      </c>
      <c r="AF153" s="112">
        <v>0</v>
      </c>
      <c r="AG153" s="112">
        <v>0</v>
      </c>
      <c r="AH153" s="112">
        <v>0</v>
      </c>
      <c r="AI153" s="112">
        <v>0</v>
      </c>
      <c r="AJ153" s="112">
        <v>0</v>
      </c>
      <c r="AK153" s="112">
        <v>0</v>
      </c>
      <c r="AL153" s="112">
        <v>0</v>
      </c>
      <c r="AM153" s="112">
        <v>0</v>
      </c>
      <c r="AN153" s="112">
        <v>0</v>
      </c>
      <c r="AO153" s="112">
        <v>0</v>
      </c>
      <c r="AP153" s="112">
        <v>0</v>
      </c>
      <c r="AQ153" s="112">
        <v>0</v>
      </c>
      <c r="AR153" s="112">
        <v>0</v>
      </c>
      <c r="AS153" s="112">
        <v>0</v>
      </c>
      <c r="AT153" s="112">
        <v>0</v>
      </c>
      <c r="AU153" s="112">
        <v>0</v>
      </c>
      <c r="AV153" s="112">
        <v>0</v>
      </c>
      <c r="AW153" s="112">
        <v>0</v>
      </c>
      <c r="AX153" s="112">
        <v>0</v>
      </c>
      <c r="AY153" s="112">
        <v>0</v>
      </c>
    </row>
    <row r="154" spans="1:51" x14ac:dyDescent="0.2">
      <c r="A154" s="115"/>
      <c r="B154" s="133">
        <v>33</v>
      </c>
      <c r="C154" s="112">
        <v>0</v>
      </c>
      <c r="D154" s="112">
        <v>0</v>
      </c>
      <c r="E154" s="112">
        <v>0</v>
      </c>
      <c r="F154" s="112">
        <v>0</v>
      </c>
      <c r="G154" s="112">
        <v>0</v>
      </c>
      <c r="H154" s="112">
        <v>0</v>
      </c>
      <c r="I154" s="112">
        <v>0</v>
      </c>
      <c r="J154" s="112">
        <v>0</v>
      </c>
      <c r="K154" s="112">
        <v>0</v>
      </c>
      <c r="L154" s="112">
        <v>0</v>
      </c>
      <c r="M154" s="112">
        <v>0</v>
      </c>
      <c r="N154" s="112">
        <v>0</v>
      </c>
      <c r="O154" s="112">
        <v>0</v>
      </c>
      <c r="P154" s="112">
        <v>0</v>
      </c>
      <c r="Q154" s="112">
        <v>0</v>
      </c>
      <c r="R154" s="112">
        <v>0</v>
      </c>
      <c r="S154" s="112">
        <v>0</v>
      </c>
      <c r="T154" s="112">
        <v>0</v>
      </c>
      <c r="U154" s="112">
        <v>0</v>
      </c>
      <c r="V154" s="112">
        <v>0</v>
      </c>
      <c r="W154" s="112">
        <v>0</v>
      </c>
      <c r="X154" s="112">
        <v>0</v>
      </c>
      <c r="Y154" s="112">
        <v>0</v>
      </c>
      <c r="Z154" s="112">
        <v>0</v>
      </c>
      <c r="AA154" s="112">
        <v>0</v>
      </c>
      <c r="AB154" s="112">
        <v>0</v>
      </c>
      <c r="AC154" s="112">
        <v>0</v>
      </c>
      <c r="AD154" s="112">
        <v>0</v>
      </c>
      <c r="AE154" s="112">
        <v>0</v>
      </c>
      <c r="AF154" s="112">
        <v>0</v>
      </c>
      <c r="AG154" s="112">
        <v>0</v>
      </c>
      <c r="AH154" s="112">
        <v>0</v>
      </c>
      <c r="AI154" s="112">
        <v>0</v>
      </c>
      <c r="AJ154" s="112">
        <v>0</v>
      </c>
      <c r="AK154" s="112">
        <v>0</v>
      </c>
      <c r="AL154" s="112">
        <v>0</v>
      </c>
      <c r="AM154" s="112">
        <v>0</v>
      </c>
      <c r="AN154" s="112">
        <v>0</v>
      </c>
      <c r="AO154" s="112">
        <v>0</v>
      </c>
      <c r="AP154" s="112">
        <v>0</v>
      </c>
      <c r="AQ154" s="112">
        <v>0</v>
      </c>
      <c r="AR154" s="112">
        <v>0</v>
      </c>
      <c r="AS154" s="112">
        <v>0</v>
      </c>
      <c r="AT154" s="112">
        <v>0</v>
      </c>
      <c r="AU154" s="112">
        <v>0</v>
      </c>
      <c r="AV154" s="112">
        <v>0</v>
      </c>
      <c r="AW154" s="112">
        <v>0</v>
      </c>
      <c r="AX154" s="112">
        <v>0</v>
      </c>
      <c r="AY154" s="112">
        <v>0</v>
      </c>
    </row>
    <row r="155" spans="1:51" x14ac:dyDescent="0.2">
      <c r="A155" s="115"/>
      <c r="B155" s="133">
        <v>34</v>
      </c>
      <c r="C155" s="112">
        <v>0</v>
      </c>
      <c r="D155" s="112">
        <v>0</v>
      </c>
      <c r="E155" s="112">
        <v>0</v>
      </c>
      <c r="F155" s="112">
        <v>0</v>
      </c>
      <c r="G155" s="112">
        <v>0</v>
      </c>
      <c r="H155" s="112">
        <v>0</v>
      </c>
      <c r="I155" s="112">
        <v>0</v>
      </c>
      <c r="J155" s="112">
        <v>0</v>
      </c>
      <c r="K155" s="112">
        <v>0</v>
      </c>
      <c r="L155" s="112">
        <v>0</v>
      </c>
      <c r="M155" s="112">
        <v>0</v>
      </c>
      <c r="N155" s="112">
        <v>0</v>
      </c>
      <c r="O155" s="112">
        <v>0</v>
      </c>
      <c r="P155" s="112">
        <v>0</v>
      </c>
      <c r="Q155" s="112">
        <v>0</v>
      </c>
      <c r="R155" s="112">
        <v>0</v>
      </c>
      <c r="S155" s="112">
        <v>0</v>
      </c>
      <c r="T155" s="112">
        <v>0</v>
      </c>
      <c r="U155" s="112">
        <v>0</v>
      </c>
      <c r="V155" s="112">
        <v>0</v>
      </c>
      <c r="W155" s="112">
        <v>0</v>
      </c>
      <c r="X155" s="112">
        <v>0</v>
      </c>
      <c r="Y155" s="112">
        <v>0</v>
      </c>
      <c r="Z155" s="112">
        <v>0</v>
      </c>
      <c r="AA155" s="112">
        <v>0</v>
      </c>
      <c r="AB155" s="112">
        <v>0</v>
      </c>
      <c r="AC155" s="112">
        <v>0</v>
      </c>
      <c r="AD155" s="112">
        <v>0</v>
      </c>
      <c r="AE155" s="112">
        <v>0</v>
      </c>
      <c r="AF155" s="112">
        <v>0</v>
      </c>
      <c r="AG155" s="112">
        <v>0</v>
      </c>
      <c r="AH155" s="112">
        <v>0</v>
      </c>
      <c r="AI155" s="112">
        <v>0</v>
      </c>
      <c r="AJ155" s="112">
        <v>0</v>
      </c>
      <c r="AK155" s="112">
        <v>0</v>
      </c>
      <c r="AL155" s="112">
        <v>0</v>
      </c>
      <c r="AM155" s="112">
        <v>0</v>
      </c>
      <c r="AN155" s="112">
        <v>0</v>
      </c>
      <c r="AO155" s="112">
        <v>0</v>
      </c>
      <c r="AP155" s="112">
        <v>0</v>
      </c>
      <c r="AQ155" s="112">
        <v>0</v>
      </c>
      <c r="AR155" s="112">
        <v>0</v>
      </c>
      <c r="AS155" s="112">
        <v>0</v>
      </c>
      <c r="AT155" s="112">
        <v>0</v>
      </c>
      <c r="AU155" s="112">
        <v>0</v>
      </c>
      <c r="AV155" s="112">
        <v>0</v>
      </c>
      <c r="AW155" s="112">
        <v>0</v>
      </c>
      <c r="AX155" s="112">
        <v>0</v>
      </c>
      <c r="AY155" s="112">
        <v>0</v>
      </c>
    </row>
    <row r="156" spans="1:51" x14ac:dyDescent="0.2">
      <c r="A156" s="115"/>
      <c r="B156" s="133">
        <v>35</v>
      </c>
      <c r="C156" s="112">
        <v>0</v>
      </c>
      <c r="D156" s="112">
        <v>0</v>
      </c>
      <c r="E156" s="112">
        <v>0</v>
      </c>
      <c r="F156" s="112">
        <v>0</v>
      </c>
      <c r="G156" s="112">
        <v>0</v>
      </c>
      <c r="H156" s="112">
        <v>0</v>
      </c>
      <c r="I156" s="112">
        <v>0</v>
      </c>
      <c r="J156" s="112">
        <v>0</v>
      </c>
      <c r="K156" s="112">
        <v>0</v>
      </c>
      <c r="L156" s="112">
        <v>0</v>
      </c>
      <c r="M156" s="112">
        <v>0</v>
      </c>
      <c r="N156" s="112">
        <v>0</v>
      </c>
      <c r="O156" s="112">
        <v>0</v>
      </c>
      <c r="P156" s="112">
        <v>0</v>
      </c>
      <c r="Q156" s="112">
        <v>0</v>
      </c>
      <c r="R156" s="112">
        <v>0</v>
      </c>
      <c r="S156" s="112">
        <v>0</v>
      </c>
      <c r="T156" s="112">
        <v>0</v>
      </c>
      <c r="U156" s="112">
        <v>0</v>
      </c>
      <c r="V156" s="112">
        <v>0</v>
      </c>
      <c r="W156" s="112">
        <v>0</v>
      </c>
      <c r="X156" s="112">
        <v>0</v>
      </c>
      <c r="Y156" s="112">
        <v>0</v>
      </c>
      <c r="Z156" s="112">
        <v>0</v>
      </c>
      <c r="AA156" s="112">
        <v>0</v>
      </c>
      <c r="AB156" s="112">
        <v>0</v>
      </c>
      <c r="AC156" s="112">
        <v>0</v>
      </c>
      <c r="AD156" s="112">
        <v>0</v>
      </c>
      <c r="AE156" s="112">
        <v>0</v>
      </c>
      <c r="AF156" s="112">
        <v>0</v>
      </c>
      <c r="AG156" s="112">
        <v>0</v>
      </c>
      <c r="AH156" s="112">
        <v>0</v>
      </c>
      <c r="AI156" s="112">
        <v>0</v>
      </c>
      <c r="AJ156" s="112">
        <v>0</v>
      </c>
      <c r="AK156" s="112">
        <v>0</v>
      </c>
      <c r="AL156" s="112">
        <v>0</v>
      </c>
      <c r="AM156" s="112">
        <v>0</v>
      </c>
      <c r="AN156" s="112">
        <v>0</v>
      </c>
      <c r="AO156" s="112">
        <v>0</v>
      </c>
      <c r="AP156" s="112">
        <v>0</v>
      </c>
      <c r="AQ156" s="112">
        <v>0</v>
      </c>
      <c r="AR156" s="112">
        <v>0</v>
      </c>
      <c r="AS156" s="112">
        <v>0</v>
      </c>
      <c r="AT156" s="112">
        <v>0</v>
      </c>
      <c r="AU156" s="112">
        <v>0</v>
      </c>
      <c r="AV156" s="112">
        <v>0</v>
      </c>
      <c r="AW156" s="112">
        <v>0</v>
      </c>
      <c r="AX156" s="112">
        <v>0</v>
      </c>
      <c r="AY156" s="112">
        <v>0</v>
      </c>
    </row>
    <row r="157" spans="1:51" x14ac:dyDescent="0.2">
      <c r="A157" s="115"/>
      <c r="B157" s="133">
        <v>36</v>
      </c>
      <c r="C157" s="112">
        <v>0</v>
      </c>
      <c r="D157" s="112">
        <v>0</v>
      </c>
      <c r="E157" s="112">
        <v>0</v>
      </c>
      <c r="F157" s="112">
        <v>0</v>
      </c>
      <c r="G157" s="112">
        <v>0</v>
      </c>
      <c r="H157" s="112">
        <v>0</v>
      </c>
      <c r="I157" s="112">
        <v>0</v>
      </c>
      <c r="J157" s="112">
        <v>0</v>
      </c>
      <c r="K157" s="112">
        <v>0</v>
      </c>
      <c r="L157" s="112">
        <v>0</v>
      </c>
      <c r="M157" s="112">
        <v>0</v>
      </c>
      <c r="N157" s="112">
        <v>0</v>
      </c>
      <c r="O157" s="112">
        <v>0</v>
      </c>
      <c r="P157" s="112">
        <v>0</v>
      </c>
      <c r="Q157" s="112">
        <v>0</v>
      </c>
      <c r="R157" s="112">
        <v>0</v>
      </c>
      <c r="S157" s="112">
        <v>0</v>
      </c>
      <c r="T157" s="112">
        <v>0</v>
      </c>
      <c r="U157" s="112">
        <v>0</v>
      </c>
      <c r="V157" s="112">
        <v>0</v>
      </c>
      <c r="W157" s="112">
        <v>0</v>
      </c>
      <c r="X157" s="112">
        <v>0</v>
      </c>
      <c r="Y157" s="112">
        <v>0</v>
      </c>
      <c r="Z157" s="112">
        <v>0</v>
      </c>
      <c r="AA157" s="112">
        <v>0</v>
      </c>
      <c r="AB157" s="112">
        <v>0</v>
      </c>
      <c r="AC157" s="112">
        <v>0</v>
      </c>
      <c r="AD157" s="112">
        <v>0</v>
      </c>
      <c r="AE157" s="112">
        <v>0</v>
      </c>
      <c r="AF157" s="112">
        <v>0</v>
      </c>
      <c r="AG157" s="112">
        <v>0</v>
      </c>
      <c r="AH157" s="112">
        <v>0</v>
      </c>
      <c r="AI157" s="112">
        <v>0</v>
      </c>
      <c r="AJ157" s="112">
        <v>0</v>
      </c>
      <c r="AK157" s="112">
        <v>0</v>
      </c>
      <c r="AL157" s="112">
        <v>0</v>
      </c>
      <c r="AM157" s="112">
        <v>0</v>
      </c>
      <c r="AN157" s="112">
        <v>0</v>
      </c>
      <c r="AO157" s="112">
        <v>0</v>
      </c>
      <c r="AP157" s="112">
        <v>0</v>
      </c>
      <c r="AQ157" s="112">
        <v>0</v>
      </c>
      <c r="AR157" s="112">
        <v>0</v>
      </c>
      <c r="AS157" s="112">
        <v>0</v>
      </c>
      <c r="AT157" s="112">
        <v>0</v>
      </c>
      <c r="AU157" s="112">
        <v>0</v>
      </c>
      <c r="AV157" s="112">
        <v>0</v>
      </c>
      <c r="AW157" s="112">
        <v>0</v>
      </c>
      <c r="AX157" s="112">
        <v>0</v>
      </c>
      <c r="AY157" s="112">
        <v>0</v>
      </c>
    </row>
    <row r="158" spans="1:51" x14ac:dyDescent="0.2">
      <c r="A158" s="115"/>
      <c r="B158" s="136">
        <v>37</v>
      </c>
      <c r="C158" s="112">
        <v>0</v>
      </c>
      <c r="D158" s="112">
        <v>0</v>
      </c>
      <c r="E158" s="112">
        <v>0</v>
      </c>
      <c r="F158" s="112">
        <v>0</v>
      </c>
      <c r="G158" s="112">
        <v>0</v>
      </c>
      <c r="H158" s="112">
        <v>0</v>
      </c>
      <c r="I158" s="112">
        <v>0</v>
      </c>
      <c r="J158" s="112">
        <v>0</v>
      </c>
      <c r="K158" s="112">
        <v>0</v>
      </c>
      <c r="L158" s="112">
        <v>0</v>
      </c>
      <c r="M158" s="112">
        <v>0</v>
      </c>
      <c r="N158" s="112">
        <v>0</v>
      </c>
      <c r="O158" s="112">
        <v>0</v>
      </c>
      <c r="P158" s="112">
        <v>0</v>
      </c>
      <c r="Q158" s="112">
        <v>0</v>
      </c>
      <c r="R158" s="112">
        <v>0</v>
      </c>
      <c r="S158" s="112">
        <v>0</v>
      </c>
      <c r="T158" s="112">
        <v>0</v>
      </c>
      <c r="U158" s="112">
        <v>0</v>
      </c>
      <c r="V158" s="112">
        <v>0</v>
      </c>
      <c r="W158" s="112">
        <v>0</v>
      </c>
      <c r="X158" s="112">
        <v>0</v>
      </c>
      <c r="Y158" s="112">
        <v>0</v>
      </c>
      <c r="Z158" s="112">
        <v>0</v>
      </c>
      <c r="AA158" s="112">
        <v>0</v>
      </c>
      <c r="AB158" s="112">
        <v>0</v>
      </c>
      <c r="AC158" s="112">
        <v>0</v>
      </c>
      <c r="AD158" s="112">
        <v>0</v>
      </c>
      <c r="AE158" s="112">
        <v>0</v>
      </c>
      <c r="AF158" s="112">
        <v>0</v>
      </c>
      <c r="AG158" s="112">
        <v>0</v>
      </c>
      <c r="AH158" s="112">
        <v>0</v>
      </c>
      <c r="AI158" s="112">
        <v>0</v>
      </c>
      <c r="AJ158" s="112">
        <v>0</v>
      </c>
      <c r="AK158" s="112">
        <v>0</v>
      </c>
      <c r="AL158" s="112">
        <v>0</v>
      </c>
      <c r="AM158" s="112">
        <v>0</v>
      </c>
      <c r="AN158" s="112">
        <v>0</v>
      </c>
      <c r="AO158" s="112">
        <v>0</v>
      </c>
      <c r="AP158" s="112">
        <v>0</v>
      </c>
      <c r="AQ158" s="112">
        <v>0</v>
      </c>
      <c r="AR158" s="112">
        <v>0</v>
      </c>
      <c r="AS158" s="112">
        <v>0</v>
      </c>
      <c r="AT158" s="112">
        <v>0</v>
      </c>
      <c r="AU158" s="112">
        <v>0</v>
      </c>
      <c r="AV158" s="112">
        <v>0</v>
      </c>
      <c r="AW158" s="112">
        <v>0</v>
      </c>
      <c r="AX158" s="112">
        <v>0</v>
      </c>
      <c r="AY158" s="112">
        <v>0</v>
      </c>
    </row>
    <row r="159" spans="1:51" x14ac:dyDescent="0.2">
      <c r="A159" s="115"/>
      <c r="B159" s="136">
        <v>38</v>
      </c>
      <c r="C159" s="112">
        <v>0</v>
      </c>
      <c r="D159" s="112">
        <v>0</v>
      </c>
      <c r="E159" s="112">
        <v>0</v>
      </c>
      <c r="F159" s="112">
        <v>0</v>
      </c>
      <c r="G159" s="112">
        <v>0</v>
      </c>
      <c r="H159" s="112">
        <v>0</v>
      </c>
      <c r="I159" s="112">
        <v>0</v>
      </c>
      <c r="J159" s="112">
        <v>0</v>
      </c>
      <c r="K159" s="112">
        <v>0</v>
      </c>
      <c r="L159" s="112">
        <v>0</v>
      </c>
      <c r="M159" s="112">
        <v>0</v>
      </c>
      <c r="N159" s="112">
        <v>0</v>
      </c>
      <c r="O159" s="112">
        <v>0</v>
      </c>
      <c r="P159" s="112">
        <v>0</v>
      </c>
      <c r="Q159" s="112">
        <v>0</v>
      </c>
      <c r="R159" s="112">
        <v>0</v>
      </c>
      <c r="S159" s="112">
        <v>0</v>
      </c>
      <c r="T159" s="112">
        <v>0</v>
      </c>
      <c r="U159" s="112">
        <v>0</v>
      </c>
      <c r="V159" s="112">
        <v>0</v>
      </c>
      <c r="W159" s="112">
        <v>0</v>
      </c>
      <c r="X159" s="112">
        <v>0</v>
      </c>
      <c r="Y159" s="112">
        <v>0</v>
      </c>
      <c r="Z159" s="112">
        <v>0</v>
      </c>
      <c r="AA159" s="112">
        <v>0</v>
      </c>
      <c r="AB159" s="112">
        <v>0</v>
      </c>
      <c r="AC159" s="112">
        <v>0</v>
      </c>
      <c r="AD159" s="112">
        <v>0</v>
      </c>
      <c r="AE159" s="112">
        <v>0</v>
      </c>
      <c r="AF159" s="112">
        <v>0</v>
      </c>
      <c r="AG159" s="112">
        <v>0</v>
      </c>
      <c r="AH159" s="112">
        <v>0</v>
      </c>
      <c r="AI159" s="112">
        <v>0</v>
      </c>
      <c r="AJ159" s="112">
        <v>0</v>
      </c>
      <c r="AK159" s="112">
        <v>0</v>
      </c>
      <c r="AL159" s="112">
        <v>0</v>
      </c>
      <c r="AM159" s="112">
        <v>0</v>
      </c>
      <c r="AN159" s="112">
        <v>0</v>
      </c>
      <c r="AO159" s="112">
        <v>0</v>
      </c>
      <c r="AP159" s="112">
        <v>0</v>
      </c>
      <c r="AQ159" s="112">
        <v>0</v>
      </c>
      <c r="AR159" s="112">
        <v>0</v>
      </c>
      <c r="AS159" s="112">
        <v>0</v>
      </c>
      <c r="AT159" s="112">
        <v>0</v>
      </c>
      <c r="AU159" s="112">
        <v>0</v>
      </c>
      <c r="AV159" s="112">
        <v>0</v>
      </c>
      <c r="AW159" s="112">
        <v>0</v>
      </c>
      <c r="AX159" s="112">
        <v>0</v>
      </c>
      <c r="AY159" s="112">
        <v>0</v>
      </c>
    </row>
    <row r="160" spans="1:51" x14ac:dyDescent="0.2">
      <c r="A160" s="115"/>
      <c r="B160" s="136">
        <v>39</v>
      </c>
      <c r="C160" s="112">
        <v>0</v>
      </c>
      <c r="D160" s="112">
        <v>0</v>
      </c>
      <c r="E160" s="112">
        <v>0</v>
      </c>
      <c r="F160" s="112">
        <v>0</v>
      </c>
      <c r="G160" s="112">
        <v>0</v>
      </c>
      <c r="H160" s="112">
        <v>0</v>
      </c>
      <c r="I160" s="112">
        <v>0</v>
      </c>
      <c r="J160" s="112">
        <v>0</v>
      </c>
      <c r="K160" s="112">
        <v>0</v>
      </c>
      <c r="L160" s="112">
        <v>0</v>
      </c>
      <c r="M160" s="112">
        <v>0</v>
      </c>
      <c r="N160" s="112">
        <v>0</v>
      </c>
      <c r="O160" s="112">
        <v>0</v>
      </c>
      <c r="P160" s="112">
        <v>0</v>
      </c>
      <c r="Q160" s="112">
        <v>0</v>
      </c>
      <c r="R160" s="112">
        <v>0</v>
      </c>
      <c r="S160" s="112">
        <v>0</v>
      </c>
      <c r="T160" s="112">
        <v>0</v>
      </c>
      <c r="U160" s="112">
        <v>0</v>
      </c>
      <c r="V160" s="112">
        <v>0</v>
      </c>
      <c r="W160" s="112">
        <v>0</v>
      </c>
      <c r="X160" s="112">
        <v>0</v>
      </c>
      <c r="Y160" s="112">
        <v>0</v>
      </c>
      <c r="Z160" s="112">
        <v>0</v>
      </c>
      <c r="AA160" s="112">
        <v>0</v>
      </c>
      <c r="AB160" s="112">
        <v>0</v>
      </c>
      <c r="AC160" s="112">
        <v>0</v>
      </c>
      <c r="AD160" s="112">
        <v>0</v>
      </c>
      <c r="AE160" s="112">
        <v>0</v>
      </c>
      <c r="AF160" s="112">
        <v>0</v>
      </c>
      <c r="AG160" s="112">
        <v>0</v>
      </c>
      <c r="AH160" s="112">
        <v>0</v>
      </c>
      <c r="AI160" s="112">
        <v>0</v>
      </c>
      <c r="AJ160" s="112">
        <v>0</v>
      </c>
      <c r="AK160" s="112">
        <v>0</v>
      </c>
      <c r="AL160" s="112">
        <v>0</v>
      </c>
      <c r="AM160" s="112">
        <v>0</v>
      </c>
      <c r="AN160" s="112">
        <v>0</v>
      </c>
      <c r="AO160" s="112">
        <v>0</v>
      </c>
      <c r="AP160" s="112">
        <v>0</v>
      </c>
      <c r="AQ160" s="112">
        <v>0</v>
      </c>
      <c r="AR160" s="112">
        <v>0</v>
      </c>
      <c r="AS160" s="112">
        <v>0</v>
      </c>
      <c r="AT160" s="112">
        <v>0</v>
      </c>
      <c r="AU160" s="112">
        <v>0</v>
      </c>
      <c r="AV160" s="112">
        <v>0</v>
      </c>
      <c r="AW160" s="112">
        <v>0</v>
      </c>
      <c r="AX160" s="112">
        <v>0</v>
      </c>
      <c r="AY160" s="112">
        <v>0</v>
      </c>
    </row>
    <row r="161" spans="1:52" x14ac:dyDescent="0.2">
      <c r="A161" s="115"/>
      <c r="B161" s="136">
        <v>40</v>
      </c>
      <c r="C161" s="112">
        <v>0</v>
      </c>
      <c r="D161" s="112">
        <v>0</v>
      </c>
      <c r="E161" s="112">
        <v>0</v>
      </c>
      <c r="F161" s="112">
        <v>0</v>
      </c>
      <c r="G161" s="112">
        <v>0</v>
      </c>
      <c r="H161" s="112">
        <v>0</v>
      </c>
      <c r="I161" s="112">
        <v>0</v>
      </c>
      <c r="J161" s="112">
        <v>0</v>
      </c>
      <c r="K161" s="112">
        <v>0</v>
      </c>
      <c r="L161" s="112">
        <v>0</v>
      </c>
      <c r="M161" s="112">
        <v>0</v>
      </c>
      <c r="N161" s="112">
        <v>0</v>
      </c>
      <c r="O161" s="112">
        <v>0</v>
      </c>
      <c r="P161" s="112">
        <v>0</v>
      </c>
      <c r="Q161" s="112">
        <v>0</v>
      </c>
      <c r="R161" s="112">
        <v>0</v>
      </c>
      <c r="S161" s="112">
        <v>0</v>
      </c>
      <c r="T161" s="112">
        <v>0</v>
      </c>
      <c r="U161" s="112">
        <v>0</v>
      </c>
      <c r="V161" s="112">
        <v>0</v>
      </c>
      <c r="W161" s="112">
        <v>0</v>
      </c>
      <c r="X161" s="112">
        <v>0</v>
      </c>
      <c r="Y161" s="112">
        <v>0</v>
      </c>
      <c r="Z161" s="112">
        <v>0</v>
      </c>
      <c r="AA161" s="112">
        <v>0</v>
      </c>
      <c r="AB161" s="112">
        <v>0</v>
      </c>
      <c r="AC161" s="112">
        <v>0</v>
      </c>
      <c r="AD161" s="112">
        <v>0</v>
      </c>
      <c r="AE161" s="112">
        <v>0</v>
      </c>
      <c r="AF161" s="112">
        <v>0</v>
      </c>
      <c r="AG161" s="112">
        <v>0</v>
      </c>
      <c r="AH161" s="112">
        <v>0</v>
      </c>
      <c r="AI161" s="112">
        <v>0</v>
      </c>
      <c r="AJ161" s="112">
        <v>0</v>
      </c>
      <c r="AK161" s="112">
        <v>0</v>
      </c>
      <c r="AL161" s="112">
        <v>0</v>
      </c>
      <c r="AM161" s="112">
        <v>0</v>
      </c>
      <c r="AN161" s="112">
        <v>0</v>
      </c>
      <c r="AO161" s="112">
        <v>0</v>
      </c>
      <c r="AP161" s="112">
        <v>0</v>
      </c>
      <c r="AQ161" s="112">
        <v>0</v>
      </c>
      <c r="AR161" s="112">
        <v>0</v>
      </c>
      <c r="AS161" s="112">
        <v>0</v>
      </c>
      <c r="AT161" s="112">
        <v>0</v>
      </c>
      <c r="AU161" s="112">
        <v>0</v>
      </c>
      <c r="AV161" s="112">
        <v>0</v>
      </c>
      <c r="AW161" s="112">
        <v>0</v>
      </c>
      <c r="AX161" s="112">
        <v>0</v>
      </c>
      <c r="AY161" s="112">
        <v>0</v>
      </c>
    </row>
    <row r="162" spans="1:52" x14ac:dyDescent="0.2">
      <c r="A162" s="115"/>
      <c r="B162" s="136">
        <v>41</v>
      </c>
      <c r="C162" s="112">
        <v>0</v>
      </c>
      <c r="D162" s="112">
        <v>0</v>
      </c>
      <c r="E162" s="112">
        <v>0</v>
      </c>
      <c r="F162" s="112">
        <v>0</v>
      </c>
      <c r="G162" s="112">
        <v>0</v>
      </c>
      <c r="H162" s="112">
        <v>0</v>
      </c>
      <c r="I162" s="112">
        <v>0</v>
      </c>
      <c r="J162" s="112">
        <v>0</v>
      </c>
      <c r="K162" s="112">
        <v>0</v>
      </c>
      <c r="L162" s="112">
        <v>0</v>
      </c>
      <c r="M162" s="112">
        <v>0</v>
      </c>
      <c r="N162" s="112">
        <v>0</v>
      </c>
      <c r="O162" s="112">
        <v>0</v>
      </c>
      <c r="P162" s="112">
        <v>0</v>
      </c>
      <c r="Q162" s="112">
        <v>0</v>
      </c>
      <c r="R162" s="112">
        <v>0</v>
      </c>
      <c r="S162" s="112">
        <v>0</v>
      </c>
      <c r="T162" s="112">
        <v>0</v>
      </c>
      <c r="U162" s="112">
        <v>0</v>
      </c>
      <c r="V162" s="112">
        <v>0</v>
      </c>
      <c r="W162" s="112">
        <v>0</v>
      </c>
      <c r="X162" s="112">
        <v>0</v>
      </c>
      <c r="Y162" s="112">
        <v>0</v>
      </c>
      <c r="Z162" s="112">
        <v>0</v>
      </c>
      <c r="AA162" s="112">
        <v>0</v>
      </c>
      <c r="AB162" s="112">
        <v>0</v>
      </c>
      <c r="AC162" s="112">
        <v>0</v>
      </c>
      <c r="AD162" s="112">
        <v>0</v>
      </c>
      <c r="AE162" s="112">
        <v>0</v>
      </c>
      <c r="AF162" s="112">
        <v>0</v>
      </c>
      <c r="AG162" s="112">
        <v>0</v>
      </c>
      <c r="AH162" s="112">
        <v>0</v>
      </c>
      <c r="AI162" s="112">
        <v>0</v>
      </c>
      <c r="AJ162" s="112">
        <v>0</v>
      </c>
      <c r="AK162" s="112">
        <v>0</v>
      </c>
      <c r="AL162" s="112">
        <v>0</v>
      </c>
      <c r="AM162" s="112">
        <v>0</v>
      </c>
      <c r="AN162" s="112">
        <v>0</v>
      </c>
      <c r="AO162" s="112">
        <v>0</v>
      </c>
      <c r="AP162" s="112">
        <v>0</v>
      </c>
      <c r="AQ162" s="112">
        <v>0</v>
      </c>
      <c r="AR162" s="112">
        <v>0</v>
      </c>
      <c r="AS162" s="112">
        <v>0</v>
      </c>
      <c r="AT162" s="112">
        <v>0</v>
      </c>
      <c r="AU162" s="112">
        <v>0</v>
      </c>
      <c r="AV162" s="112">
        <v>0</v>
      </c>
      <c r="AW162" s="112">
        <v>0</v>
      </c>
      <c r="AX162" s="112">
        <v>0</v>
      </c>
      <c r="AY162" s="112">
        <v>0</v>
      </c>
    </row>
    <row r="163" spans="1:52" x14ac:dyDescent="0.2">
      <c r="A163" s="115"/>
      <c r="B163" s="136">
        <v>42</v>
      </c>
      <c r="C163" s="112">
        <v>0</v>
      </c>
      <c r="D163" s="112">
        <v>0</v>
      </c>
      <c r="E163" s="112">
        <v>0</v>
      </c>
      <c r="F163" s="112">
        <v>0</v>
      </c>
      <c r="G163" s="112">
        <v>0</v>
      </c>
      <c r="H163" s="112">
        <v>0</v>
      </c>
      <c r="I163" s="112">
        <v>0</v>
      </c>
      <c r="J163" s="112">
        <v>0</v>
      </c>
      <c r="K163" s="112">
        <v>0</v>
      </c>
      <c r="L163" s="112">
        <v>0</v>
      </c>
      <c r="M163" s="112">
        <v>0</v>
      </c>
      <c r="N163" s="112">
        <v>0</v>
      </c>
      <c r="O163" s="112">
        <v>0</v>
      </c>
      <c r="P163" s="112">
        <v>0</v>
      </c>
      <c r="Q163" s="112">
        <v>0</v>
      </c>
      <c r="R163" s="112">
        <v>0</v>
      </c>
      <c r="S163" s="112">
        <v>0</v>
      </c>
      <c r="T163" s="112">
        <v>0</v>
      </c>
      <c r="U163" s="112">
        <v>0</v>
      </c>
      <c r="V163" s="112">
        <v>0</v>
      </c>
      <c r="W163" s="112">
        <v>0</v>
      </c>
      <c r="X163" s="112">
        <v>0</v>
      </c>
      <c r="Y163" s="112">
        <v>0</v>
      </c>
      <c r="Z163" s="112">
        <v>0</v>
      </c>
      <c r="AA163" s="112">
        <v>0</v>
      </c>
      <c r="AB163" s="112">
        <v>0</v>
      </c>
      <c r="AC163" s="112">
        <v>0</v>
      </c>
      <c r="AD163" s="112">
        <v>0</v>
      </c>
      <c r="AE163" s="112">
        <v>0</v>
      </c>
      <c r="AF163" s="112">
        <v>0</v>
      </c>
      <c r="AG163" s="112">
        <v>0</v>
      </c>
      <c r="AH163" s="112">
        <v>0</v>
      </c>
      <c r="AI163" s="112">
        <v>0</v>
      </c>
      <c r="AJ163" s="112">
        <v>0</v>
      </c>
      <c r="AK163" s="112">
        <v>0</v>
      </c>
      <c r="AL163" s="112">
        <v>0</v>
      </c>
      <c r="AM163" s="112">
        <v>0</v>
      </c>
      <c r="AN163" s="112">
        <v>0</v>
      </c>
      <c r="AO163" s="112">
        <v>0</v>
      </c>
      <c r="AP163" s="112">
        <v>0</v>
      </c>
      <c r="AQ163" s="112">
        <v>0</v>
      </c>
      <c r="AR163" s="112">
        <v>0</v>
      </c>
      <c r="AS163" s="112">
        <v>0</v>
      </c>
      <c r="AT163" s="112">
        <v>0</v>
      </c>
      <c r="AU163" s="112">
        <v>0</v>
      </c>
      <c r="AV163" s="112">
        <v>0</v>
      </c>
      <c r="AW163" s="112">
        <v>0</v>
      </c>
      <c r="AX163" s="112">
        <v>0</v>
      </c>
      <c r="AY163" s="112">
        <v>0</v>
      </c>
    </row>
    <row r="164" spans="1:52" x14ac:dyDescent="0.2">
      <c r="A164" s="115"/>
      <c r="B164" s="136">
        <v>43</v>
      </c>
      <c r="C164" s="112">
        <v>0</v>
      </c>
      <c r="D164" s="112">
        <v>0</v>
      </c>
      <c r="E164" s="112">
        <v>0</v>
      </c>
      <c r="F164" s="112">
        <v>0</v>
      </c>
      <c r="G164" s="112">
        <v>0</v>
      </c>
      <c r="H164" s="112">
        <v>0</v>
      </c>
      <c r="I164" s="112">
        <v>0</v>
      </c>
      <c r="J164" s="112">
        <v>0</v>
      </c>
      <c r="K164" s="112">
        <v>0</v>
      </c>
      <c r="L164" s="112">
        <v>0</v>
      </c>
      <c r="M164" s="112">
        <v>0</v>
      </c>
      <c r="N164" s="112">
        <v>0</v>
      </c>
      <c r="O164" s="112">
        <v>0</v>
      </c>
      <c r="P164" s="112">
        <v>0</v>
      </c>
      <c r="Q164" s="112">
        <v>0</v>
      </c>
      <c r="R164" s="112">
        <v>0</v>
      </c>
      <c r="S164" s="112">
        <v>0</v>
      </c>
      <c r="T164" s="112">
        <v>0</v>
      </c>
      <c r="U164" s="112">
        <v>0</v>
      </c>
      <c r="V164" s="112">
        <v>0</v>
      </c>
      <c r="W164" s="112">
        <v>0</v>
      </c>
      <c r="X164" s="112">
        <v>0</v>
      </c>
      <c r="Y164" s="112">
        <v>0</v>
      </c>
      <c r="Z164" s="112">
        <v>0</v>
      </c>
      <c r="AA164" s="112">
        <v>0</v>
      </c>
      <c r="AB164" s="112">
        <v>0</v>
      </c>
      <c r="AC164" s="112">
        <v>0</v>
      </c>
      <c r="AD164" s="112">
        <v>0</v>
      </c>
      <c r="AE164" s="112">
        <v>0</v>
      </c>
      <c r="AF164" s="112">
        <v>0</v>
      </c>
      <c r="AG164" s="112">
        <v>0</v>
      </c>
      <c r="AH164" s="112">
        <v>0</v>
      </c>
      <c r="AI164" s="112">
        <v>0</v>
      </c>
      <c r="AJ164" s="112">
        <v>0</v>
      </c>
      <c r="AK164" s="112">
        <v>0</v>
      </c>
      <c r="AL164" s="112">
        <v>0</v>
      </c>
      <c r="AM164" s="112">
        <v>0</v>
      </c>
      <c r="AN164" s="112">
        <v>0</v>
      </c>
      <c r="AO164" s="112">
        <v>0</v>
      </c>
      <c r="AP164" s="112">
        <v>0</v>
      </c>
      <c r="AQ164" s="112">
        <v>0</v>
      </c>
      <c r="AR164" s="112">
        <v>0</v>
      </c>
      <c r="AS164" s="112">
        <v>0</v>
      </c>
      <c r="AT164" s="112">
        <v>0</v>
      </c>
      <c r="AU164" s="112">
        <v>0</v>
      </c>
      <c r="AV164" s="112">
        <v>0</v>
      </c>
      <c r="AW164" s="112">
        <v>0</v>
      </c>
      <c r="AX164" s="112">
        <v>0</v>
      </c>
      <c r="AY164" s="112">
        <v>0</v>
      </c>
    </row>
    <row r="165" spans="1:52" x14ac:dyDescent="0.2">
      <c r="A165" s="115"/>
      <c r="B165" s="136">
        <v>44</v>
      </c>
      <c r="C165" s="112">
        <v>0</v>
      </c>
      <c r="D165" s="112">
        <v>0</v>
      </c>
      <c r="E165" s="112">
        <v>0</v>
      </c>
      <c r="F165" s="112">
        <v>0</v>
      </c>
      <c r="G165" s="112">
        <v>0</v>
      </c>
      <c r="H165" s="112">
        <v>0</v>
      </c>
      <c r="I165" s="112">
        <v>0</v>
      </c>
      <c r="J165" s="112">
        <v>0</v>
      </c>
      <c r="K165" s="112">
        <v>0</v>
      </c>
      <c r="L165" s="112">
        <v>0</v>
      </c>
      <c r="M165" s="112">
        <v>0</v>
      </c>
      <c r="N165" s="112">
        <v>0</v>
      </c>
      <c r="O165" s="112">
        <v>0</v>
      </c>
      <c r="P165" s="112">
        <v>0</v>
      </c>
      <c r="Q165" s="112">
        <v>0</v>
      </c>
      <c r="R165" s="112">
        <v>0</v>
      </c>
      <c r="S165" s="112">
        <v>0</v>
      </c>
      <c r="T165" s="112">
        <v>0</v>
      </c>
      <c r="U165" s="112">
        <v>0</v>
      </c>
      <c r="V165" s="112">
        <v>0</v>
      </c>
      <c r="W165" s="112">
        <v>0</v>
      </c>
      <c r="X165" s="112">
        <v>0</v>
      </c>
      <c r="Y165" s="112">
        <v>0</v>
      </c>
      <c r="Z165" s="112">
        <v>0</v>
      </c>
      <c r="AA165" s="112">
        <v>0</v>
      </c>
      <c r="AB165" s="112">
        <v>0</v>
      </c>
      <c r="AC165" s="112">
        <v>0</v>
      </c>
      <c r="AD165" s="112">
        <v>0</v>
      </c>
      <c r="AE165" s="112">
        <v>0</v>
      </c>
      <c r="AF165" s="112">
        <v>0</v>
      </c>
      <c r="AG165" s="112">
        <v>0</v>
      </c>
      <c r="AH165" s="112">
        <v>0</v>
      </c>
      <c r="AI165" s="112">
        <v>0</v>
      </c>
      <c r="AJ165" s="112">
        <v>0</v>
      </c>
      <c r="AK165" s="112">
        <v>0</v>
      </c>
      <c r="AL165" s="112">
        <v>0</v>
      </c>
      <c r="AM165" s="112">
        <v>0</v>
      </c>
      <c r="AN165" s="112">
        <v>0</v>
      </c>
      <c r="AO165" s="112">
        <v>0</v>
      </c>
      <c r="AP165" s="112">
        <v>0</v>
      </c>
      <c r="AQ165" s="112">
        <v>0</v>
      </c>
      <c r="AR165" s="112">
        <v>0</v>
      </c>
      <c r="AS165" s="112">
        <v>0</v>
      </c>
      <c r="AT165" s="112">
        <v>0</v>
      </c>
      <c r="AU165" s="112">
        <v>0</v>
      </c>
      <c r="AV165" s="112">
        <v>0</v>
      </c>
      <c r="AW165" s="112">
        <v>0</v>
      </c>
      <c r="AX165" s="112">
        <v>0</v>
      </c>
      <c r="AY165" s="112">
        <v>0</v>
      </c>
    </row>
    <row r="166" spans="1:52" x14ac:dyDescent="0.2">
      <c r="A166" s="115"/>
      <c r="B166" s="136">
        <v>45</v>
      </c>
      <c r="C166" s="112">
        <v>0</v>
      </c>
      <c r="D166" s="112">
        <v>0</v>
      </c>
      <c r="E166" s="112">
        <v>0</v>
      </c>
      <c r="F166" s="112">
        <v>0</v>
      </c>
      <c r="G166" s="112">
        <v>0</v>
      </c>
      <c r="H166" s="112">
        <v>0</v>
      </c>
      <c r="I166" s="112">
        <v>0</v>
      </c>
      <c r="J166" s="112">
        <v>0</v>
      </c>
      <c r="K166" s="112">
        <v>0</v>
      </c>
      <c r="L166" s="112">
        <v>0</v>
      </c>
      <c r="M166" s="112">
        <v>0</v>
      </c>
      <c r="N166" s="112">
        <v>0</v>
      </c>
      <c r="O166" s="112">
        <v>0</v>
      </c>
      <c r="P166" s="112">
        <v>0</v>
      </c>
      <c r="Q166" s="112">
        <v>0</v>
      </c>
      <c r="R166" s="112">
        <v>0</v>
      </c>
      <c r="S166" s="112">
        <v>0</v>
      </c>
      <c r="T166" s="112">
        <v>0</v>
      </c>
      <c r="U166" s="112">
        <v>0</v>
      </c>
      <c r="V166" s="112">
        <v>0</v>
      </c>
      <c r="W166" s="112">
        <v>0</v>
      </c>
      <c r="X166" s="112">
        <v>0</v>
      </c>
      <c r="Y166" s="112">
        <v>0</v>
      </c>
      <c r="Z166" s="112">
        <v>0</v>
      </c>
      <c r="AA166" s="112">
        <v>0</v>
      </c>
      <c r="AB166" s="112">
        <v>0</v>
      </c>
      <c r="AC166" s="112">
        <v>0</v>
      </c>
      <c r="AD166" s="112">
        <v>0</v>
      </c>
      <c r="AE166" s="112">
        <v>0</v>
      </c>
      <c r="AF166" s="112">
        <v>0</v>
      </c>
      <c r="AG166" s="112">
        <v>0</v>
      </c>
      <c r="AH166" s="112">
        <v>0</v>
      </c>
      <c r="AI166" s="112">
        <v>0</v>
      </c>
      <c r="AJ166" s="112">
        <v>0</v>
      </c>
      <c r="AK166" s="112">
        <v>0</v>
      </c>
      <c r="AL166" s="112">
        <v>0</v>
      </c>
      <c r="AM166" s="112">
        <v>0</v>
      </c>
      <c r="AN166" s="112">
        <v>0</v>
      </c>
      <c r="AO166" s="112">
        <v>0</v>
      </c>
      <c r="AP166" s="112">
        <v>0</v>
      </c>
      <c r="AQ166" s="112">
        <v>0</v>
      </c>
      <c r="AR166" s="112">
        <v>0</v>
      </c>
      <c r="AS166" s="112">
        <v>0</v>
      </c>
      <c r="AT166" s="112">
        <v>0</v>
      </c>
      <c r="AU166" s="112">
        <v>0</v>
      </c>
      <c r="AV166" s="112">
        <v>0</v>
      </c>
      <c r="AW166" s="112">
        <v>0</v>
      </c>
      <c r="AX166" s="112">
        <v>0</v>
      </c>
      <c r="AY166" s="112">
        <v>0</v>
      </c>
    </row>
    <row r="167" spans="1:52" x14ac:dyDescent="0.2">
      <c r="A167" s="115"/>
      <c r="B167" s="136">
        <v>46</v>
      </c>
      <c r="C167" s="112">
        <v>0</v>
      </c>
      <c r="D167" s="112">
        <v>0</v>
      </c>
      <c r="E167" s="112">
        <v>0</v>
      </c>
      <c r="F167" s="112">
        <v>0</v>
      </c>
      <c r="G167" s="112">
        <v>0</v>
      </c>
      <c r="H167" s="112">
        <v>0</v>
      </c>
      <c r="I167" s="112">
        <v>0</v>
      </c>
      <c r="J167" s="112">
        <v>0</v>
      </c>
      <c r="K167" s="112">
        <v>0</v>
      </c>
      <c r="L167" s="112">
        <v>0</v>
      </c>
      <c r="M167" s="112">
        <v>0</v>
      </c>
      <c r="N167" s="112">
        <v>0</v>
      </c>
      <c r="O167" s="112">
        <v>0</v>
      </c>
      <c r="P167" s="112">
        <v>0</v>
      </c>
      <c r="Q167" s="112">
        <v>0</v>
      </c>
      <c r="R167" s="112">
        <v>0</v>
      </c>
      <c r="S167" s="112">
        <v>0</v>
      </c>
      <c r="T167" s="112">
        <v>0</v>
      </c>
      <c r="U167" s="112">
        <v>0</v>
      </c>
      <c r="V167" s="112">
        <v>0</v>
      </c>
      <c r="W167" s="112">
        <v>0</v>
      </c>
      <c r="X167" s="112">
        <v>0</v>
      </c>
      <c r="Y167" s="112">
        <v>0</v>
      </c>
      <c r="Z167" s="112">
        <v>0</v>
      </c>
      <c r="AA167" s="112">
        <v>0</v>
      </c>
      <c r="AB167" s="112">
        <v>0</v>
      </c>
      <c r="AC167" s="112">
        <v>0</v>
      </c>
      <c r="AD167" s="112">
        <v>0</v>
      </c>
      <c r="AE167" s="112">
        <v>0</v>
      </c>
      <c r="AF167" s="112">
        <v>0</v>
      </c>
      <c r="AG167" s="112">
        <v>0</v>
      </c>
      <c r="AH167" s="112">
        <v>0</v>
      </c>
      <c r="AI167" s="112">
        <v>0</v>
      </c>
      <c r="AJ167" s="112">
        <v>0</v>
      </c>
      <c r="AK167" s="112">
        <v>0</v>
      </c>
      <c r="AL167" s="112">
        <v>0</v>
      </c>
      <c r="AM167" s="112">
        <v>0</v>
      </c>
      <c r="AN167" s="112">
        <v>0</v>
      </c>
      <c r="AO167" s="112">
        <v>0</v>
      </c>
      <c r="AP167" s="112">
        <v>0</v>
      </c>
      <c r="AQ167" s="112">
        <v>0</v>
      </c>
      <c r="AR167" s="112">
        <v>0</v>
      </c>
      <c r="AS167" s="112">
        <v>0</v>
      </c>
      <c r="AT167" s="112">
        <v>0</v>
      </c>
      <c r="AU167" s="112">
        <v>0</v>
      </c>
      <c r="AV167" s="112">
        <v>0</v>
      </c>
      <c r="AW167" s="112">
        <v>0</v>
      </c>
      <c r="AX167" s="112">
        <v>0</v>
      </c>
      <c r="AY167" s="112">
        <v>0</v>
      </c>
    </row>
    <row r="168" spans="1:52" x14ac:dyDescent="0.2">
      <c r="A168" s="115"/>
      <c r="B168" s="136">
        <v>47</v>
      </c>
      <c r="C168" s="112">
        <v>0</v>
      </c>
      <c r="D168" s="112">
        <v>0</v>
      </c>
      <c r="E168" s="112">
        <v>0</v>
      </c>
      <c r="F168" s="112">
        <v>0</v>
      </c>
      <c r="G168" s="112">
        <v>0</v>
      </c>
      <c r="H168" s="112">
        <v>0</v>
      </c>
      <c r="I168" s="112">
        <v>0</v>
      </c>
      <c r="J168" s="112">
        <v>0</v>
      </c>
      <c r="K168" s="112">
        <v>0</v>
      </c>
      <c r="L168" s="112">
        <v>0</v>
      </c>
      <c r="M168" s="112">
        <v>0</v>
      </c>
      <c r="N168" s="112">
        <v>0</v>
      </c>
      <c r="O168" s="112">
        <v>0</v>
      </c>
      <c r="P168" s="112">
        <v>0</v>
      </c>
      <c r="Q168" s="112">
        <v>0</v>
      </c>
      <c r="R168" s="112">
        <v>0</v>
      </c>
      <c r="S168" s="112">
        <v>0</v>
      </c>
      <c r="T168" s="112">
        <v>0</v>
      </c>
      <c r="U168" s="112">
        <v>0</v>
      </c>
      <c r="V168" s="112">
        <v>0</v>
      </c>
      <c r="W168" s="112">
        <v>0</v>
      </c>
      <c r="X168" s="112">
        <v>0</v>
      </c>
      <c r="Y168" s="112">
        <v>0</v>
      </c>
      <c r="Z168" s="112">
        <v>0</v>
      </c>
      <c r="AA168" s="112">
        <v>0</v>
      </c>
      <c r="AB168" s="112">
        <v>0</v>
      </c>
      <c r="AC168" s="112">
        <v>0</v>
      </c>
      <c r="AD168" s="112">
        <v>0</v>
      </c>
      <c r="AE168" s="112">
        <v>0</v>
      </c>
      <c r="AF168" s="112">
        <v>0</v>
      </c>
      <c r="AG168" s="112">
        <v>0</v>
      </c>
      <c r="AH168" s="112">
        <v>0</v>
      </c>
      <c r="AI168" s="112">
        <v>0</v>
      </c>
      <c r="AJ168" s="112">
        <v>0</v>
      </c>
      <c r="AK168" s="112">
        <v>0</v>
      </c>
      <c r="AL168" s="112">
        <v>0</v>
      </c>
      <c r="AM168" s="112">
        <v>0</v>
      </c>
      <c r="AN168" s="112">
        <v>0</v>
      </c>
      <c r="AO168" s="112">
        <v>0</v>
      </c>
      <c r="AP168" s="112">
        <v>0</v>
      </c>
      <c r="AQ168" s="112">
        <v>0</v>
      </c>
      <c r="AR168" s="112">
        <v>0</v>
      </c>
      <c r="AS168" s="112">
        <v>0</v>
      </c>
      <c r="AT168" s="112">
        <v>0</v>
      </c>
      <c r="AU168" s="112">
        <v>0</v>
      </c>
      <c r="AV168" s="112">
        <v>0</v>
      </c>
      <c r="AW168" s="112">
        <v>0</v>
      </c>
      <c r="AX168" s="112">
        <v>0</v>
      </c>
      <c r="AY168" s="112">
        <v>0</v>
      </c>
    </row>
    <row r="169" spans="1:52" x14ac:dyDescent="0.2">
      <c r="A169" s="115"/>
      <c r="B169" s="136">
        <v>48</v>
      </c>
      <c r="C169" s="112">
        <v>0</v>
      </c>
      <c r="D169" s="112">
        <v>0</v>
      </c>
      <c r="E169" s="112">
        <v>0</v>
      </c>
      <c r="F169" s="112">
        <v>0</v>
      </c>
      <c r="G169" s="112">
        <v>0</v>
      </c>
      <c r="H169" s="112">
        <v>0</v>
      </c>
      <c r="I169" s="112">
        <v>0</v>
      </c>
      <c r="J169" s="112">
        <v>0</v>
      </c>
      <c r="K169" s="112">
        <v>0</v>
      </c>
      <c r="L169" s="112">
        <v>0</v>
      </c>
      <c r="M169" s="112">
        <v>0</v>
      </c>
      <c r="N169" s="112">
        <v>0</v>
      </c>
      <c r="O169" s="112">
        <v>0</v>
      </c>
      <c r="P169" s="112">
        <v>0</v>
      </c>
      <c r="Q169" s="112">
        <v>0</v>
      </c>
      <c r="R169" s="112">
        <v>0</v>
      </c>
      <c r="S169" s="112">
        <v>0</v>
      </c>
      <c r="T169" s="112">
        <v>0</v>
      </c>
      <c r="U169" s="112">
        <v>0</v>
      </c>
      <c r="V169" s="112">
        <v>0</v>
      </c>
      <c r="W169" s="112">
        <v>0</v>
      </c>
      <c r="X169" s="112">
        <v>0</v>
      </c>
      <c r="Y169" s="112">
        <v>0</v>
      </c>
      <c r="Z169" s="112">
        <v>0</v>
      </c>
      <c r="AA169" s="112">
        <v>0</v>
      </c>
      <c r="AB169" s="112">
        <v>0</v>
      </c>
      <c r="AC169" s="112">
        <v>0</v>
      </c>
      <c r="AD169" s="112">
        <v>0</v>
      </c>
      <c r="AE169" s="112">
        <v>0</v>
      </c>
      <c r="AF169" s="112">
        <v>0</v>
      </c>
      <c r="AG169" s="112">
        <v>0</v>
      </c>
      <c r="AH169" s="112">
        <v>0</v>
      </c>
      <c r="AI169" s="112">
        <v>0</v>
      </c>
      <c r="AJ169" s="112">
        <v>0</v>
      </c>
      <c r="AK169" s="112">
        <v>0</v>
      </c>
      <c r="AL169" s="112">
        <v>0</v>
      </c>
      <c r="AM169" s="112">
        <v>0</v>
      </c>
      <c r="AN169" s="112">
        <v>0</v>
      </c>
      <c r="AO169" s="112">
        <v>0</v>
      </c>
      <c r="AP169" s="112">
        <v>0</v>
      </c>
      <c r="AQ169" s="112">
        <v>0</v>
      </c>
      <c r="AR169" s="112">
        <v>0</v>
      </c>
      <c r="AS169" s="112">
        <v>0</v>
      </c>
      <c r="AT169" s="112">
        <v>0</v>
      </c>
      <c r="AU169" s="112">
        <v>0</v>
      </c>
      <c r="AV169" s="112">
        <v>0</v>
      </c>
      <c r="AW169" s="112">
        <v>0</v>
      </c>
      <c r="AX169" s="112">
        <v>0</v>
      </c>
      <c r="AY169" s="112">
        <v>0</v>
      </c>
    </row>
    <row r="170" spans="1:52" x14ac:dyDescent="0.2">
      <c r="A170" s="134"/>
      <c r="B170" s="138" t="s">
        <v>296</v>
      </c>
      <c r="C170" s="120">
        <v>0</v>
      </c>
      <c r="D170" s="131">
        <v>0</v>
      </c>
      <c r="E170" s="131">
        <v>0</v>
      </c>
      <c r="F170" s="131">
        <v>0</v>
      </c>
      <c r="G170" s="131">
        <v>0</v>
      </c>
      <c r="H170" s="131">
        <v>0</v>
      </c>
      <c r="I170" s="131">
        <v>0</v>
      </c>
      <c r="J170" s="131">
        <v>0</v>
      </c>
      <c r="K170" s="131">
        <v>0</v>
      </c>
      <c r="L170" s="131">
        <v>0</v>
      </c>
      <c r="M170" s="131">
        <v>0</v>
      </c>
      <c r="N170" s="131">
        <v>0</v>
      </c>
      <c r="O170" s="131">
        <v>0</v>
      </c>
      <c r="P170" s="131">
        <v>0</v>
      </c>
      <c r="Q170" s="131">
        <v>0</v>
      </c>
      <c r="R170" s="131">
        <v>0</v>
      </c>
      <c r="S170" s="131">
        <v>0</v>
      </c>
      <c r="T170" s="131">
        <v>0</v>
      </c>
      <c r="U170" s="131">
        <v>0</v>
      </c>
      <c r="V170" s="131">
        <v>0</v>
      </c>
      <c r="W170" s="131">
        <v>0</v>
      </c>
      <c r="X170" s="131">
        <v>0</v>
      </c>
      <c r="Y170" s="131">
        <v>0</v>
      </c>
      <c r="Z170" s="131">
        <v>0</v>
      </c>
      <c r="AA170" s="131">
        <v>0</v>
      </c>
      <c r="AB170" s="131">
        <v>0</v>
      </c>
      <c r="AC170" s="131">
        <v>0</v>
      </c>
      <c r="AD170" s="131">
        <v>0</v>
      </c>
      <c r="AE170" s="131">
        <v>0</v>
      </c>
      <c r="AF170" s="131">
        <v>0</v>
      </c>
      <c r="AG170" s="131">
        <v>0</v>
      </c>
      <c r="AH170" s="131">
        <v>0</v>
      </c>
      <c r="AI170" s="131">
        <v>0</v>
      </c>
      <c r="AJ170" s="131">
        <v>0</v>
      </c>
      <c r="AK170" s="131">
        <v>0</v>
      </c>
      <c r="AL170" s="131">
        <v>0</v>
      </c>
      <c r="AM170" s="131">
        <v>0</v>
      </c>
      <c r="AN170" s="131">
        <v>0</v>
      </c>
      <c r="AO170" s="131">
        <v>0</v>
      </c>
      <c r="AP170" s="131">
        <v>0</v>
      </c>
      <c r="AQ170" s="131">
        <v>0</v>
      </c>
      <c r="AR170" s="131">
        <v>0</v>
      </c>
      <c r="AS170" s="131">
        <v>0</v>
      </c>
      <c r="AT170" s="131">
        <v>0</v>
      </c>
      <c r="AU170" s="131">
        <v>0</v>
      </c>
      <c r="AV170" s="131">
        <v>0</v>
      </c>
      <c r="AW170" s="131">
        <v>0</v>
      </c>
      <c r="AX170" s="131">
        <v>0</v>
      </c>
      <c r="AY170" s="131">
        <v>0</v>
      </c>
      <c r="AZ170" s="113">
        <f>SUM($D170:$AY170)</f>
        <v>0</v>
      </c>
    </row>
    <row r="172" spans="1:52" x14ac:dyDescent="0.2">
      <c r="A172" s="108" t="s">
        <v>124</v>
      </c>
      <c r="B172" s="139" t="s">
        <v>297</v>
      </c>
      <c r="C172" s="140">
        <v>8.9132703158726109E-2</v>
      </c>
      <c r="D172" s="140">
        <v>0.63662772236954202</v>
      </c>
      <c r="E172" s="140">
        <v>0.63662772236954202</v>
      </c>
      <c r="F172" s="140">
        <v>0.63662772236954202</v>
      </c>
      <c r="G172" s="140">
        <v>0.63662772236954202</v>
      </c>
      <c r="H172" s="140">
        <v>0.29028742179390699</v>
      </c>
      <c r="I172" s="140">
        <v>0.29028742179390699</v>
      </c>
      <c r="J172" s="140">
        <v>0.29028742179390699</v>
      </c>
      <c r="K172" s="140">
        <v>0.29028742179390699</v>
      </c>
      <c r="L172" s="140">
        <v>0.98500246627754096</v>
      </c>
      <c r="M172" s="140">
        <v>0.98500246627754096</v>
      </c>
      <c r="N172" s="140">
        <v>0.98500246627754096</v>
      </c>
      <c r="O172" s="140">
        <v>0.98500246627754096</v>
      </c>
      <c r="P172" s="140">
        <v>0.60456067389524604</v>
      </c>
      <c r="Q172" s="140">
        <v>0.60456067389524604</v>
      </c>
      <c r="R172" s="140">
        <v>0.60456067389524604</v>
      </c>
      <c r="S172" s="140">
        <v>0.60456067389524604</v>
      </c>
      <c r="T172" s="140">
        <v>0.61871936935901894</v>
      </c>
      <c r="U172" s="140">
        <v>0.61871936935901894</v>
      </c>
      <c r="V172" s="140">
        <v>0.61871936935901894</v>
      </c>
      <c r="W172" s="140">
        <v>0.61871936935901894</v>
      </c>
      <c r="X172" s="140">
        <v>0.65473127404636799</v>
      </c>
      <c r="Y172" s="140">
        <v>0.65473127404636799</v>
      </c>
      <c r="Z172" s="140">
        <v>0.65473127404636799</v>
      </c>
      <c r="AA172" s="140">
        <v>0.65473127404636799</v>
      </c>
      <c r="AB172" s="140">
        <v>0.63732853356673302</v>
      </c>
      <c r="AC172" s="140">
        <v>0.63732853356673302</v>
      </c>
      <c r="AD172" s="140">
        <v>0.63732853356673302</v>
      </c>
      <c r="AE172" s="140">
        <v>0.63732853356673302</v>
      </c>
      <c r="AF172" s="140">
        <v>0.12558150415733901</v>
      </c>
      <c r="AG172" s="140">
        <v>0.12558150415733901</v>
      </c>
      <c r="AH172" s="140">
        <v>0.12558150415733901</v>
      </c>
      <c r="AI172" s="140">
        <v>0.12558150415733901</v>
      </c>
      <c r="AJ172" s="140">
        <v>0</v>
      </c>
      <c r="AK172" s="140">
        <v>0</v>
      </c>
      <c r="AL172" s="140">
        <v>0</v>
      </c>
      <c r="AM172" s="140">
        <v>0</v>
      </c>
      <c r="AN172" s="140">
        <v>1.8607739108871198E-2</v>
      </c>
      <c r="AO172" s="140">
        <v>1.8607739108871198E-2</v>
      </c>
      <c r="AP172" s="140">
        <v>1.8607739108871198E-2</v>
      </c>
      <c r="AQ172" s="140">
        <v>1.8607739108871198E-2</v>
      </c>
      <c r="AR172" s="140">
        <v>0.33756612440755901</v>
      </c>
      <c r="AS172" s="140">
        <v>0.33756612440755901</v>
      </c>
      <c r="AT172" s="140">
        <v>0.33756612440755901</v>
      </c>
      <c r="AU172" s="140">
        <v>0.33756612440755901</v>
      </c>
      <c r="AV172" s="140">
        <v>0.63024640440927893</v>
      </c>
      <c r="AW172" s="140">
        <v>0.63024640440927893</v>
      </c>
      <c r="AX172" s="140">
        <v>0.63024640440927893</v>
      </c>
      <c r="AY172" s="140">
        <v>0.63024640440927893</v>
      </c>
    </row>
    <row r="174" spans="1:52" x14ac:dyDescent="0.2">
      <c r="A174" s="108" t="s">
        <v>272</v>
      </c>
    </row>
    <row r="175" spans="1:52" x14ac:dyDescent="0.2">
      <c r="A175" s="141" t="s">
        <v>125</v>
      </c>
      <c r="B175" s="141" t="s">
        <v>298</v>
      </c>
      <c r="C175" s="130" t="s">
        <v>293</v>
      </c>
      <c r="D175" s="130">
        <f t="shared" ref="D175:AY175" si="1">SUM(D95:D98)</f>
        <v>868.1277699367115</v>
      </c>
      <c r="E175" s="130">
        <f t="shared" si="1"/>
        <v>769.25276993671139</v>
      </c>
      <c r="F175" s="130">
        <f t="shared" si="1"/>
        <v>704.3777699367115</v>
      </c>
      <c r="G175" s="130">
        <f t="shared" si="1"/>
        <v>624.5027699367115</v>
      </c>
      <c r="H175" s="130">
        <f t="shared" si="1"/>
        <v>724.2527699367115</v>
      </c>
      <c r="I175" s="130">
        <f t="shared" si="1"/>
        <v>601.0027699367115</v>
      </c>
      <c r="J175" s="130">
        <f t="shared" si="1"/>
        <v>491.75276993671145</v>
      </c>
      <c r="K175" s="130">
        <f t="shared" si="1"/>
        <v>463.50276993671145</v>
      </c>
      <c r="L175" s="130">
        <f t="shared" si="1"/>
        <v>242.12776993671145</v>
      </c>
      <c r="M175" s="130">
        <f t="shared" si="1"/>
        <v>202.625</v>
      </c>
      <c r="N175" s="130">
        <f t="shared" si="1"/>
        <v>202.625</v>
      </c>
      <c r="O175" s="130">
        <f t="shared" si="1"/>
        <v>202.625</v>
      </c>
      <c r="P175" s="130">
        <f t="shared" si="1"/>
        <v>180.375</v>
      </c>
      <c r="Q175" s="130">
        <f t="shared" si="1"/>
        <v>180.375</v>
      </c>
      <c r="R175" s="130">
        <f t="shared" si="1"/>
        <v>180.375</v>
      </c>
      <c r="S175" s="130">
        <f t="shared" si="1"/>
        <v>180.375</v>
      </c>
      <c r="T175" s="130">
        <f t="shared" si="1"/>
        <v>207.5</v>
      </c>
      <c r="U175" s="130">
        <f t="shared" si="1"/>
        <v>207.5</v>
      </c>
      <c r="V175" s="130">
        <f t="shared" si="1"/>
        <v>207.5</v>
      </c>
      <c r="W175" s="130">
        <f t="shared" si="1"/>
        <v>207.5</v>
      </c>
      <c r="X175" s="130">
        <f t="shared" si="1"/>
        <v>243.125</v>
      </c>
      <c r="Y175" s="130">
        <f t="shared" si="1"/>
        <v>243.125</v>
      </c>
      <c r="Z175" s="130">
        <f t="shared" si="1"/>
        <v>243.125</v>
      </c>
      <c r="AA175" s="130">
        <f t="shared" si="1"/>
        <v>273.25</v>
      </c>
      <c r="AB175" s="130">
        <f t="shared" si="1"/>
        <v>260.5</v>
      </c>
      <c r="AC175" s="130">
        <f t="shared" si="1"/>
        <v>221.25</v>
      </c>
      <c r="AD175" s="130">
        <f t="shared" si="1"/>
        <v>221.25</v>
      </c>
      <c r="AE175" s="130">
        <f t="shared" si="1"/>
        <v>221.25</v>
      </c>
      <c r="AF175" s="130">
        <f t="shared" si="1"/>
        <v>197</v>
      </c>
      <c r="AG175" s="130">
        <f t="shared" si="1"/>
        <v>197</v>
      </c>
      <c r="AH175" s="130">
        <f t="shared" si="1"/>
        <v>220</v>
      </c>
      <c r="AI175" s="130">
        <f t="shared" si="1"/>
        <v>217</v>
      </c>
      <c r="AJ175" s="130">
        <f t="shared" si="1"/>
        <v>194.625</v>
      </c>
      <c r="AK175" s="130">
        <f t="shared" si="1"/>
        <v>194.625</v>
      </c>
      <c r="AL175" s="130">
        <f t="shared" si="1"/>
        <v>194.625</v>
      </c>
      <c r="AM175" s="130">
        <f t="shared" si="1"/>
        <v>194.625</v>
      </c>
      <c r="AN175" s="130">
        <f t="shared" si="1"/>
        <v>226.875</v>
      </c>
      <c r="AO175" s="130">
        <f t="shared" si="1"/>
        <v>295.75</v>
      </c>
      <c r="AP175" s="130">
        <f t="shared" si="1"/>
        <v>301.625</v>
      </c>
      <c r="AQ175" s="130">
        <f t="shared" si="1"/>
        <v>344.5</v>
      </c>
      <c r="AR175" s="130">
        <f t="shared" si="1"/>
        <v>439.25</v>
      </c>
      <c r="AS175" s="130">
        <f t="shared" si="1"/>
        <v>458</v>
      </c>
      <c r="AT175" s="130">
        <f t="shared" si="1"/>
        <v>428.75</v>
      </c>
      <c r="AU175" s="130">
        <f t="shared" si="1"/>
        <v>307.5</v>
      </c>
      <c r="AV175" s="130">
        <f t="shared" si="1"/>
        <v>278.375</v>
      </c>
      <c r="AW175" s="130">
        <f t="shared" si="1"/>
        <v>326.25</v>
      </c>
      <c r="AX175" s="130">
        <f t="shared" si="1"/>
        <v>335.125</v>
      </c>
      <c r="AY175" s="130">
        <f t="shared" si="1"/>
        <v>292</v>
      </c>
    </row>
    <row r="176" spans="1:52" x14ac:dyDescent="0.2">
      <c r="A176" s="131"/>
      <c r="B176" s="142" t="s">
        <v>299</v>
      </c>
      <c r="C176" s="131" t="s">
        <v>293</v>
      </c>
      <c r="D176" s="131">
        <v>261</v>
      </c>
      <c r="E176" s="131">
        <v>227</v>
      </c>
      <c r="F176" s="131">
        <v>242</v>
      </c>
      <c r="G176" s="131">
        <v>212</v>
      </c>
      <c r="H176" s="131">
        <v>435</v>
      </c>
      <c r="I176" s="131">
        <v>421</v>
      </c>
      <c r="J176" s="131">
        <v>340</v>
      </c>
      <c r="K176" s="131">
        <v>424</v>
      </c>
      <c r="L176" s="131">
        <v>242.12776993671145</v>
      </c>
      <c r="M176" s="131">
        <v>202.625</v>
      </c>
      <c r="N176" s="131">
        <v>202.625</v>
      </c>
      <c r="O176" s="131">
        <v>202.625</v>
      </c>
      <c r="P176" s="131">
        <v>180.375</v>
      </c>
      <c r="Q176" s="131">
        <v>180.375</v>
      </c>
      <c r="R176" s="131">
        <v>180.375</v>
      </c>
      <c r="S176" s="131">
        <v>180.375</v>
      </c>
      <c r="T176" s="131">
        <v>207.5</v>
      </c>
      <c r="U176" s="131">
        <v>207.5</v>
      </c>
      <c r="V176" s="131">
        <v>207.5</v>
      </c>
      <c r="W176" s="131">
        <v>207.5</v>
      </c>
      <c r="X176" s="131">
        <v>243.125</v>
      </c>
      <c r="Y176" s="131">
        <v>243.125</v>
      </c>
      <c r="Z176" s="131">
        <v>213</v>
      </c>
      <c r="AA176" s="131">
        <v>234</v>
      </c>
      <c r="AB176" s="131">
        <v>260.5</v>
      </c>
      <c r="AC176" s="131">
        <v>221.25</v>
      </c>
      <c r="AD176" s="131">
        <v>221.25</v>
      </c>
      <c r="AE176" s="131">
        <v>221.25</v>
      </c>
      <c r="AF176" s="131">
        <v>197</v>
      </c>
      <c r="AG176" s="131">
        <v>174</v>
      </c>
      <c r="AH176" s="131">
        <v>200</v>
      </c>
      <c r="AI176" s="131">
        <v>217</v>
      </c>
      <c r="AJ176" s="131">
        <v>194.625</v>
      </c>
      <c r="AK176" s="131">
        <v>194.625</v>
      </c>
      <c r="AL176" s="131">
        <v>194.625</v>
      </c>
      <c r="AM176" s="131">
        <v>194.625</v>
      </c>
      <c r="AN176" s="131">
        <v>158</v>
      </c>
      <c r="AO176" s="131">
        <v>221</v>
      </c>
      <c r="AP176" s="131">
        <v>184</v>
      </c>
      <c r="AQ176" s="131">
        <v>174</v>
      </c>
      <c r="AR176" s="131">
        <v>250</v>
      </c>
      <c r="AS176" s="131">
        <v>298</v>
      </c>
      <c r="AT176" s="131">
        <v>390</v>
      </c>
      <c r="AU176" s="131">
        <v>289</v>
      </c>
      <c r="AV176" s="131">
        <v>212</v>
      </c>
      <c r="AW176" s="131">
        <v>251</v>
      </c>
      <c r="AX176" s="131">
        <v>303</v>
      </c>
      <c r="AY176" s="131">
        <v>292</v>
      </c>
    </row>
    <row r="177" spans="1:51" x14ac:dyDescent="0.2">
      <c r="A177" s="141" t="s">
        <v>133</v>
      </c>
      <c r="B177" s="141" t="s">
        <v>298</v>
      </c>
      <c r="C177" s="130" t="s">
        <v>293</v>
      </c>
      <c r="D177" s="130">
        <f t="shared" ref="D177:AY177" si="2">SUM(D100:D107)</f>
        <v>0</v>
      </c>
      <c r="E177" s="130">
        <f t="shared" si="2"/>
        <v>81.059465973589937</v>
      </c>
      <c r="F177" s="130">
        <f t="shared" si="2"/>
        <v>28.773548015902758</v>
      </c>
      <c r="G177" s="130">
        <f t="shared" si="2"/>
        <v>0</v>
      </c>
      <c r="H177" s="130">
        <f t="shared" si="2"/>
        <v>57.547096031805502</v>
      </c>
      <c r="I177" s="130">
        <f t="shared" si="2"/>
        <v>0</v>
      </c>
      <c r="J177" s="130">
        <f t="shared" si="2"/>
        <v>28.773548015902751</v>
      </c>
      <c r="K177" s="130">
        <f t="shared" si="2"/>
        <v>37.519140082273886</v>
      </c>
      <c r="L177" s="130">
        <f t="shared" si="2"/>
        <v>75.038280164547771</v>
      </c>
      <c r="M177" s="130">
        <f t="shared" si="2"/>
        <v>37.519140082273886</v>
      </c>
      <c r="N177" s="130">
        <f t="shared" si="2"/>
        <v>0</v>
      </c>
      <c r="O177" s="130">
        <f t="shared" si="2"/>
        <v>37.519140082273886</v>
      </c>
      <c r="P177" s="130">
        <f t="shared" si="2"/>
        <v>33.465283888946423</v>
      </c>
      <c r="Q177" s="130">
        <f t="shared" si="2"/>
        <v>0</v>
      </c>
      <c r="R177" s="130">
        <f t="shared" si="2"/>
        <v>65.632631620544458</v>
      </c>
      <c r="S177" s="130">
        <f t="shared" si="2"/>
        <v>0</v>
      </c>
      <c r="T177" s="130">
        <f t="shared" si="2"/>
        <v>64.334695463196056</v>
      </c>
      <c r="U177" s="130">
        <f t="shared" si="2"/>
        <v>0</v>
      </c>
      <c r="V177" s="130">
        <f t="shared" si="2"/>
        <v>32.167347731598028</v>
      </c>
      <c r="W177" s="130">
        <f t="shared" si="2"/>
        <v>20.675017988979743</v>
      </c>
      <c r="X177" s="130">
        <f t="shared" si="2"/>
        <v>0</v>
      </c>
      <c r="Y177" s="130">
        <f t="shared" si="2"/>
        <v>20.675017988979743</v>
      </c>
      <c r="Z177" s="130">
        <f t="shared" si="2"/>
        <v>0</v>
      </c>
      <c r="AA177" s="130">
        <f t="shared" si="2"/>
        <v>0</v>
      </c>
      <c r="AB177" s="130">
        <f t="shared" si="2"/>
        <v>62.097602000868626</v>
      </c>
      <c r="AC177" s="130">
        <f t="shared" si="2"/>
        <v>24.578461918594741</v>
      </c>
      <c r="AD177" s="130">
        <f t="shared" si="2"/>
        <v>23.721661901168133</v>
      </c>
      <c r="AE177" s="130">
        <f t="shared" si="2"/>
        <v>23.721661901168133</v>
      </c>
      <c r="AF177" s="130">
        <f t="shared" si="2"/>
        <v>0</v>
      </c>
      <c r="AG177" s="130">
        <f t="shared" si="2"/>
        <v>47.443323802336266</v>
      </c>
      <c r="AH177" s="130">
        <f t="shared" si="2"/>
        <v>30.25083358263565</v>
      </c>
      <c r="AI177" s="130">
        <f t="shared" si="2"/>
        <v>30.25083358263565</v>
      </c>
      <c r="AJ177" s="130">
        <f t="shared" si="2"/>
        <v>30.25083358263565</v>
      </c>
      <c r="AK177" s="130">
        <f t="shared" si="2"/>
        <v>0</v>
      </c>
      <c r="AL177" s="130">
        <f t="shared" si="2"/>
        <v>60.570346266646148</v>
      </c>
      <c r="AM177" s="130">
        <f t="shared" si="2"/>
        <v>0</v>
      </c>
      <c r="AN177" s="130">
        <f t="shared" si="2"/>
        <v>60.639025368020995</v>
      </c>
      <c r="AO177" s="130">
        <f t="shared" si="2"/>
        <v>30.319512684010498</v>
      </c>
      <c r="AP177" s="130">
        <f t="shared" si="2"/>
        <v>0</v>
      </c>
      <c r="AQ177" s="130">
        <f t="shared" si="2"/>
        <v>55.358740566713053</v>
      </c>
      <c r="AR177" s="130">
        <f t="shared" si="2"/>
        <v>0</v>
      </c>
      <c r="AS177" s="130">
        <f t="shared" si="2"/>
        <v>55.358740566713053</v>
      </c>
      <c r="AT177" s="130">
        <f t="shared" si="2"/>
        <v>0</v>
      </c>
      <c r="AU177" s="130">
        <f t="shared" si="2"/>
        <v>31.957924822213414</v>
      </c>
      <c r="AV177" s="130">
        <f t="shared" si="2"/>
        <v>31.957924822213414</v>
      </c>
      <c r="AW177" s="130">
        <f t="shared" si="2"/>
        <v>31.957924822213414</v>
      </c>
      <c r="AX177" s="130">
        <f t="shared" si="2"/>
        <v>51.826518023229511</v>
      </c>
      <c r="AY177" s="130">
        <f t="shared" si="2"/>
        <v>19.868593201016093</v>
      </c>
    </row>
    <row r="178" spans="1:51" x14ac:dyDescent="0.2">
      <c r="A178" s="131"/>
      <c r="B178" s="142" t="s">
        <v>299</v>
      </c>
      <c r="C178" s="131" t="s">
        <v>293</v>
      </c>
      <c r="D178" s="131">
        <v>0</v>
      </c>
      <c r="E178" s="131">
        <v>81.059465973589937</v>
      </c>
      <c r="F178" s="131">
        <v>28.773548015902758</v>
      </c>
      <c r="G178" s="131">
        <v>0</v>
      </c>
      <c r="H178" s="131">
        <v>57.547096031805502</v>
      </c>
      <c r="I178" s="131">
        <v>0</v>
      </c>
      <c r="J178" s="131">
        <v>28.773548015902751</v>
      </c>
      <c r="K178" s="131">
        <v>37.519140082273886</v>
      </c>
      <c r="L178" s="131">
        <v>75.038280164547771</v>
      </c>
      <c r="M178" s="131">
        <v>37.519140082273886</v>
      </c>
      <c r="N178" s="131">
        <v>0</v>
      </c>
      <c r="O178" s="131">
        <v>37.519140082273886</v>
      </c>
      <c r="P178" s="131">
        <v>33.465283888946423</v>
      </c>
      <c r="Q178" s="131">
        <v>0</v>
      </c>
      <c r="R178" s="131">
        <v>65.632631620544458</v>
      </c>
      <c r="S178" s="131">
        <v>0</v>
      </c>
      <c r="T178" s="131">
        <v>64.334695463196056</v>
      </c>
      <c r="U178" s="131">
        <v>0</v>
      </c>
      <c r="V178" s="131">
        <v>32.167347731598028</v>
      </c>
      <c r="W178" s="131">
        <v>20.675017988979743</v>
      </c>
      <c r="X178" s="131">
        <v>0</v>
      </c>
      <c r="Y178" s="131">
        <v>20.675017988979743</v>
      </c>
      <c r="Z178" s="131">
        <v>0</v>
      </c>
      <c r="AA178" s="131">
        <v>0</v>
      </c>
      <c r="AB178" s="131">
        <v>62.097602000868626</v>
      </c>
      <c r="AC178" s="131">
        <v>24.578461918594741</v>
      </c>
      <c r="AD178" s="131">
        <v>23.721661901168133</v>
      </c>
      <c r="AE178" s="131">
        <v>23.721661901168133</v>
      </c>
      <c r="AF178" s="131">
        <v>0</v>
      </c>
      <c r="AG178" s="131">
        <v>47.443323802336266</v>
      </c>
      <c r="AH178" s="131">
        <v>30.25083358263565</v>
      </c>
      <c r="AI178" s="131">
        <v>30.25083358263565</v>
      </c>
      <c r="AJ178" s="131">
        <v>30.25083358263565</v>
      </c>
      <c r="AK178" s="131">
        <v>0</v>
      </c>
      <c r="AL178" s="131">
        <v>60.570346266646148</v>
      </c>
      <c r="AM178" s="131">
        <v>0</v>
      </c>
      <c r="AN178" s="131">
        <v>60.639025368020995</v>
      </c>
      <c r="AO178" s="131">
        <v>30.319512684010498</v>
      </c>
      <c r="AP178" s="131">
        <v>0</v>
      </c>
      <c r="AQ178" s="131">
        <v>55.358740566713053</v>
      </c>
      <c r="AR178" s="131">
        <v>0</v>
      </c>
      <c r="AS178" s="131">
        <v>55.358740566713053</v>
      </c>
      <c r="AT178" s="131">
        <v>0</v>
      </c>
      <c r="AU178" s="131">
        <v>31.957924822213414</v>
      </c>
      <c r="AV178" s="131">
        <v>31.957924822213414</v>
      </c>
      <c r="AW178" s="131">
        <v>31.957924822213414</v>
      </c>
      <c r="AX178" s="131">
        <v>51.826518023229511</v>
      </c>
      <c r="AY178" s="131">
        <v>19.868593201016093</v>
      </c>
    </row>
    <row r="179" spans="1:51" x14ac:dyDescent="0.2">
      <c r="A179" s="141" t="s">
        <v>134</v>
      </c>
      <c r="B179" s="141" t="s">
        <v>298</v>
      </c>
      <c r="C179" s="130" t="s">
        <v>293</v>
      </c>
      <c r="D179" s="130">
        <f t="shared" ref="D179:AY179" si="3">SUM(D109:D120)</f>
        <v>173.02261472584223</v>
      </c>
      <c r="E179" s="130">
        <f t="shared" si="3"/>
        <v>802.31696191659478</v>
      </c>
      <c r="F179" s="130">
        <f t="shared" si="3"/>
        <v>1065.640627382907</v>
      </c>
      <c r="G179" s="130">
        <f t="shared" si="3"/>
        <v>1071.7918459749214</v>
      </c>
      <c r="H179" s="130">
        <f t="shared" si="3"/>
        <v>936.71935075583792</v>
      </c>
      <c r="I179" s="130">
        <f t="shared" si="3"/>
        <v>864.5542342422076</v>
      </c>
      <c r="J179" s="130">
        <f t="shared" si="3"/>
        <v>779.27888140896516</v>
      </c>
      <c r="K179" s="130">
        <f t="shared" si="3"/>
        <v>687.89745580832039</v>
      </c>
      <c r="L179" s="130">
        <f t="shared" si="3"/>
        <v>617.111977431367</v>
      </c>
      <c r="M179" s="130">
        <f t="shared" si="3"/>
        <v>716.75858725089347</v>
      </c>
      <c r="N179" s="130">
        <f t="shared" si="3"/>
        <v>723.32523992495089</v>
      </c>
      <c r="O179" s="130">
        <f t="shared" si="3"/>
        <v>635.32523992495089</v>
      </c>
      <c r="P179" s="130">
        <f t="shared" si="3"/>
        <v>637.84897534679772</v>
      </c>
      <c r="Q179" s="130">
        <f t="shared" si="3"/>
        <v>554.16504403964393</v>
      </c>
      <c r="R179" s="130">
        <f t="shared" si="3"/>
        <v>402.16504403964399</v>
      </c>
      <c r="S179" s="130">
        <f t="shared" si="3"/>
        <v>394.90586639844452</v>
      </c>
      <c r="T179" s="130">
        <f t="shared" si="3"/>
        <v>286.90586639844452</v>
      </c>
      <c r="U179" s="130">
        <f t="shared" si="3"/>
        <v>227.33277429213013</v>
      </c>
      <c r="V179" s="130">
        <f t="shared" si="3"/>
        <v>73.646499727383812</v>
      </c>
      <c r="W179" s="130">
        <f t="shared" si="3"/>
        <v>52.405894989624549</v>
      </c>
      <c r="X179" s="130">
        <f t="shared" si="3"/>
        <v>33.683001492061287</v>
      </c>
      <c r="Y179" s="130">
        <f t="shared" si="3"/>
        <v>0</v>
      </c>
      <c r="Z179" s="130">
        <f t="shared" si="3"/>
        <v>35.643484870127473</v>
      </c>
      <c r="AA179" s="130">
        <f t="shared" si="3"/>
        <v>0</v>
      </c>
      <c r="AB179" s="130">
        <f t="shared" si="3"/>
        <v>0</v>
      </c>
      <c r="AC179" s="130">
        <f t="shared" si="3"/>
        <v>104.20999340572615</v>
      </c>
      <c r="AD179" s="130">
        <f t="shared" si="3"/>
        <v>41.246703124282014</v>
      </c>
      <c r="AE179" s="130">
        <f t="shared" si="3"/>
        <v>39.808851721182677</v>
      </c>
      <c r="AF179" s="130">
        <f t="shared" si="3"/>
        <v>39.808851721182677</v>
      </c>
      <c r="AG179" s="130">
        <f t="shared" si="3"/>
        <v>0</v>
      </c>
      <c r="AH179" s="130">
        <f t="shared" si="3"/>
        <v>15.688158350434614</v>
      </c>
      <c r="AI179" s="130">
        <f t="shared" si="3"/>
        <v>12.338466284977088</v>
      </c>
      <c r="AJ179" s="130">
        <f t="shared" si="3"/>
        <v>12.01467576494988</v>
      </c>
      <c r="AK179" s="130">
        <f t="shared" si="3"/>
        <v>0</v>
      </c>
      <c r="AL179" s="130">
        <f t="shared" si="3"/>
        <v>0</v>
      </c>
      <c r="AM179" s="130">
        <f t="shared" si="3"/>
        <v>0</v>
      </c>
      <c r="AN179" s="130">
        <f t="shared" si="3"/>
        <v>0</v>
      </c>
      <c r="AO179" s="130">
        <f t="shared" si="3"/>
        <v>2.9908694595901717</v>
      </c>
      <c r="AP179" s="130">
        <f t="shared" si="3"/>
        <v>2.7134992793357249</v>
      </c>
      <c r="AQ179" s="130">
        <f t="shared" si="3"/>
        <v>0.87535627040369302</v>
      </c>
      <c r="AR179" s="130">
        <f t="shared" si="3"/>
        <v>2.7123828262284668</v>
      </c>
      <c r="AS179" s="130">
        <f t="shared" si="3"/>
        <v>17.000949818260345</v>
      </c>
      <c r="AT179" s="130">
        <f t="shared" si="3"/>
        <v>49.205792987663436</v>
      </c>
      <c r="AU179" s="130">
        <f t="shared" si="3"/>
        <v>0</v>
      </c>
      <c r="AV179" s="130">
        <f t="shared" si="3"/>
        <v>28.405903331960726</v>
      </c>
      <c r="AW179" s="130">
        <f t="shared" si="3"/>
        <v>53.034700891227565</v>
      </c>
      <c r="AX179" s="130">
        <f t="shared" si="3"/>
        <v>53.034700891227565</v>
      </c>
      <c r="AY179" s="130">
        <f t="shared" si="3"/>
        <v>86.006957488218475</v>
      </c>
    </row>
    <row r="180" spans="1:51" x14ac:dyDescent="0.2">
      <c r="A180" s="131"/>
      <c r="B180" s="142" t="s">
        <v>299</v>
      </c>
      <c r="C180" s="131" t="s">
        <v>293</v>
      </c>
      <c r="D180" s="131">
        <v>163</v>
      </c>
      <c r="E180" s="131">
        <v>151.68923084120556</v>
      </c>
      <c r="F180" s="131">
        <v>132.60482479009241</v>
      </c>
      <c r="G180" s="131">
        <v>145</v>
      </c>
      <c r="H180" s="131">
        <v>116.15196096729025</v>
      </c>
      <c r="I180" s="131">
        <v>97</v>
      </c>
      <c r="J180" s="131">
        <v>113.37484782747478</v>
      </c>
      <c r="K180" s="131">
        <v>99.463703563536967</v>
      </c>
      <c r="L180" s="131">
        <v>94.975136880214961</v>
      </c>
      <c r="M180" s="131">
        <v>90.744220675813168</v>
      </c>
      <c r="N180" s="131">
        <v>88</v>
      </c>
      <c r="O180" s="131">
        <v>94.787137928023938</v>
      </c>
      <c r="P180" s="131">
        <v>136.95673859830436</v>
      </c>
      <c r="Q180" s="131">
        <v>152</v>
      </c>
      <c r="R180" s="131">
        <v>111.73863007719721</v>
      </c>
      <c r="S180" s="131">
        <v>108</v>
      </c>
      <c r="T180" s="131">
        <v>164.38488208556348</v>
      </c>
      <c r="U180" s="131">
        <v>160</v>
      </c>
      <c r="V180" s="131">
        <v>73.646499727383812</v>
      </c>
      <c r="W180" s="131">
        <v>52.405894989624549</v>
      </c>
      <c r="X180" s="131">
        <v>33.683001492061287</v>
      </c>
      <c r="Y180" s="131">
        <v>0</v>
      </c>
      <c r="Z180" s="131">
        <v>35.643484870127473</v>
      </c>
      <c r="AA180" s="131">
        <v>0</v>
      </c>
      <c r="AB180" s="131">
        <v>0</v>
      </c>
      <c r="AC180" s="131">
        <v>104.20999340572615</v>
      </c>
      <c r="AD180" s="131">
        <v>41.246703124282014</v>
      </c>
      <c r="AE180" s="131">
        <v>39.808851721182677</v>
      </c>
      <c r="AF180" s="131">
        <v>39.808851721182677</v>
      </c>
      <c r="AG180" s="131">
        <v>0</v>
      </c>
      <c r="AH180" s="131">
        <v>15.688158350434614</v>
      </c>
      <c r="AI180" s="131">
        <v>12.338466284977088</v>
      </c>
      <c r="AJ180" s="131">
        <v>12.01467576494988</v>
      </c>
      <c r="AK180" s="131">
        <v>0</v>
      </c>
      <c r="AL180" s="131">
        <v>0</v>
      </c>
      <c r="AM180" s="131">
        <v>0</v>
      </c>
      <c r="AN180" s="131">
        <v>0</v>
      </c>
      <c r="AO180" s="131">
        <v>2.9908694595901717</v>
      </c>
      <c r="AP180" s="131">
        <v>2.7134992793357249</v>
      </c>
      <c r="AQ180" s="131">
        <v>0.87535627040369302</v>
      </c>
      <c r="AR180" s="131">
        <v>2.7123828262284668</v>
      </c>
      <c r="AS180" s="131">
        <v>17.000949818260345</v>
      </c>
      <c r="AT180" s="131">
        <v>49.205792987663436</v>
      </c>
      <c r="AU180" s="131">
        <v>0</v>
      </c>
      <c r="AV180" s="131">
        <v>28.405903331960726</v>
      </c>
      <c r="AW180" s="131">
        <v>53.034700891227565</v>
      </c>
      <c r="AX180" s="131">
        <v>53.034700891227565</v>
      </c>
      <c r="AY180" s="131">
        <v>86.006957488218475</v>
      </c>
    </row>
    <row r="181" spans="1:51" x14ac:dyDescent="0.2">
      <c r="A181" s="141" t="s">
        <v>123</v>
      </c>
      <c r="B181" s="141" t="s">
        <v>298</v>
      </c>
      <c r="C181" s="130" t="s">
        <v>293</v>
      </c>
      <c r="D181" s="130">
        <f t="shared" ref="D181:AY181" si="4">(1-D172)*SUM(D122:D169)</f>
        <v>452.22316178893186</v>
      </c>
      <c r="E181" s="130">
        <f t="shared" si="4"/>
        <v>236.87969605844285</v>
      </c>
      <c r="F181" s="130">
        <f t="shared" si="4"/>
        <v>79.198718100245586</v>
      </c>
      <c r="G181" s="130">
        <f t="shared" si="4"/>
        <v>5.6663885292367198</v>
      </c>
      <c r="H181" s="130">
        <f t="shared" si="4"/>
        <v>107.54174807657016</v>
      </c>
      <c r="I181" s="130">
        <f t="shared" si="4"/>
        <v>28.665139942522263</v>
      </c>
      <c r="J181" s="130">
        <f t="shared" si="4"/>
        <v>53.770874038285079</v>
      </c>
      <c r="K181" s="130">
        <f t="shared" si="4"/>
        <v>70.114292275450765</v>
      </c>
      <c r="L181" s="130">
        <f t="shared" si="4"/>
        <v>2.963288224326964</v>
      </c>
      <c r="M181" s="130">
        <f t="shared" si="4"/>
        <v>1.481644112163482</v>
      </c>
      <c r="N181" s="130">
        <f t="shared" si="4"/>
        <v>0</v>
      </c>
      <c r="O181" s="130">
        <f t="shared" si="4"/>
        <v>1.481644112163482</v>
      </c>
      <c r="P181" s="130">
        <f t="shared" si="4"/>
        <v>34.845407457930669</v>
      </c>
      <c r="Q181" s="130">
        <f t="shared" si="4"/>
        <v>0</v>
      </c>
      <c r="R181" s="130">
        <f t="shared" si="4"/>
        <v>68.339351279477128</v>
      </c>
      <c r="S181" s="130">
        <f t="shared" si="4"/>
        <v>0</v>
      </c>
      <c r="T181" s="130">
        <f t="shared" si="4"/>
        <v>64.589387953538164</v>
      </c>
      <c r="U181" s="130">
        <f t="shared" si="4"/>
        <v>3.8907804327209812</v>
      </c>
      <c r="V181" s="130">
        <f t="shared" si="4"/>
        <v>32.294693976769082</v>
      </c>
      <c r="W181" s="130">
        <f t="shared" si="4"/>
        <v>20.756867631409364</v>
      </c>
      <c r="X181" s="130">
        <f t="shared" si="4"/>
        <v>0</v>
      </c>
      <c r="Y181" s="130">
        <f t="shared" si="4"/>
        <v>18.796384253343181</v>
      </c>
      <c r="Z181" s="130">
        <f t="shared" si="4"/>
        <v>0</v>
      </c>
      <c r="AA181" s="130">
        <f t="shared" si="4"/>
        <v>0</v>
      </c>
      <c r="AB181" s="130">
        <f t="shared" si="4"/>
        <v>59.300641874523059</v>
      </c>
      <c r="AC181" s="130">
        <f t="shared" si="4"/>
        <v>23.471414693932974</v>
      </c>
      <c r="AD181" s="130">
        <f t="shared" si="4"/>
        <v>22.653206110116972</v>
      </c>
      <c r="AE181" s="130">
        <f t="shared" si="4"/>
        <v>22.653206110116972</v>
      </c>
      <c r="AF181" s="130">
        <f t="shared" si="4"/>
        <v>0</v>
      </c>
      <c r="AG181" s="130">
        <f t="shared" si="4"/>
        <v>109.23595731216469</v>
      </c>
      <c r="AH181" s="130">
        <f t="shared" si="4"/>
        <v>85.912198633946204</v>
      </c>
      <c r="AI181" s="130">
        <f t="shared" si="4"/>
        <v>83.657659469201235</v>
      </c>
      <c r="AJ181" s="130">
        <f t="shared" si="4"/>
        <v>90.40333558831523</v>
      </c>
      <c r="AK181" s="130">
        <f t="shared" si="4"/>
        <v>0</v>
      </c>
      <c r="AL181" s="130">
        <f t="shared" si="4"/>
        <v>159.4891828039583</v>
      </c>
      <c r="AM181" s="130">
        <f t="shared" si="4"/>
        <v>93.062532191433334</v>
      </c>
      <c r="AN181" s="130">
        <f t="shared" si="4"/>
        <v>157.7416860696456</v>
      </c>
      <c r="AO181" s="130">
        <f t="shared" si="4"/>
        <v>143.11288314463488</v>
      </c>
      <c r="AP181" s="130">
        <f t="shared" si="4"/>
        <v>46.167235270788375</v>
      </c>
      <c r="AQ181" s="130">
        <f t="shared" si="4"/>
        <v>143.05400020175284</v>
      </c>
      <c r="AR181" s="130">
        <f t="shared" si="4"/>
        <v>33.362367437277776</v>
      </c>
      <c r="AS181" s="130">
        <f t="shared" si="4"/>
        <v>96.560590040317877</v>
      </c>
      <c r="AT181" s="130">
        <f t="shared" si="4"/>
        <v>0</v>
      </c>
      <c r="AU181" s="130">
        <f t="shared" si="4"/>
        <v>55.743249317210264</v>
      </c>
      <c r="AV181" s="130">
        <f t="shared" si="4"/>
        <v>31.114451757943424</v>
      </c>
      <c r="AW181" s="130">
        <f t="shared" si="4"/>
        <v>31.114451757943424</v>
      </c>
      <c r="AX181" s="130">
        <f t="shared" si="4"/>
        <v>50.458648481928364</v>
      </c>
      <c r="AY181" s="130">
        <f t="shared" si="4"/>
        <v>19.34419672398495</v>
      </c>
    </row>
    <row r="182" spans="1:51" x14ac:dyDescent="0.2">
      <c r="A182" s="131"/>
      <c r="B182" s="142" t="s">
        <v>299</v>
      </c>
      <c r="C182" s="131" t="s">
        <v>293</v>
      </c>
      <c r="D182" s="131">
        <v>69</v>
      </c>
      <c r="E182" s="131">
        <v>94.689230841205543</v>
      </c>
      <c r="F182" s="131">
        <v>63.604824790092408</v>
      </c>
      <c r="G182" s="131">
        <v>5.6663885292367198</v>
      </c>
      <c r="H182" s="131">
        <v>67.15196096729025</v>
      </c>
      <c r="I182" s="131">
        <v>28.665139942522263</v>
      </c>
      <c r="J182" s="131">
        <v>53.770874038285079</v>
      </c>
      <c r="K182" s="131">
        <v>70.114292275450765</v>
      </c>
      <c r="L182" s="131">
        <v>2.963288224326964</v>
      </c>
      <c r="M182" s="131">
        <v>1.481644112163482</v>
      </c>
      <c r="N182" s="131">
        <v>0</v>
      </c>
      <c r="O182" s="131">
        <v>1.481644112163482</v>
      </c>
      <c r="P182" s="131">
        <v>34.845407457930669</v>
      </c>
      <c r="Q182" s="131">
        <v>0</v>
      </c>
      <c r="R182" s="131">
        <v>68.339351279477128</v>
      </c>
      <c r="S182" s="131">
        <v>0</v>
      </c>
      <c r="T182" s="131">
        <v>54.384882085563476</v>
      </c>
      <c r="U182" s="131">
        <v>3.8907804327209812</v>
      </c>
      <c r="V182" s="131">
        <v>32.294693976769082</v>
      </c>
      <c r="W182" s="131">
        <v>20.756867631409364</v>
      </c>
      <c r="X182" s="131">
        <v>0</v>
      </c>
      <c r="Y182" s="131">
        <v>18.796384253343181</v>
      </c>
      <c r="Z182" s="131">
        <v>0</v>
      </c>
      <c r="AA182" s="131">
        <v>0</v>
      </c>
      <c r="AB182" s="131">
        <v>59.300641874523059</v>
      </c>
      <c r="AC182" s="131">
        <v>23.471414693932974</v>
      </c>
      <c r="AD182" s="131">
        <v>22.653206110116972</v>
      </c>
      <c r="AE182" s="131">
        <v>22.653206110116972</v>
      </c>
      <c r="AF182" s="131">
        <v>0</v>
      </c>
      <c r="AG182" s="131">
        <v>90.639463528298478</v>
      </c>
      <c r="AH182" s="131">
        <v>69.894034534852153</v>
      </c>
      <c r="AI182" s="131">
        <v>72.908495015943103</v>
      </c>
      <c r="AJ182" s="131">
        <v>90.40333558831523</v>
      </c>
      <c r="AK182" s="131">
        <v>0</v>
      </c>
      <c r="AL182" s="131">
        <v>66.426650612524966</v>
      </c>
      <c r="AM182" s="131">
        <v>92</v>
      </c>
      <c r="AN182" s="131">
        <v>91.750315314576227</v>
      </c>
      <c r="AO182" s="131">
        <v>96.070291603442797</v>
      </c>
      <c r="AP182" s="131">
        <v>46.167235270788375</v>
      </c>
      <c r="AQ182" s="131">
        <v>92.690682946214721</v>
      </c>
      <c r="AR182" s="131">
        <v>33.362367437277776</v>
      </c>
      <c r="AS182" s="131">
        <v>96.560590040317877</v>
      </c>
      <c r="AT182" s="131">
        <v>0</v>
      </c>
      <c r="AU182" s="131">
        <v>55.743249317210264</v>
      </c>
      <c r="AV182" s="131">
        <v>31.114451757943424</v>
      </c>
      <c r="AW182" s="131">
        <v>31.114451757943424</v>
      </c>
      <c r="AX182" s="131">
        <v>50.458648481928364</v>
      </c>
      <c r="AY182" s="131">
        <v>19.34419672398495</v>
      </c>
    </row>
    <row r="184" spans="1:51" x14ac:dyDescent="0.2">
      <c r="A184" s="108" t="s">
        <v>300</v>
      </c>
    </row>
    <row r="185" spans="1:51" x14ac:dyDescent="0.2">
      <c r="A185" s="132" t="s">
        <v>125</v>
      </c>
      <c r="B185" s="129">
        <v>1</v>
      </c>
      <c r="C185" s="130">
        <v>0</v>
      </c>
      <c r="D185" s="130">
        <v>0</v>
      </c>
      <c r="E185" s="130">
        <v>0</v>
      </c>
      <c r="F185" s="130">
        <v>0</v>
      </c>
      <c r="G185" s="130">
        <v>0</v>
      </c>
      <c r="H185" s="130">
        <v>22.497230063288555</v>
      </c>
      <c r="I185" s="130">
        <v>131.74723006328855</v>
      </c>
      <c r="J185" s="130">
        <v>159.99723006328855</v>
      </c>
      <c r="K185" s="130">
        <v>272.24723006328855</v>
      </c>
      <c r="L185" s="130">
        <v>202.625</v>
      </c>
      <c r="M185" s="130">
        <v>202.625</v>
      </c>
      <c r="N185" s="130">
        <v>202.625</v>
      </c>
      <c r="O185" s="130">
        <v>202.625</v>
      </c>
      <c r="P185" s="130">
        <v>180.375</v>
      </c>
      <c r="Q185" s="130">
        <v>180.375</v>
      </c>
      <c r="R185" s="130">
        <v>180.375</v>
      </c>
      <c r="S185" s="130">
        <v>180.375</v>
      </c>
      <c r="T185" s="130">
        <v>207.5</v>
      </c>
      <c r="U185" s="130">
        <v>207.5</v>
      </c>
      <c r="V185" s="130">
        <v>207.5</v>
      </c>
      <c r="W185" s="130">
        <v>207.5</v>
      </c>
      <c r="X185" s="130">
        <v>243.125</v>
      </c>
      <c r="Y185" s="130">
        <v>243.125</v>
      </c>
      <c r="Z185" s="130">
        <v>213</v>
      </c>
      <c r="AA185" s="130">
        <v>203.875</v>
      </c>
      <c r="AB185" s="130">
        <v>221.25</v>
      </c>
      <c r="AC185" s="130">
        <v>221.25</v>
      </c>
      <c r="AD185" s="130">
        <v>221.25</v>
      </c>
      <c r="AE185" s="130">
        <v>221.25</v>
      </c>
      <c r="AF185" s="130">
        <v>197</v>
      </c>
      <c r="AG185" s="130">
        <v>174</v>
      </c>
      <c r="AH185" s="130">
        <v>177</v>
      </c>
      <c r="AI185" s="130">
        <v>197</v>
      </c>
      <c r="AJ185" s="130">
        <v>194.625</v>
      </c>
      <c r="AK185" s="130">
        <v>194.625</v>
      </c>
      <c r="AL185" s="130">
        <v>194.625</v>
      </c>
      <c r="AM185" s="130">
        <v>194.625</v>
      </c>
      <c r="AN185" s="130">
        <v>158</v>
      </c>
      <c r="AO185" s="130">
        <v>152.125</v>
      </c>
      <c r="AP185" s="130">
        <v>109.25</v>
      </c>
      <c r="AQ185" s="130">
        <v>56.375</v>
      </c>
      <c r="AR185" s="130">
        <v>79.5</v>
      </c>
      <c r="AS185" s="130">
        <v>108.75</v>
      </c>
      <c r="AT185" s="130">
        <v>230</v>
      </c>
      <c r="AU185" s="130">
        <v>250.25</v>
      </c>
      <c r="AV185" s="130">
        <v>193.5</v>
      </c>
      <c r="AW185" s="130">
        <v>184.625</v>
      </c>
      <c r="AX185" s="130">
        <v>227.75</v>
      </c>
      <c r="AY185" s="130">
        <v>259.875</v>
      </c>
    </row>
    <row r="186" spans="1:51" x14ac:dyDescent="0.2">
      <c r="A186" s="115"/>
      <c r="B186" s="126">
        <v>2</v>
      </c>
      <c r="C186" s="112">
        <v>0</v>
      </c>
      <c r="D186" s="112">
        <v>0</v>
      </c>
      <c r="E186" s="112">
        <v>0</v>
      </c>
      <c r="F186" s="112">
        <v>0</v>
      </c>
      <c r="G186" s="112">
        <v>0</v>
      </c>
      <c r="H186" s="112">
        <v>162.125</v>
      </c>
      <c r="I186" s="112">
        <v>289.25276993671145</v>
      </c>
      <c r="J186" s="112">
        <v>180.00276993671145</v>
      </c>
      <c r="K186" s="112">
        <v>151.75276993671145</v>
      </c>
      <c r="L186" s="112">
        <v>39.502769936711445</v>
      </c>
      <c r="M186" s="112">
        <v>0</v>
      </c>
      <c r="N186" s="112">
        <v>0</v>
      </c>
      <c r="O186" s="112">
        <v>0</v>
      </c>
      <c r="P186" s="112">
        <v>0</v>
      </c>
      <c r="Q186" s="112">
        <v>0</v>
      </c>
      <c r="R186" s="112">
        <v>0</v>
      </c>
      <c r="S186" s="112">
        <v>0</v>
      </c>
      <c r="T186" s="112">
        <v>0</v>
      </c>
      <c r="U186" s="112">
        <v>0</v>
      </c>
      <c r="V186" s="112">
        <v>0</v>
      </c>
      <c r="W186" s="112">
        <v>0</v>
      </c>
      <c r="X186" s="112">
        <v>0</v>
      </c>
      <c r="Y186" s="112">
        <v>0</v>
      </c>
      <c r="Z186" s="112">
        <v>0</v>
      </c>
      <c r="AA186" s="112">
        <v>30.125</v>
      </c>
      <c r="AB186" s="112">
        <v>39.25</v>
      </c>
      <c r="AC186" s="112">
        <v>0</v>
      </c>
      <c r="AD186" s="112">
        <v>0</v>
      </c>
      <c r="AE186" s="112">
        <v>0</v>
      </c>
      <c r="AF186" s="112">
        <v>0</v>
      </c>
      <c r="AG186" s="112">
        <v>0</v>
      </c>
      <c r="AH186" s="112">
        <v>23</v>
      </c>
      <c r="AI186" s="112">
        <v>20</v>
      </c>
      <c r="AJ186" s="112">
        <v>0</v>
      </c>
      <c r="AK186" s="112">
        <v>0</v>
      </c>
      <c r="AL186" s="112">
        <v>0</v>
      </c>
      <c r="AM186" s="112">
        <v>0</v>
      </c>
      <c r="AN186" s="112">
        <v>0</v>
      </c>
      <c r="AO186" s="112">
        <v>68.875</v>
      </c>
      <c r="AP186" s="112">
        <v>74.75</v>
      </c>
      <c r="AQ186" s="112">
        <v>117.625</v>
      </c>
      <c r="AR186" s="112">
        <v>170.5</v>
      </c>
      <c r="AS186" s="112">
        <v>189.25</v>
      </c>
      <c r="AT186" s="112">
        <v>160</v>
      </c>
      <c r="AU186" s="112">
        <v>38.75</v>
      </c>
      <c r="AV186" s="112">
        <v>18.5</v>
      </c>
      <c r="AW186" s="112">
        <v>66.375</v>
      </c>
      <c r="AX186" s="112">
        <v>75.25</v>
      </c>
      <c r="AY186" s="112">
        <v>32.125</v>
      </c>
    </row>
    <row r="187" spans="1:51" x14ac:dyDescent="0.2">
      <c r="A187" s="115"/>
      <c r="B187" s="133">
        <v>3</v>
      </c>
      <c r="C187" s="112">
        <v>233.1546816137909</v>
      </c>
      <c r="D187" s="112">
        <v>181.10219776362345</v>
      </c>
      <c r="E187" s="112">
        <v>95.049713913456003</v>
      </c>
      <c r="F187" s="112">
        <v>23.997230063288555</v>
      </c>
      <c r="G187" s="112">
        <v>73.872230063288555</v>
      </c>
      <c r="H187" s="112">
        <v>162.125</v>
      </c>
      <c r="I187" s="112">
        <v>0</v>
      </c>
      <c r="J187" s="112">
        <v>0</v>
      </c>
      <c r="K187" s="112">
        <v>0</v>
      </c>
      <c r="L187" s="112">
        <v>0</v>
      </c>
      <c r="M187" s="112">
        <v>0</v>
      </c>
      <c r="N187" s="112">
        <v>0</v>
      </c>
      <c r="O187" s="112">
        <v>0</v>
      </c>
      <c r="P187" s="112">
        <v>0</v>
      </c>
      <c r="Q187" s="112">
        <v>0</v>
      </c>
      <c r="R187" s="112">
        <v>0</v>
      </c>
      <c r="S187" s="112">
        <v>0</v>
      </c>
      <c r="T187" s="112">
        <v>0</v>
      </c>
      <c r="U187" s="112">
        <v>0</v>
      </c>
      <c r="V187" s="112">
        <v>0</v>
      </c>
      <c r="W187" s="112">
        <v>0</v>
      </c>
      <c r="X187" s="112">
        <v>0</v>
      </c>
      <c r="Y187" s="112">
        <v>0</v>
      </c>
      <c r="Z187" s="112">
        <v>0</v>
      </c>
      <c r="AA187" s="112">
        <v>0</v>
      </c>
      <c r="AB187" s="112">
        <v>0</v>
      </c>
      <c r="AC187" s="112">
        <v>0</v>
      </c>
      <c r="AD187" s="112">
        <v>0</v>
      </c>
      <c r="AE187" s="112">
        <v>0</v>
      </c>
      <c r="AF187" s="112">
        <v>0</v>
      </c>
      <c r="AG187" s="112">
        <v>0</v>
      </c>
      <c r="AH187" s="112">
        <v>0</v>
      </c>
      <c r="AI187" s="112">
        <v>0</v>
      </c>
      <c r="AJ187" s="112">
        <v>0</v>
      </c>
      <c r="AK187" s="112">
        <v>0</v>
      </c>
      <c r="AL187" s="112">
        <v>0</v>
      </c>
      <c r="AM187" s="112">
        <v>0</v>
      </c>
      <c r="AN187" s="112">
        <v>0</v>
      </c>
      <c r="AO187" s="112">
        <v>0</v>
      </c>
      <c r="AP187" s="112">
        <v>0</v>
      </c>
      <c r="AQ187" s="112">
        <v>0</v>
      </c>
      <c r="AR187" s="112">
        <v>0</v>
      </c>
      <c r="AS187" s="112">
        <v>0</v>
      </c>
      <c r="AT187" s="112">
        <v>0</v>
      </c>
      <c r="AU187" s="112">
        <v>0</v>
      </c>
      <c r="AV187" s="112">
        <v>0</v>
      </c>
      <c r="AW187" s="112">
        <v>0</v>
      </c>
      <c r="AX187" s="112">
        <v>0</v>
      </c>
      <c r="AY187" s="112">
        <v>0</v>
      </c>
    </row>
    <row r="188" spans="1:51" x14ac:dyDescent="0.2">
      <c r="A188" s="134"/>
      <c r="B188" s="135">
        <v>4</v>
      </c>
      <c r="C188" s="112">
        <v>79.845318386209101</v>
      </c>
      <c r="D188" s="112">
        <v>79.897802236376549</v>
      </c>
      <c r="E188" s="112">
        <v>131.950286086544</v>
      </c>
      <c r="F188" s="112">
        <v>218.00276993671145</v>
      </c>
      <c r="G188" s="112">
        <v>138.12776993671145</v>
      </c>
      <c r="H188" s="112">
        <v>88.252769936711445</v>
      </c>
      <c r="I188" s="112">
        <v>0</v>
      </c>
      <c r="J188" s="112">
        <v>0</v>
      </c>
      <c r="K188" s="112">
        <v>0</v>
      </c>
      <c r="L188" s="112">
        <v>0</v>
      </c>
      <c r="M188" s="112">
        <v>0</v>
      </c>
      <c r="N188" s="112">
        <v>0</v>
      </c>
      <c r="O188" s="112">
        <v>0</v>
      </c>
      <c r="P188" s="112">
        <v>0</v>
      </c>
      <c r="Q188" s="112">
        <v>0</v>
      </c>
      <c r="R188" s="112">
        <v>0</v>
      </c>
      <c r="S188" s="112">
        <v>0</v>
      </c>
      <c r="T188" s="112">
        <v>0</v>
      </c>
      <c r="U188" s="112">
        <v>0</v>
      </c>
      <c r="V188" s="112">
        <v>0</v>
      </c>
      <c r="W188" s="112">
        <v>0</v>
      </c>
      <c r="X188" s="112">
        <v>0</v>
      </c>
      <c r="Y188" s="112">
        <v>0</v>
      </c>
      <c r="Z188" s="112">
        <v>0</v>
      </c>
      <c r="AA188" s="112">
        <v>0</v>
      </c>
      <c r="AB188" s="112">
        <v>0</v>
      </c>
      <c r="AC188" s="112">
        <v>0</v>
      </c>
      <c r="AD188" s="112">
        <v>0</v>
      </c>
      <c r="AE188" s="112">
        <v>0</v>
      </c>
      <c r="AF188" s="112">
        <v>0</v>
      </c>
      <c r="AG188" s="112">
        <v>0</v>
      </c>
      <c r="AH188" s="112">
        <v>0</v>
      </c>
      <c r="AI188" s="112">
        <v>0</v>
      </c>
      <c r="AJ188" s="112">
        <v>0</v>
      </c>
      <c r="AK188" s="112">
        <v>0</v>
      </c>
      <c r="AL188" s="112">
        <v>0</v>
      </c>
      <c r="AM188" s="112">
        <v>0</v>
      </c>
      <c r="AN188" s="112">
        <v>0</v>
      </c>
      <c r="AO188" s="112">
        <v>0</v>
      </c>
      <c r="AP188" s="112">
        <v>0</v>
      </c>
      <c r="AQ188" s="112">
        <v>0</v>
      </c>
      <c r="AR188" s="112">
        <v>0</v>
      </c>
      <c r="AS188" s="112">
        <v>0</v>
      </c>
      <c r="AT188" s="112">
        <v>0</v>
      </c>
      <c r="AU188" s="112">
        <v>0</v>
      </c>
      <c r="AV188" s="112">
        <v>0</v>
      </c>
      <c r="AW188" s="112">
        <v>0</v>
      </c>
      <c r="AX188" s="112">
        <v>0</v>
      </c>
      <c r="AY188" s="112">
        <v>0</v>
      </c>
    </row>
    <row r="189" spans="1:51" x14ac:dyDescent="0.2">
      <c r="A189" s="132" t="s">
        <v>133</v>
      </c>
      <c r="B189" s="129">
        <v>1</v>
      </c>
      <c r="C189" s="130">
        <v>43.540325891316058</v>
      </c>
      <c r="D189" s="130">
        <v>0</v>
      </c>
      <c r="E189" s="130">
        <v>37.519140082273879</v>
      </c>
      <c r="F189" s="130">
        <v>28.773548015902751</v>
      </c>
      <c r="G189" s="130">
        <v>0</v>
      </c>
      <c r="H189" s="130">
        <v>28.773548015902751</v>
      </c>
      <c r="I189" s="130">
        <v>0</v>
      </c>
      <c r="J189" s="130">
        <v>0</v>
      </c>
      <c r="K189" s="130">
        <v>37.519140082273886</v>
      </c>
      <c r="L189" s="130">
        <v>37.519140082273886</v>
      </c>
      <c r="M189" s="130">
        <v>37.519140082273886</v>
      </c>
      <c r="N189" s="130">
        <v>0</v>
      </c>
      <c r="O189" s="130">
        <v>37.519140082273886</v>
      </c>
      <c r="P189" s="130">
        <v>33.465283888946423</v>
      </c>
      <c r="Q189" s="130">
        <v>0</v>
      </c>
      <c r="R189" s="130">
        <v>32.167347731598028</v>
      </c>
      <c r="S189" s="130">
        <v>0</v>
      </c>
      <c r="T189" s="130">
        <v>32.167347731598028</v>
      </c>
      <c r="U189" s="130">
        <v>0</v>
      </c>
      <c r="V189" s="130">
        <v>0</v>
      </c>
      <c r="W189" s="130">
        <v>10.337508994489871</v>
      </c>
      <c r="X189" s="130">
        <v>0</v>
      </c>
      <c r="Y189" s="130">
        <v>10.337508994489871</v>
      </c>
      <c r="Z189" s="130">
        <v>0</v>
      </c>
      <c r="AA189" s="130">
        <v>0</v>
      </c>
      <c r="AB189" s="130">
        <v>24.578461918594741</v>
      </c>
      <c r="AC189" s="130">
        <v>24.578461918594741</v>
      </c>
      <c r="AD189" s="130">
        <v>23.721661901168133</v>
      </c>
      <c r="AE189" s="130">
        <v>23.721661901168133</v>
      </c>
      <c r="AF189" s="130">
        <v>0</v>
      </c>
      <c r="AG189" s="130">
        <v>23.721661901168133</v>
      </c>
      <c r="AH189" s="130">
        <v>30.25083358263565</v>
      </c>
      <c r="AI189" s="130">
        <v>30.25083358263565</v>
      </c>
      <c r="AJ189" s="130">
        <v>30.25083358263565</v>
      </c>
      <c r="AK189" s="130">
        <v>0</v>
      </c>
      <c r="AL189" s="130">
        <v>30.319512684010498</v>
      </c>
      <c r="AM189" s="130">
        <v>0</v>
      </c>
      <c r="AN189" s="130">
        <v>30.319512684010498</v>
      </c>
      <c r="AO189" s="130">
        <v>30.319512684010498</v>
      </c>
      <c r="AP189" s="130">
        <v>0</v>
      </c>
      <c r="AQ189" s="130">
        <v>27.679370283356526</v>
      </c>
      <c r="AR189" s="130">
        <v>0</v>
      </c>
      <c r="AS189" s="130">
        <v>27.679370283356526</v>
      </c>
      <c r="AT189" s="130">
        <v>0</v>
      </c>
      <c r="AU189" s="130">
        <v>0</v>
      </c>
      <c r="AV189" s="130">
        <v>0</v>
      </c>
      <c r="AW189" s="130">
        <v>0</v>
      </c>
      <c r="AX189" s="130">
        <v>19.868593201016093</v>
      </c>
      <c r="AY189" s="130">
        <v>19.868593201016093</v>
      </c>
    </row>
    <row r="190" spans="1:51" x14ac:dyDescent="0.2">
      <c r="A190" s="115"/>
      <c r="B190" s="125">
        <v>2</v>
      </c>
      <c r="C190" s="112">
        <v>0</v>
      </c>
      <c r="D190" s="112">
        <v>0</v>
      </c>
      <c r="E190" s="112">
        <v>43.540325891316058</v>
      </c>
      <c r="F190" s="112">
        <v>7.1054273576010019E-15</v>
      </c>
      <c r="G190" s="112">
        <v>0</v>
      </c>
      <c r="H190" s="112">
        <v>28.773548015902751</v>
      </c>
      <c r="I190" s="112">
        <v>0</v>
      </c>
      <c r="J190" s="112">
        <v>28.773548015902751</v>
      </c>
      <c r="K190" s="112">
        <v>0</v>
      </c>
      <c r="L190" s="112">
        <v>0</v>
      </c>
      <c r="M190" s="112">
        <v>0</v>
      </c>
      <c r="N190" s="112">
        <v>0</v>
      </c>
      <c r="O190" s="112">
        <v>0</v>
      </c>
      <c r="P190" s="112">
        <v>0</v>
      </c>
      <c r="Q190" s="112">
        <v>0</v>
      </c>
      <c r="R190" s="112">
        <v>33.465283888946423</v>
      </c>
      <c r="S190" s="112">
        <v>0</v>
      </c>
      <c r="T190" s="112">
        <v>32.167347731598028</v>
      </c>
      <c r="U190" s="112">
        <v>0</v>
      </c>
      <c r="V190" s="112">
        <v>32.167347731598028</v>
      </c>
      <c r="W190" s="112">
        <v>10.337508994489871</v>
      </c>
      <c r="X190" s="112">
        <v>0</v>
      </c>
      <c r="Y190" s="112">
        <v>10.337508994489871</v>
      </c>
      <c r="Z190" s="112">
        <v>0</v>
      </c>
      <c r="AA190" s="112">
        <v>0</v>
      </c>
      <c r="AB190" s="112">
        <v>37.519140082273886</v>
      </c>
      <c r="AC190" s="112">
        <v>0</v>
      </c>
      <c r="AD190" s="112">
        <v>0</v>
      </c>
      <c r="AE190" s="112">
        <v>0</v>
      </c>
      <c r="AF190" s="112">
        <v>0</v>
      </c>
      <c r="AG190" s="112">
        <v>23.721661901168133</v>
      </c>
      <c r="AH190" s="112">
        <v>0</v>
      </c>
      <c r="AI190" s="112">
        <v>0</v>
      </c>
      <c r="AJ190" s="112">
        <v>0</v>
      </c>
      <c r="AK190" s="112">
        <v>0</v>
      </c>
      <c r="AL190" s="112">
        <v>30.25083358263565</v>
      </c>
      <c r="AM190" s="112">
        <v>0</v>
      </c>
      <c r="AN190" s="112">
        <v>30.319512684010498</v>
      </c>
      <c r="AO190" s="112">
        <v>0</v>
      </c>
      <c r="AP190" s="112">
        <v>0</v>
      </c>
      <c r="AQ190" s="112">
        <v>27.679370283356526</v>
      </c>
      <c r="AR190" s="112">
        <v>0</v>
      </c>
      <c r="AS190" s="112">
        <v>27.679370283356526</v>
      </c>
      <c r="AT190" s="112">
        <v>0</v>
      </c>
      <c r="AU190" s="112">
        <v>31.957924822213414</v>
      </c>
      <c r="AV190" s="112">
        <v>31.957924822213414</v>
      </c>
      <c r="AW190" s="112">
        <v>31.957924822213414</v>
      </c>
      <c r="AX190" s="112">
        <v>31.957924822213414</v>
      </c>
      <c r="AY190" s="112">
        <v>0</v>
      </c>
    </row>
    <row r="191" spans="1:51" x14ac:dyDescent="0.2">
      <c r="A191" s="115"/>
      <c r="B191" s="126">
        <v>3</v>
      </c>
      <c r="C191" s="112">
        <v>0</v>
      </c>
      <c r="D191" s="112">
        <v>0</v>
      </c>
      <c r="E191" s="112">
        <v>0</v>
      </c>
      <c r="F191" s="112">
        <v>0</v>
      </c>
      <c r="G191" s="112">
        <v>0</v>
      </c>
      <c r="H191" s="112">
        <v>0</v>
      </c>
      <c r="I191" s="112">
        <v>0</v>
      </c>
      <c r="J191" s="112">
        <v>0</v>
      </c>
      <c r="K191" s="112">
        <v>0</v>
      </c>
      <c r="L191" s="112">
        <v>37.519140082273886</v>
      </c>
      <c r="M191" s="112">
        <v>0</v>
      </c>
      <c r="N191" s="112">
        <v>0</v>
      </c>
      <c r="O191" s="112">
        <v>0</v>
      </c>
      <c r="P191" s="112">
        <v>0</v>
      </c>
      <c r="Q191" s="112">
        <v>0</v>
      </c>
      <c r="R191" s="112">
        <v>0</v>
      </c>
      <c r="S191" s="112">
        <v>0</v>
      </c>
      <c r="T191" s="112">
        <v>0</v>
      </c>
      <c r="U191" s="112">
        <v>0</v>
      </c>
      <c r="V191" s="112">
        <v>0</v>
      </c>
      <c r="W191" s="112">
        <v>0</v>
      </c>
      <c r="X191" s="112">
        <v>0</v>
      </c>
      <c r="Y191" s="112">
        <v>0</v>
      </c>
      <c r="Z191" s="112">
        <v>0</v>
      </c>
      <c r="AA191" s="112">
        <v>0</v>
      </c>
      <c r="AB191" s="112">
        <v>0</v>
      </c>
      <c r="AC191" s="112">
        <v>0</v>
      </c>
      <c r="AD191" s="112">
        <v>0</v>
      </c>
      <c r="AE191" s="112">
        <v>0</v>
      </c>
      <c r="AF191" s="112">
        <v>0</v>
      </c>
      <c r="AG191" s="112">
        <v>0</v>
      </c>
      <c r="AH191" s="112">
        <v>0</v>
      </c>
      <c r="AI191" s="112">
        <v>0</v>
      </c>
      <c r="AJ191" s="112">
        <v>0</v>
      </c>
      <c r="AK191" s="112">
        <v>0</v>
      </c>
      <c r="AL191" s="112">
        <v>0</v>
      </c>
      <c r="AM191" s="112">
        <v>0</v>
      </c>
      <c r="AN191" s="112">
        <v>0</v>
      </c>
      <c r="AO191" s="112">
        <v>0</v>
      </c>
      <c r="AP191" s="112">
        <v>0</v>
      </c>
      <c r="AQ191" s="112">
        <v>0</v>
      </c>
      <c r="AR191" s="112">
        <v>0</v>
      </c>
      <c r="AS191" s="112">
        <v>0</v>
      </c>
      <c r="AT191" s="112">
        <v>0</v>
      </c>
      <c r="AU191" s="112">
        <v>0</v>
      </c>
      <c r="AV191" s="112">
        <v>0</v>
      </c>
      <c r="AW191" s="112">
        <v>0</v>
      </c>
      <c r="AX191" s="112">
        <v>0</v>
      </c>
      <c r="AY191" s="112">
        <v>0</v>
      </c>
    </row>
    <row r="192" spans="1:51" x14ac:dyDescent="0.2">
      <c r="A192" s="115"/>
      <c r="B192" s="126">
        <v>4</v>
      </c>
      <c r="C192" s="112">
        <v>0</v>
      </c>
      <c r="D192" s="112">
        <v>0</v>
      </c>
      <c r="E192" s="112">
        <v>0</v>
      </c>
      <c r="F192" s="112">
        <v>0</v>
      </c>
      <c r="G192" s="112">
        <v>0</v>
      </c>
      <c r="H192" s="112">
        <v>0</v>
      </c>
      <c r="I192" s="112">
        <v>0</v>
      </c>
      <c r="J192" s="112">
        <v>0</v>
      </c>
      <c r="K192" s="112">
        <v>0</v>
      </c>
      <c r="L192" s="112">
        <v>0</v>
      </c>
      <c r="M192" s="112">
        <v>0</v>
      </c>
      <c r="N192" s="112">
        <v>0</v>
      </c>
      <c r="O192" s="112">
        <v>0</v>
      </c>
      <c r="P192" s="112">
        <v>0</v>
      </c>
      <c r="Q192" s="112">
        <v>0</v>
      </c>
      <c r="R192" s="112">
        <v>0</v>
      </c>
      <c r="S192" s="112">
        <v>0</v>
      </c>
      <c r="T192" s="112">
        <v>0</v>
      </c>
      <c r="U192" s="112">
        <v>0</v>
      </c>
      <c r="V192" s="112">
        <v>0</v>
      </c>
      <c r="W192" s="112">
        <v>0</v>
      </c>
      <c r="X192" s="112">
        <v>0</v>
      </c>
      <c r="Y192" s="112">
        <v>0</v>
      </c>
      <c r="Z192" s="112">
        <v>0</v>
      </c>
      <c r="AA192" s="112">
        <v>0</v>
      </c>
      <c r="AB192" s="112">
        <v>0</v>
      </c>
      <c r="AC192" s="112">
        <v>0</v>
      </c>
      <c r="AD192" s="112">
        <v>0</v>
      </c>
      <c r="AE192" s="112">
        <v>0</v>
      </c>
      <c r="AF192" s="112">
        <v>0</v>
      </c>
      <c r="AG192" s="112">
        <v>0</v>
      </c>
      <c r="AH192" s="112">
        <v>0</v>
      </c>
      <c r="AI192" s="112">
        <v>0</v>
      </c>
      <c r="AJ192" s="112">
        <v>0</v>
      </c>
      <c r="AK192" s="112">
        <v>0</v>
      </c>
      <c r="AL192" s="112">
        <v>0</v>
      </c>
      <c r="AM192" s="112">
        <v>0</v>
      </c>
      <c r="AN192" s="112">
        <v>0</v>
      </c>
      <c r="AO192" s="112">
        <v>0</v>
      </c>
      <c r="AP192" s="112">
        <v>0</v>
      </c>
      <c r="AQ192" s="112">
        <v>0</v>
      </c>
      <c r="AR192" s="112">
        <v>0</v>
      </c>
      <c r="AS192" s="112">
        <v>0</v>
      </c>
      <c r="AT192" s="112">
        <v>0</v>
      </c>
      <c r="AU192" s="112">
        <v>0</v>
      </c>
      <c r="AV192" s="112">
        <v>0</v>
      </c>
      <c r="AW192" s="112">
        <v>0</v>
      </c>
      <c r="AX192" s="112">
        <v>0</v>
      </c>
      <c r="AY192" s="112">
        <v>0</v>
      </c>
    </row>
    <row r="193" spans="1:51" x14ac:dyDescent="0.2">
      <c r="A193" s="115"/>
      <c r="B193" s="133">
        <v>5</v>
      </c>
      <c r="C193" s="112">
        <v>0</v>
      </c>
      <c r="D193" s="112">
        <v>0</v>
      </c>
      <c r="E193" s="112">
        <v>0</v>
      </c>
      <c r="F193" s="112">
        <v>0</v>
      </c>
      <c r="G193" s="112">
        <v>0</v>
      </c>
      <c r="H193" s="112">
        <v>0</v>
      </c>
      <c r="I193" s="112">
        <v>0</v>
      </c>
      <c r="J193" s="112">
        <v>0</v>
      </c>
      <c r="K193" s="112">
        <v>0</v>
      </c>
      <c r="L193" s="112">
        <v>0</v>
      </c>
      <c r="M193" s="112">
        <v>0</v>
      </c>
      <c r="N193" s="112">
        <v>0</v>
      </c>
      <c r="O193" s="112">
        <v>0</v>
      </c>
      <c r="P193" s="112">
        <v>0</v>
      </c>
      <c r="Q193" s="112">
        <v>0</v>
      </c>
      <c r="R193" s="112">
        <v>0</v>
      </c>
      <c r="S193" s="112">
        <v>0</v>
      </c>
      <c r="T193" s="112">
        <v>0</v>
      </c>
      <c r="U193" s="112">
        <v>0</v>
      </c>
      <c r="V193" s="112">
        <v>0</v>
      </c>
      <c r="W193" s="112">
        <v>0</v>
      </c>
      <c r="X193" s="112">
        <v>0</v>
      </c>
      <c r="Y193" s="112">
        <v>0</v>
      </c>
      <c r="Z193" s="112">
        <v>0</v>
      </c>
      <c r="AA193" s="112">
        <v>0</v>
      </c>
      <c r="AB193" s="112">
        <v>0</v>
      </c>
      <c r="AC193" s="112">
        <v>0</v>
      </c>
      <c r="AD193" s="112">
        <v>0</v>
      </c>
      <c r="AE193" s="112">
        <v>0</v>
      </c>
      <c r="AF193" s="112">
        <v>0</v>
      </c>
      <c r="AG193" s="112">
        <v>0</v>
      </c>
      <c r="AH193" s="112">
        <v>0</v>
      </c>
      <c r="AI193" s="112">
        <v>0</v>
      </c>
      <c r="AJ193" s="112">
        <v>0</v>
      </c>
      <c r="AK193" s="112">
        <v>0</v>
      </c>
      <c r="AL193" s="112">
        <v>0</v>
      </c>
      <c r="AM193" s="112">
        <v>0</v>
      </c>
      <c r="AN193" s="112">
        <v>0</v>
      </c>
      <c r="AO193" s="112">
        <v>0</v>
      </c>
      <c r="AP193" s="112">
        <v>0</v>
      </c>
      <c r="AQ193" s="112">
        <v>0</v>
      </c>
      <c r="AR193" s="112">
        <v>0</v>
      </c>
      <c r="AS193" s="112">
        <v>0</v>
      </c>
      <c r="AT193" s="112">
        <v>0</v>
      </c>
      <c r="AU193" s="112">
        <v>0</v>
      </c>
      <c r="AV193" s="112">
        <v>0</v>
      </c>
      <c r="AW193" s="112">
        <v>0</v>
      </c>
      <c r="AX193" s="112">
        <v>0</v>
      </c>
      <c r="AY193" s="112">
        <v>0</v>
      </c>
    </row>
    <row r="194" spans="1:51" x14ac:dyDescent="0.2">
      <c r="A194" s="115"/>
      <c r="B194" s="133">
        <v>6</v>
      </c>
      <c r="C194" s="112">
        <v>0</v>
      </c>
      <c r="D194" s="112">
        <v>0</v>
      </c>
      <c r="E194" s="112">
        <v>0</v>
      </c>
      <c r="F194" s="112">
        <v>0</v>
      </c>
      <c r="G194" s="112">
        <v>0</v>
      </c>
      <c r="H194" s="112">
        <v>0</v>
      </c>
      <c r="I194" s="112">
        <v>0</v>
      </c>
      <c r="J194" s="112">
        <v>0</v>
      </c>
      <c r="K194" s="112">
        <v>0</v>
      </c>
      <c r="L194" s="112">
        <v>0</v>
      </c>
      <c r="M194" s="112">
        <v>0</v>
      </c>
      <c r="N194" s="112">
        <v>0</v>
      </c>
      <c r="O194" s="112">
        <v>0</v>
      </c>
      <c r="P194" s="112">
        <v>0</v>
      </c>
      <c r="Q194" s="112">
        <v>0</v>
      </c>
      <c r="R194" s="112">
        <v>0</v>
      </c>
      <c r="S194" s="112">
        <v>0</v>
      </c>
      <c r="T194" s="112">
        <v>0</v>
      </c>
      <c r="U194" s="112">
        <v>0</v>
      </c>
      <c r="V194" s="112">
        <v>0</v>
      </c>
      <c r="W194" s="112">
        <v>0</v>
      </c>
      <c r="X194" s="112">
        <v>0</v>
      </c>
      <c r="Y194" s="112">
        <v>0</v>
      </c>
      <c r="Z194" s="112">
        <v>0</v>
      </c>
      <c r="AA194" s="112">
        <v>0</v>
      </c>
      <c r="AB194" s="112">
        <v>0</v>
      </c>
      <c r="AC194" s="112">
        <v>0</v>
      </c>
      <c r="AD194" s="112">
        <v>0</v>
      </c>
      <c r="AE194" s="112">
        <v>0</v>
      </c>
      <c r="AF194" s="112">
        <v>0</v>
      </c>
      <c r="AG194" s="112">
        <v>0</v>
      </c>
      <c r="AH194" s="112">
        <v>0</v>
      </c>
      <c r="AI194" s="112">
        <v>0</v>
      </c>
      <c r="AJ194" s="112">
        <v>0</v>
      </c>
      <c r="AK194" s="112">
        <v>0</v>
      </c>
      <c r="AL194" s="112">
        <v>0</v>
      </c>
      <c r="AM194" s="112">
        <v>0</v>
      </c>
      <c r="AN194" s="112">
        <v>0</v>
      </c>
      <c r="AO194" s="112">
        <v>0</v>
      </c>
      <c r="AP194" s="112">
        <v>0</v>
      </c>
      <c r="AQ194" s="112">
        <v>0</v>
      </c>
      <c r="AR194" s="112">
        <v>0</v>
      </c>
      <c r="AS194" s="112">
        <v>0</v>
      </c>
      <c r="AT194" s="112">
        <v>0</v>
      </c>
      <c r="AU194" s="112">
        <v>0</v>
      </c>
      <c r="AV194" s="112">
        <v>0</v>
      </c>
      <c r="AW194" s="112">
        <v>0</v>
      </c>
      <c r="AX194" s="112">
        <v>0</v>
      </c>
      <c r="AY194" s="112">
        <v>0</v>
      </c>
    </row>
    <row r="195" spans="1:51" x14ac:dyDescent="0.2">
      <c r="A195" s="115"/>
      <c r="B195" s="136">
        <v>7</v>
      </c>
      <c r="C195" s="112">
        <v>0</v>
      </c>
      <c r="D195" s="112">
        <v>0</v>
      </c>
      <c r="E195" s="112">
        <v>0</v>
      </c>
      <c r="F195" s="112">
        <v>0</v>
      </c>
      <c r="G195" s="112">
        <v>0</v>
      </c>
      <c r="H195" s="112">
        <v>0</v>
      </c>
      <c r="I195" s="112">
        <v>0</v>
      </c>
      <c r="J195" s="112">
        <v>0</v>
      </c>
      <c r="K195" s="112">
        <v>0</v>
      </c>
      <c r="L195" s="112">
        <v>0</v>
      </c>
      <c r="M195" s="112">
        <v>0</v>
      </c>
      <c r="N195" s="112">
        <v>0</v>
      </c>
      <c r="O195" s="112">
        <v>0</v>
      </c>
      <c r="P195" s="112">
        <v>0</v>
      </c>
      <c r="Q195" s="112">
        <v>0</v>
      </c>
      <c r="R195" s="112">
        <v>0</v>
      </c>
      <c r="S195" s="112">
        <v>0</v>
      </c>
      <c r="T195" s="112">
        <v>0</v>
      </c>
      <c r="U195" s="112">
        <v>0</v>
      </c>
      <c r="V195" s="112">
        <v>0</v>
      </c>
      <c r="W195" s="112">
        <v>0</v>
      </c>
      <c r="X195" s="112">
        <v>0</v>
      </c>
      <c r="Y195" s="112">
        <v>0</v>
      </c>
      <c r="Z195" s="112">
        <v>0</v>
      </c>
      <c r="AA195" s="112">
        <v>0</v>
      </c>
      <c r="AB195" s="112">
        <v>0</v>
      </c>
      <c r="AC195" s="112">
        <v>0</v>
      </c>
      <c r="AD195" s="112">
        <v>0</v>
      </c>
      <c r="AE195" s="112">
        <v>0</v>
      </c>
      <c r="AF195" s="112">
        <v>0</v>
      </c>
      <c r="AG195" s="112">
        <v>0</v>
      </c>
      <c r="AH195" s="112">
        <v>0</v>
      </c>
      <c r="AI195" s="112">
        <v>0</v>
      </c>
      <c r="AJ195" s="112">
        <v>0</v>
      </c>
      <c r="AK195" s="112">
        <v>0</v>
      </c>
      <c r="AL195" s="112">
        <v>0</v>
      </c>
      <c r="AM195" s="112">
        <v>0</v>
      </c>
      <c r="AN195" s="112">
        <v>0</v>
      </c>
      <c r="AO195" s="112">
        <v>0</v>
      </c>
      <c r="AP195" s="112">
        <v>0</v>
      </c>
      <c r="AQ195" s="112">
        <v>0</v>
      </c>
      <c r="AR195" s="112">
        <v>0</v>
      </c>
      <c r="AS195" s="112">
        <v>0</v>
      </c>
      <c r="AT195" s="112">
        <v>0</v>
      </c>
      <c r="AU195" s="112">
        <v>0</v>
      </c>
      <c r="AV195" s="112">
        <v>0</v>
      </c>
      <c r="AW195" s="112">
        <v>0</v>
      </c>
      <c r="AX195" s="112">
        <v>0</v>
      </c>
      <c r="AY195" s="112">
        <v>0</v>
      </c>
    </row>
    <row r="196" spans="1:51" x14ac:dyDescent="0.2">
      <c r="A196" s="134"/>
      <c r="B196" s="135">
        <v>8</v>
      </c>
      <c r="C196" s="120">
        <v>0</v>
      </c>
      <c r="D196" s="120">
        <v>0</v>
      </c>
      <c r="E196" s="120">
        <v>0</v>
      </c>
      <c r="F196" s="120">
        <v>0</v>
      </c>
      <c r="G196" s="120">
        <v>0</v>
      </c>
      <c r="H196" s="120">
        <v>0</v>
      </c>
      <c r="I196" s="120">
        <v>0</v>
      </c>
      <c r="J196" s="120">
        <v>0</v>
      </c>
      <c r="K196" s="120">
        <v>0</v>
      </c>
      <c r="L196" s="120">
        <v>0</v>
      </c>
      <c r="M196" s="120">
        <v>0</v>
      </c>
      <c r="N196" s="120">
        <v>0</v>
      </c>
      <c r="O196" s="120">
        <v>0</v>
      </c>
      <c r="P196" s="120">
        <v>0</v>
      </c>
      <c r="Q196" s="120">
        <v>0</v>
      </c>
      <c r="R196" s="120">
        <v>0</v>
      </c>
      <c r="S196" s="120">
        <v>0</v>
      </c>
      <c r="T196" s="120">
        <v>0</v>
      </c>
      <c r="U196" s="120">
        <v>0</v>
      </c>
      <c r="V196" s="120">
        <v>0</v>
      </c>
      <c r="W196" s="120">
        <v>0</v>
      </c>
      <c r="X196" s="120">
        <v>0</v>
      </c>
      <c r="Y196" s="120">
        <v>0</v>
      </c>
      <c r="Z196" s="120">
        <v>0</v>
      </c>
      <c r="AA196" s="120">
        <v>0</v>
      </c>
      <c r="AB196" s="120">
        <v>0</v>
      </c>
      <c r="AC196" s="120">
        <v>0</v>
      </c>
      <c r="AD196" s="120">
        <v>0</v>
      </c>
      <c r="AE196" s="120">
        <v>0</v>
      </c>
      <c r="AF196" s="120">
        <v>0</v>
      </c>
      <c r="AG196" s="120">
        <v>0</v>
      </c>
      <c r="AH196" s="120">
        <v>0</v>
      </c>
      <c r="AI196" s="120">
        <v>0</v>
      </c>
      <c r="AJ196" s="120">
        <v>0</v>
      </c>
      <c r="AK196" s="120">
        <v>0</v>
      </c>
      <c r="AL196" s="120">
        <v>0</v>
      </c>
      <c r="AM196" s="120">
        <v>0</v>
      </c>
      <c r="AN196" s="120">
        <v>0</v>
      </c>
      <c r="AO196" s="120">
        <v>0</v>
      </c>
      <c r="AP196" s="120">
        <v>0</v>
      </c>
      <c r="AQ196" s="120">
        <v>0</v>
      </c>
      <c r="AR196" s="120">
        <v>0</v>
      </c>
      <c r="AS196" s="120">
        <v>0</v>
      </c>
      <c r="AT196" s="120">
        <v>0</v>
      </c>
      <c r="AU196" s="120">
        <v>0</v>
      </c>
      <c r="AV196" s="120">
        <v>0</v>
      </c>
      <c r="AW196" s="120">
        <v>0</v>
      </c>
      <c r="AX196" s="120">
        <v>0</v>
      </c>
      <c r="AY196" s="120">
        <v>0</v>
      </c>
    </row>
    <row r="197" spans="1:51" x14ac:dyDescent="0.2">
      <c r="A197" s="137" t="s">
        <v>134</v>
      </c>
      <c r="B197" s="125">
        <v>1</v>
      </c>
      <c r="C197" s="112">
        <v>85.285885438953173</v>
      </c>
      <c r="D197" s="112">
        <v>119.26395964391283</v>
      </c>
      <c r="E197" s="112">
        <v>141.6666161153633</v>
      </c>
      <c r="F197" s="112">
        <v>0</v>
      </c>
      <c r="G197" s="112">
        <v>0</v>
      </c>
      <c r="H197" s="112">
        <v>0</v>
      </c>
      <c r="I197" s="112">
        <v>0</v>
      </c>
      <c r="J197" s="112">
        <v>0</v>
      </c>
      <c r="K197" s="112">
        <v>0</v>
      </c>
      <c r="L197" s="112">
        <v>0</v>
      </c>
      <c r="M197" s="112">
        <v>0</v>
      </c>
      <c r="N197" s="112">
        <v>0</v>
      </c>
      <c r="O197" s="112">
        <v>0</v>
      </c>
      <c r="P197" s="112">
        <v>0</v>
      </c>
      <c r="Q197" s="112">
        <v>0</v>
      </c>
      <c r="R197" s="112">
        <v>0</v>
      </c>
      <c r="S197" s="112">
        <v>0</v>
      </c>
      <c r="T197" s="112">
        <v>0</v>
      </c>
      <c r="U197" s="112">
        <v>37.479015687118974</v>
      </c>
      <c r="V197" s="112">
        <v>6.3137254352537013</v>
      </c>
      <c r="W197" s="112">
        <v>52.405894989624542</v>
      </c>
      <c r="X197" s="112">
        <v>33.683001492061287</v>
      </c>
      <c r="Y197" s="112">
        <v>0</v>
      </c>
      <c r="Z197" s="112">
        <v>35.643484870127473</v>
      </c>
      <c r="AA197" s="112">
        <v>0</v>
      </c>
      <c r="AB197" s="112">
        <v>0</v>
      </c>
      <c r="AC197" s="112">
        <v>104.20999340572615</v>
      </c>
      <c r="AD197" s="112">
        <v>41.246703124282014</v>
      </c>
      <c r="AE197" s="112">
        <v>39.808851721182677</v>
      </c>
      <c r="AF197" s="112">
        <v>39.808851721182677</v>
      </c>
      <c r="AG197" s="112">
        <v>0</v>
      </c>
      <c r="AH197" s="112">
        <v>15.688158350434614</v>
      </c>
      <c r="AI197" s="112">
        <v>12.338466284977088</v>
      </c>
      <c r="AJ197" s="112">
        <v>12.01467576494988</v>
      </c>
      <c r="AK197" s="112">
        <v>0</v>
      </c>
      <c r="AL197" s="112">
        <v>0</v>
      </c>
      <c r="AM197" s="112">
        <v>0</v>
      </c>
      <c r="AN197" s="112">
        <v>0</v>
      </c>
      <c r="AO197" s="112">
        <v>2.9908694595901717</v>
      </c>
      <c r="AP197" s="112">
        <v>2.7134992793357249</v>
      </c>
      <c r="AQ197" s="112">
        <v>0.87535627040369302</v>
      </c>
      <c r="AR197" s="112">
        <v>2.7123828262284668</v>
      </c>
      <c r="AS197" s="112">
        <v>17.000949818260345</v>
      </c>
      <c r="AT197" s="112">
        <v>49.205792987663436</v>
      </c>
      <c r="AU197" s="112">
        <v>0</v>
      </c>
      <c r="AV197" s="112">
        <v>28.405903331960726</v>
      </c>
      <c r="AW197" s="112">
        <v>53.034700891227565</v>
      </c>
      <c r="AX197" s="112">
        <v>53.034700891227565</v>
      </c>
      <c r="AY197" s="112">
        <v>86.006957488218475</v>
      </c>
    </row>
    <row r="198" spans="1:51" x14ac:dyDescent="0.2">
      <c r="A198" s="115"/>
      <c r="B198" s="125">
        <v>2</v>
      </c>
      <c r="C198" s="112">
        <v>62.405413804499389</v>
      </c>
      <c r="D198" s="112">
        <v>43.736040356087173</v>
      </c>
      <c r="E198" s="112">
        <v>10.022614725842246</v>
      </c>
      <c r="F198" s="112">
        <v>132.60482479009241</v>
      </c>
      <c r="G198" s="112">
        <v>0</v>
      </c>
      <c r="H198" s="112">
        <v>0</v>
      </c>
      <c r="I198" s="112">
        <v>0</v>
      </c>
      <c r="J198" s="112">
        <v>0</v>
      </c>
      <c r="K198" s="112">
        <v>0</v>
      </c>
      <c r="L198" s="112">
        <v>0</v>
      </c>
      <c r="M198" s="112">
        <v>0</v>
      </c>
      <c r="N198" s="112">
        <v>0</v>
      </c>
      <c r="O198" s="112">
        <v>0</v>
      </c>
      <c r="P198" s="112">
        <v>0</v>
      </c>
      <c r="Q198" s="112">
        <v>0</v>
      </c>
      <c r="R198" s="112">
        <v>0</v>
      </c>
      <c r="S198" s="112">
        <v>0</v>
      </c>
      <c r="T198" s="112">
        <v>0</v>
      </c>
      <c r="U198" s="112">
        <v>0</v>
      </c>
      <c r="V198" s="112">
        <v>67.332774292130111</v>
      </c>
      <c r="W198" s="112">
        <v>6.2172489379008766E-15</v>
      </c>
      <c r="X198" s="112">
        <v>0</v>
      </c>
      <c r="Y198" s="112">
        <v>0</v>
      </c>
      <c r="Z198" s="112">
        <v>0</v>
      </c>
      <c r="AA198" s="112">
        <v>0</v>
      </c>
      <c r="AB198" s="112">
        <v>0</v>
      </c>
      <c r="AC198" s="112">
        <v>0</v>
      </c>
      <c r="AD198" s="112">
        <v>0</v>
      </c>
      <c r="AE198" s="112">
        <v>0</v>
      </c>
      <c r="AF198" s="112">
        <v>0</v>
      </c>
      <c r="AG198" s="112">
        <v>0</v>
      </c>
      <c r="AH198" s="112">
        <v>0</v>
      </c>
      <c r="AI198" s="112">
        <v>0</v>
      </c>
      <c r="AJ198" s="112">
        <v>0</v>
      </c>
      <c r="AK198" s="112">
        <v>0</v>
      </c>
      <c r="AL198" s="112">
        <v>0</v>
      </c>
      <c r="AM198" s="112">
        <v>0</v>
      </c>
      <c r="AN198" s="112">
        <v>0</v>
      </c>
      <c r="AO198" s="112">
        <v>0</v>
      </c>
      <c r="AP198" s="112">
        <v>0</v>
      </c>
      <c r="AQ198" s="112">
        <v>0</v>
      </c>
      <c r="AR198" s="112">
        <v>0</v>
      </c>
      <c r="AS198" s="112">
        <v>0</v>
      </c>
      <c r="AT198" s="112">
        <v>0</v>
      </c>
      <c r="AU198" s="112">
        <v>0</v>
      </c>
      <c r="AV198" s="112">
        <v>0</v>
      </c>
      <c r="AW198" s="112">
        <v>0</v>
      </c>
      <c r="AX198" s="112">
        <v>0</v>
      </c>
      <c r="AY198" s="112">
        <v>0</v>
      </c>
    </row>
    <row r="199" spans="1:51" x14ac:dyDescent="0.2">
      <c r="A199" s="115"/>
      <c r="B199" s="125">
        <v>3</v>
      </c>
      <c r="C199" s="112">
        <v>0</v>
      </c>
      <c r="D199" s="112">
        <v>0</v>
      </c>
      <c r="E199" s="112">
        <v>0</v>
      </c>
      <c r="F199" s="112">
        <v>0</v>
      </c>
      <c r="G199" s="112">
        <v>145</v>
      </c>
      <c r="H199" s="112">
        <v>0</v>
      </c>
      <c r="I199" s="112">
        <v>0</v>
      </c>
      <c r="J199" s="112">
        <v>0</v>
      </c>
      <c r="K199" s="112">
        <v>0</v>
      </c>
      <c r="L199" s="112">
        <v>0</v>
      </c>
      <c r="M199" s="112">
        <v>0</v>
      </c>
      <c r="N199" s="112">
        <v>0</v>
      </c>
      <c r="O199" s="112">
        <v>0</v>
      </c>
      <c r="P199" s="112">
        <v>0</v>
      </c>
      <c r="Q199" s="112">
        <v>0</v>
      </c>
      <c r="R199" s="112">
        <v>0</v>
      </c>
      <c r="S199" s="112">
        <v>0</v>
      </c>
      <c r="T199" s="112">
        <v>0</v>
      </c>
      <c r="U199" s="112">
        <v>104.47945243599771</v>
      </c>
      <c r="V199" s="112">
        <v>0</v>
      </c>
      <c r="W199" s="112">
        <v>0</v>
      </c>
      <c r="X199" s="112">
        <v>0</v>
      </c>
      <c r="Y199" s="112">
        <v>0</v>
      </c>
      <c r="Z199" s="112">
        <v>0</v>
      </c>
      <c r="AA199" s="112">
        <v>0</v>
      </c>
      <c r="AB199" s="112">
        <v>0</v>
      </c>
      <c r="AC199" s="112">
        <v>0</v>
      </c>
      <c r="AD199" s="112">
        <v>0</v>
      </c>
      <c r="AE199" s="112">
        <v>0</v>
      </c>
      <c r="AF199" s="112">
        <v>0</v>
      </c>
      <c r="AG199" s="112">
        <v>0</v>
      </c>
      <c r="AH199" s="112">
        <v>0</v>
      </c>
      <c r="AI199" s="112">
        <v>0</v>
      </c>
      <c r="AJ199" s="112">
        <v>0</v>
      </c>
      <c r="AK199" s="112">
        <v>0</v>
      </c>
      <c r="AL199" s="112">
        <v>0</v>
      </c>
      <c r="AM199" s="112">
        <v>0</v>
      </c>
      <c r="AN199" s="112">
        <v>0</v>
      </c>
      <c r="AO199" s="112">
        <v>0</v>
      </c>
      <c r="AP199" s="112">
        <v>0</v>
      </c>
      <c r="AQ199" s="112">
        <v>0</v>
      </c>
      <c r="AR199" s="112">
        <v>0</v>
      </c>
      <c r="AS199" s="112">
        <v>0</v>
      </c>
      <c r="AT199" s="112">
        <v>0</v>
      </c>
      <c r="AU199" s="112">
        <v>0</v>
      </c>
      <c r="AV199" s="112">
        <v>0</v>
      </c>
      <c r="AW199" s="112">
        <v>0</v>
      </c>
      <c r="AX199" s="112">
        <v>0</v>
      </c>
      <c r="AY199" s="112">
        <v>0</v>
      </c>
    </row>
    <row r="200" spans="1:51" x14ac:dyDescent="0.2">
      <c r="A200" s="115"/>
      <c r="B200" s="126">
        <v>4</v>
      </c>
      <c r="C200" s="112">
        <v>0</v>
      </c>
      <c r="D200" s="112">
        <v>0</v>
      </c>
      <c r="E200" s="112">
        <v>0</v>
      </c>
      <c r="F200" s="112">
        <v>0</v>
      </c>
      <c r="G200" s="112">
        <v>0</v>
      </c>
      <c r="H200" s="112">
        <v>116.15196096729025</v>
      </c>
      <c r="I200" s="112">
        <v>0</v>
      </c>
      <c r="J200" s="112">
        <v>0</v>
      </c>
      <c r="K200" s="112">
        <v>0</v>
      </c>
      <c r="L200" s="112">
        <v>0</v>
      </c>
      <c r="M200" s="112">
        <v>0</v>
      </c>
      <c r="N200" s="112">
        <v>0</v>
      </c>
      <c r="O200" s="112">
        <v>0</v>
      </c>
      <c r="P200" s="112">
        <v>0</v>
      </c>
      <c r="Q200" s="112">
        <v>0</v>
      </c>
      <c r="R200" s="112">
        <v>0</v>
      </c>
      <c r="S200" s="112">
        <v>0</v>
      </c>
      <c r="T200" s="112">
        <v>35.231275414267245</v>
      </c>
      <c r="U200" s="112">
        <v>0</v>
      </c>
      <c r="V200" s="112">
        <v>0</v>
      </c>
      <c r="W200" s="112">
        <v>0</v>
      </c>
      <c r="X200" s="112">
        <v>0</v>
      </c>
      <c r="Y200" s="112">
        <v>0</v>
      </c>
      <c r="Z200" s="112">
        <v>0</v>
      </c>
      <c r="AA200" s="112">
        <v>0</v>
      </c>
      <c r="AB200" s="112">
        <v>0</v>
      </c>
      <c r="AC200" s="112">
        <v>0</v>
      </c>
      <c r="AD200" s="112">
        <v>0</v>
      </c>
      <c r="AE200" s="112">
        <v>0</v>
      </c>
      <c r="AF200" s="112">
        <v>0</v>
      </c>
      <c r="AG200" s="112">
        <v>0</v>
      </c>
      <c r="AH200" s="112">
        <v>0</v>
      </c>
      <c r="AI200" s="112">
        <v>0</v>
      </c>
      <c r="AJ200" s="112">
        <v>0</v>
      </c>
      <c r="AK200" s="112">
        <v>0</v>
      </c>
      <c r="AL200" s="112">
        <v>0</v>
      </c>
      <c r="AM200" s="112">
        <v>0</v>
      </c>
      <c r="AN200" s="112">
        <v>0</v>
      </c>
      <c r="AO200" s="112">
        <v>0</v>
      </c>
      <c r="AP200" s="112">
        <v>0</v>
      </c>
      <c r="AQ200" s="112">
        <v>0</v>
      </c>
      <c r="AR200" s="112">
        <v>0</v>
      </c>
      <c r="AS200" s="112">
        <v>0</v>
      </c>
      <c r="AT200" s="112">
        <v>0</v>
      </c>
      <c r="AU200" s="112">
        <v>0</v>
      </c>
      <c r="AV200" s="112">
        <v>0</v>
      </c>
      <c r="AW200" s="112">
        <v>0</v>
      </c>
      <c r="AX200" s="112">
        <v>0</v>
      </c>
      <c r="AY200" s="112">
        <v>0</v>
      </c>
    </row>
    <row r="201" spans="1:51" x14ac:dyDescent="0.2">
      <c r="A201" s="115"/>
      <c r="B201" s="126">
        <v>5</v>
      </c>
      <c r="C201" s="112">
        <v>0</v>
      </c>
      <c r="D201" s="112">
        <v>0</v>
      </c>
      <c r="E201" s="112">
        <v>0</v>
      </c>
      <c r="F201" s="112">
        <v>0</v>
      </c>
      <c r="G201" s="112">
        <v>0</v>
      </c>
      <c r="H201" s="112">
        <v>0</v>
      </c>
      <c r="I201" s="112">
        <v>97</v>
      </c>
      <c r="J201" s="112">
        <v>0</v>
      </c>
      <c r="K201" s="112">
        <v>0</v>
      </c>
      <c r="L201" s="112">
        <v>0</v>
      </c>
      <c r="M201" s="112">
        <v>0</v>
      </c>
      <c r="N201" s="112">
        <v>0</v>
      </c>
      <c r="O201" s="112">
        <v>0</v>
      </c>
      <c r="P201" s="112">
        <v>0</v>
      </c>
      <c r="Q201" s="112">
        <v>40.351256650989484</v>
      </c>
      <c r="R201" s="112">
        <v>0</v>
      </c>
      <c r="S201" s="112">
        <v>0</v>
      </c>
      <c r="T201" s="112">
        <v>97.310873349870732</v>
      </c>
      <c r="U201" s="112">
        <v>18.041531876883305</v>
      </c>
      <c r="V201" s="112">
        <v>0</v>
      </c>
      <c r="W201" s="112">
        <v>0</v>
      </c>
      <c r="X201" s="112">
        <v>0</v>
      </c>
      <c r="Y201" s="112">
        <v>0</v>
      </c>
      <c r="Z201" s="112">
        <v>0</v>
      </c>
      <c r="AA201" s="112">
        <v>0</v>
      </c>
      <c r="AB201" s="112">
        <v>0</v>
      </c>
      <c r="AC201" s="112">
        <v>0</v>
      </c>
      <c r="AD201" s="112">
        <v>0</v>
      </c>
      <c r="AE201" s="112">
        <v>0</v>
      </c>
      <c r="AF201" s="112">
        <v>0</v>
      </c>
      <c r="AG201" s="112">
        <v>0</v>
      </c>
      <c r="AH201" s="112">
        <v>0</v>
      </c>
      <c r="AI201" s="112">
        <v>0</v>
      </c>
      <c r="AJ201" s="112">
        <v>0</v>
      </c>
      <c r="AK201" s="112">
        <v>0</v>
      </c>
      <c r="AL201" s="112">
        <v>0</v>
      </c>
      <c r="AM201" s="112">
        <v>0</v>
      </c>
      <c r="AN201" s="112">
        <v>0</v>
      </c>
      <c r="AO201" s="112">
        <v>0</v>
      </c>
      <c r="AP201" s="112">
        <v>0</v>
      </c>
      <c r="AQ201" s="112">
        <v>0</v>
      </c>
      <c r="AR201" s="112">
        <v>0</v>
      </c>
      <c r="AS201" s="112">
        <v>0</v>
      </c>
      <c r="AT201" s="112">
        <v>0</v>
      </c>
      <c r="AU201" s="112">
        <v>0</v>
      </c>
      <c r="AV201" s="112">
        <v>0</v>
      </c>
      <c r="AW201" s="112">
        <v>0</v>
      </c>
      <c r="AX201" s="112">
        <v>0</v>
      </c>
      <c r="AY201" s="112">
        <v>0</v>
      </c>
    </row>
    <row r="202" spans="1:51" x14ac:dyDescent="0.2">
      <c r="A202" s="115"/>
      <c r="B202" s="126">
        <v>6</v>
      </c>
      <c r="C202" s="112">
        <v>0</v>
      </c>
      <c r="D202" s="112">
        <v>0</v>
      </c>
      <c r="E202" s="112">
        <v>0</v>
      </c>
      <c r="F202" s="112">
        <v>0</v>
      </c>
      <c r="G202" s="112">
        <v>0</v>
      </c>
      <c r="H202" s="112">
        <v>0</v>
      </c>
      <c r="I202" s="112">
        <v>0</v>
      </c>
      <c r="J202" s="112">
        <v>113.37484782747478</v>
      </c>
      <c r="K202" s="112">
        <v>52.967606073005214</v>
      </c>
      <c r="L202" s="112">
        <v>0</v>
      </c>
      <c r="M202" s="112">
        <v>0</v>
      </c>
      <c r="N202" s="112">
        <v>0</v>
      </c>
      <c r="O202" s="112">
        <v>0</v>
      </c>
      <c r="P202" s="112">
        <v>0</v>
      </c>
      <c r="Q202" s="112">
        <v>28.678225186583447</v>
      </c>
      <c r="R202" s="112">
        <v>111.73863007719721</v>
      </c>
      <c r="S202" s="112">
        <v>65.468140028445234</v>
      </c>
      <c r="T202" s="112">
        <v>0</v>
      </c>
      <c r="U202" s="112">
        <v>0</v>
      </c>
      <c r="V202" s="112">
        <v>0</v>
      </c>
      <c r="W202" s="112">
        <v>0</v>
      </c>
      <c r="X202" s="112">
        <v>0</v>
      </c>
      <c r="Y202" s="112">
        <v>0</v>
      </c>
      <c r="Z202" s="112">
        <v>0</v>
      </c>
      <c r="AA202" s="112">
        <v>0</v>
      </c>
      <c r="AB202" s="112">
        <v>0</v>
      </c>
      <c r="AC202" s="112">
        <v>0</v>
      </c>
      <c r="AD202" s="112">
        <v>0</v>
      </c>
      <c r="AE202" s="112">
        <v>0</v>
      </c>
      <c r="AF202" s="112">
        <v>0</v>
      </c>
      <c r="AG202" s="112">
        <v>0</v>
      </c>
      <c r="AH202" s="112">
        <v>0</v>
      </c>
      <c r="AI202" s="112">
        <v>0</v>
      </c>
      <c r="AJ202" s="112">
        <v>0</v>
      </c>
      <c r="AK202" s="112">
        <v>0</v>
      </c>
      <c r="AL202" s="112">
        <v>0</v>
      </c>
      <c r="AM202" s="112">
        <v>0</v>
      </c>
      <c r="AN202" s="112">
        <v>0</v>
      </c>
      <c r="AO202" s="112">
        <v>0</v>
      </c>
      <c r="AP202" s="112">
        <v>0</v>
      </c>
      <c r="AQ202" s="112">
        <v>0</v>
      </c>
      <c r="AR202" s="112">
        <v>0</v>
      </c>
      <c r="AS202" s="112">
        <v>0</v>
      </c>
      <c r="AT202" s="112">
        <v>0</v>
      </c>
      <c r="AU202" s="112">
        <v>0</v>
      </c>
      <c r="AV202" s="112">
        <v>0</v>
      </c>
      <c r="AW202" s="112">
        <v>0</v>
      </c>
      <c r="AX202" s="112">
        <v>0</v>
      </c>
      <c r="AY202" s="112">
        <v>0</v>
      </c>
    </row>
    <row r="203" spans="1:51" x14ac:dyDescent="0.2">
      <c r="A203" s="115"/>
      <c r="B203" s="133">
        <v>7</v>
      </c>
      <c r="C203" s="112">
        <v>0</v>
      </c>
      <c r="D203" s="112">
        <v>0</v>
      </c>
      <c r="E203" s="112">
        <v>0</v>
      </c>
      <c r="F203" s="112">
        <v>0</v>
      </c>
      <c r="G203" s="112">
        <v>0</v>
      </c>
      <c r="H203" s="112">
        <v>0</v>
      </c>
      <c r="I203" s="112">
        <v>0</v>
      </c>
      <c r="J203" s="112">
        <v>0</v>
      </c>
      <c r="K203" s="112">
        <v>46.496097490531753</v>
      </c>
      <c r="L203" s="112">
        <v>94.975136880214961</v>
      </c>
      <c r="M203" s="112">
        <v>0</v>
      </c>
      <c r="N203" s="112">
        <v>0</v>
      </c>
      <c r="O203" s="112">
        <v>0</v>
      </c>
      <c r="P203" s="112">
        <v>0</v>
      </c>
      <c r="Q203" s="112">
        <v>21.993422226829988</v>
      </c>
      <c r="R203" s="112">
        <v>0</v>
      </c>
      <c r="S203" s="112">
        <v>42.531859971554766</v>
      </c>
      <c r="T203" s="112">
        <v>31.842733321425499</v>
      </c>
      <c r="U203" s="112">
        <v>0</v>
      </c>
      <c r="V203" s="112">
        <v>0</v>
      </c>
      <c r="W203" s="112">
        <v>0</v>
      </c>
      <c r="X203" s="112">
        <v>0</v>
      </c>
      <c r="Y203" s="112">
        <v>0</v>
      </c>
      <c r="Z203" s="112">
        <v>0</v>
      </c>
      <c r="AA203" s="112">
        <v>0</v>
      </c>
      <c r="AB203" s="112">
        <v>0</v>
      </c>
      <c r="AC203" s="112">
        <v>0</v>
      </c>
      <c r="AD203" s="112">
        <v>0</v>
      </c>
      <c r="AE203" s="112">
        <v>0</v>
      </c>
      <c r="AF203" s="112">
        <v>0</v>
      </c>
      <c r="AG203" s="112">
        <v>0</v>
      </c>
      <c r="AH203" s="112">
        <v>0</v>
      </c>
      <c r="AI203" s="112">
        <v>0</v>
      </c>
      <c r="AJ203" s="112">
        <v>0</v>
      </c>
      <c r="AK203" s="112">
        <v>0</v>
      </c>
      <c r="AL203" s="112">
        <v>0</v>
      </c>
      <c r="AM203" s="112">
        <v>0</v>
      </c>
      <c r="AN203" s="112">
        <v>0</v>
      </c>
      <c r="AO203" s="112">
        <v>0</v>
      </c>
      <c r="AP203" s="112">
        <v>0</v>
      </c>
      <c r="AQ203" s="112">
        <v>0</v>
      </c>
      <c r="AR203" s="112">
        <v>0</v>
      </c>
      <c r="AS203" s="112">
        <v>0</v>
      </c>
      <c r="AT203" s="112">
        <v>0</v>
      </c>
      <c r="AU203" s="112">
        <v>0</v>
      </c>
      <c r="AV203" s="112">
        <v>0</v>
      </c>
      <c r="AW203" s="112">
        <v>0</v>
      </c>
      <c r="AX203" s="112">
        <v>0</v>
      </c>
      <c r="AY203" s="112">
        <v>0</v>
      </c>
    </row>
    <row r="204" spans="1:51" x14ac:dyDescent="0.2">
      <c r="A204" s="115"/>
      <c r="B204" s="133">
        <v>8</v>
      </c>
      <c r="C204" s="112">
        <v>0</v>
      </c>
      <c r="D204" s="112">
        <v>0</v>
      </c>
      <c r="E204" s="112">
        <v>0</v>
      </c>
      <c r="F204" s="112">
        <v>0</v>
      </c>
      <c r="G204" s="112">
        <v>0</v>
      </c>
      <c r="H204" s="112">
        <v>0</v>
      </c>
      <c r="I204" s="112">
        <v>0</v>
      </c>
      <c r="J204" s="112">
        <v>0</v>
      </c>
      <c r="K204" s="112">
        <v>0</v>
      </c>
      <c r="L204" s="112">
        <v>0</v>
      </c>
      <c r="M204" s="112">
        <v>90.744220675813168</v>
      </c>
      <c r="N204" s="112">
        <v>0</v>
      </c>
      <c r="O204" s="112">
        <v>0</v>
      </c>
      <c r="P204" s="112">
        <v>0</v>
      </c>
      <c r="Q204" s="112">
        <v>11.724647166757643</v>
      </c>
      <c r="R204" s="112">
        <v>0</v>
      </c>
      <c r="S204" s="112">
        <v>0</v>
      </c>
      <c r="T204" s="112">
        <v>0</v>
      </c>
      <c r="U204" s="112">
        <v>0</v>
      </c>
      <c r="V204" s="112">
        <v>0</v>
      </c>
      <c r="W204" s="112">
        <v>0</v>
      </c>
      <c r="X204" s="112">
        <v>0</v>
      </c>
      <c r="Y204" s="112">
        <v>0</v>
      </c>
      <c r="Z204" s="112">
        <v>0</v>
      </c>
      <c r="AA204" s="112">
        <v>0</v>
      </c>
      <c r="AB204" s="112">
        <v>0</v>
      </c>
      <c r="AC204" s="112">
        <v>0</v>
      </c>
      <c r="AD204" s="112">
        <v>0</v>
      </c>
      <c r="AE204" s="112">
        <v>0</v>
      </c>
      <c r="AF204" s="112">
        <v>0</v>
      </c>
      <c r="AG204" s="112">
        <v>0</v>
      </c>
      <c r="AH204" s="112">
        <v>0</v>
      </c>
      <c r="AI204" s="112">
        <v>0</v>
      </c>
      <c r="AJ204" s="112">
        <v>0</v>
      </c>
      <c r="AK204" s="112">
        <v>0</v>
      </c>
      <c r="AL204" s="112">
        <v>0</v>
      </c>
      <c r="AM204" s="112">
        <v>0</v>
      </c>
      <c r="AN204" s="112">
        <v>0</v>
      </c>
      <c r="AO204" s="112">
        <v>0</v>
      </c>
      <c r="AP204" s="112">
        <v>0</v>
      </c>
      <c r="AQ204" s="112">
        <v>0</v>
      </c>
      <c r="AR204" s="112">
        <v>0</v>
      </c>
      <c r="AS204" s="112">
        <v>0</v>
      </c>
      <c r="AT204" s="112">
        <v>0</v>
      </c>
      <c r="AU204" s="112">
        <v>0</v>
      </c>
      <c r="AV204" s="112">
        <v>0</v>
      </c>
      <c r="AW204" s="112">
        <v>0</v>
      </c>
      <c r="AX204" s="112">
        <v>0</v>
      </c>
      <c r="AY204" s="112">
        <v>0</v>
      </c>
    </row>
    <row r="205" spans="1:51" x14ac:dyDescent="0.2">
      <c r="A205" s="115"/>
      <c r="B205" s="133">
        <v>9</v>
      </c>
      <c r="C205" s="112">
        <v>0</v>
      </c>
      <c r="D205" s="112">
        <v>0</v>
      </c>
      <c r="E205" s="112">
        <v>0</v>
      </c>
      <c r="F205" s="112">
        <v>0</v>
      </c>
      <c r="G205" s="112">
        <v>0</v>
      </c>
      <c r="H205" s="112">
        <v>0</v>
      </c>
      <c r="I205" s="112">
        <v>0</v>
      </c>
      <c r="J205" s="112">
        <v>0</v>
      </c>
      <c r="K205" s="112">
        <v>0</v>
      </c>
      <c r="L205" s="112">
        <v>0</v>
      </c>
      <c r="M205" s="112">
        <v>0</v>
      </c>
      <c r="N205" s="112">
        <v>88</v>
      </c>
      <c r="O205" s="112">
        <v>6.4612052495393897</v>
      </c>
      <c r="P205" s="112">
        <v>4.6619004657370056</v>
      </c>
      <c r="Q205" s="112">
        <v>43.986844453659977</v>
      </c>
      <c r="R205" s="112">
        <v>0</v>
      </c>
      <c r="S205" s="112">
        <v>0</v>
      </c>
      <c r="T205" s="112">
        <v>0</v>
      </c>
      <c r="U205" s="112">
        <v>0</v>
      </c>
      <c r="V205" s="112">
        <v>0</v>
      </c>
      <c r="W205" s="112">
        <v>0</v>
      </c>
      <c r="X205" s="112">
        <v>0</v>
      </c>
      <c r="Y205" s="112">
        <v>0</v>
      </c>
      <c r="Z205" s="112">
        <v>0</v>
      </c>
      <c r="AA205" s="112">
        <v>0</v>
      </c>
      <c r="AB205" s="112">
        <v>0</v>
      </c>
      <c r="AC205" s="112">
        <v>0</v>
      </c>
      <c r="AD205" s="112">
        <v>0</v>
      </c>
      <c r="AE205" s="112">
        <v>0</v>
      </c>
      <c r="AF205" s="112">
        <v>0</v>
      </c>
      <c r="AG205" s="112">
        <v>0</v>
      </c>
      <c r="AH205" s="112">
        <v>0</v>
      </c>
      <c r="AI205" s="112">
        <v>0</v>
      </c>
      <c r="AJ205" s="112">
        <v>0</v>
      </c>
      <c r="AK205" s="112">
        <v>0</v>
      </c>
      <c r="AL205" s="112">
        <v>0</v>
      </c>
      <c r="AM205" s="112">
        <v>0</v>
      </c>
      <c r="AN205" s="112">
        <v>0</v>
      </c>
      <c r="AO205" s="112">
        <v>0</v>
      </c>
      <c r="AP205" s="112">
        <v>0</v>
      </c>
      <c r="AQ205" s="112">
        <v>0</v>
      </c>
      <c r="AR205" s="112">
        <v>0</v>
      </c>
      <c r="AS205" s="112">
        <v>0</v>
      </c>
      <c r="AT205" s="112">
        <v>0</v>
      </c>
      <c r="AU205" s="112">
        <v>0</v>
      </c>
      <c r="AV205" s="112">
        <v>0</v>
      </c>
      <c r="AW205" s="112">
        <v>0</v>
      </c>
      <c r="AX205" s="112">
        <v>0</v>
      </c>
      <c r="AY205" s="112">
        <v>0</v>
      </c>
    </row>
    <row r="206" spans="1:51" x14ac:dyDescent="0.2">
      <c r="A206" s="115"/>
      <c r="B206" s="136">
        <v>10</v>
      </c>
      <c r="C206" s="112">
        <v>0</v>
      </c>
      <c r="D206" s="112">
        <v>0</v>
      </c>
      <c r="E206" s="112">
        <v>0</v>
      </c>
      <c r="F206" s="112">
        <v>0</v>
      </c>
      <c r="G206" s="112">
        <v>0</v>
      </c>
      <c r="H206" s="112">
        <v>0</v>
      </c>
      <c r="I206" s="112">
        <v>0</v>
      </c>
      <c r="J206" s="112">
        <v>0</v>
      </c>
      <c r="K206" s="112">
        <v>0</v>
      </c>
      <c r="L206" s="112">
        <v>0</v>
      </c>
      <c r="M206" s="112">
        <v>0</v>
      </c>
      <c r="N206" s="112">
        <v>0</v>
      </c>
      <c r="O206" s="112">
        <v>88.325932678484548</v>
      </c>
      <c r="P206" s="112">
        <v>132.29483813256735</v>
      </c>
      <c r="Q206" s="112">
        <v>5.2656043151794467</v>
      </c>
      <c r="R206" s="112">
        <v>0</v>
      </c>
      <c r="S206" s="112">
        <v>0</v>
      </c>
      <c r="T206" s="112">
        <v>0</v>
      </c>
      <c r="U206" s="112">
        <v>0</v>
      </c>
      <c r="V206" s="112">
        <v>0</v>
      </c>
      <c r="W206" s="112">
        <v>0</v>
      </c>
      <c r="X206" s="112">
        <v>0</v>
      </c>
      <c r="Y206" s="112">
        <v>0</v>
      </c>
      <c r="Z206" s="112">
        <v>0</v>
      </c>
      <c r="AA206" s="112">
        <v>0</v>
      </c>
      <c r="AB206" s="112">
        <v>0</v>
      </c>
      <c r="AC206" s="112">
        <v>0</v>
      </c>
      <c r="AD206" s="112">
        <v>0</v>
      </c>
      <c r="AE206" s="112">
        <v>0</v>
      </c>
      <c r="AF206" s="112">
        <v>0</v>
      </c>
      <c r="AG206" s="112">
        <v>0</v>
      </c>
      <c r="AH206" s="112">
        <v>0</v>
      </c>
      <c r="AI206" s="112">
        <v>0</v>
      </c>
      <c r="AJ206" s="112">
        <v>0</v>
      </c>
      <c r="AK206" s="112">
        <v>0</v>
      </c>
      <c r="AL206" s="112">
        <v>0</v>
      </c>
      <c r="AM206" s="112">
        <v>0</v>
      </c>
      <c r="AN206" s="112">
        <v>0</v>
      </c>
      <c r="AO206" s="112">
        <v>0</v>
      </c>
      <c r="AP206" s="112">
        <v>0</v>
      </c>
      <c r="AQ206" s="112">
        <v>0</v>
      </c>
      <c r="AR206" s="112">
        <v>0</v>
      </c>
      <c r="AS206" s="112">
        <v>0</v>
      </c>
      <c r="AT206" s="112">
        <v>0</v>
      </c>
      <c r="AU206" s="112">
        <v>0</v>
      </c>
      <c r="AV206" s="112">
        <v>0</v>
      </c>
      <c r="AW206" s="112">
        <v>0</v>
      </c>
      <c r="AX206" s="112">
        <v>0</v>
      </c>
      <c r="AY206" s="112">
        <v>0</v>
      </c>
    </row>
    <row r="207" spans="1:51" x14ac:dyDescent="0.2">
      <c r="A207" s="115"/>
      <c r="B207" s="136">
        <v>11</v>
      </c>
      <c r="C207" s="112">
        <v>0</v>
      </c>
      <c r="D207" s="112">
        <v>0</v>
      </c>
      <c r="E207" s="112">
        <v>0</v>
      </c>
      <c r="F207" s="112">
        <v>0</v>
      </c>
      <c r="G207" s="112">
        <v>0</v>
      </c>
      <c r="H207" s="112">
        <v>0</v>
      </c>
      <c r="I207" s="112">
        <v>0</v>
      </c>
      <c r="J207" s="112">
        <v>0</v>
      </c>
      <c r="K207" s="112">
        <v>0</v>
      </c>
      <c r="L207" s="112">
        <v>0</v>
      </c>
      <c r="M207" s="112">
        <v>0</v>
      </c>
      <c r="N207" s="112">
        <v>0</v>
      </c>
      <c r="O207" s="112">
        <v>0</v>
      </c>
      <c r="P207" s="112">
        <v>0</v>
      </c>
      <c r="Q207" s="112">
        <v>0</v>
      </c>
      <c r="R207" s="112">
        <v>0</v>
      </c>
      <c r="S207" s="112">
        <v>0</v>
      </c>
      <c r="T207" s="112">
        <v>0</v>
      </c>
      <c r="U207" s="112">
        <v>0</v>
      </c>
      <c r="V207" s="112">
        <v>0</v>
      </c>
      <c r="W207" s="112">
        <v>0</v>
      </c>
      <c r="X207" s="112">
        <v>0</v>
      </c>
      <c r="Y207" s="112">
        <v>0</v>
      </c>
      <c r="Z207" s="112">
        <v>0</v>
      </c>
      <c r="AA207" s="112">
        <v>0</v>
      </c>
      <c r="AB207" s="112">
        <v>0</v>
      </c>
      <c r="AC207" s="112">
        <v>0</v>
      </c>
      <c r="AD207" s="112">
        <v>0</v>
      </c>
      <c r="AE207" s="112">
        <v>0</v>
      </c>
      <c r="AF207" s="112">
        <v>0</v>
      </c>
      <c r="AG207" s="112">
        <v>0</v>
      </c>
      <c r="AH207" s="112">
        <v>0</v>
      </c>
      <c r="AI207" s="112">
        <v>0</v>
      </c>
      <c r="AJ207" s="112">
        <v>0</v>
      </c>
      <c r="AK207" s="112">
        <v>0</v>
      </c>
      <c r="AL207" s="112">
        <v>0</v>
      </c>
      <c r="AM207" s="112">
        <v>0</v>
      </c>
      <c r="AN207" s="112">
        <v>0</v>
      </c>
      <c r="AO207" s="112">
        <v>0</v>
      </c>
      <c r="AP207" s="112">
        <v>0</v>
      </c>
      <c r="AQ207" s="112">
        <v>0</v>
      </c>
      <c r="AR207" s="112">
        <v>0</v>
      </c>
      <c r="AS207" s="112">
        <v>0</v>
      </c>
      <c r="AT207" s="112">
        <v>0</v>
      </c>
      <c r="AU207" s="112">
        <v>0</v>
      </c>
      <c r="AV207" s="112">
        <v>0</v>
      </c>
      <c r="AW207" s="112">
        <v>0</v>
      </c>
      <c r="AX207" s="112">
        <v>0</v>
      </c>
      <c r="AY207" s="112">
        <v>0</v>
      </c>
    </row>
    <row r="208" spans="1:51" x14ac:dyDescent="0.2">
      <c r="A208" s="115"/>
      <c r="B208" s="136">
        <v>12</v>
      </c>
      <c r="C208" s="112">
        <v>0</v>
      </c>
      <c r="D208" s="112">
        <v>0</v>
      </c>
      <c r="E208" s="112">
        <v>0</v>
      </c>
      <c r="F208" s="112">
        <v>0</v>
      </c>
      <c r="G208" s="112">
        <v>0</v>
      </c>
      <c r="H208" s="112">
        <v>0</v>
      </c>
      <c r="I208" s="112">
        <v>0</v>
      </c>
      <c r="J208" s="112">
        <v>0</v>
      </c>
      <c r="K208" s="112">
        <v>0</v>
      </c>
      <c r="L208" s="112">
        <v>0</v>
      </c>
      <c r="M208" s="112">
        <v>0</v>
      </c>
      <c r="N208" s="112">
        <v>0</v>
      </c>
      <c r="O208" s="112">
        <v>0</v>
      </c>
      <c r="P208" s="112">
        <v>0</v>
      </c>
      <c r="Q208" s="112">
        <v>0</v>
      </c>
      <c r="R208" s="112">
        <v>0</v>
      </c>
      <c r="S208" s="112">
        <v>0</v>
      </c>
      <c r="T208" s="112">
        <v>0</v>
      </c>
      <c r="U208" s="112">
        <v>0</v>
      </c>
      <c r="V208" s="112">
        <v>0</v>
      </c>
      <c r="W208" s="112">
        <v>0</v>
      </c>
      <c r="X208" s="112">
        <v>0</v>
      </c>
      <c r="Y208" s="112">
        <v>0</v>
      </c>
      <c r="Z208" s="112">
        <v>0</v>
      </c>
      <c r="AA208" s="112">
        <v>0</v>
      </c>
      <c r="AB208" s="112">
        <v>0</v>
      </c>
      <c r="AC208" s="112">
        <v>0</v>
      </c>
      <c r="AD208" s="112">
        <v>0</v>
      </c>
      <c r="AE208" s="112">
        <v>0</v>
      </c>
      <c r="AF208" s="112">
        <v>0</v>
      </c>
      <c r="AG208" s="112">
        <v>0</v>
      </c>
      <c r="AH208" s="112">
        <v>0</v>
      </c>
      <c r="AI208" s="112">
        <v>0</v>
      </c>
      <c r="AJ208" s="112">
        <v>0</v>
      </c>
      <c r="AK208" s="112">
        <v>0</v>
      </c>
      <c r="AL208" s="112">
        <v>0</v>
      </c>
      <c r="AM208" s="112">
        <v>0</v>
      </c>
      <c r="AN208" s="112">
        <v>0</v>
      </c>
      <c r="AO208" s="112">
        <v>0</v>
      </c>
      <c r="AP208" s="112">
        <v>0</v>
      </c>
      <c r="AQ208" s="112">
        <v>0</v>
      </c>
      <c r="AR208" s="112">
        <v>0</v>
      </c>
      <c r="AS208" s="112">
        <v>0</v>
      </c>
      <c r="AT208" s="112">
        <v>0</v>
      </c>
      <c r="AU208" s="112">
        <v>0</v>
      </c>
      <c r="AV208" s="112">
        <v>0</v>
      </c>
      <c r="AW208" s="112">
        <v>0</v>
      </c>
      <c r="AX208" s="112">
        <v>0</v>
      </c>
      <c r="AY208" s="112">
        <v>0</v>
      </c>
    </row>
    <row r="209" spans="1:51" x14ac:dyDescent="0.2">
      <c r="A209" s="132" t="s">
        <v>123</v>
      </c>
      <c r="B209" s="129">
        <v>1</v>
      </c>
      <c r="C209" s="130">
        <v>0</v>
      </c>
      <c r="D209" s="130">
        <v>0</v>
      </c>
      <c r="E209" s="130">
        <v>0</v>
      </c>
      <c r="F209" s="130">
        <v>11.936751586770489</v>
      </c>
      <c r="G209" s="130">
        <v>0</v>
      </c>
      <c r="H209" s="130">
        <v>13.381086929005171</v>
      </c>
      <c r="I209" s="130">
        <v>0</v>
      </c>
      <c r="J209" s="130">
        <v>0</v>
      </c>
      <c r="K209" s="130">
        <v>70.114292275450765</v>
      </c>
      <c r="L209" s="130">
        <v>1.481644112163482</v>
      </c>
      <c r="M209" s="130">
        <v>1.481644112163482</v>
      </c>
      <c r="N209" s="130">
        <v>0</v>
      </c>
      <c r="O209" s="130">
        <v>1.481644112163482</v>
      </c>
      <c r="P209" s="130">
        <v>34.845407457930669</v>
      </c>
      <c r="Q209" s="130">
        <v>0</v>
      </c>
      <c r="R209" s="130">
        <v>33.493943821546452</v>
      </c>
      <c r="S209" s="130">
        <v>0</v>
      </c>
      <c r="T209" s="130">
        <v>22.090188108794393</v>
      </c>
      <c r="U209" s="130">
        <v>0</v>
      </c>
      <c r="V209" s="130">
        <v>0</v>
      </c>
      <c r="W209" s="130">
        <v>10.378433815704682</v>
      </c>
      <c r="X209" s="130">
        <v>0</v>
      </c>
      <c r="Y209" s="130">
        <v>9.3981921266715904</v>
      </c>
      <c r="Z209" s="130">
        <v>0</v>
      </c>
      <c r="AA209" s="130">
        <v>0</v>
      </c>
      <c r="AB209" s="130">
        <v>23.471414693932974</v>
      </c>
      <c r="AC209" s="130">
        <v>23.471414693932974</v>
      </c>
      <c r="AD209" s="130">
        <v>22.653206110116972</v>
      </c>
      <c r="AE209" s="130">
        <v>22.653206110116972</v>
      </c>
      <c r="AF209" s="130">
        <v>0</v>
      </c>
      <c r="AG209" s="130">
        <v>36.021484872216135</v>
      </c>
      <c r="AH209" s="130">
        <v>53.632916412416471</v>
      </c>
      <c r="AI209" s="130">
        <v>58.901916058252375</v>
      </c>
      <c r="AJ209" s="130">
        <v>79.654171135057084</v>
      </c>
      <c r="AK209" s="130">
        <v>0</v>
      </c>
      <c r="AL209" s="130">
        <v>0</v>
      </c>
      <c r="AM209" s="130">
        <v>0</v>
      </c>
      <c r="AN209" s="130">
        <v>12.358091844943246</v>
      </c>
      <c r="AO209" s="130">
        <v>31.306871058820548</v>
      </c>
      <c r="AP209" s="130">
        <v>0</v>
      </c>
      <c r="AQ209" s="130">
        <v>21.1636828453383</v>
      </c>
      <c r="AR209" s="130">
        <v>0</v>
      </c>
      <c r="AS209" s="130">
        <v>48.280295020158938</v>
      </c>
      <c r="AT209" s="130">
        <v>0</v>
      </c>
      <c r="AU209" s="130">
        <v>0</v>
      </c>
      <c r="AV209" s="130">
        <v>0</v>
      </c>
      <c r="AW209" s="130">
        <v>0</v>
      </c>
      <c r="AX209" s="130">
        <v>19.34419672398494</v>
      </c>
      <c r="AY209" s="130">
        <v>19.344196723984947</v>
      </c>
    </row>
    <row r="210" spans="1:51" x14ac:dyDescent="0.2">
      <c r="A210" s="115"/>
      <c r="B210" s="125">
        <v>2</v>
      </c>
      <c r="C210" s="112">
        <v>0</v>
      </c>
      <c r="D210" s="116">
        <v>0</v>
      </c>
      <c r="E210" s="116">
        <v>0</v>
      </c>
      <c r="F210" s="116">
        <v>13.044505930539854</v>
      </c>
      <c r="G210" s="116">
        <v>5.6663885292367198</v>
      </c>
      <c r="H210" s="116">
        <v>53.770874038285079</v>
      </c>
      <c r="I210" s="116">
        <v>28.665139942522263</v>
      </c>
      <c r="J210" s="116">
        <v>53.770874038285079</v>
      </c>
      <c r="K210" s="116">
        <v>0</v>
      </c>
      <c r="L210" s="116">
        <v>0</v>
      </c>
      <c r="M210" s="116">
        <v>0</v>
      </c>
      <c r="N210" s="116">
        <v>0</v>
      </c>
      <c r="O210" s="116">
        <v>0</v>
      </c>
      <c r="P210" s="116">
        <v>0</v>
      </c>
      <c r="Q210" s="116">
        <v>0</v>
      </c>
      <c r="R210" s="116">
        <v>34.845407457930669</v>
      </c>
      <c r="S210" s="116">
        <v>0</v>
      </c>
      <c r="T210" s="116">
        <v>32.294693976769082</v>
      </c>
      <c r="U210" s="116">
        <v>3.8907804327209812</v>
      </c>
      <c r="V210" s="116">
        <v>32.294693976769082</v>
      </c>
      <c r="W210" s="116">
        <v>10.378433815704682</v>
      </c>
      <c r="X210" s="116">
        <v>0</v>
      </c>
      <c r="Y210" s="116">
        <v>9.3981921266715904</v>
      </c>
      <c r="Z210" s="116">
        <v>0</v>
      </c>
      <c r="AA210" s="116">
        <v>0</v>
      </c>
      <c r="AB210" s="116">
        <v>35.829227180590081</v>
      </c>
      <c r="AC210" s="116">
        <v>0</v>
      </c>
      <c r="AD210" s="116">
        <v>0</v>
      </c>
      <c r="AE210" s="116">
        <v>0</v>
      </c>
      <c r="AF210" s="116">
        <v>0</v>
      </c>
      <c r="AG210" s="116">
        <v>54.617978656082343</v>
      </c>
      <c r="AH210" s="116">
        <v>16.261118122435683</v>
      </c>
      <c r="AI210" s="116">
        <v>14.006578957690726</v>
      </c>
      <c r="AJ210" s="116">
        <v>10.749164453258139</v>
      </c>
      <c r="AK210" s="116">
        <v>0</v>
      </c>
      <c r="AL210" s="116">
        <v>66.426650612524966</v>
      </c>
      <c r="AM210" s="116">
        <v>78.772479477467883</v>
      </c>
      <c r="AN210" s="116">
        <v>78.349462600012615</v>
      </c>
      <c r="AO210" s="116">
        <v>64.76342054462225</v>
      </c>
      <c r="AP210" s="116">
        <v>46.167235270788375</v>
      </c>
      <c r="AQ210" s="116">
        <v>71.527000100876421</v>
      </c>
      <c r="AR210" s="116">
        <v>33.362367437277776</v>
      </c>
      <c r="AS210" s="116">
        <v>48.280295020158938</v>
      </c>
      <c r="AT210" s="116">
        <v>0</v>
      </c>
      <c r="AU210" s="116">
        <v>55.743249317210264</v>
      </c>
      <c r="AV210" s="116">
        <v>31.114451757943424</v>
      </c>
      <c r="AW210" s="116">
        <v>31.114451757943424</v>
      </c>
      <c r="AX210" s="116">
        <v>31.114451757943424</v>
      </c>
      <c r="AY210" s="116">
        <v>2.6272573136816467E-15</v>
      </c>
    </row>
    <row r="211" spans="1:51" x14ac:dyDescent="0.2">
      <c r="A211" s="115"/>
      <c r="B211" s="125">
        <v>3</v>
      </c>
      <c r="C211" s="112">
        <v>0</v>
      </c>
      <c r="D211" s="116">
        <v>0</v>
      </c>
      <c r="E211" s="116">
        <v>0</v>
      </c>
      <c r="F211" s="116">
        <v>22.430447745619386</v>
      </c>
      <c r="G211" s="116">
        <v>0</v>
      </c>
      <c r="H211" s="116">
        <v>0</v>
      </c>
      <c r="I211" s="116">
        <v>0</v>
      </c>
      <c r="J211" s="116">
        <v>0</v>
      </c>
      <c r="K211" s="116">
        <v>0</v>
      </c>
      <c r="L211" s="116">
        <v>1.481644112163482</v>
      </c>
      <c r="M211" s="116">
        <v>0</v>
      </c>
      <c r="N211" s="116">
        <v>0</v>
      </c>
      <c r="O211" s="116">
        <v>0</v>
      </c>
      <c r="P211" s="116">
        <v>0</v>
      </c>
      <c r="Q211" s="116">
        <v>0</v>
      </c>
      <c r="R211" s="116">
        <v>0</v>
      </c>
      <c r="S211" s="116">
        <v>0</v>
      </c>
      <c r="T211" s="116">
        <v>0</v>
      </c>
      <c r="U211" s="116">
        <v>0</v>
      </c>
      <c r="V211" s="116">
        <v>0</v>
      </c>
      <c r="W211" s="116">
        <v>0</v>
      </c>
      <c r="X211" s="116">
        <v>0</v>
      </c>
      <c r="Y211" s="116">
        <v>0</v>
      </c>
      <c r="Z211" s="116">
        <v>0</v>
      </c>
      <c r="AA211" s="116">
        <v>0</v>
      </c>
      <c r="AB211" s="116">
        <v>0</v>
      </c>
      <c r="AC211" s="116">
        <v>0</v>
      </c>
      <c r="AD211" s="116">
        <v>0</v>
      </c>
      <c r="AE211" s="116">
        <v>0</v>
      </c>
      <c r="AF211" s="116">
        <v>0</v>
      </c>
      <c r="AG211" s="116">
        <v>0</v>
      </c>
      <c r="AH211" s="116">
        <v>0</v>
      </c>
      <c r="AI211" s="116">
        <v>0</v>
      </c>
      <c r="AJ211" s="116">
        <v>0</v>
      </c>
      <c r="AK211" s="116">
        <v>0</v>
      </c>
      <c r="AL211" s="116">
        <v>0</v>
      </c>
      <c r="AM211" s="116">
        <v>13.227520522532117</v>
      </c>
      <c r="AN211" s="116">
        <v>1.0427608696203654</v>
      </c>
      <c r="AO211" s="116">
        <v>0</v>
      </c>
      <c r="AP211" s="116">
        <v>0</v>
      </c>
      <c r="AQ211" s="116">
        <v>0</v>
      </c>
      <c r="AR211" s="116">
        <v>0</v>
      </c>
      <c r="AS211" s="116">
        <v>0</v>
      </c>
      <c r="AT211" s="116">
        <v>0</v>
      </c>
      <c r="AU211" s="116">
        <v>0</v>
      </c>
      <c r="AV211" s="116">
        <v>0</v>
      </c>
      <c r="AW211" s="116">
        <v>0</v>
      </c>
      <c r="AX211" s="116">
        <v>0</v>
      </c>
      <c r="AY211" s="116">
        <v>0</v>
      </c>
    </row>
    <row r="212" spans="1:51" x14ac:dyDescent="0.2">
      <c r="A212" s="115"/>
      <c r="B212" s="125">
        <v>4</v>
      </c>
      <c r="C212" s="112">
        <v>0</v>
      </c>
      <c r="D212" s="116">
        <v>0</v>
      </c>
      <c r="E212" s="116">
        <v>0</v>
      </c>
      <c r="F212" s="116">
        <v>8.8131616408650508</v>
      </c>
      <c r="G212" s="116">
        <v>0</v>
      </c>
      <c r="H212" s="116">
        <v>0</v>
      </c>
      <c r="I212" s="116">
        <v>0</v>
      </c>
      <c r="J212" s="116">
        <v>0</v>
      </c>
      <c r="K212" s="116">
        <v>0</v>
      </c>
      <c r="L212" s="116">
        <v>0</v>
      </c>
      <c r="M212" s="116">
        <v>0</v>
      </c>
      <c r="N212" s="116">
        <v>0</v>
      </c>
      <c r="O212" s="116">
        <v>0</v>
      </c>
      <c r="P212" s="116">
        <v>0</v>
      </c>
      <c r="Q212" s="116">
        <v>0</v>
      </c>
      <c r="R212" s="116">
        <v>0</v>
      </c>
      <c r="S212" s="116">
        <v>0</v>
      </c>
      <c r="T212" s="116">
        <v>0</v>
      </c>
      <c r="U212" s="116">
        <v>0</v>
      </c>
      <c r="V212" s="116">
        <v>0</v>
      </c>
      <c r="W212" s="116">
        <v>0</v>
      </c>
      <c r="X212" s="116">
        <v>0</v>
      </c>
      <c r="Y212" s="116">
        <v>0</v>
      </c>
      <c r="Z212" s="116">
        <v>0</v>
      </c>
      <c r="AA212" s="116">
        <v>0</v>
      </c>
      <c r="AB212" s="116">
        <v>0</v>
      </c>
      <c r="AC212" s="116">
        <v>0</v>
      </c>
      <c r="AD212" s="116">
        <v>0</v>
      </c>
      <c r="AE212" s="116">
        <v>0</v>
      </c>
      <c r="AF212" s="116">
        <v>0</v>
      </c>
      <c r="AG212" s="116">
        <v>0</v>
      </c>
      <c r="AH212" s="116">
        <v>0</v>
      </c>
      <c r="AI212" s="116">
        <v>0</v>
      </c>
      <c r="AJ212" s="116">
        <v>0</v>
      </c>
      <c r="AK212" s="116">
        <v>0</v>
      </c>
      <c r="AL212" s="116">
        <v>0</v>
      </c>
      <c r="AM212" s="116">
        <v>0</v>
      </c>
      <c r="AN212" s="116">
        <v>0</v>
      </c>
      <c r="AO212" s="116">
        <v>0</v>
      </c>
      <c r="AP212" s="116">
        <v>0</v>
      </c>
      <c r="AQ212" s="116">
        <v>0</v>
      </c>
      <c r="AR212" s="116">
        <v>0</v>
      </c>
      <c r="AS212" s="116">
        <v>0</v>
      </c>
      <c r="AT212" s="116">
        <v>0</v>
      </c>
      <c r="AU212" s="116">
        <v>0</v>
      </c>
      <c r="AV212" s="116">
        <v>0</v>
      </c>
      <c r="AW212" s="116">
        <v>0</v>
      </c>
      <c r="AX212" s="116">
        <v>0</v>
      </c>
      <c r="AY212" s="116">
        <v>0</v>
      </c>
    </row>
    <row r="213" spans="1:51" x14ac:dyDescent="0.2">
      <c r="A213" s="115"/>
      <c r="B213" s="125">
        <v>5</v>
      </c>
      <c r="C213" s="112">
        <v>0</v>
      </c>
      <c r="D213" s="116">
        <v>0</v>
      </c>
      <c r="E213" s="116">
        <v>4.9539382161805747</v>
      </c>
      <c r="F213" s="116">
        <v>1.2652347742731618</v>
      </c>
      <c r="G213" s="116">
        <v>0</v>
      </c>
      <c r="H213" s="116">
        <v>0</v>
      </c>
      <c r="I213" s="116">
        <v>0</v>
      </c>
      <c r="J213" s="116">
        <v>0</v>
      </c>
      <c r="K213" s="116">
        <v>0</v>
      </c>
      <c r="L213" s="116">
        <v>0</v>
      </c>
      <c r="M213" s="116">
        <v>0</v>
      </c>
      <c r="N213" s="116">
        <v>0</v>
      </c>
      <c r="O213" s="116">
        <v>0</v>
      </c>
      <c r="P213" s="116">
        <v>0</v>
      </c>
      <c r="Q213" s="116">
        <v>0</v>
      </c>
      <c r="R213" s="116">
        <v>0</v>
      </c>
      <c r="S213" s="116">
        <v>0</v>
      </c>
      <c r="T213" s="116">
        <v>0</v>
      </c>
      <c r="U213" s="116">
        <v>0</v>
      </c>
      <c r="V213" s="116">
        <v>0</v>
      </c>
      <c r="W213" s="116">
        <v>0</v>
      </c>
      <c r="X213" s="116">
        <v>0</v>
      </c>
      <c r="Y213" s="116">
        <v>0</v>
      </c>
      <c r="Z213" s="116">
        <v>0</v>
      </c>
      <c r="AA213" s="116">
        <v>0</v>
      </c>
      <c r="AB213" s="116">
        <v>0</v>
      </c>
      <c r="AC213" s="116">
        <v>0</v>
      </c>
      <c r="AD213" s="116">
        <v>0</v>
      </c>
      <c r="AE213" s="116">
        <v>0</v>
      </c>
      <c r="AF213" s="116">
        <v>0</v>
      </c>
      <c r="AG213" s="116">
        <v>0</v>
      </c>
      <c r="AH213" s="116">
        <v>0</v>
      </c>
      <c r="AI213" s="116">
        <v>0</v>
      </c>
      <c r="AJ213" s="116">
        <v>0</v>
      </c>
      <c r="AK213" s="116">
        <v>0</v>
      </c>
      <c r="AL213" s="116">
        <v>0</v>
      </c>
      <c r="AM213" s="116">
        <v>0</v>
      </c>
      <c r="AN213" s="116">
        <v>0</v>
      </c>
      <c r="AO213" s="116">
        <v>0</v>
      </c>
      <c r="AP213" s="116">
        <v>0</v>
      </c>
      <c r="AQ213" s="116">
        <v>0</v>
      </c>
      <c r="AR213" s="116">
        <v>0</v>
      </c>
      <c r="AS213" s="116">
        <v>0</v>
      </c>
      <c r="AT213" s="116">
        <v>0</v>
      </c>
      <c r="AU213" s="116">
        <v>0</v>
      </c>
      <c r="AV213" s="116">
        <v>0</v>
      </c>
      <c r="AW213" s="116">
        <v>0</v>
      </c>
      <c r="AX213" s="116">
        <v>0</v>
      </c>
      <c r="AY213" s="116">
        <v>0</v>
      </c>
    </row>
    <row r="214" spans="1:51" x14ac:dyDescent="0.2">
      <c r="A214" s="115"/>
      <c r="B214" s="125">
        <v>6</v>
      </c>
      <c r="C214" s="112">
        <v>0</v>
      </c>
      <c r="D214" s="116">
        <v>0</v>
      </c>
      <c r="E214" s="116">
        <v>18.329274432287168</v>
      </c>
      <c r="F214" s="116">
        <v>6.1147231120244632</v>
      </c>
      <c r="G214" s="116">
        <v>0</v>
      </c>
      <c r="H214" s="116">
        <v>0</v>
      </c>
      <c r="I214" s="116">
        <v>0</v>
      </c>
      <c r="J214" s="116">
        <v>0</v>
      </c>
      <c r="K214" s="116">
        <v>0</v>
      </c>
      <c r="L214" s="116">
        <v>0</v>
      </c>
      <c r="M214" s="116">
        <v>0</v>
      </c>
      <c r="N214" s="116">
        <v>0</v>
      </c>
      <c r="O214" s="116">
        <v>0</v>
      </c>
      <c r="P214" s="116">
        <v>0</v>
      </c>
      <c r="Q214" s="116">
        <v>0</v>
      </c>
      <c r="R214" s="116">
        <v>0</v>
      </c>
      <c r="S214" s="116">
        <v>0</v>
      </c>
      <c r="T214" s="116">
        <v>0</v>
      </c>
      <c r="U214" s="116">
        <v>0</v>
      </c>
      <c r="V214" s="116">
        <v>0</v>
      </c>
      <c r="W214" s="116">
        <v>0</v>
      </c>
      <c r="X214" s="116">
        <v>0</v>
      </c>
      <c r="Y214" s="116">
        <v>0</v>
      </c>
      <c r="Z214" s="116">
        <v>0</v>
      </c>
      <c r="AA214" s="116">
        <v>0</v>
      </c>
      <c r="AB214" s="116">
        <v>0</v>
      </c>
      <c r="AC214" s="116">
        <v>0</v>
      </c>
      <c r="AD214" s="116">
        <v>0</v>
      </c>
      <c r="AE214" s="116">
        <v>0</v>
      </c>
      <c r="AF214" s="116">
        <v>0</v>
      </c>
      <c r="AG214" s="116">
        <v>0</v>
      </c>
      <c r="AH214" s="116">
        <v>0</v>
      </c>
      <c r="AI214" s="116">
        <v>0</v>
      </c>
      <c r="AJ214" s="116">
        <v>0</v>
      </c>
      <c r="AK214" s="116">
        <v>0</v>
      </c>
      <c r="AL214" s="116">
        <v>0</v>
      </c>
      <c r="AM214" s="116">
        <v>0</v>
      </c>
      <c r="AN214" s="116">
        <v>0</v>
      </c>
      <c r="AO214" s="116">
        <v>0</v>
      </c>
      <c r="AP214" s="116">
        <v>0</v>
      </c>
      <c r="AQ214" s="116">
        <v>0</v>
      </c>
      <c r="AR214" s="116">
        <v>0</v>
      </c>
      <c r="AS214" s="116">
        <v>0</v>
      </c>
      <c r="AT214" s="116">
        <v>0</v>
      </c>
      <c r="AU214" s="116">
        <v>0</v>
      </c>
      <c r="AV214" s="116">
        <v>0</v>
      </c>
      <c r="AW214" s="116">
        <v>0</v>
      </c>
      <c r="AX214" s="116">
        <v>0</v>
      </c>
      <c r="AY214" s="116">
        <v>0</v>
      </c>
    </row>
    <row r="215" spans="1:51" x14ac:dyDescent="0.2">
      <c r="A215" s="115"/>
      <c r="B215" s="125">
        <v>7</v>
      </c>
      <c r="C215" s="112">
        <v>0</v>
      </c>
      <c r="D215" s="116">
        <v>0</v>
      </c>
      <c r="E215" s="116">
        <v>18.639137374724928</v>
      </c>
      <c r="F215" s="116">
        <v>0</v>
      </c>
      <c r="G215" s="116">
        <v>0</v>
      </c>
      <c r="H215" s="116">
        <v>0</v>
      </c>
      <c r="I215" s="116">
        <v>0</v>
      </c>
      <c r="J215" s="116">
        <v>0</v>
      </c>
      <c r="K215" s="116">
        <v>0</v>
      </c>
      <c r="L215" s="116">
        <v>0</v>
      </c>
      <c r="M215" s="116">
        <v>0</v>
      </c>
      <c r="N215" s="116">
        <v>0</v>
      </c>
      <c r="O215" s="116">
        <v>0</v>
      </c>
      <c r="P215" s="116">
        <v>0</v>
      </c>
      <c r="Q215" s="116">
        <v>0</v>
      </c>
      <c r="R215" s="116">
        <v>0</v>
      </c>
      <c r="S215" s="116">
        <v>0</v>
      </c>
      <c r="T215" s="116">
        <v>0</v>
      </c>
      <c r="U215" s="116">
        <v>0</v>
      </c>
      <c r="V215" s="116">
        <v>0</v>
      </c>
      <c r="W215" s="116">
        <v>0</v>
      </c>
      <c r="X215" s="116">
        <v>0</v>
      </c>
      <c r="Y215" s="116">
        <v>0</v>
      </c>
      <c r="Z215" s="116">
        <v>0</v>
      </c>
      <c r="AA215" s="116">
        <v>0</v>
      </c>
      <c r="AB215" s="116">
        <v>0</v>
      </c>
      <c r="AC215" s="116">
        <v>0</v>
      </c>
      <c r="AD215" s="116">
        <v>0</v>
      </c>
      <c r="AE215" s="116">
        <v>0</v>
      </c>
      <c r="AF215" s="116">
        <v>0</v>
      </c>
      <c r="AG215" s="116">
        <v>0</v>
      </c>
      <c r="AH215" s="116">
        <v>0</v>
      </c>
      <c r="AI215" s="116">
        <v>0</v>
      </c>
      <c r="AJ215" s="116">
        <v>0</v>
      </c>
      <c r="AK215" s="116">
        <v>0</v>
      </c>
      <c r="AL215" s="116">
        <v>0</v>
      </c>
      <c r="AM215" s="116">
        <v>0</v>
      </c>
      <c r="AN215" s="116">
        <v>0</v>
      </c>
      <c r="AO215" s="116">
        <v>0</v>
      </c>
      <c r="AP215" s="116">
        <v>0</v>
      </c>
      <c r="AQ215" s="116">
        <v>0</v>
      </c>
      <c r="AR215" s="116">
        <v>0</v>
      </c>
      <c r="AS215" s="116">
        <v>0</v>
      </c>
      <c r="AT215" s="116">
        <v>0</v>
      </c>
      <c r="AU215" s="116">
        <v>0</v>
      </c>
      <c r="AV215" s="116">
        <v>0</v>
      </c>
      <c r="AW215" s="116">
        <v>0</v>
      </c>
      <c r="AX215" s="116">
        <v>0</v>
      </c>
      <c r="AY215" s="116">
        <v>0</v>
      </c>
    </row>
    <row r="216" spans="1:51" x14ac:dyDescent="0.2">
      <c r="A216" s="115"/>
      <c r="B216" s="125">
        <v>8</v>
      </c>
      <c r="C216" s="112">
        <v>0</v>
      </c>
      <c r="D216" s="116">
        <v>0</v>
      </c>
      <c r="E216" s="116">
        <v>18.598765474406328</v>
      </c>
      <c r="F216" s="116">
        <v>0</v>
      </c>
      <c r="G216" s="116">
        <v>0</v>
      </c>
      <c r="H216" s="116">
        <v>0</v>
      </c>
      <c r="I216" s="116">
        <v>0</v>
      </c>
      <c r="J216" s="116">
        <v>0</v>
      </c>
      <c r="K216" s="116">
        <v>0</v>
      </c>
      <c r="L216" s="116">
        <v>0</v>
      </c>
      <c r="M216" s="116">
        <v>0</v>
      </c>
      <c r="N216" s="116">
        <v>0</v>
      </c>
      <c r="O216" s="116">
        <v>0</v>
      </c>
      <c r="P216" s="116">
        <v>0</v>
      </c>
      <c r="Q216" s="116">
        <v>0</v>
      </c>
      <c r="R216" s="116">
        <v>0</v>
      </c>
      <c r="S216" s="116">
        <v>0</v>
      </c>
      <c r="T216" s="116">
        <v>0</v>
      </c>
      <c r="U216" s="116">
        <v>0</v>
      </c>
      <c r="V216" s="116">
        <v>0</v>
      </c>
      <c r="W216" s="116">
        <v>0</v>
      </c>
      <c r="X216" s="116">
        <v>0</v>
      </c>
      <c r="Y216" s="116">
        <v>0</v>
      </c>
      <c r="Z216" s="116">
        <v>0</v>
      </c>
      <c r="AA216" s="116">
        <v>0</v>
      </c>
      <c r="AB216" s="116">
        <v>0</v>
      </c>
      <c r="AC216" s="116">
        <v>0</v>
      </c>
      <c r="AD216" s="116">
        <v>0</v>
      </c>
      <c r="AE216" s="116">
        <v>0</v>
      </c>
      <c r="AF216" s="116">
        <v>0</v>
      </c>
      <c r="AG216" s="116">
        <v>0</v>
      </c>
      <c r="AH216" s="116">
        <v>0</v>
      </c>
      <c r="AI216" s="116">
        <v>0</v>
      </c>
      <c r="AJ216" s="116">
        <v>0</v>
      </c>
      <c r="AK216" s="116">
        <v>0</v>
      </c>
      <c r="AL216" s="116">
        <v>0</v>
      </c>
      <c r="AM216" s="116">
        <v>0</v>
      </c>
      <c r="AN216" s="116">
        <v>0</v>
      </c>
      <c r="AO216" s="116">
        <v>0</v>
      </c>
      <c r="AP216" s="116">
        <v>0</v>
      </c>
      <c r="AQ216" s="116">
        <v>0</v>
      </c>
      <c r="AR216" s="116">
        <v>0</v>
      </c>
      <c r="AS216" s="116">
        <v>0</v>
      </c>
      <c r="AT216" s="116">
        <v>0</v>
      </c>
      <c r="AU216" s="116">
        <v>0</v>
      </c>
      <c r="AV216" s="116">
        <v>0</v>
      </c>
      <c r="AW216" s="116">
        <v>0</v>
      </c>
      <c r="AX216" s="116">
        <v>0</v>
      </c>
      <c r="AY216" s="116">
        <v>0</v>
      </c>
    </row>
    <row r="217" spans="1:51" x14ac:dyDescent="0.2">
      <c r="A217" s="115"/>
      <c r="B217" s="125">
        <v>9</v>
      </c>
      <c r="C217" s="112">
        <v>0</v>
      </c>
      <c r="D217" s="116">
        <v>8.0045993378376696</v>
      </c>
      <c r="E217" s="116">
        <v>18.558481018603135</v>
      </c>
      <c r="F217" s="116">
        <v>0</v>
      </c>
      <c r="G217" s="116">
        <v>0</v>
      </c>
      <c r="H217" s="116">
        <v>0</v>
      </c>
      <c r="I217" s="116">
        <v>0</v>
      </c>
      <c r="J217" s="116">
        <v>0</v>
      </c>
      <c r="K217" s="116">
        <v>0</v>
      </c>
      <c r="L217" s="116">
        <v>0</v>
      </c>
      <c r="M217" s="116">
        <v>0</v>
      </c>
      <c r="N217" s="116">
        <v>0</v>
      </c>
      <c r="O217" s="116">
        <v>0</v>
      </c>
      <c r="P217" s="116">
        <v>0</v>
      </c>
      <c r="Q217" s="116">
        <v>0</v>
      </c>
      <c r="R217" s="116">
        <v>0</v>
      </c>
      <c r="S217" s="116">
        <v>0</v>
      </c>
      <c r="T217" s="116">
        <v>0</v>
      </c>
      <c r="U217" s="116">
        <v>0</v>
      </c>
      <c r="V217" s="116">
        <v>0</v>
      </c>
      <c r="W217" s="116">
        <v>0</v>
      </c>
      <c r="X217" s="116">
        <v>0</v>
      </c>
      <c r="Y217" s="116">
        <v>0</v>
      </c>
      <c r="Z217" s="116">
        <v>0</v>
      </c>
      <c r="AA217" s="116">
        <v>0</v>
      </c>
      <c r="AB217" s="116">
        <v>0</v>
      </c>
      <c r="AC217" s="116">
        <v>0</v>
      </c>
      <c r="AD217" s="116">
        <v>0</v>
      </c>
      <c r="AE217" s="116">
        <v>0</v>
      </c>
      <c r="AF217" s="116">
        <v>0</v>
      </c>
      <c r="AG217" s="116">
        <v>0</v>
      </c>
      <c r="AH217" s="116">
        <v>0</v>
      </c>
      <c r="AI217" s="116">
        <v>0</v>
      </c>
      <c r="AJ217" s="116">
        <v>0</v>
      </c>
      <c r="AK217" s="116">
        <v>0</v>
      </c>
      <c r="AL217" s="116">
        <v>0</v>
      </c>
      <c r="AM217" s="116">
        <v>0</v>
      </c>
      <c r="AN217" s="116">
        <v>0</v>
      </c>
      <c r="AO217" s="116">
        <v>0</v>
      </c>
      <c r="AP217" s="116">
        <v>0</v>
      </c>
      <c r="AQ217" s="116">
        <v>0</v>
      </c>
      <c r="AR217" s="116">
        <v>0</v>
      </c>
      <c r="AS217" s="116">
        <v>0</v>
      </c>
      <c r="AT217" s="116">
        <v>0</v>
      </c>
      <c r="AU217" s="116">
        <v>0</v>
      </c>
      <c r="AV217" s="116">
        <v>0</v>
      </c>
      <c r="AW217" s="116">
        <v>0</v>
      </c>
      <c r="AX217" s="116">
        <v>0</v>
      </c>
      <c r="AY217" s="116">
        <v>0</v>
      </c>
    </row>
    <row r="218" spans="1:51" x14ac:dyDescent="0.2">
      <c r="A218" s="115"/>
      <c r="B218" s="125">
        <v>10</v>
      </c>
      <c r="C218" s="112">
        <v>15.747658127468263</v>
      </c>
      <c r="D218" s="116">
        <v>12.296335772698887</v>
      </c>
      <c r="E218" s="116">
        <v>15.609634325003407</v>
      </c>
      <c r="F218" s="116">
        <v>0</v>
      </c>
      <c r="G218" s="116">
        <v>0</v>
      </c>
      <c r="H218" s="116">
        <v>0</v>
      </c>
      <c r="I218" s="116">
        <v>0</v>
      </c>
      <c r="J218" s="116">
        <v>0</v>
      </c>
      <c r="K218" s="116">
        <v>0</v>
      </c>
      <c r="L218" s="116">
        <v>0</v>
      </c>
      <c r="M218" s="116">
        <v>0</v>
      </c>
      <c r="N218" s="116">
        <v>0</v>
      </c>
      <c r="O218" s="116">
        <v>0</v>
      </c>
      <c r="P218" s="116">
        <v>0</v>
      </c>
      <c r="Q218" s="116">
        <v>0</v>
      </c>
      <c r="R218" s="116">
        <v>0</v>
      </c>
      <c r="S218" s="116">
        <v>0</v>
      </c>
      <c r="T218" s="116">
        <v>0</v>
      </c>
      <c r="U218" s="116">
        <v>0</v>
      </c>
      <c r="V218" s="116">
        <v>0</v>
      </c>
      <c r="W218" s="116">
        <v>0</v>
      </c>
      <c r="X218" s="116">
        <v>0</v>
      </c>
      <c r="Y218" s="116">
        <v>0</v>
      </c>
      <c r="Z218" s="116">
        <v>0</v>
      </c>
      <c r="AA218" s="116">
        <v>0</v>
      </c>
      <c r="AB218" s="116">
        <v>0</v>
      </c>
      <c r="AC218" s="116">
        <v>0</v>
      </c>
      <c r="AD218" s="116">
        <v>0</v>
      </c>
      <c r="AE218" s="116">
        <v>0</v>
      </c>
      <c r="AF218" s="116">
        <v>0</v>
      </c>
      <c r="AG218" s="116">
        <v>0</v>
      </c>
      <c r="AH218" s="116">
        <v>0</v>
      </c>
      <c r="AI218" s="116">
        <v>0</v>
      </c>
      <c r="AJ218" s="116">
        <v>0</v>
      </c>
      <c r="AK218" s="116">
        <v>0</v>
      </c>
      <c r="AL218" s="116">
        <v>0</v>
      </c>
      <c r="AM218" s="116">
        <v>0</v>
      </c>
      <c r="AN218" s="116">
        <v>0</v>
      </c>
      <c r="AO218" s="116">
        <v>0</v>
      </c>
      <c r="AP218" s="116">
        <v>0</v>
      </c>
      <c r="AQ218" s="116">
        <v>0</v>
      </c>
      <c r="AR218" s="116">
        <v>0</v>
      </c>
      <c r="AS218" s="116">
        <v>0</v>
      </c>
      <c r="AT218" s="116">
        <v>0</v>
      </c>
      <c r="AU218" s="116">
        <v>0</v>
      </c>
      <c r="AV218" s="116">
        <v>0</v>
      </c>
      <c r="AW218" s="116">
        <v>0</v>
      </c>
      <c r="AX218" s="116">
        <v>0</v>
      </c>
      <c r="AY218" s="116">
        <v>0</v>
      </c>
    </row>
    <row r="219" spans="1:51" x14ac:dyDescent="0.2">
      <c r="A219" s="115"/>
      <c r="B219" s="125">
        <v>11</v>
      </c>
      <c r="C219" s="112">
        <v>60.943641115984299</v>
      </c>
      <c r="D219" s="116">
        <v>48.699064889463443</v>
      </c>
      <c r="E219" s="116">
        <v>0</v>
      </c>
      <c r="F219" s="116">
        <v>0</v>
      </c>
      <c r="G219" s="116">
        <v>0</v>
      </c>
      <c r="H219" s="116">
        <v>0</v>
      </c>
      <c r="I219" s="116">
        <v>0</v>
      </c>
      <c r="J219" s="116">
        <v>0</v>
      </c>
      <c r="K219" s="116">
        <v>0</v>
      </c>
      <c r="L219" s="116">
        <v>0</v>
      </c>
      <c r="M219" s="116">
        <v>0</v>
      </c>
      <c r="N219" s="116">
        <v>0</v>
      </c>
      <c r="O219" s="116">
        <v>0</v>
      </c>
      <c r="P219" s="116">
        <v>0</v>
      </c>
      <c r="Q219" s="116">
        <v>0</v>
      </c>
      <c r="R219" s="116">
        <v>0</v>
      </c>
      <c r="S219" s="116">
        <v>0</v>
      </c>
      <c r="T219" s="116">
        <v>0</v>
      </c>
      <c r="U219" s="116">
        <v>0</v>
      </c>
      <c r="V219" s="116">
        <v>0</v>
      </c>
      <c r="W219" s="116">
        <v>0</v>
      </c>
      <c r="X219" s="116">
        <v>0</v>
      </c>
      <c r="Y219" s="116">
        <v>0</v>
      </c>
      <c r="Z219" s="116">
        <v>0</v>
      </c>
      <c r="AA219" s="116">
        <v>0</v>
      </c>
      <c r="AB219" s="116">
        <v>0</v>
      </c>
      <c r="AC219" s="116">
        <v>0</v>
      </c>
      <c r="AD219" s="116">
        <v>0</v>
      </c>
      <c r="AE219" s="116">
        <v>0</v>
      </c>
      <c r="AF219" s="116">
        <v>0</v>
      </c>
      <c r="AG219" s="116">
        <v>0</v>
      </c>
      <c r="AH219" s="116">
        <v>0</v>
      </c>
      <c r="AI219" s="116">
        <v>0</v>
      </c>
      <c r="AJ219" s="116">
        <v>0</v>
      </c>
      <c r="AK219" s="116">
        <v>0</v>
      </c>
      <c r="AL219" s="116">
        <v>0</v>
      </c>
      <c r="AM219" s="116">
        <v>0</v>
      </c>
      <c r="AN219" s="116">
        <v>0</v>
      </c>
      <c r="AO219" s="116">
        <v>0</v>
      </c>
      <c r="AP219" s="116">
        <v>0</v>
      </c>
      <c r="AQ219" s="116">
        <v>0</v>
      </c>
      <c r="AR219" s="116">
        <v>0</v>
      </c>
      <c r="AS219" s="116">
        <v>0</v>
      </c>
      <c r="AT219" s="116">
        <v>0</v>
      </c>
      <c r="AU219" s="116">
        <v>0</v>
      </c>
      <c r="AV219" s="116">
        <v>0</v>
      </c>
      <c r="AW219" s="116">
        <v>0</v>
      </c>
      <c r="AX219" s="116">
        <v>0</v>
      </c>
      <c r="AY219" s="116">
        <v>0</v>
      </c>
    </row>
    <row r="220" spans="1:51" x14ac:dyDescent="0.2">
      <c r="A220" s="115"/>
      <c r="B220" s="125">
        <v>12</v>
      </c>
      <c r="C220" s="112">
        <v>0</v>
      </c>
      <c r="D220" s="116">
        <v>0</v>
      </c>
      <c r="E220" s="116">
        <v>0</v>
      </c>
      <c r="F220" s="116">
        <v>0</v>
      </c>
      <c r="G220" s="116">
        <v>0</v>
      </c>
      <c r="H220" s="116">
        <v>0</v>
      </c>
      <c r="I220" s="116">
        <v>0</v>
      </c>
      <c r="J220" s="116">
        <v>0</v>
      </c>
      <c r="K220" s="116">
        <v>0</v>
      </c>
      <c r="L220" s="116">
        <v>0</v>
      </c>
      <c r="M220" s="116">
        <v>0</v>
      </c>
      <c r="N220" s="116">
        <v>0</v>
      </c>
      <c r="O220" s="116">
        <v>0</v>
      </c>
      <c r="P220" s="116">
        <v>0</v>
      </c>
      <c r="Q220" s="116">
        <v>0</v>
      </c>
      <c r="R220" s="116">
        <v>0</v>
      </c>
      <c r="S220" s="116">
        <v>0</v>
      </c>
      <c r="T220" s="116">
        <v>0</v>
      </c>
      <c r="U220" s="116">
        <v>0</v>
      </c>
      <c r="V220" s="116">
        <v>0</v>
      </c>
      <c r="W220" s="116">
        <v>0</v>
      </c>
      <c r="X220" s="116">
        <v>0</v>
      </c>
      <c r="Y220" s="116">
        <v>0</v>
      </c>
      <c r="Z220" s="116">
        <v>0</v>
      </c>
      <c r="AA220" s="116">
        <v>0</v>
      </c>
      <c r="AB220" s="116">
        <v>0</v>
      </c>
      <c r="AC220" s="116">
        <v>0</v>
      </c>
      <c r="AD220" s="116">
        <v>0</v>
      </c>
      <c r="AE220" s="116">
        <v>0</v>
      </c>
      <c r="AF220" s="116">
        <v>0</v>
      </c>
      <c r="AG220" s="116">
        <v>0</v>
      </c>
      <c r="AH220" s="116">
        <v>0</v>
      </c>
      <c r="AI220" s="116">
        <v>0</v>
      </c>
      <c r="AJ220" s="116">
        <v>0</v>
      </c>
      <c r="AK220" s="116">
        <v>0</v>
      </c>
      <c r="AL220" s="116">
        <v>0</v>
      </c>
      <c r="AM220" s="116">
        <v>0</v>
      </c>
      <c r="AN220" s="116">
        <v>0</v>
      </c>
      <c r="AO220" s="116">
        <v>0</v>
      </c>
      <c r="AP220" s="116">
        <v>0</v>
      </c>
      <c r="AQ220" s="116">
        <v>0</v>
      </c>
      <c r="AR220" s="116">
        <v>0</v>
      </c>
      <c r="AS220" s="116">
        <v>0</v>
      </c>
      <c r="AT220" s="116">
        <v>0</v>
      </c>
      <c r="AU220" s="116">
        <v>0</v>
      </c>
      <c r="AV220" s="116">
        <v>0</v>
      </c>
      <c r="AW220" s="116">
        <v>0</v>
      </c>
      <c r="AX220" s="116">
        <v>0</v>
      </c>
      <c r="AY220" s="116">
        <v>0</v>
      </c>
    </row>
    <row r="221" spans="1:51" x14ac:dyDescent="0.2">
      <c r="A221" s="115"/>
      <c r="B221" s="126">
        <v>13</v>
      </c>
      <c r="C221" s="112">
        <v>0</v>
      </c>
      <c r="D221" s="116">
        <v>0</v>
      </c>
      <c r="E221" s="116">
        <v>0</v>
      </c>
      <c r="F221" s="116">
        <v>0</v>
      </c>
      <c r="G221" s="116">
        <v>0</v>
      </c>
      <c r="H221" s="116">
        <v>0</v>
      </c>
      <c r="I221" s="116">
        <v>0</v>
      </c>
      <c r="J221" s="116">
        <v>0</v>
      </c>
      <c r="K221" s="116">
        <v>0</v>
      </c>
      <c r="L221" s="116">
        <v>0</v>
      </c>
      <c r="M221" s="116">
        <v>0</v>
      </c>
      <c r="N221" s="116">
        <v>0</v>
      </c>
      <c r="O221" s="116">
        <v>0</v>
      </c>
      <c r="P221" s="116">
        <v>0</v>
      </c>
      <c r="Q221" s="116">
        <v>0</v>
      </c>
      <c r="R221" s="116">
        <v>0</v>
      </c>
      <c r="S221" s="116">
        <v>0</v>
      </c>
      <c r="T221" s="116">
        <v>0</v>
      </c>
      <c r="U221" s="116">
        <v>0</v>
      </c>
      <c r="V221" s="116">
        <v>0</v>
      </c>
      <c r="W221" s="116">
        <v>0</v>
      </c>
      <c r="X221" s="116">
        <v>0</v>
      </c>
      <c r="Y221" s="116">
        <v>0</v>
      </c>
      <c r="Z221" s="116">
        <v>0</v>
      </c>
      <c r="AA221" s="116">
        <v>0</v>
      </c>
      <c r="AB221" s="116">
        <v>0</v>
      </c>
      <c r="AC221" s="116">
        <v>0</v>
      </c>
      <c r="AD221" s="116">
        <v>0</v>
      </c>
      <c r="AE221" s="116">
        <v>0</v>
      </c>
      <c r="AF221" s="116">
        <v>0</v>
      </c>
      <c r="AG221" s="116">
        <v>0</v>
      </c>
      <c r="AH221" s="116">
        <v>0</v>
      </c>
      <c r="AI221" s="116">
        <v>0</v>
      </c>
      <c r="AJ221" s="116">
        <v>0</v>
      </c>
      <c r="AK221" s="116">
        <v>0</v>
      </c>
      <c r="AL221" s="116">
        <v>0</v>
      </c>
      <c r="AM221" s="116">
        <v>0</v>
      </c>
      <c r="AN221" s="116">
        <v>0</v>
      </c>
      <c r="AO221" s="116">
        <v>0</v>
      </c>
      <c r="AP221" s="116">
        <v>0</v>
      </c>
      <c r="AQ221" s="116">
        <v>0</v>
      </c>
      <c r="AR221" s="116">
        <v>0</v>
      </c>
      <c r="AS221" s="116">
        <v>0</v>
      </c>
      <c r="AT221" s="116">
        <v>0</v>
      </c>
      <c r="AU221" s="116">
        <v>0</v>
      </c>
      <c r="AV221" s="116">
        <v>0</v>
      </c>
      <c r="AW221" s="116">
        <v>0</v>
      </c>
      <c r="AX221" s="116">
        <v>0</v>
      </c>
      <c r="AY221" s="116">
        <v>0</v>
      </c>
    </row>
    <row r="222" spans="1:51" x14ac:dyDescent="0.2">
      <c r="A222" s="115"/>
      <c r="B222" s="126">
        <v>14</v>
      </c>
      <c r="C222" s="112">
        <v>0</v>
      </c>
      <c r="D222" s="116">
        <v>0</v>
      </c>
      <c r="E222" s="116">
        <v>0</v>
      </c>
      <c r="F222" s="116">
        <v>0</v>
      </c>
      <c r="G222" s="116">
        <v>0</v>
      </c>
      <c r="H222" s="116">
        <v>0</v>
      </c>
      <c r="I222" s="116">
        <v>0</v>
      </c>
      <c r="J222" s="116">
        <v>0</v>
      </c>
      <c r="K222" s="116">
        <v>0</v>
      </c>
      <c r="L222" s="116">
        <v>0</v>
      </c>
      <c r="M222" s="116">
        <v>0</v>
      </c>
      <c r="N222" s="116">
        <v>0</v>
      </c>
      <c r="O222" s="116">
        <v>0</v>
      </c>
      <c r="P222" s="116">
        <v>0</v>
      </c>
      <c r="Q222" s="116">
        <v>0</v>
      </c>
      <c r="R222" s="116">
        <v>0</v>
      </c>
      <c r="S222" s="116">
        <v>0</v>
      </c>
      <c r="T222" s="116">
        <v>0</v>
      </c>
      <c r="U222" s="116">
        <v>0</v>
      </c>
      <c r="V222" s="116">
        <v>0</v>
      </c>
      <c r="W222" s="116">
        <v>0</v>
      </c>
      <c r="X222" s="116">
        <v>0</v>
      </c>
      <c r="Y222" s="116">
        <v>0</v>
      </c>
      <c r="Z222" s="116">
        <v>0</v>
      </c>
      <c r="AA222" s="116">
        <v>0</v>
      </c>
      <c r="AB222" s="116">
        <v>0</v>
      </c>
      <c r="AC222" s="116">
        <v>0</v>
      </c>
      <c r="AD222" s="116">
        <v>0</v>
      </c>
      <c r="AE222" s="116">
        <v>0</v>
      </c>
      <c r="AF222" s="116">
        <v>0</v>
      </c>
      <c r="AG222" s="116">
        <v>0</v>
      </c>
      <c r="AH222" s="116">
        <v>0</v>
      </c>
      <c r="AI222" s="116">
        <v>0</v>
      </c>
      <c r="AJ222" s="116">
        <v>0</v>
      </c>
      <c r="AK222" s="116">
        <v>0</v>
      </c>
      <c r="AL222" s="116">
        <v>0</v>
      </c>
      <c r="AM222" s="116">
        <v>0</v>
      </c>
      <c r="AN222" s="116">
        <v>0</v>
      </c>
      <c r="AO222" s="116">
        <v>0</v>
      </c>
      <c r="AP222" s="116">
        <v>0</v>
      </c>
      <c r="AQ222" s="116">
        <v>0</v>
      </c>
      <c r="AR222" s="116">
        <v>0</v>
      </c>
      <c r="AS222" s="116">
        <v>0</v>
      </c>
      <c r="AT222" s="116">
        <v>0</v>
      </c>
      <c r="AU222" s="116">
        <v>0</v>
      </c>
      <c r="AV222" s="116">
        <v>0</v>
      </c>
      <c r="AW222" s="116">
        <v>0</v>
      </c>
      <c r="AX222" s="116">
        <v>0</v>
      </c>
      <c r="AY222" s="116">
        <v>0</v>
      </c>
    </row>
    <row r="223" spans="1:51" x14ac:dyDescent="0.2">
      <c r="A223" s="115"/>
      <c r="B223" s="126">
        <v>15</v>
      </c>
      <c r="C223" s="112">
        <v>0</v>
      </c>
      <c r="D223" s="116">
        <v>0</v>
      </c>
      <c r="E223" s="116">
        <v>0</v>
      </c>
      <c r="F223" s="116">
        <v>0</v>
      </c>
      <c r="G223" s="116">
        <v>0</v>
      </c>
      <c r="H223" s="116">
        <v>0</v>
      </c>
      <c r="I223" s="116">
        <v>0</v>
      </c>
      <c r="J223" s="116">
        <v>0</v>
      </c>
      <c r="K223" s="116">
        <v>0</v>
      </c>
      <c r="L223" s="116">
        <v>0</v>
      </c>
      <c r="M223" s="116">
        <v>0</v>
      </c>
      <c r="N223" s="116">
        <v>0</v>
      </c>
      <c r="O223" s="116">
        <v>0</v>
      </c>
      <c r="P223" s="116">
        <v>0</v>
      </c>
      <c r="Q223" s="116">
        <v>0</v>
      </c>
      <c r="R223" s="116">
        <v>0</v>
      </c>
      <c r="S223" s="116">
        <v>0</v>
      </c>
      <c r="T223" s="116">
        <v>0</v>
      </c>
      <c r="U223" s="116">
        <v>0</v>
      </c>
      <c r="V223" s="116">
        <v>0</v>
      </c>
      <c r="W223" s="116">
        <v>0</v>
      </c>
      <c r="X223" s="116">
        <v>0</v>
      </c>
      <c r="Y223" s="116">
        <v>0</v>
      </c>
      <c r="Z223" s="116">
        <v>0</v>
      </c>
      <c r="AA223" s="116">
        <v>0</v>
      </c>
      <c r="AB223" s="116">
        <v>0</v>
      </c>
      <c r="AC223" s="116">
        <v>0</v>
      </c>
      <c r="AD223" s="116">
        <v>0</v>
      </c>
      <c r="AE223" s="116">
        <v>0</v>
      </c>
      <c r="AF223" s="116">
        <v>0</v>
      </c>
      <c r="AG223" s="116">
        <v>0</v>
      </c>
      <c r="AH223" s="116">
        <v>0</v>
      </c>
      <c r="AI223" s="116">
        <v>0</v>
      </c>
      <c r="AJ223" s="116">
        <v>0</v>
      </c>
      <c r="AK223" s="116">
        <v>0</v>
      </c>
      <c r="AL223" s="116">
        <v>0</v>
      </c>
      <c r="AM223" s="116">
        <v>0</v>
      </c>
      <c r="AN223" s="116">
        <v>0</v>
      </c>
      <c r="AO223" s="116">
        <v>0</v>
      </c>
      <c r="AP223" s="116">
        <v>0</v>
      </c>
      <c r="AQ223" s="116">
        <v>0</v>
      </c>
      <c r="AR223" s="116">
        <v>0</v>
      </c>
      <c r="AS223" s="116">
        <v>0</v>
      </c>
      <c r="AT223" s="116">
        <v>0</v>
      </c>
      <c r="AU223" s="116">
        <v>0</v>
      </c>
      <c r="AV223" s="116">
        <v>0</v>
      </c>
      <c r="AW223" s="116">
        <v>0</v>
      </c>
      <c r="AX223" s="116">
        <v>0</v>
      </c>
      <c r="AY223" s="116">
        <v>0</v>
      </c>
    </row>
    <row r="224" spans="1:51" x14ac:dyDescent="0.2">
      <c r="A224" s="115"/>
      <c r="B224" s="126">
        <v>16</v>
      </c>
      <c r="C224" s="112">
        <v>0</v>
      </c>
      <c r="D224" s="116">
        <v>0</v>
      </c>
      <c r="E224" s="116">
        <v>0</v>
      </c>
      <c r="F224" s="116">
        <v>0</v>
      </c>
      <c r="G224" s="116">
        <v>0</v>
      </c>
      <c r="H224" s="116">
        <v>0</v>
      </c>
      <c r="I224" s="116">
        <v>0</v>
      </c>
      <c r="J224" s="116">
        <v>0</v>
      </c>
      <c r="K224" s="116">
        <v>0</v>
      </c>
      <c r="L224" s="116">
        <v>0</v>
      </c>
      <c r="M224" s="116">
        <v>0</v>
      </c>
      <c r="N224" s="116">
        <v>0</v>
      </c>
      <c r="O224" s="116">
        <v>0</v>
      </c>
      <c r="P224" s="116">
        <v>0</v>
      </c>
      <c r="Q224" s="116">
        <v>0</v>
      </c>
      <c r="R224" s="116">
        <v>0</v>
      </c>
      <c r="S224" s="116">
        <v>0</v>
      </c>
      <c r="T224" s="116">
        <v>0</v>
      </c>
      <c r="U224" s="116">
        <v>0</v>
      </c>
      <c r="V224" s="116">
        <v>0</v>
      </c>
      <c r="W224" s="116">
        <v>0</v>
      </c>
      <c r="X224" s="116">
        <v>0</v>
      </c>
      <c r="Y224" s="116">
        <v>0</v>
      </c>
      <c r="Z224" s="116">
        <v>0</v>
      </c>
      <c r="AA224" s="116">
        <v>0</v>
      </c>
      <c r="AB224" s="116">
        <v>0</v>
      </c>
      <c r="AC224" s="116">
        <v>0</v>
      </c>
      <c r="AD224" s="116">
        <v>0</v>
      </c>
      <c r="AE224" s="116">
        <v>0</v>
      </c>
      <c r="AF224" s="116">
        <v>0</v>
      </c>
      <c r="AG224" s="116">
        <v>0</v>
      </c>
      <c r="AH224" s="116">
        <v>0</v>
      </c>
      <c r="AI224" s="116">
        <v>0</v>
      </c>
      <c r="AJ224" s="116">
        <v>0</v>
      </c>
      <c r="AK224" s="116">
        <v>0</v>
      </c>
      <c r="AL224" s="116">
        <v>0</v>
      </c>
      <c r="AM224" s="116">
        <v>0</v>
      </c>
      <c r="AN224" s="116">
        <v>0</v>
      </c>
      <c r="AO224" s="116">
        <v>0</v>
      </c>
      <c r="AP224" s="116">
        <v>0</v>
      </c>
      <c r="AQ224" s="116">
        <v>0</v>
      </c>
      <c r="AR224" s="116">
        <v>0</v>
      </c>
      <c r="AS224" s="116">
        <v>0</v>
      </c>
      <c r="AT224" s="116">
        <v>0</v>
      </c>
      <c r="AU224" s="116">
        <v>0</v>
      </c>
      <c r="AV224" s="116">
        <v>0</v>
      </c>
      <c r="AW224" s="116">
        <v>0</v>
      </c>
      <c r="AX224" s="116">
        <v>0</v>
      </c>
      <c r="AY224" s="116">
        <v>0</v>
      </c>
    </row>
    <row r="225" spans="1:51" x14ac:dyDescent="0.2">
      <c r="A225" s="115"/>
      <c r="B225" s="126">
        <v>17</v>
      </c>
      <c r="C225" s="112">
        <v>0</v>
      </c>
      <c r="D225" s="116">
        <v>0</v>
      </c>
      <c r="E225" s="116">
        <v>0</v>
      </c>
      <c r="F225" s="116">
        <v>0</v>
      </c>
      <c r="G225" s="116">
        <v>0</v>
      </c>
      <c r="H225" s="116">
        <v>0</v>
      </c>
      <c r="I225" s="116">
        <v>0</v>
      </c>
      <c r="J225" s="116">
        <v>0</v>
      </c>
      <c r="K225" s="116">
        <v>0</v>
      </c>
      <c r="L225" s="116">
        <v>0</v>
      </c>
      <c r="M225" s="116">
        <v>0</v>
      </c>
      <c r="N225" s="116">
        <v>0</v>
      </c>
      <c r="O225" s="116">
        <v>0</v>
      </c>
      <c r="P225" s="116">
        <v>0</v>
      </c>
      <c r="Q225" s="116">
        <v>0</v>
      </c>
      <c r="R225" s="116">
        <v>0</v>
      </c>
      <c r="S225" s="116">
        <v>0</v>
      </c>
      <c r="T225" s="116">
        <v>0</v>
      </c>
      <c r="U225" s="116">
        <v>0</v>
      </c>
      <c r="V225" s="116">
        <v>0</v>
      </c>
      <c r="W225" s="116">
        <v>0</v>
      </c>
      <c r="X225" s="116">
        <v>0</v>
      </c>
      <c r="Y225" s="116">
        <v>0</v>
      </c>
      <c r="Z225" s="116">
        <v>0</v>
      </c>
      <c r="AA225" s="116">
        <v>0</v>
      </c>
      <c r="AB225" s="116">
        <v>0</v>
      </c>
      <c r="AC225" s="116">
        <v>0</v>
      </c>
      <c r="AD225" s="116">
        <v>0</v>
      </c>
      <c r="AE225" s="116">
        <v>0</v>
      </c>
      <c r="AF225" s="116">
        <v>0</v>
      </c>
      <c r="AG225" s="116">
        <v>0</v>
      </c>
      <c r="AH225" s="116">
        <v>0</v>
      </c>
      <c r="AI225" s="116">
        <v>0</v>
      </c>
      <c r="AJ225" s="116">
        <v>0</v>
      </c>
      <c r="AK225" s="116">
        <v>0</v>
      </c>
      <c r="AL225" s="116">
        <v>0</v>
      </c>
      <c r="AM225" s="116">
        <v>0</v>
      </c>
      <c r="AN225" s="116">
        <v>0</v>
      </c>
      <c r="AO225" s="116">
        <v>0</v>
      </c>
      <c r="AP225" s="116">
        <v>0</v>
      </c>
      <c r="AQ225" s="116">
        <v>0</v>
      </c>
      <c r="AR225" s="116">
        <v>0</v>
      </c>
      <c r="AS225" s="116">
        <v>0</v>
      </c>
      <c r="AT225" s="116">
        <v>0</v>
      </c>
      <c r="AU225" s="116">
        <v>0</v>
      </c>
      <c r="AV225" s="116">
        <v>0</v>
      </c>
      <c r="AW225" s="116">
        <v>0</v>
      </c>
      <c r="AX225" s="116">
        <v>0</v>
      </c>
      <c r="AY225" s="116">
        <v>0</v>
      </c>
    </row>
    <row r="226" spans="1:51" x14ac:dyDescent="0.2">
      <c r="A226" s="115"/>
      <c r="B226" s="126">
        <v>18</v>
      </c>
      <c r="C226" s="112">
        <v>0</v>
      </c>
      <c r="D226" s="116">
        <v>0</v>
      </c>
      <c r="E226" s="116">
        <v>0</v>
      </c>
      <c r="F226" s="116">
        <v>0</v>
      </c>
      <c r="G226" s="116">
        <v>0</v>
      </c>
      <c r="H226" s="116">
        <v>0</v>
      </c>
      <c r="I226" s="116">
        <v>0</v>
      </c>
      <c r="J226" s="116">
        <v>0</v>
      </c>
      <c r="K226" s="116">
        <v>0</v>
      </c>
      <c r="L226" s="116">
        <v>0</v>
      </c>
      <c r="M226" s="116">
        <v>0</v>
      </c>
      <c r="N226" s="116">
        <v>0</v>
      </c>
      <c r="O226" s="116">
        <v>0</v>
      </c>
      <c r="P226" s="116">
        <v>0</v>
      </c>
      <c r="Q226" s="116">
        <v>0</v>
      </c>
      <c r="R226" s="116">
        <v>0</v>
      </c>
      <c r="S226" s="116">
        <v>0</v>
      </c>
      <c r="T226" s="116">
        <v>0</v>
      </c>
      <c r="U226" s="116">
        <v>0</v>
      </c>
      <c r="V226" s="116">
        <v>0</v>
      </c>
      <c r="W226" s="116">
        <v>0</v>
      </c>
      <c r="X226" s="116">
        <v>0</v>
      </c>
      <c r="Y226" s="116">
        <v>0</v>
      </c>
      <c r="Z226" s="116">
        <v>0</v>
      </c>
      <c r="AA226" s="116">
        <v>0</v>
      </c>
      <c r="AB226" s="116">
        <v>0</v>
      </c>
      <c r="AC226" s="116">
        <v>0</v>
      </c>
      <c r="AD226" s="116">
        <v>0</v>
      </c>
      <c r="AE226" s="116">
        <v>0</v>
      </c>
      <c r="AF226" s="116">
        <v>0</v>
      </c>
      <c r="AG226" s="116">
        <v>0</v>
      </c>
      <c r="AH226" s="116">
        <v>0</v>
      </c>
      <c r="AI226" s="116">
        <v>0</v>
      </c>
      <c r="AJ226" s="116">
        <v>0</v>
      </c>
      <c r="AK226" s="116">
        <v>0</v>
      </c>
      <c r="AL226" s="116">
        <v>0</v>
      </c>
      <c r="AM226" s="116">
        <v>0</v>
      </c>
      <c r="AN226" s="116">
        <v>0</v>
      </c>
      <c r="AO226" s="116">
        <v>0</v>
      </c>
      <c r="AP226" s="116">
        <v>0</v>
      </c>
      <c r="AQ226" s="116">
        <v>0</v>
      </c>
      <c r="AR226" s="116">
        <v>0</v>
      </c>
      <c r="AS226" s="116">
        <v>0</v>
      </c>
      <c r="AT226" s="116">
        <v>0</v>
      </c>
      <c r="AU226" s="116">
        <v>0</v>
      </c>
      <c r="AV226" s="116">
        <v>0</v>
      </c>
      <c r="AW226" s="116">
        <v>0</v>
      </c>
      <c r="AX226" s="116">
        <v>0</v>
      </c>
      <c r="AY226" s="116">
        <v>0</v>
      </c>
    </row>
    <row r="227" spans="1:51" x14ac:dyDescent="0.2">
      <c r="A227" s="115"/>
      <c r="B227" s="126">
        <v>19</v>
      </c>
      <c r="C227" s="112">
        <v>0</v>
      </c>
      <c r="D227" s="116">
        <v>0</v>
      </c>
      <c r="E227" s="116">
        <v>0</v>
      </c>
      <c r="F227" s="116">
        <v>0</v>
      </c>
      <c r="G227" s="116">
        <v>0</v>
      </c>
      <c r="H227" s="116">
        <v>0</v>
      </c>
      <c r="I227" s="116">
        <v>0</v>
      </c>
      <c r="J227" s="116">
        <v>0</v>
      </c>
      <c r="K227" s="116">
        <v>0</v>
      </c>
      <c r="L227" s="116">
        <v>0</v>
      </c>
      <c r="M227" s="116">
        <v>0</v>
      </c>
      <c r="N227" s="116">
        <v>0</v>
      </c>
      <c r="O227" s="116">
        <v>0</v>
      </c>
      <c r="P227" s="116">
        <v>0</v>
      </c>
      <c r="Q227" s="116">
        <v>0</v>
      </c>
      <c r="R227" s="116">
        <v>0</v>
      </c>
      <c r="S227" s="116">
        <v>0</v>
      </c>
      <c r="T227" s="116">
        <v>0</v>
      </c>
      <c r="U227" s="116">
        <v>0</v>
      </c>
      <c r="V227" s="116">
        <v>0</v>
      </c>
      <c r="W227" s="116">
        <v>0</v>
      </c>
      <c r="X227" s="116">
        <v>0</v>
      </c>
      <c r="Y227" s="116">
        <v>0</v>
      </c>
      <c r="Z227" s="116">
        <v>0</v>
      </c>
      <c r="AA227" s="116">
        <v>0</v>
      </c>
      <c r="AB227" s="116">
        <v>0</v>
      </c>
      <c r="AC227" s="116">
        <v>0</v>
      </c>
      <c r="AD227" s="116">
        <v>0</v>
      </c>
      <c r="AE227" s="116">
        <v>0</v>
      </c>
      <c r="AF227" s="116">
        <v>0</v>
      </c>
      <c r="AG227" s="116">
        <v>0</v>
      </c>
      <c r="AH227" s="116">
        <v>0</v>
      </c>
      <c r="AI227" s="116">
        <v>0</v>
      </c>
      <c r="AJ227" s="116">
        <v>0</v>
      </c>
      <c r="AK227" s="116">
        <v>0</v>
      </c>
      <c r="AL227" s="116">
        <v>0</v>
      </c>
      <c r="AM227" s="116">
        <v>0</v>
      </c>
      <c r="AN227" s="116">
        <v>0</v>
      </c>
      <c r="AO227" s="116">
        <v>0</v>
      </c>
      <c r="AP227" s="116">
        <v>0</v>
      </c>
      <c r="AQ227" s="116">
        <v>0</v>
      </c>
      <c r="AR227" s="116">
        <v>0</v>
      </c>
      <c r="AS227" s="116">
        <v>0</v>
      </c>
      <c r="AT227" s="116">
        <v>0</v>
      </c>
      <c r="AU227" s="116">
        <v>0</v>
      </c>
      <c r="AV227" s="116">
        <v>0</v>
      </c>
      <c r="AW227" s="116">
        <v>0</v>
      </c>
      <c r="AX227" s="116">
        <v>0</v>
      </c>
      <c r="AY227" s="116">
        <v>0</v>
      </c>
    </row>
    <row r="228" spans="1:51" x14ac:dyDescent="0.2">
      <c r="A228" s="115"/>
      <c r="B228" s="126">
        <v>20</v>
      </c>
      <c r="C228" s="112">
        <v>0</v>
      </c>
      <c r="D228" s="116">
        <v>0</v>
      </c>
      <c r="E228" s="116">
        <v>0</v>
      </c>
      <c r="F228" s="116">
        <v>0</v>
      </c>
      <c r="G228" s="116">
        <v>0</v>
      </c>
      <c r="H228" s="116">
        <v>0</v>
      </c>
      <c r="I228" s="116">
        <v>0</v>
      </c>
      <c r="J228" s="116">
        <v>0</v>
      </c>
      <c r="K228" s="116">
        <v>0</v>
      </c>
      <c r="L228" s="116">
        <v>0</v>
      </c>
      <c r="M228" s="116">
        <v>0</v>
      </c>
      <c r="N228" s="116">
        <v>0</v>
      </c>
      <c r="O228" s="116">
        <v>0</v>
      </c>
      <c r="P228" s="116">
        <v>0</v>
      </c>
      <c r="Q228" s="116">
        <v>0</v>
      </c>
      <c r="R228" s="116">
        <v>0</v>
      </c>
      <c r="S228" s="116">
        <v>0</v>
      </c>
      <c r="T228" s="116">
        <v>0</v>
      </c>
      <c r="U228" s="116">
        <v>0</v>
      </c>
      <c r="V228" s="116">
        <v>0</v>
      </c>
      <c r="W228" s="116">
        <v>0</v>
      </c>
      <c r="X228" s="116">
        <v>0</v>
      </c>
      <c r="Y228" s="116">
        <v>0</v>
      </c>
      <c r="Z228" s="116">
        <v>0</v>
      </c>
      <c r="AA228" s="116">
        <v>0</v>
      </c>
      <c r="AB228" s="116">
        <v>0</v>
      </c>
      <c r="AC228" s="116">
        <v>0</v>
      </c>
      <c r="AD228" s="116">
        <v>0</v>
      </c>
      <c r="AE228" s="116">
        <v>0</v>
      </c>
      <c r="AF228" s="116">
        <v>0</v>
      </c>
      <c r="AG228" s="116">
        <v>0</v>
      </c>
      <c r="AH228" s="116">
        <v>0</v>
      </c>
      <c r="AI228" s="116">
        <v>0</v>
      </c>
      <c r="AJ228" s="116">
        <v>0</v>
      </c>
      <c r="AK228" s="116">
        <v>0</v>
      </c>
      <c r="AL228" s="116">
        <v>0</v>
      </c>
      <c r="AM228" s="116">
        <v>0</v>
      </c>
      <c r="AN228" s="116">
        <v>0</v>
      </c>
      <c r="AO228" s="116">
        <v>0</v>
      </c>
      <c r="AP228" s="116">
        <v>0</v>
      </c>
      <c r="AQ228" s="116">
        <v>0</v>
      </c>
      <c r="AR228" s="116">
        <v>0</v>
      </c>
      <c r="AS228" s="116">
        <v>0</v>
      </c>
      <c r="AT228" s="116">
        <v>0</v>
      </c>
      <c r="AU228" s="116">
        <v>0</v>
      </c>
      <c r="AV228" s="116">
        <v>0</v>
      </c>
      <c r="AW228" s="116">
        <v>0</v>
      </c>
      <c r="AX228" s="116">
        <v>0</v>
      </c>
      <c r="AY228" s="116">
        <v>0</v>
      </c>
    </row>
    <row r="229" spans="1:51" x14ac:dyDescent="0.2">
      <c r="A229" s="115"/>
      <c r="B229" s="126">
        <v>21</v>
      </c>
      <c r="C229" s="112">
        <v>0</v>
      </c>
      <c r="D229" s="116">
        <v>0</v>
      </c>
      <c r="E229" s="116">
        <v>0</v>
      </c>
      <c r="F229" s="116">
        <v>0</v>
      </c>
      <c r="G229" s="116">
        <v>0</v>
      </c>
      <c r="H229" s="116">
        <v>0</v>
      </c>
      <c r="I229" s="116">
        <v>0</v>
      </c>
      <c r="J229" s="116">
        <v>0</v>
      </c>
      <c r="K229" s="116">
        <v>0</v>
      </c>
      <c r="L229" s="116">
        <v>0</v>
      </c>
      <c r="M229" s="116">
        <v>0</v>
      </c>
      <c r="N229" s="116">
        <v>0</v>
      </c>
      <c r="O229" s="116">
        <v>0</v>
      </c>
      <c r="P229" s="116">
        <v>0</v>
      </c>
      <c r="Q229" s="116">
        <v>0</v>
      </c>
      <c r="R229" s="116">
        <v>0</v>
      </c>
      <c r="S229" s="116">
        <v>0</v>
      </c>
      <c r="T229" s="116">
        <v>0</v>
      </c>
      <c r="U229" s="116">
        <v>0</v>
      </c>
      <c r="V229" s="116">
        <v>0</v>
      </c>
      <c r="W229" s="116">
        <v>0</v>
      </c>
      <c r="X229" s="116">
        <v>0</v>
      </c>
      <c r="Y229" s="116">
        <v>0</v>
      </c>
      <c r="Z229" s="116">
        <v>0</v>
      </c>
      <c r="AA229" s="116">
        <v>0</v>
      </c>
      <c r="AB229" s="116">
        <v>0</v>
      </c>
      <c r="AC229" s="116">
        <v>0</v>
      </c>
      <c r="AD229" s="116">
        <v>0</v>
      </c>
      <c r="AE229" s="116">
        <v>0</v>
      </c>
      <c r="AF229" s="116">
        <v>0</v>
      </c>
      <c r="AG229" s="116">
        <v>0</v>
      </c>
      <c r="AH229" s="116">
        <v>0</v>
      </c>
      <c r="AI229" s="116">
        <v>0</v>
      </c>
      <c r="AJ229" s="116">
        <v>0</v>
      </c>
      <c r="AK229" s="116">
        <v>0</v>
      </c>
      <c r="AL229" s="116">
        <v>0</v>
      </c>
      <c r="AM229" s="116">
        <v>0</v>
      </c>
      <c r="AN229" s="116">
        <v>0</v>
      </c>
      <c r="AO229" s="116">
        <v>0</v>
      </c>
      <c r="AP229" s="116">
        <v>0</v>
      </c>
      <c r="AQ229" s="116">
        <v>0</v>
      </c>
      <c r="AR229" s="116">
        <v>0</v>
      </c>
      <c r="AS229" s="116">
        <v>0</v>
      </c>
      <c r="AT229" s="116">
        <v>0</v>
      </c>
      <c r="AU229" s="116">
        <v>0</v>
      </c>
      <c r="AV229" s="116">
        <v>0</v>
      </c>
      <c r="AW229" s="116">
        <v>0</v>
      </c>
      <c r="AX229" s="116">
        <v>0</v>
      </c>
      <c r="AY229" s="116">
        <v>0</v>
      </c>
    </row>
    <row r="230" spans="1:51" x14ac:dyDescent="0.2">
      <c r="A230" s="115"/>
      <c r="B230" s="126">
        <v>22</v>
      </c>
      <c r="C230" s="112">
        <v>0</v>
      </c>
      <c r="D230" s="116">
        <v>0</v>
      </c>
      <c r="E230" s="116">
        <v>0</v>
      </c>
      <c r="F230" s="116">
        <v>0</v>
      </c>
      <c r="G230" s="116">
        <v>0</v>
      </c>
      <c r="H230" s="116">
        <v>0</v>
      </c>
      <c r="I230" s="116">
        <v>0</v>
      </c>
      <c r="J230" s="116">
        <v>0</v>
      </c>
      <c r="K230" s="116">
        <v>0</v>
      </c>
      <c r="L230" s="116">
        <v>0</v>
      </c>
      <c r="M230" s="116">
        <v>0</v>
      </c>
      <c r="N230" s="116">
        <v>0</v>
      </c>
      <c r="O230" s="116">
        <v>0</v>
      </c>
      <c r="P230" s="116">
        <v>0</v>
      </c>
      <c r="Q230" s="116">
        <v>0</v>
      </c>
      <c r="R230" s="116">
        <v>0</v>
      </c>
      <c r="S230" s="116">
        <v>0</v>
      </c>
      <c r="T230" s="116">
        <v>0</v>
      </c>
      <c r="U230" s="116">
        <v>0</v>
      </c>
      <c r="V230" s="116">
        <v>0</v>
      </c>
      <c r="W230" s="116">
        <v>0</v>
      </c>
      <c r="X230" s="116">
        <v>0</v>
      </c>
      <c r="Y230" s="116">
        <v>0</v>
      </c>
      <c r="Z230" s="116">
        <v>0</v>
      </c>
      <c r="AA230" s="116">
        <v>0</v>
      </c>
      <c r="AB230" s="116">
        <v>0</v>
      </c>
      <c r="AC230" s="116">
        <v>0</v>
      </c>
      <c r="AD230" s="116">
        <v>0</v>
      </c>
      <c r="AE230" s="116">
        <v>0</v>
      </c>
      <c r="AF230" s="116">
        <v>0</v>
      </c>
      <c r="AG230" s="116">
        <v>0</v>
      </c>
      <c r="AH230" s="116">
        <v>0</v>
      </c>
      <c r="AI230" s="116">
        <v>0</v>
      </c>
      <c r="AJ230" s="116">
        <v>0</v>
      </c>
      <c r="AK230" s="116">
        <v>0</v>
      </c>
      <c r="AL230" s="116">
        <v>0</v>
      </c>
      <c r="AM230" s="116">
        <v>0</v>
      </c>
      <c r="AN230" s="116">
        <v>0</v>
      </c>
      <c r="AO230" s="116">
        <v>0</v>
      </c>
      <c r="AP230" s="116">
        <v>0</v>
      </c>
      <c r="AQ230" s="116">
        <v>0</v>
      </c>
      <c r="AR230" s="116">
        <v>0</v>
      </c>
      <c r="AS230" s="116">
        <v>0</v>
      </c>
      <c r="AT230" s="116">
        <v>0</v>
      </c>
      <c r="AU230" s="116">
        <v>0</v>
      </c>
      <c r="AV230" s="116">
        <v>0</v>
      </c>
      <c r="AW230" s="116">
        <v>0</v>
      </c>
      <c r="AX230" s="116">
        <v>0</v>
      </c>
      <c r="AY230" s="116">
        <v>0</v>
      </c>
    </row>
    <row r="231" spans="1:51" x14ac:dyDescent="0.2">
      <c r="A231" s="115"/>
      <c r="B231" s="126">
        <v>23</v>
      </c>
      <c r="C231" s="112">
        <v>0</v>
      </c>
      <c r="D231" s="116">
        <v>0</v>
      </c>
      <c r="E231" s="116">
        <v>0</v>
      </c>
      <c r="F231" s="116">
        <v>0</v>
      </c>
      <c r="G231" s="116">
        <v>0</v>
      </c>
      <c r="H231" s="116">
        <v>0</v>
      </c>
      <c r="I231" s="116">
        <v>0</v>
      </c>
      <c r="J231" s="116">
        <v>0</v>
      </c>
      <c r="K231" s="116">
        <v>0</v>
      </c>
      <c r="L231" s="116">
        <v>0</v>
      </c>
      <c r="M231" s="116">
        <v>0</v>
      </c>
      <c r="N231" s="116">
        <v>0</v>
      </c>
      <c r="O231" s="116">
        <v>0</v>
      </c>
      <c r="P231" s="116">
        <v>0</v>
      </c>
      <c r="Q231" s="116">
        <v>0</v>
      </c>
      <c r="R231" s="116">
        <v>0</v>
      </c>
      <c r="S231" s="116">
        <v>0</v>
      </c>
      <c r="T231" s="116">
        <v>0</v>
      </c>
      <c r="U231" s="116">
        <v>0</v>
      </c>
      <c r="V231" s="116">
        <v>0</v>
      </c>
      <c r="W231" s="116">
        <v>0</v>
      </c>
      <c r="X231" s="116">
        <v>0</v>
      </c>
      <c r="Y231" s="116">
        <v>0</v>
      </c>
      <c r="Z231" s="116">
        <v>0</v>
      </c>
      <c r="AA231" s="116">
        <v>0</v>
      </c>
      <c r="AB231" s="116">
        <v>0</v>
      </c>
      <c r="AC231" s="116">
        <v>0</v>
      </c>
      <c r="AD231" s="116">
        <v>0</v>
      </c>
      <c r="AE231" s="116">
        <v>0</v>
      </c>
      <c r="AF231" s="116">
        <v>0</v>
      </c>
      <c r="AG231" s="116">
        <v>0</v>
      </c>
      <c r="AH231" s="116">
        <v>0</v>
      </c>
      <c r="AI231" s="116">
        <v>0</v>
      </c>
      <c r="AJ231" s="116">
        <v>0</v>
      </c>
      <c r="AK231" s="116">
        <v>0</v>
      </c>
      <c r="AL231" s="116">
        <v>0</v>
      </c>
      <c r="AM231" s="116">
        <v>0</v>
      </c>
      <c r="AN231" s="116">
        <v>0</v>
      </c>
      <c r="AO231" s="116">
        <v>0</v>
      </c>
      <c r="AP231" s="116">
        <v>0</v>
      </c>
      <c r="AQ231" s="116">
        <v>0</v>
      </c>
      <c r="AR231" s="116">
        <v>0</v>
      </c>
      <c r="AS231" s="116">
        <v>0</v>
      </c>
      <c r="AT231" s="116">
        <v>0</v>
      </c>
      <c r="AU231" s="116">
        <v>0</v>
      </c>
      <c r="AV231" s="116">
        <v>0</v>
      </c>
      <c r="AW231" s="116">
        <v>0</v>
      </c>
      <c r="AX231" s="116">
        <v>0</v>
      </c>
      <c r="AY231" s="116">
        <v>0</v>
      </c>
    </row>
    <row r="232" spans="1:51" x14ac:dyDescent="0.2">
      <c r="A232" s="115"/>
      <c r="B232" s="126">
        <v>24</v>
      </c>
      <c r="C232" s="112">
        <v>0</v>
      </c>
      <c r="D232" s="116">
        <v>0</v>
      </c>
      <c r="E232" s="116">
        <v>0</v>
      </c>
      <c r="F232" s="116">
        <v>0</v>
      </c>
      <c r="G232" s="116">
        <v>0</v>
      </c>
      <c r="H232" s="116">
        <v>0</v>
      </c>
      <c r="I232" s="116">
        <v>0</v>
      </c>
      <c r="J232" s="116">
        <v>0</v>
      </c>
      <c r="K232" s="116">
        <v>0</v>
      </c>
      <c r="L232" s="116">
        <v>0</v>
      </c>
      <c r="M232" s="116">
        <v>0</v>
      </c>
      <c r="N232" s="116">
        <v>0</v>
      </c>
      <c r="O232" s="116">
        <v>0</v>
      </c>
      <c r="P232" s="116">
        <v>0</v>
      </c>
      <c r="Q232" s="116">
        <v>0</v>
      </c>
      <c r="R232" s="116">
        <v>0</v>
      </c>
      <c r="S232" s="116">
        <v>0</v>
      </c>
      <c r="T232" s="116">
        <v>0</v>
      </c>
      <c r="U232" s="116">
        <v>0</v>
      </c>
      <c r="V232" s="116">
        <v>0</v>
      </c>
      <c r="W232" s="116">
        <v>0</v>
      </c>
      <c r="X232" s="116">
        <v>0</v>
      </c>
      <c r="Y232" s="116">
        <v>0</v>
      </c>
      <c r="Z232" s="116">
        <v>0</v>
      </c>
      <c r="AA232" s="116">
        <v>0</v>
      </c>
      <c r="AB232" s="116">
        <v>0</v>
      </c>
      <c r="AC232" s="116">
        <v>0</v>
      </c>
      <c r="AD232" s="116">
        <v>0</v>
      </c>
      <c r="AE232" s="116">
        <v>0</v>
      </c>
      <c r="AF232" s="116">
        <v>0</v>
      </c>
      <c r="AG232" s="116">
        <v>0</v>
      </c>
      <c r="AH232" s="116">
        <v>0</v>
      </c>
      <c r="AI232" s="116">
        <v>0</v>
      </c>
      <c r="AJ232" s="116">
        <v>0</v>
      </c>
      <c r="AK232" s="116">
        <v>0</v>
      </c>
      <c r="AL232" s="116">
        <v>0</v>
      </c>
      <c r="AM232" s="116">
        <v>0</v>
      </c>
      <c r="AN232" s="116">
        <v>0</v>
      </c>
      <c r="AO232" s="116">
        <v>0</v>
      </c>
      <c r="AP232" s="116">
        <v>0</v>
      </c>
      <c r="AQ232" s="116">
        <v>0</v>
      </c>
      <c r="AR232" s="116">
        <v>0</v>
      </c>
      <c r="AS232" s="116">
        <v>0</v>
      </c>
      <c r="AT232" s="116">
        <v>0</v>
      </c>
      <c r="AU232" s="116">
        <v>0</v>
      </c>
      <c r="AV232" s="116">
        <v>0</v>
      </c>
      <c r="AW232" s="116">
        <v>0</v>
      </c>
      <c r="AX232" s="116">
        <v>0</v>
      </c>
      <c r="AY232" s="116">
        <v>0</v>
      </c>
    </row>
    <row r="233" spans="1:51" x14ac:dyDescent="0.2">
      <c r="A233" s="115"/>
      <c r="B233" s="133">
        <v>25</v>
      </c>
      <c r="C233" s="112">
        <v>0</v>
      </c>
      <c r="D233" s="116">
        <v>0</v>
      </c>
      <c r="E233" s="116">
        <v>0</v>
      </c>
      <c r="F233" s="116">
        <v>0</v>
      </c>
      <c r="G233" s="116">
        <v>0</v>
      </c>
      <c r="H233" s="116">
        <v>0</v>
      </c>
      <c r="I233" s="116">
        <v>0</v>
      </c>
      <c r="J233" s="116">
        <v>0</v>
      </c>
      <c r="K233" s="116">
        <v>0</v>
      </c>
      <c r="L233" s="116">
        <v>0</v>
      </c>
      <c r="M233" s="116">
        <v>0</v>
      </c>
      <c r="N233" s="116">
        <v>0</v>
      </c>
      <c r="O233" s="116">
        <v>0</v>
      </c>
      <c r="P233" s="116">
        <v>0</v>
      </c>
      <c r="Q233" s="116">
        <v>0</v>
      </c>
      <c r="R233" s="116">
        <v>0</v>
      </c>
      <c r="S233" s="116">
        <v>0</v>
      </c>
      <c r="T233" s="116">
        <v>0</v>
      </c>
      <c r="U233" s="116">
        <v>0</v>
      </c>
      <c r="V233" s="116">
        <v>0</v>
      </c>
      <c r="W233" s="116">
        <v>0</v>
      </c>
      <c r="X233" s="116">
        <v>0</v>
      </c>
      <c r="Y233" s="116">
        <v>0</v>
      </c>
      <c r="Z233" s="116">
        <v>0</v>
      </c>
      <c r="AA233" s="116">
        <v>0</v>
      </c>
      <c r="AB233" s="116">
        <v>0</v>
      </c>
      <c r="AC233" s="116">
        <v>0</v>
      </c>
      <c r="AD233" s="116">
        <v>0</v>
      </c>
      <c r="AE233" s="116">
        <v>0</v>
      </c>
      <c r="AF233" s="116">
        <v>0</v>
      </c>
      <c r="AG233" s="116">
        <v>0</v>
      </c>
      <c r="AH233" s="116">
        <v>0</v>
      </c>
      <c r="AI233" s="116">
        <v>0</v>
      </c>
      <c r="AJ233" s="116">
        <v>0</v>
      </c>
      <c r="AK233" s="116">
        <v>0</v>
      </c>
      <c r="AL233" s="116">
        <v>0</v>
      </c>
      <c r="AM233" s="116">
        <v>0</v>
      </c>
      <c r="AN233" s="116">
        <v>0</v>
      </c>
      <c r="AO233" s="116">
        <v>0</v>
      </c>
      <c r="AP233" s="116">
        <v>0</v>
      </c>
      <c r="AQ233" s="116">
        <v>0</v>
      </c>
      <c r="AR233" s="116">
        <v>0</v>
      </c>
      <c r="AS233" s="116">
        <v>0</v>
      </c>
      <c r="AT233" s="116">
        <v>0</v>
      </c>
      <c r="AU233" s="116">
        <v>0</v>
      </c>
      <c r="AV233" s="116">
        <v>0</v>
      </c>
      <c r="AW233" s="116">
        <v>0</v>
      </c>
      <c r="AX233" s="116">
        <v>0</v>
      </c>
      <c r="AY233" s="116">
        <v>0</v>
      </c>
    </row>
    <row r="234" spans="1:51" x14ac:dyDescent="0.2">
      <c r="A234" s="115"/>
      <c r="B234" s="133">
        <v>26</v>
      </c>
      <c r="C234" s="112">
        <v>0</v>
      </c>
      <c r="D234" s="116">
        <v>0</v>
      </c>
      <c r="E234" s="116">
        <v>0</v>
      </c>
      <c r="F234" s="116">
        <v>0</v>
      </c>
      <c r="G234" s="116">
        <v>0</v>
      </c>
      <c r="H234" s="116">
        <v>0</v>
      </c>
      <c r="I234" s="116">
        <v>0</v>
      </c>
      <c r="J234" s="116">
        <v>0</v>
      </c>
      <c r="K234" s="116">
        <v>0</v>
      </c>
      <c r="L234" s="116">
        <v>0</v>
      </c>
      <c r="M234" s="116">
        <v>0</v>
      </c>
      <c r="N234" s="116">
        <v>0</v>
      </c>
      <c r="O234" s="116">
        <v>0</v>
      </c>
      <c r="P234" s="116">
        <v>0</v>
      </c>
      <c r="Q234" s="116">
        <v>0</v>
      </c>
      <c r="R234" s="116">
        <v>0</v>
      </c>
      <c r="S234" s="116">
        <v>0</v>
      </c>
      <c r="T234" s="116">
        <v>0</v>
      </c>
      <c r="U234" s="116">
        <v>0</v>
      </c>
      <c r="V234" s="116">
        <v>0</v>
      </c>
      <c r="W234" s="116">
        <v>0</v>
      </c>
      <c r="X234" s="116">
        <v>0</v>
      </c>
      <c r="Y234" s="116">
        <v>0</v>
      </c>
      <c r="Z234" s="116">
        <v>0</v>
      </c>
      <c r="AA234" s="116">
        <v>0</v>
      </c>
      <c r="AB234" s="116">
        <v>0</v>
      </c>
      <c r="AC234" s="116">
        <v>0</v>
      </c>
      <c r="AD234" s="116">
        <v>0</v>
      </c>
      <c r="AE234" s="116">
        <v>0</v>
      </c>
      <c r="AF234" s="116">
        <v>0</v>
      </c>
      <c r="AG234" s="116">
        <v>0</v>
      </c>
      <c r="AH234" s="116">
        <v>0</v>
      </c>
      <c r="AI234" s="116">
        <v>0</v>
      </c>
      <c r="AJ234" s="116">
        <v>0</v>
      </c>
      <c r="AK234" s="116">
        <v>0</v>
      </c>
      <c r="AL234" s="116">
        <v>0</v>
      </c>
      <c r="AM234" s="116">
        <v>0</v>
      </c>
      <c r="AN234" s="116">
        <v>0</v>
      </c>
      <c r="AO234" s="116">
        <v>0</v>
      </c>
      <c r="AP234" s="116">
        <v>0</v>
      </c>
      <c r="AQ234" s="116">
        <v>0</v>
      </c>
      <c r="AR234" s="116">
        <v>0</v>
      </c>
      <c r="AS234" s="116">
        <v>0</v>
      </c>
      <c r="AT234" s="116">
        <v>0</v>
      </c>
      <c r="AU234" s="116">
        <v>0</v>
      </c>
      <c r="AV234" s="116">
        <v>0</v>
      </c>
      <c r="AW234" s="116">
        <v>0</v>
      </c>
      <c r="AX234" s="116">
        <v>0</v>
      </c>
      <c r="AY234" s="116">
        <v>0</v>
      </c>
    </row>
    <row r="235" spans="1:51" x14ac:dyDescent="0.2">
      <c r="A235" s="115"/>
      <c r="B235" s="133">
        <v>27</v>
      </c>
      <c r="C235" s="112">
        <v>0</v>
      </c>
      <c r="D235" s="116">
        <v>0</v>
      </c>
      <c r="E235" s="116">
        <v>0</v>
      </c>
      <c r="F235" s="116">
        <v>0</v>
      </c>
      <c r="G235" s="116">
        <v>0</v>
      </c>
      <c r="H235" s="116">
        <v>0</v>
      </c>
      <c r="I235" s="116">
        <v>0</v>
      </c>
      <c r="J235" s="116">
        <v>0</v>
      </c>
      <c r="K235" s="116">
        <v>0</v>
      </c>
      <c r="L235" s="116">
        <v>0</v>
      </c>
      <c r="M235" s="116">
        <v>0</v>
      </c>
      <c r="N235" s="116">
        <v>0</v>
      </c>
      <c r="O235" s="116">
        <v>0</v>
      </c>
      <c r="P235" s="116">
        <v>0</v>
      </c>
      <c r="Q235" s="116">
        <v>0</v>
      </c>
      <c r="R235" s="116">
        <v>0</v>
      </c>
      <c r="S235" s="116">
        <v>0</v>
      </c>
      <c r="T235" s="116">
        <v>0</v>
      </c>
      <c r="U235" s="116">
        <v>0</v>
      </c>
      <c r="V235" s="116">
        <v>0</v>
      </c>
      <c r="W235" s="116">
        <v>0</v>
      </c>
      <c r="X235" s="116">
        <v>0</v>
      </c>
      <c r="Y235" s="116">
        <v>0</v>
      </c>
      <c r="Z235" s="116">
        <v>0</v>
      </c>
      <c r="AA235" s="116">
        <v>0</v>
      </c>
      <c r="AB235" s="116">
        <v>0</v>
      </c>
      <c r="AC235" s="116">
        <v>0</v>
      </c>
      <c r="AD235" s="116">
        <v>0</v>
      </c>
      <c r="AE235" s="116">
        <v>0</v>
      </c>
      <c r="AF235" s="116">
        <v>0</v>
      </c>
      <c r="AG235" s="116">
        <v>0</v>
      </c>
      <c r="AH235" s="116">
        <v>0</v>
      </c>
      <c r="AI235" s="116">
        <v>0</v>
      </c>
      <c r="AJ235" s="116">
        <v>0</v>
      </c>
      <c r="AK235" s="116">
        <v>0</v>
      </c>
      <c r="AL235" s="116">
        <v>0</v>
      </c>
      <c r="AM235" s="116">
        <v>0</v>
      </c>
      <c r="AN235" s="116">
        <v>0</v>
      </c>
      <c r="AO235" s="116">
        <v>0</v>
      </c>
      <c r="AP235" s="116">
        <v>0</v>
      </c>
      <c r="AQ235" s="116">
        <v>0</v>
      </c>
      <c r="AR235" s="116">
        <v>0</v>
      </c>
      <c r="AS235" s="116">
        <v>0</v>
      </c>
      <c r="AT235" s="116">
        <v>0</v>
      </c>
      <c r="AU235" s="116">
        <v>0</v>
      </c>
      <c r="AV235" s="116">
        <v>0</v>
      </c>
      <c r="AW235" s="116">
        <v>0</v>
      </c>
      <c r="AX235" s="116">
        <v>0</v>
      </c>
      <c r="AY235" s="116">
        <v>0</v>
      </c>
    </row>
    <row r="236" spans="1:51" x14ac:dyDescent="0.2">
      <c r="A236" s="115"/>
      <c r="B236" s="133">
        <v>28</v>
      </c>
      <c r="C236" s="112">
        <v>0</v>
      </c>
      <c r="D236" s="116">
        <v>0</v>
      </c>
      <c r="E236" s="116">
        <v>0</v>
      </c>
      <c r="F236" s="116">
        <v>0</v>
      </c>
      <c r="G236" s="116">
        <v>0</v>
      </c>
      <c r="H236" s="116">
        <v>0</v>
      </c>
      <c r="I236" s="116">
        <v>0</v>
      </c>
      <c r="J236" s="116">
        <v>0</v>
      </c>
      <c r="K236" s="116">
        <v>0</v>
      </c>
      <c r="L236" s="116">
        <v>0</v>
      </c>
      <c r="M236" s="116">
        <v>0</v>
      </c>
      <c r="N236" s="116">
        <v>0</v>
      </c>
      <c r="O236" s="116">
        <v>0</v>
      </c>
      <c r="P236" s="116">
        <v>0</v>
      </c>
      <c r="Q236" s="116">
        <v>0</v>
      </c>
      <c r="R236" s="116">
        <v>0</v>
      </c>
      <c r="S236" s="116">
        <v>0</v>
      </c>
      <c r="T236" s="116">
        <v>0</v>
      </c>
      <c r="U236" s="116">
        <v>0</v>
      </c>
      <c r="V236" s="116">
        <v>0</v>
      </c>
      <c r="W236" s="116">
        <v>0</v>
      </c>
      <c r="X236" s="116">
        <v>0</v>
      </c>
      <c r="Y236" s="116">
        <v>0</v>
      </c>
      <c r="Z236" s="116">
        <v>0</v>
      </c>
      <c r="AA236" s="116">
        <v>0</v>
      </c>
      <c r="AB236" s="116">
        <v>0</v>
      </c>
      <c r="AC236" s="116">
        <v>0</v>
      </c>
      <c r="AD236" s="116">
        <v>0</v>
      </c>
      <c r="AE236" s="116">
        <v>0</v>
      </c>
      <c r="AF236" s="116">
        <v>0</v>
      </c>
      <c r="AG236" s="116">
        <v>0</v>
      </c>
      <c r="AH236" s="116">
        <v>0</v>
      </c>
      <c r="AI236" s="116">
        <v>0</v>
      </c>
      <c r="AJ236" s="116">
        <v>0</v>
      </c>
      <c r="AK236" s="116">
        <v>0</v>
      </c>
      <c r="AL236" s="116">
        <v>0</v>
      </c>
      <c r="AM236" s="116">
        <v>0</v>
      </c>
      <c r="AN236" s="116">
        <v>0</v>
      </c>
      <c r="AO236" s="116">
        <v>0</v>
      </c>
      <c r="AP236" s="116">
        <v>0</v>
      </c>
      <c r="AQ236" s="116">
        <v>0</v>
      </c>
      <c r="AR236" s="116">
        <v>0</v>
      </c>
      <c r="AS236" s="116">
        <v>0</v>
      </c>
      <c r="AT236" s="116">
        <v>0</v>
      </c>
      <c r="AU236" s="116">
        <v>0</v>
      </c>
      <c r="AV236" s="116">
        <v>0</v>
      </c>
      <c r="AW236" s="116">
        <v>0</v>
      </c>
      <c r="AX236" s="116">
        <v>0</v>
      </c>
      <c r="AY236" s="116">
        <v>0</v>
      </c>
    </row>
    <row r="237" spans="1:51" x14ac:dyDescent="0.2">
      <c r="A237" s="115"/>
      <c r="B237" s="133">
        <v>29</v>
      </c>
      <c r="C237" s="112">
        <v>0</v>
      </c>
      <c r="D237" s="116">
        <v>0</v>
      </c>
      <c r="E237" s="116">
        <v>0</v>
      </c>
      <c r="F237" s="116">
        <v>0</v>
      </c>
      <c r="G237" s="116">
        <v>0</v>
      </c>
      <c r="H237" s="116">
        <v>0</v>
      </c>
      <c r="I237" s="116">
        <v>0</v>
      </c>
      <c r="J237" s="116">
        <v>0</v>
      </c>
      <c r="K237" s="116">
        <v>0</v>
      </c>
      <c r="L237" s="116">
        <v>0</v>
      </c>
      <c r="M237" s="116">
        <v>0</v>
      </c>
      <c r="N237" s="116">
        <v>0</v>
      </c>
      <c r="O237" s="116">
        <v>0</v>
      </c>
      <c r="P237" s="116">
        <v>0</v>
      </c>
      <c r="Q237" s="116">
        <v>0</v>
      </c>
      <c r="R237" s="116">
        <v>0</v>
      </c>
      <c r="S237" s="116">
        <v>0</v>
      </c>
      <c r="T237" s="116">
        <v>0</v>
      </c>
      <c r="U237" s="116">
        <v>0</v>
      </c>
      <c r="V237" s="116">
        <v>0</v>
      </c>
      <c r="W237" s="116">
        <v>0</v>
      </c>
      <c r="X237" s="116">
        <v>0</v>
      </c>
      <c r="Y237" s="116">
        <v>0</v>
      </c>
      <c r="Z237" s="116">
        <v>0</v>
      </c>
      <c r="AA237" s="116">
        <v>0</v>
      </c>
      <c r="AB237" s="116">
        <v>0</v>
      </c>
      <c r="AC237" s="116">
        <v>0</v>
      </c>
      <c r="AD237" s="116">
        <v>0</v>
      </c>
      <c r="AE237" s="116">
        <v>0</v>
      </c>
      <c r="AF237" s="116">
        <v>0</v>
      </c>
      <c r="AG237" s="116">
        <v>0</v>
      </c>
      <c r="AH237" s="116">
        <v>0</v>
      </c>
      <c r="AI237" s="116">
        <v>0</v>
      </c>
      <c r="AJ237" s="116">
        <v>0</v>
      </c>
      <c r="AK237" s="116">
        <v>0</v>
      </c>
      <c r="AL237" s="116">
        <v>0</v>
      </c>
      <c r="AM237" s="116">
        <v>0</v>
      </c>
      <c r="AN237" s="116">
        <v>0</v>
      </c>
      <c r="AO237" s="116">
        <v>0</v>
      </c>
      <c r="AP237" s="116">
        <v>0</v>
      </c>
      <c r="AQ237" s="116">
        <v>0</v>
      </c>
      <c r="AR237" s="116">
        <v>0</v>
      </c>
      <c r="AS237" s="116">
        <v>0</v>
      </c>
      <c r="AT237" s="116">
        <v>0</v>
      </c>
      <c r="AU237" s="116">
        <v>0</v>
      </c>
      <c r="AV237" s="116">
        <v>0</v>
      </c>
      <c r="AW237" s="116">
        <v>0</v>
      </c>
      <c r="AX237" s="116">
        <v>0</v>
      </c>
      <c r="AY237" s="116">
        <v>0</v>
      </c>
    </row>
    <row r="238" spans="1:51" x14ac:dyDescent="0.2">
      <c r="A238" s="115"/>
      <c r="B238" s="133">
        <v>30</v>
      </c>
      <c r="C238" s="112">
        <v>0</v>
      </c>
      <c r="D238" s="116">
        <v>0</v>
      </c>
      <c r="E238" s="116">
        <v>0</v>
      </c>
      <c r="F238" s="116">
        <v>0</v>
      </c>
      <c r="G238" s="116">
        <v>0</v>
      </c>
      <c r="H238" s="116">
        <v>0</v>
      </c>
      <c r="I238" s="116">
        <v>0</v>
      </c>
      <c r="J238" s="116">
        <v>0</v>
      </c>
      <c r="K238" s="116">
        <v>0</v>
      </c>
      <c r="L238" s="116">
        <v>0</v>
      </c>
      <c r="M238" s="116">
        <v>0</v>
      </c>
      <c r="N238" s="116">
        <v>0</v>
      </c>
      <c r="O238" s="116">
        <v>0</v>
      </c>
      <c r="P238" s="116">
        <v>0</v>
      </c>
      <c r="Q238" s="116">
        <v>0</v>
      </c>
      <c r="R238" s="116">
        <v>0</v>
      </c>
      <c r="S238" s="116">
        <v>0</v>
      </c>
      <c r="T238" s="116">
        <v>0</v>
      </c>
      <c r="U238" s="116">
        <v>0</v>
      </c>
      <c r="V238" s="116">
        <v>0</v>
      </c>
      <c r="W238" s="116">
        <v>0</v>
      </c>
      <c r="X238" s="116">
        <v>0</v>
      </c>
      <c r="Y238" s="116">
        <v>0</v>
      </c>
      <c r="Z238" s="116">
        <v>0</v>
      </c>
      <c r="AA238" s="116">
        <v>0</v>
      </c>
      <c r="AB238" s="116">
        <v>0</v>
      </c>
      <c r="AC238" s="116">
        <v>0</v>
      </c>
      <c r="AD238" s="116">
        <v>0</v>
      </c>
      <c r="AE238" s="116">
        <v>0</v>
      </c>
      <c r="AF238" s="116">
        <v>0</v>
      </c>
      <c r="AG238" s="116">
        <v>0</v>
      </c>
      <c r="AH238" s="116">
        <v>0</v>
      </c>
      <c r="AI238" s="116">
        <v>0</v>
      </c>
      <c r="AJ238" s="116">
        <v>0</v>
      </c>
      <c r="AK238" s="116">
        <v>0</v>
      </c>
      <c r="AL238" s="116">
        <v>0</v>
      </c>
      <c r="AM238" s="116">
        <v>0</v>
      </c>
      <c r="AN238" s="116">
        <v>0</v>
      </c>
      <c r="AO238" s="116">
        <v>0</v>
      </c>
      <c r="AP238" s="116">
        <v>0</v>
      </c>
      <c r="AQ238" s="116">
        <v>0</v>
      </c>
      <c r="AR238" s="116">
        <v>0</v>
      </c>
      <c r="AS238" s="116">
        <v>0</v>
      </c>
      <c r="AT238" s="116">
        <v>0</v>
      </c>
      <c r="AU238" s="116">
        <v>0</v>
      </c>
      <c r="AV238" s="116">
        <v>0</v>
      </c>
      <c r="AW238" s="116">
        <v>0</v>
      </c>
      <c r="AX238" s="116">
        <v>0</v>
      </c>
      <c r="AY238" s="116">
        <v>0</v>
      </c>
    </row>
    <row r="239" spans="1:51" x14ac:dyDescent="0.2">
      <c r="A239" s="115"/>
      <c r="B239" s="133">
        <v>31</v>
      </c>
      <c r="C239" s="112">
        <v>0</v>
      </c>
      <c r="D239" s="116">
        <v>0</v>
      </c>
      <c r="E239" s="116">
        <v>0</v>
      </c>
      <c r="F239" s="116">
        <v>0</v>
      </c>
      <c r="G239" s="116">
        <v>0</v>
      </c>
      <c r="H239" s="116">
        <v>0</v>
      </c>
      <c r="I239" s="116">
        <v>0</v>
      </c>
      <c r="J239" s="116">
        <v>0</v>
      </c>
      <c r="K239" s="116">
        <v>0</v>
      </c>
      <c r="L239" s="116">
        <v>0</v>
      </c>
      <c r="M239" s="116">
        <v>0</v>
      </c>
      <c r="N239" s="116">
        <v>0</v>
      </c>
      <c r="O239" s="116">
        <v>0</v>
      </c>
      <c r="P239" s="116">
        <v>0</v>
      </c>
      <c r="Q239" s="116">
        <v>0</v>
      </c>
      <c r="R239" s="116">
        <v>0</v>
      </c>
      <c r="S239" s="116">
        <v>0</v>
      </c>
      <c r="T239" s="116">
        <v>0</v>
      </c>
      <c r="U239" s="116">
        <v>0</v>
      </c>
      <c r="V239" s="116">
        <v>0</v>
      </c>
      <c r="W239" s="116">
        <v>0</v>
      </c>
      <c r="X239" s="116">
        <v>0</v>
      </c>
      <c r="Y239" s="116">
        <v>0</v>
      </c>
      <c r="Z239" s="116">
        <v>0</v>
      </c>
      <c r="AA239" s="116">
        <v>0</v>
      </c>
      <c r="AB239" s="116">
        <v>0</v>
      </c>
      <c r="AC239" s="116">
        <v>0</v>
      </c>
      <c r="AD239" s="116">
        <v>0</v>
      </c>
      <c r="AE239" s="116">
        <v>0</v>
      </c>
      <c r="AF239" s="116">
        <v>0</v>
      </c>
      <c r="AG239" s="116">
        <v>0</v>
      </c>
      <c r="AH239" s="116">
        <v>0</v>
      </c>
      <c r="AI239" s="116">
        <v>0</v>
      </c>
      <c r="AJ239" s="116">
        <v>0</v>
      </c>
      <c r="AK239" s="116">
        <v>0</v>
      </c>
      <c r="AL239" s="116">
        <v>0</v>
      </c>
      <c r="AM239" s="116">
        <v>0</v>
      </c>
      <c r="AN239" s="116">
        <v>0</v>
      </c>
      <c r="AO239" s="116">
        <v>0</v>
      </c>
      <c r="AP239" s="116">
        <v>0</v>
      </c>
      <c r="AQ239" s="116">
        <v>0</v>
      </c>
      <c r="AR239" s="116">
        <v>0</v>
      </c>
      <c r="AS239" s="116">
        <v>0</v>
      </c>
      <c r="AT239" s="116">
        <v>0</v>
      </c>
      <c r="AU239" s="116">
        <v>0</v>
      </c>
      <c r="AV239" s="116">
        <v>0</v>
      </c>
      <c r="AW239" s="116">
        <v>0</v>
      </c>
      <c r="AX239" s="116">
        <v>0</v>
      </c>
      <c r="AY239" s="116">
        <v>0</v>
      </c>
    </row>
    <row r="240" spans="1:51" x14ac:dyDescent="0.2">
      <c r="A240" s="115"/>
      <c r="B240" s="133">
        <v>32</v>
      </c>
      <c r="C240" s="112">
        <v>0</v>
      </c>
      <c r="D240" s="116">
        <v>0</v>
      </c>
      <c r="E240" s="116">
        <v>0</v>
      </c>
      <c r="F240" s="116">
        <v>0</v>
      </c>
      <c r="G240" s="116">
        <v>0</v>
      </c>
      <c r="H240" s="116">
        <v>0</v>
      </c>
      <c r="I240" s="116">
        <v>0</v>
      </c>
      <c r="J240" s="116">
        <v>0</v>
      </c>
      <c r="K240" s="116">
        <v>0</v>
      </c>
      <c r="L240" s="116">
        <v>0</v>
      </c>
      <c r="M240" s="116">
        <v>0</v>
      </c>
      <c r="N240" s="116">
        <v>0</v>
      </c>
      <c r="O240" s="116">
        <v>0</v>
      </c>
      <c r="P240" s="116">
        <v>0</v>
      </c>
      <c r="Q240" s="116">
        <v>0</v>
      </c>
      <c r="R240" s="116">
        <v>0</v>
      </c>
      <c r="S240" s="116">
        <v>0</v>
      </c>
      <c r="T240" s="116">
        <v>0</v>
      </c>
      <c r="U240" s="116">
        <v>0</v>
      </c>
      <c r="V240" s="116">
        <v>0</v>
      </c>
      <c r="W240" s="116">
        <v>0</v>
      </c>
      <c r="X240" s="116">
        <v>0</v>
      </c>
      <c r="Y240" s="116">
        <v>0</v>
      </c>
      <c r="Z240" s="116">
        <v>0</v>
      </c>
      <c r="AA240" s="116">
        <v>0</v>
      </c>
      <c r="AB240" s="116">
        <v>0</v>
      </c>
      <c r="AC240" s="116">
        <v>0</v>
      </c>
      <c r="AD240" s="116">
        <v>0</v>
      </c>
      <c r="AE240" s="116">
        <v>0</v>
      </c>
      <c r="AF240" s="116">
        <v>0</v>
      </c>
      <c r="AG240" s="116">
        <v>0</v>
      </c>
      <c r="AH240" s="116">
        <v>0</v>
      </c>
      <c r="AI240" s="116">
        <v>0</v>
      </c>
      <c r="AJ240" s="116">
        <v>0</v>
      </c>
      <c r="AK240" s="116">
        <v>0</v>
      </c>
      <c r="AL240" s="116">
        <v>0</v>
      </c>
      <c r="AM240" s="116">
        <v>0</v>
      </c>
      <c r="AN240" s="116">
        <v>0</v>
      </c>
      <c r="AO240" s="116">
        <v>0</v>
      </c>
      <c r="AP240" s="116">
        <v>0</v>
      </c>
      <c r="AQ240" s="116">
        <v>0</v>
      </c>
      <c r="AR240" s="116">
        <v>0</v>
      </c>
      <c r="AS240" s="116">
        <v>0</v>
      </c>
      <c r="AT240" s="116">
        <v>0</v>
      </c>
      <c r="AU240" s="116">
        <v>0</v>
      </c>
      <c r="AV240" s="116">
        <v>0</v>
      </c>
      <c r="AW240" s="116">
        <v>0</v>
      </c>
      <c r="AX240" s="116">
        <v>0</v>
      </c>
      <c r="AY240" s="116">
        <v>0</v>
      </c>
    </row>
    <row r="241" spans="1:51" x14ac:dyDescent="0.2">
      <c r="A241" s="115"/>
      <c r="B241" s="133">
        <v>33</v>
      </c>
      <c r="C241" s="112">
        <v>0</v>
      </c>
      <c r="D241" s="116">
        <v>0</v>
      </c>
      <c r="E241" s="116">
        <v>0</v>
      </c>
      <c r="F241" s="116">
        <v>0</v>
      </c>
      <c r="G241" s="116">
        <v>0</v>
      </c>
      <c r="H241" s="116">
        <v>0</v>
      </c>
      <c r="I241" s="116">
        <v>0</v>
      </c>
      <c r="J241" s="116">
        <v>0</v>
      </c>
      <c r="K241" s="116">
        <v>0</v>
      </c>
      <c r="L241" s="116">
        <v>0</v>
      </c>
      <c r="M241" s="116">
        <v>0</v>
      </c>
      <c r="N241" s="116">
        <v>0</v>
      </c>
      <c r="O241" s="116">
        <v>0</v>
      </c>
      <c r="P241" s="116">
        <v>0</v>
      </c>
      <c r="Q241" s="116">
        <v>0</v>
      </c>
      <c r="R241" s="116">
        <v>0</v>
      </c>
      <c r="S241" s="116">
        <v>0</v>
      </c>
      <c r="T241" s="116">
        <v>0</v>
      </c>
      <c r="U241" s="116">
        <v>0</v>
      </c>
      <c r="V241" s="116">
        <v>0</v>
      </c>
      <c r="W241" s="116">
        <v>0</v>
      </c>
      <c r="X241" s="116">
        <v>0</v>
      </c>
      <c r="Y241" s="116">
        <v>0</v>
      </c>
      <c r="Z241" s="116">
        <v>0</v>
      </c>
      <c r="AA241" s="116">
        <v>0</v>
      </c>
      <c r="AB241" s="116">
        <v>0</v>
      </c>
      <c r="AC241" s="116">
        <v>0</v>
      </c>
      <c r="AD241" s="116">
        <v>0</v>
      </c>
      <c r="AE241" s="116">
        <v>0</v>
      </c>
      <c r="AF241" s="116">
        <v>0</v>
      </c>
      <c r="AG241" s="116">
        <v>0</v>
      </c>
      <c r="AH241" s="116">
        <v>0</v>
      </c>
      <c r="AI241" s="116">
        <v>0</v>
      </c>
      <c r="AJ241" s="116">
        <v>0</v>
      </c>
      <c r="AK241" s="116">
        <v>0</v>
      </c>
      <c r="AL241" s="116">
        <v>0</v>
      </c>
      <c r="AM241" s="116">
        <v>0</v>
      </c>
      <c r="AN241" s="116">
        <v>0</v>
      </c>
      <c r="AO241" s="116">
        <v>0</v>
      </c>
      <c r="AP241" s="116">
        <v>0</v>
      </c>
      <c r="AQ241" s="116">
        <v>0</v>
      </c>
      <c r="AR241" s="116">
        <v>0</v>
      </c>
      <c r="AS241" s="116">
        <v>0</v>
      </c>
      <c r="AT241" s="116">
        <v>0</v>
      </c>
      <c r="AU241" s="116">
        <v>0</v>
      </c>
      <c r="AV241" s="116">
        <v>0</v>
      </c>
      <c r="AW241" s="116">
        <v>0</v>
      </c>
      <c r="AX241" s="116">
        <v>0</v>
      </c>
      <c r="AY241" s="116">
        <v>0</v>
      </c>
    </row>
    <row r="242" spans="1:51" x14ac:dyDescent="0.2">
      <c r="A242" s="115"/>
      <c r="B242" s="133">
        <v>34</v>
      </c>
      <c r="C242" s="112">
        <v>0</v>
      </c>
      <c r="D242" s="116">
        <v>0</v>
      </c>
      <c r="E242" s="116">
        <v>0</v>
      </c>
      <c r="F242" s="116">
        <v>0</v>
      </c>
      <c r="G242" s="116">
        <v>0</v>
      </c>
      <c r="H242" s="116">
        <v>0</v>
      </c>
      <c r="I242" s="116">
        <v>0</v>
      </c>
      <c r="J242" s="116">
        <v>0</v>
      </c>
      <c r="K242" s="116">
        <v>0</v>
      </c>
      <c r="L242" s="116">
        <v>0</v>
      </c>
      <c r="M242" s="116">
        <v>0</v>
      </c>
      <c r="N242" s="116">
        <v>0</v>
      </c>
      <c r="O242" s="116">
        <v>0</v>
      </c>
      <c r="P242" s="116">
        <v>0</v>
      </c>
      <c r="Q242" s="116">
        <v>0</v>
      </c>
      <c r="R242" s="116">
        <v>0</v>
      </c>
      <c r="S242" s="116">
        <v>0</v>
      </c>
      <c r="T242" s="116">
        <v>0</v>
      </c>
      <c r="U242" s="116">
        <v>0</v>
      </c>
      <c r="V242" s="116">
        <v>0</v>
      </c>
      <c r="W242" s="116">
        <v>0</v>
      </c>
      <c r="X242" s="116">
        <v>0</v>
      </c>
      <c r="Y242" s="116">
        <v>0</v>
      </c>
      <c r="Z242" s="116">
        <v>0</v>
      </c>
      <c r="AA242" s="116">
        <v>0</v>
      </c>
      <c r="AB242" s="116">
        <v>0</v>
      </c>
      <c r="AC242" s="116">
        <v>0</v>
      </c>
      <c r="AD242" s="116">
        <v>0</v>
      </c>
      <c r="AE242" s="116">
        <v>0</v>
      </c>
      <c r="AF242" s="116">
        <v>0</v>
      </c>
      <c r="AG242" s="116">
        <v>0</v>
      </c>
      <c r="AH242" s="116">
        <v>0</v>
      </c>
      <c r="AI242" s="116">
        <v>0</v>
      </c>
      <c r="AJ242" s="116">
        <v>0</v>
      </c>
      <c r="AK242" s="116">
        <v>0</v>
      </c>
      <c r="AL242" s="116">
        <v>0</v>
      </c>
      <c r="AM242" s="116">
        <v>0</v>
      </c>
      <c r="AN242" s="116">
        <v>0</v>
      </c>
      <c r="AO242" s="116">
        <v>0</v>
      </c>
      <c r="AP242" s="116">
        <v>0</v>
      </c>
      <c r="AQ242" s="116">
        <v>0</v>
      </c>
      <c r="AR242" s="116">
        <v>0</v>
      </c>
      <c r="AS242" s="116">
        <v>0</v>
      </c>
      <c r="AT242" s="116">
        <v>0</v>
      </c>
      <c r="AU242" s="116">
        <v>0</v>
      </c>
      <c r="AV242" s="116">
        <v>0</v>
      </c>
      <c r="AW242" s="116">
        <v>0</v>
      </c>
      <c r="AX242" s="116">
        <v>0</v>
      </c>
      <c r="AY242" s="116">
        <v>0</v>
      </c>
    </row>
    <row r="243" spans="1:51" x14ac:dyDescent="0.2">
      <c r="A243" s="115"/>
      <c r="B243" s="133">
        <v>35</v>
      </c>
      <c r="C243" s="112">
        <v>0</v>
      </c>
      <c r="D243" s="116">
        <v>0</v>
      </c>
      <c r="E243" s="116">
        <v>0</v>
      </c>
      <c r="F243" s="116">
        <v>0</v>
      </c>
      <c r="G243" s="116">
        <v>0</v>
      </c>
      <c r="H243" s="116">
        <v>0</v>
      </c>
      <c r="I243" s="116">
        <v>0</v>
      </c>
      <c r="J243" s="116">
        <v>0</v>
      </c>
      <c r="K243" s="116">
        <v>0</v>
      </c>
      <c r="L243" s="116">
        <v>0</v>
      </c>
      <c r="M243" s="116">
        <v>0</v>
      </c>
      <c r="N243" s="116">
        <v>0</v>
      </c>
      <c r="O243" s="116">
        <v>0</v>
      </c>
      <c r="P243" s="116">
        <v>0</v>
      </c>
      <c r="Q243" s="116">
        <v>0</v>
      </c>
      <c r="R243" s="116">
        <v>0</v>
      </c>
      <c r="S243" s="116">
        <v>0</v>
      </c>
      <c r="T243" s="116">
        <v>0</v>
      </c>
      <c r="U243" s="116">
        <v>0</v>
      </c>
      <c r="V243" s="116">
        <v>0</v>
      </c>
      <c r="W243" s="116">
        <v>0</v>
      </c>
      <c r="X243" s="116">
        <v>0</v>
      </c>
      <c r="Y243" s="116">
        <v>0</v>
      </c>
      <c r="Z243" s="116">
        <v>0</v>
      </c>
      <c r="AA243" s="116">
        <v>0</v>
      </c>
      <c r="AB243" s="116">
        <v>0</v>
      </c>
      <c r="AC243" s="116">
        <v>0</v>
      </c>
      <c r="AD243" s="116">
        <v>0</v>
      </c>
      <c r="AE243" s="116">
        <v>0</v>
      </c>
      <c r="AF243" s="116">
        <v>0</v>
      </c>
      <c r="AG243" s="116">
        <v>0</v>
      </c>
      <c r="AH243" s="116">
        <v>0</v>
      </c>
      <c r="AI243" s="116">
        <v>0</v>
      </c>
      <c r="AJ243" s="116">
        <v>0</v>
      </c>
      <c r="AK243" s="116">
        <v>0</v>
      </c>
      <c r="AL243" s="116">
        <v>0</v>
      </c>
      <c r="AM243" s="116">
        <v>0</v>
      </c>
      <c r="AN243" s="116">
        <v>0</v>
      </c>
      <c r="AO243" s="116">
        <v>0</v>
      </c>
      <c r="AP243" s="116">
        <v>0</v>
      </c>
      <c r="AQ243" s="116">
        <v>0</v>
      </c>
      <c r="AR243" s="116">
        <v>0</v>
      </c>
      <c r="AS243" s="116">
        <v>0</v>
      </c>
      <c r="AT243" s="116">
        <v>0</v>
      </c>
      <c r="AU243" s="116">
        <v>0</v>
      </c>
      <c r="AV243" s="116">
        <v>0</v>
      </c>
      <c r="AW243" s="116">
        <v>0</v>
      </c>
      <c r="AX243" s="116">
        <v>0</v>
      </c>
      <c r="AY243" s="116">
        <v>0</v>
      </c>
    </row>
    <row r="244" spans="1:51" x14ac:dyDescent="0.2">
      <c r="A244" s="115"/>
      <c r="B244" s="133">
        <v>36</v>
      </c>
      <c r="C244" s="112">
        <v>0</v>
      </c>
      <c r="D244" s="116">
        <v>0</v>
      </c>
      <c r="E244" s="116">
        <v>0</v>
      </c>
      <c r="F244" s="116">
        <v>0</v>
      </c>
      <c r="G244" s="116">
        <v>0</v>
      </c>
      <c r="H244" s="116">
        <v>0</v>
      </c>
      <c r="I244" s="116">
        <v>0</v>
      </c>
      <c r="J244" s="116">
        <v>0</v>
      </c>
      <c r="K244" s="116">
        <v>0</v>
      </c>
      <c r="L244" s="116">
        <v>0</v>
      </c>
      <c r="M244" s="116">
        <v>0</v>
      </c>
      <c r="N244" s="116">
        <v>0</v>
      </c>
      <c r="O244" s="116">
        <v>0</v>
      </c>
      <c r="P244" s="116">
        <v>0</v>
      </c>
      <c r="Q244" s="116">
        <v>0</v>
      </c>
      <c r="R244" s="116">
        <v>0</v>
      </c>
      <c r="S244" s="116">
        <v>0</v>
      </c>
      <c r="T244" s="116">
        <v>0</v>
      </c>
      <c r="U244" s="116">
        <v>0</v>
      </c>
      <c r="V244" s="116">
        <v>0</v>
      </c>
      <c r="W244" s="116">
        <v>0</v>
      </c>
      <c r="X244" s="116">
        <v>0</v>
      </c>
      <c r="Y244" s="116">
        <v>0</v>
      </c>
      <c r="Z244" s="116">
        <v>0</v>
      </c>
      <c r="AA244" s="116">
        <v>0</v>
      </c>
      <c r="AB244" s="116">
        <v>0</v>
      </c>
      <c r="AC244" s="116">
        <v>0</v>
      </c>
      <c r="AD244" s="116">
        <v>0</v>
      </c>
      <c r="AE244" s="116">
        <v>0</v>
      </c>
      <c r="AF244" s="116">
        <v>0</v>
      </c>
      <c r="AG244" s="116">
        <v>0</v>
      </c>
      <c r="AH244" s="116">
        <v>0</v>
      </c>
      <c r="AI244" s="116">
        <v>0</v>
      </c>
      <c r="AJ244" s="116">
        <v>0</v>
      </c>
      <c r="AK244" s="116">
        <v>0</v>
      </c>
      <c r="AL244" s="116">
        <v>0</v>
      </c>
      <c r="AM244" s="116">
        <v>0</v>
      </c>
      <c r="AN244" s="116">
        <v>0</v>
      </c>
      <c r="AO244" s="116">
        <v>0</v>
      </c>
      <c r="AP244" s="116">
        <v>0</v>
      </c>
      <c r="AQ244" s="116">
        <v>0</v>
      </c>
      <c r="AR244" s="116">
        <v>0</v>
      </c>
      <c r="AS244" s="116">
        <v>0</v>
      </c>
      <c r="AT244" s="116">
        <v>0</v>
      </c>
      <c r="AU244" s="116">
        <v>0</v>
      </c>
      <c r="AV244" s="116">
        <v>0</v>
      </c>
      <c r="AW244" s="116">
        <v>0</v>
      </c>
      <c r="AX244" s="116">
        <v>0</v>
      </c>
      <c r="AY244" s="116">
        <v>0</v>
      </c>
    </row>
    <row r="245" spans="1:51" x14ac:dyDescent="0.2">
      <c r="A245" s="115"/>
      <c r="B245" s="136">
        <v>37</v>
      </c>
      <c r="C245" s="112">
        <v>0</v>
      </c>
      <c r="D245" s="116">
        <v>0</v>
      </c>
      <c r="E245" s="116">
        <v>0</v>
      </c>
      <c r="F245" s="116">
        <v>0</v>
      </c>
      <c r="G245" s="116">
        <v>0</v>
      </c>
      <c r="H245" s="116">
        <v>0</v>
      </c>
      <c r="I245" s="116">
        <v>0</v>
      </c>
      <c r="J245" s="116">
        <v>0</v>
      </c>
      <c r="K245" s="116">
        <v>0</v>
      </c>
      <c r="L245" s="116">
        <v>0</v>
      </c>
      <c r="M245" s="116">
        <v>0</v>
      </c>
      <c r="N245" s="116">
        <v>0</v>
      </c>
      <c r="O245" s="116">
        <v>0</v>
      </c>
      <c r="P245" s="116">
        <v>0</v>
      </c>
      <c r="Q245" s="116">
        <v>0</v>
      </c>
      <c r="R245" s="116">
        <v>0</v>
      </c>
      <c r="S245" s="116">
        <v>0</v>
      </c>
      <c r="T245" s="116">
        <v>0</v>
      </c>
      <c r="U245" s="116">
        <v>0</v>
      </c>
      <c r="V245" s="116">
        <v>0</v>
      </c>
      <c r="W245" s="116">
        <v>0</v>
      </c>
      <c r="X245" s="116">
        <v>0</v>
      </c>
      <c r="Y245" s="116">
        <v>0</v>
      </c>
      <c r="Z245" s="116">
        <v>0</v>
      </c>
      <c r="AA245" s="116">
        <v>0</v>
      </c>
      <c r="AB245" s="116">
        <v>0</v>
      </c>
      <c r="AC245" s="116">
        <v>0</v>
      </c>
      <c r="AD245" s="116">
        <v>0</v>
      </c>
      <c r="AE245" s="116">
        <v>0</v>
      </c>
      <c r="AF245" s="116">
        <v>0</v>
      </c>
      <c r="AG245" s="116">
        <v>0</v>
      </c>
      <c r="AH245" s="116">
        <v>0</v>
      </c>
      <c r="AI245" s="116">
        <v>0</v>
      </c>
      <c r="AJ245" s="116">
        <v>0</v>
      </c>
      <c r="AK245" s="116">
        <v>0</v>
      </c>
      <c r="AL245" s="116">
        <v>0</v>
      </c>
      <c r="AM245" s="116">
        <v>0</v>
      </c>
      <c r="AN245" s="116">
        <v>0</v>
      </c>
      <c r="AO245" s="116">
        <v>0</v>
      </c>
      <c r="AP245" s="116">
        <v>0</v>
      </c>
      <c r="AQ245" s="116">
        <v>0</v>
      </c>
      <c r="AR245" s="116">
        <v>0</v>
      </c>
      <c r="AS245" s="116">
        <v>0</v>
      </c>
      <c r="AT245" s="116">
        <v>0</v>
      </c>
      <c r="AU245" s="116">
        <v>0</v>
      </c>
      <c r="AV245" s="116">
        <v>0</v>
      </c>
      <c r="AW245" s="116">
        <v>0</v>
      </c>
      <c r="AX245" s="116">
        <v>0</v>
      </c>
      <c r="AY245" s="116">
        <v>0</v>
      </c>
    </row>
    <row r="246" spans="1:51" x14ac:dyDescent="0.2">
      <c r="A246" s="115"/>
      <c r="B246" s="136">
        <v>38</v>
      </c>
      <c r="C246" s="112">
        <v>0</v>
      </c>
      <c r="D246" s="116">
        <v>0</v>
      </c>
      <c r="E246" s="116">
        <v>0</v>
      </c>
      <c r="F246" s="116">
        <v>0</v>
      </c>
      <c r="G246" s="116">
        <v>0</v>
      </c>
      <c r="H246" s="116">
        <v>0</v>
      </c>
      <c r="I246" s="116">
        <v>0</v>
      </c>
      <c r="J246" s="116">
        <v>0</v>
      </c>
      <c r="K246" s="116">
        <v>0</v>
      </c>
      <c r="L246" s="116">
        <v>0</v>
      </c>
      <c r="M246" s="116">
        <v>0</v>
      </c>
      <c r="N246" s="116">
        <v>0</v>
      </c>
      <c r="O246" s="116">
        <v>0</v>
      </c>
      <c r="P246" s="116">
        <v>0</v>
      </c>
      <c r="Q246" s="116">
        <v>0</v>
      </c>
      <c r="R246" s="116">
        <v>0</v>
      </c>
      <c r="S246" s="116">
        <v>0</v>
      </c>
      <c r="T246" s="116">
        <v>0</v>
      </c>
      <c r="U246" s="116">
        <v>0</v>
      </c>
      <c r="V246" s="116">
        <v>0</v>
      </c>
      <c r="W246" s="116">
        <v>0</v>
      </c>
      <c r="X246" s="116">
        <v>0</v>
      </c>
      <c r="Y246" s="116">
        <v>0</v>
      </c>
      <c r="Z246" s="116">
        <v>0</v>
      </c>
      <c r="AA246" s="116">
        <v>0</v>
      </c>
      <c r="AB246" s="116">
        <v>0</v>
      </c>
      <c r="AC246" s="116">
        <v>0</v>
      </c>
      <c r="AD246" s="116">
        <v>0</v>
      </c>
      <c r="AE246" s="116">
        <v>0</v>
      </c>
      <c r="AF246" s="116">
        <v>0</v>
      </c>
      <c r="AG246" s="116">
        <v>0</v>
      </c>
      <c r="AH246" s="116">
        <v>0</v>
      </c>
      <c r="AI246" s="116">
        <v>0</v>
      </c>
      <c r="AJ246" s="116">
        <v>0</v>
      </c>
      <c r="AK246" s="116">
        <v>0</v>
      </c>
      <c r="AL246" s="116">
        <v>0</v>
      </c>
      <c r="AM246" s="116">
        <v>0</v>
      </c>
      <c r="AN246" s="116">
        <v>0</v>
      </c>
      <c r="AO246" s="116">
        <v>0</v>
      </c>
      <c r="AP246" s="116">
        <v>0</v>
      </c>
      <c r="AQ246" s="116">
        <v>0</v>
      </c>
      <c r="AR246" s="116">
        <v>0</v>
      </c>
      <c r="AS246" s="116">
        <v>0</v>
      </c>
      <c r="AT246" s="116">
        <v>0</v>
      </c>
      <c r="AU246" s="116">
        <v>0</v>
      </c>
      <c r="AV246" s="116">
        <v>0</v>
      </c>
      <c r="AW246" s="116">
        <v>0</v>
      </c>
      <c r="AX246" s="116">
        <v>0</v>
      </c>
      <c r="AY246" s="116">
        <v>0</v>
      </c>
    </row>
    <row r="247" spans="1:51" x14ac:dyDescent="0.2">
      <c r="A247" s="115"/>
      <c r="B247" s="136">
        <v>39</v>
      </c>
      <c r="C247" s="112">
        <v>0</v>
      </c>
      <c r="D247" s="116">
        <v>0</v>
      </c>
      <c r="E247" s="116">
        <v>0</v>
      </c>
      <c r="F247" s="116">
        <v>0</v>
      </c>
      <c r="G247" s="116">
        <v>0</v>
      </c>
      <c r="H247" s="116">
        <v>0</v>
      </c>
      <c r="I247" s="116">
        <v>0</v>
      </c>
      <c r="J247" s="116">
        <v>0</v>
      </c>
      <c r="K247" s="116">
        <v>0</v>
      </c>
      <c r="L247" s="116">
        <v>0</v>
      </c>
      <c r="M247" s="116">
        <v>0</v>
      </c>
      <c r="N247" s="116">
        <v>0</v>
      </c>
      <c r="O247" s="116">
        <v>0</v>
      </c>
      <c r="P247" s="116">
        <v>0</v>
      </c>
      <c r="Q247" s="116">
        <v>0</v>
      </c>
      <c r="R247" s="116">
        <v>0</v>
      </c>
      <c r="S247" s="116">
        <v>0</v>
      </c>
      <c r="T247" s="116">
        <v>0</v>
      </c>
      <c r="U247" s="116">
        <v>0</v>
      </c>
      <c r="V247" s="116">
        <v>0</v>
      </c>
      <c r="W247" s="116">
        <v>0</v>
      </c>
      <c r="X247" s="116">
        <v>0</v>
      </c>
      <c r="Y247" s="116">
        <v>0</v>
      </c>
      <c r="Z247" s="116">
        <v>0</v>
      </c>
      <c r="AA247" s="116">
        <v>0</v>
      </c>
      <c r="AB247" s="116">
        <v>0</v>
      </c>
      <c r="AC247" s="116">
        <v>0</v>
      </c>
      <c r="AD247" s="116">
        <v>0</v>
      </c>
      <c r="AE247" s="116">
        <v>0</v>
      </c>
      <c r="AF247" s="116">
        <v>0</v>
      </c>
      <c r="AG247" s="116">
        <v>0</v>
      </c>
      <c r="AH247" s="116">
        <v>0</v>
      </c>
      <c r="AI247" s="116">
        <v>0</v>
      </c>
      <c r="AJ247" s="116">
        <v>0</v>
      </c>
      <c r="AK247" s="116">
        <v>0</v>
      </c>
      <c r="AL247" s="116">
        <v>0</v>
      </c>
      <c r="AM247" s="116">
        <v>0</v>
      </c>
      <c r="AN247" s="116">
        <v>0</v>
      </c>
      <c r="AO247" s="116">
        <v>0</v>
      </c>
      <c r="AP247" s="116">
        <v>0</v>
      </c>
      <c r="AQ247" s="116">
        <v>0</v>
      </c>
      <c r="AR247" s="116">
        <v>0</v>
      </c>
      <c r="AS247" s="116">
        <v>0</v>
      </c>
      <c r="AT247" s="116">
        <v>0</v>
      </c>
      <c r="AU247" s="116">
        <v>0</v>
      </c>
      <c r="AV247" s="116">
        <v>0</v>
      </c>
      <c r="AW247" s="116">
        <v>0</v>
      </c>
      <c r="AX247" s="116">
        <v>0</v>
      </c>
      <c r="AY247" s="116">
        <v>0</v>
      </c>
    </row>
    <row r="248" spans="1:51" x14ac:dyDescent="0.2">
      <c r="A248" s="115"/>
      <c r="B248" s="136">
        <v>40</v>
      </c>
      <c r="C248" s="112">
        <v>0</v>
      </c>
      <c r="D248" s="116">
        <v>0</v>
      </c>
      <c r="E248" s="116">
        <v>0</v>
      </c>
      <c r="F248" s="116">
        <v>0</v>
      </c>
      <c r="G248" s="116">
        <v>0</v>
      </c>
      <c r="H248" s="116">
        <v>0</v>
      </c>
      <c r="I248" s="116">
        <v>0</v>
      </c>
      <c r="J248" s="116">
        <v>0</v>
      </c>
      <c r="K248" s="116">
        <v>0</v>
      </c>
      <c r="L248" s="116">
        <v>0</v>
      </c>
      <c r="M248" s="116">
        <v>0</v>
      </c>
      <c r="N248" s="116">
        <v>0</v>
      </c>
      <c r="O248" s="116">
        <v>0</v>
      </c>
      <c r="P248" s="116">
        <v>0</v>
      </c>
      <c r="Q248" s="116">
        <v>0</v>
      </c>
      <c r="R248" s="116">
        <v>0</v>
      </c>
      <c r="S248" s="116">
        <v>0</v>
      </c>
      <c r="T248" s="116">
        <v>0</v>
      </c>
      <c r="U248" s="116">
        <v>0</v>
      </c>
      <c r="V248" s="116">
        <v>0</v>
      </c>
      <c r="W248" s="116">
        <v>0</v>
      </c>
      <c r="X248" s="116">
        <v>0</v>
      </c>
      <c r="Y248" s="116">
        <v>0</v>
      </c>
      <c r="Z248" s="116">
        <v>0</v>
      </c>
      <c r="AA248" s="116">
        <v>0</v>
      </c>
      <c r="AB248" s="116">
        <v>0</v>
      </c>
      <c r="AC248" s="116">
        <v>0</v>
      </c>
      <c r="AD248" s="116">
        <v>0</v>
      </c>
      <c r="AE248" s="116">
        <v>0</v>
      </c>
      <c r="AF248" s="116">
        <v>0</v>
      </c>
      <c r="AG248" s="116">
        <v>0</v>
      </c>
      <c r="AH248" s="116">
        <v>0</v>
      </c>
      <c r="AI248" s="116">
        <v>0</v>
      </c>
      <c r="AJ248" s="116">
        <v>0</v>
      </c>
      <c r="AK248" s="116">
        <v>0</v>
      </c>
      <c r="AL248" s="116">
        <v>0</v>
      </c>
      <c r="AM248" s="116">
        <v>0</v>
      </c>
      <c r="AN248" s="116">
        <v>0</v>
      </c>
      <c r="AO248" s="116">
        <v>0</v>
      </c>
      <c r="AP248" s="116">
        <v>0</v>
      </c>
      <c r="AQ248" s="116">
        <v>0</v>
      </c>
      <c r="AR248" s="116">
        <v>0</v>
      </c>
      <c r="AS248" s="116">
        <v>0</v>
      </c>
      <c r="AT248" s="116">
        <v>0</v>
      </c>
      <c r="AU248" s="116">
        <v>0</v>
      </c>
      <c r="AV248" s="116">
        <v>0</v>
      </c>
      <c r="AW248" s="116">
        <v>0</v>
      </c>
      <c r="AX248" s="116">
        <v>0</v>
      </c>
      <c r="AY248" s="116">
        <v>0</v>
      </c>
    </row>
    <row r="249" spans="1:51" x14ac:dyDescent="0.2">
      <c r="A249" s="115"/>
      <c r="B249" s="136">
        <v>41</v>
      </c>
      <c r="C249" s="112">
        <v>0</v>
      </c>
      <c r="D249" s="116">
        <v>0</v>
      </c>
      <c r="E249" s="116">
        <v>0</v>
      </c>
      <c r="F249" s="116">
        <v>0</v>
      </c>
      <c r="G249" s="116">
        <v>0</v>
      </c>
      <c r="H249" s="116">
        <v>0</v>
      </c>
      <c r="I249" s="116">
        <v>0</v>
      </c>
      <c r="J249" s="116">
        <v>0</v>
      </c>
      <c r="K249" s="116">
        <v>0</v>
      </c>
      <c r="L249" s="116">
        <v>0</v>
      </c>
      <c r="M249" s="116">
        <v>0</v>
      </c>
      <c r="N249" s="116">
        <v>0</v>
      </c>
      <c r="O249" s="116">
        <v>0</v>
      </c>
      <c r="P249" s="116">
        <v>0</v>
      </c>
      <c r="Q249" s="116">
        <v>0</v>
      </c>
      <c r="R249" s="116">
        <v>0</v>
      </c>
      <c r="S249" s="116">
        <v>0</v>
      </c>
      <c r="T249" s="116">
        <v>0</v>
      </c>
      <c r="U249" s="116">
        <v>0</v>
      </c>
      <c r="V249" s="116">
        <v>0</v>
      </c>
      <c r="W249" s="116">
        <v>0</v>
      </c>
      <c r="X249" s="116">
        <v>0</v>
      </c>
      <c r="Y249" s="116">
        <v>0</v>
      </c>
      <c r="Z249" s="116">
        <v>0</v>
      </c>
      <c r="AA249" s="116">
        <v>0</v>
      </c>
      <c r="AB249" s="116">
        <v>0</v>
      </c>
      <c r="AC249" s="116">
        <v>0</v>
      </c>
      <c r="AD249" s="116">
        <v>0</v>
      </c>
      <c r="AE249" s="116">
        <v>0</v>
      </c>
      <c r="AF249" s="116">
        <v>0</v>
      </c>
      <c r="AG249" s="116">
        <v>0</v>
      </c>
      <c r="AH249" s="116">
        <v>0</v>
      </c>
      <c r="AI249" s="116">
        <v>0</v>
      </c>
      <c r="AJ249" s="116">
        <v>0</v>
      </c>
      <c r="AK249" s="116">
        <v>0</v>
      </c>
      <c r="AL249" s="116">
        <v>0</v>
      </c>
      <c r="AM249" s="116">
        <v>0</v>
      </c>
      <c r="AN249" s="116">
        <v>0</v>
      </c>
      <c r="AO249" s="116">
        <v>0</v>
      </c>
      <c r="AP249" s="116">
        <v>0</v>
      </c>
      <c r="AQ249" s="116">
        <v>0</v>
      </c>
      <c r="AR249" s="116">
        <v>0</v>
      </c>
      <c r="AS249" s="116">
        <v>0</v>
      </c>
      <c r="AT249" s="116">
        <v>0</v>
      </c>
      <c r="AU249" s="116">
        <v>0</v>
      </c>
      <c r="AV249" s="116">
        <v>0</v>
      </c>
      <c r="AW249" s="116">
        <v>0</v>
      </c>
      <c r="AX249" s="116">
        <v>0</v>
      </c>
      <c r="AY249" s="116">
        <v>0</v>
      </c>
    </row>
    <row r="250" spans="1:51" x14ac:dyDescent="0.2">
      <c r="A250" s="115"/>
      <c r="B250" s="136">
        <v>42</v>
      </c>
      <c r="C250" s="112">
        <v>0</v>
      </c>
      <c r="D250" s="116">
        <v>0</v>
      </c>
      <c r="E250" s="116">
        <v>0</v>
      </c>
      <c r="F250" s="116">
        <v>0</v>
      </c>
      <c r="G250" s="116">
        <v>0</v>
      </c>
      <c r="H250" s="116">
        <v>0</v>
      </c>
      <c r="I250" s="116">
        <v>0</v>
      </c>
      <c r="J250" s="116">
        <v>0</v>
      </c>
      <c r="K250" s="116">
        <v>0</v>
      </c>
      <c r="L250" s="116">
        <v>0</v>
      </c>
      <c r="M250" s="116">
        <v>0</v>
      </c>
      <c r="N250" s="116">
        <v>0</v>
      </c>
      <c r="O250" s="116">
        <v>0</v>
      </c>
      <c r="P250" s="116">
        <v>0</v>
      </c>
      <c r="Q250" s="116">
        <v>0</v>
      </c>
      <c r="R250" s="116">
        <v>0</v>
      </c>
      <c r="S250" s="116">
        <v>0</v>
      </c>
      <c r="T250" s="116">
        <v>0</v>
      </c>
      <c r="U250" s="116">
        <v>0</v>
      </c>
      <c r="V250" s="116">
        <v>0</v>
      </c>
      <c r="W250" s="116">
        <v>0</v>
      </c>
      <c r="X250" s="116">
        <v>0</v>
      </c>
      <c r="Y250" s="116">
        <v>0</v>
      </c>
      <c r="Z250" s="116">
        <v>0</v>
      </c>
      <c r="AA250" s="116">
        <v>0</v>
      </c>
      <c r="AB250" s="116">
        <v>0</v>
      </c>
      <c r="AC250" s="116">
        <v>0</v>
      </c>
      <c r="AD250" s="116">
        <v>0</v>
      </c>
      <c r="AE250" s="116">
        <v>0</v>
      </c>
      <c r="AF250" s="116">
        <v>0</v>
      </c>
      <c r="AG250" s="116">
        <v>0</v>
      </c>
      <c r="AH250" s="116">
        <v>0</v>
      </c>
      <c r="AI250" s="116">
        <v>0</v>
      </c>
      <c r="AJ250" s="116">
        <v>0</v>
      </c>
      <c r="AK250" s="116">
        <v>0</v>
      </c>
      <c r="AL250" s="116">
        <v>0</v>
      </c>
      <c r="AM250" s="116">
        <v>0</v>
      </c>
      <c r="AN250" s="116">
        <v>0</v>
      </c>
      <c r="AO250" s="116">
        <v>0</v>
      </c>
      <c r="AP250" s="116">
        <v>0</v>
      </c>
      <c r="AQ250" s="116">
        <v>0</v>
      </c>
      <c r="AR250" s="116">
        <v>0</v>
      </c>
      <c r="AS250" s="116">
        <v>0</v>
      </c>
      <c r="AT250" s="116">
        <v>0</v>
      </c>
      <c r="AU250" s="116">
        <v>0</v>
      </c>
      <c r="AV250" s="116">
        <v>0</v>
      </c>
      <c r="AW250" s="116">
        <v>0</v>
      </c>
      <c r="AX250" s="116">
        <v>0</v>
      </c>
      <c r="AY250" s="116">
        <v>0</v>
      </c>
    </row>
    <row r="251" spans="1:51" x14ac:dyDescent="0.2">
      <c r="A251" s="115"/>
      <c r="B251" s="136">
        <v>43</v>
      </c>
      <c r="C251" s="112">
        <v>0</v>
      </c>
      <c r="D251" s="116">
        <v>0</v>
      </c>
      <c r="E251" s="116">
        <v>0</v>
      </c>
      <c r="F251" s="116">
        <v>0</v>
      </c>
      <c r="G251" s="116">
        <v>0</v>
      </c>
      <c r="H251" s="116">
        <v>0</v>
      </c>
      <c r="I251" s="116">
        <v>0</v>
      </c>
      <c r="J251" s="116">
        <v>0</v>
      </c>
      <c r="K251" s="116">
        <v>0</v>
      </c>
      <c r="L251" s="116">
        <v>0</v>
      </c>
      <c r="M251" s="116">
        <v>0</v>
      </c>
      <c r="N251" s="116">
        <v>0</v>
      </c>
      <c r="O251" s="116">
        <v>0</v>
      </c>
      <c r="P251" s="116">
        <v>0</v>
      </c>
      <c r="Q251" s="116">
        <v>0</v>
      </c>
      <c r="R251" s="116">
        <v>0</v>
      </c>
      <c r="S251" s="116">
        <v>0</v>
      </c>
      <c r="T251" s="116">
        <v>0</v>
      </c>
      <c r="U251" s="116">
        <v>0</v>
      </c>
      <c r="V251" s="116">
        <v>0</v>
      </c>
      <c r="W251" s="116">
        <v>0</v>
      </c>
      <c r="X251" s="116">
        <v>0</v>
      </c>
      <c r="Y251" s="116">
        <v>0</v>
      </c>
      <c r="Z251" s="116">
        <v>0</v>
      </c>
      <c r="AA251" s="116">
        <v>0</v>
      </c>
      <c r="AB251" s="116">
        <v>0</v>
      </c>
      <c r="AC251" s="116">
        <v>0</v>
      </c>
      <c r="AD251" s="116">
        <v>0</v>
      </c>
      <c r="AE251" s="116">
        <v>0</v>
      </c>
      <c r="AF251" s="116">
        <v>0</v>
      </c>
      <c r="AG251" s="116">
        <v>0</v>
      </c>
      <c r="AH251" s="116">
        <v>0</v>
      </c>
      <c r="AI251" s="116">
        <v>0</v>
      </c>
      <c r="AJ251" s="116">
        <v>0</v>
      </c>
      <c r="AK251" s="116">
        <v>0</v>
      </c>
      <c r="AL251" s="116">
        <v>0</v>
      </c>
      <c r="AM251" s="116">
        <v>0</v>
      </c>
      <c r="AN251" s="116">
        <v>0</v>
      </c>
      <c r="AO251" s="116">
        <v>0</v>
      </c>
      <c r="AP251" s="116">
        <v>0</v>
      </c>
      <c r="AQ251" s="116">
        <v>0</v>
      </c>
      <c r="AR251" s="116">
        <v>0</v>
      </c>
      <c r="AS251" s="116">
        <v>0</v>
      </c>
      <c r="AT251" s="116">
        <v>0</v>
      </c>
      <c r="AU251" s="116">
        <v>0</v>
      </c>
      <c r="AV251" s="116">
        <v>0</v>
      </c>
      <c r="AW251" s="116">
        <v>0</v>
      </c>
      <c r="AX251" s="116">
        <v>0</v>
      </c>
      <c r="AY251" s="116">
        <v>0</v>
      </c>
    </row>
    <row r="252" spans="1:51" x14ac:dyDescent="0.2">
      <c r="A252" s="115"/>
      <c r="B252" s="136">
        <v>44</v>
      </c>
      <c r="C252" s="112">
        <v>0</v>
      </c>
      <c r="D252" s="116">
        <v>0</v>
      </c>
      <c r="E252" s="116">
        <v>0</v>
      </c>
      <c r="F252" s="116">
        <v>0</v>
      </c>
      <c r="G252" s="116">
        <v>0</v>
      </c>
      <c r="H252" s="116">
        <v>0</v>
      </c>
      <c r="I252" s="116">
        <v>0</v>
      </c>
      <c r="J252" s="116">
        <v>0</v>
      </c>
      <c r="K252" s="116">
        <v>0</v>
      </c>
      <c r="L252" s="116">
        <v>0</v>
      </c>
      <c r="M252" s="116">
        <v>0</v>
      </c>
      <c r="N252" s="116">
        <v>0</v>
      </c>
      <c r="O252" s="116">
        <v>0</v>
      </c>
      <c r="P252" s="116">
        <v>0</v>
      </c>
      <c r="Q252" s="116">
        <v>0</v>
      </c>
      <c r="R252" s="116">
        <v>0</v>
      </c>
      <c r="S252" s="116">
        <v>0</v>
      </c>
      <c r="T252" s="116">
        <v>0</v>
      </c>
      <c r="U252" s="116">
        <v>0</v>
      </c>
      <c r="V252" s="116">
        <v>0</v>
      </c>
      <c r="W252" s="116">
        <v>0</v>
      </c>
      <c r="X252" s="116">
        <v>0</v>
      </c>
      <c r="Y252" s="116">
        <v>0</v>
      </c>
      <c r="Z252" s="116">
        <v>0</v>
      </c>
      <c r="AA252" s="116">
        <v>0</v>
      </c>
      <c r="AB252" s="116">
        <v>0</v>
      </c>
      <c r="AC252" s="116">
        <v>0</v>
      </c>
      <c r="AD252" s="116">
        <v>0</v>
      </c>
      <c r="AE252" s="116">
        <v>0</v>
      </c>
      <c r="AF252" s="116">
        <v>0</v>
      </c>
      <c r="AG252" s="116">
        <v>0</v>
      </c>
      <c r="AH252" s="116">
        <v>0</v>
      </c>
      <c r="AI252" s="116">
        <v>0</v>
      </c>
      <c r="AJ252" s="116">
        <v>0</v>
      </c>
      <c r="AK252" s="116">
        <v>0</v>
      </c>
      <c r="AL252" s="116">
        <v>0</v>
      </c>
      <c r="AM252" s="116">
        <v>0</v>
      </c>
      <c r="AN252" s="116">
        <v>0</v>
      </c>
      <c r="AO252" s="116">
        <v>0</v>
      </c>
      <c r="AP252" s="116">
        <v>0</v>
      </c>
      <c r="AQ252" s="116">
        <v>0</v>
      </c>
      <c r="AR252" s="116">
        <v>0</v>
      </c>
      <c r="AS252" s="116">
        <v>0</v>
      </c>
      <c r="AT252" s="116">
        <v>0</v>
      </c>
      <c r="AU252" s="116">
        <v>0</v>
      </c>
      <c r="AV252" s="116">
        <v>0</v>
      </c>
      <c r="AW252" s="116">
        <v>0</v>
      </c>
      <c r="AX252" s="116">
        <v>0</v>
      </c>
      <c r="AY252" s="116">
        <v>0</v>
      </c>
    </row>
    <row r="253" spans="1:51" x14ac:dyDescent="0.2">
      <c r="A253" s="115"/>
      <c r="B253" s="136">
        <v>45</v>
      </c>
      <c r="C253" s="112">
        <v>0</v>
      </c>
      <c r="D253" s="116">
        <v>0</v>
      </c>
      <c r="E253" s="116">
        <v>0</v>
      </c>
      <c r="F253" s="116">
        <v>0</v>
      </c>
      <c r="G253" s="116">
        <v>0</v>
      </c>
      <c r="H253" s="116">
        <v>0</v>
      </c>
      <c r="I253" s="116">
        <v>0</v>
      </c>
      <c r="J253" s="116">
        <v>0</v>
      </c>
      <c r="K253" s="116">
        <v>0</v>
      </c>
      <c r="L253" s="116">
        <v>0</v>
      </c>
      <c r="M253" s="116">
        <v>0</v>
      </c>
      <c r="N253" s="116">
        <v>0</v>
      </c>
      <c r="O253" s="116">
        <v>0</v>
      </c>
      <c r="P253" s="116">
        <v>0</v>
      </c>
      <c r="Q253" s="116">
        <v>0</v>
      </c>
      <c r="R253" s="116">
        <v>0</v>
      </c>
      <c r="S253" s="116">
        <v>0</v>
      </c>
      <c r="T253" s="116">
        <v>0</v>
      </c>
      <c r="U253" s="116">
        <v>0</v>
      </c>
      <c r="V253" s="116">
        <v>0</v>
      </c>
      <c r="W253" s="116">
        <v>0</v>
      </c>
      <c r="X253" s="116">
        <v>0</v>
      </c>
      <c r="Y253" s="116">
        <v>0</v>
      </c>
      <c r="Z253" s="116">
        <v>0</v>
      </c>
      <c r="AA253" s="116">
        <v>0</v>
      </c>
      <c r="AB253" s="116">
        <v>0</v>
      </c>
      <c r="AC253" s="116">
        <v>0</v>
      </c>
      <c r="AD253" s="116">
        <v>0</v>
      </c>
      <c r="AE253" s="116">
        <v>0</v>
      </c>
      <c r="AF253" s="116">
        <v>0</v>
      </c>
      <c r="AG253" s="116">
        <v>0</v>
      </c>
      <c r="AH253" s="116">
        <v>0</v>
      </c>
      <c r="AI253" s="116">
        <v>0</v>
      </c>
      <c r="AJ253" s="116">
        <v>0</v>
      </c>
      <c r="AK253" s="116">
        <v>0</v>
      </c>
      <c r="AL253" s="116">
        <v>0</v>
      </c>
      <c r="AM253" s="116">
        <v>0</v>
      </c>
      <c r="AN253" s="116">
        <v>0</v>
      </c>
      <c r="AO253" s="116">
        <v>0</v>
      </c>
      <c r="AP253" s="116">
        <v>0</v>
      </c>
      <c r="AQ253" s="116">
        <v>0</v>
      </c>
      <c r="AR253" s="116">
        <v>0</v>
      </c>
      <c r="AS253" s="116">
        <v>0</v>
      </c>
      <c r="AT253" s="116">
        <v>0</v>
      </c>
      <c r="AU253" s="116">
        <v>0</v>
      </c>
      <c r="AV253" s="116">
        <v>0</v>
      </c>
      <c r="AW253" s="116">
        <v>0</v>
      </c>
      <c r="AX253" s="116">
        <v>0</v>
      </c>
      <c r="AY253" s="116">
        <v>0</v>
      </c>
    </row>
    <row r="254" spans="1:51" x14ac:dyDescent="0.2">
      <c r="A254" s="115"/>
      <c r="B254" s="136">
        <v>46</v>
      </c>
      <c r="C254" s="112">
        <v>0</v>
      </c>
      <c r="D254" s="116">
        <v>0</v>
      </c>
      <c r="E254" s="116">
        <v>0</v>
      </c>
      <c r="F254" s="116">
        <v>0</v>
      </c>
      <c r="G254" s="116">
        <v>0</v>
      </c>
      <c r="H254" s="116">
        <v>0</v>
      </c>
      <c r="I254" s="116">
        <v>0</v>
      </c>
      <c r="J254" s="116">
        <v>0</v>
      </c>
      <c r="K254" s="116">
        <v>0</v>
      </c>
      <c r="L254" s="116">
        <v>0</v>
      </c>
      <c r="M254" s="116">
        <v>0</v>
      </c>
      <c r="N254" s="116">
        <v>0</v>
      </c>
      <c r="O254" s="116">
        <v>0</v>
      </c>
      <c r="P254" s="116">
        <v>0</v>
      </c>
      <c r="Q254" s="116">
        <v>0</v>
      </c>
      <c r="R254" s="116">
        <v>0</v>
      </c>
      <c r="S254" s="116">
        <v>0</v>
      </c>
      <c r="T254" s="116">
        <v>0</v>
      </c>
      <c r="U254" s="116">
        <v>0</v>
      </c>
      <c r="V254" s="116">
        <v>0</v>
      </c>
      <c r="W254" s="116">
        <v>0</v>
      </c>
      <c r="X254" s="116">
        <v>0</v>
      </c>
      <c r="Y254" s="116">
        <v>0</v>
      </c>
      <c r="Z254" s="116">
        <v>0</v>
      </c>
      <c r="AA254" s="116">
        <v>0</v>
      </c>
      <c r="AB254" s="116">
        <v>0</v>
      </c>
      <c r="AC254" s="116">
        <v>0</v>
      </c>
      <c r="AD254" s="116">
        <v>0</v>
      </c>
      <c r="AE254" s="116">
        <v>0</v>
      </c>
      <c r="AF254" s="116">
        <v>0</v>
      </c>
      <c r="AG254" s="116">
        <v>0</v>
      </c>
      <c r="AH254" s="116">
        <v>0</v>
      </c>
      <c r="AI254" s="116">
        <v>0</v>
      </c>
      <c r="AJ254" s="116">
        <v>0</v>
      </c>
      <c r="AK254" s="116">
        <v>0</v>
      </c>
      <c r="AL254" s="116">
        <v>0</v>
      </c>
      <c r="AM254" s="116">
        <v>0</v>
      </c>
      <c r="AN254" s="116">
        <v>0</v>
      </c>
      <c r="AO254" s="116">
        <v>0</v>
      </c>
      <c r="AP254" s="116">
        <v>0</v>
      </c>
      <c r="AQ254" s="116">
        <v>0</v>
      </c>
      <c r="AR254" s="116">
        <v>0</v>
      </c>
      <c r="AS254" s="116">
        <v>0</v>
      </c>
      <c r="AT254" s="116">
        <v>0</v>
      </c>
      <c r="AU254" s="116">
        <v>0</v>
      </c>
      <c r="AV254" s="116">
        <v>0</v>
      </c>
      <c r="AW254" s="116">
        <v>0</v>
      </c>
      <c r="AX254" s="116">
        <v>0</v>
      </c>
      <c r="AY254" s="116">
        <v>0</v>
      </c>
    </row>
    <row r="255" spans="1:51" x14ac:dyDescent="0.2">
      <c r="A255" s="115"/>
      <c r="B255" s="136">
        <v>47</v>
      </c>
      <c r="C255" s="112">
        <v>0</v>
      </c>
      <c r="D255" s="116">
        <v>0</v>
      </c>
      <c r="E255" s="116">
        <v>0</v>
      </c>
      <c r="F255" s="116">
        <v>0</v>
      </c>
      <c r="G255" s="116">
        <v>0</v>
      </c>
      <c r="H255" s="116">
        <v>0</v>
      </c>
      <c r="I255" s="116">
        <v>0</v>
      </c>
      <c r="J255" s="116">
        <v>0</v>
      </c>
      <c r="K255" s="116">
        <v>0</v>
      </c>
      <c r="L255" s="116">
        <v>0</v>
      </c>
      <c r="M255" s="116">
        <v>0</v>
      </c>
      <c r="N255" s="116">
        <v>0</v>
      </c>
      <c r="O255" s="116">
        <v>0</v>
      </c>
      <c r="P255" s="116">
        <v>0</v>
      </c>
      <c r="Q255" s="116">
        <v>0</v>
      </c>
      <c r="R255" s="116">
        <v>0</v>
      </c>
      <c r="S255" s="116">
        <v>0</v>
      </c>
      <c r="T255" s="116">
        <v>0</v>
      </c>
      <c r="U255" s="116">
        <v>0</v>
      </c>
      <c r="V255" s="116">
        <v>0</v>
      </c>
      <c r="W255" s="116">
        <v>0</v>
      </c>
      <c r="X255" s="116">
        <v>0</v>
      </c>
      <c r="Y255" s="116">
        <v>0</v>
      </c>
      <c r="Z255" s="116">
        <v>0</v>
      </c>
      <c r="AA255" s="116">
        <v>0</v>
      </c>
      <c r="AB255" s="116">
        <v>0</v>
      </c>
      <c r="AC255" s="116">
        <v>0</v>
      </c>
      <c r="AD255" s="116">
        <v>0</v>
      </c>
      <c r="AE255" s="116">
        <v>0</v>
      </c>
      <c r="AF255" s="116">
        <v>0</v>
      </c>
      <c r="AG255" s="116">
        <v>0</v>
      </c>
      <c r="AH255" s="116">
        <v>0</v>
      </c>
      <c r="AI255" s="116">
        <v>0</v>
      </c>
      <c r="AJ255" s="116">
        <v>0</v>
      </c>
      <c r="AK255" s="116">
        <v>0</v>
      </c>
      <c r="AL255" s="116">
        <v>0</v>
      </c>
      <c r="AM255" s="116">
        <v>0</v>
      </c>
      <c r="AN255" s="116">
        <v>0</v>
      </c>
      <c r="AO255" s="116">
        <v>0</v>
      </c>
      <c r="AP255" s="116">
        <v>0</v>
      </c>
      <c r="AQ255" s="116">
        <v>0</v>
      </c>
      <c r="AR255" s="116">
        <v>0</v>
      </c>
      <c r="AS255" s="116">
        <v>0</v>
      </c>
      <c r="AT255" s="116">
        <v>0</v>
      </c>
      <c r="AU255" s="116">
        <v>0</v>
      </c>
      <c r="AV255" s="116">
        <v>0</v>
      </c>
      <c r="AW255" s="116">
        <v>0</v>
      </c>
      <c r="AX255" s="116">
        <v>0</v>
      </c>
      <c r="AY255" s="116">
        <v>0</v>
      </c>
    </row>
    <row r="256" spans="1:51" x14ac:dyDescent="0.2">
      <c r="A256" s="134"/>
      <c r="B256" s="135">
        <v>48</v>
      </c>
      <c r="C256" s="120">
        <v>0</v>
      </c>
      <c r="D256" s="131">
        <v>0</v>
      </c>
      <c r="E256" s="131">
        <v>0</v>
      </c>
      <c r="F256" s="131">
        <v>0</v>
      </c>
      <c r="G256" s="131">
        <v>0</v>
      </c>
      <c r="H256" s="131">
        <v>0</v>
      </c>
      <c r="I256" s="131">
        <v>0</v>
      </c>
      <c r="J256" s="131">
        <v>0</v>
      </c>
      <c r="K256" s="131">
        <v>0</v>
      </c>
      <c r="L256" s="131">
        <v>0</v>
      </c>
      <c r="M256" s="131">
        <v>0</v>
      </c>
      <c r="N256" s="131">
        <v>0</v>
      </c>
      <c r="O256" s="131">
        <v>0</v>
      </c>
      <c r="P256" s="131">
        <v>0</v>
      </c>
      <c r="Q256" s="131">
        <v>0</v>
      </c>
      <c r="R256" s="131">
        <v>0</v>
      </c>
      <c r="S256" s="131">
        <v>0</v>
      </c>
      <c r="T256" s="131">
        <v>0</v>
      </c>
      <c r="U256" s="131">
        <v>0</v>
      </c>
      <c r="V256" s="131">
        <v>0</v>
      </c>
      <c r="W256" s="131">
        <v>0</v>
      </c>
      <c r="X256" s="131">
        <v>0</v>
      </c>
      <c r="Y256" s="131">
        <v>0</v>
      </c>
      <c r="Z256" s="131">
        <v>0</v>
      </c>
      <c r="AA256" s="131">
        <v>0</v>
      </c>
      <c r="AB256" s="131">
        <v>0</v>
      </c>
      <c r="AC256" s="131">
        <v>0</v>
      </c>
      <c r="AD256" s="131">
        <v>0</v>
      </c>
      <c r="AE256" s="131">
        <v>0</v>
      </c>
      <c r="AF256" s="131">
        <v>0</v>
      </c>
      <c r="AG256" s="131">
        <v>0</v>
      </c>
      <c r="AH256" s="131">
        <v>0</v>
      </c>
      <c r="AI256" s="131">
        <v>0</v>
      </c>
      <c r="AJ256" s="131">
        <v>0</v>
      </c>
      <c r="AK256" s="131">
        <v>0</v>
      </c>
      <c r="AL256" s="131">
        <v>0</v>
      </c>
      <c r="AM256" s="131">
        <v>0</v>
      </c>
      <c r="AN256" s="131">
        <v>0</v>
      </c>
      <c r="AO256" s="131">
        <v>0</v>
      </c>
      <c r="AP256" s="131">
        <v>0</v>
      </c>
      <c r="AQ256" s="131">
        <v>0</v>
      </c>
      <c r="AR256" s="131">
        <v>0</v>
      </c>
      <c r="AS256" s="131">
        <v>0</v>
      </c>
      <c r="AT256" s="131">
        <v>0</v>
      </c>
      <c r="AU256" s="131">
        <v>0</v>
      </c>
      <c r="AV256" s="131">
        <v>0</v>
      </c>
      <c r="AW256" s="131">
        <v>0</v>
      </c>
      <c r="AX256" s="131">
        <v>0</v>
      </c>
      <c r="AY256" s="131">
        <v>0</v>
      </c>
    </row>
    <row r="258" spans="1:52" x14ac:dyDescent="0.2">
      <c r="A258" s="108" t="s">
        <v>301</v>
      </c>
    </row>
    <row r="259" spans="1:52" x14ac:dyDescent="0.2">
      <c r="A259" s="143" t="s">
        <v>124</v>
      </c>
      <c r="B259" s="144">
        <v>650</v>
      </c>
      <c r="C259" s="130" t="s">
        <v>293</v>
      </c>
      <c r="D259" s="130">
        <f>E$14*$B$259</f>
        <v>514991.32567398914</v>
      </c>
      <c r="E259" s="130">
        <f t="shared" ref="E259:AX259" si="5">F$14*$B$259</f>
        <v>269758.38259988662</v>
      </c>
      <c r="F259" s="130">
        <f t="shared" si="5"/>
        <v>90191.428198369395</v>
      </c>
      <c r="G259" s="130">
        <f t="shared" si="5"/>
        <v>6452.878107595694</v>
      </c>
      <c r="H259" s="130">
        <f t="shared" si="5"/>
        <v>28591.448894878984</v>
      </c>
      <c r="I259" s="130">
        <f t="shared" si="5"/>
        <v>7621.0206583924682</v>
      </c>
      <c r="J259" s="130">
        <f t="shared" si="5"/>
        <v>14295.724447439492</v>
      </c>
      <c r="K259" s="130">
        <f t="shared" si="5"/>
        <v>18640.84637127924</v>
      </c>
      <c r="L259" s="130">
        <f t="shared" si="5"/>
        <v>126504.13535483195</v>
      </c>
      <c r="M259" s="130">
        <f t="shared" si="5"/>
        <v>63252.067677415973</v>
      </c>
      <c r="N259" s="130">
        <f t="shared" si="5"/>
        <v>0</v>
      </c>
      <c r="O259" s="130">
        <f t="shared" si="5"/>
        <v>63252.067677415973</v>
      </c>
      <c r="P259" s="130">
        <f t="shared" si="5"/>
        <v>34627.324739247859</v>
      </c>
      <c r="Q259" s="130">
        <f t="shared" si="5"/>
        <v>0</v>
      </c>
      <c r="R259" s="130">
        <f t="shared" si="5"/>
        <v>67911.644083398511</v>
      </c>
      <c r="S259" s="130">
        <f t="shared" si="5"/>
        <v>0</v>
      </c>
      <c r="T259" s="130">
        <f t="shared" si="5"/>
        <v>68127.663486511912</v>
      </c>
      <c r="U259" s="130">
        <f t="shared" si="5"/>
        <v>4103.9215329149101</v>
      </c>
      <c r="V259" s="130">
        <f t="shared" si="5"/>
        <v>34063.831743255956</v>
      </c>
      <c r="W259" s="130">
        <f t="shared" si="5"/>
        <v>21893.950969839836</v>
      </c>
      <c r="X259" s="130">
        <f t="shared" si="5"/>
        <v>0</v>
      </c>
      <c r="Y259" s="130">
        <f t="shared" si="5"/>
        <v>23168.265165582856</v>
      </c>
      <c r="Z259" s="130">
        <f t="shared" si="5"/>
        <v>0</v>
      </c>
      <c r="AA259" s="130">
        <f t="shared" si="5"/>
        <v>0</v>
      </c>
      <c r="AB259" s="130">
        <f t="shared" si="5"/>
        <v>67736.495713722004</v>
      </c>
      <c r="AC259" s="130">
        <f t="shared" si="5"/>
        <v>26810.357030783311</v>
      </c>
      <c r="AD259" s="130">
        <f t="shared" si="5"/>
        <v>25875.75361876874</v>
      </c>
      <c r="AE259" s="130">
        <f t="shared" si="5"/>
        <v>25875.75361876874</v>
      </c>
      <c r="AF259" s="130">
        <f t="shared" si="5"/>
        <v>0</v>
      </c>
      <c r="AG259" s="130">
        <f t="shared" si="5"/>
        <v>10197.302927782499</v>
      </c>
      <c r="AH259" s="130">
        <f t="shared" si="5"/>
        <v>8020.0030852351074</v>
      </c>
      <c r="AI259" s="130">
        <f t="shared" si="5"/>
        <v>7809.5392472174217</v>
      </c>
      <c r="AJ259" s="130">
        <f t="shared" si="5"/>
        <v>0</v>
      </c>
      <c r="AK259" s="130">
        <f t="shared" si="5"/>
        <v>0</v>
      </c>
      <c r="AL259" s="130">
        <f t="shared" si="5"/>
        <v>0</v>
      </c>
      <c r="AM259" s="130">
        <f t="shared" si="5"/>
        <v>0</v>
      </c>
      <c r="AN259" s="130">
        <f t="shared" si="5"/>
        <v>1944.0651487336115</v>
      </c>
      <c r="AO259" s="130">
        <f t="shared" si="5"/>
        <v>1763.7745315682212</v>
      </c>
      <c r="AP259" s="130">
        <f t="shared" si="5"/>
        <v>568.98157576240044</v>
      </c>
      <c r="AQ259" s="130">
        <f t="shared" si="5"/>
        <v>1763.0488370485034</v>
      </c>
      <c r="AR259" s="130">
        <f t="shared" si="5"/>
        <v>11050.617381869224</v>
      </c>
      <c r="AS259" s="130">
        <f t="shared" si="5"/>
        <v>31983.765441981235</v>
      </c>
      <c r="AT259" s="130">
        <f t="shared" si="5"/>
        <v>0</v>
      </c>
      <c r="AU259" s="130">
        <f t="shared" si="5"/>
        <v>18463.837165774472</v>
      </c>
      <c r="AV259" s="130">
        <f t="shared" si="5"/>
        <v>34472.555579297914</v>
      </c>
      <c r="AW259" s="130">
        <f t="shared" si="5"/>
        <v>34472.555579297914</v>
      </c>
      <c r="AX259" s="130">
        <f t="shared" si="5"/>
        <v>55904.522367342011</v>
      </c>
      <c r="AY259" s="130">
        <f>AZ$14*$B$259</f>
        <v>21431.966788044101</v>
      </c>
      <c r="AZ259" s="145">
        <f>SUM($D259:$AY259)</f>
        <v>1843592.8230212438</v>
      </c>
    </row>
    <row r="260" spans="1:52" x14ac:dyDescent="0.2">
      <c r="A260" s="146" t="s">
        <v>302</v>
      </c>
      <c r="B260" s="120">
        <v>60</v>
      </c>
      <c r="C260" s="131" t="s">
        <v>293</v>
      </c>
      <c r="D260" s="131">
        <f>(D$175-D$176+D$177-D$178+D$179-D$180+D$181-D$182)*$B$260</f>
        <v>60022.412787089139</v>
      </c>
      <c r="E260" s="131">
        <f t="shared" ref="E260:AY260" si="6">(E$175-E$176+E$177-E$178+E$179-E$180+E$181-E$182)*$B$260</f>
        <v>80104.257973760294</v>
      </c>
      <c r="F260" s="131">
        <f t="shared" si="6"/>
        <v>84660.447950380752</v>
      </c>
      <c r="G260" s="131">
        <f t="shared" si="6"/>
        <v>80357.676954697978</v>
      </c>
      <c r="H260" s="131">
        <f t="shared" si="6"/>
        <v>69012.59681007234</v>
      </c>
      <c r="I260" s="131">
        <f t="shared" si="6"/>
        <v>56853.420250735151</v>
      </c>
      <c r="J260" s="131">
        <f t="shared" si="6"/>
        <v>49059.408211092108</v>
      </c>
      <c r="K260" s="131">
        <f t="shared" si="6"/>
        <v>37676.191330889691</v>
      </c>
      <c r="L260" s="131">
        <f t="shared" si="6"/>
        <v>31328.210433069125</v>
      </c>
      <c r="M260" s="131">
        <f t="shared" si="6"/>
        <v>37560.861994504819</v>
      </c>
      <c r="N260" s="131">
        <f t="shared" si="6"/>
        <v>38119.514395497055</v>
      </c>
      <c r="O260" s="131">
        <f t="shared" si="6"/>
        <v>32432.286119815613</v>
      </c>
      <c r="P260" s="131">
        <f t="shared" si="6"/>
        <v>30053.534204909603</v>
      </c>
      <c r="Q260" s="131">
        <f t="shared" si="6"/>
        <v>24129.902642378634</v>
      </c>
      <c r="R260" s="131">
        <f t="shared" si="6"/>
        <v>17425.584837746806</v>
      </c>
      <c r="S260" s="131">
        <f t="shared" si="6"/>
        <v>17214.351983906672</v>
      </c>
      <c r="T260" s="131">
        <f t="shared" si="6"/>
        <v>7963.5294108513435</v>
      </c>
      <c r="U260" s="131">
        <f t="shared" si="6"/>
        <v>4039.9664575278075</v>
      </c>
      <c r="V260" s="131">
        <f t="shared" si="6"/>
        <v>0</v>
      </c>
      <c r="W260" s="131">
        <f t="shared" si="6"/>
        <v>0</v>
      </c>
      <c r="X260" s="131">
        <f t="shared" si="6"/>
        <v>0</v>
      </c>
      <c r="Y260" s="131">
        <f t="shared" si="6"/>
        <v>0</v>
      </c>
      <c r="Z260" s="131">
        <f t="shared" si="6"/>
        <v>1807.5000000000005</v>
      </c>
      <c r="AA260" s="131">
        <f t="shared" si="6"/>
        <v>2355</v>
      </c>
      <c r="AB260" s="131">
        <f t="shared" si="6"/>
        <v>0</v>
      </c>
      <c r="AC260" s="131">
        <f t="shared" si="6"/>
        <v>0</v>
      </c>
      <c r="AD260" s="131">
        <f t="shared" si="6"/>
        <v>0</v>
      </c>
      <c r="AE260" s="131">
        <f t="shared" si="6"/>
        <v>0</v>
      </c>
      <c r="AF260" s="131">
        <f t="shared" si="6"/>
        <v>0</v>
      </c>
      <c r="AG260" s="131">
        <f t="shared" si="6"/>
        <v>2495.7896270319725</v>
      </c>
      <c r="AH260" s="131">
        <f t="shared" si="6"/>
        <v>2161.089845945643</v>
      </c>
      <c r="AI260" s="131">
        <f t="shared" si="6"/>
        <v>644.94986719548797</v>
      </c>
      <c r="AJ260" s="131">
        <f t="shared" si="6"/>
        <v>0</v>
      </c>
      <c r="AK260" s="131">
        <f t="shared" si="6"/>
        <v>0</v>
      </c>
      <c r="AL260" s="131">
        <f t="shared" si="6"/>
        <v>5583.7519314860001</v>
      </c>
      <c r="AM260" s="131">
        <f t="shared" si="6"/>
        <v>63.751931486000046</v>
      </c>
      <c r="AN260" s="131">
        <f t="shared" si="6"/>
        <v>8091.9822453041625</v>
      </c>
      <c r="AO260" s="131">
        <f t="shared" si="6"/>
        <v>7307.5554924715252</v>
      </c>
      <c r="AP260" s="131">
        <f t="shared" si="6"/>
        <v>7057.5</v>
      </c>
      <c r="AQ260" s="131">
        <f t="shared" si="6"/>
        <v>13251.799035332286</v>
      </c>
      <c r="AR260" s="131">
        <f t="shared" si="6"/>
        <v>11355</v>
      </c>
      <c r="AS260" s="131">
        <f t="shared" si="6"/>
        <v>9600</v>
      </c>
      <c r="AT260" s="131">
        <f t="shared" si="6"/>
        <v>2325.0000000000005</v>
      </c>
      <c r="AU260" s="131">
        <f t="shared" si="6"/>
        <v>1109.9999999999995</v>
      </c>
      <c r="AV260" s="131">
        <f t="shared" si="6"/>
        <v>3982.5</v>
      </c>
      <c r="AW260" s="131">
        <f t="shared" si="6"/>
        <v>4515</v>
      </c>
      <c r="AX260" s="131">
        <f t="shared" si="6"/>
        <v>1927.5000000000009</v>
      </c>
      <c r="AY260" s="131">
        <f t="shared" si="6"/>
        <v>0</v>
      </c>
      <c r="AZ260" s="147">
        <f>SUM($D260:$AY260)</f>
        <v>843649.82472517784</v>
      </c>
    </row>
  </sheetData>
  <pageMargins left="0.75" right="0.75" top="1" bottom="1" header="0.5" footer="0.5"/>
  <pageSetup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defaultRowHeight="12.75" x14ac:dyDescent="0.2"/>
  <cols>
    <col min="1" max="16384" width="9.140625" style="106"/>
  </cols>
  <sheetData>
    <row r="2" spans="1:99" x14ac:dyDescent="0.2">
      <c r="B2" s="108" t="s">
        <v>272</v>
      </c>
    </row>
    <row r="3" spans="1:99" x14ac:dyDescent="0.2">
      <c r="B3" s="109" t="s">
        <v>283</v>
      </c>
    </row>
    <row r="4" spans="1:99" x14ac:dyDescent="0.2">
      <c r="A4" s="107"/>
      <c r="B4" s="107"/>
      <c r="C4" s="105" t="s">
        <v>274</v>
      </c>
      <c r="D4" s="105" t="s">
        <v>92</v>
      </c>
      <c r="E4" s="107"/>
      <c r="F4" s="107"/>
      <c r="G4" s="107"/>
      <c r="H4" s="107"/>
      <c r="I4" s="107"/>
      <c r="J4" s="107"/>
      <c r="K4" s="107"/>
      <c r="L4" s="105" t="s">
        <v>93</v>
      </c>
      <c r="M4" s="107"/>
      <c r="N4" s="107"/>
      <c r="O4" s="107"/>
      <c r="P4" s="107"/>
      <c r="Q4" s="107"/>
      <c r="R4" s="107"/>
      <c r="S4" s="107"/>
      <c r="T4" s="105" t="s">
        <v>94</v>
      </c>
      <c r="U4" s="107"/>
      <c r="V4" s="107"/>
      <c r="W4" s="107"/>
      <c r="X4" s="107"/>
      <c r="Y4" s="107"/>
      <c r="Z4" s="107"/>
      <c r="AA4" s="107"/>
      <c r="AB4" s="105" t="s">
        <v>95</v>
      </c>
      <c r="AC4" s="107"/>
      <c r="AD4" s="107"/>
      <c r="AE4" s="107"/>
      <c r="AF4" s="107"/>
      <c r="AG4" s="107"/>
      <c r="AH4" s="107"/>
      <c r="AI4" s="107"/>
      <c r="AJ4" s="105" t="s">
        <v>96</v>
      </c>
      <c r="AK4" s="107"/>
      <c r="AL4" s="107"/>
      <c r="AM4" s="107"/>
      <c r="AN4" s="107"/>
      <c r="AO4" s="107"/>
      <c r="AP4" s="107"/>
      <c r="AQ4" s="107"/>
      <c r="AR4" s="105" t="s">
        <v>97</v>
      </c>
      <c r="AS4" s="107"/>
      <c r="AT4" s="107"/>
      <c r="AU4" s="107"/>
      <c r="AV4" s="107"/>
      <c r="AW4" s="107"/>
      <c r="AX4" s="107"/>
      <c r="AY4" s="107"/>
      <c r="AZ4" s="105" t="s">
        <v>98</v>
      </c>
      <c r="BA4" s="107"/>
      <c r="BB4" s="107"/>
      <c r="BC4" s="107"/>
      <c r="BD4" s="107"/>
      <c r="BE4" s="107"/>
      <c r="BF4" s="107"/>
      <c r="BG4" s="107"/>
      <c r="BH4" s="105" t="s">
        <v>99</v>
      </c>
      <c r="BI4" s="107"/>
      <c r="BJ4" s="107"/>
      <c r="BK4" s="107"/>
      <c r="BL4" s="107"/>
      <c r="BM4" s="107"/>
      <c r="BN4" s="107"/>
      <c r="BO4" s="107"/>
      <c r="BP4" s="105" t="s">
        <v>100</v>
      </c>
      <c r="BQ4" s="107"/>
      <c r="BR4" s="107"/>
      <c r="BS4" s="107"/>
      <c r="BT4" s="107"/>
      <c r="BU4" s="107"/>
      <c r="BV4" s="107"/>
      <c r="BW4" s="107"/>
      <c r="BX4" s="105" t="s">
        <v>101</v>
      </c>
      <c r="BY4" s="107"/>
      <c r="BZ4" s="107"/>
      <c r="CA4" s="107"/>
      <c r="CB4" s="107"/>
      <c r="CC4" s="107"/>
      <c r="CD4" s="107"/>
      <c r="CE4" s="107"/>
      <c r="CF4" s="105" t="s">
        <v>102</v>
      </c>
      <c r="CG4" s="107"/>
      <c r="CH4" s="107"/>
      <c r="CI4" s="107"/>
      <c r="CJ4" s="107"/>
      <c r="CK4" s="107"/>
      <c r="CL4" s="107"/>
      <c r="CM4" s="107"/>
      <c r="CN4" s="105" t="s">
        <v>103</v>
      </c>
      <c r="CO4" s="107"/>
      <c r="CP4" s="107"/>
      <c r="CQ4" s="107"/>
      <c r="CR4" s="107"/>
      <c r="CS4" s="107"/>
      <c r="CT4" s="107"/>
      <c r="CU4" s="107"/>
    </row>
    <row r="5" spans="1:99" x14ac:dyDescent="0.2">
      <c r="B5" s="105" t="s">
        <v>167</v>
      </c>
      <c r="C5" s="105" t="s">
        <v>275</v>
      </c>
      <c r="D5" s="105">
        <v>1</v>
      </c>
      <c r="E5" s="105"/>
      <c r="F5" s="105">
        <v>2</v>
      </c>
      <c r="G5" s="105"/>
      <c r="H5" s="105">
        <v>3</v>
      </c>
      <c r="I5" s="105"/>
      <c r="J5" s="105">
        <v>4</v>
      </c>
      <c r="K5" s="105"/>
      <c r="L5" s="105">
        <v>1</v>
      </c>
      <c r="M5" s="105"/>
      <c r="N5" s="105">
        <v>2</v>
      </c>
      <c r="O5" s="105"/>
      <c r="P5" s="105">
        <v>3</v>
      </c>
      <c r="Q5" s="105"/>
      <c r="R5" s="105">
        <v>4</v>
      </c>
      <c r="S5" s="105"/>
      <c r="T5" s="105">
        <v>1</v>
      </c>
      <c r="U5" s="105"/>
      <c r="V5" s="105">
        <v>2</v>
      </c>
      <c r="W5" s="105"/>
      <c r="X5" s="105">
        <v>3</v>
      </c>
      <c r="Y5" s="105"/>
      <c r="Z5" s="105">
        <v>4</v>
      </c>
      <c r="AA5" s="105"/>
      <c r="AB5" s="105">
        <v>1</v>
      </c>
      <c r="AC5" s="105"/>
      <c r="AD5" s="105">
        <v>2</v>
      </c>
      <c r="AE5" s="105"/>
      <c r="AF5" s="105">
        <v>3</v>
      </c>
      <c r="AG5" s="105"/>
      <c r="AH5" s="105">
        <v>4</v>
      </c>
      <c r="AI5" s="105"/>
      <c r="AJ5" s="105">
        <v>1</v>
      </c>
      <c r="AK5" s="105"/>
      <c r="AL5" s="105">
        <v>2</v>
      </c>
      <c r="AM5" s="105"/>
      <c r="AN5" s="105">
        <v>3</v>
      </c>
      <c r="AO5" s="105"/>
      <c r="AP5" s="105">
        <v>4</v>
      </c>
      <c r="AQ5" s="105"/>
      <c r="AR5" s="105">
        <v>1</v>
      </c>
      <c r="AS5" s="105"/>
      <c r="AT5" s="105">
        <v>2</v>
      </c>
      <c r="AU5" s="105"/>
      <c r="AV5" s="105">
        <v>3</v>
      </c>
      <c r="AW5" s="105"/>
      <c r="AX5" s="105">
        <v>4</v>
      </c>
      <c r="AY5" s="105"/>
      <c r="AZ5" s="105">
        <v>1</v>
      </c>
      <c r="BA5" s="105"/>
      <c r="BB5" s="105">
        <v>2</v>
      </c>
      <c r="BC5" s="105"/>
      <c r="BD5" s="105">
        <v>3</v>
      </c>
      <c r="BE5" s="105"/>
      <c r="BF5" s="105">
        <v>4</v>
      </c>
      <c r="BG5" s="105"/>
      <c r="BH5" s="105">
        <v>1</v>
      </c>
      <c r="BI5" s="105"/>
      <c r="BJ5" s="105">
        <v>2</v>
      </c>
      <c r="BK5" s="105"/>
      <c r="BL5" s="105">
        <v>3</v>
      </c>
      <c r="BM5" s="105"/>
      <c r="BN5" s="105">
        <v>4</v>
      </c>
      <c r="BO5" s="105"/>
      <c r="BP5" s="105">
        <v>1</v>
      </c>
      <c r="BQ5" s="105"/>
      <c r="BR5" s="105">
        <v>2</v>
      </c>
      <c r="BS5" s="105"/>
      <c r="BT5" s="105">
        <v>3</v>
      </c>
      <c r="BU5" s="105"/>
      <c r="BV5" s="105">
        <v>4</v>
      </c>
      <c r="BW5" s="105"/>
      <c r="BX5" s="105">
        <v>1</v>
      </c>
      <c r="BY5" s="105"/>
      <c r="BZ5" s="105">
        <v>2</v>
      </c>
      <c r="CA5" s="105"/>
      <c r="CB5" s="105">
        <v>3</v>
      </c>
      <c r="CC5" s="105"/>
      <c r="CD5" s="105">
        <v>4</v>
      </c>
      <c r="CE5" s="105"/>
      <c r="CF5" s="105">
        <v>1</v>
      </c>
      <c r="CG5" s="105"/>
      <c r="CH5" s="105">
        <v>2</v>
      </c>
      <c r="CI5" s="105"/>
      <c r="CJ5" s="105">
        <v>3</v>
      </c>
      <c r="CK5" s="105"/>
      <c r="CL5" s="105">
        <v>4</v>
      </c>
      <c r="CM5" s="105"/>
      <c r="CN5" s="105">
        <v>1</v>
      </c>
      <c r="CO5" s="105"/>
      <c r="CP5" s="105">
        <v>2</v>
      </c>
      <c r="CQ5" s="105"/>
      <c r="CR5" s="105">
        <v>3</v>
      </c>
      <c r="CS5" s="105"/>
      <c r="CT5" s="105">
        <v>4</v>
      </c>
      <c r="CU5" s="105"/>
    </row>
    <row r="6" spans="1:99" x14ac:dyDescent="0.2">
      <c r="B6" s="105" t="s">
        <v>126</v>
      </c>
      <c r="C6" s="105" t="s">
        <v>172</v>
      </c>
      <c r="D6" s="106">
        <v>11</v>
      </c>
      <c r="E6" s="106">
        <v>7510.7999999999993</v>
      </c>
      <c r="F6" s="106">
        <v>19</v>
      </c>
      <c r="G6" s="106">
        <v>12973.199999999999</v>
      </c>
      <c r="H6" s="106">
        <v>15</v>
      </c>
      <c r="I6" s="106">
        <v>10242</v>
      </c>
      <c r="J6" s="106">
        <v>17</v>
      </c>
      <c r="K6" s="106">
        <v>11607.599999999999</v>
      </c>
      <c r="L6" s="106">
        <v>21</v>
      </c>
      <c r="M6" s="106">
        <v>14338.8</v>
      </c>
      <c r="N6" s="106">
        <v>22</v>
      </c>
      <c r="O6" s="106">
        <v>15021.599999999999</v>
      </c>
      <c r="P6" s="106">
        <v>15</v>
      </c>
      <c r="Q6" s="106">
        <v>10242</v>
      </c>
      <c r="R6" s="106">
        <v>13</v>
      </c>
      <c r="S6" s="106">
        <v>8876.4</v>
      </c>
      <c r="T6" s="106">
        <v>17</v>
      </c>
      <c r="U6" s="106">
        <v>11607.599999999999</v>
      </c>
      <c r="V6" s="106">
        <v>21</v>
      </c>
      <c r="W6" s="106">
        <v>14338.8</v>
      </c>
      <c r="X6" s="106">
        <v>29</v>
      </c>
      <c r="Y6" s="106">
        <v>19801.199999999997</v>
      </c>
      <c r="Z6" s="106">
        <v>31</v>
      </c>
      <c r="AA6" s="106">
        <v>21166.799999999999</v>
      </c>
      <c r="AB6" s="106">
        <v>6</v>
      </c>
      <c r="AC6" s="106">
        <v>4096.7999999999993</v>
      </c>
      <c r="AD6" s="106">
        <v>9</v>
      </c>
      <c r="AE6" s="106">
        <v>6145.2</v>
      </c>
      <c r="AF6" s="106">
        <v>9</v>
      </c>
      <c r="AG6" s="106">
        <v>6145.2</v>
      </c>
      <c r="AH6" s="106">
        <v>6</v>
      </c>
      <c r="AI6" s="106">
        <v>4096.7999999999993</v>
      </c>
      <c r="AJ6" s="106">
        <v>23</v>
      </c>
      <c r="AK6" s="106">
        <v>15704.4</v>
      </c>
      <c r="AL6" s="106">
        <v>20</v>
      </c>
      <c r="AM6" s="106">
        <v>13656</v>
      </c>
      <c r="AN6" s="106">
        <v>16</v>
      </c>
      <c r="AO6" s="106">
        <v>10924.8</v>
      </c>
      <c r="AP6" s="106">
        <v>17</v>
      </c>
      <c r="AQ6" s="106">
        <v>11607.599999999999</v>
      </c>
      <c r="AR6" s="106">
        <v>27</v>
      </c>
      <c r="AS6" s="106">
        <v>18435.599999999999</v>
      </c>
      <c r="AT6" s="106">
        <v>30</v>
      </c>
      <c r="AU6" s="106">
        <v>20484</v>
      </c>
      <c r="AV6" s="106">
        <v>24.446440567341959</v>
      </c>
      <c r="AW6" s="106">
        <v>16692.02961938109</v>
      </c>
      <c r="AX6" s="106">
        <v>28.689213710149165</v>
      </c>
      <c r="AY6" s="106">
        <v>19588.995121289849</v>
      </c>
      <c r="AZ6" s="106">
        <v>30</v>
      </c>
      <c r="BA6" s="106">
        <v>20484</v>
      </c>
      <c r="BB6" s="106">
        <v>20</v>
      </c>
      <c r="BC6" s="106">
        <v>13656</v>
      </c>
      <c r="BD6" s="106">
        <v>26</v>
      </c>
      <c r="BE6" s="106">
        <v>17752.8</v>
      </c>
      <c r="BF6" s="106">
        <v>22</v>
      </c>
      <c r="BG6" s="106">
        <v>15021.599999999999</v>
      </c>
      <c r="BH6" s="106">
        <v>52</v>
      </c>
      <c r="BI6" s="106">
        <v>35505.599999999999</v>
      </c>
      <c r="BJ6" s="106">
        <v>33</v>
      </c>
      <c r="BK6" s="106">
        <v>22532.399999999998</v>
      </c>
      <c r="BL6" s="106">
        <v>56</v>
      </c>
      <c r="BM6" s="106">
        <v>38236.799999999996</v>
      </c>
      <c r="BN6" s="106">
        <v>43</v>
      </c>
      <c r="BO6" s="106">
        <v>29360.399999999998</v>
      </c>
      <c r="BP6" s="106">
        <v>46</v>
      </c>
      <c r="BQ6" s="106">
        <v>31408.799999999999</v>
      </c>
      <c r="BR6" s="106">
        <v>35</v>
      </c>
      <c r="BS6" s="106">
        <v>23898</v>
      </c>
      <c r="BT6" s="106">
        <v>29.124454041374896</v>
      </c>
      <c r="BU6" s="106">
        <v>19886.177219450779</v>
      </c>
      <c r="BV6" s="106">
        <v>37.217817463827934</v>
      </c>
      <c r="BW6" s="106">
        <v>25412.325764301713</v>
      </c>
      <c r="BX6" s="106">
        <v>13.584850462382041</v>
      </c>
      <c r="BY6" s="106">
        <v>9275.735895714457</v>
      </c>
      <c r="BZ6" s="106">
        <v>25.124227785424182</v>
      </c>
      <c r="CA6" s="106">
        <v>17154.822731887631</v>
      </c>
      <c r="CB6" s="106">
        <v>25</v>
      </c>
      <c r="CC6" s="106">
        <v>17070</v>
      </c>
      <c r="CD6" s="106">
        <v>22</v>
      </c>
      <c r="CE6" s="106">
        <v>15021.599999999999</v>
      </c>
      <c r="CF6" s="106">
        <v>14</v>
      </c>
      <c r="CG6" s="106">
        <v>9559.1999999999989</v>
      </c>
      <c r="CH6" s="106">
        <v>8</v>
      </c>
      <c r="CI6" s="106">
        <v>5462.4</v>
      </c>
      <c r="CJ6" s="106">
        <v>9</v>
      </c>
      <c r="CK6" s="106">
        <v>6145.2</v>
      </c>
      <c r="CL6" s="106">
        <v>12</v>
      </c>
      <c r="CM6" s="106">
        <v>8193.5999999999985</v>
      </c>
      <c r="CN6" s="106">
        <v>25</v>
      </c>
      <c r="CO6" s="106">
        <v>17070</v>
      </c>
      <c r="CP6" s="106">
        <v>18</v>
      </c>
      <c r="CQ6" s="106">
        <v>12290.4</v>
      </c>
      <c r="CR6" s="106">
        <v>14</v>
      </c>
      <c r="CS6" s="106">
        <v>9559.1999999999989</v>
      </c>
      <c r="CT6" s="106">
        <v>19</v>
      </c>
      <c r="CU6" s="106">
        <v>12973.199999999999</v>
      </c>
    </row>
    <row r="7" spans="1:99" x14ac:dyDescent="0.2">
      <c r="C7" s="105" t="s">
        <v>173</v>
      </c>
      <c r="D7" s="106">
        <v>10</v>
      </c>
      <c r="E7" s="106">
        <v>8628</v>
      </c>
      <c r="F7" s="106">
        <v>16</v>
      </c>
      <c r="G7" s="106">
        <v>13804.8</v>
      </c>
      <c r="H7" s="106">
        <v>15</v>
      </c>
      <c r="I7" s="106">
        <v>12942</v>
      </c>
      <c r="J7" s="106">
        <v>17</v>
      </c>
      <c r="K7" s="106">
        <v>14667.599999999999</v>
      </c>
      <c r="L7" s="106">
        <v>24</v>
      </c>
      <c r="M7" s="106">
        <v>20707.199999999997</v>
      </c>
      <c r="N7" s="106">
        <v>18</v>
      </c>
      <c r="O7" s="106">
        <v>15530.4</v>
      </c>
      <c r="P7" s="106">
        <v>14</v>
      </c>
      <c r="Q7" s="106">
        <v>12079.199999999999</v>
      </c>
      <c r="R7" s="106">
        <v>13</v>
      </c>
      <c r="S7" s="106">
        <v>11216.4</v>
      </c>
      <c r="T7" s="106">
        <v>17</v>
      </c>
      <c r="U7" s="106">
        <v>14667.599999999999</v>
      </c>
      <c r="V7" s="106">
        <v>20</v>
      </c>
      <c r="W7" s="106">
        <v>17256</v>
      </c>
      <c r="X7" s="106">
        <v>28</v>
      </c>
      <c r="Y7" s="106">
        <v>24158.399999999998</v>
      </c>
      <c r="Z7" s="106">
        <v>31</v>
      </c>
      <c r="AA7" s="106">
        <v>26746.799999999999</v>
      </c>
      <c r="AB7" s="106">
        <v>7</v>
      </c>
      <c r="AC7" s="106">
        <v>6039.5999999999995</v>
      </c>
      <c r="AD7" s="106">
        <v>9</v>
      </c>
      <c r="AE7" s="106">
        <v>7765.2</v>
      </c>
      <c r="AF7" s="106">
        <v>8</v>
      </c>
      <c r="AG7" s="106">
        <v>6902.4</v>
      </c>
      <c r="AH7" s="106">
        <v>6</v>
      </c>
      <c r="AI7" s="106">
        <v>5176.7999999999993</v>
      </c>
      <c r="AJ7" s="106">
        <v>24</v>
      </c>
      <c r="AK7" s="106">
        <v>20707.199999999997</v>
      </c>
      <c r="AL7" s="106">
        <v>20</v>
      </c>
      <c r="AM7" s="106">
        <v>17256</v>
      </c>
      <c r="AN7" s="106">
        <v>19</v>
      </c>
      <c r="AO7" s="106">
        <v>16393.2</v>
      </c>
      <c r="AP7" s="106">
        <v>16</v>
      </c>
      <c r="AQ7" s="106">
        <v>13804.8</v>
      </c>
      <c r="AR7" s="106">
        <v>24</v>
      </c>
      <c r="AS7" s="106">
        <v>20707.199999999997</v>
      </c>
      <c r="AT7" s="106">
        <v>30</v>
      </c>
      <c r="AU7" s="106">
        <v>25884</v>
      </c>
      <c r="AV7" s="106">
        <v>26.402155812729319</v>
      </c>
      <c r="AW7" s="106">
        <v>22779.780035222855</v>
      </c>
      <c r="AX7" s="106">
        <v>24.704600694850669</v>
      </c>
      <c r="AY7" s="106">
        <v>21315.129479517156</v>
      </c>
      <c r="AZ7" s="106">
        <v>27</v>
      </c>
      <c r="BA7" s="106">
        <v>23295.599999999999</v>
      </c>
      <c r="BB7" s="106">
        <v>17</v>
      </c>
      <c r="BC7" s="106">
        <v>14667.599999999999</v>
      </c>
      <c r="BD7" s="106">
        <v>26</v>
      </c>
      <c r="BE7" s="106">
        <v>22432.799999999999</v>
      </c>
      <c r="BF7" s="106">
        <v>19</v>
      </c>
      <c r="BG7" s="106">
        <v>16393.2</v>
      </c>
      <c r="BH7" s="106">
        <v>49</v>
      </c>
      <c r="BI7" s="106">
        <v>42277.2</v>
      </c>
      <c r="BJ7" s="106">
        <v>28</v>
      </c>
      <c r="BK7" s="106">
        <v>24158.399999999998</v>
      </c>
      <c r="BL7" s="106">
        <v>49</v>
      </c>
      <c r="BM7" s="106">
        <v>42277.2</v>
      </c>
      <c r="BN7" s="106">
        <v>37</v>
      </c>
      <c r="BO7" s="106">
        <v>31923.599999999999</v>
      </c>
      <c r="BP7" s="106">
        <v>47</v>
      </c>
      <c r="BQ7" s="106">
        <v>40551.599999999999</v>
      </c>
      <c r="BR7" s="106">
        <v>33</v>
      </c>
      <c r="BS7" s="106">
        <v>28472.399999999998</v>
      </c>
      <c r="BT7" s="106">
        <v>25.366459971520069</v>
      </c>
      <c r="BU7" s="106">
        <v>21886.181663427513</v>
      </c>
      <c r="BV7" s="106">
        <v>39.285473989596156</v>
      </c>
      <c r="BW7" s="106">
        <v>33895.506958223559</v>
      </c>
      <c r="BX7" s="106">
        <v>14.009377039331479</v>
      </c>
      <c r="BY7" s="106">
        <v>12087.2905095352</v>
      </c>
      <c r="BZ7" s="106">
        <v>25.909359903718688</v>
      </c>
      <c r="CA7" s="106">
        <v>22354.595724928484</v>
      </c>
      <c r="CB7" s="106">
        <v>23</v>
      </c>
      <c r="CC7" s="106">
        <v>19844.399999999998</v>
      </c>
      <c r="CD7" s="106">
        <v>20</v>
      </c>
      <c r="CE7" s="106">
        <v>17256</v>
      </c>
      <c r="CF7" s="106">
        <v>13</v>
      </c>
      <c r="CG7" s="106">
        <v>11216.4</v>
      </c>
      <c r="CH7" s="106">
        <v>8</v>
      </c>
      <c r="CI7" s="106">
        <v>6902.4</v>
      </c>
      <c r="CJ7" s="106">
        <v>10</v>
      </c>
      <c r="CK7" s="106">
        <v>8628</v>
      </c>
      <c r="CL7" s="106">
        <v>13</v>
      </c>
      <c r="CM7" s="106">
        <v>11216.4</v>
      </c>
      <c r="CN7" s="106">
        <v>24</v>
      </c>
      <c r="CO7" s="106">
        <v>20707.199999999997</v>
      </c>
      <c r="CP7" s="106">
        <v>20</v>
      </c>
      <c r="CQ7" s="106">
        <v>17256</v>
      </c>
      <c r="CR7" s="106">
        <v>15</v>
      </c>
      <c r="CS7" s="106">
        <v>12942</v>
      </c>
      <c r="CT7" s="106">
        <v>18</v>
      </c>
      <c r="CU7" s="106">
        <v>15530.4</v>
      </c>
    </row>
    <row r="8" spans="1:99" x14ac:dyDescent="0.2">
      <c r="C8" s="105" t="s">
        <v>174</v>
      </c>
      <c r="D8" s="106">
        <v>11</v>
      </c>
      <c r="E8" s="106">
        <v>3603.5999999999995</v>
      </c>
      <c r="F8" s="106">
        <v>18</v>
      </c>
      <c r="G8" s="106">
        <v>5896.7999999999993</v>
      </c>
      <c r="H8" s="106">
        <v>17</v>
      </c>
      <c r="I8" s="106">
        <v>5569.2</v>
      </c>
      <c r="J8" s="106">
        <v>16</v>
      </c>
      <c r="K8" s="106">
        <v>5241.5999999999995</v>
      </c>
      <c r="L8" s="106">
        <v>24</v>
      </c>
      <c r="M8" s="106">
        <v>7862.4</v>
      </c>
      <c r="N8" s="106">
        <v>22</v>
      </c>
      <c r="O8" s="106">
        <v>7207.1999999999989</v>
      </c>
      <c r="P8" s="106">
        <v>17</v>
      </c>
      <c r="Q8" s="106">
        <v>5569.2</v>
      </c>
      <c r="R8" s="106">
        <v>13</v>
      </c>
      <c r="S8" s="106">
        <v>4258.7999999999993</v>
      </c>
      <c r="T8" s="106">
        <v>20</v>
      </c>
      <c r="U8" s="106">
        <v>6551.9999999999991</v>
      </c>
      <c r="V8" s="106">
        <v>26</v>
      </c>
      <c r="W8" s="106">
        <v>8517.5999999999985</v>
      </c>
      <c r="X8" s="106">
        <v>35</v>
      </c>
      <c r="Y8" s="106">
        <v>11465.999999999998</v>
      </c>
      <c r="Z8" s="106">
        <v>39</v>
      </c>
      <c r="AA8" s="106">
        <v>12776.399999999998</v>
      </c>
      <c r="AB8" s="106">
        <v>7</v>
      </c>
      <c r="AC8" s="106">
        <v>2293.1999999999998</v>
      </c>
      <c r="AD8" s="106">
        <v>10</v>
      </c>
      <c r="AE8" s="106">
        <v>3275.9999999999995</v>
      </c>
      <c r="AF8" s="106">
        <v>10</v>
      </c>
      <c r="AG8" s="106">
        <v>3275.9999999999995</v>
      </c>
      <c r="AH8" s="106">
        <v>5</v>
      </c>
      <c r="AI8" s="106">
        <v>1637.9999999999998</v>
      </c>
      <c r="AJ8" s="106">
        <v>26</v>
      </c>
      <c r="AK8" s="106">
        <v>8517.5999999999985</v>
      </c>
      <c r="AL8" s="106">
        <v>22</v>
      </c>
      <c r="AM8" s="106">
        <v>7207.1999999999989</v>
      </c>
      <c r="AN8" s="106">
        <v>20</v>
      </c>
      <c r="AO8" s="106">
        <v>6551.9999999999991</v>
      </c>
      <c r="AP8" s="106">
        <v>17</v>
      </c>
      <c r="AQ8" s="106">
        <v>5569.2</v>
      </c>
      <c r="AR8" s="106">
        <v>29</v>
      </c>
      <c r="AS8" s="106">
        <v>9500.4</v>
      </c>
      <c r="AT8" s="106">
        <v>37</v>
      </c>
      <c r="AU8" s="106">
        <v>12121.199999999999</v>
      </c>
      <c r="AV8" s="106">
        <v>27.380013435422992</v>
      </c>
      <c r="AW8" s="106">
        <v>8969.6924014445704</v>
      </c>
      <c r="AX8" s="106">
        <v>30.283058916268562</v>
      </c>
      <c r="AY8" s="106">
        <v>9920.7301009695802</v>
      </c>
      <c r="AZ8" s="106">
        <v>28</v>
      </c>
      <c r="BA8" s="106">
        <v>9172.7999999999993</v>
      </c>
      <c r="BB8" s="106">
        <v>20</v>
      </c>
      <c r="BC8" s="106">
        <v>6551.9999999999991</v>
      </c>
      <c r="BD8" s="106">
        <v>28</v>
      </c>
      <c r="BE8" s="106">
        <v>9172.7999999999993</v>
      </c>
      <c r="BF8" s="106">
        <v>21</v>
      </c>
      <c r="BG8" s="106">
        <v>6879.5999999999995</v>
      </c>
      <c r="BH8" s="106">
        <v>47</v>
      </c>
      <c r="BI8" s="106">
        <v>15397.199999999999</v>
      </c>
      <c r="BJ8" s="106">
        <v>37</v>
      </c>
      <c r="BK8" s="106">
        <v>12121.199999999999</v>
      </c>
      <c r="BL8" s="106">
        <v>57</v>
      </c>
      <c r="BM8" s="106">
        <v>18673.199999999997</v>
      </c>
      <c r="BN8" s="106">
        <v>44</v>
      </c>
      <c r="BO8" s="106">
        <v>14414.399999999998</v>
      </c>
      <c r="BP8" s="106">
        <v>44</v>
      </c>
      <c r="BQ8" s="106">
        <v>14414.399999999998</v>
      </c>
      <c r="BR8" s="106">
        <v>35</v>
      </c>
      <c r="BS8" s="106">
        <v>11465.999999999998</v>
      </c>
      <c r="BT8" s="106">
        <v>30.063952558838604</v>
      </c>
      <c r="BU8" s="106">
        <v>9848.9508582755261</v>
      </c>
      <c r="BV8" s="106">
        <v>40.663911673441632</v>
      </c>
      <c r="BW8" s="106">
        <v>13321.497464219477</v>
      </c>
      <c r="BX8" s="106">
        <v>14.433903616280919</v>
      </c>
      <c r="BY8" s="106">
        <v>4728.5468246936289</v>
      </c>
      <c r="BZ8" s="106">
        <v>24.33909566712968</v>
      </c>
      <c r="CA8" s="106">
        <v>7973.4877405516827</v>
      </c>
      <c r="CB8" s="106">
        <v>27</v>
      </c>
      <c r="CC8" s="106">
        <v>8845.1999999999989</v>
      </c>
      <c r="CD8" s="106">
        <v>23</v>
      </c>
      <c r="CE8" s="106">
        <v>7534.7999999999993</v>
      </c>
      <c r="CF8" s="106">
        <v>15</v>
      </c>
      <c r="CG8" s="106">
        <v>4913.9999999999991</v>
      </c>
      <c r="CH8" s="106">
        <v>9</v>
      </c>
      <c r="CI8" s="106">
        <v>2948.3999999999996</v>
      </c>
      <c r="CJ8" s="106">
        <v>10</v>
      </c>
      <c r="CK8" s="106">
        <v>3275.9999999999995</v>
      </c>
      <c r="CL8" s="106">
        <v>14</v>
      </c>
      <c r="CM8" s="106">
        <v>4586.3999999999996</v>
      </c>
      <c r="CN8" s="106">
        <v>24</v>
      </c>
      <c r="CO8" s="106">
        <v>7862.4</v>
      </c>
      <c r="CP8" s="106">
        <v>22</v>
      </c>
      <c r="CQ8" s="106">
        <v>7207.1999999999989</v>
      </c>
      <c r="CR8" s="106">
        <v>15</v>
      </c>
      <c r="CS8" s="106">
        <v>4913.9999999999991</v>
      </c>
      <c r="CT8" s="106">
        <v>20</v>
      </c>
      <c r="CU8" s="106">
        <v>6551.9999999999991</v>
      </c>
    </row>
    <row r="9" spans="1:99" x14ac:dyDescent="0.2">
      <c r="C9" s="105" t="s">
        <v>175</v>
      </c>
      <c r="D9" s="106">
        <v>10</v>
      </c>
      <c r="E9" s="106">
        <v>8028</v>
      </c>
      <c r="F9" s="106">
        <v>19</v>
      </c>
      <c r="G9" s="106">
        <v>15253.199999999999</v>
      </c>
      <c r="H9" s="106">
        <v>15</v>
      </c>
      <c r="I9" s="106">
        <v>12042</v>
      </c>
      <c r="J9" s="106">
        <v>17</v>
      </c>
      <c r="K9" s="106">
        <v>13647.599999999999</v>
      </c>
      <c r="L9" s="106">
        <v>24</v>
      </c>
      <c r="M9" s="106">
        <v>19267.199999999997</v>
      </c>
      <c r="N9" s="106">
        <v>21</v>
      </c>
      <c r="O9" s="106">
        <v>16858.8</v>
      </c>
      <c r="P9" s="106">
        <v>14</v>
      </c>
      <c r="Q9" s="106">
        <v>11239.199999999999</v>
      </c>
      <c r="R9" s="106">
        <v>14</v>
      </c>
      <c r="S9" s="106">
        <v>11239.199999999999</v>
      </c>
      <c r="T9" s="106">
        <v>17</v>
      </c>
      <c r="U9" s="106">
        <v>13647.599999999999</v>
      </c>
      <c r="V9" s="106">
        <v>20</v>
      </c>
      <c r="W9" s="106">
        <v>16056</v>
      </c>
      <c r="X9" s="106">
        <v>29</v>
      </c>
      <c r="Y9" s="106">
        <v>23281.199999999997</v>
      </c>
      <c r="Z9" s="106">
        <v>34</v>
      </c>
      <c r="AA9" s="106">
        <v>27295.199999999997</v>
      </c>
      <c r="AB9" s="106">
        <v>6</v>
      </c>
      <c r="AC9" s="106">
        <v>4816.7999999999993</v>
      </c>
      <c r="AD9" s="106">
        <v>9</v>
      </c>
      <c r="AE9" s="106">
        <v>7225.2</v>
      </c>
      <c r="AF9" s="106">
        <v>8</v>
      </c>
      <c r="AG9" s="106">
        <v>6422.4</v>
      </c>
      <c r="AH9" s="106">
        <v>5</v>
      </c>
      <c r="AI9" s="106">
        <v>4014</v>
      </c>
      <c r="AJ9" s="106">
        <v>26</v>
      </c>
      <c r="AK9" s="106">
        <v>20872.8</v>
      </c>
      <c r="AL9" s="106">
        <v>19</v>
      </c>
      <c r="AM9" s="106">
        <v>15253.199999999999</v>
      </c>
      <c r="AN9" s="106">
        <v>19</v>
      </c>
      <c r="AO9" s="106">
        <v>15253.199999999999</v>
      </c>
      <c r="AP9" s="106">
        <v>18</v>
      </c>
      <c r="AQ9" s="106">
        <v>14450.4</v>
      </c>
      <c r="AR9" s="106">
        <v>22</v>
      </c>
      <c r="AS9" s="106">
        <v>17661.599999999999</v>
      </c>
      <c r="AT9" s="106">
        <v>35</v>
      </c>
      <c r="AU9" s="106">
        <v>28098</v>
      </c>
      <c r="AV9" s="106">
        <v>25.424298190035639</v>
      </c>
      <c r="AW9" s="106">
        <v>20410.62658696061</v>
      </c>
      <c r="AX9" s="106">
        <v>28.689213710149165</v>
      </c>
      <c r="AY9" s="106">
        <v>23031.700766507747</v>
      </c>
      <c r="AZ9" s="106">
        <v>26</v>
      </c>
      <c r="BA9" s="106">
        <v>20872.8</v>
      </c>
      <c r="BB9" s="106">
        <v>19</v>
      </c>
      <c r="BC9" s="106">
        <v>15253.199999999999</v>
      </c>
      <c r="BD9" s="106">
        <v>30</v>
      </c>
      <c r="BE9" s="106">
        <v>24084</v>
      </c>
      <c r="BF9" s="106">
        <v>21</v>
      </c>
      <c r="BG9" s="106">
        <v>16858.8</v>
      </c>
      <c r="BH9" s="106">
        <v>45</v>
      </c>
      <c r="BI9" s="106">
        <v>36126</v>
      </c>
      <c r="BJ9" s="106">
        <v>30</v>
      </c>
      <c r="BK9" s="106">
        <v>24084</v>
      </c>
      <c r="BL9" s="106">
        <v>56</v>
      </c>
      <c r="BM9" s="106">
        <v>44956.799999999996</v>
      </c>
      <c r="BN9" s="106">
        <v>42</v>
      </c>
      <c r="BO9" s="106">
        <v>33717.599999999999</v>
      </c>
      <c r="BP9" s="106">
        <v>48</v>
      </c>
      <c r="BQ9" s="106">
        <v>38534.399999999994</v>
      </c>
      <c r="BR9" s="106">
        <v>30</v>
      </c>
      <c r="BS9" s="106">
        <v>24084</v>
      </c>
      <c r="BT9" s="106">
        <v>26.305958488983777</v>
      </c>
      <c r="BU9" s="106">
        <v>21118.423474956173</v>
      </c>
      <c r="BV9" s="106">
        <v>34.460942096136975</v>
      </c>
      <c r="BW9" s="106">
        <v>27665.244314778764</v>
      </c>
      <c r="BX9" s="106">
        <v>14.433903616280919</v>
      </c>
      <c r="BY9" s="106">
        <v>11587.53782315032</v>
      </c>
      <c r="BZ9" s="106">
        <v>24.33909566712968</v>
      </c>
      <c r="CA9" s="106">
        <v>19539.426001571705</v>
      </c>
      <c r="CB9" s="106">
        <v>26</v>
      </c>
      <c r="CC9" s="106">
        <v>20872.8</v>
      </c>
      <c r="CD9" s="106">
        <v>21</v>
      </c>
      <c r="CE9" s="106">
        <v>16858.8</v>
      </c>
      <c r="CF9" s="106">
        <v>16</v>
      </c>
      <c r="CG9" s="106">
        <v>12844.8</v>
      </c>
      <c r="CH9" s="106">
        <v>8</v>
      </c>
      <c r="CI9" s="106">
        <v>6422.4</v>
      </c>
      <c r="CJ9" s="106">
        <v>9</v>
      </c>
      <c r="CK9" s="106">
        <v>7225.2</v>
      </c>
      <c r="CL9" s="106">
        <v>13</v>
      </c>
      <c r="CM9" s="106">
        <v>10436.4</v>
      </c>
      <c r="CN9" s="106">
        <v>25</v>
      </c>
      <c r="CO9" s="106">
        <v>20070</v>
      </c>
      <c r="CP9" s="106">
        <v>18</v>
      </c>
      <c r="CQ9" s="106">
        <v>14450.4</v>
      </c>
      <c r="CR9" s="106">
        <v>15</v>
      </c>
      <c r="CS9" s="106">
        <v>12042</v>
      </c>
      <c r="CT9" s="106">
        <v>19</v>
      </c>
      <c r="CU9" s="106">
        <v>15253.199999999999</v>
      </c>
    </row>
    <row r="10" spans="1:99" x14ac:dyDescent="0.2">
      <c r="C10" s="105" t="s">
        <v>176</v>
      </c>
      <c r="D10" s="106">
        <v>11</v>
      </c>
      <c r="E10" s="106">
        <v>6124.7999999999993</v>
      </c>
      <c r="F10" s="106">
        <v>18</v>
      </c>
      <c r="G10" s="106">
        <v>10022.4</v>
      </c>
      <c r="H10" s="106">
        <v>18</v>
      </c>
      <c r="I10" s="106">
        <v>10022.4</v>
      </c>
      <c r="J10" s="106">
        <v>17</v>
      </c>
      <c r="K10" s="106">
        <v>9465.5999999999985</v>
      </c>
      <c r="L10" s="106">
        <v>25</v>
      </c>
      <c r="M10" s="106">
        <v>13919.999999999998</v>
      </c>
      <c r="N10" s="106">
        <v>20</v>
      </c>
      <c r="O10" s="106">
        <v>11136</v>
      </c>
      <c r="P10" s="106">
        <v>14</v>
      </c>
      <c r="Q10" s="106">
        <v>7795.1999999999989</v>
      </c>
      <c r="R10" s="106">
        <v>14</v>
      </c>
      <c r="S10" s="106">
        <v>7795.1999999999989</v>
      </c>
      <c r="T10" s="106">
        <v>22</v>
      </c>
      <c r="U10" s="106">
        <v>12249.599999999999</v>
      </c>
      <c r="V10" s="106">
        <v>22</v>
      </c>
      <c r="W10" s="106">
        <v>12249.599999999999</v>
      </c>
      <c r="X10" s="106">
        <v>33</v>
      </c>
      <c r="Y10" s="106">
        <v>18374.399999999998</v>
      </c>
      <c r="Z10" s="106">
        <v>35</v>
      </c>
      <c r="AA10" s="106">
        <v>19488</v>
      </c>
      <c r="AB10" s="106">
        <v>7</v>
      </c>
      <c r="AC10" s="106">
        <v>3897.5999999999995</v>
      </c>
      <c r="AD10" s="106">
        <v>9</v>
      </c>
      <c r="AE10" s="106">
        <v>5011.2</v>
      </c>
      <c r="AF10" s="106">
        <v>9</v>
      </c>
      <c r="AG10" s="106">
        <v>5011.2</v>
      </c>
      <c r="AH10" s="106">
        <v>6</v>
      </c>
      <c r="AI10" s="106">
        <v>3340.7999999999997</v>
      </c>
      <c r="AJ10" s="106">
        <v>24</v>
      </c>
      <c r="AK10" s="106">
        <v>13363.199999999999</v>
      </c>
      <c r="AL10" s="106">
        <v>20</v>
      </c>
      <c r="AM10" s="106">
        <v>11136</v>
      </c>
      <c r="AN10" s="106">
        <v>17</v>
      </c>
      <c r="AO10" s="106">
        <v>9465.5999999999985</v>
      </c>
      <c r="AP10" s="106">
        <v>18</v>
      </c>
      <c r="AQ10" s="106">
        <v>10022.4</v>
      </c>
      <c r="AR10" s="106">
        <v>24</v>
      </c>
      <c r="AS10" s="106">
        <v>13363.199999999999</v>
      </c>
      <c r="AT10" s="106">
        <v>37</v>
      </c>
      <c r="AU10" s="106">
        <v>20601.599999999999</v>
      </c>
      <c r="AV10" s="106">
        <v>27.380013435422992</v>
      </c>
      <c r="AW10" s="106">
        <v>15245.191480843521</v>
      </c>
      <c r="AX10" s="106">
        <v>30.283058916268562</v>
      </c>
      <c r="AY10" s="106">
        <v>16861.607204578333</v>
      </c>
      <c r="AZ10" s="106">
        <v>26</v>
      </c>
      <c r="BA10" s="106">
        <v>14476.8</v>
      </c>
      <c r="BB10" s="106">
        <v>20</v>
      </c>
      <c r="BC10" s="106">
        <v>11136</v>
      </c>
      <c r="BD10" s="106">
        <v>26</v>
      </c>
      <c r="BE10" s="106">
        <v>14476.8</v>
      </c>
      <c r="BF10" s="106">
        <v>20</v>
      </c>
      <c r="BG10" s="106">
        <v>11136</v>
      </c>
      <c r="BH10" s="106">
        <v>49</v>
      </c>
      <c r="BI10" s="106">
        <v>27283.199999999997</v>
      </c>
      <c r="BJ10" s="106">
        <v>34</v>
      </c>
      <c r="BK10" s="106">
        <v>18931.199999999997</v>
      </c>
      <c r="BL10" s="106">
        <v>58</v>
      </c>
      <c r="BM10" s="106">
        <v>32294.399999999998</v>
      </c>
      <c r="BN10" s="106">
        <v>40</v>
      </c>
      <c r="BO10" s="106">
        <v>22272</v>
      </c>
      <c r="BP10" s="106">
        <v>51</v>
      </c>
      <c r="BQ10" s="106">
        <v>28396.799999999999</v>
      </c>
      <c r="BR10" s="106">
        <v>32</v>
      </c>
      <c r="BS10" s="106">
        <v>17817.599999999999</v>
      </c>
      <c r="BT10" s="106">
        <v>27.245457006447484</v>
      </c>
      <c r="BU10" s="106">
        <v>15170.270461189959</v>
      </c>
      <c r="BV10" s="106">
        <v>41.35313051536437</v>
      </c>
      <c r="BW10" s="106">
        <v>23025.423070954879</v>
      </c>
      <c r="BX10" s="106">
        <v>15.282956770179798</v>
      </c>
      <c r="BY10" s="106">
        <v>8509.5503296361112</v>
      </c>
      <c r="BZ10" s="106">
        <v>23.553963548835174</v>
      </c>
      <c r="CA10" s="106">
        <v>13114.846903991423</v>
      </c>
      <c r="CB10" s="106">
        <v>26</v>
      </c>
      <c r="CC10" s="106">
        <v>14476.8</v>
      </c>
      <c r="CD10" s="106">
        <v>25</v>
      </c>
      <c r="CE10" s="106">
        <v>13919.999999999998</v>
      </c>
      <c r="CF10" s="106">
        <v>15</v>
      </c>
      <c r="CG10" s="106">
        <v>8352</v>
      </c>
      <c r="CH10" s="106">
        <v>9</v>
      </c>
      <c r="CI10" s="106">
        <v>5011.2</v>
      </c>
      <c r="CJ10" s="106">
        <v>10</v>
      </c>
      <c r="CK10" s="106">
        <v>5568</v>
      </c>
      <c r="CL10" s="106">
        <v>13</v>
      </c>
      <c r="CM10" s="106">
        <v>7238.4</v>
      </c>
      <c r="CN10" s="106">
        <v>22</v>
      </c>
      <c r="CO10" s="106">
        <v>12249.599999999999</v>
      </c>
      <c r="CP10" s="106">
        <v>21</v>
      </c>
      <c r="CQ10" s="106">
        <v>11692.8</v>
      </c>
      <c r="CR10" s="106">
        <v>16</v>
      </c>
      <c r="CS10" s="106">
        <v>8908.7999999999993</v>
      </c>
      <c r="CT10" s="106">
        <v>18</v>
      </c>
      <c r="CU10" s="106">
        <v>10022.4</v>
      </c>
    </row>
    <row r="11" spans="1:99" x14ac:dyDescent="0.2">
      <c r="C11" s="105" t="s">
        <v>177</v>
      </c>
      <c r="D11" s="106">
        <v>10</v>
      </c>
      <c r="E11" s="106">
        <v>5988</v>
      </c>
      <c r="F11" s="106">
        <v>17</v>
      </c>
      <c r="G11" s="106">
        <v>10179.599999999999</v>
      </c>
      <c r="H11" s="106">
        <v>16</v>
      </c>
      <c r="I11" s="106">
        <v>9580.7999999999993</v>
      </c>
      <c r="J11" s="106">
        <v>17</v>
      </c>
      <c r="K11" s="106">
        <v>10179.599999999999</v>
      </c>
      <c r="L11" s="106">
        <v>23</v>
      </c>
      <c r="M11" s="106">
        <v>13772.4</v>
      </c>
      <c r="N11" s="106">
        <v>20</v>
      </c>
      <c r="O11" s="106">
        <v>11976</v>
      </c>
      <c r="P11" s="106">
        <v>14</v>
      </c>
      <c r="Q11" s="106">
        <v>8383.1999999999989</v>
      </c>
      <c r="R11" s="106">
        <v>13</v>
      </c>
      <c r="S11" s="106">
        <v>7784.4</v>
      </c>
      <c r="T11" s="106">
        <v>21</v>
      </c>
      <c r="U11" s="106">
        <v>12574.8</v>
      </c>
      <c r="V11" s="106">
        <v>23</v>
      </c>
      <c r="W11" s="106">
        <v>13772.4</v>
      </c>
      <c r="X11" s="106">
        <v>31</v>
      </c>
      <c r="Y11" s="106">
        <v>18562.8</v>
      </c>
      <c r="Z11" s="106">
        <v>36</v>
      </c>
      <c r="AA11" s="106">
        <v>21556.799999999999</v>
      </c>
      <c r="AB11" s="106">
        <v>7</v>
      </c>
      <c r="AC11" s="106">
        <v>4191.5999999999995</v>
      </c>
      <c r="AD11" s="106">
        <v>8</v>
      </c>
      <c r="AE11" s="106">
        <v>4790.3999999999996</v>
      </c>
      <c r="AF11" s="106">
        <v>10</v>
      </c>
      <c r="AG11" s="106">
        <v>5988</v>
      </c>
      <c r="AH11" s="106">
        <v>6</v>
      </c>
      <c r="AI11" s="106">
        <v>3592.7999999999997</v>
      </c>
      <c r="AJ11" s="106">
        <v>24</v>
      </c>
      <c r="AK11" s="106">
        <v>14371.199999999999</v>
      </c>
      <c r="AL11" s="106">
        <v>21</v>
      </c>
      <c r="AM11" s="106">
        <v>12574.8</v>
      </c>
      <c r="AN11" s="106">
        <v>19</v>
      </c>
      <c r="AO11" s="106">
        <v>11377.199999999999</v>
      </c>
      <c r="AP11" s="106">
        <v>18</v>
      </c>
      <c r="AQ11" s="106">
        <v>10778.4</v>
      </c>
      <c r="AR11" s="106">
        <v>24</v>
      </c>
      <c r="AS11" s="106">
        <v>14371.199999999999</v>
      </c>
      <c r="AT11" s="106">
        <v>35</v>
      </c>
      <c r="AU11" s="106">
        <v>20958</v>
      </c>
      <c r="AV11" s="106">
        <v>26.402155812729319</v>
      </c>
      <c r="AW11" s="106">
        <v>15809.610900662316</v>
      </c>
      <c r="AX11" s="106">
        <v>27.095368504029768</v>
      </c>
      <c r="AY11" s="106">
        <v>16224.706660213023</v>
      </c>
      <c r="AZ11" s="106">
        <v>30</v>
      </c>
      <c r="BA11" s="106">
        <v>17964</v>
      </c>
      <c r="BB11" s="106">
        <v>20</v>
      </c>
      <c r="BC11" s="106">
        <v>11976</v>
      </c>
      <c r="BD11" s="106">
        <v>29</v>
      </c>
      <c r="BE11" s="106">
        <v>17365.199999999997</v>
      </c>
      <c r="BF11" s="106">
        <v>20</v>
      </c>
      <c r="BG11" s="106">
        <v>11976</v>
      </c>
      <c r="BH11" s="106">
        <v>51</v>
      </c>
      <c r="BI11" s="106">
        <v>30538.799999999999</v>
      </c>
      <c r="BJ11" s="106">
        <v>30</v>
      </c>
      <c r="BK11" s="106">
        <v>17964</v>
      </c>
      <c r="BL11" s="106">
        <v>54</v>
      </c>
      <c r="BM11" s="106">
        <v>32335.199999999997</v>
      </c>
      <c r="BN11" s="106">
        <v>40</v>
      </c>
      <c r="BO11" s="106">
        <v>23952</v>
      </c>
      <c r="BP11" s="106">
        <v>42</v>
      </c>
      <c r="BQ11" s="106">
        <v>25149.599999999999</v>
      </c>
      <c r="BR11" s="106">
        <v>35</v>
      </c>
      <c r="BS11" s="106">
        <v>20958</v>
      </c>
      <c r="BT11" s="106">
        <v>31.942949593766016</v>
      </c>
      <c r="BU11" s="106">
        <v>19127.43821674709</v>
      </c>
      <c r="BV11" s="106">
        <v>35.15016093805972</v>
      </c>
      <c r="BW11" s="106">
        <v>21047.916369710158</v>
      </c>
      <c r="BX11" s="106">
        <v>15.707483347129234</v>
      </c>
      <c r="BY11" s="106">
        <v>9405.641028260985</v>
      </c>
      <c r="BZ11" s="106">
        <v>25.124227785424182</v>
      </c>
      <c r="CA11" s="106">
        <v>15044.387597911998</v>
      </c>
      <c r="CB11" s="106">
        <v>25</v>
      </c>
      <c r="CC11" s="106">
        <v>14969.999999999998</v>
      </c>
      <c r="CD11" s="106">
        <v>23</v>
      </c>
      <c r="CE11" s="106">
        <v>13772.4</v>
      </c>
      <c r="CF11" s="106">
        <v>15</v>
      </c>
      <c r="CG11" s="106">
        <v>8982</v>
      </c>
      <c r="CH11" s="106">
        <v>9</v>
      </c>
      <c r="CI11" s="106">
        <v>5389.2</v>
      </c>
      <c r="CJ11" s="106">
        <v>9</v>
      </c>
      <c r="CK11" s="106">
        <v>5389.2</v>
      </c>
      <c r="CL11" s="106">
        <v>13</v>
      </c>
      <c r="CM11" s="106">
        <v>7784.4</v>
      </c>
      <c r="CN11" s="106">
        <v>22</v>
      </c>
      <c r="CO11" s="106">
        <v>13173.599999999999</v>
      </c>
      <c r="CP11" s="106">
        <v>21</v>
      </c>
      <c r="CQ11" s="106">
        <v>12574.8</v>
      </c>
      <c r="CR11" s="106">
        <v>15</v>
      </c>
      <c r="CS11" s="106">
        <v>8982</v>
      </c>
      <c r="CT11" s="106">
        <v>19</v>
      </c>
      <c r="CU11" s="106">
        <v>11377.199999999999</v>
      </c>
    </row>
    <row r="12" spans="1:99" x14ac:dyDescent="0.2">
      <c r="C12" s="105" t="s">
        <v>178</v>
      </c>
      <c r="D12" s="106">
        <v>10</v>
      </c>
      <c r="E12" s="106">
        <v>6048</v>
      </c>
      <c r="F12" s="106">
        <v>16</v>
      </c>
      <c r="G12" s="106">
        <v>9676.7999999999993</v>
      </c>
      <c r="H12" s="106">
        <v>18</v>
      </c>
      <c r="I12" s="106">
        <v>10886.4</v>
      </c>
      <c r="J12" s="106">
        <v>15</v>
      </c>
      <c r="K12" s="106">
        <v>9072</v>
      </c>
      <c r="L12" s="106">
        <v>24</v>
      </c>
      <c r="M12" s="106">
        <v>14515.199999999999</v>
      </c>
      <c r="N12" s="106">
        <v>23</v>
      </c>
      <c r="O12" s="106">
        <v>13910.4</v>
      </c>
      <c r="P12" s="106">
        <v>16</v>
      </c>
      <c r="Q12" s="106">
        <v>9676.7999999999993</v>
      </c>
      <c r="R12" s="106">
        <v>14</v>
      </c>
      <c r="S12" s="106">
        <v>8467.1999999999989</v>
      </c>
      <c r="T12" s="106">
        <v>20</v>
      </c>
      <c r="U12" s="106">
        <v>12096</v>
      </c>
      <c r="V12" s="106">
        <v>24</v>
      </c>
      <c r="W12" s="106">
        <v>14515.199999999999</v>
      </c>
      <c r="X12" s="106">
        <v>31</v>
      </c>
      <c r="Y12" s="106">
        <v>18748.8</v>
      </c>
      <c r="Z12" s="106">
        <v>38</v>
      </c>
      <c r="AA12" s="106">
        <v>22982.399999999998</v>
      </c>
      <c r="AB12" s="106">
        <v>6</v>
      </c>
      <c r="AC12" s="106">
        <v>3628.7999999999997</v>
      </c>
      <c r="AD12" s="106">
        <v>9</v>
      </c>
      <c r="AE12" s="106">
        <v>5443.2</v>
      </c>
      <c r="AF12" s="106">
        <v>10</v>
      </c>
      <c r="AG12" s="106">
        <v>6048</v>
      </c>
      <c r="AH12" s="106">
        <v>6</v>
      </c>
      <c r="AI12" s="106">
        <v>3628.7999999999997</v>
      </c>
      <c r="AJ12" s="106">
        <v>23</v>
      </c>
      <c r="AK12" s="106">
        <v>13910.4</v>
      </c>
      <c r="AL12" s="106">
        <v>18</v>
      </c>
      <c r="AM12" s="106">
        <v>10886.4</v>
      </c>
      <c r="AN12" s="106">
        <v>18</v>
      </c>
      <c r="AO12" s="106">
        <v>10886.4</v>
      </c>
      <c r="AP12" s="106">
        <v>17</v>
      </c>
      <c r="AQ12" s="106">
        <v>10281.599999999999</v>
      </c>
      <c r="AR12" s="106">
        <v>26</v>
      </c>
      <c r="AS12" s="106">
        <v>15724.8</v>
      </c>
      <c r="AT12" s="106">
        <v>31</v>
      </c>
      <c r="AU12" s="106">
        <v>18748.8</v>
      </c>
      <c r="AV12" s="106">
        <v>26.402155812729319</v>
      </c>
      <c r="AW12" s="106">
        <v>15968.02383553869</v>
      </c>
      <c r="AX12" s="106">
        <v>31.079981519328264</v>
      </c>
      <c r="AY12" s="106">
        <v>18797.172822889734</v>
      </c>
      <c r="AZ12" s="106">
        <v>27</v>
      </c>
      <c r="BA12" s="106">
        <v>16329.599999999999</v>
      </c>
      <c r="BB12" s="106">
        <v>21</v>
      </c>
      <c r="BC12" s="106">
        <v>12700.8</v>
      </c>
      <c r="BD12" s="106">
        <v>27</v>
      </c>
      <c r="BE12" s="106">
        <v>16329.599999999999</v>
      </c>
      <c r="BF12" s="106">
        <v>20</v>
      </c>
      <c r="BG12" s="106">
        <v>12096</v>
      </c>
      <c r="BH12" s="106">
        <v>50</v>
      </c>
      <c r="BI12" s="106">
        <v>30239.999999999996</v>
      </c>
      <c r="BJ12" s="106">
        <v>32</v>
      </c>
      <c r="BK12" s="106">
        <v>19353.599999999999</v>
      </c>
      <c r="BL12" s="106">
        <v>53</v>
      </c>
      <c r="BM12" s="106">
        <v>32054.399999999998</v>
      </c>
      <c r="BN12" s="106">
        <v>40</v>
      </c>
      <c r="BO12" s="106">
        <v>24192</v>
      </c>
      <c r="BP12" s="106">
        <v>51</v>
      </c>
      <c r="BQ12" s="106">
        <v>30844.799999999999</v>
      </c>
      <c r="BR12" s="106">
        <v>31</v>
      </c>
      <c r="BS12" s="106">
        <v>18748.8</v>
      </c>
      <c r="BT12" s="106">
        <v>27.245457006447484</v>
      </c>
      <c r="BU12" s="106">
        <v>16478.052397499436</v>
      </c>
      <c r="BV12" s="106">
        <v>36.528598621905196</v>
      </c>
      <c r="BW12" s="106">
        <v>22092.496446528261</v>
      </c>
      <c r="BX12" s="106">
        <v>15.707483347129234</v>
      </c>
      <c r="BY12" s="106">
        <v>9499.8859283437596</v>
      </c>
      <c r="BZ12" s="106">
        <v>27.479624140307699</v>
      </c>
      <c r="CA12" s="106">
        <v>16619.676680058095</v>
      </c>
      <c r="CB12" s="106">
        <v>24</v>
      </c>
      <c r="CC12" s="106">
        <v>14515.199999999999</v>
      </c>
      <c r="CD12" s="106">
        <v>24</v>
      </c>
      <c r="CE12" s="106">
        <v>14515.199999999999</v>
      </c>
      <c r="CF12" s="106">
        <v>15</v>
      </c>
      <c r="CG12" s="106">
        <v>9072</v>
      </c>
      <c r="CH12" s="106">
        <v>8</v>
      </c>
      <c r="CI12" s="106">
        <v>4838.3999999999996</v>
      </c>
      <c r="CJ12" s="106">
        <v>9</v>
      </c>
      <c r="CK12" s="106">
        <v>5443.2</v>
      </c>
      <c r="CL12" s="106">
        <v>13</v>
      </c>
      <c r="CM12" s="106">
        <v>7862.4</v>
      </c>
      <c r="CN12" s="106">
        <v>23</v>
      </c>
      <c r="CO12" s="106">
        <v>13910.4</v>
      </c>
      <c r="CP12" s="106">
        <v>22</v>
      </c>
      <c r="CQ12" s="106">
        <v>13305.599999999999</v>
      </c>
      <c r="CR12" s="106">
        <v>16</v>
      </c>
      <c r="CS12" s="106">
        <v>9676.7999999999993</v>
      </c>
      <c r="CT12" s="106">
        <v>17</v>
      </c>
      <c r="CU12" s="106">
        <v>10281.599999999999</v>
      </c>
    </row>
    <row r="13" spans="1:99" x14ac:dyDescent="0.2">
      <c r="C13" s="105" t="s">
        <v>179</v>
      </c>
      <c r="D13" s="106">
        <v>10</v>
      </c>
      <c r="E13" s="106">
        <v>1667.9999999999998</v>
      </c>
      <c r="F13" s="106">
        <v>20</v>
      </c>
      <c r="G13" s="106">
        <v>3335.9999999999995</v>
      </c>
      <c r="H13" s="106">
        <v>18</v>
      </c>
      <c r="I13" s="106">
        <v>3002.3999999999996</v>
      </c>
      <c r="J13" s="106">
        <v>19</v>
      </c>
      <c r="K13" s="106">
        <v>3169.2</v>
      </c>
      <c r="L13" s="106">
        <v>26</v>
      </c>
      <c r="M13" s="106">
        <v>4336.7999999999993</v>
      </c>
      <c r="N13" s="106">
        <v>22</v>
      </c>
      <c r="O13" s="106">
        <v>3669.5999999999995</v>
      </c>
      <c r="P13" s="106">
        <v>15</v>
      </c>
      <c r="Q13" s="106">
        <v>2501.9999999999995</v>
      </c>
      <c r="R13" s="106">
        <v>15</v>
      </c>
      <c r="S13" s="106">
        <v>2501.9999999999995</v>
      </c>
      <c r="T13" s="106">
        <v>19</v>
      </c>
      <c r="U13" s="106">
        <v>3169.2</v>
      </c>
      <c r="V13" s="106">
        <v>26</v>
      </c>
      <c r="W13" s="106">
        <v>4336.7999999999993</v>
      </c>
      <c r="X13" s="106">
        <v>32</v>
      </c>
      <c r="Y13" s="106">
        <v>5337.5999999999995</v>
      </c>
      <c r="Z13" s="106">
        <v>37</v>
      </c>
      <c r="AA13" s="106">
        <v>6171.5999999999995</v>
      </c>
      <c r="AB13" s="106">
        <v>6</v>
      </c>
      <c r="AC13" s="106">
        <v>1000.8</v>
      </c>
      <c r="AD13" s="106">
        <v>10</v>
      </c>
      <c r="AE13" s="106">
        <v>1667.9999999999998</v>
      </c>
      <c r="AF13" s="106">
        <v>9</v>
      </c>
      <c r="AG13" s="106">
        <v>1501.1999999999998</v>
      </c>
      <c r="AH13" s="106">
        <v>6</v>
      </c>
      <c r="AI13" s="106">
        <v>1000.8</v>
      </c>
      <c r="AJ13" s="106">
        <v>28</v>
      </c>
      <c r="AK13" s="106">
        <v>4670.3999999999996</v>
      </c>
      <c r="AL13" s="106">
        <v>23</v>
      </c>
      <c r="AM13" s="106">
        <v>3836.3999999999996</v>
      </c>
      <c r="AN13" s="106">
        <v>20</v>
      </c>
      <c r="AO13" s="106">
        <v>3335.9999999999995</v>
      </c>
      <c r="AP13" s="106">
        <v>18</v>
      </c>
      <c r="AQ13" s="106">
        <v>3002.3999999999996</v>
      </c>
      <c r="AR13" s="106">
        <v>30</v>
      </c>
      <c r="AS13" s="106">
        <v>5003.9999999999991</v>
      </c>
      <c r="AT13" s="106">
        <v>34</v>
      </c>
      <c r="AU13" s="106">
        <v>5671.2</v>
      </c>
      <c r="AV13" s="106">
        <v>28.357871058116672</v>
      </c>
      <c r="AW13" s="106">
        <v>4730.0928924938607</v>
      </c>
      <c r="AX13" s="106">
        <v>28.689213710149165</v>
      </c>
      <c r="AY13" s="106">
        <v>4785.3608468528801</v>
      </c>
      <c r="AZ13" s="106">
        <v>27</v>
      </c>
      <c r="BA13" s="106">
        <v>4503.5999999999995</v>
      </c>
      <c r="BB13" s="106">
        <v>20</v>
      </c>
      <c r="BC13" s="106">
        <v>3335.9999999999995</v>
      </c>
      <c r="BD13" s="106">
        <v>33</v>
      </c>
      <c r="BE13" s="106">
        <v>5504.4</v>
      </c>
      <c r="BF13" s="106">
        <v>23</v>
      </c>
      <c r="BG13" s="106">
        <v>3836.3999999999996</v>
      </c>
      <c r="BH13" s="106">
        <v>57</v>
      </c>
      <c r="BI13" s="106">
        <v>9507.5999999999985</v>
      </c>
      <c r="BJ13" s="106">
        <v>35</v>
      </c>
      <c r="BK13" s="106">
        <v>5837.9999999999991</v>
      </c>
      <c r="BL13" s="106">
        <v>60</v>
      </c>
      <c r="BM13" s="106">
        <v>10007.999999999998</v>
      </c>
      <c r="BN13" s="106">
        <v>48</v>
      </c>
      <c r="BO13" s="106">
        <v>8006.4</v>
      </c>
      <c r="BP13" s="106">
        <v>50</v>
      </c>
      <c r="BQ13" s="106">
        <v>8340</v>
      </c>
      <c r="BR13" s="106">
        <v>35</v>
      </c>
      <c r="BS13" s="106">
        <v>5837.9999999999991</v>
      </c>
      <c r="BT13" s="106">
        <v>33.821946628693425</v>
      </c>
      <c r="BU13" s="106">
        <v>5641.5006976660625</v>
      </c>
      <c r="BV13" s="106">
        <v>46.177662408823551</v>
      </c>
      <c r="BW13" s="106">
        <v>7702.4340897917673</v>
      </c>
      <c r="BX13" s="106">
        <v>14.858430193230356</v>
      </c>
      <c r="BY13" s="106">
        <v>2478.3861562308234</v>
      </c>
      <c r="BZ13" s="106">
        <v>28.264756258602208</v>
      </c>
      <c r="CA13" s="106">
        <v>4714.5613439348481</v>
      </c>
      <c r="CB13" s="106">
        <v>25</v>
      </c>
      <c r="CC13" s="106">
        <v>4170</v>
      </c>
      <c r="CD13" s="106">
        <v>23</v>
      </c>
      <c r="CE13" s="106">
        <v>3836.3999999999996</v>
      </c>
      <c r="CF13" s="106">
        <v>16</v>
      </c>
      <c r="CG13" s="106">
        <v>2668.7999999999997</v>
      </c>
      <c r="CH13" s="106">
        <v>9</v>
      </c>
      <c r="CI13" s="106">
        <v>1501.1999999999998</v>
      </c>
      <c r="CJ13" s="106">
        <v>10</v>
      </c>
      <c r="CK13" s="106">
        <v>1667.9999999999998</v>
      </c>
      <c r="CL13" s="106">
        <v>14</v>
      </c>
      <c r="CM13" s="106">
        <v>2335.1999999999998</v>
      </c>
      <c r="CN13" s="106">
        <v>28</v>
      </c>
      <c r="CO13" s="106">
        <v>4670.3999999999996</v>
      </c>
      <c r="CP13" s="106">
        <v>23</v>
      </c>
      <c r="CQ13" s="106">
        <v>3836.3999999999996</v>
      </c>
      <c r="CR13" s="106">
        <v>16</v>
      </c>
      <c r="CS13" s="106">
        <v>2668.7999999999997</v>
      </c>
      <c r="CT13" s="106">
        <v>19</v>
      </c>
      <c r="CU13" s="106">
        <v>3169.2</v>
      </c>
    </row>
    <row r="14" spans="1:99" x14ac:dyDescent="0.2">
      <c r="C14" s="105" t="s">
        <v>180</v>
      </c>
      <c r="D14" s="106">
        <v>11</v>
      </c>
      <c r="E14" s="106">
        <v>5491.2</v>
      </c>
      <c r="F14" s="106">
        <v>16</v>
      </c>
      <c r="G14" s="106">
        <v>7987.2</v>
      </c>
      <c r="H14" s="106">
        <v>16</v>
      </c>
      <c r="I14" s="106">
        <v>7987.2</v>
      </c>
      <c r="J14" s="106">
        <v>16</v>
      </c>
      <c r="K14" s="106">
        <v>7987.2</v>
      </c>
      <c r="L14" s="106">
        <v>24</v>
      </c>
      <c r="M14" s="106">
        <v>11980.8</v>
      </c>
      <c r="N14" s="106">
        <v>21</v>
      </c>
      <c r="O14" s="106">
        <v>10483.199999999999</v>
      </c>
      <c r="P14" s="106">
        <v>17</v>
      </c>
      <c r="Q14" s="106">
        <v>8486.4</v>
      </c>
      <c r="R14" s="106">
        <v>14</v>
      </c>
      <c r="S14" s="106">
        <v>6988.8</v>
      </c>
      <c r="T14" s="106">
        <v>18</v>
      </c>
      <c r="U14" s="106">
        <v>8985.6</v>
      </c>
      <c r="V14" s="106">
        <v>22</v>
      </c>
      <c r="W14" s="106">
        <v>10982.4</v>
      </c>
      <c r="X14" s="106">
        <v>34</v>
      </c>
      <c r="Y14" s="106">
        <v>16972.8</v>
      </c>
      <c r="Z14" s="106">
        <v>39</v>
      </c>
      <c r="AA14" s="106">
        <v>19468.8</v>
      </c>
      <c r="AB14" s="106">
        <v>7</v>
      </c>
      <c r="AC14" s="106">
        <v>3494.4</v>
      </c>
      <c r="AD14" s="106">
        <v>9</v>
      </c>
      <c r="AE14" s="106">
        <v>4492.8</v>
      </c>
      <c r="AF14" s="106">
        <v>10</v>
      </c>
      <c r="AG14" s="106">
        <v>4992</v>
      </c>
      <c r="AH14" s="106">
        <v>6</v>
      </c>
      <c r="AI14" s="106">
        <v>2995.2</v>
      </c>
      <c r="AJ14" s="106">
        <v>25</v>
      </c>
      <c r="AK14" s="106">
        <v>12480</v>
      </c>
      <c r="AL14" s="106">
        <v>19</v>
      </c>
      <c r="AM14" s="106">
        <v>9484.7999999999993</v>
      </c>
      <c r="AN14" s="106">
        <v>18</v>
      </c>
      <c r="AO14" s="106">
        <v>8985.6</v>
      </c>
      <c r="AP14" s="106">
        <v>17</v>
      </c>
      <c r="AQ14" s="106">
        <v>8486.4</v>
      </c>
      <c r="AR14" s="106">
        <v>27</v>
      </c>
      <c r="AS14" s="106">
        <v>13478.4</v>
      </c>
      <c r="AT14" s="106">
        <v>32</v>
      </c>
      <c r="AU14" s="106">
        <v>15974.4</v>
      </c>
      <c r="AV14" s="106">
        <v>25.424298190035639</v>
      </c>
      <c r="AW14" s="106">
        <v>12691.80965646579</v>
      </c>
      <c r="AX14" s="106">
        <v>31.079981519328264</v>
      </c>
      <c r="AY14" s="106">
        <v>15515.126774448669</v>
      </c>
      <c r="AZ14" s="106">
        <v>26</v>
      </c>
      <c r="BA14" s="106">
        <v>12979.199999999999</v>
      </c>
      <c r="BB14" s="106">
        <v>20</v>
      </c>
      <c r="BC14" s="106">
        <v>9984</v>
      </c>
      <c r="BD14" s="106">
        <v>32</v>
      </c>
      <c r="BE14" s="106">
        <v>15974.4</v>
      </c>
      <c r="BF14" s="106">
        <v>21</v>
      </c>
      <c r="BG14" s="106">
        <v>10483.199999999999</v>
      </c>
      <c r="BH14" s="106">
        <v>49</v>
      </c>
      <c r="BI14" s="106">
        <v>24460.799999999999</v>
      </c>
      <c r="BJ14" s="106">
        <v>34</v>
      </c>
      <c r="BK14" s="106">
        <v>16972.8</v>
      </c>
      <c r="BL14" s="106">
        <v>57</v>
      </c>
      <c r="BM14" s="106">
        <v>28454.399999999998</v>
      </c>
      <c r="BN14" s="106">
        <v>47</v>
      </c>
      <c r="BO14" s="106">
        <v>23462.399999999998</v>
      </c>
      <c r="BP14" s="106">
        <v>48</v>
      </c>
      <c r="BQ14" s="106">
        <v>23961.599999999999</v>
      </c>
      <c r="BR14" s="106">
        <v>33</v>
      </c>
      <c r="BS14" s="106">
        <v>16473.599999999999</v>
      </c>
      <c r="BT14" s="106">
        <v>30.063952558838604</v>
      </c>
      <c r="BU14" s="106">
        <v>15007.925117372231</v>
      </c>
      <c r="BV14" s="106">
        <v>37.907036305750673</v>
      </c>
      <c r="BW14" s="106">
        <v>18923.192523830734</v>
      </c>
      <c r="BX14" s="106">
        <v>14.433903616280919</v>
      </c>
      <c r="BY14" s="106">
        <v>7205.4046852474348</v>
      </c>
      <c r="BZ14" s="106">
        <v>23.553963548835174</v>
      </c>
      <c r="CA14" s="106">
        <v>11758.138603578518</v>
      </c>
      <c r="CB14" s="106">
        <v>23</v>
      </c>
      <c r="CC14" s="106">
        <v>11481.6</v>
      </c>
      <c r="CD14" s="106">
        <v>25</v>
      </c>
      <c r="CE14" s="106">
        <v>12480</v>
      </c>
      <c r="CF14" s="106">
        <v>15</v>
      </c>
      <c r="CG14" s="106">
        <v>7488</v>
      </c>
      <c r="CH14" s="106">
        <v>8</v>
      </c>
      <c r="CI14" s="106">
        <v>3993.6</v>
      </c>
      <c r="CJ14" s="106">
        <v>9</v>
      </c>
      <c r="CK14" s="106">
        <v>4492.8</v>
      </c>
      <c r="CL14" s="106">
        <v>13</v>
      </c>
      <c r="CM14" s="106">
        <v>6489.5999999999995</v>
      </c>
      <c r="CN14" s="106">
        <v>24</v>
      </c>
      <c r="CO14" s="106">
        <v>11980.8</v>
      </c>
      <c r="CP14" s="106">
        <v>19</v>
      </c>
      <c r="CQ14" s="106">
        <v>9484.7999999999993</v>
      </c>
      <c r="CR14" s="106">
        <v>16</v>
      </c>
      <c r="CS14" s="106">
        <v>7987.2</v>
      </c>
      <c r="CT14" s="106">
        <v>19</v>
      </c>
      <c r="CU14" s="106">
        <v>9484.7999999999993</v>
      </c>
    </row>
    <row r="15" spans="1:99" x14ac:dyDescent="0.2">
      <c r="C15" s="105" t="s">
        <v>181</v>
      </c>
      <c r="D15" s="106">
        <v>11</v>
      </c>
      <c r="E15" s="106">
        <v>9068.4</v>
      </c>
      <c r="F15" s="106">
        <v>17</v>
      </c>
      <c r="G15" s="106">
        <v>14014.8</v>
      </c>
      <c r="H15" s="106">
        <v>15</v>
      </c>
      <c r="I15" s="106">
        <v>12366</v>
      </c>
      <c r="J15" s="106">
        <v>16</v>
      </c>
      <c r="K15" s="106">
        <v>13190.4</v>
      </c>
      <c r="L15" s="106">
        <v>24</v>
      </c>
      <c r="M15" s="106">
        <v>19785.599999999999</v>
      </c>
      <c r="N15" s="106">
        <v>21</v>
      </c>
      <c r="O15" s="106">
        <v>17312.399999999998</v>
      </c>
      <c r="P15" s="106">
        <v>16</v>
      </c>
      <c r="Q15" s="106">
        <v>13190.4</v>
      </c>
      <c r="R15" s="106">
        <v>12</v>
      </c>
      <c r="S15" s="106">
        <v>9892.7999999999993</v>
      </c>
      <c r="T15" s="106">
        <v>18</v>
      </c>
      <c r="U15" s="106">
        <v>14839.199999999999</v>
      </c>
      <c r="V15" s="106">
        <v>22</v>
      </c>
      <c r="W15" s="106">
        <v>18136.8</v>
      </c>
      <c r="X15" s="106">
        <v>28</v>
      </c>
      <c r="Y15" s="106">
        <v>23083.200000000001</v>
      </c>
      <c r="Z15" s="106">
        <v>33</v>
      </c>
      <c r="AA15" s="106">
        <v>27205.200000000001</v>
      </c>
      <c r="AB15" s="106">
        <v>7</v>
      </c>
      <c r="AC15" s="106">
        <v>5770.8</v>
      </c>
      <c r="AD15" s="106">
        <v>10</v>
      </c>
      <c r="AE15" s="106">
        <v>8244</v>
      </c>
      <c r="AF15" s="106">
        <v>9</v>
      </c>
      <c r="AG15" s="106">
        <v>7419.5999999999995</v>
      </c>
      <c r="AH15" s="106">
        <v>5</v>
      </c>
      <c r="AI15" s="106">
        <v>4122</v>
      </c>
      <c r="AJ15" s="106">
        <v>25</v>
      </c>
      <c r="AK15" s="106">
        <v>20610</v>
      </c>
      <c r="AL15" s="106">
        <v>18</v>
      </c>
      <c r="AM15" s="106">
        <v>14839.199999999999</v>
      </c>
      <c r="AN15" s="106">
        <v>18</v>
      </c>
      <c r="AO15" s="106">
        <v>14839.199999999999</v>
      </c>
      <c r="AP15" s="106">
        <v>18</v>
      </c>
      <c r="AQ15" s="106">
        <v>14839.199999999999</v>
      </c>
      <c r="AR15" s="106">
        <v>24</v>
      </c>
      <c r="AS15" s="106">
        <v>19785.599999999999</v>
      </c>
      <c r="AT15" s="106">
        <v>35</v>
      </c>
      <c r="AU15" s="106">
        <v>28854</v>
      </c>
      <c r="AV15" s="106">
        <v>26.402155812729319</v>
      </c>
      <c r="AW15" s="106">
        <v>21765.93725201405</v>
      </c>
      <c r="AX15" s="106">
        <v>27.095368504029768</v>
      </c>
      <c r="AY15" s="106">
        <v>22337.42179472214</v>
      </c>
      <c r="AZ15" s="106">
        <v>25</v>
      </c>
      <c r="BA15" s="106">
        <v>20610</v>
      </c>
      <c r="BB15" s="106">
        <v>19</v>
      </c>
      <c r="BC15" s="106">
        <v>15663.6</v>
      </c>
      <c r="BD15" s="106">
        <v>31</v>
      </c>
      <c r="BE15" s="106">
        <v>25556.399999999998</v>
      </c>
      <c r="BF15" s="106">
        <v>20</v>
      </c>
      <c r="BG15" s="106">
        <v>16488</v>
      </c>
      <c r="BH15" s="106">
        <v>51</v>
      </c>
      <c r="BI15" s="106">
        <v>42044.4</v>
      </c>
      <c r="BJ15" s="106">
        <v>29</v>
      </c>
      <c r="BK15" s="106">
        <v>23907.599999999999</v>
      </c>
      <c r="BL15" s="106">
        <v>59</v>
      </c>
      <c r="BM15" s="106">
        <v>48639.6</v>
      </c>
      <c r="BN15" s="106">
        <v>37</v>
      </c>
      <c r="BO15" s="106">
        <v>30502.799999999999</v>
      </c>
      <c r="BP15" s="106">
        <v>46</v>
      </c>
      <c r="BQ15" s="106">
        <v>37922.400000000001</v>
      </c>
      <c r="BR15" s="106">
        <v>32</v>
      </c>
      <c r="BS15" s="106">
        <v>26380.799999999999</v>
      </c>
      <c r="BT15" s="106">
        <v>30.063952558838604</v>
      </c>
      <c r="BU15" s="106">
        <v>24784.722489506545</v>
      </c>
      <c r="BV15" s="106">
        <v>39.285473989596156</v>
      </c>
      <c r="BW15" s="106">
        <v>32386.94475702307</v>
      </c>
      <c r="BX15" s="106">
        <v>13.584850462382041</v>
      </c>
      <c r="BY15" s="106">
        <v>11199.350721187755</v>
      </c>
      <c r="BZ15" s="106">
        <v>23.553963548835174</v>
      </c>
      <c r="CA15" s="106">
        <v>19417.887549659717</v>
      </c>
      <c r="CB15" s="106">
        <v>24</v>
      </c>
      <c r="CC15" s="106">
        <v>19785.599999999999</v>
      </c>
      <c r="CD15" s="106">
        <v>21</v>
      </c>
      <c r="CE15" s="106">
        <v>17312.399999999998</v>
      </c>
      <c r="CF15" s="106">
        <v>14</v>
      </c>
      <c r="CG15" s="106">
        <v>11541.6</v>
      </c>
      <c r="CH15" s="106">
        <v>8</v>
      </c>
      <c r="CI15" s="106">
        <v>6595.2</v>
      </c>
      <c r="CJ15" s="106">
        <v>9</v>
      </c>
      <c r="CK15" s="106">
        <v>7419.5999999999995</v>
      </c>
      <c r="CL15" s="106">
        <v>12</v>
      </c>
      <c r="CM15" s="106">
        <v>9892.7999999999993</v>
      </c>
      <c r="CN15" s="106">
        <v>26</v>
      </c>
      <c r="CO15" s="106">
        <v>21434.399999999998</v>
      </c>
      <c r="CP15" s="106">
        <v>21</v>
      </c>
      <c r="CQ15" s="106">
        <v>17312.399999999998</v>
      </c>
      <c r="CR15" s="106">
        <v>15</v>
      </c>
      <c r="CS15" s="106">
        <v>12366</v>
      </c>
      <c r="CT15" s="106">
        <v>19</v>
      </c>
      <c r="CU15" s="106">
        <v>15663.6</v>
      </c>
    </row>
    <row r="16" spans="1:99" x14ac:dyDescent="0.2">
      <c r="C16" s="105" t="s">
        <v>182</v>
      </c>
      <c r="D16" s="106">
        <v>11</v>
      </c>
      <c r="E16" s="106">
        <v>5596.7999999999993</v>
      </c>
      <c r="F16" s="106">
        <v>17</v>
      </c>
      <c r="G16" s="106">
        <v>8649.5999999999985</v>
      </c>
      <c r="H16" s="106">
        <v>17</v>
      </c>
      <c r="I16" s="106">
        <v>8649.5999999999985</v>
      </c>
      <c r="J16" s="106">
        <v>16</v>
      </c>
      <c r="K16" s="106">
        <v>8140.7999999999984</v>
      </c>
      <c r="L16" s="106">
        <v>22</v>
      </c>
      <c r="M16" s="106">
        <v>11193.599999999999</v>
      </c>
      <c r="N16" s="106">
        <v>20</v>
      </c>
      <c r="O16" s="106">
        <v>10175.999999999998</v>
      </c>
      <c r="P16" s="106">
        <v>16</v>
      </c>
      <c r="Q16" s="106">
        <v>8140.7999999999984</v>
      </c>
      <c r="R16" s="106">
        <v>14</v>
      </c>
      <c r="S16" s="106">
        <v>7123.1999999999989</v>
      </c>
      <c r="T16" s="106">
        <v>22</v>
      </c>
      <c r="U16" s="106">
        <v>11193.599999999999</v>
      </c>
      <c r="V16" s="106">
        <v>22</v>
      </c>
      <c r="W16" s="106">
        <v>11193.599999999999</v>
      </c>
      <c r="X16" s="106">
        <v>32</v>
      </c>
      <c r="Y16" s="106">
        <v>16281.599999999997</v>
      </c>
      <c r="Z16" s="106">
        <v>35</v>
      </c>
      <c r="AA16" s="106">
        <v>17807.999999999996</v>
      </c>
      <c r="AB16" s="106">
        <v>6</v>
      </c>
      <c r="AC16" s="106">
        <v>3052.7999999999993</v>
      </c>
      <c r="AD16" s="106">
        <v>9</v>
      </c>
      <c r="AE16" s="106">
        <v>4579.1999999999989</v>
      </c>
      <c r="AF16" s="106">
        <v>8</v>
      </c>
      <c r="AG16" s="106">
        <v>4070.3999999999992</v>
      </c>
      <c r="AH16" s="106">
        <v>5</v>
      </c>
      <c r="AI16" s="106">
        <v>2543.9999999999995</v>
      </c>
      <c r="AJ16" s="106">
        <v>28</v>
      </c>
      <c r="AK16" s="106">
        <v>14246.399999999998</v>
      </c>
      <c r="AL16" s="106">
        <v>22</v>
      </c>
      <c r="AM16" s="106">
        <v>11193.599999999999</v>
      </c>
      <c r="AN16" s="106">
        <v>17</v>
      </c>
      <c r="AO16" s="106">
        <v>8649.5999999999985</v>
      </c>
      <c r="AP16" s="106">
        <v>17</v>
      </c>
      <c r="AQ16" s="106">
        <v>8649.5999999999985</v>
      </c>
      <c r="AR16" s="106">
        <v>26</v>
      </c>
      <c r="AS16" s="106">
        <v>13228.799999999997</v>
      </c>
      <c r="AT16" s="106">
        <v>32</v>
      </c>
      <c r="AU16" s="106">
        <v>16281.599999999997</v>
      </c>
      <c r="AV16" s="106">
        <v>25.424298190035639</v>
      </c>
      <c r="AW16" s="106">
        <v>12935.882919090131</v>
      </c>
      <c r="AX16" s="106">
        <v>30.283058916268562</v>
      </c>
      <c r="AY16" s="106">
        <v>15408.020376597442</v>
      </c>
      <c r="AZ16" s="106">
        <v>29</v>
      </c>
      <c r="BA16" s="106">
        <v>14755.199999999997</v>
      </c>
      <c r="BB16" s="106">
        <v>21</v>
      </c>
      <c r="BC16" s="106">
        <v>10684.799999999997</v>
      </c>
      <c r="BD16" s="106">
        <v>28</v>
      </c>
      <c r="BE16" s="106">
        <v>14246.399999999998</v>
      </c>
      <c r="BF16" s="106">
        <v>22</v>
      </c>
      <c r="BG16" s="106">
        <v>11193.599999999999</v>
      </c>
      <c r="BH16" s="106">
        <v>53</v>
      </c>
      <c r="BI16" s="106">
        <v>26966.399999999994</v>
      </c>
      <c r="BJ16" s="106">
        <v>32</v>
      </c>
      <c r="BK16" s="106">
        <v>16281.599999999997</v>
      </c>
      <c r="BL16" s="106">
        <v>54</v>
      </c>
      <c r="BM16" s="106">
        <v>27475.199999999993</v>
      </c>
      <c r="BN16" s="106">
        <v>41</v>
      </c>
      <c r="BO16" s="106">
        <v>20860.799999999996</v>
      </c>
      <c r="BP16" s="106">
        <v>50</v>
      </c>
      <c r="BQ16" s="106">
        <v>25439.999999999996</v>
      </c>
      <c r="BR16" s="106">
        <v>31</v>
      </c>
      <c r="BS16" s="106">
        <v>15772.799999999997</v>
      </c>
      <c r="BT16" s="106">
        <v>28.184955523911192</v>
      </c>
      <c r="BU16" s="106">
        <v>14340.505370566012</v>
      </c>
      <c r="BV16" s="106">
        <v>35.839379779982451</v>
      </c>
      <c r="BW16" s="106">
        <v>18235.076432055066</v>
      </c>
      <c r="BX16" s="106">
        <v>14.858430193230356</v>
      </c>
      <c r="BY16" s="106">
        <v>7559.9692823156038</v>
      </c>
      <c r="BZ16" s="106">
        <v>25.909359903718688</v>
      </c>
      <c r="CA16" s="106">
        <v>13182.682319012065</v>
      </c>
      <c r="CB16" s="106">
        <v>26</v>
      </c>
      <c r="CC16" s="106">
        <v>13228.799999999997</v>
      </c>
      <c r="CD16" s="106">
        <v>24</v>
      </c>
      <c r="CE16" s="106">
        <v>12211.199999999997</v>
      </c>
      <c r="CF16" s="106">
        <v>14</v>
      </c>
      <c r="CG16" s="106">
        <v>7123.1999999999989</v>
      </c>
      <c r="CH16" s="106">
        <v>9</v>
      </c>
      <c r="CI16" s="106">
        <v>4579.1999999999989</v>
      </c>
      <c r="CJ16" s="106">
        <v>9</v>
      </c>
      <c r="CK16" s="106">
        <v>4579.1999999999989</v>
      </c>
      <c r="CL16" s="106">
        <v>12</v>
      </c>
      <c r="CM16" s="106">
        <v>6105.5999999999985</v>
      </c>
      <c r="CN16" s="106">
        <v>26</v>
      </c>
      <c r="CO16" s="106">
        <v>13228.799999999997</v>
      </c>
      <c r="CP16" s="106">
        <v>21</v>
      </c>
      <c r="CQ16" s="106">
        <v>10684.799999999997</v>
      </c>
      <c r="CR16" s="106">
        <v>15</v>
      </c>
      <c r="CS16" s="106">
        <v>7631.9999999999982</v>
      </c>
      <c r="CT16" s="106">
        <v>20</v>
      </c>
      <c r="CU16" s="106">
        <v>10175.999999999998</v>
      </c>
    </row>
    <row r="17" spans="2:99" x14ac:dyDescent="0.2">
      <c r="C17" s="105" t="s">
        <v>183</v>
      </c>
      <c r="D17" s="106">
        <v>10</v>
      </c>
      <c r="E17" s="106">
        <v>4968</v>
      </c>
      <c r="F17" s="106">
        <v>17</v>
      </c>
      <c r="G17" s="106">
        <v>8445.5999999999985</v>
      </c>
      <c r="H17" s="106">
        <v>15</v>
      </c>
      <c r="I17" s="106">
        <v>7451.9999999999991</v>
      </c>
      <c r="J17" s="106">
        <v>17</v>
      </c>
      <c r="K17" s="106">
        <v>8445.5999999999985</v>
      </c>
      <c r="L17" s="106">
        <v>23</v>
      </c>
      <c r="M17" s="106">
        <v>11426.4</v>
      </c>
      <c r="N17" s="106">
        <v>21</v>
      </c>
      <c r="O17" s="106">
        <v>10432.799999999999</v>
      </c>
      <c r="P17" s="106">
        <v>15</v>
      </c>
      <c r="Q17" s="106">
        <v>7451.9999999999991</v>
      </c>
      <c r="R17" s="106">
        <v>14</v>
      </c>
      <c r="S17" s="106">
        <v>6955.1999999999989</v>
      </c>
      <c r="T17" s="106">
        <v>21</v>
      </c>
      <c r="U17" s="106">
        <v>10432.799999999999</v>
      </c>
      <c r="V17" s="106">
        <v>24</v>
      </c>
      <c r="W17" s="106">
        <v>11923.199999999999</v>
      </c>
      <c r="X17" s="106">
        <v>31</v>
      </c>
      <c r="Y17" s="106">
        <v>15400.8</v>
      </c>
      <c r="Z17" s="106">
        <v>36</v>
      </c>
      <c r="AA17" s="106">
        <v>17884.8</v>
      </c>
      <c r="AB17" s="106">
        <v>6</v>
      </c>
      <c r="AC17" s="106">
        <v>2980.7999999999997</v>
      </c>
      <c r="AD17" s="106">
        <v>10</v>
      </c>
      <c r="AE17" s="106">
        <v>4968</v>
      </c>
      <c r="AF17" s="106">
        <v>9</v>
      </c>
      <c r="AG17" s="106">
        <v>4471.2</v>
      </c>
      <c r="AH17" s="106">
        <v>6</v>
      </c>
      <c r="AI17" s="106">
        <v>2980.7999999999997</v>
      </c>
      <c r="AJ17" s="106">
        <v>24</v>
      </c>
      <c r="AK17" s="106">
        <v>11923.199999999999</v>
      </c>
      <c r="AL17" s="106">
        <v>19</v>
      </c>
      <c r="AM17" s="106">
        <v>9439.1999999999989</v>
      </c>
      <c r="AN17" s="106">
        <v>17</v>
      </c>
      <c r="AO17" s="106">
        <v>8445.5999999999985</v>
      </c>
      <c r="AP17" s="106">
        <v>18</v>
      </c>
      <c r="AQ17" s="106">
        <v>8942.4</v>
      </c>
      <c r="AR17" s="106">
        <v>25</v>
      </c>
      <c r="AS17" s="106">
        <v>12419.999999999998</v>
      </c>
      <c r="AT17" s="106">
        <v>31</v>
      </c>
      <c r="AU17" s="106">
        <v>15400.8</v>
      </c>
      <c r="AV17" s="106">
        <v>27.380013435422992</v>
      </c>
      <c r="AW17" s="106">
        <v>13602.390674718141</v>
      </c>
      <c r="AX17" s="106">
        <v>31.079981519328264</v>
      </c>
      <c r="AY17" s="106">
        <v>15440.53481880228</v>
      </c>
      <c r="AZ17" s="106">
        <v>28</v>
      </c>
      <c r="BA17" s="106">
        <v>13910.399999999998</v>
      </c>
      <c r="BB17" s="106">
        <v>21</v>
      </c>
      <c r="BC17" s="106">
        <v>10432.799999999999</v>
      </c>
      <c r="BD17" s="106">
        <v>27</v>
      </c>
      <c r="BE17" s="106">
        <v>13413.599999999999</v>
      </c>
      <c r="BF17" s="106">
        <v>21</v>
      </c>
      <c r="BG17" s="106">
        <v>10432.799999999999</v>
      </c>
      <c r="BH17" s="106">
        <v>53</v>
      </c>
      <c r="BI17" s="106">
        <v>26330.399999999998</v>
      </c>
      <c r="BJ17" s="106">
        <v>30</v>
      </c>
      <c r="BK17" s="106">
        <v>14903.999999999998</v>
      </c>
      <c r="BL17" s="106">
        <v>58</v>
      </c>
      <c r="BM17" s="106">
        <v>28814.399999999998</v>
      </c>
      <c r="BN17" s="106">
        <v>47</v>
      </c>
      <c r="BO17" s="106">
        <v>23349.599999999999</v>
      </c>
      <c r="BP17" s="106">
        <v>43</v>
      </c>
      <c r="BQ17" s="106">
        <v>21362.399999999998</v>
      </c>
      <c r="BR17" s="106">
        <v>32</v>
      </c>
      <c r="BS17" s="106">
        <v>15897.599999999999</v>
      </c>
      <c r="BT17" s="106">
        <v>30.063952558838604</v>
      </c>
      <c r="BU17" s="106">
        <v>14935.771631231017</v>
      </c>
      <c r="BV17" s="106">
        <v>40.663911673441632</v>
      </c>
      <c r="BW17" s="106">
        <v>20201.8313193658</v>
      </c>
      <c r="BX17" s="106">
        <v>15.282956770179798</v>
      </c>
      <c r="BY17" s="106">
        <v>7592.5729234253231</v>
      </c>
      <c r="BZ17" s="106">
        <v>25.124227785424182</v>
      </c>
      <c r="CA17" s="106">
        <v>12481.716363798732</v>
      </c>
      <c r="CB17" s="106">
        <v>23</v>
      </c>
      <c r="CC17" s="106">
        <v>11426.4</v>
      </c>
      <c r="CD17" s="106">
        <v>22</v>
      </c>
      <c r="CE17" s="106">
        <v>10929.599999999999</v>
      </c>
      <c r="CF17" s="106">
        <v>16</v>
      </c>
      <c r="CG17" s="106">
        <v>7948.7999999999993</v>
      </c>
      <c r="CH17" s="106">
        <v>8</v>
      </c>
      <c r="CI17" s="106">
        <v>3974.3999999999996</v>
      </c>
      <c r="CJ17" s="106">
        <v>10</v>
      </c>
      <c r="CK17" s="106">
        <v>4968</v>
      </c>
      <c r="CL17" s="106">
        <v>14</v>
      </c>
      <c r="CM17" s="106">
        <v>6955.1999999999989</v>
      </c>
      <c r="CN17" s="106">
        <v>25</v>
      </c>
      <c r="CO17" s="106">
        <v>12419.999999999998</v>
      </c>
      <c r="CP17" s="106">
        <v>19</v>
      </c>
      <c r="CQ17" s="106">
        <v>9439.1999999999989</v>
      </c>
      <c r="CR17" s="106">
        <v>17</v>
      </c>
      <c r="CS17" s="106">
        <v>8445.5999999999985</v>
      </c>
      <c r="CT17" s="106">
        <v>19</v>
      </c>
      <c r="CU17" s="106">
        <v>9439.1999999999989</v>
      </c>
    </row>
    <row r="18" spans="2:99" x14ac:dyDescent="0.2">
      <c r="C18" s="105" t="s">
        <v>184</v>
      </c>
      <c r="D18" s="106">
        <v>9</v>
      </c>
      <c r="E18" s="106">
        <v>6577.2</v>
      </c>
      <c r="F18" s="106">
        <v>17</v>
      </c>
      <c r="G18" s="106">
        <v>12423.599999999999</v>
      </c>
      <c r="H18" s="106">
        <v>16</v>
      </c>
      <c r="I18" s="106">
        <v>11692.8</v>
      </c>
      <c r="J18" s="106">
        <v>17</v>
      </c>
      <c r="K18" s="106">
        <v>12423.599999999999</v>
      </c>
      <c r="L18" s="106">
        <v>21</v>
      </c>
      <c r="M18" s="106">
        <v>15346.8</v>
      </c>
      <c r="N18" s="106">
        <v>21</v>
      </c>
      <c r="O18" s="106">
        <v>15346.8</v>
      </c>
      <c r="P18" s="106">
        <v>16</v>
      </c>
      <c r="Q18" s="106">
        <v>11692.8</v>
      </c>
      <c r="R18" s="106">
        <v>14</v>
      </c>
      <c r="S18" s="106">
        <v>10231.199999999999</v>
      </c>
      <c r="T18" s="106">
        <v>19</v>
      </c>
      <c r="U18" s="106">
        <v>13885.199999999999</v>
      </c>
      <c r="V18" s="106">
        <v>23</v>
      </c>
      <c r="W18" s="106">
        <v>16808.399999999998</v>
      </c>
      <c r="X18" s="106">
        <v>33</v>
      </c>
      <c r="Y18" s="106">
        <v>24116.399999999998</v>
      </c>
      <c r="Z18" s="106">
        <v>37</v>
      </c>
      <c r="AA18" s="106">
        <v>27039.599999999999</v>
      </c>
      <c r="AB18" s="106">
        <v>7</v>
      </c>
      <c r="AC18" s="106">
        <v>5115.5999999999995</v>
      </c>
      <c r="AD18" s="106">
        <v>9</v>
      </c>
      <c r="AE18" s="106">
        <v>6577.2</v>
      </c>
      <c r="AF18" s="106">
        <v>10</v>
      </c>
      <c r="AG18" s="106">
        <v>7308</v>
      </c>
      <c r="AH18" s="106">
        <v>6</v>
      </c>
      <c r="AI18" s="106">
        <v>4384.7999999999993</v>
      </c>
      <c r="AJ18" s="106">
        <v>24</v>
      </c>
      <c r="AK18" s="106">
        <v>17539.199999999997</v>
      </c>
      <c r="AL18" s="106">
        <v>20</v>
      </c>
      <c r="AM18" s="106">
        <v>14616</v>
      </c>
      <c r="AN18" s="106">
        <v>17</v>
      </c>
      <c r="AO18" s="106">
        <v>12423.599999999999</v>
      </c>
      <c r="AP18" s="106">
        <v>18</v>
      </c>
      <c r="AQ18" s="106">
        <v>13154.4</v>
      </c>
      <c r="AR18" s="106">
        <v>25</v>
      </c>
      <c r="AS18" s="106">
        <v>18270</v>
      </c>
      <c r="AT18" s="106">
        <v>36</v>
      </c>
      <c r="AU18" s="106">
        <v>26308.799999999999</v>
      </c>
      <c r="AV18" s="106">
        <v>24.446440567341959</v>
      </c>
      <c r="AW18" s="106">
        <v>17865.458766613501</v>
      </c>
      <c r="AX18" s="106">
        <v>28.689213710149165</v>
      </c>
      <c r="AY18" s="106">
        <v>20966.077379377009</v>
      </c>
      <c r="AZ18" s="106">
        <v>25</v>
      </c>
      <c r="BA18" s="106">
        <v>18270</v>
      </c>
      <c r="BB18" s="106">
        <v>19</v>
      </c>
      <c r="BC18" s="106">
        <v>13885.199999999999</v>
      </c>
      <c r="BD18" s="106">
        <v>27</v>
      </c>
      <c r="BE18" s="106">
        <v>19731.599999999999</v>
      </c>
      <c r="BF18" s="106">
        <v>21</v>
      </c>
      <c r="BG18" s="106">
        <v>15346.8</v>
      </c>
      <c r="BH18" s="106">
        <v>44</v>
      </c>
      <c r="BI18" s="106">
        <v>32155.199999999997</v>
      </c>
      <c r="BJ18" s="106">
        <v>31</v>
      </c>
      <c r="BK18" s="106">
        <v>22654.799999999999</v>
      </c>
      <c r="BL18" s="106">
        <v>53</v>
      </c>
      <c r="BM18" s="106">
        <v>38732.399999999994</v>
      </c>
      <c r="BN18" s="106">
        <v>40</v>
      </c>
      <c r="BO18" s="106">
        <v>29232</v>
      </c>
      <c r="BP18" s="106">
        <v>45</v>
      </c>
      <c r="BQ18" s="106">
        <v>32886</v>
      </c>
      <c r="BR18" s="106">
        <v>34</v>
      </c>
      <c r="BS18" s="106">
        <v>24847.199999999997</v>
      </c>
      <c r="BT18" s="106">
        <v>29.124454041374896</v>
      </c>
      <c r="BU18" s="106">
        <v>21284.151013436775</v>
      </c>
      <c r="BV18" s="106">
        <v>38.596255147673411</v>
      </c>
      <c r="BW18" s="106">
        <v>28206.143261919726</v>
      </c>
      <c r="BX18" s="106">
        <v>13.584850462382041</v>
      </c>
      <c r="BY18" s="106">
        <v>9927.8087179087961</v>
      </c>
      <c r="BZ18" s="106">
        <v>26.694492022013193</v>
      </c>
      <c r="CA18" s="106">
        <v>19508.334769687241</v>
      </c>
      <c r="CB18" s="106">
        <v>23</v>
      </c>
      <c r="CC18" s="106">
        <v>16808.399999999998</v>
      </c>
      <c r="CD18" s="106">
        <v>23</v>
      </c>
      <c r="CE18" s="106">
        <v>16808.399999999998</v>
      </c>
      <c r="CF18" s="106">
        <v>14</v>
      </c>
      <c r="CG18" s="106">
        <v>10231.199999999999</v>
      </c>
      <c r="CH18" s="106">
        <v>8</v>
      </c>
      <c r="CI18" s="106">
        <v>5846.4</v>
      </c>
      <c r="CJ18" s="106">
        <v>9</v>
      </c>
      <c r="CK18" s="106">
        <v>6577.2</v>
      </c>
      <c r="CL18" s="106">
        <v>13</v>
      </c>
      <c r="CM18" s="106">
        <v>9500.4</v>
      </c>
      <c r="CN18" s="106">
        <v>24</v>
      </c>
      <c r="CO18" s="106">
        <v>17539.199999999997</v>
      </c>
      <c r="CP18" s="106">
        <v>18</v>
      </c>
      <c r="CQ18" s="106">
        <v>13154.4</v>
      </c>
      <c r="CR18" s="106">
        <v>14</v>
      </c>
      <c r="CS18" s="106">
        <v>10231.199999999999</v>
      </c>
      <c r="CT18" s="106">
        <v>20</v>
      </c>
      <c r="CU18" s="106">
        <v>14616</v>
      </c>
    </row>
    <row r="19" spans="2:99" x14ac:dyDescent="0.2">
      <c r="C19" s="105" t="s">
        <v>185</v>
      </c>
      <c r="D19" s="106">
        <v>11</v>
      </c>
      <c r="E19" s="106">
        <v>4250.3999999999996</v>
      </c>
      <c r="F19" s="106">
        <v>19</v>
      </c>
      <c r="G19" s="106">
        <v>7341.5999999999995</v>
      </c>
      <c r="H19" s="106">
        <v>16</v>
      </c>
      <c r="I19" s="106">
        <v>6182.4</v>
      </c>
      <c r="J19" s="106">
        <v>17</v>
      </c>
      <c r="K19" s="106">
        <v>6568.7999999999993</v>
      </c>
      <c r="L19" s="106">
        <v>26</v>
      </c>
      <c r="M19" s="106">
        <v>10046.4</v>
      </c>
      <c r="N19" s="106">
        <v>23</v>
      </c>
      <c r="O19" s="106">
        <v>8887.1999999999989</v>
      </c>
      <c r="P19" s="106">
        <v>16</v>
      </c>
      <c r="Q19" s="106">
        <v>6182.4</v>
      </c>
      <c r="R19" s="106">
        <v>15</v>
      </c>
      <c r="S19" s="106">
        <v>5796</v>
      </c>
      <c r="T19" s="106">
        <v>21</v>
      </c>
      <c r="U19" s="106">
        <v>8114.4</v>
      </c>
      <c r="V19" s="106">
        <v>22</v>
      </c>
      <c r="W19" s="106">
        <v>8500.7999999999993</v>
      </c>
      <c r="X19" s="106">
        <v>35</v>
      </c>
      <c r="Y19" s="106">
        <v>13524</v>
      </c>
      <c r="Z19" s="106">
        <v>38</v>
      </c>
      <c r="AA19" s="106">
        <v>14683.199999999999</v>
      </c>
      <c r="AB19" s="106">
        <v>6</v>
      </c>
      <c r="AC19" s="106">
        <v>2318.3999999999996</v>
      </c>
      <c r="AD19" s="106">
        <v>9</v>
      </c>
      <c r="AE19" s="106">
        <v>3477.6</v>
      </c>
      <c r="AF19" s="106">
        <v>9</v>
      </c>
      <c r="AG19" s="106">
        <v>3477.6</v>
      </c>
      <c r="AH19" s="106">
        <v>5</v>
      </c>
      <c r="AI19" s="106">
        <v>1932</v>
      </c>
      <c r="AJ19" s="106">
        <v>24</v>
      </c>
      <c r="AK19" s="106">
        <v>9273.5999999999985</v>
      </c>
      <c r="AL19" s="106">
        <v>19</v>
      </c>
      <c r="AM19" s="106">
        <v>7341.5999999999995</v>
      </c>
      <c r="AN19" s="106">
        <v>20</v>
      </c>
      <c r="AO19" s="106">
        <v>7728</v>
      </c>
      <c r="AP19" s="106">
        <v>17</v>
      </c>
      <c r="AQ19" s="106">
        <v>6568.7999999999993</v>
      </c>
      <c r="AR19" s="106">
        <v>27</v>
      </c>
      <c r="AS19" s="106">
        <v>10432.799999999999</v>
      </c>
      <c r="AT19" s="106">
        <v>35</v>
      </c>
      <c r="AU19" s="106">
        <v>13524</v>
      </c>
      <c r="AV19" s="106">
        <v>26.402155812729319</v>
      </c>
      <c r="AW19" s="106">
        <v>10201.793006038608</v>
      </c>
      <c r="AX19" s="106">
        <v>27.095368504029768</v>
      </c>
      <c r="AY19" s="106">
        <v>10469.650389957102</v>
      </c>
      <c r="AZ19" s="106">
        <v>28</v>
      </c>
      <c r="BA19" s="106">
        <v>10819.199999999999</v>
      </c>
      <c r="BB19" s="106">
        <v>21</v>
      </c>
      <c r="BC19" s="106">
        <v>8114.4</v>
      </c>
      <c r="BD19" s="106">
        <v>33</v>
      </c>
      <c r="BE19" s="106">
        <v>12751.199999999999</v>
      </c>
      <c r="BF19" s="106">
        <v>22</v>
      </c>
      <c r="BG19" s="106">
        <v>8500.7999999999993</v>
      </c>
      <c r="BH19" s="106">
        <v>51</v>
      </c>
      <c r="BI19" s="106">
        <v>19706.399999999998</v>
      </c>
      <c r="BJ19" s="106">
        <v>31</v>
      </c>
      <c r="BK19" s="106">
        <v>11978.4</v>
      </c>
      <c r="BL19" s="106">
        <v>60</v>
      </c>
      <c r="BM19" s="106">
        <v>23184</v>
      </c>
      <c r="BN19" s="106">
        <v>46</v>
      </c>
      <c r="BO19" s="106">
        <v>17774.399999999998</v>
      </c>
      <c r="BP19" s="106">
        <v>51</v>
      </c>
      <c r="BQ19" s="106">
        <v>19706.399999999998</v>
      </c>
      <c r="BR19" s="106">
        <v>38</v>
      </c>
      <c r="BS19" s="106">
        <v>14683.199999999999</v>
      </c>
      <c r="BT19" s="106">
        <v>31.003451076302312</v>
      </c>
      <c r="BU19" s="106">
        <v>11979.733495883213</v>
      </c>
      <c r="BV19" s="106">
        <v>37.907036305750673</v>
      </c>
      <c r="BW19" s="106">
        <v>14647.278828542059</v>
      </c>
      <c r="BX19" s="106">
        <v>16.132009924078673</v>
      </c>
      <c r="BY19" s="106">
        <v>6233.4086346639988</v>
      </c>
      <c r="BZ19" s="106">
        <v>24.33909566712968</v>
      </c>
      <c r="CA19" s="106">
        <v>9404.6265657789081</v>
      </c>
      <c r="CB19" s="106">
        <v>25</v>
      </c>
      <c r="CC19" s="106">
        <v>9660</v>
      </c>
      <c r="CD19" s="106">
        <v>23</v>
      </c>
      <c r="CE19" s="106">
        <v>8887.1999999999989</v>
      </c>
      <c r="CF19" s="106">
        <v>16</v>
      </c>
      <c r="CG19" s="106">
        <v>6182.4</v>
      </c>
      <c r="CH19" s="106">
        <v>9</v>
      </c>
      <c r="CI19" s="106">
        <v>3477.6</v>
      </c>
      <c r="CJ19" s="106">
        <v>11</v>
      </c>
      <c r="CK19" s="106">
        <v>4250.3999999999996</v>
      </c>
      <c r="CL19" s="106">
        <v>14</v>
      </c>
      <c r="CM19" s="106">
        <v>5409.5999999999995</v>
      </c>
      <c r="CN19" s="106">
        <v>23</v>
      </c>
      <c r="CO19" s="106">
        <v>8887.1999999999989</v>
      </c>
      <c r="CP19" s="106">
        <v>20</v>
      </c>
      <c r="CQ19" s="106">
        <v>7728</v>
      </c>
      <c r="CR19" s="106">
        <v>17</v>
      </c>
      <c r="CS19" s="106">
        <v>6568.7999999999993</v>
      </c>
      <c r="CT19" s="106">
        <v>20</v>
      </c>
      <c r="CU19" s="106">
        <v>7728</v>
      </c>
    </row>
    <row r="20" spans="2:99" x14ac:dyDescent="0.2">
      <c r="B20" s="105" t="s">
        <v>127</v>
      </c>
      <c r="C20" s="105" t="s">
        <v>186</v>
      </c>
      <c r="D20" s="106">
        <v>71</v>
      </c>
      <c r="E20" s="106">
        <v>6816</v>
      </c>
      <c r="F20" s="106">
        <v>95</v>
      </c>
      <c r="G20" s="106">
        <v>9120</v>
      </c>
      <c r="H20" s="106">
        <v>66</v>
      </c>
      <c r="I20" s="106">
        <v>6336</v>
      </c>
      <c r="J20" s="106">
        <v>78</v>
      </c>
      <c r="K20" s="106">
        <v>7488</v>
      </c>
      <c r="L20" s="106">
        <v>78</v>
      </c>
      <c r="M20" s="106">
        <v>7488</v>
      </c>
      <c r="N20" s="106">
        <v>99</v>
      </c>
      <c r="O20" s="106">
        <v>9504</v>
      </c>
      <c r="P20" s="106">
        <v>70</v>
      </c>
      <c r="Q20" s="106">
        <v>6720</v>
      </c>
      <c r="R20" s="106">
        <v>104</v>
      </c>
      <c r="S20" s="106">
        <v>9984</v>
      </c>
      <c r="T20" s="106">
        <v>18</v>
      </c>
      <c r="U20" s="106">
        <v>1728</v>
      </c>
      <c r="V20" s="106">
        <v>32</v>
      </c>
      <c r="W20" s="106">
        <v>3072</v>
      </c>
      <c r="X20" s="106">
        <v>31</v>
      </c>
      <c r="Y20" s="106">
        <v>2976</v>
      </c>
      <c r="Z20" s="106">
        <v>21</v>
      </c>
      <c r="AA20" s="106">
        <v>2016</v>
      </c>
      <c r="AB20" s="106">
        <v>24</v>
      </c>
      <c r="AC20" s="106">
        <v>2304</v>
      </c>
      <c r="AD20" s="106">
        <v>32</v>
      </c>
      <c r="AE20" s="106">
        <v>3072</v>
      </c>
      <c r="AF20" s="106">
        <v>27</v>
      </c>
      <c r="AG20" s="106">
        <v>2592</v>
      </c>
      <c r="AH20" s="106">
        <v>32</v>
      </c>
      <c r="AI20" s="106">
        <v>3072</v>
      </c>
      <c r="AJ20" s="106">
        <v>35</v>
      </c>
      <c r="AK20" s="106">
        <v>3360</v>
      </c>
      <c r="AL20" s="106">
        <v>42</v>
      </c>
      <c r="AM20" s="106">
        <v>4032</v>
      </c>
      <c r="AN20" s="106">
        <v>37</v>
      </c>
      <c r="AO20" s="106">
        <v>3552</v>
      </c>
      <c r="AP20" s="106">
        <v>38</v>
      </c>
      <c r="AQ20" s="106">
        <v>3648</v>
      </c>
      <c r="AR20" s="106">
        <v>37</v>
      </c>
      <c r="AS20" s="106">
        <v>3552</v>
      </c>
      <c r="AT20" s="106">
        <v>30</v>
      </c>
      <c r="AU20" s="106">
        <v>2880</v>
      </c>
      <c r="AV20" s="106">
        <v>29.335728680810352</v>
      </c>
      <c r="AW20" s="106">
        <v>2816.2299533577939</v>
      </c>
      <c r="AX20" s="106">
        <v>31.079981519328264</v>
      </c>
      <c r="AY20" s="106">
        <v>2983.6782258555131</v>
      </c>
      <c r="AZ20" s="106">
        <v>23</v>
      </c>
      <c r="BA20" s="106">
        <v>2208</v>
      </c>
      <c r="BB20" s="106">
        <v>14</v>
      </c>
      <c r="BC20" s="106">
        <v>1344</v>
      </c>
      <c r="BD20" s="106">
        <v>18</v>
      </c>
      <c r="BE20" s="106">
        <v>1728</v>
      </c>
      <c r="BF20" s="106">
        <v>15</v>
      </c>
      <c r="BG20" s="106">
        <v>1440</v>
      </c>
      <c r="BH20" s="106">
        <v>36</v>
      </c>
      <c r="BI20" s="106">
        <v>3456</v>
      </c>
      <c r="BJ20" s="106">
        <v>36</v>
      </c>
      <c r="BK20" s="106">
        <v>3456</v>
      </c>
      <c r="BL20" s="106">
        <v>52</v>
      </c>
      <c r="BM20" s="106">
        <v>4992</v>
      </c>
      <c r="BN20" s="106">
        <v>25</v>
      </c>
      <c r="BO20" s="106">
        <v>2400</v>
      </c>
      <c r="BP20" s="106">
        <v>39</v>
      </c>
      <c r="BQ20" s="106">
        <v>3744</v>
      </c>
      <c r="BR20" s="106">
        <v>30</v>
      </c>
      <c r="BS20" s="106">
        <v>2880</v>
      </c>
      <c r="BT20" s="106">
        <v>32.882448111229721</v>
      </c>
      <c r="BU20" s="106">
        <v>3156.7150186780532</v>
      </c>
      <c r="BV20" s="106">
        <v>28.257972518832318</v>
      </c>
      <c r="BW20" s="106">
        <v>2712.7653618079025</v>
      </c>
      <c r="BX20" s="106">
        <v>8.4905315389887761</v>
      </c>
      <c r="BY20" s="106">
        <v>815.09102774292251</v>
      </c>
      <c r="BZ20" s="106">
        <v>17.272906602479125</v>
      </c>
      <c r="CA20" s="106">
        <v>1658.199033837996</v>
      </c>
      <c r="CB20" s="106">
        <v>21</v>
      </c>
      <c r="CC20" s="106">
        <v>2016</v>
      </c>
      <c r="CD20" s="106">
        <v>19</v>
      </c>
      <c r="CE20" s="106">
        <v>1824</v>
      </c>
      <c r="CF20" s="106">
        <v>25</v>
      </c>
      <c r="CG20" s="106">
        <v>2400</v>
      </c>
      <c r="CH20" s="106">
        <v>28</v>
      </c>
      <c r="CI20" s="106">
        <v>2688</v>
      </c>
      <c r="CJ20" s="106">
        <v>37</v>
      </c>
      <c r="CK20" s="106">
        <v>3552</v>
      </c>
      <c r="CL20" s="106">
        <v>34</v>
      </c>
      <c r="CM20" s="106">
        <v>3264</v>
      </c>
      <c r="CN20" s="106">
        <v>39</v>
      </c>
      <c r="CO20" s="106">
        <v>3744</v>
      </c>
      <c r="CP20" s="106">
        <v>31</v>
      </c>
      <c r="CQ20" s="106">
        <v>2976</v>
      </c>
      <c r="CR20" s="106">
        <v>24</v>
      </c>
      <c r="CS20" s="106">
        <v>2304</v>
      </c>
      <c r="CT20" s="106">
        <v>43</v>
      </c>
      <c r="CU20" s="106">
        <v>4128</v>
      </c>
    </row>
    <row r="21" spans="2:99" x14ac:dyDescent="0.2">
      <c r="C21" s="105" t="s">
        <v>187</v>
      </c>
      <c r="D21" s="106">
        <v>57</v>
      </c>
      <c r="E21" s="106">
        <v>13816.8</v>
      </c>
      <c r="F21" s="106">
        <v>81</v>
      </c>
      <c r="G21" s="106">
        <v>19634.399999999998</v>
      </c>
      <c r="H21" s="106">
        <v>71</v>
      </c>
      <c r="I21" s="106">
        <v>17210.399999999998</v>
      </c>
      <c r="J21" s="106">
        <v>73</v>
      </c>
      <c r="K21" s="106">
        <v>17695.199999999997</v>
      </c>
      <c r="L21" s="106">
        <v>75</v>
      </c>
      <c r="M21" s="106">
        <v>18180</v>
      </c>
      <c r="N21" s="106">
        <v>93</v>
      </c>
      <c r="O21" s="106">
        <v>22543.199999999997</v>
      </c>
      <c r="P21" s="106">
        <v>68</v>
      </c>
      <c r="Q21" s="106">
        <v>16483.199999999997</v>
      </c>
      <c r="R21" s="106">
        <v>102</v>
      </c>
      <c r="S21" s="106">
        <v>24724.799999999999</v>
      </c>
      <c r="T21" s="106">
        <v>17</v>
      </c>
      <c r="U21" s="106">
        <v>4120.7999999999993</v>
      </c>
      <c r="V21" s="106">
        <v>30</v>
      </c>
      <c r="W21" s="106">
        <v>7271.9999999999991</v>
      </c>
      <c r="X21" s="106">
        <v>31</v>
      </c>
      <c r="Y21" s="106">
        <v>7514.4</v>
      </c>
      <c r="Z21" s="106">
        <v>20</v>
      </c>
      <c r="AA21" s="106">
        <v>4848</v>
      </c>
      <c r="AB21" s="106">
        <v>21</v>
      </c>
      <c r="AC21" s="106">
        <v>5090.3999999999996</v>
      </c>
      <c r="AD21" s="106">
        <v>31</v>
      </c>
      <c r="AE21" s="106">
        <v>7514.4</v>
      </c>
      <c r="AF21" s="106">
        <v>29</v>
      </c>
      <c r="AG21" s="106">
        <v>7029.5999999999995</v>
      </c>
      <c r="AH21" s="106">
        <v>35</v>
      </c>
      <c r="AI21" s="106">
        <v>8484</v>
      </c>
      <c r="AJ21" s="106">
        <v>31</v>
      </c>
      <c r="AK21" s="106">
        <v>7514.4</v>
      </c>
      <c r="AL21" s="106">
        <v>41</v>
      </c>
      <c r="AM21" s="106">
        <v>9938.4</v>
      </c>
      <c r="AN21" s="106">
        <v>37</v>
      </c>
      <c r="AO21" s="106">
        <v>8968.7999999999993</v>
      </c>
      <c r="AP21" s="106">
        <v>41</v>
      </c>
      <c r="AQ21" s="106">
        <v>9938.4</v>
      </c>
      <c r="AR21" s="106">
        <v>35</v>
      </c>
      <c r="AS21" s="106">
        <v>8484</v>
      </c>
      <c r="AT21" s="106">
        <v>27</v>
      </c>
      <c r="AU21" s="106">
        <v>6544.7999999999993</v>
      </c>
      <c r="AV21" s="106">
        <v>26.402155812729319</v>
      </c>
      <c r="AW21" s="106">
        <v>6399.8825690055864</v>
      </c>
      <c r="AX21" s="106">
        <v>31.876904122387963</v>
      </c>
      <c r="AY21" s="106">
        <v>7726.9615592668415</v>
      </c>
      <c r="AZ21" s="106">
        <v>22</v>
      </c>
      <c r="BA21" s="106">
        <v>5332.7999999999993</v>
      </c>
      <c r="BB21" s="106">
        <v>15</v>
      </c>
      <c r="BC21" s="106">
        <v>3635.9999999999995</v>
      </c>
      <c r="BD21" s="106">
        <v>17</v>
      </c>
      <c r="BE21" s="106">
        <v>4120.7999999999993</v>
      </c>
      <c r="BF21" s="106">
        <v>18</v>
      </c>
      <c r="BG21" s="106">
        <v>4363.2</v>
      </c>
      <c r="BH21" s="106">
        <v>33</v>
      </c>
      <c r="BI21" s="106">
        <v>7999.1999999999989</v>
      </c>
      <c r="BJ21" s="106">
        <v>34</v>
      </c>
      <c r="BK21" s="106">
        <v>8241.5999999999985</v>
      </c>
      <c r="BL21" s="106">
        <v>47</v>
      </c>
      <c r="BM21" s="106">
        <v>11392.8</v>
      </c>
      <c r="BN21" s="106">
        <v>28</v>
      </c>
      <c r="BO21" s="106">
        <v>6787.1999999999989</v>
      </c>
      <c r="BP21" s="106">
        <v>35</v>
      </c>
      <c r="BQ21" s="106">
        <v>8484</v>
      </c>
      <c r="BR21" s="106">
        <v>31</v>
      </c>
      <c r="BS21" s="106">
        <v>7514.4</v>
      </c>
      <c r="BT21" s="106">
        <v>37.579940698548256</v>
      </c>
      <c r="BU21" s="106">
        <v>9109.3776253280957</v>
      </c>
      <c r="BV21" s="106">
        <v>31.014847886523281</v>
      </c>
      <c r="BW21" s="106">
        <v>7517.9991276932424</v>
      </c>
      <c r="BX21" s="106">
        <v>8.9150581159382138</v>
      </c>
      <c r="BY21" s="106">
        <v>2161.010087303423</v>
      </c>
      <c r="BZ21" s="106">
        <v>15.702642365890114</v>
      </c>
      <c r="CA21" s="106">
        <v>3806.320509491763</v>
      </c>
      <c r="CB21" s="106">
        <v>19</v>
      </c>
      <c r="CC21" s="106">
        <v>4605.5999999999995</v>
      </c>
      <c r="CD21" s="106">
        <v>18</v>
      </c>
      <c r="CE21" s="106">
        <v>4363.2</v>
      </c>
      <c r="CF21" s="106">
        <v>24</v>
      </c>
      <c r="CG21" s="106">
        <v>5817.5999999999995</v>
      </c>
      <c r="CH21" s="106">
        <v>27</v>
      </c>
      <c r="CI21" s="106">
        <v>6544.7999999999993</v>
      </c>
      <c r="CJ21" s="106">
        <v>30</v>
      </c>
      <c r="CK21" s="106">
        <v>7271.9999999999991</v>
      </c>
      <c r="CL21" s="106">
        <v>34</v>
      </c>
      <c r="CM21" s="106">
        <v>8241.5999999999985</v>
      </c>
      <c r="CN21" s="106">
        <v>38</v>
      </c>
      <c r="CO21" s="106">
        <v>9211.1999999999989</v>
      </c>
      <c r="CP21" s="106">
        <v>26</v>
      </c>
      <c r="CQ21" s="106">
        <v>6302.4</v>
      </c>
      <c r="CR21" s="106">
        <v>25</v>
      </c>
      <c r="CS21" s="106">
        <v>6059.9999999999991</v>
      </c>
      <c r="CT21" s="106">
        <v>42</v>
      </c>
      <c r="CU21" s="106">
        <v>10180.799999999999</v>
      </c>
    </row>
    <row r="22" spans="2:99" x14ac:dyDescent="0.2">
      <c r="C22" s="105" t="s">
        <v>188</v>
      </c>
      <c r="D22" s="106">
        <v>60</v>
      </c>
      <c r="E22" s="106">
        <v>3744</v>
      </c>
      <c r="F22" s="106">
        <v>95</v>
      </c>
      <c r="G22" s="106">
        <v>5928</v>
      </c>
      <c r="H22" s="106">
        <v>72</v>
      </c>
      <c r="I22" s="106">
        <v>4492.8</v>
      </c>
      <c r="J22" s="106">
        <v>81</v>
      </c>
      <c r="K22" s="106">
        <v>5054.3999999999996</v>
      </c>
      <c r="L22" s="106">
        <v>88</v>
      </c>
      <c r="M22" s="106">
        <v>5491.2</v>
      </c>
      <c r="N22" s="106">
        <v>100</v>
      </c>
      <c r="O22" s="106">
        <v>6240</v>
      </c>
      <c r="P22" s="106">
        <v>67</v>
      </c>
      <c r="Q22" s="106">
        <v>4180.8</v>
      </c>
      <c r="R22" s="106">
        <v>118</v>
      </c>
      <c r="S22" s="106">
        <v>7363.2</v>
      </c>
      <c r="T22" s="106">
        <v>20</v>
      </c>
      <c r="U22" s="106">
        <v>1248</v>
      </c>
      <c r="V22" s="106">
        <v>35</v>
      </c>
      <c r="W22" s="106">
        <v>2184</v>
      </c>
      <c r="X22" s="106">
        <v>33</v>
      </c>
      <c r="Y22" s="106">
        <v>2059.1999999999998</v>
      </c>
      <c r="Z22" s="106">
        <v>23</v>
      </c>
      <c r="AA22" s="106">
        <v>1435.2</v>
      </c>
      <c r="AB22" s="106">
        <v>23</v>
      </c>
      <c r="AC22" s="106">
        <v>1435.2</v>
      </c>
      <c r="AD22" s="106">
        <v>38</v>
      </c>
      <c r="AE22" s="106">
        <v>2371.1999999999998</v>
      </c>
      <c r="AF22" s="106">
        <v>31</v>
      </c>
      <c r="AG22" s="106">
        <v>1934.3999999999999</v>
      </c>
      <c r="AH22" s="106">
        <v>36</v>
      </c>
      <c r="AI22" s="106">
        <v>2246.4</v>
      </c>
      <c r="AJ22" s="106">
        <v>35</v>
      </c>
      <c r="AK22" s="106">
        <v>2184</v>
      </c>
      <c r="AL22" s="106">
        <v>39</v>
      </c>
      <c r="AM22" s="106">
        <v>2433.6</v>
      </c>
      <c r="AN22" s="106">
        <v>34</v>
      </c>
      <c r="AO22" s="106">
        <v>2121.6</v>
      </c>
      <c r="AP22" s="106">
        <v>36</v>
      </c>
      <c r="AQ22" s="106">
        <v>2246.4</v>
      </c>
      <c r="AR22" s="106">
        <v>34</v>
      </c>
      <c r="AS22" s="106">
        <v>2121.6</v>
      </c>
      <c r="AT22" s="106">
        <v>30</v>
      </c>
      <c r="AU22" s="106">
        <v>1872</v>
      </c>
      <c r="AV22" s="106">
        <v>29.335728680810352</v>
      </c>
      <c r="AW22" s="106">
        <v>1830.5494696825658</v>
      </c>
      <c r="AX22" s="106">
        <v>32.673826725447661</v>
      </c>
      <c r="AY22" s="106">
        <v>2038.846787667934</v>
      </c>
      <c r="AZ22" s="106">
        <v>24</v>
      </c>
      <c r="BA22" s="106">
        <v>1497.6</v>
      </c>
      <c r="BB22" s="106">
        <v>15</v>
      </c>
      <c r="BC22" s="106">
        <v>936</v>
      </c>
      <c r="BD22" s="106">
        <v>17</v>
      </c>
      <c r="BE22" s="106">
        <v>1060.8</v>
      </c>
      <c r="BF22" s="106">
        <v>17</v>
      </c>
      <c r="BG22" s="106">
        <v>1060.8</v>
      </c>
      <c r="BH22" s="106">
        <v>34</v>
      </c>
      <c r="BI22" s="106">
        <v>2121.6</v>
      </c>
      <c r="BJ22" s="106">
        <v>40</v>
      </c>
      <c r="BK22" s="106">
        <v>2496</v>
      </c>
      <c r="BL22" s="106">
        <v>46</v>
      </c>
      <c r="BM22" s="106">
        <v>2870.4</v>
      </c>
      <c r="BN22" s="106">
        <v>26</v>
      </c>
      <c r="BO22" s="106">
        <v>1622.3999999999999</v>
      </c>
      <c r="BP22" s="106">
        <v>34</v>
      </c>
      <c r="BQ22" s="106">
        <v>2121.6</v>
      </c>
      <c r="BR22" s="106">
        <v>31</v>
      </c>
      <c r="BS22" s="106">
        <v>1934.3999999999999</v>
      </c>
      <c r="BT22" s="106">
        <v>31.942949593766016</v>
      </c>
      <c r="BU22" s="106">
        <v>1993.2400546509994</v>
      </c>
      <c r="BV22" s="106">
        <v>28.94719136075506</v>
      </c>
      <c r="BW22" s="106">
        <v>1806.3047409111157</v>
      </c>
      <c r="BX22" s="106">
        <v>8.4905315389887761</v>
      </c>
      <c r="BY22" s="106">
        <v>529.80916803289961</v>
      </c>
      <c r="BZ22" s="106">
        <v>16.487774484184619</v>
      </c>
      <c r="CA22" s="106">
        <v>1028.8371278131203</v>
      </c>
      <c r="CB22" s="106">
        <v>18</v>
      </c>
      <c r="CC22" s="106">
        <v>1123.2</v>
      </c>
      <c r="CD22" s="106">
        <v>18</v>
      </c>
      <c r="CE22" s="106">
        <v>1123.2</v>
      </c>
      <c r="CF22" s="106">
        <v>24</v>
      </c>
      <c r="CG22" s="106">
        <v>1497.6</v>
      </c>
      <c r="CH22" s="106">
        <v>27</v>
      </c>
      <c r="CI22" s="106">
        <v>1684.8</v>
      </c>
      <c r="CJ22" s="106">
        <v>36</v>
      </c>
      <c r="CK22" s="106">
        <v>2246.4</v>
      </c>
      <c r="CL22" s="106">
        <v>29</v>
      </c>
      <c r="CM22" s="106">
        <v>1809.6</v>
      </c>
      <c r="CN22" s="106">
        <v>42</v>
      </c>
      <c r="CO22" s="106">
        <v>2620.7999999999997</v>
      </c>
      <c r="CP22" s="106">
        <v>27</v>
      </c>
      <c r="CQ22" s="106">
        <v>1684.8</v>
      </c>
      <c r="CR22" s="106">
        <v>24</v>
      </c>
      <c r="CS22" s="106">
        <v>1497.6</v>
      </c>
      <c r="CT22" s="106">
        <v>38</v>
      </c>
      <c r="CU22" s="106">
        <v>2371.1999999999998</v>
      </c>
    </row>
    <row r="23" spans="2:99" x14ac:dyDescent="0.2">
      <c r="C23" s="105" t="s">
        <v>189</v>
      </c>
      <c r="D23" s="106">
        <v>61</v>
      </c>
      <c r="E23" s="106">
        <v>17055.599999999999</v>
      </c>
      <c r="F23" s="106">
        <v>84</v>
      </c>
      <c r="G23" s="106">
        <v>23486.399999999998</v>
      </c>
      <c r="H23" s="106">
        <v>63</v>
      </c>
      <c r="I23" s="106">
        <v>17614.8</v>
      </c>
      <c r="J23" s="106">
        <v>81</v>
      </c>
      <c r="K23" s="106">
        <v>22647.599999999999</v>
      </c>
      <c r="L23" s="106">
        <v>88</v>
      </c>
      <c r="M23" s="106">
        <v>24604.799999999996</v>
      </c>
      <c r="N23" s="106">
        <v>87</v>
      </c>
      <c r="O23" s="106">
        <v>24325.199999999997</v>
      </c>
      <c r="P23" s="106">
        <v>64</v>
      </c>
      <c r="Q23" s="106">
        <v>17894.399999999998</v>
      </c>
      <c r="R23" s="106">
        <v>113</v>
      </c>
      <c r="S23" s="106">
        <v>31594.799999999996</v>
      </c>
      <c r="T23" s="106">
        <v>17</v>
      </c>
      <c r="U23" s="106">
        <v>4753.2</v>
      </c>
      <c r="V23" s="106">
        <v>29</v>
      </c>
      <c r="W23" s="106">
        <v>8108.3999999999987</v>
      </c>
      <c r="X23" s="106">
        <v>36</v>
      </c>
      <c r="Y23" s="106">
        <v>10065.599999999999</v>
      </c>
      <c r="Z23" s="106">
        <v>20</v>
      </c>
      <c r="AA23" s="106">
        <v>5591.9999999999991</v>
      </c>
      <c r="AB23" s="106">
        <v>20</v>
      </c>
      <c r="AC23" s="106">
        <v>5591.9999999999991</v>
      </c>
      <c r="AD23" s="106">
        <v>34</v>
      </c>
      <c r="AE23" s="106">
        <v>9506.4</v>
      </c>
      <c r="AF23" s="106">
        <v>29</v>
      </c>
      <c r="AG23" s="106">
        <v>8108.3999999999987</v>
      </c>
      <c r="AH23" s="106">
        <v>35</v>
      </c>
      <c r="AI23" s="106">
        <v>9785.9999999999982</v>
      </c>
      <c r="AJ23" s="106">
        <v>33</v>
      </c>
      <c r="AK23" s="106">
        <v>9226.7999999999993</v>
      </c>
      <c r="AL23" s="106">
        <v>39</v>
      </c>
      <c r="AM23" s="106">
        <v>10904.399999999998</v>
      </c>
      <c r="AN23" s="106">
        <v>35</v>
      </c>
      <c r="AO23" s="106">
        <v>9785.9999999999982</v>
      </c>
      <c r="AP23" s="106">
        <v>35</v>
      </c>
      <c r="AQ23" s="106">
        <v>9785.9999999999982</v>
      </c>
      <c r="AR23" s="106">
        <v>38</v>
      </c>
      <c r="AS23" s="106">
        <v>10624.8</v>
      </c>
      <c r="AT23" s="106">
        <v>28</v>
      </c>
      <c r="AU23" s="106">
        <v>7828.7999999999993</v>
      </c>
      <c r="AV23" s="106">
        <v>26.402155812729319</v>
      </c>
      <c r="AW23" s="106">
        <v>7382.0427652391163</v>
      </c>
      <c r="AX23" s="106">
        <v>29.486136313208863</v>
      </c>
      <c r="AY23" s="106">
        <v>8244.3237131731967</v>
      </c>
      <c r="AZ23" s="106">
        <v>22</v>
      </c>
      <c r="BA23" s="106">
        <v>6151.1999999999989</v>
      </c>
      <c r="BB23" s="106">
        <v>14</v>
      </c>
      <c r="BC23" s="106">
        <v>3914.3999999999996</v>
      </c>
      <c r="BD23" s="106">
        <v>16</v>
      </c>
      <c r="BE23" s="106">
        <v>4473.5999999999995</v>
      </c>
      <c r="BF23" s="106">
        <v>15</v>
      </c>
      <c r="BG23" s="106">
        <v>4193.9999999999991</v>
      </c>
      <c r="BH23" s="106">
        <v>33</v>
      </c>
      <c r="BI23" s="106">
        <v>9226.7999999999993</v>
      </c>
      <c r="BJ23" s="106">
        <v>39</v>
      </c>
      <c r="BK23" s="106">
        <v>10904.399999999998</v>
      </c>
      <c r="BL23" s="106">
        <v>46</v>
      </c>
      <c r="BM23" s="106">
        <v>12861.599999999999</v>
      </c>
      <c r="BN23" s="106">
        <v>27</v>
      </c>
      <c r="BO23" s="106">
        <v>7549.1999999999989</v>
      </c>
      <c r="BP23" s="106">
        <v>38</v>
      </c>
      <c r="BQ23" s="106">
        <v>10624.8</v>
      </c>
      <c r="BR23" s="106">
        <v>28</v>
      </c>
      <c r="BS23" s="106">
        <v>7828.7999999999993</v>
      </c>
      <c r="BT23" s="106">
        <v>31.942949593766016</v>
      </c>
      <c r="BU23" s="106">
        <v>8931.2487064169763</v>
      </c>
      <c r="BV23" s="106">
        <v>29.636410202677798</v>
      </c>
      <c r="BW23" s="106">
        <v>8286.3402926687104</v>
      </c>
      <c r="BX23" s="106">
        <v>9.3395846928876534</v>
      </c>
      <c r="BY23" s="106">
        <v>2611.3478801313877</v>
      </c>
      <c r="BZ23" s="106">
        <v>14.917510247595608</v>
      </c>
      <c r="CA23" s="106">
        <v>4170.9358652277315</v>
      </c>
      <c r="CB23" s="106">
        <v>19</v>
      </c>
      <c r="CC23" s="106">
        <v>5312.4</v>
      </c>
      <c r="CD23" s="106">
        <v>20</v>
      </c>
      <c r="CE23" s="106">
        <v>5591.9999999999991</v>
      </c>
      <c r="CF23" s="106">
        <v>25</v>
      </c>
      <c r="CG23" s="106">
        <v>6989.9999999999991</v>
      </c>
      <c r="CH23" s="106">
        <v>29</v>
      </c>
      <c r="CI23" s="106">
        <v>8108.3999999999987</v>
      </c>
      <c r="CJ23" s="106">
        <v>34</v>
      </c>
      <c r="CK23" s="106">
        <v>9506.4</v>
      </c>
      <c r="CL23" s="106">
        <v>28</v>
      </c>
      <c r="CM23" s="106">
        <v>7828.7999999999993</v>
      </c>
      <c r="CN23" s="106">
        <v>40</v>
      </c>
      <c r="CO23" s="106">
        <v>11183.999999999998</v>
      </c>
      <c r="CP23" s="106">
        <v>31</v>
      </c>
      <c r="CQ23" s="106">
        <v>8667.5999999999985</v>
      </c>
      <c r="CR23" s="106">
        <v>27</v>
      </c>
      <c r="CS23" s="106">
        <v>7549.1999999999989</v>
      </c>
      <c r="CT23" s="106">
        <v>40</v>
      </c>
      <c r="CU23" s="106">
        <v>11183.999999999998</v>
      </c>
    </row>
    <row r="24" spans="2:99" x14ac:dyDescent="0.2">
      <c r="C24" s="105" t="s">
        <v>190</v>
      </c>
      <c r="D24" s="106">
        <v>65</v>
      </c>
      <c r="E24" s="106">
        <v>19812</v>
      </c>
      <c r="F24" s="106">
        <v>90</v>
      </c>
      <c r="G24" s="106">
        <v>27432</v>
      </c>
      <c r="H24" s="106">
        <v>62</v>
      </c>
      <c r="I24" s="106">
        <v>18897.600000000002</v>
      </c>
      <c r="J24" s="106">
        <v>76</v>
      </c>
      <c r="K24" s="106">
        <v>23164.799999999999</v>
      </c>
      <c r="L24" s="106">
        <v>86</v>
      </c>
      <c r="M24" s="106">
        <v>26212.799999999999</v>
      </c>
      <c r="N24" s="106">
        <v>79</v>
      </c>
      <c r="O24" s="106">
        <v>24079.200000000001</v>
      </c>
      <c r="P24" s="106">
        <v>69</v>
      </c>
      <c r="Q24" s="106">
        <v>21031.200000000001</v>
      </c>
      <c r="R24" s="106">
        <v>107</v>
      </c>
      <c r="S24" s="106">
        <v>32613.600000000002</v>
      </c>
      <c r="T24" s="106">
        <v>18</v>
      </c>
      <c r="U24" s="106">
        <v>5486.4000000000005</v>
      </c>
      <c r="V24" s="106">
        <v>33</v>
      </c>
      <c r="W24" s="106">
        <v>10058.4</v>
      </c>
      <c r="X24" s="106">
        <v>32</v>
      </c>
      <c r="Y24" s="106">
        <v>9753.6</v>
      </c>
      <c r="Z24" s="106">
        <v>22</v>
      </c>
      <c r="AA24" s="106">
        <v>6705.6</v>
      </c>
      <c r="AB24" s="106">
        <v>24</v>
      </c>
      <c r="AC24" s="106">
        <v>7315.2000000000007</v>
      </c>
      <c r="AD24" s="106">
        <v>37</v>
      </c>
      <c r="AE24" s="106">
        <v>11277.6</v>
      </c>
      <c r="AF24" s="106">
        <v>30</v>
      </c>
      <c r="AG24" s="106">
        <v>9144</v>
      </c>
      <c r="AH24" s="106">
        <v>32</v>
      </c>
      <c r="AI24" s="106">
        <v>9753.6</v>
      </c>
      <c r="AJ24" s="106">
        <v>36</v>
      </c>
      <c r="AK24" s="106">
        <v>10972.800000000001</v>
      </c>
      <c r="AL24" s="106">
        <v>38</v>
      </c>
      <c r="AM24" s="106">
        <v>11582.4</v>
      </c>
      <c r="AN24" s="106">
        <v>32</v>
      </c>
      <c r="AO24" s="106">
        <v>9753.6</v>
      </c>
      <c r="AP24" s="106">
        <v>41</v>
      </c>
      <c r="AQ24" s="106">
        <v>12496.800000000001</v>
      </c>
      <c r="AR24" s="106">
        <v>35</v>
      </c>
      <c r="AS24" s="106">
        <v>10668</v>
      </c>
      <c r="AT24" s="106">
        <v>28</v>
      </c>
      <c r="AU24" s="106">
        <v>8534.4</v>
      </c>
      <c r="AV24" s="106">
        <v>27.380013435422992</v>
      </c>
      <c r="AW24" s="106">
        <v>8345.4280951169276</v>
      </c>
      <c r="AX24" s="106">
        <v>30.283058916268562</v>
      </c>
      <c r="AY24" s="106">
        <v>9230.2763576786583</v>
      </c>
      <c r="AZ24" s="106">
        <v>22</v>
      </c>
      <c r="BA24" s="106">
        <v>6705.6</v>
      </c>
      <c r="BB24" s="106">
        <v>15</v>
      </c>
      <c r="BC24" s="106">
        <v>4572</v>
      </c>
      <c r="BD24" s="106">
        <v>15</v>
      </c>
      <c r="BE24" s="106">
        <v>4572</v>
      </c>
      <c r="BF24" s="106">
        <v>16</v>
      </c>
      <c r="BG24" s="106">
        <v>4876.8</v>
      </c>
      <c r="BH24" s="106">
        <v>29</v>
      </c>
      <c r="BI24" s="106">
        <v>8839.2000000000007</v>
      </c>
      <c r="BJ24" s="106">
        <v>40</v>
      </c>
      <c r="BK24" s="106">
        <v>12192</v>
      </c>
      <c r="BL24" s="106">
        <v>52</v>
      </c>
      <c r="BM24" s="106">
        <v>15849.6</v>
      </c>
      <c r="BN24" s="106">
        <v>26</v>
      </c>
      <c r="BO24" s="106">
        <v>7924.8</v>
      </c>
      <c r="BP24" s="106">
        <v>37</v>
      </c>
      <c r="BQ24" s="106">
        <v>11277.6</v>
      </c>
      <c r="BR24" s="106">
        <v>29</v>
      </c>
      <c r="BS24" s="106">
        <v>8839.2000000000007</v>
      </c>
      <c r="BT24" s="106">
        <v>34.761445146157136</v>
      </c>
      <c r="BU24" s="106">
        <v>10595.288480548696</v>
      </c>
      <c r="BV24" s="106">
        <v>26.879534834986842</v>
      </c>
      <c r="BW24" s="106">
        <v>8192.8822177039892</v>
      </c>
      <c r="BX24" s="106">
        <v>8.4905315389887761</v>
      </c>
      <c r="BY24" s="106">
        <v>2587.9140130837791</v>
      </c>
      <c r="BZ24" s="106">
        <v>14.917510247595608</v>
      </c>
      <c r="CA24" s="106">
        <v>4546.8571234671417</v>
      </c>
      <c r="CB24" s="106">
        <v>20</v>
      </c>
      <c r="CC24" s="106">
        <v>6096</v>
      </c>
      <c r="CD24" s="106">
        <v>18</v>
      </c>
      <c r="CE24" s="106">
        <v>5486.4000000000005</v>
      </c>
      <c r="CF24" s="106">
        <v>25</v>
      </c>
      <c r="CG24" s="106">
        <v>7620</v>
      </c>
      <c r="CH24" s="106">
        <v>26</v>
      </c>
      <c r="CI24" s="106">
        <v>7924.8</v>
      </c>
      <c r="CJ24" s="106">
        <v>36</v>
      </c>
      <c r="CK24" s="106">
        <v>10972.800000000001</v>
      </c>
      <c r="CL24" s="106">
        <v>32</v>
      </c>
      <c r="CM24" s="106">
        <v>9753.6</v>
      </c>
      <c r="CN24" s="106">
        <v>36</v>
      </c>
      <c r="CO24" s="106">
        <v>10972.800000000001</v>
      </c>
      <c r="CP24" s="106">
        <v>28</v>
      </c>
      <c r="CQ24" s="106">
        <v>8534.4</v>
      </c>
      <c r="CR24" s="106">
        <v>23</v>
      </c>
      <c r="CS24" s="106">
        <v>7010.4000000000005</v>
      </c>
      <c r="CT24" s="106">
        <v>40</v>
      </c>
      <c r="CU24" s="106">
        <v>12192</v>
      </c>
    </row>
    <row r="25" spans="2:99" x14ac:dyDescent="0.2">
      <c r="C25" s="105" t="s">
        <v>191</v>
      </c>
      <c r="D25" s="106">
        <v>61</v>
      </c>
      <c r="E25" s="106">
        <v>19837.2</v>
      </c>
      <c r="F25" s="106">
        <v>83</v>
      </c>
      <c r="G25" s="106">
        <v>26991.599999999999</v>
      </c>
      <c r="H25" s="106">
        <v>68</v>
      </c>
      <c r="I25" s="106">
        <v>22113.599999999999</v>
      </c>
      <c r="J25" s="106">
        <v>86</v>
      </c>
      <c r="K25" s="106">
        <v>27967.200000000001</v>
      </c>
      <c r="L25" s="106">
        <v>87</v>
      </c>
      <c r="M25" s="106">
        <v>28292.399999999998</v>
      </c>
      <c r="N25" s="106">
        <v>93</v>
      </c>
      <c r="O25" s="106">
        <v>30243.599999999999</v>
      </c>
      <c r="P25" s="106">
        <v>71</v>
      </c>
      <c r="Q25" s="106">
        <v>23089.200000000001</v>
      </c>
      <c r="R25" s="106">
        <v>93</v>
      </c>
      <c r="S25" s="106">
        <v>30243.599999999999</v>
      </c>
      <c r="T25" s="106">
        <v>20</v>
      </c>
      <c r="U25" s="106">
        <v>6504</v>
      </c>
      <c r="V25" s="106">
        <v>28</v>
      </c>
      <c r="W25" s="106">
        <v>9105.6</v>
      </c>
      <c r="X25" s="106">
        <v>33</v>
      </c>
      <c r="Y25" s="106">
        <v>10731.6</v>
      </c>
      <c r="Z25" s="106">
        <v>23</v>
      </c>
      <c r="AA25" s="106">
        <v>7479.5999999999995</v>
      </c>
      <c r="AB25" s="106">
        <v>21</v>
      </c>
      <c r="AC25" s="106">
        <v>6829.2</v>
      </c>
      <c r="AD25" s="106">
        <v>35</v>
      </c>
      <c r="AE25" s="106">
        <v>11382</v>
      </c>
      <c r="AF25" s="106">
        <v>29</v>
      </c>
      <c r="AG25" s="106">
        <v>9430.7999999999993</v>
      </c>
      <c r="AH25" s="106">
        <v>33</v>
      </c>
      <c r="AI25" s="106">
        <v>10731.6</v>
      </c>
      <c r="AJ25" s="106">
        <v>33</v>
      </c>
      <c r="AK25" s="106">
        <v>10731.6</v>
      </c>
      <c r="AL25" s="106">
        <v>38</v>
      </c>
      <c r="AM25" s="106">
        <v>12357.6</v>
      </c>
      <c r="AN25" s="106">
        <v>36</v>
      </c>
      <c r="AO25" s="106">
        <v>11707.199999999999</v>
      </c>
      <c r="AP25" s="106">
        <v>40</v>
      </c>
      <c r="AQ25" s="106">
        <v>13008</v>
      </c>
      <c r="AR25" s="106">
        <v>34</v>
      </c>
      <c r="AS25" s="106">
        <v>11056.8</v>
      </c>
      <c r="AT25" s="106">
        <v>26</v>
      </c>
      <c r="AU25" s="106">
        <v>8455.1999999999989</v>
      </c>
      <c r="AV25" s="106">
        <v>28.357871058116672</v>
      </c>
      <c r="AW25" s="106">
        <v>9221.9796680995405</v>
      </c>
      <c r="AX25" s="106">
        <v>27.095368504029768</v>
      </c>
      <c r="AY25" s="106">
        <v>8811.4138375104794</v>
      </c>
      <c r="AZ25" s="106">
        <v>21</v>
      </c>
      <c r="BA25" s="106">
        <v>6829.2</v>
      </c>
      <c r="BB25" s="106">
        <v>13</v>
      </c>
      <c r="BC25" s="106">
        <v>4227.5999999999995</v>
      </c>
      <c r="BD25" s="106">
        <v>15</v>
      </c>
      <c r="BE25" s="106">
        <v>4878</v>
      </c>
      <c r="BF25" s="106">
        <v>18</v>
      </c>
      <c r="BG25" s="106">
        <v>5853.5999999999995</v>
      </c>
      <c r="BH25" s="106">
        <v>31</v>
      </c>
      <c r="BI25" s="106">
        <v>10081.199999999999</v>
      </c>
      <c r="BJ25" s="106">
        <v>38</v>
      </c>
      <c r="BK25" s="106">
        <v>12357.6</v>
      </c>
      <c r="BL25" s="106">
        <v>47</v>
      </c>
      <c r="BM25" s="106">
        <v>15284.4</v>
      </c>
      <c r="BN25" s="106">
        <v>25</v>
      </c>
      <c r="BO25" s="106">
        <v>8130</v>
      </c>
      <c r="BP25" s="106">
        <v>35</v>
      </c>
      <c r="BQ25" s="106">
        <v>11382</v>
      </c>
      <c r="BR25" s="106">
        <v>29</v>
      </c>
      <c r="BS25" s="106">
        <v>9430.7999999999993</v>
      </c>
      <c r="BT25" s="106">
        <v>35.700943663620841</v>
      </c>
      <c r="BU25" s="106">
        <v>11609.946879409497</v>
      </c>
      <c r="BV25" s="106">
        <v>31.704066728446016</v>
      </c>
      <c r="BW25" s="106">
        <v>10310.162500090644</v>
      </c>
      <c r="BX25" s="106">
        <v>8.9150581159382138</v>
      </c>
      <c r="BY25" s="106">
        <v>2899.1768993031069</v>
      </c>
      <c r="BZ25" s="106">
        <v>14.132378129301104</v>
      </c>
      <c r="CA25" s="106">
        <v>4595.8493676487187</v>
      </c>
      <c r="CB25" s="106">
        <v>19</v>
      </c>
      <c r="CC25" s="106">
        <v>6178.8</v>
      </c>
      <c r="CD25" s="106">
        <v>19</v>
      </c>
      <c r="CE25" s="106">
        <v>6178.8</v>
      </c>
      <c r="CF25" s="106">
        <v>27</v>
      </c>
      <c r="CG25" s="106">
        <v>8780.4</v>
      </c>
      <c r="CH25" s="106">
        <v>28</v>
      </c>
      <c r="CI25" s="106">
        <v>9105.6</v>
      </c>
      <c r="CJ25" s="106">
        <v>32</v>
      </c>
      <c r="CK25" s="106">
        <v>10406.4</v>
      </c>
      <c r="CL25" s="106">
        <v>29</v>
      </c>
      <c r="CM25" s="106">
        <v>9430.7999999999993</v>
      </c>
      <c r="CN25" s="106">
        <v>39</v>
      </c>
      <c r="CO25" s="106">
        <v>12682.8</v>
      </c>
      <c r="CP25" s="106">
        <v>29</v>
      </c>
      <c r="CQ25" s="106">
        <v>9430.7999999999993</v>
      </c>
      <c r="CR25" s="106">
        <v>25</v>
      </c>
      <c r="CS25" s="106">
        <v>8130</v>
      </c>
      <c r="CT25" s="106">
        <v>36</v>
      </c>
      <c r="CU25" s="106">
        <v>11707.199999999999</v>
      </c>
    </row>
    <row r="26" spans="2:99" x14ac:dyDescent="0.2">
      <c r="C26" s="105" t="s">
        <v>192</v>
      </c>
      <c r="D26" s="106">
        <v>62</v>
      </c>
      <c r="E26" s="106">
        <v>17781.600000000002</v>
      </c>
      <c r="F26" s="106">
        <v>82</v>
      </c>
      <c r="G26" s="106">
        <v>23517.600000000002</v>
      </c>
      <c r="H26" s="106">
        <v>65</v>
      </c>
      <c r="I26" s="106">
        <v>18642</v>
      </c>
      <c r="J26" s="106">
        <v>75</v>
      </c>
      <c r="K26" s="106">
        <v>21510</v>
      </c>
      <c r="L26" s="106">
        <v>76</v>
      </c>
      <c r="M26" s="106">
        <v>21796.799999999999</v>
      </c>
      <c r="N26" s="106">
        <v>94</v>
      </c>
      <c r="O26" s="106">
        <v>26959.200000000001</v>
      </c>
      <c r="P26" s="106">
        <v>59</v>
      </c>
      <c r="Q26" s="106">
        <v>16921.2</v>
      </c>
      <c r="R26" s="106">
        <v>113</v>
      </c>
      <c r="S26" s="106">
        <v>32408.400000000001</v>
      </c>
      <c r="T26" s="106">
        <v>20</v>
      </c>
      <c r="U26" s="106">
        <v>5736</v>
      </c>
      <c r="V26" s="106">
        <v>33</v>
      </c>
      <c r="W26" s="106">
        <v>9464.4</v>
      </c>
      <c r="X26" s="106">
        <v>33</v>
      </c>
      <c r="Y26" s="106">
        <v>9464.4</v>
      </c>
      <c r="Z26" s="106">
        <v>20</v>
      </c>
      <c r="AA26" s="106">
        <v>5736</v>
      </c>
      <c r="AB26" s="106">
        <v>22</v>
      </c>
      <c r="AC26" s="106">
        <v>6309.6</v>
      </c>
      <c r="AD26" s="106">
        <v>35</v>
      </c>
      <c r="AE26" s="106">
        <v>10038</v>
      </c>
      <c r="AF26" s="106">
        <v>31</v>
      </c>
      <c r="AG26" s="106">
        <v>8890.8000000000011</v>
      </c>
      <c r="AH26" s="106">
        <v>34</v>
      </c>
      <c r="AI26" s="106">
        <v>9751.2000000000007</v>
      </c>
      <c r="AJ26" s="106">
        <v>33</v>
      </c>
      <c r="AK26" s="106">
        <v>9464.4</v>
      </c>
      <c r="AL26" s="106">
        <v>39</v>
      </c>
      <c r="AM26" s="106">
        <v>11185.2</v>
      </c>
      <c r="AN26" s="106">
        <v>36</v>
      </c>
      <c r="AO26" s="106">
        <v>10324.800000000001</v>
      </c>
      <c r="AP26" s="106">
        <v>40</v>
      </c>
      <c r="AQ26" s="106">
        <v>11472</v>
      </c>
      <c r="AR26" s="106">
        <v>38</v>
      </c>
      <c r="AS26" s="106">
        <v>10898.4</v>
      </c>
      <c r="AT26" s="106">
        <v>27</v>
      </c>
      <c r="AU26" s="106">
        <v>7743.6</v>
      </c>
      <c r="AV26" s="106">
        <v>27.380013435422992</v>
      </c>
      <c r="AW26" s="106">
        <v>7852.587853279314</v>
      </c>
      <c r="AX26" s="106">
        <v>28.689213710149165</v>
      </c>
      <c r="AY26" s="106">
        <v>8228.0664920707804</v>
      </c>
      <c r="AZ26" s="106">
        <v>25</v>
      </c>
      <c r="BA26" s="106">
        <v>7170</v>
      </c>
      <c r="BB26" s="106">
        <v>14</v>
      </c>
      <c r="BC26" s="106">
        <v>4015.2000000000003</v>
      </c>
      <c r="BD26" s="106">
        <v>17</v>
      </c>
      <c r="BE26" s="106">
        <v>4875.6000000000004</v>
      </c>
      <c r="BF26" s="106">
        <v>17</v>
      </c>
      <c r="BG26" s="106">
        <v>4875.6000000000004</v>
      </c>
      <c r="BH26" s="106">
        <v>33</v>
      </c>
      <c r="BI26" s="106">
        <v>9464.4</v>
      </c>
      <c r="BJ26" s="106">
        <v>35</v>
      </c>
      <c r="BK26" s="106">
        <v>10038</v>
      </c>
      <c r="BL26" s="106">
        <v>48</v>
      </c>
      <c r="BM26" s="106">
        <v>13766.400000000001</v>
      </c>
      <c r="BN26" s="106">
        <v>24</v>
      </c>
      <c r="BO26" s="106">
        <v>6883.2000000000007</v>
      </c>
      <c r="BP26" s="106">
        <v>34</v>
      </c>
      <c r="BQ26" s="106">
        <v>9751.2000000000007</v>
      </c>
      <c r="BR26" s="106">
        <v>33</v>
      </c>
      <c r="BS26" s="106">
        <v>9464.4</v>
      </c>
      <c r="BT26" s="106">
        <v>36.640442181084545</v>
      </c>
      <c r="BU26" s="106">
        <v>10508.478817535048</v>
      </c>
      <c r="BV26" s="106">
        <v>28.257972518832318</v>
      </c>
      <c r="BW26" s="106">
        <v>8104.3865184011092</v>
      </c>
      <c r="BX26" s="106">
        <v>8.4905315389887761</v>
      </c>
      <c r="BY26" s="106">
        <v>2435.0844453819809</v>
      </c>
      <c r="BZ26" s="106">
        <v>14.132378129301104</v>
      </c>
      <c r="CA26" s="106">
        <v>4053.1660474835567</v>
      </c>
      <c r="CB26" s="106">
        <v>21</v>
      </c>
      <c r="CC26" s="106">
        <v>6022.8</v>
      </c>
      <c r="CD26" s="106">
        <v>19</v>
      </c>
      <c r="CE26" s="106">
        <v>5449.2</v>
      </c>
      <c r="CF26" s="106">
        <v>23</v>
      </c>
      <c r="CG26" s="106">
        <v>6596.4000000000005</v>
      </c>
      <c r="CH26" s="106">
        <v>28</v>
      </c>
      <c r="CI26" s="106">
        <v>8030.4000000000005</v>
      </c>
      <c r="CJ26" s="106">
        <v>36</v>
      </c>
      <c r="CK26" s="106">
        <v>10324.800000000001</v>
      </c>
      <c r="CL26" s="106">
        <v>32</v>
      </c>
      <c r="CM26" s="106">
        <v>9177.6</v>
      </c>
      <c r="CN26" s="106">
        <v>36</v>
      </c>
      <c r="CO26" s="106">
        <v>10324.800000000001</v>
      </c>
      <c r="CP26" s="106">
        <v>29</v>
      </c>
      <c r="CQ26" s="106">
        <v>8317.2000000000007</v>
      </c>
      <c r="CR26" s="106">
        <v>24</v>
      </c>
      <c r="CS26" s="106">
        <v>6883.2000000000007</v>
      </c>
      <c r="CT26" s="106">
        <v>39</v>
      </c>
      <c r="CU26" s="106">
        <v>11185.2</v>
      </c>
    </row>
    <row r="27" spans="2:99" x14ac:dyDescent="0.2">
      <c r="C27" s="105" t="s">
        <v>193</v>
      </c>
      <c r="D27" s="106">
        <v>59</v>
      </c>
      <c r="E27" s="106">
        <v>18620.399999999998</v>
      </c>
      <c r="F27" s="106">
        <v>84</v>
      </c>
      <c r="G27" s="106">
        <v>26510.399999999998</v>
      </c>
      <c r="H27" s="106">
        <v>64</v>
      </c>
      <c r="I27" s="106">
        <v>20198.399999999998</v>
      </c>
      <c r="J27" s="106">
        <v>81</v>
      </c>
      <c r="K27" s="106">
        <v>25563.599999999999</v>
      </c>
      <c r="L27" s="106">
        <v>88</v>
      </c>
      <c r="M27" s="106">
        <v>27772.799999999996</v>
      </c>
      <c r="N27" s="106">
        <v>85</v>
      </c>
      <c r="O27" s="106">
        <v>26825.999999999996</v>
      </c>
      <c r="P27" s="106">
        <v>67</v>
      </c>
      <c r="Q27" s="106">
        <v>21145.199999999997</v>
      </c>
      <c r="R27" s="106">
        <v>111</v>
      </c>
      <c r="S27" s="106">
        <v>35031.599999999999</v>
      </c>
      <c r="T27" s="106">
        <v>18</v>
      </c>
      <c r="U27" s="106">
        <v>5680.7999999999993</v>
      </c>
      <c r="V27" s="106">
        <v>32</v>
      </c>
      <c r="W27" s="106">
        <v>10099.199999999999</v>
      </c>
      <c r="X27" s="106">
        <v>31</v>
      </c>
      <c r="Y27" s="106">
        <v>9783.5999999999985</v>
      </c>
      <c r="Z27" s="106">
        <v>24</v>
      </c>
      <c r="AA27" s="106">
        <v>7574.4</v>
      </c>
      <c r="AB27" s="106">
        <v>22</v>
      </c>
      <c r="AC27" s="106">
        <v>6943.1999999999989</v>
      </c>
      <c r="AD27" s="106">
        <v>31</v>
      </c>
      <c r="AE27" s="106">
        <v>9783.5999999999985</v>
      </c>
      <c r="AF27" s="106">
        <v>31</v>
      </c>
      <c r="AG27" s="106">
        <v>9783.5999999999985</v>
      </c>
      <c r="AH27" s="106">
        <v>33</v>
      </c>
      <c r="AI27" s="106">
        <v>10414.799999999999</v>
      </c>
      <c r="AJ27" s="106">
        <v>37</v>
      </c>
      <c r="AK27" s="106">
        <v>11677.199999999999</v>
      </c>
      <c r="AL27" s="106">
        <v>37</v>
      </c>
      <c r="AM27" s="106">
        <v>11677.199999999999</v>
      </c>
      <c r="AN27" s="106">
        <v>36</v>
      </c>
      <c r="AO27" s="106">
        <v>11361.599999999999</v>
      </c>
      <c r="AP27" s="106">
        <v>40</v>
      </c>
      <c r="AQ27" s="106">
        <v>12623.999999999998</v>
      </c>
      <c r="AR27" s="106">
        <v>35</v>
      </c>
      <c r="AS27" s="106">
        <v>11045.999999999998</v>
      </c>
      <c r="AT27" s="106">
        <v>26</v>
      </c>
      <c r="AU27" s="106">
        <v>8205.5999999999985</v>
      </c>
      <c r="AV27" s="106">
        <v>28.357871058116672</v>
      </c>
      <c r="AW27" s="106">
        <v>8949.7441059416215</v>
      </c>
      <c r="AX27" s="106">
        <v>31.079981519328264</v>
      </c>
      <c r="AY27" s="106">
        <v>9808.8421674999991</v>
      </c>
      <c r="AZ27" s="106">
        <v>24</v>
      </c>
      <c r="BA27" s="106">
        <v>7574.4</v>
      </c>
      <c r="BB27" s="106">
        <v>15</v>
      </c>
      <c r="BC27" s="106">
        <v>4733.9999999999991</v>
      </c>
      <c r="BD27" s="106">
        <v>18</v>
      </c>
      <c r="BE27" s="106">
        <v>5680.7999999999993</v>
      </c>
      <c r="BF27" s="106">
        <v>15</v>
      </c>
      <c r="BG27" s="106">
        <v>4733.9999999999991</v>
      </c>
      <c r="BH27" s="106">
        <v>31</v>
      </c>
      <c r="BI27" s="106">
        <v>9783.5999999999985</v>
      </c>
      <c r="BJ27" s="106">
        <v>40</v>
      </c>
      <c r="BK27" s="106">
        <v>12623.999999999998</v>
      </c>
      <c r="BL27" s="106">
        <v>45</v>
      </c>
      <c r="BM27" s="106">
        <v>14201.999999999998</v>
      </c>
      <c r="BN27" s="106">
        <v>25</v>
      </c>
      <c r="BO27" s="106">
        <v>7889.9999999999991</v>
      </c>
      <c r="BP27" s="106">
        <v>34</v>
      </c>
      <c r="BQ27" s="106">
        <v>10730.4</v>
      </c>
      <c r="BR27" s="106">
        <v>31</v>
      </c>
      <c r="BS27" s="106">
        <v>9783.5999999999985</v>
      </c>
      <c r="BT27" s="106">
        <v>32.882448111229721</v>
      </c>
      <c r="BU27" s="106">
        <v>10377.700623904098</v>
      </c>
      <c r="BV27" s="106">
        <v>30.325629044600539</v>
      </c>
      <c r="BW27" s="106">
        <v>9570.7685264759293</v>
      </c>
      <c r="BX27" s="106">
        <v>8.4905315389887761</v>
      </c>
      <c r="BY27" s="106">
        <v>2679.6117537048576</v>
      </c>
      <c r="BZ27" s="106">
        <v>14.917510247595608</v>
      </c>
      <c r="CA27" s="106">
        <v>4707.9662341411731</v>
      </c>
      <c r="CB27" s="106">
        <v>19</v>
      </c>
      <c r="CC27" s="106">
        <v>5996.4</v>
      </c>
      <c r="CD27" s="106">
        <v>20</v>
      </c>
      <c r="CE27" s="106">
        <v>6311.9999999999991</v>
      </c>
      <c r="CF27" s="106">
        <v>26</v>
      </c>
      <c r="CG27" s="106">
        <v>8205.5999999999985</v>
      </c>
      <c r="CH27" s="106">
        <v>26</v>
      </c>
      <c r="CI27" s="106">
        <v>8205.5999999999985</v>
      </c>
      <c r="CJ27" s="106">
        <v>36</v>
      </c>
      <c r="CK27" s="106">
        <v>11361.599999999999</v>
      </c>
      <c r="CL27" s="106">
        <v>30</v>
      </c>
      <c r="CM27" s="106">
        <v>9467.9999999999982</v>
      </c>
      <c r="CN27" s="106">
        <v>40</v>
      </c>
      <c r="CO27" s="106">
        <v>12623.999999999998</v>
      </c>
      <c r="CP27" s="106">
        <v>25</v>
      </c>
      <c r="CQ27" s="106">
        <v>7889.9999999999991</v>
      </c>
      <c r="CR27" s="106">
        <v>23</v>
      </c>
      <c r="CS27" s="106">
        <v>7258.7999999999993</v>
      </c>
      <c r="CT27" s="106">
        <v>34</v>
      </c>
      <c r="CU27" s="106">
        <v>10730.4</v>
      </c>
    </row>
    <row r="28" spans="2:99" x14ac:dyDescent="0.2">
      <c r="C28" s="105" t="s">
        <v>194</v>
      </c>
      <c r="D28" s="106">
        <v>60</v>
      </c>
      <c r="E28" s="106">
        <v>35424</v>
      </c>
      <c r="F28" s="106">
        <v>74</v>
      </c>
      <c r="G28" s="106">
        <v>43689.599999999999</v>
      </c>
      <c r="H28" s="106">
        <v>58</v>
      </c>
      <c r="I28" s="106">
        <v>34243.199999999997</v>
      </c>
      <c r="J28" s="106">
        <v>74</v>
      </c>
      <c r="K28" s="106">
        <v>43689.599999999999</v>
      </c>
      <c r="L28" s="106">
        <v>78</v>
      </c>
      <c r="M28" s="106">
        <v>46051.199999999997</v>
      </c>
      <c r="N28" s="106">
        <v>82</v>
      </c>
      <c r="O28" s="106">
        <v>48412.799999999996</v>
      </c>
      <c r="P28" s="106">
        <v>64</v>
      </c>
      <c r="Q28" s="106">
        <v>37785.599999999999</v>
      </c>
      <c r="R28" s="106">
        <v>104</v>
      </c>
      <c r="S28" s="106">
        <v>61401.599999999999</v>
      </c>
      <c r="T28" s="106">
        <v>18</v>
      </c>
      <c r="U28" s="106">
        <v>10627.199999999999</v>
      </c>
      <c r="V28" s="106">
        <v>32</v>
      </c>
      <c r="W28" s="106">
        <v>18892.8</v>
      </c>
      <c r="X28" s="106">
        <v>32</v>
      </c>
      <c r="Y28" s="106">
        <v>18892.8</v>
      </c>
      <c r="Z28" s="106">
        <v>21</v>
      </c>
      <c r="AA28" s="106">
        <v>12398.4</v>
      </c>
      <c r="AB28" s="106">
        <v>21</v>
      </c>
      <c r="AC28" s="106">
        <v>12398.4</v>
      </c>
      <c r="AD28" s="106">
        <v>35</v>
      </c>
      <c r="AE28" s="106">
        <v>20664</v>
      </c>
      <c r="AF28" s="106">
        <v>26</v>
      </c>
      <c r="AG28" s="106">
        <v>15350.4</v>
      </c>
      <c r="AH28" s="106">
        <v>28</v>
      </c>
      <c r="AI28" s="106">
        <v>16531.2</v>
      </c>
      <c r="AJ28" s="106">
        <v>36</v>
      </c>
      <c r="AK28" s="106">
        <v>21254.399999999998</v>
      </c>
      <c r="AL28" s="106">
        <v>38</v>
      </c>
      <c r="AM28" s="106">
        <v>22435.200000000001</v>
      </c>
      <c r="AN28" s="106">
        <v>35</v>
      </c>
      <c r="AO28" s="106">
        <v>20664</v>
      </c>
      <c r="AP28" s="106">
        <v>37</v>
      </c>
      <c r="AQ28" s="106">
        <v>21844.799999999999</v>
      </c>
      <c r="AR28" s="106">
        <v>37</v>
      </c>
      <c r="AS28" s="106">
        <v>21844.799999999999</v>
      </c>
      <c r="AT28" s="106">
        <v>29</v>
      </c>
      <c r="AU28" s="106">
        <v>17121.599999999999</v>
      </c>
      <c r="AV28" s="106">
        <v>25</v>
      </c>
      <c r="AW28" s="106">
        <v>14760</v>
      </c>
      <c r="AX28" s="106">
        <v>35</v>
      </c>
      <c r="AY28" s="106">
        <v>20664</v>
      </c>
      <c r="AZ28" s="106">
        <v>23</v>
      </c>
      <c r="BA28" s="106">
        <v>13579.199999999999</v>
      </c>
      <c r="BB28" s="106">
        <v>12</v>
      </c>
      <c r="BC28" s="106">
        <v>7084.7999999999993</v>
      </c>
      <c r="BD28" s="106">
        <v>17</v>
      </c>
      <c r="BE28" s="106">
        <v>10036.799999999999</v>
      </c>
      <c r="BF28" s="106">
        <v>17</v>
      </c>
      <c r="BG28" s="106">
        <v>10036.799999999999</v>
      </c>
      <c r="BH28" s="106">
        <v>29</v>
      </c>
      <c r="BI28" s="106">
        <v>17121.599999999999</v>
      </c>
      <c r="BJ28" s="106">
        <v>34</v>
      </c>
      <c r="BK28" s="106">
        <v>20073.599999999999</v>
      </c>
      <c r="BL28" s="106">
        <v>46</v>
      </c>
      <c r="BM28" s="106">
        <v>27158.399999999998</v>
      </c>
      <c r="BN28" s="106">
        <v>23</v>
      </c>
      <c r="BO28" s="106">
        <v>13579.199999999999</v>
      </c>
      <c r="BP28" s="106">
        <v>35</v>
      </c>
      <c r="BQ28" s="106">
        <v>20664</v>
      </c>
      <c r="BR28" s="106">
        <v>28</v>
      </c>
      <c r="BS28" s="106">
        <v>16531.2</v>
      </c>
      <c r="BT28" s="106">
        <v>38</v>
      </c>
      <c r="BU28" s="106">
        <v>22435.200000000001</v>
      </c>
      <c r="BV28" s="106">
        <v>42</v>
      </c>
      <c r="BW28" s="106">
        <v>24796.799999999999</v>
      </c>
      <c r="BX28" s="106">
        <v>21</v>
      </c>
      <c r="BY28" s="106">
        <v>12398.4</v>
      </c>
      <c r="BZ28" s="106">
        <v>18</v>
      </c>
      <c r="CA28" s="106">
        <v>10627.199999999999</v>
      </c>
      <c r="CB28" s="106">
        <v>18</v>
      </c>
      <c r="CC28" s="106">
        <v>10627.199999999999</v>
      </c>
      <c r="CD28" s="106">
        <v>20</v>
      </c>
      <c r="CE28" s="106">
        <v>11808</v>
      </c>
      <c r="CF28" s="106">
        <v>27</v>
      </c>
      <c r="CG28" s="106">
        <v>15940.8</v>
      </c>
      <c r="CH28" s="106">
        <v>27</v>
      </c>
      <c r="CI28" s="106">
        <v>15940.8</v>
      </c>
      <c r="CJ28" s="106">
        <v>33</v>
      </c>
      <c r="CK28" s="106">
        <v>19483.2</v>
      </c>
      <c r="CL28" s="106">
        <v>30</v>
      </c>
      <c r="CM28" s="106">
        <v>17712</v>
      </c>
      <c r="CN28" s="106">
        <v>36</v>
      </c>
      <c r="CO28" s="106">
        <v>21254.399999999998</v>
      </c>
      <c r="CP28" s="106">
        <v>29</v>
      </c>
      <c r="CQ28" s="106">
        <v>17121.599999999999</v>
      </c>
      <c r="CR28" s="106">
        <v>23</v>
      </c>
      <c r="CS28" s="106">
        <v>13579.199999999999</v>
      </c>
      <c r="CT28" s="106">
        <v>38</v>
      </c>
      <c r="CU28" s="106">
        <v>22435.200000000001</v>
      </c>
    </row>
    <row r="29" spans="2:99" x14ac:dyDescent="0.2">
      <c r="C29" s="105" t="s">
        <v>195</v>
      </c>
      <c r="D29" s="106">
        <v>60</v>
      </c>
      <c r="E29" s="106">
        <v>14112</v>
      </c>
      <c r="F29" s="106">
        <v>85</v>
      </c>
      <c r="G29" s="106">
        <v>19992</v>
      </c>
      <c r="H29" s="106">
        <v>69</v>
      </c>
      <c r="I29" s="106">
        <v>16228.8</v>
      </c>
      <c r="J29" s="106">
        <v>80</v>
      </c>
      <c r="K29" s="106">
        <v>18816</v>
      </c>
      <c r="L29" s="106">
        <v>83</v>
      </c>
      <c r="M29" s="106">
        <v>19521.599999999999</v>
      </c>
      <c r="N29" s="106">
        <v>93</v>
      </c>
      <c r="O29" s="106">
        <v>21873.599999999999</v>
      </c>
      <c r="P29" s="106">
        <v>61</v>
      </c>
      <c r="Q29" s="106">
        <v>14347.199999999999</v>
      </c>
      <c r="R29" s="106">
        <v>109</v>
      </c>
      <c r="S29" s="106">
        <v>25636.799999999999</v>
      </c>
      <c r="T29" s="106">
        <v>18</v>
      </c>
      <c r="U29" s="106">
        <v>4233.5999999999995</v>
      </c>
      <c r="V29" s="106">
        <v>30</v>
      </c>
      <c r="W29" s="106">
        <v>7056</v>
      </c>
      <c r="X29" s="106">
        <v>32</v>
      </c>
      <c r="Y29" s="106">
        <v>7526.4</v>
      </c>
      <c r="Z29" s="106">
        <v>22</v>
      </c>
      <c r="AA29" s="106">
        <v>5174.3999999999996</v>
      </c>
      <c r="AB29" s="106">
        <v>21</v>
      </c>
      <c r="AC29" s="106">
        <v>4939.2</v>
      </c>
      <c r="AD29" s="106">
        <v>35</v>
      </c>
      <c r="AE29" s="106">
        <v>8232</v>
      </c>
      <c r="AF29" s="106">
        <v>30</v>
      </c>
      <c r="AG29" s="106">
        <v>7056</v>
      </c>
      <c r="AH29" s="106">
        <v>31</v>
      </c>
      <c r="AI29" s="106">
        <v>7291.2</v>
      </c>
      <c r="AJ29" s="106">
        <v>31</v>
      </c>
      <c r="AK29" s="106">
        <v>7291.2</v>
      </c>
      <c r="AL29" s="106">
        <v>37</v>
      </c>
      <c r="AM29" s="106">
        <v>8702.4</v>
      </c>
      <c r="AN29" s="106">
        <v>34</v>
      </c>
      <c r="AO29" s="106">
        <v>7996.7999999999993</v>
      </c>
      <c r="AP29" s="106">
        <v>42</v>
      </c>
      <c r="AQ29" s="106">
        <v>9878.4</v>
      </c>
      <c r="AR29" s="106">
        <v>38</v>
      </c>
      <c r="AS29" s="106">
        <v>8937.6</v>
      </c>
      <c r="AT29" s="106">
        <v>31</v>
      </c>
      <c r="AU29" s="106">
        <v>7291.2</v>
      </c>
      <c r="AV29" s="106">
        <v>26.402155812729319</v>
      </c>
      <c r="AW29" s="106">
        <v>6209.7870471539354</v>
      </c>
      <c r="AX29" s="106">
        <v>30.283058916268562</v>
      </c>
      <c r="AY29" s="106">
        <v>7122.5754571063653</v>
      </c>
      <c r="AZ29" s="106">
        <v>23</v>
      </c>
      <c r="BA29" s="106">
        <v>5409.5999999999995</v>
      </c>
      <c r="BB29" s="106">
        <v>14</v>
      </c>
      <c r="BC29" s="106">
        <v>3292.7999999999997</v>
      </c>
      <c r="BD29" s="106">
        <v>18</v>
      </c>
      <c r="BE29" s="106">
        <v>4233.5999999999995</v>
      </c>
      <c r="BF29" s="106">
        <v>15</v>
      </c>
      <c r="BG29" s="106">
        <v>3528</v>
      </c>
      <c r="BH29" s="106">
        <v>32</v>
      </c>
      <c r="BI29" s="106">
        <v>7526.4</v>
      </c>
      <c r="BJ29" s="106">
        <v>39</v>
      </c>
      <c r="BK29" s="106">
        <v>9172.7999999999993</v>
      </c>
      <c r="BL29" s="106">
        <v>46</v>
      </c>
      <c r="BM29" s="106">
        <v>10819.199999999999</v>
      </c>
      <c r="BN29" s="106">
        <v>26</v>
      </c>
      <c r="BO29" s="106">
        <v>6115.2</v>
      </c>
      <c r="BP29" s="106">
        <v>40</v>
      </c>
      <c r="BQ29" s="106">
        <v>9408</v>
      </c>
      <c r="BR29" s="106">
        <v>34</v>
      </c>
      <c r="BS29" s="106">
        <v>7996.7999999999993</v>
      </c>
      <c r="BT29" s="106">
        <v>31.942949593766016</v>
      </c>
      <c r="BU29" s="106">
        <v>7512.9817444537666</v>
      </c>
      <c r="BV29" s="106">
        <v>31.014847886523281</v>
      </c>
      <c r="BW29" s="106">
        <v>7294.6922229102756</v>
      </c>
      <c r="BX29" s="106">
        <v>7.6414783850898989</v>
      </c>
      <c r="BY29" s="106">
        <v>1797.275716173144</v>
      </c>
      <c r="BZ29" s="106">
        <v>16.487774484184619</v>
      </c>
      <c r="CA29" s="106">
        <v>3877.9245586802222</v>
      </c>
      <c r="CB29" s="106">
        <v>18</v>
      </c>
      <c r="CC29" s="106">
        <v>4233.5999999999995</v>
      </c>
      <c r="CD29" s="106">
        <v>20</v>
      </c>
      <c r="CE29" s="106">
        <v>4704</v>
      </c>
      <c r="CF29" s="106">
        <v>25</v>
      </c>
      <c r="CG29" s="106">
        <v>5880</v>
      </c>
      <c r="CH29" s="106">
        <v>27</v>
      </c>
      <c r="CI29" s="106">
        <v>6350.4</v>
      </c>
      <c r="CJ29" s="106">
        <v>34</v>
      </c>
      <c r="CK29" s="106">
        <v>7996.7999999999993</v>
      </c>
      <c r="CL29" s="106">
        <v>34</v>
      </c>
      <c r="CM29" s="106">
        <v>7996.7999999999993</v>
      </c>
      <c r="CN29" s="106">
        <v>35</v>
      </c>
      <c r="CO29" s="106">
        <v>8232</v>
      </c>
      <c r="CP29" s="106">
        <v>27</v>
      </c>
      <c r="CQ29" s="106">
        <v>6350.4</v>
      </c>
      <c r="CR29" s="106">
        <v>27</v>
      </c>
      <c r="CS29" s="106">
        <v>6350.4</v>
      </c>
      <c r="CT29" s="106">
        <v>39</v>
      </c>
      <c r="CU29" s="106">
        <v>9172.7999999999993</v>
      </c>
    </row>
    <row r="30" spans="2:99" x14ac:dyDescent="0.2">
      <c r="C30" s="105" t="s">
        <v>196</v>
      </c>
      <c r="D30" s="106">
        <v>66</v>
      </c>
      <c r="E30" s="106">
        <v>15285.6</v>
      </c>
      <c r="F30" s="106">
        <v>90</v>
      </c>
      <c r="G30" s="106">
        <v>20844</v>
      </c>
      <c r="H30" s="106">
        <v>71</v>
      </c>
      <c r="I30" s="106">
        <v>16443.599999999999</v>
      </c>
      <c r="J30" s="106">
        <v>77</v>
      </c>
      <c r="K30" s="106">
        <v>17833.2</v>
      </c>
      <c r="L30" s="106">
        <v>76</v>
      </c>
      <c r="M30" s="106">
        <v>17601.599999999999</v>
      </c>
      <c r="N30" s="106">
        <v>96</v>
      </c>
      <c r="O30" s="106">
        <v>22233.599999999999</v>
      </c>
      <c r="P30" s="106">
        <v>69</v>
      </c>
      <c r="Q30" s="106">
        <v>15980.4</v>
      </c>
      <c r="R30" s="106">
        <v>98</v>
      </c>
      <c r="S30" s="106">
        <v>22696.799999999999</v>
      </c>
      <c r="T30" s="106">
        <v>18</v>
      </c>
      <c r="U30" s="106">
        <v>4168.8</v>
      </c>
      <c r="V30" s="106">
        <v>34</v>
      </c>
      <c r="W30" s="106">
        <v>7874.4</v>
      </c>
      <c r="X30" s="106">
        <v>35</v>
      </c>
      <c r="Y30" s="106">
        <v>8106</v>
      </c>
      <c r="Z30" s="106">
        <v>21</v>
      </c>
      <c r="AA30" s="106">
        <v>4863.5999999999995</v>
      </c>
      <c r="AB30" s="106">
        <v>23</v>
      </c>
      <c r="AC30" s="106">
        <v>5326.8</v>
      </c>
      <c r="AD30" s="106">
        <v>36</v>
      </c>
      <c r="AE30" s="106">
        <v>8337.6</v>
      </c>
      <c r="AF30" s="106">
        <v>28</v>
      </c>
      <c r="AG30" s="106">
        <v>6484.8</v>
      </c>
      <c r="AH30" s="106">
        <v>34</v>
      </c>
      <c r="AI30" s="106">
        <v>7874.4</v>
      </c>
      <c r="AJ30" s="106">
        <v>33</v>
      </c>
      <c r="AK30" s="106">
        <v>7642.8</v>
      </c>
      <c r="AL30" s="106">
        <v>36</v>
      </c>
      <c r="AM30" s="106">
        <v>8337.6</v>
      </c>
      <c r="AN30" s="106">
        <v>38</v>
      </c>
      <c r="AO30" s="106">
        <v>8800.7999999999993</v>
      </c>
      <c r="AP30" s="106">
        <v>37</v>
      </c>
      <c r="AQ30" s="106">
        <v>8569.1999999999989</v>
      </c>
      <c r="AR30" s="106">
        <v>38</v>
      </c>
      <c r="AS30" s="106">
        <v>8800.7999999999993</v>
      </c>
      <c r="AT30" s="106">
        <v>28</v>
      </c>
      <c r="AU30" s="106">
        <v>6484.8</v>
      </c>
      <c r="AV30" s="106">
        <v>30.313586303504032</v>
      </c>
      <c r="AW30" s="106">
        <v>7020.6265878915337</v>
      </c>
      <c r="AX30" s="106">
        <v>27.095368504029768</v>
      </c>
      <c r="AY30" s="106">
        <v>6275.2873455332938</v>
      </c>
      <c r="AZ30" s="106">
        <v>26</v>
      </c>
      <c r="BA30" s="106">
        <v>6021.5999999999995</v>
      </c>
      <c r="BB30" s="106">
        <v>16</v>
      </c>
      <c r="BC30" s="106">
        <v>3705.6</v>
      </c>
      <c r="BD30" s="106">
        <v>16</v>
      </c>
      <c r="BE30" s="106">
        <v>3705.6</v>
      </c>
      <c r="BF30" s="106">
        <v>17</v>
      </c>
      <c r="BG30" s="106">
        <v>3937.2</v>
      </c>
      <c r="BH30" s="106">
        <v>34</v>
      </c>
      <c r="BI30" s="106">
        <v>7874.4</v>
      </c>
      <c r="BJ30" s="106">
        <v>37</v>
      </c>
      <c r="BK30" s="106">
        <v>8569.1999999999989</v>
      </c>
      <c r="BL30" s="106">
        <v>50</v>
      </c>
      <c r="BM30" s="106">
        <v>11580</v>
      </c>
      <c r="BN30" s="106">
        <v>25</v>
      </c>
      <c r="BO30" s="106">
        <v>5790</v>
      </c>
      <c r="BP30" s="106">
        <v>36</v>
      </c>
      <c r="BQ30" s="106">
        <v>8337.6</v>
      </c>
      <c r="BR30" s="106">
        <v>30</v>
      </c>
      <c r="BS30" s="106">
        <v>6948</v>
      </c>
      <c r="BT30" s="106">
        <v>34.761445146157136</v>
      </c>
      <c r="BU30" s="106">
        <v>8050.7506958499926</v>
      </c>
      <c r="BV30" s="106">
        <v>31.704066728446016</v>
      </c>
      <c r="BW30" s="106">
        <v>7342.6618543080967</v>
      </c>
      <c r="BX30" s="106">
        <v>9.3395846928876534</v>
      </c>
      <c r="BY30" s="106">
        <v>2163.0478148727807</v>
      </c>
      <c r="BZ30" s="106">
        <v>15.702642365890114</v>
      </c>
      <c r="CA30" s="106">
        <v>3636.7319719401503</v>
      </c>
      <c r="CB30" s="106">
        <v>18</v>
      </c>
      <c r="CC30" s="106">
        <v>4168.8</v>
      </c>
      <c r="CD30" s="106">
        <v>21</v>
      </c>
      <c r="CE30" s="106">
        <v>4863.5999999999995</v>
      </c>
      <c r="CF30" s="106">
        <v>23</v>
      </c>
      <c r="CG30" s="106">
        <v>5326.8</v>
      </c>
      <c r="CH30" s="106">
        <v>26</v>
      </c>
      <c r="CI30" s="106">
        <v>6021.5999999999995</v>
      </c>
      <c r="CJ30" s="106">
        <v>32</v>
      </c>
      <c r="CK30" s="106">
        <v>7411.2</v>
      </c>
      <c r="CL30" s="106">
        <v>33</v>
      </c>
      <c r="CM30" s="106">
        <v>7642.8</v>
      </c>
      <c r="CN30" s="106">
        <v>41</v>
      </c>
      <c r="CO30" s="106">
        <v>9495.6</v>
      </c>
      <c r="CP30" s="106">
        <v>27</v>
      </c>
      <c r="CQ30" s="106">
        <v>6253.2</v>
      </c>
      <c r="CR30" s="106">
        <v>25</v>
      </c>
      <c r="CS30" s="106">
        <v>5790</v>
      </c>
      <c r="CT30" s="106">
        <v>40</v>
      </c>
      <c r="CU30" s="106">
        <v>9264</v>
      </c>
    </row>
    <row r="31" spans="2:99" x14ac:dyDescent="0.2">
      <c r="C31" s="105" t="s">
        <v>197</v>
      </c>
      <c r="D31" s="106">
        <v>59</v>
      </c>
      <c r="E31" s="106">
        <v>10478.4</v>
      </c>
      <c r="F31" s="106">
        <v>87</v>
      </c>
      <c r="G31" s="106">
        <v>15451.199999999999</v>
      </c>
      <c r="H31" s="106">
        <v>64</v>
      </c>
      <c r="I31" s="106">
        <v>11366.4</v>
      </c>
      <c r="J31" s="106">
        <v>80</v>
      </c>
      <c r="K31" s="106">
        <v>14208</v>
      </c>
      <c r="L31" s="106">
        <v>76</v>
      </c>
      <c r="M31" s="106">
        <v>13497.6</v>
      </c>
      <c r="N31" s="106">
        <v>84</v>
      </c>
      <c r="O31" s="106">
        <v>14918.4</v>
      </c>
      <c r="P31" s="106">
        <v>71</v>
      </c>
      <c r="Q31" s="106">
        <v>12609.6</v>
      </c>
      <c r="R31" s="106">
        <v>115</v>
      </c>
      <c r="S31" s="106">
        <v>20424</v>
      </c>
      <c r="T31" s="106">
        <v>19</v>
      </c>
      <c r="U31" s="106">
        <v>3374.4</v>
      </c>
      <c r="V31" s="106">
        <v>33</v>
      </c>
      <c r="W31" s="106">
        <v>5860.8</v>
      </c>
      <c r="X31" s="106">
        <v>34</v>
      </c>
      <c r="Y31" s="106">
        <v>6038.4</v>
      </c>
      <c r="Z31" s="106">
        <v>20</v>
      </c>
      <c r="AA31" s="106">
        <v>3552</v>
      </c>
      <c r="AB31" s="106">
        <v>23</v>
      </c>
      <c r="AC31" s="106">
        <v>4084.7999999999997</v>
      </c>
      <c r="AD31" s="106">
        <v>36</v>
      </c>
      <c r="AE31" s="106">
        <v>6393.5999999999995</v>
      </c>
      <c r="AF31" s="106">
        <v>31</v>
      </c>
      <c r="AG31" s="106">
        <v>5505.5999999999995</v>
      </c>
      <c r="AH31" s="106">
        <v>30</v>
      </c>
      <c r="AI31" s="106">
        <v>5328</v>
      </c>
      <c r="AJ31" s="106">
        <v>34</v>
      </c>
      <c r="AK31" s="106">
        <v>6038.4</v>
      </c>
      <c r="AL31" s="106">
        <v>39</v>
      </c>
      <c r="AM31" s="106">
        <v>6926.4</v>
      </c>
      <c r="AN31" s="106">
        <v>39</v>
      </c>
      <c r="AO31" s="106">
        <v>6926.4</v>
      </c>
      <c r="AP31" s="106">
        <v>42</v>
      </c>
      <c r="AQ31" s="106">
        <v>7459.2</v>
      </c>
      <c r="AR31" s="106">
        <v>37</v>
      </c>
      <c r="AS31" s="106">
        <v>6571.2</v>
      </c>
      <c r="AT31" s="106">
        <v>32</v>
      </c>
      <c r="AU31" s="106">
        <v>5683.2</v>
      </c>
      <c r="AV31" s="106">
        <v>27.380013435422992</v>
      </c>
      <c r="AW31" s="106">
        <v>4862.690386131123</v>
      </c>
      <c r="AX31" s="106">
        <v>30.283058916268562</v>
      </c>
      <c r="AY31" s="106">
        <v>5378.2712635292964</v>
      </c>
      <c r="AZ31" s="106">
        <v>25</v>
      </c>
      <c r="BA31" s="106">
        <v>4440</v>
      </c>
      <c r="BB31" s="106">
        <v>14</v>
      </c>
      <c r="BC31" s="106">
        <v>2486.4</v>
      </c>
      <c r="BD31" s="106">
        <v>17</v>
      </c>
      <c r="BE31" s="106">
        <v>3019.2</v>
      </c>
      <c r="BF31" s="106">
        <v>18</v>
      </c>
      <c r="BG31" s="106">
        <v>3196.7999999999997</v>
      </c>
      <c r="BH31" s="106">
        <v>30</v>
      </c>
      <c r="BI31" s="106">
        <v>5328</v>
      </c>
      <c r="BJ31" s="106">
        <v>37</v>
      </c>
      <c r="BK31" s="106">
        <v>6571.2</v>
      </c>
      <c r="BL31" s="106">
        <v>46</v>
      </c>
      <c r="BM31" s="106">
        <v>8169.5999999999995</v>
      </c>
      <c r="BN31" s="106">
        <v>29</v>
      </c>
      <c r="BO31" s="106">
        <v>5150.3999999999996</v>
      </c>
      <c r="BP31" s="106">
        <v>37</v>
      </c>
      <c r="BQ31" s="106">
        <v>6571.2</v>
      </c>
      <c r="BR31" s="106">
        <v>30</v>
      </c>
      <c r="BS31" s="106">
        <v>5328</v>
      </c>
      <c r="BT31" s="106">
        <v>36.640442181084545</v>
      </c>
      <c r="BU31" s="106">
        <v>6507.3425313606149</v>
      </c>
      <c r="BV31" s="106">
        <v>32.393285570368754</v>
      </c>
      <c r="BW31" s="106">
        <v>5753.0475172974902</v>
      </c>
      <c r="BX31" s="106">
        <v>9.3395846928876534</v>
      </c>
      <c r="BY31" s="106">
        <v>1658.7102414568471</v>
      </c>
      <c r="BZ31" s="106">
        <v>14.132378129301104</v>
      </c>
      <c r="CA31" s="106">
        <v>2509.9103557638759</v>
      </c>
      <c r="CB31" s="106">
        <v>18</v>
      </c>
      <c r="CC31" s="106">
        <v>3196.7999999999997</v>
      </c>
      <c r="CD31" s="106">
        <v>18</v>
      </c>
      <c r="CE31" s="106">
        <v>3196.7999999999997</v>
      </c>
      <c r="CF31" s="106">
        <v>28</v>
      </c>
      <c r="CG31" s="106">
        <v>4972.8</v>
      </c>
      <c r="CH31" s="106">
        <v>27</v>
      </c>
      <c r="CI31" s="106">
        <v>4795.2</v>
      </c>
      <c r="CJ31" s="106">
        <v>35</v>
      </c>
      <c r="CK31" s="106">
        <v>6216</v>
      </c>
      <c r="CL31" s="106">
        <v>28</v>
      </c>
      <c r="CM31" s="106">
        <v>4972.8</v>
      </c>
      <c r="CN31" s="106">
        <v>40</v>
      </c>
      <c r="CO31" s="106">
        <v>7104</v>
      </c>
      <c r="CP31" s="106">
        <v>29</v>
      </c>
      <c r="CQ31" s="106">
        <v>5150.3999999999996</v>
      </c>
      <c r="CR31" s="106">
        <v>24</v>
      </c>
      <c r="CS31" s="106">
        <v>4262.3999999999996</v>
      </c>
      <c r="CT31" s="106">
        <v>39</v>
      </c>
      <c r="CU31" s="106">
        <v>6926.4</v>
      </c>
    </row>
    <row r="32" spans="2:99" x14ac:dyDescent="0.2">
      <c r="C32" s="105" t="s">
        <v>198</v>
      </c>
      <c r="D32" s="106">
        <v>55</v>
      </c>
      <c r="E32" s="106">
        <v>28313.999999999996</v>
      </c>
      <c r="F32" s="106">
        <v>83</v>
      </c>
      <c r="G32" s="106">
        <v>42728.399999999994</v>
      </c>
      <c r="H32" s="106">
        <v>55</v>
      </c>
      <c r="I32" s="106">
        <v>28313.999999999996</v>
      </c>
      <c r="J32" s="106">
        <v>78</v>
      </c>
      <c r="K32" s="106">
        <v>40154.399999999994</v>
      </c>
      <c r="L32" s="106">
        <v>84</v>
      </c>
      <c r="M32" s="106">
        <v>43243.199999999997</v>
      </c>
      <c r="N32" s="106">
        <v>83</v>
      </c>
      <c r="O32" s="106">
        <v>42728.399999999994</v>
      </c>
      <c r="P32" s="106">
        <v>67</v>
      </c>
      <c r="Q32" s="106">
        <v>34491.599999999999</v>
      </c>
      <c r="R32" s="106">
        <v>92</v>
      </c>
      <c r="S32" s="106">
        <v>47361.599999999999</v>
      </c>
      <c r="T32" s="106">
        <v>19</v>
      </c>
      <c r="U32" s="106">
        <v>9781.1999999999989</v>
      </c>
      <c r="V32" s="106">
        <v>28</v>
      </c>
      <c r="W32" s="106">
        <v>14414.399999999998</v>
      </c>
      <c r="X32" s="106">
        <v>35</v>
      </c>
      <c r="Y32" s="106">
        <v>18018</v>
      </c>
      <c r="Z32" s="106">
        <v>20</v>
      </c>
      <c r="AA32" s="106">
        <v>10296</v>
      </c>
      <c r="AB32" s="106">
        <v>21</v>
      </c>
      <c r="AC32" s="106">
        <v>10810.8</v>
      </c>
      <c r="AD32" s="106">
        <v>35</v>
      </c>
      <c r="AE32" s="106">
        <v>18018</v>
      </c>
      <c r="AF32" s="106">
        <v>27</v>
      </c>
      <c r="AG32" s="106">
        <v>13899.599999999999</v>
      </c>
      <c r="AH32" s="106">
        <v>32</v>
      </c>
      <c r="AI32" s="106">
        <v>16473.599999999999</v>
      </c>
      <c r="AJ32" s="106">
        <v>33</v>
      </c>
      <c r="AK32" s="106">
        <v>16988.399999999998</v>
      </c>
      <c r="AL32" s="106">
        <v>33</v>
      </c>
      <c r="AM32" s="106">
        <v>16988.399999999998</v>
      </c>
      <c r="AN32" s="106">
        <v>36</v>
      </c>
      <c r="AO32" s="106">
        <v>18532.8</v>
      </c>
      <c r="AP32" s="106">
        <v>37</v>
      </c>
      <c r="AQ32" s="106">
        <v>19047.599999999999</v>
      </c>
      <c r="AR32" s="106">
        <v>32</v>
      </c>
      <c r="AS32" s="106">
        <v>16473.599999999999</v>
      </c>
      <c r="AT32" s="106">
        <v>28</v>
      </c>
      <c r="AU32" s="106">
        <v>14414.399999999998</v>
      </c>
      <c r="AV32" s="106">
        <v>26</v>
      </c>
      <c r="AW32" s="106">
        <v>13384.8</v>
      </c>
      <c r="AX32" s="106">
        <v>32</v>
      </c>
      <c r="AY32" s="106">
        <v>16473.599999999999</v>
      </c>
      <c r="AZ32" s="106">
        <v>23</v>
      </c>
      <c r="BA32" s="106">
        <v>11840.4</v>
      </c>
      <c r="BB32" s="106">
        <v>14</v>
      </c>
      <c r="BC32" s="106">
        <v>7207.1999999999989</v>
      </c>
      <c r="BD32" s="106">
        <v>14</v>
      </c>
      <c r="BE32" s="106">
        <v>7207.1999999999989</v>
      </c>
      <c r="BF32" s="106">
        <v>16</v>
      </c>
      <c r="BG32" s="106">
        <v>8236.7999999999993</v>
      </c>
      <c r="BH32" s="106">
        <v>34</v>
      </c>
      <c r="BI32" s="106">
        <v>17503.199999999997</v>
      </c>
      <c r="BJ32" s="106">
        <v>40</v>
      </c>
      <c r="BK32" s="106">
        <v>20592</v>
      </c>
      <c r="BL32" s="106">
        <v>42</v>
      </c>
      <c r="BM32" s="106">
        <v>21621.599999999999</v>
      </c>
      <c r="BN32" s="106">
        <v>27</v>
      </c>
      <c r="BO32" s="106">
        <v>13899.599999999999</v>
      </c>
      <c r="BP32" s="106">
        <v>35</v>
      </c>
      <c r="BQ32" s="106">
        <v>18018</v>
      </c>
      <c r="BR32" s="106">
        <v>32</v>
      </c>
      <c r="BS32" s="106">
        <v>16473.599999999999</v>
      </c>
      <c r="BT32" s="106">
        <v>32</v>
      </c>
      <c r="BU32" s="106">
        <v>16473.599999999999</v>
      </c>
      <c r="BV32" s="106">
        <v>41</v>
      </c>
      <c r="BW32" s="106">
        <v>21106.799999999999</v>
      </c>
      <c r="BX32" s="106">
        <v>21</v>
      </c>
      <c r="BY32" s="106">
        <v>10810.8</v>
      </c>
      <c r="BZ32" s="106">
        <v>20</v>
      </c>
      <c r="CA32" s="106">
        <v>10296</v>
      </c>
      <c r="CB32" s="106">
        <v>18</v>
      </c>
      <c r="CC32" s="106">
        <v>9266.4</v>
      </c>
      <c r="CD32" s="106">
        <v>18</v>
      </c>
      <c r="CE32" s="106">
        <v>9266.4</v>
      </c>
      <c r="CF32" s="106">
        <v>23</v>
      </c>
      <c r="CG32" s="106">
        <v>11840.4</v>
      </c>
      <c r="CH32" s="106">
        <v>26</v>
      </c>
      <c r="CI32" s="106">
        <v>13384.8</v>
      </c>
      <c r="CJ32" s="106">
        <v>30</v>
      </c>
      <c r="CK32" s="106">
        <v>15443.999999999998</v>
      </c>
      <c r="CL32" s="106">
        <v>28</v>
      </c>
      <c r="CM32" s="106">
        <v>14414.399999999998</v>
      </c>
      <c r="CN32" s="106">
        <v>35</v>
      </c>
      <c r="CO32" s="106">
        <v>18018</v>
      </c>
      <c r="CP32" s="106">
        <v>26</v>
      </c>
      <c r="CQ32" s="106">
        <v>13384.8</v>
      </c>
      <c r="CR32" s="106">
        <v>22</v>
      </c>
      <c r="CS32" s="106">
        <v>11325.599999999999</v>
      </c>
      <c r="CT32" s="106">
        <v>38</v>
      </c>
      <c r="CU32" s="106">
        <v>19562.399999999998</v>
      </c>
    </row>
    <row r="33" spans="2:99" x14ac:dyDescent="0.2">
      <c r="C33" s="105" t="s">
        <v>199</v>
      </c>
      <c r="D33" s="106">
        <v>59</v>
      </c>
      <c r="E33" s="106">
        <v>19753.2</v>
      </c>
      <c r="F33" s="106">
        <v>82</v>
      </c>
      <c r="G33" s="106">
        <v>27453.600000000002</v>
      </c>
      <c r="H33" s="106">
        <v>65</v>
      </c>
      <c r="I33" s="106">
        <v>21762</v>
      </c>
      <c r="J33" s="106">
        <v>73</v>
      </c>
      <c r="K33" s="106">
        <v>24440.400000000001</v>
      </c>
      <c r="L33" s="106">
        <v>77</v>
      </c>
      <c r="M33" s="106">
        <v>25779.600000000002</v>
      </c>
      <c r="N33" s="106">
        <v>79</v>
      </c>
      <c r="O33" s="106">
        <v>26449.200000000001</v>
      </c>
      <c r="P33" s="106">
        <v>67</v>
      </c>
      <c r="Q33" s="106">
        <v>22431.600000000002</v>
      </c>
      <c r="R33" s="106">
        <v>111</v>
      </c>
      <c r="S33" s="106">
        <v>37162.800000000003</v>
      </c>
      <c r="T33" s="106">
        <v>18</v>
      </c>
      <c r="U33" s="106">
        <v>6026.4000000000005</v>
      </c>
      <c r="V33" s="106">
        <v>30</v>
      </c>
      <c r="W33" s="106">
        <v>10044</v>
      </c>
      <c r="X33" s="106">
        <v>35</v>
      </c>
      <c r="Y33" s="106">
        <v>11718</v>
      </c>
      <c r="Z33" s="106">
        <v>22</v>
      </c>
      <c r="AA33" s="106">
        <v>7365.6</v>
      </c>
      <c r="AB33" s="106">
        <v>20</v>
      </c>
      <c r="AC33" s="106">
        <v>6696</v>
      </c>
      <c r="AD33" s="106">
        <v>32</v>
      </c>
      <c r="AE33" s="106">
        <v>10713.6</v>
      </c>
      <c r="AF33" s="106">
        <v>27</v>
      </c>
      <c r="AG33" s="106">
        <v>9039.6</v>
      </c>
      <c r="AH33" s="106">
        <v>31</v>
      </c>
      <c r="AI33" s="106">
        <v>10378.800000000001</v>
      </c>
      <c r="AJ33" s="106">
        <v>31</v>
      </c>
      <c r="AK33" s="106">
        <v>10378.800000000001</v>
      </c>
      <c r="AL33" s="106">
        <v>38</v>
      </c>
      <c r="AM33" s="106">
        <v>12722.4</v>
      </c>
      <c r="AN33" s="106">
        <v>31</v>
      </c>
      <c r="AO33" s="106">
        <v>10378.800000000001</v>
      </c>
      <c r="AP33" s="106">
        <v>35</v>
      </c>
      <c r="AQ33" s="106">
        <v>11718</v>
      </c>
      <c r="AR33" s="106">
        <v>38</v>
      </c>
      <c r="AS33" s="106">
        <v>12722.4</v>
      </c>
      <c r="AT33" s="106">
        <v>26</v>
      </c>
      <c r="AU33" s="106">
        <v>8704.8000000000011</v>
      </c>
      <c r="AV33" s="106">
        <v>26.402155812729319</v>
      </c>
      <c r="AW33" s="106">
        <v>8839.441766101776</v>
      </c>
      <c r="AX33" s="106">
        <v>27.892291107089466</v>
      </c>
      <c r="AY33" s="106">
        <v>9338.3390626535529</v>
      </c>
      <c r="AZ33" s="106">
        <v>23</v>
      </c>
      <c r="BA33" s="106">
        <v>7700.4000000000005</v>
      </c>
      <c r="BB33" s="106">
        <v>13</v>
      </c>
      <c r="BC33" s="106">
        <v>4352.4000000000005</v>
      </c>
      <c r="BD33" s="106">
        <v>18</v>
      </c>
      <c r="BE33" s="106">
        <v>6026.4000000000005</v>
      </c>
      <c r="BF33" s="106">
        <v>16</v>
      </c>
      <c r="BG33" s="106">
        <v>5356.8</v>
      </c>
      <c r="BH33" s="106">
        <v>32</v>
      </c>
      <c r="BI33" s="106">
        <v>10713.6</v>
      </c>
      <c r="BJ33" s="106">
        <v>41</v>
      </c>
      <c r="BK33" s="106">
        <v>13726.800000000001</v>
      </c>
      <c r="BL33" s="106">
        <v>50</v>
      </c>
      <c r="BM33" s="106">
        <v>16740</v>
      </c>
      <c r="BN33" s="106">
        <v>26</v>
      </c>
      <c r="BO33" s="106">
        <v>8704.8000000000011</v>
      </c>
      <c r="BP33" s="106">
        <v>37</v>
      </c>
      <c r="BQ33" s="106">
        <v>12387.6</v>
      </c>
      <c r="BR33" s="106">
        <v>34</v>
      </c>
      <c r="BS33" s="106">
        <v>11383.2</v>
      </c>
      <c r="BT33" s="106">
        <v>33.821946628693425</v>
      </c>
      <c r="BU33" s="106">
        <v>11323.58773128656</v>
      </c>
      <c r="BV33" s="106">
        <v>26.879534834986842</v>
      </c>
      <c r="BW33" s="106">
        <v>8999.2682627535942</v>
      </c>
      <c r="BX33" s="106">
        <v>7.6414783850898989</v>
      </c>
      <c r="BY33" s="106">
        <v>2558.3669633280983</v>
      </c>
      <c r="BZ33" s="106">
        <v>16.487774484184619</v>
      </c>
      <c r="CA33" s="106">
        <v>5520.1068973050105</v>
      </c>
      <c r="CB33" s="106">
        <v>20</v>
      </c>
      <c r="CC33" s="106">
        <v>6696</v>
      </c>
      <c r="CD33" s="106">
        <v>18</v>
      </c>
      <c r="CE33" s="106">
        <v>6026.4000000000005</v>
      </c>
      <c r="CF33" s="106">
        <v>23</v>
      </c>
      <c r="CG33" s="106">
        <v>7700.4000000000005</v>
      </c>
      <c r="CH33" s="106">
        <v>28</v>
      </c>
      <c r="CI33" s="106">
        <v>9374.4</v>
      </c>
      <c r="CJ33" s="106">
        <v>36</v>
      </c>
      <c r="CK33" s="106">
        <v>12052.800000000001</v>
      </c>
      <c r="CL33" s="106">
        <v>29</v>
      </c>
      <c r="CM33" s="106">
        <v>9709.2000000000007</v>
      </c>
      <c r="CN33" s="106">
        <v>34</v>
      </c>
      <c r="CO33" s="106">
        <v>11383.2</v>
      </c>
      <c r="CP33" s="106">
        <v>30</v>
      </c>
      <c r="CQ33" s="106">
        <v>10044</v>
      </c>
      <c r="CR33" s="106">
        <v>25</v>
      </c>
      <c r="CS33" s="106">
        <v>8370</v>
      </c>
      <c r="CT33" s="106">
        <v>37</v>
      </c>
      <c r="CU33" s="106">
        <v>12387.6</v>
      </c>
    </row>
    <row r="34" spans="2:99" x14ac:dyDescent="0.2">
      <c r="C34" s="105" t="s">
        <v>200</v>
      </c>
      <c r="D34" s="106">
        <v>57</v>
      </c>
      <c r="E34" s="106">
        <v>21682.799999999999</v>
      </c>
      <c r="F34" s="106">
        <v>85</v>
      </c>
      <c r="G34" s="106">
        <v>32333.999999999996</v>
      </c>
      <c r="H34" s="106">
        <v>65</v>
      </c>
      <c r="I34" s="106">
        <v>24726</v>
      </c>
      <c r="J34" s="106">
        <v>72</v>
      </c>
      <c r="K34" s="106">
        <v>27388.799999999999</v>
      </c>
      <c r="L34" s="106">
        <v>75</v>
      </c>
      <c r="M34" s="106">
        <v>28530</v>
      </c>
      <c r="N34" s="106">
        <v>87</v>
      </c>
      <c r="O34" s="106">
        <v>33094.799999999996</v>
      </c>
      <c r="P34" s="106">
        <v>69</v>
      </c>
      <c r="Q34" s="106">
        <v>26247.599999999999</v>
      </c>
      <c r="R34" s="106">
        <v>106</v>
      </c>
      <c r="S34" s="106">
        <v>40322.399999999994</v>
      </c>
      <c r="T34" s="106">
        <v>17</v>
      </c>
      <c r="U34" s="106">
        <v>6466.7999999999993</v>
      </c>
      <c r="V34" s="106">
        <v>29</v>
      </c>
      <c r="W34" s="106">
        <v>11031.599999999999</v>
      </c>
      <c r="X34" s="106">
        <v>31</v>
      </c>
      <c r="Y34" s="106">
        <v>11792.4</v>
      </c>
      <c r="Z34" s="106">
        <v>23</v>
      </c>
      <c r="AA34" s="106">
        <v>8749.1999999999989</v>
      </c>
      <c r="AB34" s="106">
        <v>21</v>
      </c>
      <c r="AC34" s="106">
        <v>7988.4</v>
      </c>
      <c r="AD34" s="106">
        <v>35</v>
      </c>
      <c r="AE34" s="106">
        <v>13314</v>
      </c>
      <c r="AF34" s="106">
        <v>31</v>
      </c>
      <c r="AG34" s="106">
        <v>11792.4</v>
      </c>
      <c r="AH34" s="106">
        <v>32</v>
      </c>
      <c r="AI34" s="106">
        <v>12172.8</v>
      </c>
      <c r="AJ34" s="106">
        <v>35</v>
      </c>
      <c r="AK34" s="106">
        <v>13314</v>
      </c>
      <c r="AL34" s="106">
        <v>37</v>
      </c>
      <c r="AM34" s="106">
        <v>14074.8</v>
      </c>
      <c r="AN34" s="106">
        <v>34</v>
      </c>
      <c r="AO34" s="106">
        <v>12933.599999999999</v>
      </c>
      <c r="AP34" s="106">
        <v>35</v>
      </c>
      <c r="AQ34" s="106">
        <v>13314</v>
      </c>
      <c r="AR34" s="106">
        <v>38</v>
      </c>
      <c r="AS34" s="106">
        <v>14455.199999999999</v>
      </c>
      <c r="AT34" s="106">
        <v>26</v>
      </c>
      <c r="AU34" s="106">
        <v>9890.4</v>
      </c>
      <c r="AV34" s="106">
        <v>26.402155812729319</v>
      </c>
      <c r="AW34" s="106">
        <v>10043.380071162232</v>
      </c>
      <c r="AX34" s="106">
        <v>27.095368504029768</v>
      </c>
      <c r="AY34" s="106">
        <v>10307.078178932923</v>
      </c>
      <c r="AZ34" s="106">
        <v>25</v>
      </c>
      <c r="BA34" s="106">
        <v>9510</v>
      </c>
      <c r="BB34" s="106">
        <v>14</v>
      </c>
      <c r="BC34" s="106">
        <v>5325.5999999999995</v>
      </c>
      <c r="BD34" s="106">
        <v>18</v>
      </c>
      <c r="BE34" s="106">
        <v>6847.2</v>
      </c>
      <c r="BF34" s="106">
        <v>16</v>
      </c>
      <c r="BG34" s="106">
        <v>6086.4</v>
      </c>
      <c r="BH34" s="106">
        <v>30</v>
      </c>
      <c r="BI34" s="106">
        <v>11412</v>
      </c>
      <c r="BJ34" s="106">
        <v>41</v>
      </c>
      <c r="BK34" s="106">
        <v>15596.4</v>
      </c>
      <c r="BL34" s="106">
        <v>45</v>
      </c>
      <c r="BM34" s="106">
        <v>17118</v>
      </c>
      <c r="BN34" s="106">
        <v>25</v>
      </c>
      <c r="BO34" s="106">
        <v>9510</v>
      </c>
      <c r="BP34" s="106">
        <v>35</v>
      </c>
      <c r="BQ34" s="106">
        <v>13314</v>
      </c>
      <c r="BR34" s="106">
        <v>30</v>
      </c>
      <c r="BS34" s="106">
        <v>11412</v>
      </c>
      <c r="BT34" s="106">
        <v>35.700943663620841</v>
      </c>
      <c r="BU34" s="106">
        <v>13580.638969641366</v>
      </c>
      <c r="BV34" s="106">
        <v>28.257972518832318</v>
      </c>
      <c r="BW34" s="106">
        <v>10749.332746163813</v>
      </c>
      <c r="BX34" s="106">
        <v>8.4905315389887761</v>
      </c>
      <c r="BY34" s="106">
        <v>3229.7981974313302</v>
      </c>
      <c r="BZ34" s="106">
        <v>15.702642365890114</v>
      </c>
      <c r="CA34" s="106">
        <v>5973.2851559845985</v>
      </c>
      <c r="CB34" s="106">
        <v>20</v>
      </c>
      <c r="CC34" s="106">
        <v>7608</v>
      </c>
      <c r="CD34" s="106">
        <v>21</v>
      </c>
      <c r="CE34" s="106">
        <v>7988.4</v>
      </c>
      <c r="CF34" s="106">
        <v>25</v>
      </c>
      <c r="CG34" s="106">
        <v>9510</v>
      </c>
      <c r="CH34" s="106">
        <v>26</v>
      </c>
      <c r="CI34" s="106">
        <v>9890.4</v>
      </c>
      <c r="CJ34" s="106">
        <v>30</v>
      </c>
      <c r="CK34" s="106">
        <v>11412</v>
      </c>
      <c r="CL34" s="106">
        <v>27</v>
      </c>
      <c r="CM34" s="106">
        <v>10270.799999999999</v>
      </c>
      <c r="CN34" s="106">
        <v>34</v>
      </c>
      <c r="CO34" s="106">
        <v>12933.599999999999</v>
      </c>
      <c r="CP34" s="106">
        <v>28</v>
      </c>
      <c r="CQ34" s="106">
        <v>10651.199999999999</v>
      </c>
      <c r="CR34" s="106">
        <v>24</v>
      </c>
      <c r="CS34" s="106">
        <v>9129.5999999999985</v>
      </c>
      <c r="CT34" s="106">
        <v>37</v>
      </c>
      <c r="CU34" s="106">
        <v>14074.8</v>
      </c>
    </row>
    <row r="35" spans="2:99" x14ac:dyDescent="0.2">
      <c r="C35" s="105" t="s">
        <v>201</v>
      </c>
      <c r="D35" s="106">
        <v>57</v>
      </c>
      <c r="E35" s="106">
        <v>23392.799999999999</v>
      </c>
      <c r="F35" s="106">
        <v>85</v>
      </c>
      <c r="G35" s="106">
        <v>34884</v>
      </c>
      <c r="H35" s="106">
        <v>57</v>
      </c>
      <c r="I35" s="106">
        <v>23392.799999999999</v>
      </c>
      <c r="J35" s="106">
        <v>81</v>
      </c>
      <c r="K35" s="106">
        <v>33242.400000000001</v>
      </c>
      <c r="L35" s="106">
        <v>80</v>
      </c>
      <c r="M35" s="106">
        <v>32832</v>
      </c>
      <c r="N35" s="106">
        <v>85</v>
      </c>
      <c r="O35" s="106">
        <v>34884</v>
      </c>
      <c r="P35" s="106">
        <v>66</v>
      </c>
      <c r="Q35" s="106">
        <v>27086.399999999998</v>
      </c>
      <c r="R35" s="106">
        <v>107</v>
      </c>
      <c r="S35" s="106">
        <v>43912.799999999996</v>
      </c>
      <c r="T35" s="106">
        <v>19</v>
      </c>
      <c r="U35" s="106">
        <v>7797.5999999999995</v>
      </c>
      <c r="V35" s="106">
        <v>29</v>
      </c>
      <c r="W35" s="106">
        <v>11901.599999999999</v>
      </c>
      <c r="X35" s="106">
        <v>31</v>
      </c>
      <c r="Y35" s="106">
        <v>12722.4</v>
      </c>
      <c r="Z35" s="106">
        <v>22</v>
      </c>
      <c r="AA35" s="106">
        <v>9028.7999999999993</v>
      </c>
      <c r="AB35" s="106">
        <v>23</v>
      </c>
      <c r="AC35" s="106">
        <v>9439.1999999999989</v>
      </c>
      <c r="AD35" s="106">
        <v>35</v>
      </c>
      <c r="AE35" s="106">
        <v>14364</v>
      </c>
      <c r="AF35" s="106">
        <v>26</v>
      </c>
      <c r="AG35" s="106">
        <v>10670.4</v>
      </c>
      <c r="AH35" s="106">
        <v>30</v>
      </c>
      <c r="AI35" s="106">
        <v>12312</v>
      </c>
      <c r="AJ35" s="106">
        <v>36</v>
      </c>
      <c r="AK35" s="106">
        <v>14774.4</v>
      </c>
      <c r="AL35" s="106">
        <v>37</v>
      </c>
      <c r="AM35" s="106">
        <v>15184.8</v>
      </c>
      <c r="AN35" s="106">
        <v>36</v>
      </c>
      <c r="AO35" s="106">
        <v>14774.4</v>
      </c>
      <c r="AP35" s="106">
        <v>35</v>
      </c>
      <c r="AQ35" s="106">
        <v>14364</v>
      </c>
      <c r="AR35" s="106">
        <v>35</v>
      </c>
      <c r="AS35" s="106">
        <v>14364</v>
      </c>
      <c r="AT35" s="106">
        <v>27</v>
      </c>
      <c r="AU35" s="106">
        <v>11080.8</v>
      </c>
      <c r="AV35" s="106">
        <v>27.380013435422992</v>
      </c>
      <c r="AW35" s="106">
        <v>11236.757513897595</v>
      </c>
      <c r="AX35" s="106">
        <v>31.079981519328264</v>
      </c>
      <c r="AY35" s="106">
        <v>12755.224415532319</v>
      </c>
      <c r="AZ35" s="106">
        <v>23</v>
      </c>
      <c r="BA35" s="106">
        <v>9439.1999999999989</v>
      </c>
      <c r="BB35" s="106">
        <v>15</v>
      </c>
      <c r="BC35" s="106">
        <v>6156</v>
      </c>
      <c r="BD35" s="106">
        <v>17</v>
      </c>
      <c r="BE35" s="106">
        <v>6976.7999999999993</v>
      </c>
      <c r="BF35" s="106">
        <v>16</v>
      </c>
      <c r="BG35" s="106">
        <v>6566.4</v>
      </c>
      <c r="BH35" s="106">
        <v>30</v>
      </c>
      <c r="BI35" s="106">
        <v>12312</v>
      </c>
      <c r="BJ35" s="106">
        <v>35</v>
      </c>
      <c r="BK35" s="106">
        <v>14364</v>
      </c>
      <c r="BL35" s="106">
        <v>42</v>
      </c>
      <c r="BM35" s="106">
        <v>17236.8</v>
      </c>
      <c r="BN35" s="106">
        <v>26</v>
      </c>
      <c r="BO35" s="106">
        <v>10670.4</v>
      </c>
      <c r="BP35" s="106">
        <v>38</v>
      </c>
      <c r="BQ35" s="106">
        <v>15595.199999999999</v>
      </c>
      <c r="BR35" s="106">
        <v>33</v>
      </c>
      <c r="BS35" s="106">
        <v>13543.199999999999</v>
      </c>
      <c r="BT35" s="106">
        <v>35.700943663620841</v>
      </c>
      <c r="BU35" s="106">
        <v>14651.667279549993</v>
      </c>
      <c r="BV35" s="106">
        <v>29.636410202677798</v>
      </c>
      <c r="BW35" s="106">
        <v>12162.782747178968</v>
      </c>
      <c r="BX35" s="106">
        <v>8.0660049620393366</v>
      </c>
      <c r="BY35" s="106">
        <v>3310.2884364209435</v>
      </c>
      <c r="BZ35" s="106">
        <v>15.702642365890114</v>
      </c>
      <c r="CA35" s="106">
        <v>6444.3644269613023</v>
      </c>
      <c r="CB35" s="106">
        <v>20</v>
      </c>
      <c r="CC35" s="106">
        <v>8208</v>
      </c>
      <c r="CD35" s="106">
        <v>21</v>
      </c>
      <c r="CE35" s="106">
        <v>8618.4</v>
      </c>
      <c r="CF35" s="106">
        <v>27</v>
      </c>
      <c r="CG35" s="106">
        <v>11080.8</v>
      </c>
      <c r="CH35" s="106">
        <v>27</v>
      </c>
      <c r="CI35" s="106">
        <v>11080.8</v>
      </c>
      <c r="CJ35" s="106">
        <v>33</v>
      </c>
      <c r="CK35" s="106">
        <v>13543.199999999999</v>
      </c>
      <c r="CL35" s="106">
        <v>32</v>
      </c>
      <c r="CM35" s="106">
        <v>13132.8</v>
      </c>
      <c r="CN35" s="106">
        <v>35</v>
      </c>
      <c r="CO35" s="106">
        <v>14364</v>
      </c>
      <c r="CP35" s="106">
        <v>26</v>
      </c>
      <c r="CQ35" s="106">
        <v>10670.4</v>
      </c>
      <c r="CR35" s="106">
        <v>23</v>
      </c>
      <c r="CS35" s="106">
        <v>9439.1999999999989</v>
      </c>
      <c r="CT35" s="106">
        <v>38</v>
      </c>
      <c r="CU35" s="106">
        <v>15595.199999999999</v>
      </c>
    </row>
    <row r="36" spans="2:99" x14ac:dyDescent="0.2">
      <c r="C36" s="105" t="s">
        <v>202</v>
      </c>
      <c r="D36" s="106">
        <v>60</v>
      </c>
      <c r="E36" s="106">
        <v>33624</v>
      </c>
      <c r="F36" s="106">
        <v>85</v>
      </c>
      <c r="G36" s="106">
        <v>47634</v>
      </c>
      <c r="H36" s="106">
        <v>63</v>
      </c>
      <c r="I36" s="106">
        <v>35305.199999999997</v>
      </c>
      <c r="J36" s="106">
        <v>72</v>
      </c>
      <c r="K36" s="106">
        <v>40348.799999999996</v>
      </c>
      <c r="L36" s="106">
        <v>69</v>
      </c>
      <c r="M36" s="106">
        <v>38667.599999999999</v>
      </c>
      <c r="N36" s="106">
        <v>86</v>
      </c>
      <c r="O36" s="106">
        <v>48194.400000000001</v>
      </c>
      <c r="P36" s="106">
        <v>68</v>
      </c>
      <c r="Q36" s="106">
        <v>38107.199999999997</v>
      </c>
      <c r="R36" s="106">
        <v>100</v>
      </c>
      <c r="S36" s="106">
        <v>56040</v>
      </c>
      <c r="T36" s="106">
        <v>19</v>
      </c>
      <c r="U36" s="106">
        <v>10647.6</v>
      </c>
      <c r="V36" s="106">
        <v>33</v>
      </c>
      <c r="W36" s="106">
        <v>18493.2</v>
      </c>
      <c r="X36" s="106">
        <v>29</v>
      </c>
      <c r="Y36" s="106">
        <v>16251.599999999999</v>
      </c>
      <c r="Z36" s="106">
        <v>19</v>
      </c>
      <c r="AA36" s="106">
        <v>10647.6</v>
      </c>
      <c r="AB36" s="106">
        <v>20</v>
      </c>
      <c r="AC36" s="106">
        <v>11208</v>
      </c>
      <c r="AD36" s="106">
        <v>30</v>
      </c>
      <c r="AE36" s="106">
        <v>16812</v>
      </c>
      <c r="AF36" s="106">
        <v>26</v>
      </c>
      <c r="AG36" s="106">
        <v>14570.4</v>
      </c>
      <c r="AH36" s="106">
        <v>33</v>
      </c>
      <c r="AI36" s="106">
        <v>18493.2</v>
      </c>
      <c r="AJ36" s="106">
        <v>33</v>
      </c>
      <c r="AK36" s="106">
        <v>18493.2</v>
      </c>
      <c r="AL36" s="106">
        <v>36</v>
      </c>
      <c r="AM36" s="106">
        <v>20174.399999999998</v>
      </c>
      <c r="AN36" s="106">
        <v>34</v>
      </c>
      <c r="AO36" s="106">
        <v>19053.599999999999</v>
      </c>
      <c r="AP36" s="106">
        <v>35</v>
      </c>
      <c r="AQ36" s="106">
        <v>19614</v>
      </c>
      <c r="AR36" s="106">
        <v>32</v>
      </c>
      <c r="AS36" s="106">
        <v>17932.8</v>
      </c>
      <c r="AT36" s="106">
        <v>28</v>
      </c>
      <c r="AU36" s="106">
        <v>15691.199999999999</v>
      </c>
      <c r="AV36" s="106">
        <v>27</v>
      </c>
      <c r="AW36" s="106">
        <v>15130.8</v>
      </c>
      <c r="AX36" s="106">
        <v>38</v>
      </c>
      <c r="AY36" s="106">
        <v>21295.200000000001</v>
      </c>
      <c r="AZ36" s="106">
        <v>23</v>
      </c>
      <c r="BA36" s="106">
        <v>12889.199999999999</v>
      </c>
      <c r="BB36" s="106">
        <v>13</v>
      </c>
      <c r="BC36" s="106">
        <v>7285.2</v>
      </c>
      <c r="BD36" s="106">
        <v>15</v>
      </c>
      <c r="BE36" s="106">
        <v>8406</v>
      </c>
      <c r="BF36" s="106">
        <v>17</v>
      </c>
      <c r="BG36" s="106">
        <v>9526.7999999999993</v>
      </c>
      <c r="BH36" s="106">
        <v>28</v>
      </c>
      <c r="BI36" s="106">
        <v>15691.199999999999</v>
      </c>
      <c r="BJ36" s="106">
        <v>35</v>
      </c>
      <c r="BK36" s="106">
        <v>19614</v>
      </c>
      <c r="BL36" s="106">
        <v>42</v>
      </c>
      <c r="BM36" s="106">
        <v>23536.799999999999</v>
      </c>
      <c r="BN36" s="106">
        <v>23</v>
      </c>
      <c r="BO36" s="106">
        <v>12889.199999999999</v>
      </c>
      <c r="BP36" s="106">
        <v>35</v>
      </c>
      <c r="BQ36" s="106">
        <v>19614</v>
      </c>
      <c r="BR36" s="106">
        <v>29</v>
      </c>
      <c r="BS36" s="106">
        <v>16251.599999999999</v>
      </c>
      <c r="BT36" s="106">
        <v>35</v>
      </c>
      <c r="BU36" s="106">
        <v>19614</v>
      </c>
      <c r="BV36" s="106">
        <v>40</v>
      </c>
      <c r="BW36" s="106">
        <v>22416</v>
      </c>
      <c r="BX36" s="106">
        <v>19</v>
      </c>
      <c r="BY36" s="106">
        <v>10647.6</v>
      </c>
      <c r="BZ36" s="106">
        <v>18</v>
      </c>
      <c r="CA36" s="106">
        <v>10087.199999999999</v>
      </c>
      <c r="CB36" s="106">
        <v>20</v>
      </c>
      <c r="CC36" s="106">
        <v>11208</v>
      </c>
      <c r="CD36" s="106">
        <v>18</v>
      </c>
      <c r="CE36" s="106">
        <v>10087.199999999999</v>
      </c>
      <c r="CF36" s="106">
        <v>23</v>
      </c>
      <c r="CG36" s="106">
        <v>12889.199999999999</v>
      </c>
      <c r="CH36" s="106">
        <v>27</v>
      </c>
      <c r="CI36" s="106">
        <v>15130.8</v>
      </c>
      <c r="CJ36" s="106">
        <v>29</v>
      </c>
      <c r="CK36" s="106">
        <v>16251.599999999999</v>
      </c>
      <c r="CL36" s="106">
        <v>27</v>
      </c>
      <c r="CM36" s="106">
        <v>15130.8</v>
      </c>
      <c r="CN36" s="106">
        <v>36</v>
      </c>
      <c r="CO36" s="106">
        <v>20174.399999999998</v>
      </c>
      <c r="CP36" s="106">
        <v>30</v>
      </c>
      <c r="CQ36" s="106">
        <v>16812</v>
      </c>
      <c r="CR36" s="106">
        <v>25</v>
      </c>
      <c r="CS36" s="106">
        <v>14010</v>
      </c>
      <c r="CT36" s="106">
        <v>34</v>
      </c>
      <c r="CU36" s="106">
        <v>19053.599999999999</v>
      </c>
    </row>
    <row r="37" spans="2:99" x14ac:dyDescent="0.2">
      <c r="B37" s="105" t="s">
        <v>128</v>
      </c>
      <c r="C37" s="105" t="s">
        <v>203</v>
      </c>
      <c r="D37" s="106">
        <v>14</v>
      </c>
      <c r="E37" s="106">
        <v>9122.4</v>
      </c>
      <c r="F37" s="106">
        <v>12</v>
      </c>
      <c r="G37" s="106">
        <v>7819.2000000000007</v>
      </c>
      <c r="H37" s="106">
        <v>13</v>
      </c>
      <c r="I37" s="106">
        <v>8470.8000000000011</v>
      </c>
      <c r="J37" s="106">
        <v>11</v>
      </c>
      <c r="K37" s="106">
        <v>7167.6</v>
      </c>
      <c r="L37" s="106">
        <v>11</v>
      </c>
      <c r="M37" s="106">
        <v>7167.6</v>
      </c>
      <c r="N37" s="106">
        <v>14</v>
      </c>
      <c r="O37" s="106">
        <v>9122.4</v>
      </c>
      <c r="P37" s="106">
        <v>13</v>
      </c>
      <c r="Q37" s="106">
        <v>8470.8000000000011</v>
      </c>
      <c r="R37" s="106">
        <v>11</v>
      </c>
      <c r="S37" s="106">
        <v>7167.6</v>
      </c>
      <c r="T37" s="106">
        <v>10</v>
      </c>
      <c r="U37" s="106">
        <v>6516</v>
      </c>
      <c r="V37" s="106">
        <v>10</v>
      </c>
      <c r="W37" s="106">
        <v>6516</v>
      </c>
      <c r="X37" s="106">
        <v>15</v>
      </c>
      <c r="Y37" s="106">
        <v>9774</v>
      </c>
      <c r="Z37" s="106">
        <v>10</v>
      </c>
      <c r="AA37" s="106">
        <v>6516</v>
      </c>
      <c r="AB37" s="106">
        <v>23</v>
      </c>
      <c r="AC37" s="106">
        <v>14986.800000000001</v>
      </c>
      <c r="AD37" s="106">
        <v>19</v>
      </c>
      <c r="AE37" s="106">
        <v>12380.4</v>
      </c>
      <c r="AF37" s="106">
        <v>33</v>
      </c>
      <c r="AG37" s="106">
        <v>21502.799999999999</v>
      </c>
      <c r="AH37" s="106">
        <v>21</v>
      </c>
      <c r="AI37" s="106">
        <v>13683.6</v>
      </c>
      <c r="AJ37" s="106">
        <v>21</v>
      </c>
      <c r="AK37" s="106">
        <v>13683.6</v>
      </c>
      <c r="AL37" s="106">
        <v>26</v>
      </c>
      <c r="AM37" s="106">
        <v>16941.600000000002</v>
      </c>
      <c r="AN37" s="106">
        <v>26</v>
      </c>
      <c r="AO37" s="106">
        <v>16941.600000000002</v>
      </c>
      <c r="AP37" s="106">
        <v>23</v>
      </c>
      <c r="AQ37" s="106">
        <v>14986.800000000001</v>
      </c>
      <c r="AR37" s="106">
        <v>34</v>
      </c>
      <c r="AS37" s="106">
        <v>22154.400000000001</v>
      </c>
      <c r="AT37" s="106">
        <v>44</v>
      </c>
      <c r="AU37" s="106">
        <v>28670.400000000001</v>
      </c>
      <c r="AV37" s="106">
        <v>37.158589662359773</v>
      </c>
      <c r="AW37" s="106">
        <v>24212.537023993627</v>
      </c>
      <c r="AX37" s="106">
        <v>20.719987679552176</v>
      </c>
      <c r="AY37" s="106">
        <v>13501.143971996198</v>
      </c>
      <c r="AZ37" s="106">
        <v>27</v>
      </c>
      <c r="BA37" s="106">
        <v>17593.2</v>
      </c>
      <c r="BB37" s="106">
        <v>29</v>
      </c>
      <c r="BC37" s="106">
        <v>18896.400000000001</v>
      </c>
      <c r="BD37" s="106">
        <v>18</v>
      </c>
      <c r="BE37" s="106">
        <v>11728.800000000001</v>
      </c>
      <c r="BF37" s="106">
        <v>28</v>
      </c>
      <c r="BG37" s="106">
        <v>18244.8</v>
      </c>
      <c r="BH37" s="106">
        <v>25</v>
      </c>
      <c r="BI37" s="106">
        <v>16290</v>
      </c>
      <c r="BJ37" s="106">
        <v>18</v>
      </c>
      <c r="BK37" s="106">
        <v>11728.800000000001</v>
      </c>
      <c r="BL37" s="106">
        <v>21</v>
      </c>
      <c r="BM37" s="106">
        <v>13683.6</v>
      </c>
      <c r="BN37" s="106">
        <v>27</v>
      </c>
      <c r="BO37" s="106">
        <v>17593.2</v>
      </c>
      <c r="BP37" s="106">
        <v>23</v>
      </c>
      <c r="BQ37" s="106">
        <v>14986.800000000001</v>
      </c>
      <c r="BR37" s="106">
        <v>30</v>
      </c>
      <c r="BS37" s="106">
        <v>19548</v>
      </c>
      <c r="BT37" s="106">
        <v>29.124454041374896</v>
      </c>
      <c r="BU37" s="106">
        <v>18977.494253359884</v>
      </c>
      <c r="BV37" s="106">
        <v>19.298127573836705</v>
      </c>
      <c r="BW37" s="106">
        <v>12574.659927111998</v>
      </c>
      <c r="BX37" s="106">
        <v>4.6697923464438267</v>
      </c>
      <c r="BY37" s="106">
        <v>3042.8366929427975</v>
      </c>
      <c r="BZ37" s="106">
        <v>9.4215854195340683</v>
      </c>
      <c r="CA37" s="106">
        <v>6139.1050593683995</v>
      </c>
      <c r="CB37" s="106">
        <v>10</v>
      </c>
      <c r="CC37" s="106">
        <v>6516</v>
      </c>
      <c r="CD37" s="106">
        <v>13</v>
      </c>
      <c r="CE37" s="106">
        <v>8470.8000000000011</v>
      </c>
      <c r="CF37" s="106">
        <v>14</v>
      </c>
      <c r="CG37" s="106">
        <v>9122.4</v>
      </c>
      <c r="CH37" s="106">
        <v>9</v>
      </c>
      <c r="CI37" s="106">
        <v>5864.4000000000005</v>
      </c>
      <c r="CJ37" s="106">
        <v>12</v>
      </c>
      <c r="CK37" s="106">
        <v>7819.2000000000007</v>
      </c>
      <c r="CL37" s="106">
        <v>15</v>
      </c>
      <c r="CM37" s="106">
        <v>9774</v>
      </c>
      <c r="CN37" s="106">
        <v>16</v>
      </c>
      <c r="CO37" s="106">
        <v>10425.6</v>
      </c>
      <c r="CP37" s="106">
        <v>14</v>
      </c>
      <c r="CQ37" s="106">
        <v>9122.4</v>
      </c>
      <c r="CR37" s="106">
        <v>13</v>
      </c>
      <c r="CS37" s="106">
        <v>8470.8000000000011</v>
      </c>
      <c r="CT37" s="106">
        <v>11</v>
      </c>
      <c r="CU37" s="106">
        <v>7167.6</v>
      </c>
    </row>
    <row r="38" spans="2:99" x14ac:dyDescent="0.2">
      <c r="C38" s="105" t="s">
        <v>204</v>
      </c>
      <c r="D38" s="106">
        <v>15</v>
      </c>
      <c r="E38" s="106">
        <v>15480</v>
      </c>
      <c r="F38" s="106">
        <v>12</v>
      </c>
      <c r="G38" s="106">
        <v>12384</v>
      </c>
      <c r="H38" s="106">
        <v>11</v>
      </c>
      <c r="I38" s="106">
        <v>11352</v>
      </c>
      <c r="J38" s="106">
        <v>10</v>
      </c>
      <c r="K38" s="106">
        <v>10320</v>
      </c>
      <c r="L38" s="106">
        <v>10</v>
      </c>
      <c r="M38" s="106">
        <v>10320</v>
      </c>
      <c r="N38" s="106">
        <v>13</v>
      </c>
      <c r="O38" s="106">
        <v>13416</v>
      </c>
      <c r="P38" s="106">
        <v>12</v>
      </c>
      <c r="Q38" s="106">
        <v>12384</v>
      </c>
      <c r="R38" s="106">
        <v>11</v>
      </c>
      <c r="S38" s="106">
        <v>11352</v>
      </c>
      <c r="T38" s="106">
        <v>10</v>
      </c>
      <c r="U38" s="106">
        <v>10320</v>
      </c>
      <c r="V38" s="106">
        <v>9</v>
      </c>
      <c r="W38" s="106">
        <v>9288</v>
      </c>
      <c r="X38" s="106">
        <v>13</v>
      </c>
      <c r="Y38" s="106">
        <v>13416</v>
      </c>
      <c r="Z38" s="106">
        <v>9</v>
      </c>
      <c r="AA38" s="106">
        <v>9288</v>
      </c>
      <c r="AB38" s="106">
        <v>18</v>
      </c>
      <c r="AC38" s="106">
        <v>18576</v>
      </c>
      <c r="AD38" s="106">
        <v>18</v>
      </c>
      <c r="AE38" s="106">
        <v>18576</v>
      </c>
      <c r="AF38" s="106">
        <v>33</v>
      </c>
      <c r="AG38" s="106">
        <v>34056</v>
      </c>
      <c r="AH38" s="106">
        <v>21</v>
      </c>
      <c r="AI38" s="106">
        <v>21672</v>
      </c>
      <c r="AJ38" s="106">
        <v>21</v>
      </c>
      <c r="AK38" s="106">
        <v>21672</v>
      </c>
      <c r="AL38" s="106">
        <v>24</v>
      </c>
      <c r="AM38" s="106">
        <v>24768</v>
      </c>
      <c r="AN38" s="106">
        <v>27</v>
      </c>
      <c r="AO38" s="106">
        <v>27864</v>
      </c>
      <c r="AP38" s="106">
        <v>20</v>
      </c>
      <c r="AQ38" s="106">
        <v>20640</v>
      </c>
      <c r="AR38" s="106">
        <v>33</v>
      </c>
      <c r="AS38" s="106">
        <v>34056</v>
      </c>
      <c r="AT38" s="106">
        <v>46</v>
      </c>
      <c r="AU38" s="106">
        <v>47472</v>
      </c>
      <c r="AV38" s="106">
        <v>40.092162530440817</v>
      </c>
      <c r="AW38" s="106">
        <v>41375.111731414923</v>
      </c>
      <c r="AX38" s="106">
        <v>19.126142473432775</v>
      </c>
      <c r="AY38" s="106">
        <v>19738.179032582626</v>
      </c>
      <c r="AZ38" s="106">
        <v>23</v>
      </c>
      <c r="BA38" s="106">
        <v>23736</v>
      </c>
      <c r="BB38" s="106">
        <v>27</v>
      </c>
      <c r="BC38" s="106">
        <v>27864</v>
      </c>
      <c r="BD38" s="106">
        <v>20</v>
      </c>
      <c r="BE38" s="106">
        <v>20640</v>
      </c>
      <c r="BF38" s="106">
        <v>24</v>
      </c>
      <c r="BG38" s="106">
        <v>24768</v>
      </c>
      <c r="BH38" s="106">
        <v>20</v>
      </c>
      <c r="BI38" s="106">
        <v>20640</v>
      </c>
      <c r="BJ38" s="106">
        <v>19</v>
      </c>
      <c r="BK38" s="106">
        <v>19608</v>
      </c>
      <c r="BL38" s="106">
        <v>20</v>
      </c>
      <c r="BM38" s="106">
        <v>20640</v>
      </c>
      <c r="BN38" s="106">
        <v>28</v>
      </c>
      <c r="BO38" s="106">
        <v>28896</v>
      </c>
      <c r="BP38" s="106">
        <v>21</v>
      </c>
      <c r="BQ38" s="106">
        <v>21672</v>
      </c>
      <c r="BR38" s="106">
        <v>29</v>
      </c>
      <c r="BS38" s="106">
        <v>29928</v>
      </c>
      <c r="BT38" s="106">
        <v>27.245457006447484</v>
      </c>
      <c r="BU38" s="106">
        <v>28117.311630653803</v>
      </c>
      <c r="BV38" s="106">
        <v>20.676565257682185</v>
      </c>
      <c r="BW38" s="106">
        <v>21338.215345928016</v>
      </c>
      <c r="BX38" s="106">
        <v>3.8207391925449494</v>
      </c>
      <c r="BY38" s="106">
        <v>3943.002846706388</v>
      </c>
      <c r="BZ38" s="106">
        <v>8.6364533012395626</v>
      </c>
      <c r="CA38" s="106">
        <v>8912.8198068792281</v>
      </c>
      <c r="CB38" s="106">
        <v>10</v>
      </c>
      <c r="CC38" s="106">
        <v>10320</v>
      </c>
      <c r="CD38" s="106">
        <v>13</v>
      </c>
      <c r="CE38" s="106">
        <v>13416</v>
      </c>
      <c r="CF38" s="106">
        <v>15</v>
      </c>
      <c r="CG38" s="106">
        <v>15480</v>
      </c>
      <c r="CH38" s="106">
        <v>8</v>
      </c>
      <c r="CI38" s="106">
        <v>8256</v>
      </c>
      <c r="CJ38" s="106">
        <v>13</v>
      </c>
      <c r="CK38" s="106">
        <v>13416</v>
      </c>
      <c r="CL38" s="106">
        <v>12</v>
      </c>
      <c r="CM38" s="106">
        <v>12384</v>
      </c>
      <c r="CN38" s="106">
        <v>15</v>
      </c>
      <c r="CO38" s="106">
        <v>15480</v>
      </c>
      <c r="CP38" s="106">
        <v>15</v>
      </c>
      <c r="CQ38" s="106">
        <v>15480</v>
      </c>
      <c r="CR38" s="106">
        <v>14</v>
      </c>
      <c r="CS38" s="106">
        <v>14448</v>
      </c>
      <c r="CT38" s="106">
        <v>12</v>
      </c>
      <c r="CU38" s="106">
        <v>12384</v>
      </c>
    </row>
    <row r="39" spans="2:99" x14ac:dyDescent="0.2">
      <c r="C39" s="105" t="s">
        <v>205</v>
      </c>
      <c r="D39" s="106">
        <v>15</v>
      </c>
      <c r="E39" s="106">
        <v>18180</v>
      </c>
      <c r="F39" s="106">
        <v>11</v>
      </c>
      <c r="G39" s="106">
        <v>13332</v>
      </c>
      <c r="H39" s="106">
        <v>11</v>
      </c>
      <c r="I39" s="106">
        <v>13332</v>
      </c>
      <c r="J39" s="106">
        <v>11</v>
      </c>
      <c r="K39" s="106">
        <v>13332</v>
      </c>
      <c r="L39" s="106">
        <v>11</v>
      </c>
      <c r="M39" s="106">
        <v>13332</v>
      </c>
      <c r="N39" s="106">
        <v>13</v>
      </c>
      <c r="O39" s="106">
        <v>15756</v>
      </c>
      <c r="P39" s="106">
        <v>12</v>
      </c>
      <c r="Q39" s="106">
        <v>14544</v>
      </c>
      <c r="R39" s="106">
        <v>11</v>
      </c>
      <c r="S39" s="106">
        <v>13332</v>
      </c>
      <c r="T39" s="106">
        <v>10</v>
      </c>
      <c r="U39" s="106">
        <v>12120</v>
      </c>
      <c r="V39" s="106">
        <v>9</v>
      </c>
      <c r="W39" s="106">
        <v>10908</v>
      </c>
      <c r="X39" s="106">
        <v>15</v>
      </c>
      <c r="Y39" s="106">
        <v>18180</v>
      </c>
      <c r="Z39" s="106">
        <v>9</v>
      </c>
      <c r="AA39" s="106">
        <v>10908</v>
      </c>
      <c r="AB39" s="106">
        <v>18</v>
      </c>
      <c r="AC39" s="106">
        <v>21816</v>
      </c>
      <c r="AD39" s="106">
        <v>16</v>
      </c>
      <c r="AE39" s="106">
        <v>19392</v>
      </c>
      <c r="AF39" s="106">
        <v>33</v>
      </c>
      <c r="AG39" s="106">
        <v>39996</v>
      </c>
      <c r="AH39" s="106">
        <v>20</v>
      </c>
      <c r="AI39" s="106">
        <v>24240</v>
      </c>
      <c r="AJ39" s="106">
        <v>22</v>
      </c>
      <c r="AK39" s="106">
        <v>26664</v>
      </c>
      <c r="AL39" s="106">
        <v>25</v>
      </c>
      <c r="AM39" s="106">
        <v>30300</v>
      </c>
      <c r="AN39" s="106">
        <v>24</v>
      </c>
      <c r="AO39" s="106">
        <v>29088</v>
      </c>
      <c r="AP39" s="106">
        <v>21</v>
      </c>
      <c r="AQ39" s="106">
        <v>25452</v>
      </c>
      <c r="AR39" s="106">
        <v>30</v>
      </c>
      <c r="AS39" s="106">
        <v>36360</v>
      </c>
      <c r="AT39" s="106">
        <v>46</v>
      </c>
      <c r="AU39" s="106">
        <v>55752</v>
      </c>
      <c r="AV39" s="106">
        <v>40.092162530440817</v>
      </c>
      <c r="AW39" s="106">
        <v>48591.70098689427</v>
      </c>
      <c r="AX39" s="106">
        <v>17.532297267313378</v>
      </c>
      <c r="AY39" s="106">
        <v>21249.144287983814</v>
      </c>
      <c r="AZ39" s="106">
        <v>24</v>
      </c>
      <c r="BA39" s="106">
        <v>29088</v>
      </c>
      <c r="BB39" s="106">
        <v>28</v>
      </c>
      <c r="BC39" s="106">
        <v>33936</v>
      </c>
      <c r="BD39" s="106">
        <v>18</v>
      </c>
      <c r="BE39" s="106">
        <v>21816</v>
      </c>
      <c r="BF39" s="106">
        <v>28</v>
      </c>
      <c r="BG39" s="106">
        <v>33936</v>
      </c>
      <c r="BH39" s="106">
        <v>20</v>
      </c>
      <c r="BI39" s="106">
        <v>24240</v>
      </c>
      <c r="BJ39" s="106">
        <v>20</v>
      </c>
      <c r="BK39" s="106">
        <v>24240</v>
      </c>
      <c r="BL39" s="106">
        <v>20</v>
      </c>
      <c r="BM39" s="106">
        <v>24240</v>
      </c>
      <c r="BN39" s="106">
        <v>25</v>
      </c>
      <c r="BO39" s="106">
        <v>30300</v>
      </c>
      <c r="BP39" s="106">
        <v>21</v>
      </c>
      <c r="BQ39" s="106">
        <v>25452</v>
      </c>
      <c r="BR39" s="106">
        <v>29</v>
      </c>
      <c r="BS39" s="106">
        <v>35148</v>
      </c>
      <c r="BT39" s="106">
        <v>29.124454041374896</v>
      </c>
      <c r="BU39" s="106">
        <v>35298.838298146373</v>
      </c>
      <c r="BV39" s="106">
        <v>19.298127573836705</v>
      </c>
      <c r="BW39" s="106">
        <v>23389.330619490087</v>
      </c>
      <c r="BX39" s="106">
        <v>4.2452657694943881</v>
      </c>
      <c r="BY39" s="106">
        <v>5145.2621126271979</v>
      </c>
      <c r="BZ39" s="106">
        <v>9.4215854195340683</v>
      </c>
      <c r="CA39" s="106">
        <v>11418.961528475291</v>
      </c>
      <c r="CB39" s="106">
        <v>9</v>
      </c>
      <c r="CC39" s="106">
        <v>10908</v>
      </c>
      <c r="CD39" s="106">
        <v>12</v>
      </c>
      <c r="CE39" s="106">
        <v>14544</v>
      </c>
      <c r="CF39" s="106">
        <v>15</v>
      </c>
      <c r="CG39" s="106">
        <v>18180</v>
      </c>
      <c r="CH39" s="106">
        <v>9</v>
      </c>
      <c r="CI39" s="106">
        <v>10908</v>
      </c>
      <c r="CJ39" s="106">
        <v>13</v>
      </c>
      <c r="CK39" s="106">
        <v>15756</v>
      </c>
      <c r="CL39" s="106">
        <v>13</v>
      </c>
      <c r="CM39" s="106">
        <v>15756</v>
      </c>
      <c r="CN39" s="106">
        <v>16</v>
      </c>
      <c r="CO39" s="106">
        <v>19392</v>
      </c>
      <c r="CP39" s="106">
        <v>13</v>
      </c>
      <c r="CQ39" s="106">
        <v>15756</v>
      </c>
      <c r="CR39" s="106">
        <v>12</v>
      </c>
      <c r="CS39" s="106">
        <v>14544</v>
      </c>
      <c r="CT39" s="106">
        <v>10</v>
      </c>
      <c r="CU39" s="106">
        <v>12120</v>
      </c>
    </row>
    <row r="40" spans="2:99" x14ac:dyDescent="0.2">
      <c r="C40" s="105" t="s">
        <v>206</v>
      </c>
      <c r="D40" s="106">
        <v>15</v>
      </c>
      <c r="E40" s="106">
        <v>7757.9999999999991</v>
      </c>
      <c r="F40" s="106">
        <v>13</v>
      </c>
      <c r="G40" s="106">
        <v>6723.5999999999995</v>
      </c>
      <c r="H40" s="106">
        <v>12</v>
      </c>
      <c r="I40" s="106">
        <v>6206.4</v>
      </c>
      <c r="J40" s="106">
        <v>13</v>
      </c>
      <c r="K40" s="106">
        <v>6723.5999999999995</v>
      </c>
      <c r="L40" s="106">
        <v>12</v>
      </c>
      <c r="M40" s="106">
        <v>6206.4</v>
      </c>
      <c r="N40" s="106">
        <v>14</v>
      </c>
      <c r="O40" s="106">
        <v>7240.7999999999993</v>
      </c>
      <c r="P40" s="106">
        <v>13</v>
      </c>
      <c r="Q40" s="106">
        <v>6723.5999999999995</v>
      </c>
      <c r="R40" s="106">
        <v>11</v>
      </c>
      <c r="S40" s="106">
        <v>5689.1999999999989</v>
      </c>
      <c r="T40" s="106">
        <v>10</v>
      </c>
      <c r="U40" s="106">
        <v>5171.9999999999991</v>
      </c>
      <c r="V40" s="106">
        <v>11</v>
      </c>
      <c r="W40" s="106">
        <v>5689.1999999999989</v>
      </c>
      <c r="X40" s="106">
        <v>15</v>
      </c>
      <c r="Y40" s="106">
        <v>7757.9999999999991</v>
      </c>
      <c r="Z40" s="106">
        <v>10</v>
      </c>
      <c r="AA40" s="106">
        <v>5171.9999999999991</v>
      </c>
      <c r="AB40" s="106">
        <v>23</v>
      </c>
      <c r="AC40" s="106">
        <v>11895.599999999999</v>
      </c>
      <c r="AD40" s="106">
        <v>21</v>
      </c>
      <c r="AE40" s="106">
        <v>10861.199999999999</v>
      </c>
      <c r="AF40" s="106">
        <v>35</v>
      </c>
      <c r="AG40" s="106">
        <v>18101.999999999996</v>
      </c>
      <c r="AH40" s="106">
        <v>21</v>
      </c>
      <c r="AI40" s="106">
        <v>10861.199999999999</v>
      </c>
      <c r="AJ40" s="106">
        <v>25</v>
      </c>
      <c r="AK40" s="106">
        <v>12929.999999999998</v>
      </c>
      <c r="AL40" s="106">
        <v>24</v>
      </c>
      <c r="AM40" s="106">
        <v>12412.8</v>
      </c>
      <c r="AN40" s="106">
        <v>29</v>
      </c>
      <c r="AO40" s="106">
        <v>14998.799999999997</v>
      </c>
      <c r="AP40" s="106">
        <v>21</v>
      </c>
      <c r="AQ40" s="106">
        <v>10861.199999999999</v>
      </c>
      <c r="AR40" s="106">
        <v>35</v>
      </c>
      <c r="AS40" s="106">
        <v>18101.999999999996</v>
      </c>
      <c r="AT40" s="106">
        <v>46</v>
      </c>
      <c r="AU40" s="106">
        <v>23791.199999999997</v>
      </c>
      <c r="AV40" s="106">
        <v>45.959308266602889</v>
      </c>
      <c r="AW40" s="106">
        <v>23770.154235487011</v>
      </c>
      <c r="AX40" s="106">
        <v>23.110755488731272</v>
      </c>
      <c r="AY40" s="106">
        <v>11952.882738771812</v>
      </c>
      <c r="AZ40" s="106">
        <v>26</v>
      </c>
      <c r="BA40" s="106">
        <v>13447.199999999999</v>
      </c>
      <c r="BB40" s="106">
        <v>32</v>
      </c>
      <c r="BC40" s="106">
        <v>16550.399999999998</v>
      </c>
      <c r="BD40" s="106">
        <v>19</v>
      </c>
      <c r="BE40" s="106">
        <v>9826.7999999999993</v>
      </c>
      <c r="BF40" s="106">
        <v>30</v>
      </c>
      <c r="BG40" s="106">
        <v>15515.999999999998</v>
      </c>
      <c r="BH40" s="106">
        <v>25</v>
      </c>
      <c r="BI40" s="106">
        <v>12929.999999999998</v>
      </c>
      <c r="BJ40" s="106">
        <v>19</v>
      </c>
      <c r="BK40" s="106">
        <v>9826.7999999999993</v>
      </c>
      <c r="BL40" s="106">
        <v>23</v>
      </c>
      <c r="BM40" s="106">
        <v>11895.599999999999</v>
      </c>
      <c r="BN40" s="106">
        <v>31</v>
      </c>
      <c r="BO40" s="106">
        <v>16033.199999999997</v>
      </c>
      <c r="BP40" s="106">
        <v>22</v>
      </c>
      <c r="BQ40" s="106">
        <v>11378.399999999998</v>
      </c>
      <c r="BR40" s="106">
        <v>31</v>
      </c>
      <c r="BS40" s="106">
        <v>16033.199999999997</v>
      </c>
      <c r="BT40" s="106">
        <v>31.003451076302312</v>
      </c>
      <c r="BU40" s="106">
        <v>16034.984896663555</v>
      </c>
      <c r="BV40" s="106">
        <v>20.676565257682185</v>
      </c>
      <c r="BW40" s="106">
        <v>10693.919551273224</v>
      </c>
      <c r="BX40" s="106">
        <v>4.2452657694943881</v>
      </c>
      <c r="BY40" s="106">
        <v>2195.6514559824973</v>
      </c>
      <c r="BZ40" s="106">
        <v>9.4215854195340683</v>
      </c>
      <c r="CA40" s="106">
        <v>4872.843978983019</v>
      </c>
      <c r="CB40" s="106">
        <v>11</v>
      </c>
      <c r="CC40" s="106">
        <v>5689.1999999999989</v>
      </c>
      <c r="CD40" s="106">
        <v>14</v>
      </c>
      <c r="CE40" s="106">
        <v>7240.7999999999993</v>
      </c>
      <c r="CF40" s="106">
        <v>14</v>
      </c>
      <c r="CG40" s="106">
        <v>7240.7999999999993</v>
      </c>
      <c r="CH40" s="106">
        <v>9</v>
      </c>
      <c r="CI40" s="106">
        <v>4654.7999999999993</v>
      </c>
      <c r="CJ40" s="106">
        <v>12</v>
      </c>
      <c r="CK40" s="106">
        <v>6206.4</v>
      </c>
      <c r="CL40" s="106">
        <v>14</v>
      </c>
      <c r="CM40" s="106">
        <v>7240.7999999999993</v>
      </c>
      <c r="CN40" s="106">
        <v>14</v>
      </c>
      <c r="CO40" s="106">
        <v>7240.7999999999993</v>
      </c>
      <c r="CP40" s="106">
        <v>16</v>
      </c>
      <c r="CQ40" s="106">
        <v>8275.1999999999989</v>
      </c>
      <c r="CR40" s="106">
        <v>15</v>
      </c>
      <c r="CS40" s="106">
        <v>7757.9999999999991</v>
      </c>
      <c r="CT40" s="106">
        <v>12</v>
      </c>
      <c r="CU40" s="106">
        <v>6206.4</v>
      </c>
    </row>
    <row r="41" spans="2:99" x14ac:dyDescent="0.2">
      <c r="C41" s="105" t="s">
        <v>207</v>
      </c>
      <c r="D41" s="106">
        <v>17</v>
      </c>
      <c r="E41" s="106">
        <v>7731.6</v>
      </c>
      <c r="F41" s="106">
        <v>12</v>
      </c>
      <c r="G41" s="106">
        <v>5457.6</v>
      </c>
      <c r="H41" s="106">
        <v>13</v>
      </c>
      <c r="I41" s="106">
        <v>5912.4000000000005</v>
      </c>
      <c r="J41" s="106">
        <v>11</v>
      </c>
      <c r="K41" s="106">
        <v>5002.8</v>
      </c>
      <c r="L41" s="106">
        <v>12</v>
      </c>
      <c r="M41" s="106">
        <v>5457.6</v>
      </c>
      <c r="N41" s="106">
        <v>16</v>
      </c>
      <c r="O41" s="106">
        <v>7276.8</v>
      </c>
      <c r="P41" s="106">
        <v>12</v>
      </c>
      <c r="Q41" s="106">
        <v>5457.6</v>
      </c>
      <c r="R41" s="106">
        <v>10</v>
      </c>
      <c r="S41" s="106">
        <v>4548</v>
      </c>
      <c r="T41" s="106">
        <v>9</v>
      </c>
      <c r="U41" s="106">
        <v>4093.2000000000003</v>
      </c>
      <c r="V41" s="106">
        <v>10</v>
      </c>
      <c r="W41" s="106">
        <v>4548</v>
      </c>
      <c r="X41" s="106">
        <v>14</v>
      </c>
      <c r="Y41" s="106">
        <v>6367.2</v>
      </c>
      <c r="Z41" s="106">
        <v>9</v>
      </c>
      <c r="AA41" s="106">
        <v>4093.2000000000003</v>
      </c>
      <c r="AB41" s="106">
        <v>20</v>
      </c>
      <c r="AC41" s="106">
        <v>9096</v>
      </c>
      <c r="AD41" s="106">
        <v>19</v>
      </c>
      <c r="AE41" s="106">
        <v>8641.2000000000007</v>
      </c>
      <c r="AF41" s="106">
        <v>36</v>
      </c>
      <c r="AG41" s="106">
        <v>16372.800000000001</v>
      </c>
      <c r="AH41" s="106">
        <v>21</v>
      </c>
      <c r="AI41" s="106">
        <v>9550.8000000000011</v>
      </c>
      <c r="AJ41" s="106">
        <v>23</v>
      </c>
      <c r="AK41" s="106">
        <v>10460.4</v>
      </c>
      <c r="AL41" s="106">
        <v>24</v>
      </c>
      <c r="AM41" s="106">
        <v>10915.2</v>
      </c>
      <c r="AN41" s="106">
        <v>28</v>
      </c>
      <c r="AO41" s="106">
        <v>12734.4</v>
      </c>
      <c r="AP41" s="106">
        <v>23</v>
      </c>
      <c r="AQ41" s="106">
        <v>10460.4</v>
      </c>
      <c r="AR41" s="106">
        <v>33</v>
      </c>
      <c r="AS41" s="106">
        <v>15008.4</v>
      </c>
      <c r="AT41" s="106">
        <v>50</v>
      </c>
      <c r="AU41" s="106">
        <v>22740</v>
      </c>
      <c r="AV41" s="106">
        <v>43.025735398521853</v>
      </c>
      <c r="AW41" s="106">
        <v>19568.104459247737</v>
      </c>
      <c r="AX41" s="106">
        <v>23.110755488731272</v>
      </c>
      <c r="AY41" s="106">
        <v>10510.771596274983</v>
      </c>
      <c r="AZ41" s="106">
        <v>24</v>
      </c>
      <c r="BA41" s="106">
        <v>10915.2</v>
      </c>
      <c r="BB41" s="106">
        <v>31</v>
      </c>
      <c r="BC41" s="106">
        <v>14098.800000000001</v>
      </c>
      <c r="BD41" s="106">
        <v>20</v>
      </c>
      <c r="BE41" s="106">
        <v>9096</v>
      </c>
      <c r="BF41" s="106">
        <v>30</v>
      </c>
      <c r="BG41" s="106">
        <v>13644</v>
      </c>
      <c r="BH41" s="106">
        <v>22</v>
      </c>
      <c r="BI41" s="106">
        <v>10005.6</v>
      </c>
      <c r="BJ41" s="106">
        <v>20</v>
      </c>
      <c r="BK41" s="106">
        <v>9096</v>
      </c>
      <c r="BL41" s="106">
        <v>25</v>
      </c>
      <c r="BM41" s="106">
        <v>11370</v>
      </c>
      <c r="BN41" s="106">
        <v>27</v>
      </c>
      <c r="BO41" s="106">
        <v>12279.6</v>
      </c>
      <c r="BP41" s="106">
        <v>23</v>
      </c>
      <c r="BQ41" s="106">
        <v>10460.4</v>
      </c>
      <c r="BR41" s="106">
        <v>32</v>
      </c>
      <c r="BS41" s="106">
        <v>14553.6</v>
      </c>
      <c r="BT41" s="106">
        <v>27.245457006447484</v>
      </c>
      <c r="BU41" s="106">
        <v>12391.233846532316</v>
      </c>
      <c r="BV41" s="106">
        <v>19.987346415759443</v>
      </c>
      <c r="BW41" s="106">
        <v>9090.2451498873943</v>
      </c>
      <c r="BX41" s="106">
        <v>4.2452657694943881</v>
      </c>
      <c r="BY41" s="106">
        <v>1930.7468719660478</v>
      </c>
      <c r="BZ41" s="106">
        <v>9.4215854195340683</v>
      </c>
      <c r="CA41" s="106">
        <v>4284.937048804094</v>
      </c>
      <c r="CB41" s="106">
        <v>10</v>
      </c>
      <c r="CC41" s="106">
        <v>4548</v>
      </c>
      <c r="CD41" s="106">
        <v>15</v>
      </c>
      <c r="CE41" s="106">
        <v>6822</v>
      </c>
      <c r="CF41" s="106">
        <v>14</v>
      </c>
      <c r="CG41" s="106">
        <v>6367.2</v>
      </c>
      <c r="CH41" s="106">
        <v>9</v>
      </c>
      <c r="CI41" s="106">
        <v>4093.2000000000003</v>
      </c>
      <c r="CJ41" s="106">
        <v>14</v>
      </c>
      <c r="CK41" s="106">
        <v>6367.2</v>
      </c>
      <c r="CL41" s="106">
        <v>15</v>
      </c>
      <c r="CM41" s="106">
        <v>6822</v>
      </c>
      <c r="CN41" s="106">
        <v>16</v>
      </c>
      <c r="CO41" s="106">
        <v>7276.8</v>
      </c>
      <c r="CP41" s="106">
        <v>14</v>
      </c>
      <c r="CQ41" s="106">
        <v>6367.2</v>
      </c>
      <c r="CR41" s="106">
        <v>15</v>
      </c>
      <c r="CS41" s="106">
        <v>6822</v>
      </c>
      <c r="CT41" s="106">
        <v>13</v>
      </c>
      <c r="CU41" s="106">
        <v>5912.4000000000005</v>
      </c>
    </row>
    <row r="42" spans="2:99" x14ac:dyDescent="0.2">
      <c r="C42" s="105" t="s">
        <v>208</v>
      </c>
      <c r="D42" s="106">
        <v>16</v>
      </c>
      <c r="E42" s="106">
        <v>11136</v>
      </c>
      <c r="F42" s="106">
        <v>13</v>
      </c>
      <c r="G42" s="106">
        <v>9048</v>
      </c>
      <c r="H42" s="106">
        <v>12</v>
      </c>
      <c r="I42" s="106">
        <v>8352</v>
      </c>
      <c r="J42" s="106">
        <v>12</v>
      </c>
      <c r="K42" s="106">
        <v>8352</v>
      </c>
      <c r="L42" s="106">
        <v>10</v>
      </c>
      <c r="M42" s="106">
        <v>6960</v>
      </c>
      <c r="N42" s="106">
        <v>14</v>
      </c>
      <c r="O42" s="106">
        <v>9744</v>
      </c>
      <c r="P42" s="106">
        <v>11</v>
      </c>
      <c r="Q42" s="106">
        <v>7656</v>
      </c>
      <c r="R42" s="106">
        <v>11</v>
      </c>
      <c r="S42" s="106">
        <v>7656</v>
      </c>
      <c r="T42" s="106">
        <v>11</v>
      </c>
      <c r="U42" s="106">
        <v>7656</v>
      </c>
      <c r="V42" s="106">
        <v>10</v>
      </c>
      <c r="W42" s="106">
        <v>6960</v>
      </c>
      <c r="X42" s="106">
        <v>16</v>
      </c>
      <c r="Y42" s="106">
        <v>11136</v>
      </c>
      <c r="Z42" s="106">
        <v>10</v>
      </c>
      <c r="AA42" s="106">
        <v>6960</v>
      </c>
      <c r="AB42" s="106">
        <v>21</v>
      </c>
      <c r="AC42" s="106">
        <v>14616</v>
      </c>
      <c r="AD42" s="106">
        <v>19</v>
      </c>
      <c r="AE42" s="106">
        <v>13224</v>
      </c>
      <c r="AF42" s="106">
        <v>34</v>
      </c>
      <c r="AG42" s="106">
        <v>23664</v>
      </c>
      <c r="AH42" s="106">
        <v>21</v>
      </c>
      <c r="AI42" s="106">
        <v>14616</v>
      </c>
      <c r="AJ42" s="106">
        <v>22</v>
      </c>
      <c r="AK42" s="106">
        <v>15312</v>
      </c>
      <c r="AL42" s="106">
        <v>27</v>
      </c>
      <c r="AM42" s="106">
        <v>18792</v>
      </c>
      <c r="AN42" s="106">
        <v>28</v>
      </c>
      <c r="AO42" s="106">
        <v>19488</v>
      </c>
      <c r="AP42" s="106">
        <v>25</v>
      </c>
      <c r="AQ42" s="106">
        <v>17400</v>
      </c>
      <c r="AR42" s="106">
        <v>36</v>
      </c>
      <c r="AS42" s="106">
        <v>25056</v>
      </c>
      <c r="AT42" s="106">
        <v>48</v>
      </c>
      <c r="AU42" s="106">
        <v>33408</v>
      </c>
      <c r="AV42" s="106">
        <v>40.092162530440817</v>
      </c>
      <c r="AW42" s="106">
        <v>27904.145121186808</v>
      </c>
      <c r="AX42" s="106">
        <v>19.126142473432775</v>
      </c>
      <c r="AY42" s="106">
        <v>13311.795161509212</v>
      </c>
      <c r="AZ42" s="106">
        <v>25</v>
      </c>
      <c r="BA42" s="106">
        <v>17400</v>
      </c>
      <c r="BB42" s="106">
        <v>29</v>
      </c>
      <c r="BC42" s="106">
        <v>20184</v>
      </c>
      <c r="BD42" s="106">
        <v>20</v>
      </c>
      <c r="BE42" s="106">
        <v>13920</v>
      </c>
      <c r="BF42" s="106">
        <v>25</v>
      </c>
      <c r="BG42" s="106">
        <v>17400</v>
      </c>
      <c r="BH42" s="106">
        <v>21</v>
      </c>
      <c r="BI42" s="106">
        <v>14616</v>
      </c>
      <c r="BJ42" s="106">
        <v>21</v>
      </c>
      <c r="BK42" s="106">
        <v>14616</v>
      </c>
      <c r="BL42" s="106">
        <v>21</v>
      </c>
      <c r="BM42" s="106">
        <v>14616</v>
      </c>
      <c r="BN42" s="106">
        <v>30</v>
      </c>
      <c r="BO42" s="106">
        <v>20880</v>
      </c>
      <c r="BP42" s="106">
        <v>21</v>
      </c>
      <c r="BQ42" s="106">
        <v>14616</v>
      </c>
      <c r="BR42" s="106">
        <v>28</v>
      </c>
      <c r="BS42" s="106">
        <v>19488</v>
      </c>
      <c r="BT42" s="106">
        <v>27.245457006447484</v>
      </c>
      <c r="BU42" s="106">
        <v>18962.838076487449</v>
      </c>
      <c r="BV42" s="106">
        <v>21.365784099604927</v>
      </c>
      <c r="BW42" s="106">
        <v>14870.58573332503</v>
      </c>
      <c r="BX42" s="106">
        <v>3.8207391925449494</v>
      </c>
      <c r="BY42" s="106">
        <v>2659.2344780112849</v>
      </c>
      <c r="BZ42" s="106">
        <v>9.4215854195340683</v>
      </c>
      <c r="CA42" s="106">
        <v>6557.4234519957117</v>
      </c>
      <c r="CB42" s="106">
        <v>10</v>
      </c>
      <c r="CC42" s="106">
        <v>6960</v>
      </c>
      <c r="CD42" s="106">
        <v>14</v>
      </c>
      <c r="CE42" s="106">
        <v>9744</v>
      </c>
      <c r="CF42" s="106">
        <v>14</v>
      </c>
      <c r="CG42" s="106">
        <v>9744</v>
      </c>
      <c r="CH42" s="106">
        <v>8</v>
      </c>
      <c r="CI42" s="106">
        <v>5568</v>
      </c>
      <c r="CJ42" s="106">
        <v>12</v>
      </c>
      <c r="CK42" s="106">
        <v>8352</v>
      </c>
      <c r="CL42" s="106">
        <v>14</v>
      </c>
      <c r="CM42" s="106">
        <v>9744</v>
      </c>
      <c r="CN42" s="106">
        <v>14</v>
      </c>
      <c r="CO42" s="106">
        <v>9744</v>
      </c>
      <c r="CP42" s="106">
        <v>14</v>
      </c>
      <c r="CQ42" s="106">
        <v>9744</v>
      </c>
      <c r="CR42" s="106">
        <v>14</v>
      </c>
      <c r="CS42" s="106">
        <v>9744</v>
      </c>
      <c r="CT42" s="106">
        <v>11</v>
      </c>
      <c r="CU42" s="106">
        <v>7656</v>
      </c>
    </row>
    <row r="43" spans="2:99" x14ac:dyDescent="0.2">
      <c r="C43" s="105" t="s">
        <v>209</v>
      </c>
      <c r="D43" s="106">
        <v>14</v>
      </c>
      <c r="E43" s="106">
        <v>11407.199999999999</v>
      </c>
      <c r="F43" s="106">
        <v>13</v>
      </c>
      <c r="G43" s="106">
        <v>10592.4</v>
      </c>
      <c r="H43" s="106">
        <v>12</v>
      </c>
      <c r="I43" s="106">
        <v>9777.5999999999985</v>
      </c>
      <c r="J43" s="106">
        <v>12</v>
      </c>
      <c r="K43" s="106">
        <v>9777.5999999999985</v>
      </c>
      <c r="L43" s="106">
        <v>11</v>
      </c>
      <c r="M43" s="106">
        <v>8962.7999999999993</v>
      </c>
      <c r="N43" s="106">
        <v>14</v>
      </c>
      <c r="O43" s="106">
        <v>11407.199999999999</v>
      </c>
      <c r="P43" s="106">
        <v>12</v>
      </c>
      <c r="Q43" s="106">
        <v>9777.5999999999985</v>
      </c>
      <c r="R43" s="106">
        <v>11</v>
      </c>
      <c r="S43" s="106">
        <v>8962.7999999999993</v>
      </c>
      <c r="T43" s="106">
        <v>10</v>
      </c>
      <c r="U43" s="106">
        <v>8148</v>
      </c>
      <c r="V43" s="106">
        <v>9</v>
      </c>
      <c r="W43" s="106">
        <v>7333.2</v>
      </c>
      <c r="X43" s="106">
        <v>14</v>
      </c>
      <c r="Y43" s="106">
        <v>11407.199999999999</v>
      </c>
      <c r="Z43" s="106">
        <v>10</v>
      </c>
      <c r="AA43" s="106">
        <v>8148</v>
      </c>
      <c r="AB43" s="106">
        <v>20</v>
      </c>
      <c r="AC43" s="106">
        <v>16296</v>
      </c>
      <c r="AD43" s="106">
        <v>19</v>
      </c>
      <c r="AE43" s="106">
        <v>15481.199999999999</v>
      </c>
      <c r="AF43" s="106">
        <v>38</v>
      </c>
      <c r="AG43" s="106">
        <v>30962.399999999998</v>
      </c>
      <c r="AH43" s="106">
        <v>19</v>
      </c>
      <c r="AI43" s="106">
        <v>15481.199999999999</v>
      </c>
      <c r="AJ43" s="106">
        <v>22</v>
      </c>
      <c r="AK43" s="106">
        <v>17925.599999999999</v>
      </c>
      <c r="AL43" s="106">
        <v>27</v>
      </c>
      <c r="AM43" s="106">
        <v>21999.599999999999</v>
      </c>
      <c r="AN43" s="106">
        <v>24</v>
      </c>
      <c r="AO43" s="106">
        <v>19555.199999999997</v>
      </c>
      <c r="AP43" s="106">
        <v>21</v>
      </c>
      <c r="AQ43" s="106">
        <v>17110.8</v>
      </c>
      <c r="AR43" s="106">
        <v>35</v>
      </c>
      <c r="AS43" s="106">
        <v>28518</v>
      </c>
      <c r="AT43" s="106">
        <v>51</v>
      </c>
      <c r="AU43" s="106">
        <v>41554.799999999996</v>
      </c>
      <c r="AV43" s="106">
        <v>37.158589662359773</v>
      </c>
      <c r="AW43" s="106">
        <v>30276.818856890743</v>
      </c>
      <c r="AX43" s="106">
        <v>21.516910282611875</v>
      </c>
      <c r="AY43" s="106">
        <v>17531.978498272154</v>
      </c>
      <c r="AZ43" s="106">
        <v>25</v>
      </c>
      <c r="BA43" s="106">
        <v>20370</v>
      </c>
      <c r="BB43" s="106">
        <v>27</v>
      </c>
      <c r="BC43" s="106">
        <v>21999.599999999999</v>
      </c>
      <c r="BD43" s="106">
        <v>20</v>
      </c>
      <c r="BE43" s="106">
        <v>16296</v>
      </c>
      <c r="BF43" s="106">
        <v>29</v>
      </c>
      <c r="BG43" s="106">
        <v>23629.199999999997</v>
      </c>
      <c r="BH43" s="106">
        <v>23</v>
      </c>
      <c r="BI43" s="106">
        <v>18740.399999999998</v>
      </c>
      <c r="BJ43" s="106">
        <v>18</v>
      </c>
      <c r="BK43" s="106">
        <v>14666.4</v>
      </c>
      <c r="BL43" s="106">
        <v>22</v>
      </c>
      <c r="BM43" s="106">
        <v>17925.599999999999</v>
      </c>
      <c r="BN43" s="106">
        <v>30</v>
      </c>
      <c r="BO43" s="106">
        <v>24444</v>
      </c>
      <c r="BP43" s="106">
        <v>19</v>
      </c>
      <c r="BQ43" s="106">
        <v>15481.199999999999</v>
      </c>
      <c r="BR43" s="106">
        <v>29</v>
      </c>
      <c r="BS43" s="106">
        <v>23629.199999999997</v>
      </c>
      <c r="BT43" s="106">
        <v>31.003451076302312</v>
      </c>
      <c r="BU43" s="106">
        <v>25261.611936971123</v>
      </c>
      <c r="BV43" s="106">
        <v>20.676565257682185</v>
      </c>
      <c r="BW43" s="106">
        <v>16847.265371959442</v>
      </c>
      <c r="BX43" s="106">
        <v>3.8207391925449494</v>
      </c>
      <c r="BY43" s="106">
        <v>3113.1382940856247</v>
      </c>
      <c r="BZ43" s="106">
        <v>7.8513211829450569</v>
      </c>
      <c r="CA43" s="106">
        <v>6397.2564998636317</v>
      </c>
      <c r="CB43" s="106">
        <v>9</v>
      </c>
      <c r="CC43" s="106">
        <v>7333.2</v>
      </c>
      <c r="CD43" s="106">
        <v>14</v>
      </c>
      <c r="CE43" s="106">
        <v>11407.199999999999</v>
      </c>
      <c r="CF43" s="106">
        <v>14</v>
      </c>
      <c r="CG43" s="106">
        <v>11407.199999999999</v>
      </c>
      <c r="CH43" s="106">
        <v>8</v>
      </c>
      <c r="CI43" s="106">
        <v>6518.4</v>
      </c>
      <c r="CJ43" s="106">
        <v>13</v>
      </c>
      <c r="CK43" s="106">
        <v>10592.4</v>
      </c>
      <c r="CL43" s="106">
        <v>12</v>
      </c>
      <c r="CM43" s="106">
        <v>9777.5999999999985</v>
      </c>
      <c r="CN43" s="106">
        <v>14</v>
      </c>
      <c r="CO43" s="106">
        <v>11407.199999999999</v>
      </c>
      <c r="CP43" s="106">
        <v>15</v>
      </c>
      <c r="CQ43" s="106">
        <v>12222</v>
      </c>
      <c r="CR43" s="106">
        <v>14</v>
      </c>
      <c r="CS43" s="106">
        <v>11407.199999999999</v>
      </c>
      <c r="CT43" s="106">
        <v>12</v>
      </c>
      <c r="CU43" s="106">
        <v>9777.5999999999985</v>
      </c>
    </row>
    <row r="44" spans="2:99" x14ac:dyDescent="0.2">
      <c r="C44" s="105" t="s">
        <v>210</v>
      </c>
      <c r="D44" s="106">
        <v>15</v>
      </c>
      <c r="E44" s="106">
        <v>12654</v>
      </c>
      <c r="F44" s="106">
        <v>12</v>
      </c>
      <c r="G44" s="106">
        <v>10123.200000000001</v>
      </c>
      <c r="H44" s="106">
        <v>12</v>
      </c>
      <c r="I44" s="106">
        <v>10123.200000000001</v>
      </c>
      <c r="J44" s="106">
        <v>12</v>
      </c>
      <c r="K44" s="106">
        <v>10123.200000000001</v>
      </c>
      <c r="L44" s="106">
        <v>12</v>
      </c>
      <c r="M44" s="106">
        <v>10123.200000000001</v>
      </c>
      <c r="N44" s="106">
        <v>15</v>
      </c>
      <c r="O44" s="106">
        <v>12654</v>
      </c>
      <c r="P44" s="106">
        <v>12</v>
      </c>
      <c r="Q44" s="106">
        <v>10123.200000000001</v>
      </c>
      <c r="R44" s="106">
        <v>11</v>
      </c>
      <c r="S44" s="106">
        <v>9279.6</v>
      </c>
      <c r="T44" s="106">
        <v>11</v>
      </c>
      <c r="U44" s="106">
        <v>9279.6</v>
      </c>
      <c r="V44" s="106">
        <v>10</v>
      </c>
      <c r="W44" s="106">
        <v>8436</v>
      </c>
      <c r="X44" s="106">
        <v>13</v>
      </c>
      <c r="Y44" s="106">
        <v>10966.800000000001</v>
      </c>
      <c r="Z44" s="106">
        <v>10</v>
      </c>
      <c r="AA44" s="106">
        <v>8436</v>
      </c>
      <c r="AB44" s="106">
        <v>20</v>
      </c>
      <c r="AC44" s="106">
        <v>16872</v>
      </c>
      <c r="AD44" s="106">
        <v>20</v>
      </c>
      <c r="AE44" s="106">
        <v>16872</v>
      </c>
      <c r="AF44" s="106">
        <v>37</v>
      </c>
      <c r="AG44" s="106">
        <v>31213.200000000001</v>
      </c>
      <c r="AH44" s="106">
        <v>20</v>
      </c>
      <c r="AI44" s="106">
        <v>16872</v>
      </c>
      <c r="AJ44" s="106">
        <v>22</v>
      </c>
      <c r="AK44" s="106">
        <v>18559.2</v>
      </c>
      <c r="AL44" s="106">
        <v>25</v>
      </c>
      <c r="AM44" s="106">
        <v>21090</v>
      </c>
      <c r="AN44" s="106">
        <v>24</v>
      </c>
      <c r="AO44" s="106">
        <v>20246.400000000001</v>
      </c>
      <c r="AP44" s="106">
        <v>22</v>
      </c>
      <c r="AQ44" s="106">
        <v>18559.2</v>
      </c>
      <c r="AR44" s="106">
        <v>33</v>
      </c>
      <c r="AS44" s="106">
        <v>27838.799999999999</v>
      </c>
      <c r="AT44" s="106">
        <v>51</v>
      </c>
      <c r="AU44" s="106">
        <v>43023.6</v>
      </c>
      <c r="AV44" s="106">
        <v>36.180732039666104</v>
      </c>
      <c r="AW44" s="106">
        <v>30522.065548662325</v>
      </c>
      <c r="AX44" s="106">
        <v>20.719987679552176</v>
      </c>
      <c r="AY44" s="106">
        <v>17479.381606470215</v>
      </c>
      <c r="AZ44" s="106">
        <v>26</v>
      </c>
      <c r="BA44" s="106">
        <v>21933.600000000002</v>
      </c>
      <c r="BB44" s="106">
        <v>31</v>
      </c>
      <c r="BC44" s="106">
        <v>26151.600000000002</v>
      </c>
      <c r="BD44" s="106">
        <v>18</v>
      </c>
      <c r="BE44" s="106">
        <v>15184.800000000001</v>
      </c>
      <c r="BF44" s="106">
        <v>26</v>
      </c>
      <c r="BG44" s="106">
        <v>21933.600000000002</v>
      </c>
      <c r="BH44" s="106">
        <v>20</v>
      </c>
      <c r="BI44" s="106">
        <v>16872</v>
      </c>
      <c r="BJ44" s="106">
        <v>19</v>
      </c>
      <c r="BK44" s="106">
        <v>16028.4</v>
      </c>
      <c r="BL44" s="106">
        <v>23</v>
      </c>
      <c r="BM44" s="106">
        <v>19402.8</v>
      </c>
      <c r="BN44" s="106">
        <v>30</v>
      </c>
      <c r="BO44" s="106">
        <v>25308</v>
      </c>
      <c r="BP44" s="106">
        <v>21</v>
      </c>
      <c r="BQ44" s="106">
        <v>17715.600000000002</v>
      </c>
      <c r="BR44" s="106">
        <v>31</v>
      </c>
      <c r="BS44" s="106">
        <v>26151.600000000002</v>
      </c>
      <c r="BT44" s="106">
        <v>29.124454041374896</v>
      </c>
      <c r="BU44" s="106">
        <v>24569.389429303865</v>
      </c>
      <c r="BV44" s="106">
        <v>19.298127573836705</v>
      </c>
      <c r="BW44" s="106">
        <v>16279.900421288645</v>
      </c>
      <c r="BX44" s="106">
        <v>4.2452657694943881</v>
      </c>
      <c r="BY44" s="106">
        <v>3581.306203145466</v>
      </c>
      <c r="BZ44" s="106">
        <v>9.4215854195340683</v>
      </c>
      <c r="CA44" s="106">
        <v>7948.0494599189406</v>
      </c>
      <c r="CB44" s="106">
        <v>11</v>
      </c>
      <c r="CC44" s="106">
        <v>9279.6</v>
      </c>
      <c r="CD44" s="106">
        <v>12</v>
      </c>
      <c r="CE44" s="106">
        <v>10123.200000000001</v>
      </c>
      <c r="CF44" s="106">
        <v>13</v>
      </c>
      <c r="CG44" s="106">
        <v>10966.800000000001</v>
      </c>
      <c r="CH44" s="106">
        <v>9</v>
      </c>
      <c r="CI44" s="106">
        <v>7592.4000000000005</v>
      </c>
      <c r="CJ44" s="106">
        <v>11</v>
      </c>
      <c r="CK44" s="106">
        <v>9279.6</v>
      </c>
      <c r="CL44" s="106">
        <v>14</v>
      </c>
      <c r="CM44" s="106">
        <v>11810.4</v>
      </c>
      <c r="CN44" s="106">
        <v>14</v>
      </c>
      <c r="CO44" s="106">
        <v>11810.4</v>
      </c>
      <c r="CP44" s="106">
        <v>14</v>
      </c>
      <c r="CQ44" s="106">
        <v>11810.4</v>
      </c>
      <c r="CR44" s="106">
        <v>13</v>
      </c>
      <c r="CS44" s="106">
        <v>10966.800000000001</v>
      </c>
      <c r="CT44" s="106">
        <v>11</v>
      </c>
      <c r="CU44" s="106">
        <v>9279.6</v>
      </c>
    </row>
    <row r="45" spans="2:99" x14ac:dyDescent="0.2">
      <c r="C45" s="105" t="s">
        <v>211</v>
      </c>
      <c r="D45" s="106">
        <v>15</v>
      </c>
      <c r="E45" s="106">
        <v>15605.999999999998</v>
      </c>
      <c r="F45" s="106">
        <v>12</v>
      </c>
      <c r="G45" s="106">
        <v>12484.8</v>
      </c>
      <c r="H45" s="106">
        <v>11</v>
      </c>
      <c r="I45" s="106">
        <v>11444.399999999998</v>
      </c>
      <c r="J45" s="106">
        <v>11</v>
      </c>
      <c r="K45" s="106">
        <v>11444.399999999998</v>
      </c>
      <c r="L45" s="106">
        <v>12</v>
      </c>
      <c r="M45" s="106">
        <v>12484.8</v>
      </c>
      <c r="N45" s="106">
        <v>15</v>
      </c>
      <c r="O45" s="106">
        <v>15605.999999999998</v>
      </c>
      <c r="P45" s="106">
        <v>11</v>
      </c>
      <c r="Q45" s="106">
        <v>11444.399999999998</v>
      </c>
      <c r="R45" s="106">
        <v>10</v>
      </c>
      <c r="S45" s="106">
        <v>10403.999999999998</v>
      </c>
      <c r="T45" s="106">
        <v>10</v>
      </c>
      <c r="U45" s="106">
        <v>10403.999999999998</v>
      </c>
      <c r="V45" s="106">
        <v>9</v>
      </c>
      <c r="W45" s="106">
        <v>9363.5999999999985</v>
      </c>
      <c r="X45" s="106">
        <v>15</v>
      </c>
      <c r="Y45" s="106">
        <v>15605.999999999998</v>
      </c>
      <c r="Z45" s="106">
        <v>8</v>
      </c>
      <c r="AA45" s="106">
        <v>8323.1999999999989</v>
      </c>
      <c r="AB45" s="106">
        <v>20</v>
      </c>
      <c r="AC45" s="106">
        <v>20807.999999999996</v>
      </c>
      <c r="AD45" s="106">
        <v>16</v>
      </c>
      <c r="AE45" s="106">
        <v>16646.399999999998</v>
      </c>
      <c r="AF45" s="106">
        <v>35</v>
      </c>
      <c r="AG45" s="106">
        <v>36413.999999999993</v>
      </c>
      <c r="AH45" s="106">
        <v>20</v>
      </c>
      <c r="AI45" s="106">
        <v>20807.999999999996</v>
      </c>
      <c r="AJ45" s="106">
        <v>20</v>
      </c>
      <c r="AK45" s="106">
        <v>20807.999999999996</v>
      </c>
      <c r="AL45" s="106">
        <v>25</v>
      </c>
      <c r="AM45" s="106">
        <v>26009.999999999996</v>
      </c>
      <c r="AN45" s="106">
        <v>24</v>
      </c>
      <c r="AO45" s="106">
        <v>24969.599999999999</v>
      </c>
      <c r="AP45" s="106">
        <v>22</v>
      </c>
      <c r="AQ45" s="106">
        <v>22888.799999999996</v>
      </c>
      <c r="AR45" s="106">
        <v>33</v>
      </c>
      <c r="AS45" s="106">
        <v>34333.199999999997</v>
      </c>
      <c r="AT45" s="106">
        <v>41</v>
      </c>
      <c r="AU45" s="106">
        <v>42656.399999999994</v>
      </c>
      <c r="AV45" s="106">
        <v>36.180732039666104</v>
      </c>
      <c r="AW45" s="106">
        <v>37642.433614068606</v>
      </c>
      <c r="AX45" s="106">
        <v>19.126142473432775</v>
      </c>
      <c r="AY45" s="106">
        <v>19898.838629359456</v>
      </c>
      <c r="AZ45" s="106">
        <v>24</v>
      </c>
      <c r="BA45" s="106">
        <v>24969.599999999999</v>
      </c>
      <c r="BB45" s="106">
        <v>28</v>
      </c>
      <c r="BC45" s="106">
        <v>29131.199999999997</v>
      </c>
      <c r="BD45" s="106">
        <v>20</v>
      </c>
      <c r="BE45" s="106">
        <v>20807.999999999996</v>
      </c>
      <c r="BF45" s="106">
        <v>28</v>
      </c>
      <c r="BG45" s="106">
        <v>29131.199999999997</v>
      </c>
      <c r="BH45" s="106">
        <v>22</v>
      </c>
      <c r="BI45" s="106">
        <v>22888.799999999996</v>
      </c>
      <c r="BJ45" s="106">
        <v>17</v>
      </c>
      <c r="BK45" s="106">
        <v>17686.8</v>
      </c>
      <c r="BL45" s="106">
        <v>21</v>
      </c>
      <c r="BM45" s="106">
        <v>21848.399999999998</v>
      </c>
      <c r="BN45" s="106">
        <v>29</v>
      </c>
      <c r="BO45" s="106">
        <v>30171.599999999995</v>
      </c>
      <c r="BP45" s="106">
        <v>22</v>
      </c>
      <c r="BQ45" s="106">
        <v>22888.799999999996</v>
      </c>
      <c r="BR45" s="106">
        <v>31</v>
      </c>
      <c r="BS45" s="106">
        <v>32252.399999999994</v>
      </c>
      <c r="BT45" s="106">
        <v>27.245457006447484</v>
      </c>
      <c r="BU45" s="106">
        <v>28346.173469507958</v>
      </c>
      <c r="BV45" s="106">
        <v>19.298127573836705</v>
      </c>
      <c r="BW45" s="106">
        <v>20077.771927819707</v>
      </c>
      <c r="BX45" s="106">
        <v>4.2452657694943881</v>
      </c>
      <c r="BY45" s="106">
        <v>4416.7745065819608</v>
      </c>
      <c r="BZ45" s="106">
        <v>9.4215854195340683</v>
      </c>
      <c r="CA45" s="106">
        <v>9802.2174704832432</v>
      </c>
      <c r="CB45" s="106">
        <v>10</v>
      </c>
      <c r="CC45" s="106">
        <v>10403.999999999998</v>
      </c>
      <c r="CD45" s="106">
        <v>14</v>
      </c>
      <c r="CE45" s="106">
        <v>14565.599999999999</v>
      </c>
      <c r="CF45" s="106">
        <v>15</v>
      </c>
      <c r="CG45" s="106">
        <v>15605.999999999998</v>
      </c>
      <c r="CH45" s="106">
        <v>8</v>
      </c>
      <c r="CI45" s="106">
        <v>8323.1999999999989</v>
      </c>
      <c r="CJ45" s="106">
        <v>13</v>
      </c>
      <c r="CK45" s="106">
        <v>13525.199999999999</v>
      </c>
      <c r="CL45" s="106">
        <v>12</v>
      </c>
      <c r="CM45" s="106">
        <v>12484.8</v>
      </c>
      <c r="CN45" s="106">
        <v>14</v>
      </c>
      <c r="CO45" s="106">
        <v>14565.599999999999</v>
      </c>
      <c r="CP45" s="106">
        <v>14</v>
      </c>
      <c r="CQ45" s="106">
        <v>14565.599999999999</v>
      </c>
      <c r="CR45" s="106">
        <v>12</v>
      </c>
      <c r="CS45" s="106">
        <v>12484.8</v>
      </c>
      <c r="CT45" s="106">
        <v>11</v>
      </c>
      <c r="CU45" s="106">
        <v>11444.399999999998</v>
      </c>
    </row>
    <row r="46" spans="2:99" x14ac:dyDescent="0.2">
      <c r="C46" s="105" t="s">
        <v>212</v>
      </c>
      <c r="D46" s="106">
        <v>16</v>
      </c>
      <c r="E46" s="106">
        <v>16281.599999999997</v>
      </c>
      <c r="F46" s="106">
        <v>11</v>
      </c>
      <c r="G46" s="106">
        <v>11193.599999999999</v>
      </c>
      <c r="H46" s="106">
        <v>12</v>
      </c>
      <c r="I46" s="106">
        <v>12211.199999999997</v>
      </c>
      <c r="J46" s="106">
        <v>12</v>
      </c>
      <c r="K46" s="106">
        <v>12211.199999999997</v>
      </c>
      <c r="L46" s="106">
        <v>10</v>
      </c>
      <c r="M46" s="106">
        <v>10175.999999999998</v>
      </c>
      <c r="N46" s="106">
        <v>14</v>
      </c>
      <c r="O46" s="106">
        <v>14246.399999999998</v>
      </c>
      <c r="P46" s="106">
        <v>11</v>
      </c>
      <c r="Q46" s="106">
        <v>11193.599999999999</v>
      </c>
      <c r="R46" s="106">
        <v>10</v>
      </c>
      <c r="S46" s="106">
        <v>10175.999999999998</v>
      </c>
      <c r="T46" s="106">
        <v>10</v>
      </c>
      <c r="U46" s="106">
        <v>10175.999999999998</v>
      </c>
      <c r="V46" s="106">
        <v>10</v>
      </c>
      <c r="W46" s="106">
        <v>10175.999999999998</v>
      </c>
      <c r="X46" s="106">
        <v>15</v>
      </c>
      <c r="Y46" s="106">
        <v>15263.999999999996</v>
      </c>
      <c r="Z46" s="106">
        <v>9</v>
      </c>
      <c r="AA46" s="106">
        <v>9158.3999999999978</v>
      </c>
      <c r="AB46" s="106">
        <v>21</v>
      </c>
      <c r="AC46" s="106">
        <v>21369.599999999995</v>
      </c>
      <c r="AD46" s="106">
        <v>18</v>
      </c>
      <c r="AE46" s="106">
        <v>18316.799999999996</v>
      </c>
      <c r="AF46" s="106">
        <v>37</v>
      </c>
      <c r="AG46" s="106">
        <v>37651.19999999999</v>
      </c>
      <c r="AH46" s="106">
        <v>19</v>
      </c>
      <c r="AI46" s="106">
        <v>19334.399999999998</v>
      </c>
      <c r="AJ46" s="106">
        <v>22</v>
      </c>
      <c r="AK46" s="106">
        <v>22387.199999999997</v>
      </c>
      <c r="AL46" s="106">
        <v>25</v>
      </c>
      <c r="AM46" s="106">
        <v>25439.999999999996</v>
      </c>
      <c r="AN46" s="106">
        <v>27</v>
      </c>
      <c r="AO46" s="106">
        <v>27475.199999999993</v>
      </c>
      <c r="AP46" s="106">
        <v>24</v>
      </c>
      <c r="AQ46" s="106">
        <v>24422.399999999994</v>
      </c>
      <c r="AR46" s="106">
        <v>30</v>
      </c>
      <c r="AS46" s="106">
        <v>30527.999999999993</v>
      </c>
      <c r="AT46" s="106">
        <v>44</v>
      </c>
      <c r="AU46" s="106">
        <v>44774.399999999994</v>
      </c>
      <c r="AV46" s="106">
        <v>41.070020153134493</v>
      </c>
      <c r="AW46" s="106">
        <v>41792.852507829652</v>
      </c>
      <c r="AX46" s="106">
        <v>19.126142473432775</v>
      </c>
      <c r="AY46" s="106">
        <v>19462.762580965187</v>
      </c>
      <c r="AZ46" s="106">
        <v>25</v>
      </c>
      <c r="BA46" s="106">
        <v>25439.999999999996</v>
      </c>
      <c r="BB46" s="106">
        <v>27</v>
      </c>
      <c r="BC46" s="106">
        <v>27475.199999999993</v>
      </c>
      <c r="BD46" s="106">
        <v>20</v>
      </c>
      <c r="BE46" s="106">
        <v>20351.999999999996</v>
      </c>
      <c r="BF46" s="106">
        <v>24</v>
      </c>
      <c r="BG46" s="106">
        <v>24422.399999999994</v>
      </c>
      <c r="BH46" s="106">
        <v>22</v>
      </c>
      <c r="BI46" s="106">
        <v>22387.199999999997</v>
      </c>
      <c r="BJ46" s="106">
        <v>18</v>
      </c>
      <c r="BK46" s="106">
        <v>18316.799999999996</v>
      </c>
      <c r="BL46" s="106">
        <v>23</v>
      </c>
      <c r="BM46" s="106">
        <v>23404.799999999996</v>
      </c>
      <c r="BN46" s="106">
        <v>29</v>
      </c>
      <c r="BO46" s="106">
        <v>29510.399999999994</v>
      </c>
      <c r="BP46" s="106">
        <v>22</v>
      </c>
      <c r="BQ46" s="106">
        <v>22387.199999999997</v>
      </c>
      <c r="BR46" s="106">
        <v>26</v>
      </c>
      <c r="BS46" s="106">
        <v>26457.599999999995</v>
      </c>
      <c r="BT46" s="106">
        <v>26.305958488983777</v>
      </c>
      <c r="BU46" s="106">
        <v>26768.943358389886</v>
      </c>
      <c r="BV46" s="106">
        <v>19.987346415759443</v>
      </c>
      <c r="BW46" s="106">
        <v>20339.123712676806</v>
      </c>
      <c r="BX46" s="106">
        <v>3.8207391925449494</v>
      </c>
      <c r="BY46" s="106">
        <v>3887.9842023337396</v>
      </c>
      <c r="BZ46" s="106">
        <v>9.4215854195340683</v>
      </c>
      <c r="CA46" s="106">
        <v>9587.4053229178662</v>
      </c>
      <c r="CB46" s="106">
        <v>10</v>
      </c>
      <c r="CC46" s="106">
        <v>10175.999999999998</v>
      </c>
      <c r="CD46" s="106">
        <v>13</v>
      </c>
      <c r="CE46" s="106">
        <v>13228.799999999997</v>
      </c>
      <c r="CF46" s="106">
        <v>15</v>
      </c>
      <c r="CG46" s="106">
        <v>15263.999999999996</v>
      </c>
      <c r="CH46" s="106">
        <v>9</v>
      </c>
      <c r="CI46" s="106">
        <v>9158.3999999999978</v>
      </c>
      <c r="CJ46" s="106">
        <v>13</v>
      </c>
      <c r="CK46" s="106">
        <v>13228.799999999997</v>
      </c>
      <c r="CL46" s="106">
        <v>13</v>
      </c>
      <c r="CM46" s="106">
        <v>13228.799999999997</v>
      </c>
      <c r="CN46" s="106">
        <v>13</v>
      </c>
      <c r="CO46" s="106">
        <v>13228.799999999997</v>
      </c>
      <c r="CP46" s="106">
        <v>13</v>
      </c>
      <c r="CQ46" s="106">
        <v>13228.799999999997</v>
      </c>
      <c r="CR46" s="106">
        <v>14</v>
      </c>
      <c r="CS46" s="106">
        <v>14246.399999999998</v>
      </c>
      <c r="CT46" s="106">
        <v>10</v>
      </c>
      <c r="CU46" s="106">
        <v>10175.999999999998</v>
      </c>
    </row>
    <row r="47" spans="2:99" x14ac:dyDescent="0.2">
      <c r="C47" s="105" t="s">
        <v>213</v>
      </c>
      <c r="D47" s="106">
        <v>14</v>
      </c>
      <c r="E47" s="106">
        <v>18446.399999999998</v>
      </c>
      <c r="F47" s="106">
        <v>12</v>
      </c>
      <c r="G47" s="106">
        <v>15811.199999999999</v>
      </c>
      <c r="H47" s="106">
        <v>11</v>
      </c>
      <c r="I47" s="106">
        <v>14493.599999999999</v>
      </c>
      <c r="J47" s="106">
        <v>11</v>
      </c>
      <c r="K47" s="106">
        <v>14493.599999999999</v>
      </c>
      <c r="L47" s="106">
        <v>11</v>
      </c>
      <c r="M47" s="106">
        <v>14493.599999999999</v>
      </c>
      <c r="N47" s="106">
        <v>14</v>
      </c>
      <c r="O47" s="106">
        <v>18446.399999999998</v>
      </c>
      <c r="P47" s="106">
        <v>11</v>
      </c>
      <c r="Q47" s="106">
        <v>14493.599999999999</v>
      </c>
      <c r="R47" s="106">
        <v>10</v>
      </c>
      <c r="S47" s="106">
        <v>13176</v>
      </c>
      <c r="T47" s="106">
        <v>10</v>
      </c>
      <c r="U47" s="106">
        <v>13176</v>
      </c>
      <c r="V47" s="106">
        <v>9</v>
      </c>
      <c r="W47" s="106">
        <v>11858.4</v>
      </c>
      <c r="X47" s="106">
        <v>14</v>
      </c>
      <c r="Y47" s="106">
        <v>18446.399999999998</v>
      </c>
      <c r="Z47" s="106">
        <v>8</v>
      </c>
      <c r="AA47" s="106">
        <v>10540.8</v>
      </c>
      <c r="AB47" s="106">
        <v>20</v>
      </c>
      <c r="AC47" s="106">
        <v>26352</v>
      </c>
      <c r="AD47" s="106">
        <v>18</v>
      </c>
      <c r="AE47" s="106">
        <v>23716.799999999999</v>
      </c>
      <c r="AF47" s="106">
        <v>36</v>
      </c>
      <c r="AG47" s="106">
        <v>47433.599999999999</v>
      </c>
      <c r="AH47" s="106">
        <v>20</v>
      </c>
      <c r="AI47" s="106">
        <v>26352</v>
      </c>
      <c r="AJ47" s="106">
        <v>21</v>
      </c>
      <c r="AK47" s="106">
        <v>27669.599999999999</v>
      </c>
      <c r="AL47" s="106">
        <v>25</v>
      </c>
      <c r="AM47" s="106">
        <v>32940</v>
      </c>
      <c r="AN47" s="106">
        <v>26</v>
      </c>
      <c r="AO47" s="106">
        <v>34257.599999999999</v>
      </c>
      <c r="AP47" s="106">
        <v>22</v>
      </c>
      <c r="AQ47" s="106">
        <v>28987.199999999997</v>
      </c>
      <c r="AR47" s="106">
        <v>28</v>
      </c>
      <c r="AS47" s="106">
        <v>36892.799999999996</v>
      </c>
      <c r="AT47" s="106">
        <v>43</v>
      </c>
      <c r="AU47" s="106">
        <v>56656.799999999996</v>
      </c>
      <c r="AV47" s="106">
        <v>34.225016794278744</v>
      </c>
      <c r="AW47" s="106">
        <v>45094.882128141668</v>
      </c>
      <c r="AX47" s="106">
        <v>19.923065076492477</v>
      </c>
      <c r="AY47" s="106">
        <v>26250.630544786487</v>
      </c>
      <c r="AZ47" s="106">
        <v>22</v>
      </c>
      <c r="BA47" s="106">
        <v>28987.199999999997</v>
      </c>
      <c r="BB47" s="106">
        <v>26</v>
      </c>
      <c r="BC47" s="106">
        <v>34257.599999999999</v>
      </c>
      <c r="BD47" s="106">
        <v>17</v>
      </c>
      <c r="BE47" s="106">
        <v>22399.199999999997</v>
      </c>
      <c r="BF47" s="106">
        <v>24</v>
      </c>
      <c r="BG47" s="106">
        <v>31622.399999999998</v>
      </c>
      <c r="BH47" s="106">
        <v>20</v>
      </c>
      <c r="BI47" s="106">
        <v>26352</v>
      </c>
      <c r="BJ47" s="106">
        <v>18</v>
      </c>
      <c r="BK47" s="106">
        <v>23716.799999999999</v>
      </c>
      <c r="BL47" s="106">
        <v>22</v>
      </c>
      <c r="BM47" s="106">
        <v>28987.199999999997</v>
      </c>
      <c r="BN47" s="106">
        <v>27</v>
      </c>
      <c r="BO47" s="106">
        <v>35575.199999999997</v>
      </c>
      <c r="BP47" s="106">
        <v>19</v>
      </c>
      <c r="BQ47" s="106">
        <v>25034.399999999998</v>
      </c>
      <c r="BR47" s="106">
        <v>29</v>
      </c>
      <c r="BS47" s="106">
        <v>38210.399999999994</v>
      </c>
      <c r="BT47" s="106">
        <v>26.305958488983777</v>
      </c>
      <c r="BU47" s="106">
        <v>34660.730905085024</v>
      </c>
      <c r="BV47" s="106">
        <v>19.298127573836705</v>
      </c>
      <c r="BW47" s="106">
        <v>25427.212891287239</v>
      </c>
      <c r="BX47" s="106">
        <v>3.8207391925449494</v>
      </c>
      <c r="BY47" s="106">
        <v>5034.2059600972252</v>
      </c>
      <c r="BZ47" s="106">
        <v>9.4215854195340683</v>
      </c>
      <c r="CA47" s="106">
        <v>12413.880948778087</v>
      </c>
      <c r="CB47" s="106">
        <v>9</v>
      </c>
      <c r="CC47" s="106">
        <v>11858.4</v>
      </c>
      <c r="CD47" s="106">
        <v>13</v>
      </c>
      <c r="CE47" s="106">
        <v>17128.8</v>
      </c>
      <c r="CF47" s="106">
        <v>14</v>
      </c>
      <c r="CG47" s="106">
        <v>18446.399999999998</v>
      </c>
      <c r="CH47" s="106">
        <v>8</v>
      </c>
      <c r="CI47" s="106">
        <v>10540.8</v>
      </c>
      <c r="CJ47" s="106">
        <v>12</v>
      </c>
      <c r="CK47" s="106">
        <v>15811.199999999999</v>
      </c>
      <c r="CL47" s="106">
        <v>11</v>
      </c>
      <c r="CM47" s="106">
        <v>14493.599999999999</v>
      </c>
      <c r="CN47" s="106">
        <v>14</v>
      </c>
      <c r="CO47" s="106">
        <v>18446.399999999998</v>
      </c>
      <c r="CP47" s="106">
        <v>15</v>
      </c>
      <c r="CQ47" s="106">
        <v>19764</v>
      </c>
      <c r="CR47" s="106">
        <v>12</v>
      </c>
      <c r="CS47" s="106">
        <v>15811.199999999999</v>
      </c>
      <c r="CT47" s="106">
        <v>12</v>
      </c>
      <c r="CU47" s="106">
        <v>15811.199999999999</v>
      </c>
    </row>
    <row r="48" spans="2:99" x14ac:dyDescent="0.2">
      <c r="C48" s="105" t="s">
        <v>214</v>
      </c>
      <c r="D48" s="106">
        <v>15</v>
      </c>
      <c r="E48" s="106">
        <v>9864</v>
      </c>
      <c r="F48" s="106">
        <v>12</v>
      </c>
      <c r="G48" s="106">
        <v>7891.2000000000007</v>
      </c>
      <c r="H48" s="106">
        <v>14</v>
      </c>
      <c r="I48" s="106">
        <v>9206.4</v>
      </c>
      <c r="J48" s="106">
        <v>12</v>
      </c>
      <c r="K48" s="106">
        <v>7891.2000000000007</v>
      </c>
      <c r="L48" s="106">
        <v>12</v>
      </c>
      <c r="M48" s="106">
        <v>7891.2000000000007</v>
      </c>
      <c r="N48" s="106">
        <v>15</v>
      </c>
      <c r="O48" s="106">
        <v>9864</v>
      </c>
      <c r="P48" s="106">
        <v>11</v>
      </c>
      <c r="Q48" s="106">
        <v>7233.6</v>
      </c>
      <c r="R48" s="106">
        <v>10</v>
      </c>
      <c r="S48" s="106">
        <v>6576</v>
      </c>
      <c r="T48" s="106">
        <v>11</v>
      </c>
      <c r="U48" s="106">
        <v>7233.6</v>
      </c>
      <c r="V48" s="106">
        <v>9</v>
      </c>
      <c r="W48" s="106">
        <v>5918.4000000000005</v>
      </c>
      <c r="X48" s="106">
        <v>15</v>
      </c>
      <c r="Y48" s="106">
        <v>9864</v>
      </c>
      <c r="Z48" s="106">
        <v>10</v>
      </c>
      <c r="AA48" s="106">
        <v>6576</v>
      </c>
      <c r="AB48" s="106">
        <v>23</v>
      </c>
      <c r="AC48" s="106">
        <v>15124.800000000001</v>
      </c>
      <c r="AD48" s="106">
        <v>19</v>
      </c>
      <c r="AE48" s="106">
        <v>12494.4</v>
      </c>
      <c r="AF48" s="106">
        <v>36</v>
      </c>
      <c r="AG48" s="106">
        <v>23673.600000000002</v>
      </c>
      <c r="AH48" s="106">
        <v>18</v>
      </c>
      <c r="AI48" s="106">
        <v>11836.800000000001</v>
      </c>
      <c r="AJ48" s="106">
        <v>23</v>
      </c>
      <c r="AK48" s="106">
        <v>15124.800000000001</v>
      </c>
      <c r="AL48" s="106">
        <v>25</v>
      </c>
      <c r="AM48" s="106">
        <v>16440</v>
      </c>
      <c r="AN48" s="106">
        <v>25</v>
      </c>
      <c r="AO48" s="106">
        <v>16440</v>
      </c>
      <c r="AP48" s="106">
        <v>24</v>
      </c>
      <c r="AQ48" s="106">
        <v>15782.400000000001</v>
      </c>
      <c r="AR48" s="106">
        <v>32</v>
      </c>
      <c r="AS48" s="106">
        <v>21043.200000000001</v>
      </c>
      <c r="AT48" s="106">
        <v>49</v>
      </c>
      <c r="AU48" s="106">
        <v>32222.400000000001</v>
      </c>
      <c r="AV48" s="106">
        <v>44.981450643909199</v>
      </c>
      <c r="AW48" s="106">
        <v>29579.80194343469</v>
      </c>
      <c r="AX48" s="106">
        <v>22.313832885671573</v>
      </c>
      <c r="AY48" s="106">
        <v>14673.576505617628</v>
      </c>
      <c r="AZ48" s="106">
        <v>24</v>
      </c>
      <c r="BA48" s="106">
        <v>15782.400000000001</v>
      </c>
      <c r="BB48" s="106">
        <v>29</v>
      </c>
      <c r="BC48" s="106">
        <v>19070.400000000001</v>
      </c>
      <c r="BD48" s="106">
        <v>18</v>
      </c>
      <c r="BE48" s="106">
        <v>11836.800000000001</v>
      </c>
      <c r="BF48" s="106">
        <v>30</v>
      </c>
      <c r="BG48" s="106">
        <v>19728</v>
      </c>
      <c r="BH48" s="106">
        <v>25</v>
      </c>
      <c r="BI48" s="106">
        <v>16440</v>
      </c>
      <c r="BJ48" s="106">
        <v>18</v>
      </c>
      <c r="BK48" s="106">
        <v>11836.800000000001</v>
      </c>
      <c r="BL48" s="106">
        <v>24</v>
      </c>
      <c r="BM48" s="106">
        <v>15782.400000000001</v>
      </c>
      <c r="BN48" s="106">
        <v>27</v>
      </c>
      <c r="BO48" s="106">
        <v>17755.2</v>
      </c>
      <c r="BP48" s="106">
        <v>24</v>
      </c>
      <c r="BQ48" s="106">
        <v>15782.400000000001</v>
      </c>
      <c r="BR48" s="106">
        <v>28</v>
      </c>
      <c r="BS48" s="106">
        <v>18412.8</v>
      </c>
      <c r="BT48" s="106">
        <v>26.305958488983777</v>
      </c>
      <c r="BU48" s="106">
        <v>17298.798302355732</v>
      </c>
      <c r="BV48" s="106">
        <v>19.987346415759443</v>
      </c>
      <c r="BW48" s="106">
        <v>13143.67900300341</v>
      </c>
      <c r="BX48" s="106">
        <v>4.2452657694943881</v>
      </c>
      <c r="BY48" s="106">
        <v>2791.6867700195098</v>
      </c>
      <c r="BZ48" s="106">
        <v>8.6364533012395626</v>
      </c>
      <c r="CA48" s="106">
        <v>5679.3316908951365</v>
      </c>
      <c r="CB48" s="106">
        <v>9</v>
      </c>
      <c r="CC48" s="106">
        <v>5918.4000000000005</v>
      </c>
      <c r="CD48" s="106">
        <v>13</v>
      </c>
      <c r="CE48" s="106">
        <v>8548.8000000000011</v>
      </c>
      <c r="CF48" s="106">
        <v>14</v>
      </c>
      <c r="CG48" s="106">
        <v>9206.4</v>
      </c>
      <c r="CH48" s="106">
        <v>8</v>
      </c>
      <c r="CI48" s="106">
        <v>5260.8</v>
      </c>
      <c r="CJ48" s="106">
        <v>14</v>
      </c>
      <c r="CK48" s="106">
        <v>9206.4</v>
      </c>
      <c r="CL48" s="106">
        <v>13</v>
      </c>
      <c r="CM48" s="106">
        <v>8548.8000000000011</v>
      </c>
      <c r="CN48" s="106">
        <v>16</v>
      </c>
      <c r="CO48" s="106">
        <v>10521.6</v>
      </c>
      <c r="CP48" s="106">
        <v>16</v>
      </c>
      <c r="CQ48" s="106">
        <v>10521.6</v>
      </c>
      <c r="CR48" s="106">
        <v>14</v>
      </c>
      <c r="CS48" s="106">
        <v>9206.4</v>
      </c>
      <c r="CT48" s="106">
        <v>12</v>
      </c>
      <c r="CU48" s="106">
        <v>7891.2000000000007</v>
      </c>
    </row>
    <row r="49" spans="2:99" x14ac:dyDescent="0.2">
      <c r="B49" s="105" t="s">
        <v>129</v>
      </c>
      <c r="C49" s="105" t="s">
        <v>215</v>
      </c>
      <c r="D49" s="106">
        <v>12</v>
      </c>
      <c r="E49" s="106">
        <v>4046.3999999999996</v>
      </c>
      <c r="F49" s="106">
        <v>8</v>
      </c>
      <c r="G49" s="106">
        <v>2697.6</v>
      </c>
      <c r="H49" s="106">
        <v>12</v>
      </c>
      <c r="I49" s="106">
        <v>4046.3999999999996</v>
      </c>
      <c r="J49" s="106">
        <v>8</v>
      </c>
      <c r="K49" s="106">
        <v>2697.6</v>
      </c>
      <c r="L49" s="106">
        <v>11</v>
      </c>
      <c r="M49" s="106">
        <v>3709.2</v>
      </c>
      <c r="N49" s="106">
        <v>10</v>
      </c>
      <c r="O49" s="106">
        <v>3372</v>
      </c>
      <c r="P49" s="106">
        <v>14</v>
      </c>
      <c r="Q49" s="106">
        <v>4720.8</v>
      </c>
      <c r="R49" s="106">
        <v>11</v>
      </c>
      <c r="S49" s="106">
        <v>3709.2</v>
      </c>
      <c r="T49" s="106">
        <v>28</v>
      </c>
      <c r="U49" s="106">
        <v>9441.6</v>
      </c>
      <c r="V49" s="106">
        <v>23</v>
      </c>
      <c r="W49" s="106">
        <v>7755.5999999999995</v>
      </c>
      <c r="X49" s="106">
        <v>27</v>
      </c>
      <c r="Y49" s="106">
        <v>9104.4</v>
      </c>
      <c r="Z49" s="106">
        <v>23</v>
      </c>
      <c r="AA49" s="106">
        <v>7755.5999999999995</v>
      </c>
      <c r="AB49" s="106">
        <v>22</v>
      </c>
      <c r="AC49" s="106">
        <v>7418.4</v>
      </c>
      <c r="AD49" s="106">
        <v>20</v>
      </c>
      <c r="AE49" s="106">
        <v>6744</v>
      </c>
      <c r="AF49" s="106">
        <v>31</v>
      </c>
      <c r="AG49" s="106">
        <v>10453.199999999999</v>
      </c>
      <c r="AH49" s="106">
        <v>29</v>
      </c>
      <c r="AI49" s="106">
        <v>9778.7999999999993</v>
      </c>
      <c r="AJ49" s="106">
        <v>37</v>
      </c>
      <c r="AK49" s="106">
        <v>12476.4</v>
      </c>
      <c r="AL49" s="106">
        <v>38</v>
      </c>
      <c r="AM49" s="106">
        <v>12813.6</v>
      </c>
      <c r="AN49" s="106">
        <v>24</v>
      </c>
      <c r="AO49" s="106">
        <v>8092.7999999999993</v>
      </c>
      <c r="AP49" s="106">
        <v>29</v>
      </c>
      <c r="AQ49" s="106">
        <v>9778.7999999999993</v>
      </c>
      <c r="AR49" s="106">
        <v>13</v>
      </c>
      <c r="AS49" s="106">
        <v>4383.5999999999995</v>
      </c>
      <c r="AT49" s="106">
        <v>11</v>
      </c>
      <c r="AU49" s="106">
        <v>3709.2</v>
      </c>
      <c r="AV49" s="106">
        <v>15</v>
      </c>
      <c r="AW49" s="106">
        <v>5058</v>
      </c>
      <c r="AX49" s="106">
        <v>17</v>
      </c>
      <c r="AY49" s="106">
        <v>5732.4</v>
      </c>
      <c r="AZ49" s="106">
        <v>14</v>
      </c>
      <c r="BA49" s="106">
        <v>4720.8</v>
      </c>
      <c r="BB49" s="106">
        <v>9</v>
      </c>
      <c r="BC49" s="106">
        <v>3034.7999999999997</v>
      </c>
      <c r="BD49" s="106">
        <v>13</v>
      </c>
      <c r="BE49" s="106">
        <v>4383.5999999999995</v>
      </c>
      <c r="BF49" s="106">
        <v>15</v>
      </c>
      <c r="BG49" s="106">
        <v>5058</v>
      </c>
      <c r="BH49" s="106">
        <v>14</v>
      </c>
      <c r="BI49" s="106">
        <v>4720.8</v>
      </c>
      <c r="BJ49" s="106">
        <v>9</v>
      </c>
      <c r="BK49" s="106">
        <v>3034.7999999999997</v>
      </c>
      <c r="BL49" s="106">
        <v>13</v>
      </c>
      <c r="BM49" s="106">
        <v>4383.5999999999995</v>
      </c>
      <c r="BN49" s="106">
        <v>11</v>
      </c>
      <c r="BO49" s="106">
        <v>3709.2</v>
      </c>
      <c r="BP49" s="106">
        <v>18</v>
      </c>
      <c r="BQ49" s="106">
        <v>6069.5999999999995</v>
      </c>
      <c r="BR49" s="106">
        <v>29</v>
      </c>
      <c r="BS49" s="106">
        <v>9778.7999999999993</v>
      </c>
      <c r="BT49" s="106">
        <v>26</v>
      </c>
      <c r="BU49" s="106">
        <v>8767.1999999999989</v>
      </c>
      <c r="BV49" s="106">
        <v>17</v>
      </c>
      <c r="BW49" s="106">
        <v>5732.4</v>
      </c>
      <c r="BX49" s="106">
        <v>7</v>
      </c>
      <c r="BY49" s="106">
        <v>2360.4</v>
      </c>
      <c r="BZ49" s="106">
        <v>7</v>
      </c>
      <c r="CA49" s="106">
        <v>2360.4</v>
      </c>
      <c r="CB49" s="106">
        <v>8</v>
      </c>
      <c r="CC49" s="106">
        <v>2697.6</v>
      </c>
      <c r="CD49" s="106">
        <v>13</v>
      </c>
      <c r="CE49" s="106">
        <v>4383.5999999999995</v>
      </c>
      <c r="CF49" s="106">
        <v>19</v>
      </c>
      <c r="CG49" s="106">
        <v>6406.8</v>
      </c>
      <c r="CH49" s="106">
        <v>25</v>
      </c>
      <c r="CI49" s="106">
        <v>8430</v>
      </c>
      <c r="CJ49" s="106">
        <v>29</v>
      </c>
      <c r="CK49" s="106">
        <v>9778.7999999999993</v>
      </c>
      <c r="CL49" s="106">
        <v>25</v>
      </c>
      <c r="CM49" s="106">
        <v>8430</v>
      </c>
      <c r="CN49" s="106">
        <v>18</v>
      </c>
      <c r="CO49" s="106">
        <v>6069.5999999999995</v>
      </c>
      <c r="CP49" s="106">
        <v>18</v>
      </c>
      <c r="CQ49" s="106">
        <v>6069.5999999999995</v>
      </c>
      <c r="CR49" s="106">
        <v>24</v>
      </c>
      <c r="CS49" s="106">
        <v>8092.7999999999993</v>
      </c>
      <c r="CT49" s="106">
        <v>15</v>
      </c>
      <c r="CU49" s="106">
        <v>5058</v>
      </c>
    </row>
    <row r="50" spans="2:99" x14ac:dyDescent="0.2">
      <c r="C50" s="105" t="s">
        <v>216</v>
      </c>
      <c r="D50" s="106">
        <v>12</v>
      </c>
      <c r="E50" s="106">
        <v>4636.7999999999993</v>
      </c>
      <c r="F50" s="106">
        <v>8</v>
      </c>
      <c r="G50" s="106">
        <v>3091.2</v>
      </c>
      <c r="H50" s="106">
        <v>11</v>
      </c>
      <c r="I50" s="106">
        <v>4250.3999999999996</v>
      </c>
      <c r="J50" s="106">
        <v>9</v>
      </c>
      <c r="K50" s="106">
        <v>3477.6</v>
      </c>
      <c r="L50" s="106">
        <v>12</v>
      </c>
      <c r="M50" s="106">
        <v>4636.7999999999993</v>
      </c>
      <c r="N50" s="106">
        <v>10</v>
      </c>
      <c r="O50" s="106">
        <v>3864</v>
      </c>
      <c r="P50" s="106">
        <v>13</v>
      </c>
      <c r="Q50" s="106">
        <v>5023.2</v>
      </c>
      <c r="R50" s="106">
        <v>12</v>
      </c>
      <c r="S50" s="106">
        <v>4636.7999999999993</v>
      </c>
      <c r="T50" s="106">
        <v>25</v>
      </c>
      <c r="U50" s="106">
        <v>9660</v>
      </c>
      <c r="V50" s="106">
        <v>22</v>
      </c>
      <c r="W50" s="106">
        <v>8500.7999999999993</v>
      </c>
      <c r="X50" s="106">
        <v>32</v>
      </c>
      <c r="Y50" s="106">
        <v>12364.8</v>
      </c>
      <c r="Z50" s="106">
        <v>22</v>
      </c>
      <c r="AA50" s="106">
        <v>8500.7999999999993</v>
      </c>
      <c r="AB50" s="106">
        <v>19</v>
      </c>
      <c r="AC50" s="106">
        <v>7341.5999999999995</v>
      </c>
      <c r="AD50" s="106">
        <v>23</v>
      </c>
      <c r="AE50" s="106">
        <v>8887.1999999999989</v>
      </c>
      <c r="AF50" s="106">
        <v>31</v>
      </c>
      <c r="AG50" s="106">
        <v>11978.4</v>
      </c>
      <c r="AH50" s="106">
        <v>28</v>
      </c>
      <c r="AI50" s="106">
        <v>10819.199999999999</v>
      </c>
      <c r="AJ50" s="106">
        <v>43</v>
      </c>
      <c r="AK50" s="106">
        <v>16615.2</v>
      </c>
      <c r="AL50" s="106">
        <v>34</v>
      </c>
      <c r="AM50" s="106">
        <v>13137.599999999999</v>
      </c>
      <c r="AN50" s="106">
        <v>20</v>
      </c>
      <c r="AO50" s="106">
        <v>7728</v>
      </c>
      <c r="AP50" s="106">
        <v>27</v>
      </c>
      <c r="AQ50" s="106">
        <v>10432.799999999999</v>
      </c>
      <c r="AR50" s="106">
        <v>14</v>
      </c>
      <c r="AS50" s="106">
        <v>5409.5999999999995</v>
      </c>
      <c r="AT50" s="106">
        <v>12</v>
      </c>
      <c r="AU50" s="106">
        <v>4636.7999999999993</v>
      </c>
      <c r="AV50" s="106">
        <v>13.690006717711496</v>
      </c>
      <c r="AW50" s="106">
        <v>5289.818595723722</v>
      </c>
      <c r="AX50" s="106">
        <v>11.953839045895485</v>
      </c>
      <c r="AY50" s="106">
        <v>4618.9634073340148</v>
      </c>
      <c r="AZ50" s="106">
        <v>14</v>
      </c>
      <c r="BA50" s="106">
        <v>5409.5999999999995</v>
      </c>
      <c r="BB50" s="106">
        <v>9</v>
      </c>
      <c r="BC50" s="106">
        <v>3477.6</v>
      </c>
      <c r="BD50" s="106">
        <v>14</v>
      </c>
      <c r="BE50" s="106">
        <v>5409.5999999999995</v>
      </c>
      <c r="BF50" s="106">
        <v>13</v>
      </c>
      <c r="BG50" s="106">
        <v>5023.2</v>
      </c>
      <c r="BH50" s="106">
        <v>13</v>
      </c>
      <c r="BI50" s="106">
        <v>5023.2</v>
      </c>
      <c r="BJ50" s="106">
        <v>10</v>
      </c>
      <c r="BK50" s="106">
        <v>3864</v>
      </c>
      <c r="BL50" s="106">
        <v>13</v>
      </c>
      <c r="BM50" s="106">
        <v>5023.2</v>
      </c>
      <c r="BN50" s="106">
        <v>11</v>
      </c>
      <c r="BO50" s="106">
        <v>4250.3999999999996</v>
      </c>
      <c r="BP50" s="106">
        <v>19</v>
      </c>
      <c r="BQ50" s="106">
        <v>7341.5999999999995</v>
      </c>
      <c r="BR50" s="106">
        <v>30</v>
      </c>
      <c r="BS50" s="106">
        <v>11592</v>
      </c>
      <c r="BT50" s="106">
        <v>22.547964419128952</v>
      </c>
      <c r="BU50" s="106">
        <v>8712.533451551426</v>
      </c>
      <c r="BV50" s="106">
        <v>11.027501470763832</v>
      </c>
      <c r="BW50" s="106">
        <v>4261.0265683031448</v>
      </c>
      <c r="BX50" s="106">
        <v>2.5471594616966327</v>
      </c>
      <c r="BY50" s="106">
        <v>984.22241599957874</v>
      </c>
      <c r="BZ50" s="106">
        <v>6.2810569463560455</v>
      </c>
      <c r="CA50" s="106">
        <v>2427.0004040719759</v>
      </c>
      <c r="CB50" s="106">
        <v>7</v>
      </c>
      <c r="CC50" s="106">
        <v>2704.7999999999997</v>
      </c>
      <c r="CD50" s="106">
        <v>12</v>
      </c>
      <c r="CE50" s="106">
        <v>4636.7999999999993</v>
      </c>
      <c r="CF50" s="106">
        <v>20</v>
      </c>
      <c r="CG50" s="106">
        <v>7728</v>
      </c>
      <c r="CH50" s="106">
        <v>25</v>
      </c>
      <c r="CI50" s="106">
        <v>9660</v>
      </c>
      <c r="CJ50" s="106">
        <v>26</v>
      </c>
      <c r="CK50" s="106">
        <v>10046.4</v>
      </c>
      <c r="CL50" s="106">
        <v>26</v>
      </c>
      <c r="CM50" s="106">
        <v>10046.4</v>
      </c>
      <c r="CN50" s="106">
        <v>17</v>
      </c>
      <c r="CO50" s="106">
        <v>6568.7999999999993</v>
      </c>
      <c r="CP50" s="106">
        <v>17</v>
      </c>
      <c r="CQ50" s="106">
        <v>6568.7999999999993</v>
      </c>
      <c r="CR50" s="106">
        <v>25</v>
      </c>
      <c r="CS50" s="106">
        <v>9660</v>
      </c>
      <c r="CT50" s="106">
        <v>15</v>
      </c>
      <c r="CU50" s="106">
        <v>5796</v>
      </c>
    </row>
    <row r="51" spans="2:99" x14ac:dyDescent="0.2">
      <c r="C51" s="105" t="s">
        <v>217</v>
      </c>
      <c r="D51" s="106">
        <v>10</v>
      </c>
      <c r="E51" s="106">
        <v>7031.9999999999991</v>
      </c>
      <c r="F51" s="106">
        <v>8</v>
      </c>
      <c r="G51" s="106">
        <v>5625.5999999999995</v>
      </c>
      <c r="H51" s="106">
        <v>12</v>
      </c>
      <c r="I51" s="106">
        <v>8438.4</v>
      </c>
      <c r="J51" s="106">
        <v>8</v>
      </c>
      <c r="K51" s="106">
        <v>5625.5999999999995</v>
      </c>
      <c r="L51" s="106">
        <v>11</v>
      </c>
      <c r="M51" s="106">
        <v>7735.1999999999989</v>
      </c>
      <c r="N51" s="106">
        <v>11</v>
      </c>
      <c r="O51" s="106">
        <v>7735.1999999999989</v>
      </c>
      <c r="P51" s="106">
        <v>13</v>
      </c>
      <c r="Q51" s="106">
        <v>9141.5999999999985</v>
      </c>
      <c r="R51" s="106">
        <v>10</v>
      </c>
      <c r="S51" s="106">
        <v>7031.9999999999991</v>
      </c>
      <c r="T51" s="106">
        <v>25</v>
      </c>
      <c r="U51" s="106">
        <v>17580</v>
      </c>
      <c r="V51" s="106">
        <v>21</v>
      </c>
      <c r="W51" s="106">
        <v>14767.199999999999</v>
      </c>
      <c r="X51" s="106">
        <v>30</v>
      </c>
      <c r="Y51" s="106">
        <v>21095.999999999996</v>
      </c>
      <c r="Z51" s="106">
        <v>20</v>
      </c>
      <c r="AA51" s="106">
        <v>14063.999999999998</v>
      </c>
      <c r="AB51" s="106">
        <v>21</v>
      </c>
      <c r="AC51" s="106">
        <v>14767.199999999999</v>
      </c>
      <c r="AD51" s="106">
        <v>19</v>
      </c>
      <c r="AE51" s="106">
        <v>13360.8</v>
      </c>
      <c r="AF51" s="106">
        <v>28</v>
      </c>
      <c r="AG51" s="106">
        <v>19689.599999999999</v>
      </c>
      <c r="AH51" s="106">
        <v>30</v>
      </c>
      <c r="AI51" s="106">
        <v>21095.999999999996</v>
      </c>
      <c r="AJ51" s="106">
        <v>39</v>
      </c>
      <c r="AK51" s="106">
        <v>27424.799999999996</v>
      </c>
      <c r="AL51" s="106">
        <v>33</v>
      </c>
      <c r="AM51" s="106">
        <v>23205.599999999999</v>
      </c>
      <c r="AN51" s="106">
        <v>20</v>
      </c>
      <c r="AO51" s="106">
        <v>14063.999999999998</v>
      </c>
      <c r="AP51" s="106">
        <v>27</v>
      </c>
      <c r="AQ51" s="106">
        <v>18986.399999999998</v>
      </c>
      <c r="AR51" s="106">
        <v>12</v>
      </c>
      <c r="AS51" s="106">
        <v>8438.4</v>
      </c>
      <c r="AT51" s="106">
        <v>10</v>
      </c>
      <c r="AU51" s="106">
        <v>7031.9999999999991</v>
      </c>
      <c r="AV51" s="106">
        <v>13</v>
      </c>
      <c r="AW51" s="106">
        <v>9141.5999999999985</v>
      </c>
      <c r="AX51" s="106">
        <v>16</v>
      </c>
      <c r="AY51" s="106">
        <v>11251.199999999999</v>
      </c>
      <c r="AZ51" s="106">
        <v>13</v>
      </c>
      <c r="BA51" s="106">
        <v>9141.5999999999985</v>
      </c>
      <c r="BB51" s="106">
        <v>9</v>
      </c>
      <c r="BC51" s="106">
        <v>6328.7999999999993</v>
      </c>
      <c r="BD51" s="106">
        <v>12</v>
      </c>
      <c r="BE51" s="106">
        <v>8438.4</v>
      </c>
      <c r="BF51" s="106">
        <v>14</v>
      </c>
      <c r="BG51" s="106">
        <v>9844.7999999999993</v>
      </c>
      <c r="BH51" s="106">
        <v>12</v>
      </c>
      <c r="BI51" s="106">
        <v>8438.4</v>
      </c>
      <c r="BJ51" s="106">
        <v>10</v>
      </c>
      <c r="BK51" s="106">
        <v>7031.9999999999991</v>
      </c>
      <c r="BL51" s="106">
        <v>12</v>
      </c>
      <c r="BM51" s="106">
        <v>8438.4</v>
      </c>
      <c r="BN51" s="106">
        <v>11</v>
      </c>
      <c r="BO51" s="106">
        <v>7735.1999999999989</v>
      </c>
      <c r="BP51" s="106">
        <v>16</v>
      </c>
      <c r="BQ51" s="106">
        <v>11251.199999999999</v>
      </c>
      <c r="BR51" s="106">
        <v>27</v>
      </c>
      <c r="BS51" s="106">
        <v>18986.399999999998</v>
      </c>
      <c r="BT51" s="106">
        <v>25</v>
      </c>
      <c r="BU51" s="106">
        <v>17580</v>
      </c>
      <c r="BV51" s="106">
        <v>15</v>
      </c>
      <c r="BW51" s="106">
        <v>10547.999999999998</v>
      </c>
      <c r="BX51" s="106">
        <v>6</v>
      </c>
      <c r="BY51" s="106">
        <v>4219.2</v>
      </c>
      <c r="BZ51" s="106">
        <v>8</v>
      </c>
      <c r="CA51" s="106">
        <v>5625.5999999999995</v>
      </c>
      <c r="CB51" s="106">
        <v>7</v>
      </c>
      <c r="CC51" s="106">
        <v>4922.3999999999996</v>
      </c>
      <c r="CD51" s="106">
        <v>11</v>
      </c>
      <c r="CE51" s="106">
        <v>7735.1999999999989</v>
      </c>
      <c r="CF51" s="106">
        <v>19</v>
      </c>
      <c r="CG51" s="106">
        <v>13360.8</v>
      </c>
      <c r="CH51" s="106">
        <v>22</v>
      </c>
      <c r="CI51" s="106">
        <v>15470.399999999998</v>
      </c>
      <c r="CJ51" s="106">
        <v>28</v>
      </c>
      <c r="CK51" s="106">
        <v>19689.599999999999</v>
      </c>
      <c r="CL51" s="106">
        <v>28</v>
      </c>
      <c r="CM51" s="106">
        <v>19689.599999999999</v>
      </c>
      <c r="CN51" s="106">
        <v>15</v>
      </c>
      <c r="CO51" s="106">
        <v>10547.999999999998</v>
      </c>
      <c r="CP51" s="106">
        <v>15</v>
      </c>
      <c r="CQ51" s="106">
        <v>10547.999999999998</v>
      </c>
      <c r="CR51" s="106">
        <v>21</v>
      </c>
      <c r="CS51" s="106">
        <v>14767.199999999999</v>
      </c>
      <c r="CT51" s="106">
        <v>14</v>
      </c>
      <c r="CU51" s="106">
        <v>9844.7999999999993</v>
      </c>
    </row>
    <row r="52" spans="2:99" x14ac:dyDescent="0.2">
      <c r="C52" s="105" t="s">
        <v>218</v>
      </c>
      <c r="D52" s="106">
        <v>12</v>
      </c>
      <c r="E52" s="106">
        <v>7416</v>
      </c>
      <c r="F52" s="106">
        <v>9</v>
      </c>
      <c r="G52" s="106">
        <v>5562</v>
      </c>
      <c r="H52" s="106">
        <v>11</v>
      </c>
      <c r="I52" s="106">
        <v>6798</v>
      </c>
      <c r="J52" s="106">
        <v>8</v>
      </c>
      <c r="K52" s="106">
        <v>4944</v>
      </c>
      <c r="L52" s="106">
        <v>12</v>
      </c>
      <c r="M52" s="106">
        <v>7416</v>
      </c>
      <c r="N52" s="106">
        <v>11</v>
      </c>
      <c r="O52" s="106">
        <v>6798</v>
      </c>
      <c r="P52" s="106">
        <v>13</v>
      </c>
      <c r="Q52" s="106">
        <v>8034</v>
      </c>
      <c r="R52" s="106">
        <v>11</v>
      </c>
      <c r="S52" s="106">
        <v>6798</v>
      </c>
      <c r="T52" s="106">
        <v>22</v>
      </c>
      <c r="U52" s="106">
        <v>13596</v>
      </c>
      <c r="V52" s="106">
        <v>23</v>
      </c>
      <c r="W52" s="106">
        <v>14214</v>
      </c>
      <c r="X52" s="106">
        <v>27</v>
      </c>
      <c r="Y52" s="106">
        <v>16686</v>
      </c>
      <c r="Z52" s="106">
        <v>18</v>
      </c>
      <c r="AA52" s="106">
        <v>11124</v>
      </c>
      <c r="AB52" s="106">
        <v>19</v>
      </c>
      <c r="AC52" s="106">
        <v>11742</v>
      </c>
      <c r="AD52" s="106">
        <v>18</v>
      </c>
      <c r="AE52" s="106">
        <v>11124</v>
      </c>
      <c r="AF52" s="106">
        <v>27</v>
      </c>
      <c r="AG52" s="106">
        <v>16686</v>
      </c>
      <c r="AH52" s="106">
        <v>26</v>
      </c>
      <c r="AI52" s="106">
        <v>16068</v>
      </c>
      <c r="AJ52" s="106">
        <v>41</v>
      </c>
      <c r="AK52" s="106">
        <v>25338</v>
      </c>
      <c r="AL52" s="106">
        <v>36</v>
      </c>
      <c r="AM52" s="106">
        <v>22248</v>
      </c>
      <c r="AN52" s="106">
        <v>23</v>
      </c>
      <c r="AO52" s="106">
        <v>14214</v>
      </c>
      <c r="AP52" s="106">
        <v>28</v>
      </c>
      <c r="AQ52" s="106">
        <v>17304</v>
      </c>
      <c r="AR52" s="106">
        <v>12</v>
      </c>
      <c r="AS52" s="106">
        <v>7416</v>
      </c>
      <c r="AT52" s="106">
        <v>11</v>
      </c>
      <c r="AU52" s="106">
        <v>6798</v>
      </c>
      <c r="AV52" s="106">
        <v>11.73429147232414</v>
      </c>
      <c r="AW52" s="106">
        <v>7251.7921298963183</v>
      </c>
      <c r="AX52" s="106">
        <v>11.953839045895485</v>
      </c>
      <c r="AY52" s="106">
        <v>7387.4725303634095</v>
      </c>
      <c r="AZ52" s="106">
        <v>16</v>
      </c>
      <c r="BA52" s="106">
        <v>9888</v>
      </c>
      <c r="BB52" s="106">
        <v>9</v>
      </c>
      <c r="BC52" s="106">
        <v>5562</v>
      </c>
      <c r="BD52" s="106">
        <v>12</v>
      </c>
      <c r="BE52" s="106">
        <v>7416</v>
      </c>
      <c r="BF52" s="106">
        <v>15</v>
      </c>
      <c r="BG52" s="106">
        <v>9270</v>
      </c>
      <c r="BH52" s="106">
        <v>14</v>
      </c>
      <c r="BI52" s="106">
        <v>8652</v>
      </c>
      <c r="BJ52" s="106">
        <v>9</v>
      </c>
      <c r="BK52" s="106">
        <v>5562</v>
      </c>
      <c r="BL52" s="106">
        <v>13</v>
      </c>
      <c r="BM52" s="106">
        <v>8034</v>
      </c>
      <c r="BN52" s="106">
        <v>10</v>
      </c>
      <c r="BO52" s="106">
        <v>6180</v>
      </c>
      <c r="BP52" s="106">
        <v>16</v>
      </c>
      <c r="BQ52" s="106">
        <v>9888</v>
      </c>
      <c r="BR52" s="106">
        <v>27</v>
      </c>
      <c r="BS52" s="106">
        <v>16686</v>
      </c>
      <c r="BT52" s="106">
        <v>22.547964419128952</v>
      </c>
      <c r="BU52" s="106">
        <v>13934.642011021693</v>
      </c>
      <c r="BV52" s="106">
        <v>8.9598449449956128</v>
      </c>
      <c r="BW52" s="106">
        <v>5537.1841760072884</v>
      </c>
      <c r="BX52" s="106">
        <v>2.9716860386460713</v>
      </c>
      <c r="BY52" s="106">
        <v>1836.5019718832721</v>
      </c>
      <c r="BZ52" s="106">
        <v>6.2810569463560455</v>
      </c>
      <c r="CA52" s="106">
        <v>3881.6931928480362</v>
      </c>
      <c r="CB52" s="106">
        <v>7</v>
      </c>
      <c r="CC52" s="106">
        <v>4326</v>
      </c>
      <c r="CD52" s="106">
        <v>11</v>
      </c>
      <c r="CE52" s="106">
        <v>6798</v>
      </c>
      <c r="CF52" s="106">
        <v>20</v>
      </c>
      <c r="CG52" s="106">
        <v>12360</v>
      </c>
      <c r="CH52" s="106">
        <v>21</v>
      </c>
      <c r="CI52" s="106">
        <v>12978</v>
      </c>
      <c r="CJ52" s="106">
        <v>27</v>
      </c>
      <c r="CK52" s="106">
        <v>16686</v>
      </c>
      <c r="CL52" s="106">
        <v>25</v>
      </c>
      <c r="CM52" s="106">
        <v>15450</v>
      </c>
      <c r="CN52" s="106">
        <v>17</v>
      </c>
      <c r="CO52" s="106">
        <v>10506</v>
      </c>
      <c r="CP52" s="106">
        <v>15</v>
      </c>
      <c r="CQ52" s="106">
        <v>9270</v>
      </c>
      <c r="CR52" s="106">
        <v>21</v>
      </c>
      <c r="CS52" s="106">
        <v>12978</v>
      </c>
      <c r="CT52" s="106">
        <v>14</v>
      </c>
      <c r="CU52" s="106">
        <v>8652</v>
      </c>
    </row>
    <row r="53" spans="2:99" x14ac:dyDescent="0.2">
      <c r="C53" s="105" t="s">
        <v>219</v>
      </c>
      <c r="D53" s="106">
        <v>12</v>
      </c>
      <c r="E53" s="106">
        <v>5947.2</v>
      </c>
      <c r="F53" s="106">
        <v>9</v>
      </c>
      <c r="G53" s="106">
        <v>4460.3999999999996</v>
      </c>
      <c r="H53" s="106">
        <v>12</v>
      </c>
      <c r="I53" s="106">
        <v>5947.2</v>
      </c>
      <c r="J53" s="106">
        <v>8</v>
      </c>
      <c r="K53" s="106">
        <v>3964.7999999999997</v>
      </c>
      <c r="L53" s="106">
        <v>10</v>
      </c>
      <c r="M53" s="106">
        <v>4956</v>
      </c>
      <c r="N53" s="106">
        <v>11</v>
      </c>
      <c r="O53" s="106">
        <v>5451.5999999999995</v>
      </c>
      <c r="P53" s="106">
        <v>12</v>
      </c>
      <c r="Q53" s="106">
        <v>5947.2</v>
      </c>
      <c r="R53" s="106">
        <v>11</v>
      </c>
      <c r="S53" s="106">
        <v>5451.5999999999995</v>
      </c>
      <c r="T53" s="106">
        <v>27</v>
      </c>
      <c r="U53" s="106">
        <v>13381.199999999999</v>
      </c>
      <c r="V53" s="106">
        <v>24</v>
      </c>
      <c r="W53" s="106">
        <v>11894.4</v>
      </c>
      <c r="X53" s="106">
        <v>30</v>
      </c>
      <c r="Y53" s="106">
        <v>14867.999999999998</v>
      </c>
      <c r="Z53" s="106">
        <v>19</v>
      </c>
      <c r="AA53" s="106">
        <v>9416.4</v>
      </c>
      <c r="AB53" s="106">
        <v>21</v>
      </c>
      <c r="AC53" s="106">
        <v>10407.599999999999</v>
      </c>
      <c r="AD53" s="106">
        <v>21</v>
      </c>
      <c r="AE53" s="106">
        <v>10407.599999999999</v>
      </c>
      <c r="AF53" s="106">
        <v>29</v>
      </c>
      <c r="AG53" s="106">
        <v>14372.4</v>
      </c>
      <c r="AH53" s="106">
        <v>32</v>
      </c>
      <c r="AI53" s="106">
        <v>15859.199999999999</v>
      </c>
      <c r="AJ53" s="106">
        <v>42</v>
      </c>
      <c r="AK53" s="106">
        <v>20815.199999999997</v>
      </c>
      <c r="AL53" s="106">
        <v>37</v>
      </c>
      <c r="AM53" s="106">
        <v>18337.199999999997</v>
      </c>
      <c r="AN53" s="106">
        <v>21</v>
      </c>
      <c r="AO53" s="106">
        <v>10407.599999999999</v>
      </c>
      <c r="AP53" s="106">
        <v>27</v>
      </c>
      <c r="AQ53" s="106">
        <v>13381.199999999999</v>
      </c>
      <c r="AR53" s="106">
        <v>13</v>
      </c>
      <c r="AS53" s="106">
        <v>6442.7999999999993</v>
      </c>
      <c r="AT53" s="106">
        <v>10</v>
      </c>
      <c r="AU53" s="106">
        <v>4956</v>
      </c>
      <c r="AV53" s="106">
        <v>11.73429147232414</v>
      </c>
      <c r="AW53" s="106">
        <v>5815.5148536838433</v>
      </c>
      <c r="AX53" s="106">
        <v>12.750761648955185</v>
      </c>
      <c r="AY53" s="106">
        <v>6319.2774732221897</v>
      </c>
      <c r="AZ53" s="106">
        <v>14</v>
      </c>
      <c r="BA53" s="106">
        <v>6938.4</v>
      </c>
      <c r="BB53" s="106">
        <v>11</v>
      </c>
      <c r="BC53" s="106">
        <v>5451.5999999999995</v>
      </c>
      <c r="BD53" s="106">
        <v>13</v>
      </c>
      <c r="BE53" s="106">
        <v>6442.7999999999993</v>
      </c>
      <c r="BF53" s="106">
        <v>13</v>
      </c>
      <c r="BG53" s="106">
        <v>6442.7999999999993</v>
      </c>
      <c r="BH53" s="106">
        <v>12</v>
      </c>
      <c r="BI53" s="106">
        <v>5947.2</v>
      </c>
      <c r="BJ53" s="106">
        <v>10</v>
      </c>
      <c r="BK53" s="106">
        <v>4956</v>
      </c>
      <c r="BL53" s="106">
        <v>11</v>
      </c>
      <c r="BM53" s="106">
        <v>5451.5999999999995</v>
      </c>
      <c r="BN53" s="106">
        <v>10</v>
      </c>
      <c r="BO53" s="106">
        <v>4956</v>
      </c>
      <c r="BP53" s="106">
        <v>17</v>
      </c>
      <c r="BQ53" s="106">
        <v>8425.1999999999989</v>
      </c>
      <c r="BR53" s="106">
        <v>28</v>
      </c>
      <c r="BS53" s="106">
        <v>13876.8</v>
      </c>
      <c r="BT53" s="106">
        <v>22.547964419128952</v>
      </c>
      <c r="BU53" s="106">
        <v>11174.771166120308</v>
      </c>
      <c r="BV53" s="106">
        <v>11.027501470763832</v>
      </c>
      <c r="BW53" s="106">
        <v>5465.2297289105545</v>
      </c>
      <c r="BX53" s="106">
        <v>2.9716860386460713</v>
      </c>
      <c r="BY53" s="106">
        <v>1472.7676007529928</v>
      </c>
      <c r="BZ53" s="106">
        <v>6.2810569463560455</v>
      </c>
      <c r="CA53" s="106">
        <v>3112.8918226140559</v>
      </c>
      <c r="CB53" s="106">
        <v>7</v>
      </c>
      <c r="CC53" s="106">
        <v>3469.2</v>
      </c>
      <c r="CD53" s="106">
        <v>11</v>
      </c>
      <c r="CE53" s="106">
        <v>5451.5999999999995</v>
      </c>
      <c r="CF53" s="106">
        <v>19</v>
      </c>
      <c r="CG53" s="106">
        <v>9416.4</v>
      </c>
      <c r="CH53" s="106">
        <v>24</v>
      </c>
      <c r="CI53" s="106">
        <v>11894.4</v>
      </c>
      <c r="CJ53" s="106">
        <v>25</v>
      </c>
      <c r="CK53" s="106">
        <v>12390</v>
      </c>
      <c r="CL53" s="106">
        <v>26</v>
      </c>
      <c r="CM53" s="106">
        <v>12885.599999999999</v>
      </c>
      <c r="CN53" s="106">
        <v>19</v>
      </c>
      <c r="CO53" s="106">
        <v>9416.4</v>
      </c>
      <c r="CP53" s="106">
        <v>15</v>
      </c>
      <c r="CQ53" s="106">
        <v>7433.9999999999991</v>
      </c>
      <c r="CR53" s="106">
        <v>26</v>
      </c>
      <c r="CS53" s="106">
        <v>12885.599999999999</v>
      </c>
      <c r="CT53" s="106">
        <v>14</v>
      </c>
      <c r="CU53" s="106">
        <v>6938.4</v>
      </c>
    </row>
    <row r="54" spans="2:99" x14ac:dyDescent="0.2">
      <c r="C54" s="105" t="s">
        <v>220</v>
      </c>
      <c r="D54" s="106">
        <v>11</v>
      </c>
      <c r="E54" s="106">
        <v>4488</v>
      </c>
      <c r="F54" s="106">
        <v>8</v>
      </c>
      <c r="G54" s="106">
        <v>3264</v>
      </c>
      <c r="H54" s="106">
        <v>12</v>
      </c>
      <c r="I54" s="106">
        <v>4896</v>
      </c>
      <c r="J54" s="106">
        <v>8</v>
      </c>
      <c r="K54" s="106">
        <v>3264</v>
      </c>
      <c r="L54" s="106">
        <v>12</v>
      </c>
      <c r="M54" s="106">
        <v>4896</v>
      </c>
      <c r="N54" s="106">
        <v>10</v>
      </c>
      <c r="O54" s="106">
        <v>4080</v>
      </c>
      <c r="P54" s="106">
        <v>13</v>
      </c>
      <c r="Q54" s="106">
        <v>5304</v>
      </c>
      <c r="R54" s="106">
        <v>11</v>
      </c>
      <c r="S54" s="106">
        <v>4488</v>
      </c>
      <c r="T54" s="106">
        <v>27</v>
      </c>
      <c r="U54" s="106">
        <v>11016</v>
      </c>
      <c r="V54" s="106">
        <v>22</v>
      </c>
      <c r="W54" s="106">
        <v>8976</v>
      </c>
      <c r="X54" s="106">
        <v>32</v>
      </c>
      <c r="Y54" s="106">
        <v>13056</v>
      </c>
      <c r="Z54" s="106">
        <v>19</v>
      </c>
      <c r="AA54" s="106">
        <v>7752</v>
      </c>
      <c r="AB54" s="106">
        <v>22</v>
      </c>
      <c r="AC54" s="106">
        <v>8976</v>
      </c>
      <c r="AD54" s="106">
        <v>19</v>
      </c>
      <c r="AE54" s="106">
        <v>7752</v>
      </c>
      <c r="AF54" s="106">
        <v>31</v>
      </c>
      <c r="AG54" s="106">
        <v>12648</v>
      </c>
      <c r="AH54" s="106">
        <v>32</v>
      </c>
      <c r="AI54" s="106">
        <v>13056</v>
      </c>
      <c r="AJ54" s="106">
        <v>43</v>
      </c>
      <c r="AK54" s="106">
        <v>17544</v>
      </c>
      <c r="AL54" s="106">
        <v>35</v>
      </c>
      <c r="AM54" s="106">
        <v>14280</v>
      </c>
      <c r="AN54" s="106">
        <v>21</v>
      </c>
      <c r="AO54" s="106">
        <v>8568</v>
      </c>
      <c r="AP54" s="106">
        <v>28</v>
      </c>
      <c r="AQ54" s="106">
        <v>11424</v>
      </c>
      <c r="AR54" s="106">
        <v>13</v>
      </c>
      <c r="AS54" s="106">
        <v>5304</v>
      </c>
      <c r="AT54" s="106">
        <v>11</v>
      </c>
      <c r="AU54" s="106">
        <v>4488</v>
      </c>
      <c r="AV54" s="106">
        <v>12.71214909501782</v>
      </c>
      <c r="AW54" s="106">
        <v>5186.5568307672702</v>
      </c>
      <c r="AX54" s="106">
        <v>14.344606855074582</v>
      </c>
      <c r="AY54" s="106">
        <v>5852.5995968704292</v>
      </c>
      <c r="AZ54" s="106">
        <v>14</v>
      </c>
      <c r="BA54" s="106">
        <v>5712</v>
      </c>
      <c r="BB54" s="106">
        <v>10</v>
      </c>
      <c r="BC54" s="106">
        <v>4080</v>
      </c>
      <c r="BD54" s="106">
        <v>13</v>
      </c>
      <c r="BE54" s="106">
        <v>5304</v>
      </c>
      <c r="BF54" s="106">
        <v>16</v>
      </c>
      <c r="BG54" s="106">
        <v>6528</v>
      </c>
      <c r="BH54" s="106">
        <v>12</v>
      </c>
      <c r="BI54" s="106">
        <v>4896</v>
      </c>
      <c r="BJ54" s="106">
        <v>10</v>
      </c>
      <c r="BK54" s="106">
        <v>4080</v>
      </c>
      <c r="BL54" s="106">
        <v>12</v>
      </c>
      <c r="BM54" s="106">
        <v>4896</v>
      </c>
      <c r="BN54" s="106">
        <v>10</v>
      </c>
      <c r="BO54" s="106">
        <v>4080</v>
      </c>
      <c r="BP54" s="106">
        <v>18</v>
      </c>
      <c r="BQ54" s="106">
        <v>7344</v>
      </c>
      <c r="BR54" s="106">
        <v>27</v>
      </c>
      <c r="BS54" s="106">
        <v>11016</v>
      </c>
      <c r="BT54" s="106">
        <v>25.366459971520069</v>
      </c>
      <c r="BU54" s="106">
        <v>10349.515668380189</v>
      </c>
      <c r="BV54" s="106">
        <v>9.6490637869183526</v>
      </c>
      <c r="BW54" s="106">
        <v>3936.8180250626879</v>
      </c>
      <c r="BX54" s="106">
        <v>2.5471594616966327</v>
      </c>
      <c r="BY54" s="106">
        <v>1039.2410603722262</v>
      </c>
      <c r="BZ54" s="106">
        <v>6.2810569463560455</v>
      </c>
      <c r="CA54" s="106">
        <v>2562.6712341132666</v>
      </c>
      <c r="CB54" s="106">
        <v>8</v>
      </c>
      <c r="CC54" s="106">
        <v>3264</v>
      </c>
      <c r="CD54" s="106">
        <v>12</v>
      </c>
      <c r="CE54" s="106">
        <v>4896</v>
      </c>
      <c r="CF54" s="106">
        <v>20</v>
      </c>
      <c r="CG54" s="106">
        <v>8160</v>
      </c>
      <c r="CH54" s="106">
        <v>24</v>
      </c>
      <c r="CI54" s="106">
        <v>9792</v>
      </c>
      <c r="CJ54" s="106">
        <v>26</v>
      </c>
      <c r="CK54" s="106">
        <v>10608</v>
      </c>
      <c r="CL54" s="106">
        <v>29</v>
      </c>
      <c r="CM54" s="106">
        <v>11832</v>
      </c>
      <c r="CN54" s="106">
        <v>16</v>
      </c>
      <c r="CO54" s="106">
        <v>6528</v>
      </c>
      <c r="CP54" s="106">
        <v>16</v>
      </c>
      <c r="CQ54" s="106">
        <v>6528</v>
      </c>
      <c r="CR54" s="106">
        <v>26</v>
      </c>
      <c r="CS54" s="106">
        <v>10608</v>
      </c>
      <c r="CT54" s="106">
        <v>15</v>
      </c>
      <c r="CU54" s="106">
        <v>6120</v>
      </c>
    </row>
    <row r="55" spans="2:99" x14ac:dyDescent="0.2">
      <c r="C55" s="105" t="s">
        <v>221</v>
      </c>
      <c r="D55" s="106">
        <v>12</v>
      </c>
      <c r="E55" s="106">
        <v>9662.4</v>
      </c>
      <c r="F55" s="106">
        <v>9</v>
      </c>
      <c r="G55" s="106">
        <v>7246.7999999999993</v>
      </c>
      <c r="H55" s="106">
        <v>11</v>
      </c>
      <c r="I55" s="106">
        <v>8857.1999999999989</v>
      </c>
      <c r="J55" s="106">
        <v>8</v>
      </c>
      <c r="K55" s="106">
        <v>6441.5999999999995</v>
      </c>
      <c r="L55" s="106">
        <v>11</v>
      </c>
      <c r="M55" s="106">
        <v>8857.1999999999989</v>
      </c>
      <c r="N55" s="106">
        <v>11</v>
      </c>
      <c r="O55" s="106">
        <v>8857.1999999999989</v>
      </c>
      <c r="P55" s="106">
        <v>14</v>
      </c>
      <c r="Q55" s="106">
        <v>11272.8</v>
      </c>
      <c r="R55" s="106">
        <v>12</v>
      </c>
      <c r="S55" s="106">
        <v>9662.4</v>
      </c>
      <c r="T55" s="106">
        <v>25</v>
      </c>
      <c r="U55" s="106">
        <v>20130</v>
      </c>
      <c r="V55" s="106">
        <v>22</v>
      </c>
      <c r="W55" s="106">
        <v>17714.399999999998</v>
      </c>
      <c r="X55" s="106">
        <v>29</v>
      </c>
      <c r="Y55" s="106">
        <v>23350.799999999999</v>
      </c>
      <c r="Z55" s="106">
        <v>22</v>
      </c>
      <c r="AA55" s="106">
        <v>17714.399999999998</v>
      </c>
      <c r="AB55" s="106">
        <v>19</v>
      </c>
      <c r="AC55" s="106">
        <v>15298.8</v>
      </c>
      <c r="AD55" s="106">
        <v>21</v>
      </c>
      <c r="AE55" s="106">
        <v>16909.199999999997</v>
      </c>
      <c r="AF55" s="106">
        <v>25</v>
      </c>
      <c r="AG55" s="106">
        <v>20130</v>
      </c>
      <c r="AH55" s="106">
        <v>29</v>
      </c>
      <c r="AI55" s="106">
        <v>23350.799999999999</v>
      </c>
      <c r="AJ55" s="106">
        <v>42</v>
      </c>
      <c r="AK55" s="106">
        <v>33818.399999999994</v>
      </c>
      <c r="AL55" s="106">
        <v>32</v>
      </c>
      <c r="AM55" s="106">
        <v>25766.399999999998</v>
      </c>
      <c r="AN55" s="106">
        <v>19</v>
      </c>
      <c r="AO55" s="106">
        <v>15298.8</v>
      </c>
      <c r="AP55" s="106">
        <v>28</v>
      </c>
      <c r="AQ55" s="106">
        <v>22545.599999999999</v>
      </c>
      <c r="AR55" s="106">
        <v>12</v>
      </c>
      <c r="AS55" s="106">
        <v>9662.4</v>
      </c>
      <c r="AT55" s="106">
        <v>10</v>
      </c>
      <c r="AU55" s="106">
        <v>8051.9999999999991</v>
      </c>
      <c r="AV55" s="106">
        <v>11.73429147232414</v>
      </c>
      <c r="AW55" s="106">
        <v>9448.4514935153966</v>
      </c>
      <c r="AX55" s="106">
        <v>12.750761648955185</v>
      </c>
      <c r="AY55" s="106">
        <v>10266.913279738714</v>
      </c>
      <c r="AZ55" s="106">
        <v>14</v>
      </c>
      <c r="BA55" s="106">
        <v>11272.8</v>
      </c>
      <c r="BB55" s="106">
        <v>9</v>
      </c>
      <c r="BC55" s="106">
        <v>7246.7999999999993</v>
      </c>
      <c r="BD55" s="106">
        <v>11</v>
      </c>
      <c r="BE55" s="106">
        <v>8857.1999999999989</v>
      </c>
      <c r="BF55" s="106">
        <v>14</v>
      </c>
      <c r="BG55" s="106">
        <v>11272.8</v>
      </c>
      <c r="BH55" s="106">
        <v>13</v>
      </c>
      <c r="BI55" s="106">
        <v>10467.599999999999</v>
      </c>
      <c r="BJ55" s="106">
        <v>10</v>
      </c>
      <c r="BK55" s="106">
        <v>8051.9999999999991</v>
      </c>
      <c r="BL55" s="106">
        <v>12</v>
      </c>
      <c r="BM55" s="106">
        <v>9662.4</v>
      </c>
      <c r="BN55" s="106">
        <v>10</v>
      </c>
      <c r="BO55" s="106">
        <v>8051.9999999999991</v>
      </c>
      <c r="BP55" s="106">
        <v>18</v>
      </c>
      <c r="BQ55" s="106">
        <v>14493.599999999999</v>
      </c>
      <c r="BR55" s="106">
        <v>28</v>
      </c>
      <c r="BS55" s="106">
        <v>22545.599999999999</v>
      </c>
      <c r="BT55" s="106">
        <v>23.48746293659266</v>
      </c>
      <c r="BU55" s="106">
        <v>18912.105156544407</v>
      </c>
      <c r="BV55" s="106">
        <v>9.6490637869183526</v>
      </c>
      <c r="BW55" s="106">
        <v>7769.4261612266573</v>
      </c>
      <c r="BX55" s="106">
        <v>2.5471594616966327</v>
      </c>
      <c r="BY55" s="106">
        <v>2050.9727985581285</v>
      </c>
      <c r="BZ55" s="106">
        <v>5.4959248280615398</v>
      </c>
      <c r="CA55" s="106">
        <v>4425.3186715551519</v>
      </c>
      <c r="CB55" s="106">
        <v>7</v>
      </c>
      <c r="CC55" s="106">
        <v>5636.4</v>
      </c>
      <c r="CD55" s="106">
        <v>12</v>
      </c>
      <c r="CE55" s="106">
        <v>9662.4</v>
      </c>
      <c r="CF55" s="106">
        <v>18</v>
      </c>
      <c r="CG55" s="106">
        <v>14493.599999999999</v>
      </c>
      <c r="CH55" s="106">
        <v>22</v>
      </c>
      <c r="CI55" s="106">
        <v>17714.399999999998</v>
      </c>
      <c r="CJ55" s="106">
        <v>26</v>
      </c>
      <c r="CK55" s="106">
        <v>20935.199999999997</v>
      </c>
      <c r="CL55" s="106">
        <v>26</v>
      </c>
      <c r="CM55" s="106">
        <v>20935.199999999997</v>
      </c>
      <c r="CN55" s="106">
        <v>16</v>
      </c>
      <c r="CO55" s="106">
        <v>12883.199999999999</v>
      </c>
      <c r="CP55" s="106">
        <v>14</v>
      </c>
      <c r="CQ55" s="106">
        <v>11272.8</v>
      </c>
      <c r="CR55" s="106">
        <v>22</v>
      </c>
      <c r="CS55" s="106">
        <v>17714.399999999998</v>
      </c>
      <c r="CT55" s="106">
        <v>13</v>
      </c>
      <c r="CU55" s="106">
        <v>10467.599999999999</v>
      </c>
    </row>
    <row r="56" spans="2:99" x14ac:dyDescent="0.2">
      <c r="C56" s="105" t="s">
        <v>222</v>
      </c>
      <c r="D56" s="106">
        <v>11</v>
      </c>
      <c r="E56" s="106">
        <v>9240</v>
      </c>
      <c r="F56" s="106">
        <v>8</v>
      </c>
      <c r="G56" s="106">
        <v>6720</v>
      </c>
      <c r="H56" s="106">
        <v>11</v>
      </c>
      <c r="I56" s="106">
        <v>9240</v>
      </c>
      <c r="J56" s="106">
        <v>7</v>
      </c>
      <c r="K56" s="106">
        <v>5880</v>
      </c>
      <c r="L56" s="106">
        <v>11</v>
      </c>
      <c r="M56" s="106">
        <v>9240</v>
      </c>
      <c r="N56" s="106">
        <v>10</v>
      </c>
      <c r="O56" s="106">
        <v>8400</v>
      </c>
      <c r="P56" s="106">
        <v>13</v>
      </c>
      <c r="Q56" s="106">
        <v>10920</v>
      </c>
      <c r="R56" s="106">
        <v>10</v>
      </c>
      <c r="S56" s="106">
        <v>8400</v>
      </c>
      <c r="T56" s="106">
        <v>18.440194399153519</v>
      </c>
      <c r="U56" s="106">
        <v>15489.763295288956</v>
      </c>
      <c r="V56" s="106">
        <v>14.748022151898734</v>
      </c>
      <c r="W56" s="106">
        <v>12388.338607594937</v>
      </c>
      <c r="X56" s="106">
        <v>18.358640939597315</v>
      </c>
      <c r="Y56" s="106">
        <v>15421.258389261744</v>
      </c>
      <c r="Z56" s="106">
        <v>17.157762096774192</v>
      </c>
      <c r="AA56" s="106">
        <v>14412.520161290322</v>
      </c>
      <c r="AB56" s="106">
        <v>17.839285714285712</v>
      </c>
      <c r="AC56" s="106">
        <v>14984.999999999998</v>
      </c>
      <c r="AD56" s="106">
        <v>13.994612068965518</v>
      </c>
      <c r="AE56" s="106">
        <v>11755.474137931034</v>
      </c>
      <c r="AF56" s="106">
        <v>20.973837209302324</v>
      </c>
      <c r="AG56" s="106">
        <v>17618.023255813954</v>
      </c>
      <c r="AH56" s="106">
        <v>18.391176470588235</v>
      </c>
      <c r="AI56" s="106">
        <v>15448.588235294117</v>
      </c>
      <c r="AJ56" s="106">
        <v>32.183673469387756</v>
      </c>
      <c r="AK56" s="106">
        <v>27034.285714285714</v>
      </c>
      <c r="AL56" s="106">
        <v>27.463235294117649</v>
      </c>
      <c r="AM56" s="106">
        <v>23069.117647058825</v>
      </c>
      <c r="AN56" s="106">
        <v>17.216157205240176</v>
      </c>
      <c r="AO56" s="106">
        <v>14461.572052401747</v>
      </c>
      <c r="AP56" s="106">
        <v>22.96106557377049</v>
      </c>
      <c r="AQ56" s="106">
        <v>19287.295081967211</v>
      </c>
      <c r="AR56" s="106">
        <v>9.0965136054421762</v>
      </c>
      <c r="AS56" s="106">
        <v>7641.0714285714284</v>
      </c>
      <c r="AT56" s="106">
        <v>8.4418402777777786</v>
      </c>
      <c r="AU56" s="106">
        <v>7091.1458333333339</v>
      </c>
      <c r="AV56" s="106">
        <v>13</v>
      </c>
      <c r="AW56" s="106">
        <v>10920</v>
      </c>
      <c r="AX56" s="106">
        <v>16</v>
      </c>
      <c r="AY56" s="106">
        <v>13440</v>
      </c>
      <c r="AZ56" s="106">
        <v>9.7313218390804597</v>
      </c>
      <c r="BA56" s="106">
        <v>8174.3103448275861</v>
      </c>
      <c r="BB56" s="106">
        <v>8.4446564885496187</v>
      </c>
      <c r="BC56" s="106">
        <v>7093.5114503816794</v>
      </c>
      <c r="BD56" s="106">
        <v>9.5441176470588243</v>
      </c>
      <c r="BE56" s="106">
        <v>8017.0588235294126</v>
      </c>
      <c r="BF56" s="106">
        <v>11.777566539923953</v>
      </c>
      <c r="BG56" s="106">
        <v>9893.1558935361209</v>
      </c>
      <c r="BH56" s="106">
        <v>10.41826923076923</v>
      </c>
      <c r="BI56" s="106">
        <v>8751.3461538461524</v>
      </c>
      <c r="BJ56" s="106">
        <v>9</v>
      </c>
      <c r="BK56" s="106">
        <v>7560</v>
      </c>
      <c r="BL56" s="106">
        <v>12</v>
      </c>
      <c r="BM56" s="106">
        <v>10080</v>
      </c>
      <c r="BN56" s="106">
        <v>9.2340425531914896</v>
      </c>
      <c r="BO56" s="106">
        <v>7756.5957446808516</v>
      </c>
      <c r="BP56" s="106">
        <v>12.921161825726141</v>
      </c>
      <c r="BQ56" s="106">
        <v>10853.775933609959</v>
      </c>
      <c r="BR56" s="106">
        <v>18.291823308270676</v>
      </c>
      <c r="BS56" s="106">
        <v>15365.131578947368</v>
      </c>
      <c r="BT56" s="106">
        <v>18.155317164179106</v>
      </c>
      <c r="BU56" s="106">
        <v>15250.466417910449</v>
      </c>
      <c r="BV56" s="106">
        <v>10.855577689243027</v>
      </c>
      <c r="BW56" s="106">
        <v>9118.6852589641421</v>
      </c>
      <c r="BX56" s="106">
        <v>6</v>
      </c>
      <c r="BY56" s="106">
        <v>5040</v>
      </c>
      <c r="BZ56" s="106">
        <v>7</v>
      </c>
      <c r="CA56" s="106">
        <v>5880</v>
      </c>
      <c r="CB56" s="106">
        <v>7</v>
      </c>
      <c r="CC56" s="106">
        <v>5880</v>
      </c>
      <c r="CD56" s="106">
        <v>11</v>
      </c>
      <c r="CE56" s="106">
        <v>9240</v>
      </c>
      <c r="CF56" s="106">
        <v>19</v>
      </c>
      <c r="CG56" s="106">
        <v>15960</v>
      </c>
      <c r="CH56" s="106">
        <v>20</v>
      </c>
      <c r="CI56" s="106">
        <v>16800</v>
      </c>
      <c r="CJ56" s="106">
        <v>25</v>
      </c>
      <c r="CK56" s="106">
        <v>21000</v>
      </c>
      <c r="CL56" s="106">
        <v>24</v>
      </c>
      <c r="CM56" s="106">
        <v>20160</v>
      </c>
      <c r="CN56" s="106">
        <v>17</v>
      </c>
      <c r="CO56" s="106">
        <v>14280</v>
      </c>
      <c r="CP56" s="106">
        <v>15</v>
      </c>
      <c r="CQ56" s="106">
        <v>12600</v>
      </c>
      <c r="CR56" s="106">
        <v>22</v>
      </c>
      <c r="CS56" s="106">
        <v>18480</v>
      </c>
      <c r="CT56" s="106">
        <v>12.284789644012944</v>
      </c>
      <c r="CU56" s="106">
        <v>10319.223300970873</v>
      </c>
    </row>
    <row r="57" spans="2:99" x14ac:dyDescent="0.2">
      <c r="C57" s="105" t="s">
        <v>223</v>
      </c>
      <c r="D57" s="106">
        <v>10</v>
      </c>
      <c r="E57" s="106">
        <v>12623.999999999998</v>
      </c>
      <c r="F57" s="106">
        <v>8</v>
      </c>
      <c r="G57" s="106">
        <v>10099.199999999999</v>
      </c>
      <c r="H57" s="106">
        <v>10</v>
      </c>
      <c r="I57" s="106">
        <v>12623.999999999998</v>
      </c>
      <c r="J57" s="106">
        <v>7</v>
      </c>
      <c r="K57" s="106">
        <v>8836.7999999999993</v>
      </c>
      <c r="L57" s="106">
        <v>10</v>
      </c>
      <c r="M57" s="106">
        <v>12623.999999999998</v>
      </c>
      <c r="N57" s="106">
        <v>11</v>
      </c>
      <c r="O57" s="106">
        <v>13886.399999999998</v>
      </c>
      <c r="P57" s="106">
        <v>12</v>
      </c>
      <c r="Q57" s="106">
        <v>15148.8</v>
      </c>
      <c r="R57" s="106">
        <v>10</v>
      </c>
      <c r="S57" s="106">
        <v>12623.999999999998</v>
      </c>
      <c r="T57" s="106">
        <v>20</v>
      </c>
      <c r="U57" s="106">
        <v>25247.999999999996</v>
      </c>
      <c r="V57" s="106">
        <v>20</v>
      </c>
      <c r="W57" s="106">
        <v>25247.999999999996</v>
      </c>
      <c r="X57" s="106">
        <v>28</v>
      </c>
      <c r="Y57" s="106">
        <v>35347.199999999997</v>
      </c>
      <c r="Z57" s="106">
        <v>19</v>
      </c>
      <c r="AA57" s="106">
        <v>23985.599999999999</v>
      </c>
      <c r="AB57" s="106">
        <v>20</v>
      </c>
      <c r="AC57" s="106">
        <v>25247.999999999996</v>
      </c>
      <c r="AD57" s="106">
        <v>19</v>
      </c>
      <c r="AE57" s="106">
        <v>23985.599999999999</v>
      </c>
      <c r="AF57" s="106">
        <v>24</v>
      </c>
      <c r="AG57" s="106">
        <v>30297.599999999999</v>
      </c>
      <c r="AH57" s="106">
        <v>28</v>
      </c>
      <c r="AI57" s="106">
        <v>35347.199999999997</v>
      </c>
      <c r="AJ57" s="106">
        <v>38</v>
      </c>
      <c r="AK57" s="106">
        <v>47971.199999999997</v>
      </c>
      <c r="AL57" s="106">
        <v>29</v>
      </c>
      <c r="AM57" s="106">
        <v>36609.599999999999</v>
      </c>
      <c r="AN57" s="106">
        <v>18</v>
      </c>
      <c r="AO57" s="106">
        <v>22723.199999999997</v>
      </c>
      <c r="AP57" s="106">
        <v>24</v>
      </c>
      <c r="AQ57" s="106">
        <v>30297.599999999999</v>
      </c>
      <c r="AR57" s="106">
        <v>10</v>
      </c>
      <c r="AS57" s="106">
        <v>12623.999999999998</v>
      </c>
      <c r="AT57" s="106">
        <v>10</v>
      </c>
      <c r="AU57" s="106">
        <v>12623.999999999998</v>
      </c>
      <c r="AV57" s="106">
        <v>13</v>
      </c>
      <c r="AW57" s="106">
        <v>16411.199999999997</v>
      </c>
      <c r="AX57" s="106">
        <v>16</v>
      </c>
      <c r="AY57" s="106">
        <v>20198.399999999998</v>
      </c>
      <c r="AZ57" s="106">
        <v>13</v>
      </c>
      <c r="BA57" s="106">
        <v>16411.199999999997</v>
      </c>
      <c r="BB57" s="106">
        <v>9</v>
      </c>
      <c r="BC57" s="106">
        <v>11361.599999999999</v>
      </c>
      <c r="BD57" s="106">
        <v>12</v>
      </c>
      <c r="BE57" s="106">
        <v>15148.8</v>
      </c>
      <c r="BF57" s="106">
        <v>12</v>
      </c>
      <c r="BG57" s="106">
        <v>15148.8</v>
      </c>
      <c r="BH57" s="106">
        <v>13</v>
      </c>
      <c r="BI57" s="106">
        <v>16411.199999999997</v>
      </c>
      <c r="BJ57" s="106">
        <v>9</v>
      </c>
      <c r="BK57" s="106">
        <v>11361.599999999999</v>
      </c>
      <c r="BL57" s="106">
        <v>10</v>
      </c>
      <c r="BM57" s="106">
        <v>12623.999999999998</v>
      </c>
      <c r="BN57" s="106">
        <v>9</v>
      </c>
      <c r="BO57" s="106">
        <v>11361.599999999999</v>
      </c>
      <c r="BP57" s="106">
        <v>17</v>
      </c>
      <c r="BQ57" s="106">
        <v>21460.799999999999</v>
      </c>
      <c r="BR57" s="106">
        <v>26</v>
      </c>
      <c r="BS57" s="106">
        <v>32822.399999999994</v>
      </c>
      <c r="BT57" s="106">
        <v>20</v>
      </c>
      <c r="BU57" s="106">
        <v>25247.999999999996</v>
      </c>
      <c r="BV57" s="106">
        <v>12</v>
      </c>
      <c r="BW57" s="106">
        <v>15148.8</v>
      </c>
      <c r="BX57" s="106">
        <v>6</v>
      </c>
      <c r="BY57" s="106">
        <v>7574.4</v>
      </c>
      <c r="BZ57" s="106">
        <v>8</v>
      </c>
      <c r="CA57" s="106">
        <v>10099.199999999999</v>
      </c>
      <c r="CB57" s="106">
        <v>8</v>
      </c>
      <c r="CC57" s="106">
        <v>10099.199999999999</v>
      </c>
      <c r="CD57" s="106">
        <v>10</v>
      </c>
      <c r="CE57" s="106">
        <v>12623.999999999998</v>
      </c>
      <c r="CF57" s="106">
        <v>18</v>
      </c>
      <c r="CG57" s="106">
        <v>22723.199999999997</v>
      </c>
      <c r="CH57" s="106">
        <v>22</v>
      </c>
      <c r="CI57" s="106">
        <v>27772.799999999996</v>
      </c>
      <c r="CJ57" s="106">
        <v>26</v>
      </c>
      <c r="CK57" s="106">
        <v>32822.399999999994</v>
      </c>
      <c r="CL57" s="106">
        <v>22</v>
      </c>
      <c r="CM57" s="106">
        <v>27772.799999999996</v>
      </c>
      <c r="CN57" s="106">
        <v>14</v>
      </c>
      <c r="CO57" s="106">
        <v>17673.599999999999</v>
      </c>
      <c r="CP57" s="106">
        <v>14</v>
      </c>
      <c r="CQ57" s="106">
        <v>17673.599999999999</v>
      </c>
      <c r="CR57" s="106">
        <v>22</v>
      </c>
      <c r="CS57" s="106">
        <v>27772.799999999996</v>
      </c>
      <c r="CT57" s="106">
        <v>13</v>
      </c>
      <c r="CU57" s="106">
        <v>16411.199999999997</v>
      </c>
    </row>
    <row r="58" spans="2:99" x14ac:dyDescent="0.2">
      <c r="C58" s="105" t="s">
        <v>224</v>
      </c>
      <c r="D58" s="106">
        <v>12</v>
      </c>
      <c r="E58" s="106">
        <v>8438.4</v>
      </c>
      <c r="F58" s="106">
        <v>9</v>
      </c>
      <c r="G58" s="106">
        <v>6328.7999999999993</v>
      </c>
      <c r="H58" s="106">
        <v>11</v>
      </c>
      <c r="I58" s="106">
        <v>7735.1999999999989</v>
      </c>
      <c r="J58" s="106">
        <v>7</v>
      </c>
      <c r="K58" s="106">
        <v>4922.3999999999996</v>
      </c>
      <c r="L58" s="106">
        <v>10</v>
      </c>
      <c r="M58" s="106">
        <v>7031.9999999999991</v>
      </c>
      <c r="N58" s="106">
        <v>11</v>
      </c>
      <c r="O58" s="106">
        <v>7735.1999999999989</v>
      </c>
      <c r="P58" s="106">
        <v>12</v>
      </c>
      <c r="Q58" s="106">
        <v>8438.4</v>
      </c>
      <c r="R58" s="106">
        <v>12</v>
      </c>
      <c r="S58" s="106">
        <v>8438.4</v>
      </c>
      <c r="T58" s="106">
        <v>24</v>
      </c>
      <c r="U58" s="106">
        <v>16876.8</v>
      </c>
      <c r="V58" s="106">
        <v>22</v>
      </c>
      <c r="W58" s="106">
        <v>15470.399999999998</v>
      </c>
      <c r="X58" s="106">
        <v>28</v>
      </c>
      <c r="Y58" s="106">
        <v>19689.599999999999</v>
      </c>
      <c r="Z58" s="106">
        <v>19</v>
      </c>
      <c r="AA58" s="106">
        <v>13360.8</v>
      </c>
      <c r="AB58" s="106">
        <v>18</v>
      </c>
      <c r="AC58" s="106">
        <v>12657.599999999999</v>
      </c>
      <c r="AD58" s="106">
        <v>21</v>
      </c>
      <c r="AE58" s="106">
        <v>14767.199999999999</v>
      </c>
      <c r="AF58" s="106">
        <v>28</v>
      </c>
      <c r="AG58" s="106">
        <v>19689.599999999999</v>
      </c>
      <c r="AH58" s="106">
        <v>31</v>
      </c>
      <c r="AI58" s="106">
        <v>21799.199999999997</v>
      </c>
      <c r="AJ58" s="106">
        <v>41</v>
      </c>
      <c r="AK58" s="106">
        <v>28831.199999999997</v>
      </c>
      <c r="AL58" s="106">
        <v>31</v>
      </c>
      <c r="AM58" s="106">
        <v>21799.199999999997</v>
      </c>
      <c r="AN58" s="106">
        <v>21</v>
      </c>
      <c r="AO58" s="106">
        <v>14767.199999999999</v>
      </c>
      <c r="AP58" s="106">
        <v>24</v>
      </c>
      <c r="AQ58" s="106">
        <v>16876.8</v>
      </c>
      <c r="AR58" s="106">
        <v>13</v>
      </c>
      <c r="AS58" s="106">
        <v>9141.5999999999985</v>
      </c>
      <c r="AT58" s="106">
        <v>11</v>
      </c>
      <c r="AU58" s="106">
        <v>7735.1999999999989</v>
      </c>
      <c r="AV58" s="106">
        <v>13</v>
      </c>
      <c r="AW58" s="106">
        <v>9141.5999999999985</v>
      </c>
      <c r="AX58" s="106">
        <v>14</v>
      </c>
      <c r="AY58" s="106">
        <v>9844.7999999999993</v>
      </c>
      <c r="AZ58" s="106">
        <v>14</v>
      </c>
      <c r="BA58" s="106">
        <v>9844.7999999999993</v>
      </c>
      <c r="BB58" s="106">
        <v>9</v>
      </c>
      <c r="BC58" s="106">
        <v>6328.7999999999993</v>
      </c>
      <c r="BD58" s="106">
        <v>12</v>
      </c>
      <c r="BE58" s="106">
        <v>8438.4</v>
      </c>
      <c r="BF58" s="106">
        <v>15</v>
      </c>
      <c r="BG58" s="106">
        <v>10547.999999999998</v>
      </c>
      <c r="BH58" s="106">
        <v>13</v>
      </c>
      <c r="BI58" s="106">
        <v>9141.5999999999985</v>
      </c>
      <c r="BJ58" s="106">
        <v>10</v>
      </c>
      <c r="BK58" s="106">
        <v>7031.9999999999991</v>
      </c>
      <c r="BL58" s="106">
        <v>12</v>
      </c>
      <c r="BM58" s="106">
        <v>8438.4</v>
      </c>
      <c r="BN58" s="106">
        <v>11</v>
      </c>
      <c r="BO58" s="106">
        <v>7735.1999999999989</v>
      </c>
      <c r="BP58" s="106">
        <v>18</v>
      </c>
      <c r="BQ58" s="106">
        <v>12657.599999999999</v>
      </c>
      <c r="BR58" s="106">
        <v>28</v>
      </c>
      <c r="BS58" s="106">
        <v>19689.599999999999</v>
      </c>
      <c r="BT58" s="106">
        <v>26</v>
      </c>
      <c r="BU58" s="106">
        <v>18283.199999999997</v>
      </c>
      <c r="BV58" s="106">
        <v>14</v>
      </c>
      <c r="BW58" s="106">
        <v>9844.7999999999993</v>
      </c>
      <c r="BX58" s="106">
        <v>6</v>
      </c>
      <c r="BY58" s="106">
        <v>4219.2</v>
      </c>
      <c r="BZ58" s="106">
        <v>7</v>
      </c>
      <c r="CA58" s="106">
        <v>4922.3999999999996</v>
      </c>
      <c r="CB58" s="106">
        <v>7</v>
      </c>
      <c r="CC58" s="106">
        <v>4922.3999999999996</v>
      </c>
      <c r="CD58" s="106">
        <v>11</v>
      </c>
      <c r="CE58" s="106">
        <v>7735.1999999999989</v>
      </c>
      <c r="CF58" s="106">
        <v>20</v>
      </c>
      <c r="CG58" s="106">
        <v>14063.999999999998</v>
      </c>
      <c r="CH58" s="106">
        <v>23</v>
      </c>
      <c r="CI58" s="106">
        <v>16173.599999999999</v>
      </c>
      <c r="CJ58" s="106">
        <v>23</v>
      </c>
      <c r="CK58" s="106">
        <v>16173.599999999999</v>
      </c>
      <c r="CL58" s="106">
        <v>25</v>
      </c>
      <c r="CM58" s="106">
        <v>17580</v>
      </c>
      <c r="CN58" s="106">
        <v>17</v>
      </c>
      <c r="CO58" s="106">
        <v>11954.4</v>
      </c>
      <c r="CP58" s="106">
        <v>15</v>
      </c>
      <c r="CQ58" s="106">
        <v>10547.999999999998</v>
      </c>
      <c r="CR58" s="106">
        <v>23</v>
      </c>
      <c r="CS58" s="106">
        <v>16173.599999999999</v>
      </c>
      <c r="CT58" s="106">
        <v>13</v>
      </c>
      <c r="CU58" s="106">
        <v>9141.5999999999985</v>
      </c>
    </row>
    <row r="59" spans="2:99" x14ac:dyDescent="0.2">
      <c r="C59" s="105" t="s">
        <v>225</v>
      </c>
      <c r="D59" s="106">
        <v>11</v>
      </c>
      <c r="E59" s="106">
        <v>4831.2</v>
      </c>
      <c r="F59" s="106">
        <v>8</v>
      </c>
      <c r="G59" s="106">
        <v>3513.6</v>
      </c>
      <c r="H59" s="106">
        <v>11</v>
      </c>
      <c r="I59" s="106">
        <v>4831.2</v>
      </c>
      <c r="J59" s="106">
        <v>8</v>
      </c>
      <c r="K59" s="106">
        <v>3513.6</v>
      </c>
      <c r="L59" s="106">
        <v>12</v>
      </c>
      <c r="M59" s="106">
        <v>5270.4</v>
      </c>
      <c r="N59" s="106">
        <v>10</v>
      </c>
      <c r="O59" s="106">
        <v>4392</v>
      </c>
      <c r="P59" s="106">
        <v>14</v>
      </c>
      <c r="Q59" s="106">
        <v>6148.8</v>
      </c>
      <c r="R59" s="106">
        <v>11</v>
      </c>
      <c r="S59" s="106">
        <v>4831.2</v>
      </c>
      <c r="T59" s="106">
        <v>24</v>
      </c>
      <c r="U59" s="106">
        <v>10540.8</v>
      </c>
      <c r="V59" s="106">
        <v>25</v>
      </c>
      <c r="W59" s="106">
        <v>10980</v>
      </c>
      <c r="X59" s="106">
        <v>28</v>
      </c>
      <c r="Y59" s="106">
        <v>12297.6</v>
      </c>
      <c r="Z59" s="106">
        <v>21</v>
      </c>
      <c r="AA59" s="106">
        <v>9223.1999999999989</v>
      </c>
      <c r="AB59" s="106">
        <v>20</v>
      </c>
      <c r="AC59" s="106">
        <v>8784</v>
      </c>
      <c r="AD59" s="106">
        <v>20</v>
      </c>
      <c r="AE59" s="106">
        <v>8784</v>
      </c>
      <c r="AF59" s="106">
        <v>28</v>
      </c>
      <c r="AG59" s="106">
        <v>12297.6</v>
      </c>
      <c r="AH59" s="106">
        <v>32</v>
      </c>
      <c r="AI59" s="106">
        <v>14054.4</v>
      </c>
      <c r="AJ59" s="106">
        <v>42</v>
      </c>
      <c r="AK59" s="106">
        <v>18446.399999999998</v>
      </c>
      <c r="AL59" s="106">
        <v>35</v>
      </c>
      <c r="AM59" s="106">
        <v>15372</v>
      </c>
      <c r="AN59" s="106">
        <v>21</v>
      </c>
      <c r="AO59" s="106">
        <v>9223.1999999999989</v>
      </c>
      <c r="AP59" s="106">
        <v>27</v>
      </c>
      <c r="AQ59" s="106">
        <v>11858.4</v>
      </c>
      <c r="AR59" s="106">
        <v>11</v>
      </c>
      <c r="AS59" s="106">
        <v>4831.2</v>
      </c>
      <c r="AT59" s="106">
        <v>11</v>
      </c>
      <c r="AU59" s="106">
        <v>4831.2</v>
      </c>
      <c r="AV59" s="106">
        <v>13.690006717711496</v>
      </c>
      <c r="AW59" s="106">
        <v>6012.6509504188889</v>
      </c>
      <c r="AX59" s="106">
        <v>12.750761648955185</v>
      </c>
      <c r="AY59" s="106">
        <v>5600.1345162211173</v>
      </c>
      <c r="AZ59" s="106">
        <v>16</v>
      </c>
      <c r="BA59" s="106">
        <v>7027.2</v>
      </c>
      <c r="BB59" s="106">
        <v>9</v>
      </c>
      <c r="BC59" s="106">
        <v>3952.7999999999997</v>
      </c>
      <c r="BD59" s="106">
        <v>12</v>
      </c>
      <c r="BE59" s="106">
        <v>5270.4</v>
      </c>
      <c r="BF59" s="106">
        <v>15</v>
      </c>
      <c r="BG59" s="106">
        <v>6588</v>
      </c>
      <c r="BH59" s="106">
        <v>12</v>
      </c>
      <c r="BI59" s="106">
        <v>5270.4</v>
      </c>
      <c r="BJ59" s="106">
        <v>9</v>
      </c>
      <c r="BK59" s="106">
        <v>3952.7999999999997</v>
      </c>
      <c r="BL59" s="106">
        <v>13</v>
      </c>
      <c r="BM59" s="106">
        <v>5709.5999999999995</v>
      </c>
      <c r="BN59" s="106">
        <v>11</v>
      </c>
      <c r="BO59" s="106">
        <v>4831.2</v>
      </c>
      <c r="BP59" s="106">
        <v>18</v>
      </c>
      <c r="BQ59" s="106">
        <v>7905.5999999999995</v>
      </c>
      <c r="BR59" s="106">
        <v>28</v>
      </c>
      <c r="BS59" s="106">
        <v>12297.6</v>
      </c>
      <c r="BT59" s="106">
        <v>21.608465901665248</v>
      </c>
      <c r="BU59" s="106">
        <v>9490.4382240113773</v>
      </c>
      <c r="BV59" s="106">
        <v>11.027501470763832</v>
      </c>
      <c r="BW59" s="106">
        <v>4843.2786459594754</v>
      </c>
      <c r="BX59" s="106">
        <v>2.9716860386460713</v>
      </c>
      <c r="BY59" s="106">
        <v>1305.1645081733545</v>
      </c>
      <c r="BZ59" s="106">
        <v>6.2810569463560455</v>
      </c>
      <c r="CA59" s="106">
        <v>2758.640210839575</v>
      </c>
      <c r="CB59" s="106">
        <v>7</v>
      </c>
      <c r="CC59" s="106">
        <v>3074.4</v>
      </c>
      <c r="CD59" s="106">
        <v>12</v>
      </c>
      <c r="CE59" s="106">
        <v>5270.4</v>
      </c>
      <c r="CF59" s="106">
        <v>19</v>
      </c>
      <c r="CG59" s="106">
        <v>8344.7999999999993</v>
      </c>
      <c r="CH59" s="106">
        <v>21</v>
      </c>
      <c r="CI59" s="106">
        <v>9223.1999999999989</v>
      </c>
      <c r="CJ59" s="106">
        <v>27</v>
      </c>
      <c r="CK59" s="106">
        <v>11858.4</v>
      </c>
      <c r="CL59" s="106">
        <v>28</v>
      </c>
      <c r="CM59" s="106">
        <v>12297.6</v>
      </c>
      <c r="CN59" s="106">
        <v>19</v>
      </c>
      <c r="CO59" s="106">
        <v>8344.7999999999993</v>
      </c>
      <c r="CP59" s="106">
        <v>18</v>
      </c>
      <c r="CQ59" s="106">
        <v>7905.5999999999995</v>
      </c>
      <c r="CR59" s="106">
        <v>23</v>
      </c>
      <c r="CS59" s="106">
        <v>10101.6</v>
      </c>
      <c r="CT59" s="106">
        <v>13</v>
      </c>
      <c r="CU59" s="106">
        <v>5709.5999999999995</v>
      </c>
    </row>
    <row r="60" spans="2:99" x14ac:dyDescent="0.2">
      <c r="C60" s="105" t="s">
        <v>226</v>
      </c>
      <c r="D60" s="106">
        <v>11</v>
      </c>
      <c r="E60" s="106">
        <v>7774.7999999999993</v>
      </c>
      <c r="F60" s="106">
        <v>8</v>
      </c>
      <c r="G60" s="106">
        <v>5654.4</v>
      </c>
      <c r="H60" s="106">
        <v>12</v>
      </c>
      <c r="I60" s="106">
        <v>8481.5999999999985</v>
      </c>
      <c r="J60" s="106">
        <v>8</v>
      </c>
      <c r="K60" s="106">
        <v>5654.4</v>
      </c>
      <c r="L60" s="106">
        <v>10</v>
      </c>
      <c r="M60" s="106">
        <v>7068</v>
      </c>
      <c r="N60" s="106">
        <v>11</v>
      </c>
      <c r="O60" s="106">
        <v>7774.7999999999993</v>
      </c>
      <c r="P60" s="106">
        <v>14</v>
      </c>
      <c r="Q60" s="106">
        <v>9895.1999999999989</v>
      </c>
      <c r="R60" s="106">
        <v>11</v>
      </c>
      <c r="S60" s="106">
        <v>7774.7999999999993</v>
      </c>
      <c r="T60" s="106">
        <v>24</v>
      </c>
      <c r="U60" s="106">
        <v>16963.199999999997</v>
      </c>
      <c r="V60" s="106">
        <v>23</v>
      </c>
      <c r="W60" s="106">
        <v>16256.4</v>
      </c>
      <c r="X60" s="106">
        <v>29</v>
      </c>
      <c r="Y60" s="106">
        <v>20497.199999999997</v>
      </c>
      <c r="Z60" s="106">
        <v>22</v>
      </c>
      <c r="AA60" s="106">
        <v>15549.599999999999</v>
      </c>
      <c r="AB60" s="106">
        <v>20</v>
      </c>
      <c r="AC60" s="106">
        <v>14136</v>
      </c>
      <c r="AD60" s="106">
        <v>21</v>
      </c>
      <c r="AE60" s="106">
        <v>14842.8</v>
      </c>
      <c r="AF60" s="106">
        <v>28</v>
      </c>
      <c r="AG60" s="106">
        <v>19790.399999999998</v>
      </c>
      <c r="AH60" s="106">
        <v>26</v>
      </c>
      <c r="AI60" s="106">
        <v>18376.8</v>
      </c>
      <c r="AJ60" s="106">
        <v>40</v>
      </c>
      <c r="AK60" s="106">
        <v>28272</v>
      </c>
      <c r="AL60" s="106">
        <v>35</v>
      </c>
      <c r="AM60" s="106">
        <v>24738</v>
      </c>
      <c r="AN60" s="106">
        <v>22</v>
      </c>
      <c r="AO60" s="106">
        <v>15549.599999999999</v>
      </c>
      <c r="AP60" s="106">
        <v>27</v>
      </c>
      <c r="AQ60" s="106">
        <v>19083.599999999999</v>
      </c>
      <c r="AR60" s="106">
        <v>11</v>
      </c>
      <c r="AS60" s="106">
        <v>7774.7999999999993</v>
      </c>
      <c r="AT60" s="106">
        <v>10</v>
      </c>
      <c r="AU60" s="106">
        <v>7068</v>
      </c>
      <c r="AV60" s="106">
        <v>12.71214909501782</v>
      </c>
      <c r="AW60" s="106">
        <v>8984.9469803585944</v>
      </c>
      <c r="AX60" s="106">
        <v>11.953839045895485</v>
      </c>
      <c r="AY60" s="106">
        <v>8448.9734376389279</v>
      </c>
      <c r="AZ60" s="106">
        <v>15</v>
      </c>
      <c r="BA60" s="106">
        <v>10602</v>
      </c>
      <c r="BB60" s="106">
        <v>10</v>
      </c>
      <c r="BC60" s="106">
        <v>7068</v>
      </c>
      <c r="BD60" s="106">
        <v>13</v>
      </c>
      <c r="BE60" s="106">
        <v>9188.4</v>
      </c>
      <c r="BF60" s="106">
        <v>13</v>
      </c>
      <c r="BG60" s="106">
        <v>9188.4</v>
      </c>
      <c r="BH60" s="106">
        <v>13</v>
      </c>
      <c r="BI60" s="106">
        <v>9188.4</v>
      </c>
      <c r="BJ60" s="106">
        <v>10</v>
      </c>
      <c r="BK60" s="106">
        <v>7068</v>
      </c>
      <c r="BL60" s="106">
        <v>11</v>
      </c>
      <c r="BM60" s="106">
        <v>7774.7999999999993</v>
      </c>
      <c r="BN60" s="106">
        <v>10</v>
      </c>
      <c r="BO60" s="106">
        <v>7068</v>
      </c>
      <c r="BP60" s="106">
        <v>16</v>
      </c>
      <c r="BQ60" s="106">
        <v>11308.8</v>
      </c>
      <c r="BR60" s="106">
        <v>27</v>
      </c>
      <c r="BS60" s="106">
        <v>19083.599999999999</v>
      </c>
      <c r="BT60" s="106">
        <v>19.729468866737836</v>
      </c>
      <c r="BU60" s="106">
        <v>13944.788595010301</v>
      </c>
      <c r="BV60" s="106">
        <v>10.338282628841093</v>
      </c>
      <c r="BW60" s="106">
        <v>7307.0981620648836</v>
      </c>
      <c r="BX60" s="106">
        <v>2.5471594616966327</v>
      </c>
      <c r="BY60" s="106">
        <v>1800.3323075271799</v>
      </c>
      <c r="BZ60" s="106">
        <v>5.4959248280615398</v>
      </c>
      <c r="CA60" s="106">
        <v>3884.5196684738962</v>
      </c>
      <c r="CB60" s="106">
        <v>8</v>
      </c>
      <c r="CC60" s="106">
        <v>5654.4</v>
      </c>
      <c r="CD60" s="106">
        <v>12</v>
      </c>
      <c r="CE60" s="106">
        <v>8481.5999999999985</v>
      </c>
      <c r="CF60" s="106">
        <v>19</v>
      </c>
      <c r="CG60" s="106">
        <v>13429.199999999999</v>
      </c>
      <c r="CH60" s="106">
        <v>23</v>
      </c>
      <c r="CI60" s="106">
        <v>16256.4</v>
      </c>
      <c r="CJ60" s="106">
        <v>26</v>
      </c>
      <c r="CK60" s="106">
        <v>18376.8</v>
      </c>
      <c r="CL60" s="106">
        <v>27</v>
      </c>
      <c r="CM60" s="106">
        <v>19083.599999999999</v>
      </c>
      <c r="CN60" s="106">
        <v>17</v>
      </c>
      <c r="CO60" s="106">
        <v>12015.599999999999</v>
      </c>
      <c r="CP60" s="106">
        <v>15</v>
      </c>
      <c r="CQ60" s="106">
        <v>10602</v>
      </c>
      <c r="CR60" s="106">
        <v>21</v>
      </c>
      <c r="CS60" s="106">
        <v>14842.8</v>
      </c>
      <c r="CT60" s="106">
        <v>15</v>
      </c>
      <c r="CU60" s="106">
        <v>10602</v>
      </c>
    </row>
    <row r="61" spans="2:99" x14ac:dyDescent="0.2">
      <c r="C61" s="105" t="s">
        <v>227</v>
      </c>
      <c r="D61" s="106">
        <v>12</v>
      </c>
      <c r="E61" s="106">
        <v>8092.7999999999993</v>
      </c>
      <c r="F61" s="106">
        <v>8</v>
      </c>
      <c r="G61" s="106">
        <v>5395.2</v>
      </c>
      <c r="H61" s="106">
        <v>12</v>
      </c>
      <c r="I61" s="106">
        <v>8092.7999999999993</v>
      </c>
      <c r="J61" s="106">
        <v>8</v>
      </c>
      <c r="K61" s="106">
        <v>5395.2</v>
      </c>
      <c r="L61" s="106">
        <v>11</v>
      </c>
      <c r="M61" s="106">
        <v>7418.4</v>
      </c>
      <c r="N61" s="106">
        <v>10</v>
      </c>
      <c r="O61" s="106">
        <v>6744</v>
      </c>
      <c r="P61" s="106">
        <v>12</v>
      </c>
      <c r="Q61" s="106">
        <v>8092.7999999999993</v>
      </c>
      <c r="R61" s="106">
        <v>12</v>
      </c>
      <c r="S61" s="106">
        <v>8092.7999999999993</v>
      </c>
      <c r="T61" s="106">
        <v>23</v>
      </c>
      <c r="U61" s="106">
        <v>15511.199999999999</v>
      </c>
      <c r="V61" s="106">
        <v>23</v>
      </c>
      <c r="W61" s="106">
        <v>15511.199999999999</v>
      </c>
      <c r="X61" s="106">
        <v>26</v>
      </c>
      <c r="Y61" s="106">
        <v>17534.399999999998</v>
      </c>
      <c r="Z61" s="106">
        <v>21</v>
      </c>
      <c r="AA61" s="106">
        <v>14162.4</v>
      </c>
      <c r="AB61" s="106">
        <v>19</v>
      </c>
      <c r="AC61" s="106">
        <v>12813.6</v>
      </c>
      <c r="AD61" s="106">
        <v>20</v>
      </c>
      <c r="AE61" s="106">
        <v>13488</v>
      </c>
      <c r="AF61" s="106">
        <v>27</v>
      </c>
      <c r="AG61" s="106">
        <v>18208.8</v>
      </c>
      <c r="AH61" s="106">
        <v>29</v>
      </c>
      <c r="AI61" s="106">
        <v>19557.599999999999</v>
      </c>
      <c r="AJ61" s="106">
        <v>39</v>
      </c>
      <c r="AK61" s="106">
        <v>26301.599999999999</v>
      </c>
      <c r="AL61" s="106">
        <v>35</v>
      </c>
      <c r="AM61" s="106">
        <v>23604</v>
      </c>
      <c r="AN61" s="106">
        <v>22</v>
      </c>
      <c r="AO61" s="106">
        <v>14836.8</v>
      </c>
      <c r="AP61" s="106">
        <v>28</v>
      </c>
      <c r="AQ61" s="106">
        <v>18883.2</v>
      </c>
      <c r="AR61" s="106">
        <v>13</v>
      </c>
      <c r="AS61" s="106">
        <v>8767.1999999999989</v>
      </c>
      <c r="AT61" s="106">
        <v>10</v>
      </c>
      <c r="AU61" s="106">
        <v>6744</v>
      </c>
      <c r="AV61" s="106">
        <v>12</v>
      </c>
      <c r="AW61" s="106">
        <v>8092.7999999999993</v>
      </c>
      <c r="AX61" s="106">
        <v>17</v>
      </c>
      <c r="AY61" s="106">
        <v>11464.8</v>
      </c>
      <c r="AZ61" s="106">
        <v>15</v>
      </c>
      <c r="BA61" s="106">
        <v>10116</v>
      </c>
      <c r="BB61" s="106">
        <v>10</v>
      </c>
      <c r="BC61" s="106">
        <v>6744</v>
      </c>
      <c r="BD61" s="106">
        <v>11</v>
      </c>
      <c r="BE61" s="106">
        <v>7418.4</v>
      </c>
      <c r="BF61" s="106">
        <v>14</v>
      </c>
      <c r="BG61" s="106">
        <v>9441.6</v>
      </c>
      <c r="BH61" s="106">
        <v>12</v>
      </c>
      <c r="BI61" s="106">
        <v>8092.7999999999993</v>
      </c>
      <c r="BJ61" s="106">
        <v>10</v>
      </c>
      <c r="BK61" s="106">
        <v>6744</v>
      </c>
      <c r="BL61" s="106">
        <v>11</v>
      </c>
      <c r="BM61" s="106">
        <v>7418.4</v>
      </c>
      <c r="BN61" s="106">
        <v>11</v>
      </c>
      <c r="BO61" s="106">
        <v>7418.4</v>
      </c>
      <c r="BP61" s="106">
        <v>17</v>
      </c>
      <c r="BQ61" s="106">
        <v>11464.8</v>
      </c>
      <c r="BR61" s="106">
        <v>25</v>
      </c>
      <c r="BS61" s="106">
        <v>16860</v>
      </c>
      <c r="BT61" s="106">
        <v>23</v>
      </c>
      <c r="BU61" s="106">
        <v>15511.199999999999</v>
      </c>
      <c r="BV61" s="106">
        <v>16</v>
      </c>
      <c r="BW61" s="106">
        <v>10790.4</v>
      </c>
      <c r="BX61" s="106">
        <v>6</v>
      </c>
      <c r="BY61" s="106">
        <v>4046.3999999999996</v>
      </c>
      <c r="BZ61" s="106">
        <v>7</v>
      </c>
      <c r="CA61" s="106">
        <v>4720.8</v>
      </c>
      <c r="CB61" s="106">
        <v>7</v>
      </c>
      <c r="CC61" s="106">
        <v>4720.8</v>
      </c>
      <c r="CD61" s="106">
        <v>12</v>
      </c>
      <c r="CE61" s="106">
        <v>8092.7999999999993</v>
      </c>
      <c r="CF61" s="106">
        <v>17</v>
      </c>
      <c r="CG61" s="106">
        <v>11464.8</v>
      </c>
      <c r="CH61" s="106">
        <v>20</v>
      </c>
      <c r="CI61" s="106">
        <v>13488</v>
      </c>
      <c r="CJ61" s="106">
        <v>25</v>
      </c>
      <c r="CK61" s="106">
        <v>16860</v>
      </c>
      <c r="CL61" s="106">
        <v>24</v>
      </c>
      <c r="CM61" s="106">
        <v>16185.599999999999</v>
      </c>
      <c r="CN61" s="106">
        <v>18</v>
      </c>
      <c r="CO61" s="106">
        <v>12139.199999999999</v>
      </c>
      <c r="CP61" s="106">
        <v>16</v>
      </c>
      <c r="CQ61" s="106">
        <v>10790.4</v>
      </c>
      <c r="CR61" s="106">
        <v>23</v>
      </c>
      <c r="CS61" s="106">
        <v>15511.199999999999</v>
      </c>
      <c r="CT61" s="106">
        <v>13</v>
      </c>
      <c r="CU61" s="106">
        <v>8767.1999999999989</v>
      </c>
    </row>
    <row r="62" spans="2:99" x14ac:dyDescent="0.2">
      <c r="C62" s="105" t="s">
        <v>228</v>
      </c>
      <c r="D62" s="106">
        <v>11</v>
      </c>
      <c r="E62" s="106">
        <v>14058</v>
      </c>
      <c r="F62" s="106">
        <v>8</v>
      </c>
      <c r="G62" s="106">
        <v>10224</v>
      </c>
      <c r="H62" s="106">
        <v>11</v>
      </c>
      <c r="I62" s="106">
        <v>14058</v>
      </c>
      <c r="J62" s="106">
        <v>8</v>
      </c>
      <c r="K62" s="106">
        <v>10224</v>
      </c>
      <c r="L62" s="106">
        <v>10</v>
      </c>
      <c r="M62" s="106">
        <v>12780</v>
      </c>
      <c r="N62" s="106">
        <v>9</v>
      </c>
      <c r="O62" s="106">
        <v>11502</v>
      </c>
      <c r="P62" s="106">
        <v>12</v>
      </c>
      <c r="Q62" s="106">
        <v>15336</v>
      </c>
      <c r="R62" s="106">
        <v>10</v>
      </c>
      <c r="S62" s="106">
        <v>12780</v>
      </c>
      <c r="T62" s="106">
        <v>16.034951651437844</v>
      </c>
      <c r="U62" s="106">
        <v>20492.668210537566</v>
      </c>
      <c r="V62" s="106">
        <v>12.824367088607596</v>
      </c>
      <c r="W62" s="106">
        <v>16389.541139240508</v>
      </c>
      <c r="X62" s="106">
        <v>16.318791946308725</v>
      </c>
      <c r="Y62" s="106">
        <v>20855.416107382549</v>
      </c>
      <c r="Z62" s="106">
        <v>13.88961693548387</v>
      </c>
      <c r="AA62" s="106">
        <v>17750.930443548386</v>
      </c>
      <c r="AB62" s="106">
        <v>19.821428571428569</v>
      </c>
      <c r="AC62" s="106">
        <v>25331.78571428571</v>
      </c>
      <c r="AD62" s="106">
        <v>13.217133620689655</v>
      </c>
      <c r="AE62" s="106">
        <v>16891.49676724138</v>
      </c>
      <c r="AF62" s="106">
        <v>20.134883720930233</v>
      </c>
      <c r="AG62" s="106">
        <v>25732.381395348839</v>
      </c>
      <c r="AH62" s="106">
        <v>17.683823529411764</v>
      </c>
      <c r="AI62" s="106">
        <v>22599.926470588234</v>
      </c>
      <c r="AJ62" s="106">
        <v>29.642857142857142</v>
      </c>
      <c r="AK62" s="106">
        <v>37883.571428571428</v>
      </c>
      <c r="AL62" s="106">
        <v>24.411764705882351</v>
      </c>
      <c r="AM62" s="106">
        <v>31198.235294117647</v>
      </c>
      <c r="AN62" s="106">
        <v>17.216157205240176</v>
      </c>
      <c r="AO62" s="106">
        <v>22002.248908296944</v>
      </c>
      <c r="AP62" s="106">
        <v>20.409836065573771</v>
      </c>
      <c r="AQ62" s="106">
        <v>26083.77049180328</v>
      </c>
      <c r="AR62" s="106">
        <v>9.9234693877551017</v>
      </c>
      <c r="AS62" s="106">
        <v>12682.193877551021</v>
      </c>
      <c r="AT62" s="106">
        <v>8.4418402777777786</v>
      </c>
      <c r="AU62" s="106">
        <v>10788.671875000002</v>
      </c>
      <c r="AV62" s="106">
        <v>12</v>
      </c>
      <c r="AW62" s="106">
        <v>15336</v>
      </c>
      <c r="AX62" s="106">
        <v>14</v>
      </c>
      <c r="AY62" s="106">
        <v>17892</v>
      </c>
      <c r="AZ62" s="106">
        <v>8.9827586206896548</v>
      </c>
      <c r="BA62" s="106">
        <v>11479.965517241379</v>
      </c>
      <c r="BB62" s="106">
        <v>6.7557251908396942</v>
      </c>
      <c r="BC62" s="106">
        <v>8633.8167938931292</v>
      </c>
      <c r="BD62" s="106">
        <v>9.5441176470588243</v>
      </c>
      <c r="BE62" s="106">
        <v>12197.382352941177</v>
      </c>
      <c r="BF62" s="106">
        <v>10.936311787072244</v>
      </c>
      <c r="BG62" s="106">
        <v>13976.606463878328</v>
      </c>
      <c r="BH62" s="106">
        <v>11.365384615384617</v>
      </c>
      <c r="BI62" s="106">
        <v>14524.961538461541</v>
      </c>
      <c r="BJ62" s="106">
        <v>9</v>
      </c>
      <c r="BK62" s="106">
        <v>11502</v>
      </c>
      <c r="BL62" s="106">
        <v>11</v>
      </c>
      <c r="BM62" s="106">
        <v>14058</v>
      </c>
      <c r="BN62" s="106">
        <v>8.310638297872341</v>
      </c>
      <c r="BO62" s="106">
        <v>10620.995744680851</v>
      </c>
      <c r="BP62" s="106">
        <v>12.921161825726141</v>
      </c>
      <c r="BQ62" s="106">
        <v>16513.244813278008</v>
      </c>
      <c r="BR62" s="106">
        <v>17.560150375939848</v>
      </c>
      <c r="BS62" s="106">
        <v>22441.872180451126</v>
      </c>
      <c r="BT62" s="106">
        <v>15.976679104477611</v>
      </c>
      <c r="BU62" s="106">
        <v>20418.195895522389</v>
      </c>
      <c r="BV62" s="106">
        <v>10.080179282868526</v>
      </c>
      <c r="BW62" s="106">
        <v>12882.469123505976</v>
      </c>
      <c r="BX62" s="106">
        <v>6</v>
      </c>
      <c r="BY62" s="106">
        <v>7668</v>
      </c>
      <c r="BZ62" s="106">
        <v>8</v>
      </c>
      <c r="CA62" s="106">
        <v>10224</v>
      </c>
      <c r="CB62" s="106">
        <v>7</v>
      </c>
      <c r="CC62" s="106">
        <v>8946</v>
      </c>
      <c r="CD62" s="106">
        <v>11</v>
      </c>
      <c r="CE62" s="106">
        <v>14058</v>
      </c>
      <c r="CF62" s="106">
        <v>17</v>
      </c>
      <c r="CG62" s="106">
        <v>21726</v>
      </c>
      <c r="CH62" s="106">
        <v>21</v>
      </c>
      <c r="CI62" s="106">
        <v>26838</v>
      </c>
      <c r="CJ62" s="106">
        <v>22</v>
      </c>
      <c r="CK62" s="106">
        <v>28116</v>
      </c>
      <c r="CL62" s="106">
        <v>25</v>
      </c>
      <c r="CM62" s="106">
        <v>31950</v>
      </c>
      <c r="CN62" s="106">
        <v>15</v>
      </c>
      <c r="CO62" s="106">
        <v>19170</v>
      </c>
      <c r="CP62" s="106">
        <v>15</v>
      </c>
      <c r="CQ62" s="106">
        <v>19170</v>
      </c>
      <c r="CR62" s="106">
        <v>22</v>
      </c>
      <c r="CS62" s="106">
        <v>28116</v>
      </c>
      <c r="CT62" s="106">
        <v>12.284789644012944</v>
      </c>
      <c r="CU62" s="106">
        <v>15699.961165048542</v>
      </c>
    </row>
    <row r="63" spans="2:99" x14ac:dyDescent="0.2">
      <c r="C63" s="105" t="s">
        <v>229</v>
      </c>
      <c r="D63" s="106">
        <v>11</v>
      </c>
      <c r="E63" s="106">
        <v>9530.4</v>
      </c>
      <c r="F63" s="106">
        <v>7</v>
      </c>
      <c r="G63" s="106">
        <v>6064.8</v>
      </c>
      <c r="H63" s="106">
        <v>11</v>
      </c>
      <c r="I63" s="106">
        <v>9530.4</v>
      </c>
      <c r="J63" s="106">
        <v>8</v>
      </c>
      <c r="K63" s="106">
        <v>6931.2</v>
      </c>
      <c r="L63" s="106">
        <v>10</v>
      </c>
      <c r="M63" s="106">
        <v>8664</v>
      </c>
      <c r="N63" s="106">
        <v>11</v>
      </c>
      <c r="O63" s="106">
        <v>9530.4</v>
      </c>
      <c r="P63" s="106">
        <v>13</v>
      </c>
      <c r="Q63" s="106">
        <v>11263.199999999999</v>
      </c>
      <c r="R63" s="106">
        <v>12</v>
      </c>
      <c r="S63" s="106">
        <v>10396.799999999999</v>
      </c>
      <c r="T63" s="106">
        <v>24</v>
      </c>
      <c r="U63" s="106">
        <v>20793.599999999999</v>
      </c>
      <c r="V63" s="106">
        <v>23</v>
      </c>
      <c r="W63" s="106">
        <v>19927.2</v>
      </c>
      <c r="X63" s="106">
        <v>30</v>
      </c>
      <c r="Y63" s="106">
        <v>25992</v>
      </c>
      <c r="Z63" s="106">
        <v>19</v>
      </c>
      <c r="AA63" s="106">
        <v>16461.599999999999</v>
      </c>
      <c r="AB63" s="106">
        <v>20</v>
      </c>
      <c r="AC63" s="106">
        <v>17328</v>
      </c>
      <c r="AD63" s="106">
        <v>21</v>
      </c>
      <c r="AE63" s="106">
        <v>18194.399999999998</v>
      </c>
      <c r="AF63" s="106">
        <v>24</v>
      </c>
      <c r="AG63" s="106">
        <v>20793.599999999999</v>
      </c>
      <c r="AH63" s="106">
        <v>31</v>
      </c>
      <c r="AI63" s="106">
        <v>26858.399999999998</v>
      </c>
      <c r="AJ63" s="106">
        <v>38</v>
      </c>
      <c r="AK63" s="106">
        <v>32923.199999999997</v>
      </c>
      <c r="AL63" s="106">
        <v>30</v>
      </c>
      <c r="AM63" s="106">
        <v>25992</v>
      </c>
      <c r="AN63" s="106">
        <v>21</v>
      </c>
      <c r="AO63" s="106">
        <v>18194.399999999998</v>
      </c>
      <c r="AP63" s="106">
        <v>23</v>
      </c>
      <c r="AQ63" s="106">
        <v>19927.2</v>
      </c>
      <c r="AR63" s="106">
        <v>13</v>
      </c>
      <c r="AS63" s="106">
        <v>11263.199999999999</v>
      </c>
      <c r="AT63" s="106">
        <v>9</v>
      </c>
      <c r="AU63" s="106">
        <v>7797.5999999999995</v>
      </c>
      <c r="AV63" s="106">
        <v>13</v>
      </c>
      <c r="AW63" s="106">
        <v>11263.199999999999</v>
      </c>
      <c r="AX63" s="106">
        <v>15</v>
      </c>
      <c r="AY63" s="106">
        <v>12996</v>
      </c>
      <c r="AZ63" s="106">
        <v>13</v>
      </c>
      <c r="BA63" s="106">
        <v>11263.199999999999</v>
      </c>
      <c r="BB63" s="106">
        <v>9</v>
      </c>
      <c r="BC63" s="106">
        <v>7797.5999999999995</v>
      </c>
      <c r="BD63" s="106">
        <v>12</v>
      </c>
      <c r="BE63" s="106">
        <v>10396.799999999999</v>
      </c>
      <c r="BF63" s="106">
        <v>12</v>
      </c>
      <c r="BG63" s="106">
        <v>10396.799999999999</v>
      </c>
      <c r="BH63" s="106">
        <v>13</v>
      </c>
      <c r="BI63" s="106">
        <v>11263.199999999999</v>
      </c>
      <c r="BJ63" s="106">
        <v>9</v>
      </c>
      <c r="BK63" s="106">
        <v>7797.5999999999995</v>
      </c>
      <c r="BL63" s="106">
        <v>11</v>
      </c>
      <c r="BM63" s="106">
        <v>9530.4</v>
      </c>
      <c r="BN63" s="106">
        <v>11</v>
      </c>
      <c r="BO63" s="106">
        <v>9530.4</v>
      </c>
      <c r="BP63" s="106">
        <v>17</v>
      </c>
      <c r="BQ63" s="106">
        <v>14728.8</v>
      </c>
      <c r="BR63" s="106">
        <v>24</v>
      </c>
      <c r="BS63" s="106">
        <v>20793.599999999999</v>
      </c>
      <c r="BT63" s="106">
        <v>25</v>
      </c>
      <c r="BU63" s="106">
        <v>21660</v>
      </c>
      <c r="BV63" s="106">
        <v>13</v>
      </c>
      <c r="BW63" s="106">
        <v>11263.199999999999</v>
      </c>
      <c r="BX63" s="106">
        <v>6</v>
      </c>
      <c r="BY63" s="106">
        <v>5198.3999999999996</v>
      </c>
      <c r="BZ63" s="106">
        <v>8</v>
      </c>
      <c r="CA63" s="106">
        <v>6931.2</v>
      </c>
      <c r="CB63" s="106">
        <v>7</v>
      </c>
      <c r="CC63" s="106">
        <v>6064.8</v>
      </c>
      <c r="CD63" s="106">
        <v>12</v>
      </c>
      <c r="CE63" s="106">
        <v>10396.799999999999</v>
      </c>
      <c r="CF63" s="106">
        <v>16</v>
      </c>
      <c r="CG63" s="106">
        <v>13862.4</v>
      </c>
      <c r="CH63" s="106">
        <v>20</v>
      </c>
      <c r="CI63" s="106">
        <v>17328</v>
      </c>
      <c r="CJ63" s="106">
        <v>27</v>
      </c>
      <c r="CK63" s="106">
        <v>23392.799999999999</v>
      </c>
      <c r="CL63" s="106">
        <v>25</v>
      </c>
      <c r="CM63" s="106">
        <v>21660</v>
      </c>
      <c r="CN63" s="106">
        <v>17</v>
      </c>
      <c r="CO63" s="106">
        <v>14728.8</v>
      </c>
      <c r="CP63" s="106">
        <v>15</v>
      </c>
      <c r="CQ63" s="106">
        <v>12996</v>
      </c>
      <c r="CR63" s="106">
        <v>24</v>
      </c>
      <c r="CS63" s="106">
        <v>20793.599999999999</v>
      </c>
      <c r="CT63" s="106">
        <v>14</v>
      </c>
      <c r="CU63" s="106">
        <v>12129.6</v>
      </c>
    </row>
    <row r="64" spans="2:99" x14ac:dyDescent="0.2">
      <c r="C64" s="105" t="s">
        <v>230</v>
      </c>
      <c r="D64" s="106">
        <v>12</v>
      </c>
      <c r="E64" s="106">
        <v>10483.200000000001</v>
      </c>
      <c r="F64" s="106">
        <v>8</v>
      </c>
      <c r="G64" s="106">
        <v>6988.8</v>
      </c>
      <c r="H64" s="106">
        <v>10</v>
      </c>
      <c r="I64" s="106">
        <v>8736</v>
      </c>
      <c r="J64" s="106">
        <v>8</v>
      </c>
      <c r="K64" s="106">
        <v>6988.8</v>
      </c>
      <c r="L64" s="106">
        <v>11</v>
      </c>
      <c r="M64" s="106">
        <v>9609.6</v>
      </c>
      <c r="N64" s="106">
        <v>10</v>
      </c>
      <c r="O64" s="106">
        <v>8736</v>
      </c>
      <c r="P64" s="106">
        <v>13</v>
      </c>
      <c r="Q64" s="106">
        <v>11356.800000000001</v>
      </c>
      <c r="R64" s="106">
        <v>10</v>
      </c>
      <c r="S64" s="106">
        <v>8736</v>
      </c>
      <c r="T64" s="106">
        <v>21</v>
      </c>
      <c r="U64" s="106">
        <v>18345.600000000002</v>
      </c>
      <c r="V64" s="106">
        <v>20</v>
      </c>
      <c r="W64" s="106">
        <v>17472</v>
      </c>
      <c r="X64" s="106">
        <v>25</v>
      </c>
      <c r="Y64" s="106">
        <v>21840</v>
      </c>
      <c r="Z64" s="106">
        <v>19</v>
      </c>
      <c r="AA64" s="106">
        <v>16598.400000000001</v>
      </c>
      <c r="AB64" s="106">
        <v>19</v>
      </c>
      <c r="AC64" s="106">
        <v>16598.400000000001</v>
      </c>
      <c r="AD64" s="106">
        <v>20</v>
      </c>
      <c r="AE64" s="106">
        <v>17472</v>
      </c>
      <c r="AF64" s="106">
        <v>28</v>
      </c>
      <c r="AG64" s="106">
        <v>24460.799999999999</v>
      </c>
      <c r="AH64" s="106">
        <v>29</v>
      </c>
      <c r="AI64" s="106">
        <v>25334.400000000001</v>
      </c>
      <c r="AJ64" s="106">
        <v>41</v>
      </c>
      <c r="AK64" s="106">
        <v>35817.599999999999</v>
      </c>
      <c r="AL64" s="106">
        <v>33</v>
      </c>
      <c r="AM64" s="106">
        <v>28828.799999999999</v>
      </c>
      <c r="AN64" s="106">
        <v>20</v>
      </c>
      <c r="AO64" s="106">
        <v>17472</v>
      </c>
      <c r="AP64" s="106">
        <v>28</v>
      </c>
      <c r="AQ64" s="106">
        <v>24460.799999999999</v>
      </c>
      <c r="AR64" s="106">
        <v>11</v>
      </c>
      <c r="AS64" s="106">
        <v>9609.6</v>
      </c>
      <c r="AT64" s="106">
        <v>9</v>
      </c>
      <c r="AU64" s="106">
        <v>7862.4000000000005</v>
      </c>
      <c r="AV64" s="106">
        <v>12</v>
      </c>
      <c r="AW64" s="106">
        <v>10483.200000000001</v>
      </c>
      <c r="AX64" s="106">
        <v>15</v>
      </c>
      <c r="AY64" s="106">
        <v>13104</v>
      </c>
      <c r="AZ64" s="106">
        <v>13</v>
      </c>
      <c r="BA64" s="106">
        <v>11356.800000000001</v>
      </c>
      <c r="BB64" s="106">
        <v>8</v>
      </c>
      <c r="BC64" s="106">
        <v>6988.8</v>
      </c>
      <c r="BD64" s="106">
        <v>12</v>
      </c>
      <c r="BE64" s="106">
        <v>10483.200000000001</v>
      </c>
      <c r="BF64" s="106">
        <v>13</v>
      </c>
      <c r="BG64" s="106">
        <v>11356.800000000001</v>
      </c>
      <c r="BH64" s="106">
        <v>11</v>
      </c>
      <c r="BI64" s="106">
        <v>9609.6</v>
      </c>
      <c r="BJ64" s="106">
        <v>8</v>
      </c>
      <c r="BK64" s="106">
        <v>6988.8</v>
      </c>
      <c r="BL64" s="106">
        <v>12</v>
      </c>
      <c r="BM64" s="106">
        <v>10483.200000000001</v>
      </c>
      <c r="BN64" s="106">
        <v>11</v>
      </c>
      <c r="BO64" s="106">
        <v>9609.6</v>
      </c>
      <c r="BP64" s="106">
        <v>15</v>
      </c>
      <c r="BQ64" s="106">
        <v>13104</v>
      </c>
      <c r="BR64" s="106">
        <v>25</v>
      </c>
      <c r="BS64" s="106">
        <v>21840</v>
      </c>
      <c r="BT64" s="106">
        <v>25</v>
      </c>
      <c r="BU64" s="106">
        <v>21840</v>
      </c>
      <c r="BV64" s="106">
        <v>14</v>
      </c>
      <c r="BW64" s="106">
        <v>12230.4</v>
      </c>
      <c r="BX64" s="106">
        <v>6</v>
      </c>
      <c r="BY64" s="106">
        <v>5241.6000000000004</v>
      </c>
      <c r="BZ64" s="106">
        <v>7</v>
      </c>
      <c r="CA64" s="106">
        <v>6115.2</v>
      </c>
      <c r="CB64" s="106">
        <v>8</v>
      </c>
      <c r="CC64" s="106">
        <v>6988.8</v>
      </c>
      <c r="CD64" s="106">
        <v>12</v>
      </c>
      <c r="CE64" s="106">
        <v>10483.200000000001</v>
      </c>
      <c r="CF64" s="106">
        <v>19</v>
      </c>
      <c r="CG64" s="106">
        <v>16598.400000000001</v>
      </c>
      <c r="CH64" s="106">
        <v>22</v>
      </c>
      <c r="CI64" s="106">
        <v>19219.2</v>
      </c>
      <c r="CJ64" s="106">
        <v>24</v>
      </c>
      <c r="CK64" s="106">
        <v>20966.400000000001</v>
      </c>
      <c r="CL64" s="106">
        <v>25</v>
      </c>
      <c r="CM64" s="106">
        <v>21840</v>
      </c>
      <c r="CN64" s="106">
        <v>16</v>
      </c>
      <c r="CO64" s="106">
        <v>13977.6</v>
      </c>
      <c r="CP64" s="106">
        <v>14</v>
      </c>
      <c r="CQ64" s="106">
        <v>12230.4</v>
      </c>
      <c r="CR64" s="106">
        <v>23</v>
      </c>
      <c r="CS64" s="106">
        <v>20092.8</v>
      </c>
      <c r="CT64" s="106">
        <v>14</v>
      </c>
      <c r="CU64" s="106">
        <v>12230.4</v>
      </c>
    </row>
    <row r="65" spans="2:99" x14ac:dyDescent="0.2">
      <c r="C65" s="105" t="s">
        <v>231</v>
      </c>
      <c r="D65" s="106">
        <v>11</v>
      </c>
      <c r="E65" s="106">
        <v>3828</v>
      </c>
      <c r="F65" s="106">
        <v>8</v>
      </c>
      <c r="G65" s="106">
        <v>2784</v>
      </c>
      <c r="H65" s="106">
        <v>12</v>
      </c>
      <c r="I65" s="106">
        <v>4176</v>
      </c>
      <c r="J65" s="106">
        <v>8</v>
      </c>
      <c r="K65" s="106">
        <v>2784</v>
      </c>
      <c r="L65" s="106">
        <v>11</v>
      </c>
      <c r="M65" s="106">
        <v>3828</v>
      </c>
      <c r="N65" s="106">
        <v>11</v>
      </c>
      <c r="O65" s="106">
        <v>3828</v>
      </c>
      <c r="P65" s="106">
        <v>14</v>
      </c>
      <c r="Q65" s="106">
        <v>4872</v>
      </c>
      <c r="R65" s="106">
        <v>12</v>
      </c>
      <c r="S65" s="106">
        <v>4176</v>
      </c>
      <c r="T65" s="106">
        <v>27</v>
      </c>
      <c r="U65" s="106">
        <v>9396</v>
      </c>
      <c r="V65" s="106">
        <v>24</v>
      </c>
      <c r="W65" s="106">
        <v>8352</v>
      </c>
      <c r="X65" s="106">
        <v>27</v>
      </c>
      <c r="Y65" s="106">
        <v>9396</v>
      </c>
      <c r="Z65" s="106">
        <v>22</v>
      </c>
      <c r="AA65" s="106">
        <v>7656</v>
      </c>
      <c r="AB65" s="106">
        <v>22</v>
      </c>
      <c r="AC65" s="106">
        <v>7656</v>
      </c>
      <c r="AD65" s="106">
        <v>22</v>
      </c>
      <c r="AE65" s="106">
        <v>7656</v>
      </c>
      <c r="AF65" s="106">
        <v>31</v>
      </c>
      <c r="AG65" s="106">
        <v>10788</v>
      </c>
      <c r="AH65" s="106">
        <v>33</v>
      </c>
      <c r="AI65" s="106">
        <v>11484</v>
      </c>
      <c r="AJ65" s="106">
        <v>41</v>
      </c>
      <c r="AK65" s="106">
        <v>14268</v>
      </c>
      <c r="AL65" s="106">
        <v>39</v>
      </c>
      <c r="AM65" s="106">
        <v>13572</v>
      </c>
      <c r="AN65" s="106">
        <v>23</v>
      </c>
      <c r="AO65" s="106">
        <v>8004</v>
      </c>
      <c r="AP65" s="106">
        <v>30</v>
      </c>
      <c r="AQ65" s="106">
        <v>10440</v>
      </c>
      <c r="AR65" s="106">
        <v>12</v>
      </c>
      <c r="AS65" s="106">
        <v>4176</v>
      </c>
      <c r="AT65" s="106">
        <v>10</v>
      </c>
      <c r="AU65" s="106">
        <v>3480</v>
      </c>
      <c r="AV65" s="106">
        <v>13</v>
      </c>
      <c r="AW65" s="106">
        <v>4524</v>
      </c>
      <c r="AX65" s="106">
        <v>17</v>
      </c>
      <c r="AY65" s="106">
        <v>5916</v>
      </c>
      <c r="AZ65" s="106">
        <v>16</v>
      </c>
      <c r="BA65" s="106">
        <v>5568</v>
      </c>
      <c r="BB65" s="106">
        <v>11</v>
      </c>
      <c r="BC65" s="106">
        <v>3828</v>
      </c>
      <c r="BD65" s="106">
        <v>11</v>
      </c>
      <c r="BE65" s="106">
        <v>3828</v>
      </c>
      <c r="BF65" s="106">
        <v>15</v>
      </c>
      <c r="BG65" s="106">
        <v>5220</v>
      </c>
      <c r="BH65" s="106">
        <v>14</v>
      </c>
      <c r="BI65" s="106">
        <v>4872</v>
      </c>
      <c r="BJ65" s="106">
        <v>9</v>
      </c>
      <c r="BK65" s="106">
        <v>3132</v>
      </c>
      <c r="BL65" s="106">
        <v>11</v>
      </c>
      <c r="BM65" s="106">
        <v>3828</v>
      </c>
      <c r="BN65" s="106">
        <v>11</v>
      </c>
      <c r="BO65" s="106">
        <v>3828</v>
      </c>
      <c r="BP65" s="106">
        <v>17</v>
      </c>
      <c r="BQ65" s="106">
        <v>5916</v>
      </c>
      <c r="BR65" s="106">
        <v>29</v>
      </c>
      <c r="BS65" s="106">
        <v>10092</v>
      </c>
      <c r="BT65" s="106">
        <v>23</v>
      </c>
      <c r="BU65" s="106">
        <v>8004</v>
      </c>
      <c r="BV65" s="106">
        <v>14</v>
      </c>
      <c r="BW65" s="106">
        <v>4872</v>
      </c>
      <c r="BX65" s="106">
        <v>7</v>
      </c>
      <c r="BY65" s="106">
        <v>2436</v>
      </c>
      <c r="BZ65" s="106">
        <v>8</v>
      </c>
      <c r="CA65" s="106">
        <v>2784</v>
      </c>
      <c r="CB65" s="106">
        <v>8</v>
      </c>
      <c r="CC65" s="106">
        <v>2784</v>
      </c>
      <c r="CD65" s="106">
        <v>12</v>
      </c>
      <c r="CE65" s="106">
        <v>4176</v>
      </c>
      <c r="CF65" s="106">
        <v>19</v>
      </c>
      <c r="CG65" s="106">
        <v>6612</v>
      </c>
      <c r="CH65" s="106">
        <v>22</v>
      </c>
      <c r="CI65" s="106">
        <v>7656</v>
      </c>
      <c r="CJ65" s="106">
        <v>28</v>
      </c>
      <c r="CK65" s="106">
        <v>9744</v>
      </c>
      <c r="CL65" s="106">
        <v>27</v>
      </c>
      <c r="CM65" s="106">
        <v>9396</v>
      </c>
      <c r="CN65" s="106">
        <v>18</v>
      </c>
      <c r="CO65" s="106">
        <v>6264</v>
      </c>
      <c r="CP65" s="106">
        <v>16</v>
      </c>
      <c r="CQ65" s="106">
        <v>5568</v>
      </c>
      <c r="CR65" s="106">
        <v>25</v>
      </c>
      <c r="CS65" s="106">
        <v>8700</v>
      </c>
      <c r="CT65" s="106">
        <v>15</v>
      </c>
      <c r="CU65" s="106">
        <v>5220</v>
      </c>
    </row>
    <row r="66" spans="2:99" x14ac:dyDescent="0.2">
      <c r="C66" s="105" t="s">
        <v>232</v>
      </c>
      <c r="D66" s="106">
        <v>11</v>
      </c>
      <c r="E66" s="106">
        <v>8329.1999999999989</v>
      </c>
      <c r="F66" s="106">
        <v>7</v>
      </c>
      <c r="G66" s="106">
        <v>5300.4</v>
      </c>
      <c r="H66" s="106">
        <v>11</v>
      </c>
      <c r="I66" s="106">
        <v>8329.1999999999989</v>
      </c>
      <c r="J66" s="106">
        <v>8</v>
      </c>
      <c r="K66" s="106">
        <v>6057.5999999999995</v>
      </c>
      <c r="L66" s="106">
        <v>11</v>
      </c>
      <c r="M66" s="106">
        <v>8329.1999999999989</v>
      </c>
      <c r="N66" s="106">
        <v>10</v>
      </c>
      <c r="O66" s="106">
        <v>7571.9999999999991</v>
      </c>
      <c r="P66" s="106">
        <v>12</v>
      </c>
      <c r="Q66" s="106">
        <v>9086.4</v>
      </c>
      <c r="R66" s="106">
        <v>10</v>
      </c>
      <c r="S66" s="106">
        <v>7571.9999999999991</v>
      </c>
      <c r="T66" s="106">
        <v>24</v>
      </c>
      <c r="U66" s="106">
        <v>18172.8</v>
      </c>
      <c r="V66" s="106">
        <v>23</v>
      </c>
      <c r="W66" s="106">
        <v>17415.599999999999</v>
      </c>
      <c r="X66" s="106">
        <v>29</v>
      </c>
      <c r="Y66" s="106">
        <v>21958.799999999999</v>
      </c>
      <c r="Z66" s="106">
        <v>22</v>
      </c>
      <c r="AA66" s="106">
        <v>16658.399999999998</v>
      </c>
      <c r="AB66" s="106">
        <v>19</v>
      </c>
      <c r="AC66" s="106">
        <v>14386.8</v>
      </c>
      <c r="AD66" s="106">
        <v>20</v>
      </c>
      <c r="AE66" s="106">
        <v>15143.999999999998</v>
      </c>
      <c r="AF66" s="106">
        <v>29</v>
      </c>
      <c r="AG66" s="106">
        <v>21958.799999999999</v>
      </c>
      <c r="AH66" s="106">
        <v>26</v>
      </c>
      <c r="AI66" s="106">
        <v>19687.199999999997</v>
      </c>
      <c r="AJ66" s="106">
        <v>39</v>
      </c>
      <c r="AK66" s="106">
        <v>29530.799999999996</v>
      </c>
      <c r="AL66" s="106">
        <v>37</v>
      </c>
      <c r="AM66" s="106">
        <v>28016.399999999998</v>
      </c>
      <c r="AN66" s="106">
        <v>19</v>
      </c>
      <c r="AO66" s="106">
        <v>14386.8</v>
      </c>
      <c r="AP66" s="106">
        <v>26</v>
      </c>
      <c r="AQ66" s="106">
        <v>19687.199999999997</v>
      </c>
      <c r="AR66" s="106">
        <v>12</v>
      </c>
      <c r="AS66" s="106">
        <v>9086.4</v>
      </c>
      <c r="AT66" s="106">
        <v>10</v>
      </c>
      <c r="AU66" s="106">
        <v>7571.9999999999991</v>
      </c>
      <c r="AV66" s="106">
        <v>12</v>
      </c>
      <c r="AW66" s="106">
        <v>9086.4</v>
      </c>
      <c r="AX66" s="106">
        <v>16</v>
      </c>
      <c r="AY66" s="106">
        <v>12115.199999999999</v>
      </c>
      <c r="AZ66" s="106">
        <v>16</v>
      </c>
      <c r="BA66" s="106">
        <v>12115.199999999999</v>
      </c>
      <c r="BB66" s="106">
        <v>10</v>
      </c>
      <c r="BC66" s="106">
        <v>7571.9999999999991</v>
      </c>
      <c r="BD66" s="106">
        <v>11</v>
      </c>
      <c r="BE66" s="106">
        <v>8329.1999999999989</v>
      </c>
      <c r="BF66" s="106">
        <v>13</v>
      </c>
      <c r="BG66" s="106">
        <v>9843.5999999999985</v>
      </c>
      <c r="BH66" s="106">
        <v>12</v>
      </c>
      <c r="BI66" s="106">
        <v>9086.4</v>
      </c>
      <c r="BJ66" s="106">
        <v>9</v>
      </c>
      <c r="BK66" s="106">
        <v>6814.7999999999993</v>
      </c>
      <c r="BL66" s="106">
        <v>11</v>
      </c>
      <c r="BM66" s="106">
        <v>8329.1999999999989</v>
      </c>
      <c r="BN66" s="106">
        <v>10</v>
      </c>
      <c r="BO66" s="106">
        <v>7571.9999999999991</v>
      </c>
      <c r="BP66" s="106">
        <v>18</v>
      </c>
      <c r="BQ66" s="106">
        <v>13629.599999999999</v>
      </c>
      <c r="BR66" s="106">
        <v>24</v>
      </c>
      <c r="BS66" s="106">
        <v>18172.8</v>
      </c>
      <c r="BT66" s="106">
        <v>25</v>
      </c>
      <c r="BU66" s="106">
        <v>18930</v>
      </c>
      <c r="BV66" s="106">
        <v>13</v>
      </c>
      <c r="BW66" s="106">
        <v>9843.5999999999985</v>
      </c>
      <c r="BX66" s="106">
        <v>6</v>
      </c>
      <c r="BY66" s="106">
        <v>4543.2</v>
      </c>
      <c r="BZ66" s="106">
        <v>7</v>
      </c>
      <c r="CA66" s="106">
        <v>5300.4</v>
      </c>
      <c r="CB66" s="106">
        <v>7</v>
      </c>
      <c r="CC66" s="106">
        <v>5300.4</v>
      </c>
      <c r="CD66" s="106">
        <v>11</v>
      </c>
      <c r="CE66" s="106">
        <v>8329.1999999999989</v>
      </c>
      <c r="CF66" s="106">
        <v>19</v>
      </c>
      <c r="CG66" s="106">
        <v>14386.8</v>
      </c>
      <c r="CH66" s="106">
        <v>24</v>
      </c>
      <c r="CI66" s="106">
        <v>18172.8</v>
      </c>
      <c r="CJ66" s="106">
        <v>26</v>
      </c>
      <c r="CK66" s="106">
        <v>19687.199999999997</v>
      </c>
      <c r="CL66" s="106">
        <v>28</v>
      </c>
      <c r="CM66" s="106">
        <v>21201.599999999999</v>
      </c>
      <c r="CN66" s="106">
        <v>15</v>
      </c>
      <c r="CO66" s="106">
        <v>11357.999999999998</v>
      </c>
      <c r="CP66" s="106">
        <v>15</v>
      </c>
      <c r="CQ66" s="106">
        <v>11357.999999999998</v>
      </c>
      <c r="CR66" s="106">
        <v>21</v>
      </c>
      <c r="CS66" s="106">
        <v>15901.199999999999</v>
      </c>
      <c r="CT66" s="106">
        <v>13</v>
      </c>
      <c r="CU66" s="106">
        <v>9843.5999999999985</v>
      </c>
    </row>
    <row r="67" spans="2:99" x14ac:dyDescent="0.2">
      <c r="C67" s="105" t="s">
        <v>233</v>
      </c>
      <c r="D67" s="106">
        <v>12</v>
      </c>
      <c r="E67" s="106">
        <v>4795.2</v>
      </c>
      <c r="F67" s="106">
        <v>9</v>
      </c>
      <c r="G67" s="106">
        <v>3596.3999999999996</v>
      </c>
      <c r="H67" s="106">
        <v>13</v>
      </c>
      <c r="I67" s="106">
        <v>5194.7999999999993</v>
      </c>
      <c r="J67" s="106">
        <v>8</v>
      </c>
      <c r="K67" s="106">
        <v>3196.7999999999997</v>
      </c>
      <c r="L67" s="106">
        <v>12</v>
      </c>
      <c r="M67" s="106">
        <v>4795.2</v>
      </c>
      <c r="N67" s="106">
        <v>12</v>
      </c>
      <c r="O67" s="106">
        <v>4795.2</v>
      </c>
      <c r="P67" s="106">
        <v>12</v>
      </c>
      <c r="Q67" s="106">
        <v>4795.2</v>
      </c>
      <c r="R67" s="106">
        <v>13</v>
      </c>
      <c r="S67" s="106">
        <v>5194.7999999999993</v>
      </c>
      <c r="T67" s="106">
        <v>25</v>
      </c>
      <c r="U67" s="106">
        <v>9990</v>
      </c>
      <c r="V67" s="106">
        <v>23</v>
      </c>
      <c r="W67" s="106">
        <v>9190.7999999999993</v>
      </c>
      <c r="X67" s="106">
        <v>28</v>
      </c>
      <c r="Y67" s="106">
        <v>11188.8</v>
      </c>
      <c r="Z67" s="106">
        <v>20</v>
      </c>
      <c r="AA67" s="106">
        <v>7991.9999999999991</v>
      </c>
      <c r="AB67" s="106">
        <v>22</v>
      </c>
      <c r="AC67" s="106">
        <v>8791.1999999999989</v>
      </c>
      <c r="AD67" s="106">
        <v>19</v>
      </c>
      <c r="AE67" s="106">
        <v>7592.4</v>
      </c>
      <c r="AF67" s="106">
        <v>27</v>
      </c>
      <c r="AG67" s="106">
        <v>10789.199999999999</v>
      </c>
      <c r="AH67" s="106">
        <v>29</v>
      </c>
      <c r="AI67" s="106">
        <v>11588.4</v>
      </c>
      <c r="AJ67" s="106">
        <v>40</v>
      </c>
      <c r="AK67" s="106">
        <v>15983.999999999998</v>
      </c>
      <c r="AL67" s="106">
        <v>36</v>
      </c>
      <c r="AM67" s="106">
        <v>14385.599999999999</v>
      </c>
      <c r="AN67" s="106">
        <v>21</v>
      </c>
      <c r="AO67" s="106">
        <v>8391.5999999999985</v>
      </c>
      <c r="AP67" s="106">
        <v>29</v>
      </c>
      <c r="AQ67" s="106">
        <v>11588.4</v>
      </c>
      <c r="AR67" s="106">
        <v>12</v>
      </c>
      <c r="AS67" s="106">
        <v>4795.2</v>
      </c>
      <c r="AT67" s="106">
        <v>10</v>
      </c>
      <c r="AU67" s="106">
        <v>3995.9999999999995</v>
      </c>
      <c r="AV67" s="106">
        <v>13</v>
      </c>
      <c r="AW67" s="106">
        <v>5194.7999999999993</v>
      </c>
      <c r="AX67" s="106">
        <v>16</v>
      </c>
      <c r="AY67" s="106">
        <v>6393.5999999999995</v>
      </c>
      <c r="AZ67" s="106">
        <v>14</v>
      </c>
      <c r="BA67" s="106">
        <v>5594.4</v>
      </c>
      <c r="BB67" s="106">
        <v>10</v>
      </c>
      <c r="BC67" s="106">
        <v>3995.9999999999995</v>
      </c>
      <c r="BD67" s="106">
        <v>11</v>
      </c>
      <c r="BE67" s="106">
        <v>4395.5999999999995</v>
      </c>
      <c r="BF67" s="106">
        <v>16</v>
      </c>
      <c r="BG67" s="106">
        <v>6393.5999999999995</v>
      </c>
      <c r="BH67" s="106">
        <v>13</v>
      </c>
      <c r="BI67" s="106">
        <v>5194.7999999999993</v>
      </c>
      <c r="BJ67" s="106">
        <v>9</v>
      </c>
      <c r="BK67" s="106">
        <v>3596.3999999999996</v>
      </c>
      <c r="BL67" s="106">
        <v>11</v>
      </c>
      <c r="BM67" s="106">
        <v>4395.5999999999995</v>
      </c>
      <c r="BN67" s="106">
        <v>10</v>
      </c>
      <c r="BO67" s="106">
        <v>3995.9999999999995</v>
      </c>
      <c r="BP67" s="106">
        <v>17</v>
      </c>
      <c r="BQ67" s="106">
        <v>6793.2</v>
      </c>
      <c r="BR67" s="106">
        <v>28</v>
      </c>
      <c r="BS67" s="106">
        <v>11188.8</v>
      </c>
      <c r="BT67" s="106">
        <v>27</v>
      </c>
      <c r="BU67" s="106">
        <v>10789.199999999999</v>
      </c>
      <c r="BV67" s="106">
        <v>15</v>
      </c>
      <c r="BW67" s="106">
        <v>5993.9999999999991</v>
      </c>
      <c r="BX67" s="106">
        <v>6</v>
      </c>
      <c r="BY67" s="106">
        <v>2397.6</v>
      </c>
      <c r="BZ67" s="106">
        <v>8</v>
      </c>
      <c r="CA67" s="106">
        <v>3196.7999999999997</v>
      </c>
      <c r="CB67" s="106">
        <v>8</v>
      </c>
      <c r="CC67" s="106">
        <v>3196.7999999999997</v>
      </c>
      <c r="CD67" s="106">
        <v>11</v>
      </c>
      <c r="CE67" s="106">
        <v>4395.5999999999995</v>
      </c>
      <c r="CF67" s="106">
        <v>20</v>
      </c>
      <c r="CG67" s="106">
        <v>7991.9999999999991</v>
      </c>
      <c r="CH67" s="106">
        <v>21</v>
      </c>
      <c r="CI67" s="106">
        <v>8391.5999999999985</v>
      </c>
      <c r="CJ67" s="106">
        <v>25</v>
      </c>
      <c r="CK67" s="106">
        <v>9990</v>
      </c>
      <c r="CL67" s="106">
        <v>29</v>
      </c>
      <c r="CM67" s="106">
        <v>11588.4</v>
      </c>
      <c r="CN67" s="106">
        <v>17</v>
      </c>
      <c r="CO67" s="106">
        <v>6793.2</v>
      </c>
      <c r="CP67" s="106">
        <v>18</v>
      </c>
      <c r="CQ67" s="106">
        <v>7192.7999999999993</v>
      </c>
      <c r="CR67" s="106">
        <v>23</v>
      </c>
      <c r="CS67" s="106">
        <v>9190.7999999999993</v>
      </c>
      <c r="CT67" s="106">
        <v>14</v>
      </c>
      <c r="CU67" s="106">
        <v>5594.4</v>
      </c>
    </row>
    <row r="68" spans="2:99" x14ac:dyDescent="0.2">
      <c r="C68" s="105" t="s">
        <v>234</v>
      </c>
      <c r="D68" s="106">
        <v>10</v>
      </c>
      <c r="E68" s="106">
        <v>9432</v>
      </c>
      <c r="F68" s="106">
        <v>8</v>
      </c>
      <c r="G68" s="106">
        <v>7545.5999999999995</v>
      </c>
      <c r="H68" s="106">
        <v>12</v>
      </c>
      <c r="I68" s="106">
        <v>11318.4</v>
      </c>
      <c r="J68" s="106">
        <v>8</v>
      </c>
      <c r="K68" s="106">
        <v>7545.5999999999995</v>
      </c>
      <c r="L68" s="106">
        <v>11</v>
      </c>
      <c r="M68" s="106">
        <v>10375.199999999999</v>
      </c>
      <c r="N68" s="106">
        <v>11</v>
      </c>
      <c r="O68" s="106">
        <v>10375.199999999999</v>
      </c>
      <c r="P68" s="106">
        <v>13</v>
      </c>
      <c r="Q68" s="106">
        <v>12261.599999999999</v>
      </c>
      <c r="R68" s="106">
        <v>10</v>
      </c>
      <c r="S68" s="106">
        <v>9432</v>
      </c>
      <c r="T68" s="106">
        <v>23</v>
      </c>
      <c r="U68" s="106">
        <v>21693.599999999999</v>
      </c>
      <c r="V68" s="106">
        <v>23</v>
      </c>
      <c r="W68" s="106">
        <v>21693.599999999999</v>
      </c>
      <c r="X68" s="106">
        <v>26</v>
      </c>
      <c r="Y68" s="106">
        <v>24523.199999999997</v>
      </c>
      <c r="Z68" s="106">
        <v>18</v>
      </c>
      <c r="AA68" s="106">
        <v>16977.599999999999</v>
      </c>
      <c r="AB68" s="106">
        <v>18</v>
      </c>
      <c r="AC68" s="106">
        <v>16977.599999999999</v>
      </c>
      <c r="AD68" s="106">
        <v>20</v>
      </c>
      <c r="AE68" s="106">
        <v>18864</v>
      </c>
      <c r="AF68" s="106">
        <v>27</v>
      </c>
      <c r="AG68" s="106">
        <v>25466.399999999998</v>
      </c>
      <c r="AH68" s="106">
        <v>30</v>
      </c>
      <c r="AI68" s="106">
        <v>28295.999999999996</v>
      </c>
      <c r="AJ68" s="106">
        <v>35</v>
      </c>
      <c r="AK68" s="106">
        <v>33012</v>
      </c>
      <c r="AL68" s="106">
        <v>30</v>
      </c>
      <c r="AM68" s="106">
        <v>28295.999999999996</v>
      </c>
      <c r="AN68" s="106">
        <v>20</v>
      </c>
      <c r="AO68" s="106">
        <v>18864</v>
      </c>
      <c r="AP68" s="106">
        <v>26</v>
      </c>
      <c r="AQ68" s="106">
        <v>24523.199999999997</v>
      </c>
      <c r="AR68" s="106">
        <v>11</v>
      </c>
      <c r="AS68" s="106">
        <v>10375.199999999999</v>
      </c>
      <c r="AT68" s="106">
        <v>11</v>
      </c>
      <c r="AU68" s="106">
        <v>10375.199999999999</v>
      </c>
      <c r="AV68" s="106">
        <v>12</v>
      </c>
      <c r="AW68" s="106">
        <v>11318.4</v>
      </c>
      <c r="AX68" s="106">
        <v>14</v>
      </c>
      <c r="AY68" s="106">
        <v>13204.8</v>
      </c>
      <c r="AZ68" s="106">
        <v>14</v>
      </c>
      <c r="BA68" s="106">
        <v>13204.8</v>
      </c>
      <c r="BB68" s="106">
        <v>9</v>
      </c>
      <c r="BC68" s="106">
        <v>8488.7999999999993</v>
      </c>
      <c r="BD68" s="106">
        <v>12</v>
      </c>
      <c r="BE68" s="106">
        <v>11318.4</v>
      </c>
      <c r="BF68" s="106">
        <v>14</v>
      </c>
      <c r="BG68" s="106">
        <v>13204.8</v>
      </c>
      <c r="BH68" s="106">
        <v>11</v>
      </c>
      <c r="BI68" s="106">
        <v>10375.199999999999</v>
      </c>
      <c r="BJ68" s="106">
        <v>9</v>
      </c>
      <c r="BK68" s="106">
        <v>8488.7999999999993</v>
      </c>
      <c r="BL68" s="106">
        <v>11</v>
      </c>
      <c r="BM68" s="106">
        <v>10375.199999999999</v>
      </c>
      <c r="BN68" s="106">
        <v>11</v>
      </c>
      <c r="BO68" s="106">
        <v>10375.199999999999</v>
      </c>
      <c r="BP68" s="106">
        <v>15</v>
      </c>
      <c r="BQ68" s="106">
        <v>14147.999999999998</v>
      </c>
      <c r="BR68" s="106">
        <v>27</v>
      </c>
      <c r="BS68" s="106">
        <v>25466.399999999998</v>
      </c>
      <c r="BT68" s="106">
        <v>21</v>
      </c>
      <c r="BU68" s="106">
        <v>19807.199999999997</v>
      </c>
      <c r="BV68" s="106">
        <v>14</v>
      </c>
      <c r="BW68" s="106">
        <v>13204.8</v>
      </c>
      <c r="BX68" s="106">
        <v>6</v>
      </c>
      <c r="BY68" s="106">
        <v>5659.2</v>
      </c>
      <c r="BZ68" s="106">
        <v>7</v>
      </c>
      <c r="CA68" s="106">
        <v>6602.4</v>
      </c>
      <c r="CB68" s="106">
        <v>7</v>
      </c>
      <c r="CC68" s="106">
        <v>6602.4</v>
      </c>
      <c r="CD68" s="106">
        <v>12</v>
      </c>
      <c r="CE68" s="106">
        <v>11318.4</v>
      </c>
      <c r="CF68" s="106">
        <v>17</v>
      </c>
      <c r="CG68" s="106">
        <v>16034.4</v>
      </c>
      <c r="CH68" s="106">
        <v>19</v>
      </c>
      <c r="CI68" s="106">
        <v>17920.8</v>
      </c>
      <c r="CJ68" s="106">
        <v>24</v>
      </c>
      <c r="CK68" s="106">
        <v>22636.799999999999</v>
      </c>
      <c r="CL68" s="106">
        <v>24</v>
      </c>
      <c r="CM68" s="106">
        <v>22636.799999999999</v>
      </c>
      <c r="CN68" s="106">
        <v>17</v>
      </c>
      <c r="CO68" s="106">
        <v>16034.4</v>
      </c>
      <c r="CP68" s="106">
        <v>16</v>
      </c>
      <c r="CQ68" s="106">
        <v>15091.199999999999</v>
      </c>
      <c r="CR68" s="106">
        <v>21</v>
      </c>
      <c r="CS68" s="106">
        <v>19807.199999999997</v>
      </c>
      <c r="CT68" s="106">
        <v>14</v>
      </c>
      <c r="CU68" s="106">
        <v>13204.8</v>
      </c>
    </row>
    <row r="69" spans="2:99" x14ac:dyDescent="0.2">
      <c r="C69" s="105" t="s">
        <v>235</v>
      </c>
      <c r="D69" s="106">
        <v>12</v>
      </c>
      <c r="E69" s="106">
        <v>10627.2</v>
      </c>
      <c r="F69" s="106">
        <v>8</v>
      </c>
      <c r="G69" s="106">
        <v>7084.8</v>
      </c>
      <c r="H69" s="106">
        <v>10</v>
      </c>
      <c r="I69" s="106">
        <v>8856</v>
      </c>
      <c r="J69" s="106">
        <v>7</v>
      </c>
      <c r="K69" s="106">
        <v>6199.2</v>
      </c>
      <c r="L69" s="106">
        <v>12</v>
      </c>
      <c r="M69" s="106">
        <v>10627.2</v>
      </c>
      <c r="N69" s="106">
        <v>10</v>
      </c>
      <c r="O69" s="106">
        <v>8856</v>
      </c>
      <c r="P69" s="106">
        <v>13</v>
      </c>
      <c r="Q69" s="106">
        <v>11512.800000000001</v>
      </c>
      <c r="R69" s="106">
        <v>12</v>
      </c>
      <c r="S69" s="106">
        <v>10627.2</v>
      </c>
      <c r="T69" s="106">
        <v>26</v>
      </c>
      <c r="U69" s="106">
        <v>23025.600000000002</v>
      </c>
      <c r="V69" s="106">
        <v>23</v>
      </c>
      <c r="W69" s="106">
        <v>20368.8</v>
      </c>
      <c r="X69" s="106">
        <v>26</v>
      </c>
      <c r="Y69" s="106">
        <v>23025.600000000002</v>
      </c>
      <c r="Z69" s="106">
        <v>20</v>
      </c>
      <c r="AA69" s="106">
        <v>17712</v>
      </c>
      <c r="AB69" s="106">
        <v>17</v>
      </c>
      <c r="AC69" s="106">
        <v>15055.2</v>
      </c>
      <c r="AD69" s="106">
        <v>18</v>
      </c>
      <c r="AE69" s="106">
        <v>15940.800000000001</v>
      </c>
      <c r="AF69" s="106">
        <v>26</v>
      </c>
      <c r="AG69" s="106">
        <v>23025.600000000002</v>
      </c>
      <c r="AH69" s="106">
        <v>27</v>
      </c>
      <c r="AI69" s="106">
        <v>23911.200000000001</v>
      </c>
      <c r="AJ69" s="106">
        <v>34</v>
      </c>
      <c r="AK69" s="106">
        <v>30110.400000000001</v>
      </c>
      <c r="AL69" s="106">
        <v>35</v>
      </c>
      <c r="AM69" s="106">
        <v>30996</v>
      </c>
      <c r="AN69" s="106">
        <v>19</v>
      </c>
      <c r="AO69" s="106">
        <v>16826.400000000001</v>
      </c>
      <c r="AP69" s="106">
        <v>27</v>
      </c>
      <c r="AQ69" s="106">
        <v>23911.200000000001</v>
      </c>
      <c r="AR69" s="106">
        <v>12</v>
      </c>
      <c r="AS69" s="106">
        <v>10627.2</v>
      </c>
      <c r="AT69" s="106">
        <v>11</v>
      </c>
      <c r="AU69" s="106">
        <v>9741.6</v>
      </c>
      <c r="AV69" s="106">
        <v>11.73429147232414</v>
      </c>
      <c r="AW69" s="106">
        <v>10391.888527890258</v>
      </c>
      <c r="AX69" s="106">
        <v>11.953839045895485</v>
      </c>
      <c r="AY69" s="106">
        <v>10586.319859045041</v>
      </c>
      <c r="AZ69" s="106">
        <v>15</v>
      </c>
      <c r="BA69" s="106">
        <v>13284</v>
      </c>
      <c r="BB69" s="106">
        <v>9</v>
      </c>
      <c r="BC69" s="106">
        <v>7970.4000000000005</v>
      </c>
      <c r="BD69" s="106">
        <v>12</v>
      </c>
      <c r="BE69" s="106">
        <v>10627.2</v>
      </c>
      <c r="BF69" s="106">
        <v>15</v>
      </c>
      <c r="BG69" s="106">
        <v>13284</v>
      </c>
      <c r="BH69" s="106">
        <v>12</v>
      </c>
      <c r="BI69" s="106">
        <v>10627.2</v>
      </c>
      <c r="BJ69" s="106">
        <v>10</v>
      </c>
      <c r="BK69" s="106">
        <v>8856</v>
      </c>
      <c r="BL69" s="106">
        <v>12</v>
      </c>
      <c r="BM69" s="106">
        <v>10627.2</v>
      </c>
      <c r="BN69" s="106">
        <v>10</v>
      </c>
      <c r="BO69" s="106">
        <v>8856</v>
      </c>
      <c r="BP69" s="106">
        <v>17</v>
      </c>
      <c r="BQ69" s="106">
        <v>15055.2</v>
      </c>
      <c r="BR69" s="106">
        <v>28</v>
      </c>
      <c r="BS69" s="106">
        <v>24796.799999999999</v>
      </c>
      <c r="BT69" s="106">
        <v>21.608465901665248</v>
      </c>
      <c r="BU69" s="106">
        <v>19136.457402514745</v>
      </c>
      <c r="BV69" s="106">
        <v>9.6490637869183526</v>
      </c>
      <c r="BW69" s="106">
        <v>8545.2108896948939</v>
      </c>
      <c r="BX69" s="106">
        <v>2.9716860386460713</v>
      </c>
      <c r="BY69" s="106">
        <v>2631.7251558249609</v>
      </c>
      <c r="BZ69" s="106">
        <v>5.4959248280615398</v>
      </c>
      <c r="CA69" s="106">
        <v>4867.1910277313</v>
      </c>
      <c r="CB69" s="106">
        <v>8</v>
      </c>
      <c r="CC69" s="106">
        <v>7084.8</v>
      </c>
      <c r="CD69" s="106">
        <v>10</v>
      </c>
      <c r="CE69" s="106">
        <v>8856</v>
      </c>
      <c r="CF69" s="106">
        <v>19</v>
      </c>
      <c r="CG69" s="106">
        <v>16826.400000000001</v>
      </c>
      <c r="CH69" s="106">
        <v>23</v>
      </c>
      <c r="CI69" s="106">
        <v>20368.8</v>
      </c>
      <c r="CJ69" s="106">
        <v>27</v>
      </c>
      <c r="CK69" s="106">
        <v>23911.200000000001</v>
      </c>
      <c r="CL69" s="106">
        <v>23</v>
      </c>
      <c r="CM69" s="106">
        <v>20368.8</v>
      </c>
      <c r="CN69" s="106">
        <v>16</v>
      </c>
      <c r="CO69" s="106">
        <v>14169.6</v>
      </c>
      <c r="CP69" s="106">
        <v>15</v>
      </c>
      <c r="CQ69" s="106">
        <v>13284</v>
      </c>
      <c r="CR69" s="106">
        <v>21</v>
      </c>
      <c r="CS69" s="106">
        <v>18597.600000000002</v>
      </c>
      <c r="CT69" s="106">
        <v>14</v>
      </c>
      <c r="CU69" s="106">
        <v>12398.4</v>
      </c>
    </row>
    <row r="70" spans="2:99" x14ac:dyDescent="0.2">
      <c r="C70" s="105" t="s">
        <v>236</v>
      </c>
      <c r="D70" s="106">
        <v>11</v>
      </c>
      <c r="E70" s="106">
        <v>7788</v>
      </c>
      <c r="F70" s="106">
        <v>8</v>
      </c>
      <c r="G70" s="106">
        <v>5664</v>
      </c>
      <c r="H70" s="106">
        <v>12</v>
      </c>
      <c r="I70" s="106">
        <v>8496</v>
      </c>
      <c r="J70" s="106">
        <v>7</v>
      </c>
      <c r="K70" s="106">
        <v>4956</v>
      </c>
      <c r="L70" s="106">
        <v>11</v>
      </c>
      <c r="M70" s="106">
        <v>7788</v>
      </c>
      <c r="N70" s="106">
        <v>11</v>
      </c>
      <c r="O70" s="106">
        <v>7788</v>
      </c>
      <c r="P70" s="106">
        <v>13</v>
      </c>
      <c r="Q70" s="106">
        <v>9204</v>
      </c>
      <c r="R70" s="106">
        <v>12</v>
      </c>
      <c r="S70" s="106">
        <v>8496</v>
      </c>
      <c r="T70" s="106">
        <v>23</v>
      </c>
      <c r="U70" s="106">
        <v>16284</v>
      </c>
      <c r="V70" s="106">
        <v>23</v>
      </c>
      <c r="W70" s="106">
        <v>16284</v>
      </c>
      <c r="X70" s="106">
        <v>30</v>
      </c>
      <c r="Y70" s="106">
        <v>21240</v>
      </c>
      <c r="Z70" s="106">
        <v>20</v>
      </c>
      <c r="AA70" s="106">
        <v>14160</v>
      </c>
      <c r="AB70" s="106">
        <v>20</v>
      </c>
      <c r="AC70" s="106">
        <v>14160</v>
      </c>
      <c r="AD70" s="106">
        <v>19</v>
      </c>
      <c r="AE70" s="106">
        <v>13452</v>
      </c>
      <c r="AF70" s="106">
        <v>26</v>
      </c>
      <c r="AG70" s="106">
        <v>18408</v>
      </c>
      <c r="AH70" s="106">
        <v>31</v>
      </c>
      <c r="AI70" s="106">
        <v>21948</v>
      </c>
      <c r="AJ70" s="106">
        <v>39</v>
      </c>
      <c r="AK70" s="106">
        <v>27612</v>
      </c>
      <c r="AL70" s="106">
        <v>34</v>
      </c>
      <c r="AM70" s="106">
        <v>24072</v>
      </c>
      <c r="AN70" s="106">
        <v>21</v>
      </c>
      <c r="AO70" s="106">
        <v>14868</v>
      </c>
      <c r="AP70" s="106">
        <v>24</v>
      </c>
      <c r="AQ70" s="106">
        <v>16992</v>
      </c>
      <c r="AR70" s="106">
        <v>11</v>
      </c>
      <c r="AS70" s="106">
        <v>7788</v>
      </c>
      <c r="AT70" s="106">
        <v>10</v>
      </c>
      <c r="AU70" s="106">
        <v>7080</v>
      </c>
      <c r="AV70" s="106">
        <v>11.73429147232414</v>
      </c>
      <c r="AW70" s="106">
        <v>8307.8783624054904</v>
      </c>
      <c r="AX70" s="106">
        <v>12.750761648955185</v>
      </c>
      <c r="AY70" s="106">
        <v>9027.5392474602704</v>
      </c>
      <c r="AZ70" s="106">
        <v>15</v>
      </c>
      <c r="BA70" s="106">
        <v>10620</v>
      </c>
      <c r="BB70" s="106">
        <v>10</v>
      </c>
      <c r="BC70" s="106">
        <v>7080</v>
      </c>
      <c r="BD70" s="106">
        <v>13</v>
      </c>
      <c r="BE70" s="106">
        <v>9204</v>
      </c>
      <c r="BF70" s="106">
        <v>14</v>
      </c>
      <c r="BG70" s="106">
        <v>9912</v>
      </c>
      <c r="BH70" s="106">
        <v>12</v>
      </c>
      <c r="BI70" s="106">
        <v>8496</v>
      </c>
      <c r="BJ70" s="106">
        <v>10</v>
      </c>
      <c r="BK70" s="106">
        <v>7080</v>
      </c>
      <c r="BL70" s="106">
        <v>12</v>
      </c>
      <c r="BM70" s="106">
        <v>8496</v>
      </c>
      <c r="BN70" s="106">
        <v>9</v>
      </c>
      <c r="BO70" s="106">
        <v>6372</v>
      </c>
      <c r="BP70" s="106">
        <v>16</v>
      </c>
      <c r="BQ70" s="106">
        <v>11328</v>
      </c>
      <c r="BR70" s="106">
        <v>29</v>
      </c>
      <c r="BS70" s="106">
        <v>20532</v>
      </c>
      <c r="BT70" s="106">
        <v>23.48746293659266</v>
      </c>
      <c r="BU70" s="106">
        <v>16629.123759107602</v>
      </c>
      <c r="BV70" s="106">
        <v>10.338282628841093</v>
      </c>
      <c r="BW70" s="106">
        <v>7319.5041012194934</v>
      </c>
      <c r="BX70" s="106">
        <v>2.9716860386460713</v>
      </c>
      <c r="BY70" s="106">
        <v>2103.9537153614183</v>
      </c>
      <c r="BZ70" s="106">
        <v>6.2810569463560455</v>
      </c>
      <c r="CA70" s="106">
        <v>4446.9883180200804</v>
      </c>
      <c r="CB70" s="106">
        <v>7</v>
      </c>
      <c r="CC70" s="106">
        <v>4956</v>
      </c>
      <c r="CD70" s="106">
        <v>11</v>
      </c>
      <c r="CE70" s="106">
        <v>7788</v>
      </c>
      <c r="CF70" s="106">
        <v>18</v>
      </c>
      <c r="CG70" s="106">
        <v>12744</v>
      </c>
      <c r="CH70" s="106">
        <v>20</v>
      </c>
      <c r="CI70" s="106">
        <v>14160</v>
      </c>
      <c r="CJ70" s="106">
        <v>27</v>
      </c>
      <c r="CK70" s="106">
        <v>19116</v>
      </c>
      <c r="CL70" s="106">
        <v>25</v>
      </c>
      <c r="CM70" s="106">
        <v>17700</v>
      </c>
      <c r="CN70" s="106">
        <v>15</v>
      </c>
      <c r="CO70" s="106">
        <v>10620</v>
      </c>
      <c r="CP70" s="106">
        <v>17</v>
      </c>
      <c r="CQ70" s="106">
        <v>12036</v>
      </c>
      <c r="CR70" s="106">
        <v>24</v>
      </c>
      <c r="CS70" s="106">
        <v>16992</v>
      </c>
      <c r="CT70" s="106">
        <v>13</v>
      </c>
      <c r="CU70" s="106">
        <v>9204</v>
      </c>
    </row>
    <row r="71" spans="2:99" x14ac:dyDescent="0.2">
      <c r="B71" s="105" t="s">
        <v>130</v>
      </c>
      <c r="C71" s="105" t="s">
        <v>237</v>
      </c>
      <c r="D71" s="106">
        <v>30</v>
      </c>
      <c r="E71" s="106">
        <v>16812</v>
      </c>
      <c r="F71" s="106">
        <v>30</v>
      </c>
      <c r="G71" s="106">
        <v>16812</v>
      </c>
      <c r="H71" s="106">
        <v>18</v>
      </c>
      <c r="I71" s="106">
        <v>10087.199999999999</v>
      </c>
      <c r="J71" s="106">
        <v>26</v>
      </c>
      <c r="K71" s="106">
        <v>14570.4</v>
      </c>
      <c r="L71" s="106">
        <v>29</v>
      </c>
      <c r="M71" s="106">
        <v>16251.599999999999</v>
      </c>
      <c r="N71" s="106">
        <v>21</v>
      </c>
      <c r="O71" s="106">
        <v>11768.4</v>
      </c>
      <c r="P71" s="106">
        <v>19</v>
      </c>
      <c r="Q71" s="106">
        <v>10647.6</v>
      </c>
      <c r="R71" s="106">
        <v>23</v>
      </c>
      <c r="S71" s="106">
        <v>12889.199999999999</v>
      </c>
      <c r="T71" s="106">
        <v>15</v>
      </c>
      <c r="U71" s="106">
        <v>8406</v>
      </c>
      <c r="V71" s="106">
        <v>14</v>
      </c>
      <c r="W71" s="106">
        <v>7845.5999999999995</v>
      </c>
      <c r="X71" s="106">
        <v>15</v>
      </c>
      <c r="Y71" s="106">
        <v>8406</v>
      </c>
      <c r="Z71" s="106">
        <v>11</v>
      </c>
      <c r="AA71" s="106">
        <v>6164.4</v>
      </c>
      <c r="AB71" s="106">
        <v>10</v>
      </c>
      <c r="AC71" s="106">
        <v>5604</v>
      </c>
      <c r="AD71" s="106">
        <v>8</v>
      </c>
      <c r="AE71" s="106">
        <v>4483.2</v>
      </c>
      <c r="AF71" s="106">
        <v>10</v>
      </c>
      <c r="AG71" s="106">
        <v>5604</v>
      </c>
      <c r="AH71" s="106">
        <v>10</v>
      </c>
      <c r="AI71" s="106">
        <v>5604</v>
      </c>
      <c r="AJ71" s="106">
        <v>16</v>
      </c>
      <c r="AK71" s="106">
        <v>8966.4</v>
      </c>
      <c r="AL71" s="106">
        <v>30</v>
      </c>
      <c r="AM71" s="106">
        <v>16812</v>
      </c>
      <c r="AN71" s="106">
        <v>21</v>
      </c>
      <c r="AO71" s="106">
        <v>11768.4</v>
      </c>
      <c r="AP71" s="106">
        <v>26</v>
      </c>
      <c r="AQ71" s="106">
        <v>14570.4</v>
      </c>
      <c r="AR71" s="106">
        <v>26</v>
      </c>
      <c r="AS71" s="106">
        <v>14570.4</v>
      </c>
      <c r="AT71" s="106">
        <v>23</v>
      </c>
      <c r="AU71" s="106">
        <v>12889.199999999999</v>
      </c>
      <c r="AV71" s="106">
        <v>44</v>
      </c>
      <c r="AW71" s="106">
        <v>24657.599999999999</v>
      </c>
      <c r="AX71" s="106">
        <v>40</v>
      </c>
      <c r="AY71" s="106">
        <v>22416</v>
      </c>
      <c r="AZ71" s="106">
        <v>10</v>
      </c>
      <c r="BA71" s="106">
        <v>5604</v>
      </c>
      <c r="BB71" s="106">
        <v>6</v>
      </c>
      <c r="BC71" s="106">
        <v>3362.3999999999996</v>
      </c>
      <c r="BD71" s="106">
        <v>6</v>
      </c>
      <c r="BE71" s="106">
        <v>3362.3999999999996</v>
      </c>
      <c r="BF71" s="106">
        <v>8</v>
      </c>
      <c r="BG71" s="106">
        <v>4483.2</v>
      </c>
      <c r="BH71" s="106">
        <v>6</v>
      </c>
      <c r="BI71" s="106">
        <v>3362.3999999999996</v>
      </c>
      <c r="BJ71" s="106">
        <v>8</v>
      </c>
      <c r="BK71" s="106">
        <v>4483.2</v>
      </c>
      <c r="BL71" s="106">
        <v>9</v>
      </c>
      <c r="BM71" s="106">
        <v>5043.5999999999995</v>
      </c>
      <c r="BN71" s="106">
        <v>7</v>
      </c>
      <c r="BO71" s="106">
        <v>3922.7999999999997</v>
      </c>
      <c r="BP71" s="106">
        <v>6</v>
      </c>
      <c r="BQ71" s="106">
        <v>3362.3999999999996</v>
      </c>
      <c r="BR71" s="106">
        <v>5</v>
      </c>
      <c r="BS71" s="106">
        <v>2802</v>
      </c>
      <c r="BT71" s="106">
        <v>5</v>
      </c>
      <c r="BU71" s="106">
        <v>2802</v>
      </c>
      <c r="BV71" s="106">
        <v>5</v>
      </c>
      <c r="BW71" s="106">
        <v>2802</v>
      </c>
      <c r="BX71" s="106">
        <v>25</v>
      </c>
      <c r="BY71" s="106">
        <v>14010</v>
      </c>
      <c r="BZ71" s="106">
        <v>28</v>
      </c>
      <c r="CA71" s="106">
        <v>15691.199999999999</v>
      </c>
      <c r="CB71" s="106">
        <v>17</v>
      </c>
      <c r="CC71" s="106">
        <v>9526.7999999999993</v>
      </c>
      <c r="CD71" s="106">
        <v>15</v>
      </c>
      <c r="CE71" s="106">
        <v>8406</v>
      </c>
      <c r="CF71" s="106">
        <v>9</v>
      </c>
      <c r="CG71" s="106">
        <v>5043.5999999999995</v>
      </c>
      <c r="CH71" s="106">
        <v>8</v>
      </c>
      <c r="CI71" s="106">
        <v>4483.2</v>
      </c>
      <c r="CJ71" s="106">
        <v>5</v>
      </c>
      <c r="CK71" s="106">
        <v>2802</v>
      </c>
      <c r="CL71" s="106">
        <v>9</v>
      </c>
      <c r="CM71" s="106">
        <v>5043.5999999999995</v>
      </c>
      <c r="CN71" s="106">
        <v>4</v>
      </c>
      <c r="CO71" s="106">
        <v>2241.6</v>
      </c>
      <c r="CP71" s="106">
        <v>5</v>
      </c>
      <c r="CQ71" s="106">
        <v>2802</v>
      </c>
      <c r="CR71" s="106">
        <v>3</v>
      </c>
      <c r="CS71" s="106">
        <v>1681.1999999999998</v>
      </c>
      <c r="CT71" s="106">
        <v>6</v>
      </c>
      <c r="CU71" s="106">
        <v>3362.3999999999996</v>
      </c>
    </row>
    <row r="72" spans="2:99" x14ac:dyDescent="0.2">
      <c r="C72" s="105" t="s">
        <v>238</v>
      </c>
      <c r="D72" s="106">
        <v>29</v>
      </c>
      <c r="E72" s="106">
        <v>24394.799999999999</v>
      </c>
      <c r="F72" s="106">
        <v>28</v>
      </c>
      <c r="G72" s="106">
        <v>23553.599999999999</v>
      </c>
      <c r="H72" s="106">
        <v>19</v>
      </c>
      <c r="I72" s="106">
        <v>15982.8</v>
      </c>
      <c r="J72" s="106">
        <v>25</v>
      </c>
      <c r="K72" s="106">
        <v>21030</v>
      </c>
      <c r="L72" s="106">
        <v>33</v>
      </c>
      <c r="M72" s="106">
        <v>27759.599999999999</v>
      </c>
      <c r="N72" s="106">
        <v>20</v>
      </c>
      <c r="O72" s="106">
        <v>16824</v>
      </c>
      <c r="P72" s="106">
        <v>15</v>
      </c>
      <c r="Q72" s="106">
        <v>12617.999999999998</v>
      </c>
      <c r="R72" s="106">
        <v>26</v>
      </c>
      <c r="S72" s="106">
        <v>21871.199999999997</v>
      </c>
      <c r="T72" s="106">
        <v>15</v>
      </c>
      <c r="U72" s="106">
        <v>12617.999999999998</v>
      </c>
      <c r="V72" s="106">
        <v>15</v>
      </c>
      <c r="W72" s="106">
        <v>12617.999999999998</v>
      </c>
      <c r="X72" s="106">
        <v>13</v>
      </c>
      <c r="Y72" s="106">
        <v>10935.599999999999</v>
      </c>
      <c r="Z72" s="106">
        <v>11</v>
      </c>
      <c r="AA72" s="106">
        <v>9253.1999999999989</v>
      </c>
      <c r="AB72" s="106">
        <v>11</v>
      </c>
      <c r="AC72" s="106">
        <v>9253.1999999999989</v>
      </c>
      <c r="AD72" s="106">
        <v>8</v>
      </c>
      <c r="AE72" s="106">
        <v>6729.5999999999995</v>
      </c>
      <c r="AF72" s="106">
        <v>9</v>
      </c>
      <c r="AG72" s="106">
        <v>7570.7999999999993</v>
      </c>
      <c r="AH72" s="106">
        <v>9</v>
      </c>
      <c r="AI72" s="106">
        <v>7570.7999999999993</v>
      </c>
      <c r="AJ72" s="106">
        <v>16</v>
      </c>
      <c r="AK72" s="106">
        <v>13459.199999999999</v>
      </c>
      <c r="AL72" s="106">
        <v>25</v>
      </c>
      <c r="AM72" s="106">
        <v>21030</v>
      </c>
      <c r="AN72" s="106">
        <v>21</v>
      </c>
      <c r="AO72" s="106">
        <v>17665.199999999997</v>
      </c>
      <c r="AP72" s="106">
        <v>27</v>
      </c>
      <c r="AQ72" s="106">
        <v>22712.399999999998</v>
      </c>
      <c r="AR72" s="106">
        <v>22</v>
      </c>
      <c r="AS72" s="106">
        <v>18506.399999999998</v>
      </c>
      <c r="AT72" s="106">
        <v>24</v>
      </c>
      <c r="AU72" s="106">
        <v>20188.8</v>
      </c>
      <c r="AV72" s="106">
        <v>41</v>
      </c>
      <c r="AW72" s="106">
        <v>34489.199999999997</v>
      </c>
      <c r="AX72" s="106">
        <v>31</v>
      </c>
      <c r="AY72" s="106">
        <v>26077.199999999997</v>
      </c>
      <c r="AZ72" s="106">
        <v>8</v>
      </c>
      <c r="BA72" s="106">
        <v>6729.5999999999995</v>
      </c>
      <c r="BB72" s="106">
        <v>6</v>
      </c>
      <c r="BC72" s="106">
        <v>5047.2</v>
      </c>
      <c r="BD72" s="106">
        <v>5</v>
      </c>
      <c r="BE72" s="106">
        <v>4206</v>
      </c>
      <c r="BF72" s="106">
        <v>7</v>
      </c>
      <c r="BG72" s="106">
        <v>5888.4</v>
      </c>
      <c r="BH72" s="106">
        <v>6</v>
      </c>
      <c r="BI72" s="106">
        <v>5047.2</v>
      </c>
      <c r="BJ72" s="106">
        <v>8</v>
      </c>
      <c r="BK72" s="106">
        <v>6729.5999999999995</v>
      </c>
      <c r="BL72" s="106">
        <v>8</v>
      </c>
      <c r="BM72" s="106">
        <v>6729.5999999999995</v>
      </c>
      <c r="BN72" s="106">
        <v>6</v>
      </c>
      <c r="BO72" s="106">
        <v>5047.2</v>
      </c>
      <c r="BP72" s="106">
        <v>6</v>
      </c>
      <c r="BQ72" s="106">
        <v>5047.2</v>
      </c>
      <c r="BR72" s="106">
        <v>5</v>
      </c>
      <c r="BS72" s="106">
        <v>4206</v>
      </c>
      <c r="BT72" s="106">
        <v>5</v>
      </c>
      <c r="BU72" s="106">
        <v>4206</v>
      </c>
      <c r="BV72" s="106">
        <v>5</v>
      </c>
      <c r="BW72" s="106">
        <v>4206</v>
      </c>
      <c r="BX72" s="106">
        <v>23</v>
      </c>
      <c r="BY72" s="106">
        <v>19347.599999999999</v>
      </c>
      <c r="BZ72" s="106">
        <v>25</v>
      </c>
      <c r="CA72" s="106">
        <v>21030</v>
      </c>
      <c r="CB72" s="106">
        <v>15</v>
      </c>
      <c r="CC72" s="106">
        <v>12617.999999999998</v>
      </c>
      <c r="CD72" s="106">
        <v>15</v>
      </c>
      <c r="CE72" s="106">
        <v>12617.999999999998</v>
      </c>
      <c r="CF72" s="106">
        <v>9</v>
      </c>
      <c r="CG72" s="106">
        <v>7570.7999999999993</v>
      </c>
      <c r="CH72" s="106">
        <v>7</v>
      </c>
      <c r="CI72" s="106">
        <v>5888.4</v>
      </c>
      <c r="CJ72" s="106">
        <v>5</v>
      </c>
      <c r="CK72" s="106">
        <v>4206</v>
      </c>
      <c r="CL72" s="106">
        <v>10</v>
      </c>
      <c r="CM72" s="106">
        <v>8412</v>
      </c>
      <c r="CN72" s="106">
        <v>4</v>
      </c>
      <c r="CO72" s="106">
        <v>3364.7999999999997</v>
      </c>
      <c r="CP72" s="106">
        <v>5</v>
      </c>
      <c r="CQ72" s="106">
        <v>4206</v>
      </c>
      <c r="CR72" s="106">
        <v>3</v>
      </c>
      <c r="CS72" s="106">
        <v>2523.6</v>
      </c>
      <c r="CT72" s="106">
        <v>6</v>
      </c>
      <c r="CU72" s="106">
        <v>5047.2</v>
      </c>
    </row>
    <row r="73" spans="2:99" x14ac:dyDescent="0.2">
      <c r="C73" s="105" t="s">
        <v>239</v>
      </c>
      <c r="D73" s="106">
        <v>28</v>
      </c>
      <c r="E73" s="106">
        <v>29131.199999999997</v>
      </c>
      <c r="F73" s="106">
        <v>30</v>
      </c>
      <c r="G73" s="106">
        <v>31211.999999999996</v>
      </c>
      <c r="H73" s="106">
        <v>16</v>
      </c>
      <c r="I73" s="106">
        <v>16646.399999999998</v>
      </c>
      <c r="J73" s="106">
        <v>24</v>
      </c>
      <c r="K73" s="106">
        <v>24969.599999999999</v>
      </c>
      <c r="L73" s="106">
        <v>28</v>
      </c>
      <c r="M73" s="106">
        <v>29131.199999999997</v>
      </c>
      <c r="N73" s="106">
        <v>17</v>
      </c>
      <c r="O73" s="106">
        <v>17686.8</v>
      </c>
      <c r="P73" s="106">
        <v>15</v>
      </c>
      <c r="Q73" s="106">
        <v>15605.999999999998</v>
      </c>
      <c r="R73" s="106">
        <v>22</v>
      </c>
      <c r="S73" s="106">
        <v>22888.799999999996</v>
      </c>
      <c r="T73" s="106">
        <v>15</v>
      </c>
      <c r="U73" s="106">
        <v>15605.999999999998</v>
      </c>
      <c r="V73" s="106">
        <v>15</v>
      </c>
      <c r="W73" s="106">
        <v>15605.999999999998</v>
      </c>
      <c r="X73" s="106">
        <v>12</v>
      </c>
      <c r="Y73" s="106">
        <v>12484.8</v>
      </c>
      <c r="Z73" s="106">
        <v>11</v>
      </c>
      <c r="AA73" s="106">
        <v>11444.399999999998</v>
      </c>
      <c r="AB73" s="106">
        <v>12</v>
      </c>
      <c r="AC73" s="106">
        <v>12484.8</v>
      </c>
      <c r="AD73" s="106">
        <v>9</v>
      </c>
      <c r="AE73" s="106">
        <v>9363.5999999999985</v>
      </c>
      <c r="AF73" s="106">
        <v>10</v>
      </c>
      <c r="AG73" s="106">
        <v>10403.999999999998</v>
      </c>
      <c r="AH73" s="106">
        <v>9</v>
      </c>
      <c r="AI73" s="106">
        <v>9363.5999999999985</v>
      </c>
      <c r="AJ73" s="106">
        <v>15</v>
      </c>
      <c r="AK73" s="106">
        <v>15605.999999999998</v>
      </c>
      <c r="AL73" s="106">
        <v>27</v>
      </c>
      <c r="AM73" s="106">
        <v>28090.799999999996</v>
      </c>
      <c r="AN73" s="106">
        <v>22</v>
      </c>
      <c r="AO73" s="106">
        <v>22888.799999999996</v>
      </c>
      <c r="AP73" s="106">
        <v>26</v>
      </c>
      <c r="AQ73" s="106">
        <v>27050.399999999998</v>
      </c>
      <c r="AR73" s="106">
        <v>22</v>
      </c>
      <c r="AS73" s="106">
        <v>22888.799999999996</v>
      </c>
      <c r="AT73" s="106">
        <v>24</v>
      </c>
      <c r="AU73" s="106">
        <v>24969.599999999999</v>
      </c>
      <c r="AV73" s="106">
        <v>40</v>
      </c>
      <c r="AW73" s="106">
        <v>41615.999999999993</v>
      </c>
      <c r="AX73" s="106">
        <v>33</v>
      </c>
      <c r="AY73" s="106">
        <v>34333.199999999997</v>
      </c>
      <c r="AZ73" s="106">
        <v>8</v>
      </c>
      <c r="BA73" s="106">
        <v>8323.1999999999989</v>
      </c>
      <c r="BB73" s="106">
        <v>5</v>
      </c>
      <c r="BC73" s="106">
        <v>5201.9999999999991</v>
      </c>
      <c r="BD73" s="106">
        <v>6</v>
      </c>
      <c r="BE73" s="106">
        <v>6242.4</v>
      </c>
      <c r="BF73" s="106">
        <v>8</v>
      </c>
      <c r="BG73" s="106">
        <v>8323.1999999999989</v>
      </c>
      <c r="BH73" s="106">
        <v>5</v>
      </c>
      <c r="BI73" s="106">
        <v>5201.9999999999991</v>
      </c>
      <c r="BJ73" s="106">
        <v>7</v>
      </c>
      <c r="BK73" s="106">
        <v>7282.7999999999993</v>
      </c>
      <c r="BL73" s="106">
        <v>9</v>
      </c>
      <c r="BM73" s="106">
        <v>9363.5999999999985</v>
      </c>
      <c r="BN73" s="106">
        <v>6</v>
      </c>
      <c r="BO73" s="106">
        <v>6242.4</v>
      </c>
      <c r="BP73" s="106">
        <v>6</v>
      </c>
      <c r="BQ73" s="106">
        <v>6242.4</v>
      </c>
      <c r="BR73" s="106">
        <v>4</v>
      </c>
      <c r="BS73" s="106">
        <v>4161.5999999999995</v>
      </c>
      <c r="BT73" s="106">
        <v>6</v>
      </c>
      <c r="BU73" s="106">
        <v>6242.4</v>
      </c>
      <c r="BV73" s="106">
        <v>5</v>
      </c>
      <c r="BW73" s="106">
        <v>5201.9999999999991</v>
      </c>
      <c r="BX73" s="106">
        <v>24</v>
      </c>
      <c r="BY73" s="106">
        <v>24969.599999999999</v>
      </c>
      <c r="BZ73" s="106">
        <v>25</v>
      </c>
      <c r="CA73" s="106">
        <v>26009.999999999996</v>
      </c>
      <c r="CB73" s="106">
        <v>14</v>
      </c>
      <c r="CC73" s="106">
        <v>14565.599999999999</v>
      </c>
      <c r="CD73" s="106">
        <v>16</v>
      </c>
      <c r="CE73" s="106">
        <v>16646.399999999998</v>
      </c>
      <c r="CF73" s="106">
        <v>9</v>
      </c>
      <c r="CG73" s="106">
        <v>9363.5999999999985</v>
      </c>
      <c r="CH73" s="106">
        <v>8</v>
      </c>
      <c r="CI73" s="106">
        <v>8323.1999999999989</v>
      </c>
      <c r="CJ73" s="106">
        <v>6</v>
      </c>
      <c r="CK73" s="106">
        <v>6242.4</v>
      </c>
      <c r="CL73" s="106">
        <v>10</v>
      </c>
      <c r="CM73" s="106">
        <v>10403.999999999998</v>
      </c>
      <c r="CN73" s="106">
        <v>4</v>
      </c>
      <c r="CO73" s="106">
        <v>4161.5999999999995</v>
      </c>
      <c r="CP73" s="106">
        <v>4</v>
      </c>
      <c r="CQ73" s="106">
        <v>4161.5999999999995</v>
      </c>
      <c r="CR73" s="106">
        <v>3</v>
      </c>
      <c r="CS73" s="106">
        <v>3121.2</v>
      </c>
      <c r="CT73" s="106">
        <v>6</v>
      </c>
      <c r="CU73" s="106">
        <v>6242.4</v>
      </c>
    </row>
    <row r="74" spans="2:99" x14ac:dyDescent="0.2">
      <c r="C74" s="105" t="s">
        <v>240</v>
      </c>
      <c r="D74" s="106">
        <v>33</v>
      </c>
      <c r="E74" s="106">
        <v>12553.199999999999</v>
      </c>
      <c r="F74" s="106">
        <v>33</v>
      </c>
      <c r="G74" s="106">
        <v>12553.199999999999</v>
      </c>
      <c r="H74" s="106">
        <v>21</v>
      </c>
      <c r="I74" s="106">
        <v>7988.4</v>
      </c>
      <c r="J74" s="106">
        <v>30</v>
      </c>
      <c r="K74" s="106">
        <v>11412</v>
      </c>
      <c r="L74" s="106">
        <v>30</v>
      </c>
      <c r="M74" s="106">
        <v>11412</v>
      </c>
      <c r="N74" s="106">
        <v>20</v>
      </c>
      <c r="O74" s="106">
        <v>7608</v>
      </c>
      <c r="P74" s="106">
        <v>17</v>
      </c>
      <c r="Q74" s="106">
        <v>6466.7999999999993</v>
      </c>
      <c r="R74" s="106">
        <v>25</v>
      </c>
      <c r="S74" s="106">
        <v>9510</v>
      </c>
      <c r="T74" s="106">
        <v>16</v>
      </c>
      <c r="U74" s="106">
        <v>6086.4</v>
      </c>
      <c r="V74" s="106">
        <v>15</v>
      </c>
      <c r="W74" s="106">
        <v>5706</v>
      </c>
      <c r="X74" s="106">
        <v>15</v>
      </c>
      <c r="Y74" s="106">
        <v>5706</v>
      </c>
      <c r="Z74" s="106">
        <v>13</v>
      </c>
      <c r="AA74" s="106">
        <v>4945.2</v>
      </c>
      <c r="AB74" s="106">
        <v>12</v>
      </c>
      <c r="AC74" s="106">
        <v>4564.7999999999993</v>
      </c>
      <c r="AD74" s="106">
        <v>9</v>
      </c>
      <c r="AE74" s="106">
        <v>3423.6</v>
      </c>
      <c r="AF74" s="106">
        <v>9</v>
      </c>
      <c r="AG74" s="106">
        <v>3423.6</v>
      </c>
      <c r="AH74" s="106">
        <v>9</v>
      </c>
      <c r="AI74" s="106">
        <v>3423.6</v>
      </c>
      <c r="AJ74" s="106">
        <v>17</v>
      </c>
      <c r="AK74" s="106">
        <v>6466.7999999999993</v>
      </c>
      <c r="AL74" s="106">
        <v>28</v>
      </c>
      <c r="AM74" s="106">
        <v>10651.199999999999</v>
      </c>
      <c r="AN74" s="106">
        <v>24</v>
      </c>
      <c r="AO74" s="106">
        <v>9129.5999999999985</v>
      </c>
      <c r="AP74" s="106">
        <v>26</v>
      </c>
      <c r="AQ74" s="106">
        <v>9890.4</v>
      </c>
      <c r="AR74" s="106">
        <v>27</v>
      </c>
      <c r="AS74" s="106">
        <v>10270.799999999999</v>
      </c>
      <c r="AT74" s="106">
        <v>27</v>
      </c>
      <c r="AU74" s="106">
        <v>10270.799999999999</v>
      </c>
      <c r="AV74" s="106">
        <v>43</v>
      </c>
      <c r="AW74" s="106">
        <v>16357.199999999999</v>
      </c>
      <c r="AX74" s="106">
        <v>36</v>
      </c>
      <c r="AY74" s="106">
        <v>13694.4</v>
      </c>
      <c r="AZ74" s="106">
        <v>9</v>
      </c>
      <c r="BA74" s="106">
        <v>3423.6</v>
      </c>
      <c r="BB74" s="106">
        <v>7</v>
      </c>
      <c r="BC74" s="106">
        <v>2662.7999999999997</v>
      </c>
      <c r="BD74" s="106">
        <v>6</v>
      </c>
      <c r="BE74" s="106">
        <v>2282.3999999999996</v>
      </c>
      <c r="BF74" s="106">
        <v>9</v>
      </c>
      <c r="BG74" s="106">
        <v>3423.6</v>
      </c>
      <c r="BH74" s="106">
        <v>6</v>
      </c>
      <c r="BI74" s="106">
        <v>2282.3999999999996</v>
      </c>
      <c r="BJ74" s="106">
        <v>8</v>
      </c>
      <c r="BK74" s="106">
        <v>3043.2</v>
      </c>
      <c r="BL74" s="106">
        <v>9</v>
      </c>
      <c r="BM74" s="106">
        <v>3423.6</v>
      </c>
      <c r="BN74" s="106">
        <v>7</v>
      </c>
      <c r="BO74" s="106">
        <v>2662.7999999999997</v>
      </c>
      <c r="BP74" s="106">
        <v>6</v>
      </c>
      <c r="BQ74" s="106">
        <v>2282.3999999999996</v>
      </c>
      <c r="BR74" s="106">
        <v>5</v>
      </c>
      <c r="BS74" s="106">
        <v>1902</v>
      </c>
      <c r="BT74" s="106">
        <v>6</v>
      </c>
      <c r="BU74" s="106">
        <v>2282.3999999999996</v>
      </c>
      <c r="BV74" s="106">
        <v>6</v>
      </c>
      <c r="BW74" s="106">
        <v>2282.3999999999996</v>
      </c>
      <c r="BX74" s="106">
        <v>29</v>
      </c>
      <c r="BY74" s="106">
        <v>11031.599999999999</v>
      </c>
      <c r="BZ74" s="106">
        <v>24</v>
      </c>
      <c r="CA74" s="106">
        <v>9129.5999999999985</v>
      </c>
      <c r="CB74" s="106">
        <v>16</v>
      </c>
      <c r="CC74" s="106">
        <v>6086.4</v>
      </c>
      <c r="CD74" s="106">
        <v>16</v>
      </c>
      <c r="CE74" s="106">
        <v>6086.4</v>
      </c>
      <c r="CF74" s="106">
        <v>9</v>
      </c>
      <c r="CG74" s="106">
        <v>3423.6</v>
      </c>
      <c r="CH74" s="106">
        <v>9</v>
      </c>
      <c r="CI74" s="106">
        <v>3423.6</v>
      </c>
      <c r="CJ74" s="106">
        <v>6</v>
      </c>
      <c r="CK74" s="106">
        <v>2282.3999999999996</v>
      </c>
      <c r="CL74" s="106">
        <v>10</v>
      </c>
      <c r="CM74" s="106">
        <v>3804</v>
      </c>
      <c r="CN74" s="106">
        <v>5</v>
      </c>
      <c r="CO74" s="106">
        <v>1902</v>
      </c>
      <c r="CP74" s="106">
        <v>5</v>
      </c>
      <c r="CQ74" s="106">
        <v>1902</v>
      </c>
      <c r="CR74" s="106">
        <v>4</v>
      </c>
      <c r="CS74" s="106">
        <v>1521.6</v>
      </c>
      <c r="CT74" s="106">
        <v>5</v>
      </c>
      <c r="CU74" s="106">
        <v>1902</v>
      </c>
    </row>
    <row r="75" spans="2:99" x14ac:dyDescent="0.2">
      <c r="C75" s="105" t="s">
        <v>241</v>
      </c>
      <c r="D75" s="106">
        <v>33</v>
      </c>
      <c r="E75" s="106">
        <v>13226.4</v>
      </c>
      <c r="F75" s="106">
        <v>33</v>
      </c>
      <c r="G75" s="106">
        <v>13226.4</v>
      </c>
      <c r="H75" s="106">
        <v>21</v>
      </c>
      <c r="I75" s="106">
        <v>8416.8000000000011</v>
      </c>
      <c r="J75" s="106">
        <v>26</v>
      </c>
      <c r="K75" s="106">
        <v>10420.800000000001</v>
      </c>
      <c r="L75" s="106">
        <v>31</v>
      </c>
      <c r="M75" s="106">
        <v>12424.800000000001</v>
      </c>
      <c r="N75" s="106">
        <v>21</v>
      </c>
      <c r="O75" s="106">
        <v>8416.8000000000011</v>
      </c>
      <c r="P75" s="106">
        <v>19</v>
      </c>
      <c r="Q75" s="106">
        <v>7615.2</v>
      </c>
      <c r="R75" s="106">
        <v>26</v>
      </c>
      <c r="S75" s="106">
        <v>10420.800000000001</v>
      </c>
      <c r="T75" s="106">
        <v>16</v>
      </c>
      <c r="U75" s="106">
        <v>6412.8</v>
      </c>
      <c r="V75" s="106">
        <v>17</v>
      </c>
      <c r="W75" s="106">
        <v>6813.6</v>
      </c>
      <c r="X75" s="106">
        <v>14</v>
      </c>
      <c r="Y75" s="106">
        <v>5611.2</v>
      </c>
      <c r="Z75" s="106">
        <v>11</v>
      </c>
      <c r="AA75" s="106">
        <v>4408.8</v>
      </c>
      <c r="AB75" s="106">
        <v>12</v>
      </c>
      <c r="AC75" s="106">
        <v>4809.6000000000004</v>
      </c>
      <c r="AD75" s="106">
        <v>9</v>
      </c>
      <c r="AE75" s="106">
        <v>3607.2000000000003</v>
      </c>
      <c r="AF75" s="106">
        <v>9</v>
      </c>
      <c r="AG75" s="106">
        <v>3607.2000000000003</v>
      </c>
      <c r="AH75" s="106">
        <v>9</v>
      </c>
      <c r="AI75" s="106">
        <v>3607.2000000000003</v>
      </c>
      <c r="AJ75" s="106">
        <v>17</v>
      </c>
      <c r="AK75" s="106">
        <v>6813.6</v>
      </c>
      <c r="AL75" s="106">
        <v>29</v>
      </c>
      <c r="AM75" s="106">
        <v>11623.2</v>
      </c>
      <c r="AN75" s="106">
        <v>21</v>
      </c>
      <c r="AO75" s="106">
        <v>8416.8000000000011</v>
      </c>
      <c r="AP75" s="106">
        <v>29</v>
      </c>
      <c r="AQ75" s="106">
        <v>11623.2</v>
      </c>
      <c r="AR75" s="106">
        <v>25</v>
      </c>
      <c r="AS75" s="106">
        <v>10020</v>
      </c>
      <c r="AT75" s="106">
        <v>25</v>
      </c>
      <c r="AU75" s="106">
        <v>10020</v>
      </c>
      <c r="AV75" s="106">
        <v>44</v>
      </c>
      <c r="AW75" s="106">
        <v>17635.2</v>
      </c>
      <c r="AX75" s="106">
        <v>40</v>
      </c>
      <c r="AY75" s="106">
        <v>16032</v>
      </c>
      <c r="AZ75" s="106">
        <v>10</v>
      </c>
      <c r="BA75" s="106">
        <v>4008</v>
      </c>
      <c r="BB75" s="106">
        <v>6</v>
      </c>
      <c r="BC75" s="106">
        <v>2404.8000000000002</v>
      </c>
      <c r="BD75" s="106">
        <v>6</v>
      </c>
      <c r="BE75" s="106">
        <v>2404.8000000000002</v>
      </c>
      <c r="BF75" s="106">
        <v>8</v>
      </c>
      <c r="BG75" s="106">
        <v>3206.4</v>
      </c>
      <c r="BH75" s="106">
        <v>6</v>
      </c>
      <c r="BI75" s="106">
        <v>2404.8000000000002</v>
      </c>
      <c r="BJ75" s="106">
        <v>8</v>
      </c>
      <c r="BK75" s="106">
        <v>3206.4</v>
      </c>
      <c r="BL75" s="106">
        <v>9</v>
      </c>
      <c r="BM75" s="106">
        <v>3607.2000000000003</v>
      </c>
      <c r="BN75" s="106">
        <v>6</v>
      </c>
      <c r="BO75" s="106">
        <v>2404.8000000000002</v>
      </c>
      <c r="BP75" s="106">
        <v>6</v>
      </c>
      <c r="BQ75" s="106">
        <v>2404.8000000000002</v>
      </c>
      <c r="BR75" s="106">
        <v>4</v>
      </c>
      <c r="BS75" s="106">
        <v>1603.2</v>
      </c>
      <c r="BT75" s="106">
        <v>5</v>
      </c>
      <c r="BU75" s="106">
        <v>2004</v>
      </c>
      <c r="BV75" s="106">
        <v>5</v>
      </c>
      <c r="BW75" s="106">
        <v>2004</v>
      </c>
      <c r="BX75" s="106">
        <v>26</v>
      </c>
      <c r="BY75" s="106">
        <v>10420.800000000001</v>
      </c>
      <c r="BZ75" s="106">
        <v>28</v>
      </c>
      <c r="CA75" s="106">
        <v>11222.4</v>
      </c>
      <c r="CB75" s="106">
        <v>15</v>
      </c>
      <c r="CC75" s="106">
        <v>6012</v>
      </c>
      <c r="CD75" s="106">
        <v>15</v>
      </c>
      <c r="CE75" s="106">
        <v>6012</v>
      </c>
      <c r="CF75" s="106">
        <v>9</v>
      </c>
      <c r="CG75" s="106">
        <v>3607.2000000000003</v>
      </c>
      <c r="CH75" s="106">
        <v>9</v>
      </c>
      <c r="CI75" s="106">
        <v>3607.2000000000003</v>
      </c>
      <c r="CJ75" s="106">
        <v>6</v>
      </c>
      <c r="CK75" s="106">
        <v>2404.8000000000002</v>
      </c>
      <c r="CL75" s="106">
        <v>10</v>
      </c>
      <c r="CM75" s="106">
        <v>4008</v>
      </c>
      <c r="CN75" s="106">
        <v>4</v>
      </c>
      <c r="CO75" s="106">
        <v>1603.2</v>
      </c>
      <c r="CP75" s="106">
        <v>5</v>
      </c>
      <c r="CQ75" s="106">
        <v>2004</v>
      </c>
      <c r="CR75" s="106">
        <v>3</v>
      </c>
      <c r="CS75" s="106">
        <v>1202.4000000000001</v>
      </c>
      <c r="CT75" s="106">
        <v>5</v>
      </c>
      <c r="CU75" s="106">
        <v>2004</v>
      </c>
    </row>
    <row r="76" spans="2:99" x14ac:dyDescent="0.2">
      <c r="C76" s="105" t="s">
        <v>242</v>
      </c>
      <c r="D76" s="106">
        <v>32</v>
      </c>
      <c r="E76" s="106">
        <v>22195.200000000001</v>
      </c>
      <c r="F76" s="106">
        <v>32</v>
      </c>
      <c r="G76" s="106">
        <v>22195.200000000001</v>
      </c>
      <c r="H76" s="106">
        <v>17</v>
      </c>
      <c r="I76" s="106">
        <v>11791.2</v>
      </c>
      <c r="J76" s="106">
        <v>27</v>
      </c>
      <c r="K76" s="106">
        <v>18727.2</v>
      </c>
      <c r="L76" s="106">
        <v>29</v>
      </c>
      <c r="M76" s="106">
        <v>20114.400000000001</v>
      </c>
      <c r="N76" s="106">
        <v>18</v>
      </c>
      <c r="O76" s="106">
        <v>12484.800000000001</v>
      </c>
      <c r="P76" s="106">
        <v>16</v>
      </c>
      <c r="Q76" s="106">
        <v>11097.6</v>
      </c>
      <c r="R76" s="106">
        <v>22</v>
      </c>
      <c r="S76" s="106">
        <v>15259.2</v>
      </c>
      <c r="T76" s="106">
        <v>14</v>
      </c>
      <c r="U76" s="106">
        <v>9710.4</v>
      </c>
      <c r="V76" s="106">
        <v>15</v>
      </c>
      <c r="W76" s="106">
        <v>10404</v>
      </c>
      <c r="X76" s="106">
        <v>14</v>
      </c>
      <c r="Y76" s="106">
        <v>9710.4</v>
      </c>
      <c r="Z76" s="106">
        <v>11</v>
      </c>
      <c r="AA76" s="106">
        <v>7629.6</v>
      </c>
      <c r="AB76" s="106">
        <v>12</v>
      </c>
      <c r="AC76" s="106">
        <v>8323.2000000000007</v>
      </c>
      <c r="AD76" s="106">
        <v>8</v>
      </c>
      <c r="AE76" s="106">
        <v>5548.8</v>
      </c>
      <c r="AF76" s="106">
        <v>9</v>
      </c>
      <c r="AG76" s="106">
        <v>6242.4000000000005</v>
      </c>
      <c r="AH76" s="106">
        <v>10</v>
      </c>
      <c r="AI76" s="106">
        <v>6936</v>
      </c>
      <c r="AJ76" s="106">
        <v>16</v>
      </c>
      <c r="AK76" s="106">
        <v>11097.6</v>
      </c>
      <c r="AL76" s="106">
        <v>30</v>
      </c>
      <c r="AM76" s="106">
        <v>20808</v>
      </c>
      <c r="AN76" s="106">
        <v>20</v>
      </c>
      <c r="AO76" s="106">
        <v>13872</v>
      </c>
      <c r="AP76" s="106">
        <v>25</v>
      </c>
      <c r="AQ76" s="106">
        <v>17340</v>
      </c>
      <c r="AR76" s="106">
        <v>22</v>
      </c>
      <c r="AS76" s="106">
        <v>15259.2</v>
      </c>
      <c r="AT76" s="106">
        <v>22</v>
      </c>
      <c r="AU76" s="106">
        <v>15259.2</v>
      </c>
      <c r="AV76" s="106">
        <v>43</v>
      </c>
      <c r="AW76" s="106">
        <v>29824.799999999999</v>
      </c>
      <c r="AX76" s="106">
        <v>36</v>
      </c>
      <c r="AY76" s="106">
        <v>24969.600000000002</v>
      </c>
      <c r="AZ76" s="106">
        <v>8</v>
      </c>
      <c r="BA76" s="106">
        <v>5548.8</v>
      </c>
      <c r="BB76" s="106">
        <v>6</v>
      </c>
      <c r="BC76" s="106">
        <v>4161.6000000000004</v>
      </c>
      <c r="BD76" s="106">
        <v>6</v>
      </c>
      <c r="BE76" s="106">
        <v>4161.6000000000004</v>
      </c>
      <c r="BF76" s="106">
        <v>9</v>
      </c>
      <c r="BG76" s="106">
        <v>6242.4000000000005</v>
      </c>
      <c r="BH76" s="106">
        <v>6</v>
      </c>
      <c r="BI76" s="106">
        <v>4161.6000000000004</v>
      </c>
      <c r="BJ76" s="106">
        <v>8</v>
      </c>
      <c r="BK76" s="106">
        <v>5548.8</v>
      </c>
      <c r="BL76" s="106">
        <v>8</v>
      </c>
      <c r="BM76" s="106">
        <v>5548.8</v>
      </c>
      <c r="BN76" s="106">
        <v>7</v>
      </c>
      <c r="BO76" s="106">
        <v>4855.2</v>
      </c>
      <c r="BP76" s="106">
        <v>6</v>
      </c>
      <c r="BQ76" s="106">
        <v>4161.6000000000004</v>
      </c>
      <c r="BR76" s="106">
        <v>5</v>
      </c>
      <c r="BS76" s="106">
        <v>3468</v>
      </c>
      <c r="BT76" s="106">
        <v>5</v>
      </c>
      <c r="BU76" s="106">
        <v>3468</v>
      </c>
      <c r="BV76" s="106">
        <v>6</v>
      </c>
      <c r="BW76" s="106">
        <v>4161.6000000000004</v>
      </c>
      <c r="BX76" s="106">
        <v>23</v>
      </c>
      <c r="BY76" s="106">
        <v>15952.800000000001</v>
      </c>
      <c r="BZ76" s="106">
        <v>27</v>
      </c>
      <c r="CA76" s="106">
        <v>18727.2</v>
      </c>
      <c r="CB76" s="106">
        <v>16</v>
      </c>
      <c r="CC76" s="106">
        <v>11097.6</v>
      </c>
      <c r="CD76" s="106">
        <v>17</v>
      </c>
      <c r="CE76" s="106">
        <v>11791.2</v>
      </c>
      <c r="CF76" s="106">
        <v>10</v>
      </c>
      <c r="CG76" s="106">
        <v>6936</v>
      </c>
      <c r="CH76" s="106">
        <v>7</v>
      </c>
      <c r="CI76" s="106">
        <v>4855.2</v>
      </c>
      <c r="CJ76" s="106">
        <v>6</v>
      </c>
      <c r="CK76" s="106">
        <v>4161.6000000000004</v>
      </c>
      <c r="CL76" s="106">
        <v>9</v>
      </c>
      <c r="CM76" s="106">
        <v>6242.4000000000005</v>
      </c>
      <c r="CN76" s="106">
        <v>4</v>
      </c>
      <c r="CO76" s="106">
        <v>2774.4</v>
      </c>
      <c r="CP76" s="106">
        <v>5</v>
      </c>
      <c r="CQ76" s="106">
        <v>3468</v>
      </c>
      <c r="CR76" s="106">
        <v>3</v>
      </c>
      <c r="CS76" s="106">
        <v>2080.8000000000002</v>
      </c>
      <c r="CT76" s="106">
        <v>6</v>
      </c>
      <c r="CU76" s="106">
        <v>4161.6000000000004</v>
      </c>
    </row>
    <row r="77" spans="2:99" x14ac:dyDescent="0.2">
      <c r="C77" s="105" t="s">
        <v>243</v>
      </c>
      <c r="D77" s="106">
        <v>30</v>
      </c>
      <c r="E77" s="106">
        <v>28835.999999999996</v>
      </c>
      <c r="F77" s="106">
        <v>28</v>
      </c>
      <c r="G77" s="106">
        <v>26913.599999999999</v>
      </c>
      <c r="H77" s="106">
        <v>16</v>
      </c>
      <c r="I77" s="106">
        <v>15379.199999999999</v>
      </c>
      <c r="J77" s="106">
        <v>25</v>
      </c>
      <c r="K77" s="106">
        <v>24030</v>
      </c>
      <c r="L77" s="106">
        <v>27</v>
      </c>
      <c r="M77" s="106">
        <v>25952.399999999998</v>
      </c>
      <c r="N77" s="106">
        <v>17</v>
      </c>
      <c r="O77" s="106">
        <v>16340.4</v>
      </c>
      <c r="P77" s="106">
        <v>17</v>
      </c>
      <c r="Q77" s="106">
        <v>16340.4</v>
      </c>
      <c r="R77" s="106">
        <v>21</v>
      </c>
      <c r="S77" s="106">
        <v>20185.199999999997</v>
      </c>
      <c r="T77" s="106">
        <v>14</v>
      </c>
      <c r="U77" s="106">
        <v>13456.8</v>
      </c>
      <c r="V77" s="106">
        <v>15</v>
      </c>
      <c r="W77" s="106">
        <v>14417.999999999998</v>
      </c>
      <c r="X77" s="106">
        <v>12</v>
      </c>
      <c r="Y77" s="106">
        <v>11534.4</v>
      </c>
      <c r="Z77" s="106">
        <v>11</v>
      </c>
      <c r="AA77" s="106">
        <v>10573.199999999999</v>
      </c>
      <c r="AB77" s="106">
        <v>10</v>
      </c>
      <c r="AC77" s="106">
        <v>9612</v>
      </c>
      <c r="AD77" s="106">
        <v>8</v>
      </c>
      <c r="AE77" s="106">
        <v>7689.5999999999995</v>
      </c>
      <c r="AF77" s="106">
        <v>9</v>
      </c>
      <c r="AG77" s="106">
        <v>8650.7999999999993</v>
      </c>
      <c r="AH77" s="106">
        <v>8</v>
      </c>
      <c r="AI77" s="106">
        <v>7689.5999999999995</v>
      </c>
      <c r="AJ77" s="106">
        <v>15</v>
      </c>
      <c r="AK77" s="106">
        <v>14417.999999999998</v>
      </c>
      <c r="AL77" s="106">
        <v>25</v>
      </c>
      <c r="AM77" s="106">
        <v>24030</v>
      </c>
      <c r="AN77" s="106">
        <v>22</v>
      </c>
      <c r="AO77" s="106">
        <v>21146.399999999998</v>
      </c>
      <c r="AP77" s="106">
        <v>27</v>
      </c>
      <c r="AQ77" s="106">
        <v>25952.399999999998</v>
      </c>
      <c r="AR77" s="106">
        <v>24</v>
      </c>
      <c r="AS77" s="106">
        <v>23068.799999999999</v>
      </c>
      <c r="AT77" s="106">
        <v>20</v>
      </c>
      <c r="AU77" s="106">
        <v>19224</v>
      </c>
      <c r="AV77" s="106">
        <v>34</v>
      </c>
      <c r="AW77" s="106">
        <v>32680.799999999999</v>
      </c>
      <c r="AX77" s="106">
        <v>33</v>
      </c>
      <c r="AY77" s="106">
        <v>31719.599999999999</v>
      </c>
      <c r="AZ77" s="106">
        <v>8</v>
      </c>
      <c r="BA77" s="106">
        <v>7689.5999999999995</v>
      </c>
      <c r="BB77" s="106">
        <v>6</v>
      </c>
      <c r="BC77" s="106">
        <v>5767.2</v>
      </c>
      <c r="BD77" s="106">
        <v>5</v>
      </c>
      <c r="BE77" s="106">
        <v>4806</v>
      </c>
      <c r="BF77" s="106">
        <v>7</v>
      </c>
      <c r="BG77" s="106">
        <v>6728.4</v>
      </c>
      <c r="BH77" s="106">
        <v>5</v>
      </c>
      <c r="BI77" s="106">
        <v>4806</v>
      </c>
      <c r="BJ77" s="106">
        <v>7</v>
      </c>
      <c r="BK77" s="106">
        <v>6728.4</v>
      </c>
      <c r="BL77" s="106">
        <v>8</v>
      </c>
      <c r="BM77" s="106">
        <v>7689.5999999999995</v>
      </c>
      <c r="BN77" s="106">
        <v>6</v>
      </c>
      <c r="BO77" s="106">
        <v>5767.2</v>
      </c>
      <c r="BP77" s="106">
        <v>5</v>
      </c>
      <c r="BQ77" s="106">
        <v>4806</v>
      </c>
      <c r="BR77" s="106">
        <v>5</v>
      </c>
      <c r="BS77" s="106">
        <v>4806</v>
      </c>
      <c r="BT77" s="106">
        <v>5</v>
      </c>
      <c r="BU77" s="106">
        <v>4806</v>
      </c>
      <c r="BV77" s="106">
        <v>5</v>
      </c>
      <c r="BW77" s="106">
        <v>4806</v>
      </c>
      <c r="BX77" s="106">
        <v>26</v>
      </c>
      <c r="BY77" s="106">
        <v>24991.199999999997</v>
      </c>
      <c r="BZ77" s="106">
        <v>23</v>
      </c>
      <c r="CA77" s="106">
        <v>22107.599999999999</v>
      </c>
      <c r="CB77" s="106">
        <v>14</v>
      </c>
      <c r="CC77" s="106">
        <v>13456.8</v>
      </c>
      <c r="CD77" s="106">
        <v>15</v>
      </c>
      <c r="CE77" s="106">
        <v>14417.999999999998</v>
      </c>
      <c r="CF77" s="106">
        <v>9</v>
      </c>
      <c r="CG77" s="106">
        <v>8650.7999999999993</v>
      </c>
      <c r="CH77" s="106">
        <v>8</v>
      </c>
      <c r="CI77" s="106">
        <v>7689.5999999999995</v>
      </c>
      <c r="CJ77" s="106">
        <v>5</v>
      </c>
      <c r="CK77" s="106">
        <v>4806</v>
      </c>
      <c r="CL77" s="106">
        <v>9</v>
      </c>
      <c r="CM77" s="106">
        <v>8650.7999999999993</v>
      </c>
      <c r="CN77" s="106">
        <v>4</v>
      </c>
      <c r="CO77" s="106">
        <v>3844.7999999999997</v>
      </c>
      <c r="CP77" s="106">
        <v>5</v>
      </c>
      <c r="CQ77" s="106">
        <v>4806</v>
      </c>
      <c r="CR77" s="106">
        <v>3</v>
      </c>
      <c r="CS77" s="106">
        <v>2883.6</v>
      </c>
      <c r="CT77" s="106">
        <v>5</v>
      </c>
      <c r="CU77" s="106">
        <v>4806</v>
      </c>
    </row>
    <row r="78" spans="2:99" x14ac:dyDescent="0.2">
      <c r="C78" s="105" t="s">
        <v>244</v>
      </c>
      <c r="D78" s="106">
        <v>34</v>
      </c>
      <c r="E78" s="106">
        <v>14810.4</v>
      </c>
      <c r="F78" s="106">
        <v>33</v>
      </c>
      <c r="G78" s="106">
        <v>14374.8</v>
      </c>
      <c r="H78" s="106">
        <v>20</v>
      </c>
      <c r="I78" s="106">
        <v>8712</v>
      </c>
      <c r="J78" s="106">
        <v>27</v>
      </c>
      <c r="K78" s="106">
        <v>11761.199999999999</v>
      </c>
      <c r="L78" s="106">
        <v>29</v>
      </c>
      <c r="M78" s="106">
        <v>12632.4</v>
      </c>
      <c r="N78" s="106">
        <v>21</v>
      </c>
      <c r="O78" s="106">
        <v>9147.5999999999985</v>
      </c>
      <c r="P78" s="106">
        <v>17</v>
      </c>
      <c r="Q78" s="106">
        <v>7405.2</v>
      </c>
      <c r="R78" s="106">
        <v>24</v>
      </c>
      <c r="S78" s="106">
        <v>10454.4</v>
      </c>
      <c r="T78" s="106">
        <v>15</v>
      </c>
      <c r="U78" s="106">
        <v>6533.9999999999991</v>
      </c>
      <c r="V78" s="106">
        <v>16</v>
      </c>
      <c r="W78" s="106">
        <v>6969.5999999999995</v>
      </c>
      <c r="X78" s="106">
        <v>13</v>
      </c>
      <c r="Y78" s="106">
        <v>5662.7999999999993</v>
      </c>
      <c r="Z78" s="106">
        <v>11</v>
      </c>
      <c r="AA78" s="106">
        <v>4791.5999999999995</v>
      </c>
      <c r="AB78" s="106">
        <v>11</v>
      </c>
      <c r="AC78" s="106">
        <v>4791.5999999999995</v>
      </c>
      <c r="AD78" s="106">
        <v>9</v>
      </c>
      <c r="AE78" s="106">
        <v>3920.3999999999996</v>
      </c>
      <c r="AF78" s="106">
        <v>10</v>
      </c>
      <c r="AG78" s="106">
        <v>4356</v>
      </c>
      <c r="AH78" s="106">
        <v>10</v>
      </c>
      <c r="AI78" s="106">
        <v>4356</v>
      </c>
      <c r="AJ78" s="106">
        <v>17</v>
      </c>
      <c r="AK78" s="106">
        <v>7405.2</v>
      </c>
      <c r="AL78" s="106">
        <v>31</v>
      </c>
      <c r="AM78" s="106">
        <v>13503.599999999999</v>
      </c>
      <c r="AN78" s="106">
        <v>21</v>
      </c>
      <c r="AO78" s="106">
        <v>9147.5999999999985</v>
      </c>
      <c r="AP78" s="106">
        <v>27</v>
      </c>
      <c r="AQ78" s="106">
        <v>11761.199999999999</v>
      </c>
      <c r="AR78" s="106">
        <v>26</v>
      </c>
      <c r="AS78" s="106">
        <v>11325.599999999999</v>
      </c>
      <c r="AT78" s="106">
        <v>24</v>
      </c>
      <c r="AU78" s="106">
        <v>10454.4</v>
      </c>
      <c r="AV78" s="106">
        <v>41</v>
      </c>
      <c r="AW78" s="106">
        <v>17859.599999999999</v>
      </c>
      <c r="AX78" s="106">
        <v>40</v>
      </c>
      <c r="AY78" s="106">
        <v>17424</v>
      </c>
      <c r="AZ78" s="106">
        <v>9</v>
      </c>
      <c r="BA78" s="106">
        <v>3920.3999999999996</v>
      </c>
      <c r="BB78" s="106">
        <v>6</v>
      </c>
      <c r="BC78" s="106">
        <v>2613.6</v>
      </c>
      <c r="BD78" s="106">
        <v>7</v>
      </c>
      <c r="BE78" s="106">
        <v>3049.2</v>
      </c>
      <c r="BF78" s="106">
        <v>9</v>
      </c>
      <c r="BG78" s="106">
        <v>3920.3999999999996</v>
      </c>
      <c r="BH78" s="106">
        <v>6</v>
      </c>
      <c r="BI78" s="106">
        <v>2613.6</v>
      </c>
      <c r="BJ78" s="106">
        <v>8</v>
      </c>
      <c r="BK78" s="106">
        <v>3484.7999999999997</v>
      </c>
      <c r="BL78" s="106">
        <v>8</v>
      </c>
      <c r="BM78" s="106">
        <v>3484.7999999999997</v>
      </c>
      <c r="BN78" s="106">
        <v>7</v>
      </c>
      <c r="BO78" s="106">
        <v>3049.2</v>
      </c>
      <c r="BP78" s="106">
        <v>7</v>
      </c>
      <c r="BQ78" s="106">
        <v>3049.2</v>
      </c>
      <c r="BR78" s="106">
        <v>5</v>
      </c>
      <c r="BS78" s="106">
        <v>2178</v>
      </c>
      <c r="BT78" s="106">
        <v>5</v>
      </c>
      <c r="BU78" s="106">
        <v>2178</v>
      </c>
      <c r="BV78" s="106">
        <v>6</v>
      </c>
      <c r="BW78" s="106">
        <v>2613.6</v>
      </c>
      <c r="BX78" s="106">
        <v>24</v>
      </c>
      <c r="BY78" s="106">
        <v>10454.4</v>
      </c>
      <c r="BZ78" s="106">
        <v>27</v>
      </c>
      <c r="CA78" s="106">
        <v>11761.199999999999</v>
      </c>
      <c r="CB78" s="106">
        <v>16</v>
      </c>
      <c r="CC78" s="106">
        <v>6969.5999999999995</v>
      </c>
      <c r="CD78" s="106">
        <v>16</v>
      </c>
      <c r="CE78" s="106">
        <v>6969.5999999999995</v>
      </c>
      <c r="CF78" s="106">
        <v>9</v>
      </c>
      <c r="CG78" s="106">
        <v>3920.3999999999996</v>
      </c>
      <c r="CH78" s="106">
        <v>8</v>
      </c>
      <c r="CI78" s="106">
        <v>3484.7999999999997</v>
      </c>
      <c r="CJ78" s="106">
        <v>6</v>
      </c>
      <c r="CK78" s="106">
        <v>2613.6</v>
      </c>
      <c r="CL78" s="106">
        <v>9</v>
      </c>
      <c r="CM78" s="106">
        <v>3920.3999999999996</v>
      </c>
      <c r="CN78" s="106">
        <v>4</v>
      </c>
      <c r="CO78" s="106">
        <v>1742.3999999999999</v>
      </c>
      <c r="CP78" s="106">
        <v>5</v>
      </c>
      <c r="CQ78" s="106">
        <v>2178</v>
      </c>
      <c r="CR78" s="106">
        <v>4</v>
      </c>
      <c r="CS78" s="106">
        <v>1742.3999999999999</v>
      </c>
      <c r="CT78" s="106">
        <v>6</v>
      </c>
      <c r="CU78" s="106">
        <v>2613.6</v>
      </c>
    </row>
    <row r="79" spans="2:99" x14ac:dyDescent="0.2">
      <c r="C79" s="105" t="s">
        <v>245</v>
      </c>
      <c r="D79" s="106">
        <v>34</v>
      </c>
      <c r="E79" s="106">
        <v>1101.5999999999999</v>
      </c>
      <c r="F79" s="106">
        <v>33</v>
      </c>
      <c r="G79" s="106">
        <v>1069.2</v>
      </c>
      <c r="H79" s="106">
        <v>20</v>
      </c>
      <c r="I79" s="106">
        <v>648</v>
      </c>
      <c r="J79" s="106">
        <v>28</v>
      </c>
      <c r="K79" s="106">
        <v>907.19999999999993</v>
      </c>
      <c r="L79" s="106">
        <v>32</v>
      </c>
      <c r="M79" s="106">
        <v>1036.8</v>
      </c>
      <c r="N79" s="106">
        <v>23</v>
      </c>
      <c r="O79" s="106">
        <v>745.19999999999993</v>
      </c>
      <c r="P79" s="106">
        <v>18</v>
      </c>
      <c r="Q79" s="106">
        <v>583.19999999999993</v>
      </c>
      <c r="R79" s="106">
        <v>28</v>
      </c>
      <c r="S79" s="106">
        <v>907.19999999999993</v>
      </c>
      <c r="T79" s="106">
        <v>16</v>
      </c>
      <c r="U79" s="106">
        <v>518.4</v>
      </c>
      <c r="V79" s="106">
        <v>15</v>
      </c>
      <c r="W79" s="106">
        <v>486</v>
      </c>
      <c r="X79" s="106">
        <v>15</v>
      </c>
      <c r="Y79" s="106">
        <v>486</v>
      </c>
      <c r="Z79" s="106">
        <v>12</v>
      </c>
      <c r="AA79" s="106">
        <v>388.79999999999995</v>
      </c>
      <c r="AB79" s="106">
        <v>11</v>
      </c>
      <c r="AC79" s="106">
        <v>356.4</v>
      </c>
      <c r="AD79" s="106">
        <v>9</v>
      </c>
      <c r="AE79" s="106">
        <v>291.59999999999997</v>
      </c>
      <c r="AF79" s="106">
        <v>10</v>
      </c>
      <c r="AG79" s="106">
        <v>324</v>
      </c>
      <c r="AH79" s="106">
        <v>10</v>
      </c>
      <c r="AI79" s="106">
        <v>324</v>
      </c>
      <c r="AJ79" s="106">
        <v>17</v>
      </c>
      <c r="AK79" s="106">
        <v>550.79999999999995</v>
      </c>
      <c r="AL79" s="106">
        <v>34</v>
      </c>
      <c r="AM79" s="106">
        <v>1101.5999999999999</v>
      </c>
      <c r="AN79" s="106">
        <v>24</v>
      </c>
      <c r="AO79" s="106">
        <v>777.59999999999991</v>
      </c>
      <c r="AP79" s="106">
        <v>30</v>
      </c>
      <c r="AQ79" s="106">
        <v>972</v>
      </c>
      <c r="AR79" s="106">
        <v>28</v>
      </c>
      <c r="AS79" s="106">
        <v>907.19999999999993</v>
      </c>
      <c r="AT79" s="106">
        <v>29</v>
      </c>
      <c r="AU79" s="106">
        <v>939.59999999999991</v>
      </c>
      <c r="AV79" s="106">
        <v>47</v>
      </c>
      <c r="AW79" s="106">
        <v>1522.8</v>
      </c>
      <c r="AX79" s="106">
        <v>43</v>
      </c>
      <c r="AY79" s="106">
        <v>1393.2</v>
      </c>
      <c r="AZ79" s="106">
        <v>10</v>
      </c>
      <c r="BA79" s="106">
        <v>324</v>
      </c>
      <c r="BB79" s="106">
        <v>6</v>
      </c>
      <c r="BC79" s="106">
        <v>194.39999999999998</v>
      </c>
      <c r="BD79" s="106">
        <v>7</v>
      </c>
      <c r="BE79" s="106">
        <v>226.79999999999998</v>
      </c>
      <c r="BF79" s="106">
        <v>10</v>
      </c>
      <c r="BG79" s="106">
        <v>324</v>
      </c>
      <c r="BH79" s="106">
        <v>6</v>
      </c>
      <c r="BI79" s="106">
        <v>194.39999999999998</v>
      </c>
      <c r="BJ79" s="106">
        <v>9</v>
      </c>
      <c r="BK79" s="106">
        <v>291.59999999999997</v>
      </c>
      <c r="BL79" s="106">
        <v>8</v>
      </c>
      <c r="BM79" s="106">
        <v>259.2</v>
      </c>
      <c r="BN79" s="106">
        <v>7</v>
      </c>
      <c r="BO79" s="106">
        <v>226.79999999999998</v>
      </c>
      <c r="BP79" s="106">
        <v>6</v>
      </c>
      <c r="BQ79" s="106">
        <v>194.39999999999998</v>
      </c>
      <c r="BR79" s="106">
        <v>5</v>
      </c>
      <c r="BS79" s="106">
        <v>162</v>
      </c>
      <c r="BT79" s="106">
        <v>7</v>
      </c>
      <c r="BU79" s="106">
        <v>226.79999999999998</v>
      </c>
      <c r="BV79" s="106">
        <v>5</v>
      </c>
      <c r="BW79" s="106">
        <v>162</v>
      </c>
      <c r="BX79" s="106">
        <v>27</v>
      </c>
      <c r="BY79" s="106">
        <v>874.8</v>
      </c>
      <c r="BZ79" s="106">
        <v>29</v>
      </c>
      <c r="CA79" s="106">
        <v>939.59999999999991</v>
      </c>
      <c r="CB79" s="106">
        <v>16</v>
      </c>
      <c r="CC79" s="106">
        <v>518.4</v>
      </c>
      <c r="CD79" s="106">
        <v>19</v>
      </c>
      <c r="CE79" s="106">
        <v>615.6</v>
      </c>
      <c r="CF79" s="106">
        <v>10</v>
      </c>
      <c r="CG79" s="106">
        <v>324</v>
      </c>
      <c r="CH79" s="106">
        <v>9</v>
      </c>
      <c r="CI79" s="106">
        <v>291.59999999999997</v>
      </c>
      <c r="CJ79" s="106">
        <v>6</v>
      </c>
      <c r="CK79" s="106">
        <v>194.39999999999998</v>
      </c>
      <c r="CL79" s="106">
        <v>10</v>
      </c>
      <c r="CM79" s="106">
        <v>324</v>
      </c>
      <c r="CN79" s="106">
        <v>4</v>
      </c>
      <c r="CO79" s="106">
        <v>129.6</v>
      </c>
      <c r="CP79" s="106">
        <v>5</v>
      </c>
      <c r="CQ79" s="106">
        <v>162</v>
      </c>
      <c r="CR79" s="106">
        <v>4</v>
      </c>
      <c r="CS79" s="106">
        <v>129.6</v>
      </c>
      <c r="CT79" s="106">
        <v>6</v>
      </c>
      <c r="CU79" s="106">
        <v>194.39999999999998</v>
      </c>
    </row>
    <row r="80" spans="2:99" x14ac:dyDescent="0.2">
      <c r="C80" s="105" t="s">
        <v>246</v>
      </c>
      <c r="D80" s="106">
        <v>34</v>
      </c>
      <c r="E80" s="106">
        <v>16401.599999999999</v>
      </c>
      <c r="F80" s="106">
        <v>32</v>
      </c>
      <c r="G80" s="106">
        <v>15436.8</v>
      </c>
      <c r="H80" s="106">
        <v>19</v>
      </c>
      <c r="I80" s="106">
        <v>9165.6</v>
      </c>
      <c r="J80" s="106">
        <v>24</v>
      </c>
      <c r="K80" s="106">
        <v>11577.599999999999</v>
      </c>
      <c r="L80" s="106">
        <v>34</v>
      </c>
      <c r="M80" s="106">
        <v>16401.599999999999</v>
      </c>
      <c r="N80" s="106">
        <v>20</v>
      </c>
      <c r="O80" s="106">
        <v>9648</v>
      </c>
      <c r="P80" s="106">
        <v>18</v>
      </c>
      <c r="Q80" s="106">
        <v>8683.1999999999989</v>
      </c>
      <c r="R80" s="106">
        <v>25</v>
      </c>
      <c r="S80" s="106">
        <v>12060</v>
      </c>
      <c r="T80" s="106">
        <v>16</v>
      </c>
      <c r="U80" s="106">
        <v>7718.4</v>
      </c>
      <c r="V80" s="106">
        <v>15</v>
      </c>
      <c r="W80" s="106">
        <v>7236</v>
      </c>
      <c r="X80" s="106">
        <v>14</v>
      </c>
      <c r="Y80" s="106">
        <v>6753.5999999999995</v>
      </c>
      <c r="Z80" s="106">
        <v>12</v>
      </c>
      <c r="AA80" s="106">
        <v>5788.7999999999993</v>
      </c>
      <c r="AB80" s="106">
        <v>12</v>
      </c>
      <c r="AC80" s="106">
        <v>5788.7999999999993</v>
      </c>
      <c r="AD80" s="106">
        <v>9</v>
      </c>
      <c r="AE80" s="106">
        <v>4341.5999999999995</v>
      </c>
      <c r="AF80" s="106">
        <v>9</v>
      </c>
      <c r="AG80" s="106">
        <v>4341.5999999999995</v>
      </c>
      <c r="AH80" s="106">
        <v>9</v>
      </c>
      <c r="AI80" s="106">
        <v>4341.5999999999995</v>
      </c>
      <c r="AJ80" s="106">
        <v>17</v>
      </c>
      <c r="AK80" s="106">
        <v>8200.7999999999993</v>
      </c>
      <c r="AL80" s="106">
        <v>29</v>
      </c>
      <c r="AM80" s="106">
        <v>13989.599999999999</v>
      </c>
      <c r="AN80" s="106">
        <v>22</v>
      </c>
      <c r="AO80" s="106">
        <v>10612.8</v>
      </c>
      <c r="AP80" s="106">
        <v>28</v>
      </c>
      <c r="AQ80" s="106">
        <v>13507.199999999999</v>
      </c>
      <c r="AR80" s="106">
        <v>24</v>
      </c>
      <c r="AS80" s="106">
        <v>11577.599999999999</v>
      </c>
      <c r="AT80" s="106">
        <v>26</v>
      </c>
      <c r="AU80" s="106">
        <v>12542.4</v>
      </c>
      <c r="AV80" s="106">
        <v>42</v>
      </c>
      <c r="AW80" s="106">
        <v>20260.8</v>
      </c>
      <c r="AX80" s="106">
        <v>34</v>
      </c>
      <c r="AY80" s="106">
        <v>16401.599999999999</v>
      </c>
      <c r="AZ80" s="106">
        <v>10</v>
      </c>
      <c r="BA80" s="106">
        <v>4824</v>
      </c>
      <c r="BB80" s="106">
        <v>7</v>
      </c>
      <c r="BC80" s="106">
        <v>3376.7999999999997</v>
      </c>
      <c r="BD80" s="106">
        <v>6</v>
      </c>
      <c r="BE80" s="106">
        <v>2894.3999999999996</v>
      </c>
      <c r="BF80" s="106">
        <v>8</v>
      </c>
      <c r="BG80" s="106">
        <v>3859.2</v>
      </c>
      <c r="BH80" s="106">
        <v>6</v>
      </c>
      <c r="BI80" s="106">
        <v>2894.3999999999996</v>
      </c>
      <c r="BJ80" s="106">
        <v>9</v>
      </c>
      <c r="BK80" s="106">
        <v>4341.5999999999995</v>
      </c>
      <c r="BL80" s="106">
        <v>9</v>
      </c>
      <c r="BM80" s="106">
        <v>4341.5999999999995</v>
      </c>
      <c r="BN80" s="106">
        <v>6</v>
      </c>
      <c r="BO80" s="106">
        <v>2894.3999999999996</v>
      </c>
      <c r="BP80" s="106">
        <v>6</v>
      </c>
      <c r="BQ80" s="106">
        <v>2894.3999999999996</v>
      </c>
      <c r="BR80" s="106">
        <v>5</v>
      </c>
      <c r="BS80" s="106">
        <v>2412</v>
      </c>
      <c r="BT80" s="106">
        <v>6</v>
      </c>
      <c r="BU80" s="106">
        <v>2894.3999999999996</v>
      </c>
      <c r="BV80" s="106">
        <v>5</v>
      </c>
      <c r="BW80" s="106">
        <v>2412</v>
      </c>
      <c r="BX80" s="106">
        <v>26</v>
      </c>
      <c r="BY80" s="106">
        <v>12542.4</v>
      </c>
      <c r="BZ80" s="106">
        <v>25</v>
      </c>
      <c r="CA80" s="106">
        <v>12060</v>
      </c>
      <c r="CB80" s="106">
        <v>17</v>
      </c>
      <c r="CC80" s="106">
        <v>8200.7999999999993</v>
      </c>
      <c r="CD80" s="106">
        <v>15</v>
      </c>
      <c r="CE80" s="106">
        <v>7236</v>
      </c>
      <c r="CF80" s="106">
        <v>9</v>
      </c>
      <c r="CG80" s="106">
        <v>4341.5999999999995</v>
      </c>
      <c r="CH80" s="106">
        <v>7</v>
      </c>
      <c r="CI80" s="106">
        <v>3376.7999999999997</v>
      </c>
      <c r="CJ80" s="106">
        <v>6</v>
      </c>
      <c r="CK80" s="106">
        <v>2894.3999999999996</v>
      </c>
      <c r="CL80" s="106">
        <v>9</v>
      </c>
      <c r="CM80" s="106">
        <v>4341.5999999999995</v>
      </c>
      <c r="CN80" s="106">
        <v>4</v>
      </c>
      <c r="CO80" s="106">
        <v>1929.6</v>
      </c>
      <c r="CP80" s="106">
        <v>6</v>
      </c>
      <c r="CQ80" s="106">
        <v>2894.3999999999996</v>
      </c>
      <c r="CR80" s="106">
        <v>4</v>
      </c>
      <c r="CS80" s="106">
        <v>1929.6</v>
      </c>
      <c r="CT80" s="106">
        <v>6</v>
      </c>
      <c r="CU80" s="106">
        <v>2894.3999999999996</v>
      </c>
    </row>
    <row r="81" spans="2:99" x14ac:dyDescent="0.2">
      <c r="C81" s="105" t="s">
        <v>247</v>
      </c>
      <c r="D81" s="106">
        <v>35</v>
      </c>
      <c r="E81" s="106">
        <v>10542</v>
      </c>
      <c r="F81" s="106">
        <v>31</v>
      </c>
      <c r="G81" s="106">
        <v>9337.1999999999989</v>
      </c>
      <c r="H81" s="106">
        <v>19</v>
      </c>
      <c r="I81" s="106">
        <v>5722.8</v>
      </c>
      <c r="J81" s="106">
        <v>26</v>
      </c>
      <c r="K81" s="106">
        <v>7831.2</v>
      </c>
      <c r="L81" s="106">
        <v>34</v>
      </c>
      <c r="M81" s="106">
        <v>10240.799999999999</v>
      </c>
      <c r="N81" s="106">
        <v>19</v>
      </c>
      <c r="O81" s="106">
        <v>5722.8</v>
      </c>
      <c r="P81" s="106">
        <v>19</v>
      </c>
      <c r="Q81" s="106">
        <v>5722.8</v>
      </c>
      <c r="R81" s="106">
        <v>25</v>
      </c>
      <c r="S81" s="106">
        <v>7530</v>
      </c>
      <c r="T81" s="106">
        <v>14</v>
      </c>
      <c r="U81" s="106">
        <v>4216.8</v>
      </c>
      <c r="V81" s="106">
        <v>17</v>
      </c>
      <c r="W81" s="106">
        <v>5120.3999999999996</v>
      </c>
      <c r="X81" s="106">
        <v>15</v>
      </c>
      <c r="Y81" s="106">
        <v>4518</v>
      </c>
      <c r="Z81" s="106">
        <v>11</v>
      </c>
      <c r="AA81" s="106">
        <v>3313.2</v>
      </c>
      <c r="AB81" s="106">
        <v>12</v>
      </c>
      <c r="AC81" s="106">
        <v>3614.3999999999996</v>
      </c>
      <c r="AD81" s="106">
        <v>9</v>
      </c>
      <c r="AE81" s="106">
        <v>2710.7999999999997</v>
      </c>
      <c r="AF81" s="106">
        <v>11</v>
      </c>
      <c r="AG81" s="106">
        <v>3313.2</v>
      </c>
      <c r="AH81" s="106">
        <v>10</v>
      </c>
      <c r="AI81" s="106">
        <v>3012</v>
      </c>
      <c r="AJ81" s="106">
        <v>19</v>
      </c>
      <c r="AK81" s="106">
        <v>5722.8</v>
      </c>
      <c r="AL81" s="106">
        <v>29</v>
      </c>
      <c r="AM81" s="106">
        <v>8734.7999999999993</v>
      </c>
      <c r="AN81" s="106">
        <v>23</v>
      </c>
      <c r="AO81" s="106">
        <v>6927.5999999999995</v>
      </c>
      <c r="AP81" s="106">
        <v>28</v>
      </c>
      <c r="AQ81" s="106">
        <v>8433.6</v>
      </c>
      <c r="AR81" s="106">
        <v>26</v>
      </c>
      <c r="AS81" s="106">
        <v>7831.2</v>
      </c>
      <c r="AT81" s="106">
        <v>25</v>
      </c>
      <c r="AU81" s="106">
        <v>7530</v>
      </c>
      <c r="AV81" s="106">
        <v>47</v>
      </c>
      <c r="AW81" s="106">
        <v>14156.4</v>
      </c>
      <c r="AX81" s="106">
        <v>37</v>
      </c>
      <c r="AY81" s="106">
        <v>11144.4</v>
      </c>
      <c r="AZ81" s="106">
        <v>9</v>
      </c>
      <c r="BA81" s="106">
        <v>2710.7999999999997</v>
      </c>
      <c r="BB81" s="106">
        <v>6</v>
      </c>
      <c r="BC81" s="106">
        <v>1807.1999999999998</v>
      </c>
      <c r="BD81" s="106">
        <v>7</v>
      </c>
      <c r="BE81" s="106">
        <v>2108.4</v>
      </c>
      <c r="BF81" s="106">
        <v>9</v>
      </c>
      <c r="BG81" s="106">
        <v>2710.7999999999997</v>
      </c>
      <c r="BH81" s="106">
        <v>6</v>
      </c>
      <c r="BI81" s="106">
        <v>1807.1999999999998</v>
      </c>
      <c r="BJ81" s="106">
        <v>8</v>
      </c>
      <c r="BK81" s="106">
        <v>2409.6</v>
      </c>
      <c r="BL81" s="106">
        <v>9</v>
      </c>
      <c r="BM81" s="106">
        <v>2710.7999999999997</v>
      </c>
      <c r="BN81" s="106">
        <v>7</v>
      </c>
      <c r="BO81" s="106">
        <v>2108.4</v>
      </c>
      <c r="BP81" s="106">
        <v>6</v>
      </c>
      <c r="BQ81" s="106">
        <v>1807.1999999999998</v>
      </c>
      <c r="BR81" s="106">
        <v>5</v>
      </c>
      <c r="BS81" s="106">
        <v>1506</v>
      </c>
      <c r="BT81" s="106">
        <v>5</v>
      </c>
      <c r="BU81" s="106">
        <v>1506</v>
      </c>
      <c r="BV81" s="106">
        <v>6</v>
      </c>
      <c r="BW81" s="106">
        <v>1807.1999999999998</v>
      </c>
      <c r="BX81" s="106">
        <v>25</v>
      </c>
      <c r="BY81" s="106">
        <v>7530</v>
      </c>
      <c r="BZ81" s="106">
        <v>26</v>
      </c>
      <c r="CA81" s="106">
        <v>7831.2</v>
      </c>
      <c r="CB81" s="106">
        <v>17</v>
      </c>
      <c r="CC81" s="106">
        <v>5120.3999999999996</v>
      </c>
      <c r="CD81" s="106">
        <v>17</v>
      </c>
      <c r="CE81" s="106">
        <v>5120.3999999999996</v>
      </c>
      <c r="CF81" s="106">
        <v>9</v>
      </c>
      <c r="CG81" s="106">
        <v>2710.7999999999997</v>
      </c>
      <c r="CH81" s="106">
        <v>8</v>
      </c>
      <c r="CI81" s="106">
        <v>2409.6</v>
      </c>
      <c r="CJ81" s="106">
        <v>6</v>
      </c>
      <c r="CK81" s="106">
        <v>1807.1999999999998</v>
      </c>
      <c r="CL81" s="106">
        <v>10</v>
      </c>
      <c r="CM81" s="106">
        <v>3012</v>
      </c>
      <c r="CN81" s="106">
        <v>4</v>
      </c>
      <c r="CO81" s="106">
        <v>1204.8</v>
      </c>
      <c r="CP81" s="106">
        <v>6</v>
      </c>
      <c r="CQ81" s="106">
        <v>1807.1999999999998</v>
      </c>
      <c r="CR81" s="106">
        <v>4</v>
      </c>
      <c r="CS81" s="106">
        <v>1204.8</v>
      </c>
      <c r="CT81" s="106">
        <v>5</v>
      </c>
      <c r="CU81" s="106">
        <v>1506</v>
      </c>
    </row>
    <row r="82" spans="2:99" x14ac:dyDescent="0.2">
      <c r="C82" s="105" t="s">
        <v>248</v>
      </c>
      <c r="D82" s="106">
        <v>33</v>
      </c>
      <c r="E82" s="106">
        <v>27086.399999999998</v>
      </c>
      <c r="F82" s="106">
        <v>28</v>
      </c>
      <c r="G82" s="106">
        <v>22982.399999999998</v>
      </c>
      <c r="H82" s="106">
        <v>19</v>
      </c>
      <c r="I82" s="106">
        <v>15595.199999999999</v>
      </c>
      <c r="J82" s="106">
        <v>23</v>
      </c>
      <c r="K82" s="106">
        <v>18878.399999999998</v>
      </c>
      <c r="L82" s="106">
        <v>32</v>
      </c>
      <c r="M82" s="106">
        <v>26265.599999999999</v>
      </c>
      <c r="N82" s="106">
        <v>19</v>
      </c>
      <c r="O82" s="106">
        <v>15595.199999999999</v>
      </c>
      <c r="P82" s="106">
        <v>18</v>
      </c>
      <c r="Q82" s="106">
        <v>14774.4</v>
      </c>
      <c r="R82" s="106">
        <v>24</v>
      </c>
      <c r="S82" s="106">
        <v>19699.199999999997</v>
      </c>
      <c r="T82" s="106">
        <v>14</v>
      </c>
      <c r="U82" s="106">
        <v>11491.199999999999</v>
      </c>
      <c r="V82" s="106">
        <v>14</v>
      </c>
      <c r="W82" s="106">
        <v>11491.199999999999</v>
      </c>
      <c r="X82" s="106">
        <v>14</v>
      </c>
      <c r="Y82" s="106">
        <v>11491.199999999999</v>
      </c>
      <c r="Z82" s="106">
        <v>11</v>
      </c>
      <c r="AA82" s="106">
        <v>9028.7999999999993</v>
      </c>
      <c r="AB82" s="106">
        <v>11</v>
      </c>
      <c r="AC82" s="106">
        <v>9028.7999999999993</v>
      </c>
      <c r="AD82" s="106">
        <v>9</v>
      </c>
      <c r="AE82" s="106">
        <v>7387.2</v>
      </c>
      <c r="AF82" s="106">
        <v>9</v>
      </c>
      <c r="AG82" s="106">
        <v>7387.2</v>
      </c>
      <c r="AH82" s="106">
        <v>10</v>
      </c>
      <c r="AI82" s="106">
        <v>8208</v>
      </c>
      <c r="AJ82" s="106">
        <v>15</v>
      </c>
      <c r="AK82" s="106">
        <v>12312</v>
      </c>
      <c r="AL82" s="106">
        <v>28</v>
      </c>
      <c r="AM82" s="106">
        <v>22982.399999999998</v>
      </c>
      <c r="AN82" s="106">
        <v>23</v>
      </c>
      <c r="AO82" s="106">
        <v>18878.399999999998</v>
      </c>
      <c r="AP82" s="106">
        <v>28</v>
      </c>
      <c r="AQ82" s="106">
        <v>22982.399999999998</v>
      </c>
      <c r="AR82" s="106">
        <v>25</v>
      </c>
      <c r="AS82" s="106">
        <v>20520</v>
      </c>
      <c r="AT82" s="106">
        <v>21</v>
      </c>
      <c r="AU82" s="106">
        <v>17236.8</v>
      </c>
      <c r="AV82" s="106">
        <v>36</v>
      </c>
      <c r="AW82" s="106">
        <v>29548.799999999999</v>
      </c>
      <c r="AX82" s="106">
        <v>32</v>
      </c>
      <c r="AY82" s="106">
        <v>26265.599999999999</v>
      </c>
      <c r="AZ82" s="106">
        <v>9</v>
      </c>
      <c r="BA82" s="106">
        <v>7387.2</v>
      </c>
      <c r="BB82" s="106">
        <v>5</v>
      </c>
      <c r="BC82" s="106">
        <v>4104</v>
      </c>
      <c r="BD82" s="106">
        <v>6</v>
      </c>
      <c r="BE82" s="106">
        <v>4924.7999999999993</v>
      </c>
      <c r="BF82" s="106">
        <v>7</v>
      </c>
      <c r="BG82" s="106">
        <v>5745.5999999999995</v>
      </c>
      <c r="BH82" s="106">
        <v>5</v>
      </c>
      <c r="BI82" s="106">
        <v>4104</v>
      </c>
      <c r="BJ82" s="106">
        <v>9</v>
      </c>
      <c r="BK82" s="106">
        <v>7387.2</v>
      </c>
      <c r="BL82" s="106">
        <v>9</v>
      </c>
      <c r="BM82" s="106">
        <v>7387.2</v>
      </c>
      <c r="BN82" s="106">
        <v>7</v>
      </c>
      <c r="BO82" s="106">
        <v>5745.5999999999995</v>
      </c>
      <c r="BP82" s="106">
        <v>5</v>
      </c>
      <c r="BQ82" s="106">
        <v>4104</v>
      </c>
      <c r="BR82" s="106">
        <v>4</v>
      </c>
      <c r="BS82" s="106">
        <v>3283.2</v>
      </c>
      <c r="BT82" s="106">
        <v>5</v>
      </c>
      <c r="BU82" s="106">
        <v>4104</v>
      </c>
      <c r="BV82" s="106">
        <v>5</v>
      </c>
      <c r="BW82" s="106">
        <v>4104</v>
      </c>
      <c r="BX82" s="106">
        <v>27</v>
      </c>
      <c r="BY82" s="106">
        <v>22161.599999999999</v>
      </c>
      <c r="BZ82" s="106">
        <v>26</v>
      </c>
      <c r="CA82" s="106">
        <v>21340.799999999999</v>
      </c>
      <c r="CB82" s="106">
        <v>15</v>
      </c>
      <c r="CC82" s="106">
        <v>12312</v>
      </c>
      <c r="CD82" s="106">
        <v>14</v>
      </c>
      <c r="CE82" s="106">
        <v>11491.199999999999</v>
      </c>
      <c r="CF82" s="106">
        <v>8</v>
      </c>
      <c r="CG82" s="106">
        <v>6566.4</v>
      </c>
      <c r="CH82" s="106">
        <v>7</v>
      </c>
      <c r="CI82" s="106">
        <v>5745.5999999999995</v>
      </c>
      <c r="CJ82" s="106">
        <v>5</v>
      </c>
      <c r="CK82" s="106">
        <v>4104</v>
      </c>
      <c r="CL82" s="106">
        <v>10</v>
      </c>
      <c r="CM82" s="106">
        <v>8208</v>
      </c>
      <c r="CN82" s="106">
        <v>4</v>
      </c>
      <c r="CO82" s="106">
        <v>3283.2</v>
      </c>
      <c r="CP82" s="106">
        <v>5</v>
      </c>
      <c r="CQ82" s="106">
        <v>4104</v>
      </c>
      <c r="CR82" s="106">
        <v>3</v>
      </c>
      <c r="CS82" s="106">
        <v>2462.3999999999996</v>
      </c>
      <c r="CT82" s="106">
        <v>5</v>
      </c>
      <c r="CU82" s="106">
        <v>4104</v>
      </c>
    </row>
    <row r="83" spans="2:99" x14ac:dyDescent="0.2">
      <c r="C83" s="105" t="s">
        <v>249</v>
      </c>
      <c r="D83" s="106">
        <v>32</v>
      </c>
      <c r="E83" s="106">
        <v>4070.3999999999992</v>
      </c>
      <c r="F83" s="106">
        <v>35</v>
      </c>
      <c r="G83" s="106">
        <v>4451.9999999999991</v>
      </c>
      <c r="H83" s="106">
        <v>21</v>
      </c>
      <c r="I83" s="106">
        <v>2671.1999999999994</v>
      </c>
      <c r="J83" s="106">
        <v>30</v>
      </c>
      <c r="K83" s="106">
        <v>3815.9999999999991</v>
      </c>
      <c r="L83" s="106">
        <v>32</v>
      </c>
      <c r="M83" s="106">
        <v>4070.3999999999992</v>
      </c>
      <c r="N83" s="106">
        <v>19</v>
      </c>
      <c r="O83" s="106">
        <v>2416.7999999999997</v>
      </c>
      <c r="P83" s="106">
        <v>19</v>
      </c>
      <c r="Q83" s="106">
        <v>2416.7999999999997</v>
      </c>
      <c r="R83" s="106">
        <v>27</v>
      </c>
      <c r="S83" s="106">
        <v>3434.3999999999992</v>
      </c>
      <c r="T83" s="106">
        <v>16</v>
      </c>
      <c r="U83" s="106">
        <v>2035.1999999999996</v>
      </c>
      <c r="V83" s="106">
        <v>16</v>
      </c>
      <c r="W83" s="106">
        <v>2035.1999999999996</v>
      </c>
      <c r="X83" s="106">
        <v>15</v>
      </c>
      <c r="Y83" s="106">
        <v>1907.9999999999995</v>
      </c>
      <c r="Z83" s="106">
        <v>12</v>
      </c>
      <c r="AA83" s="106">
        <v>1526.3999999999996</v>
      </c>
      <c r="AB83" s="106">
        <v>13</v>
      </c>
      <c r="AC83" s="106">
        <v>1653.5999999999997</v>
      </c>
      <c r="AD83" s="106">
        <v>9</v>
      </c>
      <c r="AE83" s="106">
        <v>1144.7999999999997</v>
      </c>
      <c r="AF83" s="106">
        <v>9</v>
      </c>
      <c r="AG83" s="106">
        <v>1144.7999999999997</v>
      </c>
      <c r="AH83" s="106">
        <v>10</v>
      </c>
      <c r="AI83" s="106">
        <v>1271.9999999999998</v>
      </c>
      <c r="AJ83" s="106">
        <v>19</v>
      </c>
      <c r="AK83" s="106">
        <v>2416.7999999999997</v>
      </c>
      <c r="AL83" s="106">
        <v>29</v>
      </c>
      <c r="AM83" s="106">
        <v>3688.7999999999993</v>
      </c>
      <c r="AN83" s="106">
        <v>24</v>
      </c>
      <c r="AO83" s="106">
        <v>3052.7999999999993</v>
      </c>
      <c r="AP83" s="106">
        <v>30</v>
      </c>
      <c r="AQ83" s="106">
        <v>3815.9999999999991</v>
      </c>
      <c r="AR83" s="106">
        <v>27</v>
      </c>
      <c r="AS83" s="106">
        <v>3434.3999999999992</v>
      </c>
      <c r="AT83" s="106">
        <v>27</v>
      </c>
      <c r="AU83" s="106">
        <v>3434.3999999999992</v>
      </c>
      <c r="AV83" s="106">
        <v>45</v>
      </c>
      <c r="AW83" s="106">
        <v>5723.9999999999991</v>
      </c>
      <c r="AX83" s="106">
        <v>40</v>
      </c>
      <c r="AY83" s="106">
        <v>5087.9999999999991</v>
      </c>
      <c r="AZ83" s="106">
        <v>9</v>
      </c>
      <c r="BA83" s="106">
        <v>1144.7999999999997</v>
      </c>
      <c r="BB83" s="106">
        <v>6</v>
      </c>
      <c r="BC83" s="106">
        <v>763.19999999999982</v>
      </c>
      <c r="BD83" s="106">
        <v>7</v>
      </c>
      <c r="BE83" s="106">
        <v>890.39999999999986</v>
      </c>
      <c r="BF83" s="106">
        <v>9</v>
      </c>
      <c r="BG83" s="106">
        <v>1144.7999999999997</v>
      </c>
      <c r="BH83" s="106">
        <v>7</v>
      </c>
      <c r="BI83" s="106">
        <v>890.39999999999986</v>
      </c>
      <c r="BJ83" s="106">
        <v>9</v>
      </c>
      <c r="BK83" s="106">
        <v>1144.7999999999997</v>
      </c>
      <c r="BL83" s="106">
        <v>10</v>
      </c>
      <c r="BM83" s="106">
        <v>1271.9999999999998</v>
      </c>
      <c r="BN83" s="106">
        <v>7</v>
      </c>
      <c r="BO83" s="106">
        <v>890.39999999999986</v>
      </c>
      <c r="BP83" s="106">
        <v>6</v>
      </c>
      <c r="BQ83" s="106">
        <v>763.19999999999982</v>
      </c>
      <c r="BR83" s="106">
        <v>5</v>
      </c>
      <c r="BS83" s="106">
        <v>635.99999999999989</v>
      </c>
      <c r="BT83" s="106">
        <v>6</v>
      </c>
      <c r="BU83" s="106">
        <v>763.19999999999982</v>
      </c>
      <c r="BV83" s="106">
        <v>6</v>
      </c>
      <c r="BW83" s="106">
        <v>763.19999999999982</v>
      </c>
      <c r="BX83" s="106">
        <v>28</v>
      </c>
      <c r="BY83" s="106">
        <v>3561.5999999999995</v>
      </c>
      <c r="BZ83" s="106">
        <v>28</v>
      </c>
      <c r="CA83" s="106">
        <v>3561.5999999999995</v>
      </c>
      <c r="CB83" s="106">
        <v>17</v>
      </c>
      <c r="CC83" s="106">
        <v>2162.3999999999996</v>
      </c>
      <c r="CD83" s="106">
        <v>18</v>
      </c>
      <c r="CE83" s="106">
        <v>2289.5999999999995</v>
      </c>
      <c r="CF83" s="106">
        <v>9</v>
      </c>
      <c r="CG83" s="106">
        <v>1144.7999999999997</v>
      </c>
      <c r="CH83" s="106">
        <v>9</v>
      </c>
      <c r="CI83" s="106">
        <v>1144.7999999999997</v>
      </c>
      <c r="CJ83" s="106">
        <v>6</v>
      </c>
      <c r="CK83" s="106">
        <v>763.19999999999982</v>
      </c>
      <c r="CL83" s="106">
        <v>9</v>
      </c>
      <c r="CM83" s="106">
        <v>1144.7999999999997</v>
      </c>
      <c r="CN83" s="106">
        <v>4</v>
      </c>
      <c r="CO83" s="106">
        <v>508.7999999999999</v>
      </c>
      <c r="CP83" s="106">
        <v>5</v>
      </c>
      <c r="CQ83" s="106">
        <v>635.99999999999989</v>
      </c>
      <c r="CR83" s="106">
        <v>4</v>
      </c>
      <c r="CS83" s="106">
        <v>508.7999999999999</v>
      </c>
      <c r="CT83" s="106">
        <v>6</v>
      </c>
      <c r="CU83" s="106">
        <v>763.19999999999982</v>
      </c>
    </row>
    <row r="84" spans="2:99" x14ac:dyDescent="0.2">
      <c r="C84" s="105" t="s">
        <v>250</v>
      </c>
      <c r="D84" s="106">
        <v>28</v>
      </c>
      <c r="E84" s="106">
        <v>24864</v>
      </c>
      <c r="F84" s="106">
        <v>31</v>
      </c>
      <c r="G84" s="106">
        <v>27528</v>
      </c>
      <c r="H84" s="106">
        <v>18</v>
      </c>
      <c r="I84" s="106">
        <v>15984</v>
      </c>
      <c r="J84" s="106">
        <v>24</v>
      </c>
      <c r="K84" s="106">
        <v>21312</v>
      </c>
      <c r="L84" s="106">
        <v>32</v>
      </c>
      <c r="M84" s="106">
        <v>28416</v>
      </c>
      <c r="N84" s="106">
        <v>18</v>
      </c>
      <c r="O84" s="106">
        <v>15984</v>
      </c>
      <c r="P84" s="106">
        <v>15</v>
      </c>
      <c r="Q84" s="106">
        <v>13320</v>
      </c>
      <c r="R84" s="106">
        <v>25</v>
      </c>
      <c r="S84" s="106">
        <v>22200</v>
      </c>
      <c r="T84" s="106">
        <v>14</v>
      </c>
      <c r="U84" s="106">
        <v>12432</v>
      </c>
      <c r="V84" s="106">
        <v>14</v>
      </c>
      <c r="W84" s="106">
        <v>12432</v>
      </c>
      <c r="X84" s="106">
        <v>14</v>
      </c>
      <c r="Y84" s="106">
        <v>12432</v>
      </c>
      <c r="Z84" s="106">
        <v>12</v>
      </c>
      <c r="AA84" s="106">
        <v>10656</v>
      </c>
      <c r="AB84" s="106">
        <v>11</v>
      </c>
      <c r="AC84" s="106">
        <v>9768</v>
      </c>
      <c r="AD84" s="106">
        <v>9</v>
      </c>
      <c r="AE84" s="106">
        <v>7992</v>
      </c>
      <c r="AF84" s="106">
        <v>9</v>
      </c>
      <c r="AG84" s="106">
        <v>7992</v>
      </c>
      <c r="AH84" s="106">
        <v>9</v>
      </c>
      <c r="AI84" s="106">
        <v>7992</v>
      </c>
      <c r="AJ84" s="106">
        <v>17</v>
      </c>
      <c r="AK84" s="106">
        <v>15096</v>
      </c>
      <c r="AL84" s="106">
        <v>28</v>
      </c>
      <c r="AM84" s="106">
        <v>24864</v>
      </c>
      <c r="AN84" s="106">
        <v>21</v>
      </c>
      <c r="AO84" s="106">
        <v>18648</v>
      </c>
      <c r="AP84" s="106">
        <v>27</v>
      </c>
      <c r="AQ84" s="106">
        <v>23976</v>
      </c>
      <c r="AR84" s="106">
        <v>22</v>
      </c>
      <c r="AS84" s="106">
        <v>19536</v>
      </c>
      <c r="AT84" s="106">
        <v>22</v>
      </c>
      <c r="AU84" s="106">
        <v>19536</v>
      </c>
      <c r="AV84" s="106">
        <v>38</v>
      </c>
      <c r="AW84" s="106">
        <v>33744</v>
      </c>
      <c r="AX84" s="106">
        <v>35</v>
      </c>
      <c r="AY84" s="106">
        <v>31080</v>
      </c>
      <c r="AZ84" s="106">
        <v>8</v>
      </c>
      <c r="BA84" s="106">
        <v>7104</v>
      </c>
      <c r="BB84" s="106">
        <v>5</v>
      </c>
      <c r="BC84" s="106">
        <v>4440</v>
      </c>
      <c r="BD84" s="106">
        <v>7</v>
      </c>
      <c r="BE84" s="106">
        <v>6216</v>
      </c>
      <c r="BF84" s="106">
        <v>8</v>
      </c>
      <c r="BG84" s="106">
        <v>7104</v>
      </c>
      <c r="BH84" s="106">
        <v>5</v>
      </c>
      <c r="BI84" s="106">
        <v>4440</v>
      </c>
      <c r="BJ84" s="106">
        <v>7</v>
      </c>
      <c r="BK84" s="106">
        <v>6216</v>
      </c>
      <c r="BL84" s="106">
        <v>8</v>
      </c>
      <c r="BM84" s="106">
        <v>7104</v>
      </c>
      <c r="BN84" s="106">
        <v>6</v>
      </c>
      <c r="BO84" s="106">
        <v>5328</v>
      </c>
      <c r="BP84" s="106">
        <v>6</v>
      </c>
      <c r="BQ84" s="106">
        <v>5328</v>
      </c>
      <c r="BR84" s="106">
        <v>5</v>
      </c>
      <c r="BS84" s="106">
        <v>4440</v>
      </c>
      <c r="BT84" s="106">
        <v>5</v>
      </c>
      <c r="BU84" s="106">
        <v>4440</v>
      </c>
      <c r="BV84" s="106">
        <v>5</v>
      </c>
      <c r="BW84" s="106">
        <v>4440</v>
      </c>
      <c r="BX84" s="106">
        <v>23</v>
      </c>
      <c r="BY84" s="106">
        <v>20424</v>
      </c>
      <c r="BZ84" s="106">
        <v>26</v>
      </c>
      <c r="CA84" s="106">
        <v>23088</v>
      </c>
      <c r="CB84" s="106">
        <v>14</v>
      </c>
      <c r="CC84" s="106">
        <v>12432</v>
      </c>
      <c r="CD84" s="106">
        <v>14</v>
      </c>
      <c r="CE84" s="106">
        <v>12432</v>
      </c>
      <c r="CF84" s="106">
        <v>9</v>
      </c>
      <c r="CG84" s="106">
        <v>7992</v>
      </c>
      <c r="CH84" s="106">
        <v>8</v>
      </c>
      <c r="CI84" s="106">
        <v>7104</v>
      </c>
      <c r="CJ84" s="106">
        <v>5</v>
      </c>
      <c r="CK84" s="106">
        <v>4440</v>
      </c>
      <c r="CL84" s="106">
        <v>9</v>
      </c>
      <c r="CM84" s="106">
        <v>7992</v>
      </c>
      <c r="CN84" s="106">
        <v>4</v>
      </c>
      <c r="CO84" s="106">
        <v>3552</v>
      </c>
      <c r="CP84" s="106">
        <v>5</v>
      </c>
      <c r="CQ84" s="106">
        <v>4440</v>
      </c>
      <c r="CR84" s="106">
        <v>4</v>
      </c>
      <c r="CS84" s="106">
        <v>3552</v>
      </c>
      <c r="CT84" s="106">
        <v>5</v>
      </c>
      <c r="CU84" s="106">
        <v>4440</v>
      </c>
    </row>
    <row r="85" spans="2:99" x14ac:dyDescent="0.2">
      <c r="C85" s="105" t="s">
        <v>251</v>
      </c>
      <c r="D85" s="106">
        <v>28</v>
      </c>
      <c r="E85" s="106">
        <v>18312</v>
      </c>
      <c r="F85" s="106">
        <v>31</v>
      </c>
      <c r="G85" s="106">
        <v>20274</v>
      </c>
      <c r="H85" s="106">
        <v>17</v>
      </c>
      <c r="I85" s="106">
        <v>11118</v>
      </c>
      <c r="J85" s="106">
        <v>27</v>
      </c>
      <c r="K85" s="106">
        <v>17658</v>
      </c>
      <c r="L85" s="106">
        <v>30</v>
      </c>
      <c r="M85" s="106">
        <v>19620</v>
      </c>
      <c r="N85" s="106">
        <v>21</v>
      </c>
      <c r="O85" s="106">
        <v>13734</v>
      </c>
      <c r="P85" s="106">
        <v>18</v>
      </c>
      <c r="Q85" s="106">
        <v>11772</v>
      </c>
      <c r="R85" s="106">
        <v>24</v>
      </c>
      <c r="S85" s="106">
        <v>15696</v>
      </c>
      <c r="T85" s="106">
        <v>14</v>
      </c>
      <c r="U85" s="106">
        <v>9156</v>
      </c>
      <c r="V85" s="106">
        <v>15</v>
      </c>
      <c r="W85" s="106">
        <v>9810</v>
      </c>
      <c r="X85" s="106">
        <v>13</v>
      </c>
      <c r="Y85" s="106">
        <v>8502</v>
      </c>
      <c r="Z85" s="106">
        <v>11</v>
      </c>
      <c r="AA85" s="106">
        <v>7194</v>
      </c>
      <c r="AB85" s="106">
        <v>11</v>
      </c>
      <c r="AC85" s="106">
        <v>7194</v>
      </c>
      <c r="AD85" s="106">
        <v>9</v>
      </c>
      <c r="AE85" s="106">
        <v>5886</v>
      </c>
      <c r="AF85" s="106">
        <v>9</v>
      </c>
      <c r="AG85" s="106">
        <v>5886</v>
      </c>
      <c r="AH85" s="106">
        <v>10</v>
      </c>
      <c r="AI85" s="106">
        <v>6540</v>
      </c>
      <c r="AJ85" s="106">
        <v>17</v>
      </c>
      <c r="AK85" s="106">
        <v>11118</v>
      </c>
      <c r="AL85" s="106">
        <v>28</v>
      </c>
      <c r="AM85" s="106">
        <v>18312</v>
      </c>
      <c r="AN85" s="106">
        <v>21</v>
      </c>
      <c r="AO85" s="106">
        <v>13734</v>
      </c>
      <c r="AP85" s="106">
        <v>28</v>
      </c>
      <c r="AQ85" s="106">
        <v>18312</v>
      </c>
      <c r="AR85" s="106">
        <v>24</v>
      </c>
      <c r="AS85" s="106">
        <v>15696</v>
      </c>
      <c r="AT85" s="106">
        <v>22</v>
      </c>
      <c r="AU85" s="106">
        <v>14388</v>
      </c>
      <c r="AV85" s="106">
        <v>43</v>
      </c>
      <c r="AW85" s="106">
        <v>28122</v>
      </c>
      <c r="AX85" s="106">
        <v>33</v>
      </c>
      <c r="AY85" s="106">
        <v>21582</v>
      </c>
      <c r="AZ85" s="106">
        <v>9</v>
      </c>
      <c r="BA85" s="106">
        <v>5886</v>
      </c>
      <c r="BB85" s="106">
        <v>6</v>
      </c>
      <c r="BC85" s="106">
        <v>3924</v>
      </c>
      <c r="BD85" s="106">
        <v>6</v>
      </c>
      <c r="BE85" s="106">
        <v>3924</v>
      </c>
      <c r="BF85" s="106">
        <v>9</v>
      </c>
      <c r="BG85" s="106">
        <v>5886</v>
      </c>
      <c r="BH85" s="106">
        <v>6</v>
      </c>
      <c r="BI85" s="106">
        <v>3924</v>
      </c>
      <c r="BJ85" s="106">
        <v>8</v>
      </c>
      <c r="BK85" s="106">
        <v>5232</v>
      </c>
      <c r="BL85" s="106">
        <v>8</v>
      </c>
      <c r="BM85" s="106">
        <v>5232</v>
      </c>
      <c r="BN85" s="106">
        <v>7</v>
      </c>
      <c r="BO85" s="106">
        <v>4578</v>
      </c>
      <c r="BP85" s="106">
        <v>6</v>
      </c>
      <c r="BQ85" s="106">
        <v>3924</v>
      </c>
      <c r="BR85" s="106">
        <v>4</v>
      </c>
      <c r="BS85" s="106">
        <v>2616</v>
      </c>
      <c r="BT85" s="106">
        <v>6</v>
      </c>
      <c r="BU85" s="106">
        <v>3924</v>
      </c>
      <c r="BV85" s="106">
        <v>6</v>
      </c>
      <c r="BW85" s="106">
        <v>3924</v>
      </c>
      <c r="BX85" s="106">
        <v>25</v>
      </c>
      <c r="BY85" s="106">
        <v>16350</v>
      </c>
      <c r="BZ85" s="106">
        <v>25</v>
      </c>
      <c r="CA85" s="106">
        <v>16350</v>
      </c>
      <c r="CB85" s="106">
        <v>17</v>
      </c>
      <c r="CC85" s="106">
        <v>11118</v>
      </c>
      <c r="CD85" s="106">
        <v>16</v>
      </c>
      <c r="CE85" s="106">
        <v>10464</v>
      </c>
      <c r="CF85" s="106">
        <v>9</v>
      </c>
      <c r="CG85" s="106">
        <v>5886</v>
      </c>
      <c r="CH85" s="106">
        <v>8</v>
      </c>
      <c r="CI85" s="106">
        <v>5232</v>
      </c>
      <c r="CJ85" s="106">
        <v>6</v>
      </c>
      <c r="CK85" s="106">
        <v>3924</v>
      </c>
      <c r="CL85" s="106">
        <v>9</v>
      </c>
      <c r="CM85" s="106">
        <v>5886</v>
      </c>
      <c r="CN85" s="106">
        <v>4</v>
      </c>
      <c r="CO85" s="106">
        <v>2616</v>
      </c>
      <c r="CP85" s="106">
        <v>5</v>
      </c>
      <c r="CQ85" s="106">
        <v>3270</v>
      </c>
      <c r="CR85" s="106">
        <v>4</v>
      </c>
      <c r="CS85" s="106">
        <v>2616</v>
      </c>
      <c r="CT85" s="106">
        <v>6</v>
      </c>
      <c r="CU85" s="106">
        <v>3924</v>
      </c>
    </row>
    <row r="86" spans="2:99" x14ac:dyDescent="0.2">
      <c r="C86" s="105" t="s">
        <v>252</v>
      </c>
      <c r="D86" s="106">
        <v>33</v>
      </c>
      <c r="E86" s="106">
        <v>12553.199999999999</v>
      </c>
      <c r="F86" s="106">
        <v>29</v>
      </c>
      <c r="G86" s="106">
        <v>11031.599999999999</v>
      </c>
      <c r="H86" s="106">
        <v>19</v>
      </c>
      <c r="I86" s="106">
        <v>7227.5999999999995</v>
      </c>
      <c r="J86" s="106">
        <v>25</v>
      </c>
      <c r="K86" s="106">
        <v>9510</v>
      </c>
      <c r="L86" s="106">
        <v>33</v>
      </c>
      <c r="M86" s="106">
        <v>12553.199999999999</v>
      </c>
      <c r="N86" s="106">
        <v>21</v>
      </c>
      <c r="O86" s="106">
        <v>7988.4</v>
      </c>
      <c r="P86" s="106">
        <v>18</v>
      </c>
      <c r="Q86" s="106">
        <v>6847.2</v>
      </c>
      <c r="R86" s="106">
        <v>27</v>
      </c>
      <c r="S86" s="106">
        <v>10270.799999999999</v>
      </c>
      <c r="T86" s="106">
        <v>15</v>
      </c>
      <c r="U86" s="106">
        <v>5706</v>
      </c>
      <c r="V86" s="106">
        <v>17</v>
      </c>
      <c r="W86" s="106">
        <v>6466.7999999999993</v>
      </c>
      <c r="X86" s="106">
        <v>15</v>
      </c>
      <c r="Y86" s="106">
        <v>5706</v>
      </c>
      <c r="Z86" s="106">
        <v>12</v>
      </c>
      <c r="AA86" s="106">
        <v>4564.7999999999993</v>
      </c>
      <c r="AB86" s="106">
        <v>11</v>
      </c>
      <c r="AC86" s="106">
        <v>4184.3999999999996</v>
      </c>
      <c r="AD86" s="106">
        <v>10</v>
      </c>
      <c r="AE86" s="106">
        <v>3804</v>
      </c>
      <c r="AF86" s="106">
        <v>10</v>
      </c>
      <c r="AG86" s="106">
        <v>3804</v>
      </c>
      <c r="AH86" s="106">
        <v>10</v>
      </c>
      <c r="AI86" s="106">
        <v>3804</v>
      </c>
      <c r="AJ86" s="106">
        <v>16</v>
      </c>
      <c r="AK86" s="106">
        <v>6086.4</v>
      </c>
      <c r="AL86" s="106">
        <v>31</v>
      </c>
      <c r="AM86" s="106">
        <v>11792.4</v>
      </c>
      <c r="AN86" s="106">
        <v>24</v>
      </c>
      <c r="AO86" s="106">
        <v>9129.5999999999985</v>
      </c>
      <c r="AP86" s="106">
        <v>26</v>
      </c>
      <c r="AQ86" s="106">
        <v>9890.4</v>
      </c>
      <c r="AR86" s="106">
        <v>27</v>
      </c>
      <c r="AS86" s="106">
        <v>10270.799999999999</v>
      </c>
      <c r="AT86" s="106">
        <v>22</v>
      </c>
      <c r="AU86" s="106">
        <v>8368.7999999999993</v>
      </c>
      <c r="AV86" s="106">
        <v>42</v>
      </c>
      <c r="AW86" s="106">
        <v>15976.8</v>
      </c>
      <c r="AX86" s="106">
        <v>38</v>
      </c>
      <c r="AY86" s="106">
        <v>14455.199999999999</v>
      </c>
      <c r="AZ86" s="106">
        <v>9</v>
      </c>
      <c r="BA86" s="106">
        <v>3423.6</v>
      </c>
      <c r="BB86" s="106">
        <v>6</v>
      </c>
      <c r="BC86" s="106">
        <v>2282.3999999999996</v>
      </c>
      <c r="BD86" s="106">
        <v>7</v>
      </c>
      <c r="BE86" s="106">
        <v>2662.7999999999997</v>
      </c>
      <c r="BF86" s="106">
        <v>8</v>
      </c>
      <c r="BG86" s="106">
        <v>3043.2</v>
      </c>
      <c r="BH86" s="106">
        <v>6</v>
      </c>
      <c r="BI86" s="106">
        <v>2282.3999999999996</v>
      </c>
      <c r="BJ86" s="106">
        <v>8</v>
      </c>
      <c r="BK86" s="106">
        <v>3043.2</v>
      </c>
      <c r="BL86" s="106">
        <v>9</v>
      </c>
      <c r="BM86" s="106">
        <v>3423.6</v>
      </c>
      <c r="BN86" s="106">
        <v>7</v>
      </c>
      <c r="BO86" s="106">
        <v>2662.7999999999997</v>
      </c>
      <c r="BP86" s="106">
        <v>6</v>
      </c>
      <c r="BQ86" s="106">
        <v>2282.3999999999996</v>
      </c>
      <c r="BR86" s="106">
        <v>5</v>
      </c>
      <c r="BS86" s="106">
        <v>1902</v>
      </c>
      <c r="BT86" s="106">
        <v>6</v>
      </c>
      <c r="BU86" s="106">
        <v>2282.3999999999996</v>
      </c>
      <c r="BV86" s="106">
        <v>5</v>
      </c>
      <c r="BW86" s="106">
        <v>1902</v>
      </c>
      <c r="BX86" s="106">
        <v>25</v>
      </c>
      <c r="BY86" s="106">
        <v>9510</v>
      </c>
      <c r="BZ86" s="106">
        <v>27</v>
      </c>
      <c r="CA86" s="106">
        <v>10270.799999999999</v>
      </c>
      <c r="CB86" s="106">
        <v>15</v>
      </c>
      <c r="CC86" s="106">
        <v>5706</v>
      </c>
      <c r="CD86" s="106">
        <v>17</v>
      </c>
      <c r="CE86" s="106">
        <v>6466.7999999999993</v>
      </c>
      <c r="CF86" s="106">
        <v>9</v>
      </c>
      <c r="CG86" s="106">
        <v>3423.6</v>
      </c>
      <c r="CH86" s="106">
        <v>8</v>
      </c>
      <c r="CI86" s="106">
        <v>3043.2</v>
      </c>
      <c r="CJ86" s="106">
        <v>6</v>
      </c>
      <c r="CK86" s="106">
        <v>2282.3999999999996</v>
      </c>
      <c r="CL86" s="106">
        <v>10</v>
      </c>
      <c r="CM86" s="106">
        <v>3804</v>
      </c>
      <c r="CN86" s="106">
        <v>4</v>
      </c>
      <c r="CO86" s="106">
        <v>1521.6</v>
      </c>
      <c r="CP86" s="106">
        <v>5</v>
      </c>
      <c r="CQ86" s="106">
        <v>1902</v>
      </c>
      <c r="CR86" s="106">
        <v>4</v>
      </c>
      <c r="CS86" s="106">
        <v>1521.6</v>
      </c>
      <c r="CT86" s="106">
        <v>6</v>
      </c>
      <c r="CU86" s="106">
        <v>2282.3999999999996</v>
      </c>
    </row>
    <row r="87" spans="2:99" x14ac:dyDescent="0.2">
      <c r="B87" s="105" t="s">
        <v>131</v>
      </c>
      <c r="C87" s="105" t="s">
        <v>253</v>
      </c>
      <c r="D87" s="106">
        <v>7</v>
      </c>
      <c r="E87" s="106">
        <v>3948</v>
      </c>
      <c r="F87" s="106">
        <v>10</v>
      </c>
      <c r="G87" s="106">
        <v>5640</v>
      </c>
      <c r="H87" s="106">
        <v>8</v>
      </c>
      <c r="I87" s="106">
        <v>4512</v>
      </c>
      <c r="J87" s="106">
        <v>9</v>
      </c>
      <c r="K87" s="106">
        <v>5076</v>
      </c>
      <c r="L87" s="106">
        <v>8</v>
      </c>
      <c r="M87" s="106">
        <v>4512</v>
      </c>
      <c r="N87" s="106">
        <v>8</v>
      </c>
      <c r="O87" s="106">
        <v>4512</v>
      </c>
      <c r="P87" s="106">
        <v>5</v>
      </c>
      <c r="Q87" s="106">
        <v>2820</v>
      </c>
      <c r="R87" s="106">
        <v>5</v>
      </c>
      <c r="S87" s="106">
        <v>2820</v>
      </c>
      <c r="T87" s="106">
        <v>4.0087379128594609</v>
      </c>
      <c r="U87" s="106">
        <v>2260.928182852736</v>
      </c>
      <c r="V87" s="106">
        <v>5.7709651898734178</v>
      </c>
      <c r="W87" s="106">
        <v>3254.8243670886077</v>
      </c>
      <c r="X87" s="106">
        <v>4.0796979865771812</v>
      </c>
      <c r="Y87" s="106">
        <v>2300.94966442953</v>
      </c>
      <c r="Z87" s="106">
        <v>4.902217741935484</v>
      </c>
      <c r="AA87" s="106">
        <v>2764.8508064516132</v>
      </c>
      <c r="AB87" s="106">
        <v>9.9107142857142847</v>
      </c>
      <c r="AC87" s="106">
        <v>5589.6428571428569</v>
      </c>
      <c r="AD87" s="106">
        <v>10.107219827586206</v>
      </c>
      <c r="AE87" s="106">
        <v>5700.4719827586205</v>
      </c>
      <c r="AF87" s="106">
        <v>10.90639534883721</v>
      </c>
      <c r="AG87" s="106">
        <v>6151.2069767441862</v>
      </c>
      <c r="AH87" s="106">
        <v>9.1955882352941174</v>
      </c>
      <c r="AI87" s="106">
        <v>5186.3117647058825</v>
      </c>
      <c r="AJ87" s="106">
        <v>5.9285714285714288</v>
      </c>
      <c r="AK87" s="106">
        <v>3343.7142857142858</v>
      </c>
      <c r="AL87" s="106">
        <v>9.1544117647058822</v>
      </c>
      <c r="AM87" s="106">
        <v>5163.088235294118</v>
      </c>
      <c r="AN87" s="106">
        <v>12.685589519650655</v>
      </c>
      <c r="AO87" s="106">
        <v>7154.6724890829692</v>
      </c>
      <c r="AP87" s="106">
        <v>10.204918032786885</v>
      </c>
      <c r="AQ87" s="106">
        <v>5755.5737704918038</v>
      </c>
      <c r="AR87" s="106">
        <v>23.981717687074831</v>
      </c>
      <c r="AS87" s="106">
        <v>13525.688775510205</v>
      </c>
      <c r="AT87" s="106">
        <v>24.481336805555557</v>
      </c>
      <c r="AU87" s="106">
        <v>13807.473958333334</v>
      </c>
      <c r="AV87" s="106">
        <v>18</v>
      </c>
      <c r="AW87" s="106">
        <v>10152</v>
      </c>
      <c r="AX87" s="106">
        <v>19</v>
      </c>
      <c r="AY87" s="106">
        <v>10716</v>
      </c>
      <c r="AZ87" s="106">
        <v>20.959770114942529</v>
      </c>
      <c r="BA87" s="106">
        <v>11821.310344827587</v>
      </c>
      <c r="BB87" s="106">
        <v>15.200381679389313</v>
      </c>
      <c r="BC87" s="106">
        <v>8573.0152671755732</v>
      </c>
      <c r="BD87" s="106">
        <v>13.01470588235294</v>
      </c>
      <c r="BE87" s="106">
        <v>7340.2941176470586</v>
      </c>
      <c r="BF87" s="106">
        <v>11.777566539923953</v>
      </c>
      <c r="BG87" s="106">
        <v>6642.5475285171096</v>
      </c>
      <c r="BH87" s="106">
        <v>12.3125</v>
      </c>
      <c r="BI87" s="106">
        <v>6944.25</v>
      </c>
      <c r="BJ87" s="106">
        <v>8</v>
      </c>
      <c r="BK87" s="106">
        <v>4512</v>
      </c>
      <c r="BL87" s="106">
        <v>12</v>
      </c>
      <c r="BM87" s="106">
        <v>6768</v>
      </c>
      <c r="BN87" s="106">
        <v>13.851063829787233</v>
      </c>
      <c r="BO87" s="106">
        <v>7811.9999999999991</v>
      </c>
      <c r="BP87" s="106">
        <v>16.151452282157674</v>
      </c>
      <c r="BQ87" s="106">
        <v>9109.4190871369283</v>
      </c>
      <c r="BR87" s="106">
        <v>14.633458646616541</v>
      </c>
      <c r="BS87" s="106">
        <v>8253.270676691729</v>
      </c>
      <c r="BT87" s="106">
        <v>17.42910447761194</v>
      </c>
      <c r="BU87" s="106">
        <v>9830.0149253731342</v>
      </c>
      <c r="BV87" s="106">
        <v>17.058764940239044</v>
      </c>
      <c r="BW87" s="106">
        <v>9621.1434262948205</v>
      </c>
      <c r="BX87" s="106">
        <v>8</v>
      </c>
      <c r="BY87" s="106">
        <v>4512</v>
      </c>
      <c r="BZ87" s="106">
        <v>12</v>
      </c>
      <c r="CA87" s="106">
        <v>6768</v>
      </c>
      <c r="CB87" s="106">
        <v>10</v>
      </c>
      <c r="CC87" s="106">
        <v>5640</v>
      </c>
      <c r="CD87" s="106">
        <v>10</v>
      </c>
      <c r="CE87" s="106">
        <v>5640</v>
      </c>
      <c r="CF87" s="106">
        <v>21</v>
      </c>
      <c r="CG87" s="106">
        <v>11844</v>
      </c>
      <c r="CH87" s="106">
        <v>22</v>
      </c>
      <c r="CI87" s="106">
        <v>12408</v>
      </c>
      <c r="CJ87" s="106">
        <v>32</v>
      </c>
      <c r="CK87" s="106">
        <v>18048</v>
      </c>
      <c r="CL87" s="106">
        <v>23</v>
      </c>
      <c r="CM87" s="106">
        <v>12972</v>
      </c>
      <c r="CN87" s="106">
        <v>13</v>
      </c>
      <c r="CO87" s="106">
        <v>7332</v>
      </c>
      <c r="CP87" s="106">
        <v>15</v>
      </c>
      <c r="CQ87" s="106">
        <v>8460</v>
      </c>
      <c r="CR87" s="106">
        <v>20</v>
      </c>
      <c r="CS87" s="106">
        <v>11280</v>
      </c>
      <c r="CT87" s="106">
        <v>17.954692556634303</v>
      </c>
      <c r="CU87" s="106">
        <v>10126.446601941747</v>
      </c>
    </row>
    <row r="88" spans="2:99" x14ac:dyDescent="0.2">
      <c r="C88" s="105" t="s">
        <v>254</v>
      </c>
      <c r="D88" s="106">
        <v>7</v>
      </c>
      <c r="E88" s="106">
        <v>3402</v>
      </c>
      <c r="F88" s="106">
        <v>10</v>
      </c>
      <c r="G88" s="106">
        <v>4860</v>
      </c>
      <c r="H88" s="106">
        <v>9</v>
      </c>
      <c r="I88" s="106">
        <v>4374</v>
      </c>
      <c r="J88" s="106">
        <v>9</v>
      </c>
      <c r="K88" s="106">
        <v>4374</v>
      </c>
      <c r="L88" s="106">
        <v>8</v>
      </c>
      <c r="M88" s="106">
        <v>3888</v>
      </c>
      <c r="N88" s="106">
        <v>9</v>
      </c>
      <c r="O88" s="106">
        <v>4374</v>
      </c>
      <c r="P88" s="106">
        <v>6</v>
      </c>
      <c r="Q88" s="106">
        <v>2916</v>
      </c>
      <c r="R88" s="106">
        <v>6</v>
      </c>
      <c r="S88" s="106">
        <v>2916</v>
      </c>
      <c r="T88" s="106">
        <v>4.0087379128594609</v>
      </c>
      <c r="U88" s="106">
        <v>1948.246625649698</v>
      </c>
      <c r="V88" s="106">
        <v>5.1297468354430382</v>
      </c>
      <c r="W88" s="106">
        <v>2493.0569620253164</v>
      </c>
      <c r="X88" s="106">
        <v>4.0796979865771812</v>
      </c>
      <c r="Y88" s="106">
        <v>1982.7332214765102</v>
      </c>
      <c r="Z88" s="106">
        <v>5.7192540322580641</v>
      </c>
      <c r="AA88" s="106">
        <v>2779.557459677419</v>
      </c>
      <c r="AB88" s="106">
        <v>11.892857142857142</v>
      </c>
      <c r="AC88" s="106">
        <v>5779.9285714285716</v>
      </c>
      <c r="AD88" s="106">
        <v>10.884698275862069</v>
      </c>
      <c r="AE88" s="106">
        <v>5289.9633620689656</v>
      </c>
      <c r="AF88" s="106">
        <v>11.745348837209303</v>
      </c>
      <c r="AG88" s="106">
        <v>5708.2395348837208</v>
      </c>
      <c r="AH88" s="106">
        <v>10.610294117647058</v>
      </c>
      <c r="AI88" s="106">
        <v>5156.6029411764703</v>
      </c>
      <c r="AJ88" s="106">
        <v>6.7755102040816331</v>
      </c>
      <c r="AK88" s="106">
        <v>3292.8979591836737</v>
      </c>
      <c r="AL88" s="106">
        <v>7.6286764705882355</v>
      </c>
      <c r="AM88" s="106">
        <v>3707.5367647058824</v>
      </c>
      <c r="AN88" s="106">
        <v>13.591703056768559</v>
      </c>
      <c r="AO88" s="106">
        <v>6605.5676855895199</v>
      </c>
      <c r="AP88" s="106">
        <v>11.055327868852459</v>
      </c>
      <c r="AQ88" s="106">
        <v>5372.8893442622948</v>
      </c>
      <c r="AR88" s="106">
        <v>23.154761904761905</v>
      </c>
      <c r="AS88" s="106">
        <v>11253.214285714286</v>
      </c>
      <c r="AT88" s="106">
        <v>24.481336805555557</v>
      </c>
      <c r="AU88" s="106">
        <v>11897.9296875</v>
      </c>
      <c r="AV88" s="106">
        <v>18</v>
      </c>
      <c r="AW88" s="106">
        <v>8748</v>
      </c>
      <c r="AX88" s="106">
        <v>21</v>
      </c>
      <c r="AY88" s="106">
        <v>10206</v>
      </c>
      <c r="AZ88" s="106">
        <v>19.462643678160919</v>
      </c>
      <c r="BA88" s="106">
        <v>9458.8448275862065</v>
      </c>
      <c r="BB88" s="106">
        <v>16.044847328244273</v>
      </c>
      <c r="BC88" s="106">
        <v>7797.7958015267168</v>
      </c>
      <c r="BD88" s="106">
        <v>12.147058823529411</v>
      </c>
      <c r="BE88" s="106">
        <v>5903.4705882352937</v>
      </c>
      <c r="BF88" s="106">
        <v>11.777566539923953</v>
      </c>
      <c r="BG88" s="106">
        <v>5723.8973384030414</v>
      </c>
      <c r="BH88" s="106">
        <v>14.206730769230768</v>
      </c>
      <c r="BI88" s="106">
        <v>6904.4711538461534</v>
      </c>
      <c r="BJ88" s="106">
        <v>8</v>
      </c>
      <c r="BK88" s="106">
        <v>3888</v>
      </c>
      <c r="BL88" s="106">
        <v>11</v>
      </c>
      <c r="BM88" s="106">
        <v>5346</v>
      </c>
      <c r="BN88" s="106">
        <v>12.004255319148935</v>
      </c>
      <c r="BO88" s="106">
        <v>5834.0680851063826</v>
      </c>
      <c r="BP88" s="106">
        <v>14.536307053941908</v>
      </c>
      <c r="BQ88" s="106">
        <v>7064.645228215767</v>
      </c>
      <c r="BR88" s="106">
        <v>16.828477443609021</v>
      </c>
      <c r="BS88" s="106">
        <v>8178.6400375939838</v>
      </c>
      <c r="BT88" s="106">
        <v>18.155317164179106</v>
      </c>
      <c r="BU88" s="106">
        <v>8823.4841417910447</v>
      </c>
      <c r="BV88" s="106">
        <v>17.834163346613547</v>
      </c>
      <c r="BW88" s="106">
        <v>8667.4033864541834</v>
      </c>
      <c r="BX88" s="106">
        <v>9</v>
      </c>
      <c r="BY88" s="106">
        <v>4374</v>
      </c>
      <c r="BZ88" s="106">
        <v>12</v>
      </c>
      <c r="CA88" s="106">
        <v>5832</v>
      </c>
      <c r="CB88" s="106">
        <v>12</v>
      </c>
      <c r="CC88" s="106">
        <v>5832</v>
      </c>
      <c r="CD88" s="106">
        <v>11</v>
      </c>
      <c r="CE88" s="106">
        <v>5346</v>
      </c>
      <c r="CF88" s="106">
        <v>20</v>
      </c>
      <c r="CG88" s="106">
        <v>9720</v>
      </c>
      <c r="CH88" s="106">
        <v>24</v>
      </c>
      <c r="CI88" s="106">
        <v>11664</v>
      </c>
      <c r="CJ88" s="106">
        <v>33</v>
      </c>
      <c r="CK88" s="106">
        <v>16038</v>
      </c>
      <c r="CL88" s="106">
        <v>24</v>
      </c>
      <c r="CM88" s="106">
        <v>11664</v>
      </c>
      <c r="CN88" s="106">
        <v>14</v>
      </c>
      <c r="CO88" s="106">
        <v>6804</v>
      </c>
      <c r="CP88" s="106">
        <v>16</v>
      </c>
      <c r="CQ88" s="106">
        <v>7776</v>
      </c>
      <c r="CR88" s="106">
        <v>21</v>
      </c>
      <c r="CS88" s="106">
        <v>10206</v>
      </c>
      <c r="CT88" s="106">
        <v>20.789644012944983</v>
      </c>
      <c r="CU88" s="106">
        <v>10103.766990291262</v>
      </c>
    </row>
    <row r="89" spans="2:99" x14ac:dyDescent="0.2">
      <c r="C89" s="105" t="s">
        <v>255</v>
      </c>
      <c r="D89" s="106">
        <v>8</v>
      </c>
      <c r="E89" s="106">
        <v>5558.4</v>
      </c>
      <c r="F89" s="106">
        <v>9</v>
      </c>
      <c r="G89" s="106">
        <v>6253.2</v>
      </c>
      <c r="H89" s="106">
        <v>8</v>
      </c>
      <c r="I89" s="106">
        <v>5558.4</v>
      </c>
      <c r="J89" s="106">
        <v>10</v>
      </c>
      <c r="K89" s="106">
        <v>6948</v>
      </c>
      <c r="L89" s="106">
        <v>9</v>
      </c>
      <c r="M89" s="106">
        <v>6253.2</v>
      </c>
      <c r="N89" s="106">
        <v>8</v>
      </c>
      <c r="O89" s="106">
        <v>5558.4</v>
      </c>
      <c r="P89" s="106">
        <v>5</v>
      </c>
      <c r="Q89" s="106">
        <v>3474</v>
      </c>
      <c r="R89" s="106">
        <v>5</v>
      </c>
      <c r="S89" s="106">
        <v>3474</v>
      </c>
      <c r="T89" s="106">
        <v>4.0087379128594609</v>
      </c>
      <c r="U89" s="106">
        <v>2785.2711018547534</v>
      </c>
      <c r="V89" s="106">
        <v>5.1297468354430382</v>
      </c>
      <c r="W89" s="106">
        <v>3564.1481012658228</v>
      </c>
      <c r="X89" s="106">
        <v>4.0796979865771812</v>
      </c>
      <c r="Y89" s="106">
        <v>2834.5741610738255</v>
      </c>
      <c r="Z89" s="106">
        <v>5.7192540322580641</v>
      </c>
      <c r="AA89" s="106">
        <v>3973.7377016129026</v>
      </c>
      <c r="AB89" s="106">
        <v>9.9107142857142847</v>
      </c>
      <c r="AC89" s="106">
        <v>6885.9642857142844</v>
      </c>
      <c r="AD89" s="106">
        <v>11.662176724137932</v>
      </c>
      <c r="AE89" s="106">
        <v>8102.8803879310353</v>
      </c>
      <c r="AF89" s="106">
        <v>12.584302325581396</v>
      </c>
      <c r="AG89" s="106">
        <v>8743.5732558139534</v>
      </c>
      <c r="AH89" s="106">
        <v>9.1955882352941174</v>
      </c>
      <c r="AI89" s="106">
        <v>6389.0947058823522</v>
      </c>
      <c r="AJ89" s="106">
        <v>6.7755102040816331</v>
      </c>
      <c r="AK89" s="106">
        <v>4707.6244897959186</v>
      </c>
      <c r="AL89" s="106">
        <v>9.1544117647058822</v>
      </c>
      <c r="AM89" s="106">
        <v>6360.4852941176468</v>
      </c>
      <c r="AN89" s="106">
        <v>10.873362445414847</v>
      </c>
      <c r="AO89" s="106">
        <v>7554.8122270742351</v>
      </c>
      <c r="AP89" s="106">
        <v>10.204918032786885</v>
      </c>
      <c r="AQ89" s="106">
        <v>7090.377049180327</v>
      </c>
      <c r="AR89" s="106">
        <v>23.981717687074831</v>
      </c>
      <c r="AS89" s="106">
        <v>16662.49744897959</v>
      </c>
      <c r="AT89" s="106">
        <v>25.325520833333336</v>
      </c>
      <c r="AU89" s="106">
        <v>17596.171875</v>
      </c>
      <c r="AV89" s="106">
        <v>18</v>
      </c>
      <c r="AW89" s="106">
        <v>12506.4</v>
      </c>
      <c r="AX89" s="106">
        <v>20</v>
      </c>
      <c r="AY89" s="106">
        <v>13896</v>
      </c>
      <c r="AZ89" s="106">
        <v>21.708333333333332</v>
      </c>
      <c r="BA89" s="106">
        <v>15082.949999999999</v>
      </c>
      <c r="BB89" s="106">
        <v>14.355916030534351</v>
      </c>
      <c r="BC89" s="106">
        <v>9974.490458015267</v>
      </c>
      <c r="BD89" s="106">
        <v>13.882352941176471</v>
      </c>
      <c r="BE89" s="106">
        <v>9645.4588235294123</v>
      </c>
      <c r="BF89" s="106">
        <v>11.777566539923953</v>
      </c>
      <c r="BG89" s="106">
        <v>8183.0532319391623</v>
      </c>
      <c r="BH89" s="106">
        <v>12.3125</v>
      </c>
      <c r="BI89" s="106">
        <v>8554.7249999999985</v>
      </c>
      <c r="BJ89" s="106">
        <v>9</v>
      </c>
      <c r="BK89" s="106">
        <v>6253.2</v>
      </c>
      <c r="BL89" s="106">
        <v>12</v>
      </c>
      <c r="BM89" s="106">
        <v>8337.5999999999985</v>
      </c>
      <c r="BN89" s="106">
        <v>13.851063829787233</v>
      </c>
      <c r="BO89" s="106">
        <v>9623.7191489361685</v>
      </c>
      <c r="BP89" s="106">
        <v>16.959024896265561</v>
      </c>
      <c r="BQ89" s="106">
        <v>11783.130497925311</v>
      </c>
      <c r="BR89" s="106">
        <v>16.096804511278194</v>
      </c>
      <c r="BS89" s="106">
        <v>11184.059774436088</v>
      </c>
      <c r="BT89" s="106">
        <v>15.250466417910449</v>
      </c>
      <c r="BU89" s="106">
        <v>10596.024067164179</v>
      </c>
      <c r="BV89" s="106">
        <v>17.834163346613547</v>
      </c>
      <c r="BW89" s="106">
        <v>12391.176693227091</v>
      </c>
      <c r="BX89" s="106">
        <v>7</v>
      </c>
      <c r="BY89" s="106">
        <v>4863.5999999999995</v>
      </c>
      <c r="BZ89" s="106">
        <v>12</v>
      </c>
      <c r="CA89" s="106">
        <v>8337.5999999999985</v>
      </c>
      <c r="CB89" s="106">
        <v>11</v>
      </c>
      <c r="CC89" s="106">
        <v>7642.7999999999993</v>
      </c>
      <c r="CD89" s="106">
        <v>9</v>
      </c>
      <c r="CE89" s="106">
        <v>6253.2</v>
      </c>
      <c r="CF89" s="106">
        <v>20</v>
      </c>
      <c r="CG89" s="106">
        <v>13896</v>
      </c>
      <c r="CH89" s="106">
        <v>23</v>
      </c>
      <c r="CI89" s="106">
        <v>15980.4</v>
      </c>
      <c r="CJ89" s="106">
        <v>31</v>
      </c>
      <c r="CK89" s="106">
        <v>21538.799999999999</v>
      </c>
      <c r="CL89" s="106">
        <v>24</v>
      </c>
      <c r="CM89" s="106">
        <v>16675.199999999997</v>
      </c>
      <c r="CN89" s="106">
        <v>12</v>
      </c>
      <c r="CO89" s="106">
        <v>8337.5999999999985</v>
      </c>
      <c r="CP89" s="106">
        <v>15</v>
      </c>
      <c r="CQ89" s="106">
        <v>10422</v>
      </c>
      <c r="CR89" s="106">
        <v>21</v>
      </c>
      <c r="CS89" s="106">
        <v>14590.8</v>
      </c>
      <c r="CT89" s="106">
        <v>18.899676375404528</v>
      </c>
      <c r="CU89" s="106">
        <v>13131.495145631065</v>
      </c>
    </row>
    <row r="90" spans="2:99" x14ac:dyDescent="0.2">
      <c r="C90" s="105" t="s">
        <v>256</v>
      </c>
      <c r="D90" s="106">
        <v>8</v>
      </c>
      <c r="E90" s="106">
        <v>4713.5999999999995</v>
      </c>
      <c r="F90" s="106">
        <v>10</v>
      </c>
      <c r="G90" s="106">
        <v>5891.9999999999991</v>
      </c>
      <c r="H90" s="106">
        <v>7</v>
      </c>
      <c r="I90" s="106">
        <v>4124.3999999999996</v>
      </c>
      <c r="J90" s="106">
        <v>9</v>
      </c>
      <c r="K90" s="106">
        <v>5302.7999999999993</v>
      </c>
      <c r="L90" s="106">
        <v>9</v>
      </c>
      <c r="M90" s="106">
        <v>5302.7999999999993</v>
      </c>
      <c r="N90" s="106">
        <v>8</v>
      </c>
      <c r="O90" s="106">
        <v>4713.5999999999995</v>
      </c>
      <c r="P90" s="106">
        <v>6</v>
      </c>
      <c r="Q90" s="106">
        <v>3535.2</v>
      </c>
      <c r="R90" s="106">
        <v>6</v>
      </c>
      <c r="S90" s="106">
        <v>3535.2</v>
      </c>
      <c r="T90" s="106">
        <v>4.0087379128594609</v>
      </c>
      <c r="U90" s="106">
        <v>2361.9483782567941</v>
      </c>
      <c r="V90" s="106">
        <v>5.7709651898734178</v>
      </c>
      <c r="W90" s="106">
        <v>3400.2526898734172</v>
      </c>
      <c r="X90" s="106">
        <v>4.0796979865771812</v>
      </c>
      <c r="Y90" s="106">
        <v>2403.7580536912747</v>
      </c>
      <c r="Z90" s="106">
        <v>5.7192540322580641</v>
      </c>
      <c r="AA90" s="106">
        <v>3369.7844758064512</v>
      </c>
      <c r="AB90" s="106">
        <v>9.9107142857142847</v>
      </c>
      <c r="AC90" s="106">
        <v>5839.392857142856</v>
      </c>
      <c r="AD90" s="106">
        <v>10.884698275862069</v>
      </c>
      <c r="AE90" s="106">
        <v>6413.2642241379308</v>
      </c>
      <c r="AF90" s="106">
        <v>11.745348837209303</v>
      </c>
      <c r="AG90" s="106">
        <v>6920.3595348837207</v>
      </c>
      <c r="AH90" s="106">
        <v>10.610294117647058</v>
      </c>
      <c r="AI90" s="106">
        <v>6251.5852941176454</v>
      </c>
      <c r="AJ90" s="106">
        <v>7.6224489795918373</v>
      </c>
      <c r="AK90" s="106">
        <v>4491.1469387755096</v>
      </c>
      <c r="AL90" s="106">
        <v>8.3915441176470598</v>
      </c>
      <c r="AM90" s="106">
        <v>4944.2977941176468</v>
      </c>
      <c r="AN90" s="106">
        <v>12.685589519650655</v>
      </c>
      <c r="AO90" s="106">
        <v>7474.3493449781654</v>
      </c>
      <c r="AP90" s="106">
        <v>9.3545081967213122</v>
      </c>
      <c r="AQ90" s="106">
        <v>5511.6762295081962</v>
      </c>
      <c r="AR90" s="106">
        <v>23.154761904761905</v>
      </c>
      <c r="AS90" s="106">
        <v>13642.785714285714</v>
      </c>
      <c r="AT90" s="106">
        <v>22.79296875</v>
      </c>
      <c r="AU90" s="106">
        <v>13429.617187499998</v>
      </c>
      <c r="AV90" s="106">
        <v>17</v>
      </c>
      <c r="AW90" s="106">
        <v>10016.4</v>
      </c>
      <c r="AX90" s="106">
        <v>19</v>
      </c>
      <c r="AY90" s="106">
        <v>11194.8</v>
      </c>
      <c r="AZ90" s="106">
        <v>21.708333333333332</v>
      </c>
      <c r="BA90" s="106">
        <v>12790.549999999997</v>
      </c>
      <c r="BB90" s="106">
        <v>14.355916030534351</v>
      </c>
      <c r="BC90" s="106">
        <v>8458.5057251908383</v>
      </c>
      <c r="BD90" s="106">
        <v>13.01470588235294</v>
      </c>
      <c r="BE90" s="106">
        <v>7668.2647058823513</v>
      </c>
      <c r="BF90" s="106">
        <v>13.460076045627376</v>
      </c>
      <c r="BG90" s="106">
        <v>7930.6768060836494</v>
      </c>
      <c r="BH90" s="106">
        <v>11.365384615384617</v>
      </c>
      <c r="BI90" s="106">
        <v>6696.4846153846156</v>
      </c>
      <c r="BJ90" s="106">
        <v>8</v>
      </c>
      <c r="BK90" s="106">
        <v>4713.5999999999995</v>
      </c>
      <c r="BL90" s="106">
        <v>13</v>
      </c>
      <c r="BM90" s="106">
        <v>7659.5999999999995</v>
      </c>
      <c r="BN90" s="106">
        <v>12.004255319148935</v>
      </c>
      <c r="BO90" s="106">
        <v>7072.9072340425519</v>
      </c>
      <c r="BP90" s="106">
        <v>16.959024896265561</v>
      </c>
      <c r="BQ90" s="106">
        <v>9992.2574688796667</v>
      </c>
      <c r="BR90" s="106">
        <v>15.365131578947368</v>
      </c>
      <c r="BS90" s="106">
        <v>9053.1355263157875</v>
      </c>
      <c r="BT90" s="106">
        <v>17.42910447761194</v>
      </c>
      <c r="BU90" s="106">
        <v>10269.228358208953</v>
      </c>
      <c r="BV90" s="106">
        <v>17.834163346613547</v>
      </c>
      <c r="BW90" s="106">
        <v>10507.8890438247</v>
      </c>
      <c r="BX90" s="106">
        <v>7</v>
      </c>
      <c r="BY90" s="106">
        <v>4124.3999999999996</v>
      </c>
      <c r="BZ90" s="106">
        <v>12</v>
      </c>
      <c r="CA90" s="106">
        <v>7070.4</v>
      </c>
      <c r="CB90" s="106">
        <v>12</v>
      </c>
      <c r="CC90" s="106">
        <v>7070.4</v>
      </c>
      <c r="CD90" s="106">
        <v>11</v>
      </c>
      <c r="CE90" s="106">
        <v>6481.1999999999989</v>
      </c>
      <c r="CF90" s="106">
        <v>23</v>
      </c>
      <c r="CG90" s="106">
        <v>13551.599999999999</v>
      </c>
      <c r="CH90" s="106">
        <v>25</v>
      </c>
      <c r="CI90" s="106">
        <v>14729.999999999998</v>
      </c>
      <c r="CJ90" s="106">
        <v>35</v>
      </c>
      <c r="CK90" s="106">
        <v>20621.999999999996</v>
      </c>
      <c r="CL90" s="106">
        <v>27</v>
      </c>
      <c r="CM90" s="106">
        <v>15908.399999999998</v>
      </c>
      <c r="CN90" s="106">
        <v>12</v>
      </c>
      <c r="CO90" s="106">
        <v>7070.4</v>
      </c>
      <c r="CP90" s="106">
        <v>17</v>
      </c>
      <c r="CQ90" s="106">
        <v>10016.4</v>
      </c>
      <c r="CR90" s="106">
        <v>21</v>
      </c>
      <c r="CS90" s="106">
        <v>12373.199999999999</v>
      </c>
      <c r="CT90" s="106">
        <v>18.899676375404528</v>
      </c>
      <c r="CU90" s="106">
        <v>11135.689320388346</v>
      </c>
    </row>
    <row r="91" spans="2:99" x14ac:dyDescent="0.2">
      <c r="C91" s="105" t="s">
        <v>257</v>
      </c>
      <c r="D91" s="106">
        <v>7</v>
      </c>
      <c r="E91" s="106">
        <v>4468.8</v>
      </c>
      <c r="F91" s="106">
        <v>9</v>
      </c>
      <c r="G91" s="106">
        <v>5745.5999999999995</v>
      </c>
      <c r="H91" s="106">
        <v>8</v>
      </c>
      <c r="I91" s="106">
        <v>5107.2</v>
      </c>
      <c r="J91" s="106">
        <v>8</v>
      </c>
      <c r="K91" s="106">
        <v>5107.2</v>
      </c>
      <c r="L91" s="106">
        <v>10</v>
      </c>
      <c r="M91" s="106">
        <v>6384</v>
      </c>
      <c r="N91" s="106">
        <v>7</v>
      </c>
      <c r="O91" s="106">
        <v>4468.8</v>
      </c>
      <c r="P91" s="106">
        <v>5</v>
      </c>
      <c r="Q91" s="106">
        <v>3192</v>
      </c>
      <c r="R91" s="106">
        <v>6</v>
      </c>
      <c r="S91" s="106">
        <v>3830.3999999999996</v>
      </c>
      <c r="T91" s="106">
        <v>4.8104854954313536</v>
      </c>
      <c r="U91" s="106">
        <v>3071.0139402833761</v>
      </c>
      <c r="V91" s="106">
        <v>5.1297468354430382</v>
      </c>
      <c r="W91" s="106">
        <v>3274.8303797468357</v>
      </c>
      <c r="X91" s="106">
        <v>3.399748322147651</v>
      </c>
      <c r="Y91" s="106">
        <v>2170.3993288590605</v>
      </c>
      <c r="Z91" s="106">
        <v>5.7192540322580641</v>
      </c>
      <c r="AA91" s="106">
        <v>3651.1717741935481</v>
      </c>
      <c r="AB91" s="106">
        <v>10.901785714285714</v>
      </c>
      <c r="AC91" s="106">
        <v>6959.6999999999989</v>
      </c>
      <c r="AD91" s="106">
        <v>11.662176724137932</v>
      </c>
      <c r="AE91" s="106">
        <v>7445.1336206896558</v>
      </c>
      <c r="AF91" s="106">
        <v>12.584302325581396</v>
      </c>
      <c r="AG91" s="106">
        <v>8033.8186046511628</v>
      </c>
      <c r="AH91" s="106">
        <v>10.610294117647058</v>
      </c>
      <c r="AI91" s="106">
        <v>6773.6117647058818</v>
      </c>
      <c r="AJ91" s="106">
        <v>6.7755102040816331</v>
      </c>
      <c r="AK91" s="106">
        <v>4325.4857142857145</v>
      </c>
      <c r="AL91" s="106">
        <v>9.1544117647058822</v>
      </c>
      <c r="AM91" s="106">
        <v>5844.1764705882351</v>
      </c>
      <c r="AN91" s="106">
        <v>11.779475982532752</v>
      </c>
      <c r="AO91" s="106">
        <v>7520.0174672489084</v>
      </c>
      <c r="AP91" s="106">
        <v>9.3545081967213122</v>
      </c>
      <c r="AQ91" s="106">
        <v>5971.9180327868853</v>
      </c>
      <c r="AR91" s="106">
        <v>23.154761904761905</v>
      </c>
      <c r="AS91" s="106">
        <v>14782</v>
      </c>
      <c r="AT91" s="106">
        <v>23.637152777777779</v>
      </c>
      <c r="AU91" s="106">
        <v>15089.958333333334</v>
      </c>
      <c r="AV91" s="106">
        <v>16</v>
      </c>
      <c r="AW91" s="106">
        <v>10214.4</v>
      </c>
      <c r="AX91" s="106">
        <v>21</v>
      </c>
      <c r="AY91" s="106">
        <v>13406.4</v>
      </c>
      <c r="AZ91" s="106">
        <v>19.462643678160919</v>
      </c>
      <c r="BA91" s="106">
        <v>12424.951724137931</v>
      </c>
      <c r="BB91" s="106">
        <v>13.511450381679388</v>
      </c>
      <c r="BC91" s="106">
        <v>8625.7099236641207</v>
      </c>
      <c r="BD91" s="106">
        <v>13.01470588235294</v>
      </c>
      <c r="BE91" s="106">
        <v>8308.5882352941171</v>
      </c>
      <c r="BF91" s="106">
        <v>12.618821292775666</v>
      </c>
      <c r="BG91" s="106">
        <v>8055.8555133079844</v>
      </c>
      <c r="BH91" s="106">
        <v>13.259615384615383</v>
      </c>
      <c r="BI91" s="106">
        <v>8464.9384615384606</v>
      </c>
      <c r="BJ91" s="106">
        <v>9</v>
      </c>
      <c r="BK91" s="106">
        <v>5745.5999999999995</v>
      </c>
      <c r="BL91" s="106">
        <v>11</v>
      </c>
      <c r="BM91" s="106">
        <v>7022.4</v>
      </c>
      <c r="BN91" s="106">
        <v>12.927659574468086</v>
      </c>
      <c r="BO91" s="106">
        <v>8253.017872340426</v>
      </c>
      <c r="BP91" s="106">
        <v>15.343879668049793</v>
      </c>
      <c r="BQ91" s="106">
        <v>9795.5327800829873</v>
      </c>
      <c r="BR91" s="106">
        <v>15.365131578947368</v>
      </c>
      <c r="BS91" s="106">
        <v>9809.1</v>
      </c>
      <c r="BT91" s="106">
        <v>18.155317164179106</v>
      </c>
      <c r="BU91" s="106">
        <v>11590.354477611942</v>
      </c>
      <c r="BV91" s="106">
        <v>17.834163346613547</v>
      </c>
      <c r="BW91" s="106">
        <v>11385.329880478088</v>
      </c>
      <c r="BX91" s="106">
        <v>9</v>
      </c>
      <c r="BY91" s="106">
        <v>5745.5999999999995</v>
      </c>
      <c r="BZ91" s="106">
        <v>12</v>
      </c>
      <c r="CA91" s="106">
        <v>7660.7999999999993</v>
      </c>
      <c r="CB91" s="106">
        <v>10</v>
      </c>
      <c r="CC91" s="106">
        <v>6384</v>
      </c>
      <c r="CD91" s="106">
        <v>10</v>
      </c>
      <c r="CE91" s="106">
        <v>6384</v>
      </c>
      <c r="CF91" s="106">
        <v>22</v>
      </c>
      <c r="CG91" s="106">
        <v>14044.8</v>
      </c>
      <c r="CH91" s="106">
        <v>21</v>
      </c>
      <c r="CI91" s="106">
        <v>13406.4</v>
      </c>
      <c r="CJ91" s="106">
        <v>34</v>
      </c>
      <c r="CK91" s="106">
        <v>21705.599999999999</v>
      </c>
      <c r="CL91" s="106">
        <v>25</v>
      </c>
      <c r="CM91" s="106">
        <v>15960</v>
      </c>
      <c r="CN91" s="106">
        <v>11</v>
      </c>
      <c r="CO91" s="106">
        <v>7022.4</v>
      </c>
      <c r="CP91" s="106">
        <v>15</v>
      </c>
      <c r="CQ91" s="106">
        <v>9576</v>
      </c>
      <c r="CR91" s="106">
        <v>22</v>
      </c>
      <c r="CS91" s="106">
        <v>14044.8</v>
      </c>
      <c r="CT91" s="106">
        <v>17.954692556634303</v>
      </c>
      <c r="CU91" s="106">
        <v>11462.275728155339</v>
      </c>
    </row>
    <row r="92" spans="2:99" x14ac:dyDescent="0.2">
      <c r="C92" s="105" t="s">
        <v>258</v>
      </c>
      <c r="D92" s="106">
        <v>8</v>
      </c>
      <c r="E92" s="106">
        <v>3993.6</v>
      </c>
      <c r="F92" s="106">
        <v>9</v>
      </c>
      <c r="G92" s="106">
        <v>4492.8</v>
      </c>
      <c r="H92" s="106">
        <v>8</v>
      </c>
      <c r="I92" s="106">
        <v>3993.6</v>
      </c>
      <c r="J92" s="106">
        <v>10</v>
      </c>
      <c r="K92" s="106">
        <v>4992</v>
      </c>
      <c r="L92" s="106">
        <v>10</v>
      </c>
      <c r="M92" s="106">
        <v>4992</v>
      </c>
      <c r="N92" s="106">
        <v>8</v>
      </c>
      <c r="O92" s="106">
        <v>3993.6</v>
      </c>
      <c r="P92" s="106">
        <v>5</v>
      </c>
      <c r="Q92" s="106">
        <v>2496</v>
      </c>
      <c r="R92" s="106">
        <v>5</v>
      </c>
      <c r="S92" s="106">
        <v>2496</v>
      </c>
      <c r="T92" s="106">
        <v>4.8104854954313536</v>
      </c>
      <c r="U92" s="106">
        <v>2401.3943593193317</v>
      </c>
      <c r="V92" s="106">
        <v>5.1297468354430382</v>
      </c>
      <c r="W92" s="106">
        <v>2560.7696202531647</v>
      </c>
      <c r="X92" s="106">
        <v>4.0796979865771812</v>
      </c>
      <c r="Y92" s="106">
        <v>2036.5852348993287</v>
      </c>
      <c r="Z92" s="106">
        <v>5.7192540322580641</v>
      </c>
      <c r="AA92" s="106">
        <v>2855.0516129032253</v>
      </c>
      <c r="AB92" s="106">
        <v>10.901785714285714</v>
      </c>
      <c r="AC92" s="106">
        <v>5442.1714285714279</v>
      </c>
      <c r="AD92" s="106">
        <v>10.884698275862069</v>
      </c>
      <c r="AE92" s="106">
        <v>5433.6413793103447</v>
      </c>
      <c r="AF92" s="106">
        <v>10.90639534883721</v>
      </c>
      <c r="AG92" s="106">
        <v>5444.4725581395351</v>
      </c>
      <c r="AH92" s="106">
        <v>10.610294117647058</v>
      </c>
      <c r="AI92" s="106">
        <v>5296.6588235294112</v>
      </c>
      <c r="AJ92" s="106">
        <v>6.7755102040816331</v>
      </c>
      <c r="AK92" s="106">
        <v>3382.3346938775512</v>
      </c>
      <c r="AL92" s="106">
        <v>8.3915441176470598</v>
      </c>
      <c r="AM92" s="106">
        <v>4189.0588235294117</v>
      </c>
      <c r="AN92" s="106">
        <v>12.685589519650655</v>
      </c>
      <c r="AO92" s="106">
        <v>6332.6462882096066</v>
      </c>
      <c r="AP92" s="106">
        <v>9.3545081967213122</v>
      </c>
      <c r="AQ92" s="106">
        <v>4669.7704918032787</v>
      </c>
      <c r="AR92" s="106">
        <v>23.981717687074831</v>
      </c>
      <c r="AS92" s="106">
        <v>11971.673469387755</v>
      </c>
      <c r="AT92" s="106">
        <v>23.637152777777779</v>
      </c>
      <c r="AU92" s="106">
        <v>11799.666666666666</v>
      </c>
      <c r="AV92" s="106">
        <v>17</v>
      </c>
      <c r="AW92" s="106">
        <v>8486.4</v>
      </c>
      <c r="AX92" s="106">
        <v>19</v>
      </c>
      <c r="AY92" s="106">
        <v>9484.7999999999993</v>
      </c>
      <c r="AZ92" s="106">
        <v>22.456896551724139</v>
      </c>
      <c r="BA92" s="106">
        <v>11210.48275862069</v>
      </c>
      <c r="BB92" s="106">
        <v>16.044847328244273</v>
      </c>
      <c r="BC92" s="106">
        <v>8009.5877862595407</v>
      </c>
      <c r="BD92" s="106">
        <v>13.01470588235294</v>
      </c>
      <c r="BE92" s="106">
        <v>6496.9411764705874</v>
      </c>
      <c r="BF92" s="106">
        <v>12.618821292775666</v>
      </c>
      <c r="BG92" s="106">
        <v>6299.3155893536123</v>
      </c>
      <c r="BH92" s="106">
        <v>11.365384615384617</v>
      </c>
      <c r="BI92" s="106">
        <v>5673.6</v>
      </c>
      <c r="BJ92" s="106">
        <v>8</v>
      </c>
      <c r="BK92" s="106">
        <v>3993.6</v>
      </c>
      <c r="BL92" s="106">
        <v>12</v>
      </c>
      <c r="BM92" s="106">
        <v>5990.4</v>
      </c>
      <c r="BN92" s="106">
        <v>13.851063829787233</v>
      </c>
      <c r="BO92" s="106">
        <v>6914.4510638297861</v>
      </c>
      <c r="BP92" s="106">
        <v>16.959024896265561</v>
      </c>
      <c r="BQ92" s="106">
        <v>8465.9452282157672</v>
      </c>
      <c r="BR92" s="106">
        <v>15.365131578947368</v>
      </c>
      <c r="BS92" s="106">
        <v>7670.273684210526</v>
      </c>
      <c r="BT92" s="106">
        <v>17.42910447761194</v>
      </c>
      <c r="BU92" s="106">
        <v>8700.6089552238809</v>
      </c>
      <c r="BV92" s="106">
        <v>16.283366533864541</v>
      </c>
      <c r="BW92" s="106">
        <v>8128.6565737051787</v>
      </c>
      <c r="BX92" s="106">
        <v>8</v>
      </c>
      <c r="BY92" s="106">
        <v>3993.6</v>
      </c>
      <c r="BZ92" s="106">
        <v>12</v>
      </c>
      <c r="CA92" s="106">
        <v>5990.4</v>
      </c>
      <c r="CB92" s="106">
        <v>10</v>
      </c>
      <c r="CC92" s="106">
        <v>4992</v>
      </c>
      <c r="CD92" s="106">
        <v>11</v>
      </c>
      <c r="CE92" s="106">
        <v>5491.2</v>
      </c>
      <c r="CF92" s="106">
        <v>23</v>
      </c>
      <c r="CG92" s="106">
        <v>11481.6</v>
      </c>
      <c r="CH92" s="106">
        <v>25</v>
      </c>
      <c r="CI92" s="106">
        <v>12480</v>
      </c>
      <c r="CJ92" s="106">
        <v>33</v>
      </c>
      <c r="CK92" s="106">
        <v>16473.599999999999</v>
      </c>
      <c r="CL92" s="106">
        <v>25</v>
      </c>
      <c r="CM92" s="106">
        <v>12480</v>
      </c>
      <c r="CN92" s="106">
        <v>12</v>
      </c>
      <c r="CO92" s="106">
        <v>5990.4</v>
      </c>
      <c r="CP92" s="106">
        <v>17</v>
      </c>
      <c r="CQ92" s="106">
        <v>8486.4</v>
      </c>
      <c r="CR92" s="106">
        <v>19</v>
      </c>
      <c r="CS92" s="106">
        <v>9484.7999999999993</v>
      </c>
      <c r="CT92" s="106">
        <v>19.844660194174757</v>
      </c>
      <c r="CU92" s="106">
        <v>9906.4543689320381</v>
      </c>
    </row>
    <row r="93" spans="2:99" x14ac:dyDescent="0.2">
      <c r="C93" s="105" t="s">
        <v>259</v>
      </c>
      <c r="D93" s="106">
        <v>8</v>
      </c>
      <c r="E93" s="106">
        <v>1392</v>
      </c>
      <c r="F93" s="106">
        <v>11</v>
      </c>
      <c r="G93" s="106">
        <v>1914</v>
      </c>
      <c r="H93" s="106">
        <v>9</v>
      </c>
      <c r="I93" s="106">
        <v>1566</v>
      </c>
      <c r="J93" s="106">
        <v>9</v>
      </c>
      <c r="K93" s="106">
        <v>1566</v>
      </c>
      <c r="L93" s="106">
        <v>9</v>
      </c>
      <c r="M93" s="106">
        <v>1566</v>
      </c>
      <c r="N93" s="106">
        <v>8</v>
      </c>
      <c r="O93" s="106">
        <v>1392</v>
      </c>
      <c r="P93" s="106">
        <v>5</v>
      </c>
      <c r="Q93" s="106">
        <v>870</v>
      </c>
      <c r="R93" s="106">
        <v>6</v>
      </c>
      <c r="S93" s="106">
        <v>1044</v>
      </c>
      <c r="T93" s="106">
        <v>4.8104854954313536</v>
      </c>
      <c r="U93" s="106">
        <v>837.02447620505552</v>
      </c>
      <c r="V93" s="106">
        <v>5.1297468354430382</v>
      </c>
      <c r="W93" s="106">
        <v>892.5759493670887</v>
      </c>
      <c r="X93" s="106">
        <v>4.0796979865771812</v>
      </c>
      <c r="Y93" s="106">
        <v>709.8674496644295</v>
      </c>
      <c r="Z93" s="106">
        <v>4.902217741935484</v>
      </c>
      <c r="AA93" s="106">
        <v>852.98588709677426</v>
      </c>
      <c r="AB93" s="106">
        <v>11.892857142857142</v>
      </c>
      <c r="AC93" s="106">
        <v>2069.3571428571427</v>
      </c>
      <c r="AD93" s="106">
        <v>12.439655172413794</v>
      </c>
      <c r="AE93" s="106">
        <v>2164.5</v>
      </c>
      <c r="AF93" s="106">
        <v>12.584302325581396</v>
      </c>
      <c r="AG93" s="106">
        <v>2189.6686046511627</v>
      </c>
      <c r="AH93" s="106">
        <v>9.9029411764705877</v>
      </c>
      <c r="AI93" s="106">
        <v>1723.1117647058823</v>
      </c>
      <c r="AJ93" s="106">
        <v>6.7755102040816331</v>
      </c>
      <c r="AK93" s="106">
        <v>1178.9387755102041</v>
      </c>
      <c r="AL93" s="106">
        <v>8.3915441176470598</v>
      </c>
      <c r="AM93" s="106">
        <v>1460.1286764705883</v>
      </c>
      <c r="AN93" s="106">
        <v>11.779475982532752</v>
      </c>
      <c r="AO93" s="106">
        <v>2049.6288209606987</v>
      </c>
      <c r="AP93" s="106">
        <v>11.905737704918034</v>
      </c>
      <c r="AQ93" s="106">
        <v>2071.5983606557379</v>
      </c>
      <c r="AR93" s="106">
        <v>25.635629251700681</v>
      </c>
      <c r="AS93" s="106">
        <v>4460.599489795919</v>
      </c>
      <c r="AT93" s="106">
        <v>23.637152777777779</v>
      </c>
      <c r="AU93" s="106">
        <v>4112.864583333333</v>
      </c>
      <c r="AV93" s="106">
        <v>18</v>
      </c>
      <c r="AW93" s="106">
        <v>3132</v>
      </c>
      <c r="AX93" s="106">
        <v>20</v>
      </c>
      <c r="AY93" s="106">
        <v>3480</v>
      </c>
      <c r="AZ93" s="106">
        <v>20.959770114942529</v>
      </c>
      <c r="BA93" s="106">
        <v>3647</v>
      </c>
      <c r="BB93" s="106">
        <v>14.355916030534351</v>
      </c>
      <c r="BC93" s="106">
        <v>2497.929389312977</v>
      </c>
      <c r="BD93" s="106">
        <v>13.882352941176471</v>
      </c>
      <c r="BE93" s="106">
        <v>2415.5294117647059</v>
      </c>
      <c r="BF93" s="106">
        <v>14.301330798479087</v>
      </c>
      <c r="BG93" s="106">
        <v>2488.4315589353614</v>
      </c>
      <c r="BH93" s="106">
        <v>13.259615384615383</v>
      </c>
      <c r="BI93" s="106">
        <v>2307.1730769230767</v>
      </c>
      <c r="BJ93" s="106">
        <v>9</v>
      </c>
      <c r="BK93" s="106">
        <v>1566</v>
      </c>
      <c r="BL93" s="106">
        <v>12</v>
      </c>
      <c r="BM93" s="106">
        <v>2088</v>
      </c>
      <c r="BN93" s="106">
        <v>12.927659574468086</v>
      </c>
      <c r="BO93" s="106">
        <v>2249.4127659574469</v>
      </c>
      <c r="BP93" s="106">
        <v>17.766597510373444</v>
      </c>
      <c r="BQ93" s="106">
        <v>3091.3879668049794</v>
      </c>
      <c r="BR93" s="106">
        <v>16.828477443609021</v>
      </c>
      <c r="BS93" s="106">
        <v>2928.1550751879695</v>
      </c>
      <c r="BT93" s="106">
        <v>17.42910447761194</v>
      </c>
      <c r="BU93" s="106">
        <v>3032.6641791044776</v>
      </c>
      <c r="BV93" s="106">
        <v>17.058764940239044</v>
      </c>
      <c r="BW93" s="106">
        <v>2968.2250996015937</v>
      </c>
      <c r="BX93" s="106">
        <v>8</v>
      </c>
      <c r="BY93" s="106">
        <v>1392</v>
      </c>
      <c r="BZ93" s="106">
        <v>12</v>
      </c>
      <c r="CA93" s="106">
        <v>2088</v>
      </c>
      <c r="CB93" s="106">
        <v>11</v>
      </c>
      <c r="CC93" s="106">
        <v>1914</v>
      </c>
      <c r="CD93" s="106">
        <v>12</v>
      </c>
      <c r="CE93" s="106">
        <v>2088</v>
      </c>
      <c r="CF93" s="106">
        <v>22</v>
      </c>
      <c r="CG93" s="106">
        <v>3828</v>
      </c>
      <c r="CH93" s="106">
        <v>25</v>
      </c>
      <c r="CI93" s="106">
        <v>4350</v>
      </c>
      <c r="CJ93" s="106">
        <v>34</v>
      </c>
      <c r="CK93" s="106">
        <v>5916</v>
      </c>
      <c r="CL93" s="106">
        <v>27</v>
      </c>
      <c r="CM93" s="106">
        <v>4698</v>
      </c>
      <c r="CN93" s="106">
        <v>13</v>
      </c>
      <c r="CO93" s="106">
        <v>2262</v>
      </c>
      <c r="CP93" s="106">
        <v>16</v>
      </c>
      <c r="CQ93" s="106">
        <v>2784</v>
      </c>
      <c r="CR93" s="106">
        <v>20</v>
      </c>
      <c r="CS93" s="106">
        <v>3480</v>
      </c>
      <c r="CT93" s="106">
        <v>21.734627831715212</v>
      </c>
      <c r="CU93" s="106">
        <v>3781.825242718447</v>
      </c>
    </row>
    <row r="94" spans="2:99" x14ac:dyDescent="0.2">
      <c r="C94" s="105" t="s">
        <v>260</v>
      </c>
      <c r="D94" s="106">
        <v>8</v>
      </c>
      <c r="E94" s="106">
        <v>5721.5999999999995</v>
      </c>
      <c r="F94" s="106">
        <v>9</v>
      </c>
      <c r="G94" s="106">
        <v>6436.7999999999993</v>
      </c>
      <c r="H94" s="106">
        <v>9</v>
      </c>
      <c r="I94" s="106">
        <v>6436.7999999999993</v>
      </c>
      <c r="J94" s="106">
        <v>8</v>
      </c>
      <c r="K94" s="106">
        <v>5721.5999999999995</v>
      </c>
      <c r="L94" s="106">
        <v>9</v>
      </c>
      <c r="M94" s="106">
        <v>6436.7999999999993</v>
      </c>
      <c r="N94" s="106">
        <v>8</v>
      </c>
      <c r="O94" s="106">
        <v>5721.5999999999995</v>
      </c>
      <c r="P94" s="106">
        <v>5</v>
      </c>
      <c r="Q94" s="106">
        <v>3575.9999999999995</v>
      </c>
      <c r="R94" s="106">
        <v>5</v>
      </c>
      <c r="S94" s="106">
        <v>3575.9999999999995</v>
      </c>
      <c r="T94" s="106">
        <v>4.8104854954313536</v>
      </c>
      <c r="U94" s="106">
        <v>3440.4592263325039</v>
      </c>
      <c r="V94" s="106">
        <v>4.4885284810126587</v>
      </c>
      <c r="W94" s="106">
        <v>3210.1955696202531</v>
      </c>
      <c r="X94" s="106">
        <v>3.399748322147651</v>
      </c>
      <c r="Y94" s="106">
        <v>2431.4999999999995</v>
      </c>
      <c r="Z94" s="106">
        <v>4.902217741935484</v>
      </c>
      <c r="AA94" s="106">
        <v>3506.0661290322578</v>
      </c>
      <c r="AB94" s="106">
        <v>11.892857142857142</v>
      </c>
      <c r="AC94" s="106">
        <v>8505.7714285714283</v>
      </c>
      <c r="AD94" s="106">
        <v>10.884698275862069</v>
      </c>
      <c r="AE94" s="106">
        <v>7784.7362068965513</v>
      </c>
      <c r="AF94" s="106">
        <v>10.90639534883721</v>
      </c>
      <c r="AG94" s="106">
        <v>7800.2539534883717</v>
      </c>
      <c r="AH94" s="106">
        <v>9.9029411764705877</v>
      </c>
      <c r="AI94" s="106">
        <v>7082.5835294117633</v>
      </c>
      <c r="AJ94" s="106">
        <v>6.7755102040816331</v>
      </c>
      <c r="AK94" s="106">
        <v>4845.8448979591831</v>
      </c>
      <c r="AL94" s="106">
        <v>8.3915441176470598</v>
      </c>
      <c r="AM94" s="106">
        <v>6001.6323529411766</v>
      </c>
      <c r="AN94" s="106">
        <v>12.685589519650655</v>
      </c>
      <c r="AO94" s="106">
        <v>9072.7336244541475</v>
      </c>
      <c r="AP94" s="106">
        <v>11.055327868852459</v>
      </c>
      <c r="AQ94" s="106">
        <v>7906.7704918032778</v>
      </c>
      <c r="AR94" s="106">
        <v>23.981717687074831</v>
      </c>
      <c r="AS94" s="106">
        <v>17151.724489795917</v>
      </c>
      <c r="AT94" s="106">
        <v>21.948784722222221</v>
      </c>
      <c r="AU94" s="106">
        <v>15697.770833333332</v>
      </c>
      <c r="AV94" s="106">
        <v>17</v>
      </c>
      <c r="AW94" s="106">
        <v>12158.4</v>
      </c>
      <c r="AX94" s="106">
        <v>19</v>
      </c>
      <c r="AY94" s="106">
        <v>13588.8</v>
      </c>
      <c r="AZ94" s="106">
        <v>18.714080459770113</v>
      </c>
      <c r="BA94" s="106">
        <v>13384.310344827583</v>
      </c>
      <c r="BB94" s="106">
        <v>13.511450381679388</v>
      </c>
      <c r="BC94" s="106">
        <v>9663.3893129770986</v>
      </c>
      <c r="BD94" s="106">
        <v>13.01470588235294</v>
      </c>
      <c r="BE94" s="106">
        <v>9308.1176470588216</v>
      </c>
      <c r="BF94" s="106">
        <v>11.777566539923953</v>
      </c>
      <c r="BG94" s="106">
        <v>8423.3155893536095</v>
      </c>
      <c r="BH94" s="106">
        <v>12.3125</v>
      </c>
      <c r="BI94" s="106">
        <v>8805.9</v>
      </c>
      <c r="BJ94" s="106">
        <v>8</v>
      </c>
      <c r="BK94" s="106">
        <v>5721.5999999999995</v>
      </c>
      <c r="BL94" s="106">
        <v>11</v>
      </c>
      <c r="BM94" s="106">
        <v>7867.1999999999989</v>
      </c>
      <c r="BN94" s="106">
        <v>12.927659574468086</v>
      </c>
      <c r="BO94" s="106">
        <v>9245.8621276595732</v>
      </c>
      <c r="BP94" s="106">
        <v>16.151452282157674</v>
      </c>
      <c r="BQ94" s="106">
        <v>11551.518672199167</v>
      </c>
      <c r="BR94" s="106">
        <v>14.633458646616541</v>
      </c>
      <c r="BS94" s="106">
        <v>10465.849624060149</v>
      </c>
      <c r="BT94" s="106">
        <v>15.250466417910449</v>
      </c>
      <c r="BU94" s="106">
        <v>10907.133582089551</v>
      </c>
      <c r="BV94" s="106">
        <v>15.50796812749004</v>
      </c>
      <c r="BW94" s="106">
        <v>11091.298804780876</v>
      </c>
      <c r="BX94" s="106">
        <v>7</v>
      </c>
      <c r="BY94" s="106">
        <v>5006.3999999999996</v>
      </c>
      <c r="BZ94" s="106">
        <v>11</v>
      </c>
      <c r="CA94" s="106">
        <v>7867.1999999999989</v>
      </c>
      <c r="CB94" s="106">
        <v>12</v>
      </c>
      <c r="CC94" s="106">
        <v>8582.4</v>
      </c>
      <c r="CD94" s="106">
        <v>10</v>
      </c>
      <c r="CE94" s="106">
        <v>7151.9999999999991</v>
      </c>
      <c r="CF94" s="106">
        <v>21</v>
      </c>
      <c r="CG94" s="106">
        <v>15019.199999999999</v>
      </c>
      <c r="CH94" s="106">
        <v>22</v>
      </c>
      <c r="CI94" s="106">
        <v>15734.399999999998</v>
      </c>
      <c r="CJ94" s="106">
        <v>35</v>
      </c>
      <c r="CK94" s="106">
        <v>25031.999999999996</v>
      </c>
      <c r="CL94" s="106">
        <v>22</v>
      </c>
      <c r="CM94" s="106">
        <v>15734.399999999998</v>
      </c>
      <c r="CN94" s="106">
        <v>13</v>
      </c>
      <c r="CO94" s="106">
        <v>9297.5999999999985</v>
      </c>
      <c r="CP94" s="106">
        <v>15</v>
      </c>
      <c r="CQ94" s="106">
        <v>10727.999999999998</v>
      </c>
      <c r="CR94" s="106">
        <v>23</v>
      </c>
      <c r="CS94" s="106">
        <v>16449.599999999999</v>
      </c>
      <c r="CT94" s="106">
        <v>17.954692556634303</v>
      </c>
      <c r="CU94" s="106">
        <v>12841.196116504852</v>
      </c>
    </row>
    <row r="95" spans="2:99" x14ac:dyDescent="0.2">
      <c r="B95" s="105" t="s">
        <v>132</v>
      </c>
      <c r="C95" s="105" t="s">
        <v>261</v>
      </c>
      <c r="D95" s="106">
        <v>16</v>
      </c>
      <c r="E95" s="106">
        <v>10579.199999999999</v>
      </c>
      <c r="F95" s="106">
        <v>12</v>
      </c>
      <c r="G95" s="106">
        <v>7934.4</v>
      </c>
      <c r="H95" s="106">
        <v>13</v>
      </c>
      <c r="I95" s="106">
        <v>8595.5999999999985</v>
      </c>
      <c r="J95" s="106">
        <v>13</v>
      </c>
      <c r="K95" s="106">
        <v>8595.5999999999985</v>
      </c>
      <c r="L95" s="106">
        <v>33</v>
      </c>
      <c r="M95" s="106">
        <v>21819.599999999999</v>
      </c>
      <c r="N95" s="106">
        <v>35</v>
      </c>
      <c r="O95" s="106">
        <v>23141.999999999996</v>
      </c>
      <c r="P95" s="106">
        <v>27</v>
      </c>
      <c r="Q95" s="106">
        <v>17852.399999999998</v>
      </c>
      <c r="R95" s="106">
        <v>35</v>
      </c>
      <c r="S95" s="106">
        <v>23141.999999999996</v>
      </c>
      <c r="T95" s="106">
        <v>17.638446816581627</v>
      </c>
      <c r="U95" s="106">
        <v>11662.541035123772</v>
      </c>
      <c r="V95" s="106">
        <v>12.824367088607596</v>
      </c>
      <c r="W95" s="106">
        <v>8479.4715189873423</v>
      </c>
      <c r="X95" s="106">
        <v>12.239093959731544</v>
      </c>
      <c r="Y95" s="106">
        <v>8092.4889261744966</v>
      </c>
      <c r="Z95" s="106">
        <v>11.438508064516128</v>
      </c>
      <c r="AA95" s="106">
        <v>7563.1415322580633</v>
      </c>
      <c r="AB95" s="106">
        <v>4.9553571428571423</v>
      </c>
      <c r="AC95" s="106">
        <v>3276.4821428571422</v>
      </c>
      <c r="AD95" s="106">
        <v>6.2198275862068968</v>
      </c>
      <c r="AE95" s="106">
        <v>4112.55</v>
      </c>
      <c r="AF95" s="106">
        <v>4.1947674418604652</v>
      </c>
      <c r="AG95" s="106">
        <v>2773.5802325581394</v>
      </c>
      <c r="AH95" s="106">
        <v>5.658823529411765</v>
      </c>
      <c r="AI95" s="106">
        <v>3741.6141176470587</v>
      </c>
      <c r="AJ95" s="106">
        <v>8.4693877551020407</v>
      </c>
      <c r="AK95" s="106">
        <v>5599.9591836734689</v>
      </c>
      <c r="AL95" s="106">
        <v>8.3915441176470598</v>
      </c>
      <c r="AM95" s="106">
        <v>5548.4889705882351</v>
      </c>
      <c r="AN95" s="106">
        <v>6.3427947598253276</v>
      </c>
      <c r="AO95" s="106">
        <v>4193.855895196506</v>
      </c>
      <c r="AP95" s="106">
        <v>7.653688524590164</v>
      </c>
      <c r="AQ95" s="106">
        <v>5060.6188524590161</v>
      </c>
      <c r="AR95" s="106">
        <v>2.4808673469387754</v>
      </c>
      <c r="AS95" s="106">
        <v>1640.3494897959181</v>
      </c>
      <c r="AT95" s="106">
        <v>3.3767361111111107</v>
      </c>
      <c r="AU95" s="106">
        <v>2232.6979166666661</v>
      </c>
      <c r="AV95" s="106">
        <v>4</v>
      </c>
      <c r="AW95" s="106">
        <v>2644.7999999999997</v>
      </c>
      <c r="AX95" s="106">
        <v>5</v>
      </c>
      <c r="AY95" s="106">
        <v>3305.9999999999995</v>
      </c>
      <c r="AZ95" s="106">
        <v>7.485632183908046</v>
      </c>
      <c r="BA95" s="106">
        <v>4949.4999999999991</v>
      </c>
      <c r="BB95" s="106">
        <v>7.6001908396946565</v>
      </c>
      <c r="BC95" s="106">
        <v>5025.2461832061063</v>
      </c>
      <c r="BD95" s="106">
        <v>8.6764705882352935</v>
      </c>
      <c r="BE95" s="106">
        <v>5736.8823529411757</v>
      </c>
      <c r="BF95" s="106">
        <v>9.2538022813688201</v>
      </c>
      <c r="BG95" s="106">
        <v>6118.614068441063</v>
      </c>
      <c r="BH95" s="106">
        <v>6.6298076923076916</v>
      </c>
      <c r="BI95" s="106">
        <v>4383.6288461538452</v>
      </c>
      <c r="BJ95" s="106">
        <v>9</v>
      </c>
      <c r="BK95" s="106">
        <v>5950.7999999999993</v>
      </c>
      <c r="BL95" s="106">
        <v>7</v>
      </c>
      <c r="BM95" s="106">
        <v>4628.3999999999996</v>
      </c>
      <c r="BN95" s="106">
        <v>8.310638297872341</v>
      </c>
      <c r="BO95" s="106">
        <v>5494.9940425531913</v>
      </c>
      <c r="BP95" s="106">
        <v>3.2302904564315353</v>
      </c>
      <c r="BQ95" s="106">
        <v>2135.8680497925311</v>
      </c>
      <c r="BR95" s="106">
        <v>2.9266917293233079</v>
      </c>
      <c r="BS95" s="106">
        <v>1935.1285714285709</v>
      </c>
      <c r="BT95" s="106">
        <v>2.1786380597014925</v>
      </c>
      <c r="BU95" s="106">
        <v>1440.5154850746267</v>
      </c>
      <c r="BV95" s="106">
        <v>3.87699203187251</v>
      </c>
      <c r="BW95" s="106">
        <v>2563.4671314741031</v>
      </c>
      <c r="BX95" s="106">
        <v>8</v>
      </c>
      <c r="BY95" s="106">
        <v>5289.5999999999995</v>
      </c>
      <c r="BZ95" s="106">
        <v>11</v>
      </c>
      <c r="CA95" s="106">
        <v>7273.1999999999989</v>
      </c>
      <c r="CB95" s="106">
        <v>8</v>
      </c>
      <c r="CC95" s="106">
        <v>5289.5999999999995</v>
      </c>
      <c r="CD95" s="106">
        <v>7</v>
      </c>
      <c r="CE95" s="106">
        <v>4628.3999999999996</v>
      </c>
      <c r="CF95" s="106">
        <v>4</v>
      </c>
      <c r="CG95" s="106">
        <v>2644.7999999999997</v>
      </c>
      <c r="CH95" s="106">
        <v>6</v>
      </c>
      <c r="CI95" s="106">
        <v>3967.2</v>
      </c>
      <c r="CJ95" s="106">
        <v>7</v>
      </c>
      <c r="CK95" s="106">
        <v>4628.3999999999996</v>
      </c>
      <c r="CL95" s="106">
        <v>4</v>
      </c>
      <c r="CM95" s="106">
        <v>2644.7999999999997</v>
      </c>
      <c r="CN95" s="106">
        <v>8</v>
      </c>
      <c r="CO95" s="106">
        <v>5289.5999999999995</v>
      </c>
      <c r="CP95" s="106">
        <v>10</v>
      </c>
      <c r="CQ95" s="106">
        <v>6611.9999999999991</v>
      </c>
      <c r="CR95" s="106">
        <v>9</v>
      </c>
      <c r="CS95" s="106">
        <v>5950.7999999999993</v>
      </c>
      <c r="CT95" s="106">
        <v>10.394822006472491</v>
      </c>
      <c r="CU95" s="106">
        <v>6873.0563106796108</v>
      </c>
    </row>
    <row r="96" spans="2:99" x14ac:dyDescent="0.2">
      <c r="C96" s="105" t="s">
        <v>262</v>
      </c>
      <c r="D96" s="106">
        <v>15</v>
      </c>
      <c r="E96" s="106">
        <v>16758</v>
      </c>
      <c r="F96" s="106">
        <v>12</v>
      </c>
      <c r="G96" s="106">
        <v>13406.400000000001</v>
      </c>
      <c r="H96" s="106">
        <v>15</v>
      </c>
      <c r="I96" s="106">
        <v>16758</v>
      </c>
      <c r="J96" s="106">
        <v>12</v>
      </c>
      <c r="K96" s="106">
        <v>13406.400000000001</v>
      </c>
      <c r="L96" s="106">
        <v>30</v>
      </c>
      <c r="M96" s="106">
        <v>33516</v>
      </c>
      <c r="N96" s="106">
        <v>30</v>
      </c>
      <c r="O96" s="106">
        <v>33516</v>
      </c>
      <c r="P96" s="106">
        <v>24</v>
      </c>
      <c r="Q96" s="106">
        <v>26812.800000000003</v>
      </c>
      <c r="R96" s="106">
        <v>31</v>
      </c>
      <c r="S96" s="106">
        <v>34633.200000000004</v>
      </c>
      <c r="T96" s="106">
        <v>15.233204068865952</v>
      </c>
      <c r="U96" s="106">
        <v>17018.535585737041</v>
      </c>
      <c r="V96" s="106">
        <v>11.541930379746836</v>
      </c>
      <c r="W96" s="106">
        <v>12894.644620253166</v>
      </c>
      <c r="X96" s="106">
        <v>12.239093959731544</v>
      </c>
      <c r="Y96" s="106">
        <v>13673.515771812083</v>
      </c>
      <c r="Z96" s="106">
        <v>11.438508064516128</v>
      </c>
      <c r="AA96" s="106">
        <v>12779.101209677419</v>
      </c>
      <c r="AB96" s="106">
        <v>4.9553571428571423</v>
      </c>
      <c r="AC96" s="106">
        <v>5536.125</v>
      </c>
      <c r="AD96" s="106">
        <v>6.2198275862068968</v>
      </c>
      <c r="AE96" s="106">
        <v>6948.7913793103453</v>
      </c>
      <c r="AF96" s="106">
        <v>4.1947674418604652</v>
      </c>
      <c r="AG96" s="106">
        <v>4686.394186046512</v>
      </c>
      <c r="AH96" s="106">
        <v>5.658823529411765</v>
      </c>
      <c r="AI96" s="106">
        <v>6322.0376470588244</v>
      </c>
      <c r="AJ96" s="106">
        <v>7.6224489795918373</v>
      </c>
      <c r="AK96" s="106">
        <v>8515.8000000000011</v>
      </c>
      <c r="AL96" s="106">
        <v>7.6286764705882355</v>
      </c>
      <c r="AM96" s="106">
        <v>8522.7573529411766</v>
      </c>
      <c r="AN96" s="106">
        <v>7.248908296943231</v>
      </c>
      <c r="AO96" s="106">
        <v>8098.4803493449781</v>
      </c>
      <c r="AP96" s="106">
        <v>7.653688524590164</v>
      </c>
      <c r="AQ96" s="106">
        <v>8550.7008196721308</v>
      </c>
      <c r="AR96" s="106">
        <v>2.4808673469387754</v>
      </c>
      <c r="AS96" s="106">
        <v>2771.625</v>
      </c>
      <c r="AT96" s="106">
        <v>3.3767361111111107</v>
      </c>
      <c r="AU96" s="106">
        <v>3772.489583333333</v>
      </c>
      <c r="AV96" s="106">
        <v>5</v>
      </c>
      <c r="AW96" s="106">
        <v>5586</v>
      </c>
      <c r="AX96" s="106">
        <v>5</v>
      </c>
      <c r="AY96" s="106">
        <v>5586</v>
      </c>
      <c r="AZ96" s="106">
        <v>5.9885057471264371</v>
      </c>
      <c r="BA96" s="106">
        <v>6690.3586206896562</v>
      </c>
      <c r="BB96" s="106">
        <v>7.6001908396946565</v>
      </c>
      <c r="BC96" s="106">
        <v>8490.9332061068708</v>
      </c>
      <c r="BD96" s="106">
        <v>7.8088235294117645</v>
      </c>
      <c r="BE96" s="106">
        <v>8724.0176470588231</v>
      </c>
      <c r="BF96" s="106">
        <v>8.4125475285171092</v>
      </c>
      <c r="BG96" s="106">
        <v>9398.4980988593143</v>
      </c>
      <c r="BH96" s="106">
        <v>6.6298076923076916</v>
      </c>
      <c r="BI96" s="106">
        <v>7406.8211538461537</v>
      </c>
      <c r="BJ96" s="106">
        <v>7</v>
      </c>
      <c r="BK96" s="106">
        <v>7820.4000000000005</v>
      </c>
      <c r="BL96" s="106">
        <v>8</v>
      </c>
      <c r="BM96" s="106">
        <v>8937.6</v>
      </c>
      <c r="BN96" s="106">
        <v>8.310638297872341</v>
      </c>
      <c r="BO96" s="106">
        <v>9284.6451063829791</v>
      </c>
      <c r="BP96" s="106">
        <v>3.2302904564315353</v>
      </c>
      <c r="BQ96" s="106">
        <v>3608.8804979253114</v>
      </c>
      <c r="BR96" s="106">
        <v>2.9266917293233079</v>
      </c>
      <c r="BS96" s="106">
        <v>3269.7</v>
      </c>
      <c r="BT96" s="106">
        <v>2.1786380597014925</v>
      </c>
      <c r="BU96" s="106">
        <v>2433.9744402985075</v>
      </c>
      <c r="BV96" s="106">
        <v>3.1015936254980079</v>
      </c>
      <c r="BW96" s="106">
        <v>3465.1003984063746</v>
      </c>
      <c r="BX96" s="106">
        <v>8</v>
      </c>
      <c r="BY96" s="106">
        <v>8937.6</v>
      </c>
      <c r="BZ96" s="106">
        <v>10</v>
      </c>
      <c r="CA96" s="106">
        <v>11172</v>
      </c>
      <c r="CB96" s="106">
        <v>7</v>
      </c>
      <c r="CC96" s="106">
        <v>7820.4000000000005</v>
      </c>
      <c r="CD96" s="106">
        <v>6</v>
      </c>
      <c r="CE96" s="106">
        <v>6703.2000000000007</v>
      </c>
      <c r="CF96" s="106">
        <v>3</v>
      </c>
      <c r="CG96" s="106">
        <v>3351.6000000000004</v>
      </c>
      <c r="CH96" s="106">
        <v>6</v>
      </c>
      <c r="CI96" s="106">
        <v>6703.2000000000007</v>
      </c>
      <c r="CJ96" s="106">
        <v>6</v>
      </c>
      <c r="CK96" s="106">
        <v>6703.2000000000007</v>
      </c>
      <c r="CL96" s="106">
        <v>4</v>
      </c>
      <c r="CM96" s="106">
        <v>4468.8</v>
      </c>
      <c r="CN96" s="106">
        <v>7</v>
      </c>
      <c r="CO96" s="106">
        <v>7820.4000000000005</v>
      </c>
      <c r="CP96" s="106">
        <v>8</v>
      </c>
      <c r="CQ96" s="106">
        <v>8937.6</v>
      </c>
      <c r="CR96" s="106">
        <v>8</v>
      </c>
      <c r="CS96" s="106">
        <v>8937.6</v>
      </c>
      <c r="CT96" s="106">
        <v>10.394822006472491</v>
      </c>
      <c r="CU96" s="106">
        <v>11613.095145631069</v>
      </c>
    </row>
    <row r="97" spans="2:99" x14ac:dyDescent="0.2">
      <c r="C97" s="105" t="s">
        <v>263</v>
      </c>
      <c r="D97" s="106">
        <v>18</v>
      </c>
      <c r="E97" s="106">
        <v>10670.4</v>
      </c>
      <c r="F97" s="106">
        <v>13</v>
      </c>
      <c r="G97" s="106">
        <v>7706.4</v>
      </c>
      <c r="H97" s="106">
        <v>14</v>
      </c>
      <c r="I97" s="106">
        <v>8299.1999999999989</v>
      </c>
      <c r="J97" s="106">
        <v>11</v>
      </c>
      <c r="K97" s="106">
        <v>6520.7999999999993</v>
      </c>
      <c r="L97" s="106">
        <v>31</v>
      </c>
      <c r="M97" s="106">
        <v>18376.8</v>
      </c>
      <c r="N97" s="106">
        <v>32</v>
      </c>
      <c r="O97" s="106">
        <v>18969.599999999999</v>
      </c>
      <c r="P97" s="106">
        <v>25</v>
      </c>
      <c r="Q97" s="106">
        <v>14819.999999999998</v>
      </c>
      <c r="R97" s="106">
        <v>33</v>
      </c>
      <c r="S97" s="106">
        <v>19562.399999999998</v>
      </c>
      <c r="T97" s="106">
        <v>15.233204068865952</v>
      </c>
      <c r="U97" s="106">
        <v>9030.243372023735</v>
      </c>
      <c r="V97" s="106">
        <v>12.183148734177216</v>
      </c>
      <c r="W97" s="106">
        <v>7222.1705696202534</v>
      </c>
      <c r="X97" s="106">
        <v>12.919043624161075</v>
      </c>
      <c r="Y97" s="106">
        <v>7658.4090604026851</v>
      </c>
      <c r="Z97" s="106">
        <v>13.07258064516129</v>
      </c>
      <c r="AA97" s="106">
        <v>7749.4258064516125</v>
      </c>
      <c r="AB97" s="106">
        <v>5.9464285714285712</v>
      </c>
      <c r="AC97" s="106">
        <v>3525.0428571428565</v>
      </c>
      <c r="AD97" s="106">
        <v>5.4423491379310347</v>
      </c>
      <c r="AE97" s="106">
        <v>3226.2245689655169</v>
      </c>
      <c r="AF97" s="106">
        <v>4.1947674418604652</v>
      </c>
      <c r="AG97" s="106">
        <v>2486.6581395348835</v>
      </c>
      <c r="AH97" s="106">
        <v>6.3661764705882353</v>
      </c>
      <c r="AI97" s="106">
        <v>3773.8694117647055</v>
      </c>
      <c r="AJ97" s="106">
        <v>8.4693877551020407</v>
      </c>
      <c r="AK97" s="106">
        <v>5020.6530612244896</v>
      </c>
      <c r="AL97" s="106">
        <v>8.3915441176470598</v>
      </c>
      <c r="AM97" s="106">
        <v>4974.5073529411766</v>
      </c>
      <c r="AN97" s="106">
        <v>7.248908296943231</v>
      </c>
      <c r="AO97" s="106">
        <v>4297.1528384279472</v>
      </c>
      <c r="AP97" s="106">
        <v>8.5040983606557372</v>
      </c>
      <c r="AQ97" s="106">
        <v>5041.2295081967204</v>
      </c>
      <c r="AR97" s="106">
        <v>2.4808673469387754</v>
      </c>
      <c r="AS97" s="106">
        <v>1470.658163265306</v>
      </c>
      <c r="AT97" s="106">
        <v>3.3767361111111107</v>
      </c>
      <c r="AU97" s="106">
        <v>2001.7291666666663</v>
      </c>
      <c r="AV97" s="106">
        <v>5</v>
      </c>
      <c r="AW97" s="106">
        <v>2964</v>
      </c>
      <c r="AX97" s="106">
        <v>4</v>
      </c>
      <c r="AY97" s="106">
        <v>2371.1999999999998</v>
      </c>
      <c r="AZ97" s="106">
        <v>6.7370689655172411</v>
      </c>
      <c r="BA97" s="106">
        <v>3993.7344827586203</v>
      </c>
      <c r="BB97" s="106">
        <v>9.2891221374045809</v>
      </c>
      <c r="BC97" s="106">
        <v>5506.5916030534354</v>
      </c>
      <c r="BD97" s="106">
        <v>8.6764705882352935</v>
      </c>
      <c r="BE97" s="106">
        <v>5143.411764705882</v>
      </c>
      <c r="BF97" s="106">
        <v>9.2538022813688201</v>
      </c>
      <c r="BG97" s="106">
        <v>5485.653992395436</v>
      </c>
      <c r="BH97" s="106">
        <v>6.6298076923076916</v>
      </c>
      <c r="BI97" s="106">
        <v>3930.1499999999992</v>
      </c>
      <c r="BJ97" s="106">
        <v>8</v>
      </c>
      <c r="BK97" s="106">
        <v>4742.3999999999996</v>
      </c>
      <c r="BL97" s="106">
        <v>8</v>
      </c>
      <c r="BM97" s="106">
        <v>4742.3999999999996</v>
      </c>
      <c r="BN97" s="106">
        <v>9.2340425531914896</v>
      </c>
      <c r="BO97" s="106">
        <v>5473.940425531915</v>
      </c>
      <c r="BP97" s="106">
        <v>4.0378630705394185</v>
      </c>
      <c r="BQ97" s="106">
        <v>2393.645228215767</v>
      </c>
      <c r="BR97" s="106">
        <v>2.9266917293233079</v>
      </c>
      <c r="BS97" s="106">
        <v>1734.9428571428568</v>
      </c>
      <c r="BT97" s="106">
        <v>2.1786380597014925</v>
      </c>
      <c r="BU97" s="106">
        <v>1291.4966417910446</v>
      </c>
      <c r="BV97" s="106">
        <v>3.1015936254980079</v>
      </c>
      <c r="BW97" s="106">
        <v>1838.6247011952189</v>
      </c>
      <c r="BX97" s="106">
        <v>7</v>
      </c>
      <c r="BY97" s="106">
        <v>4149.5999999999995</v>
      </c>
      <c r="BZ97" s="106">
        <v>10</v>
      </c>
      <c r="CA97" s="106">
        <v>5928</v>
      </c>
      <c r="CB97" s="106">
        <v>7</v>
      </c>
      <c r="CC97" s="106">
        <v>4149.5999999999995</v>
      </c>
      <c r="CD97" s="106">
        <v>6</v>
      </c>
      <c r="CE97" s="106">
        <v>3556.7999999999997</v>
      </c>
      <c r="CF97" s="106">
        <v>4</v>
      </c>
      <c r="CG97" s="106">
        <v>2371.1999999999998</v>
      </c>
      <c r="CH97" s="106">
        <v>7</v>
      </c>
      <c r="CI97" s="106">
        <v>4149.5999999999995</v>
      </c>
      <c r="CJ97" s="106">
        <v>7</v>
      </c>
      <c r="CK97" s="106">
        <v>4149.5999999999995</v>
      </c>
      <c r="CL97" s="106">
        <v>4</v>
      </c>
      <c r="CM97" s="106">
        <v>2371.1999999999998</v>
      </c>
      <c r="CN97" s="106">
        <v>8</v>
      </c>
      <c r="CO97" s="106">
        <v>4742.3999999999996</v>
      </c>
      <c r="CP97" s="106">
        <v>9</v>
      </c>
      <c r="CQ97" s="106">
        <v>5335.2</v>
      </c>
      <c r="CR97" s="106">
        <v>9</v>
      </c>
      <c r="CS97" s="106">
        <v>5335.2</v>
      </c>
      <c r="CT97" s="106">
        <v>11.339805825242717</v>
      </c>
      <c r="CU97" s="106">
        <v>6722.2368932038817</v>
      </c>
    </row>
    <row r="98" spans="2:99" x14ac:dyDescent="0.2">
      <c r="C98" s="105" t="s">
        <v>264</v>
      </c>
      <c r="D98" s="106">
        <v>18</v>
      </c>
      <c r="E98" s="106">
        <v>8251.1999999999989</v>
      </c>
      <c r="F98" s="106">
        <v>12</v>
      </c>
      <c r="G98" s="106">
        <v>5500.7999999999993</v>
      </c>
      <c r="H98" s="106">
        <v>14</v>
      </c>
      <c r="I98" s="106">
        <v>6417.5999999999995</v>
      </c>
      <c r="J98" s="106">
        <v>11</v>
      </c>
      <c r="K98" s="106">
        <v>5042.3999999999996</v>
      </c>
      <c r="L98" s="106">
        <v>31</v>
      </c>
      <c r="M98" s="106">
        <v>14210.4</v>
      </c>
      <c r="N98" s="106">
        <v>30</v>
      </c>
      <c r="O98" s="106">
        <v>13752</v>
      </c>
      <c r="P98" s="106">
        <v>29</v>
      </c>
      <c r="Q98" s="106">
        <v>13293.599999999999</v>
      </c>
      <c r="R98" s="106">
        <v>33</v>
      </c>
      <c r="S98" s="106">
        <v>15127.199999999999</v>
      </c>
      <c r="T98" s="106">
        <v>17.638446816581627</v>
      </c>
      <c r="U98" s="106">
        <v>8085.4640207210177</v>
      </c>
      <c r="V98" s="106">
        <v>13.465585443037973</v>
      </c>
      <c r="W98" s="106">
        <v>6172.624367088607</v>
      </c>
      <c r="X98" s="106">
        <v>13.598993288590604</v>
      </c>
      <c r="Y98" s="106">
        <v>6233.7785234899329</v>
      </c>
      <c r="Z98" s="106">
        <v>13.07258064516129</v>
      </c>
      <c r="AA98" s="106">
        <v>5992.4709677419351</v>
      </c>
      <c r="AB98" s="106">
        <v>4.9553571428571423</v>
      </c>
      <c r="AC98" s="106">
        <v>2271.5357142857138</v>
      </c>
      <c r="AD98" s="106">
        <v>6.2198275862068968</v>
      </c>
      <c r="AE98" s="106">
        <v>2851.1689655172413</v>
      </c>
      <c r="AF98" s="106">
        <v>4.1947674418604652</v>
      </c>
      <c r="AG98" s="106">
        <v>1922.8813953488373</v>
      </c>
      <c r="AH98" s="106">
        <v>6.3661764705882353</v>
      </c>
      <c r="AI98" s="106">
        <v>2918.2552941176468</v>
      </c>
      <c r="AJ98" s="106">
        <v>9.316326530612244</v>
      </c>
      <c r="AK98" s="106">
        <v>4270.6040816326522</v>
      </c>
      <c r="AL98" s="106">
        <v>7.6286764705882355</v>
      </c>
      <c r="AM98" s="106">
        <v>3496.9852941176468</v>
      </c>
      <c r="AN98" s="106">
        <v>7.248908296943231</v>
      </c>
      <c r="AO98" s="106">
        <v>3322.8995633187769</v>
      </c>
      <c r="AP98" s="106">
        <v>7.653688524590164</v>
      </c>
      <c r="AQ98" s="106">
        <v>3508.4508196721308</v>
      </c>
      <c r="AR98" s="106">
        <v>3.3078231292517004</v>
      </c>
      <c r="AS98" s="106">
        <v>1516.3061224489793</v>
      </c>
      <c r="AT98" s="106">
        <v>3.3767361111111107</v>
      </c>
      <c r="AU98" s="106">
        <v>1547.895833333333</v>
      </c>
      <c r="AV98" s="106">
        <v>5</v>
      </c>
      <c r="AW98" s="106">
        <v>2292</v>
      </c>
      <c r="AX98" s="106">
        <v>4</v>
      </c>
      <c r="AY98" s="106">
        <v>1833.6</v>
      </c>
      <c r="AZ98" s="106">
        <v>7.485632183908046</v>
      </c>
      <c r="BA98" s="106">
        <v>3431.4137931034479</v>
      </c>
      <c r="BB98" s="106">
        <v>8.4446564885496187</v>
      </c>
      <c r="BC98" s="106">
        <v>3871.030534351145</v>
      </c>
      <c r="BD98" s="106">
        <v>9.5441176470588243</v>
      </c>
      <c r="BE98" s="106">
        <v>4375.0235294117647</v>
      </c>
      <c r="BF98" s="106">
        <v>9.2538022813688201</v>
      </c>
      <c r="BG98" s="106">
        <v>4241.9429657794672</v>
      </c>
      <c r="BH98" s="106">
        <v>7.5769230769230775</v>
      </c>
      <c r="BI98" s="106">
        <v>3473.2615384615387</v>
      </c>
      <c r="BJ98" s="106">
        <v>8</v>
      </c>
      <c r="BK98" s="106">
        <v>3667.2</v>
      </c>
      <c r="BL98" s="106">
        <v>8</v>
      </c>
      <c r="BM98" s="106">
        <v>3667.2</v>
      </c>
      <c r="BN98" s="106">
        <v>10.157446808510638</v>
      </c>
      <c r="BO98" s="106">
        <v>4656.1736170212762</v>
      </c>
      <c r="BP98" s="106">
        <v>3.2302904564315353</v>
      </c>
      <c r="BQ98" s="106">
        <v>1480.7651452282157</v>
      </c>
      <c r="BR98" s="106">
        <v>3.6583646616541352</v>
      </c>
      <c r="BS98" s="106">
        <v>1676.9943609022555</v>
      </c>
      <c r="BT98" s="106">
        <v>2.1786380597014925</v>
      </c>
      <c r="BU98" s="106">
        <v>998.68768656716406</v>
      </c>
      <c r="BV98" s="106">
        <v>3.87699203187251</v>
      </c>
      <c r="BW98" s="106">
        <v>1777.2131474103585</v>
      </c>
      <c r="BX98" s="106">
        <v>8</v>
      </c>
      <c r="BY98" s="106">
        <v>3667.2</v>
      </c>
      <c r="BZ98" s="106">
        <v>10</v>
      </c>
      <c r="CA98" s="106">
        <v>4584</v>
      </c>
      <c r="CB98" s="106">
        <v>8</v>
      </c>
      <c r="CC98" s="106">
        <v>3667.2</v>
      </c>
      <c r="CD98" s="106">
        <v>7</v>
      </c>
      <c r="CE98" s="106">
        <v>3208.7999999999997</v>
      </c>
      <c r="CF98" s="106">
        <v>4</v>
      </c>
      <c r="CG98" s="106">
        <v>1833.6</v>
      </c>
      <c r="CH98" s="106">
        <v>7</v>
      </c>
      <c r="CI98" s="106">
        <v>3208.7999999999997</v>
      </c>
      <c r="CJ98" s="106">
        <v>7</v>
      </c>
      <c r="CK98" s="106">
        <v>3208.7999999999997</v>
      </c>
      <c r="CL98" s="106">
        <v>4</v>
      </c>
      <c r="CM98" s="106">
        <v>1833.6</v>
      </c>
      <c r="CN98" s="106">
        <v>8</v>
      </c>
      <c r="CO98" s="106">
        <v>3667.2</v>
      </c>
      <c r="CP98" s="106">
        <v>8</v>
      </c>
      <c r="CQ98" s="106">
        <v>3667.2</v>
      </c>
      <c r="CR98" s="106">
        <v>8</v>
      </c>
      <c r="CS98" s="106">
        <v>3667.2</v>
      </c>
      <c r="CT98" s="106">
        <v>9.4498381877022641</v>
      </c>
      <c r="CU98" s="106">
        <v>4331.8058252427172</v>
      </c>
    </row>
    <row r="99" spans="2:99" x14ac:dyDescent="0.2">
      <c r="C99" s="105" t="s">
        <v>265</v>
      </c>
      <c r="D99" s="106">
        <v>10</v>
      </c>
      <c r="E99" s="106">
        <v>43212</v>
      </c>
      <c r="F99" s="106">
        <v>9</v>
      </c>
      <c r="G99" s="106">
        <v>38890.799999999996</v>
      </c>
      <c r="H99" s="106">
        <v>10</v>
      </c>
      <c r="I99" s="106">
        <v>43212</v>
      </c>
      <c r="J99" s="106">
        <v>8</v>
      </c>
      <c r="K99" s="106">
        <v>34569.599999999999</v>
      </c>
      <c r="L99" s="106">
        <v>19</v>
      </c>
      <c r="M99" s="106">
        <v>82102.8</v>
      </c>
      <c r="N99" s="106">
        <v>18</v>
      </c>
      <c r="O99" s="106">
        <v>77781.599999999991</v>
      </c>
      <c r="P99" s="106">
        <v>15</v>
      </c>
      <c r="Q99" s="106">
        <v>64818</v>
      </c>
      <c r="R99" s="106">
        <v>18</v>
      </c>
      <c r="S99" s="106">
        <v>77781.599999999991</v>
      </c>
      <c r="T99" s="106">
        <v>11.224466156006491</v>
      </c>
      <c r="U99" s="106">
        <v>48503.163153335248</v>
      </c>
      <c r="V99" s="106">
        <v>8.3358386075949369</v>
      </c>
      <c r="W99" s="106">
        <v>36020.825791139243</v>
      </c>
      <c r="X99" s="106">
        <v>8.839345637583893</v>
      </c>
      <c r="Y99" s="106">
        <v>38196.580369127514</v>
      </c>
      <c r="Z99" s="106">
        <v>8.1703629032258061</v>
      </c>
      <c r="AA99" s="106">
        <v>35305.772177419349</v>
      </c>
      <c r="AB99" s="106">
        <v>3.9642857142857144</v>
      </c>
      <c r="AC99" s="106">
        <v>17130.471428571429</v>
      </c>
      <c r="AD99" s="106">
        <v>3.8873922413793105</v>
      </c>
      <c r="AE99" s="106">
        <v>16798.199353448275</v>
      </c>
      <c r="AF99" s="106">
        <v>3.3558139534883722</v>
      </c>
      <c r="AG99" s="106">
        <v>14501.143255813953</v>
      </c>
      <c r="AH99" s="106">
        <v>3.5367647058823528</v>
      </c>
      <c r="AI99" s="106">
        <v>15283.067647058822</v>
      </c>
      <c r="AJ99" s="106">
        <v>5.9285714285714288</v>
      </c>
      <c r="AK99" s="106">
        <v>25618.542857142857</v>
      </c>
      <c r="AL99" s="106">
        <v>6.1029411764705879</v>
      </c>
      <c r="AM99" s="106">
        <v>26372.029411764703</v>
      </c>
      <c r="AN99" s="106">
        <v>4.5305676855895198</v>
      </c>
      <c r="AO99" s="106">
        <v>19577.489082969434</v>
      </c>
      <c r="AP99" s="106">
        <v>5.1024590163934427</v>
      </c>
      <c r="AQ99" s="106">
        <v>22048.745901639344</v>
      </c>
      <c r="AR99" s="106">
        <v>2.4808673469387754</v>
      </c>
      <c r="AS99" s="106">
        <v>10720.323979591836</v>
      </c>
      <c r="AT99" s="106">
        <v>2.532552083333333</v>
      </c>
      <c r="AU99" s="106">
        <v>10943.664062499998</v>
      </c>
      <c r="AV99" s="106">
        <v>3</v>
      </c>
      <c r="AW99" s="106">
        <v>12963.599999999999</v>
      </c>
      <c r="AX99" s="106">
        <v>3</v>
      </c>
      <c r="AY99" s="106">
        <v>12963.599999999999</v>
      </c>
      <c r="AZ99" s="106">
        <v>5.2399425287356323</v>
      </c>
      <c r="BA99" s="106">
        <v>22642.839655172414</v>
      </c>
      <c r="BB99" s="106">
        <v>5.9112595419847329</v>
      </c>
      <c r="BC99" s="106">
        <v>25543.734732824425</v>
      </c>
      <c r="BD99" s="106">
        <v>6.9411764705882355</v>
      </c>
      <c r="BE99" s="106">
        <v>29994.21176470588</v>
      </c>
      <c r="BF99" s="106">
        <v>6.7300380228136882</v>
      </c>
      <c r="BG99" s="106">
        <v>29081.840304182508</v>
      </c>
      <c r="BH99" s="106">
        <v>4.7355769230769234</v>
      </c>
      <c r="BI99" s="106">
        <v>20463.375</v>
      </c>
      <c r="BJ99" s="106">
        <v>5</v>
      </c>
      <c r="BK99" s="106">
        <v>21606</v>
      </c>
      <c r="BL99" s="106">
        <v>5</v>
      </c>
      <c r="BM99" s="106">
        <v>21606</v>
      </c>
      <c r="BN99" s="106">
        <v>6.4638297872340429</v>
      </c>
      <c r="BO99" s="106">
        <v>27931.501276595744</v>
      </c>
      <c r="BP99" s="106">
        <v>3.2302904564315353</v>
      </c>
      <c r="BQ99" s="106">
        <v>13958.73112033195</v>
      </c>
      <c r="BR99" s="106">
        <v>2.195018796992481</v>
      </c>
      <c r="BS99" s="106">
        <v>9485.1152255639081</v>
      </c>
      <c r="BT99" s="106">
        <v>2.1786380597014925</v>
      </c>
      <c r="BU99" s="106">
        <v>9414.3307835820888</v>
      </c>
      <c r="BV99" s="106">
        <v>2.3261952191235058</v>
      </c>
      <c r="BW99" s="106">
        <v>10051.954780876493</v>
      </c>
      <c r="BX99" s="106">
        <v>6</v>
      </c>
      <c r="BY99" s="106">
        <v>25927.199999999997</v>
      </c>
      <c r="BZ99" s="106">
        <v>8</v>
      </c>
      <c r="CA99" s="106">
        <v>34569.599999999999</v>
      </c>
      <c r="CB99" s="106">
        <v>6</v>
      </c>
      <c r="CC99" s="106">
        <v>25927.199999999997</v>
      </c>
      <c r="CD99" s="106">
        <v>5</v>
      </c>
      <c r="CE99" s="106">
        <v>21606</v>
      </c>
      <c r="CF99" s="106">
        <v>3</v>
      </c>
      <c r="CG99" s="106">
        <v>12963.599999999999</v>
      </c>
      <c r="CH99" s="106">
        <v>5</v>
      </c>
      <c r="CI99" s="106">
        <v>21606</v>
      </c>
      <c r="CJ99" s="106">
        <v>6</v>
      </c>
      <c r="CK99" s="106">
        <v>25927.199999999997</v>
      </c>
      <c r="CL99" s="106">
        <v>3</v>
      </c>
      <c r="CM99" s="106">
        <v>12963.599999999999</v>
      </c>
      <c r="CN99" s="106">
        <v>6</v>
      </c>
      <c r="CO99" s="106">
        <v>25927.199999999997</v>
      </c>
      <c r="CP99" s="106">
        <v>6</v>
      </c>
      <c r="CQ99" s="106">
        <v>25927.199999999997</v>
      </c>
      <c r="CR99" s="106">
        <v>6</v>
      </c>
      <c r="CS99" s="106">
        <v>25927.199999999997</v>
      </c>
      <c r="CT99" s="106">
        <v>7.5598705501618131</v>
      </c>
      <c r="CU99" s="106">
        <v>32667.712621359224</v>
      </c>
    </row>
    <row r="100" spans="2:99" x14ac:dyDescent="0.2">
      <c r="C100" s="105" t="s">
        <v>266</v>
      </c>
      <c r="D100" s="106">
        <v>16</v>
      </c>
      <c r="E100" s="106">
        <v>12403.199999999999</v>
      </c>
      <c r="F100" s="106">
        <v>12</v>
      </c>
      <c r="G100" s="106">
        <v>9302.4</v>
      </c>
      <c r="H100" s="106">
        <v>15</v>
      </c>
      <c r="I100" s="106">
        <v>11627.999999999998</v>
      </c>
      <c r="J100" s="106">
        <v>11</v>
      </c>
      <c r="K100" s="106">
        <v>8527.1999999999989</v>
      </c>
      <c r="L100" s="106">
        <v>32</v>
      </c>
      <c r="M100" s="106">
        <v>24806.399999999998</v>
      </c>
      <c r="N100" s="106">
        <v>31</v>
      </c>
      <c r="O100" s="106">
        <v>24031.199999999997</v>
      </c>
      <c r="P100" s="106">
        <v>27</v>
      </c>
      <c r="Q100" s="106">
        <v>20930.399999999998</v>
      </c>
      <c r="R100" s="106">
        <v>35</v>
      </c>
      <c r="S100" s="106">
        <v>27131.999999999996</v>
      </c>
      <c r="T100" s="106">
        <v>15.233204068865952</v>
      </c>
      <c r="U100" s="106">
        <v>11808.779794184884</v>
      </c>
      <c r="V100" s="106">
        <v>12.183148734177216</v>
      </c>
      <c r="W100" s="106">
        <v>9444.3768987341773</v>
      </c>
      <c r="X100" s="106">
        <v>12.919043624161075</v>
      </c>
      <c r="Y100" s="106">
        <v>10014.842617449665</v>
      </c>
      <c r="Z100" s="106">
        <v>12.25554435483871</v>
      </c>
      <c r="AA100" s="106">
        <v>9500.4979838709678</v>
      </c>
      <c r="AB100" s="106">
        <v>4.9553571428571423</v>
      </c>
      <c r="AC100" s="106">
        <v>3841.3928571428564</v>
      </c>
      <c r="AD100" s="106">
        <v>6.2198275862068968</v>
      </c>
      <c r="AE100" s="106">
        <v>4821.6103448275862</v>
      </c>
      <c r="AF100" s="106">
        <v>4.1947674418604652</v>
      </c>
      <c r="AG100" s="106">
        <v>3251.7837209302324</v>
      </c>
      <c r="AH100" s="106">
        <v>4.9514705882352938</v>
      </c>
      <c r="AI100" s="106">
        <v>3838.3799999999997</v>
      </c>
      <c r="AJ100" s="106">
        <v>8.4693877551020407</v>
      </c>
      <c r="AK100" s="106">
        <v>6565.4693877551017</v>
      </c>
      <c r="AL100" s="106">
        <v>7.6286764705882355</v>
      </c>
      <c r="AM100" s="106">
        <v>5913.75</v>
      </c>
      <c r="AN100" s="106">
        <v>7.248908296943231</v>
      </c>
      <c r="AO100" s="106">
        <v>5619.3537117903925</v>
      </c>
      <c r="AP100" s="106">
        <v>8.5040983606557372</v>
      </c>
      <c r="AQ100" s="106">
        <v>6592.377049180327</v>
      </c>
      <c r="AR100" s="106">
        <v>3.3078231292517004</v>
      </c>
      <c r="AS100" s="106">
        <v>2564.2244897959181</v>
      </c>
      <c r="AT100" s="106">
        <v>3.3767361111111107</v>
      </c>
      <c r="AU100" s="106">
        <v>2617.6458333333326</v>
      </c>
      <c r="AV100" s="106">
        <v>4</v>
      </c>
      <c r="AW100" s="106">
        <v>3100.7999999999997</v>
      </c>
      <c r="AX100" s="106">
        <v>4</v>
      </c>
      <c r="AY100" s="106">
        <v>3100.7999999999997</v>
      </c>
      <c r="AZ100" s="106">
        <v>6.7370689655172411</v>
      </c>
      <c r="BA100" s="106">
        <v>5222.5758620689649</v>
      </c>
      <c r="BB100" s="106">
        <v>7.6001908396946565</v>
      </c>
      <c r="BC100" s="106">
        <v>5891.6679389312976</v>
      </c>
      <c r="BD100" s="106">
        <v>9.5441176470588243</v>
      </c>
      <c r="BE100" s="106">
        <v>7398.6</v>
      </c>
      <c r="BF100" s="106">
        <v>9.2538022813688201</v>
      </c>
      <c r="BG100" s="106">
        <v>7173.5475285171087</v>
      </c>
      <c r="BH100" s="106">
        <v>7.5769230769230775</v>
      </c>
      <c r="BI100" s="106">
        <v>5873.6307692307691</v>
      </c>
      <c r="BJ100" s="106">
        <v>9</v>
      </c>
      <c r="BK100" s="106">
        <v>6976.7999999999993</v>
      </c>
      <c r="BL100" s="106">
        <v>8</v>
      </c>
      <c r="BM100" s="106">
        <v>6201.5999999999995</v>
      </c>
      <c r="BN100" s="106">
        <v>8.310638297872341</v>
      </c>
      <c r="BO100" s="106">
        <v>6442.4068085106383</v>
      </c>
      <c r="BP100" s="106">
        <v>3.2302904564315353</v>
      </c>
      <c r="BQ100" s="106">
        <v>2504.1211618257262</v>
      </c>
      <c r="BR100" s="106">
        <v>3.6583646616541352</v>
      </c>
      <c r="BS100" s="106">
        <v>2835.9642857142853</v>
      </c>
      <c r="BT100" s="106">
        <v>2.1786380597014925</v>
      </c>
      <c r="BU100" s="106">
        <v>1688.8802238805968</v>
      </c>
      <c r="BV100" s="106">
        <v>3.1015936254980079</v>
      </c>
      <c r="BW100" s="106">
        <v>2404.3553784860555</v>
      </c>
      <c r="BX100" s="106">
        <v>8</v>
      </c>
      <c r="BY100" s="106">
        <v>6201.5999999999995</v>
      </c>
      <c r="BZ100" s="106">
        <v>10</v>
      </c>
      <c r="CA100" s="106">
        <v>7751.9999999999991</v>
      </c>
      <c r="CB100" s="106">
        <v>8</v>
      </c>
      <c r="CC100" s="106">
        <v>6201.5999999999995</v>
      </c>
      <c r="CD100" s="106">
        <v>6</v>
      </c>
      <c r="CE100" s="106">
        <v>4651.2</v>
      </c>
      <c r="CF100" s="106">
        <v>4</v>
      </c>
      <c r="CG100" s="106">
        <v>3100.7999999999997</v>
      </c>
      <c r="CH100" s="106">
        <v>6</v>
      </c>
      <c r="CI100" s="106">
        <v>4651.2</v>
      </c>
      <c r="CJ100" s="106">
        <v>7</v>
      </c>
      <c r="CK100" s="106">
        <v>5426.4</v>
      </c>
      <c r="CL100" s="106">
        <v>4</v>
      </c>
      <c r="CM100" s="106">
        <v>3100.7999999999997</v>
      </c>
      <c r="CN100" s="106">
        <v>7</v>
      </c>
      <c r="CO100" s="106">
        <v>5426.4</v>
      </c>
      <c r="CP100" s="106">
        <v>8</v>
      </c>
      <c r="CQ100" s="106">
        <v>6201.5999999999995</v>
      </c>
      <c r="CR100" s="106">
        <v>8</v>
      </c>
      <c r="CS100" s="106">
        <v>6201.5999999999995</v>
      </c>
      <c r="CT100" s="106">
        <v>10.394822006472491</v>
      </c>
      <c r="CU100" s="106">
        <v>8058.0660194174743</v>
      </c>
    </row>
    <row r="101" spans="2:99" x14ac:dyDescent="0.2">
      <c r="C101" s="105" t="s">
        <v>267</v>
      </c>
      <c r="D101" s="106">
        <v>18</v>
      </c>
      <c r="E101" s="106">
        <v>11037.599999999999</v>
      </c>
      <c r="F101" s="106">
        <v>13</v>
      </c>
      <c r="G101" s="106">
        <v>7971.5999999999995</v>
      </c>
      <c r="H101" s="106">
        <v>15</v>
      </c>
      <c r="I101" s="106">
        <v>9197.9999999999982</v>
      </c>
      <c r="J101" s="106">
        <v>12</v>
      </c>
      <c r="K101" s="106">
        <v>7358.4</v>
      </c>
      <c r="L101" s="106">
        <v>31</v>
      </c>
      <c r="M101" s="106">
        <v>19009.199999999997</v>
      </c>
      <c r="N101" s="106">
        <v>34</v>
      </c>
      <c r="O101" s="106">
        <v>20848.8</v>
      </c>
      <c r="P101" s="106">
        <v>27</v>
      </c>
      <c r="Q101" s="106">
        <v>16556.399999999998</v>
      </c>
      <c r="R101" s="106">
        <v>37</v>
      </c>
      <c r="S101" s="106">
        <v>22688.399999999998</v>
      </c>
      <c r="T101" s="106">
        <v>16.034951651437844</v>
      </c>
      <c r="U101" s="106">
        <v>9832.6323526616852</v>
      </c>
      <c r="V101" s="106">
        <v>11.541930379746836</v>
      </c>
      <c r="W101" s="106">
        <v>7077.5117088607585</v>
      </c>
      <c r="X101" s="106">
        <v>11.559144295302014</v>
      </c>
      <c r="Y101" s="106">
        <v>7088.0672818791945</v>
      </c>
      <c r="Z101" s="106">
        <v>11.438508064516128</v>
      </c>
      <c r="AA101" s="106">
        <v>7014.0931451612887</v>
      </c>
      <c r="AB101" s="106">
        <v>4.9553571428571423</v>
      </c>
      <c r="AC101" s="106">
        <v>3038.6249999999995</v>
      </c>
      <c r="AD101" s="106">
        <v>6.2198275862068968</v>
      </c>
      <c r="AE101" s="106">
        <v>3813.9982758620686</v>
      </c>
      <c r="AF101" s="106">
        <v>4.1947674418604652</v>
      </c>
      <c r="AG101" s="106">
        <v>2572.2313953488369</v>
      </c>
      <c r="AH101" s="106">
        <v>6.3661764705882353</v>
      </c>
      <c r="AI101" s="106">
        <v>3903.7394117647054</v>
      </c>
      <c r="AJ101" s="106">
        <v>9.316326530612244</v>
      </c>
      <c r="AK101" s="106">
        <v>5712.7714285714274</v>
      </c>
      <c r="AL101" s="106">
        <v>8.3915441176470598</v>
      </c>
      <c r="AM101" s="106">
        <v>5145.6948529411766</v>
      </c>
      <c r="AN101" s="106">
        <v>6.3427947598253276</v>
      </c>
      <c r="AO101" s="106">
        <v>3889.4017467248905</v>
      </c>
      <c r="AP101" s="106">
        <v>6.8032786885245908</v>
      </c>
      <c r="AQ101" s="106">
        <v>4171.7704918032787</v>
      </c>
      <c r="AR101" s="106">
        <v>3.3078231292517004</v>
      </c>
      <c r="AS101" s="106">
        <v>2028.3571428571424</v>
      </c>
      <c r="AT101" s="106">
        <v>3.3767361111111107</v>
      </c>
      <c r="AU101" s="106">
        <v>2070.614583333333</v>
      </c>
      <c r="AV101" s="106">
        <v>5</v>
      </c>
      <c r="AW101" s="106">
        <v>3065.9999999999995</v>
      </c>
      <c r="AX101" s="106">
        <v>4</v>
      </c>
      <c r="AY101" s="106">
        <v>2452.7999999999997</v>
      </c>
      <c r="AZ101" s="106">
        <v>6.7370689655172411</v>
      </c>
      <c r="BA101" s="106">
        <v>4131.1706896551714</v>
      </c>
      <c r="BB101" s="106">
        <v>8.4446564885496187</v>
      </c>
      <c r="BC101" s="106">
        <v>5178.2633587786258</v>
      </c>
      <c r="BD101" s="106">
        <v>9.5441176470588243</v>
      </c>
      <c r="BE101" s="106">
        <v>5852.4529411764706</v>
      </c>
      <c r="BF101" s="106">
        <v>8.4125475285171092</v>
      </c>
      <c r="BG101" s="106">
        <v>5158.5741444866908</v>
      </c>
      <c r="BH101" s="106">
        <v>6.6298076923076916</v>
      </c>
      <c r="BI101" s="106">
        <v>4065.3980769230761</v>
      </c>
      <c r="BJ101" s="106">
        <v>9</v>
      </c>
      <c r="BK101" s="106">
        <v>5518.7999999999993</v>
      </c>
      <c r="BL101" s="106">
        <v>8</v>
      </c>
      <c r="BM101" s="106">
        <v>4905.5999999999995</v>
      </c>
      <c r="BN101" s="106">
        <v>8.310638297872341</v>
      </c>
      <c r="BO101" s="106">
        <v>5096.0834042553188</v>
      </c>
      <c r="BP101" s="106">
        <v>3.2302904564315353</v>
      </c>
      <c r="BQ101" s="106">
        <v>1980.8141078838173</v>
      </c>
      <c r="BR101" s="106">
        <v>2.9266917293233079</v>
      </c>
      <c r="BS101" s="106">
        <v>1794.6473684210523</v>
      </c>
      <c r="BT101" s="106">
        <v>2.1786380597014925</v>
      </c>
      <c r="BU101" s="106">
        <v>1335.940858208955</v>
      </c>
      <c r="BV101" s="106">
        <v>3.1015936254980079</v>
      </c>
      <c r="BW101" s="106">
        <v>1901.8972111553783</v>
      </c>
      <c r="BX101" s="106">
        <v>7</v>
      </c>
      <c r="BY101" s="106">
        <v>4292.3999999999996</v>
      </c>
      <c r="BZ101" s="106">
        <v>11</v>
      </c>
      <c r="CA101" s="106">
        <v>6745.1999999999989</v>
      </c>
      <c r="CB101" s="106">
        <v>8</v>
      </c>
      <c r="CC101" s="106">
        <v>4905.5999999999995</v>
      </c>
      <c r="CD101" s="106">
        <v>6</v>
      </c>
      <c r="CE101" s="106">
        <v>3679.2</v>
      </c>
      <c r="CF101" s="106">
        <v>4</v>
      </c>
      <c r="CG101" s="106">
        <v>2452.7999999999997</v>
      </c>
      <c r="CH101" s="106">
        <v>7</v>
      </c>
      <c r="CI101" s="106">
        <v>4292.3999999999996</v>
      </c>
      <c r="CJ101" s="106">
        <v>7</v>
      </c>
      <c r="CK101" s="106">
        <v>4292.3999999999996</v>
      </c>
      <c r="CL101" s="106">
        <v>4</v>
      </c>
      <c r="CM101" s="106">
        <v>2452.7999999999997</v>
      </c>
      <c r="CN101" s="106">
        <v>7</v>
      </c>
      <c r="CO101" s="106">
        <v>4292.3999999999996</v>
      </c>
      <c r="CP101" s="106">
        <v>9</v>
      </c>
      <c r="CQ101" s="106">
        <v>5518.7999999999993</v>
      </c>
      <c r="CR101" s="106">
        <v>9</v>
      </c>
      <c r="CS101" s="106">
        <v>5518.7999999999993</v>
      </c>
      <c r="CT101" s="106">
        <v>10.394822006472491</v>
      </c>
      <c r="CU101" s="106">
        <v>6374.1048543689312</v>
      </c>
    </row>
    <row r="102" spans="2:99" x14ac:dyDescent="0.2">
      <c r="C102" s="105" t="s">
        <v>268</v>
      </c>
      <c r="D102" s="106">
        <v>16</v>
      </c>
      <c r="E102" s="106">
        <v>6374.4</v>
      </c>
      <c r="F102" s="106">
        <v>12</v>
      </c>
      <c r="G102" s="106">
        <v>4780.7999999999993</v>
      </c>
      <c r="H102" s="106">
        <v>13</v>
      </c>
      <c r="I102" s="106">
        <v>5179.2</v>
      </c>
      <c r="J102" s="106">
        <v>11</v>
      </c>
      <c r="K102" s="106">
        <v>4382.3999999999996</v>
      </c>
      <c r="L102" s="106">
        <v>33</v>
      </c>
      <c r="M102" s="106">
        <v>13147.199999999999</v>
      </c>
      <c r="N102" s="106">
        <v>33</v>
      </c>
      <c r="O102" s="106">
        <v>13147.199999999999</v>
      </c>
      <c r="P102" s="106">
        <v>26</v>
      </c>
      <c r="Q102" s="106">
        <v>10358.4</v>
      </c>
      <c r="R102" s="106">
        <v>32</v>
      </c>
      <c r="S102" s="106">
        <v>12748.8</v>
      </c>
      <c r="T102" s="106">
        <v>15.233204068865952</v>
      </c>
      <c r="U102" s="106">
        <v>6068.908501036195</v>
      </c>
      <c r="V102" s="106">
        <v>14.106803797468354</v>
      </c>
      <c r="W102" s="106">
        <v>5620.1506329113918</v>
      </c>
      <c r="X102" s="106">
        <v>12.239093959731544</v>
      </c>
      <c r="Y102" s="106">
        <v>4876.055033557047</v>
      </c>
      <c r="Z102" s="106">
        <v>13.07258064516129</v>
      </c>
      <c r="AA102" s="106">
        <v>5208.116129032258</v>
      </c>
      <c r="AB102" s="106">
        <v>4.9553571428571423</v>
      </c>
      <c r="AC102" s="106">
        <v>1974.2142857142853</v>
      </c>
      <c r="AD102" s="106">
        <v>5.4423491379310347</v>
      </c>
      <c r="AE102" s="106">
        <v>2168.2318965517243</v>
      </c>
      <c r="AF102" s="106">
        <v>4.1947674418604652</v>
      </c>
      <c r="AG102" s="106">
        <v>1671.1953488372092</v>
      </c>
      <c r="AH102" s="106">
        <v>6.3661764705882353</v>
      </c>
      <c r="AI102" s="106">
        <v>2536.2847058823527</v>
      </c>
      <c r="AJ102" s="106">
        <v>8.4693877551020407</v>
      </c>
      <c r="AK102" s="106">
        <v>3374.204081632653</v>
      </c>
      <c r="AL102" s="106">
        <v>9.1544117647058822</v>
      </c>
      <c r="AM102" s="106">
        <v>3647.1176470588234</v>
      </c>
      <c r="AN102" s="106">
        <v>7.248908296943231</v>
      </c>
      <c r="AO102" s="106">
        <v>2887.9650655021833</v>
      </c>
      <c r="AP102" s="106">
        <v>8.5040983606557372</v>
      </c>
      <c r="AQ102" s="106">
        <v>3388.0327868852455</v>
      </c>
      <c r="AR102" s="106">
        <v>3.3078231292517004</v>
      </c>
      <c r="AS102" s="106">
        <v>1317.8367346938774</v>
      </c>
      <c r="AT102" s="106">
        <v>3.3767361111111107</v>
      </c>
      <c r="AU102" s="106">
        <v>1345.2916666666665</v>
      </c>
      <c r="AV102" s="106">
        <v>5</v>
      </c>
      <c r="AW102" s="106">
        <v>1992</v>
      </c>
      <c r="AX102" s="106">
        <v>4</v>
      </c>
      <c r="AY102" s="106">
        <v>1593.6</v>
      </c>
      <c r="AZ102" s="106">
        <v>8.2341954022988517</v>
      </c>
      <c r="BA102" s="106">
        <v>3280.5034482758624</v>
      </c>
      <c r="BB102" s="106">
        <v>8.4446564885496187</v>
      </c>
      <c r="BC102" s="106">
        <v>3364.3511450381679</v>
      </c>
      <c r="BD102" s="106">
        <v>8.6764705882352935</v>
      </c>
      <c r="BE102" s="106">
        <v>3456.7058823529405</v>
      </c>
      <c r="BF102" s="106">
        <v>10.095057034220533</v>
      </c>
      <c r="BG102" s="106">
        <v>4021.8707224334598</v>
      </c>
      <c r="BH102" s="106">
        <v>6.6298076923076916</v>
      </c>
      <c r="BI102" s="106">
        <v>2641.3153846153841</v>
      </c>
      <c r="BJ102" s="106">
        <v>8</v>
      </c>
      <c r="BK102" s="106">
        <v>3187.2</v>
      </c>
      <c r="BL102" s="106">
        <v>8</v>
      </c>
      <c r="BM102" s="106">
        <v>3187.2</v>
      </c>
      <c r="BN102" s="106">
        <v>8.310638297872341</v>
      </c>
      <c r="BO102" s="106">
        <v>3310.9582978723406</v>
      </c>
      <c r="BP102" s="106">
        <v>3.2302904564315353</v>
      </c>
      <c r="BQ102" s="106">
        <v>1286.9477178423235</v>
      </c>
      <c r="BR102" s="106">
        <v>2.9266917293233079</v>
      </c>
      <c r="BS102" s="106">
        <v>1165.9939849624059</v>
      </c>
      <c r="BT102" s="106">
        <v>2.1786380597014925</v>
      </c>
      <c r="BU102" s="106">
        <v>867.96940298507457</v>
      </c>
      <c r="BV102" s="106">
        <v>3.1015936254980079</v>
      </c>
      <c r="BW102" s="106">
        <v>1235.6749003984062</v>
      </c>
      <c r="BX102" s="106">
        <v>9</v>
      </c>
      <c r="BY102" s="106">
        <v>3585.6</v>
      </c>
      <c r="BZ102" s="106">
        <v>10</v>
      </c>
      <c r="CA102" s="106">
        <v>3984</v>
      </c>
      <c r="CB102" s="106">
        <v>8</v>
      </c>
      <c r="CC102" s="106">
        <v>3187.2</v>
      </c>
      <c r="CD102" s="106">
        <v>7</v>
      </c>
      <c r="CE102" s="106">
        <v>2788.7999999999997</v>
      </c>
      <c r="CF102" s="106">
        <v>4</v>
      </c>
      <c r="CG102" s="106">
        <v>1593.6</v>
      </c>
      <c r="CH102" s="106">
        <v>6</v>
      </c>
      <c r="CI102" s="106">
        <v>2390.3999999999996</v>
      </c>
      <c r="CJ102" s="106">
        <v>7</v>
      </c>
      <c r="CK102" s="106">
        <v>2788.7999999999997</v>
      </c>
      <c r="CL102" s="106">
        <v>4</v>
      </c>
      <c r="CM102" s="106">
        <v>1593.6</v>
      </c>
      <c r="CN102" s="106">
        <v>8</v>
      </c>
      <c r="CO102" s="106">
        <v>3187.2</v>
      </c>
      <c r="CP102" s="106">
        <v>9</v>
      </c>
      <c r="CQ102" s="106">
        <v>3585.6</v>
      </c>
      <c r="CR102" s="106">
        <v>9</v>
      </c>
      <c r="CS102" s="106">
        <v>3585.6</v>
      </c>
      <c r="CT102" s="106">
        <v>11.339805825242717</v>
      </c>
      <c r="CU102" s="106">
        <v>4517.778640776698</v>
      </c>
    </row>
    <row r="103" spans="2:99" x14ac:dyDescent="0.2">
      <c r="C103" s="105" t="s">
        <v>269</v>
      </c>
      <c r="D103" s="106">
        <v>16</v>
      </c>
      <c r="E103" s="106">
        <v>9177.6</v>
      </c>
      <c r="F103" s="106">
        <v>12</v>
      </c>
      <c r="G103" s="106">
        <v>6883.2000000000007</v>
      </c>
      <c r="H103" s="106">
        <v>15</v>
      </c>
      <c r="I103" s="106">
        <v>8604</v>
      </c>
      <c r="J103" s="106">
        <v>11</v>
      </c>
      <c r="K103" s="106">
        <v>6309.6</v>
      </c>
      <c r="L103" s="106">
        <v>35</v>
      </c>
      <c r="M103" s="106">
        <v>20076</v>
      </c>
      <c r="N103" s="106">
        <v>34</v>
      </c>
      <c r="O103" s="106">
        <v>19502.400000000001</v>
      </c>
      <c r="P103" s="106">
        <v>26</v>
      </c>
      <c r="Q103" s="106">
        <v>14913.6</v>
      </c>
      <c r="R103" s="106">
        <v>37</v>
      </c>
      <c r="S103" s="106">
        <v>21223.200000000001</v>
      </c>
      <c r="T103" s="106">
        <v>15.233204068865952</v>
      </c>
      <c r="U103" s="106">
        <v>8737.7658539015101</v>
      </c>
      <c r="V103" s="106">
        <v>12.824367088607596</v>
      </c>
      <c r="W103" s="106">
        <v>7356.0569620253173</v>
      </c>
      <c r="X103" s="106">
        <v>13.598993288590604</v>
      </c>
      <c r="Y103" s="106">
        <v>7800.3825503355711</v>
      </c>
      <c r="Z103" s="106">
        <v>11.438508064516128</v>
      </c>
      <c r="AA103" s="106">
        <v>6561.1282258064512</v>
      </c>
      <c r="AB103" s="106">
        <v>5.9464285714285712</v>
      </c>
      <c r="AC103" s="106">
        <v>3410.8714285714286</v>
      </c>
      <c r="AD103" s="106">
        <v>6.2198275862068968</v>
      </c>
      <c r="AE103" s="106">
        <v>3567.6931034482764</v>
      </c>
      <c r="AF103" s="106">
        <v>4.1947674418604652</v>
      </c>
      <c r="AG103" s="106">
        <v>2406.118604651163</v>
      </c>
      <c r="AH103" s="106">
        <v>6.3661764705882353</v>
      </c>
      <c r="AI103" s="106">
        <v>3651.6388235294121</v>
      </c>
      <c r="AJ103" s="106">
        <v>8.4693877551020407</v>
      </c>
      <c r="AK103" s="106">
        <v>4858.0408163265311</v>
      </c>
      <c r="AL103" s="106">
        <v>7.6286764705882355</v>
      </c>
      <c r="AM103" s="106">
        <v>4375.8088235294117</v>
      </c>
      <c r="AN103" s="106">
        <v>6.3427947598253276</v>
      </c>
      <c r="AO103" s="106">
        <v>3638.2270742358082</v>
      </c>
      <c r="AP103" s="106">
        <v>6.8032786885245908</v>
      </c>
      <c r="AQ103" s="106">
        <v>3902.3606557377057</v>
      </c>
      <c r="AR103" s="106">
        <v>3.3078231292517004</v>
      </c>
      <c r="AS103" s="106">
        <v>1897.3673469387754</v>
      </c>
      <c r="AT103" s="106">
        <v>3.3767361111111107</v>
      </c>
      <c r="AU103" s="106">
        <v>1936.8958333333333</v>
      </c>
      <c r="AV103" s="106">
        <v>4</v>
      </c>
      <c r="AW103" s="106">
        <v>2294.4</v>
      </c>
      <c r="AX103" s="106">
        <v>4</v>
      </c>
      <c r="AY103" s="106">
        <v>2294.4</v>
      </c>
      <c r="AZ103" s="106">
        <v>7.485632183908046</v>
      </c>
      <c r="BA103" s="106">
        <v>4293.7586206896549</v>
      </c>
      <c r="BB103" s="106">
        <v>8.4446564885496187</v>
      </c>
      <c r="BC103" s="106">
        <v>4843.8549618320612</v>
      </c>
      <c r="BD103" s="106">
        <v>9.5441176470588243</v>
      </c>
      <c r="BE103" s="106">
        <v>5474.5058823529416</v>
      </c>
      <c r="BF103" s="106">
        <v>9.2538022813688201</v>
      </c>
      <c r="BG103" s="106">
        <v>5307.9809885931554</v>
      </c>
      <c r="BH103" s="106">
        <v>7.5769230769230775</v>
      </c>
      <c r="BI103" s="106">
        <v>4346.1230769230779</v>
      </c>
      <c r="BJ103" s="106">
        <v>9</v>
      </c>
      <c r="BK103" s="106">
        <v>5162.4000000000005</v>
      </c>
      <c r="BL103" s="106">
        <v>8</v>
      </c>
      <c r="BM103" s="106">
        <v>4588.8</v>
      </c>
      <c r="BN103" s="106">
        <v>9.2340425531914896</v>
      </c>
      <c r="BO103" s="106">
        <v>5296.6468085106389</v>
      </c>
      <c r="BP103" s="106">
        <v>4.0378630705394185</v>
      </c>
      <c r="BQ103" s="106">
        <v>2316.1182572614107</v>
      </c>
      <c r="BR103" s="106">
        <v>2.9266917293233079</v>
      </c>
      <c r="BS103" s="106">
        <v>1678.7503759398494</v>
      </c>
      <c r="BT103" s="106">
        <v>2.1786380597014925</v>
      </c>
      <c r="BU103" s="106">
        <v>1249.6667910447761</v>
      </c>
      <c r="BV103" s="106">
        <v>3.87699203187251</v>
      </c>
      <c r="BW103" s="106">
        <v>2223.842629482072</v>
      </c>
      <c r="BX103" s="106">
        <v>8</v>
      </c>
      <c r="BY103" s="106">
        <v>4588.8</v>
      </c>
      <c r="BZ103" s="106">
        <v>10</v>
      </c>
      <c r="CA103" s="106">
        <v>5736</v>
      </c>
      <c r="CB103" s="106">
        <v>7</v>
      </c>
      <c r="CC103" s="106">
        <v>4015.2000000000003</v>
      </c>
      <c r="CD103" s="106">
        <v>6</v>
      </c>
      <c r="CE103" s="106">
        <v>3441.6000000000004</v>
      </c>
      <c r="CF103" s="106">
        <v>4</v>
      </c>
      <c r="CG103" s="106">
        <v>2294.4</v>
      </c>
      <c r="CH103" s="106">
        <v>6</v>
      </c>
      <c r="CI103" s="106">
        <v>3441.6000000000004</v>
      </c>
      <c r="CJ103" s="106">
        <v>8</v>
      </c>
      <c r="CK103" s="106">
        <v>4588.8</v>
      </c>
      <c r="CL103" s="106">
        <v>4</v>
      </c>
      <c r="CM103" s="106">
        <v>2294.4</v>
      </c>
      <c r="CN103" s="106">
        <v>7</v>
      </c>
      <c r="CO103" s="106">
        <v>4015.2000000000003</v>
      </c>
      <c r="CP103" s="106">
        <v>9</v>
      </c>
      <c r="CQ103" s="106">
        <v>5162.4000000000005</v>
      </c>
      <c r="CR103" s="106">
        <v>9</v>
      </c>
      <c r="CS103" s="106">
        <v>5162.4000000000005</v>
      </c>
      <c r="CT103" s="106">
        <v>10.394822006472491</v>
      </c>
      <c r="CU103" s="106">
        <v>5962.4699029126214</v>
      </c>
    </row>
    <row r="104" spans="2:99" x14ac:dyDescent="0.2">
      <c r="C104" s="105" t="s">
        <v>270</v>
      </c>
      <c r="D104" s="106">
        <v>17</v>
      </c>
      <c r="E104" s="106">
        <v>11628</v>
      </c>
      <c r="F104" s="106">
        <v>13</v>
      </c>
      <c r="G104" s="106">
        <v>8892</v>
      </c>
      <c r="H104" s="106">
        <v>15</v>
      </c>
      <c r="I104" s="106">
        <v>10260</v>
      </c>
      <c r="J104" s="106">
        <v>13</v>
      </c>
      <c r="K104" s="106">
        <v>8892</v>
      </c>
      <c r="L104" s="106">
        <v>35</v>
      </c>
      <c r="M104" s="106">
        <v>23940</v>
      </c>
      <c r="N104" s="106">
        <v>30</v>
      </c>
      <c r="O104" s="106">
        <v>20520</v>
      </c>
      <c r="P104" s="106">
        <v>23</v>
      </c>
      <c r="Q104" s="106">
        <v>15732</v>
      </c>
      <c r="R104" s="106">
        <v>34</v>
      </c>
      <c r="S104" s="106">
        <v>23256</v>
      </c>
      <c r="T104" s="106">
        <v>16.836699234009735</v>
      </c>
      <c r="U104" s="106">
        <v>11516.302276062659</v>
      </c>
      <c r="V104" s="106">
        <v>12.183148734177216</v>
      </c>
      <c r="W104" s="106">
        <v>8333.2737341772154</v>
      </c>
      <c r="X104" s="106">
        <v>12.919043624161075</v>
      </c>
      <c r="Y104" s="106">
        <v>8836.6258389261748</v>
      </c>
      <c r="Z104" s="106">
        <v>11.438508064516128</v>
      </c>
      <c r="AA104" s="106">
        <v>7823.9395161290313</v>
      </c>
      <c r="AB104" s="106">
        <v>4.9553571428571423</v>
      </c>
      <c r="AC104" s="106">
        <v>3389.4642857142853</v>
      </c>
      <c r="AD104" s="106">
        <v>5.4423491379310347</v>
      </c>
      <c r="AE104" s="106">
        <v>3722.5668103448279</v>
      </c>
      <c r="AF104" s="106">
        <v>4.1947674418604652</v>
      </c>
      <c r="AG104" s="106">
        <v>2869.2209302325582</v>
      </c>
      <c r="AH104" s="106">
        <v>6.3661764705882353</v>
      </c>
      <c r="AI104" s="106">
        <v>4354.464705882353</v>
      </c>
      <c r="AJ104" s="106">
        <v>8.4693877551020407</v>
      </c>
      <c r="AK104" s="106">
        <v>5793.0612244897957</v>
      </c>
      <c r="AL104" s="106">
        <v>8.3915441176470598</v>
      </c>
      <c r="AM104" s="106">
        <v>5739.8161764705892</v>
      </c>
      <c r="AN104" s="106">
        <v>7.248908296943231</v>
      </c>
      <c r="AO104" s="106">
        <v>4958.2532751091703</v>
      </c>
      <c r="AP104" s="106">
        <v>6.8032786885245908</v>
      </c>
      <c r="AQ104" s="106">
        <v>4653.4426229508199</v>
      </c>
      <c r="AR104" s="106">
        <v>3.3078231292517004</v>
      </c>
      <c r="AS104" s="106">
        <v>2262.5510204081629</v>
      </c>
      <c r="AT104" s="106">
        <v>3.3767361111111107</v>
      </c>
      <c r="AU104" s="106">
        <v>2309.6874999999995</v>
      </c>
      <c r="AV104" s="106">
        <v>5</v>
      </c>
      <c r="AW104" s="106">
        <v>3420</v>
      </c>
      <c r="AX104" s="106">
        <v>5</v>
      </c>
      <c r="AY104" s="106">
        <v>3420</v>
      </c>
      <c r="AZ104" s="106">
        <v>7.485632183908046</v>
      </c>
      <c r="BA104" s="106">
        <v>5120.1724137931033</v>
      </c>
      <c r="BB104" s="106">
        <v>7.6001908396946565</v>
      </c>
      <c r="BC104" s="106">
        <v>5198.5305343511454</v>
      </c>
      <c r="BD104" s="106">
        <v>9.5441176470588243</v>
      </c>
      <c r="BE104" s="106">
        <v>6528.176470588236</v>
      </c>
      <c r="BF104" s="106">
        <v>8.4125475285171092</v>
      </c>
      <c r="BG104" s="106">
        <v>5754.1825095057029</v>
      </c>
      <c r="BH104" s="106">
        <v>7.5769230769230775</v>
      </c>
      <c r="BI104" s="106">
        <v>5182.6153846153848</v>
      </c>
      <c r="BJ104" s="106">
        <v>9</v>
      </c>
      <c r="BK104" s="106">
        <v>6156</v>
      </c>
      <c r="BL104" s="106">
        <v>7</v>
      </c>
      <c r="BM104" s="106">
        <v>4788</v>
      </c>
      <c r="BN104" s="106">
        <v>9.2340425531914896</v>
      </c>
      <c r="BO104" s="106">
        <v>6316.0851063829787</v>
      </c>
      <c r="BP104" s="106">
        <v>3.2302904564315353</v>
      </c>
      <c r="BQ104" s="106">
        <v>2209.5186721991704</v>
      </c>
      <c r="BR104" s="106">
        <v>2.9266917293233079</v>
      </c>
      <c r="BS104" s="106">
        <v>2001.8571428571427</v>
      </c>
      <c r="BT104" s="106">
        <v>2.1786380597014925</v>
      </c>
      <c r="BU104" s="106">
        <v>1490.1884328358208</v>
      </c>
      <c r="BV104" s="106">
        <v>3.87699203187251</v>
      </c>
      <c r="BW104" s="106">
        <v>2651.8625498007968</v>
      </c>
      <c r="BX104" s="106">
        <v>7</v>
      </c>
      <c r="BY104" s="106">
        <v>4788</v>
      </c>
      <c r="BZ104" s="106">
        <v>10</v>
      </c>
      <c r="CA104" s="106">
        <v>6840</v>
      </c>
      <c r="CB104" s="106">
        <v>7</v>
      </c>
      <c r="CC104" s="106">
        <v>4788</v>
      </c>
      <c r="CD104" s="106">
        <v>6</v>
      </c>
      <c r="CE104" s="106">
        <v>4104</v>
      </c>
      <c r="CF104" s="106">
        <v>4</v>
      </c>
      <c r="CG104" s="106">
        <v>2736</v>
      </c>
      <c r="CH104" s="106">
        <v>7</v>
      </c>
      <c r="CI104" s="106">
        <v>4788</v>
      </c>
      <c r="CJ104" s="106">
        <v>7</v>
      </c>
      <c r="CK104" s="106">
        <v>4788</v>
      </c>
      <c r="CL104" s="106">
        <v>4</v>
      </c>
      <c r="CM104" s="106">
        <v>2736</v>
      </c>
      <c r="CN104" s="106">
        <v>7</v>
      </c>
      <c r="CO104" s="106">
        <v>4788</v>
      </c>
      <c r="CP104" s="106">
        <v>10</v>
      </c>
      <c r="CQ104" s="106">
        <v>6840</v>
      </c>
      <c r="CR104" s="106">
        <v>8</v>
      </c>
      <c r="CS104" s="106">
        <v>5472</v>
      </c>
      <c r="CT104" s="106">
        <v>11.339805825242717</v>
      </c>
      <c r="CU104" s="106">
        <v>7756.4271844660188</v>
      </c>
    </row>
    <row r="105" spans="2:99" x14ac:dyDescent="0.2">
      <c r="C105" s="105" t="s">
        <v>271</v>
      </c>
      <c r="D105" s="106">
        <v>18</v>
      </c>
      <c r="E105" s="106">
        <v>11037.599999999999</v>
      </c>
      <c r="F105" s="106">
        <v>14</v>
      </c>
      <c r="G105" s="106">
        <v>8584.7999999999993</v>
      </c>
      <c r="H105" s="106">
        <v>15</v>
      </c>
      <c r="I105" s="106">
        <v>9197.9999999999982</v>
      </c>
      <c r="J105" s="106">
        <v>12</v>
      </c>
      <c r="K105" s="106">
        <v>7358.4</v>
      </c>
      <c r="L105" s="106">
        <v>32</v>
      </c>
      <c r="M105" s="106">
        <v>19622.399999999998</v>
      </c>
      <c r="N105" s="106">
        <v>31</v>
      </c>
      <c r="O105" s="106">
        <v>19009.199999999997</v>
      </c>
      <c r="P105" s="106">
        <v>24</v>
      </c>
      <c r="Q105" s="106">
        <v>14716.8</v>
      </c>
      <c r="R105" s="106">
        <v>35</v>
      </c>
      <c r="S105" s="106">
        <v>21461.999999999996</v>
      </c>
      <c r="T105" s="106">
        <v>16.836699234009735</v>
      </c>
      <c r="U105" s="106">
        <v>10324.263970294769</v>
      </c>
      <c r="V105" s="106">
        <v>12.183148734177216</v>
      </c>
      <c r="W105" s="106">
        <v>7470.7068037974677</v>
      </c>
      <c r="X105" s="106">
        <v>13.598993288590604</v>
      </c>
      <c r="Y105" s="106">
        <v>8338.9026845637582</v>
      </c>
      <c r="Z105" s="106">
        <v>11.438508064516128</v>
      </c>
      <c r="AA105" s="106">
        <v>7014.0931451612887</v>
      </c>
      <c r="AB105" s="106">
        <v>4.9553571428571423</v>
      </c>
      <c r="AC105" s="106">
        <v>3038.6249999999995</v>
      </c>
      <c r="AD105" s="106">
        <v>6.2198275862068968</v>
      </c>
      <c r="AE105" s="106">
        <v>3813.9982758620686</v>
      </c>
      <c r="AF105" s="106">
        <v>4.1947674418604652</v>
      </c>
      <c r="AG105" s="106">
        <v>2572.2313953488369</v>
      </c>
      <c r="AH105" s="106">
        <v>5.658823529411765</v>
      </c>
      <c r="AI105" s="106">
        <v>3469.9905882352941</v>
      </c>
      <c r="AJ105" s="106">
        <v>8.4693877551020407</v>
      </c>
      <c r="AK105" s="106">
        <v>5193.4285714285706</v>
      </c>
      <c r="AL105" s="106">
        <v>7.6286764705882355</v>
      </c>
      <c r="AM105" s="106">
        <v>4677.9044117647054</v>
      </c>
      <c r="AN105" s="106">
        <v>7.248908296943231</v>
      </c>
      <c r="AO105" s="106">
        <v>4445.0305676855887</v>
      </c>
      <c r="AP105" s="106">
        <v>7.653688524590164</v>
      </c>
      <c r="AQ105" s="106">
        <v>4693.2418032786882</v>
      </c>
      <c r="AR105" s="106">
        <v>3.3078231292517004</v>
      </c>
      <c r="AS105" s="106">
        <v>2028.3571428571424</v>
      </c>
      <c r="AT105" s="106">
        <v>3.3767361111111107</v>
      </c>
      <c r="AU105" s="106">
        <v>2070.614583333333</v>
      </c>
      <c r="AV105" s="106">
        <v>4</v>
      </c>
      <c r="AW105" s="106">
        <v>2452.7999999999997</v>
      </c>
      <c r="AX105" s="106">
        <v>4</v>
      </c>
      <c r="AY105" s="106">
        <v>2452.7999999999997</v>
      </c>
      <c r="AZ105" s="106">
        <v>6.7370689655172411</v>
      </c>
      <c r="BA105" s="106">
        <v>4131.1706896551714</v>
      </c>
      <c r="BB105" s="106">
        <v>9.2891221374045809</v>
      </c>
      <c r="BC105" s="106">
        <v>5696.0896946564881</v>
      </c>
      <c r="BD105" s="106">
        <v>8.6764705882352935</v>
      </c>
      <c r="BE105" s="106">
        <v>5320.4117647058811</v>
      </c>
      <c r="BF105" s="106">
        <v>10.095057034220533</v>
      </c>
      <c r="BG105" s="106">
        <v>6190.2889733840302</v>
      </c>
      <c r="BH105" s="106">
        <v>6.6298076923076916</v>
      </c>
      <c r="BI105" s="106">
        <v>4065.3980769230761</v>
      </c>
      <c r="BJ105" s="106">
        <v>8</v>
      </c>
      <c r="BK105" s="106">
        <v>4905.5999999999995</v>
      </c>
      <c r="BL105" s="106">
        <v>8</v>
      </c>
      <c r="BM105" s="106">
        <v>4905.5999999999995</v>
      </c>
      <c r="BN105" s="106">
        <v>9.2340425531914896</v>
      </c>
      <c r="BO105" s="106">
        <v>5662.314893617021</v>
      </c>
      <c r="BP105" s="106">
        <v>4.0378630705394185</v>
      </c>
      <c r="BQ105" s="106">
        <v>2476.0176348547711</v>
      </c>
      <c r="BR105" s="106">
        <v>3.6583646616541352</v>
      </c>
      <c r="BS105" s="106">
        <v>2243.3092105263154</v>
      </c>
      <c r="BT105" s="106">
        <v>2.1786380597014925</v>
      </c>
      <c r="BU105" s="106">
        <v>1335.940858208955</v>
      </c>
      <c r="BV105" s="106">
        <v>3.1015936254980079</v>
      </c>
      <c r="BW105" s="106">
        <v>1901.8972111553783</v>
      </c>
      <c r="BX105" s="106">
        <v>7</v>
      </c>
      <c r="BY105" s="106">
        <v>4292.3999999999996</v>
      </c>
      <c r="BZ105" s="106">
        <v>11</v>
      </c>
      <c r="CA105" s="106">
        <v>6745.1999999999989</v>
      </c>
      <c r="CB105" s="106">
        <v>8</v>
      </c>
      <c r="CC105" s="106">
        <v>4905.5999999999995</v>
      </c>
      <c r="CD105" s="106">
        <v>6</v>
      </c>
      <c r="CE105" s="106">
        <v>3679.2</v>
      </c>
      <c r="CF105" s="106">
        <v>4</v>
      </c>
      <c r="CG105" s="106">
        <v>2452.7999999999997</v>
      </c>
      <c r="CH105" s="106">
        <v>7</v>
      </c>
      <c r="CI105" s="106">
        <v>4292.3999999999996</v>
      </c>
      <c r="CJ105" s="106">
        <v>7</v>
      </c>
      <c r="CK105" s="106">
        <v>4292.3999999999996</v>
      </c>
      <c r="CL105" s="106">
        <v>4</v>
      </c>
      <c r="CM105" s="106">
        <v>2452.7999999999997</v>
      </c>
      <c r="CN105" s="106">
        <v>7</v>
      </c>
      <c r="CO105" s="106">
        <v>4292.3999999999996</v>
      </c>
      <c r="CP105" s="106">
        <v>9</v>
      </c>
      <c r="CQ105" s="106">
        <v>5518.7999999999993</v>
      </c>
      <c r="CR105" s="106">
        <v>9</v>
      </c>
      <c r="CS105" s="106">
        <v>5518.7999999999993</v>
      </c>
      <c r="CT105" s="106">
        <v>10.394822006472491</v>
      </c>
      <c r="CU105" s="106">
        <v>6374.1048543689312</v>
      </c>
    </row>
    <row r="107" spans="2:99" x14ac:dyDescent="0.2">
      <c r="B107" s="110" t="s">
        <v>276</v>
      </c>
    </row>
    <row r="108" spans="2:99" x14ac:dyDescent="0.2">
      <c r="C108" s="105" t="s">
        <v>277</v>
      </c>
      <c r="D108" s="105" t="s">
        <v>92</v>
      </c>
      <c r="E108" s="105" t="s">
        <v>93</v>
      </c>
      <c r="F108" s="105" t="s">
        <v>94</v>
      </c>
      <c r="G108" s="105" t="s">
        <v>95</v>
      </c>
      <c r="H108" s="105" t="s">
        <v>96</v>
      </c>
      <c r="I108" s="105" t="s">
        <v>97</v>
      </c>
      <c r="J108" s="105" t="s">
        <v>98</v>
      </c>
      <c r="K108" s="105" t="s">
        <v>99</v>
      </c>
      <c r="L108" s="105" t="s">
        <v>100</v>
      </c>
      <c r="M108" s="105" t="s">
        <v>101</v>
      </c>
      <c r="N108" s="105" t="s">
        <v>102</v>
      </c>
      <c r="O108" s="105" t="s">
        <v>103</v>
      </c>
    </row>
    <row r="109" spans="2:99" x14ac:dyDescent="0.2">
      <c r="C109" s="105" t="s">
        <v>126</v>
      </c>
      <c r="D109" s="106">
        <f>SUM(D$6:D$19)+SUM(F$6:F$19)+SUM(H$6:H$19)+SUM(J$6:J$19)</f>
        <v>853</v>
      </c>
      <c r="E109" s="106">
        <f>SUM(L$6:L$19)+SUM(N$6:N$19)+SUM(P$6:P$19)+SUM(R$6:R$19)</f>
        <v>1033</v>
      </c>
      <c r="F109" s="106">
        <f>SUM(T$6:T$19)+SUM(V$6:V$19)+SUM(X$6:X$19)+SUM(Z$6:Z$19)</f>
        <v>1529</v>
      </c>
      <c r="G109" s="106">
        <f>SUM(AB$6:AB$19)+SUM(AD$6:AD$19)+SUM(AF$6:AF$19)+SUM(AH$6:AH$19)</f>
        <v>427</v>
      </c>
      <c r="H109" s="106">
        <f>SUM(AJ$6:AJ$19)+SUM(AL$6:AL$19)+SUM(AN$6:AN$19)+SUM(AP$6:AP$19)</f>
        <v>1127</v>
      </c>
      <c r="I109" s="106">
        <f>SUM(AR$6:AR$19)+SUM(AT$6:AT$19)+SUM(AV$6:AV$19)+SUM(AX$6:AX$19)</f>
        <v>1602.51114848715</v>
      </c>
      <c r="J109" s="106">
        <f>SUM(AZ$6:AZ$19)+SUM(BB$6:BB$19)+SUM(BD$6:BD$19)+SUM(BF$6:BF$19)</f>
        <v>1356</v>
      </c>
      <c r="K109" s="106">
        <f>SUM(BH$6:BH$19)+SUM(BJ$6:BJ$19)+SUM(BL$6:BL$19)+SUM(BN$6:BN$19)</f>
        <v>2523</v>
      </c>
      <c r="L109" s="106">
        <f>SUM(BP$6:BP$19)+SUM(BR$6:BR$19)+SUM(BT$6:BT$19)+SUM(BV$6:BV$19)</f>
        <v>2078.6581445235265</v>
      </c>
      <c r="M109" s="106">
        <f>SUM(BX$6:BX$19)+SUM(BZ$6:BZ$19)+SUM(CB$6:CB$19)+SUM(CD$6:CD$19)</f>
        <v>1223.2048430530053</v>
      </c>
      <c r="N109" s="106">
        <f>SUM(CF$6:CF$19)+SUM(CH$6:CH$19)+SUM(CJ$6:CJ$19)+SUM(CL$6:CL$19)</f>
        <v>642</v>
      </c>
      <c r="O109" s="106">
        <f>SUM(CN$6:CN$19)+SUM(CP$6:CP$19)+SUM(CR$6:CR$19)+SUM(CT$6:CT$19)</f>
        <v>1106</v>
      </c>
    </row>
    <row r="110" spans="2:99" x14ac:dyDescent="0.2">
      <c r="C110" s="105" t="s">
        <v>127</v>
      </c>
      <c r="D110" s="106">
        <f>SUM(D$20:D$36)+SUM(F$20:F$36)+SUM(H$20:H$36)+SUM(J$20:J$36)</f>
        <v>4895</v>
      </c>
      <c r="E110" s="106">
        <f>SUM(L$20:L$36)+SUM(N$20:N$36)+SUM(P$20:P$36)+SUM(R$20:R$36)</f>
        <v>5809</v>
      </c>
      <c r="F110" s="106">
        <f>SUM(T$20:T$36)+SUM(V$20:V$36)+SUM(X$20:X$36)+SUM(Z$20:Z$36)</f>
        <v>1760</v>
      </c>
      <c r="G110" s="106">
        <f>SUM(AB$20:AB$36)+SUM(AD$20:AD$36)+SUM(AF$20:AF$36)+SUM(AH$20:AH$36)</f>
        <v>1992</v>
      </c>
      <c r="H110" s="106">
        <f>SUM(AJ$20:AJ$36)+SUM(AL$20:AL$36)+SUM(AN$20:AN$36)+SUM(AP$20:AP$36)</f>
        <v>2465</v>
      </c>
      <c r="I110" s="106">
        <f>SUM(AR$20:AR$36)+SUM(AT$20:AT$36)+SUM(AV$20:AV$36)+SUM(AX$20:AX$36)</f>
        <v>2074.2252173838597</v>
      </c>
      <c r="J110" s="106">
        <f>SUM(AZ$20:AZ$36)+SUM(BB$20:BB$36)+SUM(BD$20:BD$36)+SUM(BF$20:BF$36)</f>
        <v>1199</v>
      </c>
      <c r="K110" s="106">
        <f>SUM(BH$20:BH$36)+SUM(BJ$20:BJ$36)+SUM(BL$20:BL$36)+SUM(BN$20:BN$36)</f>
        <v>2408</v>
      </c>
      <c r="L110" s="106">
        <f>SUM(BP$20:BP$36)+SUM(BR$20:BR$36)+SUM(BT$20:BT$36)+SUM(BV$20:BV$36)</f>
        <v>2261.8119808138345</v>
      </c>
      <c r="M110" s="106">
        <f>SUM(BX$20:BX$36)+SUM(BZ$20:BZ$36)+SUM(CB$20:CB$36)+SUM(CD$20:CD$36)</f>
        <v>1105.8374859259748</v>
      </c>
      <c r="N110" s="106">
        <f>SUM(CF$20:CF$36)+SUM(CH$20:CH$36)+SUM(CJ$20:CJ$36)+SUM(CL$20:CL$36)</f>
        <v>1968</v>
      </c>
      <c r="O110" s="106">
        <f>SUM(CN$20:CN$36)+SUM(CP$20:CP$36)+SUM(CR$20:CR$36)+SUM(CT$20:CT$36)</f>
        <v>2179</v>
      </c>
    </row>
    <row r="111" spans="2:99" x14ac:dyDescent="0.2">
      <c r="C111" s="105" t="s">
        <v>128</v>
      </c>
      <c r="D111" s="106">
        <f>SUM(D$37:D$48)+SUM(F$37:F$48)+SUM(H$37:H$48)+SUM(J$37:J$48)</f>
        <v>608</v>
      </c>
      <c r="E111" s="106">
        <f>SUM(L$37:L$48)+SUM(N$37:N$48)+SUM(P$37:P$48)+SUM(R$37:R$48)</f>
        <v>573</v>
      </c>
      <c r="F111" s="106">
        <f>SUM(T$37:T$48)+SUM(V$37:V$48)+SUM(X$37:X$48)+SUM(Z$37:Z$48)</f>
        <v>523</v>
      </c>
      <c r="G111" s="106">
        <f>SUM(AB$37:AB$48)+SUM(AD$37:AD$48)+SUM(AF$37:AF$48)+SUM(AH$37:AH$48)</f>
        <v>1133</v>
      </c>
      <c r="H111" s="106">
        <f>SUM(AJ$37:AJ$48)+SUM(AL$37:AL$48)+SUM(AN$37:AN$48)+SUM(AP$37:AP$48)</f>
        <v>1146</v>
      </c>
      <c r="I111" s="106">
        <f>SUM(AR$37:AR$48)+SUM(AT$37:AT$48)+SUM(AV$37:AV$48)+SUM(AX$37:AX$48)</f>
        <v>1672.6688239942087</v>
      </c>
      <c r="J111" s="106">
        <f>SUM(AZ$37:AZ$48)+SUM(BB$37:BB$48)+SUM(BD$37:BD$48)+SUM(BF$37:BF$48)</f>
        <v>1193</v>
      </c>
      <c r="K111" s="106">
        <f>SUM(BH$37:BH$48)+SUM(BJ$37:BJ$48)+SUM(BL$37:BL$48)+SUM(BN$37:BN$48)</f>
        <v>1095</v>
      </c>
      <c r="L111" s="106">
        <f>SUM(BP$37:BP$48)+SUM(BR$37:BR$48)+SUM(BT$37:BT$48)+SUM(BV$37:BV$48)</f>
        <v>1188.1281247585839</v>
      </c>
      <c r="M111" s="106">
        <f>SUM(BX$37:BX$48)+SUM(BZ$37:BZ$48)+SUM(CB$37:CB$48)+SUM(CD$37:CD$48)</f>
        <v>437.16357948736572</v>
      </c>
      <c r="N111" s="106">
        <f>SUM(CF$37:CF$48)+SUM(CH$37:CH$48)+SUM(CJ$37:CJ$48)+SUM(CL$37:CL$48)</f>
        <v>583</v>
      </c>
      <c r="O111" s="106">
        <f>SUM(CN$37:CN$48)+SUM(CP$37:CP$48)+SUM(CR$37:CR$48)+SUM(CT$37:CT$48)</f>
        <v>648</v>
      </c>
    </row>
    <row r="112" spans="2:99" x14ac:dyDescent="0.2">
      <c r="C112" s="105" t="s">
        <v>129</v>
      </c>
      <c r="D112" s="106">
        <f>SUM(D$49:D$70)+SUM(F$49:F$70)+SUM(H$49:H$70)+SUM(J$49:J$70)</f>
        <v>850</v>
      </c>
      <c r="E112" s="106">
        <f>SUM(L$49:L$70)+SUM(N$49:N$70)+SUM(P$49:P$70)+SUM(R$49:R$70)</f>
        <v>1003</v>
      </c>
      <c r="F112" s="106">
        <f>SUM(T$49:T$70)+SUM(V$49:V$70)+SUM(X$49:X$70)+SUM(Z$49:Z$70)</f>
        <v>2038.7723472092616</v>
      </c>
      <c r="G112" s="106">
        <f>SUM(AB$49:AB$70)+SUM(AD$49:AD$70)+SUM(AF$49:AF$70)+SUM(AH$49:AH$70)</f>
        <v>2083.0561809056021</v>
      </c>
      <c r="H112" s="106">
        <f>SUM(AJ$49:AJ$70)+SUM(AL$49:AL$70)+SUM(AN$49:AN$70)+SUM(AP$49:AP$70)</f>
        <v>2622.5047466620695</v>
      </c>
      <c r="I112" s="106">
        <f>SUM(AR$49:AR$70)+SUM(AT$49:AT$70)+SUM(AV$49:AV$70)+SUM(AX$49:AX$70)</f>
        <v>1077.5424421703094</v>
      </c>
      <c r="J112" s="106">
        <f>SUM(AZ$49:AZ$70)+SUM(BB$49:BB$70)+SUM(BD$49:BD$70)+SUM(BF$49:BF$70)</f>
        <v>1075.7165757602734</v>
      </c>
      <c r="K112" s="106">
        <f>SUM(BH$49:BH$70)+SUM(BJ$49:BJ$70)+SUM(BL$49:BL$70)+SUM(BN$49:BN$70)</f>
        <v>962.32833469721766</v>
      </c>
      <c r="L112" s="106">
        <f>SUM(BP$49:BP$70)+SUM(BR$49:BR$70)+SUM(BT$49:BT$70)+SUM(BV$49:BV$70)</f>
        <v>1718.3598363243159</v>
      </c>
      <c r="M112" s="106">
        <f>SUM(BX$49:BX$70)+SUM(BZ$49:BZ$70)+SUM(CB$49:CB$70)+SUM(CD$49:CD$70)</f>
        <v>670.22118420233778</v>
      </c>
      <c r="N112" s="106">
        <f>SUM(CF$49:CF$70)+SUM(CH$49:CH$70)+SUM(CJ$49:CJ$70)+SUM(CL$49:CL$70)</f>
        <v>2030</v>
      </c>
      <c r="O112" s="106">
        <f>SUM(CN$49:CN$70)+SUM(CP$49:CP$70)+SUM(CR$49:CR$70)+SUM(CT$49:CT$70)</f>
        <v>1515.569579288026</v>
      </c>
    </row>
    <row r="113" spans="2:15" x14ac:dyDescent="0.2">
      <c r="C113" s="105" t="s">
        <v>130</v>
      </c>
      <c r="D113" s="106">
        <f>SUM(D$71:D$86)+SUM(F$71:F$86)+SUM(H$71:H$86)+SUM(J$71:J$86)</f>
        <v>1720</v>
      </c>
      <c r="E113" s="106">
        <f>SUM(L$71:L$86)+SUM(N$71:N$86)+SUM(P$71:P$86)+SUM(R$71:R$86)</f>
        <v>1482</v>
      </c>
      <c r="F113" s="106">
        <f>SUM(T$71:T$86)+SUM(V$71:V$86)+SUM(X$71:X$86)+SUM(Z$71:Z$86)</f>
        <v>890</v>
      </c>
      <c r="G113" s="106">
        <f>SUM(AB$71:AB$86)+SUM(AD$71:AD$86)+SUM(AF$71:AF$86)+SUM(AH$71:AH$86)</f>
        <v>626</v>
      </c>
      <c r="H113" s="106">
        <f>SUM(AJ$71:AJ$86)+SUM(AL$71:AL$86)+SUM(AN$71:AN$86)+SUM(AP$71:AP$86)</f>
        <v>1519</v>
      </c>
      <c r="I113" s="106">
        <f>SUM(AR$71:AR$86)+SUM(AT$71:AT$86)+SUM(AV$71:AV$86)+SUM(AX$71:AX$86)</f>
        <v>2031</v>
      </c>
      <c r="J113" s="106">
        <f>SUM(AZ$71:AZ$86)+SUM(BB$71:BB$86)+SUM(BD$71:BD$86)+SUM(BF$71:BF$86)</f>
        <v>471</v>
      </c>
      <c r="K113" s="106">
        <f>SUM(BH$71:BH$86)+SUM(BJ$71:BJ$86)+SUM(BL$71:BL$86)+SUM(BN$71:BN$86)</f>
        <v>466</v>
      </c>
      <c r="L113" s="106">
        <f>SUM(BP$71:BP$86)+SUM(BR$71:BR$86)+SUM(BT$71:BT$86)+SUM(BV$71:BV$86)</f>
        <v>345</v>
      </c>
      <c r="M113" s="106">
        <f>SUM(BX$71:BX$86)+SUM(BZ$71:BZ$86)+SUM(CB$71:CB$86)+SUM(CD$71:CD$86)</f>
        <v>1331</v>
      </c>
      <c r="N113" s="106">
        <f>SUM(CF$71:CF$86)+SUM(CH$71:CH$86)+SUM(CJ$71:CJ$86)+SUM(CL$71:CL$86)</f>
        <v>516</v>
      </c>
      <c r="O113" s="106">
        <f>SUM(CN$71:CN$86)+SUM(CP$71:CP$86)+SUM(CR$71:CR$86)+SUM(CT$71:CT$86)</f>
        <v>293</v>
      </c>
    </row>
    <row r="114" spans="2:15" x14ac:dyDescent="0.2">
      <c r="C114" s="105" t="s">
        <v>131</v>
      </c>
      <c r="D114" s="106">
        <f>SUM(D$87:D$94)+SUM(F$87:F$94)+SUM(H$87:H$94)+SUM(J$87:J$94)</f>
        <v>276</v>
      </c>
      <c r="E114" s="106">
        <f>SUM(L$87:L$94)+SUM(N$87:N$94)+SUM(P$87:P$94)+SUM(R$87:R$94)</f>
        <v>222</v>
      </c>
      <c r="F114" s="106">
        <f>SUM(T$87:T$94)+SUM(V$87:V$94)+SUM(X$87:X$94)+SUM(Z$87:Z$94)</f>
        <v>151.53669462199309</v>
      </c>
      <c r="G114" s="106">
        <f>SUM(AB$87:AB$94)+SUM(AD$87:AD$94)+SUM(AF$87:AF$94)+SUM(AH$87:AH$94)</f>
        <v>351.22533325780194</v>
      </c>
      <c r="H114" s="106">
        <f>SUM(AJ$87:AJ$94)+SUM(AL$87:AL$94)+SUM(AN$87:AN$94)+SUM(AP$87:AP$94)</f>
        <v>304.11829951215941</v>
      </c>
      <c r="I114" s="106">
        <f>SUM(AR$87:AR$94)+SUM(AT$87:AT$94)+SUM(AV$87:AV$94)+SUM(AX$87:AX$94)</f>
        <v>677.96819196428567</v>
      </c>
      <c r="J114" s="106">
        <f>SUM(AZ$87:AZ$94)+SUM(BB$87:BB$94)+SUM(BD$87:BD$94)+SUM(BF$87:BF$94)</f>
        <v>487.9078061622082</v>
      </c>
      <c r="K114" s="106">
        <f>SUM(BH$87:BH$94)+SUM(BJ$87:BJ$94)+SUM(BL$87:BL$94)+SUM(BN$87:BN$94)</f>
        <v>365.73891162029457</v>
      </c>
      <c r="L114" s="106">
        <f>SUM(BP$87:BP$94)+SUM(BR$87:BR$94)+SUM(BT$87:BT$94)+SUM(BV$87:BV$94)</f>
        <v>529.7163379169624</v>
      </c>
      <c r="M114" s="106">
        <f>SUM(BX$87:BX$94)+SUM(BZ$87:BZ$94)+SUM(CB$87:CB$94)+SUM(CD$87:CD$94)</f>
        <v>330</v>
      </c>
      <c r="N114" s="106">
        <f>SUM(CF$87:CF$94)+SUM(CH$87:CH$94)+SUM(CJ$87:CJ$94)+SUM(CL$87:CL$94)</f>
        <v>823</v>
      </c>
      <c r="O114" s="106">
        <f>SUM(CN$87:CN$94)+SUM(CP$87:CP$94)+SUM(CR$87:CR$94)+SUM(CT$87:CT$94)</f>
        <v>547.0323624595469</v>
      </c>
    </row>
    <row r="115" spans="2:15" x14ac:dyDescent="0.2">
      <c r="C115" s="105" t="s">
        <v>132</v>
      </c>
      <c r="D115" s="106">
        <f>SUM(D$95:D$105)+SUM(F$95:F$105)+SUM(H$95:H$105)+SUM(J$95:J$105)</f>
        <v>591</v>
      </c>
      <c r="E115" s="106">
        <f>SUM(L$95:L$105)+SUM(N$95:N$105)+SUM(P$95:P$105)+SUM(R$95:R$105)</f>
        <v>1313</v>
      </c>
      <c r="F115" s="106">
        <f>SUM(T$95:T$105)+SUM(V$95:V$105)+SUM(X$95:X$105)+SUM(Z$95:Z$105)</f>
        <v>570.69372810545644</v>
      </c>
      <c r="G115" s="106">
        <f>SUM(AB$95:AB$105)+SUM(AD$95:AD$105)+SUM(AF$95:AF$105)+SUM(AH$95:AH$105)</f>
        <v>228.21848583659605</v>
      </c>
      <c r="H115" s="106">
        <f>SUM(AJ$95:AJ$105)+SUM(AL$95:AL$105)+SUM(AN$95:AN$105)+SUM(AP$95:AP$105)</f>
        <v>334.37695382577112</v>
      </c>
      <c r="I115" s="106">
        <f>SUM(AR$95:AR$105)+SUM(AT$95:AT$105)+SUM(AV$95:AV$105)+SUM(AX$95:AX$105)</f>
        <v>164.37814448696145</v>
      </c>
      <c r="J115" s="106">
        <f>SUM(AZ$95:AZ$105)+SUM(BB$95:BB$105)+SUM(BD$95:BD$105)+SUM(BF$95:BF$105)</f>
        <v>360.62561807751854</v>
      </c>
      <c r="K115" s="106">
        <f>SUM(BH$95:BH$105)+SUM(BJ$95:BJ$105)+SUM(BL$95:BL$105)+SUM(BN$95:BN$105)</f>
        <v>341.93275368248771</v>
      </c>
      <c r="L115" s="106">
        <f>SUM(BP$95:BP$105)+SUM(BR$95:BR$105)+SUM(BT$95:BT$105)+SUM(BV$95:BV$105)</f>
        <v>132.02161150660658</v>
      </c>
      <c r="M115" s="106">
        <f>SUM(BX$95:BX$105)+SUM(BZ$95:BZ$105)+SUM(CB$95:CB$105)+SUM(CD$95:CD$105)</f>
        <v>344</v>
      </c>
      <c r="N115" s="106">
        <f>SUM(CF$95:CF$105)+SUM(CH$95:CH$105)+SUM(CJ$95:CJ$105)+SUM(CL$95:CL$105)</f>
        <v>231</v>
      </c>
      <c r="O115" s="106">
        <f>SUM(CN$95:CN$105)+SUM(CP$95:CP$105)+SUM(CR$95:CR$105)+SUM(CT$95:CT$105)</f>
        <v>380.39805825242718</v>
      </c>
    </row>
    <row r="116" spans="2:15" x14ac:dyDescent="0.2">
      <c r="C116" s="105" t="s">
        <v>278</v>
      </c>
      <c r="D116" s="106">
        <f t="shared" ref="D116:O116" si="0">SUM(D$109:D$115)</f>
        <v>9793</v>
      </c>
      <c r="E116" s="106">
        <f t="shared" si="0"/>
        <v>11435</v>
      </c>
      <c r="F116" s="106">
        <f t="shared" si="0"/>
        <v>7463.002769936711</v>
      </c>
      <c r="G116" s="106">
        <f t="shared" si="0"/>
        <v>6840.5</v>
      </c>
      <c r="H116" s="106">
        <f t="shared" si="0"/>
        <v>9518</v>
      </c>
      <c r="I116" s="106">
        <f t="shared" si="0"/>
        <v>9300.2939684867761</v>
      </c>
      <c r="J116" s="106">
        <f t="shared" si="0"/>
        <v>6143.25</v>
      </c>
      <c r="K116" s="106">
        <f t="shared" si="0"/>
        <v>8162</v>
      </c>
      <c r="L116" s="106">
        <f t="shared" si="0"/>
        <v>8253.6960358438282</v>
      </c>
      <c r="M116" s="106">
        <f t="shared" si="0"/>
        <v>5441.4270926686841</v>
      </c>
      <c r="N116" s="106">
        <f t="shared" si="0"/>
        <v>6793</v>
      </c>
      <c r="O116" s="106">
        <f t="shared" si="0"/>
        <v>6669</v>
      </c>
    </row>
    <row r="118" spans="2:15" x14ac:dyDescent="0.2">
      <c r="B118" s="109" t="s">
        <v>279</v>
      </c>
    </row>
    <row r="119" spans="2:15" x14ac:dyDescent="0.2">
      <c r="C119" s="105" t="s">
        <v>277</v>
      </c>
      <c r="D119" s="105" t="s">
        <v>92</v>
      </c>
      <c r="E119" s="105" t="s">
        <v>93</v>
      </c>
      <c r="F119" s="105" t="s">
        <v>94</v>
      </c>
      <c r="G119" s="105" t="s">
        <v>95</v>
      </c>
      <c r="H119" s="105" t="s">
        <v>96</v>
      </c>
      <c r="I119" s="105" t="s">
        <v>97</v>
      </c>
      <c r="J119" s="105" t="s">
        <v>98</v>
      </c>
      <c r="K119" s="105" t="s">
        <v>99</v>
      </c>
      <c r="L119" s="105" t="s">
        <v>100</v>
      </c>
      <c r="M119" s="105" t="s">
        <v>101</v>
      </c>
      <c r="N119" s="105" t="s">
        <v>102</v>
      </c>
      <c r="O119" s="105" t="s">
        <v>103</v>
      </c>
    </row>
    <row r="120" spans="2:15" x14ac:dyDescent="0.2">
      <c r="C120" s="105" t="s">
        <v>126</v>
      </c>
      <c r="D120" s="106">
        <f>D109*pricing!D6*2000</f>
        <v>3019790.5999999996</v>
      </c>
      <c r="E120" s="106">
        <f>E109*pricing!E6*2000</f>
        <v>3201055.8165613357</v>
      </c>
      <c r="F120" s="106">
        <f>F109*pricing!F6*2000</f>
        <v>4122489.8000000003</v>
      </c>
      <c r="G120" s="106">
        <f>G109*pricing!G6*2000</f>
        <v>1975097.408158452</v>
      </c>
      <c r="H120" s="106">
        <f>H109*pricing!H6*2000</f>
        <v>3353952</v>
      </c>
      <c r="I120" s="106">
        <f>I109*pricing!I6*2000</f>
        <v>4383188.4933420522</v>
      </c>
      <c r="J120" s="106">
        <f>J109*pricing!J6*2000</f>
        <v>4084000.8000000003</v>
      </c>
      <c r="K120" s="106">
        <f>K109*pricing!K6*2000</f>
        <v>5955999.3756655687</v>
      </c>
      <c r="L120" s="106">
        <f>L109*pricing!L6*2000</f>
        <v>4920655.6316908635</v>
      </c>
      <c r="M120" s="106">
        <f>M109*pricing!M6*2000</f>
        <v>3578608.0888358727</v>
      </c>
      <c r="N120" s="106">
        <f>N109*pricing!N6*2000</f>
        <v>2733892.8000000003</v>
      </c>
      <c r="O120" s="106">
        <f>O109*pricing!O6*2000</f>
        <v>3746464.4</v>
      </c>
    </row>
    <row r="121" spans="2:15" x14ac:dyDescent="0.2">
      <c r="C121" s="105" t="s">
        <v>127</v>
      </c>
      <c r="D121" s="106">
        <f>D110*pricing!D7*2000</f>
        <v>10039447.502755966</v>
      </c>
      <c r="E121" s="106">
        <f>E110*pricing!E7*2000</f>
        <v>11914024.625844618</v>
      </c>
      <c r="F121" s="106">
        <f>F110*pricing!F7*2000</f>
        <v>6104005.0622170046</v>
      </c>
      <c r="G121" s="106">
        <f>G110*pricing!G7*2000</f>
        <v>6648100.7999999998</v>
      </c>
      <c r="H121" s="106">
        <f>H110*pricing!H7*2000</f>
        <v>7857434</v>
      </c>
      <c r="I121" s="106">
        <f>I110*pricing!I7*2000</f>
        <v>6046366.508673951</v>
      </c>
      <c r="J121" s="106">
        <f>J110*pricing!J7*2000</f>
        <v>4695763.6000000006</v>
      </c>
      <c r="K121" s="106">
        <f>K110*pricing!K7*2000</f>
        <v>7328701.241186304</v>
      </c>
      <c r="L121" s="106">
        <f>L110*pricing!L7*2000</f>
        <v>7035409.4766537054</v>
      </c>
      <c r="M121" s="106">
        <f>M110*pricing!M7*2000</f>
        <v>3845331.6285860068</v>
      </c>
      <c r="N121" s="106">
        <f>N110*pricing!N7*2000</f>
        <v>6817931.2525451882</v>
      </c>
      <c r="O121" s="106">
        <f>O110*pricing!O7*2000</f>
        <v>7414896.1798221674</v>
      </c>
    </row>
    <row r="122" spans="2:15" x14ac:dyDescent="0.2">
      <c r="C122" s="105" t="s">
        <v>128</v>
      </c>
      <c r="D122" s="106">
        <f>D111*pricing!D8*2000</f>
        <v>2626073.6000000001</v>
      </c>
      <c r="E122" s="106">
        <f>E111*pricing!E8*2000</f>
        <v>2497319.9893234847</v>
      </c>
      <c r="F122" s="106">
        <f>F111*pricing!F8*2000</f>
        <v>2281287.4438710073</v>
      </c>
      <c r="G122" s="106">
        <f>G111*pricing!G8*2000</f>
        <v>3500218.878683364</v>
      </c>
      <c r="H122" s="106">
        <f>H111*pricing!H8*2000</f>
        <v>3993810</v>
      </c>
      <c r="I122" s="106">
        <f>I111*pricing!I8*2000</f>
        <v>4427315.602525319</v>
      </c>
      <c r="J122" s="106">
        <f>J111*pricing!J8*2000</f>
        <v>3972928.6</v>
      </c>
      <c r="K122" s="106">
        <f>K111*pricing!K8*2000</f>
        <v>3494755.9443000001</v>
      </c>
      <c r="L122" s="106">
        <f>L111*pricing!L8*2000</f>
        <v>3829099.3204719638</v>
      </c>
      <c r="M122" s="106">
        <f>M111*pricing!M8*2000</f>
        <v>1962077.5774551949</v>
      </c>
      <c r="N122" s="106">
        <f>N111*pricing!N8*2000</f>
        <v>2514640.7668346264</v>
      </c>
      <c r="O122" s="106">
        <f>O111*pricing!O8*2000</f>
        <v>2755147.6033359943</v>
      </c>
    </row>
    <row r="123" spans="2:15" x14ac:dyDescent="0.2">
      <c r="C123" s="105" t="s">
        <v>129</v>
      </c>
      <c r="D123" s="106">
        <f>D112*pricing!D9*2000</f>
        <v>3824660</v>
      </c>
      <c r="E123" s="106">
        <f>E112*pricing!E9*2000</f>
        <v>3942147.9368971749</v>
      </c>
      <c r="F123" s="106">
        <f>F112*pricing!F9*2000</f>
        <v>6449267.4256174853</v>
      </c>
      <c r="G123" s="106">
        <f>G112*pricing!G9*2000</f>
        <v>6485387.1136315009</v>
      </c>
      <c r="H123" s="106">
        <f>H112*pricing!H9*2000</f>
        <v>7317344.2141934652</v>
      </c>
      <c r="I123" s="106">
        <f>I112*pricing!I9*2000</f>
        <v>4256742.4390235059</v>
      </c>
      <c r="J123" s="106">
        <f>J112*pricing!J9*2000</f>
        <v>4690769.700260248</v>
      </c>
      <c r="K123" s="106">
        <f>K112*pricing!K9*2000</f>
        <v>3810533.1341039212</v>
      </c>
      <c r="L123" s="106">
        <f>L112*pricing!L9*2000</f>
        <v>5662330.2253487539</v>
      </c>
      <c r="M123" s="106">
        <f>M112*pricing!M9*2000</f>
        <v>3178590.9881980075</v>
      </c>
      <c r="N123" s="106">
        <f>N112*pricing!N9*2000</f>
        <v>6798207.4592159353</v>
      </c>
      <c r="O123" s="106">
        <f>O112*pricing!O9*2000</f>
        <v>5225683.909385114</v>
      </c>
    </row>
    <row r="124" spans="2:15" x14ac:dyDescent="0.2">
      <c r="C124" s="105" t="s">
        <v>130</v>
      </c>
      <c r="D124" s="106">
        <f>D113*pricing!D10*2000</f>
        <v>4615445.7364800004</v>
      </c>
      <c r="E124" s="106">
        <f>E113*pricing!E10*2000</f>
        <v>3957682.8406440001</v>
      </c>
      <c r="F124" s="106">
        <f>F113*pricing!F10*2000</f>
        <v>3121943.55216</v>
      </c>
      <c r="G124" s="106">
        <f>G113*pricing!G10*2000</f>
        <v>2419727.7172400001</v>
      </c>
      <c r="H124" s="106">
        <f>H113*pricing!H10*2000</f>
        <v>4279492.6413819995</v>
      </c>
      <c r="I124" s="106">
        <f>I113*pricing!I10*2000</f>
        <v>4947213.7587660002</v>
      </c>
      <c r="J124" s="106">
        <f>J113*pricing!J10*2000</f>
        <v>2043857.4000000001</v>
      </c>
      <c r="K124" s="106">
        <f>K113*pricing!K10*2000</f>
        <v>2150496.7999999998</v>
      </c>
      <c r="L124" s="106">
        <f>L113*pricing!L10*2000</f>
        <v>1680426</v>
      </c>
      <c r="M124" s="106">
        <f>M113*pricing!M10*2000</f>
        <v>3915572.5196280004</v>
      </c>
      <c r="N124" s="106">
        <f>N113*pricing!N10*2000</f>
        <v>2421587.9999999995</v>
      </c>
      <c r="O124" s="106">
        <f>O113*pricing!O10*2000</f>
        <v>1663748.6952559999</v>
      </c>
    </row>
    <row r="125" spans="2:15" x14ac:dyDescent="0.2">
      <c r="C125" s="105" t="s">
        <v>131</v>
      </c>
      <c r="D125" s="106">
        <f>D114*pricing!D11*2000</f>
        <v>1174379.9999999998</v>
      </c>
      <c r="E125" s="106">
        <f>E114*pricing!E11*2000</f>
        <v>1131695.6120040002</v>
      </c>
      <c r="F125" s="106">
        <f>F114*pricing!F11*2000</f>
        <v>755662.39972489327</v>
      </c>
      <c r="G125" s="106">
        <f>G114*pricing!G11*2000</f>
        <v>1380532.5207233736</v>
      </c>
      <c r="H125" s="106">
        <f>H114*pricing!H11*2000</f>
        <v>1309882.4738070876</v>
      </c>
      <c r="I125" s="106">
        <f>I114*pricing!I11*2000</f>
        <v>2235191.0785207832</v>
      </c>
      <c r="J125" s="106">
        <f>J114*pricing!J11*2000</f>
        <v>1620439.4058259258</v>
      </c>
      <c r="K125" s="106">
        <f>K114*pricing!K11*2000</f>
        <v>1648774.3506527606</v>
      </c>
      <c r="L125" s="106">
        <f>L114*pricing!L11*2000</f>
        <v>1848169.1376313111</v>
      </c>
      <c r="M125" s="106">
        <f>M114*pricing!M11*2000</f>
        <v>1586402.7544199999</v>
      </c>
      <c r="N125" s="106">
        <f>N114*pricing!N11*2000</f>
        <v>2609074.6</v>
      </c>
      <c r="O125" s="106">
        <f>O114*pricing!O11*2000</f>
        <v>1967675.4077669904</v>
      </c>
    </row>
    <row r="126" spans="2:15" x14ac:dyDescent="0.2">
      <c r="C126" s="105" t="s">
        <v>132</v>
      </c>
      <c r="D126" s="106">
        <f>D115*pricing!D12*2000</f>
        <v>2286760.689948</v>
      </c>
      <c r="E126" s="106">
        <f>E115*pricing!E12*2000</f>
        <v>3521855.5592220002</v>
      </c>
      <c r="F126" s="106">
        <f>F115*pricing!F12*2000</f>
        <v>2103348.8180021201</v>
      </c>
      <c r="G126" s="106">
        <f>G115*pricing!G12*2000</f>
        <v>1231502.8264331196</v>
      </c>
      <c r="H126" s="106">
        <f>H115*pricing!H12*2000</f>
        <v>1625233.6869130395</v>
      </c>
      <c r="I126" s="106">
        <f>I115*pricing!I12*2000</f>
        <v>1130113.3426805097</v>
      </c>
      <c r="J126" s="106">
        <f>J115*pricing!J12*2000</f>
        <v>1757459.5988062038</v>
      </c>
      <c r="K126" s="106">
        <f>K115*pricing!K12*2000</f>
        <v>1624484.1841354077</v>
      </c>
      <c r="L126" s="106">
        <f>L115*pricing!L12*2000</f>
        <v>883194.94001506898</v>
      </c>
      <c r="M126" s="106">
        <f>M115*pricing!M12*2000</f>
        <v>1612967.6164000002</v>
      </c>
      <c r="N126" s="106">
        <f>N115*pricing!N12*2000</f>
        <v>1376455.6514939955</v>
      </c>
      <c r="O126" s="106">
        <f>O115*pricing!O12*2000</f>
        <v>1804435.4289603883</v>
      </c>
    </row>
    <row r="127" spans="2:15" x14ac:dyDescent="0.2">
      <c r="C127" s="105" t="s">
        <v>278</v>
      </c>
      <c r="D127" s="106">
        <f t="shared" ref="D127:O127" si="1">SUM(D$120:D$126)</f>
        <v>27586558.129183967</v>
      </c>
      <c r="E127" s="106">
        <f t="shared" si="1"/>
        <v>30165782.380496614</v>
      </c>
      <c r="F127" s="106">
        <f t="shared" si="1"/>
        <v>24938004.501592509</v>
      </c>
      <c r="G127" s="106">
        <f t="shared" si="1"/>
        <v>23640567.264869805</v>
      </c>
      <c r="H127" s="106">
        <f t="shared" si="1"/>
        <v>29737149.016295593</v>
      </c>
      <c r="I127" s="106">
        <f t="shared" si="1"/>
        <v>27426131.223532122</v>
      </c>
      <c r="J127" s="106">
        <f t="shared" si="1"/>
        <v>22865219.104892373</v>
      </c>
      <c r="K127" s="106">
        <f t="shared" si="1"/>
        <v>26013745.030043963</v>
      </c>
      <c r="L127" s="106">
        <f t="shared" si="1"/>
        <v>25859284.731811672</v>
      </c>
      <c r="M127" s="106">
        <f t="shared" si="1"/>
        <v>19679551.173523083</v>
      </c>
      <c r="N127" s="106">
        <f t="shared" si="1"/>
        <v>25271790.530089747</v>
      </c>
      <c r="O127" s="106">
        <f t="shared" si="1"/>
        <v>24578051.624526653</v>
      </c>
    </row>
    <row r="129" spans="2:15" x14ac:dyDescent="0.2">
      <c r="B129" s="109" t="s">
        <v>280</v>
      </c>
    </row>
    <row r="130" spans="2:15" x14ac:dyDescent="0.2">
      <c r="C130" s="111" t="s">
        <v>277</v>
      </c>
      <c r="D130" s="111" t="s">
        <v>92</v>
      </c>
      <c r="E130" s="111" t="s">
        <v>93</v>
      </c>
      <c r="F130" s="111" t="s">
        <v>94</v>
      </c>
      <c r="G130" s="111" t="s">
        <v>95</v>
      </c>
      <c r="H130" s="111" t="s">
        <v>96</v>
      </c>
      <c r="I130" s="111" t="s">
        <v>97</v>
      </c>
      <c r="J130" s="111" t="s">
        <v>98</v>
      </c>
      <c r="K130" s="111" t="s">
        <v>99</v>
      </c>
      <c r="L130" s="111" t="s">
        <v>100</v>
      </c>
      <c r="M130" s="111" t="s">
        <v>101</v>
      </c>
      <c r="N130" s="111" t="s">
        <v>102</v>
      </c>
      <c r="O130" s="111" t="s">
        <v>103</v>
      </c>
    </row>
    <row r="131" spans="2:15" x14ac:dyDescent="0.2">
      <c r="C131" s="111" t="s">
        <v>126</v>
      </c>
      <c r="D131" s="112">
        <f>SUM(E$6:E$19)+SUM(G$6:G$19)+SUM(I$6:I$19)+SUM(K$6:K$19)</f>
        <v>485980.79999999993</v>
      </c>
      <c r="E131" s="112">
        <f>SUM(M$6:M$19)+SUM(O$6:O$19)+SUM(Q$6:Q$19)+SUM(S$6:S$19)</f>
        <v>588206.39999999991</v>
      </c>
      <c r="F131" s="112">
        <f>SUM(U$6:U$19)+SUM(W$6:W$19)+SUM(Y$6:Y$19)+SUM(AA$6:AA$19)</f>
        <v>863985.59999999986</v>
      </c>
      <c r="G131" s="112">
        <f>SUM(AC$6:AC$19)+SUM(AE$6:AE$19)+SUM(AG$6:AG$19)+SUM(AI$6:AI$19)</f>
        <v>244842</v>
      </c>
      <c r="H131" s="112">
        <f>SUM(AK$6:AK$19)+SUM(AM$6:AM$19)+SUM(AO$6:AO$19)+SUM(AQ$6:AQ$19)</f>
        <v>642327.6</v>
      </c>
      <c r="I131" s="112">
        <f>SUM(AS$6:AS$19)+SUM(AU$6:AU$19)+SUM(AW$6:AW$19)+SUM(AY$6:AY$19)</f>
        <v>911624.55456421059</v>
      </c>
      <c r="J131" s="112">
        <f>SUM(BA$6:BA$19)+SUM(BC$6:BC$19)+SUM(BE$6:BE$19)+SUM(BG$6:BG$19)</f>
        <v>771920.4</v>
      </c>
      <c r="K131" s="112">
        <f>SUM(BI$6:BI$19)+SUM(BK$6:BK$19)+SUM(BM$6:BM$19)+SUM(BO$6:BO$19)</f>
        <v>1429377.5999999999</v>
      </c>
      <c r="L131" s="112">
        <f>SUM(BQ$6:BQ$19)+SUM(BS$6:BS$19)+SUM(BU$6:BU$19)+SUM(BW$6:BW$19)</f>
        <v>1182510.3157084533</v>
      </c>
      <c r="M131" s="112">
        <f>SUM(BY$6:BY$19)+SUM(CA$6:CA$19)+SUM(CC$6:CC$19)+SUM(CE$6:CE$19)</f>
        <v>698059.48035666521</v>
      </c>
      <c r="N131" s="112">
        <f>SUM(CG$6:CG$19)+SUM(CI$6:CI$19)+SUM(CK$6:CK$19)+SUM(CM$6:CM$19)</f>
        <v>364702.8</v>
      </c>
      <c r="O131" s="112">
        <f>SUM(CO$6:CO$19)+SUM(CQ$6:CQ$19)+SUM(CS$6:CS$19)+SUM(CU$6:CU$19)</f>
        <v>630812.39999999991</v>
      </c>
    </row>
    <row r="132" spans="2:15" x14ac:dyDescent="0.2">
      <c r="C132" s="111" t="s">
        <v>127</v>
      </c>
      <c r="D132" s="112">
        <f>SUM(E$20:E$36)+SUM(G$20:G$36)+SUM(I$20:I$36)+SUM(K$20:K$36)</f>
        <v>1515681.5999999996</v>
      </c>
      <c r="E132" s="112">
        <f>SUM(M$20:M$36)+SUM(O$20:O$36)+SUM(Q$20:Q$36)+SUM(S$20:S$36)</f>
        <v>1804547.9999999998</v>
      </c>
      <c r="F132" s="112">
        <f>SUM(U$20:U$36)+SUM(W$20:W$36)+SUM(Y$20:Y$36)+SUM(AA$20:AA$36)</f>
        <v>550190.4</v>
      </c>
      <c r="G132" s="112">
        <f>SUM(AC$20:AC$36)+SUM(AE$20:AE$36)+SUM(AG$20:AG$36)+SUM(AI$20:AI$36)</f>
        <v>618882</v>
      </c>
      <c r="H132" s="112">
        <f>SUM(AK$20:AK$36)+SUM(AM$20:AM$36)+SUM(AO$20:AO$36)+SUM(AQ$20:AQ$36)</f>
        <v>769629.59999999986</v>
      </c>
      <c r="I132" s="112">
        <f>SUM(AS$20:AS$36)+SUM(AU$20:AU$36)+SUM(AW$20:AW$36)+SUM(AY$20:AY$36)</f>
        <v>649949.5127160718</v>
      </c>
      <c r="J132" s="112">
        <f>SUM(BA$20:BA$36)+SUM(BC$20:BC$36)+SUM(BE$20:BE$36)+SUM(BG$20:BG$36)</f>
        <v>374291.99999999994</v>
      </c>
      <c r="K132" s="112">
        <f>SUM(BI$20:BI$36)+SUM(BK$20:BK$36)+SUM(BM$20:BM$36)+SUM(BO$20:BO$36)</f>
        <v>747739.2</v>
      </c>
      <c r="L132" s="112">
        <f>SUM(BQ$20:BQ$36)+SUM(BS$20:BS$36)+SUM(BU$20:BU$36)+SUM(BW$20:BW$36)</f>
        <v>719123.15979497868</v>
      </c>
      <c r="M132" s="112">
        <f>SUM(BY$20:BY$36)+SUM(CA$20:CA$36)+SUM(CC$20:CC$36)+SUM(CE$20:CE$36)</f>
        <v>358286.18732011382</v>
      </c>
      <c r="N132" s="112">
        <f>SUM(CG$20:CG$36)+SUM(CI$20:CI$36)+SUM(CK$20:CK$36)+SUM(CM$20:CM$36)</f>
        <v>612720</v>
      </c>
      <c r="O132" s="112">
        <f>SUM(CO$20:CO$36)+SUM(CQ$20:CQ$36)+SUM(CS$20:CS$36)+SUM(CU$20:CU$36)</f>
        <v>677665.2</v>
      </c>
    </row>
    <row r="133" spans="2:15" x14ac:dyDescent="0.2">
      <c r="C133" s="111" t="s">
        <v>128</v>
      </c>
      <c r="D133" s="112">
        <f>SUM(E$37:E$48)+SUM(G$37:G$48)+SUM(I$37:I$48)+SUM(K$37:K$48)</f>
        <v>514249.2</v>
      </c>
      <c r="E133" s="112">
        <f>SUM(M$37:M$48)+SUM(O$37:O$48)+SUM(Q$37:Q$48)+SUM(S$37:S$48)</f>
        <v>486176.4</v>
      </c>
      <c r="F133" s="112">
        <f>SUM(U$37:U$48)+SUM(W$37:W$48)+SUM(Y$37:Y$48)+SUM(AA$37:AA$48)</f>
        <v>443594.39999999997</v>
      </c>
      <c r="G133" s="112">
        <f>SUM(AC$37:AC$48)+SUM(AE$37:AE$48)+SUM(AG$37:AG$48)+SUM(AI$37:AI$48)</f>
        <v>960760.79999999993</v>
      </c>
      <c r="H133" s="112">
        <f>SUM(AK$37:AK$48)+SUM(AM$37:AM$48)+SUM(AO$37:AO$48)+SUM(AQ$37:AQ$48)</f>
        <v>972855.59999999986</v>
      </c>
      <c r="I133" s="112">
        <f>SUM(AS$37:AS$48)+SUM(AU$37:AU$48)+SUM(AW$37:AW$48)+SUM(AY$37:AY$48)</f>
        <v>1408504.4933118417</v>
      </c>
      <c r="J133" s="112">
        <f>SUM(BA$37:BA$48)+SUM(BC$37:BC$48)+SUM(BE$37:BE$48)+SUM(BG$37:BG$48)</f>
        <v>1007157.6</v>
      </c>
      <c r="K133" s="112">
        <f>SUM(BI$37:BI$48)+SUM(BK$37:BK$48)+SUM(BM$37:BM$48)+SUM(BO$37:BO$48)</f>
        <v>926312.39999999991</v>
      </c>
      <c r="L133" s="112">
        <f>SUM(BQ$37:BQ$48)+SUM(BS$37:BS$48)+SUM(BU$37:BU$48)+SUM(BW$37:BW$48)</f>
        <v>1008428.2580585078</v>
      </c>
      <c r="M133" s="112">
        <f>SUM(BY$37:BY$48)+SUM(CA$37:CA$48)+SUM(CC$37:CC$48)+SUM(CE$37:CE$48)</f>
        <v>370906.86266186234</v>
      </c>
      <c r="N133" s="112">
        <f>SUM(CG$37:CG$48)+SUM(CI$37:CI$48)+SUM(CK$37:CK$48)+SUM(CM$37:CM$48)</f>
        <v>495394.8</v>
      </c>
      <c r="O133" s="112">
        <f>SUM(CO$37:CO$48)+SUM(CQ$37:CQ$48)+SUM(CS$37:CS$48)+SUM(CU$37:CU$48)</f>
        <v>548132.4</v>
      </c>
    </row>
    <row r="134" spans="2:15" x14ac:dyDescent="0.2">
      <c r="C134" s="111" t="s">
        <v>129</v>
      </c>
      <c r="D134" s="112">
        <f>SUM(E$49:E$70)+SUM(G$49:G$70)+SUM(I$49:I$70)+SUM(K$49:K$70)</f>
        <v>590446.79999999993</v>
      </c>
      <c r="E134" s="112">
        <f>SUM(M$49:M$70)+SUM(O$49:O$70)+SUM(Q$49:Q$70)+SUM(S$49:S$70)</f>
        <v>696854.4</v>
      </c>
      <c r="F134" s="112">
        <f>SUM(U$49:U$70)+SUM(W$49:W$70)+SUM(Y$49:Y$70)+SUM(AA$49:AA$70)</f>
        <v>1390720.036354145</v>
      </c>
      <c r="G134" s="112">
        <f>SUM(AC$49:AC$70)+SUM(AE$49:AE$70)+SUM(AG$49:AG$70)+SUM(AI$49:AI$70)</f>
        <v>1426477.4759765032</v>
      </c>
      <c r="H134" s="112">
        <f>SUM(AK$49:AK$70)+SUM(AM$49:AM$70)+SUM(AO$49:AO$70)+SUM(AQ$49:AQ$70)</f>
        <v>1795065.2966185026</v>
      </c>
      <c r="I134" s="112">
        <f>SUM(AS$49:AS$70)+SUM(AU$49:AU$70)+SUM(AW$49:AW$70)+SUM(AY$49:AY$70)</f>
        <v>747020.77508700965</v>
      </c>
      <c r="J134" s="112">
        <f>SUM(BA$49:BA$70)+SUM(BC$49:BC$70)+SUM(BE$49:BE$70)+SUM(BG$49:BG$70)</f>
        <v>738179.40764022886</v>
      </c>
      <c r="K134" s="112">
        <f>SUM(BI$49:BI$70)+SUM(BK$49:BK$70)+SUM(BM$49:BM$70)+SUM(BO$49:BO$70)</f>
        <v>667557.09918166953</v>
      </c>
      <c r="L134" s="112">
        <f>SUM(BQ$49:BQ$70)+SUM(BS$49:BS$70)+SUM(BU$49:BU$70)+SUM(BW$49:BW$70)</f>
        <v>1178436.1930949006</v>
      </c>
      <c r="M134" s="112">
        <f>SUM(BY$49:BY$70)+SUM(CA$49:CA$70)+SUM(CC$49:CC$70)+SUM(CE$49:CE$70)</f>
        <v>471062.19608472049</v>
      </c>
      <c r="N134" s="112">
        <f>SUM(CG$49:CG$70)+SUM(CI$49:CI$70)+SUM(CK$49:CK$70)+SUM(CM$49:CM$70)</f>
        <v>1405878</v>
      </c>
      <c r="O134" s="112">
        <f>SUM(CO$49:CO$70)+SUM(CQ$49:CQ$70)+SUM(CS$49:CS$70)+SUM(CU$49:CU$70)</f>
        <v>1045912.3844660195</v>
      </c>
    </row>
    <row r="135" spans="2:15" x14ac:dyDescent="0.2">
      <c r="C135" s="111" t="s">
        <v>130</v>
      </c>
      <c r="D135" s="112">
        <f>SUM(E$71:E$86)+SUM(G$71:G$86)+SUM(I$71:I$86)+SUM(K$71:K$86)</f>
        <v>941390.39999999991</v>
      </c>
      <c r="E135" s="112">
        <f>SUM(M$71:M$86)+SUM(O$71:O$86)+SUM(Q$71:Q$86)+SUM(S$71:S$86)</f>
        <v>813586.79999999993</v>
      </c>
      <c r="F135" s="112">
        <f>SUM(U$71:U$86)+SUM(W$71:W$86)+SUM(Y$71:Y$86)+SUM(AA$71:AA$86)</f>
        <v>491082</v>
      </c>
      <c r="G135" s="112">
        <f>SUM(AC$71:AC$86)+SUM(AE$71:AE$86)+SUM(AG$71:AG$86)+SUM(AI$71:AI$86)</f>
        <v>347451.6</v>
      </c>
      <c r="H135" s="112">
        <f>SUM(AK$71:AK$86)+SUM(AM$71:AM$86)+SUM(AO$71:AO$86)+SUM(AQ$71:AQ$86)</f>
        <v>836336.39999999991</v>
      </c>
      <c r="I135" s="112">
        <f>SUM(AS$71:AS$86)+SUM(AU$71:AU$86)+SUM(AW$71:AW$86)+SUM(AY$71:AY$86)</f>
        <v>1101187.2</v>
      </c>
      <c r="J135" s="112">
        <f>SUM(BA$71:BA$86)+SUM(BC$71:BC$86)+SUM(BE$71:BE$86)+SUM(BG$71:BG$86)</f>
        <v>256561.2</v>
      </c>
      <c r="K135" s="112">
        <f>SUM(BI$71:BI$86)+SUM(BK$71:BK$86)+SUM(BM$71:BM$86)+SUM(BO$71:BO$86)</f>
        <v>255997.2</v>
      </c>
      <c r="L135" s="112">
        <f>SUM(BQ$71:BQ$86)+SUM(BS$71:BS$86)+SUM(BU$71:BU$86)+SUM(BW$71:BW$86)</f>
        <v>190459.19999999998</v>
      </c>
      <c r="M135" s="112">
        <f>SUM(BY$71:BY$86)+SUM(CA$71:CA$86)+SUM(CC$71:CC$86)+SUM(CE$71:CE$86)</f>
        <v>732219.59999999986</v>
      </c>
      <c r="N135" s="112">
        <f>SUM(CG$71:CG$86)+SUM(CI$71:CI$86)+SUM(CK$71:CK$86)+SUM(CM$71:CM$86)</f>
        <v>286134</v>
      </c>
      <c r="O135" s="112">
        <f>SUM(CO$71:CO$86)+SUM(CQ$71:CQ$86)+SUM(CS$71:CS$86)+SUM(CU$71:CU$86)</f>
        <v>162052.79999999999</v>
      </c>
    </row>
    <row r="136" spans="2:15" x14ac:dyDescent="0.2">
      <c r="C136" s="111" t="s">
        <v>131</v>
      </c>
      <c r="D136" s="112">
        <f>SUM(E$87:E$94)+SUM(G$87:G$94)+SUM(I$87:I$94)+SUM(K$87:K$94)</f>
        <v>149192.4</v>
      </c>
      <c r="E136" s="112">
        <f>SUM(M$87:M$94)+SUM(O$87:O$94)+SUM(Q$87:Q$94)+SUM(S$87:S$94)</f>
        <v>120639.6</v>
      </c>
      <c r="F136" s="112">
        <f>SUM(U$87:U$94)+SUM(W$87:W$94)+SUM(Y$87:Y$94)+SUM(AA$87:AA$94)</f>
        <v>82380.512890862898</v>
      </c>
      <c r="G136" s="112">
        <f>SUM(AC$87:AC$94)+SUM(AE$87:AE$94)+SUM(AG$87:AG$94)+SUM(AI$87:AI$94)</f>
        <v>190257.67334671275</v>
      </c>
      <c r="H136" s="112">
        <f>SUM(AK$87:AK$94)+SUM(AM$87:AM$94)+SUM(AO$87:AO$94)+SUM(AQ$87:AQ$94)</f>
        <v>165353.39388495681</v>
      </c>
      <c r="I136" s="112">
        <f>SUM(AS$87:AS$94)+SUM(AU$87:AU$94)+SUM(AW$87:AW$94)+SUM(AY$87:AY$94)</f>
        <v>368268.43679846934</v>
      </c>
      <c r="J136" s="112">
        <f>SUM(BA$87:BA$94)+SUM(BC$87:BC$94)+SUM(BE$87:BE$94)+SUM(BG$87:BG$94)</f>
        <v>264254.58152589801</v>
      </c>
      <c r="K136" s="112">
        <f>SUM(BI$87:BI$94)+SUM(BK$87:BK$94)+SUM(BM$87:BM$94)+SUM(BO$87:BO$94)</f>
        <v>198829.78060556459</v>
      </c>
      <c r="L136" s="112">
        <f>SUM(BQ$87:BQ$94)+SUM(BS$87:BS$94)+SUM(BU$87:BU$94)+SUM(BW$87:BW$94)</f>
        <v>286906.9569228905</v>
      </c>
      <c r="M136" s="112">
        <f>SUM(BY$87:BY$94)+SUM(CA$87:CA$94)+SUM(CC$87:CC$94)+SUM(CE$87:CE$94)</f>
        <v>178519.2</v>
      </c>
      <c r="N136" s="112">
        <f>SUM(CG$87:CG$94)+SUM(CI$87:CI$94)+SUM(CK$87:CK$94)+SUM(CM$87:CM$94)</f>
        <v>445604.4</v>
      </c>
      <c r="O136" s="112">
        <f>SUM(CO$87:CO$94)+SUM(CQ$87:CQ$94)+SUM(CS$87:CS$94)+SUM(CU$87:CU$94)</f>
        <v>296763.54951456311</v>
      </c>
    </row>
    <row r="137" spans="2:15" x14ac:dyDescent="0.2">
      <c r="C137" s="111" t="s">
        <v>132</v>
      </c>
      <c r="D137" s="112">
        <f>SUM(E$95:E$105)+SUM(G$95:G$105)+SUM(I$95:I$105)+SUM(K$95:K$105)</f>
        <v>519295.19999999995</v>
      </c>
      <c r="E137" s="112">
        <f>SUM(M$95:M$105)+SUM(O$95:O$105)+SUM(Q$95:Q$105)+SUM(S$95:S$105)</f>
        <v>1104408</v>
      </c>
      <c r="F137" s="112">
        <f>SUM(U$95:U$105)+SUM(W$95:W$105)+SUM(Y$95:Y$105)+SUM(AA$95:AA$105)</f>
        <v>502001.84201910521</v>
      </c>
      <c r="G137" s="112">
        <f>SUM(AC$95:AC$105)+SUM(AE$95:AE$105)+SUM(AG$95:AG$105)+SUM(AI$95:AI$105)</f>
        <v>201784.66393173026</v>
      </c>
      <c r="H137" s="112">
        <f>SUM(AK$95:AK$105)+SUM(AM$95:AM$105)+SUM(AO$95:AO$105)+SUM(AQ$95:AQ$105)</f>
        <v>295476.47546977631</v>
      </c>
      <c r="I137" s="112">
        <f>SUM(AS$95:AS$105)+SUM(AU$95:AU$105)+SUM(AW$95:AW$105)+SUM(AY$95:AY$105)</f>
        <v>147218.38319515303</v>
      </c>
      <c r="J137" s="112">
        <f>SUM(BA$95:BA$105)+SUM(BC$95:BC$105)+SUM(BE$95:BE$105)+SUM(BG$95:BG$105)</f>
        <v>322434.88646556978</v>
      </c>
      <c r="K137" s="112">
        <f>SUM(BI$95:BI$105)+SUM(BK$95:BK$105)+SUM(BM$95:BM$105)+SUM(BO$95:BO$105)</f>
        <v>298649.4670949264</v>
      </c>
      <c r="L137" s="112">
        <f>SUM(BQ$95:BQ$105)+SUM(BS$95:BS$105)+SUM(BU$95:BU$105)+SUM(BW$95:BW$105)</f>
        <v>121737.31262113788</v>
      </c>
      <c r="M137" s="112">
        <f>SUM(BY$95:BY$105)+SUM(CA$95:CA$105)+SUM(CC$95:CC$105)+SUM(CE$95:CE$105)</f>
        <v>313953.59999999998</v>
      </c>
      <c r="N137" s="112">
        <f>SUM(CG$95:CG$105)+SUM(CI$95:CI$105)+SUM(CK$95:CK$105)+SUM(CM$95:CM$105)</f>
        <v>210992.4</v>
      </c>
      <c r="O137" s="112">
        <f>SUM(CO$95:CO$105)+SUM(CQ$95:CQ$105)+SUM(CS$95:CS$105)+SUM(CU$95:CU$105)</f>
        <v>339282.85825242719</v>
      </c>
    </row>
    <row r="138" spans="2:15" x14ac:dyDescent="0.2">
      <c r="C138" s="111" t="s">
        <v>278</v>
      </c>
      <c r="D138" s="106">
        <f t="shared" ref="D138:O138" si="2">SUM(D$131:D$137)</f>
        <v>4716236.3999999994</v>
      </c>
      <c r="E138" s="106">
        <f t="shared" si="2"/>
        <v>5614419.5999999987</v>
      </c>
      <c r="F138" s="106">
        <f t="shared" si="2"/>
        <v>4323954.791264113</v>
      </c>
      <c r="G138" s="106">
        <f t="shared" si="2"/>
        <v>3990456.2132549463</v>
      </c>
      <c r="H138" s="106">
        <f t="shared" si="2"/>
        <v>5477044.3659732351</v>
      </c>
      <c r="I138" s="106">
        <f t="shared" si="2"/>
        <v>5333773.3556727562</v>
      </c>
      <c r="J138" s="106">
        <f t="shared" si="2"/>
        <v>3734800.0756316972</v>
      </c>
      <c r="K138" s="106">
        <f t="shared" si="2"/>
        <v>4524462.7468821602</v>
      </c>
      <c r="L138" s="106">
        <f t="shared" si="2"/>
        <v>4687601.3962008692</v>
      </c>
      <c r="M138" s="106">
        <f t="shared" si="2"/>
        <v>3123007.1264233622</v>
      </c>
      <c r="N138" s="106">
        <f t="shared" si="2"/>
        <v>3821426.4</v>
      </c>
      <c r="O138" s="106">
        <f t="shared" si="2"/>
        <v>3700621.5922330096</v>
      </c>
    </row>
  </sheetData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defaultRowHeight="12.75" x14ac:dyDescent="0.2"/>
  <cols>
    <col min="1" max="16384" width="9.140625" style="106"/>
  </cols>
  <sheetData>
    <row r="2" spans="1:99" x14ac:dyDescent="0.2">
      <c r="B2" s="108" t="s">
        <v>272</v>
      </c>
    </row>
    <row r="3" spans="1:99" x14ac:dyDescent="0.2">
      <c r="B3" s="109" t="s">
        <v>282</v>
      </c>
    </row>
    <row r="4" spans="1:99" x14ac:dyDescent="0.2">
      <c r="A4" s="107"/>
      <c r="B4" s="107"/>
      <c r="C4" s="105" t="s">
        <v>274</v>
      </c>
      <c r="D4" s="105" t="s">
        <v>92</v>
      </c>
      <c r="E4" s="107"/>
      <c r="F4" s="107"/>
      <c r="G4" s="107"/>
      <c r="H4" s="107"/>
      <c r="I4" s="107"/>
      <c r="J4" s="107"/>
      <c r="K4" s="107"/>
      <c r="L4" s="105" t="s">
        <v>93</v>
      </c>
      <c r="M4" s="107"/>
      <c r="N4" s="107"/>
      <c r="O4" s="107"/>
      <c r="P4" s="107"/>
      <c r="Q4" s="107"/>
      <c r="R4" s="107"/>
      <c r="S4" s="107"/>
      <c r="T4" s="105" t="s">
        <v>94</v>
      </c>
      <c r="U4" s="107"/>
      <c r="V4" s="107"/>
      <c r="W4" s="107"/>
      <c r="X4" s="107"/>
      <c r="Y4" s="107"/>
      <c r="Z4" s="107"/>
      <c r="AA4" s="107"/>
      <c r="AB4" s="105" t="s">
        <v>95</v>
      </c>
      <c r="AC4" s="107"/>
      <c r="AD4" s="107"/>
      <c r="AE4" s="107"/>
      <c r="AF4" s="107"/>
      <c r="AG4" s="107"/>
      <c r="AH4" s="107"/>
      <c r="AI4" s="107"/>
      <c r="AJ4" s="105" t="s">
        <v>96</v>
      </c>
      <c r="AK4" s="107"/>
      <c r="AL4" s="107"/>
      <c r="AM4" s="107"/>
      <c r="AN4" s="107"/>
      <c r="AO4" s="107"/>
      <c r="AP4" s="107"/>
      <c r="AQ4" s="107"/>
      <c r="AR4" s="105" t="s">
        <v>97</v>
      </c>
      <c r="AS4" s="107"/>
      <c r="AT4" s="107"/>
      <c r="AU4" s="107"/>
      <c r="AV4" s="107"/>
      <c r="AW4" s="107"/>
      <c r="AX4" s="107"/>
      <c r="AY4" s="107"/>
      <c r="AZ4" s="105" t="s">
        <v>98</v>
      </c>
      <c r="BA4" s="107"/>
      <c r="BB4" s="107"/>
      <c r="BC4" s="107"/>
      <c r="BD4" s="107"/>
      <c r="BE4" s="107"/>
      <c r="BF4" s="107"/>
      <c r="BG4" s="107"/>
      <c r="BH4" s="105" t="s">
        <v>99</v>
      </c>
      <c r="BI4" s="107"/>
      <c r="BJ4" s="107"/>
      <c r="BK4" s="107"/>
      <c r="BL4" s="107"/>
      <c r="BM4" s="107"/>
      <c r="BN4" s="107"/>
      <c r="BO4" s="107"/>
      <c r="BP4" s="105" t="s">
        <v>100</v>
      </c>
      <c r="BQ4" s="107"/>
      <c r="BR4" s="107"/>
      <c r="BS4" s="107"/>
      <c r="BT4" s="107"/>
      <c r="BU4" s="107"/>
      <c r="BV4" s="107"/>
      <c r="BW4" s="107"/>
      <c r="BX4" s="105" t="s">
        <v>101</v>
      </c>
      <c r="BY4" s="107"/>
      <c r="BZ4" s="107"/>
      <c r="CA4" s="107"/>
      <c r="CB4" s="107"/>
      <c r="CC4" s="107"/>
      <c r="CD4" s="107"/>
      <c r="CE4" s="107"/>
      <c r="CF4" s="105" t="s">
        <v>102</v>
      </c>
      <c r="CG4" s="107"/>
      <c r="CH4" s="107"/>
      <c r="CI4" s="107"/>
      <c r="CJ4" s="107"/>
      <c r="CK4" s="107"/>
      <c r="CL4" s="107"/>
      <c r="CM4" s="107"/>
      <c r="CN4" s="105" t="s">
        <v>103</v>
      </c>
      <c r="CO4" s="107"/>
      <c r="CP4" s="107"/>
      <c r="CQ4" s="107"/>
      <c r="CR4" s="107"/>
      <c r="CS4" s="107"/>
      <c r="CT4" s="107"/>
      <c r="CU4" s="107"/>
    </row>
    <row r="5" spans="1:99" x14ac:dyDescent="0.2">
      <c r="B5" s="105" t="s">
        <v>167</v>
      </c>
      <c r="C5" s="105" t="s">
        <v>275</v>
      </c>
      <c r="D5" s="105">
        <v>1</v>
      </c>
      <c r="E5" s="105"/>
      <c r="F5" s="105">
        <v>2</v>
      </c>
      <c r="G5" s="105"/>
      <c r="H5" s="105">
        <v>3</v>
      </c>
      <c r="I5" s="105"/>
      <c r="J5" s="105">
        <v>4</v>
      </c>
      <c r="K5" s="105"/>
      <c r="L5" s="105">
        <v>1</v>
      </c>
      <c r="M5" s="105"/>
      <c r="N5" s="105">
        <v>2</v>
      </c>
      <c r="O5" s="105"/>
      <c r="P5" s="105">
        <v>3</v>
      </c>
      <c r="Q5" s="105"/>
      <c r="R5" s="105">
        <v>4</v>
      </c>
      <c r="S5" s="105"/>
      <c r="T5" s="105">
        <v>1</v>
      </c>
      <c r="U5" s="105"/>
      <c r="V5" s="105">
        <v>2</v>
      </c>
      <c r="W5" s="105"/>
      <c r="X5" s="105">
        <v>3</v>
      </c>
      <c r="Y5" s="105"/>
      <c r="Z5" s="105">
        <v>4</v>
      </c>
      <c r="AA5" s="105"/>
      <c r="AB5" s="105">
        <v>1</v>
      </c>
      <c r="AC5" s="105"/>
      <c r="AD5" s="105">
        <v>2</v>
      </c>
      <c r="AE5" s="105"/>
      <c r="AF5" s="105">
        <v>3</v>
      </c>
      <c r="AG5" s="105"/>
      <c r="AH5" s="105">
        <v>4</v>
      </c>
      <c r="AI5" s="105"/>
      <c r="AJ5" s="105">
        <v>1</v>
      </c>
      <c r="AK5" s="105"/>
      <c r="AL5" s="105">
        <v>2</v>
      </c>
      <c r="AM5" s="105"/>
      <c r="AN5" s="105">
        <v>3</v>
      </c>
      <c r="AO5" s="105"/>
      <c r="AP5" s="105">
        <v>4</v>
      </c>
      <c r="AQ5" s="105"/>
      <c r="AR5" s="105">
        <v>1</v>
      </c>
      <c r="AS5" s="105"/>
      <c r="AT5" s="105">
        <v>2</v>
      </c>
      <c r="AU5" s="105"/>
      <c r="AV5" s="105">
        <v>3</v>
      </c>
      <c r="AW5" s="105"/>
      <c r="AX5" s="105">
        <v>4</v>
      </c>
      <c r="AY5" s="105"/>
      <c r="AZ5" s="105">
        <v>1</v>
      </c>
      <c r="BA5" s="105"/>
      <c r="BB5" s="105">
        <v>2</v>
      </c>
      <c r="BC5" s="105"/>
      <c r="BD5" s="105">
        <v>3</v>
      </c>
      <c r="BE5" s="105"/>
      <c r="BF5" s="105">
        <v>4</v>
      </c>
      <c r="BG5" s="105"/>
      <c r="BH5" s="105">
        <v>1</v>
      </c>
      <c r="BI5" s="105"/>
      <c r="BJ5" s="105">
        <v>2</v>
      </c>
      <c r="BK5" s="105"/>
      <c r="BL5" s="105">
        <v>3</v>
      </c>
      <c r="BM5" s="105"/>
      <c r="BN5" s="105">
        <v>4</v>
      </c>
      <c r="BO5" s="105"/>
      <c r="BP5" s="105">
        <v>1</v>
      </c>
      <c r="BQ5" s="105"/>
      <c r="BR5" s="105">
        <v>2</v>
      </c>
      <c r="BS5" s="105"/>
      <c r="BT5" s="105">
        <v>3</v>
      </c>
      <c r="BU5" s="105"/>
      <c r="BV5" s="105">
        <v>4</v>
      </c>
      <c r="BW5" s="105"/>
      <c r="BX5" s="105">
        <v>1</v>
      </c>
      <c r="BY5" s="105"/>
      <c r="BZ5" s="105">
        <v>2</v>
      </c>
      <c r="CA5" s="105"/>
      <c r="CB5" s="105">
        <v>3</v>
      </c>
      <c r="CC5" s="105"/>
      <c r="CD5" s="105">
        <v>4</v>
      </c>
      <c r="CE5" s="105"/>
      <c r="CF5" s="105">
        <v>1</v>
      </c>
      <c r="CG5" s="105"/>
      <c r="CH5" s="105">
        <v>2</v>
      </c>
      <c r="CI5" s="105"/>
      <c r="CJ5" s="105">
        <v>3</v>
      </c>
      <c r="CK5" s="105"/>
      <c r="CL5" s="105">
        <v>4</v>
      </c>
      <c r="CM5" s="105"/>
      <c r="CN5" s="105">
        <v>1</v>
      </c>
      <c r="CO5" s="105"/>
      <c r="CP5" s="105">
        <v>2</v>
      </c>
      <c r="CQ5" s="105"/>
      <c r="CR5" s="105">
        <v>3</v>
      </c>
      <c r="CS5" s="105"/>
      <c r="CT5" s="105">
        <v>4</v>
      </c>
      <c r="CU5" s="105"/>
    </row>
    <row r="6" spans="1:99" x14ac:dyDescent="0.2">
      <c r="B6" s="105" t="s">
        <v>126</v>
      </c>
      <c r="C6" s="105" t="s">
        <v>172</v>
      </c>
      <c r="D6" s="106">
        <v>0</v>
      </c>
      <c r="E6" s="106">
        <v>0</v>
      </c>
      <c r="F6" s="106">
        <v>2.0738409310243182</v>
      </c>
      <c r="G6" s="106">
        <v>1416.0185877034044</v>
      </c>
      <c r="H6" s="106">
        <v>0</v>
      </c>
      <c r="I6" s="106">
        <v>0</v>
      </c>
      <c r="J6" s="106">
        <v>2.1949106694918008</v>
      </c>
      <c r="K6" s="106">
        <v>1498.6850051290014</v>
      </c>
      <c r="L6" s="106">
        <v>1.2770528338083968</v>
      </c>
      <c r="M6" s="106">
        <v>871.97167492437336</v>
      </c>
      <c r="N6" s="106">
        <v>1.5499947936676888</v>
      </c>
      <c r="O6" s="106">
        <v>1058.3364451162979</v>
      </c>
      <c r="P6" s="106">
        <v>1.8141601810447872</v>
      </c>
      <c r="Q6" s="106">
        <v>1238.7085716173806</v>
      </c>
      <c r="R6" s="106">
        <v>0.59829449721201944</v>
      </c>
      <c r="S6" s="106">
        <v>408.51548269636686</v>
      </c>
      <c r="T6" s="106">
        <v>2.0010372599581792</v>
      </c>
      <c r="U6" s="106">
        <v>1366.3082410994446</v>
      </c>
      <c r="V6" s="106">
        <v>7.093146219128319</v>
      </c>
      <c r="W6" s="106">
        <v>4843.2002384208163</v>
      </c>
      <c r="X6" s="106">
        <v>0</v>
      </c>
      <c r="Y6" s="106">
        <v>0</v>
      </c>
      <c r="Z6" s="106">
        <v>4.5223705728586072</v>
      </c>
      <c r="AA6" s="106">
        <v>3087.8746271478567</v>
      </c>
      <c r="AB6" s="106">
        <v>0</v>
      </c>
      <c r="AC6" s="106">
        <v>0</v>
      </c>
      <c r="AD6" s="106">
        <v>1.4172005406621566</v>
      </c>
      <c r="AE6" s="106">
        <v>967.66452916412049</v>
      </c>
      <c r="AF6" s="106">
        <v>2.1831081402766213</v>
      </c>
      <c r="AG6" s="106">
        <v>1490.626238180877</v>
      </c>
      <c r="AH6" s="106">
        <v>0.34879007238149057</v>
      </c>
      <c r="AI6" s="106">
        <v>238.15386142208175</v>
      </c>
      <c r="AJ6" s="106">
        <v>1.3921215246702487</v>
      </c>
      <c r="AK6" s="106">
        <v>950.5405770448458</v>
      </c>
      <c r="AL6" s="106">
        <v>2.5566115723330274</v>
      </c>
      <c r="AM6" s="106">
        <v>1745.6543815889909</v>
      </c>
      <c r="AN6" s="106">
        <v>2.7354621111167265</v>
      </c>
      <c r="AO6" s="106">
        <v>1867.7735294705008</v>
      </c>
      <c r="AP6" s="106">
        <v>0.71966448891040924</v>
      </c>
      <c r="AQ6" s="106">
        <v>491.38691302802738</v>
      </c>
      <c r="AR6" s="106">
        <v>0.35377533970690878</v>
      </c>
      <c r="AS6" s="106">
        <v>241.55780195187731</v>
      </c>
      <c r="AT6" s="106">
        <v>0.72908980300588699</v>
      </c>
      <c r="AU6" s="106">
        <v>497.82251749241959</v>
      </c>
      <c r="AV6" s="106">
        <v>0</v>
      </c>
      <c r="AW6" s="106">
        <v>0</v>
      </c>
      <c r="AX6" s="106">
        <v>1.944297087143487</v>
      </c>
      <c r="AY6" s="106">
        <v>1327.5660511015728</v>
      </c>
      <c r="AZ6" s="106">
        <v>1.5679075132613478</v>
      </c>
      <c r="BA6" s="106">
        <v>1070.5672500548483</v>
      </c>
      <c r="BB6" s="106">
        <v>1.6082136190007144</v>
      </c>
      <c r="BC6" s="106">
        <v>1098.0882590536876</v>
      </c>
      <c r="BD6" s="106">
        <v>0</v>
      </c>
      <c r="BE6" s="106">
        <v>0</v>
      </c>
      <c r="BF6" s="106">
        <v>1.8883144561965708</v>
      </c>
      <c r="BG6" s="106">
        <v>1289.3411106910185</v>
      </c>
      <c r="BH6" s="106">
        <v>2.3436192183991312E-16</v>
      </c>
      <c r="BI6" s="106">
        <v>1.6002232023229267E-13</v>
      </c>
      <c r="BJ6" s="106">
        <v>2.9811733911207892</v>
      </c>
      <c r="BK6" s="106">
        <v>2035.5451914572748</v>
      </c>
      <c r="BL6" s="106">
        <v>2.1711028037114172E-16</v>
      </c>
      <c r="BM6" s="106">
        <v>1.4824289943741554E-13</v>
      </c>
      <c r="BN6" s="106">
        <v>4.4989425514083621</v>
      </c>
      <c r="BO6" s="106">
        <v>3071.8779741016292</v>
      </c>
      <c r="BP6" s="106">
        <v>1.1142892328233303</v>
      </c>
      <c r="BQ6" s="106">
        <v>760.83668817176988</v>
      </c>
      <c r="BR6" s="106">
        <v>1.2154283502461265</v>
      </c>
      <c r="BS6" s="106">
        <v>829.89447754805508</v>
      </c>
      <c r="BT6" s="106">
        <v>0</v>
      </c>
      <c r="BU6" s="106">
        <v>0</v>
      </c>
      <c r="BV6" s="106">
        <v>2.3582030486461538</v>
      </c>
      <c r="BW6" s="106">
        <v>1610.1810416155938</v>
      </c>
      <c r="BX6" s="106">
        <v>1.819741279629288</v>
      </c>
      <c r="BY6" s="106">
        <v>1242.5193457308778</v>
      </c>
      <c r="BZ6" s="106">
        <v>2.137240565897403</v>
      </c>
      <c r="CA6" s="106">
        <v>1459.3078583947467</v>
      </c>
      <c r="CB6" s="106">
        <v>1.3871586316622093</v>
      </c>
      <c r="CC6" s="106">
        <v>947.15191369895649</v>
      </c>
      <c r="CD6" s="106">
        <v>2.090571086491249</v>
      </c>
      <c r="CE6" s="106">
        <v>1427.4419378562247</v>
      </c>
      <c r="CF6" s="106">
        <v>0</v>
      </c>
      <c r="CG6" s="106">
        <v>0</v>
      </c>
      <c r="CH6" s="106">
        <v>3.3310754427780189</v>
      </c>
      <c r="CI6" s="106">
        <v>2274.4583123288312</v>
      </c>
      <c r="CJ6" s="106">
        <v>0</v>
      </c>
      <c r="CK6" s="106">
        <v>0</v>
      </c>
      <c r="CL6" s="106">
        <v>2.9719082375167671</v>
      </c>
      <c r="CM6" s="106">
        <v>2029.2189445764484</v>
      </c>
      <c r="CN6" s="106">
        <v>0.8421962780658333</v>
      </c>
      <c r="CO6" s="106">
        <v>575.05161866335095</v>
      </c>
      <c r="CP6" s="106">
        <v>1.0060908088204532</v>
      </c>
      <c r="CQ6" s="106">
        <v>686.95880426260544</v>
      </c>
      <c r="CR6" s="106">
        <v>1.3810261781516746</v>
      </c>
      <c r="CS6" s="106">
        <v>942.96467444196333</v>
      </c>
      <c r="CT6" s="106">
        <v>0.98488478771824761</v>
      </c>
      <c r="CU6" s="106">
        <v>672.47933305401943</v>
      </c>
    </row>
    <row r="7" spans="1:99" x14ac:dyDescent="0.2">
      <c r="C7" s="105" t="s">
        <v>173</v>
      </c>
      <c r="D7" s="106">
        <v>0</v>
      </c>
      <c r="E7" s="106">
        <v>0</v>
      </c>
      <c r="F7" s="106">
        <v>2.7651212413657582</v>
      </c>
      <c r="G7" s="106">
        <v>2385.746607050376</v>
      </c>
      <c r="H7" s="106">
        <v>0</v>
      </c>
      <c r="I7" s="106">
        <v>0</v>
      </c>
      <c r="J7" s="106">
        <v>2.1949106694918008</v>
      </c>
      <c r="K7" s="106">
        <v>1893.7689256375256</v>
      </c>
      <c r="L7" s="106">
        <v>1.5963160422604961</v>
      </c>
      <c r="M7" s="106">
        <v>1377.301481262356</v>
      </c>
      <c r="N7" s="106">
        <v>1.5499947936676888</v>
      </c>
      <c r="O7" s="106">
        <v>1337.3355079764817</v>
      </c>
      <c r="P7" s="106">
        <v>1.8141601810447872</v>
      </c>
      <c r="Q7" s="106">
        <v>1565.2574042054423</v>
      </c>
      <c r="R7" s="106">
        <v>0.59829449721201944</v>
      </c>
      <c r="S7" s="106">
        <v>516.20849219453032</v>
      </c>
      <c r="T7" s="106">
        <v>2.1677903649546941</v>
      </c>
      <c r="U7" s="106">
        <v>1870.3695268829099</v>
      </c>
      <c r="V7" s="106">
        <v>8.0388990483454279</v>
      </c>
      <c r="W7" s="106">
        <v>6935.9620989124351</v>
      </c>
      <c r="X7" s="106">
        <v>0</v>
      </c>
      <c r="Y7" s="106">
        <v>0</v>
      </c>
      <c r="Z7" s="106">
        <v>4.7736133824618641</v>
      </c>
      <c r="AA7" s="106">
        <v>4118.6736263880957</v>
      </c>
      <c r="AB7" s="106">
        <v>0</v>
      </c>
      <c r="AC7" s="106">
        <v>0</v>
      </c>
      <c r="AD7" s="106">
        <v>1.1337604325297252</v>
      </c>
      <c r="AE7" s="106">
        <v>978.20850118664691</v>
      </c>
      <c r="AF7" s="106">
        <v>1.8712355488085326</v>
      </c>
      <c r="AG7" s="106">
        <v>1614.5020315120018</v>
      </c>
      <c r="AH7" s="106">
        <v>0.34879007238149057</v>
      </c>
      <c r="AI7" s="106">
        <v>300.93607445075003</v>
      </c>
      <c r="AJ7" s="106">
        <v>1.3921215246702487</v>
      </c>
      <c r="AK7" s="106">
        <v>1201.1224514854905</v>
      </c>
      <c r="AL7" s="106">
        <v>2.5566115723330274</v>
      </c>
      <c r="AM7" s="106">
        <v>2205.8444646089361</v>
      </c>
      <c r="AN7" s="106">
        <v>2.9634172870431206</v>
      </c>
      <c r="AO7" s="106">
        <v>2556.8364352608041</v>
      </c>
      <c r="AP7" s="106">
        <v>0.66430568207114693</v>
      </c>
      <c r="AQ7" s="106">
        <v>573.16294249098553</v>
      </c>
      <c r="AR7" s="106">
        <v>0.35377533970690878</v>
      </c>
      <c r="AS7" s="106">
        <v>305.2373630991209</v>
      </c>
      <c r="AT7" s="106">
        <v>0.64807982489412175</v>
      </c>
      <c r="AU7" s="106">
        <v>559.1632729186482</v>
      </c>
      <c r="AV7" s="106">
        <v>0</v>
      </c>
      <c r="AW7" s="106">
        <v>0</v>
      </c>
      <c r="AX7" s="106">
        <v>1.944297087143487</v>
      </c>
      <c r="AY7" s="106">
        <v>1677.5395267874005</v>
      </c>
      <c r="AZ7" s="106">
        <v>1.5679075132613478</v>
      </c>
      <c r="BA7" s="106">
        <v>1352.7906024418908</v>
      </c>
      <c r="BB7" s="106">
        <v>1.6082136190007144</v>
      </c>
      <c r="BC7" s="106">
        <v>1387.5667104738163</v>
      </c>
      <c r="BD7" s="106">
        <v>0</v>
      </c>
      <c r="BE7" s="106">
        <v>0</v>
      </c>
      <c r="BF7" s="106">
        <v>1.8883144561965708</v>
      </c>
      <c r="BG7" s="106">
        <v>1629.2377128064013</v>
      </c>
      <c r="BH7" s="106">
        <v>2.3436192183991312E-16</v>
      </c>
      <c r="BI7" s="106">
        <v>2.0220746616347704E-13</v>
      </c>
      <c r="BJ7" s="106">
        <v>3.3786631766035606</v>
      </c>
      <c r="BK7" s="106">
        <v>2915.1105887735521</v>
      </c>
      <c r="BL7" s="106">
        <v>2.1711028037114172E-16</v>
      </c>
      <c r="BM7" s="106">
        <v>1.8732274990422105E-13</v>
      </c>
      <c r="BN7" s="106">
        <v>4.4989425514083621</v>
      </c>
      <c r="BO7" s="106">
        <v>3881.6876333551345</v>
      </c>
      <c r="BP7" s="106">
        <v>1.1142892328233303</v>
      </c>
      <c r="BQ7" s="106">
        <v>961.40875007996931</v>
      </c>
      <c r="BR7" s="106">
        <v>1.2154283502461265</v>
      </c>
      <c r="BS7" s="106">
        <v>1048.6715805923579</v>
      </c>
      <c r="BT7" s="106">
        <v>0</v>
      </c>
      <c r="BU7" s="106">
        <v>0</v>
      </c>
      <c r="BV7" s="106">
        <v>2.3582030486461538</v>
      </c>
      <c r="BW7" s="106">
        <v>2034.6575903719015</v>
      </c>
      <c r="BX7" s="106">
        <v>2.1230314929008363</v>
      </c>
      <c r="BY7" s="106">
        <v>1831.7515720748415</v>
      </c>
      <c r="BZ7" s="106">
        <v>1.7810338049145025</v>
      </c>
      <c r="CA7" s="106">
        <v>1536.6759668802326</v>
      </c>
      <c r="CB7" s="106">
        <v>1.2330298948108529</v>
      </c>
      <c r="CC7" s="106">
        <v>1063.8581932428037</v>
      </c>
      <c r="CD7" s="106">
        <v>2.090571086491249</v>
      </c>
      <c r="CE7" s="106">
        <v>1803.7447334246494</v>
      </c>
      <c r="CF7" s="106">
        <v>0</v>
      </c>
      <c r="CG7" s="106">
        <v>0</v>
      </c>
      <c r="CH7" s="106">
        <v>3.3310754427780189</v>
      </c>
      <c r="CI7" s="106">
        <v>2874.0518920288746</v>
      </c>
      <c r="CJ7" s="106">
        <v>0</v>
      </c>
      <c r="CK7" s="106">
        <v>0</v>
      </c>
      <c r="CL7" s="106">
        <v>2.6416962111260149</v>
      </c>
      <c r="CM7" s="106">
        <v>2279.2554909595256</v>
      </c>
      <c r="CN7" s="106">
        <v>0.9825623244101388</v>
      </c>
      <c r="CO7" s="106">
        <v>847.75477350106769</v>
      </c>
      <c r="CP7" s="106">
        <v>1.2576135110255664</v>
      </c>
      <c r="CQ7" s="106">
        <v>1085.0689373128587</v>
      </c>
      <c r="CR7" s="106">
        <v>1.3810261781516746</v>
      </c>
      <c r="CS7" s="106">
        <v>1191.5493865092649</v>
      </c>
      <c r="CT7" s="106">
        <v>0.87545314463844237</v>
      </c>
      <c r="CU7" s="106">
        <v>755.34097319404805</v>
      </c>
    </row>
    <row r="8" spans="1:99" x14ac:dyDescent="0.2">
      <c r="C8" s="105" t="s">
        <v>174</v>
      </c>
      <c r="D8" s="106">
        <v>0</v>
      </c>
      <c r="E8" s="106">
        <v>0</v>
      </c>
      <c r="F8" s="106">
        <v>2.7651212413657582</v>
      </c>
      <c r="G8" s="106">
        <v>905.85371867142226</v>
      </c>
      <c r="H8" s="106">
        <v>0</v>
      </c>
      <c r="I8" s="106">
        <v>0</v>
      </c>
      <c r="J8" s="106">
        <v>2.1949106694918008</v>
      </c>
      <c r="K8" s="106">
        <v>719.05273532551382</v>
      </c>
      <c r="L8" s="106">
        <v>1.5963160422604961</v>
      </c>
      <c r="M8" s="106">
        <v>522.95313544453847</v>
      </c>
      <c r="N8" s="106">
        <v>1.5499947936676888</v>
      </c>
      <c r="O8" s="106">
        <v>507.77829440553478</v>
      </c>
      <c r="P8" s="106">
        <v>1.8141601810447872</v>
      </c>
      <c r="Q8" s="106">
        <v>594.31887531027223</v>
      </c>
      <c r="R8" s="106">
        <v>0.59829449721201944</v>
      </c>
      <c r="S8" s="106">
        <v>196.00127728665754</v>
      </c>
      <c r="T8" s="106">
        <v>2.0010372599581792</v>
      </c>
      <c r="U8" s="106">
        <v>655.53980636229937</v>
      </c>
      <c r="V8" s="106">
        <v>8.9846518775625377</v>
      </c>
      <c r="W8" s="106">
        <v>2943.3719550894871</v>
      </c>
      <c r="X8" s="106">
        <v>0</v>
      </c>
      <c r="Y8" s="106">
        <v>0</v>
      </c>
      <c r="Z8" s="106">
        <v>4.7736133824618641</v>
      </c>
      <c r="AA8" s="106">
        <v>1563.8357440945065</v>
      </c>
      <c r="AB8" s="106">
        <v>0</v>
      </c>
      <c r="AC8" s="106">
        <v>0</v>
      </c>
      <c r="AD8" s="106">
        <v>1.4172005406621566</v>
      </c>
      <c r="AE8" s="106">
        <v>464.27489712092245</v>
      </c>
      <c r="AF8" s="106">
        <v>2.1831081402766213</v>
      </c>
      <c r="AG8" s="106">
        <v>715.18622675462109</v>
      </c>
      <c r="AH8" s="106">
        <v>0.29065839365124213</v>
      </c>
      <c r="AI8" s="106">
        <v>95.219689760146906</v>
      </c>
      <c r="AJ8" s="106">
        <v>1.6062940669272101</v>
      </c>
      <c r="AK8" s="106">
        <v>526.22193632535402</v>
      </c>
      <c r="AL8" s="106">
        <v>2.5566115723330274</v>
      </c>
      <c r="AM8" s="106">
        <v>837.54595109629963</v>
      </c>
      <c r="AN8" s="106">
        <v>3.1913724629695142</v>
      </c>
      <c r="AO8" s="106">
        <v>1045.4936188688127</v>
      </c>
      <c r="AP8" s="106">
        <v>0.77502329574967144</v>
      </c>
      <c r="AQ8" s="106">
        <v>253.89763168759234</v>
      </c>
      <c r="AR8" s="106">
        <v>0.44221917463363597</v>
      </c>
      <c r="AS8" s="106">
        <v>144.87100160997912</v>
      </c>
      <c r="AT8" s="106">
        <v>0.72908980300588699</v>
      </c>
      <c r="AU8" s="106">
        <v>238.84981946472854</v>
      </c>
      <c r="AV8" s="106">
        <v>0</v>
      </c>
      <c r="AW8" s="106">
        <v>0</v>
      </c>
      <c r="AX8" s="106">
        <v>1.944297087143487</v>
      </c>
      <c r="AY8" s="106">
        <v>636.95172574820629</v>
      </c>
      <c r="AZ8" s="106">
        <v>1.7638959524190163</v>
      </c>
      <c r="BA8" s="106">
        <v>577.85231401246972</v>
      </c>
      <c r="BB8" s="106">
        <v>1.8379584217151019</v>
      </c>
      <c r="BC8" s="106">
        <v>602.11517895386737</v>
      </c>
      <c r="BD8" s="106">
        <v>0</v>
      </c>
      <c r="BE8" s="106">
        <v>0</v>
      </c>
      <c r="BF8" s="106">
        <v>1.8883144561965708</v>
      </c>
      <c r="BG8" s="106">
        <v>618.61181584999656</v>
      </c>
      <c r="BH8" s="106">
        <v>2.1305629258173919E-16</v>
      </c>
      <c r="BI8" s="106">
        <v>6.9797241449777755E-14</v>
      </c>
      <c r="BJ8" s="106">
        <v>3.3786631766035606</v>
      </c>
      <c r="BK8" s="106">
        <v>1106.8500566553264</v>
      </c>
      <c r="BL8" s="106">
        <v>2.1711028037114172E-16</v>
      </c>
      <c r="BM8" s="106">
        <v>7.1125327849586014E-14</v>
      </c>
      <c r="BN8" s="106">
        <v>4.4989425514083621</v>
      </c>
      <c r="BO8" s="106">
        <v>1473.8535798413793</v>
      </c>
      <c r="BP8" s="106">
        <v>1.1142892328233303</v>
      </c>
      <c r="BQ8" s="106">
        <v>365.04115267292298</v>
      </c>
      <c r="BR8" s="106">
        <v>1.4179997419538144</v>
      </c>
      <c r="BS8" s="106">
        <v>464.53671546406957</v>
      </c>
      <c r="BT8" s="106">
        <v>0</v>
      </c>
      <c r="BU8" s="106">
        <v>0</v>
      </c>
      <c r="BV8" s="106">
        <v>2.75123689008718</v>
      </c>
      <c r="BW8" s="106">
        <v>901.30520519256004</v>
      </c>
      <c r="BX8" s="106">
        <v>2.1230314929008363</v>
      </c>
      <c r="BY8" s="106">
        <v>695.50511707431383</v>
      </c>
      <c r="BZ8" s="106">
        <v>2.137240565897403</v>
      </c>
      <c r="CA8" s="106">
        <v>700.16000938798913</v>
      </c>
      <c r="CB8" s="106">
        <v>1.2330298948108529</v>
      </c>
      <c r="CC8" s="106">
        <v>403.94059354003537</v>
      </c>
      <c r="CD8" s="106">
        <v>2.239897592669196</v>
      </c>
      <c r="CE8" s="106">
        <v>733.79045135842853</v>
      </c>
      <c r="CF8" s="106">
        <v>0</v>
      </c>
      <c r="CG8" s="106">
        <v>0</v>
      </c>
      <c r="CH8" s="106">
        <v>3.3310754427780189</v>
      </c>
      <c r="CI8" s="106">
        <v>1091.2603150540788</v>
      </c>
      <c r="CJ8" s="106">
        <v>0</v>
      </c>
      <c r="CK8" s="106">
        <v>0</v>
      </c>
      <c r="CL8" s="106">
        <v>2.3114841847352632</v>
      </c>
      <c r="CM8" s="106">
        <v>757.24221891927209</v>
      </c>
      <c r="CN8" s="106">
        <v>0.9825623244101388</v>
      </c>
      <c r="CO8" s="106">
        <v>321.88741747676141</v>
      </c>
      <c r="CP8" s="106">
        <v>1.0060908088204532</v>
      </c>
      <c r="CQ8" s="106">
        <v>329.59534896958041</v>
      </c>
      <c r="CR8" s="106">
        <v>1.183736724130007</v>
      </c>
      <c r="CS8" s="106">
        <v>387.79215082499024</v>
      </c>
      <c r="CT8" s="106">
        <v>0.98488478771824761</v>
      </c>
      <c r="CU8" s="106">
        <v>322.6482564564979</v>
      </c>
    </row>
    <row r="9" spans="1:99" x14ac:dyDescent="0.2">
      <c r="C9" s="105" t="s">
        <v>175</v>
      </c>
      <c r="D9" s="106">
        <v>0</v>
      </c>
      <c r="E9" s="106">
        <v>0</v>
      </c>
      <c r="F9" s="106">
        <v>2.7651212413657582</v>
      </c>
      <c r="G9" s="106">
        <v>2219.8393325684306</v>
      </c>
      <c r="H9" s="106">
        <v>0</v>
      </c>
      <c r="I9" s="106">
        <v>0</v>
      </c>
      <c r="J9" s="106">
        <v>2.1949106694918008</v>
      </c>
      <c r="K9" s="106">
        <v>1762.0742854680175</v>
      </c>
      <c r="L9" s="106">
        <v>1.5963160422604961</v>
      </c>
      <c r="M9" s="106">
        <v>1281.5225187267263</v>
      </c>
      <c r="N9" s="106">
        <v>1.5499947936676888</v>
      </c>
      <c r="O9" s="106">
        <v>1244.3358203564205</v>
      </c>
      <c r="P9" s="106">
        <v>1.8141601810447872</v>
      </c>
      <c r="Q9" s="106">
        <v>1456.407793342755</v>
      </c>
      <c r="R9" s="106">
        <v>0.59829449721201944</v>
      </c>
      <c r="S9" s="106">
        <v>480.31082236180919</v>
      </c>
      <c r="T9" s="106">
        <v>2.0010372599581792</v>
      </c>
      <c r="U9" s="106">
        <v>1606.4327122944262</v>
      </c>
      <c r="V9" s="106">
        <v>8.0388990483454279</v>
      </c>
      <c r="W9" s="106">
        <v>6453.6281560117095</v>
      </c>
      <c r="X9" s="106">
        <v>0</v>
      </c>
      <c r="Y9" s="106">
        <v>0</v>
      </c>
      <c r="Z9" s="106">
        <v>5.02485619206512</v>
      </c>
      <c r="AA9" s="106">
        <v>4033.954550989878</v>
      </c>
      <c r="AB9" s="106">
        <v>0</v>
      </c>
      <c r="AC9" s="106">
        <v>0</v>
      </c>
      <c r="AD9" s="106">
        <v>1.4172005406621566</v>
      </c>
      <c r="AE9" s="106">
        <v>1137.7285940435793</v>
      </c>
      <c r="AF9" s="106">
        <v>2.1831081402766213</v>
      </c>
      <c r="AG9" s="106">
        <v>1752.5992150140714</v>
      </c>
      <c r="AH9" s="106">
        <v>0.34879007238149057</v>
      </c>
      <c r="AI9" s="106">
        <v>280.00867010786061</v>
      </c>
      <c r="AJ9" s="106">
        <v>1.4992077957987293</v>
      </c>
      <c r="AK9" s="106">
        <v>1203.5640184672197</v>
      </c>
      <c r="AL9" s="106">
        <v>2.5566115723330274</v>
      </c>
      <c r="AM9" s="106">
        <v>2052.4477702689542</v>
      </c>
      <c r="AN9" s="106">
        <v>2.9634172870431206</v>
      </c>
      <c r="AO9" s="106">
        <v>2379.031398038217</v>
      </c>
      <c r="AP9" s="106">
        <v>0.77502329574967144</v>
      </c>
      <c r="AQ9" s="106">
        <v>622.18870182783621</v>
      </c>
      <c r="AR9" s="106">
        <v>0.44221917463363597</v>
      </c>
      <c r="AS9" s="106">
        <v>355.01355339588292</v>
      </c>
      <c r="AT9" s="106">
        <v>0.72908980300588699</v>
      </c>
      <c r="AU9" s="106">
        <v>585.31329385312608</v>
      </c>
      <c r="AV9" s="106">
        <v>0</v>
      </c>
      <c r="AW9" s="106">
        <v>0</v>
      </c>
      <c r="AX9" s="106">
        <v>1.944297087143487</v>
      </c>
      <c r="AY9" s="106">
        <v>1560.8817015587913</v>
      </c>
      <c r="AZ9" s="106">
        <v>1.7638959524190163</v>
      </c>
      <c r="BA9" s="106">
        <v>1416.0556706019863</v>
      </c>
      <c r="BB9" s="106">
        <v>1.8379584217151019</v>
      </c>
      <c r="BC9" s="106">
        <v>1475.5130209528838</v>
      </c>
      <c r="BD9" s="106">
        <v>0</v>
      </c>
      <c r="BE9" s="106">
        <v>0</v>
      </c>
      <c r="BF9" s="106">
        <v>1.8883144561965708</v>
      </c>
      <c r="BG9" s="106">
        <v>1515.9388454346069</v>
      </c>
      <c r="BH9" s="106">
        <v>2.3436192183991312E-16</v>
      </c>
      <c r="BI9" s="106">
        <v>1.8814575085308224E-13</v>
      </c>
      <c r="BJ9" s="106">
        <v>3.5774080693449468</v>
      </c>
      <c r="BK9" s="106">
        <v>2871.9431980701233</v>
      </c>
      <c r="BL9" s="106">
        <v>1.9737298215558337E-16</v>
      </c>
      <c r="BM9" s="106">
        <v>1.5845103007450232E-13</v>
      </c>
      <c r="BN9" s="106">
        <v>4.4989425514083621</v>
      </c>
      <c r="BO9" s="106">
        <v>3611.7510802706329</v>
      </c>
      <c r="BP9" s="106">
        <v>0.95510505670571166</v>
      </c>
      <c r="BQ9" s="106">
        <v>766.75833952334528</v>
      </c>
      <c r="BR9" s="106">
        <v>1.4179997419538144</v>
      </c>
      <c r="BS9" s="106">
        <v>1138.3701928405221</v>
      </c>
      <c r="BT9" s="106">
        <v>0</v>
      </c>
      <c r="BU9" s="106">
        <v>0</v>
      </c>
      <c r="BV9" s="106">
        <v>2.3582030486461538</v>
      </c>
      <c r="BW9" s="106">
        <v>1893.1654074531323</v>
      </c>
      <c r="BX9" s="106">
        <v>1.9713863862650622</v>
      </c>
      <c r="BY9" s="106">
        <v>1582.6289908935919</v>
      </c>
      <c r="BZ9" s="106">
        <v>2.137240565897403</v>
      </c>
      <c r="CA9" s="106">
        <v>1715.776726302435</v>
      </c>
      <c r="CB9" s="106">
        <v>1.2330298948108529</v>
      </c>
      <c r="CC9" s="106">
        <v>989.87639955415261</v>
      </c>
      <c r="CD9" s="106">
        <v>2.090571086491249</v>
      </c>
      <c r="CE9" s="106">
        <v>1678.3104682351745</v>
      </c>
      <c r="CF9" s="106">
        <v>0</v>
      </c>
      <c r="CG9" s="106">
        <v>0</v>
      </c>
      <c r="CH9" s="106">
        <v>2.8552075223811588</v>
      </c>
      <c r="CI9" s="106">
        <v>2292.1605989675941</v>
      </c>
      <c r="CJ9" s="106">
        <v>0</v>
      </c>
      <c r="CK9" s="106">
        <v>0</v>
      </c>
      <c r="CL9" s="106">
        <v>2.6416962111260149</v>
      </c>
      <c r="CM9" s="106">
        <v>2120.7537182919646</v>
      </c>
      <c r="CN9" s="106">
        <v>0.8421962780658333</v>
      </c>
      <c r="CO9" s="106">
        <v>676.11517203125095</v>
      </c>
      <c r="CP9" s="106">
        <v>1.0060908088204532</v>
      </c>
      <c r="CQ9" s="106">
        <v>807.68970132105983</v>
      </c>
      <c r="CR9" s="106">
        <v>1.3810261781516746</v>
      </c>
      <c r="CS9" s="106">
        <v>1108.6878158201644</v>
      </c>
      <c r="CT9" s="106">
        <v>0.87545314463844237</v>
      </c>
      <c r="CU9" s="106">
        <v>702.81378451574153</v>
      </c>
    </row>
    <row r="10" spans="1:99" x14ac:dyDescent="0.2">
      <c r="C10" s="105" t="s">
        <v>176</v>
      </c>
      <c r="D10" s="106">
        <v>0</v>
      </c>
      <c r="E10" s="106">
        <v>0</v>
      </c>
      <c r="F10" s="106">
        <v>2.7651212413657582</v>
      </c>
      <c r="G10" s="106">
        <v>1539.619507192454</v>
      </c>
      <c r="H10" s="106">
        <v>0</v>
      </c>
      <c r="I10" s="106">
        <v>0</v>
      </c>
      <c r="J10" s="106">
        <v>2.1949106694918008</v>
      </c>
      <c r="K10" s="106">
        <v>1222.1262607730346</v>
      </c>
      <c r="L10" s="106">
        <v>1.5963160422604961</v>
      </c>
      <c r="M10" s="106">
        <v>888.82877233064414</v>
      </c>
      <c r="N10" s="106">
        <v>1.5499947936676888</v>
      </c>
      <c r="O10" s="106">
        <v>863.03710111416899</v>
      </c>
      <c r="P10" s="106">
        <v>1.8141601810447872</v>
      </c>
      <c r="Q10" s="106">
        <v>1010.1243888057375</v>
      </c>
      <c r="R10" s="106">
        <v>0.59829449721201944</v>
      </c>
      <c r="S10" s="106">
        <v>333.13037604765242</v>
      </c>
      <c r="T10" s="106">
        <v>2.0010372599581792</v>
      </c>
      <c r="U10" s="106">
        <v>1114.1775463447141</v>
      </c>
      <c r="V10" s="106">
        <v>8.9846518775625377</v>
      </c>
      <c r="W10" s="106">
        <v>5002.6541654268203</v>
      </c>
      <c r="X10" s="106">
        <v>0</v>
      </c>
      <c r="Y10" s="106">
        <v>0</v>
      </c>
      <c r="Z10" s="106">
        <v>4.5223705728586072</v>
      </c>
      <c r="AA10" s="106">
        <v>2518.0559349676723</v>
      </c>
      <c r="AB10" s="106">
        <v>0</v>
      </c>
      <c r="AC10" s="106">
        <v>0</v>
      </c>
      <c r="AD10" s="106">
        <v>1.4172005406621566</v>
      </c>
      <c r="AE10" s="106">
        <v>789.09726104068875</v>
      </c>
      <c r="AF10" s="106">
        <v>2.1831081402766213</v>
      </c>
      <c r="AG10" s="106">
        <v>1215.5546125060225</v>
      </c>
      <c r="AH10" s="106">
        <v>0.34879007238149057</v>
      </c>
      <c r="AI10" s="106">
        <v>194.20631230201394</v>
      </c>
      <c r="AJ10" s="106">
        <v>1.3921215246702487</v>
      </c>
      <c r="AK10" s="106">
        <v>775.13326493639443</v>
      </c>
      <c r="AL10" s="106">
        <v>2.5566115723330274</v>
      </c>
      <c r="AM10" s="106">
        <v>1423.5213234750295</v>
      </c>
      <c r="AN10" s="106">
        <v>3.1913724629695142</v>
      </c>
      <c r="AO10" s="106">
        <v>1776.9561873814253</v>
      </c>
      <c r="AP10" s="106">
        <v>0.77502329574967144</v>
      </c>
      <c r="AQ10" s="106">
        <v>431.532971073417</v>
      </c>
      <c r="AR10" s="106">
        <v>0.35377533970690878</v>
      </c>
      <c r="AS10" s="106">
        <v>196.98210914880679</v>
      </c>
      <c r="AT10" s="106">
        <v>0.64807982489412175</v>
      </c>
      <c r="AU10" s="106">
        <v>360.85084650104699</v>
      </c>
      <c r="AV10" s="106">
        <v>0</v>
      </c>
      <c r="AW10" s="106">
        <v>0</v>
      </c>
      <c r="AX10" s="106">
        <v>1.944297087143487</v>
      </c>
      <c r="AY10" s="106">
        <v>1082.5846181214936</v>
      </c>
      <c r="AZ10" s="106">
        <v>1.5679075132613478</v>
      </c>
      <c r="BA10" s="106">
        <v>873.01090338391839</v>
      </c>
      <c r="BB10" s="106">
        <v>1.8379584217151019</v>
      </c>
      <c r="BC10" s="106">
        <v>1023.3752492109687</v>
      </c>
      <c r="BD10" s="106">
        <v>0</v>
      </c>
      <c r="BE10" s="106">
        <v>0</v>
      </c>
      <c r="BF10" s="106">
        <v>1.8883144561965708</v>
      </c>
      <c r="BG10" s="106">
        <v>1051.4134892102504</v>
      </c>
      <c r="BH10" s="106">
        <v>2.1305629258173919E-16</v>
      </c>
      <c r="BI10" s="106">
        <v>1.1862974370951238E-13</v>
      </c>
      <c r="BJ10" s="106">
        <v>2.9811733911207892</v>
      </c>
      <c r="BK10" s="106">
        <v>1659.9173441760552</v>
      </c>
      <c r="BL10" s="106">
        <v>2.1711028037114172E-16</v>
      </c>
      <c r="BM10" s="106">
        <v>1.208870041106517E-13</v>
      </c>
      <c r="BN10" s="106">
        <v>3.9365747324823168</v>
      </c>
      <c r="BO10" s="106">
        <v>2191.884811046154</v>
      </c>
      <c r="BP10" s="106">
        <v>1.1142892328233303</v>
      </c>
      <c r="BQ10" s="106">
        <v>620.43624483603026</v>
      </c>
      <c r="BR10" s="106">
        <v>1.4179997419538144</v>
      </c>
      <c r="BS10" s="106">
        <v>789.54225631988379</v>
      </c>
      <c r="BT10" s="106">
        <v>0</v>
      </c>
      <c r="BU10" s="106">
        <v>0</v>
      </c>
      <c r="BV10" s="106">
        <v>2.3582030486461538</v>
      </c>
      <c r="BW10" s="106">
        <v>1313.0474574861782</v>
      </c>
      <c r="BX10" s="106">
        <v>2.1230314929008363</v>
      </c>
      <c r="BY10" s="106">
        <v>1182.1039352471855</v>
      </c>
      <c r="BZ10" s="106">
        <v>1.9591371854059529</v>
      </c>
      <c r="CA10" s="106">
        <v>1090.8475848340345</v>
      </c>
      <c r="CB10" s="106">
        <v>1.3871586316622093</v>
      </c>
      <c r="CC10" s="106">
        <v>772.36992610951813</v>
      </c>
      <c r="CD10" s="106">
        <v>2.090571086491249</v>
      </c>
      <c r="CE10" s="106">
        <v>1164.0299809583273</v>
      </c>
      <c r="CF10" s="106">
        <v>0</v>
      </c>
      <c r="CG10" s="106">
        <v>0</v>
      </c>
      <c r="CH10" s="106">
        <v>3.3310754427780189</v>
      </c>
      <c r="CI10" s="106">
        <v>1854.7428065388008</v>
      </c>
      <c r="CJ10" s="106">
        <v>0</v>
      </c>
      <c r="CK10" s="106">
        <v>0</v>
      </c>
      <c r="CL10" s="106">
        <v>2.6416962111260149</v>
      </c>
      <c r="CM10" s="106">
        <v>1470.8964503549651</v>
      </c>
      <c r="CN10" s="106">
        <v>0.9825623244101388</v>
      </c>
      <c r="CO10" s="106">
        <v>547.09070223156527</v>
      </c>
      <c r="CP10" s="106">
        <v>1.2576135110255664</v>
      </c>
      <c r="CQ10" s="106">
        <v>700.23920293903529</v>
      </c>
      <c r="CR10" s="106">
        <v>1.3810261781516746</v>
      </c>
      <c r="CS10" s="106">
        <v>768.95537599485237</v>
      </c>
      <c r="CT10" s="106">
        <v>0.98488478771824761</v>
      </c>
      <c r="CU10" s="106">
        <v>548.38384980152023</v>
      </c>
    </row>
    <row r="11" spans="1:99" x14ac:dyDescent="0.2">
      <c r="C11" s="105" t="s">
        <v>177</v>
      </c>
      <c r="D11" s="106">
        <v>0</v>
      </c>
      <c r="E11" s="106">
        <v>0</v>
      </c>
      <c r="F11" s="106">
        <v>2.7651212413657582</v>
      </c>
      <c r="G11" s="106">
        <v>1655.7545993298158</v>
      </c>
      <c r="H11" s="106">
        <v>0</v>
      </c>
      <c r="I11" s="106">
        <v>0</v>
      </c>
      <c r="J11" s="106">
        <v>2.5607291144071009</v>
      </c>
      <c r="K11" s="106">
        <v>1533.3645937069718</v>
      </c>
      <c r="L11" s="106">
        <v>1.2770528338083968</v>
      </c>
      <c r="M11" s="106">
        <v>764.69923688446795</v>
      </c>
      <c r="N11" s="106">
        <v>1.5499947936676888</v>
      </c>
      <c r="O11" s="106">
        <v>928.13688244821196</v>
      </c>
      <c r="P11" s="106">
        <v>2.1769922172537446</v>
      </c>
      <c r="Q11" s="106">
        <v>1303.5829396915422</v>
      </c>
      <c r="R11" s="106">
        <v>0.59829449721201944</v>
      </c>
      <c r="S11" s="106">
        <v>358.25874493055721</v>
      </c>
      <c r="T11" s="106">
        <v>2.1677903649546941</v>
      </c>
      <c r="U11" s="106">
        <v>1298.0728705348708</v>
      </c>
      <c r="V11" s="106">
        <v>8.0388990483454279</v>
      </c>
      <c r="W11" s="106">
        <v>4813.6927501492419</v>
      </c>
      <c r="X11" s="106">
        <v>0</v>
      </c>
      <c r="Y11" s="106">
        <v>0</v>
      </c>
      <c r="Z11" s="106">
        <v>4.2711277632553521</v>
      </c>
      <c r="AA11" s="106">
        <v>2557.5513046373048</v>
      </c>
      <c r="AB11" s="106">
        <v>0</v>
      </c>
      <c r="AC11" s="106">
        <v>0</v>
      </c>
      <c r="AD11" s="106">
        <v>1.1337604325297252</v>
      </c>
      <c r="AE11" s="106">
        <v>678.89574699879938</v>
      </c>
      <c r="AF11" s="106">
        <v>2.1831081402766213</v>
      </c>
      <c r="AG11" s="106">
        <v>1307.2451543976408</v>
      </c>
      <c r="AH11" s="106">
        <v>0.34879007238149057</v>
      </c>
      <c r="AI11" s="106">
        <v>208.85549534203653</v>
      </c>
      <c r="AJ11" s="106">
        <v>1.4992077957987293</v>
      </c>
      <c r="AK11" s="106">
        <v>897.72562812427907</v>
      </c>
      <c r="AL11" s="106">
        <v>2.769662536694113</v>
      </c>
      <c r="AM11" s="106">
        <v>1658.4739269724348</v>
      </c>
      <c r="AN11" s="106">
        <v>3.1913724629695142</v>
      </c>
      <c r="AO11" s="106">
        <v>1910.9938308261449</v>
      </c>
      <c r="AP11" s="106">
        <v>0.71966448891040924</v>
      </c>
      <c r="AQ11" s="106">
        <v>430.935095959553</v>
      </c>
      <c r="AR11" s="106">
        <v>0.35377533970690878</v>
      </c>
      <c r="AS11" s="106">
        <v>211.84067341649697</v>
      </c>
      <c r="AT11" s="106">
        <v>0.72908980300588699</v>
      </c>
      <c r="AU11" s="106">
        <v>436.57897403992507</v>
      </c>
      <c r="AV11" s="106">
        <v>0</v>
      </c>
      <c r="AW11" s="106">
        <v>0</v>
      </c>
      <c r="AX11" s="106">
        <v>1.6202475726195724</v>
      </c>
      <c r="AY11" s="106">
        <v>970.20424648459993</v>
      </c>
      <c r="AZ11" s="106">
        <v>1.3719190741036795</v>
      </c>
      <c r="BA11" s="106">
        <v>821.50514157328325</v>
      </c>
      <c r="BB11" s="106">
        <v>1.8379584217151019</v>
      </c>
      <c r="BC11" s="106">
        <v>1100.569502923003</v>
      </c>
      <c r="BD11" s="106">
        <v>0</v>
      </c>
      <c r="BE11" s="106">
        <v>0</v>
      </c>
      <c r="BF11" s="106">
        <v>1.8883144561965708</v>
      </c>
      <c r="BG11" s="106">
        <v>1130.7226963705066</v>
      </c>
      <c r="BH11" s="106">
        <v>2.1305629258173919E-16</v>
      </c>
      <c r="BI11" s="106">
        <v>1.2757810799794541E-13</v>
      </c>
      <c r="BJ11" s="106">
        <v>2.9811733911207892</v>
      </c>
      <c r="BK11" s="106">
        <v>1785.1266266031284</v>
      </c>
      <c r="BL11" s="106">
        <v>1.9737298215558337E-16</v>
      </c>
      <c r="BM11" s="106">
        <v>1.1818694171476333E-13</v>
      </c>
      <c r="BN11" s="106">
        <v>3.9365747324823168</v>
      </c>
      <c r="BO11" s="106">
        <v>2357.2209498104112</v>
      </c>
      <c r="BP11" s="106">
        <v>1.1142892328233303</v>
      </c>
      <c r="BQ11" s="106">
        <v>667.23639261461005</v>
      </c>
      <c r="BR11" s="106">
        <v>1.4179997419538144</v>
      </c>
      <c r="BS11" s="106">
        <v>849.09824548194399</v>
      </c>
      <c r="BT11" s="106">
        <v>0</v>
      </c>
      <c r="BU11" s="106">
        <v>0</v>
      </c>
      <c r="BV11" s="106">
        <v>2.3582030486461538</v>
      </c>
      <c r="BW11" s="106">
        <v>1412.0919855293168</v>
      </c>
      <c r="BX11" s="106">
        <v>1.9713863862650622</v>
      </c>
      <c r="BY11" s="106">
        <v>1180.4661680955192</v>
      </c>
      <c r="BZ11" s="106">
        <v>1.9591371854059529</v>
      </c>
      <c r="CA11" s="106">
        <v>1173.1313466210845</v>
      </c>
      <c r="CB11" s="106">
        <v>1.2330298948108529</v>
      </c>
      <c r="CC11" s="106">
        <v>738.33830101273861</v>
      </c>
      <c r="CD11" s="106">
        <v>2.389224098847142</v>
      </c>
      <c r="CE11" s="106">
        <v>1430.6673903896685</v>
      </c>
      <c r="CF11" s="106">
        <v>0</v>
      </c>
      <c r="CG11" s="106">
        <v>0</v>
      </c>
      <c r="CH11" s="106">
        <v>3.3310754427780189</v>
      </c>
      <c r="CI11" s="106">
        <v>1994.6479751354775</v>
      </c>
      <c r="CJ11" s="106">
        <v>0</v>
      </c>
      <c r="CK11" s="106">
        <v>0</v>
      </c>
      <c r="CL11" s="106">
        <v>2.3114841847352632</v>
      </c>
      <c r="CM11" s="106">
        <v>1384.1167298194755</v>
      </c>
      <c r="CN11" s="106">
        <v>0.9825623244101388</v>
      </c>
      <c r="CO11" s="106">
        <v>588.35831985679101</v>
      </c>
      <c r="CP11" s="106">
        <v>1.0060908088204532</v>
      </c>
      <c r="CQ11" s="106">
        <v>602.44717632168738</v>
      </c>
      <c r="CR11" s="106">
        <v>1.3810261781516746</v>
      </c>
      <c r="CS11" s="106">
        <v>826.95847547722269</v>
      </c>
      <c r="CT11" s="106">
        <v>0.87545314463844237</v>
      </c>
      <c r="CU11" s="106">
        <v>524.22134300949926</v>
      </c>
    </row>
    <row r="12" spans="1:99" x14ac:dyDescent="0.2">
      <c r="C12" s="105" t="s">
        <v>178</v>
      </c>
      <c r="D12" s="106">
        <v>0</v>
      </c>
      <c r="E12" s="106">
        <v>0</v>
      </c>
      <c r="F12" s="106">
        <v>2.7651212413657582</v>
      </c>
      <c r="G12" s="106">
        <v>1672.3453267780105</v>
      </c>
      <c r="H12" s="106">
        <v>0</v>
      </c>
      <c r="I12" s="106">
        <v>0</v>
      </c>
      <c r="J12" s="106">
        <v>2.1949106694918008</v>
      </c>
      <c r="K12" s="106">
        <v>1327.481972908641</v>
      </c>
      <c r="L12" s="106">
        <v>1.5963160422604961</v>
      </c>
      <c r="M12" s="106">
        <v>965.45194235914789</v>
      </c>
      <c r="N12" s="106">
        <v>1.5499947936676888</v>
      </c>
      <c r="O12" s="106">
        <v>937.43685121021815</v>
      </c>
      <c r="P12" s="106">
        <v>1.8141601810447872</v>
      </c>
      <c r="Q12" s="106">
        <v>1097.2040774958871</v>
      </c>
      <c r="R12" s="106">
        <v>0.71795339665442337</v>
      </c>
      <c r="S12" s="106">
        <v>434.21821429659525</v>
      </c>
      <c r="T12" s="106">
        <v>2.1677903649546941</v>
      </c>
      <c r="U12" s="106">
        <v>1311.079612724599</v>
      </c>
      <c r="V12" s="106">
        <v>7.566022633736873</v>
      </c>
      <c r="W12" s="106">
        <v>4575.9304888840607</v>
      </c>
      <c r="X12" s="106">
        <v>0</v>
      </c>
      <c r="Y12" s="106">
        <v>0</v>
      </c>
      <c r="Z12" s="106">
        <v>4.5223705728586072</v>
      </c>
      <c r="AA12" s="106">
        <v>2735.1297224648856</v>
      </c>
      <c r="AB12" s="106">
        <v>0</v>
      </c>
      <c r="AC12" s="106">
        <v>0</v>
      </c>
      <c r="AD12" s="106">
        <v>1.1337604325297252</v>
      </c>
      <c r="AE12" s="106">
        <v>685.6983095939778</v>
      </c>
      <c r="AF12" s="106">
        <v>2.1831081402766213</v>
      </c>
      <c r="AG12" s="106">
        <v>1320.3438032393005</v>
      </c>
      <c r="AH12" s="106">
        <v>0.29065839365124213</v>
      </c>
      <c r="AI12" s="106">
        <v>175.79019648027122</v>
      </c>
      <c r="AJ12" s="106">
        <v>1.6062940669272101</v>
      </c>
      <c r="AK12" s="106">
        <v>971.48665167757656</v>
      </c>
      <c r="AL12" s="106">
        <v>2.5566115723330274</v>
      </c>
      <c r="AM12" s="106">
        <v>1546.2386789470149</v>
      </c>
      <c r="AN12" s="106">
        <v>2.9634172870431206</v>
      </c>
      <c r="AO12" s="106">
        <v>1792.2747752036792</v>
      </c>
      <c r="AP12" s="106">
        <v>0.66430568207114693</v>
      </c>
      <c r="AQ12" s="106">
        <v>401.77207651662962</v>
      </c>
      <c r="AR12" s="106">
        <v>0.35377533970690878</v>
      </c>
      <c r="AS12" s="106">
        <v>213.96332545473842</v>
      </c>
      <c r="AT12" s="106">
        <v>0.72908980300588699</v>
      </c>
      <c r="AU12" s="106">
        <v>440.95351285796045</v>
      </c>
      <c r="AV12" s="106">
        <v>0</v>
      </c>
      <c r="AW12" s="106">
        <v>0</v>
      </c>
      <c r="AX12" s="106">
        <v>1.944297087143487</v>
      </c>
      <c r="AY12" s="106">
        <v>1175.910878304381</v>
      </c>
      <c r="AZ12" s="106">
        <v>1.5679075132613478</v>
      </c>
      <c r="BA12" s="106">
        <v>948.27046402046312</v>
      </c>
      <c r="BB12" s="106">
        <v>1.6082136190007144</v>
      </c>
      <c r="BC12" s="106">
        <v>972.64759677163192</v>
      </c>
      <c r="BD12" s="106">
        <v>0</v>
      </c>
      <c r="BE12" s="106">
        <v>0</v>
      </c>
      <c r="BF12" s="106">
        <v>1.8883144561965708</v>
      </c>
      <c r="BG12" s="106">
        <v>1142.0525831076859</v>
      </c>
      <c r="BH12" s="106">
        <v>2.1305629258173919E-16</v>
      </c>
      <c r="BI12" s="106">
        <v>1.2885644575343585E-13</v>
      </c>
      <c r="BJ12" s="106">
        <v>3.1799182838621749</v>
      </c>
      <c r="BK12" s="106">
        <v>1923.2145780798432</v>
      </c>
      <c r="BL12" s="106">
        <v>1.9737298215558337E-16</v>
      </c>
      <c r="BM12" s="106">
        <v>1.1937117960769681E-13</v>
      </c>
      <c r="BN12" s="106">
        <v>4.4989425514083621</v>
      </c>
      <c r="BO12" s="106">
        <v>2720.960455091777</v>
      </c>
      <c r="BP12" s="106">
        <v>1.1142892328233303</v>
      </c>
      <c r="BQ12" s="106">
        <v>673.92212801155006</v>
      </c>
      <c r="BR12" s="106">
        <v>1.4179997419538144</v>
      </c>
      <c r="BS12" s="106">
        <v>857.60624393366686</v>
      </c>
      <c r="BT12" s="106">
        <v>0</v>
      </c>
      <c r="BU12" s="106">
        <v>0</v>
      </c>
      <c r="BV12" s="106">
        <v>2.3582030486461538</v>
      </c>
      <c r="BW12" s="106">
        <v>1426.2412038211937</v>
      </c>
      <c r="BX12" s="106">
        <v>1.819741279629288</v>
      </c>
      <c r="BY12" s="106">
        <v>1100.5795259197932</v>
      </c>
      <c r="BZ12" s="106">
        <v>2.137240565897403</v>
      </c>
      <c r="CA12" s="106">
        <v>1292.6030942547493</v>
      </c>
      <c r="CB12" s="106">
        <v>1.2330298948108529</v>
      </c>
      <c r="CC12" s="106">
        <v>745.73648038160377</v>
      </c>
      <c r="CD12" s="106">
        <v>2.239897592669196</v>
      </c>
      <c r="CE12" s="106">
        <v>1354.6900640463296</v>
      </c>
      <c r="CF12" s="106">
        <v>0</v>
      </c>
      <c r="CG12" s="106">
        <v>0</v>
      </c>
      <c r="CH12" s="106">
        <v>2.8552075223811588</v>
      </c>
      <c r="CI12" s="106">
        <v>1726.8295095361248</v>
      </c>
      <c r="CJ12" s="106">
        <v>0</v>
      </c>
      <c r="CK12" s="106">
        <v>0</v>
      </c>
      <c r="CL12" s="106">
        <v>2.6416962111260149</v>
      </c>
      <c r="CM12" s="106">
        <v>1597.6978684890137</v>
      </c>
      <c r="CN12" s="106">
        <v>1.1229283707544444</v>
      </c>
      <c r="CO12" s="106">
        <v>679.14707863228796</v>
      </c>
      <c r="CP12" s="106">
        <v>1.2576135110255664</v>
      </c>
      <c r="CQ12" s="106">
        <v>760.60465146826255</v>
      </c>
      <c r="CR12" s="106">
        <v>1.3810261781516746</v>
      </c>
      <c r="CS12" s="106">
        <v>835.24463254613272</v>
      </c>
      <c r="CT12" s="106">
        <v>0.98488478771824761</v>
      </c>
      <c r="CU12" s="106">
        <v>595.65831961199615</v>
      </c>
    </row>
    <row r="13" spans="1:99" x14ac:dyDescent="0.2">
      <c r="C13" s="105" t="s">
        <v>179</v>
      </c>
      <c r="D13" s="106">
        <v>0</v>
      </c>
      <c r="E13" s="106">
        <v>0</v>
      </c>
      <c r="F13" s="106">
        <v>2.7651212413657582</v>
      </c>
      <c r="G13" s="106">
        <v>461.22222305980841</v>
      </c>
      <c r="H13" s="106">
        <v>0</v>
      </c>
      <c r="I13" s="106">
        <v>0</v>
      </c>
      <c r="J13" s="106">
        <v>2.5607291144071009</v>
      </c>
      <c r="K13" s="106">
        <v>427.12961628310438</v>
      </c>
      <c r="L13" s="106">
        <v>1.5963160422604961</v>
      </c>
      <c r="M13" s="106">
        <v>266.2655158490507</v>
      </c>
      <c r="N13" s="106">
        <v>1.5499947936676888</v>
      </c>
      <c r="O13" s="106">
        <v>258.53913158377048</v>
      </c>
      <c r="P13" s="106">
        <v>2.1769922172537446</v>
      </c>
      <c r="Q13" s="106">
        <v>363.12230183792457</v>
      </c>
      <c r="R13" s="106">
        <v>0.71795339665442337</v>
      </c>
      <c r="S13" s="106">
        <v>119.75462656195781</v>
      </c>
      <c r="T13" s="106">
        <v>2.1677903649546941</v>
      </c>
      <c r="U13" s="106">
        <v>361.58743287444292</v>
      </c>
      <c r="V13" s="106">
        <v>8.5117754629539828</v>
      </c>
      <c r="W13" s="106">
        <v>1419.7641472207242</v>
      </c>
      <c r="X13" s="106">
        <v>0</v>
      </c>
      <c r="Y13" s="106">
        <v>0</v>
      </c>
      <c r="Z13" s="106">
        <v>4.5223705728586072</v>
      </c>
      <c r="AA13" s="106">
        <v>754.33141155281555</v>
      </c>
      <c r="AB13" s="106">
        <v>0</v>
      </c>
      <c r="AC13" s="106">
        <v>0</v>
      </c>
      <c r="AD13" s="106">
        <v>1.4172005406621566</v>
      </c>
      <c r="AE13" s="106">
        <v>236.3890501824477</v>
      </c>
      <c r="AF13" s="106">
        <v>2.1831081402766213</v>
      </c>
      <c r="AG13" s="106">
        <v>364.14243779814041</v>
      </c>
      <c r="AH13" s="106">
        <v>0.34879007238149057</v>
      </c>
      <c r="AI13" s="106">
        <v>58.178184073232622</v>
      </c>
      <c r="AJ13" s="106">
        <v>1.4992077957987293</v>
      </c>
      <c r="AK13" s="106">
        <v>250.06786033922802</v>
      </c>
      <c r="AL13" s="106">
        <v>2.5566115723330274</v>
      </c>
      <c r="AM13" s="106">
        <v>426.44281026514892</v>
      </c>
      <c r="AN13" s="106">
        <v>3.4193276388959082</v>
      </c>
      <c r="AO13" s="106">
        <v>570.34385016783745</v>
      </c>
      <c r="AP13" s="106">
        <v>0.77502329574967144</v>
      </c>
      <c r="AQ13" s="106">
        <v>129.27388573104517</v>
      </c>
      <c r="AR13" s="106">
        <v>0.44221917463363597</v>
      </c>
      <c r="AS13" s="106">
        <v>73.762158328890479</v>
      </c>
      <c r="AT13" s="106">
        <v>0.64807982489412175</v>
      </c>
      <c r="AU13" s="106">
        <v>108.0997147923395</v>
      </c>
      <c r="AV13" s="106">
        <v>0</v>
      </c>
      <c r="AW13" s="106">
        <v>0</v>
      </c>
      <c r="AX13" s="106">
        <v>1.944297087143487</v>
      </c>
      <c r="AY13" s="106">
        <v>324.3087541355336</v>
      </c>
      <c r="AZ13" s="106">
        <v>1.5679075132613478</v>
      </c>
      <c r="BA13" s="106">
        <v>261.52697321199281</v>
      </c>
      <c r="BB13" s="106">
        <v>1.8379584217151019</v>
      </c>
      <c r="BC13" s="106">
        <v>306.57146474207894</v>
      </c>
      <c r="BD13" s="106">
        <v>0</v>
      </c>
      <c r="BE13" s="106">
        <v>0</v>
      </c>
      <c r="BF13" s="106">
        <v>1.8883144561965708</v>
      </c>
      <c r="BG13" s="106">
        <v>314.970851293588</v>
      </c>
      <c r="BH13" s="106">
        <v>2.1305629258173919E-16</v>
      </c>
      <c r="BI13" s="106">
        <v>3.5537789602634095E-14</v>
      </c>
      <c r="BJ13" s="106">
        <v>3.3786631766035606</v>
      </c>
      <c r="BK13" s="106">
        <v>563.56101785747387</v>
      </c>
      <c r="BL13" s="106">
        <v>2.3684757858670006E-16</v>
      </c>
      <c r="BM13" s="106">
        <v>3.9506176108261568E-14</v>
      </c>
      <c r="BN13" s="106">
        <v>3.9365747324823168</v>
      </c>
      <c r="BO13" s="106">
        <v>656.62066537805038</v>
      </c>
      <c r="BP13" s="106">
        <v>1.2734734089409487</v>
      </c>
      <c r="BQ13" s="106">
        <v>212.41536461135021</v>
      </c>
      <c r="BR13" s="106">
        <v>1.2154283502461265</v>
      </c>
      <c r="BS13" s="106">
        <v>202.73344882105388</v>
      </c>
      <c r="BT13" s="106">
        <v>0</v>
      </c>
      <c r="BU13" s="106">
        <v>0</v>
      </c>
      <c r="BV13" s="106">
        <v>2.3582030486461538</v>
      </c>
      <c r="BW13" s="106">
        <v>393.34826851417841</v>
      </c>
      <c r="BX13" s="106">
        <v>2.1230314929008363</v>
      </c>
      <c r="BY13" s="106">
        <v>354.12165301585947</v>
      </c>
      <c r="BZ13" s="106">
        <v>2.137240565897403</v>
      </c>
      <c r="CA13" s="106">
        <v>356.49172639168677</v>
      </c>
      <c r="CB13" s="106">
        <v>1.3871586316622093</v>
      </c>
      <c r="CC13" s="106">
        <v>231.37805976125648</v>
      </c>
      <c r="CD13" s="106">
        <v>2.389224098847142</v>
      </c>
      <c r="CE13" s="106">
        <v>398.52257968770323</v>
      </c>
      <c r="CF13" s="106">
        <v>0</v>
      </c>
      <c r="CG13" s="106">
        <v>0</v>
      </c>
      <c r="CH13" s="106">
        <v>3.3310754427780189</v>
      </c>
      <c r="CI13" s="106">
        <v>555.6233838553735</v>
      </c>
      <c r="CJ13" s="106">
        <v>0</v>
      </c>
      <c r="CK13" s="106">
        <v>0</v>
      </c>
      <c r="CL13" s="106">
        <v>2.9719082375167671</v>
      </c>
      <c r="CM13" s="106">
        <v>495.7142940177967</v>
      </c>
      <c r="CN13" s="106">
        <v>1.1229283707544444</v>
      </c>
      <c r="CO13" s="106">
        <v>187.30445224184132</v>
      </c>
      <c r="CP13" s="106">
        <v>1.2576135110255664</v>
      </c>
      <c r="CQ13" s="106">
        <v>209.76993363906445</v>
      </c>
      <c r="CR13" s="106">
        <v>1.5783156321733425</v>
      </c>
      <c r="CS13" s="106">
        <v>263.2630474465135</v>
      </c>
      <c r="CT13" s="106">
        <v>1.0943164307980529</v>
      </c>
      <c r="CU13" s="106">
        <v>182.53198065711518</v>
      </c>
    </row>
    <row r="14" spans="1:99" x14ac:dyDescent="0.2">
      <c r="C14" s="105" t="s">
        <v>180</v>
      </c>
      <c r="D14" s="106">
        <v>0</v>
      </c>
      <c r="E14" s="106">
        <v>0</v>
      </c>
      <c r="F14" s="106">
        <v>2.7651212413657582</v>
      </c>
      <c r="G14" s="106">
        <v>1380.3485236897864</v>
      </c>
      <c r="H14" s="106">
        <v>0</v>
      </c>
      <c r="I14" s="106">
        <v>0</v>
      </c>
      <c r="J14" s="106">
        <v>2.1949106694918008</v>
      </c>
      <c r="K14" s="106">
        <v>1095.699406210307</v>
      </c>
      <c r="L14" s="106">
        <v>1.5963160422604961</v>
      </c>
      <c r="M14" s="106">
        <v>796.88096829643962</v>
      </c>
      <c r="N14" s="106">
        <v>1.5499947936676888</v>
      </c>
      <c r="O14" s="106">
        <v>773.75740099891027</v>
      </c>
      <c r="P14" s="106">
        <v>1.8141601810447872</v>
      </c>
      <c r="Q14" s="106">
        <v>905.62876237755768</v>
      </c>
      <c r="R14" s="106">
        <v>0.71795339665442337</v>
      </c>
      <c r="S14" s="106">
        <v>358.40233560988815</v>
      </c>
      <c r="T14" s="106">
        <v>2.1677903649546941</v>
      </c>
      <c r="U14" s="106">
        <v>1082.1609501853832</v>
      </c>
      <c r="V14" s="106">
        <v>7.566022633736873</v>
      </c>
      <c r="W14" s="106">
        <v>3776.9584987614471</v>
      </c>
      <c r="X14" s="106">
        <v>0</v>
      </c>
      <c r="Y14" s="106">
        <v>0</v>
      </c>
      <c r="Z14" s="106">
        <v>5.02485619206512</v>
      </c>
      <c r="AA14" s="106">
        <v>2508.4082110789077</v>
      </c>
      <c r="AB14" s="106">
        <v>0</v>
      </c>
      <c r="AC14" s="106">
        <v>0</v>
      </c>
      <c r="AD14" s="106">
        <v>1.4172005406621566</v>
      </c>
      <c r="AE14" s="106">
        <v>707.46650989854857</v>
      </c>
      <c r="AF14" s="106">
        <v>1.8712355488085326</v>
      </c>
      <c r="AG14" s="106">
        <v>934.1207859652194</v>
      </c>
      <c r="AH14" s="106">
        <v>0.29065839365124213</v>
      </c>
      <c r="AI14" s="106">
        <v>145.09667011070007</v>
      </c>
      <c r="AJ14" s="106">
        <v>1.4992077957987293</v>
      </c>
      <c r="AK14" s="106">
        <v>748.40453166272562</v>
      </c>
      <c r="AL14" s="106">
        <v>2.5566115723330274</v>
      </c>
      <c r="AM14" s="106">
        <v>1276.2604969086472</v>
      </c>
      <c r="AN14" s="106">
        <v>2.9634172870431206</v>
      </c>
      <c r="AO14" s="106">
        <v>1479.3379096919257</v>
      </c>
      <c r="AP14" s="106">
        <v>0.77502329574967144</v>
      </c>
      <c r="AQ14" s="106">
        <v>386.89162923823596</v>
      </c>
      <c r="AR14" s="106">
        <v>0.44221917463363597</v>
      </c>
      <c r="AS14" s="106">
        <v>220.75581197711108</v>
      </c>
      <c r="AT14" s="106">
        <v>0.72908980300588699</v>
      </c>
      <c r="AU14" s="106">
        <v>363.96162966053879</v>
      </c>
      <c r="AV14" s="106">
        <v>0</v>
      </c>
      <c r="AW14" s="106">
        <v>0</v>
      </c>
      <c r="AX14" s="106">
        <v>1.6202475726195724</v>
      </c>
      <c r="AY14" s="106">
        <v>808.82758825169049</v>
      </c>
      <c r="AZ14" s="106">
        <v>1.3719190741036795</v>
      </c>
      <c r="BA14" s="106">
        <v>684.86200179255684</v>
      </c>
      <c r="BB14" s="106">
        <v>1.6082136190007144</v>
      </c>
      <c r="BC14" s="106">
        <v>802.82023860515653</v>
      </c>
      <c r="BD14" s="106">
        <v>0</v>
      </c>
      <c r="BE14" s="106">
        <v>0</v>
      </c>
      <c r="BF14" s="106">
        <v>1.8883144561965708</v>
      </c>
      <c r="BG14" s="106">
        <v>942.64657653332813</v>
      </c>
      <c r="BH14" s="106">
        <v>2.3436192183991312E-16</v>
      </c>
      <c r="BI14" s="106">
        <v>1.1699347138248463E-13</v>
      </c>
      <c r="BJ14" s="106">
        <v>3.5774080693449468</v>
      </c>
      <c r="BK14" s="106">
        <v>1785.8421082169973</v>
      </c>
      <c r="BL14" s="106">
        <v>2.1711028037114172E-16</v>
      </c>
      <c r="BM14" s="106">
        <v>1.0838145196127394E-13</v>
      </c>
      <c r="BN14" s="106">
        <v>4.4989425514083621</v>
      </c>
      <c r="BO14" s="106">
        <v>2245.8721216630543</v>
      </c>
      <c r="BP14" s="106">
        <v>1.1142892328233303</v>
      </c>
      <c r="BQ14" s="106">
        <v>556.25318502540642</v>
      </c>
      <c r="BR14" s="106">
        <v>1.4179997419538144</v>
      </c>
      <c r="BS14" s="106">
        <v>707.86547118334408</v>
      </c>
      <c r="BT14" s="106">
        <v>0</v>
      </c>
      <c r="BU14" s="106">
        <v>0</v>
      </c>
      <c r="BV14" s="106">
        <v>2.75123689008718</v>
      </c>
      <c r="BW14" s="106">
        <v>1373.4174555315203</v>
      </c>
      <c r="BX14" s="106">
        <v>2.1230314929008363</v>
      </c>
      <c r="BY14" s="106">
        <v>1059.8173212560973</v>
      </c>
      <c r="BZ14" s="106">
        <v>2.137240565897403</v>
      </c>
      <c r="CA14" s="106">
        <v>1066.9104904959836</v>
      </c>
      <c r="CB14" s="106">
        <v>1.3871586316622093</v>
      </c>
      <c r="CC14" s="106">
        <v>692.46958892577493</v>
      </c>
      <c r="CD14" s="106">
        <v>2.090571086491249</v>
      </c>
      <c r="CE14" s="106">
        <v>1043.6130863764315</v>
      </c>
      <c r="CF14" s="106">
        <v>0</v>
      </c>
      <c r="CG14" s="106">
        <v>0</v>
      </c>
      <c r="CH14" s="106">
        <v>3.3310754427780189</v>
      </c>
      <c r="CI14" s="106">
        <v>1662.8728610347871</v>
      </c>
      <c r="CJ14" s="106">
        <v>0</v>
      </c>
      <c r="CK14" s="106">
        <v>0</v>
      </c>
      <c r="CL14" s="106">
        <v>2.6416962111260149</v>
      </c>
      <c r="CM14" s="106">
        <v>1318.7347485941066</v>
      </c>
      <c r="CN14" s="106">
        <v>0.9825623244101388</v>
      </c>
      <c r="CO14" s="106">
        <v>490.49511234554126</v>
      </c>
      <c r="CP14" s="106">
        <v>1.2576135110255664</v>
      </c>
      <c r="CQ14" s="106">
        <v>627.80066470396275</v>
      </c>
      <c r="CR14" s="106">
        <v>1.183736724130007</v>
      </c>
      <c r="CS14" s="106">
        <v>590.92137268569945</v>
      </c>
      <c r="CT14" s="106">
        <v>0.87545314463844237</v>
      </c>
      <c r="CU14" s="106">
        <v>437.02620980351043</v>
      </c>
    </row>
    <row r="15" spans="1:99" x14ac:dyDescent="0.2">
      <c r="C15" s="105" t="s">
        <v>181</v>
      </c>
      <c r="D15" s="106">
        <v>0</v>
      </c>
      <c r="E15" s="106">
        <v>0</v>
      </c>
      <c r="F15" s="106">
        <v>2.7651212413657582</v>
      </c>
      <c r="G15" s="106">
        <v>2279.565951381931</v>
      </c>
      <c r="H15" s="106">
        <v>0</v>
      </c>
      <c r="I15" s="106">
        <v>0</v>
      </c>
      <c r="J15" s="106">
        <v>2.1949106694918008</v>
      </c>
      <c r="K15" s="106">
        <v>1809.4843559290405</v>
      </c>
      <c r="L15" s="106">
        <v>1.2770528338083968</v>
      </c>
      <c r="M15" s="106">
        <v>1052.8023561916423</v>
      </c>
      <c r="N15" s="106">
        <v>1.5499947936676888</v>
      </c>
      <c r="O15" s="106">
        <v>1277.8157078996426</v>
      </c>
      <c r="P15" s="106">
        <v>1.8141601810447872</v>
      </c>
      <c r="Q15" s="106">
        <v>1495.5936532533226</v>
      </c>
      <c r="R15" s="106">
        <v>0.59829449721201944</v>
      </c>
      <c r="S15" s="106">
        <v>493.2339835015888</v>
      </c>
      <c r="T15" s="106">
        <v>2.1677903649546941</v>
      </c>
      <c r="U15" s="106">
        <v>1787.1263768686497</v>
      </c>
      <c r="V15" s="106">
        <v>7.566022633736873</v>
      </c>
      <c r="W15" s="106">
        <v>6237.4290592526777</v>
      </c>
      <c r="X15" s="106">
        <v>0</v>
      </c>
      <c r="Y15" s="106">
        <v>0</v>
      </c>
      <c r="Z15" s="106">
        <v>4.2711277632553521</v>
      </c>
      <c r="AA15" s="106">
        <v>3521.117728027712</v>
      </c>
      <c r="AB15" s="106">
        <v>0</v>
      </c>
      <c r="AC15" s="106">
        <v>0</v>
      </c>
      <c r="AD15" s="106">
        <v>1.4172005406621566</v>
      </c>
      <c r="AE15" s="106">
        <v>1168.3401257218818</v>
      </c>
      <c r="AF15" s="106">
        <v>1.8712355488085326</v>
      </c>
      <c r="AG15" s="106">
        <v>1542.6465864377542</v>
      </c>
      <c r="AH15" s="106">
        <v>0.34879007238149057</v>
      </c>
      <c r="AI15" s="106">
        <v>287.54253567130081</v>
      </c>
      <c r="AJ15" s="106">
        <v>1.6062940669272101</v>
      </c>
      <c r="AK15" s="106">
        <v>1324.228828774792</v>
      </c>
      <c r="AL15" s="106">
        <v>2.769662536694113</v>
      </c>
      <c r="AM15" s="106">
        <v>2283.3097952506268</v>
      </c>
      <c r="AN15" s="106">
        <v>2.7354621111167265</v>
      </c>
      <c r="AO15" s="106">
        <v>2255.1149644046295</v>
      </c>
      <c r="AP15" s="106">
        <v>0.71966448891040924</v>
      </c>
      <c r="AQ15" s="106">
        <v>593.2914046577414</v>
      </c>
      <c r="AR15" s="106">
        <v>0.35377533970690878</v>
      </c>
      <c r="AS15" s="106">
        <v>291.65239005437559</v>
      </c>
      <c r="AT15" s="106">
        <v>0.64807982489412175</v>
      </c>
      <c r="AU15" s="106">
        <v>534.2770076427139</v>
      </c>
      <c r="AV15" s="106">
        <v>0</v>
      </c>
      <c r="AW15" s="106">
        <v>0</v>
      </c>
      <c r="AX15" s="106">
        <v>1.6202475726195724</v>
      </c>
      <c r="AY15" s="106">
        <v>1335.7320988675754</v>
      </c>
      <c r="AZ15" s="106">
        <v>1.5679075132613478</v>
      </c>
      <c r="BA15" s="106">
        <v>1292.5829539326551</v>
      </c>
      <c r="BB15" s="106">
        <v>1.6082136190007144</v>
      </c>
      <c r="BC15" s="106">
        <v>1325.8113075041888</v>
      </c>
      <c r="BD15" s="106">
        <v>0</v>
      </c>
      <c r="BE15" s="106">
        <v>0</v>
      </c>
      <c r="BF15" s="106">
        <v>1.8883144561965708</v>
      </c>
      <c r="BG15" s="106">
        <v>1556.726437688453</v>
      </c>
      <c r="BH15" s="106">
        <v>2.1305629258173919E-16</v>
      </c>
      <c r="BI15" s="106">
        <v>1.7564360760438578E-13</v>
      </c>
      <c r="BJ15" s="106">
        <v>2.9811733911207892</v>
      </c>
      <c r="BK15" s="106">
        <v>2457.6793436399785</v>
      </c>
      <c r="BL15" s="106">
        <v>2.3684757858670006E-16</v>
      </c>
      <c r="BM15" s="106">
        <v>1.9525714378687553E-13</v>
      </c>
      <c r="BN15" s="106">
        <v>4.4989425514083621</v>
      </c>
      <c r="BO15" s="106">
        <v>3708.9282393810536</v>
      </c>
      <c r="BP15" s="106">
        <v>1.1142892328233303</v>
      </c>
      <c r="BQ15" s="106">
        <v>918.62004353955342</v>
      </c>
      <c r="BR15" s="106">
        <v>1.4179997419538144</v>
      </c>
      <c r="BS15" s="106">
        <v>1168.9989872667245</v>
      </c>
      <c r="BT15" s="106">
        <v>0</v>
      </c>
      <c r="BU15" s="106">
        <v>0</v>
      </c>
      <c r="BV15" s="106">
        <v>2.3582030486461538</v>
      </c>
      <c r="BW15" s="106">
        <v>1944.1025933038891</v>
      </c>
      <c r="BX15" s="106">
        <v>1.9713863862650622</v>
      </c>
      <c r="BY15" s="106">
        <v>1625.2109368369172</v>
      </c>
      <c r="BZ15" s="106">
        <v>2.137240565897403</v>
      </c>
      <c r="CA15" s="106">
        <v>1761.9411225258189</v>
      </c>
      <c r="CB15" s="106">
        <v>1.2330298948108529</v>
      </c>
      <c r="CC15" s="106">
        <v>1016.5098452820671</v>
      </c>
      <c r="CD15" s="106">
        <v>2.389224098847142</v>
      </c>
      <c r="CE15" s="106">
        <v>1969.6763470895839</v>
      </c>
      <c r="CF15" s="106">
        <v>0</v>
      </c>
      <c r="CG15" s="106">
        <v>0</v>
      </c>
      <c r="CH15" s="106">
        <v>3.3310754427780189</v>
      </c>
      <c r="CI15" s="106">
        <v>2746.1385950261988</v>
      </c>
      <c r="CJ15" s="106">
        <v>0</v>
      </c>
      <c r="CK15" s="106">
        <v>0</v>
      </c>
      <c r="CL15" s="106">
        <v>2.3114841847352632</v>
      </c>
      <c r="CM15" s="106">
        <v>1905.5875618957509</v>
      </c>
      <c r="CN15" s="106">
        <v>0.9825623244101388</v>
      </c>
      <c r="CO15" s="106">
        <v>810.02438024371838</v>
      </c>
      <c r="CP15" s="106">
        <v>1.0060908088204532</v>
      </c>
      <c r="CQ15" s="106">
        <v>829.42126279158163</v>
      </c>
      <c r="CR15" s="106">
        <v>1.5783156321733425</v>
      </c>
      <c r="CS15" s="106">
        <v>1301.1634071637036</v>
      </c>
      <c r="CT15" s="106">
        <v>0.98488478771824761</v>
      </c>
      <c r="CU15" s="106">
        <v>811.93901899492334</v>
      </c>
    </row>
    <row r="16" spans="1:99" x14ac:dyDescent="0.2">
      <c r="C16" s="105" t="s">
        <v>182</v>
      </c>
      <c r="D16" s="106">
        <v>0</v>
      </c>
      <c r="E16" s="106">
        <v>0</v>
      </c>
      <c r="F16" s="106">
        <v>2.7651212413657582</v>
      </c>
      <c r="G16" s="106">
        <v>1406.8936876068974</v>
      </c>
      <c r="H16" s="106">
        <v>0</v>
      </c>
      <c r="I16" s="106">
        <v>0</v>
      </c>
      <c r="J16" s="106">
        <v>2.1949106694918008</v>
      </c>
      <c r="K16" s="106">
        <v>1116.770548637428</v>
      </c>
      <c r="L16" s="106">
        <v>1.2770528338083968</v>
      </c>
      <c r="M16" s="106">
        <v>649.76448184171215</v>
      </c>
      <c r="N16" s="106">
        <v>1.5499947936676888</v>
      </c>
      <c r="O16" s="106">
        <v>788.63735101811994</v>
      </c>
      <c r="P16" s="106">
        <v>1.8141601810447872</v>
      </c>
      <c r="Q16" s="106">
        <v>923.04470011558749</v>
      </c>
      <c r="R16" s="106">
        <v>0.71795339665442337</v>
      </c>
      <c r="S16" s="106">
        <v>365.29468821777056</v>
      </c>
      <c r="T16" s="106">
        <v>2.1677903649546941</v>
      </c>
      <c r="U16" s="106">
        <v>1102.9717376889482</v>
      </c>
      <c r="V16" s="106">
        <v>8.0388990483454279</v>
      </c>
      <c r="W16" s="106">
        <v>4090.1918357981531</v>
      </c>
      <c r="X16" s="106">
        <v>0</v>
      </c>
      <c r="Y16" s="106">
        <v>0</v>
      </c>
      <c r="Z16" s="106">
        <v>4.5223705728586072</v>
      </c>
      <c r="AA16" s="106">
        <v>2300.982147470459</v>
      </c>
      <c r="AB16" s="106">
        <v>0</v>
      </c>
      <c r="AC16" s="106">
        <v>0</v>
      </c>
      <c r="AD16" s="106">
        <v>1.1337604325297252</v>
      </c>
      <c r="AE16" s="106">
        <v>576.85730807112407</v>
      </c>
      <c r="AF16" s="106">
        <v>1.8712355488085326</v>
      </c>
      <c r="AG16" s="106">
        <v>952.0846472337812</v>
      </c>
      <c r="AH16" s="106">
        <v>0.34879007238149057</v>
      </c>
      <c r="AI16" s="106">
        <v>177.46438882770238</v>
      </c>
      <c r="AJ16" s="106">
        <v>1.4992077957987293</v>
      </c>
      <c r="AK16" s="106">
        <v>762.79692650239338</v>
      </c>
      <c r="AL16" s="106">
        <v>2.5566115723330274</v>
      </c>
      <c r="AM16" s="106">
        <v>1300.803968003044</v>
      </c>
      <c r="AN16" s="106">
        <v>3.1913724629695142</v>
      </c>
      <c r="AO16" s="106">
        <v>1623.7703091588885</v>
      </c>
      <c r="AP16" s="106">
        <v>0.77502329574967144</v>
      </c>
      <c r="AQ16" s="106">
        <v>394.33185287743277</v>
      </c>
      <c r="AR16" s="106">
        <v>0.44221917463363597</v>
      </c>
      <c r="AS16" s="106">
        <v>225.00111605359393</v>
      </c>
      <c r="AT16" s="106">
        <v>0.72908980300588699</v>
      </c>
      <c r="AU16" s="106">
        <v>370.96089176939523</v>
      </c>
      <c r="AV16" s="106">
        <v>0</v>
      </c>
      <c r="AW16" s="106">
        <v>0</v>
      </c>
      <c r="AX16" s="106">
        <v>1.944297087143487</v>
      </c>
      <c r="AY16" s="106">
        <v>989.25835793860597</v>
      </c>
      <c r="AZ16" s="106">
        <v>1.5679075132613478</v>
      </c>
      <c r="BA16" s="106">
        <v>797.75134274737366</v>
      </c>
      <c r="BB16" s="106">
        <v>1.8379584217151019</v>
      </c>
      <c r="BC16" s="106">
        <v>935.15324496864366</v>
      </c>
      <c r="BD16" s="106">
        <v>0</v>
      </c>
      <c r="BE16" s="106">
        <v>0</v>
      </c>
      <c r="BF16" s="106">
        <v>1.8883144561965708</v>
      </c>
      <c r="BG16" s="106">
        <v>960.77439531281505</v>
      </c>
      <c r="BH16" s="106">
        <v>2.1305629258173919E-16</v>
      </c>
      <c r="BI16" s="106">
        <v>1.0840304166558888E-13</v>
      </c>
      <c r="BJ16" s="106">
        <v>3.5774080693449468</v>
      </c>
      <c r="BK16" s="106">
        <v>1820.1852256827085</v>
      </c>
      <c r="BL16" s="106">
        <v>1.9737298215558337E-16</v>
      </c>
      <c r="BM16" s="106">
        <v>1.004233733207608E-13</v>
      </c>
      <c r="BN16" s="106">
        <v>4.4989425514083621</v>
      </c>
      <c r="BO16" s="106">
        <v>2289.0619701565743</v>
      </c>
      <c r="BP16" s="106">
        <v>1.1142892328233303</v>
      </c>
      <c r="BQ16" s="106">
        <v>566.95036166051034</v>
      </c>
      <c r="BR16" s="106">
        <v>1.4179997419538144</v>
      </c>
      <c r="BS16" s="106">
        <v>721.47826870610061</v>
      </c>
      <c r="BT16" s="106">
        <v>0</v>
      </c>
      <c r="BU16" s="106">
        <v>0</v>
      </c>
      <c r="BV16" s="106">
        <v>2.3582030486461538</v>
      </c>
      <c r="BW16" s="106">
        <v>1199.8537111511628</v>
      </c>
      <c r="BX16" s="106">
        <v>2.1230314929008363</v>
      </c>
      <c r="BY16" s="106">
        <v>1080.1984235879452</v>
      </c>
      <c r="BZ16" s="106">
        <v>1.9591371854059529</v>
      </c>
      <c r="CA16" s="106">
        <v>996.80899993454864</v>
      </c>
      <c r="CB16" s="106">
        <v>1.2330298948108529</v>
      </c>
      <c r="CC16" s="106">
        <v>627.36561047976181</v>
      </c>
      <c r="CD16" s="106">
        <v>2.239897592669196</v>
      </c>
      <c r="CE16" s="106">
        <v>1139.6598951500866</v>
      </c>
      <c r="CF16" s="106">
        <v>0</v>
      </c>
      <c r="CG16" s="106">
        <v>0</v>
      </c>
      <c r="CH16" s="106">
        <v>3.3310754427780189</v>
      </c>
      <c r="CI16" s="106">
        <v>1694.8511852854556</v>
      </c>
      <c r="CJ16" s="106">
        <v>0</v>
      </c>
      <c r="CK16" s="106">
        <v>0</v>
      </c>
      <c r="CL16" s="106">
        <v>2.6416962111260149</v>
      </c>
      <c r="CM16" s="106">
        <v>1344.0950322209162</v>
      </c>
      <c r="CN16" s="106">
        <v>0.8421962780658333</v>
      </c>
      <c r="CO16" s="106">
        <v>428.50946627989589</v>
      </c>
      <c r="CP16" s="106">
        <v>1.2576135110255664</v>
      </c>
      <c r="CQ16" s="106">
        <v>639.87375440980804</v>
      </c>
      <c r="CR16" s="106">
        <v>1.3810261781516746</v>
      </c>
      <c r="CS16" s="106">
        <v>702.66611944357192</v>
      </c>
      <c r="CT16" s="106">
        <v>0.98488478771824761</v>
      </c>
      <c r="CU16" s="106">
        <v>501.10937999104431</v>
      </c>
    </row>
    <row r="17" spans="2:99" x14ac:dyDescent="0.2">
      <c r="C17" s="105" t="s">
        <v>183</v>
      </c>
      <c r="D17" s="106">
        <v>0</v>
      </c>
      <c r="E17" s="106">
        <v>0</v>
      </c>
      <c r="F17" s="106">
        <v>2.7651212413657582</v>
      </c>
      <c r="G17" s="106">
        <v>1373.7122327105085</v>
      </c>
      <c r="H17" s="106">
        <v>0</v>
      </c>
      <c r="I17" s="106">
        <v>0</v>
      </c>
      <c r="J17" s="106">
        <v>2.1949106694918008</v>
      </c>
      <c r="K17" s="106">
        <v>1090.4316206035264</v>
      </c>
      <c r="L17" s="106">
        <v>1.5963160422604961</v>
      </c>
      <c r="M17" s="106">
        <v>793.04980979501443</v>
      </c>
      <c r="N17" s="106">
        <v>1.2916623280564072</v>
      </c>
      <c r="O17" s="106">
        <v>641.69784457842309</v>
      </c>
      <c r="P17" s="106">
        <v>1.8141601810447872</v>
      </c>
      <c r="Q17" s="106">
        <v>901.27477794305014</v>
      </c>
      <c r="R17" s="106">
        <v>0.59829449721201944</v>
      </c>
      <c r="S17" s="106">
        <v>297.23270621493123</v>
      </c>
      <c r="T17" s="106">
        <v>2.0010372599581792</v>
      </c>
      <c r="U17" s="106">
        <v>994.11531074722336</v>
      </c>
      <c r="V17" s="106">
        <v>8.9846518775625377</v>
      </c>
      <c r="W17" s="106">
        <v>4463.5750527730679</v>
      </c>
      <c r="X17" s="106">
        <v>0</v>
      </c>
      <c r="Y17" s="106">
        <v>0</v>
      </c>
      <c r="Z17" s="106">
        <v>4.2711277632553521</v>
      </c>
      <c r="AA17" s="106">
        <v>2121.8962727852586</v>
      </c>
      <c r="AB17" s="106">
        <v>0</v>
      </c>
      <c r="AC17" s="106">
        <v>0</v>
      </c>
      <c r="AD17" s="106">
        <v>1.4172005406621566</v>
      </c>
      <c r="AE17" s="106">
        <v>704.06522860095936</v>
      </c>
      <c r="AF17" s="106">
        <v>2.1831081402766213</v>
      </c>
      <c r="AG17" s="106">
        <v>1084.5681240894253</v>
      </c>
      <c r="AH17" s="106">
        <v>0.29065839365124213</v>
      </c>
      <c r="AI17" s="106">
        <v>144.39908996593707</v>
      </c>
      <c r="AJ17" s="106">
        <v>1.3921215246702487</v>
      </c>
      <c r="AK17" s="106">
        <v>691.60597345617953</v>
      </c>
      <c r="AL17" s="106">
        <v>2.5566115723330274</v>
      </c>
      <c r="AM17" s="106">
        <v>1270.1246291350478</v>
      </c>
      <c r="AN17" s="106">
        <v>2.7354621111167265</v>
      </c>
      <c r="AO17" s="106">
        <v>1358.9775768027896</v>
      </c>
      <c r="AP17" s="106">
        <v>0.66430568207114693</v>
      </c>
      <c r="AQ17" s="106">
        <v>330.02706285294579</v>
      </c>
      <c r="AR17" s="106">
        <v>0.44221917463363597</v>
      </c>
      <c r="AS17" s="106">
        <v>219.69448595799034</v>
      </c>
      <c r="AT17" s="106">
        <v>0.72908980300588699</v>
      </c>
      <c r="AU17" s="106">
        <v>362.21181413332465</v>
      </c>
      <c r="AV17" s="106">
        <v>0</v>
      </c>
      <c r="AW17" s="106">
        <v>0</v>
      </c>
      <c r="AX17" s="106">
        <v>1.944297087143487</v>
      </c>
      <c r="AY17" s="106">
        <v>965.92679289288424</v>
      </c>
      <c r="AZ17" s="106">
        <v>1.7638959524190163</v>
      </c>
      <c r="BA17" s="106">
        <v>876.30350916176724</v>
      </c>
      <c r="BB17" s="106">
        <v>1.6082136190007144</v>
      </c>
      <c r="BC17" s="106">
        <v>798.96052591955481</v>
      </c>
      <c r="BD17" s="106">
        <v>0</v>
      </c>
      <c r="BE17" s="106">
        <v>0</v>
      </c>
      <c r="BF17" s="106">
        <v>1.8883144561965708</v>
      </c>
      <c r="BG17" s="106">
        <v>938.11462183845629</v>
      </c>
      <c r="BH17" s="106">
        <v>1.9175066332356528E-16</v>
      </c>
      <c r="BI17" s="106">
        <v>9.5261729539147226E-14</v>
      </c>
      <c r="BJ17" s="106">
        <v>2.9811733911207892</v>
      </c>
      <c r="BK17" s="106">
        <v>1481.0469407088078</v>
      </c>
      <c r="BL17" s="106">
        <v>2.1711028037114172E-16</v>
      </c>
      <c r="BM17" s="106">
        <v>1.0786038728838319E-13</v>
      </c>
      <c r="BN17" s="106">
        <v>3.9365747324823168</v>
      </c>
      <c r="BO17" s="106">
        <v>1955.6903270972148</v>
      </c>
      <c r="BP17" s="106">
        <v>1.1142892328233303</v>
      </c>
      <c r="BQ17" s="106">
        <v>553.57889086663045</v>
      </c>
      <c r="BR17" s="106">
        <v>1.4179997419538144</v>
      </c>
      <c r="BS17" s="106">
        <v>704.46227180265498</v>
      </c>
      <c r="BT17" s="106">
        <v>0</v>
      </c>
      <c r="BU17" s="106">
        <v>0</v>
      </c>
      <c r="BV17" s="106">
        <v>2.3582030486461538</v>
      </c>
      <c r="BW17" s="106">
        <v>1171.555274567409</v>
      </c>
      <c r="BX17" s="106">
        <v>2.1230314929008363</v>
      </c>
      <c r="BY17" s="106">
        <v>1054.7220456731354</v>
      </c>
      <c r="BZ17" s="106">
        <v>2.137240565897403</v>
      </c>
      <c r="CA17" s="106">
        <v>1061.7811131378296</v>
      </c>
      <c r="CB17" s="106">
        <v>1.2330298948108529</v>
      </c>
      <c r="CC17" s="106">
        <v>612.56925174203161</v>
      </c>
      <c r="CD17" s="106">
        <v>2.090571086491249</v>
      </c>
      <c r="CE17" s="106">
        <v>1038.5957157688524</v>
      </c>
      <c r="CF17" s="106">
        <v>0</v>
      </c>
      <c r="CG17" s="106">
        <v>0</v>
      </c>
      <c r="CH17" s="106">
        <v>3.3310754427780189</v>
      </c>
      <c r="CI17" s="106">
        <v>1654.8782799721196</v>
      </c>
      <c r="CJ17" s="106">
        <v>0</v>
      </c>
      <c r="CK17" s="106">
        <v>0</v>
      </c>
      <c r="CL17" s="106">
        <v>2.6416962111260149</v>
      </c>
      <c r="CM17" s="106">
        <v>1312.3946776874041</v>
      </c>
      <c r="CN17" s="106">
        <v>1.1229283707544444</v>
      </c>
      <c r="CO17" s="106">
        <v>557.87081459080798</v>
      </c>
      <c r="CP17" s="106">
        <v>1.2576135110255664</v>
      </c>
      <c r="CQ17" s="106">
        <v>624.78239227750134</v>
      </c>
      <c r="CR17" s="106">
        <v>1.3810261781516746</v>
      </c>
      <c r="CS17" s="106">
        <v>686.09380530575186</v>
      </c>
      <c r="CT17" s="106">
        <v>0.98488478771824761</v>
      </c>
      <c r="CU17" s="106">
        <v>489.29076253842538</v>
      </c>
    </row>
    <row r="18" spans="2:99" x14ac:dyDescent="0.2">
      <c r="C18" s="105" t="s">
        <v>184</v>
      </c>
      <c r="D18" s="106">
        <v>0</v>
      </c>
      <c r="E18" s="106">
        <v>0</v>
      </c>
      <c r="F18" s="106">
        <v>2.0738409310243182</v>
      </c>
      <c r="G18" s="106">
        <v>1515.5629523925716</v>
      </c>
      <c r="H18" s="106">
        <v>0</v>
      </c>
      <c r="I18" s="106">
        <v>0</v>
      </c>
      <c r="J18" s="106">
        <v>2.5607291144071009</v>
      </c>
      <c r="K18" s="106">
        <v>1871.3808368087093</v>
      </c>
      <c r="L18" s="106">
        <v>1.5963160422604961</v>
      </c>
      <c r="M18" s="106">
        <v>1166.5877636839705</v>
      </c>
      <c r="N18" s="106">
        <v>1.5499947936676888</v>
      </c>
      <c r="O18" s="106">
        <v>1132.736195212347</v>
      </c>
      <c r="P18" s="106">
        <v>1.8141601810447872</v>
      </c>
      <c r="Q18" s="106">
        <v>1325.7882603075304</v>
      </c>
      <c r="R18" s="106">
        <v>0.59829449721201944</v>
      </c>
      <c r="S18" s="106">
        <v>437.23361856254377</v>
      </c>
      <c r="T18" s="106">
        <v>2.1677903649546941</v>
      </c>
      <c r="U18" s="106">
        <v>1584.2211987088904</v>
      </c>
      <c r="V18" s="106">
        <v>8.5117754629539828</v>
      </c>
      <c r="W18" s="106">
        <v>6220.4055083267704</v>
      </c>
      <c r="X18" s="106">
        <v>0</v>
      </c>
      <c r="Y18" s="106">
        <v>0</v>
      </c>
      <c r="Z18" s="106">
        <v>4.2711277632553521</v>
      </c>
      <c r="AA18" s="106">
        <v>3121.340169387011</v>
      </c>
      <c r="AB18" s="106">
        <v>0</v>
      </c>
      <c r="AC18" s="106">
        <v>0</v>
      </c>
      <c r="AD18" s="106">
        <v>1.4172005406621566</v>
      </c>
      <c r="AE18" s="106">
        <v>1035.690155115904</v>
      </c>
      <c r="AF18" s="106">
        <v>2.1831081402766213</v>
      </c>
      <c r="AG18" s="106">
        <v>1595.4154289141547</v>
      </c>
      <c r="AH18" s="106">
        <v>0.34879007238149057</v>
      </c>
      <c r="AI18" s="106">
        <v>254.89578489639328</v>
      </c>
      <c r="AJ18" s="106">
        <v>1.6062940669272101</v>
      </c>
      <c r="AK18" s="106">
        <v>1173.8797041104051</v>
      </c>
      <c r="AL18" s="106">
        <v>2.5566115723330274</v>
      </c>
      <c r="AM18" s="106">
        <v>1868.3717370609763</v>
      </c>
      <c r="AN18" s="106">
        <v>2.9634172870431206</v>
      </c>
      <c r="AO18" s="106">
        <v>2165.6653533711124</v>
      </c>
      <c r="AP18" s="106">
        <v>0.71966448891040924</v>
      </c>
      <c r="AQ18" s="106">
        <v>525.93080849572709</v>
      </c>
      <c r="AR18" s="106">
        <v>0.44221917463363597</v>
      </c>
      <c r="AS18" s="106">
        <v>323.17377282226113</v>
      </c>
      <c r="AT18" s="106">
        <v>0.64807982489412175</v>
      </c>
      <c r="AU18" s="106">
        <v>473.61673603262415</v>
      </c>
      <c r="AV18" s="106">
        <v>0</v>
      </c>
      <c r="AW18" s="106">
        <v>0</v>
      </c>
      <c r="AX18" s="106">
        <v>1.944297087143487</v>
      </c>
      <c r="AY18" s="106">
        <v>1420.8923112844602</v>
      </c>
      <c r="AZ18" s="106">
        <v>1.5679075132613478</v>
      </c>
      <c r="BA18" s="106">
        <v>1145.8268106913929</v>
      </c>
      <c r="BB18" s="106">
        <v>1.8379584217151019</v>
      </c>
      <c r="BC18" s="106">
        <v>1343.1800145893965</v>
      </c>
      <c r="BD18" s="106">
        <v>0</v>
      </c>
      <c r="BE18" s="106">
        <v>0</v>
      </c>
      <c r="BF18" s="106">
        <v>1.8883144561965708</v>
      </c>
      <c r="BG18" s="106">
        <v>1379.9802045884539</v>
      </c>
      <c r="BH18" s="106">
        <v>2.1305629258173919E-16</v>
      </c>
      <c r="BI18" s="106">
        <v>1.5570153861873498E-13</v>
      </c>
      <c r="BJ18" s="106">
        <v>3.1799182838621749</v>
      </c>
      <c r="BK18" s="106">
        <v>2323.8842818464773</v>
      </c>
      <c r="BL18" s="106">
        <v>2.1711028037114172E-16</v>
      </c>
      <c r="BM18" s="106">
        <v>1.5866419289523036E-13</v>
      </c>
      <c r="BN18" s="106">
        <v>3.9365747324823168</v>
      </c>
      <c r="BO18" s="106">
        <v>2876.848814498077</v>
      </c>
      <c r="BP18" s="106">
        <v>1.1142892328233303</v>
      </c>
      <c r="BQ18" s="106">
        <v>814.32257134728968</v>
      </c>
      <c r="BR18" s="106">
        <v>1.4179997419538144</v>
      </c>
      <c r="BS18" s="106">
        <v>1036.2742114198475</v>
      </c>
      <c r="BT18" s="106">
        <v>0</v>
      </c>
      <c r="BU18" s="106">
        <v>0</v>
      </c>
      <c r="BV18" s="106">
        <v>2.3582030486461538</v>
      </c>
      <c r="BW18" s="106">
        <v>1723.3747879506091</v>
      </c>
      <c r="BX18" s="106">
        <v>1.9713863862650622</v>
      </c>
      <c r="BY18" s="106">
        <v>1440.6891710825073</v>
      </c>
      <c r="BZ18" s="106">
        <v>2.137240565897403</v>
      </c>
      <c r="CA18" s="106">
        <v>1561.895405557822</v>
      </c>
      <c r="CB18" s="106">
        <v>1.2330298948108529</v>
      </c>
      <c r="CC18" s="106">
        <v>901.09824712777129</v>
      </c>
      <c r="CD18" s="106">
        <v>2.389224098847142</v>
      </c>
      <c r="CE18" s="106">
        <v>1746.0449714374913</v>
      </c>
      <c r="CF18" s="106">
        <v>0</v>
      </c>
      <c r="CG18" s="106">
        <v>0</v>
      </c>
      <c r="CH18" s="106">
        <v>3.3310754427780189</v>
      </c>
      <c r="CI18" s="106">
        <v>2434.3499335821762</v>
      </c>
      <c r="CJ18" s="106">
        <v>0</v>
      </c>
      <c r="CK18" s="106">
        <v>0</v>
      </c>
      <c r="CL18" s="106">
        <v>2.6416962111260149</v>
      </c>
      <c r="CM18" s="106">
        <v>1930.5515910908916</v>
      </c>
      <c r="CN18" s="106">
        <v>1.1229283707544444</v>
      </c>
      <c r="CO18" s="106">
        <v>820.63605334734791</v>
      </c>
      <c r="CP18" s="106">
        <v>1.2576135110255664</v>
      </c>
      <c r="CQ18" s="106">
        <v>919.06395385748385</v>
      </c>
      <c r="CR18" s="106">
        <v>1.3810261781516746</v>
      </c>
      <c r="CS18" s="106">
        <v>1009.2539309932438</v>
      </c>
      <c r="CT18" s="106">
        <v>0.98488478771824761</v>
      </c>
      <c r="CU18" s="106">
        <v>719.75380286449536</v>
      </c>
    </row>
    <row r="19" spans="2:99" x14ac:dyDescent="0.2">
      <c r="C19" s="105" t="s">
        <v>185</v>
      </c>
      <c r="D19" s="106">
        <v>0</v>
      </c>
      <c r="E19" s="106">
        <v>0</v>
      </c>
      <c r="F19" s="106">
        <v>2.7651212413657582</v>
      </c>
      <c r="G19" s="106">
        <v>1068.4428476637288</v>
      </c>
      <c r="H19" s="106">
        <v>0</v>
      </c>
      <c r="I19" s="106">
        <v>0</v>
      </c>
      <c r="J19" s="106">
        <v>2.1949106694918008</v>
      </c>
      <c r="K19" s="106">
        <v>848.11348269163182</v>
      </c>
      <c r="L19" s="106">
        <v>1.5963160422604961</v>
      </c>
      <c r="M19" s="106">
        <v>616.81651872945565</v>
      </c>
      <c r="N19" s="106">
        <v>1.8083272592789699</v>
      </c>
      <c r="O19" s="106">
        <v>698.73765298539388</v>
      </c>
      <c r="P19" s="106">
        <v>1.8141601810447872</v>
      </c>
      <c r="Q19" s="106">
        <v>700.99149395570566</v>
      </c>
      <c r="R19" s="106">
        <v>0.59829449721201944</v>
      </c>
      <c r="S19" s="106">
        <v>231.18099372272431</v>
      </c>
      <c r="T19" s="106">
        <v>2.1677903649546941</v>
      </c>
      <c r="U19" s="106">
        <v>837.63419701849375</v>
      </c>
      <c r="V19" s="106">
        <v>8.5117754629539828</v>
      </c>
      <c r="W19" s="106">
        <v>3288.950038885419</v>
      </c>
      <c r="X19" s="106">
        <v>0</v>
      </c>
      <c r="Y19" s="106">
        <v>0</v>
      </c>
      <c r="Z19" s="106">
        <v>4.5223705728586072</v>
      </c>
      <c r="AA19" s="106">
        <v>1747.4439893525657</v>
      </c>
      <c r="AB19" s="106">
        <v>0</v>
      </c>
      <c r="AC19" s="106">
        <v>0</v>
      </c>
      <c r="AD19" s="106">
        <v>1.4172005406621566</v>
      </c>
      <c r="AE19" s="106">
        <v>547.60628891185729</v>
      </c>
      <c r="AF19" s="106">
        <v>2.1831081402766213</v>
      </c>
      <c r="AG19" s="106">
        <v>843.55298540288641</v>
      </c>
      <c r="AH19" s="106">
        <v>0.34879007238149057</v>
      </c>
      <c r="AI19" s="106">
        <v>134.77248396820795</v>
      </c>
      <c r="AJ19" s="106">
        <v>1.4992077957987293</v>
      </c>
      <c r="AK19" s="106">
        <v>579.293892296629</v>
      </c>
      <c r="AL19" s="106">
        <v>2.5566115723330274</v>
      </c>
      <c r="AM19" s="106">
        <v>987.87471154948173</v>
      </c>
      <c r="AN19" s="106">
        <v>2.7354621111167265</v>
      </c>
      <c r="AO19" s="106">
        <v>1056.9825597355032</v>
      </c>
      <c r="AP19" s="106">
        <v>0.83038210258893375</v>
      </c>
      <c r="AQ19" s="106">
        <v>320.85964444036398</v>
      </c>
      <c r="AR19" s="106">
        <v>0.44221917463363597</v>
      </c>
      <c r="AS19" s="106">
        <v>170.87348907843693</v>
      </c>
      <c r="AT19" s="106">
        <v>0.64807982489412175</v>
      </c>
      <c r="AU19" s="106">
        <v>250.41804433908862</v>
      </c>
      <c r="AV19" s="106">
        <v>0</v>
      </c>
      <c r="AW19" s="106">
        <v>0</v>
      </c>
      <c r="AX19" s="106">
        <v>1.944297087143487</v>
      </c>
      <c r="AY19" s="106">
        <v>751.2763944722434</v>
      </c>
      <c r="AZ19" s="106">
        <v>1.5679075132613478</v>
      </c>
      <c r="BA19" s="106">
        <v>605.8394631241847</v>
      </c>
      <c r="BB19" s="106">
        <v>1.8379584217151019</v>
      </c>
      <c r="BC19" s="106">
        <v>710.18713415071534</v>
      </c>
      <c r="BD19" s="106">
        <v>0</v>
      </c>
      <c r="BE19" s="106">
        <v>0</v>
      </c>
      <c r="BF19" s="106">
        <v>1.8883144561965708</v>
      </c>
      <c r="BG19" s="106">
        <v>729.64470587435494</v>
      </c>
      <c r="BH19" s="106">
        <v>2.1305629258173919E-16</v>
      </c>
      <c r="BI19" s="106">
        <v>8.2324951453584022E-14</v>
      </c>
      <c r="BJ19" s="106">
        <v>3.1799182838621749</v>
      </c>
      <c r="BK19" s="106">
        <v>1228.7204248843443</v>
      </c>
      <c r="BL19" s="106">
        <v>1.9737298215558337E-16</v>
      </c>
      <c r="BM19" s="106">
        <v>7.6264920304917414E-14</v>
      </c>
      <c r="BN19" s="106">
        <v>4.4989425514083621</v>
      </c>
      <c r="BO19" s="106">
        <v>1738.391401864191</v>
      </c>
      <c r="BP19" s="106">
        <v>1.1142892328233303</v>
      </c>
      <c r="BQ19" s="106">
        <v>430.5613595629348</v>
      </c>
      <c r="BR19" s="106">
        <v>1.2154283502461265</v>
      </c>
      <c r="BS19" s="106">
        <v>469.64151453510323</v>
      </c>
      <c r="BT19" s="106">
        <v>0</v>
      </c>
      <c r="BU19" s="106">
        <v>0</v>
      </c>
      <c r="BV19" s="106">
        <v>2.3582030486461538</v>
      </c>
      <c r="BW19" s="106">
        <v>911.20965799687383</v>
      </c>
      <c r="BX19" s="106">
        <v>2.2746765995366101</v>
      </c>
      <c r="BY19" s="106">
        <v>878.93503806094611</v>
      </c>
      <c r="BZ19" s="106">
        <v>2.137240565897403</v>
      </c>
      <c r="CA19" s="106">
        <v>825.8297546627565</v>
      </c>
      <c r="CB19" s="106">
        <v>1.3871586316622093</v>
      </c>
      <c r="CC19" s="106">
        <v>535.9980952742776</v>
      </c>
      <c r="CD19" s="106">
        <v>2.090571086491249</v>
      </c>
      <c r="CE19" s="106">
        <v>807.79666782021854</v>
      </c>
      <c r="CF19" s="106">
        <v>0</v>
      </c>
      <c r="CG19" s="106">
        <v>0</v>
      </c>
      <c r="CH19" s="106">
        <v>3.3310754427780189</v>
      </c>
      <c r="CI19" s="106">
        <v>1287.1275510894263</v>
      </c>
      <c r="CJ19" s="106">
        <v>0</v>
      </c>
      <c r="CK19" s="106">
        <v>0</v>
      </c>
      <c r="CL19" s="106">
        <v>2.6416962111260149</v>
      </c>
      <c r="CM19" s="106">
        <v>1020.7514159790921</v>
      </c>
      <c r="CN19" s="106">
        <v>0.9825623244101388</v>
      </c>
      <c r="CO19" s="106">
        <v>379.66208215207763</v>
      </c>
      <c r="CP19" s="106">
        <v>1.2576135110255664</v>
      </c>
      <c r="CQ19" s="106">
        <v>485.94186066027885</v>
      </c>
      <c r="CR19" s="106">
        <v>1.3810261781516746</v>
      </c>
      <c r="CS19" s="106">
        <v>533.62851523780705</v>
      </c>
      <c r="CT19" s="106">
        <v>0.87545314463844237</v>
      </c>
      <c r="CU19" s="106">
        <v>338.27509508829411</v>
      </c>
    </row>
    <row r="20" spans="2:99" x14ac:dyDescent="0.2">
      <c r="B20" s="105" t="s">
        <v>127</v>
      </c>
      <c r="C20" s="105" t="s">
        <v>186</v>
      </c>
      <c r="D20" s="106">
        <v>0</v>
      </c>
      <c r="E20" s="106">
        <v>0</v>
      </c>
      <c r="F20" s="106">
        <v>4.8389621723900769</v>
      </c>
      <c r="G20" s="106">
        <v>464.54036854944741</v>
      </c>
      <c r="H20" s="106">
        <v>0</v>
      </c>
      <c r="I20" s="106">
        <v>0</v>
      </c>
      <c r="J20" s="106">
        <v>5.1214582288142019</v>
      </c>
      <c r="K20" s="106">
        <v>491.65998996616338</v>
      </c>
      <c r="L20" s="106">
        <v>4.1504217098772891</v>
      </c>
      <c r="M20" s="106">
        <v>398.44048414821975</v>
      </c>
      <c r="N20" s="106">
        <v>2.0666597248902514</v>
      </c>
      <c r="O20" s="106">
        <v>198.39933358946413</v>
      </c>
      <c r="P20" s="106">
        <v>2.9026562896716595</v>
      </c>
      <c r="Q20" s="106">
        <v>278.65500380847931</v>
      </c>
      <c r="R20" s="106">
        <v>1.3162478938664428</v>
      </c>
      <c r="S20" s="106">
        <v>126.35979781117851</v>
      </c>
      <c r="T20" s="106">
        <v>2.0010372599581792</v>
      </c>
      <c r="U20" s="106">
        <v>192.09957695598519</v>
      </c>
      <c r="V20" s="106">
        <v>3.7830113168684365</v>
      </c>
      <c r="W20" s="106">
        <v>363.16908641936993</v>
      </c>
      <c r="X20" s="106">
        <v>0</v>
      </c>
      <c r="Y20" s="106">
        <v>0</v>
      </c>
      <c r="Z20" s="106">
        <v>2.0099424768260481</v>
      </c>
      <c r="AA20" s="106">
        <v>192.95447777530063</v>
      </c>
      <c r="AB20" s="106">
        <v>0</v>
      </c>
      <c r="AC20" s="106">
        <v>0</v>
      </c>
      <c r="AD20" s="106">
        <v>7.0860027033107817</v>
      </c>
      <c r="AE20" s="106">
        <v>680.25625951783502</v>
      </c>
      <c r="AF20" s="106">
        <v>7.4849421952341304</v>
      </c>
      <c r="AG20" s="106">
        <v>718.55445074247655</v>
      </c>
      <c r="AH20" s="106">
        <v>2.3833988279401854</v>
      </c>
      <c r="AI20" s="106">
        <v>228.8062874822578</v>
      </c>
      <c r="AJ20" s="106">
        <v>1.7133803380556909</v>
      </c>
      <c r="AK20" s="106">
        <v>164.48451245334633</v>
      </c>
      <c r="AL20" s="106">
        <v>3.6218663941384555</v>
      </c>
      <c r="AM20" s="106">
        <v>347.69917383729171</v>
      </c>
      <c r="AN20" s="106">
        <v>5.015013870380665</v>
      </c>
      <c r="AO20" s="106">
        <v>481.44133155654384</v>
      </c>
      <c r="AP20" s="106">
        <v>0.99645852310672045</v>
      </c>
      <c r="AQ20" s="106">
        <v>95.66001821824517</v>
      </c>
      <c r="AR20" s="106">
        <v>1.326657523900908</v>
      </c>
      <c r="AS20" s="106">
        <v>127.35912229448716</v>
      </c>
      <c r="AT20" s="106">
        <v>1.134139693564713</v>
      </c>
      <c r="AU20" s="106">
        <v>108.87741058221245</v>
      </c>
      <c r="AV20" s="106">
        <v>0</v>
      </c>
      <c r="AW20" s="106">
        <v>0</v>
      </c>
      <c r="AX20" s="106">
        <v>4.2126436888108882</v>
      </c>
      <c r="AY20" s="106">
        <v>404.41379412584524</v>
      </c>
      <c r="AZ20" s="106">
        <v>2.7438381482073591</v>
      </c>
      <c r="BA20" s="106">
        <v>263.40846222790645</v>
      </c>
      <c r="BB20" s="106">
        <v>2.2974480271438775</v>
      </c>
      <c r="BC20" s="106">
        <v>220.55501060581224</v>
      </c>
      <c r="BD20" s="106">
        <v>0</v>
      </c>
      <c r="BE20" s="106">
        <v>0</v>
      </c>
      <c r="BF20" s="106">
        <v>3.3989660211538273</v>
      </c>
      <c r="BG20" s="106">
        <v>326.30073803076743</v>
      </c>
      <c r="BH20" s="106">
        <v>5.5394636071252187E-16</v>
      </c>
      <c r="BI20" s="106">
        <v>5.3178850628402103E-14</v>
      </c>
      <c r="BJ20" s="106">
        <v>7.1548161386898936</v>
      </c>
      <c r="BK20" s="106">
        <v>686.86234931422973</v>
      </c>
      <c r="BL20" s="106">
        <v>6.1185624468230849E-16</v>
      </c>
      <c r="BM20" s="106">
        <v>5.8738199489501609E-14</v>
      </c>
      <c r="BN20" s="106">
        <v>10.966172469057883</v>
      </c>
      <c r="BO20" s="106">
        <v>1052.7525570295568</v>
      </c>
      <c r="BP20" s="106">
        <v>5.0938936357637949</v>
      </c>
      <c r="BQ20" s="106">
        <v>489.01378903332431</v>
      </c>
      <c r="BR20" s="106">
        <v>4.0514278341537553</v>
      </c>
      <c r="BS20" s="106">
        <v>388.93707207876048</v>
      </c>
      <c r="BT20" s="106">
        <v>0</v>
      </c>
      <c r="BU20" s="106">
        <v>0</v>
      </c>
      <c r="BV20" s="106">
        <v>11.00494756034872</v>
      </c>
      <c r="BW20" s="106">
        <v>1056.4749657934772</v>
      </c>
      <c r="BX20" s="106">
        <v>4.0944178791658983</v>
      </c>
      <c r="BY20" s="106">
        <v>393.06411639992621</v>
      </c>
      <c r="BZ20" s="106">
        <v>3.5620676098290049</v>
      </c>
      <c r="CA20" s="106">
        <v>341.9584905435845</v>
      </c>
      <c r="CB20" s="106">
        <v>3.8532184212839145</v>
      </c>
      <c r="CC20" s="106">
        <v>369.90896844325579</v>
      </c>
      <c r="CD20" s="106">
        <v>3.2851831359148207</v>
      </c>
      <c r="CE20" s="106">
        <v>315.37758104782279</v>
      </c>
      <c r="CF20" s="106">
        <v>0</v>
      </c>
      <c r="CG20" s="106">
        <v>0</v>
      </c>
      <c r="CH20" s="106">
        <v>5.7104150447623176</v>
      </c>
      <c r="CI20" s="106">
        <v>548.19984429718249</v>
      </c>
      <c r="CJ20" s="106">
        <v>0</v>
      </c>
      <c r="CK20" s="106">
        <v>0</v>
      </c>
      <c r="CL20" s="106">
        <v>4.9531803958612777</v>
      </c>
      <c r="CM20" s="106">
        <v>475.50531800268266</v>
      </c>
      <c r="CN20" s="106">
        <v>1.2632944170987499</v>
      </c>
      <c r="CO20" s="106">
        <v>121.27626404147999</v>
      </c>
      <c r="CP20" s="106">
        <v>3.521317830871586</v>
      </c>
      <c r="CQ20" s="106">
        <v>338.04651176367224</v>
      </c>
      <c r="CR20" s="106">
        <v>2.9593418103250171</v>
      </c>
      <c r="CS20" s="106">
        <v>284.09681379120161</v>
      </c>
      <c r="CT20" s="106">
        <v>1.2037480738778581</v>
      </c>
      <c r="CU20" s="106">
        <v>115.55981509227438</v>
      </c>
    </row>
    <row r="21" spans="2:99" x14ac:dyDescent="0.2">
      <c r="C21" s="105" t="s">
        <v>187</v>
      </c>
      <c r="D21" s="106">
        <v>0</v>
      </c>
      <c r="E21" s="106">
        <v>0</v>
      </c>
      <c r="F21" s="106">
        <v>4.8389621723900769</v>
      </c>
      <c r="G21" s="106">
        <v>1172.9644305873546</v>
      </c>
      <c r="H21" s="106">
        <v>0</v>
      </c>
      <c r="I21" s="106">
        <v>0</v>
      </c>
      <c r="J21" s="106">
        <v>5.1214582288142019</v>
      </c>
      <c r="K21" s="106">
        <v>1241.4414746645625</v>
      </c>
      <c r="L21" s="106">
        <v>4.788948126781488</v>
      </c>
      <c r="M21" s="106">
        <v>1160.8410259318325</v>
      </c>
      <c r="N21" s="106">
        <v>2.0666597248902514</v>
      </c>
      <c r="O21" s="106">
        <v>500.95831731339689</v>
      </c>
      <c r="P21" s="106">
        <v>2.5398242534627018</v>
      </c>
      <c r="Q21" s="106">
        <v>615.65339903935887</v>
      </c>
      <c r="R21" s="106">
        <v>1.1965889944240389</v>
      </c>
      <c r="S21" s="106">
        <v>290.053172248387</v>
      </c>
      <c r="T21" s="106">
        <v>1.6675310499651492</v>
      </c>
      <c r="U21" s="106">
        <v>404.20952651155216</v>
      </c>
      <c r="V21" s="106">
        <v>3.7830113168684365</v>
      </c>
      <c r="W21" s="106">
        <v>917.00194320890887</v>
      </c>
      <c r="X21" s="106">
        <v>0</v>
      </c>
      <c r="Y21" s="106">
        <v>0</v>
      </c>
      <c r="Z21" s="106">
        <v>2.0099424768260481</v>
      </c>
      <c r="AA21" s="106">
        <v>487.21005638263404</v>
      </c>
      <c r="AB21" s="106">
        <v>0</v>
      </c>
      <c r="AC21" s="106">
        <v>0</v>
      </c>
      <c r="AD21" s="106">
        <v>6.802562595178351</v>
      </c>
      <c r="AE21" s="106">
        <v>1648.9411730712322</v>
      </c>
      <c r="AF21" s="106">
        <v>6.8611970122979535</v>
      </c>
      <c r="AG21" s="106">
        <v>1663.1541557810237</v>
      </c>
      <c r="AH21" s="106">
        <v>2.4415305066704338</v>
      </c>
      <c r="AI21" s="106">
        <v>591.82699481691304</v>
      </c>
      <c r="AJ21" s="106">
        <v>1.8204666091841712</v>
      </c>
      <c r="AK21" s="106">
        <v>441.28110606624307</v>
      </c>
      <c r="AL21" s="106">
        <v>3.6218663941384555</v>
      </c>
      <c r="AM21" s="106">
        <v>877.94041393916154</v>
      </c>
      <c r="AN21" s="106">
        <v>4.1031931666750898</v>
      </c>
      <c r="AO21" s="106">
        <v>994.6140236020417</v>
      </c>
      <c r="AP21" s="106">
        <v>1.0518173299459828</v>
      </c>
      <c r="AQ21" s="106">
        <v>254.96052077890619</v>
      </c>
      <c r="AR21" s="106">
        <v>1.2382136889741808</v>
      </c>
      <c r="AS21" s="106">
        <v>300.14299820734141</v>
      </c>
      <c r="AT21" s="106">
        <v>1.0531297154529478</v>
      </c>
      <c r="AU21" s="106">
        <v>255.27864302579451</v>
      </c>
      <c r="AV21" s="106">
        <v>0</v>
      </c>
      <c r="AW21" s="106">
        <v>0</v>
      </c>
      <c r="AX21" s="106">
        <v>3.8885941742869741</v>
      </c>
      <c r="AY21" s="106">
        <v>942.59522784716239</v>
      </c>
      <c r="AZ21" s="106">
        <v>2.5478497090496903</v>
      </c>
      <c r="BA21" s="106">
        <v>617.59876947364489</v>
      </c>
      <c r="BB21" s="106">
        <v>2.0677032244294899</v>
      </c>
      <c r="BC21" s="106">
        <v>501.21126160170832</v>
      </c>
      <c r="BD21" s="106">
        <v>0</v>
      </c>
      <c r="BE21" s="106">
        <v>0</v>
      </c>
      <c r="BF21" s="106">
        <v>3.3989660211538273</v>
      </c>
      <c r="BG21" s="106">
        <v>823.90936352768767</v>
      </c>
      <c r="BH21" s="106">
        <v>5.5394636071252187E-16</v>
      </c>
      <c r="BI21" s="106">
        <v>1.3427659783671529E-13</v>
      </c>
      <c r="BJ21" s="106">
        <v>6.9560712459485075</v>
      </c>
      <c r="BK21" s="106">
        <v>1686.1516700179181</v>
      </c>
      <c r="BL21" s="106">
        <v>5.9211894646675012E-16</v>
      </c>
      <c r="BM21" s="106">
        <v>1.4352963262354021E-13</v>
      </c>
      <c r="BN21" s="106">
        <v>12.090908106909973</v>
      </c>
      <c r="BO21" s="106">
        <v>2930.8361251149772</v>
      </c>
      <c r="BP21" s="106">
        <v>5.4122619879990328</v>
      </c>
      <c r="BQ21" s="106">
        <v>1311.9323058909654</v>
      </c>
      <c r="BR21" s="106">
        <v>3.8488564424460674</v>
      </c>
      <c r="BS21" s="106">
        <v>932.96280164892664</v>
      </c>
      <c r="BT21" s="106">
        <v>0</v>
      </c>
      <c r="BU21" s="106">
        <v>0</v>
      </c>
      <c r="BV21" s="106">
        <v>9.4328121945846153</v>
      </c>
      <c r="BW21" s="106">
        <v>2286.5136759673105</v>
      </c>
      <c r="BX21" s="106">
        <v>3.7911276658943502</v>
      </c>
      <c r="BY21" s="106">
        <v>918.96934621279036</v>
      </c>
      <c r="BZ21" s="106">
        <v>3.5620676098290049</v>
      </c>
      <c r="CA21" s="106">
        <v>863.44518862255075</v>
      </c>
      <c r="CB21" s="106">
        <v>4.6238621055406979</v>
      </c>
      <c r="CC21" s="106">
        <v>1120.8241743830652</v>
      </c>
      <c r="CD21" s="106">
        <v>2.9865301235589277</v>
      </c>
      <c r="CE21" s="106">
        <v>723.93490195068398</v>
      </c>
      <c r="CF21" s="106">
        <v>0</v>
      </c>
      <c r="CG21" s="106">
        <v>0</v>
      </c>
      <c r="CH21" s="106">
        <v>6.6621508855560378</v>
      </c>
      <c r="CI21" s="106">
        <v>1614.9053746587833</v>
      </c>
      <c r="CJ21" s="106">
        <v>0</v>
      </c>
      <c r="CK21" s="106">
        <v>0</v>
      </c>
      <c r="CL21" s="106">
        <v>5.6136044486427812</v>
      </c>
      <c r="CM21" s="106">
        <v>1360.73771835101</v>
      </c>
      <c r="CN21" s="106">
        <v>1.4036604634430554</v>
      </c>
      <c r="CO21" s="106">
        <v>340.24729633859658</v>
      </c>
      <c r="CP21" s="106">
        <v>3.521317830871586</v>
      </c>
      <c r="CQ21" s="106">
        <v>853.56744220327232</v>
      </c>
      <c r="CR21" s="106">
        <v>3.156631264346685</v>
      </c>
      <c r="CS21" s="106">
        <v>765.16741847763637</v>
      </c>
      <c r="CT21" s="106">
        <v>1.3131797169576633</v>
      </c>
      <c r="CU21" s="106">
        <v>318.31476339053756</v>
      </c>
    </row>
    <row r="22" spans="2:99" x14ac:dyDescent="0.2">
      <c r="C22" s="105" t="s">
        <v>188</v>
      </c>
      <c r="D22" s="106">
        <v>0</v>
      </c>
      <c r="E22" s="106">
        <v>0</v>
      </c>
      <c r="F22" s="106">
        <v>6.2215227930729551</v>
      </c>
      <c r="G22" s="106">
        <v>388.22302228775237</v>
      </c>
      <c r="H22" s="106">
        <v>0</v>
      </c>
      <c r="I22" s="106">
        <v>0</v>
      </c>
      <c r="J22" s="106">
        <v>5.487276673729502</v>
      </c>
      <c r="K22" s="106">
        <v>342.40606444072091</v>
      </c>
      <c r="L22" s="106">
        <v>4.1504217098772891</v>
      </c>
      <c r="M22" s="106">
        <v>258.98631469634284</v>
      </c>
      <c r="N22" s="106">
        <v>2.0666597248902514</v>
      </c>
      <c r="O22" s="106">
        <v>128.95956683315168</v>
      </c>
      <c r="P22" s="106">
        <v>2.5398242534627018</v>
      </c>
      <c r="Q22" s="106">
        <v>158.48503341607258</v>
      </c>
      <c r="R22" s="106">
        <v>1.1965889944240389</v>
      </c>
      <c r="S22" s="106">
        <v>74.667153252060018</v>
      </c>
      <c r="T22" s="106">
        <v>1.6675310499651492</v>
      </c>
      <c r="U22" s="106">
        <v>104.0539375178253</v>
      </c>
      <c r="V22" s="106">
        <v>3.7830113168684365</v>
      </c>
      <c r="W22" s="106">
        <v>236.05990617259044</v>
      </c>
      <c r="X22" s="106">
        <v>0</v>
      </c>
      <c r="Y22" s="106">
        <v>0</v>
      </c>
      <c r="Z22" s="106">
        <v>2.2611852864293036</v>
      </c>
      <c r="AA22" s="106">
        <v>141.09796187318855</v>
      </c>
      <c r="AB22" s="106">
        <v>0</v>
      </c>
      <c r="AC22" s="106">
        <v>0</v>
      </c>
      <c r="AD22" s="106">
        <v>6.802562595178351</v>
      </c>
      <c r="AE22" s="106">
        <v>424.47990593912908</v>
      </c>
      <c r="AF22" s="106">
        <v>7.7968147867022184</v>
      </c>
      <c r="AG22" s="106">
        <v>486.5212426902184</v>
      </c>
      <c r="AH22" s="106">
        <v>2.7903205790519245</v>
      </c>
      <c r="AI22" s="106">
        <v>174.11600413284009</v>
      </c>
      <c r="AJ22" s="106">
        <v>1.7133803380556909</v>
      </c>
      <c r="AK22" s="106">
        <v>106.91493309467511</v>
      </c>
      <c r="AL22" s="106">
        <v>3.4088154297773698</v>
      </c>
      <c r="AM22" s="106">
        <v>212.71008281810788</v>
      </c>
      <c r="AN22" s="106">
        <v>4.7870586944542719</v>
      </c>
      <c r="AO22" s="106">
        <v>298.71246253394656</v>
      </c>
      <c r="AP22" s="106">
        <v>0.99645852310672045</v>
      </c>
      <c r="AQ22" s="106">
        <v>62.179011841859356</v>
      </c>
      <c r="AR22" s="106">
        <v>1.326657523900908</v>
      </c>
      <c r="AS22" s="106">
        <v>82.783429491416655</v>
      </c>
      <c r="AT22" s="106">
        <v>1.0531297154529478</v>
      </c>
      <c r="AU22" s="106">
        <v>65.715294244263944</v>
      </c>
      <c r="AV22" s="106">
        <v>0</v>
      </c>
      <c r="AW22" s="106">
        <v>0</v>
      </c>
      <c r="AX22" s="106">
        <v>4.5366932033348029</v>
      </c>
      <c r="AY22" s="106">
        <v>283.08965588809167</v>
      </c>
      <c r="AZ22" s="106">
        <v>2.7438381482073591</v>
      </c>
      <c r="BA22" s="106">
        <v>171.21550044813921</v>
      </c>
      <c r="BB22" s="106">
        <v>2.5271928298582651</v>
      </c>
      <c r="BC22" s="106">
        <v>157.69683258315573</v>
      </c>
      <c r="BD22" s="106">
        <v>0</v>
      </c>
      <c r="BE22" s="106">
        <v>0</v>
      </c>
      <c r="BF22" s="106">
        <v>3.3989660211538273</v>
      </c>
      <c r="BG22" s="106">
        <v>212.09547971999882</v>
      </c>
      <c r="BH22" s="106">
        <v>5.5394636071252187E-16</v>
      </c>
      <c r="BI22" s="106">
        <v>3.4566252908461367E-14</v>
      </c>
      <c r="BJ22" s="106">
        <v>7.5523059241726651</v>
      </c>
      <c r="BK22" s="106">
        <v>471.2638896683743</v>
      </c>
      <c r="BL22" s="106">
        <v>5.1316975360451675E-16</v>
      </c>
      <c r="BM22" s="106">
        <v>3.2021792624921843E-14</v>
      </c>
      <c r="BN22" s="106">
        <v>10.68498855959486</v>
      </c>
      <c r="BO22" s="106">
        <v>666.7432861187192</v>
      </c>
      <c r="BP22" s="106">
        <v>4.9347094596461769</v>
      </c>
      <c r="BQ22" s="106">
        <v>307.92587028192145</v>
      </c>
      <c r="BR22" s="106">
        <v>4.0514278341537553</v>
      </c>
      <c r="BS22" s="106">
        <v>252.80909685119431</v>
      </c>
      <c r="BT22" s="106">
        <v>0</v>
      </c>
      <c r="BU22" s="106">
        <v>0</v>
      </c>
      <c r="BV22" s="106">
        <v>9.4328121945846153</v>
      </c>
      <c r="BW22" s="106">
        <v>588.60748094207997</v>
      </c>
      <c r="BX22" s="106">
        <v>4.0944178791658983</v>
      </c>
      <c r="BY22" s="106">
        <v>255.49167565995205</v>
      </c>
      <c r="BZ22" s="106">
        <v>3.5620676098290049</v>
      </c>
      <c r="CA22" s="106">
        <v>222.27301885332992</v>
      </c>
      <c r="CB22" s="106">
        <v>4.1614758949866282</v>
      </c>
      <c r="CC22" s="106">
        <v>259.67609584716558</v>
      </c>
      <c r="CD22" s="106">
        <v>2.9865301235589277</v>
      </c>
      <c r="CE22" s="106">
        <v>186.3594797100771</v>
      </c>
      <c r="CF22" s="106">
        <v>0</v>
      </c>
      <c r="CG22" s="106">
        <v>0</v>
      </c>
      <c r="CH22" s="106">
        <v>6.1862829651591777</v>
      </c>
      <c r="CI22" s="106">
        <v>386.02405702593268</v>
      </c>
      <c r="CJ22" s="106">
        <v>0</v>
      </c>
      <c r="CK22" s="106">
        <v>0</v>
      </c>
      <c r="CL22" s="106">
        <v>4.9531803958612777</v>
      </c>
      <c r="CM22" s="106">
        <v>309.07845670174373</v>
      </c>
      <c r="CN22" s="106">
        <v>1.4036604634430554</v>
      </c>
      <c r="CO22" s="106">
        <v>87.588412918846657</v>
      </c>
      <c r="CP22" s="106">
        <v>3.7728405330766988</v>
      </c>
      <c r="CQ22" s="106">
        <v>235.42524926398599</v>
      </c>
      <c r="CR22" s="106">
        <v>3.156631264346685</v>
      </c>
      <c r="CS22" s="106">
        <v>196.97379089523312</v>
      </c>
      <c r="CT22" s="106">
        <v>1.2037480738778581</v>
      </c>
      <c r="CU22" s="106">
        <v>75.113879809978343</v>
      </c>
    </row>
    <row r="23" spans="2:99" x14ac:dyDescent="0.2">
      <c r="C23" s="105" t="s">
        <v>189</v>
      </c>
      <c r="D23" s="106">
        <v>0</v>
      </c>
      <c r="E23" s="106">
        <v>0</v>
      </c>
      <c r="F23" s="106">
        <v>4.8389621723900769</v>
      </c>
      <c r="G23" s="106">
        <v>1352.9738234002652</v>
      </c>
      <c r="H23" s="106">
        <v>0</v>
      </c>
      <c r="I23" s="106">
        <v>0</v>
      </c>
      <c r="J23" s="106">
        <v>4.7556397838989017</v>
      </c>
      <c r="K23" s="106">
        <v>1329.6768835781327</v>
      </c>
      <c r="L23" s="106">
        <v>4.4696849183293894</v>
      </c>
      <c r="M23" s="106">
        <v>1249.7239031648971</v>
      </c>
      <c r="N23" s="106">
        <v>2.0666597248902514</v>
      </c>
      <c r="O23" s="106">
        <v>577.83805907931423</v>
      </c>
      <c r="P23" s="106">
        <v>2.5398242534627018</v>
      </c>
      <c r="Q23" s="106">
        <v>710.13486126817133</v>
      </c>
      <c r="R23" s="106">
        <v>1.1965889944240389</v>
      </c>
      <c r="S23" s="106">
        <v>334.56628284096121</v>
      </c>
      <c r="T23" s="106">
        <v>1.6675310499651492</v>
      </c>
      <c r="U23" s="106">
        <v>466.24168157025565</v>
      </c>
      <c r="V23" s="106">
        <v>4.2558877314769914</v>
      </c>
      <c r="W23" s="106">
        <v>1189.9462097209666</v>
      </c>
      <c r="X23" s="106">
        <v>0</v>
      </c>
      <c r="Y23" s="106">
        <v>0</v>
      </c>
      <c r="Z23" s="106">
        <v>2.0099424768260481</v>
      </c>
      <c r="AA23" s="106">
        <v>561.97991652056294</v>
      </c>
      <c r="AB23" s="106">
        <v>0</v>
      </c>
      <c r="AC23" s="106">
        <v>0</v>
      </c>
      <c r="AD23" s="106">
        <v>7.9363230277080756</v>
      </c>
      <c r="AE23" s="106">
        <v>2218.9959185471776</v>
      </c>
      <c r="AF23" s="106">
        <v>7.4849421952341304</v>
      </c>
      <c r="AG23" s="106">
        <v>2092.7898377874626</v>
      </c>
      <c r="AH23" s="106">
        <v>2.2671354704796887</v>
      </c>
      <c r="AI23" s="106">
        <v>633.89107754612087</v>
      </c>
      <c r="AJ23" s="106">
        <v>1.8204666091841712</v>
      </c>
      <c r="AK23" s="106">
        <v>509.00246392789421</v>
      </c>
      <c r="AL23" s="106">
        <v>3.6218663941384555</v>
      </c>
      <c r="AM23" s="106">
        <v>1012.6738438011121</v>
      </c>
      <c r="AN23" s="106">
        <v>4.7870586944542719</v>
      </c>
      <c r="AO23" s="106">
        <v>1338.4616109694143</v>
      </c>
      <c r="AP23" s="106">
        <v>1.0518173299459828</v>
      </c>
      <c r="AQ23" s="106">
        <v>294.08812545289675</v>
      </c>
      <c r="AR23" s="106">
        <v>1.326657523900908</v>
      </c>
      <c r="AS23" s="106">
        <v>370.93344368269385</v>
      </c>
      <c r="AT23" s="106">
        <v>1.134139693564713</v>
      </c>
      <c r="AU23" s="106">
        <v>317.10545832069374</v>
      </c>
      <c r="AV23" s="106">
        <v>0</v>
      </c>
      <c r="AW23" s="106">
        <v>0</v>
      </c>
      <c r="AX23" s="106">
        <v>4.2126436888108882</v>
      </c>
      <c r="AY23" s="106">
        <v>1177.8551753915242</v>
      </c>
      <c r="AZ23" s="106">
        <v>2.351861269892022</v>
      </c>
      <c r="BA23" s="106">
        <v>657.58041106180929</v>
      </c>
      <c r="BB23" s="106">
        <v>2.2974480271438775</v>
      </c>
      <c r="BC23" s="106">
        <v>642.36646838942806</v>
      </c>
      <c r="BD23" s="106">
        <v>0</v>
      </c>
      <c r="BE23" s="106">
        <v>0</v>
      </c>
      <c r="BF23" s="106">
        <v>3.7766289123931416</v>
      </c>
      <c r="BG23" s="106">
        <v>1055.9454439051221</v>
      </c>
      <c r="BH23" s="106">
        <v>5.5394636071252187E-16</v>
      </c>
      <c r="BI23" s="106">
        <v>1.5488340245522111E-13</v>
      </c>
      <c r="BJ23" s="106">
        <v>7.1548161386898936</v>
      </c>
      <c r="BK23" s="106">
        <v>2000.486592377694</v>
      </c>
      <c r="BL23" s="106">
        <v>4.9343245538895848E-16</v>
      </c>
      <c r="BM23" s="106">
        <v>1.3796371452675277E-13</v>
      </c>
      <c r="BN23" s="106">
        <v>10.68498855959486</v>
      </c>
      <c r="BO23" s="106">
        <v>2987.5228012627226</v>
      </c>
      <c r="BP23" s="106">
        <v>5.4122619879990328</v>
      </c>
      <c r="BQ23" s="106">
        <v>1513.2684518445294</v>
      </c>
      <c r="BR23" s="106">
        <v>3.8488564424460674</v>
      </c>
      <c r="BS23" s="106">
        <v>1076.1402613079204</v>
      </c>
      <c r="BT23" s="106">
        <v>0</v>
      </c>
      <c r="BU23" s="106">
        <v>0</v>
      </c>
      <c r="BV23" s="106">
        <v>9.0397783531435909</v>
      </c>
      <c r="BW23" s="106">
        <v>2527.5220275389479</v>
      </c>
      <c r="BX23" s="106">
        <v>3.9427727725301245</v>
      </c>
      <c r="BY23" s="106">
        <v>1102.3992671994226</v>
      </c>
      <c r="BZ23" s="106">
        <v>3.3839642293375549</v>
      </c>
      <c r="CA23" s="106">
        <v>946.15639852278025</v>
      </c>
      <c r="CB23" s="106">
        <v>4.0073471581352713</v>
      </c>
      <c r="CC23" s="106">
        <v>1120.4542654146217</v>
      </c>
      <c r="CD23" s="106">
        <v>2.8372036173809811</v>
      </c>
      <c r="CE23" s="106">
        <v>793.28213141972219</v>
      </c>
      <c r="CF23" s="106">
        <v>0</v>
      </c>
      <c r="CG23" s="106">
        <v>0</v>
      </c>
      <c r="CH23" s="106">
        <v>6.6621508855560378</v>
      </c>
      <c r="CI23" s="106">
        <v>1862.7373876014678</v>
      </c>
      <c r="CJ23" s="106">
        <v>0</v>
      </c>
      <c r="CK23" s="106">
        <v>0</v>
      </c>
      <c r="CL23" s="106">
        <v>5.2833924222520299</v>
      </c>
      <c r="CM23" s="106">
        <v>1477.2365212616673</v>
      </c>
      <c r="CN23" s="106">
        <v>1.4036604634430554</v>
      </c>
      <c r="CO23" s="106">
        <v>392.46346557867827</v>
      </c>
      <c r="CP23" s="106">
        <v>3.521317830871586</v>
      </c>
      <c r="CQ23" s="106">
        <v>984.56046551169538</v>
      </c>
      <c r="CR23" s="106">
        <v>2.7620523563033492</v>
      </c>
      <c r="CS23" s="106">
        <v>772.26983882241632</v>
      </c>
      <c r="CT23" s="106">
        <v>1.0943164307980529</v>
      </c>
      <c r="CU23" s="106">
        <v>305.97087405113552</v>
      </c>
    </row>
    <row r="24" spans="2:99" x14ac:dyDescent="0.2">
      <c r="C24" s="105" t="s">
        <v>190</v>
      </c>
      <c r="D24" s="106">
        <v>0</v>
      </c>
      <c r="E24" s="106">
        <v>0</v>
      </c>
      <c r="F24" s="106">
        <v>5.5302424827315164</v>
      </c>
      <c r="G24" s="106">
        <v>1685.6179087365663</v>
      </c>
      <c r="H24" s="106">
        <v>0</v>
      </c>
      <c r="I24" s="106">
        <v>0</v>
      </c>
      <c r="J24" s="106">
        <v>4.7556397838989017</v>
      </c>
      <c r="K24" s="106">
        <v>1449.5190061323854</v>
      </c>
      <c r="L24" s="106">
        <v>4.4696849183293894</v>
      </c>
      <c r="M24" s="106">
        <v>1362.359963106798</v>
      </c>
      <c r="N24" s="106">
        <v>2.0666597248902514</v>
      </c>
      <c r="O24" s="106">
        <v>629.91788414654866</v>
      </c>
      <c r="P24" s="106">
        <v>2.9026562896716595</v>
      </c>
      <c r="Q24" s="106">
        <v>884.72963709192186</v>
      </c>
      <c r="R24" s="106">
        <v>1.0769300949816349</v>
      </c>
      <c r="S24" s="106">
        <v>328.24829295040234</v>
      </c>
      <c r="T24" s="106">
        <v>1.8342841549616642</v>
      </c>
      <c r="U24" s="106">
        <v>559.08981043231529</v>
      </c>
      <c r="V24" s="106">
        <v>4.2558877314769914</v>
      </c>
      <c r="W24" s="106">
        <v>1297.194580554187</v>
      </c>
      <c r="X24" s="106">
        <v>0</v>
      </c>
      <c r="Y24" s="106">
        <v>0</v>
      </c>
      <c r="Z24" s="106">
        <v>2.2611852864293036</v>
      </c>
      <c r="AA24" s="106">
        <v>689.20927530365179</v>
      </c>
      <c r="AB24" s="106">
        <v>0</v>
      </c>
      <c r="AC24" s="106">
        <v>0</v>
      </c>
      <c r="AD24" s="106">
        <v>7.3694428114432133</v>
      </c>
      <c r="AE24" s="106">
        <v>2246.2061689278917</v>
      </c>
      <c r="AF24" s="106">
        <v>7.1730696037660415</v>
      </c>
      <c r="AG24" s="106">
        <v>2186.3516152278894</v>
      </c>
      <c r="AH24" s="106">
        <v>2.3833988279401854</v>
      </c>
      <c r="AI24" s="106">
        <v>726.45996275616858</v>
      </c>
      <c r="AJ24" s="106">
        <v>1.8204666091841712</v>
      </c>
      <c r="AK24" s="106">
        <v>554.87822247933536</v>
      </c>
      <c r="AL24" s="106">
        <v>3.1957644654162842</v>
      </c>
      <c r="AM24" s="106">
        <v>974.06900905888347</v>
      </c>
      <c r="AN24" s="106">
        <v>4.1031931666750898</v>
      </c>
      <c r="AO24" s="106">
        <v>1250.6532772025673</v>
      </c>
      <c r="AP24" s="106">
        <v>0.99645852310672045</v>
      </c>
      <c r="AQ24" s="106">
        <v>303.72055784292843</v>
      </c>
      <c r="AR24" s="106">
        <v>1.4151013588276351</v>
      </c>
      <c r="AS24" s="106">
        <v>431.32289417066318</v>
      </c>
      <c r="AT24" s="106">
        <v>1.134139693564713</v>
      </c>
      <c r="AU24" s="106">
        <v>345.68577859852456</v>
      </c>
      <c r="AV24" s="106">
        <v>0</v>
      </c>
      <c r="AW24" s="106">
        <v>0</v>
      </c>
      <c r="AX24" s="106">
        <v>4.2126436888108882</v>
      </c>
      <c r="AY24" s="106">
        <v>1284.0137963495588</v>
      </c>
      <c r="AZ24" s="106">
        <v>2.5478497090496903</v>
      </c>
      <c r="BA24" s="106">
        <v>776.58459131834559</v>
      </c>
      <c r="BB24" s="106">
        <v>2.2974480271438775</v>
      </c>
      <c r="BC24" s="106">
        <v>700.26215867345388</v>
      </c>
      <c r="BD24" s="106">
        <v>0</v>
      </c>
      <c r="BE24" s="106">
        <v>0</v>
      </c>
      <c r="BF24" s="106">
        <v>3.7766289123931416</v>
      </c>
      <c r="BG24" s="106">
        <v>1151.1164924974296</v>
      </c>
      <c r="BH24" s="106">
        <v>5.9655761922886974E-16</v>
      </c>
      <c r="BI24" s="106">
        <v>1.8183076234095951E-13</v>
      </c>
      <c r="BJ24" s="106">
        <v>6.9560712459485075</v>
      </c>
      <c r="BK24" s="106">
        <v>2120.2105157651054</v>
      </c>
      <c r="BL24" s="106">
        <v>5.1316975360451675E-16</v>
      </c>
      <c r="BM24" s="106">
        <v>1.5641414089865671E-13</v>
      </c>
      <c r="BN24" s="106">
        <v>12.090908106909973</v>
      </c>
      <c r="BO24" s="106">
        <v>3685.3087909861601</v>
      </c>
      <c r="BP24" s="106">
        <v>5.4122619879990328</v>
      </c>
      <c r="BQ24" s="106">
        <v>1649.6574539421053</v>
      </c>
      <c r="BR24" s="106">
        <v>4.2539992258614427</v>
      </c>
      <c r="BS24" s="106">
        <v>1296.6189640425678</v>
      </c>
      <c r="BT24" s="106">
        <v>0</v>
      </c>
      <c r="BU24" s="106">
        <v>0</v>
      </c>
      <c r="BV24" s="106">
        <v>9.0397783531435909</v>
      </c>
      <c r="BW24" s="106">
        <v>2755.3244420381666</v>
      </c>
      <c r="BX24" s="106">
        <v>4.0944178791658983</v>
      </c>
      <c r="BY24" s="106">
        <v>1247.9785695697658</v>
      </c>
      <c r="BZ24" s="106">
        <v>3.7401709903204554</v>
      </c>
      <c r="CA24" s="106">
        <v>1140.0041178496749</v>
      </c>
      <c r="CB24" s="106">
        <v>4.469733368689341</v>
      </c>
      <c r="CC24" s="106">
        <v>1362.3747307765111</v>
      </c>
      <c r="CD24" s="106">
        <v>3.1358566297368742</v>
      </c>
      <c r="CE24" s="106">
        <v>955.80910074379926</v>
      </c>
      <c r="CF24" s="106">
        <v>0</v>
      </c>
      <c r="CG24" s="106">
        <v>0</v>
      </c>
      <c r="CH24" s="106">
        <v>6.1862829651591777</v>
      </c>
      <c r="CI24" s="106">
        <v>1885.5790477805174</v>
      </c>
      <c r="CJ24" s="106">
        <v>0</v>
      </c>
      <c r="CK24" s="106">
        <v>0</v>
      </c>
      <c r="CL24" s="106">
        <v>5.2833924222520299</v>
      </c>
      <c r="CM24" s="106">
        <v>1610.3780103024187</v>
      </c>
      <c r="CN24" s="106">
        <v>1.2632944170987499</v>
      </c>
      <c r="CO24" s="106">
        <v>385.05213833169898</v>
      </c>
      <c r="CP24" s="106">
        <v>3.2697951286664728</v>
      </c>
      <c r="CQ24" s="106">
        <v>996.6335552175409</v>
      </c>
      <c r="CR24" s="106">
        <v>2.9593418103250171</v>
      </c>
      <c r="CS24" s="106">
        <v>902.00738378706524</v>
      </c>
      <c r="CT24" s="106">
        <v>1.2037480738778581</v>
      </c>
      <c r="CU24" s="106">
        <v>366.90241291797116</v>
      </c>
    </row>
    <row r="25" spans="2:99" x14ac:dyDescent="0.2">
      <c r="C25" s="105" t="s">
        <v>191</v>
      </c>
      <c r="D25" s="106">
        <v>0</v>
      </c>
      <c r="E25" s="106">
        <v>0</v>
      </c>
      <c r="F25" s="106">
        <v>4.8389621723900769</v>
      </c>
      <c r="G25" s="106">
        <v>1573.630498461253</v>
      </c>
      <c r="H25" s="106">
        <v>0</v>
      </c>
      <c r="I25" s="106">
        <v>0</v>
      </c>
      <c r="J25" s="106">
        <v>4.3898213389836016</v>
      </c>
      <c r="K25" s="106">
        <v>1427.5698994374673</v>
      </c>
      <c r="L25" s="106">
        <v>4.1504217098772891</v>
      </c>
      <c r="M25" s="106">
        <v>1349.7171400520945</v>
      </c>
      <c r="N25" s="106">
        <v>2.0666597248902514</v>
      </c>
      <c r="O25" s="106">
        <v>672.07774253430978</v>
      </c>
      <c r="P25" s="106">
        <v>2.9026562896716595</v>
      </c>
      <c r="Q25" s="106">
        <v>943.94382540122365</v>
      </c>
      <c r="R25" s="106">
        <v>1.0769300949816349</v>
      </c>
      <c r="S25" s="106">
        <v>350.21766688802768</v>
      </c>
      <c r="T25" s="106">
        <v>1.6675310499651492</v>
      </c>
      <c r="U25" s="106">
        <v>542.28109744866651</v>
      </c>
      <c r="V25" s="106">
        <v>3.7830113168684365</v>
      </c>
      <c r="W25" s="106">
        <v>1230.2352802456155</v>
      </c>
      <c r="X25" s="106">
        <v>0</v>
      </c>
      <c r="Y25" s="106">
        <v>0</v>
      </c>
      <c r="Z25" s="106">
        <v>2.2611852864293036</v>
      </c>
      <c r="AA25" s="106">
        <v>735.33745514680948</v>
      </c>
      <c r="AB25" s="106">
        <v>0</v>
      </c>
      <c r="AC25" s="106">
        <v>0</v>
      </c>
      <c r="AD25" s="106">
        <v>7.652882919575644</v>
      </c>
      <c r="AE25" s="106">
        <v>2488.7175254459994</v>
      </c>
      <c r="AF25" s="106">
        <v>6.8611970122979535</v>
      </c>
      <c r="AG25" s="106">
        <v>2231.2612683992943</v>
      </c>
      <c r="AH25" s="106">
        <v>2.2671354704796887</v>
      </c>
      <c r="AI25" s="106">
        <v>737.27245499999469</v>
      </c>
      <c r="AJ25" s="106">
        <v>1.927552880312652</v>
      </c>
      <c r="AK25" s="106">
        <v>626.84019667767438</v>
      </c>
      <c r="AL25" s="106">
        <v>3.8349173584995411</v>
      </c>
      <c r="AM25" s="106">
        <v>1247.1151249840507</v>
      </c>
      <c r="AN25" s="106">
        <v>4.7870586944542719</v>
      </c>
      <c r="AO25" s="106">
        <v>1556.7514874365293</v>
      </c>
      <c r="AP25" s="106">
        <v>0.99645852310672045</v>
      </c>
      <c r="AQ25" s="106">
        <v>324.0483117143055</v>
      </c>
      <c r="AR25" s="106">
        <v>1.4151013588276351</v>
      </c>
      <c r="AS25" s="106">
        <v>460.19096189074691</v>
      </c>
      <c r="AT25" s="106">
        <v>1.134139693564713</v>
      </c>
      <c r="AU25" s="106">
        <v>368.82222834724467</v>
      </c>
      <c r="AV25" s="106">
        <v>0</v>
      </c>
      <c r="AW25" s="106">
        <v>0</v>
      </c>
      <c r="AX25" s="106">
        <v>3.8885941742869741</v>
      </c>
      <c r="AY25" s="106">
        <v>1264.5708254781239</v>
      </c>
      <c r="AZ25" s="106">
        <v>2.5478497090496903</v>
      </c>
      <c r="BA25" s="106">
        <v>828.56072538295928</v>
      </c>
      <c r="BB25" s="106">
        <v>2.5271928298582651</v>
      </c>
      <c r="BC25" s="106">
        <v>821.84310826990782</v>
      </c>
      <c r="BD25" s="106">
        <v>0</v>
      </c>
      <c r="BE25" s="106">
        <v>0</v>
      </c>
      <c r="BF25" s="106">
        <v>3.3989660211538273</v>
      </c>
      <c r="BG25" s="106">
        <v>1105.3437500792245</v>
      </c>
      <c r="BH25" s="106">
        <v>6.1786324848704362E-16</v>
      </c>
      <c r="BI25" s="106">
        <v>2.0092912840798658E-13</v>
      </c>
      <c r="BJ25" s="106">
        <v>7.1548161386898936</v>
      </c>
      <c r="BK25" s="106">
        <v>2326.7462083019532</v>
      </c>
      <c r="BL25" s="106">
        <v>5.9211894646675012E-16</v>
      </c>
      <c r="BM25" s="106">
        <v>1.9255708139098714E-13</v>
      </c>
      <c r="BN25" s="106">
        <v>10.122620740668815</v>
      </c>
      <c r="BO25" s="106">
        <v>3291.8762648654983</v>
      </c>
      <c r="BP25" s="106">
        <v>4.775525283528558</v>
      </c>
      <c r="BQ25" s="106">
        <v>1553.0008222034869</v>
      </c>
      <c r="BR25" s="106">
        <v>4.6591420092768185</v>
      </c>
      <c r="BS25" s="106">
        <v>1515.1529814168214</v>
      </c>
      <c r="BT25" s="106">
        <v>0</v>
      </c>
      <c r="BU25" s="106">
        <v>0</v>
      </c>
      <c r="BV25" s="106">
        <v>9.0397783531435909</v>
      </c>
      <c r="BW25" s="106">
        <v>2939.7359204422955</v>
      </c>
      <c r="BX25" s="106">
        <v>3.9427727725301245</v>
      </c>
      <c r="BY25" s="106">
        <v>1282.1897056267965</v>
      </c>
      <c r="BZ25" s="106">
        <v>3.9182743708119059</v>
      </c>
      <c r="CA25" s="106">
        <v>1274.2228253880317</v>
      </c>
      <c r="CB25" s="106">
        <v>3.8532184212839145</v>
      </c>
      <c r="CC25" s="106">
        <v>1253.0666306015289</v>
      </c>
      <c r="CD25" s="106">
        <v>3.2851831359148207</v>
      </c>
      <c r="CE25" s="106">
        <v>1068.3415557994997</v>
      </c>
      <c r="CF25" s="106">
        <v>0</v>
      </c>
      <c r="CG25" s="106">
        <v>0</v>
      </c>
      <c r="CH25" s="106">
        <v>6.1862829651591777</v>
      </c>
      <c r="CI25" s="106">
        <v>2011.7792202697644</v>
      </c>
      <c r="CJ25" s="106">
        <v>0</v>
      </c>
      <c r="CK25" s="106">
        <v>0</v>
      </c>
      <c r="CL25" s="106">
        <v>5.2833924222520299</v>
      </c>
      <c r="CM25" s="106">
        <v>1718.15921571636</v>
      </c>
      <c r="CN25" s="106">
        <v>1.5440265097873611</v>
      </c>
      <c r="CO25" s="106">
        <v>502.11742098284981</v>
      </c>
      <c r="CP25" s="106">
        <v>3.7728405330766988</v>
      </c>
      <c r="CQ25" s="106">
        <v>1226.9277413565424</v>
      </c>
      <c r="CR25" s="106">
        <v>3.156631264346685</v>
      </c>
      <c r="CS25" s="106">
        <v>1026.536487165542</v>
      </c>
      <c r="CT25" s="106">
        <v>1.2037480738778581</v>
      </c>
      <c r="CU25" s="106">
        <v>391.45887362507943</v>
      </c>
    </row>
    <row r="26" spans="2:99" x14ac:dyDescent="0.2">
      <c r="C26" s="105" t="s">
        <v>192</v>
      </c>
      <c r="D26" s="106">
        <v>0</v>
      </c>
      <c r="E26" s="106">
        <v>0</v>
      </c>
      <c r="F26" s="106">
        <v>5.5302424827315164</v>
      </c>
      <c r="G26" s="106">
        <v>1586.0735440473991</v>
      </c>
      <c r="H26" s="106">
        <v>0</v>
      </c>
      <c r="I26" s="106">
        <v>0</v>
      </c>
      <c r="J26" s="106">
        <v>5.1214582288142019</v>
      </c>
      <c r="K26" s="106">
        <v>1468.8342200239131</v>
      </c>
      <c r="L26" s="106">
        <v>4.4696849183293894</v>
      </c>
      <c r="M26" s="106">
        <v>1281.905634576869</v>
      </c>
      <c r="N26" s="106">
        <v>2.0666597248902514</v>
      </c>
      <c r="O26" s="106">
        <v>592.71800909852413</v>
      </c>
      <c r="P26" s="106">
        <v>2.9026562896716595</v>
      </c>
      <c r="Q26" s="106">
        <v>832.48182387783197</v>
      </c>
      <c r="R26" s="106">
        <v>1.0769300949816349</v>
      </c>
      <c r="S26" s="106">
        <v>308.86355124073293</v>
      </c>
      <c r="T26" s="106">
        <v>1.8342841549616642</v>
      </c>
      <c r="U26" s="106">
        <v>526.07269564300532</v>
      </c>
      <c r="V26" s="106">
        <v>3.7830113168684365</v>
      </c>
      <c r="W26" s="106">
        <v>1084.9676456778677</v>
      </c>
      <c r="X26" s="106">
        <v>0</v>
      </c>
      <c r="Y26" s="106">
        <v>0</v>
      </c>
      <c r="Z26" s="106">
        <v>2.0099424768260481</v>
      </c>
      <c r="AA26" s="106">
        <v>576.45150235371057</v>
      </c>
      <c r="AB26" s="106">
        <v>0</v>
      </c>
      <c r="AC26" s="106">
        <v>0</v>
      </c>
      <c r="AD26" s="106">
        <v>7.652882919575644</v>
      </c>
      <c r="AE26" s="106">
        <v>2194.8468213342949</v>
      </c>
      <c r="AF26" s="106">
        <v>7.4849421952341304</v>
      </c>
      <c r="AG26" s="106">
        <v>2146.6814215931486</v>
      </c>
      <c r="AH26" s="106">
        <v>2.325267149209937</v>
      </c>
      <c r="AI26" s="106">
        <v>666.88661839341</v>
      </c>
      <c r="AJ26" s="106">
        <v>1.927552880312652</v>
      </c>
      <c r="AK26" s="106">
        <v>552.82216607366865</v>
      </c>
      <c r="AL26" s="106">
        <v>3.1957644654162842</v>
      </c>
      <c r="AM26" s="106">
        <v>916.54524868139038</v>
      </c>
      <c r="AN26" s="106">
        <v>5.015013870380665</v>
      </c>
      <c r="AO26" s="106">
        <v>1438.3059780251747</v>
      </c>
      <c r="AP26" s="106">
        <v>1.0518173299459828</v>
      </c>
      <c r="AQ26" s="106">
        <v>301.66121022850785</v>
      </c>
      <c r="AR26" s="106">
        <v>1.4151013588276351</v>
      </c>
      <c r="AS26" s="106">
        <v>405.85106971176577</v>
      </c>
      <c r="AT26" s="106">
        <v>1.134139693564713</v>
      </c>
      <c r="AU26" s="106">
        <v>325.27126411435972</v>
      </c>
      <c r="AV26" s="106">
        <v>0</v>
      </c>
      <c r="AW26" s="106">
        <v>0</v>
      </c>
      <c r="AX26" s="106">
        <v>4.5366932033348029</v>
      </c>
      <c r="AY26" s="106">
        <v>1301.1236107164216</v>
      </c>
      <c r="AZ26" s="106">
        <v>2.5478497090496903</v>
      </c>
      <c r="BA26" s="106">
        <v>730.72329655545127</v>
      </c>
      <c r="BB26" s="106">
        <v>2.0677032244294899</v>
      </c>
      <c r="BC26" s="106">
        <v>593.01728476637777</v>
      </c>
      <c r="BD26" s="106">
        <v>0</v>
      </c>
      <c r="BE26" s="106">
        <v>0</v>
      </c>
      <c r="BF26" s="106">
        <v>3.7766289123931416</v>
      </c>
      <c r="BG26" s="106">
        <v>1083.137172074353</v>
      </c>
      <c r="BH26" s="106">
        <v>5.3264073145434799E-16</v>
      </c>
      <c r="BI26" s="106">
        <v>1.5276136178110702E-13</v>
      </c>
      <c r="BJ26" s="106">
        <v>6.3598365677243498</v>
      </c>
      <c r="BK26" s="106">
        <v>1824.0011276233436</v>
      </c>
      <c r="BL26" s="106">
        <v>5.7238164825119185E-16</v>
      </c>
      <c r="BM26" s="106">
        <v>1.6415905671844183E-13</v>
      </c>
      <c r="BN26" s="106">
        <v>11.247356378520905</v>
      </c>
      <c r="BO26" s="106">
        <v>3225.7418093597958</v>
      </c>
      <c r="BP26" s="106">
        <v>4.775525283528558</v>
      </c>
      <c r="BQ26" s="106">
        <v>1369.6206513159905</v>
      </c>
      <c r="BR26" s="106">
        <v>4.4565706175691311</v>
      </c>
      <c r="BS26" s="106">
        <v>1278.144453118827</v>
      </c>
      <c r="BT26" s="106">
        <v>0</v>
      </c>
      <c r="BU26" s="106">
        <v>0</v>
      </c>
      <c r="BV26" s="106">
        <v>10.218879877466669</v>
      </c>
      <c r="BW26" s="106">
        <v>2930.774748857441</v>
      </c>
      <c r="BX26" s="106">
        <v>3.9427727725301245</v>
      </c>
      <c r="BY26" s="106">
        <v>1130.7872311616397</v>
      </c>
      <c r="BZ26" s="106">
        <v>3.7401709903204554</v>
      </c>
      <c r="CA26" s="106">
        <v>1072.6810400239067</v>
      </c>
      <c r="CB26" s="106">
        <v>4.0073471581352713</v>
      </c>
      <c r="CC26" s="106">
        <v>1149.3071649531958</v>
      </c>
      <c r="CD26" s="106">
        <v>2.9865301235589277</v>
      </c>
      <c r="CE26" s="106">
        <v>856.53683943670046</v>
      </c>
      <c r="CF26" s="106">
        <v>0</v>
      </c>
      <c r="CG26" s="106">
        <v>0</v>
      </c>
      <c r="CH26" s="106">
        <v>6.1862829651591777</v>
      </c>
      <c r="CI26" s="106">
        <v>1774.2259544076524</v>
      </c>
      <c r="CJ26" s="106">
        <v>0</v>
      </c>
      <c r="CK26" s="106">
        <v>0</v>
      </c>
      <c r="CL26" s="106">
        <v>5.2833924222520299</v>
      </c>
      <c r="CM26" s="106">
        <v>1515.2769467018823</v>
      </c>
      <c r="CN26" s="106">
        <v>1.4036604634430554</v>
      </c>
      <c r="CO26" s="106">
        <v>402.56982091546831</v>
      </c>
      <c r="CP26" s="106">
        <v>3.2697951286664728</v>
      </c>
      <c r="CQ26" s="106">
        <v>937.77724290154447</v>
      </c>
      <c r="CR26" s="106">
        <v>2.9593418103250171</v>
      </c>
      <c r="CS26" s="106">
        <v>848.73923120121492</v>
      </c>
      <c r="CT26" s="106">
        <v>1.0943164307980529</v>
      </c>
      <c r="CU26" s="106">
        <v>313.84995235288159</v>
      </c>
    </row>
    <row r="27" spans="2:99" x14ac:dyDescent="0.2">
      <c r="C27" s="105" t="s">
        <v>193</v>
      </c>
      <c r="D27" s="106">
        <v>0</v>
      </c>
      <c r="E27" s="106">
        <v>0</v>
      </c>
      <c r="F27" s="106">
        <v>4.8389621723900769</v>
      </c>
      <c r="G27" s="106">
        <v>1527.1764616063081</v>
      </c>
      <c r="H27" s="106">
        <v>0</v>
      </c>
      <c r="I27" s="106">
        <v>0</v>
      </c>
      <c r="J27" s="106">
        <v>4.3898213389836016</v>
      </c>
      <c r="K27" s="106">
        <v>1385.4276145832246</v>
      </c>
      <c r="L27" s="106">
        <v>4.1504217098772891</v>
      </c>
      <c r="M27" s="106">
        <v>1309.8730916372722</v>
      </c>
      <c r="N27" s="106">
        <v>1.8083272592789699</v>
      </c>
      <c r="O27" s="106">
        <v>570.70808302844284</v>
      </c>
      <c r="P27" s="106">
        <v>3.2654883258806171</v>
      </c>
      <c r="Q27" s="106">
        <v>1030.5881156479227</v>
      </c>
      <c r="R27" s="106">
        <v>1.0769300949816349</v>
      </c>
      <c r="S27" s="106">
        <v>339.87913797620394</v>
      </c>
      <c r="T27" s="106">
        <v>1.8342841549616642</v>
      </c>
      <c r="U27" s="106">
        <v>578.90007930590116</v>
      </c>
      <c r="V27" s="106">
        <v>3.7830113168684365</v>
      </c>
      <c r="W27" s="106">
        <v>1193.9183716036785</v>
      </c>
      <c r="X27" s="106">
        <v>0</v>
      </c>
      <c r="Y27" s="106">
        <v>0</v>
      </c>
      <c r="Z27" s="106">
        <v>2.0099424768260481</v>
      </c>
      <c r="AA27" s="106">
        <v>634.33784568630074</v>
      </c>
      <c r="AB27" s="106">
        <v>0</v>
      </c>
      <c r="AC27" s="106">
        <v>0</v>
      </c>
      <c r="AD27" s="106">
        <v>7.9363230277080756</v>
      </c>
      <c r="AE27" s="106">
        <v>2504.7035475446683</v>
      </c>
      <c r="AF27" s="106">
        <v>7.1730696037660415</v>
      </c>
      <c r="AG27" s="106">
        <v>2263.8207669485623</v>
      </c>
      <c r="AH27" s="106">
        <v>2.6159255428611794</v>
      </c>
      <c r="AI27" s="106">
        <v>825.58610132698811</v>
      </c>
      <c r="AJ27" s="106">
        <v>1.8204666091841712</v>
      </c>
      <c r="AK27" s="106">
        <v>574.53926185852436</v>
      </c>
      <c r="AL27" s="106">
        <v>3.4088154297773698</v>
      </c>
      <c r="AM27" s="106">
        <v>1075.8221496377378</v>
      </c>
      <c r="AN27" s="106">
        <v>4.3311483426014838</v>
      </c>
      <c r="AO27" s="106">
        <v>1366.9104169250281</v>
      </c>
      <c r="AP27" s="106">
        <v>0.94109971626745825</v>
      </c>
      <c r="AQ27" s="106">
        <v>297.01107045400977</v>
      </c>
      <c r="AR27" s="106">
        <v>1.326657523900908</v>
      </c>
      <c r="AS27" s="106">
        <v>418.69311454312651</v>
      </c>
      <c r="AT27" s="106">
        <v>1.134139693564713</v>
      </c>
      <c r="AU27" s="106">
        <v>357.93448728902337</v>
      </c>
      <c r="AV27" s="106">
        <v>0</v>
      </c>
      <c r="AW27" s="106">
        <v>0</v>
      </c>
      <c r="AX27" s="106">
        <v>4.2126436888108882</v>
      </c>
      <c r="AY27" s="106">
        <v>1329.5103481887161</v>
      </c>
      <c r="AZ27" s="106">
        <v>2.5478497090496903</v>
      </c>
      <c r="BA27" s="106">
        <v>804.10136817608213</v>
      </c>
      <c r="BB27" s="106">
        <v>2.5271928298582651</v>
      </c>
      <c r="BC27" s="106">
        <v>797.58205710326843</v>
      </c>
      <c r="BD27" s="106">
        <v>0</v>
      </c>
      <c r="BE27" s="106">
        <v>0</v>
      </c>
      <c r="BF27" s="106">
        <v>3.3989660211538273</v>
      </c>
      <c r="BG27" s="106">
        <v>1072.7136762761477</v>
      </c>
      <c r="BH27" s="106">
        <v>5.5394636071252187E-16</v>
      </c>
      <c r="BI27" s="106">
        <v>1.7482547144087188E-13</v>
      </c>
      <c r="BJ27" s="106">
        <v>6.9560712459485075</v>
      </c>
      <c r="BK27" s="106">
        <v>2195.3360852213486</v>
      </c>
      <c r="BL27" s="106">
        <v>5.3290705182007512E-16</v>
      </c>
      <c r="BM27" s="106">
        <v>1.681854655544157E-13</v>
      </c>
      <c r="BN27" s="106">
        <v>10.966172469057883</v>
      </c>
      <c r="BO27" s="106">
        <v>3460.9240312346674</v>
      </c>
      <c r="BP27" s="106">
        <v>5.2530778118814139</v>
      </c>
      <c r="BQ27" s="106">
        <v>1657.871357429774</v>
      </c>
      <c r="BR27" s="106">
        <v>4.4565706175691311</v>
      </c>
      <c r="BS27" s="106">
        <v>1406.4936869048177</v>
      </c>
      <c r="BT27" s="106">
        <v>0</v>
      </c>
      <c r="BU27" s="106">
        <v>0</v>
      </c>
      <c r="BV27" s="106">
        <v>10.611913718907694</v>
      </c>
      <c r="BW27" s="106">
        <v>3349.1199696872677</v>
      </c>
      <c r="BX27" s="106">
        <v>3.9427727725301245</v>
      </c>
      <c r="BY27" s="106">
        <v>1244.3390870105072</v>
      </c>
      <c r="BZ27" s="106">
        <v>3.5620676098290049</v>
      </c>
      <c r="CA27" s="106">
        <v>1124.1885376620339</v>
      </c>
      <c r="CB27" s="106">
        <v>4.469733368689341</v>
      </c>
      <c r="CC27" s="106">
        <v>1410.6478511583559</v>
      </c>
      <c r="CD27" s="106">
        <v>2.8372036173809811</v>
      </c>
      <c r="CE27" s="106">
        <v>895.4214616454376</v>
      </c>
      <c r="CF27" s="106">
        <v>0</v>
      </c>
      <c r="CG27" s="106">
        <v>0</v>
      </c>
      <c r="CH27" s="106">
        <v>6.1862829651591777</v>
      </c>
      <c r="CI27" s="106">
        <v>1952.3909038042364</v>
      </c>
      <c r="CJ27" s="106">
        <v>0</v>
      </c>
      <c r="CK27" s="106">
        <v>0</v>
      </c>
      <c r="CL27" s="106">
        <v>5.6136044486427812</v>
      </c>
      <c r="CM27" s="106">
        <v>1771.6535639916615</v>
      </c>
      <c r="CN27" s="106">
        <v>1.2632944170987499</v>
      </c>
      <c r="CO27" s="106">
        <v>398.69571803636541</v>
      </c>
      <c r="CP27" s="106">
        <v>3.521317830871586</v>
      </c>
      <c r="CQ27" s="106">
        <v>1111.3279074230725</v>
      </c>
      <c r="CR27" s="106">
        <v>2.7620523563033492</v>
      </c>
      <c r="CS27" s="106">
        <v>871.70372364933689</v>
      </c>
      <c r="CT27" s="106">
        <v>1.3131797169576633</v>
      </c>
      <c r="CU27" s="106">
        <v>414.43951867183853</v>
      </c>
    </row>
    <row r="28" spans="2:99" x14ac:dyDescent="0.2">
      <c r="C28" s="105" t="s">
        <v>194</v>
      </c>
      <c r="D28" s="106">
        <v>6.7600380341704893</v>
      </c>
      <c r="E28" s="106">
        <v>3991.1264553742567</v>
      </c>
      <c r="F28" s="106">
        <v>7</v>
      </c>
      <c r="G28" s="106">
        <v>4132.8</v>
      </c>
      <c r="H28" s="106">
        <v>7</v>
      </c>
      <c r="I28" s="106">
        <v>4132.8</v>
      </c>
      <c r="J28" s="106">
        <v>12.026377838016268</v>
      </c>
      <c r="K28" s="106">
        <v>7100.3734755648047</v>
      </c>
      <c r="L28" s="106">
        <v>1.1333810509056812E-15</v>
      </c>
      <c r="M28" s="106">
        <v>6.6914817245471415E-13</v>
      </c>
      <c r="N28" s="106">
        <v>7</v>
      </c>
      <c r="O28" s="106">
        <v>4132.8</v>
      </c>
      <c r="P28" s="106">
        <v>8</v>
      </c>
      <c r="Q28" s="106">
        <v>4723.2</v>
      </c>
      <c r="R28" s="106">
        <v>10</v>
      </c>
      <c r="S28" s="106">
        <v>5904</v>
      </c>
      <c r="T28" s="106">
        <v>11</v>
      </c>
      <c r="U28" s="106">
        <v>6494.4</v>
      </c>
      <c r="V28" s="106">
        <v>8</v>
      </c>
      <c r="W28" s="106">
        <v>4723.2</v>
      </c>
      <c r="X28" s="106">
        <v>5.7677620903845463</v>
      </c>
      <c r="Y28" s="106">
        <v>3405.2867381630358</v>
      </c>
      <c r="Z28" s="106">
        <v>5.8478961413797501</v>
      </c>
      <c r="AA28" s="106">
        <v>3452.5978818706044</v>
      </c>
      <c r="AB28" s="106">
        <v>34.34123543060457</v>
      </c>
      <c r="AC28" s="106">
        <v>20275.065398228937</v>
      </c>
      <c r="AD28" s="106">
        <v>26.330742234103688</v>
      </c>
      <c r="AE28" s="106">
        <v>15545.670215014818</v>
      </c>
      <c r="AF28" s="106">
        <v>0</v>
      </c>
      <c r="AG28" s="106">
        <v>0</v>
      </c>
      <c r="AH28" s="106">
        <v>46</v>
      </c>
      <c r="AI28" s="106">
        <v>27158.399999999998</v>
      </c>
      <c r="AJ28" s="106">
        <v>17</v>
      </c>
      <c r="AK28" s="106">
        <v>10036.799999999999</v>
      </c>
      <c r="AL28" s="106">
        <v>16</v>
      </c>
      <c r="AM28" s="106">
        <v>9446.4</v>
      </c>
      <c r="AN28" s="106">
        <v>9.3382257280618486</v>
      </c>
      <c r="AO28" s="106">
        <v>5513.2884698477155</v>
      </c>
      <c r="AP28" s="106">
        <v>12.187342467774634</v>
      </c>
      <c r="AQ28" s="106">
        <v>7195.4069929741436</v>
      </c>
      <c r="AR28" s="106">
        <v>5.822257716286015</v>
      </c>
      <c r="AS28" s="106">
        <v>3437.4609556952632</v>
      </c>
      <c r="AT28" s="106">
        <v>6.0904003421890414</v>
      </c>
      <c r="AU28" s="106">
        <v>3595.77236202841</v>
      </c>
      <c r="AV28" s="106">
        <v>0</v>
      </c>
      <c r="AW28" s="106">
        <v>0</v>
      </c>
      <c r="AX28" s="106">
        <v>13</v>
      </c>
      <c r="AY28" s="106">
        <v>7675.2</v>
      </c>
      <c r="AZ28" s="106">
        <v>3.4416208839667464</v>
      </c>
      <c r="BA28" s="106">
        <v>2031.9329698939671</v>
      </c>
      <c r="BB28" s="106">
        <v>9</v>
      </c>
      <c r="BC28" s="106">
        <v>5313.5999999999995</v>
      </c>
      <c r="BD28" s="106">
        <v>9</v>
      </c>
      <c r="BE28" s="106">
        <v>5313.5999999999995</v>
      </c>
      <c r="BF28" s="106">
        <v>10</v>
      </c>
      <c r="BG28" s="106">
        <v>5904</v>
      </c>
      <c r="BH28" s="106">
        <v>28</v>
      </c>
      <c r="BI28" s="106">
        <v>16531.2</v>
      </c>
      <c r="BJ28" s="106">
        <v>30.876047977525516</v>
      </c>
      <c r="BK28" s="106">
        <v>18229.218725931063</v>
      </c>
      <c r="BL28" s="106">
        <v>25.320194720522597</v>
      </c>
      <c r="BM28" s="106">
        <v>14949.04296299654</v>
      </c>
      <c r="BN28" s="106">
        <v>13.327758724960864</v>
      </c>
      <c r="BO28" s="106">
        <v>7868.7087512168937</v>
      </c>
      <c r="BP28" s="106">
        <v>0</v>
      </c>
      <c r="BQ28" s="106">
        <v>0</v>
      </c>
      <c r="BR28" s="106">
        <v>21</v>
      </c>
      <c r="BS28" s="106">
        <v>12398.4</v>
      </c>
      <c r="BT28" s="106">
        <v>27</v>
      </c>
      <c r="BU28" s="106">
        <v>15940.8</v>
      </c>
      <c r="BV28" s="106">
        <v>26</v>
      </c>
      <c r="BW28" s="106">
        <v>15350.4</v>
      </c>
      <c r="BX28" s="106">
        <v>24</v>
      </c>
      <c r="BY28" s="106">
        <v>14169.599999999999</v>
      </c>
      <c r="BZ28" s="106">
        <v>9.5564737997776259</v>
      </c>
      <c r="CA28" s="106">
        <v>5642.1421313887104</v>
      </c>
      <c r="CB28" s="106">
        <v>21.831084522222614</v>
      </c>
      <c r="CC28" s="106">
        <v>12889.072301920231</v>
      </c>
      <c r="CD28" s="106">
        <v>13.738880157563083</v>
      </c>
      <c r="CE28" s="106">
        <v>8111.4348450252437</v>
      </c>
      <c r="CF28" s="106">
        <v>14.33214998254876</v>
      </c>
      <c r="CG28" s="106">
        <v>8461.7013496967884</v>
      </c>
      <c r="CH28" s="106">
        <v>12.835143934270908</v>
      </c>
      <c r="CI28" s="106">
        <v>7577.8689787935436</v>
      </c>
      <c r="CJ28" s="106">
        <v>11.169896871452174</v>
      </c>
      <c r="CK28" s="106">
        <v>6594.7071129053629</v>
      </c>
      <c r="CL28" s="106">
        <v>5.5640460133803433</v>
      </c>
      <c r="CM28" s="106">
        <v>3285.0127662997547</v>
      </c>
      <c r="CN28" s="106">
        <v>8.8639461379042963</v>
      </c>
      <c r="CO28" s="106">
        <v>5233.2737998186967</v>
      </c>
      <c r="CP28" s="106">
        <v>7.9191391386225485</v>
      </c>
      <c r="CQ28" s="106">
        <v>4675.4597474427528</v>
      </c>
      <c r="CR28" s="106">
        <v>6.0375699010997499</v>
      </c>
      <c r="CS28" s="106">
        <v>3564.5812696092921</v>
      </c>
      <c r="CT28" s="106">
        <v>3.5318121341030104</v>
      </c>
      <c r="CU28" s="106">
        <v>2085.1818839744174</v>
      </c>
    </row>
    <row r="29" spans="2:99" x14ac:dyDescent="0.2">
      <c r="C29" s="105" t="s">
        <v>195</v>
      </c>
      <c r="D29" s="106">
        <v>0</v>
      </c>
      <c r="E29" s="106">
        <v>0</v>
      </c>
      <c r="F29" s="106">
        <v>5.5302424827315164</v>
      </c>
      <c r="G29" s="106">
        <v>1300.7130319384526</v>
      </c>
      <c r="H29" s="106">
        <v>0</v>
      </c>
      <c r="I29" s="106">
        <v>0</v>
      </c>
      <c r="J29" s="106">
        <v>5.487276673729502</v>
      </c>
      <c r="K29" s="106">
        <v>1290.6074736611788</v>
      </c>
      <c r="L29" s="106">
        <v>4.1504217098772891</v>
      </c>
      <c r="M29" s="106">
        <v>976.1791861631383</v>
      </c>
      <c r="N29" s="106">
        <v>1.8083272592789699</v>
      </c>
      <c r="O29" s="106">
        <v>425.31857138241367</v>
      </c>
      <c r="P29" s="106">
        <v>2.9026562896716595</v>
      </c>
      <c r="Q29" s="106">
        <v>682.70475933077432</v>
      </c>
      <c r="R29" s="106">
        <v>1.1965889944240389</v>
      </c>
      <c r="S29" s="106">
        <v>281.43773148853393</v>
      </c>
      <c r="T29" s="106">
        <v>1.8342841549616642</v>
      </c>
      <c r="U29" s="106">
        <v>431.4236332469834</v>
      </c>
      <c r="V29" s="106">
        <v>3.7830113168684365</v>
      </c>
      <c r="W29" s="106">
        <v>889.76426172745619</v>
      </c>
      <c r="X29" s="106">
        <v>0</v>
      </c>
      <c r="Y29" s="106">
        <v>0</v>
      </c>
      <c r="Z29" s="106">
        <v>2.2611852864293036</v>
      </c>
      <c r="AA29" s="106">
        <v>531.83077936817222</v>
      </c>
      <c r="AB29" s="106">
        <v>0</v>
      </c>
      <c r="AC29" s="106">
        <v>0</v>
      </c>
      <c r="AD29" s="106">
        <v>7.652882919575644</v>
      </c>
      <c r="AE29" s="106">
        <v>1799.9580626841914</v>
      </c>
      <c r="AF29" s="106">
        <v>7.7968147867022184</v>
      </c>
      <c r="AG29" s="106">
        <v>1833.8108378323616</v>
      </c>
      <c r="AH29" s="106">
        <v>2.7321889003216762</v>
      </c>
      <c r="AI29" s="106">
        <v>642.61082935565821</v>
      </c>
      <c r="AJ29" s="106">
        <v>1.7133803380556909</v>
      </c>
      <c r="AK29" s="106">
        <v>402.9870555106985</v>
      </c>
      <c r="AL29" s="106">
        <v>3.1957644654162842</v>
      </c>
      <c r="AM29" s="106">
        <v>751.64380226591004</v>
      </c>
      <c r="AN29" s="106">
        <v>4.7870586944542719</v>
      </c>
      <c r="AO29" s="106">
        <v>1125.9162049356446</v>
      </c>
      <c r="AP29" s="106">
        <v>1.1071761367852451</v>
      </c>
      <c r="AQ29" s="106">
        <v>260.40782737188965</v>
      </c>
      <c r="AR29" s="106">
        <v>1.2382136889741808</v>
      </c>
      <c r="AS29" s="106">
        <v>291.22785964672732</v>
      </c>
      <c r="AT29" s="106">
        <v>1.134139693564713</v>
      </c>
      <c r="AU29" s="106">
        <v>266.74965592642047</v>
      </c>
      <c r="AV29" s="106">
        <v>0</v>
      </c>
      <c r="AW29" s="106">
        <v>0</v>
      </c>
      <c r="AX29" s="106">
        <v>3.8885941742869741</v>
      </c>
      <c r="AY29" s="106">
        <v>914.59734979229631</v>
      </c>
      <c r="AZ29" s="106">
        <v>2.5478497090496903</v>
      </c>
      <c r="BA29" s="106">
        <v>599.25425156848712</v>
      </c>
      <c r="BB29" s="106">
        <v>2.2974480271438775</v>
      </c>
      <c r="BC29" s="106">
        <v>540.35977598423995</v>
      </c>
      <c r="BD29" s="106">
        <v>0</v>
      </c>
      <c r="BE29" s="106">
        <v>0</v>
      </c>
      <c r="BF29" s="106">
        <v>3.3989660211538273</v>
      </c>
      <c r="BG29" s="106">
        <v>799.43680817538018</v>
      </c>
      <c r="BH29" s="106">
        <v>5.9655761922886974E-16</v>
      </c>
      <c r="BI29" s="106">
        <v>1.4031035204263017E-13</v>
      </c>
      <c r="BJ29" s="106">
        <v>6.3598365677243498</v>
      </c>
      <c r="BK29" s="106">
        <v>1495.833560728767</v>
      </c>
      <c r="BL29" s="106">
        <v>5.1316975360451675E-16</v>
      </c>
      <c r="BM29" s="106">
        <v>1.2069752604778234E-13</v>
      </c>
      <c r="BN29" s="106">
        <v>11.247356378520905</v>
      </c>
      <c r="BO29" s="106">
        <v>2645.3782202281168</v>
      </c>
      <c r="BP29" s="106">
        <v>5.4122619879990328</v>
      </c>
      <c r="BQ29" s="106">
        <v>1272.9640195773725</v>
      </c>
      <c r="BR29" s="106">
        <v>4.0514278341537553</v>
      </c>
      <c r="BS29" s="106">
        <v>952.8958265929632</v>
      </c>
      <c r="BT29" s="106">
        <v>0</v>
      </c>
      <c r="BU29" s="106">
        <v>0</v>
      </c>
      <c r="BV29" s="106">
        <v>10.218879877466669</v>
      </c>
      <c r="BW29" s="106">
        <v>2403.4805471801606</v>
      </c>
      <c r="BX29" s="106">
        <v>4.0944178791658983</v>
      </c>
      <c r="BY29" s="106">
        <v>963.00708517981923</v>
      </c>
      <c r="BZ29" s="106">
        <v>3.7401709903204554</v>
      </c>
      <c r="CA29" s="106">
        <v>879.6882169233711</v>
      </c>
      <c r="CB29" s="106">
        <v>4.315604631837985</v>
      </c>
      <c r="CC29" s="106">
        <v>1015.030209408294</v>
      </c>
      <c r="CD29" s="106">
        <v>2.9865301235589277</v>
      </c>
      <c r="CE29" s="106">
        <v>702.4318850610598</v>
      </c>
      <c r="CF29" s="106">
        <v>0</v>
      </c>
      <c r="CG29" s="106">
        <v>0</v>
      </c>
      <c r="CH29" s="106">
        <v>5.7104150447623176</v>
      </c>
      <c r="CI29" s="106">
        <v>1343.0896185280969</v>
      </c>
      <c r="CJ29" s="106">
        <v>0</v>
      </c>
      <c r="CK29" s="106">
        <v>0</v>
      </c>
      <c r="CL29" s="106">
        <v>5.9438164750335343</v>
      </c>
      <c r="CM29" s="106">
        <v>1397.9856349278873</v>
      </c>
      <c r="CN29" s="106">
        <v>1.2632944170987499</v>
      </c>
      <c r="CO29" s="106">
        <v>297.12684690162598</v>
      </c>
      <c r="CP29" s="106">
        <v>3.7728405330766988</v>
      </c>
      <c r="CQ29" s="106">
        <v>887.37209337963952</v>
      </c>
      <c r="CR29" s="106">
        <v>2.7620523563033492</v>
      </c>
      <c r="CS29" s="106">
        <v>649.63471420254768</v>
      </c>
      <c r="CT29" s="106">
        <v>1.2037480738778581</v>
      </c>
      <c r="CU29" s="106">
        <v>283.12154697607218</v>
      </c>
    </row>
    <row r="30" spans="2:99" x14ac:dyDescent="0.2">
      <c r="C30" s="105" t="s">
        <v>196</v>
      </c>
      <c r="D30" s="106">
        <v>0</v>
      </c>
      <c r="E30" s="106">
        <v>0</v>
      </c>
      <c r="F30" s="106">
        <v>5.5302424827315164</v>
      </c>
      <c r="G30" s="106">
        <v>1280.8041590006192</v>
      </c>
      <c r="H30" s="106">
        <v>0</v>
      </c>
      <c r="I30" s="106">
        <v>0</v>
      </c>
      <c r="J30" s="106">
        <v>4.7556397838989017</v>
      </c>
      <c r="K30" s="106">
        <v>1101.4061739509857</v>
      </c>
      <c r="L30" s="106">
        <v>3.8311585014251905</v>
      </c>
      <c r="M30" s="106">
        <v>887.29630893007413</v>
      </c>
      <c r="N30" s="106">
        <v>2.0666597248902514</v>
      </c>
      <c r="O30" s="106">
        <v>478.63839228458221</v>
      </c>
      <c r="P30" s="106">
        <v>2.9026562896716595</v>
      </c>
      <c r="Q30" s="106">
        <v>672.2551966879563</v>
      </c>
      <c r="R30" s="106">
        <v>1.1965889944240389</v>
      </c>
      <c r="S30" s="106">
        <v>277.13001110860739</v>
      </c>
      <c r="T30" s="106">
        <v>1.5007779449686343</v>
      </c>
      <c r="U30" s="106">
        <v>347.58017205473567</v>
      </c>
      <c r="V30" s="106">
        <v>3.7830113168684365</v>
      </c>
      <c r="W30" s="106">
        <v>876.14542098672985</v>
      </c>
      <c r="X30" s="106">
        <v>0</v>
      </c>
      <c r="Y30" s="106">
        <v>0</v>
      </c>
      <c r="Z30" s="106">
        <v>2.0099424768260481</v>
      </c>
      <c r="AA30" s="106">
        <v>465.50267763291271</v>
      </c>
      <c r="AB30" s="106">
        <v>0</v>
      </c>
      <c r="AC30" s="106">
        <v>0</v>
      </c>
      <c r="AD30" s="106">
        <v>7.0860027033107817</v>
      </c>
      <c r="AE30" s="106">
        <v>1641.118226086777</v>
      </c>
      <c r="AF30" s="106">
        <v>7.4849421952341304</v>
      </c>
      <c r="AG30" s="106">
        <v>1733.5126124162246</v>
      </c>
      <c r="AH30" s="106">
        <v>2.7321889003216762</v>
      </c>
      <c r="AI30" s="106">
        <v>632.77494931450019</v>
      </c>
      <c r="AJ30" s="106">
        <v>2.0346391514411328</v>
      </c>
      <c r="AK30" s="106">
        <v>471.22242747376634</v>
      </c>
      <c r="AL30" s="106">
        <v>3.8349173584995411</v>
      </c>
      <c r="AM30" s="106">
        <v>888.16686022849365</v>
      </c>
      <c r="AN30" s="106">
        <v>4.7870586944542719</v>
      </c>
      <c r="AO30" s="106">
        <v>1108.6827936356094</v>
      </c>
      <c r="AP30" s="106">
        <v>0.99645852310672045</v>
      </c>
      <c r="AQ30" s="106">
        <v>230.77979395151644</v>
      </c>
      <c r="AR30" s="106">
        <v>1.2382136889741808</v>
      </c>
      <c r="AS30" s="106">
        <v>286.77029036642028</v>
      </c>
      <c r="AT30" s="106">
        <v>1.134139693564713</v>
      </c>
      <c r="AU30" s="106">
        <v>262.66675302958754</v>
      </c>
      <c r="AV30" s="106">
        <v>0</v>
      </c>
      <c r="AW30" s="106">
        <v>0</v>
      </c>
      <c r="AX30" s="106">
        <v>4.5366932033348029</v>
      </c>
      <c r="AY30" s="106">
        <v>1050.6981458923403</v>
      </c>
      <c r="AZ30" s="106">
        <v>2.5478497090496903</v>
      </c>
      <c r="BA30" s="106">
        <v>590.08199261590823</v>
      </c>
      <c r="BB30" s="106">
        <v>2.0677032244294899</v>
      </c>
      <c r="BC30" s="106">
        <v>478.88006677786984</v>
      </c>
      <c r="BD30" s="106">
        <v>0</v>
      </c>
      <c r="BE30" s="106">
        <v>0</v>
      </c>
      <c r="BF30" s="106">
        <v>3.7766289123931416</v>
      </c>
      <c r="BG30" s="106">
        <v>874.66725611025151</v>
      </c>
      <c r="BH30" s="106">
        <v>5.9655761922886974E-16</v>
      </c>
      <c r="BI30" s="106">
        <v>1.3816274461340622E-13</v>
      </c>
      <c r="BJ30" s="106">
        <v>6.558581460465736</v>
      </c>
      <c r="BK30" s="106">
        <v>1518.9674662438645</v>
      </c>
      <c r="BL30" s="106">
        <v>5.1316975360451675E-16</v>
      </c>
      <c r="BM30" s="106">
        <v>1.1885011493480607E-13</v>
      </c>
      <c r="BN30" s="106">
        <v>11.247356378520905</v>
      </c>
      <c r="BO30" s="106">
        <v>2604.8877372654415</v>
      </c>
      <c r="BP30" s="106">
        <v>5.2530778118814139</v>
      </c>
      <c r="BQ30" s="106">
        <v>1216.6128212317353</v>
      </c>
      <c r="BR30" s="106">
        <v>4.4565706175691311</v>
      </c>
      <c r="BS30" s="106">
        <v>1032.1417550290107</v>
      </c>
      <c r="BT30" s="106">
        <v>0</v>
      </c>
      <c r="BU30" s="106">
        <v>0</v>
      </c>
      <c r="BV30" s="106">
        <v>9.4328121945846153</v>
      </c>
      <c r="BW30" s="106">
        <v>2184.6393042657969</v>
      </c>
      <c r="BX30" s="106">
        <v>3.9427727725301245</v>
      </c>
      <c r="BY30" s="106">
        <v>913.14617411797678</v>
      </c>
      <c r="BZ30" s="106">
        <v>3.9182743708119059</v>
      </c>
      <c r="CA30" s="106">
        <v>907.47234428003742</v>
      </c>
      <c r="CB30" s="106">
        <v>4.469733368689341</v>
      </c>
      <c r="CC30" s="106">
        <v>1035.1902481884513</v>
      </c>
      <c r="CD30" s="106">
        <v>3.2851831359148207</v>
      </c>
      <c r="CE30" s="106">
        <v>760.84841427787251</v>
      </c>
      <c r="CF30" s="106">
        <v>0</v>
      </c>
      <c r="CG30" s="106">
        <v>0</v>
      </c>
      <c r="CH30" s="106">
        <v>5.7104150447623176</v>
      </c>
      <c r="CI30" s="106">
        <v>1322.5321243669528</v>
      </c>
      <c r="CJ30" s="106">
        <v>0</v>
      </c>
      <c r="CK30" s="106">
        <v>0</v>
      </c>
      <c r="CL30" s="106">
        <v>5.2833924222520299</v>
      </c>
      <c r="CM30" s="106">
        <v>1223.6336849935701</v>
      </c>
      <c r="CN30" s="106">
        <v>1.2632944170987499</v>
      </c>
      <c r="CO30" s="106">
        <v>292.57898700007047</v>
      </c>
      <c r="CP30" s="106">
        <v>3.2697951286664728</v>
      </c>
      <c r="CQ30" s="106">
        <v>757.28455179915511</v>
      </c>
      <c r="CR30" s="106">
        <v>3.156631264346685</v>
      </c>
      <c r="CS30" s="106">
        <v>731.07580082269226</v>
      </c>
      <c r="CT30" s="106">
        <v>1.0943164307980529</v>
      </c>
      <c r="CU30" s="106">
        <v>253.44368537282904</v>
      </c>
    </row>
    <row r="31" spans="2:99" x14ac:dyDescent="0.2">
      <c r="C31" s="105" t="s">
        <v>197</v>
      </c>
      <c r="D31" s="106">
        <v>0</v>
      </c>
      <c r="E31" s="106">
        <v>0</v>
      </c>
      <c r="F31" s="106">
        <v>5.5302424827315164</v>
      </c>
      <c r="G31" s="106">
        <v>982.17106493311724</v>
      </c>
      <c r="H31" s="106">
        <v>0</v>
      </c>
      <c r="I31" s="106">
        <v>0</v>
      </c>
      <c r="J31" s="106">
        <v>4.7556397838989017</v>
      </c>
      <c r="K31" s="106">
        <v>844.60162562044491</v>
      </c>
      <c r="L31" s="106">
        <v>4.788948126781488</v>
      </c>
      <c r="M31" s="106">
        <v>850.51718731639221</v>
      </c>
      <c r="N31" s="106">
        <v>1.8083272592789699</v>
      </c>
      <c r="O31" s="106">
        <v>321.15892124794505</v>
      </c>
      <c r="P31" s="106">
        <v>2.9026562896716595</v>
      </c>
      <c r="Q31" s="106">
        <v>515.51175704568675</v>
      </c>
      <c r="R31" s="106">
        <v>1.1965889944240389</v>
      </c>
      <c r="S31" s="106">
        <v>212.51420540970929</v>
      </c>
      <c r="T31" s="106">
        <v>1.6675310499651492</v>
      </c>
      <c r="U31" s="106">
        <v>296.1535144738105</v>
      </c>
      <c r="V31" s="106">
        <v>3.7830113168684365</v>
      </c>
      <c r="W31" s="106">
        <v>671.86280987583427</v>
      </c>
      <c r="X31" s="106">
        <v>0</v>
      </c>
      <c r="Y31" s="106">
        <v>0</v>
      </c>
      <c r="Z31" s="106">
        <v>2.0099424768260481</v>
      </c>
      <c r="AA31" s="106">
        <v>356.96578388430612</v>
      </c>
      <c r="AB31" s="106">
        <v>0</v>
      </c>
      <c r="AC31" s="106">
        <v>0</v>
      </c>
      <c r="AD31" s="106">
        <v>7.0860027033107817</v>
      </c>
      <c r="AE31" s="106">
        <v>1258.4740801079947</v>
      </c>
      <c r="AF31" s="106">
        <v>8.108687378170309</v>
      </c>
      <c r="AG31" s="106">
        <v>1440.1028783630468</v>
      </c>
      <c r="AH31" s="106">
        <v>2.7321889003216762</v>
      </c>
      <c r="AI31" s="106">
        <v>485.23674869712966</v>
      </c>
      <c r="AJ31" s="106">
        <v>2.0346391514411328</v>
      </c>
      <c r="AK31" s="106">
        <v>361.35191329594517</v>
      </c>
      <c r="AL31" s="106">
        <v>3.1957644654162842</v>
      </c>
      <c r="AM31" s="106">
        <v>567.56776905793208</v>
      </c>
      <c r="AN31" s="106">
        <v>4.7870586944542719</v>
      </c>
      <c r="AO31" s="106">
        <v>850.18162413507866</v>
      </c>
      <c r="AP31" s="106">
        <v>0.94109971626745825</v>
      </c>
      <c r="AQ31" s="106">
        <v>167.13930960910059</v>
      </c>
      <c r="AR31" s="106">
        <v>1.4151013588276351</v>
      </c>
      <c r="AS31" s="106">
        <v>251.32200132778797</v>
      </c>
      <c r="AT31" s="106">
        <v>1.2151496716764782</v>
      </c>
      <c r="AU31" s="106">
        <v>215.81058168974252</v>
      </c>
      <c r="AV31" s="106">
        <v>0</v>
      </c>
      <c r="AW31" s="106">
        <v>0</v>
      </c>
      <c r="AX31" s="106">
        <v>4.2126436888108882</v>
      </c>
      <c r="AY31" s="106">
        <v>748.16551913281376</v>
      </c>
      <c r="AZ31" s="106">
        <v>2.5478497090496903</v>
      </c>
      <c r="BA31" s="106">
        <v>452.498108327225</v>
      </c>
      <c r="BB31" s="106">
        <v>2.5271928298582651</v>
      </c>
      <c r="BC31" s="106">
        <v>448.82944658282787</v>
      </c>
      <c r="BD31" s="106">
        <v>0</v>
      </c>
      <c r="BE31" s="106">
        <v>0</v>
      </c>
      <c r="BF31" s="106">
        <v>3.7766289123931416</v>
      </c>
      <c r="BG31" s="106">
        <v>670.7292948410219</v>
      </c>
      <c r="BH31" s="106">
        <v>6.1786324848704362E-16</v>
      </c>
      <c r="BI31" s="106">
        <v>1.0973251293129895E-13</v>
      </c>
      <c r="BJ31" s="106">
        <v>7.7510508169140513</v>
      </c>
      <c r="BK31" s="106">
        <v>1376.5866250839354</v>
      </c>
      <c r="BL31" s="106">
        <v>5.3290705182007512E-16</v>
      </c>
      <c r="BM31" s="106">
        <v>9.4644292403245334E-14</v>
      </c>
      <c r="BN31" s="106">
        <v>10.966172469057883</v>
      </c>
      <c r="BO31" s="106">
        <v>1947.5922305046799</v>
      </c>
      <c r="BP31" s="106">
        <v>4.775525283528558</v>
      </c>
      <c r="BQ31" s="106">
        <v>848.13329035467189</v>
      </c>
      <c r="BR31" s="106">
        <v>3.8488564424460674</v>
      </c>
      <c r="BS31" s="106">
        <v>683.55690417842152</v>
      </c>
      <c r="BT31" s="106">
        <v>0</v>
      </c>
      <c r="BU31" s="106">
        <v>0</v>
      </c>
      <c r="BV31" s="106">
        <v>10.611913718907694</v>
      </c>
      <c r="BW31" s="106">
        <v>1884.6758764780063</v>
      </c>
      <c r="BX31" s="106">
        <v>3.639482559258576</v>
      </c>
      <c r="BY31" s="106">
        <v>646.37210252432305</v>
      </c>
      <c r="BZ31" s="106">
        <v>3.7401709903204554</v>
      </c>
      <c r="CA31" s="106">
        <v>664.25436788091281</v>
      </c>
      <c r="CB31" s="106">
        <v>4.6238621055406979</v>
      </c>
      <c r="CC31" s="106">
        <v>821.19790994402797</v>
      </c>
      <c r="CD31" s="106">
        <v>3.4345096420927668</v>
      </c>
      <c r="CE31" s="106">
        <v>609.96891243567541</v>
      </c>
      <c r="CF31" s="106">
        <v>0</v>
      </c>
      <c r="CG31" s="106">
        <v>0</v>
      </c>
      <c r="CH31" s="106">
        <v>5.7104150447623176</v>
      </c>
      <c r="CI31" s="106">
        <v>1014.1697119497876</v>
      </c>
      <c r="CJ31" s="106">
        <v>0</v>
      </c>
      <c r="CK31" s="106">
        <v>0</v>
      </c>
      <c r="CL31" s="106">
        <v>5.2833924222520299</v>
      </c>
      <c r="CM31" s="106">
        <v>938.3304941919605</v>
      </c>
      <c r="CN31" s="106">
        <v>1.2632944170987499</v>
      </c>
      <c r="CO31" s="106">
        <v>224.36108847673796</v>
      </c>
      <c r="CP31" s="106">
        <v>3.2697951286664728</v>
      </c>
      <c r="CQ31" s="106">
        <v>580.71561485116558</v>
      </c>
      <c r="CR31" s="106">
        <v>3.156631264346685</v>
      </c>
      <c r="CS31" s="106">
        <v>560.61771254797122</v>
      </c>
      <c r="CT31" s="106">
        <v>1.2037480738778581</v>
      </c>
      <c r="CU31" s="106">
        <v>213.78565792070759</v>
      </c>
    </row>
    <row r="32" spans="2:99" x14ac:dyDescent="0.2">
      <c r="C32" s="105" t="s">
        <v>198</v>
      </c>
      <c r="D32" s="106">
        <v>6.7600380341704893</v>
      </c>
      <c r="E32" s="106">
        <v>3480.0675799909677</v>
      </c>
      <c r="F32" s="106">
        <v>7</v>
      </c>
      <c r="G32" s="106">
        <v>3603.5999999999995</v>
      </c>
      <c r="H32" s="106">
        <v>7</v>
      </c>
      <c r="I32" s="106">
        <v>3603.5999999999995</v>
      </c>
      <c r="J32" s="106">
        <v>12.951483825555979</v>
      </c>
      <c r="K32" s="106">
        <v>6667.4238733962175</v>
      </c>
      <c r="L32" s="106">
        <v>1.1333810509056812E-15</v>
      </c>
      <c r="M32" s="106">
        <v>5.834645650062447E-13</v>
      </c>
      <c r="N32" s="106">
        <v>7</v>
      </c>
      <c r="O32" s="106">
        <v>3603.5999999999995</v>
      </c>
      <c r="P32" s="106">
        <v>8</v>
      </c>
      <c r="Q32" s="106">
        <v>4118.3999999999996</v>
      </c>
      <c r="R32" s="106">
        <v>9</v>
      </c>
      <c r="S32" s="106">
        <v>4633.2</v>
      </c>
      <c r="T32" s="106">
        <v>9</v>
      </c>
      <c r="U32" s="106">
        <v>4633.2</v>
      </c>
      <c r="V32" s="106">
        <v>8</v>
      </c>
      <c r="W32" s="106">
        <v>4118.3999999999996</v>
      </c>
      <c r="X32" s="106">
        <v>5.2434200821677699</v>
      </c>
      <c r="Y32" s="106">
        <v>2699.3126582999676</v>
      </c>
      <c r="Z32" s="106">
        <v>5.8478961413797501</v>
      </c>
      <c r="AA32" s="106">
        <v>3010.4969335822952</v>
      </c>
      <c r="AB32" s="106">
        <v>32.814958300355478</v>
      </c>
      <c r="AC32" s="106">
        <v>16893.140533022997</v>
      </c>
      <c r="AD32" s="106">
        <v>25.3903585828857</v>
      </c>
      <c r="AE32" s="106">
        <v>13070.956598469556</v>
      </c>
      <c r="AF32" s="106">
        <v>0</v>
      </c>
      <c r="AG32" s="106">
        <v>0</v>
      </c>
      <c r="AH32" s="106">
        <v>43</v>
      </c>
      <c r="AI32" s="106">
        <v>22136.399999999998</v>
      </c>
      <c r="AJ32" s="106">
        <v>16</v>
      </c>
      <c r="AK32" s="106">
        <v>8236.7999999999993</v>
      </c>
      <c r="AL32" s="106">
        <v>15</v>
      </c>
      <c r="AM32" s="106">
        <v>7721.9999999999991</v>
      </c>
      <c r="AN32" s="106">
        <v>9.3382257280618486</v>
      </c>
      <c r="AO32" s="106">
        <v>4807.3186048062389</v>
      </c>
      <c r="AP32" s="106">
        <v>11.510267886231599</v>
      </c>
      <c r="AQ32" s="106">
        <v>5925.4859078320269</v>
      </c>
      <c r="AR32" s="106">
        <v>5.822257716286015</v>
      </c>
      <c r="AS32" s="106">
        <v>2997.29827234404</v>
      </c>
      <c r="AT32" s="106">
        <v>6.0904003421890414</v>
      </c>
      <c r="AU32" s="106">
        <v>3135.3380961589182</v>
      </c>
      <c r="AV32" s="106">
        <v>0</v>
      </c>
      <c r="AW32" s="106">
        <v>0</v>
      </c>
      <c r="AX32" s="106">
        <v>13</v>
      </c>
      <c r="AY32" s="106">
        <v>6692.4</v>
      </c>
      <c r="AZ32" s="106">
        <v>2.9121407479718622</v>
      </c>
      <c r="BA32" s="106">
        <v>1499.1700570559144</v>
      </c>
      <c r="BB32" s="106">
        <v>9</v>
      </c>
      <c r="BC32" s="106">
        <v>4633.2</v>
      </c>
      <c r="BD32" s="106">
        <v>11</v>
      </c>
      <c r="BE32" s="106">
        <v>5662.7999999999993</v>
      </c>
      <c r="BF32" s="106">
        <v>9</v>
      </c>
      <c r="BG32" s="106">
        <v>4633.2</v>
      </c>
      <c r="BH32" s="106">
        <v>25</v>
      </c>
      <c r="BI32" s="106">
        <v>12869.999999999998</v>
      </c>
      <c r="BJ32" s="106">
        <v>31.758220776883391</v>
      </c>
      <c r="BK32" s="106">
        <v>16349.132055939568</v>
      </c>
      <c r="BL32" s="106">
        <v>28.133549689469557</v>
      </c>
      <c r="BM32" s="106">
        <v>14483.151380138926</v>
      </c>
      <c r="BN32" s="106">
        <v>14.408387810768501</v>
      </c>
      <c r="BO32" s="106">
        <v>7417.4380449836235</v>
      </c>
      <c r="BP32" s="106">
        <v>0</v>
      </c>
      <c r="BQ32" s="106">
        <v>0</v>
      </c>
      <c r="BR32" s="106">
        <v>22</v>
      </c>
      <c r="BS32" s="106">
        <v>11325.599999999999</v>
      </c>
      <c r="BT32" s="106">
        <v>28</v>
      </c>
      <c r="BU32" s="106">
        <v>14414.399999999998</v>
      </c>
      <c r="BV32" s="106">
        <v>23</v>
      </c>
      <c r="BW32" s="106">
        <v>11840.4</v>
      </c>
      <c r="BX32" s="106">
        <v>25</v>
      </c>
      <c r="BY32" s="106">
        <v>12869.999999999998</v>
      </c>
      <c r="BZ32" s="106">
        <v>9.5564737997776259</v>
      </c>
      <c r="CA32" s="106">
        <v>4919.6727121255217</v>
      </c>
      <c r="CB32" s="106">
        <v>21.831084522222614</v>
      </c>
      <c r="CC32" s="106">
        <v>11238.642312040201</v>
      </c>
      <c r="CD32" s="106">
        <v>13.738880157563083</v>
      </c>
      <c r="CE32" s="106">
        <v>7072.7755051134745</v>
      </c>
      <c r="CF32" s="106">
        <v>14.33214998254876</v>
      </c>
      <c r="CG32" s="106">
        <v>7378.1908110161012</v>
      </c>
      <c r="CH32" s="106">
        <v>11.918347938965844</v>
      </c>
      <c r="CI32" s="106">
        <v>6135.5655189796162</v>
      </c>
      <c r="CJ32" s="106">
        <v>10.310674035186622</v>
      </c>
      <c r="CK32" s="106">
        <v>5307.9349933140729</v>
      </c>
      <c r="CL32" s="106">
        <v>5.9117988892166142</v>
      </c>
      <c r="CM32" s="106">
        <v>3043.3940681687127</v>
      </c>
      <c r="CN32" s="106">
        <v>8.8639461379042963</v>
      </c>
      <c r="CO32" s="106">
        <v>4563.1594717931312</v>
      </c>
      <c r="CP32" s="106">
        <v>8.5283036877473606</v>
      </c>
      <c r="CQ32" s="106">
        <v>4390.3707384523404</v>
      </c>
      <c r="CR32" s="106">
        <v>5.2325605809531162</v>
      </c>
      <c r="CS32" s="106">
        <v>2693.7221870746639</v>
      </c>
      <c r="CT32" s="106">
        <v>2.9431767784191751</v>
      </c>
      <c r="CU32" s="106">
        <v>1515.1474055301912</v>
      </c>
    </row>
    <row r="33" spans="2:99" x14ac:dyDescent="0.2">
      <c r="C33" s="105" t="s">
        <v>199</v>
      </c>
      <c r="D33" s="106">
        <v>0</v>
      </c>
      <c r="E33" s="106">
        <v>0</v>
      </c>
      <c r="F33" s="106">
        <v>5.5302424827315164</v>
      </c>
      <c r="G33" s="106">
        <v>1851.5251832185118</v>
      </c>
      <c r="H33" s="106">
        <v>0</v>
      </c>
      <c r="I33" s="106">
        <v>0</v>
      </c>
      <c r="J33" s="106">
        <v>4.3898213389836016</v>
      </c>
      <c r="K33" s="106">
        <v>1469.7121842917099</v>
      </c>
      <c r="L33" s="106">
        <v>4.1504217098772891</v>
      </c>
      <c r="M33" s="106">
        <v>1389.5611884669165</v>
      </c>
      <c r="N33" s="106">
        <v>2.0666597248902514</v>
      </c>
      <c r="O33" s="106">
        <v>691.91767589325616</v>
      </c>
      <c r="P33" s="106">
        <v>3.2654883258806171</v>
      </c>
      <c r="Q33" s="106">
        <v>1093.2854915048306</v>
      </c>
      <c r="R33" s="106">
        <v>1.0769300949816349</v>
      </c>
      <c r="S33" s="106">
        <v>360.55619579985137</v>
      </c>
      <c r="T33" s="106">
        <v>1.6675310499651492</v>
      </c>
      <c r="U33" s="106">
        <v>558.28939552833197</v>
      </c>
      <c r="V33" s="106">
        <v>3.7830113168684365</v>
      </c>
      <c r="W33" s="106">
        <v>1266.5521888875526</v>
      </c>
      <c r="X33" s="106">
        <v>0</v>
      </c>
      <c r="Y33" s="106">
        <v>0</v>
      </c>
      <c r="Z33" s="106">
        <v>2.0099424768260481</v>
      </c>
      <c r="AA33" s="106">
        <v>672.92874124136097</v>
      </c>
      <c r="AB33" s="106">
        <v>0</v>
      </c>
      <c r="AC33" s="106">
        <v>0</v>
      </c>
      <c r="AD33" s="106">
        <v>7.9363230277080756</v>
      </c>
      <c r="AE33" s="106">
        <v>2657.0809496766637</v>
      </c>
      <c r="AF33" s="106">
        <v>6.8611970122979535</v>
      </c>
      <c r="AG33" s="106">
        <v>2297.128759717355</v>
      </c>
      <c r="AH33" s="106">
        <v>2.2671354704796887</v>
      </c>
      <c r="AI33" s="106">
        <v>759.03695551659985</v>
      </c>
      <c r="AJ33" s="106">
        <v>1.927552880312652</v>
      </c>
      <c r="AK33" s="106">
        <v>645.3447043286759</v>
      </c>
      <c r="AL33" s="106">
        <v>3.4088154297773698</v>
      </c>
      <c r="AM33" s="106">
        <v>1141.2714058894635</v>
      </c>
      <c r="AN33" s="106">
        <v>4.7870586944542719</v>
      </c>
      <c r="AO33" s="106">
        <v>1602.7072509032903</v>
      </c>
      <c r="AP33" s="106">
        <v>1.0518173299459828</v>
      </c>
      <c r="AQ33" s="106">
        <v>352.14844206591505</v>
      </c>
      <c r="AR33" s="106">
        <v>1.326657523900908</v>
      </c>
      <c r="AS33" s="106">
        <v>444.16493900202403</v>
      </c>
      <c r="AT33" s="106">
        <v>1.134139693564713</v>
      </c>
      <c r="AU33" s="106">
        <v>379.70996940546593</v>
      </c>
      <c r="AV33" s="106">
        <v>0</v>
      </c>
      <c r="AW33" s="106">
        <v>0</v>
      </c>
      <c r="AX33" s="106">
        <v>4.5366932033348029</v>
      </c>
      <c r="AY33" s="106">
        <v>1518.8848844764921</v>
      </c>
      <c r="AZ33" s="106">
        <v>2.5478497090496903</v>
      </c>
      <c r="BA33" s="106">
        <v>853.02008258983631</v>
      </c>
      <c r="BB33" s="106">
        <v>2.2974480271438775</v>
      </c>
      <c r="BC33" s="106">
        <v>769.18559948777022</v>
      </c>
      <c r="BD33" s="106">
        <v>0</v>
      </c>
      <c r="BE33" s="106">
        <v>0</v>
      </c>
      <c r="BF33" s="106">
        <v>3.7766289123931416</v>
      </c>
      <c r="BG33" s="106">
        <v>1264.4153598692239</v>
      </c>
      <c r="BH33" s="106">
        <v>6.1786324848704362E-16</v>
      </c>
      <c r="BI33" s="106">
        <v>2.0686061559346222E-13</v>
      </c>
      <c r="BJ33" s="106">
        <v>6.9560712459485075</v>
      </c>
      <c r="BK33" s="106">
        <v>2328.8926531435604</v>
      </c>
      <c r="BL33" s="106">
        <v>5.7238164825119185E-16</v>
      </c>
      <c r="BM33" s="106">
        <v>1.9163337583449904E-13</v>
      </c>
      <c r="BN33" s="106">
        <v>10.966172469057883</v>
      </c>
      <c r="BO33" s="106">
        <v>3671.4745426405793</v>
      </c>
      <c r="BP33" s="106">
        <v>4.9347094596461769</v>
      </c>
      <c r="BQ33" s="106">
        <v>1652.1407270895402</v>
      </c>
      <c r="BR33" s="106">
        <v>4.0514278341537553</v>
      </c>
      <c r="BS33" s="106">
        <v>1356.4180388746772</v>
      </c>
      <c r="BT33" s="106">
        <v>0</v>
      </c>
      <c r="BU33" s="106">
        <v>0</v>
      </c>
      <c r="BV33" s="106">
        <v>10.611913718907694</v>
      </c>
      <c r="BW33" s="106">
        <v>3552.8687130902958</v>
      </c>
      <c r="BX33" s="106">
        <v>3.7911276658943502</v>
      </c>
      <c r="BY33" s="106">
        <v>1269.2695425414286</v>
      </c>
      <c r="BZ33" s="106">
        <v>3.3839642293375549</v>
      </c>
      <c r="CA33" s="106">
        <v>1132.9512239822134</v>
      </c>
      <c r="CB33" s="106">
        <v>4.1614758949866282</v>
      </c>
      <c r="CC33" s="106">
        <v>1393.2621296415232</v>
      </c>
      <c r="CD33" s="106">
        <v>3.2851831359148207</v>
      </c>
      <c r="CE33" s="106">
        <v>1099.8793139042821</v>
      </c>
      <c r="CF33" s="106">
        <v>0</v>
      </c>
      <c r="CG33" s="106">
        <v>0</v>
      </c>
      <c r="CH33" s="106">
        <v>5.7104150447623176</v>
      </c>
      <c r="CI33" s="106">
        <v>1911.8469569864239</v>
      </c>
      <c r="CJ33" s="106">
        <v>0</v>
      </c>
      <c r="CK33" s="106">
        <v>0</v>
      </c>
      <c r="CL33" s="106">
        <v>4.9531803958612777</v>
      </c>
      <c r="CM33" s="106">
        <v>1658.3247965343558</v>
      </c>
      <c r="CN33" s="106">
        <v>1.2632944170987499</v>
      </c>
      <c r="CO33" s="106">
        <v>422.95097084466147</v>
      </c>
      <c r="CP33" s="106">
        <v>3.521317830871586</v>
      </c>
      <c r="CQ33" s="106">
        <v>1178.9372097758071</v>
      </c>
      <c r="CR33" s="106">
        <v>2.7620523563033492</v>
      </c>
      <c r="CS33" s="106">
        <v>924.73512889036135</v>
      </c>
      <c r="CT33" s="106">
        <v>1.0943164307980529</v>
      </c>
      <c r="CU33" s="106">
        <v>366.3771410311881</v>
      </c>
    </row>
    <row r="34" spans="2:99" x14ac:dyDescent="0.2">
      <c r="C34" s="105" t="s">
        <v>200</v>
      </c>
      <c r="D34" s="106">
        <v>0</v>
      </c>
      <c r="E34" s="106">
        <v>0</v>
      </c>
      <c r="F34" s="106">
        <v>4.8389621723900769</v>
      </c>
      <c r="G34" s="106">
        <v>1840.7412103771851</v>
      </c>
      <c r="H34" s="106">
        <v>0</v>
      </c>
      <c r="I34" s="106">
        <v>0</v>
      </c>
      <c r="J34" s="106">
        <v>4.7556397838989017</v>
      </c>
      <c r="K34" s="106">
        <v>1809.045373795142</v>
      </c>
      <c r="L34" s="106">
        <v>3.8311585014251905</v>
      </c>
      <c r="M34" s="106">
        <v>1457.3726939421424</v>
      </c>
      <c r="N34" s="106">
        <v>1.8083272592789699</v>
      </c>
      <c r="O34" s="106">
        <v>687.88768942972013</v>
      </c>
      <c r="P34" s="106">
        <v>2.5398242534627018</v>
      </c>
      <c r="Q34" s="106">
        <v>966.14914601721171</v>
      </c>
      <c r="R34" s="106">
        <v>1.1965889944240389</v>
      </c>
      <c r="S34" s="106">
        <v>455.18245347890434</v>
      </c>
      <c r="T34" s="106">
        <v>1.5007779449686343</v>
      </c>
      <c r="U34" s="106">
        <v>570.89593026606849</v>
      </c>
      <c r="V34" s="106">
        <v>3.3101349022598821</v>
      </c>
      <c r="W34" s="106">
        <v>1259.175316819659</v>
      </c>
      <c r="X34" s="106">
        <v>0</v>
      </c>
      <c r="Y34" s="106">
        <v>0</v>
      </c>
      <c r="Z34" s="106">
        <v>1.7586996672227919</v>
      </c>
      <c r="AA34" s="106">
        <v>669.00935341155002</v>
      </c>
      <c r="AB34" s="106">
        <v>0</v>
      </c>
      <c r="AC34" s="106">
        <v>0</v>
      </c>
      <c r="AD34" s="106">
        <v>7.9363230277080756</v>
      </c>
      <c r="AE34" s="106">
        <v>3018.977279740152</v>
      </c>
      <c r="AF34" s="106">
        <v>7.4849421952341304</v>
      </c>
      <c r="AG34" s="106">
        <v>2847.272011067063</v>
      </c>
      <c r="AH34" s="106">
        <v>2.557793864130931</v>
      </c>
      <c r="AI34" s="106">
        <v>972.98478591540606</v>
      </c>
      <c r="AJ34" s="106">
        <v>1.7133803380556909</v>
      </c>
      <c r="AK34" s="106">
        <v>651.76988059638472</v>
      </c>
      <c r="AL34" s="106">
        <v>3.1957644654162842</v>
      </c>
      <c r="AM34" s="106">
        <v>1215.6688026443544</v>
      </c>
      <c r="AN34" s="106">
        <v>4.3311483426014838</v>
      </c>
      <c r="AO34" s="106">
        <v>1647.5688295256043</v>
      </c>
      <c r="AP34" s="106">
        <v>0.99645852310672045</v>
      </c>
      <c r="AQ34" s="106">
        <v>379.05282218979642</v>
      </c>
      <c r="AR34" s="106">
        <v>1.2382136889741808</v>
      </c>
      <c r="AS34" s="106">
        <v>471.01648728577834</v>
      </c>
      <c r="AT34" s="106">
        <v>1.0531297154529478</v>
      </c>
      <c r="AU34" s="106">
        <v>400.61054375830128</v>
      </c>
      <c r="AV34" s="106">
        <v>0</v>
      </c>
      <c r="AW34" s="106">
        <v>0</v>
      </c>
      <c r="AX34" s="106">
        <v>4.2126436888108882</v>
      </c>
      <c r="AY34" s="106">
        <v>1602.4896592236619</v>
      </c>
      <c r="AZ34" s="106">
        <v>2.5478497090496903</v>
      </c>
      <c r="BA34" s="106">
        <v>969.20202932250209</v>
      </c>
      <c r="BB34" s="106">
        <v>2.0677032244294899</v>
      </c>
      <c r="BC34" s="106">
        <v>786.55430657297791</v>
      </c>
      <c r="BD34" s="106">
        <v>0</v>
      </c>
      <c r="BE34" s="106">
        <v>0</v>
      </c>
      <c r="BF34" s="106">
        <v>3.7766289123931416</v>
      </c>
      <c r="BG34" s="106">
        <v>1436.629638274351</v>
      </c>
      <c r="BH34" s="106">
        <v>6.1786324848704362E-16</v>
      </c>
      <c r="BI34" s="106">
        <v>2.3503517972447137E-13</v>
      </c>
      <c r="BJ34" s="106">
        <v>7.3535610314312798</v>
      </c>
      <c r="BK34" s="106">
        <v>2797.2946163564588</v>
      </c>
      <c r="BL34" s="106">
        <v>5.1316975360451675E-16</v>
      </c>
      <c r="BM34" s="106">
        <v>1.9520977427115816E-13</v>
      </c>
      <c r="BN34" s="106">
        <v>11.247356378520905</v>
      </c>
      <c r="BO34" s="106">
        <v>4278.4943663893519</v>
      </c>
      <c r="BP34" s="106">
        <v>4.457156931293321</v>
      </c>
      <c r="BQ34" s="106">
        <v>1695.5024966639792</v>
      </c>
      <c r="BR34" s="106">
        <v>4.2539992258614427</v>
      </c>
      <c r="BS34" s="106">
        <v>1618.2213055176928</v>
      </c>
      <c r="BT34" s="106">
        <v>0</v>
      </c>
      <c r="BU34" s="106">
        <v>0</v>
      </c>
      <c r="BV34" s="106">
        <v>11.00494756034872</v>
      </c>
      <c r="BW34" s="106">
        <v>4186.282051956653</v>
      </c>
      <c r="BX34" s="106">
        <v>3.4878374526228026</v>
      </c>
      <c r="BY34" s="106">
        <v>1326.773366977714</v>
      </c>
      <c r="BZ34" s="106">
        <v>3.5620676098290049</v>
      </c>
      <c r="CA34" s="106">
        <v>1355.0105187789534</v>
      </c>
      <c r="CB34" s="106">
        <v>4.6238621055406979</v>
      </c>
      <c r="CC34" s="106">
        <v>1758.9171449476814</v>
      </c>
      <c r="CD34" s="106">
        <v>3.4345096420927668</v>
      </c>
      <c r="CE34" s="106">
        <v>1306.4874678520885</v>
      </c>
      <c r="CF34" s="106">
        <v>0</v>
      </c>
      <c r="CG34" s="106">
        <v>0</v>
      </c>
      <c r="CH34" s="106">
        <v>5.7104150447623176</v>
      </c>
      <c r="CI34" s="106">
        <v>2172.2418830275856</v>
      </c>
      <c r="CJ34" s="106">
        <v>0</v>
      </c>
      <c r="CK34" s="106">
        <v>0</v>
      </c>
      <c r="CL34" s="106">
        <v>5.2833924222520299</v>
      </c>
      <c r="CM34" s="106">
        <v>2009.8024774246721</v>
      </c>
      <c r="CN34" s="106">
        <v>1.2632944170987499</v>
      </c>
      <c r="CO34" s="106">
        <v>480.55719626436445</v>
      </c>
      <c r="CP34" s="106">
        <v>3.2697951286664728</v>
      </c>
      <c r="CQ34" s="106">
        <v>1243.8300669447262</v>
      </c>
      <c r="CR34" s="106">
        <v>3.156631264346685</v>
      </c>
      <c r="CS34" s="106">
        <v>1200.7825329574789</v>
      </c>
      <c r="CT34" s="106">
        <v>1.2037480738778581</v>
      </c>
      <c r="CU34" s="106">
        <v>457.90576730313717</v>
      </c>
    </row>
    <row r="35" spans="2:99" x14ac:dyDescent="0.2">
      <c r="C35" s="105" t="s">
        <v>201</v>
      </c>
      <c r="D35" s="106">
        <v>0</v>
      </c>
      <c r="E35" s="106">
        <v>0</v>
      </c>
      <c r="F35" s="106">
        <v>5.5302424827315164</v>
      </c>
      <c r="G35" s="106">
        <v>2269.6115149130142</v>
      </c>
      <c r="H35" s="106">
        <v>0</v>
      </c>
      <c r="I35" s="106">
        <v>0</v>
      </c>
      <c r="J35" s="106">
        <v>4.7556397838989017</v>
      </c>
      <c r="K35" s="106">
        <v>1951.7145673121092</v>
      </c>
      <c r="L35" s="106">
        <v>4.4696849183293894</v>
      </c>
      <c r="M35" s="106">
        <v>1834.3586904823812</v>
      </c>
      <c r="N35" s="106">
        <v>2.0666597248902514</v>
      </c>
      <c r="O35" s="106">
        <v>848.15715109495909</v>
      </c>
      <c r="P35" s="106">
        <v>2.5398242534627018</v>
      </c>
      <c r="Q35" s="106">
        <v>1042.3438736210928</v>
      </c>
      <c r="R35" s="106">
        <v>1.1965889944240389</v>
      </c>
      <c r="S35" s="106">
        <v>491.08012331162553</v>
      </c>
      <c r="T35" s="106">
        <v>1.8342841549616642</v>
      </c>
      <c r="U35" s="106">
        <v>752.79021719626689</v>
      </c>
      <c r="V35" s="106">
        <v>4.2558877314769914</v>
      </c>
      <c r="W35" s="106">
        <v>1746.6163249981571</v>
      </c>
      <c r="X35" s="106">
        <v>0</v>
      </c>
      <c r="Y35" s="106">
        <v>0</v>
      </c>
      <c r="Z35" s="106">
        <v>2.0099424768260481</v>
      </c>
      <c r="AA35" s="106">
        <v>824.88039248941004</v>
      </c>
      <c r="AB35" s="106">
        <v>0</v>
      </c>
      <c r="AC35" s="106">
        <v>0</v>
      </c>
      <c r="AD35" s="106">
        <v>6.802562595178351</v>
      </c>
      <c r="AE35" s="106">
        <v>2791.771689061195</v>
      </c>
      <c r="AF35" s="106">
        <v>8.108687378170309</v>
      </c>
      <c r="AG35" s="106">
        <v>3327.8053000010946</v>
      </c>
      <c r="AH35" s="106">
        <v>2.4996621854006826</v>
      </c>
      <c r="AI35" s="106">
        <v>1025.86136088844</v>
      </c>
      <c r="AJ35" s="106">
        <v>1.8204666091841712</v>
      </c>
      <c r="AK35" s="106">
        <v>747.11949640918385</v>
      </c>
      <c r="AL35" s="106">
        <v>3.4088154297773698</v>
      </c>
      <c r="AM35" s="106">
        <v>1398.9778523806326</v>
      </c>
      <c r="AN35" s="106">
        <v>5.015013870380665</v>
      </c>
      <c r="AO35" s="106">
        <v>2058.1616924042246</v>
      </c>
      <c r="AP35" s="106">
        <v>1.0518173299459828</v>
      </c>
      <c r="AQ35" s="106">
        <v>431.66583220983131</v>
      </c>
      <c r="AR35" s="106">
        <v>1.326657523900908</v>
      </c>
      <c r="AS35" s="106">
        <v>544.46024780893265</v>
      </c>
      <c r="AT35" s="106">
        <v>1.134139693564713</v>
      </c>
      <c r="AU35" s="106">
        <v>465.45093023895816</v>
      </c>
      <c r="AV35" s="106">
        <v>0</v>
      </c>
      <c r="AW35" s="106">
        <v>0</v>
      </c>
      <c r="AX35" s="106">
        <v>3.8885941742869741</v>
      </c>
      <c r="AY35" s="106">
        <v>1595.8790491273742</v>
      </c>
      <c r="AZ35" s="106">
        <v>2.1558728307343533</v>
      </c>
      <c r="BA35" s="106">
        <v>884.77020973337858</v>
      </c>
      <c r="BB35" s="106">
        <v>2.5271928298582651</v>
      </c>
      <c r="BC35" s="106">
        <v>1037.159937373832</v>
      </c>
      <c r="BD35" s="106">
        <v>0</v>
      </c>
      <c r="BE35" s="106">
        <v>0</v>
      </c>
      <c r="BF35" s="106">
        <v>3.3989660211538273</v>
      </c>
      <c r="BG35" s="106">
        <v>1394.9356550815307</v>
      </c>
      <c r="BH35" s="106">
        <v>5.9655761922886974E-16</v>
      </c>
      <c r="BI35" s="106">
        <v>2.4482724693152814E-13</v>
      </c>
      <c r="BJ35" s="106">
        <v>6.9560712459485075</v>
      </c>
      <c r="BK35" s="106">
        <v>2854.7716393372675</v>
      </c>
      <c r="BL35" s="106">
        <v>5.7238164825119185E-16</v>
      </c>
      <c r="BM35" s="106">
        <v>2.3490542844228914E-13</v>
      </c>
      <c r="BN35" s="106">
        <v>11.80972419744695</v>
      </c>
      <c r="BO35" s="106">
        <v>4846.7108106322285</v>
      </c>
      <c r="BP35" s="106">
        <v>4.457156931293321</v>
      </c>
      <c r="BQ35" s="106">
        <v>1829.2172046027788</v>
      </c>
      <c r="BR35" s="106">
        <v>4.2539992258614427</v>
      </c>
      <c r="BS35" s="106">
        <v>1745.8412822935361</v>
      </c>
      <c r="BT35" s="106">
        <v>0</v>
      </c>
      <c r="BU35" s="106">
        <v>0</v>
      </c>
      <c r="BV35" s="106">
        <v>9.0397783531435909</v>
      </c>
      <c r="BW35" s="106">
        <v>3709.9250361301297</v>
      </c>
      <c r="BX35" s="106">
        <v>3.639482559258576</v>
      </c>
      <c r="BY35" s="106">
        <v>1493.6436423197194</v>
      </c>
      <c r="BZ35" s="106">
        <v>3.9182743708119059</v>
      </c>
      <c r="CA35" s="106">
        <v>1608.059801781206</v>
      </c>
      <c r="CB35" s="106">
        <v>4.469733368689341</v>
      </c>
      <c r="CC35" s="106">
        <v>1834.3785745101054</v>
      </c>
      <c r="CD35" s="106">
        <v>3.1358566297368742</v>
      </c>
      <c r="CE35" s="106">
        <v>1286.955560844013</v>
      </c>
      <c r="CF35" s="106">
        <v>0</v>
      </c>
      <c r="CG35" s="106">
        <v>0</v>
      </c>
      <c r="CH35" s="106">
        <v>5.2345471243654584</v>
      </c>
      <c r="CI35" s="106">
        <v>2148.2581398395841</v>
      </c>
      <c r="CJ35" s="106">
        <v>0</v>
      </c>
      <c r="CK35" s="106">
        <v>0</v>
      </c>
      <c r="CL35" s="106">
        <v>4.9531803958612777</v>
      </c>
      <c r="CM35" s="106">
        <v>2032.7852344614682</v>
      </c>
      <c r="CN35" s="106">
        <v>1.2632944170987499</v>
      </c>
      <c r="CO35" s="106">
        <v>518.45602877732688</v>
      </c>
      <c r="CP35" s="106">
        <v>3.2697951286664728</v>
      </c>
      <c r="CQ35" s="106">
        <v>1341.9239208047204</v>
      </c>
      <c r="CR35" s="106">
        <v>2.9593418103250171</v>
      </c>
      <c r="CS35" s="106">
        <v>1214.5138789573869</v>
      </c>
      <c r="CT35" s="106">
        <v>1.2037480738778581</v>
      </c>
      <c r="CU35" s="106">
        <v>494.01820951947292</v>
      </c>
    </row>
    <row r="36" spans="2:99" x14ac:dyDescent="0.2">
      <c r="C36" s="105" t="s">
        <v>202</v>
      </c>
      <c r="D36" s="106">
        <v>7.3233745370180303</v>
      </c>
      <c r="E36" s="106">
        <v>4104.0190905449044</v>
      </c>
      <c r="F36" s="106">
        <v>8</v>
      </c>
      <c r="G36" s="106">
        <v>4483.2</v>
      </c>
      <c r="H36" s="106">
        <v>8</v>
      </c>
      <c r="I36" s="106">
        <v>4483.2</v>
      </c>
      <c r="J36" s="106">
        <v>12.026377838016268</v>
      </c>
      <c r="K36" s="106">
        <v>6739.5821404243161</v>
      </c>
      <c r="L36" s="106">
        <v>1.2205642086676568E-15</v>
      </c>
      <c r="M36" s="106">
        <v>6.8400418253735486E-13</v>
      </c>
      <c r="N36" s="106">
        <v>8</v>
      </c>
      <c r="O36" s="106">
        <v>4483.2</v>
      </c>
      <c r="P36" s="106">
        <v>9</v>
      </c>
      <c r="Q36" s="106">
        <v>5043.5999999999995</v>
      </c>
      <c r="R36" s="106">
        <v>9</v>
      </c>
      <c r="S36" s="106">
        <v>5043.5999999999995</v>
      </c>
      <c r="T36" s="106">
        <v>9</v>
      </c>
      <c r="U36" s="106">
        <v>5043.5999999999995</v>
      </c>
      <c r="V36" s="106">
        <v>8</v>
      </c>
      <c r="W36" s="106">
        <v>4483.2</v>
      </c>
      <c r="X36" s="106">
        <v>6.2921040986013237</v>
      </c>
      <c r="Y36" s="106">
        <v>3526.0951368561819</v>
      </c>
      <c r="Z36" s="106">
        <v>4.5483636655175834</v>
      </c>
      <c r="AA36" s="106">
        <v>2548.9029981560539</v>
      </c>
      <c r="AB36" s="106">
        <v>32.051819735230936</v>
      </c>
      <c r="AC36" s="106">
        <v>17961.839779623417</v>
      </c>
      <c r="AD36" s="106">
        <v>26.330742234103688</v>
      </c>
      <c r="AE36" s="106">
        <v>14755.747947991706</v>
      </c>
      <c r="AF36" s="106">
        <v>0</v>
      </c>
      <c r="AG36" s="106">
        <v>0</v>
      </c>
      <c r="AH36" s="106">
        <v>46</v>
      </c>
      <c r="AI36" s="106">
        <v>25778.399999999998</v>
      </c>
      <c r="AJ36" s="106">
        <v>15</v>
      </c>
      <c r="AK36" s="106">
        <v>8406</v>
      </c>
      <c r="AL36" s="106">
        <v>16</v>
      </c>
      <c r="AM36" s="106">
        <v>8966.4</v>
      </c>
      <c r="AN36" s="106">
        <v>8.0041934811958697</v>
      </c>
      <c r="AO36" s="106">
        <v>4485.5500268621654</v>
      </c>
      <c r="AP36" s="106">
        <v>11.510267886231599</v>
      </c>
      <c r="AQ36" s="106">
        <v>6450.3541234441882</v>
      </c>
      <c r="AR36" s="106">
        <v>5.4341072018669472</v>
      </c>
      <c r="AS36" s="106">
        <v>3045.273675926237</v>
      </c>
      <c r="AT36" s="106">
        <v>5.22034315044775</v>
      </c>
      <c r="AU36" s="106">
        <v>2925.4803015109192</v>
      </c>
      <c r="AV36" s="106">
        <v>0</v>
      </c>
      <c r="AW36" s="106">
        <v>0</v>
      </c>
      <c r="AX36" s="106">
        <v>12</v>
      </c>
      <c r="AY36" s="106">
        <v>6724.7999999999993</v>
      </c>
      <c r="AZ36" s="106">
        <v>3.4416208839667464</v>
      </c>
      <c r="BA36" s="106">
        <v>1928.6843433749646</v>
      </c>
      <c r="BB36" s="106">
        <v>9</v>
      </c>
      <c r="BC36" s="106">
        <v>5043.5999999999995</v>
      </c>
      <c r="BD36" s="106">
        <v>11</v>
      </c>
      <c r="BE36" s="106">
        <v>6164.4</v>
      </c>
      <c r="BF36" s="106">
        <v>9</v>
      </c>
      <c r="BG36" s="106">
        <v>5043.5999999999995</v>
      </c>
      <c r="BH36" s="106">
        <v>29</v>
      </c>
      <c r="BI36" s="106">
        <v>16251.599999999999</v>
      </c>
      <c r="BJ36" s="106">
        <v>29.993875178167645</v>
      </c>
      <c r="BK36" s="106">
        <v>16808.567649845147</v>
      </c>
      <c r="BL36" s="106">
        <v>25.320194720522597</v>
      </c>
      <c r="BM36" s="106">
        <v>14189.437121380863</v>
      </c>
      <c r="BN36" s="106">
        <v>12.607339334422438</v>
      </c>
      <c r="BO36" s="106">
        <v>7065.1529630103341</v>
      </c>
      <c r="BP36" s="106">
        <v>0</v>
      </c>
      <c r="BQ36" s="106">
        <v>0</v>
      </c>
      <c r="BR36" s="106">
        <v>21</v>
      </c>
      <c r="BS36" s="106">
        <v>11768.4</v>
      </c>
      <c r="BT36" s="106">
        <v>26</v>
      </c>
      <c r="BU36" s="106">
        <v>14570.4</v>
      </c>
      <c r="BV36" s="106">
        <v>23</v>
      </c>
      <c r="BW36" s="106">
        <v>12889.199999999999</v>
      </c>
      <c r="BX36" s="106">
        <v>25</v>
      </c>
      <c r="BY36" s="106">
        <v>14010</v>
      </c>
      <c r="BZ36" s="106">
        <v>9.1014036188358354</v>
      </c>
      <c r="CA36" s="106">
        <v>5100.4265879956019</v>
      </c>
      <c r="CB36" s="106">
        <v>22.670741619231176</v>
      </c>
      <c r="CC36" s="106">
        <v>12704.68360341715</v>
      </c>
      <c r="CD36" s="106">
        <v>13.051936149684929</v>
      </c>
      <c r="CE36" s="106">
        <v>7314.305018283434</v>
      </c>
      <c r="CF36" s="106">
        <v>13.48908233651648</v>
      </c>
      <c r="CG36" s="106">
        <v>7559.2817413838357</v>
      </c>
      <c r="CH36" s="106">
        <v>11.918347938965844</v>
      </c>
      <c r="CI36" s="106">
        <v>6679.0421849964587</v>
      </c>
      <c r="CJ36" s="106">
        <v>10.310674035186622</v>
      </c>
      <c r="CK36" s="106">
        <v>5778.1017293185832</v>
      </c>
      <c r="CL36" s="106">
        <v>5.9117988892166142</v>
      </c>
      <c r="CM36" s="106">
        <v>3312.9720975169903</v>
      </c>
      <c r="CN36" s="106">
        <v>7.977551524113867</v>
      </c>
      <c r="CO36" s="106">
        <v>4470.6198741134112</v>
      </c>
      <c r="CP36" s="106">
        <v>9.13746823687217</v>
      </c>
      <c r="CQ36" s="106">
        <v>5120.637199943164</v>
      </c>
      <c r="CR36" s="106">
        <v>6.4400745611730663</v>
      </c>
      <c r="CS36" s="106">
        <v>3609.0177840813863</v>
      </c>
      <c r="CT36" s="106">
        <v>2.9431767784191751</v>
      </c>
      <c r="CU36" s="106">
        <v>1649.3562666261057</v>
      </c>
    </row>
    <row r="37" spans="2:99" x14ac:dyDescent="0.2">
      <c r="B37" s="105" t="s">
        <v>128</v>
      </c>
      <c r="C37" s="105" t="s">
        <v>203</v>
      </c>
      <c r="D37" s="106">
        <v>0</v>
      </c>
      <c r="E37" s="106">
        <v>0</v>
      </c>
      <c r="F37" s="106">
        <v>4.8389621723900769</v>
      </c>
      <c r="G37" s="106">
        <v>3153.0677515293742</v>
      </c>
      <c r="H37" s="106">
        <v>0</v>
      </c>
      <c r="I37" s="106">
        <v>0</v>
      </c>
      <c r="J37" s="106">
        <v>2.5607291144071009</v>
      </c>
      <c r="K37" s="106">
        <v>1668.571090947667</v>
      </c>
      <c r="L37" s="106">
        <v>2.5541056676167937</v>
      </c>
      <c r="M37" s="106">
        <v>1664.2552530191028</v>
      </c>
      <c r="N37" s="106">
        <v>2.3249921905015332</v>
      </c>
      <c r="O37" s="106">
        <v>1514.9649113307992</v>
      </c>
      <c r="P37" s="106">
        <v>1.8141601810447872</v>
      </c>
      <c r="Q37" s="106">
        <v>1182.1067739687833</v>
      </c>
      <c r="R37" s="106">
        <v>1.0769300949816349</v>
      </c>
      <c r="S37" s="106">
        <v>701.72764989003338</v>
      </c>
      <c r="T37" s="106">
        <v>1.3340248399721195</v>
      </c>
      <c r="U37" s="106">
        <v>869.25058572583316</v>
      </c>
      <c r="V37" s="106">
        <v>4.7287641460855454</v>
      </c>
      <c r="W37" s="106">
        <v>3081.2627175893417</v>
      </c>
      <c r="X37" s="106">
        <v>0</v>
      </c>
      <c r="Y37" s="106">
        <v>0</v>
      </c>
      <c r="Z37" s="106">
        <v>2.0099424768260481</v>
      </c>
      <c r="AA37" s="106">
        <v>1309.678517899853</v>
      </c>
      <c r="AB37" s="106">
        <v>0</v>
      </c>
      <c r="AC37" s="106">
        <v>0</v>
      </c>
      <c r="AD37" s="106">
        <v>2.8344010813243132</v>
      </c>
      <c r="AE37" s="106">
        <v>1846.8957445909225</v>
      </c>
      <c r="AF37" s="106">
        <v>3.1187259146808874</v>
      </c>
      <c r="AG37" s="106">
        <v>2032.1618060060664</v>
      </c>
      <c r="AH37" s="106">
        <v>0.46505342984198744</v>
      </c>
      <c r="AI37" s="106">
        <v>303.02881488503903</v>
      </c>
      <c r="AJ37" s="106">
        <v>0.96377644015632602</v>
      </c>
      <c r="AK37" s="106">
        <v>627.99672840586209</v>
      </c>
      <c r="AL37" s="106">
        <v>1.7044077148886849</v>
      </c>
      <c r="AM37" s="106">
        <v>1110.5920670214671</v>
      </c>
      <c r="AN37" s="106">
        <v>2.9634172870431206</v>
      </c>
      <c r="AO37" s="106">
        <v>1930.9627042372974</v>
      </c>
      <c r="AP37" s="106">
        <v>0.88574090942819594</v>
      </c>
      <c r="AQ37" s="106">
        <v>577.14877658341254</v>
      </c>
      <c r="AR37" s="106">
        <v>0.70755067941381755</v>
      </c>
      <c r="AS37" s="106">
        <v>461.04002270604354</v>
      </c>
      <c r="AT37" s="106">
        <v>0.72908980300588699</v>
      </c>
      <c r="AU37" s="106">
        <v>475.07491563863596</v>
      </c>
      <c r="AV37" s="106">
        <v>0</v>
      </c>
      <c r="AW37" s="106">
        <v>0</v>
      </c>
      <c r="AX37" s="106">
        <v>2.9164456307152302</v>
      </c>
      <c r="AY37" s="106">
        <v>1900.3559729740441</v>
      </c>
      <c r="AZ37" s="106">
        <v>2.1558728307343533</v>
      </c>
      <c r="BA37" s="106">
        <v>1404.7667365065047</v>
      </c>
      <c r="BB37" s="106">
        <v>2.0677032244294899</v>
      </c>
      <c r="BC37" s="106">
        <v>1347.3154210382556</v>
      </c>
      <c r="BD37" s="106">
        <v>0</v>
      </c>
      <c r="BE37" s="106">
        <v>0</v>
      </c>
      <c r="BF37" s="106">
        <v>3.0213031299145134</v>
      </c>
      <c r="BG37" s="106">
        <v>1968.681119452297</v>
      </c>
      <c r="BH37" s="106">
        <v>1.9175066332356528E-16</v>
      </c>
      <c r="BI37" s="106">
        <v>1.2494473222163513E-13</v>
      </c>
      <c r="BJ37" s="106">
        <v>1.5899591419310874</v>
      </c>
      <c r="BK37" s="106">
        <v>1036.0173768822967</v>
      </c>
      <c r="BL37" s="106">
        <v>1.9737298215558337E-16</v>
      </c>
      <c r="BM37" s="106">
        <v>1.2860823517257812E-13</v>
      </c>
      <c r="BN37" s="106">
        <v>1.9682873662411584</v>
      </c>
      <c r="BO37" s="106">
        <v>1282.5360478427388</v>
      </c>
      <c r="BP37" s="106">
        <v>1.2734734089409487</v>
      </c>
      <c r="BQ37" s="106">
        <v>829.79527326592222</v>
      </c>
      <c r="BR37" s="106">
        <v>1.6205711336615021</v>
      </c>
      <c r="BS37" s="106">
        <v>1055.9641506938349</v>
      </c>
      <c r="BT37" s="106">
        <v>0</v>
      </c>
      <c r="BU37" s="106">
        <v>0</v>
      </c>
      <c r="BV37" s="106">
        <v>2.75123689008718</v>
      </c>
      <c r="BW37" s="106">
        <v>1792.7059575808066</v>
      </c>
      <c r="BX37" s="106">
        <v>1.51645106635774</v>
      </c>
      <c r="BY37" s="106">
        <v>988.11951483870337</v>
      </c>
      <c r="BZ37" s="106">
        <v>1.6029304244230524</v>
      </c>
      <c r="CA37" s="106">
        <v>1044.469464554061</v>
      </c>
      <c r="CB37" s="106">
        <v>1.3871586316622093</v>
      </c>
      <c r="CC37" s="106">
        <v>903.87256439109558</v>
      </c>
      <c r="CD37" s="106">
        <v>1.4932650617794638</v>
      </c>
      <c r="CE37" s="106">
        <v>973.0115142554987</v>
      </c>
      <c r="CF37" s="106">
        <v>0</v>
      </c>
      <c r="CG37" s="106">
        <v>0</v>
      </c>
      <c r="CH37" s="106">
        <v>3.8069433631748786</v>
      </c>
      <c r="CI37" s="106">
        <v>2480.6042954447512</v>
      </c>
      <c r="CJ37" s="106">
        <v>0</v>
      </c>
      <c r="CK37" s="106">
        <v>0</v>
      </c>
      <c r="CL37" s="106">
        <v>2.6416962111260149</v>
      </c>
      <c r="CM37" s="106">
        <v>1721.3292511697114</v>
      </c>
      <c r="CN37" s="106">
        <v>0.9825623244101388</v>
      </c>
      <c r="CO37" s="106">
        <v>640.23761058564651</v>
      </c>
      <c r="CP37" s="106">
        <v>1.760658915435793</v>
      </c>
      <c r="CQ37" s="106">
        <v>1147.2453492979628</v>
      </c>
      <c r="CR37" s="106">
        <v>1.972894540216678</v>
      </c>
      <c r="CS37" s="106">
        <v>1285.5380824051874</v>
      </c>
      <c r="CT37" s="106">
        <v>0.87545314463844237</v>
      </c>
      <c r="CU37" s="106">
        <v>570.44526904640907</v>
      </c>
    </row>
    <row r="38" spans="2:99" x14ac:dyDescent="0.2">
      <c r="C38" s="105" t="s">
        <v>204</v>
      </c>
      <c r="D38" s="106">
        <v>0</v>
      </c>
      <c r="E38" s="106">
        <v>0</v>
      </c>
      <c r="F38" s="106">
        <v>4.8389621723900769</v>
      </c>
      <c r="G38" s="106">
        <v>4993.8089619065595</v>
      </c>
      <c r="H38" s="106">
        <v>0</v>
      </c>
      <c r="I38" s="106">
        <v>0</v>
      </c>
      <c r="J38" s="106">
        <v>2.5607291144071009</v>
      </c>
      <c r="K38" s="106">
        <v>2642.672446068128</v>
      </c>
      <c r="L38" s="106">
        <v>2.8733688760688927</v>
      </c>
      <c r="M38" s="106">
        <v>2965.316680103097</v>
      </c>
      <c r="N38" s="106">
        <v>2.3249921905015332</v>
      </c>
      <c r="O38" s="106">
        <v>2399.3919405975821</v>
      </c>
      <c r="P38" s="106">
        <v>2.1769922172537446</v>
      </c>
      <c r="Q38" s="106">
        <v>2246.6559682058646</v>
      </c>
      <c r="R38" s="106">
        <v>1.0769300949816349</v>
      </c>
      <c r="S38" s="106">
        <v>1111.3918580210473</v>
      </c>
      <c r="T38" s="106">
        <v>1.3340248399721195</v>
      </c>
      <c r="U38" s="106">
        <v>1376.7136348512274</v>
      </c>
      <c r="V38" s="106">
        <v>4.2558877314769914</v>
      </c>
      <c r="W38" s="106">
        <v>4392.0761388842548</v>
      </c>
      <c r="X38" s="106">
        <v>0</v>
      </c>
      <c r="Y38" s="106">
        <v>0</v>
      </c>
      <c r="Z38" s="106">
        <v>2.0099424768260481</v>
      </c>
      <c r="AA38" s="106">
        <v>2074.2606360844816</v>
      </c>
      <c r="AB38" s="106">
        <v>0</v>
      </c>
      <c r="AC38" s="106">
        <v>0</v>
      </c>
      <c r="AD38" s="106">
        <v>2.5509609731918816</v>
      </c>
      <c r="AE38" s="106">
        <v>2632.5917243340218</v>
      </c>
      <c r="AF38" s="106">
        <v>2.806853323212799</v>
      </c>
      <c r="AG38" s="106">
        <v>2896.6726295556086</v>
      </c>
      <c r="AH38" s="106">
        <v>0.46505342984198744</v>
      </c>
      <c r="AI38" s="106">
        <v>479.93513959693104</v>
      </c>
      <c r="AJ38" s="106">
        <v>1.0708627112848068</v>
      </c>
      <c r="AK38" s="106">
        <v>1105.1303180459206</v>
      </c>
      <c r="AL38" s="106">
        <v>1.7044077148886849</v>
      </c>
      <c r="AM38" s="106">
        <v>1758.9487617651228</v>
      </c>
      <c r="AN38" s="106">
        <v>3.1913724629695142</v>
      </c>
      <c r="AO38" s="106">
        <v>3293.4963817845387</v>
      </c>
      <c r="AP38" s="106">
        <v>0.83038210258893375</v>
      </c>
      <c r="AQ38" s="106">
        <v>856.95432987177958</v>
      </c>
      <c r="AR38" s="106">
        <v>0.70755067941381755</v>
      </c>
      <c r="AS38" s="106">
        <v>730.19230115505968</v>
      </c>
      <c r="AT38" s="106">
        <v>0.64807982489412175</v>
      </c>
      <c r="AU38" s="106">
        <v>668.81837929073367</v>
      </c>
      <c r="AV38" s="106">
        <v>0</v>
      </c>
      <c r="AW38" s="106">
        <v>0</v>
      </c>
      <c r="AX38" s="106">
        <v>2.9164456307152302</v>
      </c>
      <c r="AY38" s="106">
        <v>3009.7718908981174</v>
      </c>
      <c r="AZ38" s="106">
        <v>1.7638959524190163</v>
      </c>
      <c r="BA38" s="106">
        <v>1820.3406228964247</v>
      </c>
      <c r="BB38" s="106">
        <v>2.0677032244294899</v>
      </c>
      <c r="BC38" s="106">
        <v>2133.8697276112334</v>
      </c>
      <c r="BD38" s="106">
        <v>0</v>
      </c>
      <c r="BE38" s="106">
        <v>0</v>
      </c>
      <c r="BF38" s="106">
        <v>3.0213031299145134</v>
      </c>
      <c r="BG38" s="106">
        <v>3117.9848300717777</v>
      </c>
      <c r="BH38" s="106">
        <v>1.9175066332356528E-16</v>
      </c>
      <c r="BI38" s="106">
        <v>1.9788668454991937E-13</v>
      </c>
      <c r="BJ38" s="106">
        <v>1.7887040346724734</v>
      </c>
      <c r="BK38" s="106">
        <v>1845.9425637819925</v>
      </c>
      <c r="BL38" s="106">
        <v>1.7763568394002506E-16</v>
      </c>
      <c r="BM38" s="106">
        <v>1.8332002582610585E-13</v>
      </c>
      <c r="BN38" s="106">
        <v>2.249471275704181</v>
      </c>
      <c r="BO38" s="106">
        <v>2321.4543565267149</v>
      </c>
      <c r="BP38" s="106">
        <v>1.4326575850585674</v>
      </c>
      <c r="BQ38" s="106">
        <v>1478.5026277804416</v>
      </c>
      <c r="BR38" s="106">
        <v>1.8231425253691897</v>
      </c>
      <c r="BS38" s="106">
        <v>1881.4830861810037</v>
      </c>
      <c r="BT38" s="106">
        <v>0</v>
      </c>
      <c r="BU38" s="106">
        <v>0</v>
      </c>
      <c r="BV38" s="106">
        <v>2.75123689008718</v>
      </c>
      <c r="BW38" s="106">
        <v>2839.2764705699697</v>
      </c>
      <c r="BX38" s="106">
        <v>1.51645106635774</v>
      </c>
      <c r="BY38" s="106">
        <v>1564.9775004811877</v>
      </c>
      <c r="BZ38" s="106">
        <v>1.6029304244230524</v>
      </c>
      <c r="CA38" s="106">
        <v>1654.2241980045901</v>
      </c>
      <c r="CB38" s="106">
        <v>1.3871586316622093</v>
      </c>
      <c r="CC38" s="106">
        <v>1431.5477078754</v>
      </c>
      <c r="CD38" s="106">
        <v>1.3439385556015173</v>
      </c>
      <c r="CE38" s="106">
        <v>1386.9445893807658</v>
      </c>
      <c r="CF38" s="106">
        <v>0</v>
      </c>
      <c r="CG38" s="106">
        <v>0</v>
      </c>
      <c r="CH38" s="106">
        <v>3.3310754427780189</v>
      </c>
      <c r="CI38" s="106">
        <v>3437.6698569469154</v>
      </c>
      <c r="CJ38" s="106">
        <v>0</v>
      </c>
      <c r="CK38" s="106">
        <v>0</v>
      </c>
      <c r="CL38" s="106">
        <v>2.9719082375167671</v>
      </c>
      <c r="CM38" s="106">
        <v>3067.0093011173035</v>
      </c>
      <c r="CN38" s="106">
        <v>1.1229283707544444</v>
      </c>
      <c r="CO38" s="106">
        <v>1158.8620786185866</v>
      </c>
      <c r="CP38" s="106">
        <v>2.0121816176409064</v>
      </c>
      <c r="CQ38" s="106">
        <v>2076.5714294054155</v>
      </c>
      <c r="CR38" s="106">
        <v>2.1701839942383456</v>
      </c>
      <c r="CS38" s="106">
        <v>2239.6298820539728</v>
      </c>
      <c r="CT38" s="106">
        <v>0.87545314463844237</v>
      </c>
      <c r="CU38" s="106">
        <v>903.46764526687252</v>
      </c>
    </row>
    <row r="39" spans="2:99" x14ac:dyDescent="0.2">
      <c r="C39" s="105" t="s">
        <v>205</v>
      </c>
      <c r="D39" s="106">
        <v>0</v>
      </c>
      <c r="E39" s="106">
        <v>0</v>
      </c>
      <c r="F39" s="106">
        <v>4.8389621723900769</v>
      </c>
      <c r="G39" s="106">
        <v>5864.8221529367729</v>
      </c>
      <c r="H39" s="106">
        <v>0</v>
      </c>
      <c r="I39" s="106">
        <v>0</v>
      </c>
      <c r="J39" s="106">
        <v>2.9265475593224011</v>
      </c>
      <c r="K39" s="106">
        <v>3546.9756418987499</v>
      </c>
      <c r="L39" s="106">
        <v>2.8733688760688927</v>
      </c>
      <c r="M39" s="106">
        <v>3482.523077795498</v>
      </c>
      <c r="N39" s="106">
        <v>2.5833246561128145</v>
      </c>
      <c r="O39" s="106">
        <v>3130.9894832087311</v>
      </c>
      <c r="P39" s="106">
        <v>1.8141601810447872</v>
      </c>
      <c r="Q39" s="106">
        <v>2198.7621394262819</v>
      </c>
      <c r="R39" s="106">
        <v>1.0769300949816349</v>
      </c>
      <c r="S39" s="106">
        <v>1305.2392751177415</v>
      </c>
      <c r="T39" s="106">
        <v>1.3340248399721195</v>
      </c>
      <c r="U39" s="106">
        <v>1616.8381060462088</v>
      </c>
      <c r="V39" s="106">
        <v>4.2558877314769914</v>
      </c>
      <c r="W39" s="106">
        <v>5158.1359305501137</v>
      </c>
      <c r="X39" s="106">
        <v>0</v>
      </c>
      <c r="Y39" s="106">
        <v>0</v>
      </c>
      <c r="Z39" s="106">
        <v>2.0099424768260481</v>
      </c>
      <c r="AA39" s="106">
        <v>2436.0502819131702</v>
      </c>
      <c r="AB39" s="106">
        <v>0</v>
      </c>
      <c r="AC39" s="106">
        <v>0</v>
      </c>
      <c r="AD39" s="106">
        <v>2.8344010813243132</v>
      </c>
      <c r="AE39" s="106">
        <v>3435.2941105650675</v>
      </c>
      <c r="AF39" s="106">
        <v>3.1187259146808874</v>
      </c>
      <c r="AG39" s="106">
        <v>3779.8958085932354</v>
      </c>
      <c r="AH39" s="106">
        <v>0.52318510857223588</v>
      </c>
      <c r="AI39" s="106">
        <v>634.10035158954986</v>
      </c>
      <c r="AJ39" s="106">
        <v>1.0708627112848068</v>
      </c>
      <c r="AK39" s="106">
        <v>1297.8856060771859</v>
      </c>
      <c r="AL39" s="106">
        <v>1.9174586792497705</v>
      </c>
      <c r="AM39" s="106">
        <v>2323.9599192507217</v>
      </c>
      <c r="AN39" s="106">
        <v>3.1913724629695142</v>
      </c>
      <c r="AO39" s="106">
        <v>3867.943425119051</v>
      </c>
      <c r="AP39" s="106">
        <v>0.88574090942819594</v>
      </c>
      <c r="AQ39" s="106">
        <v>1073.5179822269736</v>
      </c>
      <c r="AR39" s="106">
        <v>0.7959945143405448</v>
      </c>
      <c r="AS39" s="106">
        <v>964.74535138074032</v>
      </c>
      <c r="AT39" s="106">
        <v>0.72908980300588699</v>
      </c>
      <c r="AU39" s="106">
        <v>883.65684124313509</v>
      </c>
      <c r="AV39" s="106">
        <v>0</v>
      </c>
      <c r="AW39" s="106">
        <v>0</v>
      </c>
      <c r="AX39" s="106">
        <v>3.2404951452391448</v>
      </c>
      <c r="AY39" s="106">
        <v>3927.4801160298434</v>
      </c>
      <c r="AZ39" s="106">
        <v>2.1558728307343533</v>
      </c>
      <c r="BA39" s="106">
        <v>2612.9178708500363</v>
      </c>
      <c r="BB39" s="106">
        <v>2.0677032244294899</v>
      </c>
      <c r="BC39" s="106">
        <v>2506.0563080085417</v>
      </c>
      <c r="BD39" s="106">
        <v>0</v>
      </c>
      <c r="BE39" s="106">
        <v>0</v>
      </c>
      <c r="BF39" s="106">
        <v>3.3989660211538273</v>
      </c>
      <c r="BG39" s="106">
        <v>4119.5468176384384</v>
      </c>
      <c r="BH39" s="106">
        <v>1.9175066332356528E-16</v>
      </c>
      <c r="BI39" s="106">
        <v>2.3240180394816111E-13</v>
      </c>
      <c r="BJ39" s="106">
        <v>1.7887040346724734</v>
      </c>
      <c r="BK39" s="106">
        <v>2167.9092900230376</v>
      </c>
      <c r="BL39" s="106">
        <v>1.9737298215558337E-16</v>
      </c>
      <c r="BM39" s="106">
        <v>2.3921605437256705E-13</v>
      </c>
      <c r="BN39" s="106">
        <v>1.9682873662411584</v>
      </c>
      <c r="BO39" s="106">
        <v>2385.5642878842841</v>
      </c>
      <c r="BP39" s="106">
        <v>1.2734734089409487</v>
      </c>
      <c r="BQ39" s="106">
        <v>1543.4497716364299</v>
      </c>
      <c r="BR39" s="106">
        <v>1.6205711336615021</v>
      </c>
      <c r="BS39" s="106">
        <v>1964.1322139977406</v>
      </c>
      <c r="BT39" s="106">
        <v>0</v>
      </c>
      <c r="BU39" s="106">
        <v>0</v>
      </c>
      <c r="BV39" s="106">
        <v>2.3582030486461538</v>
      </c>
      <c r="BW39" s="106">
        <v>2858.1420949591384</v>
      </c>
      <c r="BX39" s="106">
        <v>1.51645106635774</v>
      </c>
      <c r="BY39" s="106">
        <v>1837.9386924255809</v>
      </c>
      <c r="BZ39" s="106">
        <v>1.4248270439316022</v>
      </c>
      <c r="CA39" s="106">
        <v>1726.8903772451019</v>
      </c>
      <c r="CB39" s="106">
        <v>1.3871586316622093</v>
      </c>
      <c r="CC39" s="106">
        <v>1681.2362615745976</v>
      </c>
      <c r="CD39" s="106">
        <v>1.3439385556015173</v>
      </c>
      <c r="CE39" s="106">
        <v>1628.8535293890391</v>
      </c>
      <c r="CF39" s="106">
        <v>0</v>
      </c>
      <c r="CG39" s="106">
        <v>0</v>
      </c>
      <c r="CH39" s="106">
        <v>3.3310754427780189</v>
      </c>
      <c r="CI39" s="106">
        <v>4037.2634366469588</v>
      </c>
      <c r="CJ39" s="106">
        <v>0</v>
      </c>
      <c r="CK39" s="106">
        <v>0</v>
      </c>
      <c r="CL39" s="106">
        <v>2.9719082375167671</v>
      </c>
      <c r="CM39" s="106">
        <v>3601.9527838703216</v>
      </c>
      <c r="CN39" s="106">
        <v>0.9825623244101388</v>
      </c>
      <c r="CO39" s="106">
        <v>1190.8655371850882</v>
      </c>
      <c r="CP39" s="106">
        <v>2.0121816176409064</v>
      </c>
      <c r="CQ39" s="106">
        <v>2438.7641205807786</v>
      </c>
      <c r="CR39" s="106">
        <v>2.1701839942383456</v>
      </c>
      <c r="CS39" s="106">
        <v>2630.263001016875</v>
      </c>
      <c r="CT39" s="106">
        <v>0.87545314463844237</v>
      </c>
      <c r="CU39" s="106">
        <v>1061.0492113017922</v>
      </c>
    </row>
    <row r="40" spans="2:99" x14ac:dyDescent="0.2">
      <c r="C40" s="105" t="s">
        <v>206</v>
      </c>
      <c r="D40" s="106">
        <v>0</v>
      </c>
      <c r="E40" s="106">
        <v>0</v>
      </c>
      <c r="F40" s="106">
        <v>4.8389621723900769</v>
      </c>
      <c r="G40" s="106">
        <v>2502.7112355601475</v>
      </c>
      <c r="H40" s="106">
        <v>0</v>
      </c>
      <c r="I40" s="106">
        <v>0</v>
      </c>
      <c r="J40" s="106">
        <v>2.5607291144071009</v>
      </c>
      <c r="K40" s="106">
        <v>1324.4090979713524</v>
      </c>
      <c r="L40" s="106">
        <v>2.8733688760688927</v>
      </c>
      <c r="M40" s="106">
        <v>1486.1063827028311</v>
      </c>
      <c r="N40" s="106">
        <v>2.3249921905015332</v>
      </c>
      <c r="O40" s="106">
        <v>1202.4859609273929</v>
      </c>
      <c r="P40" s="106">
        <v>2.1769922172537446</v>
      </c>
      <c r="Q40" s="106">
        <v>1125.9403747636366</v>
      </c>
      <c r="R40" s="106">
        <v>1.1965889944240389</v>
      </c>
      <c r="S40" s="106">
        <v>618.87582791611283</v>
      </c>
      <c r="T40" s="106">
        <v>1.3340248399721195</v>
      </c>
      <c r="U40" s="106">
        <v>689.95764723358013</v>
      </c>
      <c r="V40" s="106">
        <v>4.2558877314769914</v>
      </c>
      <c r="W40" s="106">
        <v>2201.1451347198995</v>
      </c>
      <c r="X40" s="106">
        <v>0</v>
      </c>
      <c r="Y40" s="106">
        <v>0</v>
      </c>
      <c r="Z40" s="106">
        <v>1.7586996672227919</v>
      </c>
      <c r="AA40" s="106">
        <v>909.59946788762784</v>
      </c>
      <c r="AB40" s="106">
        <v>0</v>
      </c>
      <c r="AC40" s="106">
        <v>0</v>
      </c>
      <c r="AD40" s="106">
        <v>3.1178411894567444</v>
      </c>
      <c r="AE40" s="106">
        <v>1612.5474631870279</v>
      </c>
      <c r="AF40" s="106">
        <v>3.4305985061489768</v>
      </c>
      <c r="AG40" s="106">
        <v>1774.3055473802506</v>
      </c>
      <c r="AH40" s="106">
        <v>0.58131678730248426</v>
      </c>
      <c r="AI40" s="106">
        <v>300.6570423928448</v>
      </c>
      <c r="AJ40" s="106">
        <v>1.1779489824132874</v>
      </c>
      <c r="AK40" s="106">
        <v>609.2352137041521</v>
      </c>
      <c r="AL40" s="106">
        <v>1.9174586792497705</v>
      </c>
      <c r="AM40" s="106">
        <v>991.70962890798114</v>
      </c>
      <c r="AN40" s="106">
        <v>3.1913724629695142</v>
      </c>
      <c r="AO40" s="106">
        <v>1650.5778378478326</v>
      </c>
      <c r="AP40" s="106">
        <v>0.94109971626745825</v>
      </c>
      <c r="AQ40" s="106">
        <v>486.73677325352935</v>
      </c>
      <c r="AR40" s="106">
        <v>0.70755067941381755</v>
      </c>
      <c r="AS40" s="106">
        <v>365.94521139282637</v>
      </c>
      <c r="AT40" s="106">
        <v>0.81009978111765224</v>
      </c>
      <c r="AU40" s="106">
        <v>418.98360679404971</v>
      </c>
      <c r="AV40" s="106">
        <v>0</v>
      </c>
      <c r="AW40" s="106">
        <v>0</v>
      </c>
      <c r="AX40" s="106">
        <v>2.9164456307152302</v>
      </c>
      <c r="AY40" s="106">
        <v>1508.385680205917</v>
      </c>
      <c r="AZ40" s="106">
        <v>2.1558728307343533</v>
      </c>
      <c r="BA40" s="106">
        <v>1115.0174280558074</v>
      </c>
      <c r="BB40" s="106">
        <v>2.0677032244294899</v>
      </c>
      <c r="BC40" s="106">
        <v>1069.4161076749322</v>
      </c>
      <c r="BD40" s="106">
        <v>0</v>
      </c>
      <c r="BE40" s="106">
        <v>0</v>
      </c>
      <c r="BF40" s="106">
        <v>3.3989660211538273</v>
      </c>
      <c r="BG40" s="106">
        <v>1757.9452261407591</v>
      </c>
      <c r="BH40" s="106">
        <v>1.9175066332356528E-16</v>
      </c>
      <c r="BI40" s="106">
        <v>9.9173443070947954E-14</v>
      </c>
      <c r="BJ40" s="106">
        <v>1.5899591419310874</v>
      </c>
      <c r="BK40" s="106">
        <v>822.32686820675838</v>
      </c>
      <c r="BL40" s="106">
        <v>1.9737298215558337E-16</v>
      </c>
      <c r="BM40" s="106">
        <v>1.020813063708677E-13</v>
      </c>
      <c r="BN40" s="106">
        <v>1.9682873662411584</v>
      </c>
      <c r="BO40" s="106">
        <v>1017.998225819927</v>
      </c>
      <c r="BP40" s="106">
        <v>1.5918417611761859</v>
      </c>
      <c r="BQ40" s="106">
        <v>823.30055888032325</v>
      </c>
      <c r="BR40" s="106">
        <v>1.6205711336615021</v>
      </c>
      <c r="BS40" s="106">
        <v>838.15939032972881</v>
      </c>
      <c r="BT40" s="106">
        <v>0</v>
      </c>
      <c r="BU40" s="106">
        <v>0</v>
      </c>
      <c r="BV40" s="106">
        <v>2.3582030486461538</v>
      </c>
      <c r="BW40" s="106">
        <v>1219.6626167597906</v>
      </c>
      <c r="BX40" s="106">
        <v>1.6680961729935142</v>
      </c>
      <c r="BY40" s="106">
        <v>862.73934067224548</v>
      </c>
      <c r="BZ40" s="106">
        <v>1.6029304244230524</v>
      </c>
      <c r="CA40" s="106">
        <v>829.0356155116026</v>
      </c>
      <c r="CB40" s="106">
        <v>1.541287368513566</v>
      </c>
      <c r="CC40" s="106">
        <v>797.15382699521626</v>
      </c>
      <c r="CD40" s="106">
        <v>1.4932650617794638</v>
      </c>
      <c r="CE40" s="106">
        <v>772.31668995233861</v>
      </c>
      <c r="CF40" s="106">
        <v>0</v>
      </c>
      <c r="CG40" s="106">
        <v>0</v>
      </c>
      <c r="CH40" s="106">
        <v>3.3310754427780189</v>
      </c>
      <c r="CI40" s="106">
        <v>1722.8322190047911</v>
      </c>
      <c r="CJ40" s="106">
        <v>0</v>
      </c>
      <c r="CK40" s="106">
        <v>0</v>
      </c>
      <c r="CL40" s="106">
        <v>3.3021202639075189</v>
      </c>
      <c r="CM40" s="106">
        <v>1707.8566004929685</v>
      </c>
      <c r="CN40" s="106">
        <v>1.1229283707544444</v>
      </c>
      <c r="CO40" s="106">
        <v>580.77855335419861</v>
      </c>
      <c r="CP40" s="106">
        <v>2.0121816176409064</v>
      </c>
      <c r="CQ40" s="106">
        <v>1040.7003326438767</v>
      </c>
      <c r="CR40" s="106">
        <v>2.3674734482600139</v>
      </c>
      <c r="CS40" s="106">
        <v>1224.457267440079</v>
      </c>
      <c r="CT40" s="106">
        <v>0.98488478771824761</v>
      </c>
      <c r="CU40" s="106">
        <v>509.38241220787762</v>
      </c>
    </row>
    <row r="41" spans="2:99" x14ac:dyDescent="0.2">
      <c r="C41" s="105" t="s">
        <v>207</v>
      </c>
      <c r="D41" s="106">
        <v>0</v>
      </c>
      <c r="E41" s="106">
        <v>0</v>
      </c>
      <c r="F41" s="106">
        <v>4.8389621723900769</v>
      </c>
      <c r="G41" s="106">
        <v>2200.759996003007</v>
      </c>
      <c r="H41" s="106">
        <v>0</v>
      </c>
      <c r="I41" s="106">
        <v>0</v>
      </c>
      <c r="J41" s="106">
        <v>2.9265475593224011</v>
      </c>
      <c r="K41" s="106">
        <v>1330.993829979828</v>
      </c>
      <c r="L41" s="106">
        <v>2.5541056676167937</v>
      </c>
      <c r="M41" s="106">
        <v>1161.6072576321178</v>
      </c>
      <c r="N41" s="106">
        <v>2.5833246561128145</v>
      </c>
      <c r="O41" s="106">
        <v>1174.896053600108</v>
      </c>
      <c r="P41" s="106">
        <v>2.1769922172537446</v>
      </c>
      <c r="Q41" s="106">
        <v>990.09606040700305</v>
      </c>
      <c r="R41" s="106">
        <v>1.1965889944240389</v>
      </c>
      <c r="S41" s="106">
        <v>544.20867466405286</v>
      </c>
      <c r="T41" s="106">
        <v>1.1672717349756045</v>
      </c>
      <c r="U41" s="106">
        <v>530.87518506690492</v>
      </c>
      <c r="V41" s="106">
        <v>4.2558877314769914</v>
      </c>
      <c r="W41" s="106">
        <v>1935.5777402757358</v>
      </c>
      <c r="X41" s="106">
        <v>0</v>
      </c>
      <c r="Y41" s="106">
        <v>0</v>
      </c>
      <c r="Z41" s="106">
        <v>1.7586996672227919</v>
      </c>
      <c r="AA41" s="106">
        <v>799.85660865292573</v>
      </c>
      <c r="AB41" s="106">
        <v>0</v>
      </c>
      <c r="AC41" s="106">
        <v>0</v>
      </c>
      <c r="AD41" s="106">
        <v>3.1178411894567444</v>
      </c>
      <c r="AE41" s="106">
        <v>1417.9941729649274</v>
      </c>
      <c r="AF41" s="106">
        <v>3.4305985061489768</v>
      </c>
      <c r="AG41" s="106">
        <v>1560.2362005965547</v>
      </c>
      <c r="AH41" s="106">
        <v>0.52318510857223588</v>
      </c>
      <c r="AI41" s="106">
        <v>237.9445873786529</v>
      </c>
      <c r="AJ41" s="106">
        <v>1.0708627112848068</v>
      </c>
      <c r="AK41" s="106">
        <v>487.02836109233016</v>
      </c>
      <c r="AL41" s="106">
        <v>2.1305096436108562</v>
      </c>
      <c r="AM41" s="106">
        <v>968.95578591421736</v>
      </c>
      <c r="AN41" s="106">
        <v>2.9634172870431206</v>
      </c>
      <c r="AO41" s="106">
        <v>1347.7621821472112</v>
      </c>
      <c r="AP41" s="106">
        <v>0.94109971626745825</v>
      </c>
      <c r="AQ41" s="106">
        <v>428.01215095844003</v>
      </c>
      <c r="AR41" s="106">
        <v>0.7959945143405448</v>
      </c>
      <c r="AS41" s="106">
        <v>362.01830512207977</v>
      </c>
      <c r="AT41" s="106">
        <v>0.72908980300588699</v>
      </c>
      <c r="AU41" s="106">
        <v>331.59004240707742</v>
      </c>
      <c r="AV41" s="106">
        <v>0</v>
      </c>
      <c r="AW41" s="106">
        <v>0</v>
      </c>
      <c r="AX41" s="106">
        <v>2.9164456307152302</v>
      </c>
      <c r="AY41" s="106">
        <v>1326.3994728492867</v>
      </c>
      <c r="AZ41" s="106">
        <v>2.1558728307343533</v>
      </c>
      <c r="BA41" s="106">
        <v>980.49096341798395</v>
      </c>
      <c r="BB41" s="106">
        <v>2.0677032244294899</v>
      </c>
      <c r="BC41" s="106">
        <v>940.391426470532</v>
      </c>
      <c r="BD41" s="106">
        <v>0</v>
      </c>
      <c r="BE41" s="106">
        <v>0</v>
      </c>
      <c r="BF41" s="106">
        <v>3.7766289123931416</v>
      </c>
      <c r="BG41" s="106">
        <v>1717.6108293564009</v>
      </c>
      <c r="BH41" s="106">
        <v>1.9175066332356528E-16</v>
      </c>
      <c r="BI41" s="106">
        <v>8.720820167955749E-14</v>
      </c>
      <c r="BJ41" s="106">
        <v>1.7887040346724734</v>
      </c>
      <c r="BK41" s="106">
        <v>813.50259496904096</v>
      </c>
      <c r="BL41" s="106">
        <v>1.9737298215558337E-16</v>
      </c>
      <c r="BM41" s="106">
        <v>8.976523228435932E-14</v>
      </c>
      <c r="BN41" s="106">
        <v>1.9682873662411584</v>
      </c>
      <c r="BO41" s="106">
        <v>895.17709416647892</v>
      </c>
      <c r="BP41" s="106">
        <v>1.2734734089409487</v>
      </c>
      <c r="BQ41" s="106">
        <v>579.17570638634345</v>
      </c>
      <c r="BR41" s="106">
        <v>1.8231425253691897</v>
      </c>
      <c r="BS41" s="106">
        <v>829.16522053790754</v>
      </c>
      <c r="BT41" s="106">
        <v>0</v>
      </c>
      <c r="BU41" s="106">
        <v>0</v>
      </c>
      <c r="BV41" s="106">
        <v>2.3582030486461538</v>
      </c>
      <c r="BW41" s="106">
        <v>1072.5107465242709</v>
      </c>
      <c r="BX41" s="106">
        <v>1.6680961729935142</v>
      </c>
      <c r="BY41" s="106">
        <v>758.65013947745024</v>
      </c>
      <c r="BZ41" s="106">
        <v>1.4248270439316022</v>
      </c>
      <c r="CA41" s="106">
        <v>648.01133958009268</v>
      </c>
      <c r="CB41" s="106">
        <v>1.541287368513566</v>
      </c>
      <c r="CC41" s="106">
        <v>700.97749519996978</v>
      </c>
      <c r="CD41" s="106">
        <v>1.3439385556015173</v>
      </c>
      <c r="CE41" s="106">
        <v>611.22325508757012</v>
      </c>
      <c r="CF41" s="106">
        <v>0</v>
      </c>
      <c r="CG41" s="106">
        <v>0</v>
      </c>
      <c r="CH41" s="106">
        <v>3.8069433631748786</v>
      </c>
      <c r="CI41" s="106">
        <v>1731.3978415719348</v>
      </c>
      <c r="CJ41" s="106">
        <v>0</v>
      </c>
      <c r="CK41" s="106">
        <v>0</v>
      </c>
      <c r="CL41" s="106">
        <v>2.6416962111260149</v>
      </c>
      <c r="CM41" s="106">
        <v>1201.4434368201116</v>
      </c>
      <c r="CN41" s="106">
        <v>1.1229283707544444</v>
      </c>
      <c r="CO41" s="106">
        <v>510.70782301912135</v>
      </c>
      <c r="CP41" s="106">
        <v>2.0121816176409064</v>
      </c>
      <c r="CQ41" s="106">
        <v>915.14019970308425</v>
      </c>
      <c r="CR41" s="106">
        <v>1.972894540216678</v>
      </c>
      <c r="CS41" s="106">
        <v>897.27243689054512</v>
      </c>
      <c r="CT41" s="106">
        <v>0.87545314463844237</v>
      </c>
      <c r="CU41" s="106">
        <v>398.15609018156363</v>
      </c>
    </row>
    <row r="42" spans="2:99" x14ac:dyDescent="0.2">
      <c r="C42" s="105" t="s">
        <v>208</v>
      </c>
      <c r="D42" s="106">
        <v>0</v>
      </c>
      <c r="E42" s="106">
        <v>0</v>
      </c>
      <c r="F42" s="106">
        <v>4.8389621723900769</v>
      </c>
      <c r="G42" s="106">
        <v>3367.9176719834936</v>
      </c>
      <c r="H42" s="106">
        <v>0</v>
      </c>
      <c r="I42" s="106">
        <v>0</v>
      </c>
      <c r="J42" s="106">
        <v>2.9265475593224011</v>
      </c>
      <c r="K42" s="106">
        <v>2036.8771012883913</v>
      </c>
      <c r="L42" s="106">
        <v>2.8733688760688927</v>
      </c>
      <c r="M42" s="106">
        <v>1999.8647377439493</v>
      </c>
      <c r="N42" s="106">
        <v>2.5833246561128145</v>
      </c>
      <c r="O42" s="106">
        <v>1797.9939606545188</v>
      </c>
      <c r="P42" s="106">
        <v>2.1769922172537446</v>
      </c>
      <c r="Q42" s="106">
        <v>1515.1865832086062</v>
      </c>
      <c r="R42" s="106">
        <v>1.0769300949816349</v>
      </c>
      <c r="S42" s="106">
        <v>749.54334610721787</v>
      </c>
      <c r="T42" s="106">
        <v>1.5007779449686343</v>
      </c>
      <c r="U42" s="106">
        <v>1044.5414496981693</v>
      </c>
      <c r="V42" s="106">
        <v>3.7830113168684365</v>
      </c>
      <c r="W42" s="106">
        <v>2632.9758765404317</v>
      </c>
      <c r="X42" s="106">
        <v>0</v>
      </c>
      <c r="Y42" s="106">
        <v>0</v>
      </c>
      <c r="Z42" s="106">
        <v>2.0099424768260481</v>
      </c>
      <c r="AA42" s="106">
        <v>1398.9199638709295</v>
      </c>
      <c r="AB42" s="106">
        <v>0</v>
      </c>
      <c r="AC42" s="106">
        <v>0</v>
      </c>
      <c r="AD42" s="106">
        <v>2.8344010813243132</v>
      </c>
      <c r="AE42" s="106">
        <v>1972.7431526017219</v>
      </c>
      <c r="AF42" s="106">
        <v>3.4305985061489768</v>
      </c>
      <c r="AG42" s="106">
        <v>2387.6965602796877</v>
      </c>
      <c r="AH42" s="106">
        <v>0.52318510857223588</v>
      </c>
      <c r="AI42" s="106">
        <v>364.13683556627615</v>
      </c>
      <c r="AJ42" s="106">
        <v>1.1779489824132874</v>
      </c>
      <c r="AK42" s="106">
        <v>819.85249175964805</v>
      </c>
      <c r="AL42" s="106">
        <v>2.1305096436108562</v>
      </c>
      <c r="AM42" s="106">
        <v>1482.8347119531559</v>
      </c>
      <c r="AN42" s="106">
        <v>3.4193276388959082</v>
      </c>
      <c r="AO42" s="106">
        <v>2379.852036671552</v>
      </c>
      <c r="AP42" s="106">
        <v>0.83038210258893375</v>
      </c>
      <c r="AQ42" s="106">
        <v>577.94594340189792</v>
      </c>
      <c r="AR42" s="106">
        <v>0.70755067941381755</v>
      </c>
      <c r="AS42" s="106">
        <v>492.45527287201702</v>
      </c>
      <c r="AT42" s="106">
        <v>0.64807982489412175</v>
      </c>
      <c r="AU42" s="106">
        <v>451.06355812630875</v>
      </c>
      <c r="AV42" s="106">
        <v>0</v>
      </c>
      <c r="AW42" s="106">
        <v>0</v>
      </c>
      <c r="AX42" s="106">
        <v>2.9164456307152302</v>
      </c>
      <c r="AY42" s="106">
        <v>2029.8461589778003</v>
      </c>
      <c r="AZ42" s="106">
        <v>1.9598843915766848</v>
      </c>
      <c r="BA42" s="106">
        <v>1364.0795365373726</v>
      </c>
      <c r="BB42" s="106">
        <v>2.0677032244294899</v>
      </c>
      <c r="BC42" s="106">
        <v>1439.121444202925</v>
      </c>
      <c r="BD42" s="106">
        <v>0</v>
      </c>
      <c r="BE42" s="106">
        <v>0</v>
      </c>
      <c r="BF42" s="106">
        <v>3.3989660211538273</v>
      </c>
      <c r="BG42" s="106">
        <v>2365.6803507230638</v>
      </c>
      <c r="BH42" s="106">
        <v>1.9175066332356528E-16</v>
      </c>
      <c r="BI42" s="106">
        <v>1.3345846167320144E-13</v>
      </c>
      <c r="BJ42" s="106">
        <v>1.7887040346724734</v>
      </c>
      <c r="BK42" s="106">
        <v>1244.9380081320414</v>
      </c>
      <c r="BL42" s="106">
        <v>1.9737298215558337E-16</v>
      </c>
      <c r="BM42" s="106">
        <v>1.3737159558028603E-13</v>
      </c>
      <c r="BN42" s="106">
        <v>1.9682873662411584</v>
      </c>
      <c r="BO42" s="106">
        <v>1369.9280069038462</v>
      </c>
      <c r="BP42" s="106">
        <v>1.5918417611761859</v>
      </c>
      <c r="BQ42" s="106">
        <v>1107.9218657786255</v>
      </c>
      <c r="BR42" s="106">
        <v>1.6205711336615021</v>
      </c>
      <c r="BS42" s="106">
        <v>1127.9175090284054</v>
      </c>
      <c r="BT42" s="106">
        <v>0</v>
      </c>
      <c r="BU42" s="106">
        <v>0</v>
      </c>
      <c r="BV42" s="106">
        <v>2.75123689008718</v>
      </c>
      <c r="BW42" s="106">
        <v>1914.8608755006774</v>
      </c>
      <c r="BX42" s="106">
        <v>1.51645106635774</v>
      </c>
      <c r="BY42" s="106">
        <v>1055.4499421849871</v>
      </c>
      <c r="BZ42" s="106">
        <v>1.4248270439316022</v>
      </c>
      <c r="CA42" s="106">
        <v>991.6796225763951</v>
      </c>
      <c r="CB42" s="106">
        <v>1.3871586316622093</v>
      </c>
      <c r="CC42" s="106">
        <v>965.46240763689764</v>
      </c>
      <c r="CD42" s="106">
        <v>1.3439385556015173</v>
      </c>
      <c r="CE42" s="106">
        <v>935.38123469865604</v>
      </c>
      <c r="CF42" s="106">
        <v>0</v>
      </c>
      <c r="CG42" s="106">
        <v>0</v>
      </c>
      <c r="CH42" s="106">
        <v>3.8069433631748786</v>
      </c>
      <c r="CI42" s="106">
        <v>2649.6325807697153</v>
      </c>
      <c r="CJ42" s="106">
        <v>0</v>
      </c>
      <c r="CK42" s="106">
        <v>0</v>
      </c>
      <c r="CL42" s="106">
        <v>2.6416962111260149</v>
      </c>
      <c r="CM42" s="106">
        <v>1838.6205629437063</v>
      </c>
      <c r="CN42" s="106">
        <v>1.1229283707544444</v>
      </c>
      <c r="CO42" s="106">
        <v>781.55814604509328</v>
      </c>
      <c r="CP42" s="106">
        <v>2.0121816176409064</v>
      </c>
      <c r="CQ42" s="106">
        <v>1400.4784058780708</v>
      </c>
      <c r="CR42" s="106">
        <v>1.972894540216678</v>
      </c>
      <c r="CS42" s="106">
        <v>1373.1345999908078</v>
      </c>
      <c r="CT42" s="106">
        <v>0.87545314463844237</v>
      </c>
      <c r="CU42" s="106">
        <v>609.31538866835592</v>
      </c>
    </row>
    <row r="43" spans="2:99" x14ac:dyDescent="0.2">
      <c r="C43" s="105" t="s">
        <v>209</v>
      </c>
      <c r="D43" s="106">
        <v>0</v>
      </c>
      <c r="E43" s="106">
        <v>0</v>
      </c>
      <c r="F43" s="106">
        <v>4.8389621723900769</v>
      </c>
      <c r="G43" s="106">
        <v>3942.7863780634343</v>
      </c>
      <c r="H43" s="106">
        <v>0</v>
      </c>
      <c r="I43" s="106">
        <v>0</v>
      </c>
      <c r="J43" s="106">
        <v>2.5607291144071009</v>
      </c>
      <c r="K43" s="106">
        <v>2086.4820824189055</v>
      </c>
      <c r="L43" s="106">
        <v>2.8733688760688927</v>
      </c>
      <c r="M43" s="106">
        <v>2341.2209602209336</v>
      </c>
      <c r="N43" s="106">
        <v>2.3249921905015332</v>
      </c>
      <c r="O43" s="106">
        <v>1894.4036368206491</v>
      </c>
      <c r="P43" s="106">
        <v>2.1769922172537446</v>
      </c>
      <c r="Q43" s="106">
        <v>1773.813258618351</v>
      </c>
      <c r="R43" s="106">
        <v>1.0769300949816349</v>
      </c>
      <c r="S43" s="106">
        <v>877.48264139103605</v>
      </c>
      <c r="T43" s="106">
        <v>1.3340248399721195</v>
      </c>
      <c r="U43" s="106">
        <v>1086.9634396092829</v>
      </c>
      <c r="V43" s="106">
        <v>4.2558877314769914</v>
      </c>
      <c r="W43" s="106">
        <v>3467.6973236074523</v>
      </c>
      <c r="X43" s="106">
        <v>0</v>
      </c>
      <c r="Y43" s="106">
        <v>0</v>
      </c>
      <c r="Z43" s="106">
        <v>2.0099424768260481</v>
      </c>
      <c r="AA43" s="106">
        <v>1637.7011301178638</v>
      </c>
      <c r="AB43" s="106">
        <v>0</v>
      </c>
      <c r="AC43" s="106">
        <v>0</v>
      </c>
      <c r="AD43" s="106">
        <v>3.1178411894567444</v>
      </c>
      <c r="AE43" s="106">
        <v>2540.417001169355</v>
      </c>
      <c r="AF43" s="106">
        <v>3.1187259146808874</v>
      </c>
      <c r="AG43" s="106">
        <v>2541.1378752819869</v>
      </c>
      <c r="AH43" s="106">
        <v>0.52318510857223588</v>
      </c>
      <c r="AI43" s="106">
        <v>426.29122646465777</v>
      </c>
      <c r="AJ43" s="106">
        <v>1.0708627112848068</v>
      </c>
      <c r="AK43" s="106">
        <v>872.53893715486049</v>
      </c>
      <c r="AL43" s="106">
        <v>1.9174586792497705</v>
      </c>
      <c r="AM43" s="106">
        <v>1562.3453318527129</v>
      </c>
      <c r="AN43" s="106">
        <v>2.9634172870431206</v>
      </c>
      <c r="AO43" s="106">
        <v>2414.5924054827346</v>
      </c>
      <c r="AP43" s="106">
        <v>0.94109971626745825</v>
      </c>
      <c r="AQ43" s="106">
        <v>766.808048814725</v>
      </c>
      <c r="AR43" s="106">
        <v>0.7959945143405448</v>
      </c>
      <c r="AS43" s="106">
        <v>648.57633028467592</v>
      </c>
      <c r="AT43" s="106">
        <v>0.72908980300588699</v>
      </c>
      <c r="AU43" s="106">
        <v>594.06237148919672</v>
      </c>
      <c r="AV43" s="106">
        <v>0</v>
      </c>
      <c r="AW43" s="106">
        <v>0</v>
      </c>
      <c r="AX43" s="106">
        <v>3.2404951452391448</v>
      </c>
      <c r="AY43" s="106">
        <v>2640.3554443408552</v>
      </c>
      <c r="AZ43" s="106">
        <v>1.7638959524190163</v>
      </c>
      <c r="BA43" s="106">
        <v>1437.2224220310145</v>
      </c>
      <c r="BB43" s="106">
        <v>2.0677032244294899</v>
      </c>
      <c r="BC43" s="106">
        <v>1684.7645872651483</v>
      </c>
      <c r="BD43" s="106">
        <v>0</v>
      </c>
      <c r="BE43" s="106">
        <v>0</v>
      </c>
      <c r="BF43" s="106">
        <v>3.3989660211538273</v>
      </c>
      <c r="BG43" s="106">
        <v>2769.4775140361385</v>
      </c>
      <c r="BH43" s="106">
        <v>1.9175066332356528E-16</v>
      </c>
      <c r="BI43" s="106">
        <v>1.5623844047604098E-13</v>
      </c>
      <c r="BJ43" s="106">
        <v>1.7887040346724734</v>
      </c>
      <c r="BK43" s="106">
        <v>1457.4360474511313</v>
      </c>
      <c r="BL43" s="106">
        <v>1.7763568394002506E-16</v>
      </c>
      <c r="BM43" s="106">
        <v>1.4473755527433241E-13</v>
      </c>
      <c r="BN43" s="106">
        <v>1.9682873662411584</v>
      </c>
      <c r="BO43" s="106">
        <v>1603.7605460132959</v>
      </c>
      <c r="BP43" s="106">
        <v>1.2734734089409487</v>
      </c>
      <c r="BQ43" s="106">
        <v>1037.626133605085</v>
      </c>
      <c r="BR43" s="106">
        <v>1.6205711336615021</v>
      </c>
      <c r="BS43" s="106">
        <v>1320.4413597073917</v>
      </c>
      <c r="BT43" s="106">
        <v>0</v>
      </c>
      <c r="BU43" s="106">
        <v>0</v>
      </c>
      <c r="BV43" s="106">
        <v>2.75123689008718</v>
      </c>
      <c r="BW43" s="106">
        <v>2241.707818043034</v>
      </c>
      <c r="BX43" s="106">
        <v>1.6680961729935142</v>
      </c>
      <c r="BY43" s="106">
        <v>1359.1647617551153</v>
      </c>
      <c r="BZ43" s="106">
        <v>1.4248270439316022</v>
      </c>
      <c r="CA43" s="106">
        <v>1160.9490753954694</v>
      </c>
      <c r="CB43" s="106">
        <v>1.3871586316622093</v>
      </c>
      <c r="CC43" s="106">
        <v>1130.2568530783681</v>
      </c>
      <c r="CD43" s="106">
        <v>1.3439385556015173</v>
      </c>
      <c r="CE43" s="106">
        <v>1095.0411351041162</v>
      </c>
      <c r="CF43" s="106">
        <v>0</v>
      </c>
      <c r="CG43" s="106">
        <v>0</v>
      </c>
      <c r="CH43" s="106">
        <v>3.3310754427780189</v>
      </c>
      <c r="CI43" s="106">
        <v>2714.1602707755296</v>
      </c>
      <c r="CJ43" s="106">
        <v>0</v>
      </c>
      <c r="CK43" s="106">
        <v>0</v>
      </c>
      <c r="CL43" s="106">
        <v>2.9719082375167671</v>
      </c>
      <c r="CM43" s="106">
        <v>2421.5108319286619</v>
      </c>
      <c r="CN43" s="106">
        <v>0.9825623244101388</v>
      </c>
      <c r="CO43" s="106">
        <v>800.591781929381</v>
      </c>
      <c r="CP43" s="106">
        <v>2.0121816176409064</v>
      </c>
      <c r="CQ43" s="106">
        <v>1639.5255820538105</v>
      </c>
      <c r="CR43" s="106">
        <v>1.972894540216678</v>
      </c>
      <c r="CS43" s="106">
        <v>1607.514471368549</v>
      </c>
      <c r="CT43" s="106">
        <v>0.87545314463844237</v>
      </c>
      <c r="CU43" s="106">
        <v>713.31922225140283</v>
      </c>
    </row>
    <row r="44" spans="2:99" x14ac:dyDescent="0.2">
      <c r="C44" s="105" t="s">
        <v>210</v>
      </c>
      <c r="D44" s="106">
        <v>0</v>
      </c>
      <c r="E44" s="106">
        <v>0</v>
      </c>
      <c r="F44" s="106">
        <v>4.1476818620486364</v>
      </c>
      <c r="G44" s="106">
        <v>3498.9844188242296</v>
      </c>
      <c r="H44" s="106">
        <v>0</v>
      </c>
      <c r="I44" s="106">
        <v>0</v>
      </c>
      <c r="J44" s="106">
        <v>2.5607291144071009</v>
      </c>
      <c r="K44" s="106">
        <v>2160.2310809138303</v>
      </c>
      <c r="L44" s="106">
        <v>2.8733688760688927</v>
      </c>
      <c r="M44" s="106">
        <v>2423.973983851718</v>
      </c>
      <c r="N44" s="106">
        <v>2.8416571217240958</v>
      </c>
      <c r="O44" s="106">
        <v>2397.2219478864472</v>
      </c>
      <c r="P44" s="106">
        <v>2.1769922172537446</v>
      </c>
      <c r="Q44" s="106">
        <v>1836.5106344752589</v>
      </c>
      <c r="R44" s="106">
        <v>1.1965889944240389</v>
      </c>
      <c r="S44" s="106">
        <v>1009.4424756961192</v>
      </c>
      <c r="T44" s="106">
        <v>1.5007779449686343</v>
      </c>
      <c r="U44" s="106">
        <v>1266.0562743755399</v>
      </c>
      <c r="V44" s="106">
        <v>4.7287641460855454</v>
      </c>
      <c r="W44" s="106">
        <v>3989.1854336377664</v>
      </c>
      <c r="X44" s="106">
        <v>0</v>
      </c>
      <c r="Y44" s="106">
        <v>0</v>
      </c>
      <c r="Z44" s="106">
        <v>2.0099424768260481</v>
      </c>
      <c r="AA44" s="106">
        <v>1695.5874734504541</v>
      </c>
      <c r="AB44" s="106">
        <v>0</v>
      </c>
      <c r="AC44" s="106">
        <v>0</v>
      </c>
      <c r="AD44" s="106">
        <v>3.1178411894567444</v>
      </c>
      <c r="AE44" s="106">
        <v>2630.2108274257098</v>
      </c>
      <c r="AF44" s="106">
        <v>2.806853323212799</v>
      </c>
      <c r="AG44" s="106">
        <v>2367.8614634623173</v>
      </c>
      <c r="AH44" s="106">
        <v>0.46505342984198744</v>
      </c>
      <c r="AI44" s="106">
        <v>392.3190734147006</v>
      </c>
      <c r="AJ44" s="106">
        <v>0.96377644015632602</v>
      </c>
      <c r="AK44" s="106">
        <v>813.0418049158767</v>
      </c>
      <c r="AL44" s="106">
        <v>1.7044077148886849</v>
      </c>
      <c r="AM44" s="106">
        <v>1437.8383482800946</v>
      </c>
      <c r="AN44" s="106">
        <v>2.9634172870431206</v>
      </c>
      <c r="AO44" s="106">
        <v>2499.9388233495765</v>
      </c>
      <c r="AP44" s="106">
        <v>0.83038210258893375</v>
      </c>
      <c r="AQ44" s="106">
        <v>700.51034174402457</v>
      </c>
      <c r="AR44" s="106">
        <v>0.7959945143405448</v>
      </c>
      <c r="AS44" s="106">
        <v>671.50097229768357</v>
      </c>
      <c r="AT44" s="106">
        <v>0.64807982489412175</v>
      </c>
      <c r="AU44" s="106">
        <v>546.72014028068111</v>
      </c>
      <c r="AV44" s="106">
        <v>0</v>
      </c>
      <c r="AW44" s="106">
        <v>0</v>
      </c>
      <c r="AX44" s="106">
        <v>2.9164456307152302</v>
      </c>
      <c r="AY44" s="106">
        <v>2460.3135340713684</v>
      </c>
      <c r="AZ44" s="106">
        <v>1.9598843915766848</v>
      </c>
      <c r="BA44" s="106">
        <v>1653.3584727340913</v>
      </c>
      <c r="BB44" s="106">
        <v>2.0677032244294899</v>
      </c>
      <c r="BC44" s="106">
        <v>1744.3144401287177</v>
      </c>
      <c r="BD44" s="106">
        <v>0</v>
      </c>
      <c r="BE44" s="106">
        <v>0</v>
      </c>
      <c r="BF44" s="106">
        <v>3.3989660211538273</v>
      </c>
      <c r="BG44" s="106">
        <v>2867.3677354453689</v>
      </c>
      <c r="BH44" s="106">
        <v>1.9175066332356528E-16</v>
      </c>
      <c r="BI44" s="106">
        <v>1.6176085957975967E-13</v>
      </c>
      <c r="BJ44" s="106">
        <v>1.5899591419310874</v>
      </c>
      <c r="BK44" s="106">
        <v>1341.2895321330654</v>
      </c>
      <c r="BL44" s="106">
        <v>1.9737298215558337E-16</v>
      </c>
      <c r="BM44" s="106">
        <v>1.6650384774645015E-13</v>
      </c>
      <c r="BN44" s="106">
        <v>2.249471275704181</v>
      </c>
      <c r="BO44" s="106">
        <v>1897.6539681840472</v>
      </c>
      <c r="BP44" s="106">
        <v>1.4326575850585674</v>
      </c>
      <c r="BQ44" s="106">
        <v>1208.5899387554075</v>
      </c>
      <c r="BR44" s="106">
        <v>1.4179997419538144</v>
      </c>
      <c r="BS44" s="106">
        <v>1196.2245823122378</v>
      </c>
      <c r="BT44" s="106">
        <v>0</v>
      </c>
      <c r="BU44" s="106">
        <v>0</v>
      </c>
      <c r="BV44" s="106">
        <v>2.3582030486461538</v>
      </c>
      <c r="BW44" s="106">
        <v>1989.3800918378954</v>
      </c>
      <c r="BX44" s="106">
        <v>1.51645106635774</v>
      </c>
      <c r="BY44" s="106">
        <v>1279.2781195793896</v>
      </c>
      <c r="BZ44" s="106">
        <v>1.4248270439316022</v>
      </c>
      <c r="CA44" s="106">
        <v>1201.9840942606997</v>
      </c>
      <c r="CB44" s="106">
        <v>1.2330298948108529</v>
      </c>
      <c r="CC44" s="106">
        <v>1040.1840192624356</v>
      </c>
      <c r="CD44" s="106">
        <v>1.4932650617794638</v>
      </c>
      <c r="CE44" s="106">
        <v>1259.7184061171556</v>
      </c>
      <c r="CF44" s="106">
        <v>0</v>
      </c>
      <c r="CG44" s="106">
        <v>0</v>
      </c>
      <c r="CH44" s="106">
        <v>3.3310754427780189</v>
      </c>
      <c r="CI44" s="106">
        <v>2810.0952435275367</v>
      </c>
      <c r="CJ44" s="106">
        <v>0</v>
      </c>
      <c r="CK44" s="106">
        <v>0</v>
      </c>
      <c r="CL44" s="106">
        <v>2.9719082375167671</v>
      </c>
      <c r="CM44" s="106">
        <v>2507.1017891691449</v>
      </c>
      <c r="CN44" s="106">
        <v>0.9825623244101388</v>
      </c>
      <c r="CO44" s="106">
        <v>828.88957687239315</v>
      </c>
      <c r="CP44" s="106">
        <v>2.2637043198460196</v>
      </c>
      <c r="CQ44" s="106">
        <v>1909.6609642221022</v>
      </c>
      <c r="CR44" s="106">
        <v>2.1701839942383456</v>
      </c>
      <c r="CS44" s="106">
        <v>1830.7672175394684</v>
      </c>
      <c r="CT44" s="106">
        <v>0.98488478771824761</v>
      </c>
      <c r="CU44" s="106">
        <v>830.84880691911371</v>
      </c>
    </row>
    <row r="45" spans="2:99" x14ac:dyDescent="0.2">
      <c r="C45" s="105" t="s">
        <v>211</v>
      </c>
      <c r="D45" s="106">
        <v>0</v>
      </c>
      <c r="E45" s="106">
        <v>0</v>
      </c>
      <c r="F45" s="106">
        <v>4.8389621723900769</v>
      </c>
      <c r="G45" s="106">
        <v>5034.456244154635</v>
      </c>
      <c r="H45" s="106">
        <v>0</v>
      </c>
      <c r="I45" s="106">
        <v>0</v>
      </c>
      <c r="J45" s="106">
        <v>2.5607291144071009</v>
      </c>
      <c r="K45" s="106">
        <v>2664.1825706291474</v>
      </c>
      <c r="L45" s="106">
        <v>2.8733688760688927</v>
      </c>
      <c r="M45" s="106">
        <v>2989.4529786620756</v>
      </c>
      <c r="N45" s="106">
        <v>2.3249921905015332</v>
      </c>
      <c r="O45" s="106">
        <v>2418.9218749977949</v>
      </c>
      <c r="P45" s="106">
        <v>2.1769922172537446</v>
      </c>
      <c r="Q45" s="106">
        <v>2264.9427028307955</v>
      </c>
      <c r="R45" s="106">
        <v>1.0769300949816349</v>
      </c>
      <c r="S45" s="106">
        <v>1120.4380708188928</v>
      </c>
      <c r="T45" s="106">
        <v>1.1672717349756045</v>
      </c>
      <c r="U45" s="106">
        <v>1214.4295130686189</v>
      </c>
      <c r="V45" s="106">
        <v>4.2558877314769914</v>
      </c>
      <c r="W45" s="106">
        <v>4427.8255958286609</v>
      </c>
      <c r="X45" s="106">
        <v>0</v>
      </c>
      <c r="Y45" s="106">
        <v>0</v>
      </c>
      <c r="Z45" s="106">
        <v>2.0099424768260481</v>
      </c>
      <c r="AA45" s="106">
        <v>2091.1441528898204</v>
      </c>
      <c r="AB45" s="106">
        <v>0</v>
      </c>
      <c r="AC45" s="106">
        <v>0</v>
      </c>
      <c r="AD45" s="106">
        <v>2.8344010813243132</v>
      </c>
      <c r="AE45" s="106">
        <v>2948.910885009815</v>
      </c>
      <c r="AF45" s="106">
        <v>3.1187259146808874</v>
      </c>
      <c r="AG45" s="106">
        <v>3244.722441633995</v>
      </c>
      <c r="AH45" s="106">
        <v>0.52318510857223588</v>
      </c>
      <c r="AI45" s="106">
        <v>544.32178695855418</v>
      </c>
      <c r="AJ45" s="106">
        <v>0.96377644015632602</v>
      </c>
      <c r="AK45" s="106">
        <v>1002.7130083386414</v>
      </c>
      <c r="AL45" s="106">
        <v>2.1305096436108562</v>
      </c>
      <c r="AM45" s="106">
        <v>2216.5822332127345</v>
      </c>
      <c r="AN45" s="106">
        <v>2.9634172870431206</v>
      </c>
      <c r="AO45" s="106">
        <v>3083.1393454396621</v>
      </c>
      <c r="AP45" s="106">
        <v>0.88574090942819594</v>
      </c>
      <c r="AQ45" s="106">
        <v>921.524842169095</v>
      </c>
      <c r="AR45" s="106">
        <v>0.7959945143405448</v>
      </c>
      <c r="AS45" s="106">
        <v>828.15269271990269</v>
      </c>
      <c r="AT45" s="106">
        <v>0.81009978111765224</v>
      </c>
      <c r="AU45" s="106">
        <v>842.8278122748053</v>
      </c>
      <c r="AV45" s="106">
        <v>0</v>
      </c>
      <c r="AW45" s="106">
        <v>0</v>
      </c>
      <c r="AX45" s="106">
        <v>2.9164456307152302</v>
      </c>
      <c r="AY45" s="106">
        <v>3034.2700341961249</v>
      </c>
      <c r="AZ45" s="106">
        <v>2.1558728307343533</v>
      </c>
      <c r="BA45" s="106">
        <v>2242.9700930960207</v>
      </c>
      <c r="BB45" s="106">
        <v>1.8379584217151019</v>
      </c>
      <c r="BC45" s="106">
        <v>1912.2119419523917</v>
      </c>
      <c r="BD45" s="106">
        <v>0</v>
      </c>
      <c r="BE45" s="106">
        <v>0</v>
      </c>
      <c r="BF45" s="106">
        <v>3.0213031299145134</v>
      </c>
      <c r="BG45" s="106">
        <v>3143.3637763630595</v>
      </c>
      <c r="BH45" s="106">
        <v>1.7044503406539134E-16</v>
      </c>
      <c r="BI45" s="106">
        <v>1.7733101344163314E-13</v>
      </c>
      <c r="BJ45" s="106">
        <v>1.7887040346724734</v>
      </c>
      <c r="BK45" s="106">
        <v>1860.967677673241</v>
      </c>
      <c r="BL45" s="106">
        <v>1.9737298215558337E-16</v>
      </c>
      <c r="BM45" s="106">
        <v>2.0534685063466892E-13</v>
      </c>
      <c r="BN45" s="106">
        <v>1.9682873662411584</v>
      </c>
      <c r="BO45" s="106">
        <v>2047.806175837301</v>
      </c>
      <c r="BP45" s="106">
        <v>1.4326575850585674</v>
      </c>
      <c r="BQ45" s="106">
        <v>1490.5369514949334</v>
      </c>
      <c r="BR45" s="106">
        <v>1.4179997419538144</v>
      </c>
      <c r="BS45" s="106">
        <v>1475.2869315287483</v>
      </c>
      <c r="BT45" s="106">
        <v>0</v>
      </c>
      <c r="BU45" s="106">
        <v>0</v>
      </c>
      <c r="BV45" s="106">
        <v>2.75123689008718</v>
      </c>
      <c r="BW45" s="106">
        <v>2862.3868604467016</v>
      </c>
      <c r="BX45" s="106">
        <v>1.3648059597219662</v>
      </c>
      <c r="BY45" s="106">
        <v>1419.9441204947334</v>
      </c>
      <c r="BZ45" s="106">
        <v>1.4248270439316022</v>
      </c>
      <c r="CA45" s="106">
        <v>1482.3900565064387</v>
      </c>
      <c r="CB45" s="106">
        <v>1.2330298948108529</v>
      </c>
      <c r="CC45" s="106">
        <v>1282.8443025612112</v>
      </c>
      <c r="CD45" s="106">
        <v>1.4932650617794638</v>
      </c>
      <c r="CE45" s="106">
        <v>1553.592970275354</v>
      </c>
      <c r="CF45" s="106">
        <v>0</v>
      </c>
      <c r="CG45" s="106">
        <v>0</v>
      </c>
      <c r="CH45" s="106">
        <v>3.3310754427780189</v>
      </c>
      <c r="CI45" s="106">
        <v>3465.6508906662502</v>
      </c>
      <c r="CJ45" s="106">
        <v>0</v>
      </c>
      <c r="CK45" s="106">
        <v>0</v>
      </c>
      <c r="CL45" s="106">
        <v>2.6416962111260149</v>
      </c>
      <c r="CM45" s="106">
        <v>2748.4207380555054</v>
      </c>
      <c r="CN45" s="106">
        <v>1.1229283707544444</v>
      </c>
      <c r="CO45" s="106">
        <v>1168.2946769329237</v>
      </c>
      <c r="CP45" s="106">
        <v>1.760658915435793</v>
      </c>
      <c r="CQ45" s="106">
        <v>1831.7895356193987</v>
      </c>
      <c r="CR45" s="106">
        <v>2.1701839942383456</v>
      </c>
      <c r="CS45" s="106">
        <v>2257.8594276055746</v>
      </c>
      <c r="CT45" s="106">
        <v>0.98488478771824761</v>
      </c>
      <c r="CU45" s="106">
        <v>1024.6741331420646</v>
      </c>
    </row>
    <row r="46" spans="2:99" x14ac:dyDescent="0.2">
      <c r="C46" s="105" t="s">
        <v>212</v>
      </c>
      <c r="D46" s="106">
        <v>0</v>
      </c>
      <c r="E46" s="106">
        <v>0</v>
      </c>
      <c r="F46" s="106">
        <v>4.8389621723900769</v>
      </c>
      <c r="G46" s="106">
        <v>4924.1279066241414</v>
      </c>
      <c r="H46" s="106">
        <v>0</v>
      </c>
      <c r="I46" s="106">
        <v>0</v>
      </c>
      <c r="J46" s="106">
        <v>2.9265475593224011</v>
      </c>
      <c r="K46" s="106">
        <v>2978.0547963664749</v>
      </c>
      <c r="L46" s="106">
        <v>2.8733688760688927</v>
      </c>
      <c r="M46" s="106">
        <v>2923.9401682877046</v>
      </c>
      <c r="N46" s="106">
        <v>2.3249921905015332</v>
      </c>
      <c r="O46" s="106">
        <v>2365.9120530543596</v>
      </c>
      <c r="P46" s="106">
        <v>2.1769922172537446</v>
      </c>
      <c r="Q46" s="106">
        <v>2215.30728027741</v>
      </c>
      <c r="R46" s="106">
        <v>0.95727119553923112</v>
      </c>
      <c r="S46" s="106">
        <v>974.11916858072141</v>
      </c>
      <c r="T46" s="106">
        <v>1.3340248399721195</v>
      </c>
      <c r="U46" s="106">
        <v>1357.5036771556286</v>
      </c>
      <c r="V46" s="106">
        <v>4.2558877314769914</v>
      </c>
      <c r="W46" s="106">
        <v>4330.7913555509858</v>
      </c>
      <c r="X46" s="106">
        <v>0</v>
      </c>
      <c r="Y46" s="106">
        <v>0</v>
      </c>
      <c r="Z46" s="106">
        <v>2.0099424768260481</v>
      </c>
      <c r="AA46" s="106">
        <v>2045.3174644181861</v>
      </c>
      <c r="AB46" s="106">
        <v>0</v>
      </c>
      <c r="AC46" s="106">
        <v>0</v>
      </c>
      <c r="AD46" s="106">
        <v>3.1178411894567444</v>
      </c>
      <c r="AE46" s="106">
        <v>3172.7151943911826</v>
      </c>
      <c r="AF46" s="106">
        <v>2.806853323212799</v>
      </c>
      <c r="AG46" s="106">
        <v>2856.2539417013436</v>
      </c>
      <c r="AH46" s="106">
        <v>0.46505342984198744</v>
      </c>
      <c r="AI46" s="106">
        <v>473.23837020720634</v>
      </c>
      <c r="AJ46" s="106">
        <v>1.0708627112848068</v>
      </c>
      <c r="AK46" s="106">
        <v>1089.7098950034192</v>
      </c>
      <c r="AL46" s="106">
        <v>1.9174586792497705</v>
      </c>
      <c r="AM46" s="106">
        <v>1951.2059520045661</v>
      </c>
      <c r="AN46" s="106">
        <v>2.7354621111167265</v>
      </c>
      <c r="AO46" s="106">
        <v>2783.6062442723805</v>
      </c>
      <c r="AP46" s="106">
        <v>0.83038210258893375</v>
      </c>
      <c r="AQ46" s="106">
        <v>844.99682759449877</v>
      </c>
      <c r="AR46" s="106">
        <v>0.7959945143405448</v>
      </c>
      <c r="AS46" s="106">
        <v>810.00401779293827</v>
      </c>
      <c r="AT46" s="106">
        <v>0.81009978111765224</v>
      </c>
      <c r="AU46" s="106">
        <v>824.35753726532278</v>
      </c>
      <c r="AV46" s="106">
        <v>0</v>
      </c>
      <c r="AW46" s="106">
        <v>0</v>
      </c>
      <c r="AX46" s="106">
        <v>3.2404951452391448</v>
      </c>
      <c r="AY46" s="106">
        <v>3297.5278597953529</v>
      </c>
      <c r="AZ46" s="106">
        <v>1.7638959524190163</v>
      </c>
      <c r="BA46" s="106">
        <v>1794.9405211815906</v>
      </c>
      <c r="BB46" s="106">
        <v>2.0677032244294899</v>
      </c>
      <c r="BC46" s="106">
        <v>2104.0948011794485</v>
      </c>
      <c r="BD46" s="106">
        <v>0</v>
      </c>
      <c r="BE46" s="106">
        <v>0</v>
      </c>
      <c r="BF46" s="106">
        <v>3.0213031299145134</v>
      </c>
      <c r="BG46" s="106">
        <v>3074.4780650010084</v>
      </c>
      <c r="BH46" s="106">
        <v>1.7044503406539134E-16</v>
      </c>
      <c r="BI46" s="106">
        <v>1.734448666649422E-13</v>
      </c>
      <c r="BJ46" s="106">
        <v>1.7887040346724734</v>
      </c>
      <c r="BK46" s="106">
        <v>1820.1852256827085</v>
      </c>
      <c r="BL46" s="106">
        <v>1.7763568394002506E-16</v>
      </c>
      <c r="BM46" s="106">
        <v>1.8076207197736947E-13</v>
      </c>
      <c r="BN46" s="106">
        <v>1.9682873662411584</v>
      </c>
      <c r="BO46" s="106">
        <v>2002.9292238870023</v>
      </c>
      <c r="BP46" s="106">
        <v>1.2734734089409487</v>
      </c>
      <c r="BQ46" s="106">
        <v>1295.8865409383093</v>
      </c>
      <c r="BR46" s="106">
        <v>1.4179997419538144</v>
      </c>
      <c r="BS46" s="106">
        <v>1442.9565374122012</v>
      </c>
      <c r="BT46" s="106">
        <v>0</v>
      </c>
      <c r="BU46" s="106">
        <v>0</v>
      </c>
      <c r="BV46" s="106">
        <v>2.3582030486461538</v>
      </c>
      <c r="BW46" s="106">
        <v>2399.7074223023255</v>
      </c>
      <c r="BX46" s="106">
        <v>1.51645106635774</v>
      </c>
      <c r="BY46" s="106">
        <v>1543.1406051256358</v>
      </c>
      <c r="BZ46" s="106">
        <v>1.4248270439316022</v>
      </c>
      <c r="CA46" s="106">
        <v>1449.9039999047982</v>
      </c>
      <c r="CB46" s="106">
        <v>1.2330298948108529</v>
      </c>
      <c r="CC46" s="106">
        <v>1254.7312209595236</v>
      </c>
      <c r="CD46" s="106">
        <v>1.3439385556015173</v>
      </c>
      <c r="CE46" s="106">
        <v>1367.5918741801038</v>
      </c>
      <c r="CF46" s="106">
        <v>0</v>
      </c>
      <c r="CG46" s="106">
        <v>0</v>
      </c>
      <c r="CH46" s="106">
        <v>3.8069433631748786</v>
      </c>
      <c r="CI46" s="106">
        <v>3873.9455663667559</v>
      </c>
      <c r="CJ46" s="106">
        <v>0</v>
      </c>
      <c r="CK46" s="106">
        <v>0</v>
      </c>
      <c r="CL46" s="106">
        <v>2.9719082375167671</v>
      </c>
      <c r="CM46" s="106">
        <v>3024.2138224970618</v>
      </c>
      <c r="CN46" s="106">
        <v>0.9825623244101388</v>
      </c>
      <c r="CO46" s="106">
        <v>999.85542131975706</v>
      </c>
      <c r="CP46" s="106">
        <v>2.0121816176409064</v>
      </c>
      <c r="CQ46" s="106">
        <v>2047.596014111386</v>
      </c>
      <c r="CR46" s="106">
        <v>1.972894540216678</v>
      </c>
      <c r="CS46" s="106">
        <v>2007.6174841244911</v>
      </c>
      <c r="CT46" s="106">
        <v>0.98488478771824761</v>
      </c>
      <c r="CU46" s="106">
        <v>1002.2187599820886</v>
      </c>
    </row>
    <row r="47" spans="2:99" x14ac:dyDescent="0.2">
      <c r="C47" s="105" t="s">
        <v>213</v>
      </c>
      <c r="D47" s="106">
        <v>0</v>
      </c>
      <c r="E47" s="106">
        <v>0</v>
      </c>
      <c r="F47" s="106">
        <v>4.8389621723900769</v>
      </c>
      <c r="G47" s="106">
        <v>6375.8165583411646</v>
      </c>
      <c r="H47" s="106">
        <v>0</v>
      </c>
      <c r="I47" s="106">
        <v>0</v>
      </c>
      <c r="J47" s="106">
        <v>2.5607291144071009</v>
      </c>
      <c r="K47" s="106">
        <v>3374.0166811427962</v>
      </c>
      <c r="L47" s="106">
        <v>2.8733688760688927</v>
      </c>
      <c r="M47" s="106">
        <v>3785.9508311083728</v>
      </c>
      <c r="N47" s="106">
        <v>2.5833246561128145</v>
      </c>
      <c r="O47" s="106">
        <v>3403.788566894244</v>
      </c>
      <c r="P47" s="106">
        <v>1.8141601810447872</v>
      </c>
      <c r="Q47" s="106">
        <v>2390.3374545446113</v>
      </c>
      <c r="R47" s="106">
        <v>1.0769300949816349</v>
      </c>
      <c r="S47" s="106">
        <v>1418.9630931478021</v>
      </c>
      <c r="T47" s="106">
        <v>1.1672717349756045</v>
      </c>
      <c r="U47" s="106">
        <v>1537.9972380038564</v>
      </c>
      <c r="V47" s="106">
        <v>3.7830113168684365</v>
      </c>
      <c r="W47" s="106">
        <v>4984.495711105852</v>
      </c>
      <c r="X47" s="106">
        <v>0</v>
      </c>
      <c r="Y47" s="106">
        <v>0</v>
      </c>
      <c r="Z47" s="106">
        <v>2.0099424768260481</v>
      </c>
      <c r="AA47" s="106">
        <v>2648.3002074660008</v>
      </c>
      <c r="AB47" s="106">
        <v>0</v>
      </c>
      <c r="AC47" s="106">
        <v>0</v>
      </c>
      <c r="AD47" s="106">
        <v>2.8344010813243132</v>
      </c>
      <c r="AE47" s="106">
        <v>3734.606864752915</v>
      </c>
      <c r="AF47" s="106">
        <v>2.806853323212799</v>
      </c>
      <c r="AG47" s="106">
        <v>3698.3099386651838</v>
      </c>
      <c r="AH47" s="106">
        <v>0.46505342984198744</v>
      </c>
      <c r="AI47" s="106">
        <v>612.75439915980257</v>
      </c>
      <c r="AJ47" s="106">
        <v>1.0708627112848068</v>
      </c>
      <c r="AK47" s="106">
        <v>1410.9687083888614</v>
      </c>
      <c r="AL47" s="106">
        <v>1.9174586792497705</v>
      </c>
      <c r="AM47" s="106">
        <v>2526.4435557794973</v>
      </c>
      <c r="AN47" s="106">
        <v>2.7354621111167265</v>
      </c>
      <c r="AO47" s="106">
        <v>3604.2448776073988</v>
      </c>
      <c r="AP47" s="106">
        <v>0.88574090942819594</v>
      </c>
      <c r="AQ47" s="106">
        <v>1167.0522222625909</v>
      </c>
      <c r="AR47" s="106">
        <v>0.70755067941381755</v>
      </c>
      <c r="AS47" s="106">
        <v>932.26877519564596</v>
      </c>
      <c r="AT47" s="106">
        <v>0.72908980300588699</v>
      </c>
      <c r="AU47" s="106">
        <v>960.64872444055663</v>
      </c>
      <c r="AV47" s="106">
        <v>0</v>
      </c>
      <c r="AW47" s="106">
        <v>0</v>
      </c>
      <c r="AX47" s="106">
        <v>2.9164456307152302</v>
      </c>
      <c r="AY47" s="106">
        <v>3842.7087630303872</v>
      </c>
      <c r="AZ47" s="106">
        <v>1.9598843915766848</v>
      </c>
      <c r="BA47" s="106">
        <v>2582.3436743414395</v>
      </c>
      <c r="BB47" s="106">
        <v>1.8379584217151019</v>
      </c>
      <c r="BC47" s="106">
        <v>2421.6940164518182</v>
      </c>
      <c r="BD47" s="106">
        <v>0</v>
      </c>
      <c r="BE47" s="106">
        <v>0</v>
      </c>
      <c r="BF47" s="106">
        <v>3.0213031299145134</v>
      </c>
      <c r="BG47" s="106">
        <v>3980.8690039753628</v>
      </c>
      <c r="BH47" s="106">
        <v>1.7044503406539134E-16</v>
      </c>
      <c r="BI47" s="106">
        <v>2.2457837688455961E-13</v>
      </c>
      <c r="BJ47" s="106">
        <v>1.7887040346724734</v>
      </c>
      <c r="BK47" s="106">
        <v>2356.7964360844508</v>
      </c>
      <c r="BL47" s="106">
        <v>1.9737298215558337E-16</v>
      </c>
      <c r="BM47" s="106">
        <v>2.6005864128819663E-13</v>
      </c>
      <c r="BN47" s="106">
        <v>1.9682873662411584</v>
      </c>
      <c r="BO47" s="106">
        <v>2593.41543375935</v>
      </c>
      <c r="BP47" s="106">
        <v>1.4326575850585674</v>
      </c>
      <c r="BQ47" s="106">
        <v>1887.6696340731683</v>
      </c>
      <c r="BR47" s="106">
        <v>1.6205711336615021</v>
      </c>
      <c r="BS47" s="106">
        <v>2135.264525712395</v>
      </c>
      <c r="BT47" s="106">
        <v>0</v>
      </c>
      <c r="BU47" s="106">
        <v>0</v>
      </c>
      <c r="BV47" s="106">
        <v>2.3582030486461538</v>
      </c>
      <c r="BW47" s="106">
        <v>3107.1683368961721</v>
      </c>
      <c r="BX47" s="106">
        <v>1.6680961729935142</v>
      </c>
      <c r="BY47" s="106">
        <v>2197.8835175362542</v>
      </c>
      <c r="BZ47" s="106">
        <v>1.4248270439316022</v>
      </c>
      <c r="CA47" s="106">
        <v>1877.3521130842789</v>
      </c>
      <c r="CB47" s="106">
        <v>1.3871586316622093</v>
      </c>
      <c r="CC47" s="106">
        <v>1827.7202130781268</v>
      </c>
      <c r="CD47" s="106">
        <v>1.3439385556015173</v>
      </c>
      <c r="CE47" s="106">
        <v>1770.773440860559</v>
      </c>
      <c r="CF47" s="106">
        <v>0</v>
      </c>
      <c r="CG47" s="106">
        <v>0</v>
      </c>
      <c r="CH47" s="106">
        <v>3.3310754427780189</v>
      </c>
      <c r="CI47" s="106">
        <v>4389.0250034043174</v>
      </c>
      <c r="CJ47" s="106">
        <v>0</v>
      </c>
      <c r="CK47" s="106">
        <v>0</v>
      </c>
      <c r="CL47" s="106">
        <v>2.6416962111260149</v>
      </c>
      <c r="CM47" s="106">
        <v>3480.698927779637</v>
      </c>
      <c r="CN47" s="106">
        <v>0.9825623244101388</v>
      </c>
      <c r="CO47" s="106">
        <v>1294.6241186427987</v>
      </c>
      <c r="CP47" s="106">
        <v>1.760658915435793</v>
      </c>
      <c r="CQ47" s="106">
        <v>2319.8441869782009</v>
      </c>
      <c r="CR47" s="106">
        <v>1.972894540216678</v>
      </c>
      <c r="CS47" s="106">
        <v>2599.4858461894946</v>
      </c>
      <c r="CT47" s="106">
        <v>0.98488478771824761</v>
      </c>
      <c r="CU47" s="106">
        <v>1297.6841962975629</v>
      </c>
    </row>
    <row r="48" spans="2:99" x14ac:dyDescent="0.2">
      <c r="C48" s="105" t="s">
        <v>214</v>
      </c>
      <c r="D48" s="106">
        <v>0</v>
      </c>
      <c r="E48" s="106">
        <v>0</v>
      </c>
      <c r="F48" s="106">
        <v>4.8389621723900769</v>
      </c>
      <c r="G48" s="106">
        <v>3182.1015245637145</v>
      </c>
      <c r="H48" s="106">
        <v>0</v>
      </c>
      <c r="I48" s="106">
        <v>0</v>
      </c>
      <c r="J48" s="106">
        <v>2.5607291144071009</v>
      </c>
      <c r="K48" s="106">
        <v>1683.9354656341097</v>
      </c>
      <c r="L48" s="106">
        <v>2.5541056676167937</v>
      </c>
      <c r="M48" s="106">
        <v>1679.5798870248036</v>
      </c>
      <c r="N48" s="106">
        <v>2.8416571217240958</v>
      </c>
      <c r="O48" s="106">
        <v>1868.6737232457654</v>
      </c>
      <c r="P48" s="106">
        <v>1.8141601810447872</v>
      </c>
      <c r="Q48" s="106">
        <v>1192.991735055052</v>
      </c>
      <c r="R48" s="106">
        <v>1.0769300949816349</v>
      </c>
      <c r="S48" s="106">
        <v>708.18923045992312</v>
      </c>
      <c r="T48" s="106">
        <v>1.3340248399721195</v>
      </c>
      <c r="U48" s="106">
        <v>877.25473476566583</v>
      </c>
      <c r="V48" s="106">
        <v>4.2558877314769914</v>
      </c>
      <c r="W48" s="106">
        <v>2798.6717722192698</v>
      </c>
      <c r="X48" s="106">
        <v>0</v>
      </c>
      <c r="Y48" s="106">
        <v>0</v>
      </c>
      <c r="Z48" s="106">
        <v>2.0099424768260481</v>
      </c>
      <c r="AA48" s="106">
        <v>1321.7381727608092</v>
      </c>
      <c r="AB48" s="106">
        <v>0</v>
      </c>
      <c r="AC48" s="106">
        <v>0</v>
      </c>
      <c r="AD48" s="106">
        <v>3.1178411894567444</v>
      </c>
      <c r="AE48" s="106">
        <v>2050.2923661867553</v>
      </c>
      <c r="AF48" s="106">
        <v>2.806853323212799</v>
      </c>
      <c r="AG48" s="106">
        <v>1845.7867453447368</v>
      </c>
      <c r="AH48" s="106">
        <v>0.58131678730248426</v>
      </c>
      <c r="AI48" s="106">
        <v>382.27391933011364</v>
      </c>
      <c r="AJ48" s="106">
        <v>1.1779489824132874</v>
      </c>
      <c r="AK48" s="106">
        <v>774.61925083497783</v>
      </c>
      <c r="AL48" s="106">
        <v>1.9174586792497705</v>
      </c>
      <c r="AM48" s="106">
        <v>1260.9208274746491</v>
      </c>
      <c r="AN48" s="106">
        <v>3.1913724629695142</v>
      </c>
      <c r="AO48" s="106">
        <v>2098.6465316487524</v>
      </c>
      <c r="AP48" s="106">
        <v>0.83038210258893375</v>
      </c>
      <c r="AQ48" s="106">
        <v>546.05927066248285</v>
      </c>
      <c r="AR48" s="106">
        <v>0.70755067941381755</v>
      </c>
      <c r="AS48" s="106">
        <v>465.28532678252645</v>
      </c>
      <c r="AT48" s="106">
        <v>0.81009978111765224</v>
      </c>
      <c r="AU48" s="106">
        <v>532.72161606296811</v>
      </c>
      <c r="AV48" s="106">
        <v>0</v>
      </c>
      <c r="AW48" s="106">
        <v>0</v>
      </c>
      <c r="AX48" s="106">
        <v>3.2404951452391448</v>
      </c>
      <c r="AY48" s="106">
        <v>2130.9496075092616</v>
      </c>
      <c r="AZ48" s="106">
        <v>1.9598843915766848</v>
      </c>
      <c r="BA48" s="106">
        <v>1288.819975900828</v>
      </c>
      <c r="BB48" s="106">
        <v>1.8379584217151019</v>
      </c>
      <c r="BC48" s="106">
        <v>1208.641458119851</v>
      </c>
      <c r="BD48" s="106">
        <v>0</v>
      </c>
      <c r="BE48" s="106">
        <v>0</v>
      </c>
      <c r="BF48" s="106">
        <v>3.7766289123931416</v>
      </c>
      <c r="BG48" s="106">
        <v>2483.5111727897302</v>
      </c>
      <c r="BH48" s="106">
        <v>1.7044503406539134E-16</v>
      </c>
      <c r="BI48" s="106">
        <v>1.1208465440140135E-13</v>
      </c>
      <c r="BJ48" s="106">
        <v>1.7887040346724734</v>
      </c>
      <c r="BK48" s="106">
        <v>1176.2517732006186</v>
      </c>
      <c r="BL48" s="106">
        <v>1.9737298215558337E-16</v>
      </c>
      <c r="BM48" s="106">
        <v>1.2979247306551163E-13</v>
      </c>
      <c r="BN48" s="106">
        <v>2.249471275704181</v>
      </c>
      <c r="BO48" s="106">
        <v>1479.2523109030694</v>
      </c>
      <c r="BP48" s="106">
        <v>1.5918417611761859</v>
      </c>
      <c r="BQ48" s="106">
        <v>1046.7951421494599</v>
      </c>
      <c r="BR48" s="106">
        <v>1.6205711336615021</v>
      </c>
      <c r="BS48" s="106">
        <v>1065.6875774958039</v>
      </c>
      <c r="BT48" s="106">
        <v>0</v>
      </c>
      <c r="BU48" s="106">
        <v>0</v>
      </c>
      <c r="BV48" s="106">
        <v>2.75123689008718</v>
      </c>
      <c r="BW48" s="106">
        <v>1809.2133789213296</v>
      </c>
      <c r="BX48" s="106">
        <v>1.51645106635774</v>
      </c>
      <c r="BY48" s="106">
        <v>997.21822123684979</v>
      </c>
      <c r="BZ48" s="106">
        <v>1.4248270439316022</v>
      </c>
      <c r="CA48" s="106">
        <v>936.96626408942166</v>
      </c>
      <c r="CB48" s="106">
        <v>1.3871586316622093</v>
      </c>
      <c r="CC48" s="106">
        <v>912.19551618106891</v>
      </c>
      <c r="CD48" s="106">
        <v>1.3439385556015173</v>
      </c>
      <c r="CE48" s="106">
        <v>883.77399416355786</v>
      </c>
      <c r="CF48" s="106">
        <v>0</v>
      </c>
      <c r="CG48" s="106">
        <v>0</v>
      </c>
      <c r="CH48" s="106">
        <v>3.3310754427780189</v>
      </c>
      <c r="CI48" s="106">
        <v>2190.5152111708253</v>
      </c>
      <c r="CJ48" s="106">
        <v>0</v>
      </c>
      <c r="CK48" s="106">
        <v>0</v>
      </c>
      <c r="CL48" s="106">
        <v>3.3021202639075189</v>
      </c>
      <c r="CM48" s="106">
        <v>2171.4742855455843</v>
      </c>
      <c r="CN48" s="106">
        <v>0.9825623244101388</v>
      </c>
      <c r="CO48" s="106">
        <v>646.13298453210734</v>
      </c>
      <c r="CP48" s="106">
        <v>2.2637043198460196</v>
      </c>
      <c r="CQ48" s="106">
        <v>1488.6119607307426</v>
      </c>
      <c r="CR48" s="106">
        <v>2.1701839942383456</v>
      </c>
      <c r="CS48" s="106">
        <v>1427.1129946111362</v>
      </c>
      <c r="CT48" s="106">
        <v>0.87545314463844237</v>
      </c>
      <c r="CU48" s="106">
        <v>575.69798791423977</v>
      </c>
    </row>
    <row r="49" spans="2:99" x14ac:dyDescent="0.2">
      <c r="B49" s="105" t="s">
        <v>129</v>
      </c>
      <c r="C49" s="105" t="s">
        <v>215</v>
      </c>
      <c r="D49" s="106">
        <v>2.8166825142377037</v>
      </c>
      <c r="E49" s="106">
        <v>949.78534380095368</v>
      </c>
      <c r="F49" s="106">
        <v>6</v>
      </c>
      <c r="G49" s="106">
        <v>2023.1999999999998</v>
      </c>
      <c r="H49" s="106">
        <v>5</v>
      </c>
      <c r="I49" s="106">
        <v>1686</v>
      </c>
      <c r="J49" s="106">
        <v>7.4008479003177037</v>
      </c>
      <c r="K49" s="106">
        <v>2495.5659119871298</v>
      </c>
      <c r="L49" s="106">
        <v>1.3077473664296322E-15</v>
      </c>
      <c r="M49" s="106">
        <v>4.4097241196007196E-13</v>
      </c>
      <c r="N49" s="106">
        <v>10</v>
      </c>
      <c r="O49" s="106">
        <v>3372</v>
      </c>
      <c r="P49" s="106">
        <v>15</v>
      </c>
      <c r="Q49" s="106">
        <v>5058</v>
      </c>
      <c r="R49" s="106">
        <v>13</v>
      </c>
      <c r="S49" s="106">
        <v>4383.5999999999995</v>
      </c>
      <c r="T49" s="106">
        <v>12</v>
      </c>
      <c r="U49" s="106">
        <v>4046.3999999999996</v>
      </c>
      <c r="V49" s="106">
        <v>12</v>
      </c>
      <c r="W49" s="106">
        <v>4046.3999999999996</v>
      </c>
      <c r="X49" s="106">
        <v>4.7190780739509925</v>
      </c>
      <c r="Y49" s="106">
        <v>1591.2731265362747</v>
      </c>
      <c r="Z49" s="106">
        <v>5.1981299034486659</v>
      </c>
      <c r="AA49" s="106">
        <v>1752.80940344289</v>
      </c>
      <c r="AB49" s="106">
        <v>6.1051085209963682</v>
      </c>
      <c r="AC49" s="106">
        <v>2058.6425932799752</v>
      </c>
      <c r="AD49" s="106">
        <v>4.7019182560899448</v>
      </c>
      <c r="AE49" s="106">
        <v>1585.4868359535294</v>
      </c>
      <c r="AF49" s="106">
        <v>0</v>
      </c>
      <c r="AG49" s="106">
        <v>0</v>
      </c>
      <c r="AH49" s="106">
        <v>11</v>
      </c>
      <c r="AI49" s="106">
        <v>3709.2</v>
      </c>
      <c r="AJ49" s="106">
        <v>6</v>
      </c>
      <c r="AK49" s="106">
        <v>2023.1999999999998</v>
      </c>
      <c r="AL49" s="106">
        <v>5</v>
      </c>
      <c r="AM49" s="106">
        <v>1686</v>
      </c>
      <c r="AN49" s="106">
        <v>2.2233870781099636</v>
      </c>
      <c r="AO49" s="106">
        <v>749.72612273867969</v>
      </c>
      <c r="AP49" s="106">
        <v>3.3853729077151762</v>
      </c>
      <c r="AQ49" s="106">
        <v>1141.5477444815574</v>
      </c>
      <c r="AR49" s="106">
        <v>2.3289030865144058</v>
      </c>
      <c r="AS49" s="106">
        <v>785.30612077265766</v>
      </c>
      <c r="AT49" s="106">
        <v>2.1751429793532293</v>
      </c>
      <c r="AU49" s="106">
        <v>733.4582126379089</v>
      </c>
      <c r="AV49" s="106">
        <v>0</v>
      </c>
      <c r="AW49" s="106">
        <v>0</v>
      </c>
      <c r="AX49" s="106">
        <v>5</v>
      </c>
      <c r="AY49" s="106">
        <v>1686</v>
      </c>
      <c r="AZ49" s="106">
        <v>1.0589602719897682</v>
      </c>
      <c r="BA49" s="106">
        <v>357.08140371494983</v>
      </c>
      <c r="BB49" s="106">
        <v>4</v>
      </c>
      <c r="BC49" s="106">
        <v>1348.8</v>
      </c>
      <c r="BD49" s="106">
        <v>6</v>
      </c>
      <c r="BE49" s="106">
        <v>2023.1999999999998</v>
      </c>
      <c r="BF49" s="106">
        <v>6</v>
      </c>
      <c r="BG49" s="106">
        <v>2023.1999999999998</v>
      </c>
      <c r="BH49" s="106">
        <v>4</v>
      </c>
      <c r="BI49" s="106">
        <v>1348.8</v>
      </c>
      <c r="BJ49" s="106">
        <v>4.4108639967893595</v>
      </c>
      <c r="BK49" s="106">
        <v>1487.3433397173719</v>
      </c>
      <c r="BL49" s="106">
        <v>7.5022799171918813</v>
      </c>
      <c r="BM49" s="106">
        <v>2529.7687880771023</v>
      </c>
      <c r="BN49" s="106">
        <v>1.8010484763460626</v>
      </c>
      <c r="BO49" s="106">
        <v>607.31354622389233</v>
      </c>
      <c r="BP49" s="106">
        <v>0</v>
      </c>
      <c r="BQ49" s="106">
        <v>0</v>
      </c>
      <c r="BR49" s="106">
        <v>7</v>
      </c>
      <c r="BS49" s="106">
        <v>2360.4</v>
      </c>
      <c r="BT49" s="106">
        <v>6</v>
      </c>
      <c r="BU49" s="106">
        <v>2023.1999999999998</v>
      </c>
      <c r="BV49" s="106">
        <v>5</v>
      </c>
      <c r="BW49" s="106">
        <v>1686</v>
      </c>
      <c r="BX49" s="106">
        <v>6</v>
      </c>
      <c r="BY49" s="106">
        <v>2023.1999999999998</v>
      </c>
      <c r="BZ49" s="106">
        <v>3.1854912665925426</v>
      </c>
      <c r="CA49" s="106">
        <v>1074.1476550950053</v>
      </c>
      <c r="CB49" s="106">
        <v>3.3586283880342482</v>
      </c>
      <c r="CC49" s="106">
        <v>1132.5294924451484</v>
      </c>
      <c r="CD49" s="106">
        <v>4.1216640472689248</v>
      </c>
      <c r="CE49" s="106">
        <v>1389.8251167390813</v>
      </c>
      <c r="CF49" s="106">
        <v>4.2153382301614002</v>
      </c>
      <c r="CG49" s="106">
        <v>1421.4120512104241</v>
      </c>
      <c r="CH49" s="106">
        <v>6.4175719671354541</v>
      </c>
      <c r="CI49" s="106">
        <v>2164.0052673180749</v>
      </c>
      <c r="CJ49" s="106">
        <v>4.2961141813277592</v>
      </c>
      <c r="CK49" s="106">
        <v>1448.6497019437204</v>
      </c>
      <c r="CL49" s="106">
        <v>2.7820230066901717</v>
      </c>
      <c r="CM49" s="106">
        <v>938.09815785592582</v>
      </c>
      <c r="CN49" s="106">
        <v>14.182313820646877</v>
      </c>
      <c r="CO49" s="106">
        <v>4782.2762203221273</v>
      </c>
      <c r="CP49" s="106">
        <v>7.9191391386225485</v>
      </c>
      <c r="CQ49" s="106">
        <v>2670.3337175435231</v>
      </c>
      <c r="CR49" s="106">
        <v>7.2450838813196992</v>
      </c>
      <c r="CS49" s="106">
        <v>2443.0422847810023</v>
      </c>
      <c r="CT49" s="106">
        <v>3.2374944562610928</v>
      </c>
      <c r="CU49" s="106">
        <v>1091.6831306512404</v>
      </c>
    </row>
    <row r="50" spans="2:99" x14ac:dyDescent="0.2">
      <c r="C50" s="105" t="s">
        <v>216</v>
      </c>
      <c r="D50" s="106">
        <v>0</v>
      </c>
      <c r="E50" s="106">
        <v>0</v>
      </c>
      <c r="F50" s="106">
        <v>5.5302424827315164</v>
      </c>
      <c r="G50" s="106">
        <v>2136.8856953274576</v>
      </c>
      <c r="H50" s="106">
        <v>0</v>
      </c>
      <c r="I50" s="106">
        <v>0</v>
      </c>
      <c r="J50" s="106">
        <v>2.5607291144071009</v>
      </c>
      <c r="K50" s="106">
        <v>989.46572980690371</v>
      </c>
      <c r="L50" s="106">
        <v>5.4274745436856859</v>
      </c>
      <c r="M50" s="106">
        <v>2097.1761636801489</v>
      </c>
      <c r="N50" s="106">
        <v>2.8416571217240958</v>
      </c>
      <c r="O50" s="106">
        <v>1098.0163118341904</v>
      </c>
      <c r="P50" s="106">
        <v>5.8053125793433189</v>
      </c>
      <c r="Q50" s="106">
        <v>2243.1727806582585</v>
      </c>
      <c r="R50" s="106">
        <v>1.5555656927512507</v>
      </c>
      <c r="S50" s="106">
        <v>601.07058367908326</v>
      </c>
      <c r="T50" s="106">
        <v>1.8342841549616642</v>
      </c>
      <c r="U50" s="106">
        <v>708.76739747718705</v>
      </c>
      <c r="V50" s="106">
        <v>6.1473933899112101</v>
      </c>
      <c r="W50" s="106">
        <v>2375.3528058616916</v>
      </c>
      <c r="X50" s="106">
        <v>0</v>
      </c>
      <c r="Y50" s="106">
        <v>0</v>
      </c>
      <c r="Z50" s="106">
        <v>2.2611852864293036</v>
      </c>
      <c r="AA50" s="106">
        <v>873.72199467628286</v>
      </c>
      <c r="AB50" s="106">
        <v>0</v>
      </c>
      <c r="AC50" s="106">
        <v>0</v>
      </c>
      <c r="AD50" s="106">
        <v>1.7006406487945878</v>
      </c>
      <c r="AE50" s="106">
        <v>657.12754669422873</v>
      </c>
      <c r="AF50" s="106">
        <v>1.8712355488085326</v>
      </c>
      <c r="AG50" s="106">
        <v>723.04541605961697</v>
      </c>
      <c r="AH50" s="106">
        <v>0.63944846603273275</v>
      </c>
      <c r="AI50" s="106">
        <v>247.08288727504791</v>
      </c>
      <c r="AJ50" s="106">
        <v>0.74960389789936466</v>
      </c>
      <c r="AK50" s="106">
        <v>289.6469461483145</v>
      </c>
      <c r="AL50" s="106">
        <v>1.0652548218054281</v>
      </c>
      <c r="AM50" s="106">
        <v>411.61446314561738</v>
      </c>
      <c r="AN50" s="106">
        <v>1.1397758796319695</v>
      </c>
      <c r="AO50" s="106">
        <v>440.40939988979295</v>
      </c>
      <c r="AP50" s="106">
        <v>0.27679403419631127</v>
      </c>
      <c r="AQ50" s="106">
        <v>106.95321481345466</v>
      </c>
      <c r="AR50" s="106">
        <v>0.53066300956036327</v>
      </c>
      <c r="AS50" s="106">
        <v>205.04818689412437</v>
      </c>
      <c r="AT50" s="106">
        <v>0.40504989055882612</v>
      </c>
      <c r="AU50" s="106">
        <v>156.5112777119304</v>
      </c>
      <c r="AV50" s="106">
        <v>0</v>
      </c>
      <c r="AW50" s="106">
        <v>0</v>
      </c>
      <c r="AX50" s="106">
        <v>1.6202475726195724</v>
      </c>
      <c r="AY50" s="106">
        <v>626.06366206020277</v>
      </c>
      <c r="AZ50" s="106">
        <v>0.97994219578834241</v>
      </c>
      <c r="BA50" s="106">
        <v>378.64966445261547</v>
      </c>
      <c r="BB50" s="106">
        <v>1.1487240135719388</v>
      </c>
      <c r="BC50" s="106">
        <v>443.86695884419709</v>
      </c>
      <c r="BD50" s="106">
        <v>0</v>
      </c>
      <c r="BE50" s="106">
        <v>0</v>
      </c>
      <c r="BF50" s="106">
        <v>2.2659773474358853</v>
      </c>
      <c r="BG50" s="106">
        <v>875.573647049226</v>
      </c>
      <c r="BH50" s="106">
        <v>8.5222517032695672E-17</v>
      </c>
      <c r="BI50" s="106">
        <v>3.2929980581433605E-14</v>
      </c>
      <c r="BJ50" s="106">
        <v>0.99372446370692968</v>
      </c>
      <c r="BK50" s="106">
        <v>383.97513277635761</v>
      </c>
      <c r="BL50" s="106">
        <v>1.3816108750890837E-16</v>
      </c>
      <c r="BM50" s="106">
        <v>5.338544421344219E-14</v>
      </c>
      <c r="BN50" s="106">
        <v>1.4059195473151131</v>
      </c>
      <c r="BO50" s="106">
        <v>543.24731308255969</v>
      </c>
      <c r="BP50" s="106">
        <v>0.79592088058809296</v>
      </c>
      <c r="BQ50" s="106">
        <v>307.54382825923909</v>
      </c>
      <c r="BR50" s="106">
        <v>1.6205711336615021</v>
      </c>
      <c r="BS50" s="106">
        <v>626.18868604680438</v>
      </c>
      <c r="BT50" s="106">
        <v>0</v>
      </c>
      <c r="BU50" s="106">
        <v>0</v>
      </c>
      <c r="BV50" s="106">
        <v>1.9651692072051286</v>
      </c>
      <c r="BW50" s="106">
        <v>759.3413816640616</v>
      </c>
      <c r="BX50" s="106">
        <v>1.0615157464504181</v>
      </c>
      <c r="BY50" s="106">
        <v>410.16968442844154</v>
      </c>
      <c r="BZ50" s="106">
        <v>1.4248270439316022</v>
      </c>
      <c r="CA50" s="106">
        <v>550.55316977517111</v>
      </c>
      <c r="CB50" s="106">
        <v>0.77064368425678298</v>
      </c>
      <c r="CC50" s="106">
        <v>297.77671959682095</v>
      </c>
      <c r="CD50" s="106">
        <v>1.0452855432456245</v>
      </c>
      <c r="CE50" s="106">
        <v>403.89833391010927</v>
      </c>
      <c r="CF50" s="106">
        <v>0</v>
      </c>
      <c r="CG50" s="106">
        <v>0</v>
      </c>
      <c r="CH50" s="106">
        <v>3.8069433631748786</v>
      </c>
      <c r="CI50" s="106">
        <v>1471.002915530773</v>
      </c>
      <c r="CJ50" s="106">
        <v>0</v>
      </c>
      <c r="CK50" s="106">
        <v>0</v>
      </c>
      <c r="CL50" s="106">
        <v>2.3114841847352632</v>
      </c>
      <c r="CM50" s="106">
        <v>893.15748898170568</v>
      </c>
      <c r="CN50" s="106">
        <v>2.1054906951645833</v>
      </c>
      <c r="CO50" s="106">
        <v>813.56160461159493</v>
      </c>
      <c r="CP50" s="106">
        <v>3.0182724264613596</v>
      </c>
      <c r="CQ50" s="106">
        <v>1166.2604655846692</v>
      </c>
      <c r="CR50" s="106">
        <v>3.7484996264116881</v>
      </c>
      <c r="CS50" s="106">
        <v>1448.4202556454761</v>
      </c>
      <c r="CT50" s="106">
        <v>1.0943164307980529</v>
      </c>
      <c r="CU50" s="106">
        <v>422.84386886036759</v>
      </c>
    </row>
    <row r="51" spans="2:99" x14ac:dyDescent="0.2">
      <c r="C51" s="105" t="s">
        <v>217</v>
      </c>
      <c r="D51" s="106">
        <v>2.8166825142377037</v>
      </c>
      <c r="E51" s="106">
        <v>1980.6911440119529</v>
      </c>
      <c r="F51" s="106">
        <v>6</v>
      </c>
      <c r="G51" s="106">
        <v>4219.2</v>
      </c>
      <c r="H51" s="106">
        <v>5</v>
      </c>
      <c r="I51" s="106">
        <v>3515.9999999999995</v>
      </c>
      <c r="J51" s="106">
        <v>6.4757419127779894</v>
      </c>
      <c r="K51" s="106">
        <v>4553.7417130654821</v>
      </c>
      <c r="L51" s="106">
        <v>1.3949305241916078E-15</v>
      </c>
      <c r="M51" s="106">
        <v>9.8091514461153855E-13</v>
      </c>
      <c r="N51" s="106">
        <v>12</v>
      </c>
      <c r="O51" s="106">
        <v>8438.4</v>
      </c>
      <c r="P51" s="106">
        <v>14</v>
      </c>
      <c r="Q51" s="106">
        <v>9844.7999999999993</v>
      </c>
      <c r="R51" s="106">
        <v>11</v>
      </c>
      <c r="S51" s="106">
        <v>7735.1999999999989</v>
      </c>
      <c r="T51" s="106">
        <v>10</v>
      </c>
      <c r="U51" s="106">
        <v>7031.9999999999991</v>
      </c>
      <c r="V51" s="106">
        <v>13</v>
      </c>
      <c r="W51" s="106">
        <v>9141.5999999999985</v>
      </c>
      <c r="X51" s="106">
        <v>4.1947360657342152</v>
      </c>
      <c r="Y51" s="106">
        <v>2949.7384014242998</v>
      </c>
      <c r="Z51" s="106">
        <v>5.8478961413797501</v>
      </c>
      <c r="AA51" s="106">
        <v>4112.2405666182394</v>
      </c>
      <c r="AB51" s="106">
        <v>5.3419699558718214</v>
      </c>
      <c r="AC51" s="106">
        <v>3756.4732729690645</v>
      </c>
      <c r="AD51" s="106">
        <v>5.6423019073079335</v>
      </c>
      <c r="AE51" s="106">
        <v>3967.6667012189382</v>
      </c>
      <c r="AF51" s="106">
        <v>0</v>
      </c>
      <c r="AG51" s="106">
        <v>0</v>
      </c>
      <c r="AH51" s="106">
        <v>9</v>
      </c>
      <c r="AI51" s="106">
        <v>6328.7999999999993</v>
      </c>
      <c r="AJ51" s="106">
        <v>6</v>
      </c>
      <c r="AK51" s="106">
        <v>4219.2</v>
      </c>
      <c r="AL51" s="106">
        <v>5</v>
      </c>
      <c r="AM51" s="106">
        <v>3515.9999999999995</v>
      </c>
      <c r="AN51" s="106">
        <v>2.2233870781099636</v>
      </c>
      <c r="AO51" s="106">
        <v>1563.4857933269263</v>
      </c>
      <c r="AP51" s="106">
        <v>3.3853729077151762</v>
      </c>
      <c r="AQ51" s="106">
        <v>2380.5942287053117</v>
      </c>
      <c r="AR51" s="106">
        <v>1.9407525720953382</v>
      </c>
      <c r="AS51" s="106">
        <v>1364.7372086974417</v>
      </c>
      <c r="AT51" s="106">
        <v>1.7401143834825834</v>
      </c>
      <c r="AU51" s="106">
        <v>1223.6484344649525</v>
      </c>
      <c r="AV51" s="106">
        <v>0</v>
      </c>
      <c r="AW51" s="106">
        <v>0</v>
      </c>
      <c r="AX51" s="106">
        <v>5</v>
      </c>
      <c r="AY51" s="106">
        <v>3515.9999999999995</v>
      </c>
      <c r="AZ51" s="106">
        <v>1.32370033998721</v>
      </c>
      <c r="BA51" s="106">
        <v>930.82607907900604</v>
      </c>
      <c r="BB51" s="106">
        <v>4</v>
      </c>
      <c r="BC51" s="106">
        <v>2812.7999999999997</v>
      </c>
      <c r="BD51" s="106">
        <v>6</v>
      </c>
      <c r="BE51" s="106">
        <v>4219.2</v>
      </c>
      <c r="BF51" s="106">
        <v>6</v>
      </c>
      <c r="BG51" s="106">
        <v>4219.2</v>
      </c>
      <c r="BH51" s="106">
        <v>4</v>
      </c>
      <c r="BI51" s="106">
        <v>2812.7999999999997</v>
      </c>
      <c r="BJ51" s="106">
        <v>4.4108639967893595</v>
      </c>
      <c r="BK51" s="106">
        <v>3101.7195625422773</v>
      </c>
      <c r="BL51" s="106">
        <v>6.5644949275428957</v>
      </c>
      <c r="BM51" s="106">
        <v>4616.1528330481642</v>
      </c>
      <c r="BN51" s="106">
        <v>2.1612581716152754</v>
      </c>
      <c r="BO51" s="106">
        <v>1519.7967462798615</v>
      </c>
      <c r="BP51" s="106">
        <v>0</v>
      </c>
      <c r="BQ51" s="106">
        <v>0</v>
      </c>
      <c r="BR51" s="106">
        <v>7</v>
      </c>
      <c r="BS51" s="106">
        <v>4922.3999999999996</v>
      </c>
      <c r="BT51" s="106">
        <v>7</v>
      </c>
      <c r="BU51" s="106">
        <v>4922.3999999999996</v>
      </c>
      <c r="BV51" s="106">
        <v>5</v>
      </c>
      <c r="BW51" s="106">
        <v>3515.9999999999995</v>
      </c>
      <c r="BX51" s="106">
        <v>6</v>
      </c>
      <c r="BY51" s="106">
        <v>4219.2</v>
      </c>
      <c r="BZ51" s="106">
        <v>3.6405614475343335</v>
      </c>
      <c r="CA51" s="106">
        <v>2560.0428099061432</v>
      </c>
      <c r="CB51" s="106">
        <v>3.3586283880342482</v>
      </c>
      <c r="CC51" s="106">
        <v>2361.7874824656833</v>
      </c>
      <c r="CD51" s="106">
        <v>4.8086080551470785</v>
      </c>
      <c r="CE51" s="106">
        <v>3381.4131843794253</v>
      </c>
      <c r="CF51" s="106">
        <v>4.2153382301614002</v>
      </c>
      <c r="CG51" s="106">
        <v>2964.2258434494966</v>
      </c>
      <c r="CH51" s="106">
        <v>6.4175719671354541</v>
      </c>
      <c r="CI51" s="106">
        <v>4512.8366072896506</v>
      </c>
      <c r="CJ51" s="106">
        <v>5.1553370175933111</v>
      </c>
      <c r="CK51" s="106">
        <v>3625.2329907716162</v>
      </c>
      <c r="CL51" s="106">
        <v>2.4342701308539003</v>
      </c>
      <c r="CM51" s="106">
        <v>1711.7787560164625</v>
      </c>
      <c r="CN51" s="106">
        <v>15.068708434437307</v>
      </c>
      <c r="CO51" s="106">
        <v>10596.315771096313</v>
      </c>
      <c r="CP51" s="106">
        <v>7.3099745894977373</v>
      </c>
      <c r="CQ51" s="106">
        <v>5140.3741313348082</v>
      </c>
      <c r="CR51" s="106">
        <v>7.2450838813196992</v>
      </c>
      <c r="CS51" s="106">
        <v>5094.7429853440117</v>
      </c>
      <c r="CT51" s="106">
        <v>2.9431767784191751</v>
      </c>
      <c r="CU51" s="106">
        <v>2069.6419105843638</v>
      </c>
    </row>
    <row r="52" spans="2:99" x14ac:dyDescent="0.2">
      <c r="C52" s="105" t="s">
        <v>218</v>
      </c>
      <c r="D52" s="106">
        <v>0</v>
      </c>
      <c r="E52" s="106">
        <v>0</v>
      </c>
      <c r="F52" s="106">
        <v>4.8389621723900769</v>
      </c>
      <c r="G52" s="106">
        <v>2990.4786225370676</v>
      </c>
      <c r="H52" s="106">
        <v>0</v>
      </c>
      <c r="I52" s="106">
        <v>0</v>
      </c>
      <c r="J52" s="106">
        <v>2.5607291144071009</v>
      </c>
      <c r="K52" s="106">
        <v>1582.5305927035884</v>
      </c>
      <c r="L52" s="106">
        <v>4.788948126781488</v>
      </c>
      <c r="M52" s="106">
        <v>2959.5699423509595</v>
      </c>
      <c r="N52" s="106">
        <v>2.8416571217240958</v>
      </c>
      <c r="O52" s="106">
        <v>1756.1441012254911</v>
      </c>
      <c r="P52" s="106">
        <v>4.7168164707164468</v>
      </c>
      <c r="Q52" s="106">
        <v>2914.9925789027643</v>
      </c>
      <c r="R52" s="106">
        <v>1.4359067933088467</v>
      </c>
      <c r="S52" s="106">
        <v>887.39039826486726</v>
      </c>
      <c r="T52" s="106">
        <v>1.6675310499651492</v>
      </c>
      <c r="U52" s="106">
        <v>1030.5341888784621</v>
      </c>
      <c r="V52" s="106">
        <v>6.1473933899112101</v>
      </c>
      <c r="W52" s="106">
        <v>3799.0891149651279</v>
      </c>
      <c r="X52" s="106">
        <v>0</v>
      </c>
      <c r="Y52" s="106">
        <v>0</v>
      </c>
      <c r="Z52" s="106">
        <v>2.0099424768260481</v>
      </c>
      <c r="AA52" s="106">
        <v>1242.1444506784978</v>
      </c>
      <c r="AB52" s="106">
        <v>0</v>
      </c>
      <c r="AC52" s="106">
        <v>0</v>
      </c>
      <c r="AD52" s="106">
        <v>1.7006406487945878</v>
      </c>
      <c r="AE52" s="106">
        <v>1050.9959209550552</v>
      </c>
      <c r="AF52" s="106">
        <v>1.8712355488085326</v>
      </c>
      <c r="AG52" s="106">
        <v>1156.4235691636732</v>
      </c>
      <c r="AH52" s="106">
        <v>0.58131678730248426</v>
      </c>
      <c r="AI52" s="106">
        <v>359.25377455293528</v>
      </c>
      <c r="AJ52" s="106">
        <v>0.64251762677088398</v>
      </c>
      <c r="AK52" s="106">
        <v>397.07589334440632</v>
      </c>
      <c r="AL52" s="106">
        <v>1.0652548218054281</v>
      </c>
      <c r="AM52" s="106">
        <v>658.32747987575453</v>
      </c>
      <c r="AN52" s="106">
        <v>1.1397758796319695</v>
      </c>
      <c r="AO52" s="106">
        <v>704.38149361255716</v>
      </c>
      <c r="AP52" s="106">
        <v>0.27679403419631127</v>
      </c>
      <c r="AQ52" s="106">
        <v>171.05871313332037</v>
      </c>
      <c r="AR52" s="106">
        <v>0.44221917463363597</v>
      </c>
      <c r="AS52" s="106">
        <v>273.29144992358704</v>
      </c>
      <c r="AT52" s="106">
        <v>0.32403991244706087</v>
      </c>
      <c r="AU52" s="106">
        <v>200.25666589228362</v>
      </c>
      <c r="AV52" s="106">
        <v>0</v>
      </c>
      <c r="AW52" s="106">
        <v>0</v>
      </c>
      <c r="AX52" s="106">
        <v>1.6202475726195724</v>
      </c>
      <c r="AY52" s="106">
        <v>1001.3129998788958</v>
      </c>
      <c r="AZ52" s="106">
        <v>0.97994219578834241</v>
      </c>
      <c r="BA52" s="106">
        <v>605.6042769971956</v>
      </c>
      <c r="BB52" s="106">
        <v>0.91897921085755097</v>
      </c>
      <c r="BC52" s="106">
        <v>567.92915230996653</v>
      </c>
      <c r="BD52" s="106">
        <v>0</v>
      </c>
      <c r="BE52" s="106">
        <v>0</v>
      </c>
      <c r="BF52" s="106">
        <v>2.6436402386751992</v>
      </c>
      <c r="BG52" s="106">
        <v>1633.769667501273</v>
      </c>
      <c r="BH52" s="106">
        <v>8.5222517032695672E-17</v>
      </c>
      <c r="BI52" s="106">
        <v>5.2667515526205928E-14</v>
      </c>
      <c r="BJ52" s="106">
        <v>0.79497957096554372</v>
      </c>
      <c r="BK52" s="106">
        <v>491.29737485670603</v>
      </c>
      <c r="BL52" s="106">
        <v>1.3816108750890837E-16</v>
      </c>
      <c r="BM52" s="106">
        <v>8.5383552080505378E-14</v>
      </c>
      <c r="BN52" s="106">
        <v>1.6871034567781358</v>
      </c>
      <c r="BO52" s="106">
        <v>1042.6299362888878</v>
      </c>
      <c r="BP52" s="106">
        <v>0.79592088058809296</v>
      </c>
      <c r="BQ52" s="106">
        <v>491.87910420344144</v>
      </c>
      <c r="BR52" s="106">
        <v>1.6205711336615021</v>
      </c>
      <c r="BS52" s="106">
        <v>1001.5129606028083</v>
      </c>
      <c r="BT52" s="106">
        <v>0</v>
      </c>
      <c r="BU52" s="106">
        <v>0</v>
      </c>
      <c r="BV52" s="106">
        <v>1.9651692072051286</v>
      </c>
      <c r="BW52" s="106">
        <v>1214.4745700527694</v>
      </c>
      <c r="BX52" s="106">
        <v>1.0615157464504181</v>
      </c>
      <c r="BY52" s="106">
        <v>656.01673130635845</v>
      </c>
      <c r="BZ52" s="106">
        <v>1.2467236634401517</v>
      </c>
      <c r="CA52" s="106">
        <v>770.47522400601372</v>
      </c>
      <c r="CB52" s="106">
        <v>0.61651494740542645</v>
      </c>
      <c r="CC52" s="106">
        <v>381.00623749655352</v>
      </c>
      <c r="CD52" s="106">
        <v>0.89595903706767832</v>
      </c>
      <c r="CE52" s="106">
        <v>553.70268490782519</v>
      </c>
      <c r="CF52" s="106">
        <v>0</v>
      </c>
      <c r="CG52" s="106">
        <v>0</v>
      </c>
      <c r="CH52" s="106">
        <v>2.8552075223811588</v>
      </c>
      <c r="CI52" s="106">
        <v>1764.5182488315561</v>
      </c>
      <c r="CJ52" s="106">
        <v>0</v>
      </c>
      <c r="CK52" s="106">
        <v>0</v>
      </c>
      <c r="CL52" s="106">
        <v>2.6416962111260149</v>
      </c>
      <c r="CM52" s="106">
        <v>1632.5682584758772</v>
      </c>
      <c r="CN52" s="106">
        <v>2.1054906951645833</v>
      </c>
      <c r="CO52" s="106">
        <v>1301.1932496117124</v>
      </c>
      <c r="CP52" s="106">
        <v>3.0182724264613596</v>
      </c>
      <c r="CQ52" s="106">
        <v>1865.2923595531201</v>
      </c>
      <c r="CR52" s="106">
        <v>3.5512101723900202</v>
      </c>
      <c r="CS52" s="106">
        <v>2194.6478865370327</v>
      </c>
      <c r="CT52" s="106">
        <v>1.0943164307980529</v>
      </c>
      <c r="CU52" s="106">
        <v>676.28755423319672</v>
      </c>
    </row>
    <row r="53" spans="2:99" x14ac:dyDescent="0.2">
      <c r="C53" s="105" t="s">
        <v>219</v>
      </c>
      <c r="D53" s="106">
        <v>0</v>
      </c>
      <c r="E53" s="106">
        <v>0</v>
      </c>
      <c r="F53" s="106">
        <v>4.8389621723900769</v>
      </c>
      <c r="G53" s="106">
        <v>2398.1896526365217</v>
      </c>
      <c r="H53" s="106">
        <v>0</v>
      </c>
      <c r="I53" s="106">
        <v>0</v>
      </c>
      <c r="J53" s="106">
        <v>2.5607291144071009</v>
      </c>
      <c r="K53" s="106">
        <v>1269.0973491001591</v>
      </c>
      <c r="L53" s="106">
        <v>5.1082113352335874</v>
      </c>
      <c r="M53" s="106">
        <v>2531.6295377417659</v>
      </c>
      <c r="N53" s="106">
        <v>2.5833246561128145</v>
      </c>
      <c r="O53" s="106">
        <v>1280.2956995695108</v>
      </c>
      <c r="P53" s="106">
        <v>4.7168164707164468</v>
      </c>
      <c r="Q53" s="106">
        <v>2337.6542428870707</v>
      </c>
      <c r="R53" s="106">
        <v>1.3162478938664428</v>
      </c>
      <c r="S53" s="106">
        <v>652.33245620020898</v>
      </c>
      <c r="T53" s="106">
        <v>2.0010372599581792</v>
      </c>
      <c r="U53" s="106">
        <v>991.7140660352735</v>
      </c>
      <c r="V53" s="106">
        <v>6.1473933899112101</v>
      </c>
      <c r="W53" s="106">
        <v>3046.6481640399957</v>
      </c>
      <c r="X53" s="106">
        <v>0</v>
      </c>
      <c r="Y53" s="106">
        <v>0</v>
      </c>
      <c r="Z53" s="106">
        <v>2.2611852864293036</v>
      </c>
      <c r="AA53" s="106">
        <v>1120.6434279543628</v>
      </c>
      <c r="AB53" s="106">
        <v>0</v>
      </c>
      <c r="AC53" s="106">
        <v>0</v>
      </c>
      <c r="AD53" s="106">
        <v>1.7006406487945878</v>
      </c>
      <c r="AE53" s="106">
        <v>842.83750554259768</v>
      </c>
      <c r="AF53" s="106">
        <v>1.8712355488085326</v>
      </c>
      <c r="AG53" s="106">
        <v>927.38433798950871</v>
      </c>
      <c r="AH53" s="106">
        <v>0.63944846603273275</v>
      </c>
      <c r="AI53" s="106">
        <v>316.91065976582234</v>
      </c>
      <c r="AJ53" s="106">
        <v>0.64251762677088398</v>
      </c>
      <c r="AK53" s="106">
        <v>318.43173582765007</v>
      </c>
      <c r="AL53" s="106">
        <v>1.0652548218054281</v>
      </c>
      <c r="AM53" s="106">
        <v>527.94028968677014</v>
      </c>
      <c r="AN53" s="106">
        <v>1.3677310555583633</v>
      </c>
      <c r="AO53" s="106">
        <v>677.84751113472475</v>
      </c>
      <c r="AP53" s="106">
        <v>0.27679403419631127</v>
      </c>
      <c r="AQ53" s="106">
        <v>137.17912334769184</v>
      </c>
      <c r="AR53" s="106">
        <v>0.44221917463363597</v>
      </c>
      <c r="AS53" s="106">
        <v>219.16382294842998</v>
      </c>
      <c r="AT53" s="106">
        <v>0.40504989055882612</v>
      </c>
      <c r="AU53" s="106">
        <v>200.74272576095422</v>
      </c>
      <c r="AV53" s="106">
        <v>0</v>
      </c>
      <c r="AW53" s="106">
        <v>0</v>
      </c>
      <c r="AX53" s="106">
        <v>1.944297087143487</v>
      </c>
      <c r="AY53" s="106">
        <v>963.59363638831212</v>
      </c>
      <c r="AZ53" s="106">
        <v>0.97994219578834241</v>
      </c>
      <c r="BA53" s="106">
        <v>485.65935223270247</v>
      </c>
      <c r="BB53" s="106">
        <v>0.91897921085755097</v>
      </c>
      <c r="BC53" s="106">
        <v>455.44609690100225</v>
      </c>
      <c r="BD53" s="106">
        <v>0</v>
      </c>
      <c r="BE53" s="106">
        <v>0</v>
      </c>
      <c r="BF53" s="106">
        <v>2.6436402386751992</v>
      </c>
      <c r="BG53" s="106">
        <v>1310.1881022874286</v>
      </c>
      <c r="BH53" s="106">
        <v>8.5222517032695672E-17</v>
      </c>
      <c r="BI53" s="106">
        <v>4.223627944140397E-14</v>
      </c>
      <c r="BJ53" s="106">
        <v>0.79497957096554372</v>
      </c>
      <c r="BK53" s="106">
        <v>393.99187537052342</v>
      </c>
      <c r="BL53" s="106">
        <v>1.3816108750890837E-16</v>
      </c>
      <c r="BM53" s="106">
        <v>6.8472634969414988E-14</v>
      </c>
      <c r="BN53" s="106">
        <v>1.4059195473151131</v>
      </c>
      <c r="BO53" s="106">
        <v>696.77372764937002</v>
      </c>
      <c r="BP53" s="106">
        <v>0.79592088058809296</v>
      </c>
      <c r="BQ53" s="106">
        <v>394.45838841945886</v>
      </c>
      <c r="BR53" s="106">
        <v>1.4179997419538144</v>
      </c>
      <c r="BS53" s="106">
        <v>702.76067211231032</v>
      </c>
      <c r="BT53" s="106">
        <v>0</v>
      </c>
      <c r="BU53" s="106">
        <v>0</v>
      </c>
      <c r="BV53" s="106">
        <v>1.9651692072051286</v>
      </c>
      <c r="BW53" s="106">
        <v>973.93785909086159</v>
      </c>
      <c r="BX53" s="106">
        <v>0.909870639814644</v>
      </c>
      <c r="BY53" s="106">
        <v>450.93188909213751</v>
      </c>
      <c r="BZ53" s="106">
        <v>1.4248270439316022</v>
      </c>
      <c r="CA53" s="106">
        <v>706.14428297250197</v>
      </c>
      <c r="CB53" s="106">
        <v>0.77064368425678298</v>
      </c>
      <c r="CC53" s="106">
        <v>381.93100991766164</v>
      </c>
      <c r="CD53" s="106">
        <v>1.0452855432456245</v>
      </c>
      <c r="CE53" s="106">
        <v>518.04351523253149</v>
      </c>
      <c r="CF53" s="106">
        <v>0</v>
      </c>
      <c r="CG53" s="106">
        <v>0</v>
      </c>
      <c r="CH53" s="106">
        <v>3.3310754427780189</v>
      </c>
      <c r="CI53" s="106">
        <v>1650.8809894407862</v>
      </c>
      <c r="CJ53" s="106">
        <v>0</v>
      </c>
      <c r="CK53" s="106">
        <v>0</v>
      </c>
      <c r="CL53" s="106">
        <v>2.3114841847352632</v>
      </c>
      <c r="CM53" s="106">
        <v>1145.5715619547964</v>
      </c>
      <c r="CN53" s="106">
        <v>2.3862227878531943</v>
      </c>
      <c r="CO53" s="106">
        <v>1182.612013660043</v>
      </c>
      <c r="CP53" s="106">
        <v>2.766749724256246</v>
      </c>
      <c r="CQ53" s="106">
        <v>1371.2011633413954</v>
      </c>
      <c r="CR53" s="106">
        <v>3.5512101723900202</v>
      </c>
      <c r="CS53" s="106">
        <v>1759.9797614364938</v>
      </c>
      <c r="CT53" s="106">
        <v>1.0943164307980529</v>
      </c>
      <c r="CU53" s="106">
        <v>542.3432231035149</v>
      </c>
    </row>
    <row r="54" spans="2:99" x14ac:dyDescent="0.2">
      <c r="C54" s="105" t="s">
        <v>220</v>
      </c>
      <c r="D54" s="106">
        <v>0</v>
      </c>
      <c r="E54" s="106">
        <v>0</v>
      </c>
      <c r="F54" s="106">
        <v>5.5302424827315164</v>
      </c>
      <c r="G54" s="106">
        <v>2256.3389329544589</v>
      </c>
      <c r="H54" s="106">
        <v>0</v>
      </c>
      <c r="I54" s="106">
        <v>0</v>
      </c>
      <c r="J54" s="106">
        <v>2.5607291144071009</v>
      </c>
      <c r="K54" s="106">
        <v>1044.7774786780972</v>
      </c>
      <c r="L54" s="106">
        <v>4.4696849183293894</v>
      </c>
      <c r="M54" s="106">
        <v>1823.6314466783908</v>
      </c>
      <c r="N54" s="106">
        <v>2.8416571217240958</v>
      </c>
      <c r="O54" s="106">
        <v>1159.3961056634312</v>
      </c>
      <c r="P54" s="106">
        <v>5.0796485069254036</v>
      </c>
      <c r="Q54" s="106">
        <v>2072.4965908255645</v>
      </c>
      <c r="R54" s="106">
        <v>1.4359067933088467</v>
      </c>
      <c r="S54" s="106">
        <v>585.8499716700095</v>
      </c>
      <c r="T54" s="106">
        <v>2.0010372599581792</v>
      </c>
      <c r="U54" s="106">
        <v>816.42320206293709</v>
      </c>
      <c r="V54" s="106">
        <v>5.6745169753026552</v>
      </c>
      <c r="W54" s="106">
        <v>2315.2029259234832</v>
      </c>
      <c r="X54" s="106">
        <v>0</v>
      </c>
      <c r="Y54" s="106">
        <v>0</v>
      </c>
      <c r="Z54" s="106">
        <v>2.2611852864293036</v>
      </c>
      <c r="AA54" s="106">
        <v>922.56359686315591</v>
      </c>
      <c r="AB54" s="106">
        <v>0</v>
      </c>
      <c r="AC54" s="106">
        <v>0</v>
      </c>
      <c r="AD54" s="106">
        <v>1.7006406487945878</v>
      </c>
      <c r="AE54" s="106">
        <v>693.86138470819185</v>
      </c>
      <c r="AF54" s="106">
        <v>1.8712355488085326</v>
      </c>
      <c r="AG54" s="106">
        <v>763.46410391388133</v>
      </c>
      <c r="AH54" s="106">
        <v>0.63944846603273275</v>
      </c>
      <c r="AI54" s="106">
        <v>260.89497414135496</v>
      </c>
      <c r="AJ54" s="106">
        <v>0.74960389789936466</v>
      </c>
      <c r="AK54" s="106">
        <v>305.83839034294078</v>
      </c>
      <c r="AL54" s="106">
        <v>1.0652548218054281</v>
      </c>
      <c r="AM54" s="106">
        <v>434.62396729661464</v>
      </c>
      <c r="AN54" s="106">
        <v>1.1397758796319695</v>
      </c>
      <c r="AO54" s="106">
        <v>465.02855888984357</v>
      </c>
      <c r="AP54" s="106">
        <v>0.27679403419631127</v>
      </c>
      <c r="AQ54" s="106">
        <v>112.931965952095</v>
      </c>
      <c r="AR54" s="106">
        <v>0.53066300956036327</v>
      </c>
      <c r="AS54" s="106">
        <v>216.51050790062823</v>
      </c>
      <c r="AT54" s="106">
        <v>0.40504989055882612</v>
      </c>
      <c r="AU54" s="106">
        <v>165.26035534800107</v>
      </c>
      <c r="AV54" s="106">
        <v>0</v>
      </c>
      <c r="AW54" s="106">
        <v>0</v>
      </c>
      <c r="AX54" s="106">
        <v>1.6202475726195724</v>
      </c>
      <c r="AY54" s="106">
        <v>661.06100962878554</v>
      </c>
      <c r="AZ54" s="106">
        <v>0.7839537566306739</v>
      </c>
      <c r="BA54" s="106">
        <v>319.85313270531498</v>
      </c>
      <c r="BB54" s="106">
        <v>0.91897921085755097</v>
      </c>
      <c r="BC54" s="106">
        <v>374.94351802988081</v>
      </c>
      <c r="BD54" s="106">
        <v>0</v>
      </c>
      <c r="BE54" s="106">
        <v>0</v>
      </c>
      <c r="BF54" s="106">
        <v>2.2659773474358853</v>
      </c>
      <c r="BG54" s="106">
        <v>924.51875775384121</v>
      </c>
      <c r="BH54" s="106">
        <v>1.0652814629086959E-16</v>
      </c>
      <c r="BI54" s="106">
        <v>4.3463483686674794E-14</v>
      </c>
      <c r="BJ54" s="106">
        <v>0.99372446370692968</v>
      </c>
      <c r="BK54" s="106">
        <v>405.43958119242728</v>
      </c>
      <c r="BL54" s="106">
        <v>1.3816108750890837E-16</v>
      </c>
      <c r="BM54" s="106">
        <v>5.6369723703634616E-14</v>
      </c>
      <c r="BN54" s="106">
        <v>1.6871034567781358</v>
      </c>
      <c r="BO54" s="106">
        <v>688.33821036547943</v>
      </c>
      <c r="BP54" s="106">
        <v>0.79592088058809296</v>
      </c>
      <c r="BQ54" s="106">
        <v>324.73571927994192</v>
      </c>
      <c r="BR54" s="106">
        <v>1.4179997419538144</v>
      </c>
      <c r="BS54" s="106">
        <v>578.54389471715626</v>
      </c>
      <c r="BT54" s="106">
        <v>0</v>
      </c>
      <c r="BU54" s="106">
        <v>0</v>
      </c>
      <c r="BV54" s="106">
        <v>1.9651692072051286</v>
      </c>
      <c r="BW54" s="106">
        <v>801.78903653969246</v>
      </c>
      <c r="BX54" s="106">
        <v>0.909870639814644</v>
      </c>
      <c r="BY54" s="106">
        <v>371.22722104437474</v>
      </c>
      <c r="BZ54" s="106">
        <v>1.4248270439316022</v>
      </c>
      <c r="CA54" s="106">
        <v>581.32943392409368</v>
      </c>
      <c r="CB54" s="106">
        <v>0.61651494740542645</v>
      </c>
      <c r="CC54" s="106">
        <v>251.538098541414</v>
      </c>
      <c r="CD54" s="106">
        <v>1.0452855432456245</v>
      </c>
      <c r="CE54" s="106">
        <v>426.47650164421481</v>
      </c>
      <c r="CF54" s="106">
        <v>0</v>
      </c>
      <c r="CG54" s="106">
        <v>0</v>
      </c>
      <c r="CH54" s="106">
        <v>3.3310754427780189</v>
      </c>
      <c r="CI54" s="106">
        <v>1359.0787806534317</v>
      </c>
      <c r="CJ54" s="106">
        <v>0</v>
      </c>
      <c r="CK54" s="106">
        <v>0</v>
      </c>
      <c r="CL54" s="106">
        <v>2.6416962111260149</v>
      </c>
      <c r="CM54" s="106">
        <v>1077.8120541394142</v>
      </c>
      <c r="CN54" s="106">
        <v>2.3862227878531943</v>
      </c>
      <c r="CO54" s="106">
        <v>973.57889744410329</v>
      </c>
      <c r="CP54" s="106">
        <v>3.2697951286664728</v>
      </c>
      <c r="CQ54" s="106">
        <v>1334.076412495921</v>
      </c>
      <c r="CR54" s="106">
        <v>3.3539207183683524</v>
      </c>
      <c r="CS54" s="106">
        <v>1368.3996530942877</v>
      </c>
      <c r="CT54" s="106">
        <v>1.2037480738778581</v>
      </c>
      <c r="CU54" s="106">
        <v>491.12921414216612</v>
      </c>
    </row>
    <row r="55" spans="2:99" x14ac:dyDescent="0.2">
      <c r="C55" s="105" t="s">
        <v>221</v>
      </c>
      <c r="D55" s="106">
        <v>0</v>
      </c>
      <c r="E55" s="106">
        <v>0</v>
      </c>
      <c r="F55" s="106">
        <v>4.8389621723900769</v>
      </c>
      <c r="G55" s="106">
        <v>3896.3323412084897</v>
      </c>
      <c r="H55" s="106">
        <v>0</v>
      </c>
      <c r="I55" s="106">
        <v>0</v>
      </c>
      <c r="J55" s="106">
        <v>2.5607291144071009</v>
      </c>
      <c r="K55" s="106">
        <v>2061.8990829205977</v>
      </c>
      <c r="L55" s="106">
        <v>4.4696849183293894</v>
      </c>
      <c r="M55" s="106">
        <v>3598.9902962388242</v>
      </c>
      <c r="N55" s="106">
        <v>2.8416571217240958</v>
      </c>
      <c r="O55" s="106">
        <v>2288.1023144122419</v>
      </c>
      <c r="P55" s="106">
        <v>5.0796485069254036</v>
      </c>
      <c r="Q55" s="106">
        <v>4090.1329777763344</v>
      </c>
      <c r="R55" s="106">
        <v>1.3162478938664428</v>
      </c>
      <c r="S55" s="106">
        <v>1059.8428041412596</v>
      </c>
      <c r="T55" s="106">
        <v>1.5007779449686343</v>
      </c>
      <c r="U55" s="106">
        <v>1208.4264012887443</v>
      </c>
      <c r="V55" s="106">
        <v>6.6202698045197641</v>
      </c>
      <c r="W55" s="106">
        <v>5330.6412465993135</v>
      </c>
      <c r="X55" s="106">
        <v>0</v>
      </c>
      <c r="Y55" s="106">
        <v>0</v>
      </c>
      <c r="Z55" s="106">
        <v>2.2611852864293036</v>
      </c>
      <c r="AA55" s="106">
        <v>1820.7063926328751</v>
      </c>
      <c r="AB55" s="106">
        <v>0</v>
      </c>
      <c r="AC55" s="106">
        <v>0</v>
      </c>
      <c r="AD55" s="106">
        <v>1.7006406487945878</v>
      </c>
      <c r="AE55" s="106">
        <v>1369.3558504094019</v>
      </c>
      <c r="AF55" s="106">
        <v>1.8712355488085326</v>
      </c>
      <c r="AG55" s="106">
        <v>1506.7188639006304</v>
      </c>
      <c r="AH55" s="106">
        <v>0.58131678730248426</v>
      </c>
      <c r="AI55" s="106">
        <v>468.07627713596031</v>
      </c>
      <c r="AJ55" s="106">
        <v>0.64251762677088398</v>
      </c>
      <c r="AK55" s="106">
        <v>517.35519307591574</v>
      </c>
      <c r="AL55" s="106">
        <v>1.0652548218054281</v>
      </c>
      <c r="AM55" s="106">
        <v>857.74318251773059</v>
      </c>
      <c r="AN55" s="106">
        <v>1.1397758796319695</v>
      </c>
      <c r="AO55" s="106">
        <v>917.74753827966174</v>
      </c>
      <c r="AP55" s="106">
        <v>0.27679403419631127</v>
      </c>
      <c r="AQ55" s="106">
        <v>222.87455633486982</v>
      </c>
      <c r="AR55" s="106">
        <v>0.53066300956036327</v>
      </c>
      <c r="AS55" s="106">
        <v>427.28985529800445</v>
      </c>
      <c r="AT55" s="106">
        <v>0.32403991244706087</v>
      </c>
      <c r="AU55" s="106">
        <v>260.9169375023734</v>
      </c>
      <c r="AV55" s="106">
        <v>0</v>
      </c>
      <c r="AW55" s="106">
        <v>0</v>
      </c>
      <c r="AX55" s="106">
        <v>1.6202475726195724</v>
      </c>
      <c r="AY55" s="106">
        <v>1304.6233454732796</v>
      </c>
      <c r="AZ55" s="106">
        <v>0.7839537566306739</v>
      </c>
      <c r="BA55" s="106">
        <v>631.23956483901861</v>
      </c>
      <c r="BB55" s="106">
        <v>0.91897921085755097</v>
      </c>
      <c r="BC55" s="106">
        <v>739.96206058249993</v>
      </c>
      <c r="BD55" s="106">
        <v>0</v>
      </c>
      <c r="BE55" s="106">
        <v>0</v>
      </c>
      <c r="BF55" s="106">
        <v>2.2659773474358853</v>
      </c>
      <c r="BG55" s="106">
        <v>1824.5649601553746</v>
      </c>
      <c r="BH55" s="106">
        <v>8.5222517032695672E-17</v>
      </c>
      <c r="BI55" s="106">
        <v>6.8621170714726553E-14</v>
      </c>
      <c r="BJ55" s="106">
        <v>0.99372446370692968</v>
      </c>
      <c r="BK55" s="106">
        <v>800.14693817681973</v>
      </c>
      <c r="BL55" s="106">
        <v>1.3816108750890837E-16</v>
      </c>
      <c r="BM55" s="106">
        <v>1.1124730766217302E-13</v>
      </c>
      <c r="BN55" s="106">
        <v>1.6871034567781358</v>
      </c>
      <c r="BO55" s="106">
        <v>1358.4557033977549</v>
      </c>
      <c r="BP55" s="106">
        <v>0.79592088058809296</v>
      </c>
      <c r="BQ55" s="106">
        <v>640.87549304953245</v>
      </c>
      <c r="BR55" s="106">
        <v>1.4179997419538144</v>
      </c>
      <c r="BS55" s="106">
        <v>1141.7733922212112</v>
      </c>
      <c r="BT55" s="106">
        <v>0</v>
      </c>
      <c r="BU55" s="106">
        <v>0</v>
      </c>
      <c r="BV55" s="106">
        <v>1.9651692072051286</v>
      </c>
      <c r="BW55" s="106">
        <v>1582.3542456415694</v>
      </c>
      <c r="BX55" s="106">
        <v>0.909870639814644</v>
      </c>
      <c r="BY55" s="106">
        <v>732.62783917875129</v>
      </c>
      <c r="BZ55" s="106">
        <v>1.2467236634401517</v>
      </c>
      <c r="CA55" s="106">
        <v>1003.8618938020101</v>
      </c>
      <c r="CB55" s="106">
        <v>0.61651494740542645</v>
      </c>
      <c r="CC55" s="106">
        <v>496.41783565084933</v>
      </c>
      <c r="CD55" s="106">
        <v>1.0452855432456245</v>
      </c>
      <c r="CE55" s="106">
        <v>841.66391942137682</v>
      </c>
      <c r="CF55" s="106">
        <v>0</v>
      </c>
      <c r="CG55" s="106">
        <v>0</v>
      </c>
      <c r="CH55" s="106">
        <v>3.3310754427780189</v>
      </c>
      <c r="CI55" s="106">
        <v>2682.1819465248605</v>
      </c>
      <c r="CJ55" s="106">
        <v>0</v>
      </c>
      <c r="CK55" s="106">
        <v>0</v>
      </c>
      <c r="CL55" s="106">
        <v>2.3114841847352632</v>
      </c>
      <c r="CM55" s="106">
        <v>1861.2070655488337</v>
      </c>
      <c r="CN55" s="106">
        <v>2.3862227878531943</v>
      </c>
      <c r="CO55" s="106">
        <v>1921.3865887793918</v>
      </c>
      <c r="CP55" s="106">
        <v>3.0182724264613596</v>
      </c>
      <c r="CQ55" s="106">
        <v>2430.3129577866866</v>
      </c>
      <c r="CR55" s="106">
        <v>2.9593418103250171</v>
      </c>
      <c r="CS55" s="106">
        <v>2382.8620256737036</v>
      </c>
      <c r="CT55" s="106">
        <v>1.2037480738778581</v>
      </c>
      <c r="CU55" s="106">
        <v>969.25794908645128</v>
      </c>
    </row>
    <row r="56" spans="2:99" x14ac:dyDescent="0.2">
      <c r="C56" s="105" t="s">
        <v>222</v>
      </c>
      <c r="D56" s="106">
        <v>0</v>
      </c>
      <c r="E56" s="106">
        <v>0</v>
      </c>
      <c r="F56" s="106">
        <v>4.1117120421386204</v>
      </c>
      <c r="G56" s="106">
        <v>3453.838115396441</v>
      </c>
      <c r="H56" s="106">
        <v>0.99908152832995689</v>
      </c>
      <c r="I56" s="106">
        <v>839.22848379716379</v>
      </c>
      <c r="J56" s="106">
        <v>0</v>
      </c>
      <c r="K56" s="106">
        <v>0</v>
      </c>
      <c r="L56" s="106">
        <v>4.9217911079833652</v>
      </c>
      <c r="M56" s="106">
        <v>4134.3045307060265</v>
      </c>
      <c r="N56" s="106">
        <v>0</v>
      </c>
      <c r="O56" s="106">
        <v>0</v>
      </c>
      <c r="P56" s="106">
        <v>3.5966935019878439</v>
      </c>
      <c r="Q56" s="106">
        <v>3021.2225416697888</v>
      </c>
      <c r="R56" s="106">
        <v>2.9906560935145849</v>
      </c>
      <c r="S56" s="106">
        <v>2512.1511185522513</v>
      </c>
      <c r="T56" s="106">
        <v>5.854050225603018</v>
      </c>
      <c r="U56" s="106">
        <v>4917.4021895065353</v>
      </c>
      <c r="V56" s="106">
        <v>3.0484301316847535</v>
      </c>
      <c r="W56" s="106">
        <v>2560.6813106151931</v>
      </c>
      <c r="X56" s="106">
        <v>0</v>
      </c>
      <c r="Y56" s="106">
        <v>0</v>
      </c>
      <c r="Z56" s="106">
        <v>2.0589771996369817</v>
      </c>
      <c r="AA56" s="106">
        <v>1729.5408476950647</v>
      </c>
      <c r="AB56" s="106">
        <v>2.3347872480660294</v>
      </c>
      <c r="AC56" s="106">
        <v>1961.2212883754648</v>
      </c>
      <c r="AD56" s="106">
        <v>0</v>
      </c>
      <c r="AE56" s="106">
        <v>0</v>
      </c>
      <c r="AF56" s="106">
        <v>2.6607823629950458</v>
      </c>
      <c r="AG56" s="106">
        <v>2235.0571849158387</v>
      </c>
      <c r="AH56" s="106">
        <v>0</v>
      </c>
      <c r="AI56" s="106">
        <v>0</v>
      </c>
      <c r="AJ56" s="106">
        <v>2.556345515093883</v>
      </c>
      <c r="AK56" s="106">
        <v>2147.3302326788616</v>
      </c>
      <c r="AL56" s="106">
        <v>0</v>
      </c>
      <c r="AM56" s="106">
        <v>0</v>
      </c>
      <c r="AN56" s="106">
        <v>1.2372056819845396</v>
      </c>
      <c r="AO56" s="106">
        <v>1039.2527728670134</v>
      </c>
      <c r="AP56" s="106">
        <v>0.74370568305682527</v>
      </c>
      <c r="AQ56" s="106">
        <v>624.71277376773321</v>
      </c>
      <c r="AR56" s="106">
        <v>0</v>
      </c>
      <c r="AS56" s="106">
        <v>0</v>
      </c>
      <c r="AT56" s="106">
        <v>0.54768259573456268</v>
      </c>
      <c r="AU56" s="106">
        <v>460.05338041703266</v>
      </c>
      <c r="AV56" s="106">
        <v>0</v>
      </c>
      <c r="AW56" s="106">
        <v>0</v>
      </c>
      <c r="AX56" s="106">
        <v>0</v>
      </c>
      <c r="AY56" s="106">
        <v>0</v>
      </c>
      <c r="AZ56" s="106">
        <v>1.6025187613127387</v>
      </c>
      <c r="BA56" s="106">
        <v>1346.1157595027005</v>
      </c>
      <c r="BB56" s="106">
        <v>0.71761932609035739</v>
      </c>
      <c r="BC56" s="106">
        <v>602.80023391590021</v>
      </c>
      <c r="BD56" s="106">
        <v>0.82366881601278241</v>
      </c>
      <c r="BE56" s="106">
        <v>691.88180545073726</v>
      </c>
      <c r="BF56" s="106">
        <v>0.85227527788628021</v>
      </c>
      <c r="BG56" s="106">
        <v>715.91123342447543</v>
      </c>
      <c r="BH56" s="106">
        <v>0</v>
      </c>
      <c r="BI56" s="106">
        <v>0</v>
      </c>
      <c r="BJ56" s="106">
        <v>1.5013710064030465</v>
      </c>
      <c r="BK56" s="106">
        <v>1261.1516453785591</v>
      </c>
      <c r="BL56" s="106">
        <v>1.5234232739456801</v>
      </c>
      <c r="BM56" s="106">
        <v>1279.6755501143714</v>
      </c>
      <c r="BN56" s="106">
        <v>1.186307199319045</v>
      </c>
      <c r="BO56" s="106">
        <v>996.49804742799779</v>
      </c>
      <c r="BP56" s="106">
        <v>1.0151286437126057</v>
      </c>
      <c r="BQ56" s="106">
        <v>852.70806071858874</v>
      </c>
      <c r="BR56" s="106">
        <v>0</v>
      </c>
      <c r="BS56" s="106">
        <v>0</v>
      </c>
      <c r="BT56" s="106">
        <v>2.7531975575748251</v>
      </c>
      <c r="BU56" s="106">
        <v>2312.6859483628532</v>
      </c>
      <c r="BV56" s="106">
        <v>0</v>
      </c>
      <c r="BW56" s="106">
        <v>0</v>
      </c>
      <c r="BX56" s="106">
        <v>2.1656794774293213</v>
      </c>
      <c r="BY56" s="106">
        <v>1819.1707610406299</v>
      </c>
      <c r="BZ56" s="106">
        <v>1.3020649618900215</v>
      </c>
      <c r="CA56" s="106">
        <v>1093.734567987618</v>
      </c>
      <c r="CB56" s="106">
        <v>0</v>
      </c>
      <c r="CC56" s="106">
        <v>0</v>
      </c>
      <c r="CD56" s="106">
        <v>2.5494156839933639</v>
      </c>
      <c r="CE56" s="106">
        <v>2141.5091745544255</v>
      </c>
      <c r="CF56" s="106">
        <v>0</v>
      </c>
      <c r="CG56" s="106">
        <v>0</v>
      </c>
      <c r="CH56" s="106">
        <v>2.7679370283356528</v>
      </c>
      <c r="CI56" s="106">
        <v>2325.0671038019482</v>
      </c>
      <c r="CJ56" s="106">
        <v>0</v>
      </c>
      <c r="CK56" s="106">
        <v>0</v>
      </c>
      <c r="CL56" s="106">
        <v>1.6494412811464987</v>
      </c>
      <c r="CM56" s="106">
        <v>1385.5306761630588</v>
      </c>
      <c r="CN56" s="106">
        <v>3.2727995299857109</v>
      </c>
      <c r="CO56" s="106">
        <v>2749.1516051879971</v>
      </c>
      <c r="CP56" s="106">
        <v>1.7935570053283039</v>
      </c>
      <c r="CQ56" s="106">
        <v>1506.5878844757754</v>
      </c>
      <c r="CR56" s="106">
        <v>4.2714163205958391</v>
      </c>
      <c r="CS56" s="106">
        <v>3587.9897093005047</v>
      </c>
      <c r="CT56" s="106">
        <v>1.4570301680745135</v>
      </c>
      <c r="CU56" s="106">
        <v>1223.9053411825912</v>
      </c>
    </row>
    <row r="57" spans="2:99" x14ac:dyDescent="0.2">
      <c r="C57" s="105" t="s">
        <v>223</v>
      </c>
      <c r="D57" s="106">
        <v>3.3800190170852447</v>
      </c>
      <c r="E57" s="106">
        <v>4266.9360071684123</v>
      </c>
      <c r="F57" s="106">
        <v>7</v>
      </c>
      <c r="G57" s="106">
        <v>8836.7999999999993</v>
      </c>
      <c r="H57" s="106">
        <v>6</v>
      </c>
      <c r="I57" s="106">
        <v>7574.4</v>
      </c>
      <c r="J57" s="106">
        <v>6.4757419127779894</v>
      </c>
      <c r="K57" s="106">
        <v>8174.9765906909333</v>
      </c>
      <c r="L57" s="106">
        <v>1.2205642086676568E-15</v>
      </c>
      <c r="M57" s="106">
        <v>1.5408402570220498E-12</v>
      </c>
      <c r="N57" s="106">
        <v>10</v>
      </c>
      <c r="O57" s="106">
        <v>12623.999999999998</v>
      </c>
      <c r="P57" s="106">
        <v>13</v>
      </c>
      <c r="Q57" s="106">
        <v>16411.199999999997</v>
      </c>
      <c r="R57" s="106">
        <v>12</v>
      </c>
      <c r="S57" s="106">
        <v>15148.8</v>
      </c>
      <c r="T57" s="106">
        <v>11</v>
      </c>
      <c r="U57" s="106">
        <v>13886.399999999998</v>
      </c>
      <c r="V57" s="106">
        <v>11</v>
      </c>
      <c r="W57" s="106">
        <v>13886.399999999998</v>
      </c>
      <c r="X57" s="106">
        <v>4.1947360657342152</v>
      </c>
      <c r="Y57" s="106">
        <v>5295.434809382873</v>
      </c>
      <c r="Z57" s="106">
        <v>5.1981299034486659</v>
      </c>
      <c r="AA57" s="106">
        <v>6562.1191901135953</v>
      </c>
      <c r="AB57" s="106">
        <v>6.8682470861209142</v>
      </c>
      <c r="AC57" s="106">
        <v>8670.4751215190408</v>
      </c>
      <c r="AD57" s="106">
        <v>5.6423019073079335</v>
      </c>
      <c r="AE57" s="106">
        <v>7122.8419277855346</v>
      </c>
      <c r="AF57" s="106">
        <v>0</v>
      </c>
      <c r="AG57" s="106">
        <v>0</v>
      </c>
      <c r="AH57" s="106">
        <v>9</v>
      </c>
      <c r="AI57" s="106">
        <v>11361.599999999999</v>
      </c>
      <c r="AJ57" s="106">
        <v>6</v>
      </c>
      <c r="AK57" s="106">
        <v>7574.4</v>
      </c>
      <c r="AL57" s="106">
        <v>5</v>
      </c>
      <c r="AM57" s="106">
        <v>6311.9999999999991</v>
      </c>
      <c r="AN57" s="106">
        <v>2.2233870781099636</v>
      </c>
      <c r="AO57" s="106">
        <v>2806.8038474060177</v>
      </c>
      <c r="AP57" s="106">
        <v>3.3853729077151762</v>
      </c>
      <c r="AQ57" s="106">
        <v>4273.6947586996375</v>
      </c>
      <c r="AR57" s="106">
        <v>1.9407525720953382</v>
      </c>
      <c r="AS57" s="106">
        <v>2450.0060470131548</v>
      </c>
      <c r="AT57" s="106">
        <v>1.7401143834825834</v>
      </c>
      <c r="AU57" s="106">
        <v>2196.7203977084132</v>
      </c>
      <c r="AV57" s="106">
        <v>0</v>
      </c>
      <c r="AW57" s="106">
        <v>0</v>
      </c>
      <c r="AX57" s="106">
        <v>5</v>
      </c>
      <c r="AY57" s="106">
        <v>6311.9999999999991</v>
      </c>
      <c r="AZ57" s="106">
        <v>1.32370033998721</v>
      </c>
      <c r="BA57" s="106">
        <v>1671.0393091998537</v>
      </c>
      <c r="BB57" s="106">
        <v>4</v>
      </c>
      <c r="BC57" s="106">
        <v>5049.5999999999995</v>
      </c>
      <c r="BD57" s="106">
        <v>6</v>
      </c>
      <c r="BE57" s="106">
        <v>7574.4</v>
      </c>
      <c r="BF57" s="106">
        <v>6</v>
      </c>
      <c r="BG57" s="106">
        <v>7574.4</v>
      </c>
      <c r="BH57" s="106">
        <v>4</v>
      </c>
      <c r="BI57" s="106">
        <v>5049.5999999999995</v>
      </c>
      <c r="BJ57" s="106">
        <v>4.4108639967893595</v>
      </c>
      <c r="BK57" s="106">
        <v>5568.2747095468867</v>
      </c>
      <c r="BL57" s="106">
        <v>5.6267099378939109</v>
      </c>
      <c r="BM57" s="106">
        <v>7103.1586255972725</v>
      </c>
      <c r="BN57" s="106">
        <v>1.8010484763460626</v>
      </c>
      <c r="BO57" s="106">
        <v>2273.6435965392693</v>
      </c>
      <c r="BP57" s="106">
        <v>0</v>
      </c>
      <c r="BQ57" s="106">
        <v>0</v>
      </c>
      <c r="BR57" s="106">
        <v>7</v>
      </c>
      <c r="BS57" s="106">
        <v>8836.7999999999993</v>
      </c>
      <c r="BT57" s="106">
        <v>6</v>
      </c>
      <c r="BU57" s="106">
        <v>7574.4</v>
      </c>
      <c r="BV57" s="106">
        <v>5</v>
      </c>
      <c r="BW57" s="106">
        <v>6311.9999999999991</v>
      </c>
      <c r="BX57" s="106">
        <v>6</v>
      </c>
      <c r="BY57" s="106">
        <v>7574.4</v>
      </c>
      <c r="BZ57" s="106">
        <v>3.6405614475343335</v>
      </c>
      <c r="CA57" s="106">
        <v>4595.8447713673422</v>
      </c>
      <c r="CB57" s="106">
        <v>4.1982854850428106</v>
      </c>
      <c r="CC57" s="106">
        <v>5299.9155963180438</v>
      </c>
      <c r="CD57" s="106">
        <v>4.8086080551470785</v>
      </c>
      <c r="CE57" s="106">
        <v>6070.3868088176714</v>
      </c>
      <c r="CF57" s="106">
        <v>4.2153382301614002</v>
      </c>
      <c r="CG57" s="106">
        <v>5321.4429817557511</v>
      </c>
      <c r="CH57" s="106">
        <v>6.4175719671354541</v>
      </c>
      <c r="CI57" s="106">
        <v>8101.5428513117968</v>
      </c>
      <c r="CJ57" s="106">
        <v>4.2961141813277592</v>
      </c>
      <c r="CK57" s="106">
        <v>5423.4145425081624</v>
      </c>
      <c r="CL57" s="106">
        <v>2.4342701308539003</v>
      </c>
      <c r="CM57" s="106">
        <v>3073.0226131899635</v>
      </c>
      <c r="CN57" s="106">
        <v>13.295919206856446</v>
      </c>
      <c r="CO57" s="106">
        <v>16784.768406735577</v>
      </c>
      <c r="CP57" s="106">
        <v>7.3099745894977373</v>
      </c>
      <c r="CQ57" s="106">
        <v>9228.1119217819432</v>
      </c>
      <c r="CR57" s="106">
        <v>7.2450838813196992</v>
      </c>
      <c r="CS57" s="106">
        <v>9146.193891777988</v>
      </c>
      <c r="CT57" s="106">
        <v>3.2374944562610928</v>
      </c>
      <c r="CU57" s="106">
        <v>4087.0130015840032</v>
      </c>
    </row>
    <row r="58" spans="2:99" x14ac:dyDescent="0.2">
      <c r="C58" s="105" t="s">
        <v>224</v>
      </c>
      <c r="D58" s="106">
        <v>2.8166825142377037</v>
      </c>
      <c r="E58" s="106">
        <v>1980.6911440119529</v>
      </c>
      <c r="F58" s="106">
        <v>7</v>
      </c>
      <c r="G58" s="106">
        <v>4922.3999999999996</v>
      </c>
      <c r="H58" s="106">
        <v>5</v>
      </c>
      <c r="I58" s="106">
        <v>3515.9999999999995</v>
      </c>
      <c r="J58" s="106">
        <v>6.4757419127779894</v>
      </c>
      <c r="K58" s="106">
        <v>4553.7417130654821</v>
      </c>
      <c r="L58" s="106">
        <v>1.2205642086676568E-15</v>
      </c>
      <c r="M58" s="106">
        <v>8.5830075153509618E-13</v>
      </c>
      <c r="N58" s="106">
        <v>11</v>
      </c>
      <c r="O58" s="106">
        <v>7735.1999999999989</v>
      </c>
      <c r="P58" s="106">
        <v>14</v>
      </c>
      <c r="Q58" s="106">
        <v>9844.7999999999993</v>
      </c>
      <c r="R58" s="106">
        <v>12</v>
      </c>
      <c r="S58" s="106">
        <v>8438.4</v>
      </c>
      <c r="T58" s="106">
        <v>11</v>
      </c>
      <c r="U58" s="106">
        <v>7735.1999999999989</v>
      </c>
      <c r="V58" s="106">
        <v>12</v>
      </c>
      <c r="W58" s="106">
        <v>8438.4</v>
      </c>
      <c r="X58" s="106">
        <v>4.7190780739509925</v>
      </c>
      <c r="Y58" s="106">
        <v>3318.4557016023377</v>
      </c>
      <c r="Z58" s="106">
        <v>6.4976623793108335</v>
      </c>
      <c r="AA58" s="106">
        <v>4569.1561851313772</v>
      </c>
      <c r="AB58" s="106">
        <v>5.3419699558718214</v>
      </c>
      <c r="AC58" s="106">
        <v>3756.4732729690645</v>
      </c>
      <c r="AD58" s="106">
        <v>4.7019182560899448</v>
      </c>
      <c r="AE58" s="106">
        <v>3306.3889176824491</v>
      </c>
      <c r="AF58" s="106">
        <v>0</v>
      </c>
      <c r="AG58" s="106">
        <v>0</v>
      </c>
      <c r="AH58" s="106">
        <v>11</v>
      </c>
      <c r="AI58" s="106">
        <v>7735.1999999999989</v>
      </c>
      <c r="AJ58" s="106">
        <v>6</v>
      </c>
      <c r="AK58" s="106">
        <v>4219.2</v>
      </c>
      <c r="AL58" s="106">
        <v>5</v>
      </c>
      <c r="AM58" s="106">
        <v>3515.9999999999995</v>
      </c>
      <c r="AN58" s="106">
        <v>2.2233870781099636</v>
      </c>
      <c r="AO58" s="106">
        <v>1563.4857933269263</v>
      </c>
      <c r="AP58" s="106">
        <v>3.3853729077151762</v>
      </c>
      <c r="AQ58" s="106">
        <v>2380.5942287053117</v>
      </c>
      <c r="AR58" s="106">
        <v>1.9407525720953382</v>
      </c>
      <c r="AS58" s="106">
        <v>1364.7372086974417</v>
      </c>
      <c r="AT58" s="106">
        <v>1.7401143834825834</v>
      </c>
      <c r="AU58" s="106">
        <v>1223.6484344649525</v>
      </c>
      <c r="AV58" s="106">
        <v>0</v>
      </c>
      <c r="AW58" s="106">
        <v>0</v>
      </c>
      <c r="AX58" s="106">
        <v>5</v>
      </c>
      <c r="AY58" s="106">
        <v>3515.9999999999995</v>
      </c>
      <c r="AZ58" s="106">
        <v>1.0589602719897682</v>
      </c>
      <c r="BA58" s="106">
        <v>744.66086326320487</v>
      </c>
      <c r="BB58" s="106">
        <v>4</v>
      </c>
      <c r="BC58" s="106">
        <v>2812.7999999999997</v>
      </c>
      <c r="BD58" s="106">
        <v>6</v>
      </c>
      <c r="BE58" s="106">
        <v>4219.2</v>
      </c>
      <c r="BF58" s="106">
        <v>6</v>
      </c>
      <c r="BG58" s="106">
        <v>4219.2</v>
      </c>
      <c r="BH58" s="106">
        <v>4</v>
      </c>
      <c r="BI58" s="106">
        <v>2812.7999999999997</v>
      </c>
      <c r="BJ58" s="106">
        <v>4.4108639967893595</v>
      </c>
      <c r="BK58" s="106">
        <v>3101.7195625422773</v>
      </c>
      <c r="BL58" s="106">
        <v>6.5644949275428957</v>
      </c>
      <c r="BM58" s="106">
        <v>4616.1528330481642</v>
      </c>
      <c r="BN58" s="106">
        <v>2.1612581716152754</v>
      </c>
      <c r="BO58" s="106">
        <v>1519.7967462798615</v>
      </c>
      <c r="BP58" s="106">
        <v>0</v>
      </c>
      <c r="BQ58" s="106">
        <v>0</v>
      </c>
      <c r="BR58" s="106">
        <v>7</v>
      </c>
      <c r="BS58" s="106">
        <v>4922.3999999999996</v>
      </c>
      <c r="BT58" s="106">
        <v>6</v>
      </c>
      <c r="BU58" s="106">
        <v>4219.2</v>
      </c>
      <c r="BV58" s="106">
        <v>5</v>
      </c>
      <c r="BW58" s="106">
        <v>3515.9999999999995</v>
      </c>
      <c r="BX58" s="106">
        <v>6</v>
      </c>
      <c r="BY58" s="106">
        <v>4219.2</v>
      </c>
      <c r="BZ58" s="106">
        <v>3.1854912665925426</v>
      </c>
      <c r="CA58" s="106">
        <v>2240.0374586678759</v>
      </c>
      <c r="CB58" s="106">
        <v>4.1982854850428106</v>
      </c>
      <c r="CC58" s="106">
        <v>2952.234353082104</v>
      </c>
      <c r="CD58" s="106">
        <v>4.8086080551470785</v>
      </c>
      <c r="CE58" s="106">
        <v>3381.4131843794253</v>
      </c>
      <c r="CF58" s="106">
        <v>4.2153382301614002</v>
      </c>
      <c r="CG58" s="106">
        <v>2964.2258434494966</v>
      </c>
      <c r="CH58" s="106">
        <v>6.4175719671354541</v>
      </c>
      <c r="CI58" s="106">
        <v>4512.8366072896506</v>
      </c>
      <c r="CJ58" s="106">
        <v>4.2961141813277592</v>
      </c>
      <c r="CK58" s="106">
        <v>3021.0274923096799</v>
      </c>
      <c r="CL58" s="106">
        <v>2.7820230066901717</v>
      </c>
      <c r="CM58" s="106">
        <v>1956.3185783045285</v>
      </c>
      <c r="CN58" s="106">
        <v>15.068708434437307</v>
      </c>
      <c r="CO58" s="106">
        <v>10596.315771096313</v>
      </c>
      <c r="CP58" s="106">
        <v>7.3099745894977373</v>
      </c>
      <c r="CQ58" s="106">
        <v>5140.3741313348082</v>
      </c>
      <c r="CR58" s="106">
        <v>6.4400745611730663</v>
      </c>
      <c r="CS58" s="106">
        <v>4528.6604314168999</v>
      </c>
      <c r="CT58" s="106">
        <v>3.2374944562610928</v>
      </c>
      <c r="CU58" s="106">
        <v>2276.6061016428002</v>
      </c>
    </row>
    <row r="59" spans="2:99" x14ac:dyDescent="0.2">
      <c r="C59" s="105" t="s">
        <v>225</v>
      </c>
      <c r="D59" s="106">
        <v>0</v>
      </c>
      <c r="E59" s="106">
        <v>0</v>
      </c>
      <c r="F59" s="106">
        <v>4.8389621723900769</v>
      </c>
      <c r="G59" s="106">
        <v>2125.2721861137215</v>
      </c>
      <c r="H59" s="106">
        <v>0</v>
      </c>
      <c r="I59" s="106">
        <v>0</v>
      </c>
      <c r="J59" s="106">
        <v>2.5607291144071009</v>
      </c>
      <c r="K59" s="106">
        <v>1124.6722270475987</v>
      </c>
      <c r="L59" s="106">
        <v>4.4696849183293894</v>
      </c>
      <c r="M59" s="106">
        <v>1963.0856161302677</v>
      </c>
      <c r="N59" s="106">
        <v>2.8416571217240958</v>
      </c>
      <c r="O59" s="106">
        <v>1248.0558078612228</v>
      </c>
      <c r="P59" s="106">
        <v>5.4424805431343621</v>
      </c>
      <c r="Q59" s="106">
        <v>2390.3374545446118</v>
      </c>
      <c r="R59" s="106">
        <v>1.5555656927512507</v>
      </c>
      <c r="S59" s="106">
        <v>683.20445225634933</v>
      </c>
      <c r="T59" s="106">
        <v>1.6675310499651492</v>
      </c>
      <c r="U59" s="106">
        <v>732.37963714469356</v>
      </c>
      <c r="V59" s="106">
        <v>6.1473933899112101</v>
      </c>
      <c r="W59" s="106">
        <v>2699.9351768490033</v>
      </c>
      <c r="X59" s="106">
        <v>0</v>
      </c>
      <c r="Y59" s="106">
        <v>0</v>
      </c>
      <c r="Z59" s="106">
        <v>2.2611852864293036</v>
      </c>
      <c r="AA59" s="106">
        <v>993.11257779975017</v>
      </c>
      <c r="AB59" s="106">
        <v>0</v>
      </c>
      <c r="AC59" s="106">
        <v>0</v>
      </c>
      <c r="AD59" s="106">
        <v>1.4172005406621566</v>
      </c>
      <c r="AE59" s="106">
        <v>622.43447745881917</v>
      </c>
      <c r="AF59" s="106">
        <v>2.1831081402766213</v>
      </c>
      <c r="AG59" s="106">
        <v>958.821095209492</v>
      </c>
      <c r="AH59" s="106">
        <v>0.58131678730248426</v>
      </c>
      <c r="AI59" s="106">
        <v>255.31433298325109</v>
      </c>
      <c r="AJ59" s="106">
        <v>0.64251762677088398</v>
      </c>
      <c r="AK59" s="106">
        <v>282.19374167777221</v>
      </c>
      <c r="AL59" s="106">
        <v>1.0652548218054281</v>
      </c>
      <c r="AM59" s="106">
        <v>467.859917736944</v>
      </c>
      <c r="AN59" s="106">
        <v>1.1397758796319695</v>
      </c>
      <c r="AO59" s="106">
        <v>500.589566334361</v>
      </c>
      <c r="AP59" s="106">
        <v>0.27679403419631127</v>
      </c>
      <c r="AQ59" s="106">
        <v>121.56793981901991</v>
      </c>
      <c r="AR59" s="106">
        <v>0.44221917463363597</v>
      </c>
      <c r="AS59" s="106">
        <v>194.22266149909291</v>
      </c>
      <c r="AT59" s="106">
        <v>0.40504989055882612</v>
      </c>
      <c r="AU59" s="106">
        <v>177.89791193343643</v>
      </c>
      <c r="AV59" s="106">
        <v>0</v>
      </c>
      <c r="AW59" s="106">
        <v>0</v>
      </c>
      <c r="AX59" s="106">
        <v>1.6202475726195724</v>
      </c>
      <c r="AY59" s="106">
        <v>711.61273389451617</v>
      </c>
      <c r="AZ59" s="106">
        <v>0.97994219578834241</v>
      </c>
      <c r="BA59" s="106">
        <v>430.39061239023999</v>
      </c>
      <c r="BB59" s="106">
        <v>0.91897921085755097</v>
      </c>
      <c r="BC59" s="106">
        <v>403.61566940863639</v>
      </c>
      <c r="BD59" s="106">
        <v>0</v>
      </c>
      <c r="BE59" s="106">
        <v>0</v>
      </c>
      <c r="BF59" s="106">
        <v>2.2659773474358853</v>
      </c>
      <c r="BG59" s="106">
        <v>995.21725099384082</v>
      </c>
      <c r="BH59" s="106">
        <v>8.5222517032695672E-17</v>
      </c>
      <c r="BI59" s="106">
        <v>3.7429729480759941E-14</v>
      </c>
      <c r="BJ59" s="106">
        <v>0.79497957096554372</v>
      </c>
      <c r="BK59" s="106">
        <v>349.15502756806677</v>
      </c>
      <c r="BL59" s="106">
        <v>1.3816108750890837E-16</v>
      </c>
      <c r="BM59" s="106">
        <v>6.068034963391255E-14</v>
      </c>
      <c r="BN59" s="106">
        <v>1.4059195473151131</v>
      </c>
      <c r="BO59" s="106">
        <v>617.47986518079767</v>
      </c>
      <c r="BP59" s="106">
        <v>0.79592088058809296</v>
      </c>
      <c r="BQ59" s="106">
        <v>349.56845075429044</v>
      </c>
      <c r="BR59" s="106">
        <v>1.4179997419538144</v>
      </c>
      <c r="BS59" s="106">
        <v>622.78548666611528</v>
      </c>
      <c r="BT59" s="106">
        <v>0</v>
      </c>
      <c r="BU59" s="106">
        <v>0</v>
      </c>
      <c r="BV59" s="106">
        <v>1.9651692072051286</v>
      </c>
      <c r="BW59" s="106">
        <v>863.10231580449249</v>
      </c>
      <c r="BX59" s="106">
        <v>0.909870639814644</v>
      </c>
      <c r="BY59" s="106">
        <v>399.61518500659162</v>
      </c>
      <c r="BZ59" s="106">
        <v>1.2467236634401517</v>
      </c>
      <c r="CA59" s="106">
        <v>547.56103298291464</v>
      </c>
      <c r="CB59" s="106">
        <v>0.61651494740542645</v>
      </c>
      <c r="CC59" s="106">
        <v>270.77336490046326</v>
      </c>
      <c r="CD59" s="106">
        <v>1.0452855432456245</v>
      </c>
      <c r="CE59" s="106">
        <v>459.08941059347825</v>
      </c>
      <c r="CF59" s="106">
        <v>0</v>
      </c>
      <c r="CG59" s="106">
        <v>0</v>
      </c>
      <c r="CH59" s="106">
        <v>3.3310754427780189</v>
      </c>
      <c r="CI59" s="106">
        <v>1463.0083344681059</v>
      </c>
      <c r="CJ59" s="106">
        <v>0</v>
      </c>
      <c r="CK59" s="106">
        <v>0</v>
      </c>
      <c r="CL59" s="106">
        <v>2.6416962111260149</v>
      </c>
      <c r="CM59" s="106">
        <v>1160.2329759265458</v>
      </c>
      <c r="CN59" s="106">
        <v>2.1054906951645833</v>
      </c>
      <c r="CO59" s="106">
        <v>924.73151331628492</v>
      </c>
      <c r="CP59" s="106">
        <v>2.766749724256246</v>
      </c>
      <c r="CQ59" s="106">
        <v>1215.1564788933433</v>
      </c>
      <c r="CR59" s="106">
        <v>3.156631264346685</v>
      </c>
      <c r="CS59" s="106">
        <v>1386.3924513010641</v>
      </c>
      <c r="CT59" s="106">
        <v>1.0943164307980529</v>
      </c>
      <c r="CU59" s="106">
        <v>480.62377640650482</v>
      </c>
    </row>
    <row r="60" spans="2:99" x14ac:dyDescent="0.2">
      <c r="C60" s="105" t="s">
        <v>226</v>
      </c>
      <c r="D60" s="106">
        <v>0</v>
      </c>
      <c r="E60" s="106">
        <v>0</v>
      </c>
      <c r="F60" s="106">
        <v>4.8389621723900769</v>
      </c>
      <c r="G60" s="106">
        <v>3420.1784634453061</v>
      </c>
      <c r="H60" s="106">
        <v>0</v>
      </c>
      <c r="I60" s="106">
        <v>0</v>
      </c>
      <c r="J60" s="106">
        <v>2.9265475593224011</v>
      </c>
      <c r="K60" s="106">
        <v>2068.4838149290731</v>
      </c>
      <c r="L60" s="106">
        <v>5.1082113352335874</v>
      </c>
      <c r="M60" s="106">
        <v>3610.4837717430992</v>
      </c>
      <c r="N60" s="106">
        <v>3.0999895873353775</v>
      </c>
      <c r="O60" s="106">
        <v>2191.0726403286449</v>
      </c>
      <c r="P60" s="106">
        <v>4.7168164707164468</v>
      </c>
      <c r="Q60" s="106">
        <v>3333.8458815023846</v>
      </c>
      <c r="R60" s="106">
        <v>1.5555656927512507</v>
      </c>
      <c r="S60" s="106">
        <v>1099.473831636584</v>
      </c>
      <c r="T60" s="106">
        <v>1.8342841549616642</v>
      </c>
      <c r="U60" s="106">
        <v>1296.4720407269042</v>
      </c>
      <c r="V60" s="106">
        <v>5.2016405606941003</v>
      </c>
      <c r="W60" s="106">
        <v>3676.5195482985901</v>
      </c>
      <c r="X60" s="106">
        <v>0</v>
      </c>
      <c r="Y60" s="106">
        <v>0</v>
      </c>
      <c r="Z60" s="106">
        <v>2.51242809603256</v>
      </c>
      <c r="AA60" s="106">
        <v>1775.7841782758132</v>
      </c>
      <c r="AB60" s="106">
        <v>0</v>
      </c>
      <c r="AC60" s="106">
        <v>0</v>
      </c>
      <c r="AD60" s="106">
        <v>1.7006406487945878</v>
      </c>
      <c r="AE60" s="106">
        <v>1202.0128105680146</v>
      </c>
      <c r="AF60" s="106">
        <v>1.8712355488085326</v>
      </c>
      <c r="AG60" s="106">
        <v>1322.5892858978707</v>
      </c>
      <c r="AH60" s="106">
        <v>0.58131678730248426</v>
      </c>
      <c r="AI60" s="106">
        <v>410.87470526539585</v>
      </c>
      <c r="AJ60" s="106">
        <v>0.64251762677088398</v>
      </c>
      <c r="AK60" s="106">
        <v>454.13145860166077</v>
      </c>
      <c r="AL60" s="106">
        <v>1.0652548218054281</v>
      </c>
      <c r="AM60" s="106">
        <v>752.92210805207651</v>
      </c>
      <c r="AN60" s="106">
        <v>1.1397758796319695</v>
      </c>
      <c r="AO60" s="106">
        <v>805.59359172387599</v>
      </c>
      <c r="AP60" s="106">
        <v>0.27679403419631127</v>
      </c>
      <c r="AQ60" s="106">
        <v>195.6380233699528</v>
      </c>
      <c r="AR60" s="106">
        <v>0.44221917463363597</v>
      </c>
      <c r="AS60" s="106">
        <v>312.56051263105388</v>
      </c>
      <c r="AT60" s="106">
        <v>0.32403991244706087</v>
      </c>
      <c r="AU60" s="106">
        <v>229.03141011758262</v>
      </c>
      <c r="AV60" s="106">
        <v>0</v>
      </c>
      <c r="AW60" s="106">
        <v>0</v>
      </c>
      <c r="AX60" s="106">
        <v>1.6202475726195724</v>
      </c>
      <c r="AY60" s="106">
        <v>1145.1909843275137</v>
      </c>
      <c r="AZ60" s="106">
        <v>0.7839537566306739</v>
      </c>
      <c r="BA60" s="106">
        <v>554.09851518656023</v>
      </c>
      <c r="BB60" s="106">
        <v>0.91897921085755097</v>
      </c>
      <c r="BC60" s="106">
        <v>649.53450623411698</v>
      </c>
      <c r="BD60" s="106">
        <v>0</v>
      </c>
      <c r="BE60" s="106">
        <v>0</v>
      </c>
      <c r="BF60" s="106">
        <v>2.2659773474358853</v>
      </c>
      <c r="BG60" s="106">
        <v>1601.5927891676836</v>
      </c>
      <c r="BH60" s="106">
        <v>8.5222517032695672E-17</v>
      </c>
      <c r="BI60" s="106">
        <v>6.0235275038709294E-14</v>
      </c>
      <c r="BJ60" s="106">
        <v>0.79497957096554372</v>
      </c>
      <c r="BK60" s="106">
        <v>561.8915607584463</v>
      </c>
      <c r="BL60" s="106">
        <v>1.5789838572446671E-16</v>
      </c>
      <c r="BM60" s="106">
        <v>1.1160257903005307E-13</v>
      </c>
      <c r="BN60" s="106">
        <v>1.6871034567781358</v>
      </c>
      <c r="BO60" s="106">
        <v>1192.4447232507862</v>
      </c>
      <c r="BP60" s="106">
        <v>0.79592088058809296</v>
      </c>
      <c r="BQ60" s="106">
        <v>562.55687839966401</v>
      </c>
      <c r="BR60" s="106">
        <v>1.4179997419538144</v>
      </c>
      <c r="BS60" s="106">
        <v>1002.242217612956</v>
      </c>
      <c r="BT60" s="106">
        <v>0</v>
      </c>
      <c r="BU60" s="106">
        <v>0</v>
      </c>
      <c r="BV60" s="106">
        <v>1.9651692072051286</v>
      </c>
      <c r="BW60" s="106">
        <v>1388.9815956525847</v>
      </c>
      <c r="BX60" s="106">
        <v>0.909870639814644</v>
      </c>
      <c r="BY60" s="106">
        <v>643.09656822099032</v>
      </c>
      <c r="BZ60" s="106">
        <v>1.4248270439316022</v>
      </c>
      <c r="CA60" s="106">
        <v>1007.0677546508564</v>
      </c>
      <c r="CB60" s="106">
        <v>0.61651494740542645</v>
      </c>
      <c r="CC60" s="106">
        <v>435.75276482615538</v>
      </c>
      <c r="CD60" s="106">
        <v>1.0452855432456245</v>
      </c>
      <c r="CE60" s="106">
        <v>738.8078219660074</v>
      </c>
      <c r="CF60" s="106">
        <v>0</v>
      </c>
      <c r="CG60" s="106">
        <v>0</v>
      </c>
      <c r="CH60" s="106">
        <v>3.3310754427780189</v>
      </c>
      <c r="CI60" s="106">
        <v>2354.4041229555037</v>
      </c>
      <c r="CJ60" s="106">
        <v>0</v>
      </c>
      <c r="CK60" s="106">
        <v>0</v>
      </c>
      <c r="CL60" s="106">
        <v>2.6416962111260149</v>
      </c>
      <c r="CM60" s="106">
        <v>1867.1508820238673</v>
      </c>
      <c r="CN60" s="106">
        <v>2.2458567415088888</v>
      </c>
      <c r="CO60" s="106">
        <v>1587.3715448984824</v>
      </c>
      <c r="CP60" s="106">
        <v>3.2697951286664728</v>
      </c>
      <c r="CQ60" s="106">
        <v>2311.0911969414628</v>
      </c>
      <c r="CR60" s="106">
        <v>3.156631264346685</v>
      </c>
      <c r="CS60" s="106">
        <v>2231.1069776402369</v>
      </c>
      <c r="CT60" s="106">
        <v>1.0943164307980529</v>
      </c>
      <c r="CU60" s="106">
        <v>773.46285328806368</v>
      </c>
    </row>
    <row r="61" spans="2:99" x14ac:dyDescent="0.2">
      <c r="C61" s="105" t="s">
        <v>227</v>
      </c>
      <c r="D61" s="106">
        <v>2.8166825142377037</v>
      </c>
      <c r="E61" s="106">
        <v>1899.5706876019074</v>
      </c>
      <c r="F61" s="106">
        <v>6</v>
      </c>
      <c r="G61" s="106">
        <v>4046.3999999999996</v>
      </c>
      <c r="H61" s="106">
        <v>6</v>
      </c>
      <c r="I61" s="106">
        <v>4046.3999999999996</v>
      </c>
      <c r="J61" s="106">
        <v>6.4757419127779894</v>
      </c>
      <c r="K61" s="106">
        <v>4367.240345977476</v>
      </c>
      <c r="L61" s="106">
        <v>1.3077473664296322E-15</v>
      </c>
      <c r="M61" s="106">
        <v>8.8194482392014392E-13</v>
      </c>
      <c r="N61" s="106">
        <v>11</v>
      </c>
      <c r="O61" s="106">
        <v>7418.4</v>
      </c>
      <c r="P61" s="106">
        <v>14</v>
      </c>
      <c r="Q61" s="106">
        <v>9441.6</v>
      </c>
      <c r="R61" s="106">
        <v>12</v>
      </c>
      <c r="S61" s="106">
        <v>8092.7999999999993</v>
      </c>
      <c r="T61" s="106">
        <v>11</v>
      </c>
      <c r="U61" s="106">
        <v>7418.4</v>
      </c>
      <c r="V61" s="106">
        <v>13</v>
      </c>
      <c r="W61" s="106">
        <v>8767.1999999999989</v>
      </c>
      <c r="X61" s="106">
        <v>4.7190780739509925</v>
      </c>
      <c r="Y61" s="106">
        <v>3182.5462530725495</v>
      </c>
      <c r="Z61" s="106">
        <v>5.8478961413797501</v>
      </c>
      <c r="AA61" s="106">
        <v>3943.8211577465036</v>
      </c>
      <c r="AB61" s="106">
        <v>6.8682470861209142</v>
      </c>
      <c r="AC61" s="106">
        <v>4631.9458348799444</v>
      </c>
      <c r="AD61" s="106">
        <v>5.6423019073079335</v>
      </c>
      <c r="AE61" s="106">
        <v>3805.1684062884701</v>
      </c>
      <c r="AF61" s="106">
        <v>0</v>
      </c>
      <c r="AG61" s="106">
        <v>0</v>
      </c>
      <c r="AH61" s="106">
        <v>11</v>
      </c>
      <c r="AI61" s="106">
        <v>7418.4</v>
      </c>
      <c r="AJ61" s="106">
        <v>7</v>
      </c>
      <c r="AK61" s="106">
        <v>4720.8</v>
      </c>
      <c r="AL61" s="106">
        <v>5</v>
      </c>
      <c r="AM61" s="106">
        <v>3372</v>
      </c>
      <c r="AN61" s="106">
        <v>2.2233870781099636</v>
      </c>
      <c r="AO61" s="106">
        <v>1499.4522454773594</v>
      </c>
      <c r="AP61" s="106">
        <v>3.3853729077151762</v>
      </c>
      <c r="AQ61" s="106">
        <v>2283.0954889631148</v>
      </c>
      <c r="AR61" s="106">
        <v>2.3289030865144058</v>
      </c>
      <c r="AS61" s="106">
        <v>1570.6122415453153</v>
      </c>
      <c r="AT61" s="106">
        <v>2.1751429793532293</v>
      </c>
      <c r="AU61" s="106">
        <v>1466.9164252758178</v>
      </c>
      <c r="AV61" s="106">
        <v>0</v>
      </c>
      <c r="AW61" s="106">
        <v>0</v>
      </c>
      <c r="AX61" s="106">
        <v>5</v>
      </c>
      <c r="AY61" s="106">
        <v>3372</v>
      </c>
      <c r="AZ61" s="106">
        <v>1.0589602719897682</v>
      </c>
      <c r="BA61" s="106">
        <v>714.16280742989966</v>
      </c>
      <c r="BB61" s="106">
        <v>4</v>
      </c>
      <c r="BC61" s="106">
        <v>2697.6</v>
      </c>
      <c r="BD61" s="106">
        <v>6</v>
      </c>
      <c r="BE61" s="106">
        <v>4046.3999999999996</v>
      </c>
      <c r="BF61" s="106">
        <v>6</v>
      </c>
      <c r="BG61" s="106">
        <v>4046.3999999999996</v>
      </c>
      <c r="BH61" s="106">
        <v>4</v>
      </c>
      <c r="BI61" s="106">
        <v>2697.6</v>
      </c>
      <c r="BJ61" s="106">
        <v>4.4108639967893595</v>
      </c>
      <c r="BK61" s="106">
        <v>2974.6866794347438</v>
      </c>
      <c r="BL61" s="106">
        <v>6.5644949275428957</v>
      </c>
      <c r="BM61" s="106">
        <v>4427.0953791349284</v>
      </c>
      <c r="BN61" s="106">
        <v>2.1612581716152754</v>
      </c>
      <c r="BO61" s="106">
        <v>1457.5525109373418</v>
      </c>
      <c r="BP61" s="106">
        <v>0</v>
      </c>
      <c r="BQ61" s="106">
        <v>0</v>
      </c>
      <c r="BR61" s="106">
        <v>8</v>
      </c>
      <c r="BS61" s="106">
        <v>5395.2</v>
      </c>
      <c r="BT61" s="106">
        <v>7</v>
      </c>
      <c r="BU61" s="106">
        <v>4720.8</v>
      </c>
      <c r="BV61" s="106">
        <v>5</v>
      </c>
      <c r="BW61" s="106">
        <v>3372</v>
      </c>
      <c r="BX61" s="106">
        <v>6</v>
      </c>
      <c r="BY61" s="106">
        <v>4046.3999999999996</v>
      </c>
      <c r="BZ61" s="106">
        <v>3.1854912665925426</v>
      </c>
      <c r="CA61" s="106">
        <v>2148.2953101900107</v>
      </c>
      <c r="CB61" s="106">
        <v>3.3586283880342482</v>
      </c>
      <c r="CC61" s="106">
        <v>2265.0589848902969</v>
      </c>
      <c r="CD61" s="106">
        <v>4.1216640472689248</v>
      </c>
      <c r="CE61" s="106">
        <v>2779.6502334781626</v>
      </c>
      <c r="CF61" s="106">
        <v>5.0584058761936799</v>
      </c>
      <c r="CG61" s="106">
        <v>3411.3889229050178</v>
      </c>
      <c r="CH61" s="106">
        <v>6.4175719671354541</v>
      </c>
      <c r="CI61" s="106">
        <v>4328.0105346361497</v>
      </c>
      <c r="CJ61" s="106">
        <v>4.2961141813277592</v>
      </c>
      <c r="CK61" s="106">
        <v>2897.2994038874408</v>
      </c>
      <c r="CL61" s="106">
        <v>2.7820230066901717</v>
      </c>
      <c r="CM61" s="106">
        <v>1876.1963157118516</v>
      </c>
      <c r="CN61" s="106">
        <v>12.409524593066015</v>
      </c>
      <c r="CO61" s="106">
        <v>8368.9833855637207</v>
      </c>
      <c r="CP61" s="106">
        <v>7.3099745894977373</v>
      </c>
      <c r="CQ61" s="106">
        <v>4929.8468631572741</v>
      </c>
      <c r="CR61" s="106">
        <v>6.4400745611730663</v>
      </c>
      <c r="CS61" s="106">
        <v>4343.1862840551157</v>
      </c>
      <c r="CT61" s="106">
        <v>2.9431767784191751</v>
      </c>
      <c r="CU61" s="106">
        <v>1984.8784193658917</v>
      </c>
    </row>
    <row r="62" spans="2:99" x14ac:dyDescent="0.2">
      <c r="C62" s="105" t="s">
        <v>228</v>
      </c>
      <c r="D62" s="106">
        <v>0</v>
      </c>
      <c r="E62" s="106">
        <v>0</v>
      </c>
      <c r="F62" s="106">
        <v>4.1117120421386204</v>
      </c>
      <c r="G62" s="106">
        <v>5254.7679898531569</v>
      </c>
      <c r="H62" s="106">
        <v>0.99908152832995689</v>
      </c>
      <c r="I62" s="106">
        <v>1276.8261932056848</v>
      </c>
      <c r="J62" s="106">
        <v>0</v>
      </c>
      <c r="K62" s="106">
        <v>0</v>
      </c>
      <c r="L62" s="106">
        <v>5.3003904239820852</v>
      </c>
      <c r="M62" s="106">
        <v>6773.898961849105</v>
      </c>
      <c r="N62" s="106">
        <v>0</v>
      </c>
      <c r="O62" s="106">
        <v>0</v>
      </c>
      <c r="P62" s="106">
        <v>3.1171343683894648</v>
      </c>
      <c r="Q62" s="106">
        <v>3983.6977228017358</v>
      </c>
      <c r="R62" s="106">
        <v>2.9906560935145849</v>
      </c>
      <c r="S62" s="106">
        <v>3822.0584875116397</v>
      </c>
      <c r="T62" s="106">
        <v>5.854050225603018</v>
      </c>
      <c r="U62" s="106">
        <v>7481.4761883206575</v>
      </c>
      <c r="V62" s="106">
        <v>2.57944088065633</v>
      </c>
      <c r="W62" s="106">
        <v>3296.5254454787896</v>
      </c>
      <c r="X62" s="106">
        <v>0</v>
      </c>
      <c r="Y62" s="106">
        <v>0</v>
      </c>
      <c r="Z62" s="106">
        <v>1.8302019552328725</v>
      </c>
      <c r="AA62" s="106">
        <v>2338.9980987876111</v>
      </c>
      <c r="AB62" s="106">
        <v>2.0753664427253598</v>
      </c>
      <c r="AC62" s="106">
        <v>2652.3183138030099</v>
      </c>
      <c r="AD62" s="106">
        <v>0</v>
      </c>
      <c r="AE62" s="106">
        <v>0</v>
      </c>
      <c r="AF62" s="106">
        <v>2.6607823629950458</v>
      </c>
      <c r="AG62" s="106">
        <v>3400.4798599076685</v>
      </c>
      <c r="AH62" s="106">
        <v>0</v>
      </c>
      <c r="AI62" s="106">
        <v>0</v>
      </c>
      <c r="AJ62" s="106">
        <v>2.9824031009428635</v>
      </c>
      <c r="AK62" s="106">
        <v>3811.5111630049796</v>
      </c>
      <c r="AL62" s="106">
        <v>0</v>
      </c>
      <c r="AM62" s="106">
        <v>0</v>
      </c>
      <c r="AN62" s="106">
        <v>1.2372056819845396</v>
      </c>
      <c r="AO62" s="106">
        <v>1581.1488615762416</v>
      </c>
      <c r="AP62" s="106">
        <v>0.74370568305682527</v>
      </c>
      <c r="AQ62" s="106">
        <v>950.45586294662269</v>
      </c>
      <c r="AR62" s="106">
        <v>0</v>
      </c>
      <c r="AS62" s="106">
        <v>0</v>
      </c>
      <c r="AT62" s="106">
        <v>0.54768259573456268</v>
      </c>
      <c r="AU62" s="106">
        <v>699.93835734877109</v>
      </c>
      <c r="AV62" s="106">
        <v>0</v>
      </c>
      <c r="AW62" s="106">
        <v>0</v>
      </c>
      <c r="AX62" s="106">
        <v>0</v>
      </c>
      <c r="AY62" s="106">
        <v>0</v>
      </c>
      <c r="AZ62" s="106">
        <v>2.0031484516409233</v>
      </c>
      <c r="BA62" s="106">
        <v>2560.0237211970998</v>
      </c>
      <c r="BB62" s="106">
        <v>0.71761932609035739</v>
      </c>
      <c r="BC62" s="106">
        <v>917.11749874347674</v>
      </c>
      <c r="BD62" s="106">
        <v>0.82366881601278241</v>
      </c>
      <c r="BE62" s="106">
        <v>1052.6487468643359</v>
      </c>
      <c r="BF62" s="106">
        <v>0.85227527788628021</v>
      </c>
      <c r="BG62" s="106">
        <v>1089.2078051386661</v>
      </c>
      <c r="BH62" s="106">
        <v>0</v>
      </c>
      <c r="BI62" s="106">
        <v>0</v>
      </c>
      <c r="BJ62" s="106">
        <v>1.2010968051224371</v>
      </c>
      <c r="BK62" s="106">
        <v>1535.0017169464745</v>
      </c>
      <c r="BL62" s="106">
        <v>1.3057913776677259</v>
      </c>
      <c r="BM62" s="106">
        <v>1668.8013806593538</v>
      </c>
      <c r="BN62" s="106">
        <v>0.98858933276587102</v>
      </c>
      <c r="BO62" s="106">
        <v>1263.4171672747832</v>
      </c>
      <c r="BP62" s="106">
        <v>1.0151286437126057</v>
      </c>
      <c r="BQ62" s="106">
        <v>1297.3344066647101</v>
      </c>
      <c r="BR62" s="106">
        <v>0</v>
      </c>
      <c r="BS62" s="106">
        <v>0</v>
      </c>
      <c r="BT62" s="106">
        <v>3.2120638171706291</v>
      </c>
      <c r="BU62" s="106">
        <v>4105.0175583440641</v>
      </c>
      <c r="BV62" s="106">
        <v>0</v>
      </c>
      <c r="BW62" s="106">
        <v>0</v>
      </c>
      <c r="BX62" s="106">
        <v>2.1656794774293213</v>
      </c>
      <c r="BY62" s="106">
        <v>2767.7383721546726</v>
      </c>
      <c r="BZ62" s="106">
        <v>1.4880742421600244</v>
      </c>
      <c r="CA62" s="106">
        <v>1901.7588814805113</v>
      </c>
      <c r="CB62" s="106">
        <v>0</v>
      </c>
      <c r="CC62" s="106">
        <v>0</v>
      </c>
      <c r="CD62" s="106">
        <v>2.1852134434228834</v>
      </c>
      <c r="CE62" s="106">
        <v>2792.7027806944448</v>
      </c>
      <c r="CF62" s="106">
        <v>0</v>
      </c>
      <c r="CG62" s="106">
        <v>0</v>
      </c>
      <c r="CH62" s="106">
        <v>2.3725174528591308</v>
      </c>
      <c r="CI62" s="106">
        <v>3032.0773047539692</v>
      </c>
      <c r="CJ62" s="106">
        <v>0</v>
      </c>
      <c r="CK62" s="106">
        <v>0</v>
      </c>
      <c r="CL62" s="106">
        <v>1.4432611210031863</v>
      </c>
      <c r="CM62" s="106">
        <v>1844.487712642072</v>
      </c>
      <c r="CN62" s="106">
        <v>2.8877642911638626</v>
      </c>
      <c r="CO62" s="106">
        <v>3690.5627641074166</v>
      </c>
      <c r="CP62" s="106">
        <v>1.9566076421763314</v>
      </c>
      <c r="CQ62" s="106">
        <v>2500.5445667013514</v>
      </c>
      <c r="CR62" s="106">
        <v>4.8409384966752844</v>
      </c>
      <c r="CS62" s="106">
        <v>6186.7193987510136</v>
      </c>
      <c r="CT62" s="106">
        <v>1.1921155920609656</v>
      </c>
      <c r="CU62" s="106">
        <v>1523.5237266539141</v>
      </c>
    </row>
    <row r="63" spans="2:99" x14ac:dyDescent="0.2">
      <c r="C63" s="105" t="s">
        <v>229</v>
      </c>
      <c r="D63" s="106">
        <v>3.3800190170852447</v>
      </c>
      <c r="E63" s="106">
        <v>2928.4484764026561</v>
      </c>
      <c r="F63" s="106">
        <v>7</v>
      </c>
      <c r="G63" s="106">
        <v>6064.8</v>
      </c>
      <c r="H63" s="106">
        <v>6</v>
      </c>
      <c r="I63" s="106">
        <v>5198.3999999999996</v>
      </c>
      <c r="J63" s="106">
        <v>6.4757419127779894</v>
      </c>
      <c r="K63" s="106">
        <v>5610.5827932308503</v>
      </c>
      <c r="L63" s="106">
        <v>1.3949305241916078E-15</v>
      </c>
      <c r="M63" s="106">
        <v>1.208567806159609E-12</v>
      </c>
      <c r="N63" s="106">
        <v>10</v>
      </c>
      <c r="O63" s="106">
        <v>8664</v>
      </c>
      <c r="P63" s="106">
        <v>13</v>
      </c>
      <c r="Q63" s="106">
        <v>11263.199999999999</v>
      </c>
      <c r="R63" s="106">
        <v>12</v>
      </c>
      <c r="S63" s="106">
        <v>10396.799999999999</v>
      </c>
      <c r="T63" s="106">
        <v>11</v>
      </c>
      <c r="U63" s="106">
        <v>9530.4</v>
      </c>
      <c r="V63" s="106">
        <v>12</v>
      </c>
      <c r="W63" s="106">
        <v>10396.799999999999</v>
      </c>
      <c r="X63" s="106">
        <v>4.7190780739509925</v>
      </c>
      <c r="Y63" s="106">
        <v>4088.6092432711398</v>
      </c>
      <c r="Z63" s="106">
        <v>5.1981299034486659</v>
      </c>
      <c r="AA63" s="106">
        <v>4503.6597483479236</v>
      </c>
      <c r="AB63" s="106">
        <v>6.8682470861209142</v>
      </c>
      <c r="AC63" s="106">
        <v>5950.6492754151595</v>
      </c>
      <c r="AD63" s="106">
        <v>5.6423019073079335</v>
      </c>
      <c r="AE63" s="106">
        <v>4888.490372491593</v>
      </c>
      <c r="AF63" s="106">
        <v>0</v>
      </c>
      <c r="AG63" s="106">
        <v>0</v>
      </c>
      <c r="AH63" s="106">
        <v>10</v>
      </c>
      <c r="AI63" s="106">
        <v>8664</v>
      </c>
      <c r="AJ63" s="106">
        <v>6</v>
      </c>
      <c r="AK63" s="106">
        <v>5198.3999999999996</v>
      </c>
      <c r="AL63" s="106">
        <v>5</v>
      </c>
      <c r="AM63" s="106">
        <v>4332</v>
      </c>
      <c r="AN63" s="106">
        <v>2.6680644937319564</v>
      </c>
      <c r="AO63" s="106">
        <v>2311.6110773693672</v>
      </c>
      <c r="AP63" s="106">
        <v>3.3853729077151762</v>
      </c>
      <c r="AQ63" s="106">
        <v>2933.0870872444284</v>
      </c>
      <c r="AR63" s="106">
        <v>1.9407525720953382</v>
      </c>
      <c r="AS63" s="106">
        <v>1681.468028463401</v>
      </c>
      <c r="AT63" s="106">
        <v>1.7401143834825834</v>
      </c>
      <c r="AU63" s="106">
        <v>1507.6351018493103</v>
      </c>
      <c r="AV63" s="106">
        <v>0</v>
      </c>
      <c r="AW63" s="106">
        <v>0</v>
      </c>
      <c r="AX63" s="106">
        <v>5</v>
      </c>
      <c r="AY63" s="106">
        <v>4332</v>
      </c>
      <c r="AZ63" s="106">
        <v>1.32370033998721</v>
      </c>
      <c r="BA63" s="106">
        <v>1146.8539745649186</v>
      </c>
      <c r="BB63" s="106">
        <v>4</v>
      </c>
      <c r="BC63" s="106">
        <v>3465.6</v>
      </c>
      <c r="BD63" s="106">
        <v>6</v>
      </c>
      <c r="BE63" s="106">
        <v>5198.3999999999996</v>
      </c>
      <c r="BF63" s="106">
        <v>6</v>
      </c>
      <c r="BG63" s="106">
        <v>5198.3999999999996</v>
      </c>
      <c r="BH63" s="106">
        <v>4</v>
      </c>
      <c r="BI63" s="106">
        <v>3465.6</v>
      </c>
      <c r="BJ63" s="106">
        <v>4.4108639967893595</v>
      </c>
      <c r="BK63" s="106">
        <v>3821.5725668183009</v>
      </c>
      <c r="BL63" s="106">
        <v>6.5644949275428957</v>
      </c>
      <c r="BM63" s="106">
        <v>5687.4784052231644</v>
      </c>
      <c r="BN63" s="106">
        <v>2.1612581716152754</v>
      </c>
      <c r="BO63" s="106">
        <v>1872.5140798874745</v>
      </c>
      <c r="BP63" s="106">
        <v>0</v>
      </c>
      <c r="BQ63" s="106">
        <v>0</v>
      </c>
      <c r="BR63" s="106">
        <v>8</v>
      </c>
      <c r="BS63" s="106">
        <v>6931.2</v>
      </c>
      <c r="BT63" s="106">
        <v>7</v>
      </c>
      <c r="BU63" s="106">
        <v>6064.8</v>
      </c>
      <c r="BV63" s="106">
        <v>5</v>
      </c>
      <c r="BW63" s="106">
        <v>4332</v>
      </c>
      <c r="BX63" s="106">
        <v>6</v>
      </c>
      <c r="BY63" s="106">
        <v>5198.3999999999996</v>
      </c>
      <c r="BZ63" s="106">
        <v>3.1854912665925426</v>
      </c>
      <c r="CA63" s="106">
        <v>2759.9096333757789</v>
      </c>
      <c r="CB63" s="106">
        <v>3.3586283880342482</v>
      </c>
      <c r="CC63" s="106">
        <v>2909.9156353928724</v>
      </c>
      <c r="CD63" s="106">
        <v>4.1216640472689248</v>
      </c>
      <c r="CE63" s="106">
        <v>3571.0097305537965</v>
      </c>
      <c r="CF63" s="106">
        <v>4.2153382301614002</v>
      </c>
      <c r="CG63" s="106">
        <v>3652.1690426118371</v>
      </c>
      <c r="CH63" s="106">
        <v>6.4175719671354541</v>
      </c>
      <c r="CI63" s="106">
        <v>5560.1843523261568</v>
      </c>
      <c r="CJ63" s="106">
        <v>5.1553370175933111</v>
      </c>
      <c r="CK63" s="106">
        <v>4466.5839920428443</v>
      </c>
      <c r="CL63" s="106">
        <v>2.7820230066901717</v>
      </c>
      <c r="CM63" s="106">
        <v>2410.3447329963647</v>
      </c>
      <c r="CN63" s="106">
        <v>15.068708434437307</v>
      </c>
      <c r="CO63" s="106">
        <v>13055.528987596483</v>
      </c>
      <c r="CP63" s="106">
        <v>6.700810040372926</v>
      </c>
      <c r="CQ63" s="106">
        <v>5805.5818189791025</v>
      </c>
      <c r="CR63" s="106">
        <v>6.4400745611730663</v>
      </c>
      <c r="CS63" s="106">
        <v>5579.6805998003447</v>
      </c>
      <c r="CT63" s="106">
        <v>2.9431767784191751</v>
      </c>
      <c r="CU63" s="106">
        <v>2549.9683608223731</v>
      </c>
    </row>
    <row r="64" spans="2:99" x14ac:dyDescent="0.2">
      <c r="C64" s="105" t="s">
        <v>230</v>
      </c>
      <c r="D64" s="106">
        <v>2.8166825142377037</v>
      </c>
      <c r="E64" s="106">
        <v>2460.6538444380581</v>
      </c>
      <c r="F64" s="106">
        <v>7</v>
      </c>
      <c r="G64" s="106">
        <v>6115.2</v>
      </c>
      <c r="H64" s="106">
        <v>6</v>
      </c>
      <c r="I64" s="106">
        <v>5241.6000000000004</v>
      </c>
      <c r="J64" s="106">
        <v>5.5506359252382769</v>
      </c>
      <c r="K64" s="106">
        <v>4849.0355442881591</v>
      </c>
      <c r="L64" s="106">
        <v>1.2205642086676568E-15</v>
      </c>
      <c r="M64" s="106">
        <v>1.0662848926920651E-12</v>
      </c>
      <c r="N64" s="106">
        <v>11</v>
      </c>
      <c r="O64" s="106">
        <v>9609.6</v>
      </c>
      <c r="P64" s="106">
        <v>14</v>
      </c>
      <c r="Q64" s="106">
        <v>12230.4</v>
      </c>
      <c r="R64" s="106">
        <v>13</v>
      </c>
      <c r="S64" s="106">
        <v>11356.800000000001</v>
      </c>
      <c r="T64" s="106">
        <v>11</v>
      </c>
      <c r="U64" s="106">
        <v>9609.6</v>
      </c>
      <c r="V64" s="106">
        <v>13</v>
      </c>
      <c r="W64" s="106">
        <v>11356.800000000001</v>
      </c>
      <c r="X64" s="106">
        <v>4.7190780739509925</v>
      </c>
      <c r="Y64" s="106">
        <v>4122.5866054035869</v>
      </c>
      <c r="Z64" s="106">
        <v>5.1981299034486659</v>
      </c>
      <c r="AA64" s="106">
        <v>4541.0862836527549</v>
      </c>
      <c r="AB64" s="106">
        <v>6.1051085209963682</v>
      </c>
      <c r="AC64" s="106">
        <v>5333.4228039424279</v>
      </c>
      <c r="AD64" s="106">
        <v>5.6423019073079335</v>
      </c>
      <c r="AE64" s="106">
        <v>4929.1149462242111</v>
      </c>
      <c r="AF64" s="106">
        <v>0</v>
      </c>
      <c r="AG64" s="106">
        <v>0</v>
      </c>
      <c r="AH64" s="106">
        <v>9</v>
      </c>
      <c r="AI64" s="106">
        <v>7862.4000000000005</v>
      </c>
      <c r="AJ64" s="106">
        <v>6</v>
      </c>
      <c r="AK64" s="106">
        <v>5241.6000000000004</v>
      </c>
      <c r="AL64" s="106">
        <v>5</v>
      </c>
      <c r="AM64" s="106">
        <v>4368</v>
      </c>
      <c r="AN64" s="106">
        <v>2.2233870781099636</v>
      </c>
      <c r="AO64" s="106">
        <v>1942.3509514368643</v>
      </c>
      <c r="AP64" s="106">
        <v>3.3853729077151762</v>
      </c>
      <c r="AQ64" s="106">
        <v>2957.4617721799782</v>
      </c>
      <c r="AR64" s="106">
        <v>1.9407525720953382</v>
      </c>
      <c r="AS64" s="106">
        <v>1695.4414469824876</v>
      </c>
      <c r="AT64" s="106">
        <v>1.7401143834825834</v>
      </c>
      <c r="AU64" s="106">
        <v>1520.163925410385</v>
      </c>
      <c r="AV64" s="106">
        <v>0</v>
      </c>
      <c r="AW64" s="106">
        <v>0</v>
      </c>
      <c r="AX64" s="106">
        <v>5</v>
      </c>
      <c r="AY64" s="106">
        <v>4368</v>
      </c>
      <c r="AZ64" s="106">
        <v>1.32370033998721</v>
      </c>
      <c r="BA64" s="106">
        <v>1156.3846170128268</v>
      </c>
      <c r="BB64" s="106">
        <v>4</v>
      </c>
      <c r="BC64" s="106">
        <v>3494.4</v>
      </c>
      <c r="BD64" s="106">
        <v>6</v>
      </c>
      <c r="BE64" s="106">
        <v>5241.6000000000004</v>
      </c>
      <c r="BF64" s="106">
        <v>6</v>
      </c>
      <c r="BG64" s="106">
        <v>5241.6000000000004</v>
      </c>
      <c r="BH64" s="106">
        <v>4</v>
      </c>
      <c r="BI64" s="106">
        <v>3494.4</v>
      </c>
      <c r="BJ64" s="106">
        <v>4.4108639967893595</v>
      </c>
      <c r="BK64" s="106">
        <v>3853.3307875951846</v>
      </c>
      <c r="BL64" s="106">
        <v>6.5644949275428957</v>
      </c>
      <c r="BM64" s="106">
        <v>5734.7427687014742</v>
      </c>
      <c r="BN64" s="106">
        <v>2.1612581716152754</v>
      </c>
      <c r="BO64" s="106">
        <v>1888.0751387231046</v>
      </c>
      <c r="BP64" s="106">
        <v>0</v>
      </c>
      <c r="BQ64" s="106">
        <v>0</v>
      </c>
      <c r="BR64" s="106">
        <v>7</v>
      </c>
      <c r="BS64" s="106">
        <v>6115.2</v>
      </c>
      <c r="BT64" s="106">
        <v>6</v>
      </c>
      <c r="BU64" s="106">
        <v>5241.6000000000004</v>
      </c>
      <c r="BV64" s="106">
        <v>5</v>
      </c>
      <c r="BW64" s="106">
        <v>4368</v>
      </c>
      <c r="BX64" s="106">
        <v>6</v>
      </c>
      <c r="BY64" s="106">
        <v>5241.6000000000004</v>
      </c>
      <c r="BZ64" s="106">
        <v>3.1854912665925426</v>
      </c>
      <c r="CA64" s="106">
        <v>2782.8451704952454</v>
      </c>
      <c r="CB64" s="106">
        <v>4.1982854850428106</v>
      </c>
      <c r="CC64" s="106">
        <v>3667.6221997333996</v>
      </c>
      <c r="CD64" s="106">
        <v>4.1216640472689248</v>
      </c>
      <c r="CE64" s="106">
        <v>3600.6857116941328</v>
      </c>
      <c r="CF64" s="106">
        <v>4.2153382301614002</v>
      </c>
      <c r="CG64" s="106">
        <v>3682.5194778689993</v>
      </c>
      <c r="CH64" s="106">
        <v>5.5007759718303895</v>
      </c>
      <c r="CI64" s="106">
        <v>4805.4778889910285</v>
      </c>
      <c r="CJ64" s="106">
        <v>5.1553370175933111</v>
      </c>
      <c r="CK64" s="106">
        <v>4503.7024185695163</v>
      </c>
      <c r="CL64" s="106">
        <v>2.4342701308539003</v>
      </c>
      <c r="CM64" s="106">
        <v>2126.5783863139673</v>
      </c>
      <c r="CN64" s="106">
        <v>13.295919206856446</v>
      </c>
      <c r="CO64" s="106">
        <v>11615.315019109792</v>
      </c>
      <c r="CP64" s="106">
        <v>6.700810040372926</v>
      </c>
      <c r="CQ64" s="106">
        <v>5853.8276512697885</v>
      </c>
      <c r="CR64" s="106">
        <v>6.4400745611730663</v>
      </c>
      <c r="CS64" s="106">
        <v>5626.0491366407905</v>
      </c>
      <c r="CT64" s="106">
        <v>3.2374944562610928</v>
      </c>
      <c r="CU64" s="106">
        <v>2828.2751569896909</v>
      </c>
    </row>
    <row r="65" spans="2:99" x14ac:dyDescent="0.2">
      <c r="C65" s="105" t="s">
        <v>231</v>
      </c>
      <c r="D65" s="106">
        <v>2.8166825142377037</v>
      </c>
      <c r="E65" s="106">
        <v>980.20551495472091</v>
      </c>
      <c r="F65" s="106">
        <v>7</v>
      </c>
      <c r="G65" s="106">
        <v>2436</v>
      </c>
      <c r="H65" s="106">
        <v>5</v>
      </c>
      <c r="I65" s="106">
        <v>1740</v>
      </c>
      <c r="J65" s="106">
        <v>7.4008479003177037</v>
      </c>
      <c r="K65" s="106">
        <v>2575.4950693105607</v>
      </c>
      <c r="L65" s="106">
        <v>1.3949305241916078E-15</v>
      </c>
      <c r="M65" s="106">
        <v>4.8543582241867951E-13</v>
      </c>
      <c r="N65" s="106">
        <v>11</v>
      </c>
      <c r="O65" s="106">
        <v>3828</v>
      </c>
      <c r="P65" s="106">
        <v>16</v>
      </c>
      <c r="Q65" s="106">
        <v>5568</v>
      </c>
      <c r="R65" s="106">
        <v>11</v>
      </c>
      <c r="S65" s="106">
        <v>3828</v>
      </c>
      <c r="T65" s="106">
        <v>11</v>
      </c>
      <c r="U65" s="106">
        <v>3828</v>
      </c>
      <c r="V65" s="106">
        <v>13</v>
      </c>
      <c r="W65" s="106">
        <v>4524</v>
      </c>
      <c r="X65" s="106">
        <v>4.1947360657342152</v>
      </c>
      <c r="Y65" s="106">
        <v>1459.768150875507</v>
      </c>
      <c r="Z65" s="106">
        <v>6.4976623793108335</v>
      </c>
      <c r="AA65" s="106">
        <v>2261.1865080001699</v>
      </c>
      <c r="AB65" s="106">
        <v>6.1051085209963682</v>
      </c>
      <c r="AC65" s="106">
        <v>2124.5777653067362</v>
      </c>
      <c r="AD65" s="106">
        <v>5.6423019073079335</v>
      </c>
      <c r="AE65" s="106">
        <v>1963.5210637431608</v>
      </c>
      <c r="AF65" s="106">
        <v>0</v>
      </c>
      <c r="AG65" s="106">
        <v>0</v>
      </c>
      <c r="AH65" s="106">
        <v>9</v>
      </c>
      <c r="AI65" s="106">
        <v>3132</v>
      </c>
      <c r="AJ65" s="106">
        <v>7</v>
      </c>
      <c r="AK65" s="106">
        <v>2436</v>
      </c>
      <c r="AL65" s="106">
        <v>5</v>
      </c>
      <c r="AM65" s="106">
        <v>1740</v>
      </c>
      <c r="AN65" s="106">
        <v>2.2233870781099636</v>
      </c>
      <c r="AO65" s="106">
        <v>773.73870318226739</v>
      </c>
      <c r="AP65" s="106">
        <v>3.3853729077151762</v>
      </c>
      <c r="AQ65" s="106">
        <v>1178.1097718848814</v>
      </c>
      <c r="AR65" s="106">
        <v>2.3289030865144058</v>
      </c>
      <c r="AS65" s="106">
        <v>810.45827410701327</v>
      </c>
      <c r="AT65" s="106">
        <v>1.7401143834825834</v>
      </c>
      <c r="AU65" s="106">
        <v>605.55980545193904</v>
      </c>
      <c r="AV65" s="106">
        <v>0</v>
      </c>
      <c r="AW65" s="106">
        <v>0</v>
      </c>
      <c r="AX65" s="106">
        <v>5</v>
      </c>
      <c r="AY65" s="106">
        <v>1740</v>
      </c>
      <c r="AZ65" s="106">
        <v>1.32370033998721</v>
      </c>
      <c r="BA65" s="106">
        <v>460.64771831554907</v>
      </c>
      <c r="BB65" s="106">
        <v>4</v>
      </c>
      <c r="BC65" s="106">
        <v>1392</v>
      </c>
      <c r="BD65" s="106">
        <v>6</v>
      </c>
      <c r="BE65" s="106">
        <v>2088</v>
      </c>
      <c r="BF65" s="106">
        <v>7</v>
      </c>
      <c r="BG65" s="106">
        <v>2436</v>
      </c>
      <c r="BH65" s="106">
        <v>5</v>
      </c>
      <c r="BI65" s="106">
        <v>1740</v>
      </c>
      <c r="BJ65" s="106">
        <v>4.4108639967893595</v>
      </c>
      <c r="BK65" s="106">
        <v>1534.980670882697</v>
      </c>
      <c r="BL65" s="106">
        <v>6.5644949275428957</v>
      </c>
      <c r="BM65" s="106">
        <v>2284.4442347849276</v>
      </c>
      <c r="BN65" s="106">
        <v>2.1612581716152754</v>
      </c>
      <c r="BO65" s="106">
        <v>752.11784372211582</v>
      </c>
      <c r="BP65" s="106">
        <v>0</v>
      </c>
      <c r="BQ65" s="106">
        <v>0</v>
      </c>
      <c r="BR65" s="106">
        <v>7</v>
      </c>
      <c r="BS65" s="106">
        <v>2436</v>
      </c>
      <c r="BT65" s="106">
        <v>6</v>
      </c>
      <c r="BU65" s="106">
        <v>2088</v>
      </c>
      <c r="BV65" s="106">
        <v>5</v>
      </c>
      <c r="BW65" s="106">
        <v>1740</v>
      </c>
      <c r="BX65" s="106">
        <v>6</v>
      </c>
      <c r="BY65" s="106">
        <v>2088</v>
      </c>
      <c r="BZ65" s="106">
        <v>3.6405614475343335</v>
      </c>
      <c r="CA65" s="106">
        <v>1266.9153837419481</v>
      </c>
      <c r="CB65" s="106">
        <v>3.3586283880342482</v>
      </c>
      <c r="CC65" s="106">
        <v>1168.8026790359183</v>
      </c>
      <c r="CD65" s="106">
        <v>4.8086080551470785</v>
      </c>
      <c r="CE65" s="106">
        <v>1673.3956031911832</v>
      </c>
      <c r="CF65" s="106">
        <v>4.2153382301614002</v>
      </c>
      <c r="CG65" s="106">
        <v>1466.9377040961672</v>
      </c>
      <c r="CH65" s="106">
        <v>6.4175719671354541</v>
      </c>
      <c r="CI65" s="106">
        <v>2233.3150445631381</v>
      </c>
      <c r="CJ65" s="106">
        <v>4.2961141813277592</v>
      </c>
      <c r="CK65" s="106">
        <v>1495.0477351020602</v>
      </c>
      <c r="CL65" s="106">
        <v>2.7820230066901717</v>
      </c>
      <c r="CM65" s="106">
        <v>968.14400632817978</v>
      </c>
      <c r="CN65" s="106">
        <v>15.068708434437307</v>
      </c>
      <c r="CO65" s="106">
        <v>5243.9105351841827</v>
      </c>
      <c r="CP65" s="106">
        <v>7.3099745894977373</v>
      </c>
      <c r="CQ65" s="106">
        <v>2543.8711571452127</v>
      </c>
      <c r="CR65" s="106">
        <v>6.8425792212463827</v>
      </c>
      <c r="CS65" s="106">
        <v>2381.2175689937412</v>
      </c>
      <c r="CT65" s="106">
        <v>2.9431767784191751</v>
      </c>
      <c r="CU65" s="106">
        <v>1024.225518889873</v>
      </c>
    </row>
    <row r="66" spans="2:99" x14ac:dyDescent="0.2">
      <c r="C66" s="105" t="s">
        <v>232</v>
      </c>
      <c r="D66" s="106">
        <v>3.3800190170852447</v>
      </c>
      <c r="E66" s="106">
        <v>2559.3503997369471</v>
      </c>
      <c r="F66" s="106">
        <v>6</v>
      </c>
      <c r="G66" s="106">
        <v>4543.2</v>
      </c>
      <c r="H66" s="106">
        <v>6</v>
      </c>
      <c r="I66" s="106">
        <v>4543.2</v>
      </c>
      <c r="J66" s="106">
        <v>6.4757419127779894</v>
      </c>
      <c r="K66" s="106">
        <v>4903.4317763554927</v>
      </c>
      <c r="L66" s="106">
        <v>1.3949305241916078E-15</v>
      </c>
      <c r="M66" s="106">
        <v>1.0562413929178853E-12</v>
      </c>
      <c r="N66" s="106">
        <v>10</v>
      </c>
      <c r="O66" s="106">
        <v>7571.9999999999991</v>
      </c>
      <c r="P66" s="106">
        <v>14</v>
      </c>
      <c r="Q66" s="106">
        <v>10600.8</v>
      </c>
      <c r="R66" s="106">
        <v>11</v>
      </c>
      <c r="S66" s="106">
        <v>8329.1999999999989</v>
      </c>
      <c r="T66" s="106">
        <v>10</v>
      </c>
      <c r="U66" s="106">
        <v>7571.9999999999991</v>
      </c>
      <c r="V66" s="106">
        <v>12</v>
      </c>
      <c r="W66" s="106">
        <v>9086.4</v>
      </c>
      <c r="X66" s="106">
        <v>4.7190780739509925</v>
      </c>
      <c r="Y66" s="106">
        <v>3573.2859175956914</v>
      </c>
      <c r="Z66" s="106">
        <v>5.1981299034486659</v>
      </c>
      <c r="AA66" s="106">
        <v>3936.0239628913296</v>
      </c>
      <c r="AB66" s="106">
        <v>6.8682470861209142</v>
      </c>
      <c r="AC66" s="106">
        <v>5200.6366936107561</v>
      </c>
      <c r="AD66" s="106">
        <v>5.6423019073079335</v>
      </c>
      <c r="AE66" s="106">
        <v>4272.3510042135667</v>
      </c>
      <c r="AF66" s="106">
        <v>0</v>
      </c>
      <c r="AG66" s="106">
        <v>0</v>
      </c>
      <c r="AH66" s="106">
        <v>9</v>
      </c>
      <c r="AI66" s="106">
        <v>6814.7999999999993</v>
      </c>
      <c r="AJ66" s="106">
        <v>6</v>
      </c>
      <c r="AK66" s="106">
        <v>4543.2</v>
      </c>
      <c r="AL66" s="106">
        <v>5</v>
      </c>
      <c r="AM66" s="106">
        <v>3785.9999999999995</v>
      </c>
      <c r="AN66" s="106">
        <v>2.2233870781099636</v>
      </c>
      <c r="AO66" s="106">
        <v>1683.5486955448644</v>
      </c>
      <c r="AP66" s="106">
        <v>3.3853729077151762</v>
      </c>
      <c r="AQ66" s="106">
        <v>2563.4043657219313</v>
      </c>
      <c r="AR66" s="106">
        <v>1.9407525720953382</v>
      </c>
      <c r="AS66" s="106">
        <v>1469.53784759059</v>
      </c>
      <c r="AT66" s="106">
        <v>1.7401143834825834</v>
      </c>
      <c r="AU66" s="106">
        <v>1317.614611173012</v>
      </c>
      <c r="AV66" s="106">
        <v>0</v>
      </c>
      <c r="AW66" s="106">
        <v>0</v>
      </c>
      <c r="AX66" s="106">
        <v>6</v>
      </c>
      <c r="AY66" s="106">
        <v>4543.2</v>
      </c>
      <c r="AZ66" s="106">
        <v>1.32370033998721</v>
      </c>
      <c r="BA66" s="106">
        <v>1002.3058974383154</v>
      </c>
      <c r="BB66" s="106">
        <v>4</v>
      </c>
      <c r="BC66" s="106">
        <v>3028.7999999999997</v>
      </c>
      <c r="BD66" s="106">
        <v>6</v>
      </c>
      <c r="BE66" s="106">
        <v>4543.2</v>
      </c>
      <c r="BF66" s="106">
        <v>6</v>
      </c>
      <c r="BG66" s="106">
        <v>4543.2</v>
      </c>
      <c r="BH66" s="106">
        <v>4</v>
      </c>
      <c r="BI66" s="106">
        <v>3028.7999999999997</v>
      </c>
      <c r="BJ66" s="106">
        <v>4.4108639967893595</v>
      </c>
      <c r="BK66" s="106">
        <v>3339.9062183689025</v>
      </c>
      <c r="BL66" s="106">
        <v>6.5644949275428957</v>
      </c>
      <c r="BM66" s="106">
        <v>4970.6355591354804</v>
      </c>
      <c r="BN66" s="106">
        <v>1.8010484763460626</v>
      </c>
      <c r="BO66" s="106">
        <v>1363.7539062892386</v>
      </c>
      <c r="BP66" s="106">
        <v>0</v>
      </c>
      <c r="BQ66" s="106">
        <v>0</v>
      </c>
      <c r="BR66" s="106">
        <v>7</v>
      </c>
      <c r="BS66" s="106">
        <v>5300.4</v>
      </c>
      <c r="BT66" s="106">
        <v>6</v>
      </c>
      <c r="BU66" s="106">
        <v>4543.2</v>
      </c>
      <c r="BV66" s="106">
        <v>5</v>
      </c>
      <c r="BW66" s="106">
        <v>3785.9999999999995</v>
      </c>
      <c r="BX66" s="106">
        <v>6</v>
      </c>
      <c r="BY66" s="106">
        <v>4543.2</v>
      </c>
      <c r="BZ66" s="106">
        <v>3.1854912665925426</v>
      </c>
      <c r="CA66" s="106">
        <v>2412.0539870638731</v>
      </c>
      <c r="CB66" s="106">
        <v>4.1982854850428106</v>
      </c>
      <c r="CC66" s="106">
        <v>3178.9417692744159</v>
      </c>
      <c r="CD66" s="106">
        <v>4.8086080551470785</v>
      </c>
      <c r="CE66" s="106">
        <v>3641.0780193573673</v>
      </c>
      <c r="CF66" s="106">
        <v>4.2153382301614002</v>
      </c>
      <c r="CG66" s="106">
        <v>3191.8541078782118</v>
      </c>
      <c r="CH66" s="106">
        <v>6.4175719671354541</v>
      </c>
      <c r="CI66" s="106">
        <v>4859.3854935149657</v>
      </c>
      <c r="CJ66" s="106">
        <v>4.2961141813277592</v>
      </c>
      <c r="CK66" s="106">
        <v>3253.0176581013789</v>
      </c>
      <c r="CL66" s="106">
        <v>2.7820230066901717</v>
      </c>
      <c r="CM66" s="106">
        <v>2106.5478206657976</v>
      </c>
      <c r="CN66" s="106">
        <v>13.295919206856446</v>
      </c>
      <c r="CO66" s="106">
        <v>10067.6700234317</v>
      </c>
      <c r="CP66" s="106">
        <v>6.700810040372926</v>
      </c>
      <c r="CQ66" s="106">
        <v>5073.8533625703794</v>
      </c>
      <c r="CR66" s="106">
        <v>6.8425792212463827</v>
      </c>
      <c r="CS66" s="106">
        <v>5181.2009863277608</v>
      </c>
      <c r="CT66" s="106">
        <v>2.9431767784191751</v>
      </c>
      <c r="CU66" s="106">
        <v>2228.573456618999</v>
      </c>
    </row>
    <row r="67" spans="2:99" x14ac:dyDescent="0.2">
      <c r="C67" s="105" t="s">
        <v>233</v>
      </c>
      <c r="D67" s="106">
        <v>2.8166825142377037</v>
      </c>
      <c r="E67" s="106">
        <v>1125.5463326893862</v>
      </c>
      <c r="F67" s="106">
        <v>6</v>
      </c>
      <c r="G67" s="106">
        <v>2397.6</v>
      </c>
      <c r="H67" s="106">
        <v>6</v>
      </c>
      <c r="I67" s="106">
        <v>2397.6</v>
      </c>
      <c r="J67" s="106">
        <v>6.4757419127779894</v>
      </c>
      <c r="K67" s="106">
        <v>2587.7064683460844</v>
      </c>
      <c r="L67" s="106">
        <v>1.4821136819535831E-15</v>
      </c>
      <c r="M67" s="106">
        <v>5.9225262730865173E-13</v>
      </c>
      <c r="N67" s="106">
        <v>11</v>
      </c>
      <c r="O67" s="106">
        <v>4395.5999999999995</v>
      </c>
      <c r="P67" s="106">
        <v>15</v>
      </c>
      <c r="Q67" s="106">
        <v>5993.9999999999991</v>
      </c>
      <c r="R67" s="106">
        <v>12</v>
      </c>
      <c r="S67" s="106">
        <v>4795.2</v>
      </c>
      <c r="T67" s="106">
        <v>10</v>
      </c>
      <c r="U67" s="106">
        <v>3995.9999999999995</v>
      </c>
      <c r="V67" s="106">
        <v>13</v>
      </c>
      <c r="W67" s="106">
        <v>5194.7999999999993</v>
      </c>
      <c r="X67" s="106">
        <v>4.7190780739509925</v>
      </c>
      <c r="Y67" s="106">
        <v>1885.7435983508165</v>
      </c>
      <c r="Z67" s="106">
        <v>5.1981299034486659</v>
      </c>
      <c r="AA67" s="106">
        <v>2077.1727094180869</v>
      </c>
      <c r="AB67" s="106">
        <v>6.1051085209963682</v>
      </c>
      <c r="AC67" s="106">
        <v>2439.6013649901483</v>
      </c>
      <c r="AD67" s="106">
        <v>5.6423019073079335</v>
      </c>
      <c r="AE67" s="106">
        <v>2254.6638421602502</v>
      </c>
      <c r="AF67" s="106">
        <v>0</v>
      </c>
      <c r="AG67" s="106">
        <v>0</v>
      </c>
      <c r="AH67" s="106">
        <v>11</v>
      </c>
      <c r="AI67" s="106">
        <v>4395.5999999999995</v>
      </c>
      <c r="AJ67" s="106">
        <v>6</v>
      </c>
      <c r="AK67" s="106">
        <v>2397.6</v>
      </c>
      <c r="AL67" s="106">
        <v>5</v>
      </c>
      <c r="AM67" s="106">
        <v>1997.9999999999998</v>
      </c>
      <c r="AN67" s="106">
        <v>2.6680644937319564</v>
      </c>
      <c r="AO67" s="106">
        <v>1066.1585716952898</v>
      </c>
      <c r="AP67" s="106">
        <v>3.3853729077151762</v>
      </c>
      <c r="AQ67" s="106">
        <v>1352.7950139229843</v>
      </c>
      <c r="AR67" s="106">
        <v>1.9407525720953382</v>
      </c>
      <c r="AS67" s="106">
        <v>775.52472780929713</v>
      </c>
      <c r="AT67" s="106">
        <v>2.1751429793532293</v>
      </c>
      <c r="AU67" s="106">
        <v>869.18713454955036</v>
      </c>
      <c r="AV67" s="106">
        <v>0</v>
      </c>
      <c r="AW67" s="106">
        <v>0</v>
      </c>
      <c r="AX67" s="106">
        <v>5</v>
      </c>
      <c r="AY67" s="106">
        <v>1997.9999999999998</v>
      </c>
      <c r="AZ67" s="106">
        <v>1.0589602719897682</v>
      </c>
      <c r="BA67" s="106">
        <v>423.16052468711132</v>
      </c>
      <c r="BB67" s="106">
        <v>4</v>
      </c>
      <c r="BC67" s="106">
        <v>1598.3999999999999</v>
      </c>
      <c r="BD67" s="106">
        <v>6</v>
      </c>
      <c r="BE67" s="106">
        <v>2397.6</v>
      </c>
      <c r="BF67" s="106">
        <v>6</v>
      </c>
      <c r="BG67" s="106">
        <v>2397.6</v>
      </c>
      <c r="BH67" s="106">
        <v>4</v>
      </c>
      <c r="BI67" s="106">
        <v>1598.3999999999999</v>
      </c>
      <c r="BJ67" s="106">
        <v>4.4108639967893595</v>
      </c>
      <c r="BK67" s="106">
        <v>1762.5812531170279</v>
      </c>
      <c r="BL67" s="106">
        <v>6.5644949275428957</v>
      </c>
      <c r="BM67" s="106">
        <v>2623.1721730461409</v>
      </c>
      <c r="BN67" s="106">
        <v>1.8010484763460626</v>
      </c>
      <c r="BO67" s="106">
        <v>719.6989711478866</v>
      </c>
      <c r="BP67" s="106">
        <v>0</v>
      </c>
      <c r="BQ67" s="106">
        <v>0</v>
      </c>
      <c r="BR67" s="106">
        <v>7</v>
      </c>
      <c r="BS67" s="106">
        <v>2797.2</v>
      </c>
      <c r="BT67" s="106">
        <v>6</v>
      </c>
      <c r="BU67" s="106">
        <v>2397.6</v>
      </c>
      <c r="BV67" s="106">
        <v>5</v>
      </c>
      <c r="BW67" s="106">
        <v>1997.9999999999998</v>
      </c>
      <c r="BX67" s="106">
        <v>6</v>
      </c>
      <c r="BY67" s="106">
        <v>2397.6</v>
      </c>
      <c r="BZ67" s="106">
        <v>3.6405614475343335</v>
      </c>
      <c r="CA67" s="106">
        <v>1454.7683544347196</v>
      </c>
      <c r="CB67" s="106">
        <v>4.1982854850428106</v>
      </c>
      <c r="CC67" s="106">
        <v>1677.634879823107</v>
      </c>
      <c r="CD67" s="106">
        <v>4.8086080551470785</v>
      </c>
      <c r="CE67" s="106">
        <v>1921.5197788367723</v>
      </c>
      <c r="CF67" s="106">
        <v>5.0584058761936799</v>
      </c>
      <c r="CG67" s="106">
        <v>2021.3389881269943</v>
      </c>
      <c r="CH67" s="106">
        <v>5.5007759718303895</v>
      </c>
      <c r="CI67" s="106">
        <v>2198.1100783434235</v>
      </c>
      <c r="CJ67" s="106">
        <v>5.1553370175933111</v>
      </c>
      <c r="CK67" s="106">
        <v>2060.072672230287</v>
      </c>
      <c r="CL67" s="106">
        <v>2.4342701308539003</v>
      </c>
      <c r="CM67" s="106">
        <v>972.73434428921848</v>
      </c>
      <c r="CN67" s="106">
        <v>15.068708434437307</v>
      </c>
      <c r="CO67" s="106">
        <v>6021.4558904011474</v>
      </c>
      <c r="CP67" s="106">
        <v>7.3099745894977373</v>
      </c>
      <c r="CQ67" s="106">
        <v>2921.0658459632955</v>
      </c>
      <c r="CR67" s="106">
        <v>6.4400745611730663</v>
      </c>
      <c r="CS67" s="106">
        <v>2573.4537946447572</v>
      </c>
      <c r="CT67" s="106">
        <v>2.9431767784191751</v>
      </c>
      <c r="CU67" s="106">
        <v>1176.0934406563024</v>
      </c>
    </row>
    <row r="68" spans="2:99" x14ac:dyDescent="0.2">
      <c r="C68" s="105" t="s">
        <v>234</v>
      </c>
      <c r="D68" s="106">
        <v>2.8166825142377037</v>
      </c>
      <c r="E68" s="106">
        <v>2656.6949474290018</v>
      </c>
      <c r="F68" s="106">
        <v>7</v>
      </c>
      <c r="G68" s="106">
        <v>6602.4</v>
      </c>
      <c r="H68" s="106">
        <v>5</v>
      </c>
      <c r="I68" s="106">
        <v>4716</v>
      </c>
      <c r="J68" s="106">
        <v>7.4008479003177037</v>
      </c>
      <c r="K68" s="106">
        <v>6980.4797395796577</v>
      </c>
      <c r="L68" s="106">
        <v>1.3949305241916078E-15</v>
      </c>
      <c r="M68" s="106">
        <v>1.3156984704175243E-12</v>
      </c>
      <c r="N68" s="106">
        <v>10</v>
      </c>
      <c r="O68" s="106">
        <v>9432</v>
      </c>
      <c r="P68" s="106">
        <v>15</v>
      </c>
      <c r="Q68" s="106">
        <v>14147.999999999998</v>
      </c>
      <c r="R68" s="106">
        <v>12</v>
      </c>
      <c r="S68" s="106">
        <v>11318.4</v>
      </c>
      <c r="T68" s="106">
        <v>9</v>
      </c>
      <c r="U68" s="106">
        <v>8488.7999999999993</v>
      </c>
      <c r="V68" s="106">
        <v>11</v>
      </c>
      <c r="W68" s="106">
        <v>10375.199999999999</v>
      </c>
      <c r="X68" s="106">
        <v>4.1947360657342152</v>
      </c>
      <c r="Y68" s="106">
        <v>3956.4750572005114</v>
      </c>
      <c r="Z68" s="106">
        <v>5.8478961413797501</v>
      </c>
      <c r="AA68" s="106">
        <v>5515.7356405493802</v>
      </c>
      <c r="AB68" s="106">
        <v>6.8682470861209142</v>
      </c>
      <c r="AC68" s="106">
        <v>6478.1306516292461</v>
      </c>
      <c r="AD68" s="106">
        <v>5.6423019073079335</v>
      </c>
      <c r="AE68" s="106">
        <v>5321.8191589728422</v>
      </c>
      <c r="AF68" s="106">
        <v>0</v>
      </c>
      <c r="AG68" s="106">
        <v>0</v>
      </c>
      <c r="AH68" s="106">
        <v>10</v>
      </c>
      <c r="AI68" s="106">
        <v>9432</v>
      </c>
      <c r="AJ68" s="106">
        <v>6</v>
      </c>
      <c r="AK68" s="106">
        <v>5659.2</v>
      </c>
      <c r="AL68" s="106">
        <v>5</v>
      </c>
      <c r="AM68" s="106">
        <v>4716</v>
      </c>
      <c r="AN68" s="106">
        <v>2.2233870781099636</v>
      </c>
      <c r="AO68" s="106">
        <v>2097.0986920733176</v>
      </c>
      <c r="AP68" s="106">
        <v>3.3853729077151762</v>
      </c>
      <c r="AQ68" s="106">
        <v>3193.0837265569539</v>
      </c>
      <c r="AR68" s="106">
        <v>1.9407525720953382</v>
      </c>
      <c r="AS68" s="106">
        <v>1830.5178260003229</v>
      </c>
      <c r="AT68" s="106">
        <v>1.7401143834825834</v>
      </c>
      <c r="AU68" s="106">
        <v>1641.2758865007725</v>
      </c>
      <c r="AV68" s="106">
        <v>0</v>
      </c>
      <c r="AW68" s="106">
        <v>0</v>
      </c>
      <c r="AX68" s="106">
        <v>5</v>
      </c>
      <c r="AY68" s="106">
        <v>4716</v>
      </c>
      <c r="AZ68" s="106">
        <v>1.0589602719897682</v>
      </c>
      <c r="BA68" s="106">
        <v>998.81132854074929</v>
      </c>
      <c r="BB68" s="106">
        <v>4</v>
      </c>
      <c r="BC68" s="106">
        <v>3772.7999999999997</v>
      </c>
      <c r="BD68" s="106">
        <v>6</v>
      </c>
      <c r="BE68" s="106">
        <v>5659.2</v>
      </c>
      <c r="BF68" s="106">
        <v>6</v>
      </c>
      <c r="BG68" s="106">
        <v>5659.2</v>
      </c>
      <c r="BH68" s="106">
        <v>4</v>
      </c>
      <c r="BI68" s="106">
        <v>3772.7999999999997</v>
      </c>
      <c r="BJ68" s="106">
        <v>4.4108639967893595</v>
      </c>
      <c r="BK68" s="106">
        <v>4160.3269217717234</v>
      </c>
      <c r="BL68" s="106">
        <v>6.5644949275428957</v>
      </c>
      <c r="BM68" s="106">
        <v>6191.6316156584589</v>
      </c>
      <c r="BN68" s="106">
        <v>1.8010484763460626</v>
      </c>
      <c r="BO68" s="106">
        <v>1698.7489228896061</v>
      </c>
      <c r="BP68" s="106">
        <v>0</v>
      </c>
      <c r="BQ68" s="106">
        <v>0</v>
      </c>
      <c r="BR68" s="106">
        <v>7</v>
      </c>
      <c r="BS68" s="106">
        <v>6602.4</v>
      </c>
      <c r="BT68" s="106">
        <v>7</v>
      </c>
      <c r="BU68" s="106">
        <v>6602.4</v>
      </c>
      <c r="BV68" s="106">
        <v>5</v>
      </c>
      <c r="BW68" s="106">
        <v>4716</v>
      </c>
      <c r="BX68" s="106">
        <v>6</v>
      </c>
      <c r="BY68" s="106">
        <v>5659.2</v>
      </c>
      <c r="BZ68" s="106">
        <v>3.6405614475343335</v>
      </c>
      <c r="CA68" s="106">
        <v>3433.7775573143831</v>
      </c>
      <c r="CB68" s="106">
        <v>3.3586283880342482</v>
      </c>
      <c r="CC68" s="106">
        <v>3167.8582955939028</v>
      </c>
      <c r="CD68" s="106">
        <v>4.8086080551470785</v>
      </c>
      <c r="CE68" s="106">
        <v>4535.4791176147237</v>
      </c>
      <c r="CF68" s="106">
        <v>4.2153382301614002</v>
      </c>
      <c r="CG68" s="106">
        <v>3975.9070186882323</v>
      </c>
      <c r="CH68" s="106">
        <v>6.4175719671354541</v>
      </c>
      <c r="CI68" s="106">
        <v>6053.0538794021595</v>
      </c>
      <c r="CJ68" s="106">
        <v>5.1553370175933111</v>
      </c>
      <c r="CK68" s="106">
        <v>4862.5138749940106</v>
      </c>
      <c r="CL68" s="106">
        <v>2.7820230066901717</v>
      </c>
      <c r="CM68" s="106">
        <v>2624.0040999101698</v>
      </c>
      <c r="CN68" s="106">
        <v>13.295919206856446</v>
      </c>
      <c r="CO68" s="106">
        <v>12540.710995906999</v>
      </c>
      <c r="CP68" s="106">
        <v>7.3099745894977373</v>
      </c>
      <c r="CQ68" s="106">
        <v>6894.7680328142651</v>
      </c>
      <c r="CR68" s="106">
        <v>6.4400745611730663</v>
      </c>
      <c r="CS68" s="106">
        <v>6074.2783260984361</v>
      </c>
      <c r="CT68" s="106">
        <v>2.6488591005772575</v>
      </c>
      <c r="CU68" s="106">
        <v>2498.403903664469</v>
      </c>
    </row>
    <row r="69" spans="2:99" x14ac:dyDescent="0.2">
      <c r="C69" s="105" t="s">
        <v>235</v>
      </c>
      <c r="D69" s="106">
        <v>0</v>
      </c>
      <c r="E69" s="106">
        <v>0</v>
      </c>
      <c r="F69" s="106">
        <v>4.8389621723900769</v>
      </c>
      <c r="G69" s="106">
        <v>4285.3848998686526</v>
      </c>
      <c r="H69" s="106">
        <v>0</v>
      </c>
      <c r="I69" s="106">
        <v>0</v>
      </c>
      <c r="J69" s="106">
        <v>2.5607291144071009</v>
      </c>
      <c r="K69" s="106">
        <v>2267.7817037189288</v>
      </c>
      <c r="L69" s="106">
        <v>4.788948126781488</v>
      </c>
      <c r="M69" s="106">
        <v>4241.0924610776856</v>
      </c>
      <c r="N69" s="106">
        <v>2.5833246561128145</v>
      </c>
      <c r="O69" s="106">
        <v>2287.7923154535088</v>
      </c>
      <c r="P69" s="106">
        <v>5.0796485069254036</v>
      </c>
      <c r="Q69" s="106">
        <v>4498.5367177331373</v>
      </c>
      <c r="R69" s="106">
        <v>1.4359067933088467</v>
      </c>
      <c r="S69" s="106">
        <v>1271.6390561543146</v>
      </c>
      <c r="T69" s="106">
        <v>1.5007779449686343</v>
      </c>
      <c r="U69" s="106">
        <v>1329.0889480642224</v>
      </c>
      <c r="V69" s="106">
        <v>5.6745169753026552</v>
      </c>
      <c r="W69" s="106">
        <v>5025.3522333280316</v>
      </c>
      <c r="X69" s="106">
        <v>0</v>
      </c>
      <c r="Y69" s="106">
        <v>0</v>
      </c>
      <c r="Z69" s="106">
        <v>2.0099424768260481</v>
      </c>
      <c r="AA69" s="106">
        <v>1780.0050574771483</v>
      </c>
      <c r="AB69" s="106">
        <v>0</v>
      </c>
      <c r="AC69" s="106">
        <v>0</v>
      </c>
      <c r="AD69" s="106">
        <v>1.7006406487945878</v>
      </c>
      <c r="AE69" s="106">
        <v>1506.0873585724869</v>
      </c>
      <c r="AF69" s="106">
        <v>1.8712355488085326</v>
      </c>
      <c r="AG69" s="106">
        <v>1657.1662020248366</v>
      </c>
      <c r="AH69" s="106">
        <v>0.63944846603273275</v>
      </c>
      <c r="AI69" s="106">
        <v>566.2955615185881</v>
      </c>
      <c r="AJ69" s="106">
        <v>0.64251762677088398</v>
      </c>
      <c r="AK69" s="106">
        <v>569.01361026829488</v>
      </c>
      <c r="AL69" s="106">
        <v>1.0652548218054281</v>
      </c>
      <c r="AM69" s="106">
        <v>943.38967019088716</v>
      </c>
      <c r="AN69" s="106">
        <v>1.1397758796319695</v>
      </c>
      <c r="AO69" s="106">
        <v>1009.3855190020722</v>
      </c>
      <c r="AP69" s="106">
        <v>0.27679403419631127</v>
      </c>
      <c r="AQ69" s="106">
        <v>245.12879668425327</v>
      </c>
      <c r="AR69" s="106">
        <v>0.44221917463363597</v>
      </c>
      <c r="AS69" s="106">
        <v>391.62930105554801</v>
      </c>
      <c r="AT69" s="106">
        <v>0.40504989055882612</v>
      </c>
      <c r="AU69" s="106">
        <v>358.71218307889643</v>
      </c>
      <c r="AV69" s="106">
        <v>0</v>
      </c>
      <c r="AW69" s="106">
        <v>0</v>
      </c>
      <c r="AX69" s="106">
        <v>1.6202475726195724</v>
      </c>
      <c r="AY69" s="106">
        <v>1434.8912503118934</v>
      </c>
      <c r="AZ69" s="106">
        <v>0.7839537566306739</v>
      </c>
      <c r="BA69" s="106">
        <v>694.26944687212483</v>
      </c>
      <c r="BB69" s="106">
        <v>0.91897921085755097</v>
      </c>
      <c r="BC69" s="106">
        <v>813.84798913544716</v>
      </c>
      <c r="BD69" s="106">
        <v>0</v>
      </c>
      <c r="BE69" s="106">
        <v>0</v>
      </c>
      <c r="BF69" s="106">
        <v>2.2659773474358853</v>
      </c>
      <c r="BG69" s="106">
        <v>2006.74953888922</v>
      </c>
      <c r="BH69" s="106">
        <v>8.5222517032695672E-17</v>
      </c>
      <c r="BI69" s="106">
        <v>7.5473061084155294E-14</v>
      </c>
      <c r="BJ69" s="106">
        <v>0.99372446370692968</v>
      </c>
      <c r="BK69" s="106">
        <v>880.04238505885689</v>
      </c>
      <c r="BL69" s="106">
        <v>1.5789838572446671E-16</v>
      </c>
      <c r="BM69" s="106">
        <v>1.3983481039758771E-13</v>
      </c>
      <c r="BN69" s="106">
        <v>1.4059195473151131</v>
      </c>
      <c r="BO69" s="106">
        <v>1245.0823511022643</v>
      </c>
      <c r="BP69" s="106">
        <v>0.79592088058809296</v>
      </c>
      <c r="BQ69" s="106">
        <v>704.86753184881513</v>
      </c>
      <c r="BR69" s="106">
        <v>1.4179997419538144</v>
      </c>
      <c r="BS69" s="106">
        <v>1255.7805714742981</v>
      </c>
      <c r="BT69" s="106">
        <v>0</v>
      </c>
      <c r="BU69" s="106">
        <v>0</v>
      </c>
      <c r="BV69" s="106">
        <v>1.5721353657641026</v>
      </c>
      <c r="BW69" s="106">
        <v>1392.2830799206893</v>
      </c>
      <c r="BX69" s="106">
        <v>0.909870639814644</v>
      </c>
      <c r="BY69" s="106">
        <v>805.7814386198487</v>
      </c>
      <c r="BZ69" s="106">
        <v>1.4248270439316022</v>
      </c>
      <c r="CA69" s="106">
        <v>1261.826830105827</v>
      </c>
      <c r="CB69" s="106">
        <v>0.61651494740542645</v>
      </c>
      <c r="CC69" s="106">
        <v>545.98563742224565</v>
      </c>
      <c r="CD69" s="106">
        <v>0.89595903706767832</v>
      </c>
      <c r="CE69" s="106">
        <v>793.46132322713595</v>
      </c>
      <c r="CF69" s="106">
        <v>0</v>
      </c>
      <c r="CG69" s="106">
        <v>0</v>
      </c>
      <c r="CH69" s="106">
        <v>3.3310754427780189</v>
      </c>
      <c r="CI69" s="106">
        <v>2950.0004121242137</v>
      </c>
      <c r="CJ69" s="106">
        <v>0</v>
      </c>
      <c r="CK69" s="106">
        <v>0</v>
      </c>
      <c r="CL69" s="106">
        <v>2.3114841847352632</v>
      </c>
      <c r="CM69" s="106">
        <v>2047.0503940015492</v>
      </c>
      <c r="CN69" s="106">
        <v>2.2458567415088888</v>
      </c>
      <c r="CO69" s="106">
        <v>1988.930730280272</v>
      </c>
      <c r="CP69" s="106">
        <v>3.0182724264613596</v>
      </c>
      <c r="CQ69" s="106">
        <v>2672.9820608741802</v>
      </c>
      <c r="CR69" s="106">
        <v>3.3539207183683524</v>
      </c>
      <c r="CS69" s="106">
        <v>2970.232188187013</v>
      </c>
      <c r="CT69" s="106">
        <v>1.0943164307980529</v>
      </c>
      <c r="CU69" s="106">
        <v>969.12663111475558</v>
      </c>
    </row>
    <row r="70" spans="2:99" x14ac:dyDescent="0.2">
      <c r="C70" s="105" t="s">
        <v>236</v>
      </c>
      <c r="D70" s="106">
        <v>0</v>
      </c>
      <c r="E70" s="106">
        <v>0</v>
      </c>
      <c r="F70" s="106">
        <v>4.8389621723900769</v>
      </c>
      <c r="G70" s="106">
        <v>3425.9852180521743</v>
      </c>
      <c r="H70" s="106">
        <v>0</v>
      </c>
      <c r="I70" s="106">
        <v>0</v>
      </c>
      <c r="J70" s="106">
        <v>2.9265475593224011</v>
      </c>
      <c r="K70" s="106">
        <v>2071.9956720002601</v>
      </c>
      <c r="L70" s="106">
        <v>4.788948126781488</v>
      </c>
      <c r="M70" s="106">
        <v>3390.5752737612934</v>
      </c>
      <c r="N70" s="106">
        <v>2.5833246561128145</v>
      </c>
      <c r="O70" s="106">
        <v>1828.9938565278726</v>
      </c>
      <c r="P70" s="106">
        <v>5.4424805431343621</v>
      </c>
      <c r="Q70" s="106">
        <v>3853.2762245391282</v>
      </c>
      <c r="R70" s="106">
        <v>1.3162478938664428</v>
      </c>
      <c r="S70" s="106">
        <v>931.90350885744147</v>
      </c>
      <c r="T70" s="106">
        <v>1.6675310499651492</v>
      </c>
      <c r="U70" s="106">
        <v>1180.6119833753257</v>
      </c>
      <c r="V70" s="106">
        <v>5.6745169753026552</v>
      </c>
      <c r="W70" s="106">
        <v>4017.5580185142799</v>
      </c>
      <c r="X70" s="106">
        <v>0</v>
      </c>
      <c r="Y70" s="106">
        <v>0</v>
      </c>
      <c r="Z70" s="106">
        <v>2.2611852864293036</v>
      </c>
      <c r="AA70" s="106">
        <v>1600.9191827919469</v>
      </c>
      <c r="AB70" s="106">
        <v>0</v>
      </c>
      <c r="AC70" s="106">
        <v>0</v>
      </c>
      <c r="AD70" s="106">
        <v>1.7006406487945878</v>
      </c>
      <c r="AE70" s="106">
        <v>1204.0535793465681</v>
      </c>
      <c r="AF70" s="106">
        <v>1.8712355488085326</v>
      </c>
      <c r="AG70" s="106">
        <v>1324.8347685564411</v>
      </c>
      <c r="AH70" s="106">
        <v>0.58131678730248426</v>
      </c>
      <c r="AI70" s="106">
        <v>411.57228541015888</v>
      </c>
      <c r="AJ70" s="106">
        <v>0.74960389789936466</v>
      </c>
      <c r="AK70" s="106">
        <v>530.7195597127502</v>
      </c>
      <c r="AL70" s="106">
        <v>1.0652548218054281</v>
      </c>
      <c r="AM70" s="106">
        <v>754.20041383824309</v>
      </c>
      <c r="AN70" s="106">
        <v>1.3677310555583633</v>
      </c>
      <c r="AO70" s="106">
        <v>968.35358733532121</v>
      </c>
      <c r="AP70" s="106">
        <v>0.27679403419631127</v>
      </c>
      <c r="AQ70" s="106">
        <v>195.97017621098837</v>
      </c>
      <c r="AR70" s="106">
        <v>0.53066300956036327</v>
      </c>
      <c r="AS70" s="106">
        <v>375.7094107687372</v>
      </c>
      <c r="AT70" s="106">
        <v>0.32403991244706087</v>
      </c>
      <c r="AU70" s="106">
        <v>229.4202580125191</v>
      </c>
      <c r="AV70" s="106">
        <v>0</v>
      </c>
      <c r="AW70" s="106">
        <v>0</v>
      </c>
      <c r="AX70" s="106">
        <v>1.6202475726195724</v>
      </c>
      <c r="AY70" s="106">
        <v>1147.1352814146574</v>
      </c>
      <c r="AZ70" s="106">
        <v>0.7839537566306739</v>
      </c>
      <c r="BA70" s="106">
        <v>555.03925969451711</v>
      </c>
      <c r="BB70" s="106">
        <v>0.91897921085755097</v>
      </c>
      <c r="BC70" s="106">
        <v>650.63728128714604</v>
      </c>
      <c r="BD70" s="106">
        <v>0</v>
      </c>
      <c r="BE70" s="106">
        <v>0</v>
      </c>
      <c r="BF70" s="106">
        <v>2.2659773474358853</v>
      </c>
      <c r="BG70" s="106">
        <v>1604.3119619846068</v>
      </c>
      <c r="BH70" s="106">
        <v>8.5222517032695672E-17</v>
      </c>
      <c r="BI70" s="106">
        <v>6.0337542059148537E-14</v>
      </c>
      <c r="BJ70" s="106">
        <v>0.99372446370692968</v>
      </c>
      <c r="BK70" s="106">
        <v>703.55692030450621</v>
      </c>
      <c r="BL70" s="106">
        <v>1.3816108750890837E-16</v>
      </c>
      <c r="BM70" s="106">
        <v>9.7818049956307131E-14</v>
      </c>
      <c r="BN70" s="106">
        <v>1.6871034567781358</v>
      </c>
      <c r="BO70" s="106">
        <v>1194.4692473989201</v>
      </c>
      <c r="BP70" s="106">
        <v>0.79592088058809296</v>
      </c>
      <c r="BQ70" s="106">
        <v>563.51198345636976</v>
      </c>
      <c r="BR70" s="106">
        <v>1.4179997419538144</v>
      </c>
      <c r="BS70" s="106">
        <v>1003.9438173033006</v>
      </c>
      <c r="BT70" s="106">
        <v>0</v>
      </c>
      <c r="BU70" s="106">
        <v>0</v>
      </c>
      <c r="BV70" s="106">
        <v>1.9651692072051286</v>
      </c>
      <c r="BW70" s="106">
        <v>1391.3397987012311</v>
      </c>
      <c r="BX70" s="106">
        <v>0.909870639814644</v>
      </c>
      <c r="BY70" s="106">
        <v>644.18841298876794</v>
      </c>
      <c r="BZ70" s="106">
        <v>1.4248270439316022</v>
      </c>
      <c r="CA70" s="106">
        <v>1008.7775471035743</v>
      </c>
      <c r="CB70" s="106">
        <v>0.77064368425678298</v>
      </c>
      <c r="CC70" s="106">
        <v>545.61572845380238</v>
      </c>
      <c r="CD70" s="106">
        <v>1.0452855432456245</v>
      </c>
      <c r="CE70" s="106">
        <v>740.06216461790211</v>
      </c>
      <c r="CF70" s="106">
        <v>0</v>
      </c>
      <c r="CG70" s="106">
        <v>0</v>
      </c>
      <c r="CH70" s="106">
        <v>3.3310754427780189</v>
      </c>
      <c r="CI70" s="106">
        <v>2358.4014134868376</v>
      </c>
      <c r="CJ70" s="106">
        <v>0</v>
      </c>
      <c r="CK70" s="106">
        <v>0</v>
      </c>
      <c r="CL70" s="106">
        <v>2.3114841847352632</v>
      </c>
      <c r="CM70" s="106">
        <v>1636.5308027925664</v>
      </c>
      <c r="CN70" s="106">
        <v>2.1054906951645833</v>
      </c>
      <c r="CO70" s="106">
        <v>1490.687412176525</v>
      </c>
      <c r="CP70" s="106">
        <v>3.2697951286664728</v>
      </c>
      <c r="CQ70" s="106">
        <v>2315.0149510958627</v>
      </c>
      <c r="CR70" s="106">
        <v>3.156631264346685</v>
      </c>
      <c r="CS70" s="106">
        <v>2234.8949351574529</v>
      </c>
      <c r="CT70" s="106">
        <v>1.2037480738778581</v>
      </c>
      <c r="CU70" s="106">
        <v>852.25363630552351</v>
      </c>
    </row>
    <row r="71" spans="2:99" x14ac:dyDescent="0.2">
      <c r="B71" s="105" t="s">
        <v>130</v>
      </c>
      <c r="C71" s="105" t="s">
        <v>237</v>
      </c>
      <c r="D71" s="106">
        <v>8.4500475427131114</v>
      </c>
      <c r="E71" s="106">
        <v>4735.4066429364275</v>
      </c>
      <c r="F71" s="106">
        <v>14</v>
      </c>
      <c r="G71" s="106">
        <v>7845.5999999999995</v>
      </c>
      <c r="H71" s="106">
        <v>16</v>
      </c>
      <c r="I71" s="106">
        <v>8966.4</v>
      </c>
      <c r="J71" s="106">
        <v>11.101271850476554</v>
      </c>
      <c r="K71" s="106">
        <v>6221.1527450070607</v>
      </c>
      <c r="L71" s="106">
        <v>6.1028210433382841E-16</v>
      </c>
      <c r="M71" s="106">
        <v>3.4200209126867743E-13</v>
      </c>
      <c r="N71" s="106">
        <v>6</v>
      </c>
      <c r="O71" s="106">
        <v>3362.3999999999996</v>
      </c>
      <c r="P71" s="106">
        <v>8</v>
      </c>
      <c r="Q71" s="106">
        <v>4483.2</v>
      </c>
      <c r="R71" s="106">
        <v>6</v>
      </c>
      <c r="S71" s="106">
        <v>3362.3999999999996</v>
      </c>
      <c r="T71" s="106">
        <v>22</v>
      </c>
      <c r="U71" s="106">
        <v>12328.8</v>
      </c>
      <c r="V71" s="106">
        <v>19</v>
      </c>
      <c r="W71" s="106">
        <v>10647.6</v>
      </c>
      <c r="X71" s="106">
        <v>6.816446106818101</v>
      </c>
      <c r="Y71" s="106">
        <v>3819.9363982608638</v>
      </c>
      <c r="Z71" s="106">
        <v>16.893922186208169</v>
      </c>
      <c r="AA71" s="106">
        <v>9467.3539931510568</v>
      </c>
      <c r="AB71" s="106">
        <v>7.6313856512454601</v>
      </c>
      <c r="AC71" s="106">
        <v>4276.6285189579557</v>
      </c>
      <c r="AD71" s="106">
        <v>9.4038365121798897</v>
      </c>
      <c r="AE71" s="106">
        <v>5269.9099814256097</v>
      </c>
      <c r="AF71" s="106">
        <v>0</v>
      </c>
      <c r="AG71" s="106">
        <v>0</v>
      </c>
      <c r="AH71" s="106">
        <v>12</v>
      </c>
      <c r="AI71" s="106">
        <v>6724.7999999999993</v>
      </c>
      <c r="AJ71" s="106">
        <v>8</v>
      </c>
      <c r="AK71" s="106">
        <v>4483.2</v>
      </c>
      <c r="AL71" s="106">
        <v>11</v>
      </c>
      <c r="AM71" s="106">
        <v>6164.4</v>
      </c>
      <c r="AN71" s="106">
        <v>5.7808064030859052</v>
      </c>
      <c r="AO71" s="106">
        <v>3239.5639082893413</v>
      </c>
      <c r="AP71" s="106">
        <v>6.7707458154303524</v>
      </c>
      <c r="AQ71" s="106">
        <v>3794.3259549671693</v>
      </c>
      <c r="AR71" s="106">
        <v>3.1052041153525409</v>
      </c>
      <c r="AS71" s="106">
        <v>1740.1563862435639</v>
      </c>
      <c r="AT71" s="106">
        <v>3.0452001710945207</v>
      </c>
      <c r="AU71" s="106">
        <v>1706.5301758813694</v>
      </c>
      <c r="AV71" s="106">
        <v>0</v>
      </c>
      <c r="AW71" s="106">
        <v>0</v>
      </c>
      <c r="AX71" s="106">
        <v>10</v>
      </c>
      <c r="AY71" s="106">
        <v>5604</v>
      </c>
      <c r="AZ71" s="106">
        <v>2.6474006799744201</v>
      </c>
      <c r="BA71" s="106">
        <v>1483.6033410576649</v>
      </c>
      <c r="BB71" s="106">
        <v>11</v>
      </c>
      <c r="BC71" s="106">
        <v>6164.4</v>
      </c>
      <c r="BD71" s="106">
        <v>8</v>
      </c>
      <c r="BE71" s="106">
        <v>4483.2</v>
      </c>
      <c r="BF71" s="106">
        <v>10</v>
      </c>
      <c r="BG71" s="106">
        <v>5604</v>
      </c>
      <c r="BH71" s="106">
        <v>8</v>
      </c>
      <c r="BI71" s="106">
        <v>4483.2</v>
      </c>
      <c r="BJ71" s="106">
        <v>5.2930367961472315</v>
      </c>
      <c r="BK71" s="106">
        <v>2966.2178205609084</v>
      </c>
      <c r="BL71" s="106">
        <v>7.5022799171918813</v>
      </c>
      <c r="BM71" s="106">
        <v>4204.2776655943298</v>
      </c>
      <c r="BN71" s="106">
        <v>3.6020969526921252</v>
      </c>
      <c r="BO71" s="106">
        <v>2018.6151322886669</v>
      </c>
      <c r="BP71" s="106">
        <v>0</v>
      </c>
      <c r="BQ71" s="106">
        <v>0</v>
      </c>
      <c r="BR71" s="106">
        <v>11</v>
      </c>
      <c r="BS71" s="106">
        <v>6164.4</v>
      </c>
      <c r="BT71" s="106">
        <v>11</v>
      </c>
      <c r="BU71" s="106">
        <v>6164.4</v>
      </c>
      <c r="BV71" s="106">
        <v>13</v>
      </c>
      <c r="BW71" s="106">
        <v>7285.2</v>
      </c>
      <c r="BX71" s="106">
        <v>13</v>
      </c>
      <c r="BY71" s="106">
        <v>7285.2</v>
      </c>
      <c r="BZ71" s="106">
        <v>9.5564737997776259</v>
      </c>
      <c r="CA71" s="106">
        <v>5355.4479173953814</v>
      </c>
      <c r="CB71" s="106">
        <v>15.953484843162681</v>
      </c>
      <c r="CC71" s="106">
        <v>8940.3329061083659</v>
      </c>
      <c r="CD71" s="106">
        <v>8.9302721024160032</v>
      </c>
      <c r="CE71" s="106">
        <v>5004.5244861939282</v>
      </c>
      <c r="CF71" s="106">
        <v>10.11681175238736</v>
      </c>
      <c r="CG71" s="106">
        <v>5669.4613060378761</v>
      </c>
      <c r="CH71" s="106">
        <v>7.3343679624405196</v>
      </c>
      <c r="CI71" s="106">
        <v>4110.1798061516674</v>
      </c>
      <c r="CJ71" s="106">
        <v>12.029119707717726</v>
      </c>
      <c r="CK71" s="106">
        <v>6741.1186842050129</v>
      </c>
      <c r="CL71" s="106">
        <v>4.8685402617078006</v>
      </c>
      <c r="CM71" s="106">
        <v>2728.3299626610515</v>
      </c>
      <c r="CN71" s="106">
        <v>15.955103048227734</v>
      </c>
      <c r="CO71" s="106">
        <v>8941.2397482268225</v>
      </c>
      <c r="CP71" s="106">
        <v>9.746632785996983</v>
      </c>
      <c r="CQ71" s="106">
        <v>5462.013013272709</v>
      </c>
      <c r="CR71" s="106">
        <v>5.6350652410264326</v>
      </c>
      <c r="CS71" s="106">
        <v>3157.8905610712127</v>
      </c>
      <c r="CT71" s="106">
        <v>5.0034005233125978</v>
      </c>
      <c r="CU71" s="106">
        <v>2803.9056532643795</v>
      </c>
    </row>
    <row r="72" spans="2:99" x14ac:dyDescent="0.2">
      <c r="C72" s="105" t="s">
        <v>238</v>
      </c>
      <c r="D72" s="106">
        <v>9.0133840455606524</v>
      </c>
      <c r="E72" s="106">
        <v>7582.0586591256206</v>
      </c>
      <c r="F72" s="106">
        <v>15</v>
      </c>
      <c r="G72" s="106">
        <v>12617.999999999998</v>
      </c>
      <c r="H72" s="106">
        <v>15</v>
      </c>
      <c r="I72" s="106">
        <v>12617.999999999998</v>
      </c>
      <c r="J72" s="106">
        <v>12.026377838016268</v>
      </c>
      <c r="K72" s="106">
        <v>10116.589037339283</v>
      </c>
      <c r="L72" s="106">
        <v>6.9746526209580388E-16</v>
      </c>
      <c r="M72" s="106">
        <v>5.8670777847499015E-13</v>
      </c>
      <c r="N72" s="106">
        <v>6</v>
      </c>
      <c r="O72" s="106">
        <v>5047.2</v>
      </c>
      <c r="P72" s="106">
        <v>9</v>
      </c>
      <c r="Q72" s="106">
        <v>7570.7999999999993</v>
      </c>
      <c r="R72" s="106">
        <v>7</v>
      </c>
      <c r="S72" s="106">
        <v>5888.4</v>
      </c>
      <c r="T72" s="106">
        <v>21</v>
      </c>
      <c r="U72" s="106">
        <v>17665.199999999997</v>
      </c>
      <c r="V72" s="106">
        <v>20</v>
      </c>
      <c r="W72" s="106">
        <v>16824</v>
      </c>
      <c r="X72" s="106">
        <v>7.3407881150348784</v>
      </c>
      <c r="Y72" s="106">
        <v>6175.0709623673392</v>
      </c>
      <c r="Z72" s="106">
        <v>16.244155948277086</v>
      </c>
      <c r="AA72" s="106">
        <v>13664.583983690683</v>
      </c>
      <c r="AB72" s="106">
        <v>7.6313856512454601</v>
      </c>
      <c r="AC72" s="106">
        <v>6419.5216098276805</v>
      </c>
      <c r="AD72" s="106">
        <v>9.4038365121798897</v>
      </c>
      <c r="AE72" s="106">
        <v>7910.5072740457226</v>
      </c>
      <c r="AF72" s="106">
        <v>0</v>
      </c>
      <c r="AG72" s="106">
        <v>0</v>
      </c>
      <c r="AH72" s="106">
        <v>13</v>
      </c>
      <c r="AI72" s="106">
        <v>10935.599999999999</v>
      </c>
      <c r="AJ72" s="106">
        <v>8</v>
      </c>
      <c r="AK72" s="106">
        <v>6729.5999999999995</v>
      </c>
      <c r="AL72" s="106">
        <v>11</v>
      </c>
      <c r="AM72" s="106">
        <v>9253.1999999999989</v>
      </c>
      <c r="AN72" s="106">
        <v>4.8914515718419196</v>
      </c>
      <c r="AO72" s="106">
        <v>4114.6890622334222</v>
      </c>
      <c r="AP72" s="106">
        <v>6.7707458154303524</v>
      </c>
      <c r="AQ72" s="106">
        <v>5695.5513799400123</v>
      </c>
      <c r="AR72" s="106">
        <v>2.7170536009334736</v>
      </c>
      <c r="AS72" s="106">
        <v>2285.5854891052377</v>
      </c>
      <c r="AT72" s="106">
        <v>3.0452001710945207</v>
      </c>
      <c r="AU72" s="106">
        <v>2561.6223839247104</v>
      </c>
      <c r="AV72" s="106">
        <v>0</v>
      </c>
      <c r="AW72" s="106">
        <v>0</v>
      </c>
      <c r="AX72" s="106">
        <v>10</v>
      </c>
      <c r="AY72" s="106">
        <v>8412</v>
      </c>
      <c r="AZ72" s="106">
        <v>2.9121407479718622</v>
      </c>
      <c r="BA72" s="106">
        <v>2449.6927971939303</v>
      </c>
      <c r="BB72" s="106">
        <v>12</v>
      </c>
      <c r="BC72" s="106">
        <v>10094.4</v>
      </c>
      <c r="BD72" s="106">
        <v>8</v>
      </c>
      <c r="BE72" s="106">
        <v>6729.5999999999995</v>
      </c>
      <c r="BF72" s="106">
        <v>11</v>
      </c>
      <c r="BG72" s="106">
        <v>9253.1999999999989</v>
      </c>
      <c r="BH72" s="106">
        <v>8</v>
      </c>
      <c r="BI72" s="106">
        <v>6729.5999999999995</v>
      </c>
      <c r="BJ72" s="106">
        <v>5.2930367961472315</v>
      </c>
      <c r="BK72" s="106">
        <v>4452.5025529190507</v>
      </c>
      <c r="BL72" s="106">
        <v>7.5022799171918813</v>
      </c>
      <c r="BM72" s="106">
        <v>6310.9178663418097</v>
      </c>
      <c r="BN72" s="106">
        <v>3.6020969526921252</v>
      </c>
      <c r="BO72" s="106">
        <v>3030.0839566046157</v>
      </c>
      <c r="BP72" s="106">
        <v>0</v>
      </c>
      <c r="BQ72" s="106">
        <v>0</v>
      </c>
      <c r="BR72" s="106">
        <v>10</v>
      </c>
      <c r="BS72" s="106">
        <v>8412</v>
      </c>
      <c r="BT72" s="106">
        <v>10</v>
      </c>
      <c r="BU72" s="106">
        <v>8412</v>
      </c>
      <c r="BV72" s="106">
        <v>15</v>
      </c>
      <c r="BW72" s="106">
        <v>12617.999999999998</v>
      </c>
      <c r="BX72" s="106">
        <v>15</v>
      </c>
      <c r="BY72" s="106">
        <v>12617.999999999998</v>
      </c>
      <c r="BZ72" s="106">
        <v>10.921684342603001</v>
      </c>
      <c r="CA72" s="106">
        <v>9187.3208689976436</v>
      </c>
      <c r="CB72" s="106">
        <v>15.953484843162681</v>
      </c>
      <c r="CC72" s="106">
        <v>13420.071450068446</v>
      </c>
      <c r="CD72" s="106">
        <v>9.6172161102941569</v>
      </c>
      <c r="CE72" s="106">
        <v>8090.0021919794444</v>
      </c>
      <c r="CF72" s="106">
        <v>9.2737441063550801</v>
      </c>
      <c r="CG72" s="106">
        <v>7801.0735422658927</v>
      </c>
      <c r="CH72" s="106">
        <v>8.2511639577455842</v>
      </c>
      <c r="CI72" s="106">
        <v>6940.8791212555852</v>
      </c>
      <c r="CJ72" s="106">
        <v>12.888342543983278</v>
      </c>
      <c r="CK72" s="106">
        <v>10841.673747998733</v>
      </c>
      <c r="CL72" s="106">
        <v>4.8685402617078006</v>
      </c>
      <c r="CM72" s="106">
        <v>4095.4160681486014</v>
      </c>
      <c r="CN72" s="106">
        <v>15.068708434437307</v>
      </c>
      <c r="CO72" s="106">
        <v>12675.797535048661</v>
      </c>
      <c r="CP72" s="106">
        <v>11.574126433371417</v>
      </c>
      <c r="CQ72" s="106">
        <v>9736.1551557520343</v>
      </c>
      <c r="CR72" s="106">
        <v>5.2325605809531162</v>
      </c>
      <c r="CS72" s="106">
        <v>4401.6299606977609</v>
      </c>
      <c r="CT72" s="106">
        <v>4.4147651676287625</v>
      </c>
      <c r="CU72" s="106">
        <v>3713.7004590093147</v>
      </c>
    </row>
    <row r="73" spans="2:99" x14ac:dyDescent="0.2">
      <c r="C73" s="105" t="s">
        <v>239</v>
      </c>
      <c r="D73" s="106">
        <v>9.0133840455606524</v>
      </c>
      <c r="E73" s="106">
        <v>9377.5247610013012</v>
      </c>
      <c r="F73" s="106">
        <v>15</v>
      </c>
      <c r="G73" s="106">
        <v>15605.999999999998</v>
      </c>
      <c r="H73" s="106">
        <v>16</v>
      </c>
      <c r="I73" s="106">
        <v>16646.399999999998</v>
      </c>
      <c r="J73" s="106">
        <v>11.101271850476554</v>
      </c>
      <c r="K73" s="106">
        <v>11549.763233235804</v>
      </c>
      <c r="L73" s="106">
        <v>6.1028210433382841E-16</v>
      </c>
      <c r="M73" s="106">
        <v>6.3493750134891498E-13</v>
      </c>
      <c r="N73" s="106">
        <v>6</v>
      </c>
      <c r="O73" s="106">
        <v>6242.4</v>
      </c>
      <c r="P73" s="106">
        <v>8</v>
      </c>
      <c r="Q73" s="106">
        <v>8323.1999999999989</v>
      </c>
      <c r="R73" s="106">
        <v>7</v>
      </c>
      <c r="S73" s="106">
        <v>7282.7999999999993</v>
      </c>
      <c r="T73" s="106">
        <v>19</v>
      </c>
      <c r="U73" s="106">
        <v>19767.599999999999</v>
      </c>
      <c r="V73" s="106">
        <v>18</v>
      </c>
      <c r="W73" s="106">
        <v>18727.199999999997</v>
      </c>
      <c r="X73" s="106">
        <v>6.816446106818101</v>
      </c>
      <c r="Y73" s="106">
        <v>7091.8305295335513</v>
      </c>
      <c r="Z73" s="106">
        <v>13.645090996552749</v>
      </c>
      <c r="AA73" s="106">
        <v>14196.352672813478</v>
      </c>
      <c r="AB73" s="106">
        <v>7.6313856512454601</v>
      </c>
      <c r="AC73" s="106">
        <v>7939.6936315557759</v>
      </c>
      <c r="AD73" s="106">
        <v>10.344220163397878</v>
      </c>
      <c r="AE73" s="106">
        <v>10762.126657999152</v>
      </c>
      <c r="AF73" s="106">
        <v>0</v>
      </c>
      <c r="AG73" s="106">
        <v>0</v>
      </c>
      <c r="AH73" s="106">
        <v>12</v>
      </c>
      <c r="AI73" s="106">
        <v>12484.8</v>
      </c>
      <c r="AJ73" s="106">
        <v>9</v>
      </c>
      <c r="AK73" s="106">
        <v>9363.5999999999985</v>
      </c>
      <c r="AL73" s="106">
        <v>11</v>
      </c>
      <c r="AM73" s="106">
        <v>11444.399999999998</v>
      </c>
      <c r="AN73" s="106">
        <v>5.7808064030859052</v>
      </c>
      <c r="AO73" s="106">
        <v>6014.3509817705753</v>
      </c>
      <c r="AP73" s="106">
        <v>6.0936712338873171</v>
      </c>
      <c r="AQ73" s="106">
        <v>6339.8555517363639</v>
      </c>
      <c r="AR73" s="106">
        <v>3.1052041153525409</v>
      </c>
      <c r="AS73" s="106">
        <v>3230.6543616127833</v>
      </c>
      <c r="AT73" s="106">
        <v>3.0452001710945207</v>
      </c>
      <c r="AU73" s="106">
        <v>3168.226258006739</v>
      </c>
      <c r="AV73" s="106">
        <v>0</v>
      </c>
      <c r="AW73" s="106">
        <v>0</v>
      </c>
      <c r="AX73" s="106">
        <v>10</v>
      </c>
      <c r="AY73" s="106">
        <v>10403.999999999998</v>
      </c>
      <c r="AZ73" s="106">
        <v>2.9121407479718622</v>
      </c>
      <c r="BA73" s="106">
        <v>3029.791234189925</v>
      </c>
      <c r="BB73" s="106">
        <v>11</v>
      </c>
      <c r="BC73" s="106">
        <v>11444.399999999998</v>
      </c>
      <c r="BD73" s="106">
        <v>9</v>
      </c>
      <c r="BE73" s="106">
        <v>9363.5999999999985</v>
      </c>
      <c r="BF73" s="106">
        <v>9</v>
      </c>
      <c r="BG73" s="106">
        <v>9363.5999999999985</v>
      </c>
      <c r="BH73" s="106">
        <v>8</v>
      </c>
      <c r="BI73" s="106">
        <v>8323.1999999999989</v>
      </c>
      <c r="BJ73" s="106">
        <v>5.2930367961472315</v>
      </c>
      <c r="BK73" s="106">
        <v>5506.875482711579</v>
      </c>
      <c r="BL73" s="106">
        <v>6.5644949275428957</v>
      </c>
      <c r="BM73" s="106">
        <v>6829.700522615628</v>
      </c>
      <c r="BN73" s="106">
        <v>3.9623066479613378</v>
      </c>
      <c r="BO73" s="106">
        <v>4122.3838365389756</v>
      </c>
      <c r="BP73" s="106">
        <v>0</v>
      </c>
      <c r="BQ73" s="106">
        <v>0</v>
      </c>
      <c r="BR73" s="106">
        <v>11</v>
      </c>
      <c r="BS73" s="106">
        <v>11444.399999999998</v>
      </c>
      <c r="BT73" s="106">
        <v>10</v>
      </c>
      <c r="BU73" s="106">
        <v>10403.999999999998</v>
      </c>
      <c r="BV73" s="106">
        <v>13</v>
      </c>
      <c r="BW73" s="106">
        <v>13525.199999999999</v>
      </c>
      <c r="BX73" s="106">
        <v>14</v>
      </c>
      <c r="BY73" s="106">
        <v>14565.599999999999</v>
      </c>
      <c r="BZ73" s="106">
        <v>9.1014036188358354</v>
      </c>
      <c r="CA73" s="106">
        <v>9469.1003250368012</v>
      </c>
      <c r="CB73" s="106">
        <v>16.793141940171243</v>
      </c>
      <c r="CC73" s="106">
        <v>17471.584874554159</v>
      </c>
      <c r="CD73" s="106">
        <v>8.2433280945378495</v>
      </c>
      <c r="CE73" s="106">
        <v>8576.358549557177</v>
      </c>
      <c r="CF73" s="106">
        <v>8.4306764603228004</v>
      </c>
      <c r="CG73" s="106">
        <v>8771.2757893198395</v>
      </c>
      <c r="CH73" s="106">
        <v>8.2511639577455842</v>
      </c>
      <c r="CI73" s="106">
        <v>8584.5109816385047</v>
      </c>
      <c r="CJ73" s="106">
        <v>12.888342543983278</v>
      </c>
      <c r="CK73" s="106">
        <v>13409.031582760201</v>
      </c>
      <c r="CL73" s="106">
        <v>4.8685402617078006</v>
      </c>
      <c r="CM73" s="106">
        <v>5065.2292882807951</v>
      </c>
      <c r="CN73" s="106">
        <v>15.068708434437307</v>
      </c>
      <c r="CO73" s="106">
        <v>15677.484255188572</v>
      </c>
      <c r="CP73" s="106">
        <v>10.355797335121794</v>
      </c>
      <c r="CQ73" s="106">
        <v>10774.171547460714</v>
      </c>
      <c r="CR73" s="106">
        <v>4.4275512608064833</v>
      </c>
      <c r="CS73" s="106">
        <v>4606.4243317430646</v>
      </c>
      <c r="CT73" s="106">
        <v>5.297718201154515</v>
      </c>
      <c r="CU73" s="106">
        <v>5511.7460164811564</v>
      </c>
    </row>
    <row r="74" spans="2:99" x14ac:dyDescent="0.2">
      <c r="C74" s="105" t="s">
        <v>240</v>
      </c>
      <c r="D74" s="106">
        <v>9.0133840455606524</v>
      </c>
      <c r="E74" s="106">
        <v>3428.6912909312719</v>
      </c>
      <c r="F74" s="106">
        <v>17</v>
      </c>
      <c r="G74" s="106">
        <v>6466.7999999999993</v>
      </c>
      <c r="H74" s="106">
        <v>15</v>
      </c>
      <c r="I74" s="106">
        <v>5706</v>
      </c>
      <c r="J74" s="106">
        <v>11.101271850476554</v>
      </c>
      <c r="K74" s="106">
        <v>4222.9238119212805</v>
      </c>
      <c r="L74" s="106">
        <v>6.1028210433382841E-16</v>
      </c>
      <c r="M74" s="106">
        <v>2.3215131248858833E-13</v>
      </c>
      <c r="N74" s="106">
        <v>7</v>
      </c>
      <c r="O74" s="106">
        <v>2662.7999999999997</v>
      </c>
      <c r="P74" s="106">
        <v>9</v>
      </c>
      <c r="Q74" s="106">
        <v>3423.6</v>
      </c>
      <c r="R74" s="106">
        <v>7</v>
      </c>
      <c r="S74" s="106">
        <v>2662.7999999999997</v>
      </c>
      <c r="T74" s="106">
        <v>24</v>
      </c>
      <c r="U74" s="106">
        <v>9129.5999999999985</v>
      </c>
      <c r="V74" s="106">
        <v>18</v>
      </c>
      <c r="W74" s="106">
        <v>6847.2</v>
      </c>
      <c r="X74" s="106">
        <v>6.2921040986013237</v>
      </c>
      <c r="Y74" s="106">
        <v>2393.5163991079435</v>
      </c>
      <c r="Z74" s="106">
        <v>16.893922186208169</v>
      </c>
      <c r="AA74" s="106">
        <v>6426.4479996335867</v>
      </c>
      <c r="AB74" s="106">
        <v>8.3945242163700051</v>
      </c>
      <c r="AC74" s="106">
        <v>3193.2770119071497</v>
      </c>
      <c r="AD74" s="106">
        <v>8.4634528609619011</v>
      </c>
      <c r="AE74" s="106">
        <v>3219.4974683099072</v>
      </c>
      <c r="AF74" s="106">
        <v>0</v>
      </c>
      <c r="AG74" s="106">
        <v>0</v>
      </c>
      <c r="AH74" s="106">
        <v>14</v>
      </c>
      <c r="AI74" s="106">
        <v>5325.5999999999995</v>
      </c>
      <c r="AJ74" s="106">
        <v>9</v>
      </c>
      <c r="AK74" s="106">
        <v>3423.6</v>
      </c>
      <c r="AL74" s="106">
        <v>11</v>
      </c>
      <c r="AM74" s="106">
        <v>4184.3999999999996</v>
      </c>
      <c r="AN74" s="106">
        <v>4.8914515718419196</v>
      </c>
      <c r="AO74" s="106">
        <v>1860.7081779286661</v>
      </c>
      <c r="AP74" s="106">
        <v>7.4478203969733876</v>
      </c>
      <c r="AQ74" s="106">
        <v>2833.1508790086764</v>
      </c>
      <c r="AR74" s="106">
        <v>3.1052041153525409</v>
      </c>
      <c r="AS74" s="106">
        <v>1181.2196454801065</v>
      </c>
      <c r="AT74" s="106">
        <v>3.0452001710945207</v>
      </c>
      <c r="AU74" s="106">
        <v>1158.3941450843556</v>
      </c>
      <c r="AV74" s="106">
        <v>0</v>
      </c>
      <c r="AW74" s="106">
        <v>0</v>
      </c>
      <c r="AX74" s="106">
        <v>10</v>
      </c>
      <c r="AY74" s="106">
        <v>3804</v>
      </c>
      <c r="AZ74" s="106">
        <v>2.9121407479718622</v>
      </c>
      <c r="BA74" s="106">
        <v>1107.7783405284963</v>
      </c>
      <c r="BB74" s="106">
        <v>12</v>
      </c>
      <c r="BC74" s="106">
        <v>4564.7999999999993</v>
      </c>
      <c r="BD74" s="106">
        <v>8</v>
      </c>
      <c r="BE74" s="106">
        <v>3043.2</v>
      </c>
      <c r="BF74" s="106">
        <v>11</v>
      </c>
      <c r="BG74" s="106">
        <v>4184.3999999999996</v>
      </c>
      <c r="BH74" s="106">
        <v>9</v>
      </c>
      <c r="BI74" s="106">
        <v>3423.6</v>
      </c>
      <c r="BJ74" s="106">
        <v>6.1752095955051036</v>
      </c>
      <c r="BK74" s="106">
        <v>2349.0497301301411</v>
      </c>
      <c r="BL74" s="106">
        <v>7.5022799171918813</v>
      </c>
      <c r="BM74" s="106">
        <v>2853.8672804997914</v>
      </c>
      <c r="BN74" s="106">
        <v>3.2418872574229125</v>
      </c>
      <c r="BO74" s="106">
        <v>1233.2139127236758</v>
      </c>
      <c r="BP74" s="106">
        <v>0</v>
      </c>
      <c r="BQ74" s="106">
        <v>0</v>
      </c>
      <c r="BR74" s="106">
        <v>11</v>
      </c>
      <c r="BS74" s="106">
        <v>4184.3999999999996</v>
      </c>
      <c r="BT74" s="106">
        <v>10</v>
      </c>
      <c r="BU74" s="106">
        <v>3804</v>
      </c>
      <c r="BV74" s="106">
        <v>14</v>
      </c>
      <c r="BW74" s="106">
        <v>5325.5999999999995</v>
      </c>
      <c r="BX74" s="106">
        <v>14</v>
      </c>
      <c r="BY74" s="106">
        <v>5325.5999999999995</v>
      </c>
      <c r="BZ74" s="106">
        <v>10.01154398071942</v>
      </c>
      <c r="CA74" s="106">
        <v>3808.391330265667</v>
      </c>
      <c r="CB74" s="106">
        <v>18.472456134188366</v>
      </c>
      <c r="CC74" s="106">
        <v>7026.9223134452541</v>
      </c>
      <c r="CD74" s="106">
        <v>9.6172161102941569</v>
      </c>
      <c r="CE74" s="106">
        <v>3658.3890083558972</v>
      </c>
      <c r="CF74" s="106">
        <v>10.11681175238736</v>
      </c>
      <c r="CG74" s="106">
        <v>3848.4351906081515</v>
      </c>
      <c r="CH74" s="106">
        <v>9.1679599530506497</v>
      </c>
      <c r="CI74" s="106">
        <v>3487.491966140467</v>
      </c>
      <c r="CJ74" s="106">
        <v>12.029119707717726</v>
      </c>
      <c r="CK74" s="106">
        <v>4575.8771368158223</v>
      </c>
      <c r="CL74" s="106">
        <v>4.5207873858715288</v>
      </c>
      <c r="CM74" s="106">
        <v>1719.7075215855295</v>
      </c>
      <c r="CN74" s="106">
        <v>15.955103048227734</v>
      </c>
      <c r="CO74" s="106">
        <v>6069.3211995458296</v>
      </c>
      <c r="CP74" s="106">
        <v>10.964961884246607</v>
      </c>
      <c r="CQ74" s="106">
        <v>4171.0715007674089</v>
      </c>
      <c r="CR74" s="106">
        <v>5.6350652410264326</v>
      </c>
      <c r="CS74" s="106">
        <v>2143.5788176864548</v>
      </c>
      <c r="CT74" s="106">
        <v>5.0034005233125978</v>
      </c>
      <c r="CU74" s="106">
        <v>1903.293559068112</v>
      </c>
    </row>
    <row r="75" spans="2:99" x14ac:dyDescent="0.2">
      <c r="C75" s="105" t="s">
        <v>241</v>
      </c>
      <c r="D75" s="106">
        <v>10.140057051255734</v>
      </c>
      <c r="E75" s="106">
        <v>4064.1348661432985</v>
      </c>
      <c r="F75" s="106">
        <v>15</v>
      </c>
      <c r="G75" s="106">
        <v>6012</v>
      </c>
      <c r="H75" s="106">
        <v>17</v>
      </c>
      <c r="I75" s="106">
        <v>6813.6</v>
      </c>
      <c r="J75" s="106">
        <v>11.101271850476554</v>
      </c>
      <c r="K75" s="106">
        <v>4449.3897576710033</v>
      </c>
      <c r="L75" s="106">
        <v>6.1028210433382841E-16</v>
      </c>
      <c r="M75" s="106">
        <v>2.4460106741699844E-13</v>
      </c>
      <c r="N75" s="106">
        <v>7</v>
      </c>
      <c r="O75" s="106">
        <v>2805.6</v>
      </c>
      <c r="P75" s="106">
        <v>8</v>
      </c>
      <c r="Q75" s="106">
        <v>3206.4</v>
      </c>
      <c r="R75" s="106">
        <v>6</v>
      </c>
      <c r="S75" s="106">
        <v>2404.8000000000002</v>
      </c>
      <c r="T75" s="106">
        <v>22</v>
      </c>
      <c r="U75" s="106">
        <v>8817.6</v>
      </c>
      <c r="V75" s="106">
        <v>20</v>
      </c>
      <c r="W75" s="106">
        <v>8016</v>
      </c>
      <c r="X75" s="106">
        <v>6.816446106818101</v>
      </c>
      <c r="Y75" s="106">
        <v>2732.0315996126951</v>
      </c>
      <c r="Z75" s="106">
        <v>16.893922186208169</v>
      </c>
      <c r="AA75" s="106">
        <v>6771.0840122322343</v>
      </c>
      <c r="AB75" s="106">
        <v>8.3945242163700051</v>
      </c>
      <c r="AC75" s="106">
        <v>3364.5253059210982</v>
      </c>
      <c r="AD75" s="106">
        <v>10.344220163397878</v>
      </c>
      <c r="AE75" s="106">
        <v>4145.9634414898701</v>
      </c>
      <c r="AF75" s="106">
        <v>0</v>
      </c>
      <c r="AG75" s="106">
        <v>0</v>
      </c>
      <c r="AH75" s="106">
        <v>13</v>
      </c>
      <c r="AI75" s="106">
        <v>5210.4000000000005</v>
      </c>
      <c r="AJ75" s="106">
        <v>8</v>
      </c>
      <c r="AK75" s="106">
        <v>3206.4</v>
      </c>
      <c r="AL75" s="106">
        <v>12</v>
      </c>
      <c r="AM75" s="106">
        <v>4809.6000000000004</v>
      </c>
      <c r="AN75" s="106">
        <v>5.3361289874639128</v>
      </c>
      <c r="AO75" s="106">
        <v>2138.7204981755362</v>
      </c>
      <c r="AP75" s="106">
        <v>7.4478203969733876</v>
      </c>
      <c r="AQ75" s="106">
        <v>2985.0864151069341</v>
      </c>
      <c r="AR75" s="106">
        <v>3.1052041153525409</v>
      </c>
      <c r="AS75" s="106">
        <v>1244.5658094332985</v>
      </c>
      <c r="AT75" s="106">
        <v>3.0452001710945207</v>
      </c>
      <c r="AU75" s="106">
        <v>1220.516228574684</v>
      </c>
      <c r="AV75" s="106">
        <v>0</v>
      </c>
      <c r="AW75" s="106">
        <v>0</v>
      </c>
      <c r="AX75" s="106">
        <v>9</v>
      </c>
      <c r="AY75" s="106">
        <v>3607.2000000000003</v>
      </c>
      <c r="AZ75" s="106">
        <v>2.9121407479718622</v>
      </c>
      <c r="BA75" s="106">
        <v>1167.1860117871224</v>
      </c>
      <c r="BB75" s="106">
        <v>12</v>
      </c>
      <c r="BC75" s="106">
        <v>4809.6000000000004</v>
      </c>
      <c r="BD75" s="106">
        <v>9</v>
      </c>
      <c r="BE75" s="106">
        <v>3607.2000000000003</v>
      </c>
      <c r="BF75" s="106">
        <v>10</v>
      </c>
      <c r="BG75" s="106">
        <v>4008</v>
      </c>
      <c r="BH75" s="106">
        <v>9</v>
      </c>
      <c r="BI75" s="106">
        <v>3607.2000000000003</v>
      </c>
      <c r="BJ75" s="106">
        <v>6.1752095955051036</v>
      </c>
      <c r="BK75" s="106">
        <v>2475.0240058784457</v>
      </c>
      <c r="BL75" s="106">
        <v>7.5022799171918813</v>
      </c>
      <c r="BM75" s="106">
        <v>3006.9137908105063</v>
      </c>
      <c r="BN75" s="106">
        <v>3.6020969526921252</v>
      </c>
      <c r="BO75" s="106">
        <v>1443.7204586390037</v>
      </c>
      <c r="BP75" s="106">
        <v>0</v>
      </c>
      <c r="BQ75" s="106">
        <v>0</v>
      </c>
      <c r="BR75" s="106">
        <v>10</v>
      </c>
      <c r="BS75" s="106">
        <v>4008</v>
      </c>
      <c r="BT75" s="106">
        <v>11</v>
      </c>
      <c r="BU75" s="106">
        <v>4408.8</v>
      </c>
      <c r="BV75" s="106">
        <v>13</v>
      </c>
      <c r="BW75" s="106">
        <v>5210.4000000000005</v>
      </c>
      <c r="BX75" s="106">
        <v>16</v>
      </c>
      <c r="BY75" s="106">
        <v>6412.8</v>
      </c>
      <c r="BZ75" s="106">
        <v>10.01154398071942</v>
      </c>
      <c r="CA75" s="106">
        <v>4012.6268274723438</v>
      </c>
      <c r="CB75" s="106">
        <v>17.632799037179804</v>
      </c>
      <c r="CC75" s="106">
        <v>7067.2258541016654</v>
      </c>
      <c r="CD75" s="106">
        <v>10.304160118172312</v>
      </c>
      <c r="CE75" s="106">
        <v>4129.907375363463</v>
      </c>
      <c r="CF75" s="106">
        <v>10.11681175238736</v>
      </c>
      <c r="CG75" s="106">
        <v>4054.8181503568539</v>
      </c>
      <c r="CH75" s="106">
        <v>8.2511639577455842</v>
      </c>
      <c r="CI75" s="106">
        <v>3307.0665142644302</v>
      </c>
      <c r="CJ75" s="106">
        <v>12.888342543983278</v>
      </c>
      <c r="CK75" s="106">
        <v>5165.6476916284983</v>
      </c>
      <c r="CL75" s="106">
        <v>4.5207873858715288</v>
      </c>
      <c r="CM75" s="106">
        <v>1811.9315842573087</v>
      </c>
      <c r="CN75" s="106">
        <v>17.727892275808593</v>
      </c>
      <c r="CO75" s="106">
        <v>7105.3392241440843</v>
      </c>
      <c r="CP75" s="106">
        <v>10.355797335121794</v>
      </c>
      <c r="CQ75" s="106">
        <v>4150.6035719168149</v>
      </c>
      <c r="CR75" s="106">
        <v>5.2325605809531162</v>
      </c>
      <c r="CS75" s="106">
        <v>2097.210280846009</v>
      </c>
      <c r="CT75" s="106">
        <v>4.7090828454706806</v>
      </c>
      <c r="CU75" s="106">
        <v>1887.4004044646488</v>
      </c>
    </row>
    <row r="76" spans="2:99" x14ac:dyDescent="0.2">
      <c r="C76" s="105" t="s">
        <v>242</v>
      </c>
      <c r="D76" s="106">
        <v>10.140057051255734</v>
      </c>
      <c r="E76" s="106">
        <v>7033.1435707509772</v>
      </c>
      <c r="F76" s="106">
        <v>15</v>
      </c>
      <c r="G76" s="106">
        <v>10404</v>
      </c>
      <c r="H76" s="106">
        <v>17</v>
      </c>
      <c r="I76" s="106">
        <v>11791.2</v>
      </c>
      <c r="J76" s="106">
        <v>11.101271850476554</v>
      </c>
      <c r="K76" s="106">
        <v>7699.8421554905381</v>
      </c>
      <c r="L76" s="106">
        <v>6.1028210433382841E-16</v>
      </c>
      <c r="M76" s="106">
        <v>4.2329166756594342E-13</v>
      </c>
      <c r="N76" s="106">
        <v>7</v>
      </c>
      <c r="O76" s="106">
        <v>4855.2</v>
      </c>
      <c r="P76" s="106">
        <v>8</v>
      </c>
      <c r="Q76" s="106">
        <v>5548.8</v>
      </c>
      <c r="R76" s="106">
        <v>6</v>
      </c>
      <c r="S76" s="106">
        <v>4161.6000000000004</v>
      </c>
      <c r="T76" s="106">
        <v>20</v>
      </c>
      <c r="U76" s="106">
        <v>13872</v>
      </c>
      <c r="V76" s="106">
        <v>20</v>
      </c>
      <c r="W76" s="106">
        <v>13872</v>
      </c>
      <c r="X76" s="106">
        <v>6.2921040986013237</v>
      </c>
      <c r="Y76" s="106">
        <v>4364.2034027898781</v>
      </c>
      <c r="Z76" s="106">
        <v>14.294857234483835</v>
      </c>
      <c r="AA76" s="106">
        <v>9914.9129778379884</v>
      </c>
      <c r="AB76" s="106">
        <v>7.6313856512454601</v>
      </c>
      <c r="AC76" s="106">
        <v>5293.1290877038509</v>
      </c>
      <c r="AD76" s="106">
        <v>10.344220163397878</v>
      </c>
      <c r="AE76" s="106">
        <v>7174.7511053327689</v>
      </c>
      <c r="AF76" s="106">
        <v>0</v>
      </c>
      <c r="AG76" s="106">
        <v>0</v>
      </c>
      <c r="AH76" s="106">
        <v>14</v>
      </c>
      <c r="AI76" s="106">
        <v>9710.4</v>
      </c>
      <c r="AJ76" s="106">
        <v>7</v>
      </c>
      <c r="AK76" s="106">
        <v>4855.2</v>
      </c>
      <c r="AL76" s="106">
        <v>12</v>
      </c>
      <c r="AM76" s="106">
        <v>8323.2000000000007</v>
      </c>
      <c r="AN76" s="106">
        <v>4.8914515718419196</v>
      </c>
      <c r="AO76" s="106">
        <v>3392.7108102295556</v>
      </c>
      <c r="AP76" s="106">
        <v>6.0936712338873171</v>
      </c>
      <c r="AQ76" s="106">
        <v>4226.5703678242435</v>
      </c>
      <c r="AR76" s="106">
        <v>3.1052041153525409</v>
      </c>
      <c r="AS76" s="106">
        <v>2153.7695744085227</v>
      </c>
      <c r="AT76" s="106">
        <v>3.4802287669651668</v>
      </c>
      <c r="AU76" s="106">
        <v>2413.8866727670397</v>
      </c>
      <c r="AV76" s="106">
        <v>0</v>
      </c>
      <c r="AW76" s="106">
        <v>0</v>
      </c>
      <c r="AX76" s="106">
        <v>10</v>
      </c>
      <c r="AY76" s="106">
        <v>6936</v>
      </c>
      <c r="AZ76" s="106">
        <v>2.6474006799744201</v>
      </c>
      <c r="BA76" s="106">
        <v>1836.2371116302579</v>
      </c>
      <c r="BB76" s="106">
        <v>11</v>
      </c>
      <c r="BC76" s="106">
        <v>7629.6</v>
      </c>
      <c r="BD76" s="106">
        <v>8</v>
      </c>
      <c r="BE76" s="106">
        <v>5548.8</v>
      </c>
      <c r="BF76" s="106">
        <v>10</v>
      </c>
      <c r="BG76" s="106">
        <v>6936</v>
      </c>
      <c r="BH76" s="106">
        <v>8</v>
      </c>
      <c r="BI76" s="106">
        <v>5548.8</v>
      </c>
      <c r="BJ76" s="106">
        <v>5.2930367961472315</v>
      </c>
      <c r="BK76" s="106">
        <v>3671.25032180772</v>
      </c>
      <c r="BL76" s="106">
        <v>6.5644949275428957</v>
      </c>
      <c r="BM76" s="106">
        <v>4553.1336817437523</v>
      </c>
      <c r="BN76" s="106">
        <v>3.6020969526921252</v>
      </c>
      <c r="BO76" s="106">
        <v>2498.4144463872581</v>
      </c>
      <c r="BP76" s="106">
        <v>0</v>
      </c>
      <c r="BQ76" s="106">
        <v>0</v>
      </c>
      <c r="BR76" s="106">
        <v>9</v>
      </c>
      <c r="BS76" s="106">
        <v>6242.4000000000005</v>
      </c>
      <c r="BT76" s="106">
        <v>10</v>
      </c>
      <c r="BU76" s="106">
        <v>6936</v>
      </c>
      <c r="BV76" s="106">
        <v>12</v>
      </c>
      <c r="BW76" s="106">
        <v>8323.2000000000007</v>
      </c>
      <c r="BX76" s="106">
        <v>14</v>
      </c>
      <c r="BY76" s="106">
        <v>9710.4</v>
      </c>
      <c r="BZ76" s="106">
        <v>11.376754523544795</v>
      </c>
      <c r="CA76" s="106">
        <v>7890.9169375306701</v>
      </c>
      <c r="CB76" s="106">
        <v>18.472456134188366</v>
      </c>
      <c r="CC76" s="106">
        <v>12812.495574673052</v>
      </c>
      <c r="CD76" s="106">
        <v>8.9302721024160032</v>
      </c>
      <c r="CE76" s="106">
        <v>6194.0367302357399</v>
      </c>
      <c r="CF76" s="106">
        <v>9.2737441063550801</v>
      </c>
      <c r="CG76" s="106">
        <v>6432.2689121678841</v>
      </c>
      <c r="CH76" s="106">
        <v>8.2511639577455842</v>
      </c>
      <c r="CI76" s="106">
        <v>5723.0073210923374</v>
      </c>
      <c r="CJ76" s="106">
        <v>12.029119707717726</v>
      </c>
      <c r="CK76" s="106">
        <v>8343.3974292730145</v>
      </c>
      <c r="CL76" s="106">
        <v>4.8685402617078006</v>
      </c>
      <c r="CM76" s="106">
        <v>3376.8195255205305</v>
      </c>
      <c r="CN76" s="106">
        <v>15.068708434437307</v>
      </c>
      <c r="CO76" s="106">
        <v>10451.656170125716</v>
      </c>
      <c r="CP76" s="106">
        <v>11.574126433371417</v>
      </c>
      <c r="CQ76" s="106">
        <v>8027.8140941864149</v>
      </c>
      <c r="CR76" s="106">
        <v>5.2325605809531162</v>
      </c>
      <c r="CS76" s="106">
        <v>3629.3040189490816</v>
      </c>
      <c r="CT76" s="106">
        <v>5.297718201154515</v>
      </c>
      <c r="CU76" s="106">
        <v>3674.4973443207718</v>
      </c>
    </row>
    <row r="77" spans="2:99" x14ac:dyDescent="0.2">
      <c r="C77" s="105" t="s">
        <v>243</v>
      </c>
      <c r="D77" s="106">
        <v>9.0133840455606524</v>
      </c>
      <c r="E77" s="106">
        <v>8663.6647445928993</v>
      </c>
      <c r="F77" s="106">
        <v>15</v>
      </c>
      <c r="G77" s="106">
        <v>14417.999999999998</v>
      </c>
      <c r="H77" s="106">
        <v>16</v>
      </c>
      <c r="I77" s="106">
        <v>15379.199999999999</v>
      </c>
      <c r="J77" s="106">
        <v>10.176165862936843</v>
      </c>
      <c r="K77" s="106">
        <v>9781.3306274548922</v>
      </c>
      <c r="L77" s="106">
        <v>6.1028210433382841E-16</v>
      </c>
      <c r="M77" s="106">
        <v>5.8660315868567587E-13</v>
      </c>
      <c r="N77" s="106">
        <v>6</v>
      </c>
      <c r="O77" s="106">
        <v>5767.2</v>
      </c>
      <c r="P77" s="106">
        <v>7</v>
      </c>
      <c r="Q77" s="106">
        <v>6728.4</v>
      </c>
      <c r="R77" s="106">
        <v>6</v>
      </c>
      <c r="S77" s="106">
        <v>5767.2</v>
      </c>
      <c r="T77" s="106">
        <v>20</v>
      </c>
      <c r="U77" s="106">
        <v>19224</v>
      </c>
      <c r="V77" s="106">
        <v>18</v>
      </c>
      <c r="W77" s="106">
        <v>17301.599999999999</v>
      </c>
      <c r="X77" s="106">
        <v>6.816446106818101</v>
      </c>
      <c r="Y77" s="106">
        <v>6551.9679978735585</v>
      </c>
      <c r="Z77" s="106">
        <v>13.645090996552749</v>
      </c>
      <c r="AA77" s="106">
        <v>13115.661465886502</v>
      </c>
      <c r="AB77" s="106">
        <v>7.6313856512454601</v>
      </c>
      <c r="AC77" s="106">
        <v>7335.2878879771361</v>
      </c>
      <c r="AD77" s="106">
        <v>8.4634528609619011</v>
      </c>
      <c r="AE77" s="106">
        <v>8135.0708899565789</v>
      </c>
      <c r="AF77" s="106">
        <v>0</v>
      </c>
      <c r="AG77" s="106">
        <v>0</v>
      </c>
      <c r="AH77" s="106">
        <v>12</v>
      </c>
      <c r="AI77" s="106">
        <v>11534.4</v>
      </c>
      <c r="AJ77" s="106">
        <v>8</v>
      </c>
      <c r="AK77" s="106">
        <v>7689.5999999999995</v>
      </c>
      <c r="AL77" s="106">
        <v>10</v>
      </c>
      <c r="AM77" s="106">
        <v>9612</v>
      </c>
      <c r="AN77" s="106">
        <v>5.3361289874639128</v>
      </c>
      <c r="AO77" s="106">
        <v>5129.0871827503124</v>
      </c>
      <c r="AP77" s="106">
        <v>6.7707458154303524</v>
      </c>
      <c r="AQ77" s="106">
        <v>6508.0408777916546</v>
      </c>
      <c r="AR77" s="106">
        <v>3.1052041153525409</v>
      </c>
      <c r="AS77" s="106">
        <v>2984.7221956768622</v>
      </c>
      <c r="AT77" s="106">
        <v>3.4802287669651668</v>
      </c>
      <c r="AU77" s="106">
        <v>3345.1958908069182</v>
      </c>
      <c r="AV77" s="106">
        <v>0</v>
      </c>
      <c r="AW77" s="106">
        <v>0</v>
      </c>
      <c r="AX77" s="106">
        <v>10</v>
      </c>
      <c r="AY77" s="106">
        <v>9612</v>
      </c>
      <c r="AZ77" s="106">
        <v>2.9121407479718622</v>
      </c>
      <c r="BA77" s="106">
        <v>2799.1496869505536</v>
      </c>
      <c r="BB77" s="106">
        <v>12</v>
      </c>
      <c r="BC77" s="106">
        <v>11534.4</v>
      </c>
      <c r="BD77" s="106">
        <v>8</v>
      </c>
      <c r="BE77" s="106">
        <v>7689.5999999999995</v>
      </c>
      <c r="BF77" s="106">
        <v>10</v>
      </c>
      <c r="BG77" s="106">
        <v>9612</v>
      </c>
      <c r="BH77" s="106">
        <v>9</v>
      </c>
      <c r="BI77" s="106">
        <v>8650.7999999999993</v>
      </c>
      <c r="BJ77" s="106">
        <v>6.1752095955051036</v>
      </c>
      <c r="BK77" s="106">
        <v>5935.6114631995051</v>
      </c>
      <c r="BL77" s="106">
        <v>6.5644949275428957</v>
      </c>
      <c r="BM77" s="106">
        <v>6309.7925243542304</v>
      </c>
      <c r="BN77" s="106">
        <v>3.2418872574229125</v>
      </c>
      <c r="BO77" s="106">
        <v>3116.1020318349033</v>
      </c>
      <c r="BP77" s="106">
        <v>0</v>
      </c>
      <c r="BQ77" s="106">
        <v>0</v>
      </c>
      <c r="BR77" s="106">
        <v>11</v>
      </c>
      <c r="BS77" s="106">
        <v>10573.199999999999</v>
      </c>
      <c r="BT77" s="106">
        <v>9</v>
      </c>
      <c r="BU77" s="106">
        <v>8650.7999999999993</v>
      </c>
      <c r="BV77" s="106">
        <v>12</v>
      </c>
      <c r="BW77" s="106">
        <v>11534.4</v>
      </c>
      <c r="BX77" s="106">
        <v>14</v>
      </c>
      <c r="BY77" s="106">
        <v>13456.8</v>
      </c>
      <c r="BZ77" s="106">
        <v>10.466614161661211</v>
      </c>
      <c r="CA77" s="106">
        <v>10060.509532188755</v>
      </c>
      <c r="CB77" s="106">
        <v>16.793141940171243</v>
      </c>
      <c r="CC77" s="106">
        <v>16141.568032892597</v>
      </c>
      <c r="CD77" s="106">
        <v>8.9302721024160032</v>
      </c>
      <c r="CE77" s="106">
        <v>8583.7775448422617</v>
      </c>
      <c r="CF77" s="106">
        <v>8.4306764603228004</v>
      </c>
      <c r="CG77" s="106">
        <v>8103.566213662275</v>
      </c>
      <c r="CH77" s="106">
        <v>8.2511639577455842</v>
      </c>
      <c r="CI77" s="106">
        <v>7931.0187961850552</v>
      </c>
      <c r="CJ77" s="106">
        <v>12.029119707717726</v>
      </c>
      <c r="CK77" s="106">
        <v>11562.389863058277</v>
      </c>
      <c r="CL77" s="106">
        <v>4.5207873858715288</v>
      </c>
      <c r="CM77" s="106">
        <v>4345.380835299713</v>
      </c>
      <c r="CN77" s="106">
        <v>16.841497662018167</v>
      </c>
      <c r="CO77" s="106">
        <v>16188.047552731861</v>
      </c>
      <c r="CP77" s="106">
        <v>11.574126433371417</v>
      </c>
      <c r="CQ77" s="106">
        <v>11125.050327756604</v>
      </c>
      <c r="CR77" s="106">
        <v>5.2325605809531162</v>
      </c>
      <c r="CS77" s="106">
        <v>5029.5372304121347</v>
      </c>
      <c r="CT77" s="106">
        <v>5.0034005233125978</v>
      </c>
      <c r="CU77" s="106">
        <v>4809.2685830080691</v>
      </c>
    </row>
    <row r="78" spans="2:99" x14ac:dyDescent="0.2">
      <c r="C78" s="105" t="s">
        <v>244</v>
      </c>
      <c r="D78" s="106">
        <v>10.703393554103274</v>
      </c>
      <c r="E78" s="106">
        <v>4662.3982321673857</v>
      </c>
      <c r="F78" s="106">
        <v>15</v>
      </c>
      <c r="G78" s="106">
        <v>6533.9999999999991</v>
      </c>
      <c r="H78" s="106">
        <v>17</v>
      </c>
      <c r="I78" s="106">
        <v>7405.2</v>
      </c>
      <c r="J78" s="106">
        <v>12.026377838016268</v>
      </c>
      <c r="K78" s="106">
        <v>5238.6901862398863</v>
      </c>
      <c r="L78" s="106">
        <v>6.9746526209580388E-16</v>
      </c>
      <c r="M78" s="106">
        <v>3.0381586816893213E-13</v>
      </c>
      <c r="N78" s="106">
        <v>6</v>
      </c>
      <c r="O78" s="106">
        <v>2613.6</v>
      </c>
      <c r="P78" s="106">
        <v>8</v>
      </c>
      <c r="Q78" s="106">
        <v>3484.7999999999997</v>
      </c>
      <c r="R78" s="106">
        <v>6</v>
      </c>
      <c r="S78" s="106">
        <v>2613.6</v>
      </c>
      <c r="T78" s="106">
        <v>23</v>
      </c>
      <c r="U78" s="106">
        <v>10018.799999999999</v>
      </c>
      <c r="V78" s="106">
        <v>20</v>
      </c>
      <c r="W78" s="106">
        <v>8712</v>
      </c>
      <c r="X78" s="106">
        <v>6.816446106818101</v>
      </c>
      <c r="Y78" s="106">
        <v>2969.2439241299644</v>
      </c>
      <c r="Z78" s="106">
        <v>16.893922186208169</v>
      </c>
      <c r="AA78" s="106">
        <v>7358.9925043122776</v>
      </c>
      <c r="AB78" s="106">
        <v>6.8682470861209142</v>
      </c>
      <c r="AC78" s="106">
        <v>2991.8084307142699</v>
      </c>
      <c r="AD78" s="106">
        <v>8.4634528609619011</v>
      </c>
      <c r="AE78" s="106">
        <v>3686.6800662350038</v>
      </c>
      <c r="AF78" s="106">
        <v>0</v>
      </c>
      <c r="AG78" s="106">
        <v>0</v>
      </c>
      <c r="AH78" s="106">
        <v>14</v>
      </c>
      <c r="AI78" s="106">
        <v>6098.4</v>
      </c>
      <c r="AJ78" s="106">
        <v>8</v>
      </c>
      <c r="AK78" s="106">
        <v>3484.7999999999997</v>
      </c>
      <c r="AL78" s="106">
        <v>12</v>
      </c>
      <c r="AM78" s="106">
        <v>5227.2</v>
      </c>
      <c r="AN78" s="106">
        <v>5.7808064030859052</v>
      </c>
      <c r="AO78" s="106">
        <v>2518.1192691842202</v>
      </c>
      <c r="AP78" s="106">
        <v>6.0936712338873171</v>
      </c>
      <c r="AQ78" s="106">
        <v>2654.4031894813152</v>
      </c>
      <c r="AR78" s="106">
        <v>3.1052041153525409</v>
      </c>
      <c r="AS78" s="106">
        <v>1352.6269126475668</v>
      </c>
      <c r="AT78" s="106">
        <v>3.4802287669651668</v>
      </c>
      <c r="AU78" s="106">
        <v>1515.9876508900265</v>
      </c>
      <c r="AV78" s="106">
        <v>0</v>
      </c>
      <c r="AW78" s="106">
        <v>0</v>
      </c>
      <c r="AX78" s="106">
        <v>11</v>
      </c>
      <c r="AY78" s="106">
        <v>4791.5999999999995</v>
      </c>
      <c r="AZ78" s="106">
        <v>2.9121407479718622</v>
      </c>
      <c r="BA78" s="106">
        <v>1268.528509816543</v>
      </c>
      <c r="BB78" s="106">
        <v>13</v>
      </c>
      <c r="BC78" s="106">
        <v>5662.7999999999993</v>
      </c>
      <c r="BD78" s="106">
        <v>10</v>
      </c>
      <c r="BE78" s="106">
        <v>4356</v>
      </c>
      <c r="BF78" s="106">
        <v>10</v>
      </c>
      <c r="BG78" s="106">
        <v>4356</v>
      </c>
      <c r="BH78" s="106">
        <v>9</v>
      </c>
      <c r="BI78" s="106">
        <v>3920.3999999999996</v>
      </c>
      <c r="BJ78" s="106">
        <v>5.2930367961472315</v>
      </c>
      <c r="BK78" s="106">
        <v>2305.6468284017337</v>
      </c>
      <c r="BL78" s="106">
        <v>7.5022799171918813</v>
      </c>
      <c r="BM78" s="106">
        <v>3267.9931319287834</v>
      </c>
      <c r="BN78" s="106">
        <v>3.9623066479613378</v>
      </c>
      <c r="BO78" s="106">
        <v>1725.9807758519587</v>
      </c>
      <c r="BP78" s="106">
        <v>0</v>
      </c>
      <c r="BQ78" s="106">
        <v>0</v>
      </c>
      <c r="BR78" s="106">
        <v>10</v>
      </c>
      <c r="BS78" s="106">
        <v>4356</v>
      </c>
      <c r="BT78" s="106">
        <v>11</v>
      </c>
      <c r="BU78" s="106">
        <v>4791.5999999999995</v>
      </c>
      <c r="BV78" s="106">
        <v>14</v>
      </c>
      <c r="BW78" s="106">
        <v>6098.4</v>
      </c>
      <c r="BX78" s="106">
        <v>16</v>
      </c>
      <c r="BY78" s="106">
        <v>6969.5999999999995</v>
      </c>
      <c r="BZ78" s="106">
        <v>9.5564737997776259</v>
      </c>
      <c r="CA78" s="106">
        <v>4162.7999871831335</v>
      </c>
      <c r="CB78" s="106">
        <v>17.632799037179804</v>
      </c>
      <c r="CC78" s="106">
        <v>7680.8472605955221</v>
      </c>
      <c r="CD78" s="106">
        <v>8.9302721024160032</v>
      </c>
      <c r="CE78" s="106">
        <v>3890.0265278124107</v>
      </c>
      <c r="CF78" s="106">
        <v>8.4306764603228004</v>
      </c>
      <c r="CG78" s="106">
        <v>3672.4026661166117</v>
      </c>
      <c r="CH78" s="106">
        <v>9.1679599530506497</v>
      </c>
      <c r="CI78" s="106">
        <v>3993.5633555488625</v>
      </c>
      <c r="CJ78" s="106">
        <v>12.029119707717726</v>
      </c>
      <c r="CK78" s="106">
        <v>5239.8845446818414</v>
      </c>
      <c r="CL78" s="106">
        <v>4.5207873858715288</v>
      </c>
      <c r="CM78" s="106">
        <v>1969.2549852856378</v>
      </c>
      <c r="CN78" s="106">
        <v>15.068708434437307</v>
      </c>
      <c r="CO78" s="106">
        <v>6563.9293940408907</v>
      </c>
      <c r="CP78" s="106">
        <v>10.355797335121794</v>
      </c>
      <c r="CQ78" s="106">
        <v>4510.9853191790535</v>
      </c>
      <c r="CR78" s="106">
        <v>4.8300559208797997</v>
      </c>
      <c r="CS78" s="106">
        <v>2103.9723591352408</v>
      </c>
      <c r="CT78" s="106">
        <v>4.7090828454706806</v>
      </c>
      <c r="CU78" s="106">
        <v>2051.2764874870281</v>
      </c>
    </row>
    <row r="79" spans="2:99" x14ac:dyDescent="0.2">
      <c r="C79" s="105" t="s">
        <v>245</v>
      </c>
      <c r="D79" s="106">
        <v>9.5767205484081934</v>
      </c>
      <c r="E79" s="106">
        <v>310.28574576842544</v>
      </c>
      <c r="F79" s="106">
        <v>16</v>
      </c>
      <c r="G79" s="106">
        <v>518.4</v>
      </c>
      <c r="H79" s="106">
        <v>19</v>
      </c>
      <c r="I79" s="106">
        <v>615.6</v>
      </c>
      <c r="J79" s="106">
        <v>12.951483825555979</v>
      </c>
      <c r="K79" s="106">
        <v>419.6280759480137</v>
      </c>
      <c r="L79" s="106">
        <v>6.1028210433382841E-16</v>
      </c>
      <c r="M79" s="106">
        <v>1.9773140180416039E-14</v>
      </c>
      <c r="N79" s="106">
        <v>6</v>
      </c>
      <c r="O79" s="106">
        <v>194.39999999999998</v>
      </c>
      <c r="P79" s="106">
        <v>8</v>
      </c>
      <c r="Q79" s="106">
        <v>259.2</v>
      </c>
      <c r="R79" s="106">
        <v>6</v>
      </c>
      <c r="S79" s="106">
        <v>194.39999999999998</v>
      </c>
      <c r="T79" s="106">
        <v>22</v>
      </c>
      <c r="U79" s="106">
        <v>712.8</v>
      </c>
      <c r="V79" s="106">
        <v>19</v>
      </c>
      <c r="W79" s="106">
        <v>615.6</v>
      </c>
      <c r="X79" s="106">
        <v>7.8651301232516539</v>
      </c>
      <c r="Y79" s="106">
        <v>254.83021599335359</v>
      </c>
      <c r="Z79" s="106">
        <v>17.543688424139251</v>
      </c>
      <c r="AA79" s="106">
        <v>568.41550494211174</v>
      </c>
      <c r="AB79" s="106">
        <v>7.6313856512454601</v>
      </c>
      <c r="AC79" s="106">
        <v>247.25689510035289</v>
      </c>
      <c r="AD79" s="106">
        <v>9.4038365121798897</v>
      </c>
      <c r="AE79" s="106">
        <v>304.68430299462841</v>
      </c>
      <c r="AF79" s="106">
        <v>0</v>
      </c>
      <c r="AG79" s="106">
        <v>0</v>
      </c>
      <c r="AH79" s="106">
        <v>13</v>
      </c>
      <c r="AI79" s="106">
        <v>421.2</v>
      </c>
      <c r="AJ79" s="106">
        <v>8</v>
      </c>
      <c r="AK79" s="106">
        <v>259.2</v>
      </c>
      <c r="AL79" s="106">
        <v>12</v>
      </c>
      <c r="AM79" s="106">
        <v>388.79999999999995</v>
      </c>
      <c r="AN79" s="106">
        <v>5.7808064030859052</v>
      </c>
      <c r="AO79" s="106">
        <v>187.29812745998333</v>
      </c>
      <c r="AP79" s="106">
        <v>7.4478203969733876</v>
      </c>
      <c r="AQ79" s="106">
        <v>241.30938086193774</v>
      </c>
      <c r="AR79" s="106">
        <v>3.1052041153525409</v>
      </c>
      <c r="AS79" s="106">
        <v>100.60861333742233</v>
      </c>
      <c r="AT79" s="106">
        <v>3.4802287669651668</v>
      </c>
      <c r="AU79" s="106">
        <v>112.7594120496714</v>
      </c>
      <c r="AV79" s="106">
        <v>0</v>
      </c>
      <c r="AW79" s="106">
        <v>0</v>
      </c>
      <c r="AX79" s="106">
        <v>11</v>
      </c>
      <c r="AY79" s="106">
        <v>356.4</v>
      </c>
      <c r="AZ79" s="106">
        <v>2.9121407479718622</v>
      </c>
      <c r="BA79" s="106">
        <v>94.353360234288331</v>
      </c>
      <c r="BB79" s="106">
        <v>12</v>
      </c>
      <c r="BC79" s="106">
        <v>388.79999999999995</v>
      </c>
      <c r="BD79" s="106">
        <v>9</v>
      </c>
      <c r="BE79" s="106">
        <v>291.59999999999997</v>
      </c>
      <c r="BF79" s="106">
        <v>11</v>
      </c>
      <c r="BG79" s="106">
        <v>356.4</v>
      </c>
      <c r="BH79" s="106">
        <v>9</v>
      </c>
      <c r="BI79" s="106">
        <v>291.59999999999997</v>
      </c>
      <c r="BJ79" s="106">
        <v>6.1752095955051036</v>
      </c>
      <c r="BK79" s="106">
        <v>200.07679089436536</v>
      </c>
      <c r="BL79" s="106">
        <v>7.5022799171918813</v>
      </c>
      <c r="BM79" s="106">
        <v>243.07386931701694</v>
      </c>
      <c r="BN79" s="106">
        <v>3.6020969526921252</v>
      </c>
      <c r="BO79" s="106">
        <v>116.70794126722485</v>
      </c>
      <c r="BP79" s="106">
        <v>0</v>
      </c>
      <c r="BQ79" s="106">
        <v>0</v>
      </c>
      <c r="BR79" s="106">
        <v>11</v>
      </c>
      <c r="BS79" s="106">
        <v>356.4</v>
      </c>
      <c r="BT79" s="106">
        <v>11</v>
      </c>
      <c r="BU79" s="106">
        <v>356.4</v>
      </c>
      <c r="BV79" s="106">
        <v>13</v>
      </c>
      <c r="BW79" s="106">
        <v>421.2</v>
      </c>
      <c r="BX79" s="106">
        <v>17</v>
      </c>
      <c r="BY79" s="106">
        <v>550.79999999999995</v>
      </c>
      <c r="BZ79" s="106">
        <v>10.921684342603001</v>
      </c>
      <c r="CA79" s="106">
        <v>353.86257270033724</v>
      </c>
      <c r="CB79" s="106">
        <v>17.632799037179804</v>
      </c>
      <c r="CC79" s="106">
        <v>571.30268880462563</v>
      </c>
      <c r="CD79" s="106">
        <v>9.6172161102941569</v>
      </c>
      <c r="CE79" s="106">
        <v>311.59780197353069</v>
      </c>
      <c r="CF79" s="106">
        <v>9.2737441063550801</v>
      </c>
      <c r="CG79" s="106">
        <v>300.46930904590459</v>
      </c>
      <c r="CH79" s="106">
        <v>8.2511639577455842</v>
      </c>
      <c r="CI79" s="106">
        <v>267.33771223095692</v>
      </c>
      <c r="CJ79" s="106">
        <v>12.029119707717726</v>
      </c>
      <c r="CK79" s="106">
        <v>389.74347853005429</v>
      </c>
      <c r="CL79" s="106">
        <v>4.5207873858715288</v>
      </c>
      <c r="CM79" s="106">
        <v>146.47351130223754</v>
      </c>
      <c r="CN79" s="106">
        <v>15.955103048227734</v>
      </c>
      <c r="CO79" s="106">
        <v>516.94533876257856</v>
      </c>
      <c r="CP79" s="106">
        <v>10.355797335121794</v>
      </c>
      <c r="CQ79" s="106">
        <v>335.52783365794613</v>
      </c>
      <c r="CR79" s="106">
        <v>4.8300559208797997</v>
      </c>
      <c r="CS79" s="106">
        <v>156.4938118365055</v>
      </c>
      <c r="CT79" s="106">
        <v>4.7090828454706806</v>
      </c>
      <c r="CU79" s="106">
        <v>152.57428419325004</v>
      </c>
    </row>
    <row r="80" spans="2:99" x14ac:dyDescent="0.2">
      <c r="C80" s="105" t="s">
        <v>246</v>
      </c>
      <c r="D80" s="106">
        <v>9.0133840455606524</v>
      </c>
      <c r="E80" s="106">
        <v>4348.0564635784585</v>
      </c>
      <c r="F80" s="106">
        <v>14</v>
      </c>
      <c r="G80" s="106">
        <v>6753.5999999999995</v>
      </c>
      <c r="H80" s="106">
        <v>17</v>
      </c>
      <c r="I80" s="106">
        <v>8200.7999999999993</v>
      </c>
      <c r="J80" s="106">
        <v>12.026377838016268</v>
      </c>
      <c r="K80" s="106">
        <v>5801.5246690590475</v>
      </c>
      <c r="L80" s="106">
        <v>6.1028210433382841E-16</v>
      </c>
      <c r="M80" s="106">
        <v>2.944000871306388E-13</v>
      </c>
      <c r="N80" s="106">
        <v>6</v>
      </c>
      <c r="O80" s="106">
        <v>2894.3999999999996</v>
      </c>
      <c r="P80" s="106">
        <v>8</v>
      </c>
      <c r="Q80" s="106">
        <v>3859.2</v>
      </c>
      <c r="R80" s="106">
        <v>6</v>
      </c>
      <c r="S80" s="106">
        <v>2894.3999999999996</v>
      </c>
      <c r="T80" s="106">
        <v>23</v>
      </c>
      <c r="U80" s="106">
        <v>11095.199999999999</v>
      </c>
      <c r="V80" s="106">
        <v>19</v>
      </c>
      <c r="W80" s="106">
        <v>9165.6</v>
      </c>
      <c r="X80" s="106">
        <v>6.816446106818101</v>
      </c>
      <c r="Y80" s="106">
        <v>3288.2536019290519</v>
      </c>
      <c r="Z80" s="106">
        <v>15.594389710346</v>
      </c>
      <c r="AA80" s="106">
        <v>7522.7335962709103</v>
      </c>
      <c r="AB80" s="106">
        <v>6.8682470861209142</v>
      </c>
      <c r="AC80" s="106">
        <v>3313.2423943447288</v>
      </c>
      <c r="AD80" s="106">
        <v>10.344220163397878</v>
      </c>
      <c r="AE80" s="106">
        <v>4990.0518068231358</v>
      </c>
      <c r="AF80" s="106">
        <v>0</v>
      </c>
      <c r="AG80" s="106">
        <v>0</v>
      </c>
      <c r="AH80" s="106">
        <v>12</v>
      </c>
      <c r="AI80" s="106">
        <v>5788.7999999999993</v>
      </c>
      <c r="AJ80" s="106">
        <v>8</v>
      </c>
      <c r="AK80" s="106">
        <v>3859.2</v>
      </c>
      <c r="AL80" s="106">
        <v>12</v>
      </c>
      <c r="AM80" s="106">
        <v>5788.7999999999993</v>
      </c>
      <c r="AN80" s="106">
        <v>4.8914515718419196</v>
      </c>
      <c r="AO80" s="106">
        <v>2359.6362382565417</v>
      </c>
      <c r="AP80" s="106">
        <v>6.0936712338873171</v>
      </c>
      <c r="AQ80" s="106">
        <v>2939.5870032272414</v>
      </c>
      <c r="AR80" s="106">
        <v>3.4933546297716087</v>
      </c>
      <c r="AS80" s="106">
        <v>1685.1942734018239</v>
      </c>
      <c r="AT80" s="106">
        <v>3.0452001710945207</v>
      </c>
      <c r="AU80" s="106">
        <v>1469.0045625359967</v>
      </c>
      <c r="AV80" s="106">
        <v>0</v>
      </c>
      <c r="AW80" s="106">
        <v>0</v>
      </c>
      <c r="AX80" s="106">
        <v>10</v>
      </c>
      <c r="AY80" s="106">
        <v>4824</v>
      </c>
      <c r="AZ80" s="106">
        <v>2.6474006799744201</v>
      </c>
      <c r="BA80" s="106">
        <v>1277.1060880196601</v>
      </c>
      <c r="BB80" s="106">
        <v>11</v>
      </c>
      <c r="BC80" s="106">
        <v>5306.4</v>
      </c>
      <c r="BD80" s="106">
        <v>8</v>
      </c>
      <c r="BE80" s="106">
        <v>3859.2</v>
      </c>
      <c r="BF80" s="106">
        <v>10</v>
      </c>
      <c r="BG80" s="106">
        <v>4824</v>
      </c>
      <c r="BH80" s="106">
        <v>8</v>
      </c>
      <c r="BI80" s="106">
        <v>3859.2</v>
      </c>
      <c r="BJ80" s="106">
        <v>6.1752095955051036</v>
      </c>
      <c r="BK80" s="106">
        <v>2978.921108871662</v>
      </c>
      <c r="BL80" s="106">
        <v>7.5022799171918813</v>
      </c>
      <c r="BM80" s="106">
        <v>3619.0998320533636</v>
      </c>
      <c r="BN80" s="106">
        <v>3.6020969526921252</v>
      </c>
      <c r="BO80" s="106">
        <v>1737.651569978681</v>
      </c>
      <c r="BP80" s="106">
        <v>0</v>
      </c>
      <c r="BQ80" s="106">
        <v>0</v>
      </c>
      <c r="BR80" s="106">
        <v>10</v>
      </c>
      <c r="BS80" s="106">
        <v>4824</v>
      </c>
      <c r="BT80" s="106">
        <v>10</v>
      </c>
      <c r="BU80" s="106">
        <v>4824</v>
      </c>
      <c r="BV80" s="106">
        <v>14</v>
      </c>
      <c r="BW80" s="106">
        <v>6753.5999999999995</v>
      </c>
      <c r="BX80" s="106">
        <v>16</v>
      </c>
      <c r="BY80" s="106">
        <v>7718.4</v>
      </c>
      <c r="BZ80" s="106">
        <v>10.01154398071942</v>
      </c>
      <c r="CA80" s="106">
        <v>4829.5688162990482</v>
      </c>
      <c r="CB80" s="106">
        <v>18.472456134188366</v>
      </c>
      <c r="CC80" s="106">
        <v>8911.1128391324673</v>
      </c>
      <c r="CD80" s="106">
        <v>8.9302721024160032</v>
      </c>
      <c r="CE80" s="106">
        <v>4307.9632622054796</v>
      </c>
      <c r="CF80" s="106">
        <v>9.2737441063550801</v>
      </c>
      <c r="CG80" s="106">
        <v>4473.6541569056908</v>
      </c>
      <c r="CH80" s="106">
        <v>9.1679599530506497</v>
      </c>
      <c r="CI80" s="106">
        <v>4422.6238813516329</v>
      </c>
      <c r="CJ80" s="106">
        <v>12.888342543983278</v>
      </c>
      <c r="CK80" s="106">
        <v>6217.3364432175331</v>
      </c>
      <c r="CL80" s="106">
        <v>4.1730345100352579</v>
      </c>
      <c r="CM80" s="106">
        <v>2013.0718476410084</v>
      </c>
      <c r="CN80" s="106">
        <v>15.068708434437307</v>
      </c>
      <c r="CO80" s="106">
        <v>7269.1449487725567</v>
      </c>
      <c r="CP80" s="106">
        <v>10.964961884246607</v>
      </c>
      <c r="CQ80" s="106">
        <v>5289.4976129605629</v>
      </c>
      <c r="CR80" s="106">
        <v>5.2325605809531162</v>
      </c>
      <c r="CS80" s="106">
        <v>2524.1872242517829</v>
      </c>
      <c r="CT80" s="106">
        <v>4.7090828454706806</v>
      </c>
      <c r="CU80" s="106">
        <v>2271.6615646550563</v>
      </c>
    </row>
    <row r="81" spans="2:99" x14ac:dyDescent="0.2">
      <c r="C81" s="105" t="s">
        <v>247</v>
      </c>
      <c r="D81" s="106">
        <v>9.0133840455606524</v>
      </c>
      <c r="E81" s="106">
        <v>2714.8312745228686</v>
      </c>
      <c r="F81" s="106">
        <v>15</v>
      </c>
      <c r="G81" s="106">
        <v>4518</v>
      </c>
      <c r="H81" s="106">
        <v>18</v>
      </c>
      <c r="I81" s="106">
        <v>5421.5999999999995</v>
      </c>
      <c r="J81" s="106">
        <v>12.951483825555979</v>
      </c>
      <c r="K81" s="106">
        <v>3900.9869282574605</v>
      </c>
      <c r="L81" s="106">
        <v>6.9746526209580388E-16</v>
      </c>
      <c r="M81" s="106">
        <v>2.1007653694325612E-13</v>
      </c>
      <c r="N81" s="106">
        <v>7</v>
      </c>
      <c r="O81" s="106">
        <v>2108.4</v>
      </c>
      <c r="P81" s="106">
        <v>9</v>
      </c>
      <c r="Q81" s="106">
        <v>2710.7999999999997</v>
      </c>
      <c r="R81" s="106">
        <v>7</v>
      </c>
      <c r="S81" s="106">
        <v>2108.4</v>
      </c>
      <c r="T81" s="106">
        <v>23</v>
      </c>
      <c r="U81" s="106">
        <v>6927.5999999999995</v>
      </c>
      <c r="V81" s="106">
        <v>17</v>
      </c>
      <c r="W81" s="106">
        <v>5120.3999999999996</v>
      </c>
      <c r="X81" s="106">
        <v>6.2921040986013237</v>
      </c>
      <c r="Y81" s="106">
        <v>1895.1817544987186</v>
      </c>
      <c r="Z81" s="106">
        <v>15.594389710346</v>
      </c>
      <c r="AA81" s="106">
        <v>4697.0301807562155</v>
      </c>
      <c r="AB81" s="106">
        <v>8.3945242163700051</v>
      </c>
      <c r="AC81" s="106">
        <v>2528.4306939706453</v>
      </c>
      <c r="AD81" s="106">
        <v>9.4038365121798897</v>
      </c>
      <c r="AE81" s="106">
        <v>2832.4355574685828</v>
      </c>
      <c r="AF81" s="106">
        <v>0</v>
      </c>
      <c r="AG81" s="106">
        <v>0</v>
      </c>
      <c r="AH81" s="106">
        <v>14</v>
      </c>
      <c r="AI81" s="106">
        <v>4216.8</v>
      </c>
      <c r="AJ81" s="106">
        <v>8</v>
      </c>
      <c r="AK81" s="106">
        <v>2409.6</v>
      </c>
      <c r="AL81" s="106">
        <v>12</v>
      </c>
      <c r="AM81" s="106">
        <v>3614.3999999999996</v>
      </c>
      <c r="AN81" s="106">
        <v>5.3361289874639128</v>
      </c>
      <c r="AO81" s="106">
        <v>1607.2420510241304</v>
      </c>
      <c r="AP81" s="106">
        <v>6.7707458154303524</v>
      </c>
      <c r="AQ81" s="106">
        <v>2039.3486396076221</v>
      </c>
      <c r="AR81" s="106">
        <v>3.1052041153525409</v>
      </c>
      <c r="AS81" s="106">
        <v>935.28747954418532</v>
      </c>
      <c r="AT81" s="106">
        <v>3.0452001710945207</v>
      </c>
      <c r="AU81" s="106">
        <v>917.21429153366955</v>
      </c>
      <c r="AV81" s="106">
        <v>0</v>
      </c>
      <c r="AW81" s="106">
        <v>0</v>
      </c>
      <c r="AX81" s="106">
        <v>10</v>
      </c>
      <c r="AY81" s="106">
        <v>3012</v>
      </c>
      <c r="AZ81" s="106">
        <v>2.6474006799744201</v>
      </c>
      <c r="BA81" s="106">
        <v>797.39708480829529</v>
      </c>
      <c r="BB81" s="106">
        <v>12</v>
      </c>
      <c r="BC81" s="106">
        <v>3614.3999999999996</v>
      </c>
      <c r="BD81" s="106">
        <v>8</v>
      </c>
      <c r="BE81" s="106">
        <v>2409.6</v>
      </c>
      <c r="BF81" s="106">
        <v>11</v>
      </c>
      <c r="BG81" s="106">
        <v>3313.2</v>
      </c>
      <c r="BH81" s="106">
        <v>9</v>
      </c>
      <c r="BI81" s="106">
        <v>2710.7999999999997</v>
      </c>
      <c r="BJ81" s="106">
        <v>6.1752095955051036</v>
      </c>
      <c r="BK81" s="106">
        <v>1859.9731301661373</v>
      </c>
      <c r="BL81" s="106">
        <v>6.5644949275428957</v>
      </c>
      <c r="BM81" s="106">
        <v>1977.2258721759201</v>
      </c>
      <c r="BN81" s="106">
        <v>3.9623066479613378</v>
      </c>
      <c r="BO81" s="106">
        <v>1193.446762365955</v>
      </c>
      <c r="BP81" s="106">
        <v>0</v>
      </c>
      <c r="BQ81" s="106">
        <v>0</v>
      </c>
      <c r="BR81" s="106">
        <v>11</v>
      </c>
      <c r="BS81" s="106">
        <v>3313.2</v>
      </c>
      <c r="BT81" s="106">
        <v>10</v>
      </c>
      <c r="BU81" s="106">
        <v>3012</v>
      </c>
      <c r="BV81" s="106">
        <v>14</v>
      </c>
      <c r="BW81" s="106">
        <v>4216.8</v>
      </c>
      <c r="BX81" s="106">
        <v>16</v>
      </c>
      <c r="BY81" s="106">
        <v>4819.2</v>
      </c>
      <c r="BZ81" s="106">
        <v>9.5564737997776259</v>
      </c>
      <c r="CA81" s="106">
        <v>2878.4099084930208</v>
      </c>
      <c r="CB81" s="106">
        <v>18.472456134188366</v>
      </c>
      <c r="CC81" s="106">
        <v>5563.9037876175362</v>
      </c>
      <c r="CD81" s="106">
        <v>10.304160118172312</v>
      </c>
      <c r="CE81" s="106">
        <v>3103.6130275935002</v>
      </c>
      <c r="CF81" s="106">
        <v>9.2737441063550801</v>
      </c>
      <c r="CG81" s="106">
        <v>2793.2517248341501</v>
      </c>
      <c r="CH81" s="106">
        <v>9.1679599530506497</v>
      </c>
      <c r="CI81" s="106">
        <v>2761.3895378588554</v>
      </c>
      <c r="CJ81" s="106">
        <v>11.169896871452174</v>
      </c>
      <c r="CK81" s="106">
        <v>3364.3729376813949</v>
      </c>
      <c r="CL81" s="106">
        <v>4.5207873858715288</v>
      </c>
      <c r="CM81" s="106">
        <v>1361.6611606245044</v>
      </c>
      <c r="CN81" s="106">
        <v>15.068708434437307</v>
      </c>
      <c r="CO81" s="106">
        <v>4538.6949804525166</v>
      </c>
      <c r="CP81" s="106">
        <v>10.355797335121794</v>
      </c>
      <c r="CQ81" s="106">
        <v>3119.1661573386841</v>
      </c>
      <c r="CR81" s="106">
        <v>5.2325605809531162</v>
      </c>
      <c r="CS81" s="106">
        <v>1576.0472469830786</v>
      </c>
      <c r="CT81" s="106">
        <v>5.0034005233125978</v>
      </c>
      <c r="CU81" s="106">
        <v>1507.0242376217543</v>
      </c>
    </row>
    <row r="82" spans="2:99" x14ac:dyDescent="0.2">
      <c r="C82" s="105" t="s">
        <v>248</v>
      </c>
      <c r="D82" s="106">
        <v>9.5767205484081934</v>
      </c>
      <c r="E82" s="106">
        <v>7860.5722261334449</v>
      </c>
      <c r="F82" s="106">
        <v>14</v>
      </c>
      <c r="G82" s="106">
        <v>11491.199999999999</v>
      </c>
      <c r="H82" s="106">
        <v>15</v>
      </c>
      <c r="I82" s="106">
        <v>12312</v>
      </c>
      <c r="J82" s="106">
        <v>12.026377838016268</v>
      </c>
      <c r="K82" s="106">
        <v>9871.2509294437514</v>
      </c>
      <c r="L82" s="106">
        <v>6.9746526209580388E-16</v>
      </c>
      <c r="M82" s="106">
        <v>5.7247948712823584E-13</v>
      </c>
      <c r="N82" s="106">
        <v>6</v>
      </c>
      <c r="O82" s="106">
        <v>4924.7999999999993</v>
      </c>
      <c r="P82" s="106">
        <v>8</v>
      </c>
      <c r="Q82" s="106">
        <v>6566.4</v>
      </c>
      <c r="R82" s="106">
        <v>6</v>
      </c>
      <c r="S82" s="106">
        <v>4924.7999999999993</v>
      </c>
      <c r="T82" s="106">
        <v>22</v>
      </c>
      <c r="U82" s="106">
        <v>18057.599999999999</v>
      </c>
      <c r="V82" s="106">
        <v>20</v>
      </c>
      <c r="W82" s="106">
        <v>16416</v>
      </c>
      <c r="X82" s="106">
        <v>6.2921040986013237</v>
      </c>
      <c r="Y82" s="106">
        <v>5164.5590441319664</v>
      </c>
      <c r="Z82" s="106">
        <v>14.294857234483835</v>
      </c>
      <c r="AA82" s="106">
        <v>11733.218818064332</v>
      </c>
      <c r="AB82" s="106">
        <v>7.6313856512454601</v>
      </c>
      <c r="AC82" s="106">
        <v>6263.8413425422732</v>
      </c>
      <c r="AD82" s="106">
        <v>9.4038365121798897</v>
      </c>
      <c r="AE82" s="106">
        <v>7718.6690091972532</v>
      </c>
      <c r="AF82" s="106">
        <v>0</v>
      </c>
      <c r="AG82" s="106">
        <v>0</v>
      </c>
      <c r="AH82" s="106">
        <v>13</v>
      </c>
      <c r="AI82" s="106">
        <v>10670.4</v>
      </c>
      <c r="AJ82" s="106">
        <v>9</v>
      </c>
      <c r="AK82" s="106">
        <v>7387.2</v>
      </c>
      <c r="AL82" s="106">
        <v>11</v>
      </c>
      <c r="AM82" s="106">
        <v>9028.7999999999993</v>
      </c>
      <c r="AN82" s="106">
        <v>4.8914515718419196</v>
      </c>
      <c r="AO82" s="106">
        <v>4014.9034501678475</v>
      </c>
      <c r="AP82" s="106">
        <v>6.0936712338873171</v>
      </c>
      <c r="AQ82" s="106">
        <v>5001.6853487747094</v>
      </c>
      <c r="AR82" s="106">
        <v>3.4933546297716087</v>
      </c>
      <c r="AS82" s="106">
        <v>2867.3454801165362</v>
      </c>
      <c r="AT82" s="106">
        <v>3.0452001710945207</v>
      </c>
      <c r="AU82" s="106">
        <v>2499.5003004343826</v>
      </c>
      <c r="AV82" s="106">
        <v>0</v>
      </c>
      <c r="AW82" s="106">
        <v>0</v>
      </c>
      <c r="AX82" s="106">
        <v>11</v>
      </c>
      <c r="AY82" s="106">
        <v>9028.7999999999993</v>
      </c>
      <c r="AZ82" s="106">
        <v>2.9121407479718622</v>
      </c>
      <c r="BA82" s="106">
        <v>2390.2851259353042</v>
      </c>
      <c r="BB82" s="106">
        <v>11</v>
      </c>
      <c r="BC82" s="106">
        <v>9028.7999999999993</v>
      </c>
      <c r="BD82" s="106">
        <v>9</v>
      </c>
      <c r="BE82" s="106">
        <v>7387.2</v>
      </c>
      <c r="BF82" s="106">
        <v>10</v>
      </c>
      <c r="BG82" s="106">
        <v>8208</v>
      </c>
      <c r="BH82" s="106">
        <v>9</v>
      </c>
      <c r="BI82" s="106">
        <v>7387.2</v>
      </c>
      <c r="BJ82" s="106">
        <v>6.1752095955051036</v>
      </c>
      <c r="BK82" s="106">
        <v>5068.612035990589</v>
      </c>
      <c r="BL82" s="106">
        <v>6.5644949275428957</v>
      </c>
      <c r="BM82" s="106">
        <v>5388.1374365272086</v>
      </c>
      <c r="BN82" s="106">
        <v>3.9623066479613378</v>
      </c>
      <c r="BO82" s="106">
        <v>3252.2612966466659</v>
      </c>
      <c r="BP82" s="106">
        <v>0</v>
      </c>
      <c r="BQ82" s="106">
        <v>0</v>
      </c>
      <c r="BR82" s="106">
        <v>11</v>
      </c>
      <c r="BS82" s="106">
        <v>9028.7999999999993</v>
      </c>
      <c r="BT82" s="106">
        <v>9</v>
      </c>
      <c r="BU82" s="106">
        <v>7387.2</v>
      </c>
      <c r="BV82" s="106">
        <v>15</v>
      </c>
      <c r="BW82" s="106">
        <v>12312</v>
      </c>
      <c r="BX82" s="106">
        <v>13</v>
      </c>
      <c r="BY82" s="106">
        <v>10670.4</v>
      </c>
      <c r="BZ82" s="106">
        <v>10.921684342603001</v>
      </c>
      <c r="CA82" s="106">
        <v>8964.5185084085424</v>
      </c>
      <c r="CB82" s="106">
        <v>15.953484843162681</v>
      </c>
      <c r="CC82" s="106">
        <v>13094.620359267927</v>
      </c>
      <c r="CD82" s="106">
        <v>9.6172161102941569</v>
      </c>
      <c r="CE82" s="106">
        <v>7893.8109833294438</v>
      </c>
      <c r="CF82" s="106">
        <v>8.4306764603228004</v>
      </c>
      <c r="CG82" s="106">
        <v>6919.8992386329546</v>
      </c>
      <c r="CH82" s="106">
        <v>8.2511639577455842</v>
      </c>
      <c r="CI82" s="106">
        <v>6772.5553765175755</v>
      </c>
      <c r="CJ82" s="106">
        <v>11.169896871452174</v>
      </c>
      <c r="CK82" s="106">
        <v>9168.2513520879438</v>
      </c>
      <c r="CL82" s="106">
        <v>4.5207873858715288</v>
      </c>
      <c r="CM82" s="106">
        <v>3710.6622863233506</v>
      </c>
      <c r="CN82" s="106">
        <v>16.841497662018167</v>
      </c>
      <c r="CO82" s="106">
        <v>13823.50128098451</v>
      </c>
      <c r="CP82" s="106">
        <v>10.964961884246607</v>
      </c>
      <c r="CQ82" s="106">
        <v>9000.0407145896152</v>
      </c>
      <c r="CR82" s="106">
        <v>4.8300559208797997</v>
      </c>
      <c r="CS82" s="106">
        <v>3964.5098998581393</v>
      </c>
      <c r="CT82" s="106">
        <v>5.0034005233125978</v>
      </c>
      <c r="CU82" s="106">
        <v>4106.7911495349799</v>
      </c>
    </row>
    <row r="83" spans="2:99" x14ac:dyDescent="0.2">
      <c r="C83" s="105" t="s">
        <v>249</v>
      </c>
      <c r="D83" s="106">
        <v>10.140057051255734</v>
      </c>
      <c r="E83" s="106">
        <v>1289.8152569197291</v>
      </c>
      <c r="F83" s="106">
        <v>15</v>
      </c>
      <c r="G83" s="106">
        <v>1907.9999999999995</v>
      </c>
      <c r="H83" s="106">
        <v>16</v>
      </c>
      <c r="I83" s="106">
        <v>2035.1999999999996</v>
      </c>
      <c r="J83" s="106">
        <v>11.101271850476554</v>
      </c>
      <c r="K83" s="106">
        <v>1412.0817793806173</v>
      </c>
      <c r="L83" s="106">
        <v>6.9746526209580388E-16</v>
      </c>
      <c r="M83" s="106">
        <v>8.8717581338586231E-14</v>
      </c>
      <c r="N83" s="106">
        <v>6</v>
      </c>
      <c r="O83" s="106">
        <v>763.19999999999982</v>
      </c>
      <c r="P83" s="106">
        <v>9</v>
      </c>
      <c r="Q83" s="106">
        <v>1144.7999999999997</v>
      </c>
      <c r="R83" s="106">
        <v>6</v>
      </c>
      <c r="S83" s="106">
        <v>763.19999999999982</v>
      </c>
      <c r="T83" s="106">
        <v>22</v>
      </c>
      <c r="U83" s="106">
        <v>2798.3999999999996</v>
      </c>
      <c r="V83" s="106">
        <v>18</v>
      </c>
      <c r="W83" s="106">
        <v>2289.5999999999995</v>
      </c>
      <c r="X83" s="106">
        <v>6.816446106818101</v>
      </c>
      <c r="Y83" s="106">
        <v>867.0519447872623</v>
      </c>
      <c r="Z83" s="106">
        <v>15.594389710346</v>
      </c>
      <c r="AA83" s="106">
        <v>1983.6063711560109</v>
      </c>
      <c r="AB83" s="106">
        <v>7.6313856512454601</v>
      </c>
      <c r="AC83" s="106">
        <v>970.71225483842238</v>
      </c>
      <c r="AD83" s="106">
        <v>8.4634528609619011</v>
      </c>
      <c r="AE83" s="106">
        <v>1076.5512039143537</v>
      </c>
      <c r="AF83" s="106">
        <v>0</v>
      </c>
      <c r="AG83" s="106">
        <v>0</v>
      </c>
      <c r="AH83" s="106">
        <v>13</v>
      </c>
      <c r="AI83" s="106">
        <v>1653.5999999999997</v>
      </c>
      <c r="AJ83" s="106">
        <v>8</v>
      </c>
      <c r="AK83" s="106">
        <v>1017.5999999999998</v>
      </c>
      <c r="AL83" s="106">
        <v>12</v>
      </c>
      <c r="AM83" s="106">
        <v>1526.3999999999996</v>
      </c>
      <c r="AN83" s="106">
        <v>5.7808064030859052</v>
      </c>
      <c r="AO83" s="106">
        <v>735.31857447252696</v>
      </c>
      <c r="AP83" s="106">
        <v>7.4478203969733876</v>
      </c>
      <c r="AQ83" s="106">
        <v>947.36275449501466</v>
      </c>
      <c r="AR83" s="106">
        <v>3.4933546297716087</v>
      </c>
      <c r="AS83" s="106">
        <v>444.35470890694853</v>
      </c>
      <c r="AT83" s="106">
        <v>3.4802287669651668</v>
      </c>
      <c r="AU83" s="106">
        <v>442.68509915796915</v>
      </c>
      <c r="AV83" s="106">
        <v>0</v>
      </c>
      <c r="AW83" s="106">
        <v>0</v>
      </c>
      <c r="AX83" s="106">
        <v>11</v>
      </c>
      <c r="AY83" s="106">
        <v>1399.1999999999998</v>
      </c>
      <c r="AZ83" s="106">
        <v>3.1768808159693043</v>
      </c>
      <c r="BA83" s="106">
        <v>404.09923979129542</v>
      </c>
      <c r="BB83" s="106">
        <v>13</v>
      </c>
      <c r="BC83" s="106">
        <v>1653.5999999999997</v>
      </c>
      <c r="BD83" s="106">
        <v>9</v>
      </c>
      <c r="BE83" s="106">
        <v>1144.7999999999997</v>
      </c>
      <c r="BF83" s="106">
        <v>11</v>
      </c>
      <c r="BG83" s="106">
        <v>1399.1999999999998</v>
      </c>
      <c r="BH83" s="106">
        <v>9</v>
      </c>
      <c r="BI83" s="106">
        <v>1144.7999999999997</v>
      </c>
      <c r="BJ83" s="106">
        <v>5.2930367961472315</v>
      </c>
      <c r="BK83" s="106">
        <v>673.2742804699277</v>
      </c>
      <c r="BL83" s="106">
        <v>7.5022799171918813</v>
      </c>
      <c r="BM83" s="106">
        <v>954.29000546680709</v>
      </c>
      <c r="BN83" s="106">
        <v>3.6020969526921252</v>
      </c>
      <c r="BO83" s="106">
        <v>458.18673238243821</v>
      </c>
      <c r="BP83" s="106">
        <v>0</v>
      </c>
      <c r="BQ83" s="106">
        <v>0</v>
      </c>
      <c r="BR83" s="106">
        <v>12</v>
      </c>
      <c r="BS83" s="106">
        <v>1526.3999999999996</v>
      </c>
      <c r="BT83" s="106">
        <v>11</v>
      </c>
      <c r="BU83" s="106">
        <v>1399.1999999999998</v>
      </c>
      <c r="BV83" s="106">
        <v>15</v>
      </c>
      <c r="BW83" s="106">
        <v>1907.9999999999995</v>
      </c>
      <c r="BX83" s="106">
        <v>16</v>
      </c>
      <c r="BY83" s="106">
        <v>2035.1999999999996</v>
      </c>
      <c r="BZ83" s="106">
        <v>10.466614161661211</v>
      </c>
      <c r="CA83" s="106">
        <v>1331.3533213633057</v>
      </c>
      <c r="CB83" s="106">
        <v>17.632799037179804</v>
      </c>
      <c r="CC83" s="106">
        <v>2242.8920375292705</v>
      </c>
      <c r="CD83" s="106">
        <v>10.304160118172312</v>
      </c>
      <c r="CE83" s="106">
        <v>1310.6891670315179</v>
      </c>
      <c r="CF83" s="106">
        <v>10.11681175238736</v>
      </c>
      <c r="CG83" s="106">
        <v>1286.8584549036718</v>
      </c>
      <c r="CH83" s="106">
        <v>9.1679599530506497</v>
      </c>
      <c r="CI83" s="106">
        <v>1166.1645060280423</v>
      </c>
      <c r="CJ83" s="106">
        <v>12.029119707717726</v>
      </c>
      <c r="CK83" s="106">
        <v>1530.1040268216943</v>
      </c>
      <c r="CL83" s="106">
        <v>4.5207873858715288</v>
      </c>
      <c r="CM83" s="106">
        <v>575.0441554828584</v>
      </c>
      <c r="CN83" s="106">
        <v>16.841497662018167</v>
      </c>
      <c r="CO83" s="106">
        <v>2142.2385026087104</v>
      </c>
      <c r="CP83" s="106">
        <v>11.574126433371417</v>
      </c>
      <c r="CQ83" s="106">
        <v>1472.2288823248439</v>
      </c>
      <c r="CR83" s="106">
        <v>4.8300559208797997</v>
      </c>
      <c r="CS83" s="106">
        <v>614.38311313591043</v>
      </c>
      <c r="CT83" s="106">
        <v>5.0034005233125978</v>
      </c>
      <c r="CU83" s="106">
        <v>636.43254656536226</v>
      </c>
    </row>
    <row r="84" spans="2:99" x14ac:dyDescent="0.2">
      <c r="C84" s="105" t="s">
        <v>250</v>
      </c>
      <c r="D84" s="106">
        <v>9.0133840455606524</v>
      </c>
      <c r="E84" s="106">
        <v>8003.8850324578598</v>
      </c>
      <c r="F84" s="106">
        <v>14</v>
      </c>
      <c r="G84" s="106">
        <v>12432</v>
      </c>
      <c r="H84" s="106">
        <v>17</v>
      </c>
      <c r="I84" s="106">
        <v>15096</v>
      </c>
      <c r="J84" s="106">
        <v>12.026377838016268</v>
      </c>
      <c r="K84" s="106">
        <v>10679.423520158445</v>
      </c>
      <c r="L84" s="106">
        <v>6.1028210433382841E-16</v>
      </c>
      <c r="M84" s="106">
        <v>5.4193050864843965E-13</v>
      </c>
      <c r="N84" s="106">
        <v>7</v>
      </c>
      <c r="O84" s="106">
        <v>6216</v>
      </c>
      <c r="P84" s="106">
        <v>8</v>
      </c>
      <c r="Q84" s="106">
        <v>7104</v>
      </c>
      <c r="R84" s="106">
        <v>6</v>
      </c>
      <c r="S84" s="106">
        <v>5328</v>
      </c>
      <c r="T84" s="106">
        <v>19</v>
      </c>
      <c r="U84" s="106">
        <v>16872</v>
      </c>
      <c r="V84" s="106">
        <v>17</v>
      </c>
      <c r="W84" s="106">
        <v>15096</v>
      </c>
      <c r="X84" s="106">
        <v>6.2921040986013237</v>
      </c>
      <c r="Y84" s="106">
        <v>5587.3884395579753</v>
      </c>
      <c r="Z84" s="106">
        <v>13.645090996552749</v>
      </c>
      <c r="AA84" s="106">
        <v>12116.840804938842</v>
      </c>
      <c r="AB84" s="106">
        <v>6.8682470861209142</v>
      </c>
      <c r="AC84" s="106">
        <v>6099.003412475372</v>
      </c>
      <c r="AD84" s="106">
        <v>10.344220163397878</v>
      </c>
      <c r="AE84" s="106">
        <v>9185.6675050973154</v>
      </c>
      <c r="AF84" s="106">
        <v>0</v>
      </c>
      <c r="AG84" s="106">
        <v>0</v>
      </c>
      <c r="AH84" s="106">
        <v>13</v>
      </c>
      <c r="AI84" s="106">
        <v>11544</v>
      </c>
      <c r="AJ84" s="106">
        <v>8</v>
      </c>
      <c r="AK84" s="106">
        <v>7104</v>
      </c>
      <c r="AL84" s="106">
        <v>10</v>
      </c>
      <c r="AM84" s="106">
        <v>8880</v>
      </c>
      <c r="AN84" s="106">
        <v>5.7808064030859052</v>
      </c>
      <c r="AO84" s="106">
        <v>5133.3560859402842</v>
      </c>
      <c r="AP84" s="106">
        <v>6.7707458154303524</v>
      </c>
      <c r="AQ84" s="106">
        <v>6012.4222841021528</v>
      </c>
      <c r="AR84" s="106">
        <v>3.1052041153525409</v>
      </c>
      <c r="AS84" s="106">
        <v>2757.4212544330562</v>
      </c>
      <c r="AT84" s="106">
        <v>3.4802287669651668</v>
      </c>
      <c r="AU84" s="106">
        <v>3090.4431450650682</v>
      </c>
      <c r="AV84" s="106">
        <v>0</v>
      </c>
      <c r="AW84" s="106">
        <v>0</v>
      </c>
      <c r="AX84" s="106">
        <v>11</v>
      </c>
      <c r="AY84" s="106">
        <v>9768</v>
      </c>
      <c r="AZ84" s="106">
        <v>2.6474006799744201</v>
      </c>
      <c r="BA84" s="106">
        <v>2350.8918038172851</v>
      </c>
      <c r="BB84" s="106">
        <v>13</v>
      </c>
      <c r="BC84" s="106">
        <v>11544</v>
      </c>
      <c r="BD84" s="106">
        <v>8</v>
      </c>
      <c r="BE84" s="106">
        <v>7104</v>
      </c>
      <c r="BF84" s="106">
        <v>11</v>
      </c>
      <c r="BG84" s="106">
        <v>9768</v>
      </c>
      <c r="BH84" s="106">
        <v>8</v>
      </c>
      <c r="BI84" s="106">
        <v>7104</v>
      </c>
      <c r="BJ84" s="106">
        <v>5.2930367961472315</v>
      </c>
      <c r="BK84" s="106">
        <v>4700.216674978742</v>
      </c>
      <c r="BL84" s="106">
        <v>6.5644949275428957</v>
      </c>
      <c r="BM84" s="106">
        <v>5829.2714956580912</v>
      </c>
      <c r="BN84" s="106">
        <v>3.6020969526921252</v>
      </c>
      <c r="BO84" s="106">
        <v>3198.662093990607</v>
      </c>
      <c r="BP84" s="106">
        <v>0</v>
      </c>
      <c r="BQ84" s="106">
        <v>0</v>
      </c>
      <c r="BR84" s="106">
        <v>11</v>
      </c>
      <c r="BS84" s="106">
        <v>9768</v>
      </c>
      <c r="BT84" s="106">
        <v>10</v>
      </c>
      <c r="BU84" s="106">
        <v>8880</v>
      </c>
      <c r="BV84" s="106">
        <v>13</v>
      </c>
      <c r="BW84" s="106">
        <v>11544</v>
      </c>
      <c r="BX84" s="106">
        <v>15</v>
      </c>
      <c r="BY84" s="106">
        <v>13320</v>
      </c>
      <c r="BZ84" s="106">
        <v>10.01154398071942</v>
      </c>
      <c r="CA84" s="106">
        <v>8890.251054878845</v>
      </c>
      <c r="CB84" s="106">
        <v>15.953484843162681</v>
      </c>
      <c r="CC84" s="106">
        <v>14166.69454072846</v>
      </c>
      <c r="CD84" s="106">
        <v>9.6172161102941569</v>
      </c>
      <c r="CE84" s="106">
        <v>8540.0879059412109</v>
      </c>
      <c r="CF84" s="106">
        <v>10.11681175238736</v>
      </c>
      <c r="CG84" s="106">
        <v>8983.7288361199753</v>
      </c>
      <c r="CH84" s="106">
        <v>9.1679599530506497</v>
      </c>
      <c r="CI84" s="106">
        <v>8141.1484383089773</v>
      </c>
      <c r="CJ84" s="106">
        <v>12.888342543983278</v>
      </c>
      <c r="CK84" s="106">
        <v>11444.848179057151</v>
      </c>
      <c r="CL84" s="106">
        <v>4.5207873858715288</v>
      </c>
      <c r="CM84" s="106">
        <v>4014.4591986539176</v>
      </c>
      <c r="CN84" s="106">
        <v>15.068708434437307</v>
      </c>
      <c r="CO84" s="106">
        <v>13381.013089780328</v>
      </c>
      <c r="CP84" s="106">
        <v>10.964961884246607</v>
      </c>
      <c r="CQ84" s="106">
        <v>9736.8861532109877</v>
      </c>
      <c r="CR84" s="106">
        <v>4.8300559208797997</v>
      </c>
      <c r="CS84" s="106">
        <v>4289.0896577412623</v>
      </c>
      <c r="CT84" s="106">
        <v>4.7090828454706806</v>
      </c>
      <c r="CU84" s="106">
        <v>4181.6655667779642</v>
      </c>
    </row>
    <row r="85" spans="2:99" x14ac:dyDescent="0.2">
      <c r="C85" s="105" t="s">
        <v>251</v>
      </c>
      <c r="D85" s="106">
        <v>8.4500475427131114</v>
      </c>
      <c r="E85" s="106">
        <v>5526.3310929343752</v>
      </c>
      <c r="F85" s="106">
        <v>16</v>
      </c>
      <c r="G85" s="106">
        <v>10464</v>
      </c>
      <c r="H85" s="106">
        <v>17</v>
      </c>
      <c r="I85" s="106">
        <v>11118</v>
      </c>
      <c r="J85" s="106">
        <v>12.026377838016268</v>
      </c>
      <c r="K85" s="106">
        <v>7865.2511060626393</v>
      </c>
      <c r="L85" s="106">
        <v>6.1028210433382841E-16</v>
      </c>
      <c r="M85" s="106">
        <v>3.9912449623432377E-13</v>
      </c>
      <c r="N85" s="106">
        <v>6</v>
      </c>
      <c r="O85" s="106">
        <v>3924</v>
      </c>
      <c r="P85" s="106">
        <v>9</v>
      </c>
      <c r="Q85" s="106">
        <v>5886</v>
      </c>
      <c r="R85" s="106">
        <v>7</v>
      </c>
      <c r="S85" s="106">
        <v>4578</v>
      </c>
      <c r="T85" s="106">
        <v>21</v>
      </c>
      <c r="U85" s="106">
        <v>13734</v>
      </c>
      <c r="V85" s="106">
        <v>18</v>
      </c>
      <c r="W85" s="106">
        <v>11772</v>
      </c>
      <c r="X85" s="106">
        <v>6.2921040986013237</v>
      </c>
      <c r="Y85" s="106">
        <v>4115.0360804852653</v>
      </c>
      <c r="Z85" s="106">
        <v>14.294857234483835</v>
      </c>
      <c r="AA85" s="106">
        <v>9348.8366313524275</v>
      </c>
      <c r="AB85" s="106">
        <v>7.6313856512454601</v>
      </c>
      <c r="AC85" s="106">
        <v>4990.926215914531</v>
      </c>
      <c r="AD85" s="106">
        <v>10.344220163397878</v>
      </c>
      <c r="AE85" s="106">
        <v>6765.1199868622125</v>
      </c>
      <c r="AF85" s="106">
        <v>0</v>
      </c>
      <c r="AG85" s="106">
        <v>0</v>
      </c>
      <c r="AH85" s="106">
        <v>13</v>
      </c>
      <c r="AI85" s="106">
        <v>8502</v>
      </c>
      <c r="AJ85" s="106">
        <v>8</v>
      </c>
      <c r="AK85" s="106">
        <v>5232</v>
      </c>
      <c r="AL85" s="106">
        <v>12</v>
      </c>
      <c r="AM85" s="106">
        <v>7848</v>
      </c>
      <c r="AN85" s="106">
        <v>5.3361289874639128</v>
      </c>
      <c r="AO85" s="106">
        <v>3489.8283578013989</v>
      </c>
      <c r="AP85" s="106">
        <v>6.7707458154303524</v>
      </c>
      <c r="AQ85" s="106">
        <v>4428.0677632914503</v>
      </c>
      <c r="AR85" s="106">
        <v>3.1052041153525409</v>
      </c>
      <c r="AS85" s="106">
        <v>2030.8034914405619</v>
      </c>
      <c r="AT85" s="106">
        <v>3.4802287669651668</v>
      </c>
      <c r="AU85" s="106">
        <v>2276.0696135952189</v>
      </c>
      <c r="AV85" s="106">
        <v>0</v>
      </c>
      <c r="AW85" s="106">
        <v>0</v>
      </c>
      <c r="AX85" s="106">
        <v>10</v>
      </c>
      <c r="AY85" s="106">
        <v>6540</v>
      </c>
      <c r="AZ85" s="106">
        <v>2.9121407479718622</v>
      </c>
      <c r="BA85" s="106">
        <v>1904.5400491735979</v>
      </c>
      <c r="BB85" s="106">
        <v>13</v>
      </c>
      <c r="BC85" s="106">
        <v>8502</v>
      </c>
      <c r="BD85" s="106">
        <v>8</v>
      </c>
      <c r="BE85" s="106">
        <v>5232</v>
      </c>
      <c r="BF85" s="106">
        <v>10</v>
      </c>
      <c r="BG85" s="106">
        <v>6540</v>
      </c>
      <c r="BH85" s="106">
        <v>9</v>
      </c>
      <c r="BI85" s="106">
        <v>5886</v>
      </c>
      <c r="BJ85" s="106">
        <v>6.1752095955051036</v>
      </c>
      <c r="BK85" s="106">
        <v>4038.5870754603379</v>
      </c>
      <c r="BL85" s="106">
        <v>6.5644949275428957</v>
      </c>
      <c r="BM85" s="106">
        <v>4293.179682613054</v>
      </c>
      <c r="BN85" s="106">
        <v>3.9623066479613378</v>
      </c>
      <c r="BO85" s="106">
        <v>2591.348547766715</v>
      </c>
      <c r="BP85" s="106">
        <v>0</v>
      </c>
      <c r="BQ85" s="106">
        <v>0</v>
      </c>
      <c r="BR85" s="106">
        <v>11</v>
      </c>
      <c r="BS85" s="106">
        <v>7194</v>
      </c>
      <c r="BT85" s="106">
        <v>11</v>
      </c>
      <c r="BU85" s="106">
        <v>7194</v>
      </c>
      <c r="BV85" s="106">
        <v>15</v>
      </c>
      <c r="BW85" s="106">
        <v>9810</v>
      </c>
      <c r="BX85" s="106">
        <v>16</v>
      </c>
      <c r="BY85" s="106">
        <v>10464</v>
      </c>
      <c r="BZ85" s="106">
        <v>9.1014036188358354</v>
      </c>
      <c r="CA85" s="106">
        <v>5952.3179667186359</v>
      </c>
      <c r="CB85" s="106">
        <v>17.632799037179804</v>
      </c>
      <c r="CC85" s="106">
        <v>11531.850570315592</v>
      </c>
      <c r="CD85" s="106">
        <v>8.9302721024160032</v>
      </c>
      <c r="CE85" s="106">
        <v>5840.3979549800661</v>
      </c>
      <c r="CF85" s="106">
        <v>10.11681175238736</v>
      </c>
      <c r="CG85" s="106">
        <v>6616.3948860613336</v>
      </c>
      <c r="CH85" s="106">
        <v>8.2511639577455842</v>
      </c>
      <c r="CI85" s="106">
        <v>5396.2612283656117</v>
      </c>
      <c r="CJ85" s="106">
        <v>12.888342543983278</v>
      </c>
      <c r="CK85" s="106">
        <v>8428.9760237650644</v>
      </c>
      <c r="CL85" s="106">
        <v>4.8685402617078006</v>
      </c>
      <c r="CM85" s="106">
        <v>3184.0253311569018</v>
      </c>
      <c r="CN85" s="106">
        <v>16.841497662018167</v>
      </c>
      <c r="CO85" s="106">
        <v>11014.339470959882</v>
      </c>
      <c r="CP85" s="106">
        <v>10.355797335121794</v>
      </c>
      <c r="CQ85" s="106">
        <v>6772.6914571696534</v>
      </c>
      <c r="CR85" s="106">
        <v>5.2325605809531162</v>
      </c>
      <c r="CS85" s="106">
        <v>3422.0946199433379</v>
      </c>
      <c r="CT85" s="106">
        <v>4.7090828454706806</v>
      </c>
      <c r="CU85" s="106">
        <v>3079.7401809378252</v>
      </c>
    </row>
    <row r="86" spans="2:99" x14ac:dyDescent="0.2">
      <c r="C86" s="105" t="s">
        <v>252</v>
      </c>
      <c r="D86" s="106">
        <v>9.5767205484081934</v>
      </c>
      <c r="E86" s="106">
        <v>3642.9844966144765</v>
      </c>
      <c r="F86" s="106">
        <v>15</v>
      </c>
      <c r="G86" s="106">
        <v>5706</v>
      </c>
      <c r="H86" s="106">
        <v>18</v>
      </c>
      <c r="I86" s="106">
        <v>6847.2</v>
      </c>
      <c r="J86" s="106">
        <v>11.101271850476554</v>
      </c>
      <c r="K86" s="106">
        <v>4222.9238119212805</v>
      </c>
      <c r="L86" s="106">
        <v>6.1028210433382841E-16</v>
      </c>
      <c r="M86" s="106">
        <v>2.3215131248858833E-13</v>
      </c>
      <c r="N86" s="106">
        <v>7</v>
      </c>
      <c r="O86" s="106">
        <v>2662.7999999999997</v>
      </c>
      <c r="P86" s="106">
        <v>8</v>
      </c>
      <c r="Q86" s="106">
        <v>3043.2</v>
      </c>
      <c r="R86" s="106">
        <v>6</v>
      </c>
      <c r="S86" s="106">
        <v>2282.3999999999996</v>
      </c>
      <c r="T86" s="106">
        <v>22</v>
      </c>
      <c r="U86" s="106">
        <v>8368.7999999999993</v>
      </c>
      <c r="V86" s="106">
        <v>18</v>
      </c>
      <c r="W86" s="106">
        <v>6847.2</v>
      </c>
      <c r="X86" s="106">
        <v>6.816446106818101</v>
      </c>
      <c r="Y86" s="106">
        <v>2592.9760990336054</v>
      </c>
      <c r="Z86" s="106">
        <v>16.893922186208169</v>
      </c>
      <c r="AA86" s="106">
        <v>6426.4479996335867</v>
      </c>
      <c r="AB86" s="106">
        <v>8.3945242163700051</v>
      </c>
      <c r="AC86" s="106">
        <v>3193.2770119071497</v>
      </c>
      <c r="AD86" s="106">
        <v>10.344220163397878</v>
      </c>
      <c r="AE86" s="106">
        <v>3934.9413501565527</v>
      </c>
      <c r="AF86" s="106">
        <v>0</v>
      </c>
      <c r="AG86" s="106">
        <v>0</v>
      </c>
      <c r="AH86" s="106">
        <v>14</v>
      </c>
      <c r="AI86" s="106">
        <v>5325.5999999999995</v>
      </c>
      <c r="AJ86" s="106">
        <v>8</v>
      </c>
      <c r="AK86" s="106">
        <v>3043.2</v>
      </c>
      <c r="AL86" s="106">
        <v>11</v>
      </c>
      <c r="AM86" s="106">
        <v>4184.3999999999996</v>
      </c>
      <c r="AN86" s="106">
        <v>5.3361289874639128</v>
      </c>
      <c r="AO86" s="106">
        <v>2029.8634668312723</v>
      </c>
      <c r="AP86" s="106">
        <v>6.7707458154303524</v>
      </c>
      <c r="AQ86" s="106">
        <v>2575.591708189706</v>
      </c>
      <c r="AR86" s="106">
        <v>3.1052041153525409</v>
      </c>
      <c r="AS86" s="106">
        <v>1181.2196454801065</v>
      </c>
      <c r="AT86" s="106">
        <v>3.4802287669651668</v>
      </c>
      <c r="AU86" s="106">
        <v>1323.8790229535493</v>
      </c>
      <c r="AV86" s="106">
        <v>0</v>
      </c>
      <c r="AW86" s="106">
        <v>0</v>
      </c>
      <c r="AX86" s="106">
        <v>10</v>
      </c>
      <c r="AY86" s="106">
        <v>3804</v>
      </c>
      <c r="AZ86" s="106">
        <v>3.1768808159693043</v>
      </c>
      <c r="BA86" s="106">
        <v>1208.4854623947233</v>
      </c>
      <c r="BB86" s="106">
        <v>12</v>
      </c>
      <c r="BC86" s="106">
        <v>4564.7999999999993</v>
      </c>
      <c r="BD86" s="106">
        <v>9</v>
      </c>
      <c r="BE86" s="106">
        <v>3423.6</v>
      </c>
      <c r="BF86" s="106">
        <v>11</v>
      </c>
      <c r="BG86" s="106">
        <v>4184.3999999999996</v>
      </c>
      <c r="BH86" s="106">
        <v>9</v>
      </c>
      <c r="BI86" s="106">
        <v>3423.6</v>
      </c>
      <c r="BJ86" s="106">
        <v>6.1752095955051036</v>
      </c>
      <c r="BK86" s="106">
        <v>2349.0497301301411</v>
      </c>
      <c r="BL86" s="106">
        <v>6.5644949275428957</v>
      </c>
      <c r="BM86" s="106">
        <v>2497.1338704373175</v>
      </c>
      <c r="BN86" s="106">
        <v>3.2418872574229125</v>
      </c>
      <c r="BO86" s="106">
        <v>1233.2139127236758</v>
      </c>
      <c r="BP86" s="106">
        <v>0</v>
      </c>
      <c r="BQ86" s="106">
        <v>0</v>
      </c>
      <c r="BR86" s="106">
        <v>10</v>
      </c>
      <c r="BS86" s="106">
        <v>3804</v>
      </c>
      <c r="BT86" s="106">
        <v>10</v>
      </c>
      <c r="BU86" s="106">
        <v>3804</v>
      </c>
      <c r="BV86" s="106">
        <v>13</v>
      </c>
      <c r="BW86" s="106">
        <v>4945.2</v>
      </c>
      <c r="BX86" s="106">
        <v>16</v>
      </c>
      <c r="BY86" s="106">
        <v>6086.4</v>
      </c>
      <c r="BZ86" s="106">
        <v>11.376754523544795</v>
      </c>
      <c r="CA86" s="106">
        <v>4327.7174207564394</v>
      </c>
      <c r="CB86" s="106">
        <v>17.632799037179804</v>
      </c>
      <c r="CC86" s="106">
        <v>6707.5167537431971</v>
      </c>
      <c r="CD86" s="106">
        <v>9.6172161102941569</v>
      </c>
      <c r="CE86" s="106">
        <v>3658.3890083558972</v>
      </c>
      <c r="CF86" s="106">
        <v>10.11681175238736</v>
      </c>
      <c r="CG86" s="106">
        <v>3848.4351906081515</v>
      </c>
      <c r="CH86" s="106">
        <v>7.3343679624405196</v>
      </c>
      <c r="CI86" s="106">
        <v>2789.9935729123736</v>
      </c>
      <c r="CJ86" s="106">
        <v>11.169896871452174</v>
      </c>
      <c r="CK86" s="106">
        <v>4249.0287699004066</v>
      </c>
      <c r="CL86" s="106">
        <v>4.8685402617078006</v>
      </c>
      <c r="CM86" s="106">
        <v>1851.9927155536473</v>
      </c>
      <c r="CN86" s="106">
        <v>16.841497662018167</v>
      </c>
      <c r="CO86" s="106">
        <v>6406.5057106317099</v>
      </c>
      <c r="CP86" s="106">
        <v>11.574126433371417</v>
      </c>
      <c r="CQ86" s="106">
        <v>4402.7976952544868</v>
      </c>
      <c r="CR86" s="106">
        <v>4.8300559208797997</v>
      </c>
      <c r="CS86" s="106">
        <v>1837.3532723026758</v>
      </c>
      <c r="CT86" s="106">
        <v>4.7090828454706806</v>
      </c>
      <c r="CU86" s="106">
        <v>1791.3351144170467</v>
      </c>
    </row>
    <row r="87" spans="2:99" x14ac:dyDescent="0.2">
      <c r="B87" s="105" t="s">
        <v>131</v>
      </c>
      <c r="C87" s="105" t="s">
        <v>253</v>
      </c>
      <c r="D87" s="106">
        <v>0</v>
      </c>
      <c r="E87" s="106">
        <v>0</v>
      </c>
      <c r="F87" s="106">
        <v>4.1117120421386204</v>
      </c>
      <c r="G87" s="106">
        <v>2319.0055917661821</v>
      </c>
      <c r="H87" s="106">
        <v>1.3987141396619396</v>
      </c>
      <c r="I87" s="106">
        <v>788.87477476933395</v>
      </c>
      <c r="J87" s="106">
        <v>0</v>
      </c>
      <c r="K87" s="106">
        <v>0</v>
      </c>
      <c r="L87" s="106">
        <v>1.8929965799936019</v>
      </c>
      <c r="M87" s="106">
        <v>1067.6500711163915</v>
      </c>
      <c r="N87" s="106">
        <v>0</v>
      </c>
      <c r="O87" s="106">
        <v>0</v>
      </c>
      <c r="P87" s="106">
        <v>1.198897833995948</v>
      </c>
      <c r="Q87" s="106">
        <v>676.17837837371462</v>
      </c>
      <c r="R87" s="106">
        <v>1.0875113067325763</v>
      </c>
      <c r="S87" s="106">
        <v>613.35637699717302</v>
      </c>
      <c r="T87" s="106">
        <v>3.7253046890201023</v>
      </c>
      <c r="U87" s="106">
        <v>2101.0718446073379</v>
      </c>
      <c r="V87" s="106">
        <v>1.6414623785994824</v>
      </c>
      <c r="W87" s="106">
        <v>925.78478153010803</v>
      </c>
      <c r="X87" s="106">
        <v>0</v>
      </c>
      <c r="Y87" s="106">
        <v>0</v>
      </c>
      <c r="Z87" s="106">
        <v>1.8302019552328725</v>
      </c>
      <c r="AA87" s="106">
        <v>1032.2339027513401</v>
      </c>
      <c r="AB87" s="106">
        <v>1.0376832213626799</v>
      </c>
      <c r="AC87" s="106">
        <v>585.2533368485515</v>
      </c>
      <c r="AD87" s="106">
        <v>0</v>
      </c>
      <c r="AE87" s="106">
        <v>0</v>
      </c>
      <c r="AF87" s="106">
        <v>2.6607823629950458</v>
      </c>
      <c r="AG87" s="106">
        <v>1500.6812527292059</v>
      </c>
      <c r="AH87" s="106">
        <v>0</v>
      </c>
      <c r="AI87" s="106">
        <v>0</v>
      </c>
      <c r="AJ87" s="106">
        <v>2.556345515093883</v>
      </c>
      <c r="AK87" s="106">
        <v>1441.7788705129501</v>
      </c>
      <c r="AL87" s="106">
        <v>0</v>
      </c>
      <c r="AM87" s="106">
        <v>0</v>
      </c>
      <c r="AN87" s="106">
        <v>1.7320879547783554</v>
      </c>
      <c r="AO87" s="106">
        <v>976.89760649499249</v>
      </c>
      <c r="AP87" s="106">
        <v>1.1899290928909205</v>
      </c>
      <c r="AQ87" s="106">
        <v>671.12000839047914</v>
      </c>
      <c r="AR87" s="106">
        <v>0</v>
      </c>
      <c r="AS87" s="106">
        <v>0</v>
      </c>
      <c r="AT87" s="106">
        <v>0.82152389360184408</v>
      </c>
      <c r="AU87" s="106">
        <v>463.33947599144005</v>
      </c>
      <c r="AV87" s="106">
        <v>0</v>
      </c>
      <c r="AW87" s="106">
        <v>0</v>
      </c>
      <c r="AX87" s="106">
        <v>0</v>
      </c>
      <c r="AY87" s="106">
        <v>0</v>
      </c>
      <c r="AZ87" s="106">
        <v>2.4037781419691084</v>
      </c>
      <c r="BA87" s="106">
        <v>1355.7308720705771</v>
      </c>
      <c r="BB87" s="106">
        <v>1.2558338206581254</v>
      </c>
      <c r="BC87" s="106">
        <v>708.29027485118274</v>
      </c>
      <c r="BD87" s="106">
        <v>1.1531363424178953</v>
      </c>
      <c r="BE87" s="106">
        <v>650.36889712369293</v>
      </c>
      <c r="BF87" s="106">
        <v>1.136367037181707</v>
      </c>
      <c r="BG87" s="106">
        <v>640.91100897048273</v>
      </c>
      <c r="BH87" s="106">
        <v>0</v>
      </c>
      <c r="BI87" s="106">
        <v>0</v>
      </c>
      <c r="BJ87" s="106">
        <v>2.1019194089642648</v>
      </c>
      <c r="BK87" s="106">
        <v>1185.4825466558452</v>
      </c>
      <c r="BL87" s="106">
        <v>1.9586870665015887</v>
      </c>
      <c r="BM87" s="106">
        <v>1104.699505506896</v>
      </c>
      <c r="BN87" s="106">
        <v>1.186307199319045</v>
      </c>
      <c r="BO87" s="106">
        <v>669.0772604159414</v>
      </c>
      <c r="BP87" s="106">
        <v>1.4211801011976479</v>
      </c>
      <c r="BQ87" s="106">
        <v>801.54557707547337</v>
      </c>
      <c r="BR87" s="106">
        <v>0</v>
      </c>
      <c r="BS87" s="106">
        <v>0</v>
      </c>
      <c r="BT87" s="106">
        <v>3.2120638171706291</v>
      </c>
      <c r="BU87" s="106">
        <v>1811.6039928842347</v>
      </c>
      <c r="BV87" s="106">
        <v>0</v>
      </c>
      <c r="BW87" s="106">
        <v>0</v>
      </c>
      <c r="BX87" s="106">
        <v>2.8875726365724281</v>
      </c>
      <c r="BY87" s="106">
        <v>1628.5909670268495</v>
      </c>
      <c r="BZ87" s="106">
        <v>1.1160556816200184</v>
      </c>
      <c r="CA87" s="106">
        <v>629.45540443369043</v>
      </c>
      <c r="CB87" s="106">
        <v>0</v>
      </c>
      <c r="CC87" s="106">
        <v>0</v>
      </c>
      <c r="CD87" s="106">
        <v>2.5494156839933639</v>
      </c>
      <c r="CE87" s="106">
        <v>1437.8704457722572</v>
      </c>
      <c r="CF87" s="106">
        <v>0</v>
      </c>
      <c r="CG87" s="106">
        <v>0</v>
      </c>
      <c r="CH87" s="106">
        <v>2.3725174528591308</v>
      </c>
      <c r="CI87" s="106">
        <v>1338.0998434125497</v>
      </c>
      <c r="CJ87" s="106">
        <v>0</v>
      </c>
      <c r="CK87" s="106">
        <v>0</v>
      </c>
      <c r="CL87" s="106">
        <v>1.2370809608598741</v>
      </c>
      <c r="CM87" s="106">
        <v>697.71366192496896</v>
      </c>
      <c r="CN87" s="106">
        <v>1.9251761941092418</v>
      </c>
      <c r="CO87" s="106">
        <v>1085.7993734776123</v>
      </c>
      <c r="CP87" s="106">
        <v>1.9566076421763314</v>
      </c>
      <c r="CQ87" s="106">
        <v>1103.5267101874508</v>
      </c>
      <c r="CR87" s="106">
        <v>3.1323719684369484</v>
      </c>
      <c r="CS87" s="106">
        <v>1766.657790198439</v>
      </c>
      <c r="CT87" s="106">
        <v>1.1921155920609656</v>
      </c>
      <c r="CU87" s="106">
        <v>672.35319392238466</v>
      </c>
    </row>
    <row r="88" spans="2:99" x14ac:dyDescent="0.2">
      <c r="C88" s="105" t="s">
        <v>254</v>
      </c>
      <c r="D88" s="106">
        <v>0</v>
      </c>
      <c r="E88" s="106">
        <v>0</v>
      </c>
      <c r="F88" s="106">
        <v>4.6990994767298515</v>
      </c>
      <c r="G88" s="106">
        <v>2283.7623456907077</v>
      </c>
      <c r="H88" s="106">
        <v>1.1988978339959482</v>
      </c>
      <c r="I88" s="106">
        <v>582.66434732203084</v>
      </c>
      <c r="J88" s="106">
        <v>0</v>
      </c>
      <c r="K88" s="106">
        <v>0</v>
      </c>
      <c r="L88" s="106">
        <v>1.8929965799936019</v>
      </c>
      <c r="M88" s="106">
        <v>919.99633787689049</v>
      </c>
      <c r="N88" s="106">
        <v>0</v>
      </c>
      <c r="O88" s="106">
        <v>0</v>
      </c>
      <c r="P88" s="106">
        <v>1.198897833995948</v>
      </c>
      <c r="Q88" s="106">
        <v>582.66434732203072</v>
      </c>
      <c r="R88" s="106">
        <v>1.0875113067325763</v>
      </c>
      <c r="S88" s="106">
        <v>528.53049507203207</v>
      </c>
      <c r="T88" s="106">
        <v>3.7253046890201023</v>
      </c>
      <c r="U88" s="106">
        <v>1810.4980788637697</v>
      </c>
      <c r="V88" s="106">
        <v>1.6414623785994824</v>
      </c>
      <c r="W88" s="106">
        <v>797.75071599934847</v>
      </c>
      <c r="X88" s="106">
        <v>0</v>
      </c>
      <c r="Y88" s="106">
        <v>0</v>
      </c>
      <c r="Z88" s="106">
        <v>1.6014267108287634</v>
      </c>
      <c r="AA88" s="106">
        <v>778.29338146277905</v>
      </c>
      <c r="AB88" s="106">
        <v>1.0376832213626799</v>
      </c>
      <c r="AC88" s="106">
        <v>504.31404558226239</v>
      </c>
      <c r="AD88" s="106">
        <v>0</v>
      </c>
      <c r="AE88" s="106">
        <v>0</v>
      </c>
      <c r="AF88" s="106">
        <v>2.6607823629950458</v>
      </c>
      <c r="AG88" s="106">
        <v>1293.1402284155922</v>
      </c>
      <c r="AH88" s="106">
        <v>0</v>
      </c>
      <c r="AI88" s="106">
        <v>0</v>
      </c>
      <c r="AJ88" s="106">
        <v>2.1302879292449028</v>
      </c>
      <c r="AK88" s="106">
        <v>1035.3199336130228</v>
      </c>
      <c r="AL88" s="106">
        <v>0</v>
      </c>
      <c r="AM88" s="106">
        <v>0</v>
      </c>
      <c r="AN88" s="106">
        <v>1.7320879547783554</v>
      </c>
      <c r="AO88" s="106">
        <v>841.79474602228072</v>
      </c>
      <c r="AP88" s="106">
        <v>1.1899290928909205</v>
      </c>
      <c r="AQ88" s="106">
        <v>578.30553914498739</v>
      </c>
      <c r="AR88" s="106">
        <v>0</v>
      </c>
      <c r="AS88" s="106">
        <v>0</v>
      </c>
      <c r="AT88" s="106">
        <v>0.95844454253548483</v>
      </c>
      <c r="AU88" s="106">
        <v>465.80404767224564</v>
      </c>
      <c r="AV88" s="106">
        <v>0</v>
      </c>
      <c r="AW88" s="106">
        <v>0</v>
      </c>
      <c r="AX88" s="106">
        <v>0</v>
      </c>
      <c r="AY88" s="106">
        <v>0</v>
      </c>
      <c r="AZ88" s="106">
        <v>2.8044078322972927</v>
      </c>
      <c r="BA88" s="106">
        <v>1362.9422064964842</v>
      </c>
      <c r="BB88" s="106">
        <v>1.0764289891355361</v>
      </c>
      <c r="BC88" s="106">
        <v>523.14448871987054</v>
      </c>
      <c r="BD88" s="106">
        <v>1.3178701056204518</v>
      </c>
      <c r="BE88" s="106">
        <v>640.48487133153958</v>
      </c>
      <c r="BF88" s="106">
        <v>1.136367037181707</v>
      </c>
      <c r="BG88" s="106">
        <v>552.27438007030958</v>
      </c>
      <c r="BH88" s="106">
        <v>0</v>
      </c>
      <c r="BI88" s="106">
        <v>0</v>
      </c>
      <c r="BJ88" s="106">
        <v>2.1019194089642648</v>
      </c>
      <c r="BK88" s="106">
        <v>1021.5328327566327</v>
      </c>
      <c r="BL88" s="106">
        <v>1.7410551702236345</v>
      </c>
      <c r="BM88" s="106">
        <v>846.1528127286864</v>
      </c>
      <c r="BN88" s="106">
        <v>1.186307199319045</v>
      </c>
      <c r="BO88" s="106">
        <v>576.54529886905584</v>
      </c>
      <c r="BP88" s="106">
        <v>1.6242058299401692</v>
      </c>
      <c r="BQ88" s="106">
        <v>789.36403335092223</v>
      </c>
      <c r="BR88" s="106">
        <v>0</v>
      </c>
      <c r="BS88" s="106">
        <v>0</v>
      </c>
      <c r="BT88" s="106">
        <v>3.2120638171706291</v>
      </c>
      <c r="BU88" s="106">
        <v>1561.0630151449257</v>
      </c>
      <c r="BV88" s="106">
        <v>0</v>
      </c>
      <c r="BW88" s="106">
        <v>0</v>
      </c>
      <c r="BX88" s="106">
        <v>2.5266260570008745</v>
      </c>
      <c r="BY88" s="106">
        <v>1227.940263702425</v>
      </c>
      <c r="BZ88" s="106">
        <v>1.1160556816200184</v>
      </c>
      <c r="CA88" s="106">
        <v>542.40306126732901</v>
      </c>
      <c r="CB88" s="106">
        <v>0</v>
      </c>
      <c r="CC88" s="106">
        <v>0</v>
      </c>
      <c r="CD88" s="106">
        <v>2.5494156839933639</v>
      </c>
      <c r="CE88" s="106">
        <v>1239.0160224207748</v>
      </c>
      <c r="CF88" s="106">
        <v>0</v>
      </c>
      <c r="CG88" s="106">
        <v>0</v>
      </c>
      <c r="CH88" s="106">
        <v>2.3725174528591308</v>
      </c>
      <c r="CI88" s="106">
        <v>1153.0434820895375</v>
      </c>
      <c r="CJ88" s="106">
        <v>0</v>
      </c>
      <c r="CK88" s="106">
        <v>0</v>
      </c>
      <c r="CL88" s="106">
        <v>1.2370809608598741</v>
      </c>
      <c r="CM88" s="106">
        <v>601.22134697789875</v>
      </c>
      <c r="CN88" s="106">
        <v>1.9251761941092418</v>
      </c>
      <c r="CO88" s="106">
        <v>935.63563033709147</v>
      </c>
      <c r="CP88" s="106">
        <v>1.9566076421763314</v>
      </c>
      <c r="CQ88" s="106">
        <v>950.91131409769707</v>
      </c>
      <c r="CR88" s="106">
        <v>2.8476108803972258</v>
      </c>
      <c r="CS88" s="106">
        <v>1383.9388878730517</v>
      </c>
      <c r="CT88" s="106">
        <v>1.3245728800677394</v>
      </c>
      <c r="CU88" s="106">
        <v>643.74241971292133</v>
      </c>
    </row>
    <row r="89" spans="2:99" x14ac:dyDescent="0.2">
      <c r="C89" s="105" t="s">
        <v>255</v>
      </c>
      <c r="D89" s="106">
        <v>0</v>
      </c>
      <c r="E89" s="106">
        <v>0</v>
      </c>
      <c r="F89" s="106">
        <v>4.1117120421386204</v>
      </c>
      <c r="G89" s="106">
        <v>2856.8175268779132</v>
      </c>
      <c r="H89" s="106">
        <v>1.3987141396619396</v>
      </c>
      <c r="I89" s="106">
        <v>971.82658423711553</v>
      </c>
      <c r="J89" s="106">
        <v>0</v>
      </c>
      <c r="K89" s="106">
        <v>0</v>
      </c>
      <c r="L89" s="106">
        <v>1.8929965799936019</v>
      </c>
      <c r="M89" s="106">
        <v>1315.2540237795545</v>
      </c>
      <c r="N89" s="106">
        <v>0</v>
      </c>
      <c r="O89" s="106">
        <v>0</v>
      </c>
      <c r="P89" s="106">
        <v>1.198897833995948</v>
      </c>
      <c r="Q89" s="106">
        <v>832.99421506038459</v>
      </c>
      <c r="R89" s="106">
        <v>1.0875113067325763</v>
      </c>
      <c r="S89" s="106">
        <v>755.60285591779405</v>
      </c>
      <c r="T89" s="106">
        <v>3.7253046890201023</v>
      </c>
      <c r="U89" s="106">
        <v>2588.3416979311669</v>
      </c>
      <c r="V89" s="106">
        <v>1.6414623785994824</v>
      </c>
      <c r="W89" s="106">
        <v>1140.4880606509203</v>
      </c>
      <c r="X89" s="106">
        <v>0</v>
      </c>
      <c r="Y89" s="106">
        <v>0</v>
      </c>
      <c r="Z89" s="106">
        <v>1.8302019552328725</v>
      </c>
      <c r="AA89" s="106">
        <v>1271.6243184957998</v>
      </c>
      <c r="AB89" s="106">
        <v>1.0376832213626799</v>
      </c>
      <c r="AC89" s="106">
        <v>720.98230220278992</v>
      </c>
      <c r="AD89" s="106">
        <v>0</v>
      </c>
      <c r="AE89" s="106">
        <v>0</v>
      </c>
      <c r="AF89" s="106">
        <v>2.217318635829205</v>
      </c>
      <c r="AG89" s="106">
        <v>1540.5929881741315</v>
      </c>
      <c r="AH89" s="106">
        <v>0</v>
      </c>
      <c r="AI89" s="106">
        <v>0</v>
      </c>
      <c r="AJ89" s="106">
        <v>2.1302879292449028</v>
      </c>
      <c r="AK89" s="106">
        <v>1480.1240532393583</v>
      </c>
      <c r="AL89" s="106">
        <v>0</v>
      </c>
      <c r="AM89" s="106">
        <v>0</v>
      </c>
      <c r="AN89" s="106">
        <v>1.4846468183814476</v>
      </c>
      <c r="AO89" s="106">
        <v>1031.5326094114298</v>
      </c>
      <c r="AP89" s="106">
        <v>1.1899290928909205</v>
      </c>
      <c r="AQ89" s="106">
        <v>826.76273374061157</v>
      </c>
      <c r="AR89" s="106">
        <v>0</v>
      </c>
      <c r="AS89" s="106">
        <v>0</v>
      </c>
      <c r="AT89" s="106">
        <v>0.95844454253548483</v>
      </c>
      <c r="AU89" s="106">
        <v>665.92726815365484</v>
      </c>
      <c r="AV89" s="106">
        <v>0</v>
      </c>
      <c r="AW89" s="106">
        <v>0</v>
      </c>
      <c r="AX89" s="106">
        <v>0</v>
      </c>
      <c r="AY89" s="106">
        <v>0</v>
      </c>
      <c r="AZ89" s="106">
        <v>2.8044078322972927</v>
      </c>
      <c r="BA89" s="106">
        <v>1948.502561880159</v>
      </c>
      <c r="BB89" s="106">
        <v>1.0764289891355361</v>
      </c>
      <c r="BC89" s="106">
        <v>747.90286165137047</v>
      </c>
      <c r="BD89" s="106">
        <v>1.3178701056204518</v>
      </c>
      <c r="BE89" s="106">
        <v>915.65614938508986</v>
      </c>
      <c r="BF89" s="106">
        <v>0.99432115753399353</v>
      </c>
      <c r="BG89" s="106">
        <v>690.85434025461871</v>
      </c>
      <c r="BH89" s="106">
        <v>0</v>
      </c>
      <c r="BI89" s="106">
        <v>0</v>
      </c>
      <c r="BJ89" s="106">
        <v>1.8016452076836558</v>
      </c>
      <c r="BK89" s="106">
        <v>1251.7830902986038</v>
      </c>
      <c r="BL89" s="106">
        <v>1.7410551702236345</v>
      </c>
      <c r="BM89" s="106">
        <v>1209.6851322713812</v>
      </c>
      <c r="BN89" s="106">
        <v>1.186307199319045</v>
      </c>
      <c r="BO89" s="106">
        <v>824.24624208687248</v>
      </c>
      <c r="BP89" s="106">
        <v>1.6242058299401692</v>
      </c>
      <c r="BQ89" s="106">
        <v>1128.4982106424295</v>
      </c>
      <c r="BR89" s="106">
        <v>0</v>
      </c>
      <c r="BS89" s="106">
        <v>0</v>
      </c>
      <c r="BT89" s="106">
        <v>3.2120638171706291</v>
      </c>
      <c r="BU89" s="106">
        <v>2231.7419401701527</v>
      </c>
      <c r="BV89" s="106">
        <v>0</v>
      </c>
      <c r="BW89" s="106">
        <v>0</v>
      </c>
      <c r="BX89" s="106">
        <v>2.5266260570008745</v>
      </c>
      <c r="BY89" s="106">
        <v>1755.4997844042075</v>
      </c>
      <c r="BZ89" s="106">
        <v>1.1160556816200184</v>
      </c>
      <c r="CA89" s="106">
        <v>775.43548758958877</v>
      </c>
      <c r="CB89" s="106">
        <v>0</v>
      </c>
      <c r="CC89" s="106">
        <v>0</v>
      </c>
      <c r="CD89" s="106">
        <v>2.5494156839933639</v>
      </c>
      <c r="CE89" s="106">
        <v>1771.3340172385892</v>
      </c>
      <c r="CF89" s="106">
        <v>0</v>
      </c>
      <c r="CG89" s="106">
        <v>0</v>
      </c>
      <c r="CH89" s="106">
        <v>2.3725174528591308</v>
      </c>
      <c r="CI89" s="106">
        <v>1648.4251262465241</v>
      </c>
      <c r="CJ89" s="106">
        <v>0</v>
      </c>
      <c r="CK89" s="106">
        <v>0</v>
      </c>
      <c r="CL89" s="106">
        <v>1.2370809608598741</v>
      </c>
      <c r="CM89" s="106">
        <v>859.52385160544043</v>
      </c>
      <c r="CN89" s="106">
        <v>1.7326585746983176</v>
      </c>
      <c r="CO89" s="106">
        <v>1203.851177700391</v>
      </c>
      <c r="CP89" s="106">
        <v>1.7935570053283039</v>
      </c>
      <c r="CQ89" s="106">
        <v>1246.1634073021055</v>
      </c>
      <c r="CR89" s="106">
        <v>2.5628497923575031</v>
      </c>
      <c r="CS89" s="106">
        <v>1780.6680357299931</v>
      </c>
      <c r="CT89" s="106">
        <v>1.3245728800677394</v>
      </c>
      <c r="CU89" s="106">
        <v>920.31323707106526</v>
      </c>
    </row>
    <row r="90" spans="2:99" x14ac:dyDescent="0.2">
      <c r="C90" s="105" t="s">
        <v>256</v>
      </c>
      <c r="D90" s="106">
        <v>0</v>
      </c>
      <c r="E90" s="106">
        <v>0</v>
      </c>
      <c r="F90" s="106">
        <v>4.1117120421386204</v>
      </c>
      <c r="G90" s="106">
        <v>2422.6207352280749</v>
      </c>
      <c r="H90" s="106">
        <v>1.3987141396619396</v>
      </c>
      <c r="I90" s="106">
        <v>824.1223710888147</v>
      </c>
      <c r="J90" s="106">
        <v>0</v>
      </c>
      <c r="K90" s="106">
        <v>0</v>
      </c>
      <c r="L90" s="106">
        <v>1.8929965799936019</v>
      </c>
      <c r="M90" s="106">
        <v>1115.3535849322302</v>
      </c>
      <c r="N90" s="106">
        <v>0</v>
      </c>
      <c r="O90" s="106">
        <v>0</v>
      </c>
      <c r="P90" s="106">
        <v>0.9591182671967583</v>
      </c>
      <c r="Q90" s="106">
        <v>565.11248303232992</v>
      </c>
      <c r="R90" s="106">
        <v>1.0875113067325763</v>
      </c>
      <c r="S90" s="106">
        <v>640.76166192683388</v>
      </c>
      <c r="T90" s="106">
        <v>3.193118304874373</v>
      </c>
      <c r="U90" s="106">
        <v>1881.3853052319803</v>
      </c>
      <c r="V90" s="106">
        <v>1.4069677530852707</v>
      </c>
      <c r="W90" s="106">
        <v>828.98540011784144</v>
      </c>
      <c r="X90" s="106">
        <v>0</v>
      </c>
      <c r="Y90" s="106">
        <v>0</v>
      </c>
      <c r="Z90" s="106">
        <v>1.6014267108287634</v>
      </c>
      <c r="AA90" s="106">
        <v>943.56061802030729</v>
      </c>
      <c r="AB90" s="106">
        <v>1.0376832213626799</v>
      </c>
      <c r="AC90" s="106">
        <v>611.40295402689094</v>
      </c>
      <c r="AD90" s="106">
        <v>0</v>
      </c>
      <c r="AE90" s="106">
        <v>0</v>
      </c>
      <c r="AF90" s="106">
        <v>2.217318635829205</v>
      </c>
      <c r="AG90" s="106">
        <v>1306.4441402305674</v>
      </c>
      <c r="AH90" s="106">
        <v>0</v>
      </c>
      <c r="AI90" s="106">
        <v>0</v>
      </c>
      <c r="AJ90" s="106">
        <v>2.1302879292449028</v>
      </c>
      <c r="AK90" s="106">
        <v>1255.1656479110966</v>
      </c>
      <c r="AL90" s="106">
        <v>0</v>
      </c>
      <c r="AM90" s="106">
        <v>0</v>
      </c>
      <c r="AN90" s="106">
        <v>1.4846468183814476</v>
      </c>
      <c r="AO90" s="106">
        <v>874.75390539034879</v>
      </c>
      <c r="AP90" s="106">
        <v>1.0411879562795554</v>
      </c>
      <c r="AQ90" s="106">
        <v>613.46794383991403</v>
      </c>
      <c r="AR90" s="106">
        <v>0</v>
      </c>
      <c r="AS90" s="106">
        <v>0</v>
      </c>
      <c r="AT90" s="106">
        <v>0.82152389360184408</v>
      </c>
      <c r="AU90" s="106">
        <v>484.04187811020648</v>
      </c>
      <c r="AV90" s="106">
        <v>0</v>
      </c>
      <c r="AW90" s="106">
        <v>0</v>
      </c>
      <c r="AX90" s="106">
        <v>0</v>
      </c>
      <c r="AY90" s="106">
        <v>0</v>
      </c>
      <c r="AZ90" s="106">
        <v>2.8044078322972927</v>
      </c>
      <c r="BA90" s="106">
        <v>1652.3570947895646</v>
      </c>
      <c r="BB90" s="106">
        <v>1.2558338206581254</v>
      </c>
      <c r="BC90" s="106">
        <v>739.93728713176745</v>
      </c>
      <c r="BD90" s="106">
        <v>1.3178701056204518</v>
      </c>
      <c r="BE90" s="106">
        <v>776.48906623157006</v>
      </c>
      <c r="BF90" s="106">
        <v>1.136367037181707</v>
      </c>
      <c r="BG90" s="106">
        <v>669.54745830746162</v>
      </c>
      <c r="BH90" s="106">
        <v>0</v>
      </c>
      <c r="BI90" s="106">
        <v>0</v>
      </c>
      <c r="BJ90" s="106">
        <v>2.1019194089642648</v>
      </c>
      <c r="BK90" s="106">
        <v>1238.4509157617447</v>
      </c>
      <c r="BL90" s="106">
        <v>1.7410551702236345</v>
      </c>
      <c r="BM90" s="106">
        <v>1025.8297062957654</v>
      </c>
      <c r="BN90" s="106">
        <v>0.98858933276587102</v>
      </c>
      <c r="BO90" s="106">
        <v>582.47683486565109</v>
      </c>
      <c r="BP90" s="106">
        <v>1.6242058299401692</v>
      </c>
      <c r="BQ90" s="106">
        <v>956.9820750007475</v>
      </c>
      <c r="BR90" s="106">
        <v>0</v>
      </c>
      <c r="BS90" s="106">
        <v>0</v>
      </c>
      <c r="BT90" s="106">
        <v>3.2120638171706291</v>
      </c>
      <c r="BU90" s="106">
        <v>1892.5480010769345</v>
      </c>
      <c r="BV90" s="106">
        <v>0</v>
      </c>
      <c r="BW90" s="106">
        <v>0</v>
      </c>
      <c r="BX90" s="106">
        <v>2.5266260570008745</v>
      </c>
      <c r="BY90" s="106">
        <v>1488.688072784915</v>
      </c>
      <c r="BZ90" s="106">
        <v>1.1160556816200184</v>
      </c>
      <c r="CA90" s="106">
        <v>657.58000761051483</v>
      </c>
      <c r="CB90" s="106">
        <v>0</v>
      </c>
      <c r="CC90" s="106">
        <v>0</v>
      </c>
      <c r="CD90" s="106">
        <v>2.5494156839933639</v>
      </c>
      <c r="CE90" s="106">
        <v>1502.1157210088898</v>
      </c>
      <c r="CF90" s="106">
        <v>0</v>
      </c>
      <c r="CG90" s="106">
        <v>0</v>
      </c>
      <c r="CH90" s="106">
        <v>2.3725174528591308</v>
      </c>
      <c r="CI90" s="106">
        <v>1397.8872832245997</v>
      </c>
      <c r="CJ90" s="106">
        <v>0</v>
      </c>
      <c r="CK90" s="106">
        <v>0</v>
      </c>
      <c r="CL90" s="106">
        <v>1.2370809608598741</v>
      </c>
      <c r="CM90" s="106">
        <v>728.88810213863769</v>
      </c>
      <c r="CN90" s="106">
        <v>2.1176938135201659</v>
      </c>
      <c r="CO90" s="106">
        <v>1247.7451949260817</v>
      </c>
      <c r="CP90" s="106">
        <v>1.6305063684802763</v>
      </c>
      <c r="CQ90" s="106">
        <v>960.69435230857869</v>
      </c>
      <c r="CR90" s="106">
        <v>2.5628497923575031</v>
      </c>
      <c r="CS90" s="106">
        <v>1510.0310976570406</v>
      </c>
      <c r="CT90" s="106">
        <v>1.0596583040541918</v>
      </c>
      <c r="CU90" s="106">
        <v>624.35067274872972</v>
      </c>
    </row>
    <row r="91" spans="2:99" x14ac:dyDescent="0.2">
      <c r="C91" s="105" t="s">
        <v>257</v>
      </c>
      <c r="D91" s="106">
        <v>0</v>
      </c>
      <c r="E91" s="106">
        <v>0</v>
      </c>
      <c r="F91" s="106">
        <v>4.1117120421386204</v>
      </c>
      <c r="G91" s="106">
        <v>2624.9169677012951</v>
      </c>
      <c r="H91" s="106">
        <v>1.3987141396619396</v>
      </c>
      <c r="I91" s="106">
        <v>892.9391067601822</v>
      </c>
      <c r="J91" s="106">
        <v>0</v>
      </c>
      <c r="K91" s="106">
        <v>0</v>
      </c>
      <c r="L91" s="106">
        <v>1.8929965799936019</v>
      </c>
      <c r="M91" s="106">
        <v>1208.4890166679154</v>
      </c>
      <c r="N91" s="106">
        <v>0</v>
      </c>
      <c r="O91" s="106">
        <v>0</v>
      </c>
      <c r="P91" s="106">
        <v>1.198897833995948</v>
      </c>
      <c r="Q91" s="106">
        <v>765.37637722301315</v>
      </c>
      <c r="R91" s="106">
        <v>1.0875113067325763</v>
      </c>
      <c r="S91" s="106">
        <v>694.26721821807666</v>
      </c>
      <c r="T91" s="106">
        <v>3.7253046890201023</v>
      </c>
      <c r="U91" s="106">
        <v>2378.2345134704333</v>
      </c>
      <c r="V91" s="106">
        <v>1.6414623785994824</v>
      </c>
      <c r="W91" s="106">
        <v>1047.9095824979095</v>
      </c>
      <c r="X91" s="106">
        <v>0</v>
      </c>
      <c r="Y91" s="106">
        <v>0</v>
      </c>
      <c r="Z91" s="106">
        <v>1.6014267108287634</v>
      </c>
      <c r="AA91" s="106">
        <v>1022.3508121930826</v>
      </c>
      <c r="AB91" s="106">
        <v>1.0376832213626799</v>
      </c>
      <c r="AC91" s="106">
        <v>662.4569685179348</v>
      </c>
      <c r="AD91" s="106">
        <v>0</v>
      </c>
      <c r="AE91" s="106">
        <v>0</v>
      </c>
      <c r="AF91" s="106">
        <v>2.217318635829205</v>
      </c>
      <c r="AG91" s="106">
        <v>1415.5362171133645</v>
      </c>
      <c r="AH91" s="106">
        <v>0</v>
      </c>
      <c r="AI91" s="106">
        <v>0</v>
      </c>
      <c r="AJ91" s="106">
        <v>2.1302879292449028</v>
      </c>
      <c r="AK91" s="106">
        <v>1359.9758140299459</v>
      </c>
      <c r="AL91" s="106">
        <v>0</v>
      </c>
      <c r="AM91" s="106">
        <v>0</v>
      </c>
      <c r="AN91" s="106">
        <v>1.7320879547783554</v>
      </c>
      <c r="AO91" s="106">
        <v>1105.764950330502</v>
      </c>
      <c r="AP91" s="106">
        <v>1.0411879562795554</v>
      </c>
      <c r="AQ91" s="106">
        <v>664.69439128886813</v>
      </c>
      <c r="AR91" s="106">
        <v>0</v>
      </c>
      <c r="AS91" s="106">
        <v>0</v>
      </c>
      <c r="AT91" s="106">
        <v>0.95844454253548483</v>
      </c>
      <c r="AU91" s="106">
        <v>611.87099595465349</v>
      </c>
      <c r="AV91" s="106">
        <v>0</v>
      </c>
      <c r="AW91" s="106">
        <v>0</v>
      </c>
      <c r="AX91" s="106">
        <v>0</v>
      </c>
      <c r="AY91" s="106">
        <v>0</v>
      </c>
      <c r="AZ91" s="106">
        <v>2.8044078322972927</v>
      </c>
      <c r="BA91" s="106">
        <v>1790.3339601385917</v>
      </c>
      <c r="BB91" s="106">
        <v>1.2558338206581254</v>
      </c>
      <c r="BC91" s="106">
        <v>801.72431110814728</v>
      </c>
      <c r="BD91" s="106">
        <v>1.1531363424178953</v>
      </c>
      <c r="BE91" s="106">
        <v>736.16224099958436</v>
      </c>
      <c r="BF91" s="106">
        <v>0.99432115753399353</v>
      </c>
      <c r="BG91" s="106">
        <v>634.77462696970144</v>
      </c>
      <c r="BH91" s="106">
        <v>0</v>
      </c>
      <c r="BI91" s="106">
        <v>0</v>
      </c>
      <c r="BJ91" s="106">
        <v>1.8016452076836558</v>
      </c>
      <c r="BK91" s="106">
        <v>1150.1703005852457</v>
      </c>
      <c r="BL91" s="106">
        <v>1.7410551702236345</v>
      </c>
      <c r="BM91" s="106">
        <v>1111.4896206707683</v>
      </c>
      <c r="BN91" s="106">
        <v>0.98858933276587102</v>
      </c>
      <c r="BO91" s="106">
        <v>631.11543003773204</v>
      </c>
      <c r="BP91" s="106">
        <v>1.6242058299401692</v>
      </c>
      <c r="BQ91" s="106">
        <v>1036.893001833804</v>
      </c>
      <c r="BR91" s="106">
        <v>0</v>
      </c>
      <c r="BS91" s="106">
        <v>0</v>
      </c>
      <c r="BT91" s="106">
        <v>3.2120638171706291</v>
      </c>
      <c r="BU91" s="106">
        <v>2050.5815408817293</v>
      </c>
      <c r="BV91" s="106">
        <v>0</v>
      </c>
      <c r="BW91" s="106">
        <v>0</v>
      </c>
      <c r="BX91" s="106">
        <v>2.5266260570008745</v>
      </c>
      <c r="BY91" s="106">
        <v>1612.9980747893583</v>
      </c>
      <c r="BZ91" s="106">
        <v>0.93004640135001526</v>
      </c>
      <c r="CA91" s="106">
        <v>593.74162262184973</v>
      </c>
      <c r="CB91" s="106">
        <v>0</v>
      </c>
      <c r="CC91" s="106">
        <v>0</v>
      </c>
      <c r="CD91" s="106">
        <v>2.1852134434228834</v>
      </c>
      <c r="CE91" s="106">
        <v>1395.0402622811687</v>
      </c>
      <c r="CF91" s="106">
        <v>0</v>
      </c>
      <c r="CG91" s="106">
        <v>0</v>
      </c>
      <c r="CH91" s="106">
        <v>2.3725174528591308</v>
      </c>
      <c r="CI91" s="106">
        <v>1514.6151419052692</v>
      </c>
      <c r="CJ91" s="106">
        <v>0</v>
      </c>
      <c r="CK91" s="106">
        <v>0</v>
      </c>
      <c r="CL91" s="106">
        <v>1.2370809608598741</v>
      </c>
      <c r="CM91" s="106">
        <v>789.75248541294354</v>
      </c>
      <c r="CN91" s="106">
        <v>1.9251761941092418</v>
      </c>
      <c r="CO91" s="106">
        <v>1229.0324823193398</v>
      </c>
      <c r="CP91" s="106">
        <v>1.7935570053283039</v>
      </c>
      <c r="CQ91" s="106">
        <v>1145.0067922015892</v>
      </c>
      <c r="CR91" s="106">
        <v>3.1323719684369484</v>
      </c>
      <c r="CS91" s="106">
        <v>1999.7062646501479</v>
      </c>
      <c r="CT91" s="106">
        <v>1.3245728800677394</v>
      </c>
      <c r="CU91" s="106">
        <v>845.60732663524482</v>
      </c>
    </row>
    <row r="92" spans="2:99" x14ac:dyDescent="0.2">
      <c r="C92" s="105" t="s">
        <v>258</v>
      </c>
      <c r="D92" s="106">
        <v>0</v>
      </c>
      <c r="E92" s="106">
        <v>0</v>
      </c>
      <c r="F92" s="106">
        <v>4.1117120421386204</v>
      </c>
      <c r="G92" s="106">
        <v>2052.5666514355994</v>
      </c>
      <c r="H92" s="106">
        <v>1.3987141396619396</v>
      </c>
      <c r="I92" s="106">
        <v>698.23809851924022</v>
      </c>
      <c r="J92" s="106">
        <v>0</v>
      </c>
      <c r="K92" s="106">
        <v>0</v>
      </c>
      <c r="L92" s="106">
        <v>1.8929965799936019</v>
      </c>
      <c r="M92" s="106">
        <v>944.98389273280611</v>
      </c>
      <c r="N92" s="106">
        <v>0</v>
      </c>
      <c r="O92" s="106">
        <v>0</v>
      </c>
      <c r="P92" s="106">
        <v>1.198897833995948</v>
      </c>
      <c r="Q92" s="106">
        <v>598.48979873077724</v>
      </c>
      <c r="R92" s="106">
        <v>1.0875113067325763</v>
      </c>
      <c r="S92" s="106">
        <v>542.88564432090209</v>
      </c>
      <c r="T92" s="106">
        <v>3.7253046890201023</v>
      </c>
      <c r="U92" s="106">
        <v>1859.6721007588351</v>
      </c>
      <c r="V92" s="106">
        <v>1.4069677530852707</v>
      </c>
      <c r="W92" s="106">
        <v>702.35830234016714</v>
      </c>
      <c r="X92" s="106">
        <v>0</v>
      </c>
      <c r="Y92" s="106">
        <v>0</v>
      </c>
      <c r="Z92" s="106">
        <v>1.3726514664246543</v>
      </c>
      <c r="AA92" s="106">
        <v>685.22761203918742</v>
      </c>
      <c r="AB92" s="106">
        <v>1.0376832213626799</v>
      </c>
      <c r="AC92" s="106">
        <v>518.01146410424974</v>
      </c>
      <c r="AD92" s="106">
        <v>0</v>
      </c>
      <c r="AE92" s="106">
        <v>0</v>
      </c>
      <c r="AF92" s="106">
        <v>2.217318635829205</v>
      </c>
      <c r="AG92" s="106">
        <v>1106.8854630059391</v>
      </c>
      <c r="AH92" s="106">
        <v>0</v>
      </c>
      <c r="AI92" s="106">
        <v>0</v>
      </c>
      <c r="AJ92" s="106">
        <v>2.1302879292449028</v>
      </c>
      <c r="AK92" s="106">
        <v>1063.4397342790555</v>
      </c>
      <c r="AL92" s="106">
        <v>0</v>
      </c>
      <c r="AM92" s="106">
        <v>0</v>
      </c>
      <c r="AN92" s="106">
        <v>1.7320879547783554</v>
      </c>
      <c r="AO92" s="106">
        <v>864.65830702535504</v>
      </c>
      <c r="AP92" s="106">
        <v>1.1899290928909205</v>
      </c>
      <c r="AQ92" s="106">
        <v>594.01260317114748</v>
      </c>
      <c r="AR92" s="106">
        <v>0</v>
      </c>
      <c r="AS92" s="106">
        <v>0</v>
      </c>
      <c r="AT92" s="106">
        <v>0.95844454253548483</v>
      </c>
      <c r="AU92" s="106">
        <v>478.45551563371401</v>
      </c>
      <c r="AV92" s="106">
        <v>0</v>
      </c>
      <c r="AW92" s="106">
        <v>0</v>
      </c>
      <c r="AX92" s="106">
        <v>0</v>
      </c>
      <c r="AY92" s="106">
        <v>0</v>
      </c>
      <c r="AZ92" s="106">
        <v>2.8044078322972927</v>
      </c>
      <c r="BA92" s="106">
        <v>1399.9603898828086</v>
      </c>
      <c r="BB92" s="106">
        <v>1.2558338206581254</v>
      </c>
      <c r="BC92" s="106">
        <v>626.91224327253622</v>
      </c>
      <c r="BD92" s="106">
        <v>1.3178701056204518</v>
      </c>
      <c r="BE92" s="106">
        <v>657.8807567257295</v>
      </c>
      <c r="BF92" s="106">
        <v>0.99432115753399353</v>
      </c>
      <c r="BG92" s="106">
        <v>496.36512184096955</v>
      </c>
      <c r="BH92" s="106">
        <v>0</v>
      </c>
      <c r="BI92" s="106">
        <v>0</v>
      </c>
      <c r="BJ92" s="106">
        <v>1.8016452076836558</v>
      </c>
      <c r="BK92" s="106">
        <v>899.38128767568094</v>
      </c>
      <c r="BL92" s="106">
        <v>1.9586870665015887</v>
      </c>
      <c r="BM92" s="106">
        <v>977.77658359759312</v>
      </c>
      <c r="BN92" s="106">
        <v>1.186307199319045</v>
      </c>
      <c r="BO92" s="106">
        <v>592.20455390006725</v>
      </c>
      <c r="BP92" s="106">
        <v>1.6242058299401692</v>
      </c>
      <c r="BQ92" s="106">
        <v>810.80355030613248</v>
      </c>
      <c r="BR92" s="106">
        <v>0</v>
      </c>
      <c r="BS92" s="106">
        <v>0</v>
      </c>
      <c r="BT92" s="106">
        <v>3.2120638171706291</v>
      </c>
      <c r="BU92" s="106">
        <v>1603.462257531578</v>
      </c>
      <c r="BV92" s="106">
        <v>0</v>
      </c>
      <c r="BW92" s="106">
        <v>0</v>
      </c>
      <c r="BX92" s="106">
        <v>2.5266260570008745</v>
      </c>
      <c r="BY92" s="106">
        <v>1261.2917276548364</v>
      </c>
      <c r="BZ92" s="106">
        <v>1.1160556816200184</v>
      </c>
      <c r="CA92" s="106">
        <v>557.13499626471321</v>
      </c>
      <c r="CB92" s="106">
        <v>0</v>
      </c>
      <c r="CC92" s="106">
        <v>0</v>
      </c>
      <c r="CD92" s="106">
        <v>2.5494156839933639</v>
      </c>
      <c r="CE92" s="106">
        <v>1272.6683094494872</v>
      </c>
      <c r="CF92" s="106">
        <v>0</v>
      </c>
      <c r="CG92" s="106">
        <v>0</v>
      </c>
      <c r="CH92" s="106">
        <v>2.3725174528591308</v>
      </c>
      <c r="CI92" s="106">
        <v>1184.3607124672781</v>
      </c>
      <c r="CJ92" s="106">
        <v>0</v>
      </c>
      <c r="CK92" s="106">
        <v>0</v>
      </c>
      <c r="CL92" s="106">
        <v>1.4432611210031863</v>
      </c>
      <c r="CM92" s="106">
        <v>720.47595160479057</v>
      </c>
      <c r="CN92" s="106">
        <v>1.9251761941092418</v>
      </c>
      <c r="CO92" s="106">
        <v>961.04795609933353</v>
      </c>
      <c r="CP92" s="106">
        <v>1.7935570053283039</v>
      </c>
      <c r="CQ92" s="106">
        <v>895.34365705988932</v>
      </c>
      <c r="CR92" s="106">
        <v>3.1323719684369484</v>
      </c>
      <c r="CS92" s="106">
        <v>1563.6800866437245</v>
      </c>
      <c r="CT92" s="106">
        <v>1.0596583040541918</v>
      </c>
      <c r="CU92" s="106">
        <v>528.98142538385252</v>
      </c>
    </row>
    <row r="93" spans="2:99" x14ac:dyDescent="0.2">
      <c r="C93" s="105" t="s">
        <v>259</v>
      </c>
      <c r="D93" s="106">
        <v>0</v>
      </c>
      <c r="E93" s="106">
        <v>0</v>
      </c>
      <c r="F93" s="106">
        <v>4.1117120421386204</v>
      </c>
      <c r="G93" s="106">
        <v>715.43789533211998</v>
      </c>
      <c r="H93" s="106">
        <v>1.3987141396619396</v>
      </c>
      <c r="I93" s="106">
        <v>243.3762603011775</v>
      </c>
      <c r="J93" s="106">
        <v>0</v>
      </c>
      <c r="K93" s="106">
        <v>0</v>
      </c>
      <c r="L93" s="106">
        <v>1.5143972639948815</v>
      </c>
      <c r="M93" s="106">
        <v>263.5051239351094</v>
      </c>
      <c r="N93" s="106">
        <v>0</v>
      </c>
      <c r="O93" s="106">
        <v>0</v>
      </c>
      <c r="P93" s="106">
        <v>0.9591182671967583</v>
      </c>
      <c r="Q93" s="106">
        <v>166.88657849223594</v>
      </c>
      <c r="R93" s="106">
        <v>1.0875113067325763</v>
      </c>
      <c r="S93" s="106">
        <v>189.22696737146828</v>
      </c>
      <c r="T93" s="106">
        <v>3.7253046890201023</v>
      </c>
      <c r="U93" s="106">
        <v>648.20301588949781</v>
      </c>
      <c r="V93" s="106">
        <v>1.6414623785994824</v>
      </c>
      <c r="W93" s="106">
        <v>285.61445387630994</v>
      </c>
      <c r="X93" s="106">
        <v>0</v>
      </c>
      <c r="Y93" s="106">
        <v>0</v>
      </c>
      <c r="Z93" s="106">
        <v>1.6014267108287634</v>
      </c>
      <c r="AA93" s="106">
        <v>278.64824768420482</v>
      </c>
      <c r="AB93" s="106">
        <v>1.0376832213626799</v>
      </c>
      <c r="AC93" s="106">
        <v>180.55688051710629</v>
      </c>
      <c r="AD93" s="106">
        <v>0</v>
      </c>
      <c r="AE93" s="106">
        <v>0</v>
      </c>
      <c r="AF93" s="106">
        <v>2.6607823629950458</v>
      </c>
      <c r="AG93" s="106">
        <v>462.97613116113797</v>
      </c>
      <c r="AH93" s="106">
        <v>0</v>
      </c>
      <c r="AI93" s="106">
        <v>0</v>
      </c>
      <c r="AJ93" s="106">
        <v>2.556345515093883</v>
      </c>
      <c r="AK93" s="106">
        <v>444.80411962633565</v>
      </c>
      <c r="AL93" s="106">
        <v>0</v>
      </c>
      <c r="AM93" s="106">
        <v>0</v>
      </c>
      <c r="AN93" s="106">
        <v>1.9795290911752634</v>
      </c>
      <c r="AO93" s="106">
        <v>344.43806186449586</v>
      </c>
      <c r="AP93" s="106">
        <v>1.1899290928909205</v>
      </c>
      <c r="AQ93" s="106">
        <v>207.04766216302016</v>
      </c>
      <c r="AR93" s="106">
        <v>0</v>
      </c>
      <c r="AS93" s="106">
        <v>0</v>
      </c>
      <c r="AT93" s="106">
        <v>0.82152389360184408</v>
      </c>
      <c r="AU93" s="106">
        <v>142.94515748672086</v>
      </c>
      <c r="AV93" s="106">
        <v>0</v>
      </c>
      <c r="AW93" s="106">
        <v>0</v>
      </c>
      <c r="AX93" s="106">
        <v>0</v>
      </c>
      <c r="AY93" s="106">
        <v>0</v>
      </c>
      <c r="AZ93" s="106">
        <v>2.4037781419691084</v>
      </c>
      <c r="BA93" s="106">
        <v>418.25739670262487</v>
      </c>
      <c r="BB93" s="106">
        <v>1.2558338206581254</v>
      </c>
      <c r="BC93" s="106">
        <v>218.51508479451383</v>
      </c>
      <c r="BD93" s="106">
        <v>1.1531363424178953</v>
      </c>
      <c r="BE93" s="106">
        <v>200.64572358071379</v>
      </c>
      <c r="BF93" s="106">
        <v>0.99432115753399353</v>
      </c>
      <c r="BG93" s="106">
        <v>173.01188141091487</v>
      </c>
      <c r="BH93" s="106">
        <v>0</v>
      </c>
      <c r="BI93" s="106">
        <v>0</v>
      </c>
      <c r="BJ93" s="106">
        <v>2.1019194089642648</v>
      </c>
      <c r="BK93" s="106">
        <v>365.73397715978206</v>
      </c>
      <c r="BL93" s="106">
        <v>1.7410551702236345</v>
      </c>
      <c r="BM93" s="106">
        <v>302.9435996189124</v>
      </c>
      <c r="BN93" s="106">
        <v>0.98858933276587102</v>
      </c>
      <c r="BO93" s="106">
        <v>172.01454390126156</v>
      </c>
      <c r="BP93" s="106">
        <v>1.8272315586826904</v>
      </c>
      <c r="BQ93" s="106">
        <v>317.93829121078812</v>
      </c>
      <c r="BR93" s="106">
        <v>0</v>
      </c>
      <c r="BS93" s="106">
        <v>0</v>
      </c>
      <c r="BT93" s="106">
        <v>3.2120638171706291</v>
      </c>
      <c r="BU93" s="106">
        <v>558.89910418768943</v>
      </c>
      <c r="BV93" s="106">
        <v>0</v>
      </c>
      <c r="BW93" s="106">
        <v>0</v>
      </c>
      <c r="BX93" s="106">
        <v>2.5266260570008745</v>
      </c>
      <c r="BY93" s="106">
        <v>439.63293391815216</v>
      </c>
      <c r="BZ93" s="106">
        <v>1.1160556816200184</v>
      </c>
      <c r="CA93" s="106">
        <v>194.1936886018832</v>
      </c>
      <c r="CB93" s="106">
        <v>0</v>
      </c>
      <c r="CC93" s="106">
        <v>0</v>
      </c>
      <c r="CD93" s="106">
        <v>2.9136179245638445</v>
      </c>
      <c r="CE93" s="106">
        <v>506.96951887410893</v>
      </c>
      <c r="CF93" s="106">
        <v>0</v>
      </c>
      <c r="CG93" s="106">
        <v>0</v>
      </c>
      <c r="CH93" s="106">
        <v>2.3725174528591308</v>
      </c>
      <c r="CI93" s="106">
        <v>412.81803679748879</v>
      </c>
      <c r="CJ93" s="106">
        <v>0</v>
      </c>
      <c r="CK93" s="106">
        <v>0</v>
      </c>
      <c r="CL93" s="106">
        <v>1.4432611210031863</v>
      </c>
      <c r="CM93" s="106">
        <v>251.12743505455441</v>
      </c>
      <c r="CN93" s="106">
        <v>1.9251761941092418</v>
      </c>
      <c r="CO93" s="106">
        <v>334.98065777500807</v>
      </c>
      <c r="CP93" s="106">
        <v>1.7935570053283039</v>
      </c>
      <c r="CQ93" s="106">
        <v>312.07891892712485</v>
      </c>
      <c r="CR93" s="106">
        <v>2.8476108803972258</v>
      </c>
      <c r="CS93" s="106">
        <v>495.4842931891173</v>
      </c>
      <c r="CT93" s="106">
        <v>1.3245728800677394</v>
      </c>
      <c r="CU93" s="106">
        <v>230.47568113178667</v>
      </c>
    </row>
    <row r="94" spans="2:99" x14ac:dyDescent="0.2">
      <c r="C94" s="105" t="s">
        <v>260</v>
      </c>
      <c r="D94" s="106">
        <v>0</v>
      </c>
      <c r="E94" s="106">
        <v>0</v>
      </c>
      <c r="F94" s="106">
        <v>3.5243246075473884</v>
      </c>
      <c r="G94" s="106">
        <v>2520.596959317892</v>
      </c>
      <c r="H94" s="106">
        <v>1.1988978339959482</v>
      </c>
      <c r="I94" s="106">
        <v>857.45173087390208</v>
      </c>
      <c r="J94" s="106">
        <v>0</v>
      </c>
      <c r="K94" s="106">
        <v>0</v>
      </c>
      <c r="L94" s="106">
        <v>1.8929965799936019</v>
      </c>
      <c r="M94" s="106">
        <v>1353.8711540114239</v>
      </c>
      <c r="N94" s="106">
        <v>0</v>
      </c>
      <c r="O94" s="106">
        <v>0</v>
      </c>
      <c r="P94" s="106">
        <v>0.9591182671967583</v>
      </c>
      <c r="Q94" s="106">
        <v>685.96138469912148</v>
      </c>
      <c r="R94" s="106">
        <v>1.0875113067325763</v>
      </c>
      <c r="S94" s="106">
        <v>777.78808657513855</v>
      </c>
      <c r="T94" s="106">
        <v>3.7253046890201023</v>
      </c>
      <c r="U94" s="106">
        <v>2664.3379135871769</v>
      </c>
      <c r="V94" s="106">
        <v>1.6414623785994824</v>
      </c>
      <c r="W94" s="106">
        <v>1173.9738931743498</v>
      </c>
      <c r="X94" s="106">
        <v>0</v>
      </c>
      <c r="Y94" s="106">
        <v>0</v>
      </c>
      <c r="Z94" s="106">
        <v>1.3726514664246543</v>
      </c>
      <c r="AA94" s="106">
        <v>981.72032878691266</v>
      </c>
      <c r="AB94" s="106">
        <v>1.0376832213626799</v>
      </c>
      <c r="AC94" s="106">
        <v>742.15103991858859</v>
      </c>
      <c r="AD94" s="106">
        <v>0</v>
      </c>
      <c r="AE94" s="106">
        <v>0</v>
      </c>
      <c r="AF94" s="106">
        <v>2.6607823629950458</v>
      </c>
      <c r="AG94" s="106">
        <v>1902.9915460140567</v>
      </c>
      <c r="AH94" s="106">
        <v>0</v>
      </c>
      <c r="AI94" s="106">
        <v>0</v>
      </c>
      <c r="AJ94" s="106">
        <v>2.556345515093883</v>
      </c>
      <c r="AK94" s="106">
        <v>1828.2983123951449</v>
      </c>
      <c r="AL94" s="106">
        <v>0</v>
      </c>
      <c r="AM94" s="106">
        <v>0</v>
      </c>
      <c r="AN94" s="106">
        <v>1.7320879547783554</v>
      </c>
      <c r="AO94" s="106">
        <v>1238.7893052574798</v>
      </c>
      <c r="AP94" s="106">
        <v>1.1899290928909205</v>
      </c>
      <c r="AQ94" s="106">
        <v>851.03728723558629</v>
      </c>
      <c r="AR94" s="106">
        <v>0</v>
      </c>
      <c r="AS94" s="106">
        <v>0</v>
      </c>
      <c r="AT94" s="106">
        <v>0.82152389360184408</v>
      </c>
      <c r="AU94" s="106">
        <v>587.55388870403885</v>
      </c>
      <c r="AV94" s="106">
        <v>0</v>
      </c>
      <c r="AW94" s="106">
        <v>0</v>
      </c>
      <c r="AX94" s="106">
        <v>0</v>
      </c>
      <c r="AY94" s="106">
        <v>0</v>
      </c>
      <c r="AZ94" s="106">
        <v>2.8044078322972927</v>
      </c>
      <c r="BA94" s="106">
        <v>2005.7124816590235</v>
      </c>
      <c r="BB94" s="106">
        <v>1.0764289891355361</v>
      </c>
      <c r="BC94" s="106">
        <v>769.86201302973529</v>
      </c>
      <c r="BD94" s="106">
        <v>1.1531363424178953</v>
      </c>
      <c r="BE94" s="106">
        <v>824.72311209727866</v>
      </c>
      <c r="BF94" s="106">
        <v>1.136367037181707</v>
      </c>
      <c r="BG94" s="106">
        <v>812.72970499235669</v>
      </c>
      <c r="BH94" s="106">
        <v>0</v>
      </c>
      <c r="BI94" s="106">
        <v>0</v>
      </c>
      <c r="BJ94" s="106">
        <v>2.1019194089642648</v>
      </c>
      <c r="BK94" s="106">
        <v>1503.292761291242</v>
      </c>
      <c r="BL94" s="106">
        <v>1.7410551702236345</v>
      </c>
      <c r="BM94" s="106">
        <v>1245.2026577439433</v>
      </c>
      <c r="BN94" s="106">
        <v>1.186307199319045</v>
      </c>
      <c r="BO94" s="106">
        <v>848.44690895298095</v>
      </c>
      <c r="BP94" s="106">
        <v>1.4211801011976479</v>
      </c>
      <c r="BQ94" s="106">
        <v>1016.4280083765577</v>
      </c>
      <c r="BR94" s="106">
        <v>0</v>
      </c>
      <c r="BS94" s="106">
        <v>0</v>
      </c>
      <c r="BT94" s="106">
        <v>3.2120638171706291</v>
      </c>
      <c r="BU94" s="106">
        <v>2297.2680420404336</v>
      </c>
      <c r="BV94" s="106">
        <v>0</v>
      </c>
      <c r="BW94" s="106">
        <v>0</v>
      </c>
      <c r="BX94" s="106">
        <v>2.5266260570008745</v>
      </c>
      <c r="BY94" s="106">
        <v>1807.0429559670254</v>
      </c>
      <c r="BZ94" s="106">
        <v>1.1160556816200184</v>
      </c>
      <c r="CA94" s="106">
        <v>798.20302349463714</v>
      </c>
      <c r="CB94" s="106">
        <v>0</v>
      </c>
      <c r="CC94" s="106">
        <v>0</v>
      </c>
      <c r="CD94" s="106">
        <v>2.1852134434228834</v>
      </c>
      <c r="CE94" s="106">
        <v>1562.8646547360461</v>
      </c>
      <c r="CF94" s="106">
        <v>0</v>
      </c>
      <c r="CG94" s="106">
        <v>0</v>
      </c>
      <c r="CH94" s="106">
        <v>2.3725174528591308</v>
      </c>
      <c r="CI94" s="106">
        <v>1696.8244822848503</v>
      </c>
      <c r="CJ94" s="106">
        <v>0</v>
      </c>
      <c r="CK94" s="106">
        <v>0</v>
      </c>
      <c r="CL94" s="106">
        <v>1.2370809608598741</v>
      </c>
      <c r="CM94" s="106">
        <v>884.7603032069818</v>
      </c>
      <c r="CN94" s="106">
        <v>1.9251761941092418</v>
      </c>
      <c r="CO94" s="106">
        <v>1376.8860140269296</v>
      </c>
      <c r="CP94" s="106">
        <v>1.9566076421763314</v>
      </c>
      <c r="CQ94" s="106">
        <v>1399.365785684512</v>
      </c>
      <c r="CR94" s="106">
        <v>3.1323719684369484</v>
      </c>
      <c r="CS94" s="106">
        <v>2240.2724318261053</v>
      </c>
      <c r="CT94" s="106">
        <v>1.1921155920609656</v>
      </c>
      <c r="CU94" s="106">
        <v>852.60107144200254</v>
      </c>
    </row>
    <row r="95" spans="2:99" x14ac:dyDescent="0.2">
      <c r="B95" s="105" t="s">
        <v>132</v>
      </c>
      <c r="C95" s="105" t="s">
        <v>261</v>
      </c>
      <c r="D95" s="106">
        <v>0</v>
      </c>
      <c r="E95" s="106">
        <v>0</v>
      </c>
      <c r="F95" s="106">
        <v>4.1117120421386204</v>
      </c>
      <c r="G95" s="106">
        <v>2718.6640022620554</v>
      </c>
      <c r="H95" s="106">
        <v>1.3987141396619396</v>
      </c>
      <c r="I95" s="106">
        <v>924.82978914447438</v>
      </c>
      <c r="J95" s="106">
        <v>0</v>
      </c>
      <c r="K95" s="106">
        <v>0</v>
      </c>
      <c r="L95" s="106">
        <v>3.028794527989763</v>
      </c>
      <c r="M95" s="106">
        <v>2002.6389419068312</v>
      </c>
      <c r="N95" s="106">
        <v>0</v>
      </c>
      <c r="O95" s="106">
        <v>0</v>
      </c>
      <c r="P95" s="106">
        <v>1.198897833995948</v>
      </c>
      <c r="Q95" s="106">
        <v>792.7112478381207</v>
      </c>
      <c r="R95" s="106">
        <v>2.1750226134651527</v>
      </c>
      <c r="S95" s="106">
        <v>1438.1249520231588</v>
      </c>
      <c r="T95" s="106">
        <v>3.193118304874373</v>
      </c>
      <c r="U95" s="106">
        <v>2111.2898231829354</v>
      </c>
      <c r="V95" s="106">
        <v>1.6414623785994824</v>
      </c>
      <c r="W95" s="106">
        <v>1085.3349247299777</v>
      </c>
      <c r="X95" s="106">
        <v>0</v>
      </c>
      <c r="Y95" s="106">
        <v>0</v>
      </c>
      <c r="Z95" s="106">
        <v>2.0589771996369817</v>
      </c>
      <c r="AA95" s="106">
        <v>1361.3957243999721</v>
      </c>
      <c r="AB95" s="106">
        <v>1.8159456373846896</v>
      </c>
      <c r="AC95" s="106">
        <v>1200.7032554387567</v>
      </c>
      <c r="AD95" s="106">
        <v>0</v>
      </c>
      <c r="AE95" s="106">
        <v>0</v>
      </c>
      <c r="AF95" s="106">
        <v>3.9911735444925687</v>
      </c>
      <c r="AG95" s="106">
        <v>2638.9639476184861</v>
      </c>
      <c r="AH95" s="106">
        <v>0</v>
      </c>
      <c r="AI95" s="106">
        <v>0</v>
      </c>
      <c r="AJ95" s="106">
        <v>3.4084606867918441</v>
      </c>
      <c r="AK95" s="106">
        <v>2253.6742061067671</v>
      </c>
      <c r="AL95" s="106">
        <v>0</v>
      </c>
      <c r="AM95" s="106">
        <v>0</v>
      </c>
      <c r="AN95" s="106">
        <v>1.4846468183814476</v>
      </c>
      <c r="AO95" s="106">
        <v>981.64847631381303</v>
      </c>
      <c r="AP95" s="106">
        <v>0.89244681966819039</v>
      </c>
      <c r="AQ95" s="106">
        <v>590.08583716460748</v>
      </c>
      <c r="AR95" s="106">
        <v>0</v>
      </c>
      <c r="AS95" s="106">
        <v>0</v>
      </c>
      <c r="AT95" s="106">
        <v>1.0953651914691254</v>
      </c>
      <c r="AU95" s="106">
        <v>724.25546459938562</v>
      </c>
      <c r="AV95" s="106">
        <v>0</v>
      </c>
      <c r="AW95" s="106">
        <v>0</v>
      </c>
      <c r="AX95" s="106">
        <v>0</v>
      </c>
      <c r="AY95" s="106">
        <v>0</v>
      </c>
      <c r="AZ95" s="106">
        <v>3.6056672129536622</v>
      </c>
      <c r="BA95" s="106">
        <v>2384.0671612049614</v>
      </c>
      <c r="BB95" s="106">
        <v>1.2558338206581254</v>
      </c>
      <c r="BC95" s="106">
        <v>830.35732221915248</v>
      </c>
      <c r="BD95" s="106">
        <v>1.1531363424178953</v>
      </c>
      <c r="BE95" s="106">
        <v>762.45374960671234</v>
      </c>
      <c r="BF95" s="106">
        <v>1.2784129168294205</v>
      </c>
      <c r="BG95" s="106">
        <v>845.28662060761269</v>
      </c>
      <c r="BH95" s="106">
        <v>0</v>
      </c>
      <c r="BI95" s="106">
        <v>0</v>
      </c>
      <c r="BJ95" s="106">
        <v>2.7024678115254837</v>
      </c>
      <c r="BK95" s="106">
        <v>1786.8717169806496</v>
      </c>
      <c r="BL95" s="106">
        <v>1.0881594813897715</v>
      </c>
      <c r="BM95" s="106">
        <v>719.49104909491678</v>
      </c>
      <c r="BN95" s="106">
        <v>1.7794607989785676</v>
      </c>
      <c r="BO95" s="106">
        <v>1176.5794802846287</v>
      </c>
      <c r="BP95" s="106">
        <v>1.2181543724551267</v>
      </c>
      <c r="BQ95" s="106">
        <v>805.44367106732966</v>
      </c>
      <c r="BR95" s="106">
        <v>0</v>
      </c>
      <c r="BS95" s="106">
        <v>0</v>
      </c>
      <c r="BT95" s="106">
        <v>2.7531975575748251</v>
      </c>
      <c r="BU95" s="106">
        <v>1820.4142250684743</v>
      </c>
      <c r="BV95" s="106">
        <v>0</v>
      </c>
      <c r="BW95" s="106">
        <v>0</v>
      </c>
      <c r="BX95" s="106">
        <v>3.2485192161439818</v>
      </c>
      <c r="BY95" s="106">
        <v>2147.9209057144003</v>
      </c>
      <c r="BZ95" s="106">
        <v>1.8600928027000305</v>
      </c>
      <c r="CA95" s="106">
        <v>1229.8933611452601</v>
      </c>
      <c r="CB95" s="106">
        <v>0</v>
      </c>
      <c r="CC95" s="106">
        <v>0</v>
      </c>
      <c r="CD95" s="106">
        <v>2.9136179245638445</v>
      </c>
      <c r="CE95" s="106">
        <v>1926.4841717216138</v>
      </c>
      <c r="CF95" s="106">
        <v>0</v>
      </c>
      <c r="CG95" s="106">
        <v>0</v>
      </c>
      <c r="CH95" s="106">
        <v>3.1633566038121743</v>
      </c>
      <c r="CI95" s="106">
        <v>2091.6113864406093</v>
      </c>
      <c r="CJ95" s="106">
        <v>0</v>
      </c>
      <c r="CK95" s="106">
        <v>0</v>
      </c>
      <c r="CL95" s="106">
        <v>1.6494412811464987</v>
      </c>
      <c r="CM95" s="106">
        <v>1090.6105750940649</v>
      </c>
      <c r="CN95" s="106">
        <v>0.96258809705462089</v>
      </c>
      <c r="CO95" s="106">
        <v>636.46324977251527</v>
      </c>
      <c r="CP95" s="106">
        <v>1.304405094784221</v>
      </c>
      <c r="CQ95" s="106">
        <v>862.47264867132685</v>
      </c>
      <c r="CR95" s="106">
        <v>1.9933276162780582</v>
      </c>
      <c r="CS95" s="106">
        <v>1317.9882198830519</v>
      </c>
      <c r="CT95" s="106">
        <v>0.66228644003386972</v>
      </c>
      <c r="CU95" s="106">
        <v>437.90379415039462</v>
      </c>
    </row>
    <row r="96" spans="2:99" x14ac:dyDescent="0.2">
      <c r="C96" s="105" t="s">
        <v>262</v>
      </c>
      <c r="D96" s="106">
        <v>0</v>
      </c>
      <c r="E96" s="106">
        <v>0</v>
      </c>
      <c r="F96" s="106">
        <v>3.5243246075473884</v>
      </c>
      <c r="G96" s="106">
        <v>3937.3754515519427</v>
      </c>
      <c r="H96" s="106">
        <v>1.598530445327931</v>
      </c>
      <c r="I96" s="106">
        <v>1785.8782135203646</v>
      </c>
      <c r="J96" s="106">
        <v>0</v>
      </c>
      <c r="K96" s="106">
        <v>0</v>
      </c>
      <c r="L96" s="106">
        <v>2.6501952119910426</v>
      </c>
      <c r="M96" s="106">
        <v>2960.7980908363929</v>
      </c>
      <c r="N96" s="106">
        <v>0</v>
      </c>
      <c r="O96" s="106">
        <v>0</v>
      </c>
      <c r="P96" s="106">
        <v>1.198897833995948</v>
      </c>
      <c r="Q96" s="106">
        <v>1339.408660140273</v>
      </c>
      <c r="R96" s="106">
        <v>1.9031447867820088</v>
      </c>
      <c r="S96" s="106">
        <v>2126.1933557928605</v>
      </c>
      <c r="T96" s="106">
        <v>3.193118304874373</v>
      </c>
      <c r="U96" s="106">
        <v>3567.3517702056497</v>
      </c>
      <c r="V96" s="106">
        <v>1.6414623785994824</v>
      </c>
      <c r="W96" s="106">
        <v>1833.8417693713418</v>
      </c>
      <c r="X96" s="106">
        <v>0</v>
      </c>
      <c r="Y96" s="106">
        <v>0</v>
      </c>
      <c r="Z96" s="106">
        <v>1.8302019552328725</v>
      </c>
      <c r="AA96" s="106">
        <v>2044.7016243861653</v>
      </c>
      <c r="AB96" s="106">
        <v>1.8159456373846896</v>
      </c>
      <c r="AC96" s="106">
        <v>2028.7744660861754</v>
      </c>
      <c r="AD96" s="106">
        <v>0</v>
      </c>
      <c r="AE96" s="106">
        <v>0</v>
      </c>
      <c r="AF96" s="106">
        <v>3.5477098173267279</v>
      </c>
      <c r="AG96" s="106">
        <v>3963.5014079174207</v>
      </c>
      <c r="AH96" s="106">
        <v>0</v>
      </c>
      <c r="AI96" s="106">
        <v>0</v>
      </c>
      <c r="AJ96" s="106">
        <v>3.8345182726408242</v>
      </c>
      <c r="AK96" s="106">
        <v>4283.9238141943288</v>
      </c>
      <c r="AL96" s="106">
        <v>0</v>
      </c>
      <c r="AM96" s="106">
        <v>0</v>
      </c>
      <c r="AN96" s="106">
        <v>1.2372056819845396</v>
      </c>
      <c r="AO96" s="106">
        <v>1382.2061879131277</v>
      </c>
      <c r="AP96" s="106">
        <v>0.89244681966819039</v>
      </c>
      <c r="AQ96" s="106">
        <v>997.04158693330237</v>
      </c>
      <c r="AR96" s="106">
        <v>0</v>
      </c>
      <c r="AS96" s="106">
        <v>0</v>
      </c>
      <c r="AT96" s="106">
        <v>1.2322858404027661</v>
      </c>
      <c r="AU96" s="106">
        <v>1376.7097408979703</v>
      </c>
      <c r="AV96" s="106">
        <v>0</v>
      </c>
      <c r="AW96" s="106">
        <v>0</v>
      </c>
      <c r="AX96" s="106">
        <v>0</v>
      </c>
      <c r="AY96" s="106">
        <v>0</v>
      </c>
      <c r="AZ96" s="106">
        <v>3.6056672129536622</v>
      </c>
      <c r="BA96" s="106">
        <v>4028.2514103118315</v>
      </c>
      <c r="BB96" s="106">
        <v>1.2558338206581254</v>
      </c>
      <c r="BC96" s="106">
        <v>1403.0175444392578</v>
      </c>
      <c r="BD96" s="106">
        <v>1.1531363424178953</v>
      </c>
      <c r="BE96" s="106">
        <v>1288.2839217492726</v>
      </c>
      <c r="BF96" s="106">
        <v>1.2784129168294205</v>
      </c>
      <c r="BG96" s="106">
        <v>1428.2429106818286</v>
      </c>
      <c r="BH96" s="106">
        <v>0</v>
      </c>
      <c r="BI96" s="106">
        <v>0</v>
      </c>
      <c r="BJ96" s="106">
        <v>2.4021936102448742</v>
      </c>
      <c r="BK96" s="106">
        <v>2683.7307013655736</v>
      </c>
      <c r="BL96" s="106">
        <v>1.0881594813897715</v>
      </c>
      <c r="BM96" s="106">
        <v>1215.6917726086529</v>
      </c>
      <c r="BN96" s="106">
        <v>1.977178665531742</v>
      </c>
      <c r="BO96" s="106">
        <v>2208.9040051320621</v>
      </c>
      <c r="BP96" s="106">
        <v>1.2181543724551267</v>
      </c>
      <c r="BQ96" s="106">
        <v>1360.9220649068677</v>
      </c>
      <c r="BR96" s="106">
        <v>0</v>
      </c>
      <c r="BS96" s="106">
        <v>0</v>
      </c>
      <c r="BT96" s="106">
        <v>2.2943312979790207</v>
      </c>
      <c r="BU96" s="106">
        <v>2563.226926102162</v>
      </c>
      <c r="BV96" s="106">
        <v>0</v>
      </c>
      <c r="BW96" s="106">
        <v>0</v>
      </c>
      <c r="BX96" s="106">
        <v>3.2485192161439818</v>
      </c>
      <c r="BY96" s="106">
        <v>3629.2456682760567</v>
      </c>
      <c r="BZ96" s="106">
        <v>1.6740835224300274</v>
      </c>
      <c r="CA96" s="106">
        <v>1870.2861112588268</v>
      </c>
      <c r="CB96" s="106">
        <v>0</v>
      </c>
      <c r="CC96" s="106">
        <v>0</v>
      </c>
      <c r="CD96" s="106">
        <v>2.9136179245638445</v>
      </c>
      <c r="CE96" s="106">
        <v>3255.093945322727</v>
      </c>
      <c r="CF96" s="106">
        <v>0</v>
      </c>
      <c r="CG96" s="106">
        <v>0</v>
      </c>
      <c r="CH96" s="106">
        <v>2.7679370283356528</v>
      </c>
      <c r="CI96" s="106">
        <v>3092.3392480565913</v>
      </c>
      <c r="CJ96" s="106">
        <v>0</v>
      </c>
      <c r="CK96" s="106">
        <v>0</v>
      </c>
      <c r="CL96" s="106">
        <v>1.6494412811464987</v>
      </c>
      <c r="CM96" s="106">
        <v>1842.7557992968684</v>
      </c>
      <c r="CN96" s="106">
        <v>0.96258809705462089</v>
      </c>
      <c r="CO96" s="106">
        <v>1075.4034220294225</v>
      </c>
      <c r="CP96" s="106">
        <v>1.304405094784221</v>
      </c>
      <c r="CQ96" s="106">
        <v>1457.2813718929317</v>
      </c>
      <c r="CR96" s="106">
        <v>1.7085665282383355</v>
      </c>
      <c r="CS96" s="106">
        <v>1908.8105253478686</v>
      </c>
      <c r="CT96" s="106">
        <v>0.66228644003386972</v>
      </c>
      <c r="CU96" s="106">
        <v>739.9064108058393</v>
      </c>
    </row>
    <row r="97" spans="2:99" x14ac:dyDescent="0.2">
      <c r="C97" s="105" t="s">
        <v>263</v>
      </c>
      <c r="D97" s="106">
        <v>0</v>
      </c>
      <c r="E97" s="106">
        <v>0</v>
      </c>
      <c r="F97" s="106">
        <v>4.1117120421386204</v>
      </c>
      <c r="G97" s="106">
        <v>2437.422898579774</v>
      </c>
      <c r="H97" s="106">
        <v>1.3987141396619396</v>
      </c>
      <c r="I97" s="106">
        <v>829.15774199159773</v>
      </c>
      <c r="J97" s="106">
        <v>0</v>
      </c>
      <c r="K97" s="106">
        <v>0</v>
      </c>
      <c r="L97" s="106">
        <v>3.028794527989763</v>
      </c>
      <c r="M97" s="106">
        <v>1795.4693961923313</v>
      </c>
      <c r="N97" s="106">
        <v>0</v>
      </c>
      <c r="O97" s="106">
        <v>0</v>
      </c>
      <c r="P97" s="106">
        <v>1.198897833995948</v>
      </c>
      <c r="Q97" s="106">
        <v>710.70663599279794</v>
      </c>
      <c r="R97" s="106">
        <v>2.1750226134651527</v>
      </c>
      <c r="S97" s="106">
        <v>1289.3534052621424</v>
      </c>
      <c r="T97" s="106">
        <v>2.6609319207286446</v>
      </c>
      <c r="U97" s="106">
        <v>1577.4004426079405</v>
      </c>
      <c r="V97" s="106">
        <v>1.8759570041136944</v>
      </c>
      <c r="W97" s="106">
        <v>1112.0673120385979</v>
      </c>
      <c r="X97" s="106">
        <v>0</v>
      </c>
      <c r="Y97" s="106">
        <v>0</v>
      </c>
      <c r="Z97" s="106">
        <v>1.8302019552328725</v>
      </c>
      <c r="AA97" s="106">
        <v>1084.9437190620467</v>
      </c>
      <c r="AB97" s="106">
        <v>1.8159456373846896</v>
      </c>
      <c r="AC97" s="106">
        <v>1076.4925738416439</v>
      </c>
      <c r="AD97" s="106">
        <v>0</v>
      </c>
      <c r="AE97" s="106">
        <v>0</v>
      </c>
      <c r="AF97" s="106">
        <v>3.5477098173267279</v>
      </c>
      <c r="AG97" s="106">
        <v>2103.0823797112839</v>
      </c>
      <c r="AH97" s="106">
        <v>0</v>
      </c>
      <c r="AI97" s="106">
        <v>0</v>
      </c>
      <c r="AJ97" s="106">
        <v>3.8345182726408242</v>
      </c>
      <c r="AK97" s="106">
        <v>2273.1024320214806</v>
      </c>
      <c r="AL97" s="106">
        <v>0</v>
      </c>
      <c r="AM97" s="106">
        <v>0</v>
      </c>
      <c r="AN97" s="106">
        <v>1.4846468183814476</v>
      </c>
      <c r="AO97" s="106">
        <v>880.09863393652211</v>
      </c>
      <c r="AP97" s="106">
        <v>0.89244681966819039</v>
      </c>
      <c r="AQ97" s="106">
        <v>529.04247469930317</v>
      </c>
      <c r="AR97" s="106">
        <v>0</v>
      </c>
      <c r="AS97" s="106">
        <v>0</v>
      </c>
      <c r="AT97" s="106">
        <v>1.0953651914691254</v>
      </c>
      <c r="AU97" s="106">
        <v>649.3324855028975</v>
      </c>
      <c r="AV97" s="106">
        <v>0</v>
      </c>
      <c r="AW97" s="106">
        <v>0</v>
      </c>
      <c r="AX97" s="106">
        <v>0</v>
      </c>
      <c r="AY97" s="106">
        <v>0</v>
      </c>
      <c r="AZ97" s="106">
        <v>3.2050375226254775</v>
      </c>
      <c r="BA97" s="106">
        <v>1899.946243412383</v>
      </c>
      <c r="BB97" s="106">
        <v>1.2558338206581254</v>
      </c>
      <c r="BC97" s="106">
        <v>744.45828888613664</v>
      </c>
      <c r="BD97" s="106">
        <v>1.1531363424178953</v>
      </c>
      <c r="BE97" s="106">
        <v>683.57922378532828</v>
      </c>
      <c r="BF97" s="106">
        <v>1.2784129168294205</v>
      </c>
      <c r="BG97" s="106">
        <v>757.84317709648042</v>
      </c>
      <c r="BH97" s="106">
        <v>0</v>
      </c>
      <c r="BI97" s="106">
        <v>0</v>
      </c>
      <c r="BJ97" s="106">
        <v>2.7024678115254837</v>
      </c>
      <c r="BK97" s="106">
        <v>1602.0229186723066</v>
      </c>
      <c r="BL97" s="106">
        <v>1.3057913776677259</v>
      </c>
      <c r="BM97" s="106">
        <v>774.07312868142787</v>
      </c>
      <c r="BN97" s="106">
        <v>1.5817429324253935</v>
      </c>
      <c r="BO97" s="106">
        <v>937.65721034177318</v>
      </c>
      <c r="BP97" s="106">
        <v>1.4211801011976479</v>
      </c>
      <c r="BQ97" s="106">
        <v>842.47556398996562</v>
      </c>
      <c r="BR97" s="106">
        <v>0</v>
      </c>
      <c r="BS97" s="106">
        <v>0</v>
      </c>
      <c r="BT97" s="106">
        <v>2.7531975575748251</v>
      </c>
      <c r="BU97" s="106">
        <v>1632.0955121303562</v>
      </c>
      <c r="BV97" s="106">
        <v>0</v>
      </c>
      <c r="BW97" s="106">
        <v>0</v>
      </c>
      <c r="BX97" s="106">
        <v>3.2485192161439818</v>
      </c>
      <c r="BY97" s="106">
        <v>1925.7221913301523</v>
      </c>
      <c r="BZ97" s="106">
        <v>1.6740835224300274</v>
      </c>
      <c r="CA97" s="106">
        <v>992.39671209652022</v>
      </c>
      <c r="CB97" s="106">
        <v>0</v>
      </c>
      <c r="CC97" s="106">
        <v>0</v>
      </c>
      <c r="CD97" s="106">
        <v>2.9136179245638445</v>
      </c>
      <c r="CE97" s="106">
        <v>1727.1927056814468</v>
      </c>
      <c r="CF97" s="106">
        <v>0</v>
      </c>
      <c r="CG97" s="106">
        <v>0</v>
      </c>
      <c r="CH97" s="106">
        <v>2.7679370283356528</v>
      </c>
      <c r="CI97" s="106">
        <v>1640.833070397375</v>
      </c>
      <c r="CJ97" s="106">
        <v>0</v>
      </c>
      <c r="CK97" s="106">
        <v>0</v>
      </c>
      <c r="CL97" s="106">
        <v>1.8556214412898113</v>
      </c>
      <c r="CM97" s="106">
        <v>1100.0123903966</v>
      </c>
      <c r="CN97" s="106">
        <v>0.77007047764369674</v>
      </c>
      <c r="CO97" s="106">
        <v>456.49777914718339</v>
      </c>
      <c r="CP97" s="106">
        <v>1.304405094784221</v>
      </c>
      <c r="CQ97" s="106">
        <v>773.25134018808615</v>
      </c>
      <c r="CR97" s="106">
        <v>1.7085665282383355</v>
      </c>
      <c r="CS97" s="106">
        <v>1012.8382379396852</v>
      </c>
      <c r="CT97" s="106">
        <v>0.66228644003386972</v>
      </c>
      <c r="CU97" s="106">
        <v>392.60340165207793</v>
      </c>
    </row>
    <row r="98" spans="2:99" x14ac:dyDescent="0.2">
      <c r="C98" s="105" t="s">
        <v>264</v>
      </c>
      <c r="D98" s="106">
        <v>0</v>
      </c>
      <c r="E98" s="106">
        <v>0</v>
      </c>
      <c r="F98" s="106">
        <v>3.5243246075473884</v>
      </c>
      <c r="G98" s="106">
        <v>1615.5504000997228</v>
      </c>
      <c r="H98" s="106">
        <v>1.3987141396619396</v>
      </c>
      <c r="I98" s="106">
        <v>641.17056162103302</v>
      </c>
      <c r="J98" s="106">
        <v>0</v>
      </c>
      <c r="K98" s="106">
        <v>0</v>
      </c>
      <c r="L98" s="106">
        <v>3.4073938439884834</v>
      </c>
      <c r="M98" s="106">
        <v>1561.9493380843207</v>
      </c>
      <c r="N98" s="106">
        <v>0</v>
      </c>
      <c r="O98" s="106">
        <v>0</v>
      </c>
      <c r="P98" s="106">
        <v>1.198897833995948</v>
      </c>
      <c r="Q98" s="106">
        <v>549.57476710374249</v>
      </c>
      <c r="R98" s="106">
        <v>2.1750226134651527</v>
      </c>
      <c r="S98" s="106">
        <v>997.03036601242593</v>
      </c>
      <c r="T98" s="106">
        <v>3.193118304874373</v>
      </c>
      <c r="U98" s="106">
        <v>1463.7254309544126</v>
      </c>
      <c r="V98" s="106">
        <v>1.6414623785994824</v>
      </c>
      <c r="W98" s="106">
        <v>752.44635435000271</v>
      </c>
      <c r="X98" s="106">
        <v>0</v>
      </c>
      <c r="Y98" s="106">
        <v>0</v>
      </c>
      <c r="Z98" s="106">
        <v>1.8302019552328725</v>
      </c>
      <c r="AA98" s="106">
        <v>838.96457627874872</v>
      </c>
      <c r="AB98" s="106">
        <v>1.8159456373846896</v>
      </c>
      <c r="AC98" s="106">
        <v>832.42948017714173</v>
      </c>
      <c r="AD98" s="106">
        <v>0</v>
      </c>
      <c r="AE98" s="106">
        <v>0</v>
      </c>
      <c r="AF98" s="106">
        <v>3.9911735444925687</v>
      </c>
      <c r="AG98" s="106">
        <v>1829.5539527953933</v>
      </c>
      <c r="AH98" s="106">
        <v>0</v>
      </c>
      <c r="AI98" s="106">
        <v>0</v>
      </c>
      <c r="AJ98" s="106">
        <v>3.4084606867918441</v>
      </c>
      <c r="AK98" s="106">
        <v>1562.4383788253813</v>
      </c>
      <c r="AL98" s="106">
        <v>0</v>
      </c>
      <c r="AM98" s="106">
        <v>0</v>
      </c>
      <c r="AN98" s="106">
        <v>1.4846468183814476</v>
      </c>
      <c r="AO98" s="106">
        <v>680.5621015460556</v>
      </c>
      <c r="AP98" s="106">
        <v>0.89244681966819039</v>
      </c>
      <c r="AQ98" s="106">
        <v>409.09762213589846</v>
      </c>
      <c r="AR98" s="106">
        <v>0</v>
      </c>
      <c r="AS98" s="106">
        <v>0</v>
      </c>
      <c r="AT98" s="106">
        <v>1.2322858404027661</v>
      </c>
      <c r="AU98" s="106">
        <v>564.87982924062794</v>
      </c>
      <c r="AV98" s="106">
        <v>0</v>
      </c>
      <c r="AW98" s="106">
        <v>0</v>
      </c>
      <c r="AX98" s="106">
        <v>0</v>
      </c>
      <c r="AY98" s="106">
        <v>0</v>
      </c>
      <c r="AZ98" s="106">
        <v>3.6056672129536622</v>
      </c>
      <c r="BA98" s="106">
        <v>1652.8378504179586</v>
      </c>
      <c r="BB98" s="106">
        <v>1.2558338206581254</v>
      </c>
      <c r="BC98" s="106">
        <v>575.6742233896847</v>
      </c>
      <c r="BD98" s="106">
        <v>1.1531363424178953</v>
      </c>
      <c r="BE98" s="106">
        <v>528.59769936436317</v>
      </c>
      <c r="BF98" s="106">
        <v>1.136367037181707</v>
      </c>
      <c r="BG98" s="106">
        <v>520.91064984409445</v>
      </c>
      <c r="BH98" s="106">
        <v>0</v>
      </c>
      <c r="BI98" s="106">
        <v>0</v>
      </c>
      <c r="BJ98" s="106">
        <v>2.7024678115254837</v>
      </c>
      <c r="BK98" s="106">
        <v>1238.8112448032816</v>
      </c>
      <c r="BL98" s="106">
        <v>1.0881594813897715</v>
      </c>
      <c r="BM98" s="106">
        <v>498.8123062690712</v>
      </c>
      <c r="BN98" s="106">
        <v>1.977178665531742</v>
      </c>
      <c r="BO98" s="106">
        <v>906.33870027975047</v>
      </c>
      <c r="BP98" s="106">
        <v>1.4211801011976479</v>
      </c>
      <c r="BQ98" s="106">
        <v>651.46895838900173</v>
      </c>
      <c r="BR98" s="106">
        <v>0</v>
      </c>
      <c r="BS98" s="106">
        <v>0</v>
      </c>
      <c r="BT98" s="106">
        <v>2.7531975575748251</v>
      </c>
      <c r="BU98" s="106">
        <v>1262.0657603922998</v>
      </c>
      <c r="BV98" s="106">
        <v>0</v>
      </c>
      <c r="BW98" s="106">
        <v>0</v>
      </c>
      <c r="BX98" s="106">
        <v>3.2485192161439818</v>
      </c>
      <c r="BY98" s="106">
        <v>1489.1212086804012</v>
      </c>
      <c r="BZ98" s="106">
        <v>1.6740835224300274</v>
      </c>
      <c r="CA98" s="106">
        <v>767.3998866819245</v>
      </c>
      <c r="CB98" s="106">
        <v>0</v>
      </c>
      <c r="CC98" s="106">
        <v>0</v>
      </c>
      <c r="CD98" s="106">
        <v>2.5494156839933639</v>
      </c>
      <c r="CE98" s="106">
        <v>1168.6521495425579</v>
      </c>
      <c r="CF98" s="106">
        <v>0</v>
      </c>
      <c r="CG98" s="106">
        <v>0</v>
      </c>
      <c r="CH98" s="106">
        <v>2.7679370283356528</v>
      </c>
      <c r="CI98" s="106">
        <v>1268.8223337890631</v>
      </c>
      <c r="CJ98" s="106">
        <v>0</v>
      </c>
      <c r="CK98" s="106">
        <v>0</v>
      </c>
      <c r="CL98" s="106">
        <v>1.8556214412898113</v>
      </c>
      <c r="CM98" s="106">
        <v>850.61686868724951</v>
      </c>
      <c r="CN98" s="106">
        <v>0.96258809705462089</v>
      </c>
      <c r="CO98" s="106">
        <v>441.2503836898382</v>
      </c>
      <c r="CP98" s="106">
        <v>1.304405094784221</v>
      </c>
      <c r="CQ98" s="106">
        <v>597.9392954490869</v>
      </c>
      <c r="CR98" s="106">
        <v>1.7085665282383355</v>
      </c>
      <c r="CS98" s="106">
        <v>783.206896544453</v>
      </c>
      <c r="CT98" s="106">
        <v>0.66228644003386972</v>
      </c>
      <c r="CU98" s="106">
        <v>303.59210411152588</v>
      </c>
    </row>
    <row r="99" spans="2:99" x14ac:dyDescent="0.2">
      <c r="C99" s="105" t="s">
        <v>265</v>
      </c>
      <c r="D99" s="106">
        <v>0</v>
      </c>
      <c r="E99" s="106">
        <v>0</v>
      </c>
      <c r="F99" s="106">
        <v>2.9369371729561573</v>
      </c>
      <c r="G99" s="106">
        <v>12691.092911778147</v>
      </c>
      <c r="H99" s="106">
        <v>1.3987141396619396</v>
      </c>
      <c r="I99" s="106">
        <v>6044.1235403071732</v>
      </c>
      <c r="J99" s="106">
        <v>0</v>
      </c>
      <c r="K99" s="106">
        <v>0</v>
      </c>
      <c r="L99" s="106">
        <v>2.2715958959923221</v>
      </c>
      <c r="M99" s="106">
        <v>9816.0201857620214</v>
      </c>
      <c r="N99" s="106">
        <v>0</v>
      </c>
      <c r="O99" s="106">
        <v>0</v>
      </c>
      <c r="P99" s="106">
        <v>1.198897833995948</v>
      </c>
      <c r="Q99" s="106">
        <v>5180.6773202632903</v>
      </c>
      <c r="R99" s="106">
        <v>1.6312669600988645</v>
      </c>
      <c r="S99" s="106">
        <v>7049.0307879792126</v>
      </c>
      <c r="T99" s="106">
        <v>2.6609319207286446</v>
      </c>
      <c r="U99" s="106">
        <v>11498.419015852618</v>
      </c>
      <c r="V99" s="106">
        <v>1.4069677530852707</v>
      </c>
      <c r="W99" s="106">
        <v>6079.7890546320714</v>
      </c>
      <c r="X99" s="106">
        <v>0</v>
      </c>
      <c r="Y99" s="106">
        <v>0</v>
      </c>
      <c r="Z99" s="106">
        <v>1.6014267108287634</v>
      </c>
      <c r="AA99" s="106">
        <v>6920.0851028332518</v>
      </c>
      <c r="AB99" s="106">
        <v>1.5565248320440197</v>
      </c>
      <c r="AC99" s="106">
        <v>6726.0551042286179</v>
      </c>
      <c r="AD99" s="106">
        <v>0</v>
      </c>
      <c r="AE99" s="106">
        <v>0</v>
      </c>
      <c r="AF99" s="106">
        <v>3.1042460901608866</v>
      </c>
      <c r="AG99" s="106">
        <v>13414.068204803223</v>
      </c>
      <c r="AH99" s="106">
        <v>0</v>
      </c>
      <c r="AI99" s="106">
        <v>0</v>
      </c>
      <c r="AJ99" s="106">
        <v>3.4084606867918441</v>
      </c>
      <c r="AK99" s="106">
        <v>14728.640319764916</v>
      </c>
      <c r="AL99" s="106">
        <v>0</v>
      </c>
      <c r="AM99" s="106">
        <v>0</v>
      </c>
      <c r="AN99" s="106">
        <v>1.2372056819845396</v>
      </c>
      <c r="AO99" s="106">
        <v>5346.2131929915922</v>
      </c>
      <c r="AP99" s="106">
        <v>0.74370568305682527</v>
      </c>
      <c r="AQ99" s="106">
        <v>3213.7009976251534</v>
      </c>
      <c r="AR99" s="106">
        <v>0</v>
      </c>
      <c r="AS99" s="106">
        <v>0</v>
      </c>
      <c r="AT99" s="106">
        <v>0.95844454253548483</v>
      </c>
      <c r="AU99" s="106">
        <v>4141.6305572043366</v>
      </c>
      <c r="AV99" s="106">
        <v>0</v>
      </c>
      <c r="AW99" s="106">
        <v>0</v>
      </c>
      <c r="AX99" s="106">
        <v>0</v>
      </c>
      <c r="AY99" s="106">
        <v>0</v>
      </c>
      <c r="AZ99" s="106">
        <v>2.8044078322972927</v>
      </c>
      <c r="BA99" s="106">
        <v>12118.40712492306</v>
      </c>
      <c r="BB99" s="106">
        <v>0.89702415761294663</v>
      </c>
      <c r="BC99" s="106">
        <v>3876.2207898770648</v>
      </c>
      <c r="BD99" s="106">
        <v>0.98840257921533881</v>
      </c>
      <c r="BE99" s="106">
        <v>4271.0852253053217</v>
      </c>
      <c r="BF99" s="106">
        <v>0.99432115753399353</v>
      </c>
      <c r="BG99" s="106">
        <v>4296.6605859358924</v>
      </c>
      <c r="BH99" s="106">
        <v>0</v>
      </c>
      <c r="BI99" s="106">
        <v>0</v>
      </c>
      <c r="BJ99" s="106">
        <v>2.4021936102448742</v>
      </c>
      <c r="BK99" s="106">
        <v>10380.35902859015</v>
      </c>
      <c r="BL99" s="106">
        <v>1.0881594813897715</v>
      </c>
      <c r="BM99" s="106">
        <v>4702.15475098148</v>
      </c>
      <c r="BN99" s="106">
        <v>1.3840250658722193</v>
      </c>
      <c r="BO99" s="106">
        <v>5980.6491146470335</v>
      </c>
      <c r="BP99" s="106">
        <v>1.2181543724551267</v>
      </c>
      <c r="BQ99" s="106">
        <v>5263.8886742530931</v>
      </c>
      <c r="BR99" s="106">
        <v>0</v>
      </c>
      <c r="BS99" s="106">
        <v>0</v>
      </c>
      <c r="BT99" s="106">
        <v>2.2943312979790207</v>
      </c>
      <c r="BU99" s="106">
        <v>9914.2644048269431</v>
      </c>
      <c r="BV99" s="106">
        <v>0</v>
      </c>
      <c r="BW99" s="106">
        <v>0</v>
      </c>
      <c r="BX99" s="106">
        <v>2.8875726365724281</v>
      </c>
      <c r="BY99" s="106">
        <v>12477.778877156776</v>
      </c>
      <c r="BZ99" s="106">
        <v>1.3020649618900215</v>
      </c>
      <c r="CA99" s="106">
        <v>5626.483113319161</v>
      </c>
      <c r="CB99" s="106">
        <v>0</v>
      </c>
      <c r="CC99" s="106">
        <v>0</v>
      </c>
      <c r="CD99" s="106">
        <v>2.1852134434228834</v>
      </c>
      <c r="CE99" s="106">
        <v>9442.7443317189627</v>
      </c>
      <c r="CF99" s="106">
        <v>0</v>
      </c>
      <c r="CG99" s="106">
        <v>0</v>
      </c>
      <c r="CH99" s="106">
        <v>2.3725174528591308</v>
      </c>
      <c r="CI99" s="106">
        <v>10252.122417294875</v>
      </c>
      <c r="CJ99" s="106">
        <v>0</v>
      </c>
      <c r="CK99" s="106">
        <v>0</v>
      </c>
      <c r="CL99" s="106">
        <v>1.4432611210031863</v>
      </c>
      <c r="CM99" s="106">
        <v>6236.6199560789682</v>
      </c>
      <c r="CN99" s="106">
        <v>0.96258809705462089</v>
      </c>
      <c r="CO99" s="106">
        <v>4159.5356849924274</v>
      </c>
      <c r="CP99" s="106">
        <v>0.97830382108816571</v>
      </c>
      <c r="CQ99" s="106">
        <v>4227.4464716861812</v>
      </c>
      <c r="CR99" s="106">
        <v>1.4238054401986129</v>
      </c>
      <c r="CS99" s="106">
        <v>6152.5480681862455</v>
      </c>
      <c r="CT99" s="106">
        <v>0.52982915202709591</v>
      </c>
      <c r="CU99" s="106">
        <v>2289.4977317394869</v>
      </c>
    </row>
    <row r="100" spans="2:99" x14ac:dyDescent="0.2">
      <c r="C100" s="105" t="s">
        <v>266</v>
      </c>
      <c r="D100" s="106">
        <v>0</v>
      </c>
      <c r="E100" s="106">
        <v>0</v>
      </c>
      <c r="F100" s="106">
        <v>3.5243246075473884</v>
      </c>
      <c r="G100" s="106">
        <v>2732.0564357707353</v>
      </c>
      <c r="H100" s="106">
        <v>1.3987141396619396</v>
      </c>
      <c r="I100" s="106">
        <v>1084.2832010659354</v>
      </c>
      <c r="J100" s="106">
        <v>0</v>
      </c>
      <c r="K100" s="106">
        <v>0</v>
      </c>
      <c r="L100" s="106">
        <v>3.028794527989763</v>
      </c>
      <c r="M100" s="106">
        <v>2347.9215180976639</v>
      </c>
      <c r="N100" s="106">
        <v>0</v>
      </c>
      <c r="O100" s="106">
        <v>0</v>
      </c>
      <c r="P100" s="106">
        <v>1.198897833995948</v>
      </c>
      <c r="Q100" s="106">
        <v>929.38560091365878</v>
      </c>
      <c r="R100" s="106">
        <v>1.9031447867820088</v>
      </c>
      <c r="S100" s="106">
        <v>1475.317838713413</v>
      </c>
      <c r="T100" s="106">
        <v>3.193118304874373</v>
      </c>
      <c r="U100" s="106">
        <v>2475.3053099386138</v>
      </c>
      <c r="V100" s="106">
        <v>1.8759570041136944</v>
      </c>
      <c r="W100" s="106">
        <v>1454.2418695889357</v>
      </c>
      <c r="X100" s="106">
        <v>0</v>
      </c>
      <c r="Y100" s="106">
        <v>0</v>
      </c>
      <c r="Z100" s="106">
        <v>2.0589771996369817</v>
      </c>
      <c r="AA100" s="106">
        <v>1596.1191251585881</v>
      </c>
      <c r="AB100" s="106">
        <v>2.0753664427253598</v>
      </c>
      <c r="AC100" s="106">
        <v>1608.8240664006987</v>
      </c>
      <c r="AD100" s="106">
        <v>0</v>
      </c>
      <c r="AE100" s="106">
        <v>0</v>
      </c>
      <c r="AF100" s="106">
        <v>3.9911735444925687</v>
      </c>
      <c r="AG100" s="106">
        <v>3093.9577316906389</v>
      </c>
      <c r="AH100" s="106">
        <v>0</v>
      </c>
      <c r="AI100" s="106">
        <v>0</v>
      </c>
      <c r="AJ100" s="106">
        <v>3.8345182726408242</v>
      </c>
      <c r="AK100" s="106">
        <v>2972.5185649511668</v>
      </c>
      <c r="AL100" s="106">
        <v>0</v>
      </c>
      <c r="AM100" s="106">
        <v>0</v>
      </c>
      <c r="AN100" s="106">
        <v>1.4846468183814476</v>
      </c>
      <c r="AO100" s="106">
        <v>1150.8982136092982</v>
      </c>
      <c r="AP100" s="106">
        <v>0.89244681966819039</v>
      </c>
      <c r="AQ100" s="106">
        <v>691.82477460678115</v>
      </c>
      <c r="AR100" s="106">
        <v>0</v>
      </c>
      <c r="AS100" s="106">
        <v>0</v>
      </c>
      <c r="AT100" s="106">
        <v>1.0953651914691254</v>
      </c>
      <c r="AU100" s="106">
        <v>849.12709642686593</v>
      </c>
      <c r="AV100" s="106">
        <v>0</v>
      </c>
      <c r="AW100" s="106">
        <v>0</v>
      </c>
      <c r="AX100" s="106">
        <v>0</v>
      </c>
      <c r="AY100" s="106">
        <v>0</v>
      </c>
      <c r="AZ100" s="106">
        <v>3.6056672129536622</v>
      </c>
      <c r="BA100" s="106">
        <v>2795.1132234816787</v>
      </c>
      <c r="BB100" s="106">
        <v>1.4352386521807148</v>
      </c>
      <c r="BC100" s="106">
        <v>1112.5970031704901</v>
      </c>
      <c r="BD100" s="106">
        <v>0.98840257921533881</v>
      </c>
      <c r="BE100" s="106">
        <v>766.20967940773062</v>
      </c>
      <c r="BF100" s="106">
        <v>1.2784129168294205</v>
      </c>
      <c r="BG100" s="106">
        <v>991.02569312616663</v>
      </c>
      <c r="BH100" s="106">
        <v>0</v>
      </c>
      <c r="BI100" s="106">
        <v>0</v>
      </c>
      <c r="BJ100" s="106">
        <v>2.7024678115254837</v>
      </c>
      <c r="BK100" s="106">
        <v>2094.9530474945545</v>
      </c>
      <c r="BL100" s="106">
        <v>1.3057913776677259</v>
      </c>
      <c r="BM100" s="106">
        <v>1012.249475968021</v>
      </c>
      <c r="BN100" s="106">
        <v>1.7794607989785676</v>
      </c>
      <c r="BO100" s="106">
        <v>1379.4380113681855</v>
      </c>
      <c r="BP100" s="106">
        <v>1.4211801011976479</v>
      </c>
      <c r="BQ100" s="106">
        <v>1101.6988144484167</v>
      </c>
      <c r="BR100" s="106">
        <v>0</v>
      </c>
      <c r="BS100" s="106">
        <v>0</v>
      </c>
      <c r="BT100" s="106">
        <v>2.7531975575748251</v>
      </c>
      <c r="BU100" s="106">
        <v>2134.2787466320042</v>
      </c>
      <c r="BV100" s="106">
        <v>0</v>
      </c>
      <c r="BW100" s="106">
        <v>0</v>
      </c>
      <c r="BX100" s="106">
        <v>2.8875726365724281</v>
      </c>
      <c r="BY100" s="106">
        <v>2238.4463078709459</v>
      </c>
      <c r="BZ100" s="106">
        <v>1.8600928027000305</v>
      </c>
      <c r="CA100" s="106">
        <v>1441.9439406530635</v>
      </c>
      <c r="CB100" s="106">
        <v>0</v>
      </c>
      <c r="CC100" s="106">
        <v>0</v>
      </c>
      <c r="CD100" s="106">
        <v>2.9136179245638445</v>
      </c>
      <c r="CE100" s="106">
        <v>2258.6366151218922</v>
      </c>
      <c r="CF100" s="106">
        <v>0</v>
      </c>
      <c r="CG100" s="106">
        <v>0</v>
      </c>
      <c r="CH100" s="106">
        <v>3.1633566038121743</v>
      </c>
      <c r="CI100" s="106">
        <v>2452.2340392751971</v>
      </c>
      <c r="CJ100" s="106">
        <v>0</v>
      </c>
      <c r="CK100" s="106">
        <v>0</v>
      </c>
      <c r="CL100" s="106">
        <v>1.4432611210031863</v>
      </c>
      <c r="CM100" s="106">
        <v>1118.8160210016699</v>
      </c>
      <c r="CN100" s="106">
        <v>0.96258809705462089</v>
      </c>
      <c r="CO100" s="106">
        <v>746.1982928367421</v>
      </c>
      <c r="CP100" s="106">
        <v>1.1413544579361934</v>
      </c>
      <c r="CQ100" s="106">
        <v>884.777975792137</v>
      </c>
      <c r="CR100" s="106">
        <v>1.7085665282383355</v>
      </c>
      <c r="CS100" s="106">
        <v>1324.4807726903575</v>
      </c>
      <c r="CT100" s="106">
        <v>0.66228644003386972</v>
      </c>
      <c r="CU100" s="106">
        <v>513.40444831425577</v>
      </c>
    </row>
    <row r="101" spans="2:99" x14ac:dyDescent="0.2">
      <c r="C101" s="105" t="s">
        <v>267</v>
      </c>
      <c r="D101" s="106">
        <v>0</v>
      </c>
      <c r="E101" s="106">
        <v>0</v>
      </c>
      <c r="F101" s="106">
        <v>4.1117120421386204</v>
      </c>
      <c r="G101" s="106">
        <v>2521.3018242394019</v>
      </c>
      <c r="H101" s="106">
        <v>1.3987141396619396</v>
      </c>
      <c r="I101" s="106">
        <v>857.69151044070122</v>
      </c>
      <c r="J101" s="106">
        <v>0</v>
      </c>
      <c r="K101" s="106">
        <v>0</v>
      </c>
      <c r="L101" s="106">
        <v>3.028794527989763</v>
      </c>
      <c r="M101" s="106">
        <v>1857.2568045633225</v>
      </c>
      <c r="N101" s="106">
        <v>0</v>
      </c>
      <c r="O101" s="106">
        <v>0</v>
      </c>
      <c r="P101" s="106">
        <v>1.198897833995948</v>
      </c>
      <c r="Q101" s="106">
        <v>735.1641518063152</v>
      </c>
      <c r="R101" s="106">
        <v>2.1750226134651527</v>
      </c>
      <c r="S101" s="106">
        <v>1333.7238665768314</v>
      </c>
      <c r="T101" s="106">
        <v>3.193118304874373</v>
      </c>
      <c r="U101" s="106">
        <v>1958.0201445489654</v>
      </c>
      <c r="V101" s="106">
        <v>1.8759570041136944</v>
      </c>
      <c r="W101" s="106">
        <v>1150.3368349225173</v>
      </c>
      <c r="X101" s="106">
        <v>0</v>
      </c>
      <c r="Y101" s="106">
        <v>0</v>
      </c>
      <c r="Z101" s="106">
        <v>1.8302019552328725</v>
      </c>
      <c r="AA101" s="106">
        <v>1122.2798389487973</v>
      </c>
      <c r="AB101" s="106">
        <v>2.0753664427253598</v>
      </c>
      <c r="AC101" s="106">
        <v>1272.6147026791905</v>
      </c>
      <c r="AD101" s="106">
        <v>0</v>
      </c>
      <c r="AE101" s="106">
        <v>0</v>
      </c>
      <c r="AF101" s="106">
        <v>3.9911735444925687</v>
      </c>
      <c r="AG101" s="106">
        <v>2447.3876174828429</v>
      </c>
      <c r="AH101" s="106">
        <v>0</v>
      </c>
      <c r="AI101" s="106">
        <v>0</v>
      </c>
      <c r="AJ101" s="106">
        <v>4.2605758584898057</v>
      </c>
      <c r="AK101" s="106">
        <v>2612.5851164259484</v>
      </c>
      <c r="AL101" s="106">
        <v>0</v>
      </c>
      <c r="AM101" s="106">
        <v>0</v>
      </c>
      <c r="AN101" s="106">
        <v>1.4846468183814476</v>
      </c>
      <c r="AO101" s="106">
        <v>910.38542903150358</v>
      </c>
      <c r="AP101" s="106">
        <v>1.0411879562795554</v>
      </c>
      <c r="AQ101" s="106">
        <v>638.4564547906233</v>
      </c>
      <c r="AR101" s="106">
        <v>0</v>
      </c>
      <c r="AS101" s="106">
        <v>0</v>
      </c>
      <c r="AT101" s="106">
        <v>1.0953651914691254</v>
      </c>
      <c r="AU101" s="106">
        <v>671.6779354088676</v>
      </c>
      <c r="AV101" s="106">
        <v>0</v>
      </c>
      <c r="AW101" s="106">
        <v>0</v>
      </c>
      <c r="AX101" s="106">
        <v>0</v>
      </c>
      <c r="AY101" s="106">
        <v>0</v>
      </c>
      <c r="AZ101" s="106">
        <v>3.2050375226254775</v>
      </c>
      <c r="BA101" s="106">
        <v>1965.3290088739425</v>
      </c>
      <c r="BB101" s="106">
        <v>1.2558338206581254</v>
      </c>
      <c r="BC101" s="106">
        <v>770.07729882756246</v>
      </c>
      <c r="BD101" s="106">
        <v>1.1531363424178953</v>
      </c>
      <c r="BE101" s="106">
        <v>707.10320517065338</v>
      </c>
      <c r="BF101" s="106">
        <v>1.136367037181707</v>
      </c>
      <c r="BG101" s="106">
        <v>696.82026719982264</v>
      </c>
      <c r="BH101" s="106">
        <v>0</v>
      </c>
      <c r="BI101" s="106">
        <v>0</v>
      </c>
      <c r="BJ101" s="106">
        <v>2.4021936102448742</v>
      </c>
      <c r="BK101" s="106">
        <v>1473.0251218021567</v>
      </c>
      <c r="BL101" s="106">
        <v>1.3057913776677259</v>
      </c>
      <c r="BM101" s="106">
        <v>800.71127278584947</v>
      </c>
      <c r="BN101" s="106">
        <v>1.7794607989785676</v>
      </c>
      <c r="BO101" s="106">
        <v>1091.1653619336576</v>
      </c>
      <c r="BP101" s="106">
        <v>1.6242058299401692</v>
      </c>
      <c r="BQ101" s="106">
        <v>995.9630149193116</v>
      </c>
      <c r="BR101" s="106">
        <v>0</v>
      </c>
      <c r="BS101" s="106">
        <v>0</v>
      </c>
      <c r="BT101" s="106">
        <v>2.7531975575748251</v>
      </c>
      <c r="BU101" s="106">
        <v>1688.2607423048826</v>
      </c>
      <c r="BV101" s="106">
        <v>0</v>
      </c>
      <c r="BW101" s="106">
        <v>0</v>
      </c>
      <c r="BX101" s="106">
        <v>3.6094657957155354</v>
      </c>
      <c r="BY101" s="106">
        <v>2213.3244259327662</v>
      </c>
      <c r="BZ101" s="106">
        <v>1.8600928027000305</v>
      </c>
      <c r="CA101" s="106">
        <v>1140.6089066156585</v>
      </c>
      <c r="CB101" s="106">
        <v>0</v>
      </c>
      <c r="CC101" s="106">
        <v>0</v>
      </c>
      <c r="CD101" s="106">
        <v>2.5494156839933639</v>
      </c>
      <c r="CE101" s="106">
        <v>1563.3016974247305</v>
      </c>
      <c r="CF101" s="106">
        <v>0</v>
      </c>
      <c r="CG101" s="106">
        <v>0</v>
      </c>
      <c r="CH101" s="106">
        <v>2.7679370283356528</v>
      </c>
      <c r="CI101" s="106">
        <v>1697.2989857754221</v>
      </c>
      <c r="CJ101" s="106">
        <v>0</v>
      </c>
      <c r="CK101" s="106">
        <v>0</v>
      </c>
      <c r="CL101" s="106">
        <v>1.8556214412898113</v>
      </c>
      <c r="CM101" s="106">
        <v>1137.8670677989121</v>
      </c>
      <c r="CN101" s="106">
        <v>0.96258809705462089</v>
      </c>
      <c r="CO101" s="106">
        <v>590.25902111389348</v>
      </c>
      <c r="CP101" s="106">
        <v>1.1413544579361934</v>
      </c>
      <c r="CQ101" s="106">
        <v>699.8785536064737</v>
      </c>
      <c r="CR101" s="106">
        <v>1.9933276162780582</v>
      </c>
      <c r="CS101" s="106">
        <v>1222.3084943017052</v>
      </c>
      <c r="CT101" s="106">
        <v>0.66228644003386972</v>
      </c>
      <c r="CU101" s="106">
        <v>406.11404502876889</v>
      </c>
    </row>
    <row r="102" spans="2:99" x14ac:dyDescent="0.2">
      <c r="C102" s="105" t="s">
        <v>268</v>
      </c>
      <c r="D102" s="106">
        <v>0</v>
      </c>
      <c r="E102" s="106">
        <v>0</v>
      </c>
      <c r="F102" s="106">
        <v>3.5243246075473884</v>
      </c>
      <c r="G102" s="106">
        <v>1404.0909236468794</v>
      </c>
      <c r="H102" s="106">
        <v>1.598530445327931</v>
      </c>
      <c r="I102" s="106">
        <v>636.85452941864764</v>
      </c>
      <c r="J102" s="106">
        <v>0</v>
      </c>
      <c r="K102" s="106">
        <v>0</v>
      </c>
      <c r="L102" s="106">
        <v>3.028794527989763</v>
      </c>
      <c r="M102" s="106">
        <v>1206.6717399511215</v>
      </c>
      <c r="N102" s="106">
        <v>0</v>
      </c>
      <c r="O102" s="106">
        <v>0</v>
      </c>
      <c r="P102" s="106">
        <v>1.198897833995948</v>
      </c>
      <c r="Q102" s="106">
        <v>477.64089706398562</v>
      </c>
      <c r="R102" s="106">
        <v>2.1750226134651527</v>
      </c>
      <c r="S102" s="106">
        <v>866.5290092045168</v>
      </c>
      <c r="T102" s="106">
        <v>3.193118304874373</v>
      </c>
      <c r="U102" s="106">
        <v>1272.13833266195</v>
      </c>
      <c r="V102" s="106">
        <v>1.8759570041136944</v>
      </c>
      <c r="W102" s="106">
        <v>747.38127043889574</v>
      </c>
      <c r="X102" s="106">
        <v>0</v>
      </c>
      <c r="Y102" s="106">
        <v>0</v>
      </c>
      <c r="Z102" s="106">
        <v>2.0589771996369817</v>
      </c>
      <c r="AA102" s="106">
        <v>820.29651633537344</v>
      </c>
      <c r="AB102" s="106">
        <v>2.0753664427253598</v>
      </c>
      <c r="AC102" s="106">
        <v>826.82599078178328</v>
      </c>
      <c r="AD102" s="106">
        <v>0</v>
      </c>
      <c r="AE102" s="106">
        <v>0</v>
      </c>
      <c r="AF102" s="106">
        <v>3.5477098173267279</v>
      </c>
      <c r="AG102" s="106">
        <v>1413.4075912229682</v>
      </c>
      <c r="AH102" s="106">
        <v>0</v>
      </c>
      <c r="AI102" s="106">
        <v>0</v>
      </c>
      <c r="AJ102" s="106">
        <v>3.8345182726408242</v>
      </c>
      <c r="AK102" s="106">
        <v>1527.6720798201043</v>
      </c>
      <c r="AL102" s="106">
        <v>0</v>
      </c>
      <c r="AM102" s="106">
        <v>0</v>
      </c>
      <c r="AN102" s="106">
        <v>1.7320879547783554</v>
      </c>
      <c r="AO102" s="106">
        <v>690.06384118369681</v>
      </c>
      <c r="AP102" s="106">
        <v>1.0411879562795554</v>
      </c>
      <c r="AQ102" s="106">
        <v>414.80928178177487</v>
      </c>
      <c r="AR102" s="106">
        <v>0</v>
      </c>
      <c r="AS102" s="106">
        <v>0</v>
      </c>
      <c r="AT102" s="106">
        <v>1.0953651914691254</v>
      </c>
      <c r="AU102" s="106">
        <v>436.39349228129953</v>
      </c>
      <c r="AV102" s="106">
        <v>0</v>
      </c>
      <c r="AW102" s="106">
        <v>0</v>
      </c>
      <c r="AX102" s="106">
        <v>0</v>
      </c>
      <c r="AY102" s="106">
        <v>0</v>
      </c>
      <c r="AZ102" s="106">
        <v>3.6056672129536622</v>
      </c>
      <c r="BA102" s="106">
        <v>1436.497817640739</v>
      </c>
      <c r="BB102" s="106">
        <v>1.2558338206581254</v>
      </c>
      <c r="BC102" s="106">
        <v>500.32419415019712</v>
      </c>
      <c r="BD102" s="106">
        <v>0.98840257921533881</v>
      </c>
      <c r="BE102" s="106">
        <v>393.77958755939096</v>
      </c>
      <c r="BF102" s="106">
        <v>1.2784129168294205</v>
      </c>
      <c r="BG102" s="106">
        <v>509.31970606484111</v>
      </c>
      <c r="BH102" s="106">
        <v>0</v>
      </c>
      <c r="BI102" s="106">
        <v>0</v>
      </c>
      <c r="BJ102" s="106">
        <v>2.7024678115254837</v>
      </c>
      <c r="BK102" s="106">
        <v>1076.6631761117526</v>
      </c>
      <c r="BL102" s="106">
        <v>1.3057913776677259</v>
      </c>
      <c r="BM102" s="106">
        <v>520.22728486282199</v>
      </c>
      <c r="BN102" s="106">
        <v>1.5817429324253935</v>
      </c>
      <c r="BO102" s="106">
        <v>630.16638427827672</v>
      </c>
      <c r="BP102" s="106">
        <v>1.4211801011976479</v>
      </c>
      <c r="BQ102" s="106">
        <v>566.1981523171429</v>
      </c>
      <c r="BR102" s="106">
        <v>0</v>
      </c>
      <c r="BS102" s="106">
        <v>0</v>
      </c>
      <c r="BT102" s="106">
        <v>2.7531975575748251</v>
      </c>
      <c r="BU102" s="106">
        <v>1096.8739069378103</v>
      </c>
      <c r="BV102" s="106">
        <v>0</v>
      </c>
      <c r="BW102" s="106">
        <v>0</v>
      </c>
      <c r="BX102" s="106">
        <v>3.6094657957155354</v>
      </c>
      <c r="BY102" s="106">
        <v>1438.0111730130693</v>
      </c>
      <c r="BZ102" s="106">
        <v>1.6740835224300274</v>
      </c>
      <c r="CA102" s="106">
        <v>666.95487533612288</v>
      </c>
      <c r="CB102" s="106">
        <v>0</v>
      </c>
      <c r="CC102" s="106">
        <v>0</v>
      </c>
      <c r="CD102" s="106">
        <v>2.9136179245638445</v>
      </c>
      <c r="CE102" s="106">
        <v>1160.7853811462355</v>
      </c>
      <c r="CF102" s="106">
        <v>0</v>
      </c>
      <c r="CG102" s="106">
        <v>0</v>
      </c>
      <c r="CH102" s="106">
        <v>2.7679370283356528</v>
      </c>
      <c r="CI102" s="106">
        <v>1102.7461120889241</v>
      </c>
      <c r="CJ102" s="106">
        <v>0</v>
      </c>
      <c r="CK102" s="106">
        <v>0</v>
      </c>
      <c r="CL102" s="106">
        <v>1.6494412811464987</v>
      </c>
      <c r="CM102" s="106">
        <v>657.13740640876506</v>
      </c>
      <c r="CN102" s="106">
        <v>0.96258809705462089</v>
      </c>
      <c r="CO102" s="106">
        <v>383.49509786656097</v>
      </c>
      <c r="CP102" s="106">
        <v>1.1413544579361934</v>
      </c>
      <c r="CQ102" s="106">
        <v>454.71561604177941</v>
      </c>
      <c r="CR102" s="106">
        <v>1.7085665282383355</v>
      </c>
      <c r="CS102" s="106">
        <v>680.6929048501529</v>
      </c>
      <c r="CT102" s="106">
        <v>0.66228644003386972</v>
      </c>
      <c r="CU102" s="106">
        <v>263.85491770949369</v>
      </c>
    </row>
    <row r="103" spans="2:99" x14ac:dyDescent="0.2">
      <c r="C103" s="105" t="s">
        <v>269</v>
      </c>
      <c r="D103" s="106">
        <v>0</v>
      </c>
      <c r="E103" s="106">
        <v>0</v>
      </c>
      <c r="F103" s="106">
        <v>3.5243246075473884</v>
      </c>
      <c r="G103" s="106">
        <v>2021.552594889182</v>
      </c>
      <c r="H103" s="106">
        <v>1.3987141396619396</v>
      </c>
      <c r="I103" s="106">
        <v>802.30243051008858</v>
      </c>
      <c r="J103" s="106">
        <v>0</v>
      </c>
      <c r="K103" s="106">
        <v>0</v>
      </c>
      <c r="L103" s="106">
        <v>3.028794527989763</v>
      </c>
      <c r="M103" s="106">
        <v>1737.3165412549281</v>
      </c>
      <c r="N103" s="106">
        <v>0</v>
      </c>
      <c r="O103" s="106">
        <v>0</v>
      </c>
      <c r="P103" s="106">
        <v>1.198897833995948</v>
      </c>
      <c r="Q103" s="106">
        <v>687.68779758007577</v>
      </c>
      <c r="R103" s="106">
        <v>2.1750226134651527</v>
      </c>
      <c r="S103" s="106">
        <v>1247.5929710836117</v>
      </c>
      <c r="T103" s="106">
        <v>3.193118304874373</v>
      </c>
      <c r="U103" s="106">
        <v>1831.5726596759405</v>
      </c>
      <c r="V103" s="106">
        <v>1.6414623785994824</v>
      </c>
      <c r="W103" s="106">
        <v>941.54282036466316</v>
      </c>
      <c r="X103" s="106">
        <v>0</v>
      </c>
      <c r="Y103" s="106">
        <v>0</v>
      </c>
      <c r="Z103" s="106">
        <v>1.8302019552328725</v>
      </c>
      <c r="AA103" s="106">
        <v>1049.8038415215758</v>
      </c>
      <c r="AB103" s="106">
        <v>1.8159456373846896</v>
      </c>
      <c r="AC103" s="106">
        <v>1041.626417603858</v>
      </c>
      <c r="AD103" s="106">
        <v>0</v>
      </c>
      <c r="AE103" s="106">
        <v>0</v>
      </c>
      <c r="AF103" s="106">
        <v>3.5477098173267279</v>
      </c>
      <c r="AG103" s="106">
        <v>2034.9663512186112</v>
      </c>
      <c r="AH103" s="106">
        <v>0</v>
      </c>
      <c r="AI103" s="106">
        <v>0</v>
      </c>
      <c r="AJ103" s="106">
        <v>3.4084606867918441</v>
      </c>
      <c r="AK103" s="106">
        <v>1955.0930499438018</v>
      </c>
      <c r="AL103" s="106">
        <v>0</v>
      </c>
      <c r="AM103" s="106">
        <v>0</v>
      </c>
      <c r="AN103" s="106">
        <v>1.4846468183814476</v>
      </c>
      <c r="AO103" s="106">
        <v>851.59341502359837</v>
      </c>
      <c r="AP103" s="106">
        <v>0.89244681966819039</v>
      </c>
      <c r="AQ103" s="106">
        <v>511.90749576167406</v>
      </c>
      <c r="AR103" s="106">
        <v>0</v>
      </c>
      <c r="AS103" s="106">
        <v>0</v>
      </c>
      <c r="AT103" s="106">
        <v>1.2322858404027661</v>
      </c>
      <c r="AU103" s="106">
        <v>706.8391580550267</v>
      </c>
      <c r="AV103" s="106">
        <v>0</v>
      </c>
      <c r="AW103" s="106">
        <v>0</v>
      </c>
      <c r="AX103" s="106">
        <v>0</v>
      </c>
      <c r="AY103" s="106">
        <v>0</v>
      </c>
      <c r="AZ103" s="106">
        <v>3.2050375226254775</v>
      </c>
      <c r="BA103" s="106">
        <v>1838.4095229779739</v>
      </c>
      <c r="BB103" s="106">
        <v>1.2558338206581254</v>
      </c>
      <c r="BC103" s="106">
        <v>720.34627952950075</v>
      </c>
      <c r="BD103" s="106">
        <v>1.1531363424178953</v>
      </c>
      <c r="BE103" s="106">
        <v>661.43900601090479</v>
      </c>
      <c r="BF103" s="106">
        <v>1.2784129168294205</v>
      </c>
      <c r="BG103" s="106">
        <v>733.29764909335563</v>
      </c>
      <c r="BH103" s="106">
        <v>0</v>
      </c>
      <c r="BI103" s="106">
        <v>0</v>
      </c>
      <c r="BJ103" s="106">
        <v>2.7024678115254837</v>
      </c>
      <c r="BK103" s="106">
        <v>1550.1355366910175</v>
      </c>
      <c r="BL103" s="106">
        <v>1.0881594813897715</v>
      </c>
      <c r="BM103" s="106">
        <v>624.16827852517292</v>
      </c>
      <c r="BN103" s="106">
        <v>1.7794607989785676</v>
      </c>
      <c r="BO103" s="106">
        <v>1020.6987142941064</v>
      </c>
      <c r="BP103" s="106">
        <v>1.4211801011976479</v>
      </c>
      <c r="BQ103" s="106">
        <v>815.18890604697083</v>
      </c>
      <c r="BR103" s="106">
        <v>0</v>
      </c>
      <c r="BS103" s="106">
        <v>0</v>
      </c>
      <c r="BT103" s="106">
        <v>2.2943312979790207</v>
      </c>
      <c r="BU103" s="106">
        <v>1316.0284325207663</v>
      </c>
      <c r="BV103" s="106">
        <v>0</v>
      </c>
      <c r="BW103" s="106">
        <v>0</v>
      </c>
      <c r="BX103" s="106">
        <v>3.2485192161439818</v>
      </c>
      <c r="BY103" s="106">
        <v>1863.350622380188</v>
      </c>
      <c r="BZ103" s="106">
        <v>1.6740835224300274</v>
      </c>
      <c r="CA103" s="106">
        <v>960.2543084658638</v>
      </c>
      <c r="CB103" s="106">
        <v>0</v>
      </c>
      <c r="CC103" s="106">
        <v>0</v>
      </c>
      <c r="CD103" s="106">
        <v>2.9136179245638445</v>
      </c>
      <c r="CE103" s="106">
        <v>1671.2512415298213</v>
      </c>
      <c r="CF103" s="106">
        <v>0</v>
      </c>
      <c r="CG103" s="106">
        <v>0</v>
      </c>
      <c r="CH103" s="106">
        <v>2.7679370283356528</v>
      </c>
      <c r="CI103" s="106">
        <v>1587.6886794533305</v>
      </c>
      <c r="CJ103" s="106">
        <v>0</v>
      </c>
      <c r="CK103" s="106">
        <v>0</v>
      </c>
      <c r="CL103" s="106">
        <v>1.6494412811464987</v>
      </c>
      <c r="CM103" s="106">
        <v>946.11951886563168</v>
      </c>
      <c r="CN103" s="106">
        <v>0.96258809705462089</v>
      </c>
      <c r="CO103" s="106">
        <v>552.14053247053062</v>
      </c>
      <c r="CP103" s="106">
        <v>1.304405094784221</v>
      </c>
      <c r="CQ103" s="106">
        <v>748.20676236822919</v>
      </c>
      <c r="CR103" s="106">
        <v>1.7085665282383355</v>
      </c>
      <c r="CS103" s="106">
        <v>980.03376059750929</v>
      </c>
      <c r="CT103" s="106">
        <v>0.79474372804064375</v>
      </c>
      <c r="CU103" s="106">
        <v>455.86500240411328</v>
      </c>
    </row>
    <row r="104" spans="2:99" x14ac:dyDescent="0.2">
      <c r="C104" s="105" t="s">
        <v>270</v>
      </c>
      <c r="D104" s="106">
        <v>0</v>
      </c>
      <c r="E104" s="106">
        <v>0</v>
      </c>
      <c r="F104" s="106">
        <v>3.5243246075473884</v>
      </c>
      <c r="G104" s="106">
        <v>2410.6380315624137</v>
      </c>
      <c r="H104" s="106">
        <v>1.3987141396619396</v>
      </c>
      <c r="I104" s="106">
        <v>956.72047152876667</v>
      </c>
      <c r="J104" s="106">
        <v>0</v>
      </c>
      <c r="K104" s="106">
        <v>0</v>
      </c>
      <c r="L104" s="106">
        <v>3.028794527989763</v>
      </c>
      <c r="M104" s="106">
        <v>2071.6954571449978</v>
      </c>
      <c r="N104" s="106">
        <v>0</v>
      </c>
      <c r="O104" s="106">
        <v>0</v>
      </c>
      <c r="P104" s="106">
        <v>1.198897833995948</v>
      </c>
      <c r="Q104" s="106">
        <v>820.04611845322836</v>
      </c>
      <c r="R104" s="106">
        <v>2.1750226134651527</v>
      </c>
      <c r="S104" s="106">
        <v>1487.7154676101645</v>
      </c>
      <c r="T104" s="106">
        <v>3.193118304874373</v>
      </c>
      <c r="U104" s="106">
        <v>2184.0929205340713</v>
      </c>
      <c r="V104" s="106">
        <v>1.8759570041136944</v>
      </c>
      <c r="W104" s="106">
        <v>1283.1545908137668</v>
      </c>
      <c r="X104" s="106">
        <v>0</v>
      </c>
      <c r="Y104" s="106">
        <v>0</v>
      </c>
      <c r="Z104" s="106">
        <v>2.0589771996369817</v>
      </c>
      <c r="AA104" s="106">
        <v>1408.3404045516954</v>
      </c>
      <c r="AB104" s="106">
        <v>2.0753664427253598</v>
      </c>
      <c r="AC104" s="106">
        <v>1419.550646824146</v>
      </c>
      <c r="AD104" s="106">
        <v>0</v>
      </c>
      <c r="AE104" s="106">
        <v>0</v>
      </c>
      <c r="AF104" s="106">
        <v>3.9911735444925687</v>
      </c>
      <c r="AG104" s="106">
        <v>2729.9627044329168</v>
      </c>
      <c r="AH104" s="106">
        <v>0</v>
      </c>
      <c r="AI104" s="106">
        <v>0</v>
      </c>
      <c r="AJ104" s="106">
        <v>3.4084606867918441</v>
      </c>
      <c r="AK104" s="106">
        <v>2331.3871097656215</v>
      </c>
      <c r="AL104" s="106">
        <v>0</v>
      </c>
      <c r="AM104" s="106">
        <v>0</v>
      </c>
      <c r="AN104" s="106">
        <v>1.4846468183814476</v>
      </c>
      <c r="AO104" s="106">
        <v>1015.4984237729102</v>
      </c>
      <c r="AP104" s="106">
        <v>0.89244681966819039</v>
      </c>
      <c r="AQ104" s="106">
        <v>610.43362465304222</v>
      </c>
      <c r="AR104" s="106">
        <v>0</v>
      </c>
      <c r="AS104" s="106">
        <v>0</v>
      </c>
      <c r="AT104" s="106">
        <v>1.2322858404027661</v>
      </c>
      <c r="AU104" s="106">
        <v>842.88351483549206</v>
      </c>
      <c r="AV104" s="106">
        <v>0</v>
      </c>
      <c r="AW104" s="106">
        <v>0</v>
      </c>
      <c r="AX104" s="106">
        <v>0</v>
      </c>
      <c r="AY104" s="106">
        <v>0</v>
      </c>
      <c r="AZ104" s="106">
        <v>3.2050375226254775</v>
      </c>
      <c r="BA104" s="106">
        <v>2192.2456654758266</v>
      </c>
      <c r="BB104" s="106">
        <v>1.2558338206581254</v>
      </c>
      <c r="BC104" s="106">
        <v>858.9903333301578</v>
      </c>
      <c r="BD104" s="106">
        <v>1.3178701056204518</v>
      </c>
      <c r="BE104" s="106">
        <v>901.42315224438903</v>
      </c>
      <c r="BF104" s="106">
        <v>1.2784129168294205</v>
      </c>
      <c r="BG104" s="106">
        <v>874.43443511132364</v>
      </c>
      <c r="BH104" s="106">
        <v>0</v>
      </c>
      <c r="BI104" s="106">
        <v>0</v>
      </c>
      <c r="BJ104" s="106">
        <v>2.7024678115254837</v>
      </c>
      <c r="BK104" s="106">
        <v>1848.4879830834309</v>
      </c>
      <c r="BL104" s="106">
        <v>1.3057913776677259</v>
      </c>
      <c r="BM104" s="106">
        <v>893.16130232472449</v>
      </c>
      <c r="BN104" s="106">
        <v>1.7794607989785676</v>
      </c>
      <c r="BO104" s="106">
        <v>1217.1511865013401</v>
      </c>
      <c r="BP104" s="106">
        <v>1.4211801011976479</v>
      </c>
      <c r="BQ104" s="106">
        <v>972.08718921919115</v>
      </c>
      <c r="BR104" s="106">
        <v>0</v>
      </c>
      <c r="BS104" s="106">
        <v>0</v>
      </c>
      <c r="BT104" s="106">
        <v>2.7531975575748251</v>
      </c>
      <c r="BU104" s="106">
        <v>1883.1871293811803</v>
      </c>
      <c r="BV104" s="106">
        <v>0</v>
      </c>
      <c r="BW104" s="106">
        <v>0</v>
      </c>
      <c r="BX104" s="106">
        <v>3.2485192161439818</v>
      </c>
      <c r="BY104" s="106">
        <v>2221.9871438424834</v>
      </c>
      <c r="BZ104" s="106">
        <v>1.8600928027000305</v>
      </c>
      <c r="CA104" s="106">
        <v>1272.3034770468209</v>
      </c>
      <c r="CB104" s="106">
        <v>0</v>
      </c>
      <c r="CC104" s="106">
        <v>0</v>
      </c>
      <c r="CD104" s="106">
        <v>2.5494156839933639</v>
      </c>
      <c r="CE104" s="106">
        <v>1743.8003278514609</v>
      </c>
      <c r="CF104" s="106">
        <v>0</v>
      </c>
      <c r="CG104" s="106">
        <v>0</v>
      </c>
      <c r="CH104" s="106">
        <v>3.1633566038121743</v>
      </c>
      <c r="CI104" s="106">
        <v>2163.7359170075274</v>
      </c>
      <c r="CJ104" s="106">
        <v>0</v>
      </c>
      <c r="CK104" s="106">
        <v>0</v>
      </c>
      <c r="CL104" s="106">
        <v>1.8556214412898113</v>
      </c>
      <c r="CM104" s="106">
        <v>1269.245065842231</v>
      </c>
      <c r="CN104" s="106">
        <v>0.96258809705462089</v>
      </c>
      <c r="CO104" s="106">
        <v>658.41025838536075</v>
      </c>
      <c r="CP104" s="106">
        <v>1.304405094784221</v>
      </c>
      <c r="CQ104" s="106">
        <v>892.21308483240716</v>
      </c>
      <c r="CR104" s="106">
        <v>1.7085665282383355</v>
      </c>
      <c r="CS104" s="106">
        <v>1168.6595053150215</v>
      </c>
      <c r="CT104" s="106">
        <v>0.79474372804064375</v>
      </c>
      <c r="CU104" s="106">
        <v>543.6047099798003</v>
      </c>
    </row>
    <row r="105" spans="2:99" x14ac:dyDescent="0.2">
      <c r="C105" s="105" t="s">
        <v>271</v>
      </c>
      <c r="D105" s="106">
        <v>0</v>
      </c>
      <c r="E105" s="106">
        <v>0</v>
      </c>
      <c r="F105" s="106">
        <v>3.5243246075473884</v>
      </c>
      <c r="G105" s="106">
        <v>2161.1158493480584</v>
      </c>
      <c r="H105" s="106">
        <v>1.598530445327931</v>
      </c>
      <c r="I105" s="106">
        <v>980.21886907508713</v>
      </c>
      <c r="J105" s="106">
        <v>0</v>
      </c>
      <c r="K105" s="106">
        <v>0</v>
      </c>
      <c r="L105" s="106">
        <v>3.028794527989763</v>
      </c>
      <c r="M105" s="106">
        <v>1857.2568045633225</v>
      </c>
      <c r="N105" s="106">
        <v>0</v>
      </c>
      <c r="O105" s="106">
        <v>0</v>
      </c>
      <c r="P105" s="106">
        <v>1.198897833995948</v>
      </c>
      <c r="Q105" s="106">
        <v>735.1641518063152</v>
      </c>
      <c r="R105" s="106">
        <v>2.1750226134651527</v>
      </c>
      <c r="S105" s="106">
        <v>1333.7238665768314</v>
      </c>
      <c r="T105" s="106">
        <v>3.193118304874373</v>
      </c>
      <c r="U105" s="106">
        <v>1958.0201445489654</v>
      </c>
      <c r="V105" s="106">
        <v>1.8759570041136944</v>
      </c>
      <c r="W105" s="106">
        <v>1150.3368349225173</v>
      </c>
      <c r="X105" s="106">
        <v>0</v>
      </c>
      <c r="Y105" s="106">
        <v>0</v>
      </c>
      <c r="Z105" s="106">
        <v>1.8302019552328725</v>
      </c>
      <c r="AA105" s="106">
        <v>1122.2798389487973</v>
      </c>
      <c r="AB105" s="106">
        <v>1.8159456373846896</v>
      </c>
      <c r="AC105" s="106">
        <v>1113.5378648442916</v>
      </c>
      <c r="AD105" s="106">
        <v>0</v>
      </c>
      <c r="AE105" s="106">
        <v>0</v>
      </c>
      <c r="AF105" s="106">
        <v>3.5477098173267279</v>
      </c>
      <c r="AG105" s="106">
        <v>2175.4556599847492</v>
      </c>
      <c r="AH105" s="106">
        <v>0</v>
      </c>
      <c r="AI105" s="106">
        <v>0</v>
      </c>
      <c r="AJ105" s="106">
        <v>3.8345182726408242</v>
      </c>
      <c r="AK105" s="106">
        <v>2351.3266047833531</v>
      </c>
      <c r="AL105" s="106">
        <v>0</v>
      </c>
      <c r="AM105" s="106">
        <v>0</v>
      </c>
      <c r="AN105" s="106">
        <v>1.4846468183814476</v>
      </c>
      <c r="AO105" s="106">
        <v>910.38542903150358</v>
      </c>
      <c r="AP105" s="106">
        <v>0.89244681966819039</v>
      </c>
      <c r="AQ105" s="106">
        <v>547.24838982053427</v>
      </c>
      <c r="AR105" s="106">
        <v>0</v>
      </c>
      <c r="AS105" s="106">
        <v>0</v>
      </c>
      <c r="AT105" s="106">
        <v>1.0953651914691254</v>
      </c>
      <c r="AU105" s="106">
        <v>671.6779354088676</v>
      </c>
      <c r="AV105" s="106">
        <v>0</v>
      </c>
      <c r="AW105" s="106">
        <v>0</v>
      </c>
      <c r="AX105" s="106">
        <v>0</v>
      </c>
      <c r="AY105" s="106">
        <v>0</v>
      </c>
      <c r="AZ105" s="106">
        <v>3.2050375226254775</v>
      </c>
      <c r="BA105" s="106">
        <v>1965.3290088739425</v>
      </c>
      <c r="BB105" s="106">
        <v>1.2558338206581254</v>
      </c>
      <c r="BC105" s="106">
        <v>770.07729882756246</v>
      </c>
      <c r="BD105" s="106">
        <v>0.98840257921533881</v>
      </c>
      <c r="BE105" s="106">
        <v>606.08846157484572</v>
      </c>
      <c r="BF105" s="106">
        <v>1.2784129168294205</v>
      </c>
      <c r="BG105" s="106">
        <v>783.92280059980055</v>
      </c>
      <c r="BH105" s="106">
        <v>0</v>
      </c>
      <c r="BI105" s="106">
        <v>0</v>
      </c>
      <c r="BJ105" s="106">
        <v>2.7024678115254837</v>
      </c>
      <c r="BK105" s="106">
        <v>1657.1532620274263</v>
      </c>
      <c r="BL105" s="106">
        <v>1.0881594813897715</v>
      </c>
      <c r="BM105" s="106">
        <v>667.25939398820776</v>
      </c>
      <c r="BN105" s="106">
        <v>1.7794607989785676</v>
      </c>
      <c r="BO105" s="106">
        <v>1091.1653619336576</v>
      </c>
      <c r="BP105" s="106">
        <v>1.6242058299401692</v>
      </c>
      <c r="BQ105" s="106">
        <v>995.9630149193116</v>
      </c>
      <c r="BR105" s="106">
        <v>0</v>
      </c>
      <c r="BS105" s="106">
        <v>0</v>
      </c>
      <c r="BT105" s="106">
        <v>2.7531975575748251</v>
      </c>
      <c r="BU105" s="106">
        <v>1688.2607423048826</v>
      </c>
      <c r="BV105" s="106">
        <v>0</v>
      </c>
      <c r="BW105" s="106">
        <v>0</v>
      </c>
      <c r="BX105" s="106">
        <v>3.2485192161439818</v>
      </c>
      <c r="BY105" s="106">
        <v>1991.9919833394895</v>
      </c>
      <c r="BZ105" s="106">
        <v>1.6740835224300274</v>
      </c>
      <c r="CA105" s="106">
        <v>1026.5480159540928</v>
      </c>
      <c r="CB105" s="106">
        <v>0</v>
      </c>
      <c r="CC105" s="106">
        <v>0</v>
      </c>
      <c r="CD105" s="106">
        <v>3.2778201651343255</v>
      </c>
      <c r="CE105" s="106">
        <v>2009.9593252603681</v>
      </c>
      <c r="CF105" s="106">
        <v>0</v>
      </c>
      <c r="CG105" s="106">
        <v>0</v>
      </c>
      <c r="CH105" s="106">
        <v>2.7679370283356528</v>
      </c>
      <c r="CI105" s="106">
        <v>1697.2989857754221</v>
      </c>
      <c r="CJ105" s="106">
        <v>0</v>
      </c>
      <c r="CK105" s="106">
        <v>0</v>
      </c>
      <c r="CL105" s="106">
        <v>1.6494412811464987</v>
      </c>
      <c r="CM105" s="106">
        <v>1011.4373935990329</v>
      </c>
      <c r="CN105" s="106">
        <v>0.96258809705462089</v>
      </c>
      <c r="CO105" s="106">
        <v>590.25902111389348</v>
      </c>
      <c r="CP105" s="106">
        <v>1.304405094784221</v>
      </c>
      <c r="CQ105" s="106">
        <v>799.86120412168418</v>
      </c>
      <c r="CR105" s="106">
        <v>1.9933276162780582</v>
      </c>
      <c r="CS105" s="106">
        <v>1222.3084943017052</v>
      </c>
      <c r="CT105" s="106">
        <v>0.66228644003386972</v>
      </c>
      <c r="CU105" s="106">
        <v>406.11404502876889</v>
      </c>
    </row>
    <row r="107" spans="2:99" x14ac:dyDescent="0.2">
      <c r="B107" s="110" t="s">
        <v>276</v>
      </c>
    </row>
    <row r="108" spans="2:99" x14ac:dyDescent="0.2">
      <c r="C108" s="105" t="s">
        <v>277</v>
      </c>
      <c r="D108" s="105" t="s">
        <v>92</v>
      </c>
      <c r="E108" s="105" t="s">
        <v>93</v>
      </c>
      <c r="F108" s="105" t="s">
        <v>94</v>
      </c>
      <c r="G108" s="105" t="s">
        <v>95</v>
      </c>
      <c r="H108" s="105" t="s">
        <v>96</v>
      </c>
      <c r="I108" s="105" t="s">
        <v>97</v>
      </c>
      <c r="J108" s="105" t="s">
        <v>98</v>
      </c>
      <c r="K108" s="105" t="s">
        <v>99</v>
      </c>
      <c r="L108" s="105" t="s">
        <v>100</v>
      </c>
      <c r="M108" s="105" t="s">
        <v>101</v>
      </c>
      <c r="N108" s="105" t="s">
        <v>102</v>
      </c>
      <c r="O108" s="105" t="s">
        <v>103</v>
      </c>
    </row>
    <row r="109" spans="2:99" x14ac:dyDescent="0.2">
      <c r="C109" s="105" t="s">
        <v>126</v>
      </c>
      <c r="D109" s="106">
        <f>SUM(D$6:D$19)+SUM(F$6:F$19)+SUM(H$6:H$19)+SUM(J$6:J$19)</f>
        <v>69.155341466068847</v>
      </c>
      <c r="E109" s="106">
        <f>SUM(L$6:L$19)+SUM(N$6:N$19)+SUM(P$6:P$19)+SUM(R$6:R$19)</f>
        <v>77.749964034969011</v>
      </c>
      <c r="F109" s="106">
        <f>SUM(T$6:T$19)+SUM(V$6:V$19)+SUM(X$6:X$19)+SUM(Z$6:Z$19)</f>
        <v>207.76706555888038</v>
      </c>
      <c r="G109" s="106">
        <f>SUM(AB$6:AB$19)+SUM(AD$6:AD$19)+SUM(AF$6:AF$19)+SUM(AH$6:AH$19)</f>
        <v>52.673605033160683</v>
      </c>
      <c r="H109" s="106">
        <f>SUM(AJ$6:AJ$19)+SUM(AL$6:AL$19)+SUM(AN$6:AN$19)+SUM(AP$6:AP$19)</f>
        <v>109.50342233196525</v>
      </c>
      <c r="I109" s="106">
        <f>SUM(AR$6:AR$19)+SUM(AT$6:AT$19)+SUM(AV$6:AV$19)+SUM(AX$6:AX$19)</f>
        <v>41.629613485159439</v>
      </c>
      <c r="J109" s="106">
        <f>SUM(AZ$6:AZ$19)+SUM(BB$6:BB$19)+SUM(BD$6:BD$19)+SUM(BF$6:BF$19)</f>
        <v>72.936045099293636</v>
      </c>
      <c r="K109" s="106">
        <f>SUM(BH$6:BH$19)+SUM(BJ$6:BJ$19)+SUM(BL$6:BL$19)+SUM(BN$6:BN$19)</f>
        <v>105.48719217012282</v>
      </c>
      <c r="L109" s="106">
        <f>SUM(BP$6:BP$19)+SUM(BR$6:BR$19)+SUM(BT$6:BT$19)+SUM(BV$6:BV$19)</f>
        <v>68.442670443977477</v>
      </c>
      <c r="M109" s="106">
        <f>SUM(BX$6:BX$19)+SUM(BZ$6:BZ$19)+SUM(CB$6:CB$19)+SUM(CD$6:CD$19)</f>
        <v>106.63542516471131</v>
      </c>
      <c r="N109" s="106">
        <f>SUM(CF$6:CF$19)+SUM(CH$6:CH$19)+SUM(CJ$6:CJ$19)+SUM(CL$6:CL$19)</f>
        <v>82.336855287471991</v>
      </c>
      <c r="O109" s="106">
        <f>SUM(CN$6:CN$19)+SUM(CP$6:CP$19)+SUM(CR$6:CR$19)+SUM(CT$6:CT$19)</f>
        <v>62.930241181278298</v>
      </c>
    </row>
    <row r="110" spans="2:99" x14ac:dyDescent="0.2">
      <c r="C110" s="105" t="s">
        <v>127</v>
      </c>
      <c r="D110" s="106">
        <f>SUM(D$20:D$36)+SUM(F$20:F$36)+SUM(H$20:H$36)+SUM(J$20:J$36)</f>
        <v>243.85691406772736</v>
      </c>
      <c r="E110" s="106">
        <f>SUM(L$20:L$36)+SUM(N$20:N$36)+SUM(P$20:P$36)+SUM(R$20:R$36)</f>
        <v>218.74369174595637</v>
      </c>
      <c r="F110" s="106">
        <f>SUM(T$20:T$36)+SUM(V$20:V$36)+SUM(X$20:X$36)+SUM(Z$20:Z$36)</f>
        <v>193.52747681367504</v>
      </c>
      <c r="G110" s="106">
        <f>SUM(AB$20:AB$36)+SUM(AD$20:AD$36)+SUM(AF$20:AF$36)+SUM(AH$20:AH$36)</f>
        <v>555.15965223970511</v>
      </c>
      <c r="H110" s="106">
        <f>SUM(AJ$20:AJ$36)+SUM(AL$20:AL$36)+SUM(AN$20:AN$36)+SUM(AP$20:AP$36)</f>
        <v>310.49618131369209</v>
      </c>
      <c r="I110" s="106">
        <f>SUM(AR$20:AR$36)+SUM(AT$20:AT$36)+SUM(AV$20:AV$36)+SUM(AX$20:AX$36)</f>
        <v>165.7459192009124</v>
      </c>
      <c r="J110" s="106">
        <f>SUM(AZ$20:AZ$36)+SUM(BB$20:BB$36)+SUM(BD$20:BD$36)+SUM(BF$20:BF$36)</f>
        <v>213.89247172100082</v>
      </c>
      <c r="K110" s="106">
        <f>SUM(BH$20:BH$36)+SUM(BJ$20:BJ$36)+SUM(BL$20:BL$36)+SUM(BN$20:BN$36)</f>
        <v>548.26379960892825</v>
      </c>
      <c r="L110" s="106">
        <f>SUM(BP$20:BP$36)+SUM(BR$20:BR$36)+SUM(BT$20:BT$36)+SUM(BV$20:BV$36)</f>
        <v>484.64348407619127</v>
      </c>
      <c r="M110" s="106">
        <f>SUM(BX$20:BX$36)+SUM(BZ$20:BZ$36)+SUM(CB$20:CB$36)+SUM(CD$20:CD$36)</f>
        <v>418.82352539900444</v>
      </c>
      <c r="N110" s="106">
        <f>SUM(CF$20:CF$36)+SUM(CH$20:CH$36)+SUM(CJ$20:CJ$36)+SUM(CL$20:CL$36)</f>
        <v>285.72435874883132</v>
      </c>
      <c r="O110" s="106">
        <f>SUM(CN$20:CN$36)+SUM(CP$20:CP$36)+SUM(CR$20:CR$36)+SUM(CT$20:CT$36)</f>
        <v>203.94989924109103</v>
      </c>
    </row>
    <row r="111" spans="2:99" x14ac:dyDescent="0.2">
      <c r="C111" s="105" t="s">
        <v>128</v>
      </c>
      <c r="D111" s="106">
        <f>SUM(D$37:D$48)+SUM(F$37:F$48)+SUM(H$37:H$48)+SUM(J$37:J$48)</f>
        <v>89.568288910885897</v>
      </c>
      <c r="E111" s="106">
        <f>SUM(L$37:L$48)+SUM(N$37:N$48)+SUM(P$37:P$48)+SUM(R$37:R$48)</f>
        <v>101.32426029925259</v>
      </c>
      <c r="F111" s="106">
        <f>SUM(T$37:T$48)+SUM(V$37:V$48)+SUM(X$37:X$48)+SUM(Z$37:Z$48)</f>
        <v>90.529021855098875</v>
      </c>
      <c r="G111" s="106">
        <f>SUM(AB$37:AB$48)+SUM(AD$37:AD$48)+SUM(AF$37:AF$48)+SUM(AH$37:AH$48)</f>
        <v>78.334805576464461</v>
      </c>
      <c r="H111" s="106">
        <f>SUM(AJ$37:AJ$48)+SUM(AL$37:AL$48)+SUM(AN$37:AN$48)+SUM(AP$37:AP$48)</f>
        <v>82.850858134097777</v>
      </c>
      <c r="I111" s="106">
        <f>SUM(AR$37:AR$48)+SUM(AT$37:AT$48)+SUM(AV$37:AV$48)+SUM(AX$37:AX$48)</f>
        <v>54.144904403387002</v>
      </c>
      <c r="J111" s="106">
        <f>SUM(AZ$37:AZ$48)+SUM(BB$37:BB$48)+SUM(BD$37:BD$48)+SUM(BF$37:BF$48)</f>
        <v>87.688397442374253</v>
      </c>
      <c r="K111" s="106">
        <f>SUM(BH$37:BH$48)+SUM(BJ$37:BJ$48)+SUM(BL$37:BL$48)+SUM(BN$37:BN$48)</f>
        <v>45.331213861128504</v>
      </c>
      <c r="L111" s="106">
        <f>SUM(BP$37:BP$48)+SUM(BR$37:BR$48)+SUM(BT$37:BT$48)+SUM(BV$37:BV$48)</f>
        <v>66.774444513097919</v>
      </c>
      <c r="M111" s="106">
        <f>SUM(BX$37:BX$48)+SUM(BZ$37:BZ$48)+SUM(CB$37:CB$48)+SUM(CD$37:CD$48)</f>
        <v>69.500926319878943</v>
      </c>
      <c r="N111" s="106">
        <f>SUM(CF$37:CF$48)+SUM(CH$37:CH$48)+SUM(CJ$37:CJ$48)+SUM(CL$37:CL$48)</f>
        <v>76.548639765952601</v>
      </c>
      <c r="O111" s="106">
        <f>SUM(CN$37:CN$48)+SUM(CP$37:CP$48)+SUM(CR$37:CR$48)+SUM(CT$37:CT$48)</f>
        <v>72.495591445941102</v>
      </c>
    </row>
    <row r="112" spans="2:99" x14ac:dyDescent="0.2">
      <c r="C112" s="105" t="s">
        <v>129</v>
      </c>
      <c r="D112" s="106">
        <f>SUM(D$49:D$70)+SUM(F$49:F$70)+SUM(H$49:H$70)+SUM(J$49:J$70)</f>
        <v>317.68989641341994</v>
      </c>
      <c r="E112" s="106">
        <f>SUM(L$49:L$70)+SUM(N$49:N$70)+SUM(P$49:P$70)+SUM(R$49:R$70)</f>
        <v>555.39819684146892</v>
      </c>
      <c r="F112" s="106">
        <f>SUM(T$49:T$70)+SUM(V$49:V$70)+SUM(X$49:X$70)+SUM(Z$49:Z$70)</f>
        <v>473.97468549116326</v>
      </c>
      <c r="G112" s="106">
        <f>SUM(AB$49:AB$70)+SUM(AD$49:AD$70)+SUM(AF$49:AF$70)+SUM(AH$49:AH$70)</f>
        <v>286.00157758347359</v>
      </c>
      <c r="H112" s="106">
        <f>SUM(AJ$49:AJ$70)+SUM(AL$49:AL$70)+SUM(AN$49:AN$70)+SUM(AP$49:AP$70)</f>
        <v>223.98253644831954</v>
      </c>
      <c r="I112" s="106">
        <f>SUM(AR$49:AR$70)+SUM(AT$49:AT$70)+SUM(AV$49:AV$70)+SUM(AX$49:AX$70)</f>
        <v>122.61587371578747</v>
      </c>
      <c r="J112" s="106">
        <f>SUM(AZ$49:AZ$70)+SUM(BB$49:BB$70)+SUM(BD$49:BD$70)+SUM(BF$49:BF$70)</f>
        <v>236.11901462894525</v>
      </c>
      <c r="K112" s="106">
        <f>SUM(BH$49:BH$70)+SUM(BJ$49:BJ$70)+SUM(BL$49:BL$70)+SUM(BN$49:BN$70)</f>
        <v>217.61605464984854</v>
      </c>
      <c r="L112" s="106">
        <f>SUM(BP$49:BP$70)+SUM(BR$49:BR$70)+SUM(BT$49:BT$70)+SUM(BV$49:BV$70)</f>
        <v>249.61943607186834</v>
      </c>
      <c r="M112" s="106">
        <f>SUM(BX$49:BX$70)+SUM(BZ$49:BZ$70)+SUM(CB$49:CB$70)+SUM(CD$49:CD$70)</f>
        <v>242.36318929164764</v>
      </c>
      <c r="N112" s="106">
        <f>SUM(CF$49:CF$70)+SUM(CH$49:CH$70)+SUM(CJ$49:CJ$70)+SUM(CL$49:CL$70)</f>
        <v>257.91620885442677</v>
      </c>
      <c r="O112" s="106">
        <f>SUM(CN$49:CN$70)+SUM(CP$49:CP$70)+SUM(CR$49:CR$70)+SUM(CT$49:CT$70)</f>
        <v>450.95489188054682</v>
      </c>
    </row>
    <row r="113" spans="2:15" x14ac:dyDescent="0.2">
      <c r="C113" s="105" t="s">
        <v>130</v>
      </c>
      <c r="D113" s="106">
        <f>SUM(D$71:D$86)+SUM(F$71:F$86)+SUM(H$71:H$86)+SUM(J$71:J$86)</f>
        <v>841.7938132529282</v>
      </c>
      <c r="E113" s="106">
        <f>SUM(L$71:L$86)+SUM(N$71:N$86)+SUM(P$71:P$86)+SUM(R$71:R$86)</f>
        <v>335</v>
      </c>
      <c r="F113" s="106">
        <f>SUM(T$71:T$86)+SUM(V$71:V$86)+SUM(X$71:X$86)+SUM(Z$71:Z$86)</f>
        <v>1000.3505808120442</v>
      </c>
      <c r="G113" s="106">
        <f>SUM(AB$71:AB$86)+SUM(AD$71:AD$86)+SUM(AF$71:AF$86)+SUM(AH$71:AH$86)</f>
        <v>485.14784413358416</v>
      </c>
      <c r="H113" s="106">
        <f>SUM(AJ$71:AJ$86)+SUM(AL$71:AL$86)+SUM(AN$71:AN$86)+SUM(AP$71:AP$86)</f>
        <v>505.47759968038719</v>
      </c>
      <c r="I113" s="106">
        <f>SUM(AR$71:AR$86)+SUM(AT$71:AT$86)+SUM(AV$71:AV$86)+SUM(AX$71:AX$86)</f>
        <v>266.66299837895633</v>
      </c>
      <c r="J113" s="106">
        <f>SUM(AZ$71:AZ$86)+SUM(BB$71:BB$86)+SUM(BD$71:BD$86)+SUM(BF$71:BF$86)</f>
        <v>538.8000317635574</v>
      </c>
      <c r="K113" s="106">
        <f>SUM(BH$71:BH$86)+SUM(BJ$71:BJ$86)+SUM(BL$71:BL$86)+SUM(BN$71:BN$86)</f>
        <v>401.51631332406726</v>
      </c>
      <c r="L113" s="106">
        <f>SUM(BP$71:BP$86)+SUM(BR$71:BR$86)+SUM(BT$71:BT$86)+SUM(BV$71:BV$86)</f>
        <v>552</v>
      </c>
      <c r="M113" s="106">
        <f>SUM(BX$71:BX$86)+SUM(BZ$71:BZ$86)+SUM(CB$71:CB$86)+SUM(CD$71:CD$86)</f>
        <v>831.89777469624437</v>
      </c>
      <c r="N113" s="106">
        <f>SUM(CF$71:CF$86)+SUM(CH$71:CH$86)+SUM(CJ$71:CJ$86)+SUM(CL$71:CL$86)</f>
        <v>555.70986233033386</v>
      </c>
      <c r="O113" s="106">
        <f>SUM(CN$71:CN$86)+SUM(CP$71:CP$86)+SUM(CR$71:CR$86)+SUM(CT$71:CT$86)</f>
        <v>588.19367123513302</v>
      </c>
    </row>
    <row r="114" spans="2:15" x14ac:dyDescent="0.2">
      <c r="C114" s="105" t="s">
        <v>131</v>
      </c>
      <c r="D114" s="106">
        <f>SUM(D$87:D$94)+SUM(F$87:F$94)+SUM(H$87:H$94)+SUM(J$87:J$94)</f>
        <v>43.683776843072494</v>
      </c>
      <c r="E114" s="106">
        <f>SUM(L$87:L$94)+SUM(N$87:N$94)+SUM(P$87:P$94)+SUM(R$87:R$94)</f>
        <v>32.33730774938072</v>
      </c>
      <c r="F114" s="106">
        <f>SUM(T$87:T$94)+SUM(V$87:V$94)+SUM(X$87:X$94)+SUM(Z$87:Z$94)</f>
        <v>54.74437459241264</v>
      </c>
      <c r="G114" s="106">
        <f>SUM(AB$87:AB$94)+SUM(AD$87:AD$94)+SUM(AF$87:AF$94)+SUM(AH$87:AH$94)</f>
        <v>27.813869766198444</v>
      </c>
      <c r="H114" s="106">
        <f>SUM(AJ$87:AJ$94)+SUM(AL$87:AL$94)+SUM(AN$87:AN$94)+SUM(AP$87:AP$94)</f>
        <v>41.151689163240732</v>
      </c>
      <c r="I114" s="106">
        <f>SUM(AR$87:AR$94)+SUM(AT$87:AT$94)+SUM(AV$87:AV$94)+SUM(AX$87:AX$94)</f>
        <v>7.1198737445493157</v>
      </c>
      <c r="J114" s="106">
        <f>SUM(AZ$87:AZ$94)+SUM(BB$87:BB$94)+SUM(BD$87:BD$94)+SUM(BF$87:BF$94)</f>
        <v>49.549237919435406</v>
      </c>
      <c r="K114" s="106">
        <f>SUM(BH$87:BH$94)+SUM(BJ$87:BJ$94)+SUM(BL$87:BL$94)+SUM(BN$87:BN$94)</f>
        <v>39.175541817110116</v>
      </c>
      <c r="L114" s="106">
        <f>SUM(BP$87:BP$94)+SUM(BR$87:BR$94)+SUM(BT$87:BT$94)+SUM(BV$87:BV$94)</f>
        <v>38.48713144814387</v>
      </c>
      <c r="M114" s="106">
        <f>SUM(BX$87:BX$94)+SUM(BZ$87:BZ$94)+SUM(CB$87:CB$94)+SUM(CD$87:CD$94)</f>
        <v>49.347514439645131</v>
      </c>
      <c r="N114" s="106">
        <f>SUM(CF$87:CF$94)+SUM(CH$87:CH$94)+SUM(CJ$87:CJ$94)+SUM(CL$87:CL$94)</f>
        <v>29.289147630038666</v>
      </c>
      <c r="O114" s="106">
        <f>SUM(CN$87:CN$94)+SUM(CP$87:CP$94)+SUM(CR$87:CR$94)+SUM(CT$87:CT$94)</f>
        <v>63.228215400954937</v>
      </c>
    </row>
    <row r="115" spans="2:15" x14ac:dyDescent="0.2">
      <c r="C115" s="105" t="s">
        <v>132</v>
      </c>
      <c r="D115" s="106">
        <f>SUM(D$95:D$105)+SUM(F$95:F$105)+SUM(H$95:H$105)+SUM(J$95:J$105)</f>
        <v>55.927650005483045</v>
      </c>
      <c r="E115" s="106">
        <f>SUM(L$95:L$105)+SUM(N$95:N$105)+SUM(P$95:P$105)+SUM(R$95:R$105)</f>
        <v>68.585154791229485</v>
      </c>
      <c r="F115" s="106">
        <f>SUM(T$95:T$105)+SUM(V$95:V$105)+SUM(X$95:X$105)+SUM(Z$95:Z$105)</f>
        <v>74.107035118265941</v>
      </c>
      <c r="G115" s="106">
        <f>SUM(AB$95:AB$105)+SUM(AD$95:AD$105)+SUM(AF$95:AF$105)+SUM(AH$95:AH$105)</f>
        <v>61.552327326510962</v>
      </c>
      <c r="H115" s="106">
        <f>SUM(AJ$95:AJ$105)+SUM(AL$95:AL$105)+SUM(AN$95:AN$105)+SUM(AP$95:AP$105)</f>
        <v>66.524800674413612</v>
      </c>
      <c r="I115" s="106">
        <f>SUM(AR$95:AR$105)+SUM(AT$95:AT$105)+SUM(AV$95:AV$105)+SUM(AX$95:AX$105)</f>
        <v>12.459779052961304</v>
      </c>
      <c r="J115" s="106">
        <f>SUM(AZ$95:AZ$105)+SUM(BB$95:BB$105)+SUM(BD$95:BD$105)+SUM(BF$95:BF$105)</f>
        <v>76.177355749431726</v>
      </c>
      <c r="K115" s="106">
        <f>SUM(BH$95:BH$105)+SUM(BJ$95:BJ$105)+SUM(BL$95:BL$105)+SUM(BN$95:BN$105)</f>
        <v>61.06287015527365</v>
      </c>
      <c r="L115" s="106">
        <f>SUM(BP$95:BP$105)+SUM(BR$95:BR$105)+SUM(BT$95:BT$105)+SUM(BV$95:BV$105)</f>
        <v>44.338529738967267</v>
      </c>
      <c r="M115" s="106">
        <f>SUM(BX$95:BX$105)+SUM(BZ$95:BZ$105)+SUM(CB$95:CB$105)+SUM(CD$95:CD$105)</f>
        <v>85.11363689277448</v>
      </c>
      <c r="N115" s="106">
        <f>SUM(CF$95:CF$105)+SUM(CH$95:CH$105)+SUM(CJ$95:CJ$105)+SUM(CL$95:CL$105)</f>
        <v>49.794360875543333</v>
      </c>
      <c r="O115" s="106">
        <f>SUM(CN$95:CN$105)+SUM(CP$95:CP$105)+SUM(CR$95:CR$105)+SUM(CT$95:CT$105)</f>
        <v>50.710516421656678</v>
      </c>
    </row>
    <row r="116" spans="2:15" x14ac:dyDescent="0.2">
      <c r="C116" s="105" t="s">
        <v>278</v>
      </c>
      <c r="D116" s="106">
        <f t="shared" ref="D116:O116" si="0">SUM(D$109:D$115)</f>
        <v>1661.6756809595856</v>
      </c>
      <c r="E116" s="106">
        <f t="shared" si="0"/>
        <v>1389.1385754622572</v>
      </c>
      <c r="F116" s="106">
        <f t="shared" si="0"/>
        <v>2095.0002402415403</v>
      </c>
      <c r="G116" s="106">
        <f t="shared" si="0"/>
        <v>1546.6836816590974</v>
      </c>
      <c r="H116" s="106">
        <f t="shared" si="0"/>
        <v>1339.9870877461162</v>
      </c>
      <c r="I116" s="106">
        <f t="shared" si="0"/>
        <v>670.37896198171325</v>
      </c>
      <c r="J116" s="106">
        <f t="shared" si="0"/>
        <v>1275.1625543240384</v>
      </c>
      <c r="K116" s="106">
        <f t="shared" si="0"/>
        <v>1418.4529855864794</v>
      </c>
      <c r="L116" s="106">
        <f t="shared" si="0"/>
        <v>1504.305696292246</v>
      </c>
      <c r="M116" s="106">
        <f t="shared" si="0"/>
        <v>1803.6819922039062</v>
      </c>
      <c r="N116" s="106">
        <f t="shared" si="0"/>
        <v>1337.3194334925986</v>
      </c>
      <c r="O116" s="106">
        <f t="shared" si="0"/>
        <v>1492.4630268066019</v>
      </c>
    </row>
    <row r="118" spans="2:15" x14ac:dyDescent="0.2">
      <c r="B118" s="109" t="s">
        <v>279</v>
      </c>
    </row>
    <row r="119" spans="2:15" x14ac:dyDescent="0.2">
      <c r="C119" s="105" t="s">
        <v>277</v>
      </c>
      <c r="D119" s="105" t="s">
        <v>92</v>
      </c>
      <c r="E119" s="105" t="s">
        <v>93</v>
      </c>
      <c r="F119" s="105" t="s">
        <v>94</v>
      </c>
      <c r="G119" s="105" t="s">
        <v>95</v>
      </c>
      <c r="H119" s="105" t="s">
        <v>96</v>
      </c>
      <c r="I119" s="105" t="s">
        <v>97</v>
      </c>
      <c r="J119" s="105" t="s">
        <v>98</v>
      </c>
      <c r="K119" s="105" t="s">
        <v>99</v>
      </c>
      <c r="L119" s="105" t="s">
        <v>100</v>
      </c>
      <c r="M119" s="105" t="s">
        <v>101</v>
      </c>
      <c r="N119" s="105" t="s">
        <v>102</v>
      </c>
      <c r="O119" s="105" t="s">
        <v>103</v>
      </c>
    </row>
    <row r="120" spans="2:15" x14ac:dyDescent="0.2">
      <c r="C120" s="105" t="s">
        <v>126</v>
      </c>
      <c r="D120" s="106">
        <f>D109*pricing!D15*2000</f>
        <v>553242.73172855075</v>
      </c>
      <c r="E120" s="106">
        <f>E109*pricing!E15*2000</f>
        <v>621999.71227975213</v>
      </c>
      <c r="F120" s="106">
        <f>F109*pricing!F15*2000</f>
        <v>1071961.9400790783</v>
      </c>
      <c r="G120" s="106">
        <f>G109*pricing!G15*2000</f>
        <v>421388.84026528546</v>
      </c>
      <c r="H120" s="106">
        <f>H109*pricing!H15*2000</f>
        <v>600750.11408260372</v>
      </c>
      <c r="I120" s="106">
        <f>I109*pricing!I15*2000</f>
        <v>333036.90788127552</v>
      </c>
      <c r="J120" s="106">
        <f>J109*pricing!J15*2000</f>
        <v>583488.36079434911</v>
      </c>
      <c r="K120" s="106">
        <f>K109*pricing!K15*2000</f>
        <v>560402.84275938198</v>
      </c>
      <c r="L120" s="106">
        <f>L109*pricing!L15*2000</f>
        <v>547541.36355181981</v>
      </c>
      <c r="M120" s="106">
        <f>M109*pricing!M15*2000</f>
        <v>632034.75130570133</v>
      </c>
      <c r="N120" s="106">
        <f>N109*pricing!N15*2000</f>
        <v>658694.84229977592</v>
      </c>
      <c r="O120" s="106">
        <f>O109*pricing!O15*2000</f>
        <v>503441.92945022637</v>
      </c>
    </row>
    <row r="121" spans="2:15" x14ac:dyDescent="0.2">
      <c r="C121" s="105" t="s">
        <v>127</v>
      </c>
      <c r="D121" s="106">
        <f>D110*pricing!D16*2000</f>
        <v>1950855.3125418189</v>
      </c>
      <c r="E121" s="106">
        <f>E110*pricing!E16*2000</f>
        <v>1749949.533967651</v>
      </c>
      <c r="F121" s="106">
        <f>F110*pricing!F16*2000</f>
        <v>1548219.8145094004</v>
      </c>
      <c r="G121" s="106">
        <f>G110*pricing!G16*2000</f>
        <v>2565990.5062207212</v>
      </c>
      <c r="H121" s="106">
        <f>H110*pricing!H16*2000</f>
        <v>1843273.2578519185</v>
      </c>
      <c r="I121" s="106">
        <f>I110*pricing!I16*2000</f>
        <v>1325967.3536072993</v>
      </c>
      <c r="J121" s="106">
        <f>J110*pricing!J16*2000</f>
        <v>1711139.7737680066</v>
      </c>
      <c r="K121" s="106">
        <f>K110*pricing!K16*2000</f>
        <v>2560337.4839081583</v>
      </c>
      <c r="L121" s="106">
        <f>L110*pricing!L16*2000</f>
        <v>2447395.1062894147</v>
      </c>
      <c r="M121" s="106">
        <f>M110*pricing!M16*2000</f>
        <v>2148578.9336750614</v>
      </c>
      <c r="N121" s="106">
        <f>N110*pricing!N16*2000</f>
        <v>2285794.8699906506</v>
      </c>
      <c r="O121" s="106">
        <f>O110*pricing!O16*2000</f>
        <v>1631599.1939287283</v>
      </c>
    </row>
    <row r="122" spans="2:15" x14ac:dyDescent="0.2">
      <c r="C122" s="105" t="s">
        <v>128</v>
      </c>
      <c r="D122" s="106">
        <f>D111*pricing!D17*2000</f>
        <v>716546.31128708716</v>
      </c>
      <c r="E122" s="106">
        <f>E111*pricing!E17*2000</f>
        <v>810594.08239402063</v>
      </c>
      <c r="F122" s="106">
        <f>F111*pricing!F17*2000</f>
        <v>724232.17484079103</v>
      </c>
      <c r="G122" s="106">
        <f>G111*pricing!G17*2000</f>
        <v>626678.44461171573</v>
      </c>
      <c r="H122" s="106">
        <f>H111*pricing!H17*2000</f>
        <v>514921.19517371542</v>
      </c>
      <c r="I122" s="106">
        <f>I111*pricing!I17*2000</f>
        <v>433159.23522709601</v>
      </c>
      <c r="J122" s="106">
        <f>J111*pricing!J17*2000</f>
        <v>701507.17953899398</v>
      </c>
      <c r="K122" s="106">
        <f>K111*pricing!K17*2000</f>
        <v>362649.71088902804</v>
      </c>
      <c r="L122" s="106">
        <f>L111*pricing!L17*2000</f>
        <v>534195.55610478332</v>
      </c>
      <c r="M122" s="106">
        <f>M111*pricing!M17*2000</f>
        <v>556007.41055903153</v>
      </c>
      <c r="N122" s="106">
        <f>N111*pricing!N17*2000</f>
        <v>612389.11812762078</v>
      </c>
      <c r="O122" s="106">
        <f>O111*pricing!O17*2000</f>
        <v>579964.7315675288</v>
      </c>
    </row>
    <row r="123" spans="2:15" x14ac:dyDescent="0.2">
      <c r="C123" s="105" t="s">
        <v>129</v>
      </c>
      <c r="D123" s="106">
        <f>D112*pricing!D18*2000</f>
        <v>2541519.1713073594</v>
      </c>
      <c r="E123" s="106">
        <f>E112*pricing!E18*2000</f>
        <v>3046775.3539648764</v>
      </c>
      <c r="F123" s="106">
        <f>F112*pricing!F18*2000</f>
        <v>2980774.229469507</v>
      </c>
      <c r="G123" s="106">
        <f>G112*pricing!G18*2000</f>
        <v>1999136.5750767619</v>
      </c>
      <c r="H123" s="106">
        <f>H112*pricing!H18*2000</f>
        <v>1791860.2915865562</v>
      </c>
      <c r="I123" s="106">
        <f>I112*pricing!I18*2000</f>
        <v>980926.98972629977</v>
      </c>
      <c r="J123" s="106">
        <f>J112*pricing!J18*2000</f>
        <v>1888952.1170315619</v>
      </c>
      <c r="K123" s="106">
        <f>K112*pricing!K18*2000</f>
        <v>1740928.4371987884</v>
      </c>
      <c r="L123" s="106">
        <f>L112*pricing!L18*2000</f>
        <v>1996955.4885749468</v>
      </c>
      <c r="M123" s="106">
        <f>M112*pricing!M18*2000</f>
        <v>1938905.5143331811</v>
      </c>
      <c r="N123" s="106">
        <f>N112*pricing!N18*2000</f>
        <v>2063329.6708354142</v>
      </c>
      <c r="O123" s="106">
        <f>O112*pricing!O18*2000</f>
        <v>2365820.9831601866</v>
      </c>
    </row>
    <row r="124" spans="2:15" x14ac:dyDescent="0.2">
      <c r="C124" s="105" t="s">
        <v>130</v>
      </c>
      <c r="D124" s="106">
        <f>D113*pricing!D19*2000</f>
        <v>4417430.3979381835</v>
      </c>
      <c r="E124" s="106">
        <f>E113*pricing!E19*2000</f>
        <v>2680000</v>
      </c>
      <c r="F124" s="106">
        <f>F113*pricing!F19*2000</f>
        <v>5132205.908352443</v>
      </c>
      <c r="G124" s="106">
        <f>G113*pricing!G19*2000</f>
        <v>2829221.9244364044</v>
      </c>
      <c r="H124" s="106">
        <f>H113*pricing!H19*2000</f>
        <v>3509502.5232687527</v>
      </c>
      <c r="I124" s="106">
        <f>I113*pricing!I19*2000</f>
        <v>2133303.9870316507</v>
      </c>
      <c r="J124" s="106">
        <f>J113*pricing!J19*2000</f>
        <v>3870992.1167834927</v>
      </c>
      <c r="K124" s="106">
        <f>K113*pricing!K19*2000</f>
        <v>3212130.5065925382</v>
      </c>
      <c r="L124" s="106">
        <f>L113*pricing!L19*2000</f>
        <v>3760238.079312</v>
      </c>
      <c r="M124" s="106">
        <f>M113*pricing!M19*2000</f>
        <v>4564190.5844414337</v>
      </c>
      <c r="N124" s="106">
        <f>N113*pricing!N19*2000</f>
        <v>3697964.3047184343</v>
      </c>
      <c r="O124" s="106">
        <f>O113*pricing!O19*2000</f>
        <v>3458487.6368421256</v>
      </c>
    </row>
    <row r="125" spans="2:15" x14ac:dyDescent="0.2">
      <c r="C125" s="105" t="s">
        <v>131</v>
      </c>
      <c r="D125" s="106">
        <f>D114*pricing!D20*2000</f>
        <v>349470.21474457992</v>
      </c>
      <c r="E125" s="106">
        <f>E114*pricing!E20*2000</f>
        <v>258698.46199504577</v>
      </c>
      <c r="F125" s="106">
        <f>F114*pricing!F20*2000</f>
        <v>437954.99673930113</v>
      </c>
      <c r="G125" s="106">
        <f>G114*pricing!G20*2000</f>
        <v>222510.95812958755</v>
      </c>
      <c r="H125" s="106">
        <f>H114*pricing!H20*2000</f>
        <v>329213.51330592588</v>
      </c>
      <c r="I125" s="106">
        <f>I114*pricing!I20*2000</f>
        <v>56958.989956394522</v>
      </c>
      <c r="J125" s="106">
        <f>J114*pricing!J20*2000</f>
        <v>396393.90335548326</v>
      </c>
      <c r="K125" s="106">
        <f>K114*pricing!K20*2000</f>
        <v>313404.33453688095</v>
      </c>
      <c r="L125" s="106">
        <f>L114*pricing!L20*2000</f>
        <v>307897.05158515094</v>
      </c>
      <c r="M125" s="106">
        <f>M114*pricing!M20*2000</f>
        <v>394780.11551716103</v>
      </c>
      <c r="N125" s="106">
        <f>N114*pricing!N20*2000</f>
        <v>234313.18104030934</v>
      </c>
      <c r="O125" s="106">
        <f>O114*pricing!O20*2000</f>
        <v>435459.02483692922</v>
      </c>
    </row>
    <row r="126" spans="2:15" x14ac:dyDescent="0.2">
      <c r="C126" s="105" t="s">
        <v>132</v>
      </c>
      <c r="D126" s="106">
        <f>D115*pricing!D21*2000</f>
        <v>447421.20004386437</v>
      </c>
      <c r="E126" s="106">
        <f>E115*pricing!E21*2000</f>
        <v>548681.23832983593</v>
      </c>
      <c r="F126" s="106">
        <f>F115*pricing!F21*2000</f>
        <v>592856.28094612749</v>
      </c>
      <c r="G126" s="106">
        <f>G115*pricing!G21*2000</f>
        <v>492418.61861208768</v>
      </c>
      <c r="H126" s="106">
        <f>H115*pricing!H21*2000</f>
        <v>532198.40539530886</v>
      </c>
      <c r="I126" s="106">
        <f>I115*pricing!I21*2000</f>
        <v>99678.232423690439</v>
      </c>
      <c r="J126" s="106">
        <f>J115*pricing!J21*2000</f>
        <v>609418.84599545377</v>
      </c>
      <c r="K126" s="106">
        <f>K115*pricing!K21*2000</f>
        <v>488502.96124218922</v>
      </c>
      <c r="L126" s="106">
        <f>L115*pricing!L21*2000</f>
        <v>354708.23791173816</v>
      </c>
      <c r="M126" s="106">
        <f>M115*pricing!M21*2000</f>
        <v>680909.09514219582</v>
      </c>
      <c r="N126" s="106">
        <f>N115*pricing!N21*2000</f>
        <v>398354.88700434664</v>
      </c>
      <c r="O126" s="106">
        <f>O115*pricing!O21*2000</f>
        <v>405684.13137325342</v>
      </c>
    </row>
    <row r="127" spans="2:15" x14ac:dyDescent="0.2">
      <c r="C127" s="105" t="s">
        <v>278</v>
      </c>
      <c r="D127" s="106">
        <f t="shared" ref="D127:O127" si="1">SUM(D$120:D$126)</f>
        <v>10976485.339591444</v>
      </c>
      <c r="E127" s="106">
        <f t="shared" si="1"/>
        <v>9716698.3829311822</v>
      </c>
      <c r="F127" s="106">
        <f t="shared" si="1"/>
        <v>12488205.34493665</v>
      </c>
      <c r="G127" s="106">
        <f t="shared" si="1"/>
        <v>9157345.8673525639</v>
      </c>
      <c r="H127" s="106">
        <f t="shared" si="1"/>
        <v>9121719.3006647807</v>
      </c>
      <c r="I127" s="106">
        <f t="shared" si="1"/>
        <v>5363031.6958537064</v>
      </c>
      <c r="J127" s="106">
        <f t="shared" si="1"/>
        <v>9761892.297267342</v>
      </c>
      <c r="K127" s="106">
        <f t="shared" si="1"/>
        <v>9238356.2771269642</v>
      </c>
      <c r="L127" s="106">
        <f t="shared" si="1"/>
        <v>9948930.8833298534</v>
      </c>
      <c r="M127" s="106">
        <f t="shared" si="1"/>
        <v>10915406.404973766</v>
      </c>
      <c r="N127" s="106">
        <f t="shared" si="1"/>
        <v>9950840.8740165532</v>
      </c>
      <c r="O127" s="106">
        <f t="shared" si="1"/>
        <v>9380457.6311589777</v>
      </c>
    </row>
    <row r="129" spans="2:15" x14ac:dyDescent="0.2">
      <c r="B129" s="109" t="s">
        <v>280</v>
      </c>
    </row>
    <row r="130" spans="2:15" x14ac:dyDescent="0.2">
      <c r="C130" s="111" t="s">
        <v>277</v>
      </c>
      <c r="D130" s="111" t="s">
        <v>92</v>
      </c>
      <c r="E130" s="111" t="s">
        <v>93</v>
      </c>
      <c r="F130" s="111" t="s">
        <v>94</v>
      </c>
      <c r="G130" s="111" t="s">
        <v>95</v>
      </c>
      <c r="H130" s="111" t="s">
        <v>96</v>
      </c>
      <c r="I130" s="111" t="s">
        <v>97</v>
      </c>
      <c r="J130" s="111" t="s">
        <v>98</v>
      </c>
      <c r="K130" s="111" t="s">
        <v>99</v>
      </c>
      <c r="L130" s="111" t="s">
        <v>100</v>
      </c>
      <c r="M130" s="111" t="s">
        <v>101</v>
      </c>
      <c r="N130" s="111" t="s">
        <v>102</v>
      </c>
      <c r="O130" s="111" t="s">
        <v>103</v>
      </c>
    </row>
    <row r="131" spans="2:15" x14ac:dyDescent="0.2">
      <c r="C131" s="111" t="s">
        <v>126</v>
      </c>
      <c r="D131" s="112">
        <f>SUM(E$6:E$19)+SUM(G$6:G$19)+SUM(I$6:I$19)+SUM(K$6:K$19)</f>
        <v>39496.489743911603</v>
      </c>
      <c r="E131" s="112">
        <f>SUM(M$6:M$19)+SUM(O$6:O$19)+SUM(Q$6:Q$19)+SUM(S$6:S$19)</f>
        <v>44373.238725688752</v>
      </c>
      <c r="F131" s="112">
        <f>SUM(U$6:U$19)+SUM(W$6:W$19)+SUM(Y$6:Y$19)+SUM(AA$6:AA$19)</f>
        <v>118728.10695459307</v>
      </c>
      <c r="G131" s="112">
        <f>SUM(AC$6:AC$19)+SUM(AE$6:AE$19)+SUM(AG$6:AG$19)+SUM(AI$6:AI$19)</f>
        <v>30106.090220475991</v>
      </c>
      <c r="H131" s="112">
        <f>SUM(AK$6:AK$19)+SUM(AM$6:AM$19)+SUM(AO$6:AO$19)+SUM(AQ$6:AQ$19)</f>
        <v>62664.021809593949</v>
      </c>
      <c r="I131" s="112">
        <f>SUM(AS$6:AS$19)+SUM(AU$6:AU$19)+SUM(AW$6:AW$19)+SUM(AY$6:AY$19)</f>
        <v>23805.318173796877</v>
      </c>
      <c r="J131" s="112">
        <f>SUM(BA$6:BA$19)+SUM(BC$6:BC$19)+SUM(BE$6:BE$19)+SUM(BG$6:BG$19)</f>
        <v>41807.480896170295</v>
      </c>
      <c r="K131" s="112">
        <f>SUM(BI$6:BI$19)+SUM(BK$6:BK$19)+SUM(BM$6:BM$19)+SUM(BO$6:BO$19)</f>
        <v>60739.276950207422</v>
      </c>
      <c r="L131" s="112">
        <f>SUM(BQ$6:BQ$19)+SUM(BS$6:BS$19)+SUM(BU$6:BU$19)+SUM(BW$6:BW$19)</f>
        <v>39165.066998924725</v>
      </c>
      <c r="M131" s="112">
        <f>SUM(BY$6:BY$19)+SUM(CA$6:CA$19)+SUM(CC$6:CC$19)+SUM(CE$6:CE$19)</f>
        <v>60924.655239663174</v>
      </c>
      <c r="N131" s="112">
        <f>SUM(CG$6:CG$19)+SUM(CI$6:CI$19)+SUM(CK$6:CK$19)+SUM(CM$6:CM$19)</f>
        <v>47111.003942331939</v>
      </c>
      <c r="O131" s="112">
        <f>SUM(CO$6:CO$19)+SUM(CQ$6:CQ$19)+SUM(CS$6:CS$19)+SUM(CU$6:CU$19)</f>
        <v>35969.779908001095</v>
      </c>
    </row>
    <row r="132" spans="2:15" x14ac:dyDescent="0.2">
      <c r="C132" s="111" t="s">
        <v>127</v>
      </c>
      <c r="D132" s="112">
        <f>SUM(E$20:E$36)+SUM(G$20:G$36)+SUM(I$20:I$36)+SUM(K$20:K$36)</f>
        <v>93402.181388810859</v>
      </c>
      <c r="E132" s="112">
        <f>SUM(M$20:M$36)+SUM(O$20:O$36)+SUM(Q$20:Q$36)+SUM(S$20:S$36)</f>
        <v>79435.065909135112</v>
      </c>
      <c r="F132" s="112">
        <f>SUM(U$20:U$36)+SUM(W$20:W$36)+SUM(Y$20:Y$36)+SUM(AA$20:AA$36)</f>
        <v>76231.079181048292</v>
      </c>
      <c r="G132" s="112">
        <f>SUM(AC$20:AC$36)+SUM(AE$20:AE$36)+SUM(AG$20:AG$36)+SUM(AI$20:AI$36)</f>
        <v>237522.26636974624</v>
      </c>
      <c r="H132" s="112">
        <f>SUM(AK$20:AK$36)+SUM(AM$20:AM$36)+SUM(AO$20:AO$36)+SUM(AQ$20:AQ$36)</f>
        <v>127503.82584295742</v>
      </c>
      <c r="I132" s="112">
        <f>SUM(AS$20:AS$36)+SUM(AU$20:AU$36)+SUM(AW$20:AW$36)+SUM(AY$20:AY$36)</f>
        <v>64668.83856329471</v>
      </c>
      <c r="J132" s="112">
        <f>SUM(BA$20:BA$36)+SUM(BC$20:BC$36)+SUM(BE$20:BE$36)+SUM(BG$20:BG$36)</f>
        <v>84137.266612361622</v>
      </c>
      <c r="K132" s="112">
        <f>SUM(BI$20:BI$36)+SUM(BK$20:BK$36)+SUM(BM$20:BM$36)+SUM(BO$20:BO$36)</f>
        <v>229992.29822825926</v>
      </c>
      <c r="L132" s="112">
        <f>SUM(BQ$20:BQ$36)+SUM(BS$20:BS$36)+SUM(BU$20:BU$36)+SUM(BW$20:BW$36)</f>
        <v>190757.14045168634</v>
      </c>
      <c r="M132" s="112">
        <f>SUM(BY$20:BY$36)+SUM(CA$20:CA$36)+SUM(CC$20:CC$36)+SUM(CE$20:CE$36)</f>
        <v>171228.42272525042</v>
      </c>
      <c r="N132" s="112">
        <f>SUM(CG$20:CG$36)+SUM(CI$20:CI$36)+SUM(CK$20:CK$36)+SUM(CM$20:CM$36)</f>
        <v>112560.64165049713</v>
      </c>
      <c r="O132" s="112">
        <f>SUM(CO$20:CO$36)+SUM(CQ$20:CQ$36)+SUM(CS$20:CS$36)+SUM(CU$20:CU$36)</f>
        <v>76430.015411268061</v>
      </c>
    </row>
    <row r="133" spans="2:15" x14ac:dyDescent="0.2">
      <c r="C133" s="111" t="s">
        <v>128</v>
      </c>
      <c r="D133" s="112">
        <f>SUM(E$37:E$48)+SUM(G$37:G$48)+SUM(I$37:I$48)+SUM(K$37:K$48)</f>
        <v>76538.762685750058</v>
      </c>
      <c r="E133" s="112">
        <f>SUM(M$37:M$48)+SUM(O$37:O$48)+SUM(Q$37:Q$48)+SUM(S$37:S$48)</f>
        <v>86545.708588962952</v>
      </c>
      <c r="F133" s="112">
        <f>SUM(U$37:U$48)+SUM(W$37:W$48)+SUM(Y$37:Y$48)+SUM(AA$37:AA$48)</f>
        <v>77236.376293522408</v>
      </c>
      <c r="G133" s="112">
        <f>SUM(AC$37:AC$48)+SUM(AE$37:AE$48)+SUM(AG$37:AG$48)+SUM(AI$37:AI$48)</f>
        <v>66131.26201262472</v>
      </c>
      <c r="H133" s="112">
        <f>SUM(AK$37:AK$48)+SUM(AM$37:AM$48)+SUM(AO$37:AO$48)+SUM(AQ$37:AQ$48)</f>
        <v>70405.087752290099</v>
      </c>
      <c r="I133" s="112">
        <f>SUM(AS$37:AS$48)+SUM(AU$37:AU$48)+SUM(AW$37:AW$48)+SUM(AY$37:AY$48)</f>
        <v>46371.074659893966</v>
      </c>
      <c r="J133" s="112">
        <f>SUM(BA$37:BA$48)+SUM(BC$37:BC$48)+SUM(BE$37:BE$48)+SUM(BG$37:BG$48)</f>
        <v>74175.676438646318</v>
      </c>
      <c r="K133" s="112">
        <f>SUM(BI$37:BI$48)+SUM(BK$37:BK$48)+SUM(BM$37:BM$48)+SUM(BO$37:BO$48)</f>
        <v>38841.039071948442</v>
      </c>
      <c r="L133" s="112">
        <f>SUM(BQ$37:BQ$48)+SUM(BS$37:BS$48)+SUM(BU$37:BU$48)+SUM(BW$37:BW$48)</f>
        <v>56768.655900023958</v>
      </c>
      <c r="M133" s="112">
        <f>SUM(BY$37:BY$48)+SUM(CA$37:CA$48)+SUM(CC$37:CC$48)+SUM(CE$37:CE$48)</f>
        <v>59034.765718779709</v>
      </c>
      <c r="N133" s="112">
        <f>SUM(CG$37:CG$48)+SUM(CI$37:CI$48)+SUM(CK$37:CK$48)+SUM(CM$37:CM$48)</f>
        <v>64994.424747686004</v>
      </c>
      <c r="O133" s="112">
        <f>SUM(CO$37:CO$48)+SUM(CQ$37:CQ$48)+SUM(CS$37:CS$48)+SUM(CU$37:CU$48)</f>
        <v>61734.238224677443</v>
      </c>
    </row>
    <row r="134" spans="2:15" x14ac:dyDescent="0.2">
      <c r="C134" s="111" t="s">
        <v>129</v>
      </c>
      <c r="D134" s="112">
        <f>SUM(E$49:E$70)+SUM(G$49:G$70)+SUM(I$49:I$70)+SUM(K$49:K$70)</f>
        <v>224063.78195344476</v>
      </c>
      <c r="E134" s="112">
        <f>SUM(M$49:M$70)+SUM(O$49:O$70)+SUM(Q$49:Q$70)+SUM(S$49:S$70)</f>
        <v>388425.78953759844</v>
      </c>
      <c r="F134" s="112">
        <f>SUM(U$49:U$70)+SUM(W$49:W$70)+SUM(Y$49:Y$70)+SUM(AA$49:AA$70)</f>
        <v>333591.07025961479</v>
      </c>
      <c r="G134" s="112">
        <f>SUM(AC$49:AC$70)+SUM(AE$49:AE$70)+SUM(AG$49:AG$70)+SUM(AI$49:AI$70)</f>
        <v>203707.10800926795</v>
      </c>
      <c r="H134" s="112">
        <f>SUM(AK$49:AK$70)+SUM(AM$49:AM$70)+SUM(AO$49:AO$70)+SUM(AQ$49:AQ$70)</f>
        <v>159895.80764469362</v>
      </c>
      <c r="I134" s="112">
        <f>SUM(AS$49:AS$70)+SUM(AU$49:AU$70)+SUM(AW$49:AW$70)+SUM(AY$49:AY$70)</f>
        <v>84953.027422587184</v>
      </c>
      <c r="J134" s="112">
        <f>SUM(BA$49:BA$70)+SUM(BC$49:BC$70)+SUM(BE$49:BE$70)+SUM(BG$49:BG$70)</f>
        <v>167355.11506136943</v>
      </c>
      <c r="K134" s="112">
        <f>SUM(BI$49:BI$70)+SUM(BK$49:BK$70)+SUM(BM$49:BM$70)+SUM(BO$49:BO$70)</f>
        <v>154538.4508782934</v>
      </c>
      <c r="L134" s="112">
        <f>SUM(BQ$49:BQ$70)+SUM(BS$49:BS$70)+SUM(BU$49:BU$70)+SUM(BW$49:BW$70)</f>
        <v>177570.07893358587</v>
      </c>
      <c r="M134" s="112">
        <f>SUM(BY$49:BY$70)+SUM(CA$49:CA$70)+SUM(CC$49:CC$70)+SUM(CE$49:CE$70)</f>
        <v>173817.06569819702</v>
      </c>
      <c r="N134" s="112">
        <f>SUM(CG$49:CG$70)+SUM(CI$49:CI$70)+SUM(CK$49:CK$70)+SUM(CM$49:CM$70)</f>
        <v>181184.43232629221</v>
      </c>
      <c r="O134" s="112">
        <f>SUM(CO$49:CO$70)+SUM(CQ$49:CQ$70)+SUM(CS$49:CS$70)+SUM(CU$49:CU$70)</f>
        <v>318651.01977060852</v>
      </c>
    </row>
    <row r="135" spans="2:15" x14ac:dyDescent="0.2">
      <c r="C135" s="111" t="s">
        <v>130</v>
      </c>
      <c r="D135" s="112">
        <f>SUM(E$71:E$86)+SUM(G$71:G$86)+SUM(I$71:I$86)+SUM(K$71:K$86)</f>
        <v>467364.53673116985</v>
      </c>
      <c r="E135" s="112">
        <f>SUM(M$71:M$86)+SUM(O$71:O$86)+SUM(Q$71:Q$86)+SUM(S$71:S$86)</f>
        <v>187604.40000000002</v>
      </c>
      <c r="F135" s="112">
        <f>SUM(U$71:U$86)+SUM(W$71:W$86)+SUM(Y$71:Y$86)+SUM(AA$71:AA$86)</f>
        <v>552835.59791076521</v>
      </c>
      <c r="G135" s="112">
        <f>SUM(AC$71:AC$86)+SUM(AE$71:AE$86)+SUM(AG$71:AG$86)+SUM(AI$71:AI$86)</f>
        <v>271679.98931296705</v>
      </c>
      <c r="H135" s="112">
        <f>SUM(AK$71:AK$86)+SUM(AM$71:AM$86)+SUM(AO$71:AO$86)+SUM(AQ$71:AQ$86)</f>
        <v>281013.75574092177</v>
      </c>
      <c r="I135" s="112">
        <f>SUM(AS$71:AS$86)+SUM(AU$71:AU$86)+SUM(AW$71:AW$86)+SUM(AY$71:AY$86)</f>
        <v>149300.65017452993</v>
      </c>
      <c r="J135" s="112">
        <f>SUM(BA$71:BA$86)+SUM(BC$71:BC$86)+SUM(BE$71:BE$86)+SUM(BG$71:BG$86)</f>
        <v>299659.92524732888</v>
      </c>
      <c r="K135" s="112">
        <f>SUM(BI$71:BI$86)+SUM(BK$71:BK$86)+SUM(BM$71:BM$86)+SUM(BO$71:BO$86)</f>
        <v>223132.89096869962</v>
      </c>
      <c r="L135" s="112">
        <f>SUM(BQ$71:BQ$86)+SUM(BS$71:BS$86)+SUM(BU$71:BU$86)+SUM(BW$71:BW$86)</f>
        <v>307459.20000000001</v>
      </c>
      <c r="M135" s="112">
        <f>SUM(BY$71:BY$86)+SUM(CA$71:CA$86)+SUM(CC$71:CC$86)+SUM(CE$71:CE$86)</f>
        <v>459928.02666501765</v>
      </c>
      <c r="N135" s="112">
        <f>SUM(CG$71:CG$86)+SUM(CI$71:CI$86)+SUM(CK$71:CK$86)+SUM(CM$71:CM$86)</f>
        <v>312012.32755275845</v>
      </c>
      <c r="O135" s="112">
        <f>SUM(CO$71:CO$86)+SUM(CQ$71:CQ$86)+SUM(CS$71:CS$86)+SUM(CU$71:CU$86)</f>
        <v>330487.91899720416</v>
      </c>
    </row>
    <row r="136" spans="2:15" x14ac:dyDescent="0.2">
      <c r="C136" s="111" t="s">
        <v>131</v>
      </c>
      <c r="D136" s="112">
        <f>SUM(E$87:E$94)+SUM(G$87:G$94)+SUM(I$87:I$94)+SUM(K$87:K$94)</f>
        <v>23655.217947221583</v>
      </c>
      <c r="E136" s="112">
        <f>SUM(M$87:M$94)+SUM(O$87:O$94)+SUM(Q$87:Q$94)+SUM(S$87:S$94)</f>
        <v>17805.186074385347</v>
      </c>
      <c r="F136" s="112">
        <f>SUM(U$87:U$94)+SUM(W$87:W$94)+SUM(Y$87:Y$94)+SUM(AA$87:AA$94)</f>
        <v>29828.268881960765</v>
      </c>
      <c r="G136" s="112">
        <f>SUM(AC$87:AC$94)+SUM(AE$87:AE$94)+SUM(AG$87:AG$94)+SUM(AI$87:AI$94)</f>
        <v>15054.37695856237</v>
      </c>
      <c r="H136" s="112">
        <f>SUM(AK$87:AK$94)+SUM(AM$87:AM$94)+SUM(AO$87:AO$94)+SUM(AQ$87:AQ$94)</f>
        <v>22193.984146378407</v>
      </c>
      <c r="I136" s="112">
        <f>SUM(AS$87:AS$94)+SUM(AU$87:AU$94)+SUM(AW$87:AW$94)+SUM(AY$87:AY$94)</f>
        <v>3899.9382277066748</v>
      </c>
      <c r="J136" s="112">
        <f>SUM(BA$87:BA$94)+SUM(BC$87:BC$94)+SUM(BE$87:BE$94)+SUM(BG$87:BG$94)</f>
        <v>27142.964868470975</v>
      </c>
      <c r="K136" s="112">
        <f>SUM(BI$87:BI$94)+SUM(BK$87:BK$94)+SUM(BM$87:BM$94)+SUM(BO$87:BO$94)</f>
        <v>21335.734403648286</v>
      </c>
      <c r="L136" s="112">
        <f>SUM(BQ$87:BQ$94)+SUM(BS$87:BS$94)+SUM(BU$87:BU$94)+SUM(BW$87:BW$94)</f>
        <v>20865.620641714533</v>
      </c>
      <c r="M136" s="112">
        <f>SUM(BY$87:BY$94)+SUM(CA$87:CA$94)+SUM(CC$87:CC$94)+SUM(CE$87:CE$94)</f>
        <v>26657.711023913296</v>
      </c>
      <c r="N136" s="112">
        <f>SUM(CG$87:CG$94)+SUM(CI$87:CI$94)+SUM(CK$87:CK$94)+SUM(CM$87:CM$94)</f>
        <v>15879.537246354314</v>
      </c>
      <c r="O136" s="112">
        <f>SUM(CO$87:CO$94)+SUM(CQ$87:CQ$94)+SUM(CS$87:CS$94)+SUM(CU$87:CU$94)</f>
        <v>34446.933340246345</v>
      </c>
    </row>
    <row r="137" spans="2:15" x14ac:dyDescent="0.2">
      <c r="C137" s="111" t="s">
        <v>132</v>
      </c>
      <c r="D137" s="112">
        <f>SUM(E$95:E$105)+SUM(G$95:G$105)+SUM(I$95:I$105)+SUM(K$95:K$105)</f>
        <v>52194.092182352178</v>
      </c>
      <c r="E137" s="112">
        <f>SUM(M$95:M$105)+SUM(O$95:O$105)+SUM(Q$95:Q$105)+SUM(S$95:S$105)</f>
        <v>62817.498054154232</v>
      </c>
      <c r="F137" s="112">
        <f>SUM(U$95:U$105)+SUM(W$95:W$105)+SUM(Y$95:Y$105)+SUM(AA$95:AA$105)</f>
        <v>68857.019943310355</v>
      </c>
      <c r="G137" s="112">
        <f>SUM(AC$95:AC$105)+SUM(AE$95:AE$105)+SUM(AG$95:AG$105)+SUM(AI$95:AI$105)</f>
        <v>56991.742117784845</v>
      </c>
      <c r="H137" s="112">
        <f>SUM(AK$95:AK$105)+SUM(AM$95:AM$105)+SUM(AO$95:AO$105)+SUM(AQ$95:AQ$105)</f>
        <v>62805.563560929186</v>
      </c>
      <c r="I137" s="112">
        <f>SUM(AS$95:AS$105)+SUM(AU$95:AU$105)+SUM(AW$95:AW$105)+SUM(AY$95:AY$105)</f>
        <v>11635.407209861638</v>
      </c>
      <c r="J137" s="112">
        <f>SUM(BA$95:BA$105)+SUM(BC$95:BC$105)+SUM(BE$95:BE$105)+SUM(BG$95:BG$105)</f>
        <v>70446.3820213812</v>
      </c>
      <c r="K137" s="112">
        <f>SUM(BI$95:BI$105)+SUM(BK$95:BK$105)+SUM(BM$95:BM$105)+SUM(BO$95:BO$105)</f>
        <v>57460.127284707123</v>
      </c>
      <c r="L137" s="112">
        <f>SUM(BQ$95:BQ$105)+SUM(BS$95:BS$105)+SUM(BU$95:BU$105)+SUM(BW$95:BW$105)</f>
        <v>41370.254553078361</v>
      </c>
      <c r="M137" s="112">
        <f>SUM(BY$95:BY$105)+SUM(CA$95:CA$105)+SUM(CC$95:CC$105)+SUM(CE$95:CE$105)</f>
        <v>78559.87510843185</v>
      </c>
      <c r="N137" s="112">
        <f>SUM(CG$95:CG$105)+SUM(CI$95:CI$105)+SUM(CK$95:CK$105)+SUM(CM$95:CM$105)</f>
        <v>46307.969238424339</v>
      </c>
      <c r="O137" s="112">
        <f>SUM(CO$95:CO$105)+SUM(CQ$95:CQ$105)+SUM(CS$95:CS$105)+SUM(CU$95:CU$105)</f>
        <v>47214.29355895098</v>
      </c>
    </row>
    <row r="138" spans="2:15" x14ac:dyDescent="0.2">
      <c r="C138" s="111" t="s">
        <v>278</v>
      </c>
      <c r="D138" s="106">
        <f t="shared" ref="D138:O138" si="2">SUM(D$131:D$137)</f>
        <v>976715.06263266085</v>
      </c>
      <c r="E138" s="106">
        <f t="shared" si="2"/>
        <v>867006.88688992476</v>
      </c>
      <c r="F138" s="106">
        <f t="shared" si="2"/>
        <v>1257307.519424815</v>
      </c>
      <c r="G138" s="106">
        <f t="shared" si="2"/>
        <v>881192.83500142908</v>
      </c>
      <c r="H138" s="106">
        <f t="shared" si="2"/>
        <v>786482.04649776442</v>
      </c>
      <c r="I138" s="106">
        <f t="shared" si="2"/>
        <v>384634.25443167094</v>
      </c>
      <c r="J138" s="106">
        <f t="shared" si="2"/>
        <v>764724.8111457288</v>
      </c>
      <c r="K138" s="106">
        <f t="shared" si="2"/>
        <v>786039.81778576353</v>
      </c>
      <c r="L138" s="106">
        <f t="shared" si="2"/>
        <v>833956.01747901365</v>
      </c>
      <c r="M138" s="106">
        <f t="shared" si="2"/>
        <v>1030150.5221792532</v>
      </c>
      <c r="N138" s="106">
        <f t="shared" si="2"/>
        <v>780050.33670434426</v>
      </c>
      <c r="O138" s="106">
        <f t="shared" si="2"/>
        <v>904934.19921095658</v>
      </c>
    </row>
  </sheetData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defaultRowHeight="12.75" x14ac:dyDescent="0.2"/>
  <cols>
    <col min="1" max="16384" width="9.140625" style="106"/>
  </cols>
  <sheetData>
    <row r="2" spans="1:99" x14ac:dyDescent="0.2">
      <c r="B2" s="108" t="s">
        <v>272</v>
      </c>
    </row>
    <row r="3" spans="1:99" x14ac:dyDescent="0.2">
      <c r="B3" s="109" t="s">
        <v>281</v>
      </c>
    </row>
    <row r="4" spans="1:99" x14ac:dyDescent="0.2">
      <c r="A4" s="107"/>
      <c r="B4" s="107"/>
      <c r="C4" s="105" t="s">
        <v>274</v>
      </c>
      <c r="D4" s="105" t="s">
        <v>92</v>
      </c>
      <c r="E4" s="107"/>
      <c r="F4" s="107"/>
      <c r="G4" s="107"/>
      <c r="H4" s="107"/>
      <c r="I4" s="107"/>
      <c r="J4" s="107"/>
      <c r="K4" s="107"/>
      <c r="L4" s="105" t="s">
        <v>93</v>
      </c>
      <c r="M4" s="107"/>
      <c r="N4" s="107"/>
      <c r="O4" s="107"/>
      <c r="P4" s="107"/>
      <c r="Q4" s="107"/>
      <c r="R4" s="107"/>
      <c r="S4" s="107"/>
      <c r="T4" s="105" t="s">
        <v>94</v>
      </c>
      <c r="U4" s="107"/>
      <c r="V4" s="107"/>
      <c r="W4" s="107"/>
      <c r="X4" s="107"/>
      <c r="Y4" s="107"/>
      <c r="Z4" s="107"/>
      <c r="AA4" s="107"/>
      <c r="AB4" s="105" t="s">
        <v>95</v>
      </c>
      <c r="AC4" s="107"/>
      <c r="AD4" s="107"/>
      <c r="AE4" s="107"/>
      <c r="AF4" s="107"/>
      <c r="AG4" s="107"/>
      <c r="AH4" s="107"/>
      <c r="AI4" s="107"/>
      <c r="AJ4" s="105" t="s">
        <v>96</v>
      </c>
      <c r="AK4" s="107"/>
      <c r="AL4" s="107"/>
      <c r="AM4" s="107"/>
      <c r="AN4" s="107"/>
      <c r="AO4" s="107"/>
      <c r="AP4" s="107"/>
      <c r="AQ4" s="107"/>
      <c r="AR4" s="105" t="s">
        <v>97</v>
      </c>
      <c r="AS4" s="107"/>
      <c r="AT4" s="107"/>
      <c r="AU4" s="107"/>
      <c r="AV4" s="107"/>
      <c r="AW4" s="107"/>
      <c r="AX4" s="107"/>
      <c r="AY4" s="107"/>
      <c r="AZ4" s="105" t="s">
        <v>98</v>
      </c>
      <c r="BA4" s="107"/>
      <c r="BB4" s="107"/>
      <c r="BC4" s="107"/>
      <c r="BD4" s="107"/>
      <c r="BE4" s="107"/>
      <c r="BF4" s="107"/>
      <c r="BG4" s="107"/>
      <c r="BH4" s="105" t="s">
        <v>99</v>
      </c>
      <c r="BI4" s="107"/>
      <c r="BJ4" s="107"/>
      <c r="BK4" s="107"/>
      <c r="BL4" s="107"/>
      <c r="BM4" s="107"/>
      <c r="BN4" s="107"/>
      <c r="BO4" s="107"/>
      <c r="BP4" s="105" t="s">
        <v>100</v>
      </c>
      <c r="BQ4" s="107"/>
      <c r="BR4" s="107"/>
      <c r="BS4" s="107"/>
      <c r="BT4" s="107"/>
      <c r="BU4" s="107"/>
      <c r="BV4" s="107"/>
      <c r="BW4" s="107"/>
      <c r="BX4" s="105" t="s">
        <v>101</v>
      </c>
      <c r="BY4" s="107"/>
      <c r="BZ4" s="107"/>
      <c r="CA4" s="107"/>
      <c r="CB4" s="107"/>
      <c r="CC4" s="107"/>
      <c r="CD4" s="107"/>
      <c r="CE4" s="107"/>
      <c r="CF4" s="105" t="s">
        <v>102</v>
      </c>
      <c r="CG4" s="107"/>
      <c r="CH4" s="107"/>
      <c r="CI4" s="107"/>
      <c r="CJ4" s="107"/>
      <c r="CK4" s="107"/>
      <c r="CL4" s="107"/>
      <c r="CM4" s="107"/>
      <c r="CN4" s="105" t="s">
        <v>103</v>
      </c>
      <c r="CO4" s="107"/>
      <c r="CP4" s="107"/>
      <c r="CQ4" s="107"/>
      <c r="CR4" s="107"/>
      <c r="CS4" s="107"/>
      <c r="CT4" s="107"/>
      <c r="CU4" s="107"/>
    </row>
    <row r="5" spans="1:99" x14ac:dyDescent="0.2">
      <c r="B5" s="105" t="s">
        <v>167</v>
      </c>
      <c r="C5" s="105" t="s">
        <v>275</v>
      </c>
      <c r="D5" s="105">
        <v>1</v>
      </c>
      <c r="E5" s="105"/>
      <c r="F5" s="105">
        <v>2</v>
      </c>
      <c r="G5" s="105"/>
      <c r="H5" s="105">
        <v>3</v>
      </c>
      <c r="I5" s="105"/>
      <c r="J5" s="105">
        <v>4</v>
      </c>
      <c r="K5" s="105"/>
      <c r="L5" s="105">
        <v>1</v>
      </c>
      <c r="M5" s="105"/>
      <c r="N5" s="105">
        <v>2</v>
      </c>
      <c r="O5" s="105"/>
      <c r="P5" s="105">
        <v>3</v>
      </c>
      <c r="Q5" s="105"/>
      <c r="R5" s="105">
        <v>4</v>
      </c>
      <c r="S5" s="105"/>
      <c r="T5" s="105">
        <v>1</v>
      </c>
      <c r="U5" s="105"/>
      <c r="V5" s="105">
        <v>2</v>
      </c>
      <c r="W5" s="105"/>
      <c r="X5" s="105">
        <v>3</v>
      </c>
      <c r="Y5" s="105"/>
      <c r="Z5" s="105">
        <v>4</v>
      </c>
      <c r="AA5" s="105"/>
      <c r="AB5" s="105">
        <v>1</v>
      </c>
      <c r="AC5" s="105"/>
      <c r="AD5" s="105">
        <v>2</v>
      </c>
      <c r="AE5" s="105"/>
      <c r="AF5" s="105">
        <v>3</v>
      </c>
      <c r="AG5" s="105"/>
      <c r="AH5" s="105">
        <v>4</v>
      </c>
      <c r="AI5" s="105"/>
      <c r="AJ5" s="105">
        <v>1</v>
      </c>
      <c r="AK5" s="105"/>
      <c r="AL5" s="105">
        <v>2</v>
      </c>
      <c r="AM5" s="105"/>
      <c r="AN5" s="105">
        <v>3</v>
      </c>
      <c r="AO5" s="105"/>
      <c r="AP5" s="105">
        <v>4</v>
      </c>
      <c r="AQ5" s="105"/>
      <c r="AR5" s="105">
        <v>1</v>
      </c>
      <c r="AS5" s="105"/>
      <c r="AT5" s="105">
        <v>2</v>
      </c>
      <c r="AU5" s="105"/>
      <c r="AV5" s="105">
        <v>3</v>
      </c>
      <c r="AW5" s="105"/>
      <c r="AX5" s="105">
        <v>4</v>
      </c>
      <c r="AY5" s="105"/>
      <c r="AZ5" s="105">
        <v>1</v>
      </c>
      <c r="BA5" s="105"/>
      <c r="BB5" s="105">
        <v>2</v>
      </c>
      <c r="BC5" s="105"/>
      <c r="BD5" s="105">
        <v>3</v>
      </c>
      <c r="BE5" s="105"/>
      <c r="BF5" s="105">
        <v>4</v>
      </c>
      <c r="BG5" s="105"/>
      <c r="BH5" s="105">
        <v>1</v>
      </c>
      <c r="BI5" s="105"/>
      <c r="BJ5" s="105">
        <v>2</v>
      </c>
      <c r="BK5" s="105"/>
      <c r="BL5" s="105">
        <v>3</v>
      </c>
      <c r="BM5" s="105"/>
      <c r="BN5" s="105">
        <v>4</v>
      </c>
      <c r="BO5" s="105"/>
      <c r="BP5" s="105">
        <v>1</v>
      </c>
      <c r="BQ5" s="105"/>
      <c r="BR5" s="105">
        <v>2</v>
      </c>
      <c r="BS5" s="105"/>
      <c r="BT5" s="105">
        <v>3</v>
      </c>
      <c r="BU5" s="105"/>
      <c r="BV5" s="105">
        <v>4</v>
      </c>
      <c r="BW5" s="105"/>
      <c r="BX5" s="105">
        <v>1</v>
      </c>
      <c r="BY5" s="105"/>
      <c r="BZ5" s="105">
        <v>2</v>
      </c>
      <c r="CA5" s="105"/>
      <c r="CB5" s="105">
        <v>3</v>
      </c>
      <c r="CC5" s="105"/>
      <c r="CD5" s="105">
        <v>4</v>
      </c>
      <c r="CE5" s="105"/>
      <c r="CF5" s="105">
        <v>1</v>
      </c>
      <c r="CG5" s="105"/>
      <c r="CH5" s="105">
        <v>2</v>
      </c>
      <c r="CI5" s="105"/>
      <c r="CJ5" s="105">
        <v>3</v>
      </c>
      <c r="CK5" s="105"/>
      <c r="CL5" s="105">
        <v>4</v>
      </c>
      <c r="CM5" s="105"/>
      <c r="CN5" s="105">
        <v>1</v>
      </c>
      <c r="CO5" s="105"/>
      <c r="CP5" s="105">
        <v>2</v>
      </c>
      <c r="CQ5" s="105"/>
      <c r="CR5" s="105">
        <v>3</v>
      </c>
      <c r="CS5" s="105"/>
      <c r="CT5" s="105">
        <v>4</v>
      </c>
      <c r="CU5" s="105"/>
    </row>
    <row r="6" spans="1:99" x14ac:dyDescent="0.2">
      <c r="B6" s="105" t="s">
        <v>126</v>
      </c>
      <c r="C6" s="105" t="s">
        <v>172</v>
      </c>
      <c r="D6" s="106">
        <v>5.414651486625278</v>
      </c>
      <c r="E6" s="106">
        <v>3697.1240350677394</v>
      </c>
      <c r="F6" s="106">
        <v>9.1280471057254093</v>
      </c>
      <c r="G6" s="106">
        <v>6232.6305637893092</v>
      </c>
      <c r="H6" s="106">
        <v>16</v>
      </c>
      <c r="I6" s="106">
        <v>10924.8</v>
      </c>
      <c r="J6" s="106">
        <v>9.2783943723300624</v>
      </c>
      <c r="K6" s="106">
        <v>6335.2876774269662</v>
      </c>
      <c r="L6" s="106">
        <v>4.1738673697447766</v>
      </c>
      <c r="M6" s="106">
        <v>2849.9166400617332</v>
      </c>
      <c r="N6" s="106">
        <v>4.2299161633869726</v>
      </c>
      <c r="O6" s="106">
        <v>2888.1867563606247</v>
      </c>
      <c r="P6" s="106">
        <v>5.2311849497094194</v>
      </c>
      <c r="Q6" s="106">
        <v>3571.8530836615914</v>
      </c>
      <c r="R6" s="106">
        <v>5.1053406472266367</v>
      </c>
      <c r="S6" s="106">
        <v>3485.9265939263473</v>
      </c>
      <c r="T6" s="106">
        <v>10.333471616729287</v>
      </c>
      <c r="U6" s="106">
        <v>7055.6944199027566</v>
      </c>
      <c r="V6" s="106">
        <v>12.747792933346538</v>
      </c>
      <c r="W6" s="106">
        <v>8704.1930148890151</v>
      </c>
      <c r="X6" s="106">
        <v>7</v>
      </c>
      <c r="Y6" s="106">
        <v>4779.5999999999995</v>
      </c>
      <c r="Z6" s="106">
        <v>8.6772314968133042</v>
      </c>
      <c r="AA6" s="106">
        <v>5924.8136660241234</v>
      </c>
      <c r="AB6" s="106">
        <v>8</v>
      </c>
      <c r="AC6" s="106">
        <v>5462.4</v>
      </c>
      <c r="AD6" s="106">
        <v>9.2031018132343068</v>
      </c>
      <c r="AE6" s="106">
        <v>6283.877918076384</v>
      </c>
      <c r="AF6" s="106">
        <v>14.300451309422694</v>
      </c>
      <c r="AG6" s="106">
        <v>9764.3481540738157</v>
      </c>
      <c r="AH6" s="106">
        <v>14.065702863989902</v>
      </c>
      <c r="AI6" s="106">
        <v>9604.0619155323038</v>
      </c>
      <c r="AJ6" s="106">
        <v>8.2486088843271226</v>
      </c>
      <c r="AK6" s="106">
        <v>5632.1501462185588</v>
      </c>
      <c r="AL6" s="106">
        <v>6.4023846022701534</v>
      </c>
      <c r="AM6" s="106">
        <v>4371.5482064300604</v>
      </c>
      <c r="AN6" s="106">
        <v>6.4223798728674257</v>
      </c>
      <c r="AO6" s="106">
        <v>4385.2009771938783</v>
      </c>
      <c r="AP6" s="106">
        <v>5.1359649442959485</v>
      </c>
      <c r="AQ6" s="106">
        <v>3506.8368639652736</v>
      </c>
      <c r="AR6" s="106">
        <v>9.0644972183921446</v>
      </c>
      <c r="AS6" s="106">
        <v>6189.238700718156</v>
      </c>
      <c r="AT6" s="106">
        <v>7.1340052508045737</v>
      </c>
      <c r="AU6" s="106">
        <v>4871.0987852493627</v>
      </c>
      <c r="AV6" s="106">
        <v>10</v>
      </c>
      <c r="AW6" s="106">
        <v>6828</v>
      </c>
      <c r="AX6" s="106">
        <v>9.2628497119928763</v>
      </c>
      <c r="AY6" s="106">
        <v>6324.6737833487359</v>
      </c>
      <c r="AZ6" s="106">
        <v>6.2521231533987347</v>
      </c>
      <c r="BA6" s="106">
        <v>4268.9496891406561</v>
      </c>
      <c r="BB6" s="106">
        <v>6.2477469796761609</v>
      </c>
      <c r="BC6" s="106">
        <v>4265.9616377228822</v>
      </c>
      <c r="BD6" s="106">
        <v>7</v>
      </c>
      <c r="BE6" s="106">
        <v>4779.5999999999995</v>
      </c>
      <c r="BF6" s="106">
        <v>4.2350336318200759</v>
      </c>
      <c r="BG6" s="106">
        <v>2891.6809638067475</v>
      </c>
      <c r="BH6" s="106">
        <v>6</v>
      </c>
      <c r="BI6" s="106">
        <v>4096.7999999999993</v>
      </c>
      <c r="BJ6" s="106">
        <v>6.4777360810518028</v>
      </c>
      <c r="BK6" s="106">
        <v>4422.9981961421709</v>
      </c>
      <c r="BL6" s="106">
        <v>7</v>
      </c>
      <c r="BM6" s="106">
        <v>4779.5999999999995</v>
      </c>
      <c r="BN6" s="106">
        <v>7.6467824592707627</v>
      </c>
      <c r="BO6" s="106">
        <v>5221.2230631900766</v>
      </c>
      <c r="BP6" s="106">
        <v>11.187382403867923</v>
      </c>
      <c r="BQ6" s="106">
        <v>7638.7447053610176</v>
      </c>
      <c r="BR6" s="106">
        <v>8.1938434675631573</v>
      </c>
      <c r="BS6" s="106">
        <v>5594.7563196521232</v>
      </c>
      <c r="BT6" s="106">
        <v>8</v>
      </c>
      <c r="BU6" s="106">
        <v>5462.4</v>
      </c>
      <c r="BV6" s="106">
        <v>12.286269889107764</v>
      </c>
      <c r="BW6" s="106">
        <v>8389.0650802827804</v>
      </c>
      <c r="BX6" s="106">
        <v>101.30875728384608</v>
      </c>
      <c r="BY6" s="106">
        <v>69173.619473410101</v>
      </c>
      <c r="BZ6" s="106">
        <v>82.351318159237522</v>
      </c>
      <c r="CA6" s="106">
        <v>56229.480039127375</v>
      </c>
      <c r="CB6" s="106">
        <v>82.234671524790329</v>
      </c>
      <c r="CC6" s="106">
        <v>56149.833717126836</v>
      </c>
      <c r="CD6" s="106">
        <v>71.355678682045777</v>
      </c>
      <c r="CE6" s="106">
        <v>48721.657404100857</v>
      </c>
      <c r="CF6" s="106">
        <v>19</v>
      </c>
      <c r="CG6" s="106">
        <v>12973.199999999999</v>
      </c>
      <c r="CH6" s="106">
        <v>19.349184699827639</v>
      </c>
      <c r="CI6" s="106">
        <v>13211.623313042312</v>
      </c>
      <c r="CJ6" s="106">
        <v>13</v>
      </c>
      <c r="CK6" s="106">
        <v>8876.4</v>
      </c>
      <c r="CL6" s="106">
        <v>16.398109679231798</v>
      </c>
      <c r="CM6" s="106">
        <v>11196.629288979471</v>
      </c>
      <c r="CN6" s="106">
        <v>8.1447961032535687</v>
      </c>
      <c r="CO6" s="106">
        <v>5561.2667793015362</v>
      </c>
      <c r="CP6" s="106">
        <v>11.150607225984441</v>
      </c>
      <c r="CQ6" s="106">
        <v>7613.6346139021762</v>
      </c>
      <c r="CR6" s="106">
        <v>9.2217128554948999</v>
      </c>
      <c r="CS6" s="106">
        <v>6296.5855377319176</v>
      </c>
      <c r="CT6" s="106">
        <v>11.175421445430787</v>
      </c>
      <c r="CU6" s="106">
        <v>7630.5777629401409</v>
      </c>
    </row>
    <row r="7" spans="1:99" x14ac:dyDescent="0.2">
      <c r="C7" s="105" t="s">
        <v>173</v>
      </c>
      <c r="D7" s="106">
        <v>5.414651486625278</v>
      </c>
      <c r="E7" s="106">
        <v>4671.7613026602894</v>
      </c>
      <c r="F7" s="106">
        <v>10.170729474300547</v>
      </c>
      <c r="G7" s="106">
        <v>8775.3053904265107</v>
      </c>
      <c r="H7" s="106">
        <v>15</v>
      </c>
      <c r="I7" s="106">
        <v>12942</v>
      </c>
      <c r="J7" s="106">
        <v>8.2783943723300624</v>
      </c>
      <c r="K7" s="106">
        <v>7142.5986644463774</v>
      </c>
      <c r="L7" s="106">
        <v>4.2173342121809707</v>
      </c>
      <c r="M7" s="106">
        <v>3638.7159582697413</v>
      </c>
      <c r="N7" s="106">
        <v>3.2299161633869731</v>
      </c>
      <c r="O7" s="106">
        <v>2786.7716657702804</v>
      </c>
      <c r="P7" s="106">
        <v>5.2311849497094194</v>
      </c>
      <c r="Q7" s="106">
        <v>4513.4663746092865</v>
      </c>
      <c r="R7" s="106">
        <v>5.1053406472266367</v>
      </c>
      <c r="S7" s="106">
        <v>4404.8879104271418</v>
      </c>
      <c r="T7" s="106">
        <v>10.361260918123394</v>
      </c>
      <c r="U7" s="106">
        <v>8939.6959201568643</v>
      </c>
      <c r="V7" s="106">
        <v>11.847498657792745</v>
      </c>
      <c r="W7" s="106">
        <v>10222.021841943579</v>
      </c>
      <c r="X7" s="106">
        <v>7</v>
      </c>
      <c r="Y7" s="106">
        <v>6039.5999999999995</v>
      </c>
      <c r="Z7" s="106">
        <v>8.7148554688584881</v>
      </c>
      <c r="AA7" s="106">
        <v>7519.1772985311027</v>
      </c>
      <c r="AB7" s="106">
        <v>8</v>
      </c>
      <c r="AC7" s="106">
        <v>6902.4</v>
      </c>
      <c r="AD7" s="106">
        <v>10.162481450587446</v>
      </c>
      <c r="AE7" s="106">
        <v>8768.1889955668485</v>
      </c>
      <c r="AF7" s="106">
        <v>13.257529693790881</v>
      </c>
      <c r="AG7" s="106">
        <v>11438.596619802771</v>
      </c>
      <c r="AH7" s="106">
        <v>12.065702863989902</v>
      </c>
      <c r="AI7" s="106">
        <v>10410.288431050487</v>
      </c>
      <c r="AJ7" s="106">
        <v>8.2486088843271226</v>
      </c>
      <c r="AK7" s="106">
        <v>7116.8997453974407</v>
      </c>
      <c r="AL7" s="106">
        <v>6.4023846022701534</v>
      </c>
      <c r="AM7" s="106">
        <v>5523.9774348386882</v>
      </c>
      <c r="AN7" s="106">
        <v>6.457578195606378</v>
      </c>
      <c r="AO7" s="106">
        <v>5571.5984671691831</v>
      </c>
      <c r="AP7" s="106">
        <v>5.1255061024270292</v>
      </c>
      <c r="AQ7" s="106">
        <v>4422.2866651740405</v>
      </c>
      <c r="AR7" s="106">
        <v>9.0644972183921446</v>
      </c>
      <c r="AS7" s="106">
        <v>7820.8482000287422</v>
      </c>
      <c r="AT7" s="106">
        <v>6.1191157784929544</v>
      </c>
      <c r="AU7" s="106">
        <v>5279.5730936837208</v>
      </c>
      <c r="AV7" s="106">
        <v>9</v>
      </c>
      <c r="AW7" s="106">
        <v>7765.2</v>
      </c>
      <c r="AX7" s="106">
        <v>8.2628497119928763</v>
      </c>
      <c r="AY7" s="106">
        <v>7129.1867315074533</v>
      </c>
      <c r="AZ7" s="106">
        <v>6.2521231533987347</v>
      </c>
      <c r="BA7" s="106">
        <v>5394.3318567524284</v>
      </c>
      <c r="BB7" s="106">
        <v>6.2477469796761609</v>
      </c>
      <c r="BC7" s="106">
        <v>5390.556094064591</v>
      </c>
      <c r="BD7" s="106">
        <v>7</v>
      </c>
      <c r="BE7" s="106">
        <v>6039.5999999999995</v>
      </c>
      <c r="BF7" s="106">
        <v>5.2350336318200759</v>
      </c>
      <c r="BG7" s="106">
        <v>4516.7870175343614</v>
      </c>
      <c r="BH7" s="106">
        <v>6</v>
      </c>
      <c r="BI7" s="106">
        <v>5176.7999999999993</v>
      </c>
      <c r="BJ7" s="106">
        <v>6.5414342251920434</v>
      </c>
      <c r="BK7" s="106">
        <v>5643.9494494956944</v>
      </c>
      <c r="BL7" s="106">
        <v>6</v>
      </c>
      <c r="BM7" s="106">
        <v>5176.7999999999993</v>
      </c>
      <c r="BN7" s="106">
        <v>7.6467824592707627</v>
      </c>
      <c r="BO7" s="106">
        <v>6597.6439058588139</v>
      </c>
      <c r="BP7" s="106">
        <v>10.187382403867923</v>
      </c>
      <c r="BQ7" s="106">
        <v>8789.6735380572445</v>
      </c>
      <c r="BR7" s="106">
        <v>7.1938434675631582</v>
      </c>
      <c r="BS7" s="106">
        <v>6206.8481438134922</v>
      </c>
      <c r="BT7" s="106">
        <v>8</v>
      </c>
      <c r="BU7" s="106">
        <v>6902.4</v>
      </c>
      <c r="BV7" s="106">
        <v>11.286269889107764</v>
      </c>
      <c r="BW7" s="106">
        <v>9737.7936603221788</v>
      </c>
      <c r="BX7" s="106">
        <v>92.36021683115375</v>
      </c>
      <c r="BY7" s="106">
        <v>79688.395081919458</v>
      </c>
      <c r="BZ7" s="106">
        <v>78.292765132697937</v>
      </c>
      <c r="CA7" s="106">
        <v>67550.997756491779</v>
      </c>
      <c r="CB7" s="106">
        <v>77.20859691092474</v>
      </c>
      <c r="CC7" s="106">
        <v>66615.577414745858</v>
      </c>
      <c r="CD7" s="106">
        <v>59.355678682045777</v>
      </c>
      <c r="CE7" s="106">
        <v>51212.079566869092</v>
      </c>
      <c r="CF7" s="106">
        <v>19</v>
      </c>
      <c r="CG7" s="106">
        <v>16393.2</v>
      </c>
      <c r="CH7" s="106">
        <v>21.349184699827639</v>
      </c>
      <c r="CI7" s="106">
        <v>18420.076559011286</v>
      </c>
      <c r="CJ7" s="106">
        <v>14</v>
      </c>
      <c r="CK7" s="106">
        <v>12079.199999999999</v>
      </c>
      <c r="CL7" s="106">
        <v>17.353875270428265</v>
      </c>
      <c r="CM7" s="106">
        <v>14972.923583325506</v>
      </c>
      <c r="CN7" s="106">
        <v>8.1689287871291629</v>
      </c>
      <c r="CO7" s="106">
        <v>7048.1517575350417</v>
      </c>
      <c r="CP7" s="106">
        <v>10.188259032480552</v>
      </c>
      <c r="CQ7" s="106">
        <v>8790.42989322422</v>
      </c>
      <c r="CR7" s="106">
        <v>9.2217128554948999</v>
      </c>
      <c r="CS7" s="106">
        <v>7956.4938517209994</v>
      </c>
      <c r="CT7" s="106">
        <v>11.155930173716255</v>
      </c>
      <c r="CU7" s="106">
        <v>9625.3365538823837</v>
      </c>
    </row>
    <row r="8" spans="1:99" x14ac:dyDescent="0.2">
      <c r="C8" s="105" t="s">
        <v>174</v>
      </c>
      <c r="D8" s="106">
        <v>5.414651486625278</v>
      </c>
      <c r="E8" s="106">
        <v>1773.8398270184409</v>
      </c>
      <c r="F8" s="106">
        <v>10.170729474300547</v>
      </c>
      <c r="G8" s="106">
        <v>3331.9309757808587</v>
      </c>
      <c r="H8" s="106">
        <v>16</v>
      </c>
      <c r="I8" s="106">
        <v>5241.5999999999995</v>
      </c>
      <c r="J8" s="106">
        <v>10.278394372330062</v>
      </c>
      <c r="K8" s="106">
        <v>3367.2019963753282</v>
      </c>
      <c r="L8" s="106">
        <v>4.2173342121809707</v>
      </c>
      <c r="M8" s="106">
        <v>1381.5986879104858</v>
      </c>
      <c r="N8" s="106">
        <v>4.2299161633869726</v>
      </c>
      <c r="O8" s="106">
        <v>1385.720535125572</v>
      </c>
      <c r="P8" s="106">
        <v>5.2311849497094194</v>
      </c>
      <c r="Q8" s="106">
        <v>1713.7361895248057</v>
      </c>
      <c r="R8" s="106">
        <v>5.1053406472266367</v>
      </c>
      <c r="S8" s="106">
        <v>1672.5095960314461</v>
      </c>
      <c r="T8" s="106">
        <v>10.333471616729287</v>
      </c>
      <c r="U8" s="106">
        <v>3385.2453016405143</v>
      </c>
      <c r="V8" s="106">
        <v>12.947204382238949</v>
      </c>
      <c r="W8" s="106">
        <v>4241.5041556214792</v>
      </c>
      <c r="X8" s="106">
        <v>8</v>
      </c>
      <c r="Y8" s="106">
        <v>2620.7999999999997</v>
      </c>
      <c r="Z8" s="106">
        <v>9.7148554688584881</v>
      </c>
      <c r="AA8" s="106">
        <v>3182.5866515980401</v>
      </c>
      <c r="AB8" s="106">
        <v>9</v>
      </c>
      <c r="AC8" s="106">
        <v>2948.3999999999996</v>
      </c>
      <c r="AD8" s="106">
        <v>9.2031018132343068</v>
      </c>
      <c r="AE8" s="106">
        <v>3014.9361540155587</v>
      </c>
      <c r="AF8" s="106">
        <v>15.300451309422694</v>
      </c>
      <c r="AG8" s="106">
        <v>5012.4278489668741</v>
      </c>
      <c r="AH8" s="106">
        <v>13.054752386658251</v>
      </c>
      <c r="AI8" s="106">
        <v>4276.7368818692421</v>
      </c>
      <c r="AJ8" s="106">
        <v>9.2868564049928342</v>
      </c>
      <c r="AK8" s="106">
        <v>3042.374158275652</v>
      </c>
      <c r="AL8" s="106">
        <v>6.4023846022701534</v>
      </c>
      <c r="AM8" s="106">
        <v>2097.4211957037019</v>
      </c>
      <c r="AN8" s="106">
        <v>7.4927765183453303</v>
      </c>
      <c r="AO8" s="106">
        <v>2454.63358740993</v>
      </c>
      <c r="AP8" s="106">
        <v>5.146423786164867</v>
      </c>
      <c r="AQ8" s="106">
        <v>1685.9684323476101</v>
      </c>
      <c r="AR8" s="106">
        <v>10.080621522990182</v>
      </c>
      <c r="AS8" s="106">
        <v>3302.4116109315833</v>
      </c>
      <c r="AT8" s="106">
        <v>7.1340052508045737</v>
      </c>
      <c r="AU8" s="106">
        <v>2337.1001201635781</v>
      </c>
      <c r="AV8" s="106">
        <v>10</v>
      </c>
      <c r="AW8" s="106">
        <v>3275.9999999999995</v>
      </c>
      <c r="AX8" s="106">
        <v>9.2628497119928763</v>
      </c>
      <c r="AY8" s="106">
        <v>3034.5095656488661</v>
      </c>
      <c r="AZ8" s="106">
        <v>7.2836385475735765</v>
      </c>
      <c r="BA8" s="106">
        <v>2386.1199881851035</v>
      </c>
      <c r="BB8" s="106">
        <v>7.2831394053441834</v>
      </c>
      <c r="BC8" s="106">
        <v>2385.9564691907544</v>
      </c>
      <c r="BD8" s="106">
        <v>8</v>
      </c>
      <c r="BE8" s="106">
        <v>2620.7999999999997</v>
      </c>
      <c r="BF8" s="106">
        <v>5.2350336318200759</v>
      </c>
      <c r="BG8" s="106">
        <v>1714.9970177842567</v>
      </c>
      <c r="BH8" s="106">
        <v>6</v>
      </c>
      <c r="BI8" s="106">
        <v>1965.6</v>
      </c>
      <c r="BJ8" s="106">
        <v>7.5414342251920434</v>
      </c>
      <c r="BK8" s="106">
        <v>2470.5738521729131</v>
      </c>
      <c r="BL8" s="106">
        <v>6</v>
      </c>
      <c r="BM8" s="106">
        <v>1965.6</v>
      </c>
      <c r="BN8" s="106">
        <v>7.6467824592707627</v>
      </c>
      <c r="BO8" s="106">
        <v>2505.0859336571016</v>
      </c>
      <c r="BP8" s="106">
        <v>10.187382403867923</v>
      </c>
      <c r="BQ8" s="106">
        <v>3337.3864755071313</v>
      </c>
      <c r="BR8" s="106">
        <v>8.2261507121570183</v>
      </c>
      <c r="BS8" s="106">
        <v>2694.886973302639</v>
      </c>
      <c r="BT8" s="106">
        <v>8</v>
      </c>
      <c r="BU8" s="106">
        <v>2620.7999999999997</v>
      </c>
      <c r="BV8" s="106">
        <v>11.333981537292392</v>
      </c>
      <c r="BW8" s="106">
        <v>3713.012351616987</v>
      </c>
      <c r="BX8" s="106">
        <v>106.36021683115375</v>
      </c>
      <c r="BY8" s="106">
        <v>34843.607033885964</v>
      </c>
      <c r="BZ8" s="106">
        <v>79.351318159237522</v>
      </c>
      <c r="CA8" s="106">
        <v>25995.491828966209</v>
      </c>
      <c r="CB8" s="106">
        <v>78.20859691092474</v>
      </c>
      <c r="CC8" s="106">
        <v>25621.136348018943</v>
      </c>
      <c r="CD8" s="106">
        <v>65.381084302191908</v>
      </c>
      <c r="CE8" s="106">
        <v>21418.843217398065</v>
      </c>
      <c r="CF8" s="106">
        <v>17</v>
      </c>
      <c r="CG8" s="106">
        <v>5569.2</v>
      </c>
      <c r="CH8" s="106">
        <v>22.349184699827639</v>
      </c>
      <c r="CI8" s="106">
        <v>7321.5929076635339</v>
      </c>
      <c r="CJ8" s="106">
        <v>16</v>
      </c>
      <c r="CK8" s="106">
        <v>5241.5999999999995</v>
      </c>
      <c r="CL8" s="106">
        <v>19.309640861624732</v>
      </c>
      <c r="CM8" s="106">
        <v>6325.8383462682614</v>
      </c>
      <c r="CN8" s="106">
        <v>8.1689287871291629</v>
      </c>
      <c r="CO8" s="106">
        <v>2676.1410706635133</v>
      </c>
      <c r="CP8" s="106">
        <v>10.150607225984441</v>
      </c>
      <c r="CQ8" s="106">
        <v>3325.3389272325026</v>
      </c>
      <c r="CR8" s="106">
        <v>8.1900395904242007</v>
      </c>
      <c r="CS8" s="106">
        <v>2683.0569698229679</v>
      </c>
      <c r="CT8" s="106">
        <v>11.175421445430787</v>
      </c>
      <c r="CU8" s="106">
        <v>3661.0680655231254</v>
      </c>
    </row>
    <row r="9" spans="1:99" x14ac:dyDescent="0.2">
      <c r="C9" s="105" t="s">
        <v>175</v>
      </c>
      <c r="D9" s="106">
        <v>5.414651486625278</v>
      </c>
      <c r="E9" s="106">
        <v>4346.8822134627726</v>
      </c>
      <c r="F9" s="106">
        <v>10.170729474300547</v>
      </c>
      <c r="G9" s="106">
        <v>8165.0616219684789</v>
      </c>
      <c r="H9" s="106">
        <v>14</v>
      </c>
      <c r="I9" s="106">
        <v>11239.199999999999</v>
      </c>
      <c r="J9" s="106">
        <v>9.2783943723300624</v>
      </c>
      <c r="K9" s="106">
        <v>7448.6950021065741</v>
      </c>
      <c r="L9" s="106">
        <v>4.2173342121809707</v>
      </c>
      <c r="M9" s="106">
        <v>3385.6759055388829</v>
      </c>
      <c r="N9" s="106">
        <v>4.2299161633869726</v>
      </c>
      <c r="O9" s="106">
        <v>3395.7766959670616</v>
      </c>
      <c r="P9" s="106">
        <v>5.2311849497094194</v>
      </c>
      <c r="Q9" s="106">
        <v>4199.5952776267213</v>
      </c>
      <c r="R9" s="106">
        <v>4.1053406472266367</v>
      </c>
      <c r="S9" s="106">
        <v>3295.7674715935436</v>
      </c>
      <c r="T9" s="106">
        <v>10.333471616729287</v>
      </c>
      <c r="U9" s="106">
        <v>8295.7110139102715</v>
      </c>
      <c r="V9" s="106">
        <v>12.847498657792745</v>
      </c>
      <c r="W9" s="106">
        <v>10313.971922476016</v>
      </c>
      <c r="X9" s="106">
        <v>8</v>
      </c>
      <c r="Y9" s="106">
        <v>6422.4</v>
      </c>
      <c r="Z9" s="106">
        <v>8.7524794409036719</v>
      </c>
      <c r="AA9" s="106">
        <v>7026.4904951574672</v>
      </c>
      <c r="AB9" s="106">
        <v>7</v>
      </c>
      <c r="AC9" s="106">
        <v>5619.5999999999995</v>
      </c>
      <c r="AD9" s="106">
        <v>8.2031018132343068</v>
      </c>
      <c r="AE9" s="106">
        <v>6585.4501356645014</v>
      </c>
      <c r="AF9" s="106">
        <v>13.300451309422694</v>
      </c>
      <c r="AG9" s="106">
        <v>10677.602311204539</v>
      </c>
      <c r="AH9" s="106">
        <v>13.065702863989902</v>
      </c>
      <c r="AI9" s="106">
        <v>10489.146259211093</v>
      </c>
      <c r="AJ9" s="106">
        <v>8.2677326446599793</v>
      </c>
      <c r="AK9" s="106">
        <v>6637.3357671330314</v>
      </c>
      <c r="AL9" s="106">
        <v>6.4023846022701534</v>
      </c>
      <c r="AM9" s="106">
        <v>5139.8343587024792</v>
      </c>
      <c r="AN9" s="106">
        <v>6.457578195606378</v>
      </c>
      <c r="AO9" s="106">
        <v>5184.1437754327999</v>
      </c>
      <c r="AP9" s="106">
        <v>6.146423786164867</v>
      </c>
      <c r="AQ9" s="106">
        <v>4934.3490155331547</v>
      </c>
      <c r="AR9" s="106">
        <v>9.0806215229901817</v>
      </c>
      <c r="AS9" s="106">
        <v>7289.922958656517</v>
      </c>
      <c r="AT9" s="106">
        <v>7.1340052508045737</v>
      </c>
      <c r="AU9" s="106">
        <v>5727.1794153459114</v>
      </c>
      <c r="AV9" s="106">
        <v>10</v>
      </c>
      <c r="AW9" s="106">
        <v>8028</v>
      </c>
      <c r="AX9" s="106">
        <v>8.2628497119928763</v>
      </c>
      <c r="AY9" s="106">
        <v>6633.4157487878811</v>
      </c>
      <c r="AZ9" s="106">
        <v>5.2836385475735765</v>
      </c>
      <c r="BA9" s="106">
        <v>4241.705025992067</v>
      </c>
      <c r="BB9" s="106">
        <v>5.2831394053441834</v>
      </c>
      <c r="BC9" s="106">
        <v>4241.30431461031</v>
      </c>
      <c r="BD9" s="106">
        <v>7</v>
      </c>
      <c r="BE9" s="106">
        <v>5619.5999999999995</v>
      </c>
      <c r="BF9" s="106">
        <v>4.2350336318200759</v>
      </c>
      <c r="BG9" s="106">
        <v>3399.8849996251565</v>
      </c>
      <c r="BH9" s="106">
        <v>6</v>
      </c>
      <c r="BI9" s="106">
        <v>4816.7999999999993</v>
      </c>
      <c r="BJ9" s="106">
        <v>6.5732832972621633</v>
      </c>
      <c r="BK9" s="106">
        <v>5277.0318310420644</v>
      </c>
      <c r="BL9" s="106">
        <v>7</v>
      </c>
      <c r="BM9" s="106">
        <v>5619.5999999999995</v>
      </c>
      <c r="BN9" s="106">
        <v>8.6467824592707618</v>
      </c>
      <c r="BO9" s="106">
        <v>6941.6369583025671</v>
      </c>
      <c r="BP9" s="106">
        <v>10.160613489029648</v>
      </c>
      <c r="BQ9" s="106">
        <v>8156.9405089930015</v>
      </c>
      <c r="BR9" s="106">
        <v>8.2261507121570183</v>
      </c>
      <c r="BS9" s="106">
        <v>6603.953791719654</v>
      </c>
      <c r="BT9" s="106">
        <v>8</v>
      </c>
      <c r="BU9" s="106">
        <v>6422.4</v>
      </c>
      <c r="BV9" s="106">
        <v>11.286269889107764</v>
      </c>
      <c r="BW9" s="106">
        <v>9060.6174669757129</v>
      </c>
      <c r="BX9" s="106">
        <v>97.334487057499913</v>
      </c>
      <c r="BY9" s="106">
        <v>78140.126209760929</v>
      </c>
      <c r="BZ9" s="106">
        <v>82.351318159237522</v>
      </c>
      <c r="CA9" s="106">
        <v>66111.638218235879</v>
      </c>
      <c r="CB9" s="106">
        <v>79.20859691092474</v>
      </c>
      <c r="CC9" s="106">
        <v>63588.661600090374</v>
      </c>
      <c r="CD9" s="106">
        <v>60.355678682045777</v>
      </c>
      <c r="CE9" s="106">
        <v>48453.53884594635</v>
      </c>
      <c r="CF9" s="106">
        <v>19</v>
      </c>
      <c r="CG9" s="106">
        <v>15253.199999999999</v>
      </c>
      <c r="CH9" s="106">
        <v>20.299301171280835</v>
      </c>
      <c r="CI9" s="106">
        <v>16296.278980304252</v>
      </c>
      <c r="CJ9" s="106">
        <v>13</v>
      </c>
      <c r="CK9" s="106">
        <v>10436.4</v>
      </c>
      <c r="CL9" s="106">
        <v>17.353875270428265</v>
      </c>
      <c r="CM9" s="106">
        <v>13931.69106709981</v>
      </c>
      <c r="CN9" s="106">
        <v>9.1447961032535687</v>
      </c>
      <c r="CO9" s="106">
        <v>7341.4423116919643</v>
      </c>
      <c r="CP9" s="106">
        <v>9.1506072259844409</v>
      </c>
      <c r="CQ9" s="106">
        <v>7346.107481020309</v>
      </c>
      <c r="CR9" s="106">
        <v>8.2217128554948999</v>
      </c>
      <c r="CS9" s="106">
        <v>6600.391080391305</v>
      </c>
      <c r="CT9" s="106">
        <v>9.1559301737162553</v>
      </c>
      <c r="CU9" s="106">
        <v>7350.3807434594091</v>
      </c>
    </row>
    <row r="10" spans="1:99" x14ac:dyDescent="0.2">
      <c r="C10" s="105" t="s">
        <v>176</v>
      </c>
      <c r="D10" s="106">
        <v>5.8311631394426069</v>
      </c>
      <c r="E10" s="106">
        <v>3246.7916360416434</v>
      </c>
      <c r="F10" s="106">
        <v>10.170729474300547</v>
      </c>
      <c r="G10" s="106">
        <v>5663.062171290544</v>
      </c>
      <c r="H10" s="106">
        <v>14</v>
      </c>
      <c r="I10" s="106">
        <v>7795.1999999999989</v>
      </c>
      <c r="J10" s="106">
        <v>9.2783943723300624</v>
      </c>
      <c r="K10" s="106">
        <v>5166.2099865133787</v>
      </c>
      <c r="L10" s="106">
        <v>4.2173342121809707</v>
      </c>
      <c r="M10" s="106">
        <v>2348.2116893423645</v>
      </c>
      <c r="N10" s="106">
        <v>4.2299161633869726</v>
      </c>
      <c r="O10" s="106">
        <v>2355.2173197738662</v>
      </c>
      <c r="P10" s="106">
        <v>5.2311849497094194</v>
      </c>
      <c r="Q10" s="106">
        <v>2912.7237799982045</v>
      </c>
      <c r="R10" s="106">
        <v>5.1053406472266367</v>
      </c>
      <c r="S10" s="106">
        <v>2842.6536723757913</v>
      </c>
      <c r="T10" s="106">
        <v>11.333471616729287</v>
      </c>
      <c r="U10" s="106">
        <v>6310.4769961948668</v>
      </c>
      <c r="V10" s="106">
        <v>13.947204382238949</v>
      </c>
      <c r="W10" s="106">
        <v>7765.8034000306461</v>
      </c>
      <c r="X10" s="106">
        <v>7</v>
      </c>
      <c r="Y10" s="106">
        <v>3897.5999999999995</v>
      </c>
      <c r="Z10" s="106">
        <v>7.6772314968133051</v>
      </c>
      <c r="AA10" s="106">
        <v>4274.6824974256479</v>
      </c>
      <c r="AB10" s="106">
        <v>8</v>
      </c>
      <c r="AC10" s="106">
        <v>4454.3999999999996</v>
      </c>
      <c r="AD10" s="106">
        <v>9.2031018132343068</v>
      </c>
      <c r="AE10" s="106">
        <v>5124.2870896088616</v>
      </c>
      <c r="AF10" s="106">
        <v>13.300451309422694</v>
      </c>
      <c r="AG10" s="106">
        <v>7405.691289086556</v>
      </c>
      <c r="AH10" s="106">
        <v>13.065702863989902</v>
      </c>
      <c r="AI10" s="106">
        <v>7274.9833546695763</v>
      </c>
      <c r="AJ10" s="106">
        <v>9.2486088843271226</v>
      </c>
      <c r="AK10" s="106">
        <v>5149.6254267933418</v>
      </c>
      <c r="AL10" s="106">
        <v>7.4023846022701534</v>
      </c>
      <c r="AM10" s="106">
        <v>4121.6477465440212</v>
      </c>
      <c r="AN10" s="106">
        <v>7.4927765183453303</v>
      </c>
      <c r="AO10" s="106">
        <v>4171.9779654146796</v>
      </c>
      <c r="AP10" s="106">
        <v>6.146423786164867</v>
      </c>
      <c r="AQ10" s="106">
        <v>3422.3287641365978</v>
      </c>
      <c r="AR10" s="106">
        <v>9.0644972183921446</v>
      </c>
      <c r="AS10" s="106">
        <v>5047.1120512007456</v>
      </c>
      <c r="AT10" s="106">
        <v>7.1191157784929544</v>
      </c>
      <c r="AU10" s="106">
        <v>3963.9236654648766</v>
      </c>
      <c r="AV10" s="106">
        <v>10</v>
      </c>
      <c r="AW10" s="106">
        <v>5568</v>
      </c>
      <c r="AX10" s="106">
        <v>9.2628497119928763</v>
      </c>
      <c r="AY10" s="106">
        <v>5157.5547196376328</v>
      </c>
      <c r="AZ10" s="106">
        <v>7.2521231533987347</v>
      </c>
      <c r="BA10" s="106">
        <v>4037.9821718124153</v>
      </c>
      <c r="BB10" s="106">
        <v>6.2831394053441834</v>
      </c>
      <c r="BC10" s="106">
        <v>3498.452020895641</v>
      </c>
      <c r="BD10" s="106">
        <v>8</v>
      </c>
      <c r="BE10" s="106">
        <v>4454.3999999999996</v>
      </c>
      <c r="BF10" s="106">
        <v>5.2350336318200759</v>
      </c>
      <c r="BG10" s="106">
        <v>2914.8667261974178</v>
      </c>
      <c r="BH10" s="106">
        <v>6</v>
      </c>
      <c r="BI10" s="106">
        <v>3340.7999999999997</v>
      </c>
      <c r="BJ10" s="106">
        <v>6.4777360810518028</v>
      </c>
      <c r="BK10" s="106">
        <v>3606.8034499296436</v>
      </c>
      <c r="BL10" s="106">
        <v>7</v>
      </c>
      <c r="BM10" s="106">
        <v>3897.5999999999995</v>
      </c>
      <c r="BN10" s="106">
        <v>7.5659346518619177</v>
      </c>
      <c r="BO10" s="106">
        <v>4212.7124141567156</v>
      </c>
      <c r="BP10" s="106">
        <v>11.187382403867923</v>
      </c>
      <c r="BQ10" s="106">
        <v>6229.1345224736597</v>
      </c>
      <c r="BR10" s="106">
        <v>8.2261507121570183</v>
      </c>
      <c r="BS10" s="106">
        <v>4580.3207165290278</v>
      </c>
      <c r="BT10" s="106">
        <v>8</v>
      </c>
      <c r="BU10" s="106">
        <v>4454.3999999999996</v>
      </c>
      <c r="BV10" s="106">
        <v>12.286269889107764</v>
      </c>
      <c r="BW10" s="106">
        <v>6840.9950742552028</v>
      </c>
      <c r="BX10" s="106">
        <v>102.36021683115375</v>
      </c>
      <c r="BY10" s="106">
        <v>56994.168731586404</v>
      </c>
      <c r="BZ10" s="106">
        <v>84.32204164596773</v>
      </c>
      <c r="CA10" s="106">
        <v>46950.512788474829</v>
      </c>
      <c r="CB10" s="106">
        <v>84.234671524790329</v>
      </c>
      <c r="CC10" s="106">
        <v>46901.865105003249</v>
      </c>
      <c r="CD10" s="106">
        <v>64.355678682045777</v>
      </c>
      <c r="CE10" s="106">
        <v>35833.241890163088</v>
      </c>
      <c r="CF10" s="106">
        <v>19</v>
      </c>
      <c r="CG10" s="106">
        <v>10579.199999999999</v>
      </c>
      <c r="CH10" s="106">
        <v>19.349184699827639</v>
      </c>
      <c r="CI10" s="106">
        <v>10773.626040864028</v>
      </c>
      <c r="CJ10" s="106">
        <v>16</v>
      </c>
      <c r="CK10" s="106">
        <v>8908.7999999999993</v>
      </c>
      <c r="CL10" s="106">
        <v>17.353875270428265</v>
      </c>
      <c r="CM10" s="106">
        <v>9662.6377505744567</v>
      </c>
      <c r="CN10" s="106">
        <v>8.1689287871291629</v>
      </c>
      <c r="CO10" s="106">
        <v>4548.4595486735179</v>
      </c>
      <c r="CP10" s="106">
        <v>10.188259032480552</v>
      </c>
      <c r="CQ10" s="106">
        <v>5672.8226292851705</v>
      </c>
      <c r="CR10" s="106">
        <v>8.2217128554948999</v>
      </c>
      <c r="CS10" s="106">
        <v>4577.8497179395599</v>
      </c>
      <c r="CT10" s="106">
        <v>12.175421445430787</v>
      </c>
      <c r="CU10" s="106">
        <v>6779.2746608158623</v>
      </c>
    </row>
    <row r="11" spans="1:99" x14ac:dyDescent="0.2">
      <c r="C11" s="105" t="s">
        <v>177</v>
      </c>
      <c r="D11" s="106">
        <v>5.414651486625278</v>
      </c>
      <c r="E11" s="106">
        <v>3242.2933101912163</v>
      </c>
      <c r="F11" s="106">
        <v>10.170729474300547</v>
      </c>
      <c r="G11" s="106">
        <v>6090.2328092111675</v>
      </c>
      <c r="H11" s="106">
        <v>16</v>
      </c>
      <c r="I11" s="106">
        <v>9580.7999999999993</v>
      </c>
      <c r="J11" s="106">
        <v>8.3247934343850716</v>
      </c>
      <c r="K11" s="106">
        <v>4984.8863085097801</v>
      </c>
      <c r="L11" s="106">
        <v>4.1738673697447766</v>
      </c>
      <c r="M11" s="106">
        <v>2499.3117810031722</v>
      </c>
      <c r="N11" s="106">
        <v>4.2299161633869726</v>
      </c>
      <c r="O11" s="106">
        <v>2532.8737986361189</v>
      </c>
      <c r="P11" s="106">
        <v>5.2774219396513029</v>
      </c>
      <c r="Q11" s="106">
        <v>3160.1202574631998</v>
      </c>
      <c r="R11" s="106">
        <v>5.1053406472266367</v>
      </c>
      <c r="S11" s="106">
        <v>3057.0779795593098</v>
      </c>
      <c r="T11" s="106">
        <v>11.361260918123394</v>
      </c>
      <c r="U11" s="106">
        <v>6803.1230377722877</v>
      </c>
      <c r="V11" s="106">
        <v>14.847498657792745</v>
      </c>
      <c r="W11" s="106">
        <v>8890.6821962862941</v>
      </c>
      <c r="X11" s="106">
        <v>7</v>
      </c>
      <c r="Y11" s="106">
        <v>4191.5999999999995</v>
      </c>
      <c r="Z11" s="106">
        <v>7.6396075247681212</v>
      </c>
      <c r="AA11" s="106">
        <v>4574.596985831151</v>
      </c>
      <c r="AB11" s="106">
        <v>8</v>
      </c>
      <c r="AC11" s="106">
        <v>4790.3999999999996</v>
      </c>
      <c r="AD11" s="106">
        <v>9.1624814505874461</v>
      </c>
      <c r="AE11" s="106">
        <v>5486.493892611762</v>
      </c>
      <c r="AF11" s="106">
        <v>15.300451309422694</v>
      </c>
      <c r="AG11" s="106">
        <v>9161.9102440823081</v>
      </c>
      <c r="AH11" s="106">
        <v>11.065702863989902</v>
      </c>
      <c r="AI11" s="106">
        <v>6626.1428749571523</v>
      </c>
      <c r="AJ11" s="106">
        <v>8.2677326446599793</v>
      </c>
      <c r="AK11" s="106">
        <v>4950.7183076223955</v>
      </c>
      <c r="AL11" s="106">
        <v>6.4359166524593325</v>
      </c>
      <c r="AM11" s="106">
        <v>3853.826891492648</v>
      </c>
      <c r="AN11" s="106">
        <v>6.4927765183453303</v>
      </c>
      <c r="AO11" s="106">
        <v>3887.8745791851834</v>
      </c>
      <c r="AP11" s="106">
        <v>5.1359649442959485</v>
      </c>
      <c r="AQ11" s="106">
        <v>3075.4158086444136</v>
      </c>
      <c r="AR11" s="106">
        <v>10.064497218392145</v>
      </c>
      <c r="AS11" s="106">
        <v>6026.6209343732162</v>
      </c>
      <c r="AT11" s="106">
        <v>7.1340052508045737</v>
      </c>
      <c r="AU11" s="106">
        <v>4271.8423441817786</v>
      </c>
      <c r="AV11" s="106">
        <v>9</v>
      </c>
      <c r="AW11" s="106">
        <v>5389.2</v>
      </c>
      <c r="AX11" s="106">
        <v>8.2190414266607306</v>
      </c>
      <c r="AY11" s="106">
        <v>4921.5620062844455</v>
      </c>
      <c r="AZ11" s="106">
        <v>5.2206077592238929</v>
      </c>
      <c r="BA11" s="106">
        <v>3126.0999262232667</v>
      </c>
      <c r="BB11" s="106">
        <v>6.2831394053441834</v>
      </c>
      <c r="BC11" s="106">
        <v>3762.3438759200967</v>
      </c>
      <c r="BD11" s="106">
        <v>7</v>
      </c>
      <c r="BE11" s="106">
        <v>4191.5999999999995</v>
      </c>
      <c r="BF11" s="106">
        <v>5.2350336318200759</v>
      </c>
      <c r="BG11" s="106">
        <v>3134.738138733861</v>
      </c>
      <c r="BH11" s="106">
        <v>6</v>
      </c>
      <c r="BI11" s="106">
        <v>3592.7999999999997</v>
      </c>
      <c r="BJ11" s="106">
        <v>7.4777360810518028</v>
      </c>
      <c r="BK11" s="106">
        <v>4477.6683653338196</v>
      </c>
      <c r="BL11" s="106">
        <v>7</v>
      </c>
      <c r="BM11" s="106">
        <v>4191.5999999999995</v>
      </c>
      <c r="BN11" s="106">
        <v>7.5659346518619177</v>
      </c>
      <c r="BO11" s="106">
        <v>4530.4816695349164</v>
      </c>
      <c r="BP11" s="106">
        <v>10.187382403867923</v>
      </c>
      <c r="BQ11" s="106">
        <v>6100.2045834361124</v>
      </c>
      <c r="BR11" s="106">
        <v>8.2261507121570183</v>
      </c>
      <c r="BS11" s="106">
        <v>4925.8190464396221</v>
      </c>
      <c r="BT11" s="106">
        <v>8</v>
      </c>
      <c r="BU11" s="106">
        <v>4790.3999999999996</v>
      </c>
      <c r="BV11" s="106">
        <v>11.286269889107764</v>
      </c>
      <c r="BW11" s="106">
        <v>6758.2184095977291</v>
      </c>
      <c r="BX11" s="106">
        <v>104.33448705749991</v>
      </c>
      <c r="BY11" s="106">
        <v>62475.490850030947</v>
      </c>
      <c r="BZ11" s="106">
        <v>90.32204164596773</v>
      </c>
      <c r="CA11" s="106">
        <v>54084.838537605472</v>
      </c>
      <c r="CB11" s="106">
        <v>81.20859691092474</v>
      </c>
      <c r="CC11" s="106">
        <v>48627.70783026173</v>
      </c>
      <c r="CD11" s="106">
        <v>61.406489922338032</v>
      </c>
      <c r="CE11" s="106">
        <v>36770.206165496013</v>
      </c>
      <c r="CF11" s="106">
        <v>18</v>
      </c>
      <c r="CG11" s="106">
        <v>10778.4</v>
      </c>
      <c r="CH11" s="106">
        <v>23.349184699827639</v>
      </c>
      <c r="CI11" s="106">
        <v>13981.491798256789</v>
      </c>
      <c r="CJ11" s="106">
        <v>15</v>
      </c>
      <c r="CK11" s="106">
        <v>8982</v>
      </c>
      <c r="CL11" s="106">
        <v>16.309640861624732</v>
      </c>
      <c r="CM11" s="106">
        <v>9766.2129479408886</v>
      </c>
      <c r="CN11" s="106">
        <v>9.1689287871291629</v>
      </c>
      <c r="CO11" s="106">
        <v>5490.3545577329423</v>
      </c>
      <c r="CP11" s="106">
        <v>10.150607225984441</v>
      </c>
      <c r="CQ11" s="106">
        <v>6078.1836069194824</v>
      </c>
      <c r="CR11" s="106">
        <v>9.2217128554948999</v>
      </c>
      <c r="CS11" s="106">
        <v>5521.9616578703453</v>
      </c>
      <c r="CT11" s="106">
        <v>11.155930173716255</v>
      </c>
      <c r="CU11" s="106">
        <v>6680.1709880212929</v>
      </c>
    </row>
    <row r="12" spans="1:99" x14ac:dyDescent="0.2">
      <c r="C12" s="105" t="s">
        <v>178</v>
      </c>
      <c r="D12" s="106">
        <v>5.8311631394426069</v>
      </c>
      <c r="E12" s="106">
        <v>3526.6874667348884</v>
      </c>
      <c r="F12" s="106">
        <v>10.170729474300547</v>
      </c>
      <c r="G12" s="106">
        <v>6151.2571860569706</v>
      </c>
      <c r="H12" s="106">
        <v>15</v>
      </c>
      <c r="I12" s="106">
        <v>9072</v>
      </c>
      <c r="J12" s="106">
        <v>10.278394372330062</v>
      </c>
      <c r="K12" s="106">
        <v>6216.3729163852213</v>
      </c>
      <c r="L12" s="106">
        <v>4.2173342121809707</v>
      </c>
      <c r="M12" s="106">
        <v>2550.6437315270509</v>
      </c>
      <c r="N12" s="106">
        <v>4.2299161633869726</v>
      </c>
      <c r="O12" s="106">
        <v>2558.2532956164409</v>
      </c>
      <c r="P12" s="106">
        <v>5.2311849497094194</v>
      </c>
      <c r="Q12" s="106">
        <v>3163.8206575842564</v>
      </c>
      <c r="R12" s="106">
        <v>5.1264087766719637</v>
      </c>
      <c r="S12" s="106">
        <v>3100.4520281312034</v>
      </c>
      <c r="T12" s="106">
        <v>10.361260918123394</v>
      </c>
      <c r="U12" s="106">
        <v>6266.4906032810286</v>
      </c>
      <c r="V12" s="106">
        <v>13.797645795569641</v>
      </c>
      <c r="W12" s="106">
        <v>8344.8161771605191</v>
      </c>
      <c r="X12" s="106">
        <v>7</v>
      </c>
      <c r="Y12" s="106">
        <v>4233.5999999999995</v>
      </c>
      <c r="Z12" s="106">
        <v>9.6772314968133042</v>
      </c>
      <c r="AA12" s="106">
        <v>5852.789609272686</v>
      </c>
      <c r="AB12" s="106">
        <v>8</v>
      </c>
      <c r="AC12" s="106">
        <v>4838.3999999999996</v>
      </c>
      <c r="AD12" s="106">
        <v>9.1624814505874461</v>
      </c>
      <c r="AE12" s="106">
        <v>5541.4687813152868</v>
      </c>
      <c r="AF12" s="106">
        <v>14.300451309422694</v>
      </c>
      <c r="AG12" s="106">
        <v>8648.9129519388443</v>
      </c>
      <c r="AH12" s="106">
        <v>14.054752386658251</v>
      </c>
      <c r="AI12" s="106">
        <v>8500.31424345091</v>
      </c>
      <c r="AJ12" s="106">
        <v>8.2868564049928342</v>
      </c>
      <c r="AK12" s="106">
        <v>5011.8907537396653</v>
      </c>
      <c r="AL12" s="106">
        <v>6.4023846022701534</v>
      </c>
      <c r="AM12" s="106">
        <v>3872.1622074529887</v>
      </c>
      <c r="AN12" s="106">
        <v>6.457578195606378</v>
      </c>
      <c r="AO12" s="106">
        <v>3905.5432927027373</v>
      </c>
      <c r="AP12" s="106">
        <v>5.1255061024270292</v>
      </c>
      <c r="AQ12" s="106">
        <v>3099.906090747867</v>
      </c>
      <c r="AR12" s="106">
        <v>10.064497218392145</v>
      </c>
      <c r="AS12" s="106">
        <v>6087.0079176835688</v>
      </c>
      <c r="AT12" s="106">
        <v>7.1340052508045737</v>
      </c>
      <c r="AU12" s="106">
        <v>4314.646375686606</v>
      </c>
      <c r="AV12" s="106">
        <v>10</v>
      </c>
      <c r="AW12" s="106">
        <v>6048</v>
      </c>
      <c r="AX12" s="106">
        <v>9.2628497119928763</v>
      </c>
      <c r="AY12" s="106">
        <v>5602.1715058132913</v>
      </c>
      <c r="AZ12" s="106">
        <v>6.2521231533987347</v>
      </c>
      <c r="BA12" s="106">
        <v>3781.2840831755543</v>
      </c>
      <c r="BB12" s="106">
        <v>6.2477469796761609</v>
      </c>
      <c r="BC12" s="106">
        <v>3778.6373733081418</v>
      </c>
      <c r="BD12" s="106">
        <v>7</v>
      </c>
      <c r="BE12" s="106">
        <v>4233.5999999999995</v>
      </c>
      <c r="BF12" s="106">
        <v>5.2350336318200759</v>
      </c>
      <c r="BG12" s="106">
        <v>3166.1483405247818</v>
      </c>
      <c r="BH12" s="106">
        <v>6</v>
      </c>
      <c r="BI12" s="106">
        <v>3628.7999999999997</v>
      </c>
      <c r="BJ12" s="106">
        <v>6.5095851531219227</v>
      </c>
      <c r="BK12" s="106">
        <v>3936.9971006081387</v>
      </c>
      <c r="BL12" s="106">
        <v>7</v>
      </c>
      <c r="BM12" s="106">
        <v>4233.5999999999995</v>
      </c>
      <c r="BN12" s="106">
        <v>7.6467824592707627</v>
      </c>
      <c r="BO12" s="106">
        <v>4624.7740313669574</v>
      </c>
      <c r="BP12" s="106">
        <v>10.187382403867923</v>
      </c>
      <c r="BQ12" s="106">
        <v>6161.3288778593196</v>
      </c>
      <c r="BR12" s="106">
        <v>8.2261507121570183</v>
      </c>
      <c r="BS12" s="106">
        <v>4975.1759507125644</v>
      </c>
      <c r="BT12" s="106">
        <v>8</v>
      </c>
      <c r="BU12" s="106">
        <v>4838.3999999999996</v>
      </c>
      <c r="BV12" s="106">
        <v>12.286269889107764</v>
      </c>
      <c r="BW12" s="106">
        <v>7430.7360289323751</v>
      </c>
      <c r="BX12" s="106">
        <v>111.30875728384608</v>
      </c>
      <c r="BY12" s="106">
        <v>67319.536405270104</v>
      </c>
      <c r="BZ12" s="106">
        <v>83.351318159237522</v>
      </c>
      <c r="CA12" s="106">
        <v>50410.877222706848</v>
      </c>
      <c r="CB12" s="106">
        <v>83.20859691092474</v>
      </c>
      <c r="CC12" s="106">
        <v>50324.559411727278</v>
      </c>
      <c r="CD12" s="106">
        <v>70.381084302191908</v>
      </c>
      <c r="CE12" s="106">
        <v>42566.479785965661</v>
      </c>
      <c r="CF12" s="106">
        <v>20</v>
      </c>
      <c r="CG12" s="106">
        <v>12096</v>
      </c>
      <c r="CH12" s="106">
        <v>21.299301171280835</v>
      </c>
      <c r="CI12" s="106">
        <v>12881.817348390648</v>
      </c>
      <c r="CJ12" s="106">
        <v>16</v>
      </c>
      <c r="CK12" s="106">
        <v>9676.7999999999993</v>
      </c>
      <c r="CL12" s="106">
        <v>16.353875270428265</v>
      </c>
      <c r="CM12" s="106">
        <v>9890.823763555014</v>
      </c>
      <c r="CN12" s="106">
        <v>9.1930614710047589</v>
      </c>
      <c r="CO12" s="106">
        <v>5559.9635776636778</v>
      </c>
      <c r="CP12" s="106">
        <v>11.188259032480552</v>
      </c>
      <c r="CQ12" s="106">
        <v>6766.6590628442373</v>
      </c>
      <c r="CR12" s="106">
        <v>9.2217128554948999</v>
      </c>
      <c r="CS12" s="106">
        <v>5577.2919350033153</v>
      </c>
      <c r="CT12" s="106">
        <v>11.175421445430787</v>
      </c>
      <c r="CU12" s="106">
        <v>6758.8948901965396</v>
      </c>
    </row>
    <row r="13" spans="1:99" x14ac:dyDescent="0.2">
      <c r="C13" s="105" t="s">
        <v>179</v>
      </c>
      <c r="D13" s="106">
        <v>4.9981398338079481</v>
      </c>
      <c r="E13" s="106">
        <v>833.68972427916572</v>
      </c>
      <c r="F13" s="106">
        <v>9.170729474300547</v>
      </c>
      <c r="G13" s="106">
        <v>1529.6776763133312</v>
      </c>
      <c r="H13" s="106">
        <v>17</v>
      </c>
      <c r="I13" s="106">
        <v>2835.6</v>
      </c>
      <c r="J13" s="106">
        <v>10.324793434385072</v>
      </c>
      <c r="K13" s="106">
        <v>1722.1755448554297</v>
      </c>
      <c r="L13" s="106">
        <v>4.2173342121809707</v>
      </c>
      <c r="M13" s="106">
        <v>703.45134659178586</v>
      </c>
      <c r="N13" s="106">
        <v>4.2299161633869726</v>
      </c>
      <c r="O13" s="106">
        <v>705.55001605294694</v>
      </c>
      <c r="P13" s="106">
        <v>5.2774219396513029</v>
      </c>
      <c r="Q13" s="106">
        <v>880.27397953383729</v>
      </c>
      <c r="R13" s="106">
        <v>5.1264087766719637</v>
      </c>
      <c r="S13" s="106">
        <v>855.0849839488834</v>
      </c>
      <c r="T13" s="106">
        <v>12.361260918123394</v>
      </c>
      <c r="U13" s="106">
        <v>2061.8583211429818</v>
      </c>
      <c r="V13" s="106">
        <v>14.897351520015846</v>
      </c>
      <c r="W13" s="106">
        <v>2484.8782335386427</v>
      </c>
      <c r="X13" s="106">
        <v>7</v>
      </c>
      <c r="Y13" s="106">
        <v>1167.5999999999999</v>
      </c>
      <c r="Z13" s="106">
        <v>8.6772314968133042</v>
      </c>
      <c r="AA13" s="106">
        <v>1447.3622136684589</v>
      </c>
      <c r="AB13" s="106">
        <v>8</v>
      </c>
      <c r="AC13" s="106">
        <v>1334.3999999999999</v>
      </c>
      <c r="AD13" s="106">
        <v>10.203101813234307</v>
      </c>
      <c r="AE13" s="106">
        <v>1701.8773824474822</v>
      </c>
      <c r="AF13" s="106">
        <v>14.300451309422694</v>
      </c>
      <c r="AG13" s="106">
        <v>2385.3152784117051</v>
      </c>
      <c r="AH13" s="106">
        <v>14.065702863989902</v>
      </c>
      <c r="AI13" s="106">
        <v>2346.1592377135153</v>
      </c>
      <c r="AJ13" s="106">
        <v>9.2677326446599793</v>
      </c>
      <c r="AK13" s="106">
        <v>1545.8578051292843</v>
      </c>
      <c r="AL13" s="106">
        <v>6.4023846022701534</v>
      </c>
      <c r="AM13" s="106">
        <v>1067.9177516586615</v>
      </c>
      <c r="AN13" s="106">
        <v>6.5279748410842817</v>
      </c>
      <c r="AO13" s="106">
        <v>1088.8662034928582</v>
      </c>
      <c r="AP13" s="106">
        <v>5.146423786164867</v>
      </c>
      <c r="AQ13" s="106">
        <v>858.42348753229976</v>
      </c>
      <c r="AR13" s="106">
        <v>10.080621522990182</v>
      </c>
      <c r="AS13" s="106">
        <v>1681.447670034762</v>
      </c>
      <c r="AT13" s="106">
        <v>6.1191157784929544</v>
      </c>
      <c r="AU13" s="106">
        <v>1020.6685118526246</v>
      </c>
      <c r="AV13" s="106">
        <v>10</v>
      </c>
      <c r="AW13" s="106">
        <v>1667.9999999999998</v>
      </c>
      <c r="AX13" s="106">
        <v>10.262849711992876</v>
      </c>
      <c r="AY13" s="106">
        <v>1711.8433319604117</v>
      </c>
      <c r="AZ13" s="106">
        <v>6.2521231533987347</v>
      </c>
      <c r="BA13" s="106">
        <v>1042.8541419869089</v>
      </c>
      <c r="BB13" s="106">
        <v>6.2831394053441834</v>
      </c>
      <c r="BC13" s="106">
        <v>1048.0276528114098</v>
      </c>
      <c r="BD13" s="106">
        <v>8</v>
      </c>
      <c r="BE13" s="106">
        <v>1334.3999999999999</v>
      </c>
      <c r="BF13" s="106">
        <v>4.2350336318200759</v>
      </c>
      <c r="BG13" s="106">
        <v>706.40360978758861</v>
      </c>
      <c r="BH13" s="106">
        <v>6</v>
      </c>
      <c r="BI13" s="106">
        <v>1000.8</v>
      </c>
      <c r="BJ13" s="106">
        <v>6.5414342251920434</v>
      </c>
      <c r="BK13" s="106">
        <v>1091.1112287620326</v>
      </c>
      <c r="BL13" s="106">
        <v>7</v>
      </c>
      <c r="BM13" s="106">
        <v>1167.5999999999999</v>
      </c>
      <c r="BN13" s="106">
        <v>7.5659346518619177</v>
      </c>
      <c r="BO13" s="106">
        <v>1261.9978999305677</v>
      </c>
      <c r="BP13" s="106">
        <v>11.214151318706199</v>
      </c>
      <c r="BQ13" s="106">
        <v>1870.5204399601937</v>
      </c>
      <c r="BR13" s="106">
        <v>9.1938434675631573</v>
      </c>
      <c r="BS13" s="106">
        <v>1533.5330903895344</v>
      </c>
      <c r="BT13" s="106">
        <v>9</v>
      </c>
      <c r="BU13" s="106">
        <v>1501.1999999999998</v>
      </c>
      <c r="BV13" s="106">
        <v>11.286269889107764</v>
      </c>
      <c r="BW13" s="106">
        <v>1882.5498175031748</v>
      </c>
      <c r="BX13" s="106">
        <v>108.36021683115375</v>
      </c>
      <c r="BY13" s="106">
        <v>18074.484167436443</v>
      </c>
      <c r="BZ13" s="106">
        <v>92.351318159237522</v>
      </c>
      <c r="CA13" s="106">
        <v>15404.199868960817</v>
      </c>
      <c r="CB13" s="106">
        <v>80.234671524790329</v>
      </c>
      <c r="CC13" s="106">
        <v>13383.143210335025</v>
      </c>
      <c r="CD13" s="106">
        <v>81.406489922338025</v>
      </c>
      <c r="CE13" s="106">
        <v>13578.60251904598</v>
      </c>
      <c r="CF13" s="106">
        <v>20</v>
      </c>
      <c r="CG13" s="106">
        <v>3335.9999999999995</v>
      </c>
      <c r="CH13" s="106">
        <v>20.349184699827639</v>
      </c>
      <c r="CI13" s="106">
        <v>3394.2440079312496</v>
      </c>
      <c r="CJ13" s="106">
        <v>14</v>
      </c>
      <c r="CK13" s="106">
        <v>2335.1999999999998</v>
      </c>
      <c r="CL13" s="106">
        <v>16.398109679231798</v>
      </c>
      <c r="CM13" s="106">
        <v>2735.2046944958638</v>
      </c>
      <c r="CN13" s="106">
        <v>8.1930614710047589</v>
      </c>
      <c r="CO13" s="106">
        <v>1366.6026533635936</v>
      </c>
      <c r="CP13" s="106">
        <v>10.188259032480552</v>
      </c>
      <c r="CQ13" s="106">
        <v>1699.401606617756</v>
      </c>
      <c r="CR13" s="106">
        <v>8.2533861205656009</v>
      </c>
      <c r="CS13" s="106">
        <v>1376.6648049103421</v>
      </c>
      <c r="CT13" s="106">
        <v>12.19491271714532</v>
      </c>
      <c r="CU13" s="106">
        <v>2034.111441219839</v>
      </c>
    </row>
    <row r="14" spans="1:99" x14ac:dyDescent="0.2">
      <c r="C14" s="105" t="s">
        <v>180</v>
      </c>
      <c r="D14" s="106">
        <v>5.8311631394426069</v>
      </c>
      <c r="E14" s="106">
        <v>2910.9166392097495</v>
      </c>
      <c r="F14" s="106">
        <v>9.170729474300547</v>
      </c>
      <c r="G14" s="106">
        <v>4578.0281535708327</v>
      </c>
      <c r="H14" s="106">
        <v>13</v>
      </c>
      <c r="I14" s="106">
        <v>6489.5999999999995</v>
      </c>
      <c r="J14" s="106">
        <v>9.2783943723300624</v>
      </c>
      <c r="K14" s="106">
        <v>4631.7744706671674</v>
      </c>
      <c r="L14" s="106">
        <v>4.2173342121809707</v>
      </c>
      <c r="M14" s="106">
        <v>2105.2932387207406</v>
      </c>
      <c r="N14" s="106">
        <v>4.2299161633869726</v>
      </c>
      <c r="O14" s="106">
        <v>2111.5741487627765</v>
      </c>
      <c r="P14" s="106">
        <v>5.2311849497094194</v>
      </c>
      <c r="Q14" s="106">
        <v>2611.4075268949423</v>
      </c>
      <c r="R14" s="106">
        <v>5.1264087766719637</v>
      </c>
      <c r="S14" s="106">
        <v>2559.1032613146444</v>
      </c>
      <c r="T14" s="106">
        <v>10.361260918123394</v>
      </c>
      <c r="U14" s="106">
        <v>5172.3414503271979</v>
      </c>
      <c r="V14" s="106">
        <v>13.797645795569641</v>
      </c>
      <c r="W14" s="106">
        <v>6887.7847811483653</v>
      </c>
      <c r="X14" s="106">
        <v>7</v>
      </c>
      <c r="Y14" s="106">
        <v>3494.4</v>
      </c>
      <c r="Z14" s="106">
        <v>8.7524794409036719</v>
      </c>
      <c r="AA14" s="106">
        <v>4369.2377368991129</v>
      </c>
      <c r="AB14" s="106">
        <v>8</v>
      </c>
      <c r="AC14" s="106">
        <v>3993.6</v>
      </c>
      <c r="AD14" s="106">
        <v>10.203101813234307</v>
      </c>
      <c r="AE14" s="106">
        <v>5093.3884251665659</v>
      </c>
      <c r="AF14" s="106">
        <v>15.257529693790881</v>
      </c>
      <c r="AG14" s="106">
        <v>7616.5588231404072</v>
      </c>
      <c r="AH14" s="106">
        <v>13.054752386658251</v>
      </c>
      <c r="AI14" s="106">
        <v>6516.9323914197985</v>
      </c>
      <c r="AJ14" s="106">
        <v>8.2677326446599793</v>
      </c>
      <c r="AK14" s="106">
        <v>4127.2521362142616</v>
      </c>
      <c r="AL14" s="106">
        <v>6.4023846022701534</v>
      </c>
      <c r="AM14" s="106">
        <v>3196.0703934532603</v>
      </c>
      <c r="AN14" s="106">
        <v>6.457578195606378</v>
      </c>
      <c r="AO14" s="106">
        <v>3223.6230352467037</v>
      </c>
      <c r="AP14" s="106">
        <v>5.146423786164867</v>
      </c>
      <c r="AQ14" s="106">
        <v>2569.0947540535017</v>
      </c>
      <c r="AR14" s="106">
        <v>11.080621522990182</v>
      </c>
      <c r="AS14" s="106">
        <v>5531.4462642766985</v>
      </c>
      <c r="AT14" s="106">
        <v>7.1340052508045737</v>
      </c>
      <c r="AU14" s="106">
        <v>3561.295421201643</v>
      </c>
      <c r="AV14" s="106">
        <v>11</v>
      </c>
      <c r="AW14" s="106">
        <v>5491.2</v>
      </c>
      <c r="AX14" s="106">
        <v>9.2190414266607306</v>
      </c>
      <c r="AY14" s="106">
        <v>4602.1454801890368</v>
      </c>
      <c r="AZ14" s="106">
        <v>6.2206077592238929</v>
      </c>
      <c r="BA14" s="106">
        <v>3105.3273934045674</v>
      </c>
      <c r="BB14" s="106">
        <v>6.2477469796761609</v>
      </c>
      <c r="BC14" s="106">
        <v>3118.8752922543395</v>
      </c>
      <c r="BD14" s="106">
        <v>7</v>
      </c>
      <c r="BE14" s="106">
        <v>3494.4</v>
      </c>
      <c r="BF14" s="106">
        <v>5.2350336318200759</v>
      </c>
      <c r="BG14" s="106">
        <v>2613.3287890045817</v>
      </c>
      <c r="BH14" s="106">
        <v>6</v>
      </c>
      <c r="BI14" s="106">
        <v>2995.2</v>
      </c>
      <c r="BJ14" s="106">
        <v>7.5732832972621633</v>
      </c>
      <c r="BK14" s="106">
        <v>3780.5830219932718</v>
      </c>
      <c r="BL14" s="106">
        <v>7</v>
      </c>
      <c r="BM14" s="106">
        <v>3494.4</v>
      </c>
      <c r="BN14" s="106">
        <v>7.6467824592707627</v>
      </c>
      <c r="BO14" s="106">
        <v>3817.2738036679648</v>
      </c>
      <c r="BP14" s="106">
        <v>11.187382403867923</v>
      </c>
      <c r="BQ14" s="106">
        <v>5584.7412960108677</v>
      </c>
      <c r="BR14" s="106">
        <v>7.2261507121570174</v>
      </c>
      <c r="BS14" s="106">
        <v>3607.294435508783</v>
      </c>
      <c r="BT14" s="106">
        <v>8</v>
      </c>
      <c r="BU14" s="106">
        <v>3993.6</v>
      </c>
      <c r="BV14" s="106">
        <v>12.333981537292392</v>
      </c>
      <c r="BW14" s="106">
        <v>6157.1235834163617</v>
      </c>
      <c r="BX14" s="106">
        <v>103.36021683115375</v>
      </c>
      <c r="BY14" s="106">
        <v>51597.420242111948</v>
      </c>
      <c r="BZ14" s="106">
        <v>87.351318159237522</v>
      </c>
      <c r="CA14" s="106">
        <v>43605.778025091371</v>
      </c>
      <c r="CB14" s="106">
        <v>84.234671524790329</v>
      </c>
      <c r="CC14" s="106">
        <v>42049.948025175334</v>
      </c>
      <c r="CD14" s="106">
        <v>70.355678682045777</v>
      </c>
      <c r="CE14" s="106">
        <v>35121.554798077254</v>
      </c>
      <c r="CF14" s="106">
        <v>20</v>
      </c>
      <c r="CG14" s="106">
        <v>9984</v>
      </c>
      <c r="CH14" s="106">
        <v>20.349184699827639</v>
      </c>
      <c r="CI14" s="106">
        <v>10158.313002153956</v>
      </c>
      <c r="CJ14" s="106">
        <v>16</v>
      </c>
      <c r="CK14" s="106">
        <v>7987.2</v>
      </c>
      <c r="CL14" s="106">
        <v>17.353875270428265</v>
      </c>
      <c r="CM14" s="106">
        <v>8663.0545349977892</v>
      </c>
      <c r="CN14" s="106">
        <v>8.1689287871291629</v>
      </c>
      <c r="CO14" s="106">
        <v>4077.9292505348781</v>
      </c>
      <c r="CP14" s="106">
        <v>11.188259032480552</v>
      </c>
      <c r="CQ14" s="106">
        <v>5585.1789090142911</v>
      </c>
      <c r="CR14" s="106">
        <v>9.1900395904242007</v>
      </c>
      <c r="CS14" s="106">
        <v>4587.6677635397609</v>
      </c>
      <c r="CT14" s="106">
        <v>10.155930173716255</v>
      </c>
      <c r="CU14" s="106">
        <v>5069.8403427191543</v>
      </c>
    </row>
    <row r="15" spans="1:99" x14ac:dyDescent="0.2">
      <c r="C15" s="105" t="s">
        <v>181</v>
      </c>
      <c r="D15" s="106">
        <v>4.9981398338079481</v>
      </c>
      <c r="E15" s="106">
        <v>4120.4664789912722</v>
      </c>
      <c r="F15" s="106">
        <v>10.170729474300547</v>
      </c>
      <c r="G15" s="106">
        <v>8384.7493786133709</v>
      </c>
      <c r="H15" s="106">
        <v>15</v>
      </c>
      <c r="I15" s="106">
        <v>12366</v>
      </c>
      <c r="J15" s="106">
        <v>9.2783943723300624</v>
      </c>
      <c r="K15" s="106">
        <v>7649.1083205489031</v>
      </c>
      <c r="L15" s="106">
        <v>4.1738673697447766</v>
      </c>
      <c r="M15" s="106">
        <v>3440.9362596175938</v>
      </c>
      <c r="N15" s="106">
        <v>4.2299161633869726</v>
      </c>
      <c r="O15" s="106">
        <v>3487.1428850962202</v>
      </c>
      <c r="P15" s="106">
        <v>5.2311849497094194</v>
      </c>
      <c r="Q15" s="106">
        <v>4312.5888725404457</v>
      </c>
      <c r="R15" s="106">
        <v>5.1053406472266367</v>
      </c>
      <c r="S15" s="106">
        <v>4208.8428295736394</v>
      </c>
      <c r="T15" s="106">
        <v>11.361260918123394</v>
      </c>
      <c r="U15" s="106">
        <v>9366.2235009009255</v>
      </c>
      <c r="V15" s="106">
        <v>12.797645795569641</v>
      </c>
      <c r="W15" s="106">
        <v>10550.379193867611</v>
      </c>
      <c r="X15" s="106">
        <v>7</v>
      </c>
      <c r="Y15" s="106">
        <v>5770.8</v>
      </c>
      <c r="Z15" s="106">
        <v>9.6396075247681221</v>
      </c>
      <c r="AA15" s="106">
        <v>7946.8924434188393</v>
      </c>
      <c r="AB15" s="106">
        <v>8</v>
      </c>
      <c r="AC15" s="106">
        <v>6595.2</v>
      </c>
      <c r="AD15" s="106">
        <v>9.2031018132343068</v>
      </c>
      <c r="AE15" s="106">
        <v>7587.0371348303624</v>
      </c>
      <c r="AF15" s="106">
        <v>14.257529693790881</v>
      </c>
      <c r="AG15" s="106">
        <v>11753.907479561201</v>
      </c>
      <c r="AH15" s="106">
        <v>12.065702863989902</v>
      </c>
      <c r="AI15" s="106">
        <v>9946.9654410732746</v>
      </c>
      <c r="AJ15" s="106">
        <v>8.2868564049928342</v>
      </c>
      <c r="AK15" s="106">
        <v>6831.6844202760922</v>
      </c>
      <c r="AL15" s="106">
        <v>6.4359166524593325</v>
      </c>
      <c r="AM15" s="106">
        <v>5305.7696882874734</v>
      </c>
      <c r="AN15" s="106">
        <v>6.4223798728674257</v>
      </c>
      <c r="AO15" s="106">
        <v>5294.6099671919055</v>
      </c>
      <c r="AP15" s="106">
        <v>6.1359649442959485</v>
      </c>
      <c r="AQ15" s="106">
        <v>5058.4895000775796</v>
      </c>
      <c r="AR15" s="106">
        <v>10.064497218392145</v>
      </c>
      <c r="AS15" s="106">
        <v>8297.1715068424837</v>
      </c>
      <c r="AT15" s="106">
        <v>6.1191157784929544</v>
      </c>
      <c r="AU15" s="106">
        <v>5044.5990477895912</v>
      </c>
      <c r="AV15" s="106">
        <v>10</v>
      </c>
      <c r="AW15" s="106">
        <v>8244</v>
      </c>
      <c r="AX15" s="106">
        <v>9.2190414266607306</v>
      </c>
      <c r="AY15" s="106">
        <v>7600.1777521391059</v>
      </c>
      <c r="AZ15" s="106">
        <v>6.2521231533987347</v>
      </c>
      <c r="BA15" s="106">
        <v>5154.2503276619163</v>
      </c>
      <c r="BB15" s="106">
        <v>6.2477469796761609</v>
      </c>
      <c r="BC15" s="106">
        <v>5150.6426100450271</v>
      </c>
      <c r="BD15" s="106">
        <v>6</v>
      </c>
      <c r="BE15" s="106">
        <v>4946.3999999999996</v>
      </c>
      <c r="BF15" s="106">
        <v>5.2350336318200759</v>
      </c>
      <c r="BG15" s="106">
        <v>4315.7617260724701</v>
      </c>
      <c r="BH15" s="106">
        <v>5</v>
      </c>
      <c r="BI15" s="106">
        <v>4122</v>
      </c>
      <c r="BJ15" s="106">
        <v>6.4777360810518028</v>
      </c>
      <c r="BK15" s="106">
        <v>5340.2456252191059</v>
      </c>
      <c r="BL15" s="106">
        <v>6</v>
      </c>
      <c r="BM15" s="106">
        <v>4946.3999999999996</v>
      </c>
      <c r="BN15" s="106">
        <v>7.6467824592707627</v>
      </c>
      <c r="BO15" s="106">
        <v>6304.0074594228163</v>
      </c>
      <c r="BP15" s="106">
        <v>11.187382403867923</v>
      </c>
      <c r="BQ15" s="106">
        <v>9222.8780537487164</v>
      </c>
      <c r="BR15" s="106">
        <v>8.2261507121570183</v>
      </c>
      <c r="BS15" s="106">
        <v>6781.6386471022461</v>
      </c>
      <c r="BT15" s="106">
        <v>9</v>
      </c>
      <c r="BU15" s="106">
        <v>7419.5999999999995</v>
      </c>
      <c r="BV15" s="106">
        <v>10.286269889107764</v>
      </c>
      <c r="BW15" s="106">
        <v>8480.0008965804409</v>
      </c>
      <c r="BX15" s="106">
        <v>92.334487057499913</v>
      </c>
      <c r="BY15" s="106">
        <v>76120.551130202934</v>
      </c>
      <c r="BZ15" s="106">
        <v>76.351318159237522</v>
      </c>
      <c r="CA15" s="106">
        <v>62944.02669047541</v>
      </c>
      <c r="CB15" s="106">
        <v>77.20859691092474</v>
      </c>
      <c r="CC15" s="106">
        <v>63650.767293366356</v>
      </c>
      <c r="CD15" s="106">
        <v>67.406489922338025</v>
      </c>
      <c r="CE15" s="106">
        <v>55569.910291975466</v>
      </c>
      <c r="CF15" s="106">
        <v>16</v>
      </c>
      <c r="CG15" s="106">
        <v>13190.4</v>
      </c>
      <c r="CH15" s="106">
        <v>20.349184699827639</v>
      </c>
      <c r="CI15" s="106">
        <v>16775.867866537905</v>
      </c>
      <c r="CJ15" s="106">
        <v>16</v>
      </c>
      <c r="CK15" s="106">
        <v>13190.4</v>
      </c>
      <c r="CL15" s="106">
        <v>15.309640861624731</v>
      </c>
      <c r="CM15" s="106">
        <v>12621.267926323428</v>
      </c>
      <c r="CN15" s="106">
        <v>8.1689287871291629</v>
      </c>
      <c r="CO15" s="106">
        <v>6734.4648921092821</v>
      </c>
      <c r="CP15" s="106">
        <v>10.150607225984441</v>
      </c>
      <c r="CQ15" s="106">
        <v>8368.1605971015724</v>
      </c>
      <c r="CR15" s="106">
        <v>8.2533861205656009</v>
      </c>
      <c r="CS15" s="106">
        <v>6804.0915177942816</v>
      </c>
      <c r="CT15" s="106">
        <v>9.1754214454307874</v>
      </c>
      <c r="CU15" s="106">
        <v>7564.2174396131413</v>
      </c>
    </row>
    <row r="16" spans="1:99" x14ac:dyDescent="0.2">
      <c r="C16" s="105" t="s">
        <v>182</v>
      </c>
      <c r="D16" s="106">
        <v>5.414651486625278</v>
      </c>
      <c r="E16" s="106">
        <v>2754.9746763949411</v>
      </c>
      <c r="F16" s="106">
        <v>10.170729474300547</v>
      </c>
      <c r="G16" s="106">
        <v>5174.8671565241175</v>
      </c>
      <c r="H16" s="106">
        <v>15</v>
      </c>
      <c r="I16" s="106">
        <v>7631.9999999999982</v>
      </c>
      <c r="J16" s="106">
        <v>10.278394372330062</v>
      </c>
      <c r="K16" s="106">
        <v>5229.6470566415346</v>
      </c>
      <c r="L16" s="106">
        <v>4.1738673697447766</v>
      </c>
      <c r="M16" s="106">
        <v>2123.6637177261418</v>
      </c>
      <c r="N16" s="106">
        <v>3.2299161633869731</v>
      </c>
      <c r="O16" s="106">
        <v>1643.3813439312917</v>
      </c>
      <c r="P16" s="106">
        <v>5.2311849497094194</v>
      </c>
      <c r="Q16" s="106">
        <v>2661.626902412152</v>
      </c>
      <c r="R16" s="106">
        <v>5.1264087766719637</v>
      </c>
      <c r="S16" s="106">
        <v>2608.3167855706947</v>
      </c>
      <c r="T16" s="106">
        <v>10.361260918123394</v>
      </c>
      <c r="U16" s="106">
        <v>5271.8095551411816</v>
      </c>
      <c r="V16" s="106">
        <v>13.847498657792745</v>
      </c>
      <c r="W16" s="106">
        <v>7045.6073170849468</v>
      </c>
      <c r="X16" s="106">
        <v>7</v>
      </c>
      <c r="Y16" s="106">
        <v>3561.5999999999995</v>
      </c>
      <c r="Z16" s="106">
        <v>8.6772314968133042</v>
      </c>
      <c r="AA16" s="106">
        <v>4414.9753855786084</v>
      </c>
      <c r="AB16" s="106">
        <v>7</v>
      </c>
      <c r="AC16" s="106">
        <v>3561.5999999999995</v>
      </c>
      <c r="AD16" s="106">
        <v>8.1624814505874461</v>
      </c>
      <c r="AE16" s="106">
        <v>4153.0705620588915</v>
      </c>
      <c r="AF16" s="106">
        <v>13.257529693790881</v>
      </c>
      <c r="AG16" s="106">
        <v>6745.4311082007989</v>
      </c>
      <c r="AH16" s="106">
        <v>13.065702863989902</v>
      </c>
      <c r="AI16" s="106">
        <v>6647.829617198061</v>
      </c>
      <c r="AJ16" s="106">
        <v>9.2677326446599793</v>
      </c>
      <c r="AK16" s="106">
        <v>4715.4223696029967</v>
      </c>
      <c r="AL16" s="106">
        <v>6.4023846022701534</v>
      </c>
      <c r="AM16" s="106">
        <v>3257.5332856350533</v>
      </c>
      <c r="AN16" s="106">
        <v>6.4927765183453303</v>
      </c>
      <c r="AO16" s="106">
        <v>3303.5246925341035</v>
      </c>
      <c r="AP16" s="106">
        <v>5.146423786164867</v>
      </c>
      <c r="AQ16" s="106">
        <v>2618.5004224006839</v>
      </c>
      <c r="AR16" s="106">
        <v>10.080621522990182</v>
      </c>
      <c r="AS16" s="106">
        <v>5129.0202308974031</v>
      </c>
      <c r="AT16" s="106">
        <v>7.1340052508045737</v>
      </c>
      <c r="AU16" s="106">
        <v>3629.7818716093666</v>
      </c>
      <c r="AV16" s="106">
        <v>9</v>
      </c>
      <c r="AW16" s="106">
        <v>4579.1999999999989</v>
      </c>
      <c r="AX16" s="106">
        <v>8.2628497119928763</v>
      </c>
      <c r="AY16" s="106">
        <v>4204.1379334619751</v>
      </c>
      <c r="AZ16" s="106">
        <v>6.2521231533987347</v>
      </c>
      <c r="BA16" s="106">
        <v>3181.0802604492756</v>
      </c>
      <c r="BB16" s="106">
        <v>7.2831394053441834</v>
      </c>
      <c r="BC16" s="106">
        <v>3705.6613294391195</v>
      </c>
      <c r="BD16" s="106">
        <v>7</v>
      </c>
      <c r="BE16" s="106">
        <v>3561.5999999999995</v>
      </c>
      <c r="BF16" s="106">
        <v>5.2350336318200759</v>
      </c>
      <c r="BG16" s="106">
        <v>2663.5851118700539</v>
      </c>
      <c r="BH16" s="106">
        <v>6</v>
      </c>
      <c r="BI16" s="106">
        <v>3052.7999999999993</v>
      </c>
      <c r="BJ16" s="106">
        <v>7.5732832972621633</v>
      </c>
      <c r="BK16" s="106">
        <v>3853.2865416469881</v>
      </c>
      <c r="BL16" s="106">
        <v>8</v>
      </c>
      <c r="BM16" s="106">
        <v>4070.3999999999992</v>
      </c>
      <c r="BN16" s="106">
        <v>7.6467824592707627</v>
      </c>
      <c r="BO16" s="106">
        <v>3890.6829152769633</v>
      </c>
      <c r="BP16" s="106">
        <v>12.187382403867923</v>
      </c>
      <c r="BQ16" s="106">
        <v>6200.9401670879979</v>
      </c>
      <c r="BR16" s="106">
        <v>8.2261507121570183</v>
      </c>
      <c r="BS16" s="106">
        <v>4185.4654823454903</v>
      </c>
      <c r="BT16" s="106">
        <v>9</v>
      </c>
      <c r="BU16" s="106">
        <v>4579.1999999999989</v>
      </c>
      <c r="BV16" s="106">
        <v>11.286269889107764</v>
      </c>
      <c r="BW16" s="106">
        <v>5742.4541195780293</v>
      </c>
      <c r="BX16" s="106">
        <v>105.36021683115375</v>
      </c>
      <c r="BY16" s="106">
        <v>53607.278323691018</v>
      </c>
      <c r="BZ16" s="106">
        <v>84.32204164596773</v>
      </c>
      <c r="CA16" s="106">
        <v>42903.05478946837</v>
      </c>
      <c r="CB16" s="106">
        <v>78.20859691092474</v>
      </c>
      <c r="CC16" s="106">
        <v>39792.534108278502</v>
      </c>
      <c r="CD16" s="106">
        <v>69.381084302191908</v>
      </c>
      <c r="CE16" s="106">
        <v>35301.095692955234</v>
      </c>
      <c r="CF16" s="106">
        <v>18</v>
      </c>
      <c r="CG16" s="106">
        <v>9158.3999999999978</v>
      </c>
      <c r="CH16" s="106">
        <v>23.349184699827639</v>
      </c>
      <c r="CI16" s="106">
        <v>11880.065175272301</v>
      </c>
      <c r="CJ16" s="106">
        <v>15</v>
      </c>
      <c r="CK16" s="106">
        <v>7631.9999999999982</v>
      </c>
      <c r="CL16" s="106">
        <v>18.353875270428265</v>
      </c>
      <c r="CM16" s="106">
        <v>9338.4517375938995</v>
      </c>
      <c r="CN16" s="106">
        <v>9.1447961032535687</v>
      </c>
      <c r="CO16" s="106">
        <v>4652.8722573354153</v>
      </c>
      <c r="CP16" s="106">
        <v>10.188259032480552</v>
      </c>
      <c r="CQ16" s="106">
        <v>5183.7861957261039</v>
      </c>
      <c r="CR16" s="106">
        <v>8.2217128554948999</v>
      </c>
      <c r="CS16" s="106">
        <v>4183.2075008758038</v>
      </c>
      <c r="CT16" s="106">
        <v>11.175421445430787</v>
      </c>
      <c r="CU16" s="106">
        <v>5686.0544314351837</v>
      </c>
    </row>
    <row r="17" spans="2:99" x14ac:dyDescent="0.2">
      <c r="C17" s="105" t="s">
        <v>183</v>
      </c>
      <c r="D17" s="106">
        <v>5.8311631394426069</v>
      </c>
      <c r="E17" s="106">
        <v>2896.9218476750871</v>
      </c>
      <c r="F17" s="106">
        <v>11.170729474300547</v>
      </c>
      <c r="G17" s="106">
        <v>5549.6184028325115</v>
      </c>
      <c r="H17" s="106">
        <v>14</v>
      </c>
      <c r="I17" s="106">
        <v>6955.1999999999989</v>
      </c>
      <c r="J17" s="106">
        <v>9.2783943723300624</v>
      </c>
      <c r="K17" s="106">
        <v>4609.5063241735743</v>
      </c>
      <c r="L17" s="106">
        <v>4.2173342121809707</v>
      </c>
      <c r="M17" s="106">
        <v>2095.1716366115061</v>
      </c>
      <c r="N17" s="106">
        <v>4.1915968028224775</v>
      </c>
      <c r="O17" s="106">
        <v>2082.3852916422065</v>
      </c>
      <c r="P17" s="106">
        <v>5.2311849497094194</v>
      </c>
      <c r="Q17" s="106">
        <v>2598.8526830156393</v>
      </c>
      <c r="R17" s="106">
        <v>5.1053406472266367</v>
      </c>
      <c r="S17" s="106">
        <v>2536.3332335421928</v>
      </c>
      <c r="T17" s="106">
        <v>10.333471616729287</v>
      </c>
      <c r="U17" s="106">
        <v>5133.6686991911092</v>
      </c>
      <c r="V17" s="106">
        <v>12.947204382238949</v>
      </c>
      <c r="W17" s="106">
        <v>6432.1711370963094</v>
      </c>
      <c r="X17" s="106">
        <v>8</v>
      </c>
      <c r="Y17" s="106">
        <v>3974.3999999999996</v>
      </c>
      <c r="Z17" s="106">
        <v>8.6396075247681221</v>
      </c>
      <c r="AA17" s="106">
        <v>4292.1570183048025</v>
      </c>
      <c r="AB17" s="106">
        <v>8</v>
      </c>
      <c r="AC17" s="106">
        <v>3974.3999999999996</v>
      </c>
      <c r="AD17" s="106">
        <v>9.2031018132343068</v>
      </c>
      <c r="AE17" s="106">
        <v>4572.1009808148028</v>
      </c>
      <c r="AF17" s="106">
        <v>13.300451309422694</v>
      </c>
      <c r="AG17" s="106">
        <v>6607.664210521194</v>
      </c>
      <c r="AH17" s="106">
        <v>13.054752386658251</v>
      </c>
      <c r="AI17" s="106">
        <v>6485.6009856918181</v>
      </c>
      <c r="AJ17" s="106">
        <v>8.2486088843271226</v>
      </c>
      <c r="AK17" s="106">
        <v>4097.9088937337137</v>
      </c>
      <c r="AL17" s="106">
        <v>6.4023846022701534</v>
      </c>
      <c r="AM17" s="106">
        <v>3180.704670407812</v>
      </c>
      <c r="AN17" s="106">
        <v>7.4223798728674257</v>
      </c>
      <c r="AO17" s="106">
        <v>3687.4383208405366</v>
      </c>
      <c r="AP17" s="106">
        <v>6.1255061024270292</v>
      </c>
      <c r="AQ17" s="106">
        <v>3043.1514316857479</v>
      </c>
      <c r="AR17" s="106">
        <v>10.080621522990182</v>
      </c>
      <c r="AS17" s="106">
        <v>5008.0527726215214</v>
      </c>
      <c r="AT17" s="106">
        <v>6.1340052508045737</v>
      </c>
      <c r="AU17" s="106">
        <v>3047.373808599712</v>
      </c>
      <c r="AV17" s="106">
        <v>11</v>
      </c>
      <c r="AW17" s="106">
        <v>5464.7999999999993</v>
      </c>
      <c r="AX17" s="106">
        <v>9.2628497119928763</v>
      </c>
      <c r="AY17" s="106">
        <v>4601.7837369180606</v>
      </c>
      <c r="AZ17" s="106">
        <v>6.2836385475735765</v>
      </c>
      <c r="BA17" s="106">
        <v>3121.7116304345527</v>
      </c>
      <c r="BB17" s="106">
        <v>6.2477469796761609</v>
      </c>
      <c r="BC17" s="106">
        <v>3103.8806995031164</v>
      </c>
      <c r="BD17" s="106">
        <v>7</v>
      </c>
      <c r="BE17" s="106">
        <v>3477.5999999999995</v>
      </c>
      <c r="BF17" s="106">
        <v>5.2350336318200759</v>
      </c>
      <c r="BG17" s="106">
        <v>2600.7647082882136</v>
      </c>
      <c r="BH17" s="106">
        <v>6</v>
      </c>
      <c r="BI17" s="106">
        <v>2980.7999999999997</v>
      </c>
      <c r="BJ17" s="106">
        <v>6.4777360810518028</v>
      </c>
      <c r="BK17" s="106">
        <v>3218.1392850665352</v>
      </c>
      <c r="BL17" s="106">
        <v>7</v>
      </c>
      <c r="BM17" s="106">
        <v>3477.5999999999995</v>
      </c>
      <c r="BN17" s="106">
        <v>6.5659346518619177</v>
      </c>
      <c r="BO17" s="106">
        <v>3261.9563350450003</v>
      </c>
      <c r="BP17" s="106">
        <v>10.187382403867923</v>
      </c>
      <c r="BQ17" s="106">
        <v>5061.0915782415841</v>
      </c>
      <c r="BR17" s="106">
        <v>9.2261507121570183</v>
      </c>
      <c r="BS17" s="106">
        <v>4583.5516737996059</v>
      </c>
      <c r="BT17" s="106">
        <v>9</v>
      </c>
      <c r="BU17" s="106">
        <v>4471.2</v>
      </c>
      <c r="BV17" s="106">
        <v>12.286269889107764</v>
      </c>
      <c r="BW17" s="106">
        <v>6103.8188809087369</v>
      </c>
      <c r="BX17" s="106">
        <v>98.36021683115375</v>
      </c>
      <c r="BY17" s="106">
        <v>48865.355721717176</v>
      </c>
      <c r="BZ17" s="106">
        <v>91.351318159237522</v>
      </c>
      <c r="CA17" s="106">
        <v>45383.334861509196</v>
      </c>
      <c r="CB17" s="106">
        <v>79.20859691092474</v>
      </c>
      <c r="CC17" s="106">
        <v>39350.830945347407</v>
      </c>
      <c r="CD17" s="106">
        <v>66.355678682045777</v>
      </c>
      <c r="CE17" s="106">
        <v>32965.501169240342</v>
      </c>
      <c r="CF17" s="106">
        <v>18</v>
      </c>
      <c r="CG17" s="106">
        <v>8942.4</v>
      </c>
      <c r="CH17" s="106">
        <v>23.349184699827639</v>
      </c>
      <c r="CI17" s="106">
        <v>11599.87495887437</v>
      </c>
      <c r="CJ17" s="106">
        <v>14</v>
      </c>
      <c r="CK17" s="106">
        <v>6955.1999999999989</v>
      </c>
      <c r="CL17" s="106">
        <v>19.353875270428265</v>
      </c>
      <c r="CM17" s="106">
        <v>9615.0052343487605</v>
      </c>
      <c r="CN17" s="106">
        <v>9.1930614710047589</v>
      </c>
      <c r="CO17" s="106">
        <v>4567.1129387951642</v>
      </c>
      <c r="CP17" s="106">
        <v>10.188259032480552</v>
      </c>
      <c r="CQ17" s="106">
        <v>5061.5270873363379</v>
      </c>
      <c r="CR17" s="106">
        <v>8.2217128554948999</v>
      </c>
      <c r="CS17" s="106">
        <v>4084.5469466098657</v>
      </c>
      <c r="CT17" s="106">
        <v>10.175421445430787</v>
      </c>
      <c r="CU17" s="106">
        <v>5055.149374090015</v>
      </c>
    </row>
    <row r="18" spans="2:99" x14ac:dyDescent="0.2">
      <c r="C18" s="105" t="s">
        <v>184</v>
      </c>
      <c r="D18" s="106">
        <v>5.414651486625278</v>
      </c>
      <c r="E18" s="106">
        <v>3957.0273064257531</v>
      </c>
      <c r="F18" s="106">
        <v>11.128047105725409</v>
      </c>
      <c r="G18" s="106">
        <v>8132.376824864129</v>
      </c>
      <c r="H18" s="106">
        <v>15</v>
      </c>
      <c r="I18" s="106">
        <v>10962</v>
      </c>
      <c r="J18" s="106">
        <v>9.3247934343850716</v>
      </c>
      <c r="K18" s="106">
        <v>6814.5590418486099</v>
      </c>
      <c r="L18" s="106">
        <v>4.2173342121809707</v>
      </c>
      <c r="M18" s="106">
        <v>3082.027842261853</v>
      </c>
      <c r="N18" s="106">
        <v>3.2299161633869731</v>
      </c>
      <c r="O18" s="106">
        <v>2360.4227322031998</v>
      </c>
      <c r="P18" s="106">
        <v>5.2311849497094194</v>
      </c>
      <c r="Q18" s="106">
        <v>3822.9499612476434</v>
      </c>
      <c r="R18" s="106">
        <v>5.1053406472266367</v>
      </c>
      <c r="S18" s="106">
        <v>3730.9829449932258</v>
      </c>
      <c r="T18" s="106">
        <v>11.361260918123394</v>
      </c>
      <c r="U18" s="106">
        <v>8302.8094789645766</v>
      </c>
      <c r="V18" s="106">
        <v>11.897351520015846</v>
      </c>
      <c r="W18" s="106">
        <v>8694.5844908275794</v>
      </c>
      <c r="X18" s="106">
        <v>8</v>
      </c>
      <c r="Y18" s="106">
        <v>5846.4</v>
      </c>
      <c r="Z18" s="106">
        <v>9.6396075247681221</v>
      </c>
      <c r="AA18" s="106">
        <v>7044.6251791005434</v>
      </c>
      <c r="AB18" s="106">
        <v>8</v>
      </c>
      <c r="AC18" s="106">
        <v>5846.4</v>
      </c>
      <c r="AD18" s="106">
        <v>9.2031018132343068</v>
      </c>
      <c r="AE18" s="106">
        <v>6725.6268051116313</v>
      </c>
      <c r="AF18" s="106">
        <v>13.300451309422694</v>
      </c>
      <c r="AG18" s="106">
        <v>9719.9698169261046</v>
      </c>
      <c r="AH18" s="106">
        <v>12.065702863989902</v>
      </c>
      <c r="AI18" s="106">
        <v>8817.6156530038188</v>
      </c>
      <c r="AJ18" s="106">
        <v>8.2868564049928342</v>
      </c>
      <c r="AK18" s="106">
        <v>6056.0346607687625</v>
      </c>
      <c r="AL18" s="106">
        <v>6.4023846022701534</v>
      </c>
      <c r="AM18" s="106">
        <v>4678.8626673390281</v>
      </c>
      <c r="AN18" s="106">
        <v>6.457578195606378</v>
      </c>
      <c r="AO18" s="106">
        <v>4719.1981453491408</v>
      </c>
      <c r="AP18" s="106">
        <v>5.1359649442959485</v>
      </c>
      <c r="AQ18" s="106">
        <v>3753.3631812914791</v>
      </c>
      <c r="AR18" s="106">
        <v>10.080621522990182</v>
      </c>
      <c r="AS18" s="106">
        <v>7366.9182090012246</v>
      </c>
      <c r="AT18" s="106">
        <v>7.1191157784929544</v>
      </c>
      <c r="AU18" s="106">
        <v>5202.6498109226504</v>
      </c>
      <c r="AV18" s="106">
        <v>9</v>
      </c>
      <c r="AW18" s="106">
        <v>6577.2</v>
      </c>
      <c r="AX18" s="106">
        <v>8.2628497119928763</v>
      </c>
      <c r="AY18" s="106">
        <v>6038.4905695243933</v>
      </c>
      <c r="AZ18" s="106">
        <v>6.2521231533987347</v>
      </c>
      <c r="BA18" s="106">
        <v>4569.0516005037953</v>
      </c>
      <c r="BB18" s="106">
        <v>6.2831394053441834</v>
      </c>
      <c r="BC18" s="106">
        <v>4591.7182774255289</v>
      </c>
      <c r="BD18" s="106">
        <v>7</v>
      </c>
      <c r="BE18" s="106">
        <v>5115.5999999999995</v>
      </c>
      <c r="BF18" s="106">
        <v>4.2350336318200759</v>
      </c>
      <c r="BG18" s="106">
        <v>3094.962578134111</v>
      </c>
      <c r="BH18" s="106">
        <v>6</v>
      </c>
      <c r="BI18" s="106">
        <v>4384.7999999999993</v>
      </c>
      <c r="BJ18" s="106">
        <v>6.5095851531219227</v>
      </c>
      <c r="BK18" s="106">
        <v>4757.2048299015005</v>
      </c>
      <c r="BL18" s="106">
        <v>8</v>
      </c>
      <c r="BM18" s="106">
        <v>5846.4</v>
      </c>
      <c r="BN18" s="106">
        <v>8.5659346518619177</v>
      </c>
      <c r="BO18" s="106">
        <v>6259.9850435806893</v>
      </c>
      <c r="BP18" s="106">
        <v>10.187382403867923</v>
      </c>
      <c r="BQ18" s="106">
        <v>7444.9390607466776</v>
      </c>
      <c r="BR18" s="106">
        <v>8.2261507121570183</v>
      </c>
      <c r="BS18" s="106">
        <v>6011.6709404443482</v>
      </c>
      <c r="BT18" s="106">
        <v>9</v>
      </c>
      <c r="BU18" s="106">
        <v>6577.2</v>
      </c>
      <c r="BV18" s="106">
        <v>11.286269889107764</v>
      </c>
      <c r="BW18" s="106">
        <v>8248.0060349599535</v>
      </c>
      <c r="BX18" s="106">
        <v>110.33448705749991</v>
      </c>
      <c r="BY18" s="106">
        <v>80632.443141620926</v>
      </c>
      <c r="BZ18" s="106">
        <v>82.351318159237522</v>
      </c>
      <c r="CA18" s="106">
        <v>60182.343310770775</v>
      </c>
      <c r="CB18" s="106">
        <v>71.20859691092474</v>
      </c>
      <c r="CC18" s="106">
        <v>52039.2426225038</v>
      </c>
      <c r="CD18" s="106">
        <v>63.406489922338032</v>
      </c>
      <c r="CE18" s="106">
        <v>46337.462835244631</v>
      </c>
      <c r="CF18" s="106">
        <v>18</v>
      </c>
      <c r="CG18" s="106">
        <v>13154.4</v>
      </c>
      <c r="CH18" s="106">
        <v>19.349184699827639</v>
      </c>
      <c r="CI18" s="106">
        <v>14140.384178634038</v>
      </c>
      <c r="CJ18" s="106">
        <v>15</v>
      </c>
      <c r="CK18" s="106">
        <v>10962</v>
      </c>
      <c r="CL18" s="106">
        <v>16.353875270428265</v>
      </c>
      <c r="CM18" s="106">
        <v>11951.412047628975</v>
      </c>
      <c r="CN18" s="106">
        <v>9.1930614710047589</v>
      </c>
      <c r="CO18" s="106">
        <v>6718.2893230102773</v>
      </c>
      <c r="CP18" s="106">
        <v>10.188259032480552</v>
      </c>
      <c r="CQ18" s="106">
        <v>7445.579700936787</v>
      </c>
      <c r="CR18" s="106">
        <v>8.2217128554948999</v>
      </c>
      <c r="CS18" s="106">
        <v>6008.4277547956726</v>
      </c>
      <c r="CT18" s="106">
        <v>11.175421445430787</v>
      </c>
      <c r="CU18" s="106">
        <v>8166.9979923208193</v>
      </c>
    </row>
    <row r="19" spans="2:99" x14ac:dyDescent="0.2">
      <c r="C19" s="105" t="s">
        <v>185</v>
      </c>
      <c r="D19" s="106">
        <v>5.414651486625278</v>
      </c>
      <c r="E19" s="106">
        <v>2092.2213344320071</v>
      </c>
      <c r="F19" s="106">
        <v>9.170729474300547</v>
      </c>
      <c r="G19" s="106">
        <v>3543.5698688697312</v>
      </c>
      <c r="H19" s="106">
        <v>15</v>
      </c>
      <c r="I19" s="106">
        <v>5796</v>
      </c>
      <c r="J19" s="106">
        <v>10.278394372330062</v>
      </c>
      <c r="K19" s="106">
        <v>3971.5715854683358</v>
      </c>
      <c r="L19" s="106">
        <v>4.2173342121809707</v>
      </c>
      <c r="M19" s="106">
        <v>1629.5779395867271</v>
      </c>
      <c r="N19" s="106">
        <v>4.2682355239514687</v>
      </c>
      <c r="O19" s="106">
        <v>1649.2462064548474</v>
      </c>
      <c r="P19" s="106">
        <v>4.2311849497094194</v>
      </c>
      <c r="Q19" s="106">
        <v>1634.9298645677195</v>
      </c>
      <c r="R19" s="106">
        <v>5.1053406472266367</v>
      </c>
      <c r="S19" s="106">
        <v>1972.7036260883724</v>
      </c>
      <c r="T19" s="106">
        <v>11.361260918123394</v>
      </c>
      <c r="U19" s="106">
        <v>4389.9912187628788</v>
      </c>
      <c r="V19" s="106">
        <v>14.897351520015846</v>
      </c>
      <c r="W19" s="106">
        <v>5756.3366273341226</v>
      </c>
      <c r="X19" s="106">
        <v>8</v>
      </c>
      <c r="Y19" s="106">
        <v>3091.2</v>
      </c>
      <c r="Z19" s="106">
        <v>9.6772314968133042</v>
      </c>
      <c r="AA19" s="106">
        <v>3739.2822503686607</v>
      </c>
      <c r="AB19" s="106">
        <v>7</v>
      </c>
      <c r="AC19" s="106">
        <v>2704.7999999999997</v>
      </c>
      <c r="AD19" s="106">
        <v>10.203101813234307</v>
      </c>
      <c r="AE19" s="106">
        <v>3942.478540633736</v>
      </c>
      <c r="AF19" s="106">
        <v>15.300451309422694</v>
      </c>
      <c r="AG19" s="106">
        <v>5912.0943859609288</v>
      </c>
      <c r="AH19" s="106">
        <v>13.065702863989902</v>
      </c>
      <c r="AI19" s="106">
        <v>5048.5875866456981</v>
      </c>
      <c r="AJ19" s="106">
        <v>9.2677326446599793</v>
      </c>
      <c r="AK19" s="106">
        <v>3581.0518938966156</v>
      </c>
      <c r="AL19" s="106">
        <v>6.4023846022701534</v>
      </c>
      <c r="AM19" s="106">
        <v>2473.8814103171871</v>
      </c>
      <c r="AN19" s="106">
        <v>6.4223798728674257</v>
      </c>
      <c r="AO19" s="106">
        <v>2481.6075828759731</v>
      </c>
      <c r="AP19" s="106">
        <v>5.1568826280337863</v>
      </c>
      <c r="AQ19" s="106">
        <v>1992.6194474722549</v>
      </c>
      <c r="AR19" s="106">
        <v>9.0806215229901817</v>
      </c>
      <c r="AS19" s="106">
        <v>3508.752156483406</v>
      </c>
      <c r="AT19" s="106">
        <v>6.1191157784929544</v>
      </c>
      <c r="AU19" s="106">
        <v>2364.4263368096777</v>
      </c>
      <c r="AV19" s="106">
        <v>11</v>
      </c>
      <c r="AW19" s="106">
        <v>4250.3999999999996</v>
      </c>
      <c r="AX19" s="106">
        <v>9.2628497119928763</v>
      </c>
      <c r="AY19" s="106">
        <v>3579.1651287140471</v>
      </c>
      <c r="AZ19" s="106">
        <v>6.2521231533987347</v>
      </c>
      <c r="BA19" s="106">
        <v>2415.8203864732709</v>
      </c>
      <c r="BB19" s="106">
        <v>6.2831394053441834</v>
      </c>
      <c r="BC19" s="106">
        <v>2427.8050662249925</v>
      </c>
      <c r="BD19" s="106">
        <v>7</v>
      </c>
      <c r="BE19" s="106">
        <v>2704.7999999999997</v>
      </c>
      <c r="BF19" s="106">
        <v>4.2350336318200759</v>
      </c>
      <c r="BG19" s="106">
        <v>1636.4169953352773</v>
      </c>
      <c r="BH19" s="106">
        <v>6</v>
      </c>
      <c r="BI19" s="106">
        <v>2318.3999999999996</v>
      </c>
      <c r="BJ19" s="106">
        <v>7.5095851531219227</v>
      </c>
      <c r="BK19" s="106">
        <v>2901.7037031663108</v>
      </c>
      <c r="BL19" s="106">
        <v>7</v>
      </c>
      <c r="BM19" s="106">
        <v>2704.7999999999997</v>
      </c>
      <c r="BN19" s="106">
        <v>7.6467824592707627</v>
      </c>
      <c r="BO19" s="106">
        <v>2954.7167422622224</v>
      </c>
      <c r="BP19" s="106">
        <v>10.187382403867923</v>
      </c>
      <c r="BQ19" s="106">
        <v>3936.4045608545653</v>
      </c>
      <c r="BR19" s="106">
        <v>7.1938434675631582</v>
      </c>
      <c r="BS19" s="106">
        <v>2779.7011158664041</v>
      </c>
      <c r="BT19" s="106">
        <v>9</v>
      </c>
      <c r="BU19" s="106">
        <v>3477.6</v>
      </c>
      <c r="BV19" s="106">
        <v>11.286269889107764</v>
      </c>
      <c r="BW19" s="106">
        <v>4361.01468515124</v>
      </c>
      <c r="BX19" s="106">
        <v>108.3859466048076</v>
      </c>
      <c r="BY19" s="106">
        <v>41880.329768097654</v>
      </c>
      <c r="BZ19" s="106">
        <v>92.351318159237522</v>
      </c>
      <c r="CA19" s="106">
        <v>35684.549336729375</v>
      </c>
      <c r="CB19" s="106">
        <v>91.234671524790329</v>
      </c>
      <c r="CC19" s="106">
        <v>35253.077077178983</v>
      </c>
      <c r="CD19" s="106">
        <v>66.355678682045777</v>
      </c>
      <c r="CE19" s="106">
        <v>25639.834242742487</v>
      </c>
      <c r="CF19" s="106">
        <v>18</v>
      </c>
      <c r="CG19" s="106">
        <v>6955.2</v>
      </c>
      <c r="CH19" s="106">
        <v>22.349184699827639</v>
      </c>
      <c r="CI19" s="106">
        <v>8635.7249680133991</v>
      </c>
      <c r="CJ19" s="106">
        <v>15</v>
      </c>
      <c r="CK19" s="106">
        <v>5796</v>
      </c>
      <c r="CL19" s="106">
        <v>17.353875270428265</v>
      </c>
      <c r="CM19" s="106">
        <v>6705.5374044934815</v>
      </c>
      <c r="CN19" s="106">
        <v>8.1689287871291629</v>
      </c>
      <c r="CO19" s="106">
        <v>3156.4740833467085</v>
      </c>
      <c r="CP19" s="106">
        <v>11.188259032480552</v>
      </c>
      <c r="CQ19" s="106">
        <v>4323.143290150485</v>
      </c>
      <c r="CR19" s="106">
        <v>9.2217128554948999</v>
      </c>
      <c r="CS19" s="106">
        <v>3563.269847363229</v>
      </c>
      <c r="CT19" s="106">
        <v>10.155930173716255</v>
      </c>
      <c r="CU19" s="106">
        <v>3924.2514191239607</v>
      </c>
    </row>
    <row r="20" spans="2:99" x14ac:dyDescent="0.2">
      <c r="B20" s="105" t="s">
        <v>127</v>
      </c>
      <c r="C20" s="105" t="s">
        <v>186</v>
      </c>
      <c r="D20" s="106">
        <v>9.9962796676158963</v>
      </c>
      <c r="E20" s="106">
        <v>959.6428480911261</v>
      </c>
      <c r="F20" s="106">
        <v>25.298776580025955</v>
      </c>
      <c r="G20" s="106">
        <v>2428.6825516824915</v>
      </c>
      <c r="H20" s="106">
        <v>19</v>
      </c>
      <c r="I20" s="106">
        <v>1824</v>
      </c>
      <c r="J20" s="106">
        <v>33.649586868770143</v>
      </c>
      <c r="K20" s="106">
        <v>3230.3603394019337</v>
      </c>
      <c r="L20" s="106">
        <v>30.565068951670522</v>
      </c>
      <c r="M20" s="106">
        <v>2934.24661936037</v>
      </c>
      <c r="N20" s="106">
        <v>24.306554884515965</v>
      </c>
      <c r="O20" s="106">
        <v>2333.4292689135327</v>
      </c>
      <c r="P20" s="106">
        <v>41.369895919535068</v>
      </c>
      <c r="Q20" s="106">
        <v>3971.5100082753665</v>
      </c>
      <c r="R20" s="106">
        <v>36.231749423898599</v>
      </c>
      <c r="S20" s="106">
        <v>3478.2479446942652</v>
      </c>
      <c r="T20" s="106">
        <v>24.333471616729287</v>
      </c>
      <c r="U20" s="106">
        <v>2336.0132752060117</v>
      </c>
      <c r="V20" s="106">
        <v>21.398822897784822</v>
      </c>
      <c r="W20" s="106">
        <v>2054.2869981873428</v>
      </c>
      <c r="X20" s="106">
        <v>23</v>
      </c>
      <c r="Y20" s="106">
        <v>2208</v>
      </c>
      <c r="Z20" s="106">
        <v>21.300991776361467</v>
      </c>
      <c r="AA20" s="106">
        <v>2044.8952105307008</v>
      </c>
      <c r="AB20" s="106">
        <v>12</v>
      </c>
      <c r="AC20" s="106">
        <v>1152</v>
      </c>
      <c r="AD20" s="106">
        <v>19.015509066171536</v>
      </c>
      <c r="AE20" s="106">
        <v>1825.4888703524675</v>
      </c>
      <c r="AF20" s="106">
        <v>12.030118775163523</v>
      </c>
      <c r="AG20" s="106">
        <v>1154.8914024156982</v>
      </c>
      <c r="AH20" s="106">
        <v>11.448969570597663</v>
      </c>
      <c r="AI20" s="106">
        <v>1099.1010787773757</v>
      </c>
      <c r="AJ20" s="106">
        <v>11.305980165325691</v>
      </c>
      <c r="AK20" s="106">
        <v>1085.3740958712663</v>
      </c>
      <c r="AL20" s="106">
        <v>10.57004485321605</v>
      </c>
      <c r="AM20" s="106">
        <v>1014.7243059087408</v>
      </c>
      <c r="AN20" s="106">
        <v>11.774363100256947</v>
      </c>
      <c r="AO20" s="106">
        <v>1130.3388576246668</v>
      </c>
      <c r="AP20" s="106">
        <v>15.188259153640544</v>
      </c>
      <c r="AQ20" s="106">
        <v>1458.0728787494922</v>
      </c>
      <c r="AR20" s="106">
        <v>10.241864568970543</v>
      </c>
      <c r="AS20" s="106">
        <v>983.2189986211722</v>
      </c>
      <c r="AT20" s="106">
        <v>9.2084526123626702</v>
      </c>
      <c r="AU20" s="106">
        <v>884.01145078681634</v>
      </c>
      <c r="AV20" s="106">
        <v>17</v>
      </c>
      <c r="AW20" s="106">
        <v>1632</v>
      </c>
      <c r="AX20" s="106">
        <v>17.569507709317897</v>
      </c>
      <c r="AY20" s="106">
        <v>1686.6727400945181</v>
      </c>
      <c r="AZ20" s="106">
        <v>13.441215518447786</v>
      </c>
      <c r="BA20" s="106">
        <v>1290.3566897709875</v>
      </c>
      <c r="BB20" s="106">
        <v>16.35392425668023</v>
      </c>
      <c r="BC20" s="106">
        <v>1569.9767286413021</v>
      </c>
      <c r="BD20" s="106">
        <v>16</v>
      </c>
      <c r="BE20" s="106">
        <v>1536</v>
      </c>
      <c r="BF20" s="106">
        <v>14.423060537276138</v>
      </c>
      <c r="BG20" s="106">
        <v>1384.6138115785093</v>
      </c>
      <c r="BH20" s="106">
        <v>38</v>
      </c>
      <c r="BI20" s="106">
        <v>3648</v>
      </c>
      <c r="BJ20" s="106">
        <v>24.146566594524327</v>
      </c>
      <c r="BK20" s="106">
        <v>2318.0703930743352</v>
      </c>
      <c r="BL20" s="106">
        <v>39</v>
      </c>
      <c r="BM20" s="106">
        <v>3744</v>
      </c>
      <c r="BN20" s="106">
        <v>36.576532244472482</v>
      </c>
      <c r="BO20" s="106">
        <v>3511.3470954693585</v>
      </c>
      <c r="BP20" s="106">
        <v>23.856605274824791</v>
      </c>
      <c r="BQ20" s="106">
        <v>2290.23410638318</v>
      </c>
      <c r="BR20" s="106">
        <v>22.646144891877192</v>
      </c>
      <c r="BS20" s="106">
        <v>2174.0299096202107</v>
      </c>
      <c r="BT20" s="106">
        <v>24</v>
      </c>
      <c r="BU20" s="106">
        <v>2304</v>
      </c>
      <c r="BV20" s="106">
        <v>22.335926149169563</v>
      </c>
      <c r="BW20" s="106">
        <v>2144.2489103202779</v>
      </c>
      <c r="BX20" s="106">
        <v>33.69470388865367</v>
      </c>
      <c r="BY20" s="106">
        <v>3234.6915733107526</v>
      </c>
      <c r="BZ20" s="106">
        <v>42.585530265395874</v>
      </c>
      <c r="CA20" s="106">
        <v>4088.210905478004</v>
      </c>
      <c r="CB20" s="106">
        <v>34.651865346639809</v>
      </c>
      <c r="CC20" s="106">
        <v>3326.5790732774217</v>
      </c>
      <c r="CD20" s="106">
        <v>35.55892364321479</v>
      </c>
      <c r="CE20" s="106">
        <v>3413.6566697486196</v>
      </c>
      <c r="CF20" s="106">
        <v>162</v>
      </c>
      <c r="CG20" s="106">
        <v>15552</v>
      </c>
      <c r="CH20" s="106">
        <v>91.598602342561662</v>
      </c>
      <c r="CI20" s="106">
        <v>8793.4658248859196</v>
      </c>
      <c r="CJ20" s="106">
        <v>110</v>
      </c>
      <c r="CK20" s="106">
        <v>10560</v>
      </c>
      <c r="CL20" s="106">
        <v>110.66351613205299</v>
      </c>
      <c r="CM20" s="106">
        <v>10623.697548677086</v>
      </c>
      <c r="CN20" s="106">
        <v>51.217194154880353</v>
      </c>
      <c r="CO20" s="106">
        <v>4916.8506388685137</v>
      </c>
      <c r="CP20" s="106">
        <v>70.527125290945548</v>
      </c>
      <c r="CQ20" s="106">
        <v>6770.6040279307726</v>
      </c>
      <c r="CR20" s="106">
        <v>79.475098976060494</v>
      </c>
      <c r="CS20" s="106">
        <v>7629.6095017018069</v>
      </c>
      <c r="CT20" s="106">
        <v>54.21440398885985</v>
      </c>
      <c r="CU20" s="106">
        <v>5204.5827829305454</v>
      </c>
    </row>
    <row r="21" spans="2:99" x14ac:dyDescent="0.2">
      <c r="C21" s="105" t="s">
        <v>187</v>
      </c>
      <c r="D21" s="106">
        <v>8.7467447091639094</v>
      </c>
      <c r="E21" s="106">
        <v>2120.2109175013316</v>
      </c>
      <c r="F21" s="106">
        <v>25.298776580025955</v>
      </c>
      <c r="G21" s="106">
        <v>6132.4234429982907</v>
      </c>
      <c r="H21" s="106">
        <v>19</v>
      </c>
      <c r="I21" s="106">
        <v>4605.5999999999995</v>
      </c>
      <c r="J21" s="106">
        <v>31.649586868770143</v>
      </c>
      <c r="K21" s="106">
        <v>7671.8598569898822</v>
      </c>
      <c r="L21" s="106">
        <v>28.65200263654291</v>
      </c>
      <c r="M21" s="106">
        <v>6945.245439098001</v>
      </c>
      <c r="N21" s="106">
        <v>27.306554884515965</v>
      </c>
      <c r="O21" s="106">
        <v>6619.108904006669</v>
      </c>
      <c r="P21" s="106">
        <v>34.323658929593186</v>
      </c>
      <c r="Q21" s="106">
        <v>8320.0549245333877</v>
      </c>
      <c r="R21" s="106">
        <v>35.210681294453273</v>
      </c>
      <c r="S21" s="106">
        <v>8535.0691457754729</v>
      </c>
      <c r="T21" s="106">
        <v>23.277893013941071</v>
      </c>
      <c r="U21" s="106">
        <v>5642.5612665793151</v>
      </c>
      <c r="V21" s="106">
        <v>22.398822897784822</v>
      </c>
      <c r="W21" s="106">
        <v>5429.4746704230402</v>
      </c>
      <c r="X21" s="106">
        <v>21</v>
      </c>
      <c r="Y21" s="106">
        <v>5090.3999999999996</v>
      </c>
      <c r="Z21" s="106">
        <v>21.300991776361467</v>
      </c>
      <c r="AA21" s="106">
        <v>5163.360406590019</v>
      </c>
      <c r="AB21" s="106">
        <v>14</v>
      </c>
      <c r="AC21" s="106">
        <v>3393.5999999999995</v>
      </c>
      <c r="AD21" s="106">
        <v>20.974888703524673</v>
      </c>
      <c r="AE21" s="106">
        <v>5084.3130217343805</v>
      </c>
      <c r="AF21" s="106">
        <v>10.944275543899897</v>
      </c>
      <c r="AG21" s="106">
        <v>2652.8923918413348</v>
      </c>
      <c r="AH21" s="106">
        <v>11.459920047929314</v>
      </c>
      <c r="AI21" s="106">
        <v>2777.8846196180657</v>
      </c>
      <c r="AJ21" s="106">
        <v>10.325103925658546</v>
      </c>
      <c r="AK21" s="106">
        <v>2502.8051915796314</v>
      </c>
      <c r="AL21" s="106">
        <v>9.57004485321605</v>
      </c>
      <c r="AM21" s="106">
        <v>2319.7788724195702</v>
      </c>
      <c r="AN21" s="106">
        <v>13.633569809301138</v>
      </c>
      <c r="AO21" s="106">
        <v>3304.7773217745953</v>
      </c>
      <c r="AP21" s="106">
        <v>15.198717995509464</v>
      </c>
      <c r="AQ21" s="106">
        <v>3684.1692421114935</v>
      </c>
      <c r="AR21" s="106">
        <v>11.225740264372506</v>
      </c>
      <c r="AS21" s="106">
        <v>2721.1194400838954</v>
      </c>
      <c r="AT21" s="106">
        <v>9.1935631400510509</v>
      </c>
      <c r="AU21" s="106">
        <v>2228.5197051483747</v>
      </c>
      <c r="AV21" s="106">
        <v>15</v>
      </c>
      <c r="AW21" s="106">
        <v>3635.9999999999995</v>
      </c>
      <c r="AX21" s="106">
        <v>17.525699423985753</v>
      </c>
      <c r="AY21" s="106">
        <v>4248.2295403741464</v>
      </c>
      <c r="AZ21" s="106">
        <v>14.409700124272945</v>
      </c>
      <c r="BA21" s="106">
        <v>3492.9113101237613</v>
      </c>
      <c r="BB21" s="106">
        <v>16.318531831012208</v>
      </c>
      <c r="BC21" s="106">
        <v>3955.6121158373589</v>
      </c>
      <c r="BD21" s="106">
        <v>16</v>
      </c>
      <c r="BE21" s="106">
        <v>3878.3999999999996</v>
      </c>
      <c r="BF21" s="106">
        <v>12.423060537276138</v>
      </c>
      <c r="BG21" s="106">
        <v>3011.3498742357356</v>
      </c>
      <c r="BH21" s="106">
        <v>34</v>
      </c>
      <c r="BI21" s="106">
        <v>8241.5999999999985</v>
      </c>
      <c r="BJ21" s="106">
        <v>23.114717522454207</v>
      </c>
      <c r="BK21" s="106">
        <v>5603.0075274428991</v>
      </c>
      <c r="BL21" s="106">
        <v>41</v>
      </c>
      <c r="BM21" s="106">
        <v>9938.4</v>
      </c>
      <c r="BN21" s="106">
        <v>32.738227859290177</v>
      </c>
      <c r="BO21" s="106">
        <v>7935.7464330919383</v>
      </c>
      <c r="BP21" s="106">
        <v>24.910143104501341</v>
      </c>
      <c r="BQ21" s="106">
        <v>6038.2186885311248</v>
      </c>
      <c r="BR21" s="106">
        <v>24.613837647283333</v>
      </c>
      <c r="BS21" s="106">
        <v>5966.3942457014791</v>
      </c>
      <c r="BT21" s="106">
        <v>27</v>
      </c>
      <c r="BU21" s="106">
        <v>6544.7999999999993</v>
      </c>
      <c r="BV21" s="106">
        <v>24.145079556431053</v>
      </c>
      <c r="BW21" s="106">
        <v>5852.7672844788867</v>
      </c>
      <c r="BX21" s="106">
        <v>34.643244341345991</v>
      </c>
      <c r="BY21" s="106">
        <v>8397.5224283422667</v>
      </c>
      <c r="BZ21" s="106">
        <v>41.585530265395874</v>
      </c>
      <c r="CA21" s="106">
        <v>10080.332536331958</v>
      </c>
      <c r="CB21" s="106">
        <v>28.782238415967772</v>
      </c>
      <c r="CC21" s="106">
        <v>6976.8145920305869</v>
      </c>
      <c r="CD21" s="106">
        <v>32.508112402922535</v>
      </c>
      <c r="CE21" s="106">
        <v>7879.966446468422</v>
      </c>
      <c r="CF21" s="106">
        <v>157</v>
      </c>
      <c r="CG21" s="106">
        <v>38056.799999999996</v>
      </c>
      <c r="CH21" s="106">
        <v>98.698369399655277</v>
      </c>
      <c r="CI21" s="106">
        <v>23924.484742476438</v>
      </c>
      <c r="CJ21" s="106">
        <v>121</v>
      </c>
      <c r="CK21" s="106">
        <v>29330.399999999998</v>
      </c>
      <c r="CL21" s="106">
        <v>109.75198494966006</v>
      </c>
      <c r="CM21" s="106">
        <v>26603.881151797596</v>
      </c>
      <c r="CN21" s="106">
        <v>55.241326838755946</v>
      </c>
      <c r="CO21" s="106">
        <v>13390.497625714441</v>
      </c>
      <c r="CP21" s="106">
        <v>79.527125290945548</v>
      </c>
      <c r="CQ21" s="106">
        <v>19277.3751705252</v>
      </c>
      <c r="CR21" s="106">
        <v>77.506772241131202</v>
      </c>
      <c r="CS21" s="106">
        <v>18787.641591250202</v>
      </c>
      <c r="CT21" s="106">
        <v>59.233895260574386</v>
      </c>
      <c r="CU21" s="106">
        <v>14358.29621116323</v>
      </c>
    </row>
    <row r="22" spans="2:99" x14ac:dyDescent="0.2">
      <c r="C22" s="105" t="s">
        <v>188</v>
      </c>
      <c r="D22" s="106">
        <v>9.9962796676158963</v>
      </c>
      <c r="E22" s="106">
        <v>623.76785125923186</v>
      </c>
      <c r="F22" s="106">
        <v>27.38414131717623</v>
      </c>
      <c r="G22" s="106">
        <v>1708.7704181917968</v>
      </c>
      <c r="H22" s="106">
        <v>19</v>
      </c>
      <c r="I22" s="106">
        <v>1185.5999999999999</v>
      </c>
      <c r="J22" s="106">
        <v>31.695985930825156</v>
      </c>
      <c r="K22" s="106">
        <v>1977.8295220834898</v>
      </c>
      <c r="L22" s="106">
        <v>31.565068951670522</v>
      </c>
      <c r="M22" s="106">
        <v>1969.6603025842405</v>
      </c>
      <c r="N22" s="106">
        <v>27.306554884515965</v>
      </c>
      <c r="O22" s="106">
        <v>1703.9290247937961</v>
      </c>
      <c r="P22" s="106">
        <v>41.323658929593186</v>
      </c>
      <c r="Q22" s="106">
        <v>2578.5963172066149</v>
      </c>
      <c r="R22" s="106">
        <v>37.210681294453273</v>
      </c>
      <c r="S22" s="106">
        <v>2321.946512773884</v>
      </c>
      <c r="T22" s="106">
        <v>24.277893013941071</v>
      </c>
      <c r="U22" s="106">
        <v>1514.9405240699227</v>
      </c>
      <c r="V22" s="106">
        <v>21.398822897784822</v>
      </c>
      <c r="W22" s="106">
        <v>1335.2865488217728</v>
      </c>
      <c r="X22" s="106">
        <v>23</v>
      </c>
      <c r="Y22" s="106">
        <v>1435.2</v>
      </c>
      <c r="Z22" s="106">
        <v>19.338615748406653</v>
      </c>
      <c r="AA22" s="106">
        <v>1206.7296227005752</v>
      </c>
      <c r="AB22" s="106">
        <v>13</v>
      </c>
      <c r="AC22" s="106">
        <v>811.19999999999993</v>
      </c>
      <c r="AD22" s="106">
        <v>18.974888703524673</v>
      </c>
      <c r="AE22" s="106">
        <v>1184.0330550999395</v>
      </c>
      <c r="AF22" s="106">
        <v>12.073040390795336</v>
      </c>
      <c r="AG22" s="106">
        <v>753.35772038562902</v>
      </c>
      <c r="AH22" s="106">
        <v>11.525622911919216</v>
      </c>
      <c r="AI22" s="106">
        <v>719.1988697037591</v>
      </c>
      <c r="AJ22" s="106">
        <v>12.305980165325691</v>
      </c>
      <c r="AK22" s="106">
        <v>767.89316231632313</v>
      </c>
      <c r="AL22" s="106">
        <v>11.53651280302687</v>
      </c>
      <c r="AM22" s="106">
        <v>719.87839890887665</v>
      </c>
      <c r="AN22" s="106">
        <v>12.739164777517995</v>
      </c>
      <c r="AO22" s="106">
        <v>794.92388211712284</v>
      </c>
      <c r="AP22" s="106">
        <v>16.188259153640544</v>
      </c>
      <c r="AQ22" s="106">
        <v>1010.1473711871699</v>
      </c>
      <c r="AR22" s="106">
        <v>10.241864568970543</v>
      </c>
      <c r="AS22" s="106">
        <v>639.09234910376188</v>
      </c>
      <c r="AT22" s="106">
        <v>9.1935631400510509</v>
      </c>
      <c r="AU22" s="106">
        <v>573.67833993918555</v>
      </c>
      <c r="AV22" s="106">
        <v>16</v>
      </c>
      <c r="AW22" s="106">
        <v>998.4</v>
      </c>
      <c r="AX22" s="106">
        <v>18.613315994650044</v>
      </c>
      <c r="AY22" s="106">
        <v>1161.4709180661628</v>
      </c>
      <c r="AZ22" s="106">
        <v>12.441215518447786</v>
      </c>
      <c r="BA22" s="106">
        <v>776.33184835114184</v>
      </c>
      <c r="BB22" s="106">
        <v>15.389316682348252</v>
      </c>
      <c r="BC22" s="106">
        <v>960.29336097853093</v>
      </c>
      <c r="BD22" s="106">
        <v>14</v>
      </c>
      <c r="BE22" s="106">
        <v>873.6</v>
      </c>
      <c r="BF22" s="106">
        <v>13.423060537276138</v>
      </c>
      <c r="BG22" s="106">
        <v>837.59897752603104</v>
      </c>
      <c r="BH22" s="106">
        <v>39</v>
      </c>
      <c r="BI22" s="106">
        <v>2433.6</v>
      </c>
      <c r="BJ22" s="106">
        <v>24.210264738664566</v>
      </c>
      <c r="BK22" s="106">
        <v>1510.7205196926689</v>
      </c>
      <c r="BL22" s="106">
        <v>40</v>
      </c>
      <c r="BM22" s="106">
        <v>2496</v>
      </c>
      <c r="BN22" s="106">
        <v>32.53610834076806</v>
      </c>
      <c r="BO22" s="106">
        <v>2030.2531604639269</v>
      </c>
      <c r="BP22" s="106">
        <v>28.829836359986516</v>
      </c>
      <c r="BQ22" s="106">
        <v>1798.9817888631585</v>
      </c>
      <c r="BR22" s="106">
        <v>22.646144891877192</v>
      </c>
      <c r="BS22" s="106">
        <v>1413.1194412531368</v>
      </c>
      <c r="BT22" s="106">
        <v>24</v>
      </c>
      <c r="BU22" s="106">
        <v>1497.6</v>
      </c>
      <c r="BV22" s="106">
        <v>22.145079556431053</v>
      </c>
      <c r="BW22" s="106">
        <v>1381.8529643212976</v>
      </c>
      <c r="BX22" s="106">
        <v>35.69470388865367</v>
      </c>
      <c r="BY22" s="106">
        <v>2227.349522651989</v>
      </c>
      <c r="BZ22" s="106">
        <v>42.585530265395874</v>
      </c>
      <c r="CA22" s="106">
        <v>2657.3370885607023</v>
      </c>
      <c r="CB22" s="106">
        <v>31.704014574370994</v>
      </c>
      <c r="CC22" s="106">
        <v>1978.3305094407499</v>
      </c>
      <c r="CD22" s="106">
        <v>33.508112402922535</v>
      </c>
      <c r="CE22" s="106">
        <v>2090.9062139423663</v>
      </c>
      <c r="CF22" s="106">
        <v>141</v>
      </c>
      <c r="CG22" s="106">
        <v>8798.4</v>
      </c>
      <c r="CH22" s="106">
        <v>92.648485871108477</v>
      </c>
      <c r="CI22" s="106">
        <v>5781.2655183571687</v>
      </c>
      <c r="CJ22" s="106">
        <v>111</v>
      </c>
      <c r="CK22" s="106">
        <v>6926.4</v>
      </c>
      <c r="CL22" s="106">
        <v>99.66351613205299</v>
      </c>
      <c r="CM22" s="106">
        <v>6219.0034066401067</v>
      </c>
      <c r="CN22" s="106">
        <v>51.241326838755946</v>
      </c>
      <c r="CO22" s="106">
        <v>3197.4587947383711</v>
      </c>
      <c r="CP22" s="106">
        <v>69.564777097441649</v>
      </c>
      <c r="CQ22" s="106">
        <v>4340.8420908803591</v>
      </c>
      <c r="CR22" s="106">
        <v>82.506772241131202</v>
      </c>
      <c r="CS22" s="106">
        <v>5148.4225878465868</v>
      </c>
      <c r="CT22" s="106">
        <v>64.214403988859857</v>
      </c>
      <c r="CU22" s="106">
        <v>4006.9788089048548</v>
      </c>
    </row>
    <row r="23" spans="2:99" x14ac:dyDescent="0.2">
      <c r="C23" s="105" t="s">
        <v>189</v>
      </c>
      <c r="D23" s="106">
        <v>9.9962796676158963</v>
      </c>
      <c r="E23" s="106">
        <v>2794.9597950654043</v>
      </c>
      <c r="F23" s="106">
        <v>25.298776580025955</v>
      </c>
      <c r="G23" s="106">
        <v>7073.5379317752559</v>
      </c>
      <c r="H23" s="106">
        <v>18</v>
      </c>
      <c r="I23" s="106">
        <v>5032.7999999999993</v>
      </c>
      <c r="J23" s="106">
        <v>27.603187806715134</v>
      </c>
      <c r="K23" s="106">
        <v>7717.8513107575509</v>
      </c>
      <c r="L23" s="106">
        <v>32.608535794106714</v>
      </c>
      <c r="M23" s="106">
        <v>9117.346608032236</v>
      </c>
      <c r="N23" s="106">
        <v>28.306554884515965</v>
      </c>
      <c r="O23" s="106">
        <v>7914.5127457106628</v>
      </c>
      <c r="P23" s="106">
        <v>41.323658929593186</v>
      </c>
      <c r="Q23" s="106">
        <v>11554.095036714254</v>
      </c>
      <c r="R23" s="106">
        <v>31.210681294453273</v>
      </c>
      <c r="S23" s="106">
        <v>8726.5064899291337</v>
      </c>
      <c r="T23" s="106">
        <v>23.277893013941071</v>
      </c>
      <c r="U23" s="106">
        <v>6508.4988866979229</v>
      </c>
      <c r="V23" s="106">
        <v>23.448675760007923</v>
      </c>
      <c r="W23" s="106">
        <v>6556.2497424982148</v>
      </c>
      <c r="X23" s="106">
        <v>25</v>
      </c>
      <c r="Y23" s="106">
        <v>6989.9999999999991</v>
      </c>
      <c r="Z23" s="106">
        <v>18.300991776361467</v>
      </c>
      <c r="AA23" s="106">
        <v>5116.957300670666</v>
      </c>
      <c r="AB23" s="106">
        <v>13</v>
      </c>
      <c r="AC23" s="106">
        <v>3634.7999999999997</v>
      </c>
      <c r="AD23" s="106">
        <v>21.137370154112119</v>
      </c>
      <c r="AE23" s="106">
        <v>5910.0086950897476</v>
      </c>
      <c r="AF23" s="106">
        <v>13.030118775163523</v>
      </c>
      <c r="AG23" s="106">
        <v>3643.2212095357204</v>
      </c>
      <c r="AH23" s="106">
        <v>10.427068615934363</v>
      </c>
      <c r="AI23" s="106">
        <v>2915.4083850152474</v>
      </c>
      <c r="AJ23" s="106">
        <v>12.325103925658546</v>
      </c>
      <c r="AK23" s="106">
        <v>3446.0990576141289</v>
      </c>
      <c r="AL23" s="106">
        <v>10.57004485321605</v>
      </c>
      <c r="AM23" s="106">
        <v>2955.3845409592072</v>
      </c>
      <c r="AN23" s="106">
        <v>12.739164777517995</v>
      </c>
      <c r="AO23" s="106">
        <v>3561.8704717940309</v>
      </c>
      <c r="AP23" s="106">
        <v>15.198717995509464</v>
      </c>
      <c r="AQ23" s="106">
        <v>4249.5615515444451</v>
      </c>
      <c r="AR23" s="106">
        <v>9.2418645689705432</v>
      </c>
      <c r="AS23" s="106">
        <v>2584.0253334841636</v>
      </c>
      <c r="AT23" s="106">
        <v>8.2084526123626702</v>
      </c>
      <c r="AU23" s="106">
        <v>2295.0833504166021</v>
      </c>
      <c r="AV23" s="106">
        <v>15</v>
      </c>
      <c r="AW23" s="106">
        <v>4193.9999999999991</v>
      </c>
      <c r="AX23" s="106">
        <v>18.569507709317897</v>
      </c>
      <c r="AY23" s="106">
        <v>5192.034355525283</v>
      </c>
      <c r="AZ23" s="106">
        <v>12.378184730098102</v>
      </c>
      <c r="BA23" s="106">
        <v>3460.9404505354291</v>
      </c>
      <c r="BB23" s="106">
        <v>16.35392425668023</v>
      </c>
      <c r="BC23" s="106">
        <v>4572.5572221677921</v>
      </c>
      <c r="BD23" s="106">
        <v>14</v>
      </c>
      <c r="BE23" s="106">
        <v>3914.3999999999996</v>
      </c>
      <c r="BF23" s="106">
        <v>13.470067263640152</v>
      </c>
      <c r="BG23" s="106">
        <v>3766.2308069137862</v>
      </c>
      <c r="BH23" s="106">
        <v>33</v>
      </c>
      <c r="BI23" s="106">
        <v>9226.7999999999993</v>
      </c>
      <c r="BJ23" s="106">
        <v>24.146566594524327</v>
      </c>
      <c r="BK23" s="106">
        <v>6751.380019829001</v>
      </c>
      <c r="BL23" s="106">
        <v>38</v>
      </c>
      <c r="BM23" s="106">
        <v>10624.8</v>
      </c>
      <c r="BN23" s="106">
        <v>32.53610834076806</v>
      </c>
      <c r="BO23" s="106">
        <v>9097.0958920787489</v>
      </c>
      <c r="BP23" s="106">
        <v>25.910143104501341</v>
      </c>
      <c r="BQ23" s="106">
        <v>7244.4760120185738</v>
      </c>
      <c r="BR23" s="106">
        <v>22.613837647283333</v>
      </c>
      <c r="BS23" s="106">
        <v>6322.8290061804191</v>
      </c>
      <c r="BT23" s="106">
        <v>25</v>
      </c>
      <c r="BU23" s="106">
        <v>6989.9999999999991</v>
      </c>
      <c r="BV23" s="106">
        <v>21.097367908246426</v>
      </c>
      <c r="BW23" s="106">
        <v>5898.8240671456997</v>
      </c>
      <c r="BX23" s="106">
        <v>33.668974114999834</v>
      </c>
      <c r="BY23" s="106">
        <v>9413.8451625539528</v>
      </c>
      <c r="BZ23" s="106">
        <v>41.556253752126075</v>
      </c>
      <c r="CA23" s="106">
        <v>11619.128549094448</v>
      </c>
      <c r="CB23" s="106">
        <v>30.677939960505402</v>
      </c>
      <c r="CC23" s="106">
        <v>8577.5520129573088</v>
      </c>
      <c r="CD23" s="106">
        <v>32.482706782776411</v>
      </c>
      <c r="CE23" s="106">
        <v>9082.1648164642829</v>
      </c>
      <c r="CF23" s="106">
        <v>157</v>
      </c>
      <c r="CG23" s="106">
        <v>43897.2</v>
      </c>
      <c r="CH23" s="106">
        <v>101.69836939965528</v>
      </c>
      <c r="CI23" s="106">
        <v>28434.864084143614</v>
      </c>
      <c r="CJ23" s="106">
        <v>108</v>
      </c>
      <c r="CK23" s="106">
        <v>30196.799999999996</v>
      </c>
      <c r="CL23" s="106">
        <v>112.70775054085652</v>
      </c>
      <c r="CM23" s="106">
        <v>31513.08705122348</v>
      </c>
      <c r="CN23" s="106">
        <v>52.241326838755946</v>
      </c>
      <c r="CO23" s="106">
        <v>14606.67498411616</v>
      </c>
      <c r="CP23" s="106">
        <v>71.527125290945548</v>
      </c>
      <c r="CQ23" s="106">
        <v>19998.984231348371</v>
      </c>
      <c r="CR23" s="106">
        <v>77.4434257109898</v>
      </c>
      <c r="CS23" s="106">
        <v>21653.181828792745</v>
      </c>
      <c r="CT23" s="106">
        <v>60.194912717145321</v>
      </c>
      <c r="CU23" s="106">
        <v>16830.49759571383</v>
      </c>
    </row>
    <row r="24" spans="2:99" x14ac:dyDescent="0.2">
      <c r="C24" s="105" t="s">
        <v>190</v>
      </c>
      <c r="D24" s="106">
        <v>10.412791320433227</v>
      </c>
      <c r="E24" s="106">
        <v>3173.8187944680476</v>
      </c>
      <c r="F24" s="106">
        <v>27.341458948601094</v>
      </c>
      <c r="G24" s="106">
        <v>8333.6766875336143</v>
      </c>
      <c r="H24" s="106">
        <v>19</v>
      </c>
      <c r="I24" s="106">
        <v>5791.2</v>
      </c>
      <c r="J24" s="106">
        <v>30.603187806715134</v>
      </c>
      <c r="K24" s="106">
        <v>9327.8516434867724</v>
      </c>
      <c r="L24" s="106">
        <v>31.608535794106718</v>
      </c>
      <c r="M24" s="106">
        <v>9634.2817100437278</v>
      </c>
      <c r="N24" s="106">
        <v>26.306554884515965</v>
      </c>
      <c r="O24" s="106">
        <v>8018.2379288004668</v>
      </c>
      <c r="P24" s="106">
        <v>37.369895919535068</v>
      </c>
      <c r="Q24" s="106">
        <v>11390.344276274289</v>
      </c>
      <c r="R24" s="106">
        <v>33.189613165007948</v>
      </c>
      <c r="S24" s="106">
        <v>10116.194092694423</v>
      </c>
      <c r="T24" s="106">
        <v>21.305682315335179</v>
      </c>
      <c r="U24" s="106">
        <v>6493.9719697141627</v>
      </c>
      <c r="V24" s="106">
        <v>24.448675760007923</v>
      </c>
      <c r="W24" s="106">
        <v>7451.9563716504153</v>
      </c>
      <c r="X24" s="106">
        <v>25</v>
      </c>
      <c r="Y24" s="106">
        <v>7620</v>
      </c>
      <c r="Z24" s="106">
        <v>20.338615748406653</v>
      </c>
      <c r="AA24" s="106">
        <v>6199.2100801143479</v>
      </c>
      <c r="AB24" s="106">
        <v>12</v>
      </c>
      <c r="AC24" s="106">
        <v>3657.6000000000004</v>
      </c>
      <c r="AD24" s="106">
        <v>21.056129428818394</v>
      </c>
      <c r="AE24" s="106">
        <v>6417.9082499038468</v>
      </c>
      <c r="AF24" s="106">
        <v>11.987197159531711</v>
      </c>
      <c r="AG24" s="106">
        <v>3653.6976942252654</v>
      </c>
      <c r="AH24" s="106">
        <v>9.4489695705976633</v>
      </c>
      <c r="AI24" s="106">
        <v>2880.0459251181678</v>
      </c>
      <c r="AJ24" s="106">
        <v>12.325103925658546</v>
      </c>
      <c r="AK24" s="106">
        <v>3756.691676540725</v>
      </c>
      <c r="AL24" s="106">
        <v>11.502980752837692</v>
      </c>
      <c r="AM24" s="106">
        <v>3506.1085334649288</v>
      </c>
      <c r="AN24" s="106">
        <v>12.633569809301138</v>
      </c>
      <c r="AO24" s="106">
        <v>3850.7120778749868</v>
      </c>
      <c r="AP24" s="106">
        <v>15.188259153640544</v>
      </c>
      <c r="AQ24" s="106">
        <v>4629.3813900296382</v>
      </c>
      <c r="AR24" s="106">
        <v>11.257988873568578</v>
      </c>
      <c r="AS24" s="106">
        <v>3431.4350086637028</v>
      </c>
      <c r="AT24" s="106">
        <v>9.2084526123626702</v>
      </c>
      <c r="AU24" s="106">
        <v>2806.7363562481419</v>
      </c>
      <c r="AV24" s="106">
        <v>14</v>
      </c>
      <c r="AW24" s="106">
        <v>4267.2</v>
      </c>
      <c r="AX24" s="106">
        <v>16.569507709317897</v>
      </c>
      <c r="AY24" s="106">
        <v>5050.3859498000947</v>
      </c>
      <c r="AZ24" s="106">
        <v>14.409700124272945</v>
      </c>
      <c r="BA24" s="106">
        <v>4392.0765978783938</v>
      </c>
      <c r="BB24" s="106">
        <v>17.35392425668023</v>
      </c>
      <c r="BC24" s="106">
        <v>5289.4761134361343</v>
      </c>
      <c r="BD24" s="106">
        <v>14</v>
      </c>
      <c r="BE24" s="106">
        <v>4267.2</v>
      </c>
      <c r="BF24" s="106">
        <v>12.470067263640152</v>
      </c>
      <c r="BG24" s="106">
        <v>3800.8765019575185</v>
      </c>
      <c r="BH24" s="106">
        <v>34</v>
      </c>
      <c r="BI24" s="106">
        <v>10363.200000000001</v>
      </c>
      <c r="BJ24" s="106">
        <v>21.114717522454207</v>
      </c>
      <c r="BK24" s="106">
        <v>6435.7659008440423</v>
      </c>
      <c r="BL24" s="106">
        <v>44</v>
      </c>
      <c r="BM24" s="106">
        <v>13411.2</v>
      </c>
      <c r="BN24" s="106">
        <v>30.738227859290173</v>
      </c>
      <c r="BO24" s="106">
        <v>9369.0118515116446</v>
      </c>
      <c r="BP24" s="106">
        <v>25.910143104501341</v>
      </c>
      <c r="BQ24" s="106">
        <v>7897.4116182520092</v>
      </c>
      <c r="BR24" s="106">
        <v>22.678452136471051</v>
      </c>
      <c r="BS24" s="106">
        <v>6912.3922111963766</v>
      </c>
      <c r="BT24" s="106">
        <v>24</v>
      </c>
      <c r="BU24" s="106">
        <v>7315.2000000000007</v>
      </c>
      <c r="BV24" s="106">
        <v>23.097367908246426</v>
      </c>
      <c r="BW24" s="106">
        <v>7040.0777384335106</v>
      </c>
      <c r="BX24" s="106">
        <v>30.694703888653674</v>
      </c>
      <c r="BY24" s="106">
        <v>9355.74574526164</v>
      </c>
      <c r="BZ24" s="106">
        <v>40.614806778665667</v>
      </c>
      <c r="CA24" s="106">
        <v>12379.393106137295</v>
      </c>
      <c r="CB24" s="106">
        <v>30.756163802102179</v>
      </c>
      <c r="CC24" s="106">
        <v>9374.4787268807449</v>
      </c>
      <c r="CD24" s="106">
        <v>33.533518023068666</v>
      </c>
      <c r="CE24" s="106">
        <v>10221.01629343133</v>
      </c>
      <c r="CF24" s="106">
        <v>145</v>
      </c>
      <c r="CG24" s="106">
        <v>44196</v>
      </c>
      <c r="CH24" s="106">
        <v>94.648485871108477</v>
      </c>
      <c r="CI24" s="106">
        <v>28848.858493513864</v>
      </c>
      <c r="CJ24" s="106">
        <v>108</v>
      </c>
      <c r="CK24" s="106">
        <v>32918.400000000001</v>
      </c>
      <c r="CL24" s="106">
        <v>104.70775054085652</v>
      </c>
      <c r="CM24" s="106">
        <v>31914.922364853068</v>
      </c>
      <c r="CN24" s="106">
        <v>47.217194154880353</v>
      </c>
      <c r="CO24" s="106">
        <v>14391.800778407533</v>
      </c>
      <c r="CP24" s="106">
        <v>67.489473484449434</v>
      </c>
      <c r="CQ24" s="106">
        <v>20570.791518060189</v>
      </c>
      <c r="CR24" s="106">
        <v>89.475098976060494</v>
      </c>
      <c r="CS24" s="106">
        <v>27272.010167903238</v>
      </c>
      <c r="CT24" s="106">
        <v>53.21440398885985</v>
      </c>
      <c r="CU24" s="106">
        <v>16219.750335804483</v>
      </c>
    </row>
    <row r="25" spans="2:99" x14ac:dyDescent="0.2">
      <c r="C25" s="105" t="s">
        <v>191</v>
      </c>
      <c r="D25" s="106">
        <v>9.1632563619812402</v>
      </c>
      <c r="E25" s="106">
        <v>2979.8909689162992</v>
      </c>
      <c r="F25" s="106">
        <v>25.298776580025955</v>
      </c>
      <c r="G25" s="106">
        <v>8227.1621438244401</v>
      </c>
      <c r="H25" s="106">
        <v>18</v>
      </c>
      <c r="I25" s="106">
        <v>5853.5999999999995</v>
      </c>
      <c r="J25" s="106">
        <v>30.556788744660125</v>
      </c>
      <c r="K25" s="106">
        <v>9937.0676997634728</v>
      </c>
      <c r="L25" s="106">
        <v>29.565068951670522</v>
      </c>
      <c r="M25" s="106">
        <v>9614.5604230832541</v>
      </c>
      <c r="N25" s="106">
        <v>26.306554884515965</v>
      </c>
      <c r="O25" s="106">
        <v>8554.8916484445908</v>
      </c>
      <c r="P25" s="106">
        <v>40.369895919535068</v>
      </c>
      <c r="Q25" s="106">
        <v>13128.290153032804</v>
      </c>
      <c r="R25" s="106">
        <v>32.189613165007948</v>
      </c>
      <c r="S25" s="106">
        <v>10468.062201260584</v>
      </c>
      <c r="T25" s="106">
        <v>23.277893013941071</v>
      </c>
      <c r="U25" s="106">
        <v>7569.9708081336357</v>
      </c>
      <c r="V25" s="106">
        <v>22.398822897784822</v>
      </c>
      <c r="W25" s="106">
        <v>7284.0972063596237</v>
      </c>
      <c r="X25" s="106">
        <v>21</v>
      </c>
      <c r="Y25" s="106">
        <v>6829.2</v>
      </c>
      <c r="Z25" s="106">
        <v>20.338615748406653</v>
      </c>
      <c r="AA25" s="106">
        <v>6614.1178413818434</v>
      </c>
      <c r="AB25" s="106">
        <v>13</v>
      </c>
      <c r="AC25" s="106">
        <v>4227.5999999999995</v>
      </c>
      <c r="AD25" s="106">
        <v>18.096749791465257</v>
      </c>
      <c r="AE25" s="106">
        <v>5885.063032184501</v>
      </c>
      <c r="AF25" s="106">
        <v>12.944275543899897</v>
      </c>
      <c r="AG25" s="106">
        <v>4209.4784068762465</v>
      </c>
      <c r="AH25" s="106">
        <v>10.427068615934363</v>
      </c>
      <c r="AI25" s="106">
        <v>3390.8827139018549</v>
      </c>
      <c r="AJ25" s="106">
        <v>12.344227685991402</v>
      </c>
      <c r="AK25" s="106">
        <v>4014.3428434844041</v>
      </c>
      <c r="AL25" s="106">
        <v>11.60357690340523</v>
      </c>
      <c r="AM25" s="106">
        <v>3773.4832089873807</v>
      </c>
      <c r="AN25" s="106">
        <v>11.739164777517995</v>
      </c>
      <c r="AO25" s="106">
        <v>3817.576385648852</v>
      </c>
      <c r="AP25" s="106">
        <v>16.188259153640544</v>
      </c>
      <c r="AQ25" s="106">
        <v>5264.4218767639049</v>
      </c>
      <c r="AR25" s="106">
        <v>10.257988873568578</v>
      </c>
      <c r="AS25" s="106">
        <v>3335.8979816845017</v>
      </c>
      <c r="AT25" s="106">
        <v>9.2084526123626702</v>
      </c>
      <c r="AU25" s="106">
        <v>2994.5887895403403</v>
      </c>
      <c r="AV25" s="106">
        <v>14</v>
      </c>
      <c r="AW25" s="106">
        <v>4552.8</v>
      </c>
      <c r="AX25" s="106">
        <v>18.525699423985753</v>
      </c>
      <c r="AY25" s="106">
        <v>6024.5574526801665</v>
      </c>
      <c r="AZ25" s="106">
        <v>12.409700124272945</v>
      </c>
      <c r="BA25" s="106">
        <v>4035.6344804135615</v>
      </c>
      <c r="BB25" s="106">
        <v>14.389316682348252</v>
      </c>
      <c r="BC25" s="106">
        <v>4679.4057850996514</v>
      </c>
      <c r="BD25" s="106">
        <v>14</v>
      </c>
      <c r="BE25" s="106">
        <v>4552.8</v>
      </c>
      <c r="BF25" s="106">
        <v>11.423060537276138</v>
      </c>
      <c r="BG25" s="106">
        <v>3714.7792867221997</v>
      </c>
      <c r="BH25" s="106">
        <v>36</v>
      </c>
      <c r="BI25" s="106">
        <v>11707.199999999999</v>
      </c>
      <c r="BJ25" s="106">
        <v>24.146566594524327</v>
      </c>
      <c r="BK25" s="106">
        <v>7852.4634565393108</v>
      </c>
      <c r="BL25" s="106">
        <v>41</v>
      </c>
      <c r="BM25" s="106">
        <v>13333.199999999999</v>
      </c>
      <c r="BN25" s="106">
        <v>31.455260533359215</v>
      </c>
      <c r="BO25" s="106">
        <v>10229.250725448417</v>
      </c>
      <c r="BP25" s="106">
        <v>28.80306744514824</v>
      </c>
      <c r="BQ25" s="106">
        <v>9366.7575331622083</v>
      </c>
      <c r="BR25" s="106">
        <v>22.743066625658773</v>
      </c>
      <c r="BS25" s="106">
        <v>7396.0452666642332</v>
      </c>
      <c r="BT25" s="106">
        <v>25</v>
      </c>
      <c r="BU25" s="106">
        <v>8130</v>
      </c>
      <c r="BV25" s="106">
        <v>21.097367908246426</v>
      </c>
      <c r="BW25" s="106">
        <v>6860.8640437617378</v>
      </c>
      <c r="BX25" s="106">
        <v>34.668974114999834</v>
      </c>
      <c r="BY25" s="106">
        <v>11274.350382197945</v>
      </c>
      <c r="BZ25" s="106">
        <v>45.644083291935459</v>
      </c>
      <c r="CA25" s="106">
        <v>14843.455886537411</v>
      </c>
      <c r="CB25" s="106">
        <v>33.651865346639809</v>
      </c>
      <c r="CC25" s="106">
        <v>10943.586610727265</v>
      </c>
      <c r="CD25" s="106">
        <v>32.55892364321479</v>
      </c>
      <c r="CE25" s="106">
        <v>10588.161968773449</v>
      </c>
      <c r="CF25" s="106">
        <v>141</v>
      </c>
      <c r="CG25" s="106">
        <v>45853.2</v>
      </c>
      <c r="CH25" s="106">
        <v>90.648485871108477</v>
      </c>
      <c r="CI25" s="106">
        <v>29478.887605284475</v>
      </c>
      <c r="CJ25" s="106">
        <v>106</v>
      </c>
      <c r="CK25" s="106">
        <v>34471.199999999997</v>
      </c>
      <c r="CL25" s="106">
        <v>107.70775054085652</v>
      </c>
      <c r="CM25" s="106">
        <v>35026.560475886537</v>
      </c>
      <c r="CN25" s="106">
        <v>53.265459522631545</v>
      </c>
      <c r="CO25" s="106">
        <v>17321.927436759779</v>
      </c>
      <c r="CP25" s="106">
        <v>68.564777097441649</v>
      </c>
      <c r="CQ25" s="106">
        <v>22297.265512088023</v>
      </c>
      <c r="CR25" s="106">
        <v>82.506772241131202</v>
      </c>
      <c r="CS25" s="106">
        <v>26831.202332815865</v>
      </c>
      <c r="CT25" s="106">
        <v>60.21440398885985</v>
      </c>
      <c r="CU25" s="106">
        <v>19581.724177177224</v>
      </c>
    </row>
    <row r="26" spans="2:99" x14ac:dyDescent="0.2">
      <c r="C26" s="105" t="s">
        <v>192</v>
      </c>
      <c r="D26" s="106">
        <v>9.5797680147985691</v>
      </c>
      <c r="E26" s="106">
        <v>2747.4774666442299</v>
      </c>
      <c r="F26" s="106">
        <v>26.341458948601094</v>
      </c>
      <c r="G26" s="106">
        <v>7554.7304264587938</v>
      </c>
      <c r="H26" s="106">
        <v>18</v>
      </c>
      <c r="I26" s="106">
        <v>5162.4000000000005</v>
      </c>
      <c r="J26" s="106">
        <v>28.649586868770143</v>
      </c>
      <c r="K26" s="106">
        <v>8216.7015139632767</v>
      </c>
      <c r="L26" s="106">
        <v>32.608535794106714</v>
      </c>
      <c r="M26" s="106">
        <v>9352.1280657498064</v>
      </c>
      <c r="N26" s="106">
        <v>26.306554884515965</v>
      </c>
      <c r="O26" s="106">
        <v>7544.7199408791794</v>
      </c>
      <c r="P26" s="106">
        <v>37.369895919535068</v>
      </c>
      <c r="Q26" s="106">
        <v>10717.686149722658</v>
      </c>
      <c r="R26" s="106">
        <v>31.189613165007945</v>
      </c>
      <c r="S26" s="106">
        <v>8945.1810557242788</v>
      </c>
      <c r="T26" s="106">
        <v>20.305682315335179</v>
      </c>
      <c r="U26" s="106">
        <v>5823.6696880381296</v>
      </c>
      <c r="V26" s="106">
        <v>23.398822897784822</v>
      </c>
      <c r="W26" s="106">
        <v>6710.7824070846873</v>
      </c>
      <c r="X26" s="106">
        <v>25</v>
      </c>
      <c r="Y26" s="106">
        <v>7170</v>
      </c>
      <c r="Z26" s="106">
        <v>20.300991776361467</v>
      </c>
      <c r="AA26" s="106">
        <v>5822.3244414604687</v>
      </c>
      <c r="AB26" s="106">
        <v>12</v>
      </c>
      <c r="AC26" s="106">
        <v>3441.6000000000004</v>
      </c>
      <c r="AD26" s="106">
        <v>19.096749791465257</v>
      </c>
      <c r="AE26" s="106">
        <v>5476.9478401922361</v>
      </c>
      <c r="AF26" s="106">
        <v>12.030118775163523</v>
      </c>
      <c r="AG26" s="106">
        <v>3450.2380647168984</v>
      </c>
      <c r="AH26" s="106">
        <v>9.4380190932660124</v>
      </c>
      <c r="AI26" s="106">
        <v>2706.8238759486926</v>
      </c>
      <c r="AJ26" s="106">
        <v>10.344227685991402</v>
      </c>
      <c r="AK26" s="106">
        <v>2966.7245003423345</v>
      </c>
      <c r="AL26" s="106">
        <v>11.502980752837692</v>
      </c>
      <c r="AM26" s="106">
        <v>3299.0548799138501</v>
      </c>
      <c r="AN26" s="106">
        <v>11.774363100256947</v>
      </c>
      <c r="AO26" s="106">
        <v>3376.8873371536924</v>
      </c>
      <c r="AP26" s="106">
        <v>14.198717995509464</v>
      </c>
      <c r="AQ26" s="106">
        <v>4072.1923211121143</v>
      </c>
      <c r="AR26" s="106">
        <v>10.257988873568578</v>
      </c>
      <c r="AS26" s="106">
        <v>2941.9912089394684</v>
      </c>
      <c r="AT26" s="106">
        <v>9.2084526123626702</v>
      </c>
      <c r="AU26" s="106">
        <v>2640.984209225614</v>
      </c>
      <c r="AV26" s="106">
        <v>17</v>
      </c>
      <c r="AW26" s="106">
        <v>4875.6000000000004</v>
      </c>
      <c r="AX26" s="106">
        <v>17.613315994650044</v>
      </c>
      <c r="AY26" s="106">
        <v>5051.4990272656332</v>
      </c>
      <c r="AZ26" s="106">
        <v>13.409700124272945</v>
      </c>
      <c r="BA26" s="106">
        <v>3845.9019956414809</v>
      </c>
      <c r="BB26" s="106">
        <v>15.318531831012207</v>
      </c>
      <c r="BC26" s="106">
        <v>4393.3549291343006</v>
      </c>
      <c r="BD26" s="106">
        <v>14</v>
      </c>
      <c r="BE26" s="106">
        <v>4015.2000000000003</v>
      </c>
      <c r="BF26" s="106">
        <v>13.470067263640152</v>
      </c>
      <c r="BG26" s="106">
        <v>3863.2152912119955</v>
      </c>
      <c r="BH26" s="106">
        <v>35</v>
      </c>
      <c r="BI26" s="106">
        <v>10038</v>
      </c>
      <c r="BJ26" s="106">
        <v>23.019170306243847</v>
      </c>
      <c r="BK26" s="106">
        <v>6601.8980438307353</v>
      </c>
      <c r="BL26" s="106">
        <v>43</v>
      </c>
      <c r="BM26" s="106">
        <v>12332.4</v>
      </c>
      <c r="BN26" s="106">
        <v>33.616956148176904</v>
      </c>
      <c r="BO26" s="106">
        <v>9641.3430232971368</v>
      </c>
      <c r="BP26" s="106">
        <v>23.80306744514824</v>
      </c>
      <c r="BQ26" s="106">
        <v>6826.7197432685152</v>
      </c>
      <c r="BR26" s="106">
        <v>24.710759381064914</v>
      </c>
      <c r="BS26" s="106">
        <v>7087.0457904894174</v>
      </c>
      <c r="BT26" s="106">
        <v>24</v>
      </c>
      <c r="BU26" s="106">
        <v>6883.2000000000007</v>
      </c>
      <c r="BV26" s="106">
        <v>21.240502852800308</v>
      </c>
      <c r="BW26" s="106">
        <v>6091.7762181831285</v>
      </c>
      <c r="BX26" s="106">
        <v>32.668974114999834</v>
      </c>
      <c r="BY26" s="106">
        <v>9369.4617761819536</v>
      </c>
      <c r="BZ26" s="106">
        <v>42.614806778665667</v>
      </c>
      <c r="CA26" s="106">
        <v>12221.926584121315</v>
      </c>
      <c r="CB26" s="106">
        <v>31.677939960505402</v>
      </c>
      <c r="CC26" s="106">
        <v>9085.2331806729489</v>
      </c>
      <c r="CD26" s="106">
        <v>33.508112402922535</v>
      </c>
      <c r="CE26" s="106">
        <v>9610.1266371581842</v>
      </c>
      <c r="CF26" s="106">
        <v>152</v>
      </c>
      <c r="CG26" s="106">
        <v>43593.599999999999</v>
      </c>
      <c r="CH26" s="106">
        <v>94.648485871108477</v>
      </c>
      <c r="CI26" s="106">
        <v>27145.185747833912</v>
      </c>
      <c r="CJ26" s="106">
        <v>124</v>
      </c>
      <c r="CK26" s="106">
        <v>35563.200000000004</v>
      </c>
      <c r="CL26" s="106">
        <v>102.70775054085652</v>
      </c>
      <c r="CM26" s="106">
        <v>29456.582855117653</v>
      </c>
      <c r="CN26" s="106">
        <v>50.241326838755946</v>
      </c>
      <c r="CO26" s="106">
        <v>14409.212537355206</v>
      </c>
      <c r="CP26" s="106">
        <v>67.489473484449434</v>
      </c>
      <c r="CQ26" s="106">
        <v>19355.980995340098</v>
      </c>
      <c r="CR26" s="106">
        <v>89.475098976060494</v>
      </c>
      <c r="CS26" s="106">
        <v>25661.45838633415</v>
      </c>
      <c r="CT26" s="106">
        <v>52.194912717145321</v>
      </c>
      <c r="CU26" s="106">
        <v>14969.500967277279</v>
      </c>
    </row>
    <row r="27" spans="2:99" x14ac:dyDescent="0.2">
      <c r="C27" s="105" t="s">
        <v>193</v>
      </c>
      <c r="D27" s="106">
        <v>9.1632563619812402</v>
      </c>
      <c r="E27" s="106">
        <v>2891.9237078412789</v>
      </c>
      <c r="F27" s="106">
        <v>27.298776580025955</v>
      </c>
      <c r="G27" s="106">
        <v>8615.4938886561904</v>
      </c>
      <c r="H27" s="106">
        <v>17</v>
      </c>
      <c r="I27" s="106">
        <v>5365.2</v>
      </c>
      <c r="J27" s="106">
        <v>30.556788744660125</v>
      </c>
      <c r="K27" s="106">
        <v>9643.7225278147343</v>
      </c>
      <c r="L27" s="106">
        <v>33.565068951670526</v>
      </c>
      <c r="M27" s="106">
        <v>10593.135761147218</v>
      </c>
      <c r="N27" s="106">
        <v>27.268235523951468</v>
      </c>
      <c r="O27" s="106">
        <v>8605.8551313590815</v>
      </c>
      <c r="P27" s="106">
        <v>35.416132909476957</v>
      </c>
      <c r="Q27" s="106">
        <v>11177.331546230926</v>
      </c>
      <c r="R27" s="106">
        <v>37.189613165007948</v>
      </c>
      <c r="S27" s="106">
        <v>11737.041914876507</v>
      </c>
      <c r="T27" s="106">
        <v>24.305682315335179</v>
      </c>
      <c r="U27" s="106">
        <v>7670.8733387197817</v>
      </c>
      <c r="V27" s="106">
        <v>24.398822897784822</v>
      </c>
      <c r="W27" s="106">
        <v>7700.2685065408887</v>
      </c>
      <c r="X27" s="106">
        <v>23</v>
      </c>
      <c r="Y27" s="106">
        <v>7258.7999999999993</v>
      </c>
      <c r="Z27" s="106">
        <v>21.300991776361467</v>
      </c>
      <c r="AA27" s="106">
        <v>6722.5930046196781</v>
      </c>
      <c r="AB27" s="106">
        <v>13</v>
      </c>
      <c r="AC27" s="106">
        <v>4102.7999999999993</v>
      </c>
      <c r="AD27" s="106">
        <v>19.137370154112119</v>
      </c>
      <c r="AE27" s="106">
        <v>6039.7540206377844</v>
      </c>
      <c r="AF27" s="106">
        <v>12.987197159531711</v>
      </c>
      <c r="AG27" s="106">
        <v>4098.7594235482075</v>
      </c>
      <c r="AH27" s="106">
        <v>10.492771479924265</v>
      </c>
      <c r="AI27" s="106">
        <v>3311.5186790640978</v>
      </c>
      <c r="AJ27" s="106">
        <v>10.325103925658546</v>
      </c>
      <c r="AK27" s="106">
        <v>3258.6027989378367</v>
      </c>
      <c r="AL27" s="106">
        <v>9.53651280302687</v>
      </c>
      <c r="AM27" s="106">
        <v>3009.72344063528</v>
      </c>
      <c r="AN27" s="106">
        <v>12.668768132040091</v>
      </c>
      <c r="AO27" s="106">
        <v>3998.2632224718523</v>
      </c>
      <c r="AP27" s="106">
        <v>16.177800311771623</v>
      </c>
      <c r="AQ27" s="106">
        <v>5105.7137783951239</v>
      </c>
      <c r="AR27" s="106">
        <v>10.241864568970543</v>
      </c>
      <c r="AS27" s="106">
        <v>3232.332457967103</v>
      </c>
      <c r="AT27" s="106">
        <v>9.2084526123626702</v>
      </c>
      <c r="AU27" s="106">
        <v>2906.1876444616582</v>
      </c>
      <c r="AV27" s="106">
        <v>14</v>
      </c>
      <c r="AW27" s="106">
        <v>4418.3999999999996</v>
      </c>
      <c r="AX27" s="106">
        <v>16.569507709317897</v>
      </c>
      <c r="AY27" s="106">
        <v>5229.3366330607278</v>
      </c>
      <c r="AZ27" s="106">
        <v>13.409700124272945</v>
      </c>
      <c r="BA27" s="106">
        <v>4232.1013592205409</v>
      </c>
      <c r="BB27" s="106">
        <v>15.389316682348252</v>
      </c>
      <c r="BC27" s="106">
        <v>4856.8683449491073</v>
      </c>
      <c r="BD27" s="106">
        <v>14</v>
      </c>
      <c r="BE27" s="106">
        <v>4418.3999999999996</v>
      </c>
      <c r="BF27" s="106">
        <v>11.423060537276138</v>
      </c>
      <c r="BG27" s="106">
        <v>3605.1179055643488</v>
      </c>
      <c r="BH27" s="106">
        <v>37</v>
      </c>
      <c r="BI27" s="106">
        <v>11677.199999999999</v>
      </c>
      <c r="BJ27" s="106">
        <v>22.114717522454207</v>
      </c>
      <c r="BK27" s="106">
        <v>6979.4048500865465</v>
      </c>
      <c r="BL27" s="106">
        <v>39</v>
      </c>
      <c r="BM27" s="106">
        <v>12308.399999999998</v>
      </c>
      <c r="BN27" s="106">
        <v>35.576532244472482</v>
      </c>
      <c r="BO27" s="106">
        <v>11227.953576355514</v>
      </c>
      <c r="BP27" s="106">
        <v>27.883374189663066</v>
      </c>
      <c r="BQ27" s="106">
        <v>8799.9928942576626</v>
      </c>
      <c r="BR27" s="106">
        <v>21.710759381064914</v>
      </c>
      <c r="BS27" s="106">
        <v>6851.9156606640863</v>
      </c>
      <c r="BT27" s="106">
        <v>27</v>
      </c>
      <c r="BU27" s="106">
        <v>8521.1999999999989</v>
      </c>
      <c r="BV27" s="106">
        <v>20.288214500984935</v>
      </c>
      <c r="BW27" s="106">
        <v>6402.9604965108447</v>
      </c>
      <c r="BX27" s="106">
        <v>35.668974114999834</v>
      </c>
      <c r="BY27" s="106">
        <v>11257.128230693947</v>
      </c>
      <c r="BZ27" s="106">
        <v>44.585530265395874</v>
      </c>
      <c r="CA27" s="106">
        <v>14071.193351758937</v>
      </c>
      <c r="CB27" s="106">
        <v>32.756163802102179</v>
      </c>
      <c r="CC27" s="106">
        <v>10337.845295943447</v>
      </c>
      <c r="CD27" s="106">
        <v>35.482706782776411</v>
      </c>
      <c r="CE27" s="106">
        <v>11198.342260644235</v>
      </c>
      <c r="CF27" s="106">
        <v>135</v>
      </c>
      <c r="CG27" s="106">
        <v>42605.999999999993</v>
      </c>
      <c r="CH27" s="106">
        <v>104.64848587110848</v>
      </c>
      <c r="CI27" s="106">
        <v>33027.062140921829</v>
      </c>
      <c r="CJ27" s="106">
        <v>105</v>
      </c>
      <c r="CK27" s="106">
        <v>33138</v>
      </c>
      <c r="CL27" s="106">
        <v>103.75198494966006</v>
      </c>
      <c r="CM27" s="106">
        <v>32744.126450112712</v>
      </c>
      <c r="CN27" s="106">
        <v>50.217194154880353</v>
      </c>
      <c r="CO27" s="106">
        <v>15848.546475280238</v>
      </c>
      <c r="CP27" s="106">
        <v>75.527125290945548</v>
      </c>
      <c r="CQ27" s="106">
        <v>23836.360741822413</v>
      </c>
      <c r="CR27" s="106">
        <v>90.4434257109898</v>
      </c>
      <c r="CS27" s="106">
        <v>28543.945154388377</v>
      </c>
      <c r="CT27" s="106">
        <v>57.233895260574386</v>
      </c>
      <c r="CU27" s="106">
        <v>18063.017344237272</v>
      </c>
    </row>
    <row r="28" spans="2:99" x14ac:dyDescent="0.2">
      <c r="C28" s="105" t="s">
        <v>194</v>
      </c>
      <c r="D28" s="106">
        <v>13.117771748076089</v>
      </c>
      <c r="E28" s="106">
        <v>7744.7324400641228</v>
      </c>
      <c r="F28" s="106">
        <v>27</v>
      </c>
      <c r="G28" s="106">
        <v>15940.8</v>
      </c>
      <c r="H28" s="106">
        <v>17</v>
      </c>
      <c r="I28" s="106">
        <v>10036.799999999999</v>
      </c>
      <c r="J28" s="106">
        <v>32.1801407383305</v>
      </c>
      <c r="K28" s="106">
        <v>18999.155091910328</v>
      </c>
      <c r="L28" s="106">
        <v>33</v>
      </c>
      <c r="M28" s="106">
        <v>19483.2</v>
      </c>
      <c r="N28" s="106">
        <v>26</v>
      </c>
      <c r="O28" s="106">
        <v>15350.4</v>
      </c>
      <c r="P28" s="106">
        <v>34</v>
      </c>
      <c r="Q28" s="106">
        <v>20073.599999999999</v>
      </c>
      <c r="R28" s="106">
        <v>36</v>
      </c>
      <c r="S28" s="106">
        <v>21254.399999999998</v>
      </c>
      <c r="T28" s="106">
        <v>21</v>
      </c>
      <c r="U28" s="106">
        <v>12398.4</v>
      </c>
      <c r="V28" s="106">
        <v>22</v>
      </c>
      <c r="W28" s="106">
        <v>12988.8</v>
      </c>
      <c r="X28" s="106">
        <v>20.548696426599143</v>
      </c>
      <c r="Y28" s="106">
        <v>12131.950370264134</v>
      </c>
      <c r="Z28" s="106">
        <v>20.409626133156745</v>
      </c>
      <c r="AA28" s="106">
        <v>12049.843269015742</v>
      </c>
      <c r="AB28" s="106">
        <v>13</v>
      </c>
      <c r="AC28" s="106">
        <v>7675.2</v>
      </c>
      <c r="AD28" s="106">
        <v>16.31394854254351</v>
      </c>
      <c r="AE28" s="106">
        <v>9631.7552195176886</v>
      </c>
      <c r="AF28" s="106">
        <v>10</v>
      </c>
      <c r="AG28" s="106">
        <v>5904</v>
      </c>
      <c r="AH28" s="106">
        <v>10</v>
      </c>
      <c r="AI28" s="106">
        <v>5904</v>
      </c>
      <c r="AJ28" s="106">
        <v>11</v>
      </c>
      <c r="AK28" s="106">
        <v>6494.4</v>
      </c>
      <c r="AL28" s="106">
        <v>9</v>
      </c>
      <c r="AM28" s="106">
        <v>5313.5999999999995</v>
      </c>
      <c r="AN28" s="106">
        <v>11.037145528962501</v>
      </c>
      <c r="AO28" s="106">
        <v>6516.3307202994602</v>
      </c>
      <c r="AP28" s="106">
        <v>14.787120533256893</v>
      </c>
      <c r="AQ28" s="106">
        <v>8730.3159628348694</v>
      </c>
      <c r="AR28" s="106">
        <v>10.712469077725842</v>
      </c>
      <c r="AS28" s="106">
        <v>6324.6417434893374</v>
      </c>
      <c r="AT28" s="106">
        <v>8.6881804066072892</v>
      </c>
      <c r="AU28" s="106">
        <v>5129.5017120609436</v>
      </c>
      <c r="AV28" s="106">
        <v>15</v>
      </c>
      <c r="AW28" s="106">
        <v>8856</v>
      </c>
      <c r="AX28" s="106">
        <v>15</v>
      </c>
      <c r="AY28" s="106">
        <v>8856</v>
      </c>
      <c r="AZ28" s="106">
        <v>11.506097187424794</v>
      </c>
      <c r="BA28" s="106">
        <v>6793.1997794555982</v>
      </c>
      <c r="BB28" s="106">
        <v>15</v>
      </c>
      <c r="BC28" s="106">
        <v>8856</v>
      </c>
      <c r="BD28" s="106">
        <v>14</v>
      </c>
      <c r="BE28" s="106">
        <v>8265.6</v>
      </c>
      <c r="BF28" s="106">
        <v>11</v>
      </c>
      <c r="BG28" s="106">
        <v>6494.4</v>
      </c>
      <c r="BH28" s="106">
        <v>35</v>
      </c>
      <c r="BI28" s="106">
        <v>20664</v>
      </c>
      <c r="BJ28" s="106">
        <v>22</v>
      </c>
      <c r="BK28" s="106">
        <v>12988.8</v>
      </c>
      <c r="BL28" s="106">
        <v>39.315059235325407</v>
      </c>
      <c r="BM28" s="106">
        <v>23211.61097253612</v>
      </c>
      <c r="BN28" s="106">
        <v>34.705394163204225</v>
      </c>
      <c r="BO28" s="106">
        <v>20490.064713955773</v>
      </c>
      <c r="BP28" s="106">
        <v>25</v>
      </c>
      <c r="BQ28" s="106">
        <v>14760</v>
      </c>
      <c r="BR28" s="106">
        <v>24</v>
      </c>
      <c r="BS28" s="106">
        <v>14169.599999999999</v>
      </c>
      <c r="BT28" s="106">
        <v>27</v>
      </c>
      <c r="BU28" s="106">
        <v>15940.8</v>
      </c>
      <c r="BV28" s="106">
        <v>18</v>
      </c>
      <c r="BW28" s="106">
        <v>10627.199999999999</v>
      </c>
      <c r="BX28" s="106">
        <v>31</v>
      </c>
      <c r="BY28" s="106">
        <v>18302.399999999998</v>
      </c>
      <c r="BZ28" s="106">
        <v>43.041521507709469</v>
      </c>
      <c r="CA28" s="106">
        <v>25411.71429815167</v>
      </c>
      <c r="CB28" s="106">
        <v>31</v>
      </c>
      <c r="CC28" s="106">
        <v>18302.399999999998</v>
      </c>
      <c r="CD28" s="106">
        <v>33.860207751673812</v>
      </c>
      <c r="CE28" s="106">
        <v>19991.066656588217</v>
      </c>
      <c r="CF28" s="106">
        <v>125.44983560683596</v>
      </c>
      <c r="CG28" s="106">
        <v>74065.582942275942</v>
      </c>
      <c r="CH28" s="106">
        <v>94.213587075233448</v>
      </c>
      <c r="CI28" s="106">
        <v>55623.701809217826</v>
      </c>
      <c r="CJ28" s="106">
        <v>105.31449328015387</v>
      </c>
      <c r="CK28" s="106">
        <v>62177.67683260284</v>
      </c>
      <c r="CL28" s="106">
        <v>99.725826602188391</v>
      </c>
      <c r="CM28" s="106">
        <v>58878.128025932027</v>
      </c>
      <c r="CN28" s="106">
        <v>52.20139840486749</v>
      </c>
      <c r="CO28" s="106">
        <v>30819.705618233766</v>
      </c>
      <c r="CP28" s="106">
        <v>68.619016063157375</v>
      </c>
      <c r="CQ28" s="106">
        <v>40512.667083688109</v>
      </c>
      <c r="CR28" s="106">
        <v>71.721483976077735</v>
      </c>
      <c r="CS28" s="106">
        <v>42344.364139476296</v>
      </c>
      <c r="CT28" s="106">
        <v>59.498467477643985</v>
      </c>
      <c r="CU28" s="106">
        <v>35127.895198801009</v>
      </c>
    </row>
    <row r="29" spans="2:99" x14ac:dyDescent="0.2">
      <c r="C29" s="105" t="s">
        <v>195</v>
      </c>
      <c r="D29" s="106">
        <v>9.9962796676158963</v>
      </c>
      <c r="E29" s="106">
        <v>2351.1249778232586</v>
      </c>
      <c r="F29" s="106">
        <v>27.341458948601094</v>
      </c>
      <c r="G29" s="106">
        <v>6430.7111447109774</v>
      </c>
      <c r="H29" s="106">
        <v>19</v>
      </c>
      <c r="I29" s="106">
        <v>4468.8</v>
      </c>
      <c r="J29" s="106">
        <v>32.695985930825152</v>
      </c>
      <c r="K29" s="106">
        <v>7690.0958909300753</v>
      </c>
      <c r="L29" s="106">
        <v>29.565068951670522</v>
      </c>
      <c r="M29" s="106">
        <v>6953.7042174329063</v>
      </c>
      <c r="N29" s="106">
        <v>28.268235523951468</v>
      </c>
      <c r="O29" s="106">
        <v>6648.688995233385</v>
      </c>
      <c r="P29" s="106">
        <v>39.369895919535068</v>
      </c>
      <c r="Q29" s="106">
        <v>9259.7995202746479</v>
      </c>
      <c r="R29" s="106">
        <v>37.210681294453273</v>
      </c>
      <c r="S29" s="106">
        <v>8751.95224045541</v>
      </c>
      <c r="T29" s="106">
        <v>23.305682315335179</v>
      </c>
      <c r="U29" s="106">
        <v>5481.4964805668342</v>
      </c>
      <c r="V29" s="106">
        <v>23.398822897784822</v>
      </c>
      <c r="W29" s="106">
        <v>5503.4031455589902</v>
      </c>
      <c r="X29" s="106">
        <v>24</v>
      </c>
      <c r="Y29" s="106">
        <v>5644.7999999999993</v>
      </c>
      <c r="Z29" s="106">
        <v>20.338615748406653</v>
      </c>
      <c r="AA29" s="106">
        <v>4783.6424240252445</v>
      </c>
      <c r="AB29" s="106">
        <v>13</v>
      </c>
      <c r="AC29" s="106">
        <v>3057.6</v>
      </c>
      <c r="AD29" s="106">
        <v>20.096749791465257</v>
      </c>
      <c r="AE29" s="106">
        <v>4726.7555509526283</v>
      </c>
      <c r="AF29" s="106">
        <v>13.073040390795336</v>
      </c>
      <c r="AG29" s="106">
        <v>3074.7790999150629</v>
      </c>
      <c r="AH29" s="106">
        <v>10.514672434587565</v>
      </c>
      <c r="AI29" s="106">
        <v>2473.0509566149954</v>
      </c>
      <c r="AJ29" s="106">
        <v>11.305980165325691</v>
      </c>
      <c r="AK29" s="106">
        <v>2659.1665348846022</v>
      </c>
      <c r="AL29" s="106">
        <v>9.5029807528376917</v>
      </c>
      <c r="AM29" s="106">
        <v>2235.1010730674252</v>
      </c>
      <c r="AN29" s="106">
        <v>12.739164777517995</v>
      </c>
      <c r="AO29" s="106">
        <v>2996.2515556722324</v>
      </c>
      <c r="AP29" s="106">
        <v>14.209176837378383</v>
      </c>
      <c r="AQ29" s="106">
        <v>3341.9983921513954</v>
      </c>
      <c r="AR29" s="106">
        <v>10.225740264372506</v>
      </c>
      <c r="AS29" s="106">
        <v>2405.0941101804133</v>
      </c>
      <c r="AT29" s="106">
        <v>9.2084526123626702</v>
      </c>
      <c r="AU29" s="106">
        <v>2165.8280544277</v>
      </c>
      <c r="AV29" s="106">
        <v>16</v>
      </c>
      <c r="AW29" s="106">
        <v>3763.2</v>
      </c>
      <c r="AX29" s="106">
        <v>16.525699423985753</v>
      </c>
      <c r="AY29" s="106">
        <v>3886.8445045214489</v>
      </c>
      <c r="AZ29" s="106">
        <v>14.409700124272945</v>
      </c>
      <c r="BA29" s="106">
        <v>3389.1614692289963</v>
      </c>
      <c r="BB29" s="106">
        <v>15.35392425668023</v>
      </c>
      <c r="BC29" s="106">
        <v>3611.24298517119</v>
      </c>
      <c r="BD29" s="106">
        <v>14</v>
      </c>
      <c r="BE29" s="106">
        <v>3292.7999999999997</v>
      </c>
      <c r="BF29" s="106">
        <v>13.423060537276138</v>
      </c>
      <c r="BG29" s="106">
        <v>3157.1038383673476</v>
      </c>
      <c r="BH29" s="106">
        <v>35</v>
      </c>
      <c r="BI29" s="106">
        <v>8232</v>
      </c>
      <c r="BJ29" s="106">
        <v>24.019170306243847</v>
      </c>
      <c r="BK29" s="106">
        <v>5649.3088560285523</v>
      </c>
      <c r="BL29" s="106">
        <v>42</v>
      </c>
      <c r="BM29" s="106">
        <v>9878.4</v>
      </c>
      <c r="BN29" s="106">
        <v>33.616956148176904</v>
      </c>
      <c r="BO29" s="106">
        <v>7906.7080860512069</v>
      </c>
      <c r="BP29" s="106">
        <v>25.910143104501341</v>
      </c>
      <c r="BQ29" s="106">
        <v>6094.0656581787152</v>
      </c>
      <c r="BR29" s="106">
        <v>23.646144891877192</v>
      </c>
      <c r="BS29" s="106">
        <v>5561.5732785695154</v>
      </c>
      <c r="BT29" s="106">
        <v>27</v>
      </c>
      <c r="BU29" s="106">
        <v>6350.4</v>
      </c>
      <c r="BV29" s="106">
        <v>23.240502852800308</v>
      </c>
      <c r="BW29" s="106">
        <v>5466.1662709786324</v>
      </c>
      <c r="BX29" s="106">
        <v>34.69470388865367</v>
      </c>
      <c r="BY29" s="106">
        <v>8160.1943546113425</v>
      </c>
      <c r="BZ29" s="106">
        <v>41.614806778665667</v>
      </c>
      <c r="CA29" s="106">
        <v>9787.8025543421645</v>
      </c>
      <c r="CB29" s="106">
        <v>30.730089188236587</v>
      </c>
      <c r="CC29" s="106">
        <v>7227.7169770732453</v>
      </c>
      <c r="CD29" s="106">
        <v>37.508112402922535</v>
      </c>
      <c r="CE29" s="106">
        <v>8821.908037167379</v>
      </c>
      <c r="CF29" s="106">
        <v>153</v>
      </c>
      <c r="CG29" s="106">
        <v>35985.599999999999</v>
      </c>
      <c r="CH29" s="106">
        <v>96.598602342561662</v>
      </c>
      <c r="CI29" s="106">
        <v>22719.991270970502</v>
      </c>
      <c r="CJ29" s="106">
        <v>123</v>
      </c>
      <c r="CK29" s="106">
        <v>28929.599999999999</v>
      </c>
      <c r="CL29" s="106">
        <v>108.79621935846359</v>
      </c>
      <c r="CM29" s="106">
        <v>25588.870793110636</v>
      </c>
      <c r="CN29" s="106">
        <v>56.217194154880353</v>
      </c>
      <c r="CO29" s="106">
        <v>13222.284065227859</v>
      </c>
      <c r="CP29" s="106">
        <v>66.564777097441649</v>
      </c>
      <c r="CQ29" s="106">
        <v>15656.035573318275</v>
      </c>
      <c r="CR29" s="106">
        <v>89.4434257109898</v>
      </c>
      <c r="CS29" s="106">
        <v>21037.093727224801</v>
      </c>
      <c r="CT29" s="106">
        <v>63.21440398885985</v>
      </c>
      <c r="CU29" s="106">
        <v>14868.027818179837</v>
      </c>
    </row>
    <row r="30" spans="2:99" x14ac:dyDescent="0.2">
      <c r="C30" s="105" t="s">
        <v>196</v>
      </c>
      <c r="D30" s="106">
        <v>9.5797680147985691</v>
      </c>
      <c r="E30" s="106">
        <v>2218.6742722273484</v>
      </c>
      <c r="F30" s="106">
        <v>25.341458948601094</v>
      </c>
      <c r="G30" s="106">
        <v>5869.0818924960131</v>
      </c>
      <c r="H30" s="106">
        <v>17</v>
      </c>
      <c r="I30" s="106">
        <v>3937.2</v>
      </c>
      <c r="J30" s="106">
        <v>32.603187806715134</v>
      </c>
      <c r="K30" s="106">
        <v>7550.898296035225</v>
      </c>
      <c r="L30" s="106">
        <v>32.52160210923433</v>
      </c>
      <c r="M30" s="106">
        <v>7532.003048498671</v>
      </c>
      <c r="N30" s="106">
        <v>28.306554884515965</v>
      </c>
      <c r="O30" s="106">
        <v>6555.7981112538973</v>
      </c>
      <c r="P30" s="106">
        <v>34.369895919535068</v>
      </c>
      <c r="Q30" s="106">
        <v>7960.0678949643216</v>
      </c>
      <c r="R30" s="106">
        <v>37.210681294453273</v>
      </c>
      <c r="S30" s="106">
        <v>8617.993787795378</v>
      </c>
      <c r="T30" s="106">
        <v>24.250103712546967</v>
      </c>
      <c r="U30" s="106">
        <v>5616.3240198258773</v>
      </c>
      <c r="V30" s="106">
        <v>20.398822897784822</v>
      </c>
      <c r="W30" s="106">
        <v>4724.3673831269643</v>
      </c>
      <c r="X30" s="106">
        <v>25</v>
      </c>
      <c r="Y30" s="106">
        <v>5790</v>
      </c>
      <c r="Z30" s="106">
        <v>18.300991776361467</v>
      </c>
      <c r="AA30" s="106">
        <v>4238.5096954053161</v>
      </c>
      <c r="AB30" s="106">
        <v>12</v>
      </c>
      <c r="AC30" s="106">
        <v>2779.2</v>
      </c>
      <c r="AD30" s="106">
        <v>19.015509066171536</v>
      </c>
      <c r="AE30" s="106">
        <v>4403.9918997253271</v>
      </c>
      <c r="AF30" s="106">
        <v>12.030118775163523</v>
      </c>
      <c r="AG30" s="106">
        <v>2786.1755083278717</v>
      </c>
      <c r="AH30" s="106">
        <v>10.514672434587565</v>
      </c>
      <c r="AI30" s="106">
        <v>2435.19813585048</v>
      </c>
      <c r="AJ30" s="106">
        <v>12.363351446324257</v>
      </c>
      <c r="AK30" s="106">
        <v>2863.3521949686979</v>
      </c>
      <c r="AL30" s="106">
        <v>10.60357690340523</v>
      </c>
      <c r="AM30" s="106">
        <v>2455.7884108286512</v>
      </c>
      <c r="AN30" s="106">
        <v>13.739164777517995</v>
      </c>
      <c r="AO30" s="106">
        <v>3181.9905624731678</v>
      </c>
      <c r="AP30" s="106">
        <v>15.188259153640544</v>
      </c>
      <c r="AQ30" s="106">
        <v>3517.6008199831499</v>
      </c>
      <c r="AR30" s="106">
        <v>11.225740264372506</v>
      </c>
      <c r="AS30" s="106">
        <v>2599.8814452286724</v>
      </c>
      <c r="AT30" s="106">
        <v>9.2084526123626702</v>
      </c>
      <c r="AU30" s="106">
        <v>2132.6776250231942</v>
      </c>
      <c r="AV30" s="106">
        <v>15</v>
      </c>
      <c r="AW30" s="106">
        <v>3474</v>
      </c>
      <c r="AX30" s="106">
        <v>17.613315994650044</v>
      </c>
      <c r="AY30" s="106">
        <v>4079.24398436095</v>
      </c>
      <c r="AZ30" s="106">
        <v>12.409700124272945</v>
      </c>
      <c r="BA30" s="106">
        <v>2874.0865487816141</v>
      </c>
      <c r="BB30" s="106">
        <v>15.318531831012207</v>
      </c>
      <c r="BC30" s="106">
        <v>3547.7719720624268</v>
      </c>
      <c r="BD30" s="106">
        <v>14</v>
      </c>
      <c r="BE30" s="106">
        <v>3242.4</v>
      </c>
      <c r="BF30" s="106">
        <v>13.470067263640152</v>
      </c>
      <c r="BG30" s="106">
        <v>3119.6675782590592</v>
      </c>
      <c r="BH30" s="106">
        <v>36</v>
      </c>
      <c r="BI30" s="106">
        <v>8337.6</v>
      </c>
      <c r="BJ30" s="106">
        <v>21.051019378313967</v>
      </c>
      <c r="BK30" s="106">
        <v>4875.416088017515</v>
      </c>
      <c r="BL30" s="106">
        <v>39</v>
      </c>
      <c r="BM30" s="106">
        <v>9032.4</v>
      </c>
      <c r="BN30" s="106">
        <v>35.616956148176904</v>
      </c>
      <c r="BO30" s="106">
        <v>8248.8870439177699</v>
      </c>
      <c r="BP30" s="106">
        <v>28.883374189663066</v>
      </c>
      <c r="BQ30" s="106">
        <v>6689.3894623259657</v>
      </c>
      <c r="BR30" s="106">
        <v>24.710759381064914</v>
      </c>
      <c r="BS30" s="106">
        <v>5723.0118726546343</v>
      </c>
      <c r="BT30" s="106">
        <v>26</v>
      </c>
      <c r="BU30" s="106">
        <v>6021.5999999999995</v>
      </c>
      <c r="BV30" s="106">
        <v>23.145079556431053</v>
      </c>
      <c r="BW30" s="106">
        <v>5360.4004252694322</v>
      </c>
      <c r="BX30" s="106">
        <v>32.668974114999834</v>
      </c>
      <c r="BY30" s="106">
        <v>7566.1344050339612</v>
      </c>
      <c r="BZ30" s="106">
        <v>40.644083291935459</v>
      </c>
      <c r="CA30" s="106">
        <v>9413.1696904122527</v>
      </c>
      <c r="CB30" s="106">
        <v>28.756163802102179</v>
      </c>
      <c r="CC30" s="106">
        <v>6659.9275365668645</v>
      </c>
      <c r="CD30" s="106">
        <v>31.55892364321479</v>
      </c>
      <c r="CE30" s="106">
        <v>7309.0467157685453</v>
      </c>
      <c r="CF30" s="106">
        <v>136</v>
      </c>
      <c r="CG30" s="106">
        <v>31497.599999999999</v>
      </c>
      <c r="CH30" s="106">
        <v>91.598602342561662</v>
      </c>
      <c r="CI30" s="106">
        <v>21214.23630253728</v>
      </c>
      <c r="CJ30" s="106">
        <v>114</v>
      </c>
      <c r="CK30" s="106">
        <v>26402.399999999998</v>
      </c>
      <c r="CL30" s="106">
        <v>112.70775054085652</v>
      </c>
      <c r="CM30" s="106">
        <v>26103.11502526237</v>
      </c>
      <c r="CN30" s="106">
        <v>50.217194154880353</v>
      </c>
      <c r="CO30" s="106">
        <v>11630.30216627029</v>
      </c>
      <c r="CP30" s="106">
        <v>68.489473484449434</v>
      </c>
      <c r="CQ30" s="106">
        <v>15862.162058998489</v>
      </c>
      <c r="CR30" s="106">
        <v>76.506772241131202</v>
      </c>
      <c r="CS30" s="106">
        <v>17718.968451045985</v>
      </c>
      <c r="CT30" s="106">
        <v>61.194912717145321</v>
      </c>
      <c r="CU30" s="106">
        <v>14172.741785290857</v>
      </c>
    </row>
    <row r="31" spans="2:99" x14ac:dyDescent="0.2">
      <c r="C31" s="105" t="s">
        <v>197</v>
      </c>
      <c r="D31" s="106">
        <v>10.412791320433227</v>
      </c>
      <c r="E31" s="106">
        <v>1849.3117385089411</v>
      </c>
      <c r="F31" s="106">
        <v>24.341458948601094</v>
      </c>
      <c r="G31" s="106">
        <v>4323.0431092715544</v>
      </c>
      <c r="H31" s="106">
        <v>20</v>
      </c>
      <c r="I31" s="106">
        <v>3552</v>
      </c>
      <c r="J31" s="106">
        <v>28.603187806715134</v>
      </c>
      <c r="K31" s="106">
        <v>5079.9261544726078</v>
      </c>
      <c r="L31" s="106">
        <v>29.65200263654291</v>
      </c>
      <c r="M31" s="106">
        <v>5266.1956682500204</v>
      </c>
      <c r="N31" s="106">
        <v>25.268235523951468</v>
      </c>
      <c r="O31" s="106">
        <v>4487.6386290537803</v>
      </c>
      <c r="P31" s="106">
        <v>41.369895919535068</v>
      </c>
      <c r="Q31" s="106">
        <v>7347.2935153094277</v>
      </c>
      <c r="R31" s="106">
        <v>36.210681294453273</v>
      </c>
      <c r="S31" s="106">
        <v>6431.0169978949016</v>
      </c>
      <c r="T31" s="106">
        <v>20.277893013941071</v>
      </c>
      <c r="U31" s="106">
        <v>3601.3537992759343</v>
      </c>
      <c r="V31" s="106">
        <v>20.398822897784822</v>
      </c>
      <c r="W31" s="106">
        <v>3622.8309466465844</v>
      </c>
      <c r="X31" s="106">
        <v>24</v>
      </c>
      <c r="Y31" s="106">
        <v>4262.3999999999996</v>
      </c>
      <c r="Z31" s="106">
        <v>21.300991776361467</v>
      </c>
      <c r="AA31" s="106">
        <v>3783.0561394817964</v>
      </c>
      <c r="AB31" s="106">
        <v>12</v>
      </c>
      <c r="AC31" s="106">
        <v>2131.1999999999998</v>
      </c>
      <c r="AD31" s="106">
        <v>18.015509066171536</v>
      </c>
      <c r="AE31" s="106">
        <v>3199.5544101520645</v>
      </c>
      <c r="AF31" s="106">
        <v>12.11596200642715</v>
      </c>
      <c r="AG31" s="106">
        <v>2151.7948523414616</v>
      </c>
      <c r="AH31" s="106">
        <v>10.514672434587565</v>
      </c>
      <c r="AI31" s="106">
        <v>1867.4058243827515</v>
      </c>
      <c r="AJ31" s="106">
        <v>11.363351446324257</v>
      </c>
      <c r="AK31" s="106">
        <v>2018.131216867188</v>
      </c>
      <c r="AL31" s="106">
        <v>9.5029807528376917</v>
      </c>
      <c r="AM31" s="106">
        <v>1687.729381703974</v>
      </c>
      <c r="AN31" s="106">
        <v>12.739164777517995</v>
      </c>
      <c r="AO31" s="106">
        <v>2262.4756644871959</v>
      </c>
      <c r="AP31" s="106">
        <v>15.177800311771625</v>
      </c>
      <c r="AQ31" s="106">
        <v>2695.5773353706404</v>
      </c>
      <c r="AR31" s="106">
        <v>10.257988873568578</v>
      </c>
      <c r="AS31" s="106">
        <v>1821.8188239457795</v>
      </c>
      <c r="AT31" s="106">
        <v>9.2233420846742895</v>
      </c>
      <c r="AU31" s="106">
        <v>1638.0655542381537</v>
      </c>
      <c r="AV31" s="106">
        <v>14</v>
      </c>
      <c r="AW31" s="106">
        <v>2486.4</v>
      </c>
      <c r="AX31" s="106">
        <v>18.569507709317897</v>
      </c>
      <c r="AY31" s="106">
        <v>3297.9445691748583</v>
      </c>
      <c r="AZ31" s="106">
        <v>13.409700124272945</v>
      </c>
      <c r="BA31" s="106">
        <v>2381.5627420708747</v>
      </c>
      <c r="BB31" s="106">
        <v>16.389316682348252</v>
      </c>
      <c r="BC31" s="106">
        <v>2910.7426427850496</v>
      </c>
      <c r="BD31" s="106">
        <v>15</v>
      </c>
      <c r="BE31" s="106">
        <v>2664</v>
      </c>
      <c r="BF31" s="106">
        <v>11.470067263640152</v>
      </c>
      <c r="BG31" s="106">
        <v>2037.0839460224909</v>
      </c>
      <c r="BH31" s="106">
        <v>33</v>
      </c>
      <c r="BI31" s="106">
        <v>5860.8</v>
      </c>
      <c r="BJ31" s="106">
        <v>24.242113810734686</v>
      </c>
      <c r="BK31" s="106">
        <v>4305.3994127864798</v>
      </c>
      <c r="BL31" s="106">
        <v>43</v>
      </c>
      <c r="BM31" s="106">
        <v>7636.8</v>
      </c>
      <c r="BN31" s="106">
        <v>36.576532244472482</v>
      </c>
      <c r="BO31" s="106">
        <v>6495.9921266183128</v>
      </c>
      <c r="BP31" s="106">
        <v>24.80306744514824</v>
      </c>
      <c r="BQ31" s="106">
        <v>4405.0247782583274</v>
      </c>
      <c r="BR31" s="106">
        <v>22.613837647283333</v>
      </c>
      <c r="BS31" s="106">
        <v>4016.2175661575197</v>
      </c>
      <c r="BT31" s="106">
        <v>24</v>
      </c>
      <c r="BU31" s="106">
        <v>4262.3999999999996</v>
      </c>
      <c r="BV31" s="106">
        <v>22.288214500984935</v>
      </c>
      <c r="BW31" s="106">
        <v>3958.3868953749243</v>
      </c>
      <c r="BX31" s="106">
        <v>35.617514567692155</v>
      </c>
      <c r="BY31" s="106">
        <v>6325.6705872221264</v>
      </c>
      <c r="BZ31" s="106">
        <v>40.614806778665667</v>
      </c>
      <c r="CA31" s="106">
        <v>7213.1896838910225</v>
      </c>
      <c r="CB31" s="106">
        <v>28.782238415967772</v>
      </c>
      <c r="CC31" s="106">
        <v>5111.7255426758757</v>
      </c>
      <c r="CD31" s="106">
        <v>33.584329263360914</v>
      </c>
      <c r="CE31" s="106">
        <v>5964.5768771728981</v>
      </c>
      <c r="CF31" s="106">
        <v>162</v>
      </c>
      <c r="CG31" s="106">
        <v>28771.200000000001</v>
      </c>
      <c r="CH31" s="106">
        <v>104.59860234256166</v>
      </c>
      <c r="CI31" s="106">
        <v>18576.711776038952</v>
      </c>
      <c r="CJ31" s="106">
        <v>108</v>
      </c>
      <c r="CK31" s="106">
        <v>19180.8</v>
      </c>
      <c r="CL31" s="106">
        <v>102.70775054085652</v>
      </c>
      <c r="CM31" s="106">
        <v>18240.896496056117</v>
      </c>
      <c r="CN31" s="106">
        <v>55.217194154880353</v>
      </c>
      <c r="CO31" s="106">
        <v>9806.5736819067497</v>
      </c>
      <c r="CP31" s="106">
        <v>75.489473484449434</v>
      </c>
      <c r="CQ31" s="106">
        <v>13406.930490838218</v>
      </c>
      <c r="CR31" s="106">
        <v>90.506772241131202</v>
      </c>
      <c r="CS31" s="106">
        <v>16074.002750024902</v>
      </c>
      <c r="CT31" s="106">
        <v>56.21440398885985</v>
      </c>
      <c r="CU31" s="106">
        <v>9983.6781484215098</v>
      </c>
    </row>
    <row r="32" spans="2:99" x14ac:dyDescent="0.2">
      <c r="C32" s="105" t="s">
        <v>198</v>
      </c>
      <c r="D32" s="106">
        <v>11.517417160009909</v>
      </c>
      <c r="E32" s="106">
        <v>5929.1663539731007</v>
      </c>
      <c r="F32" s="106">
        <v>24</v>
      </c>
      <c r="G32" s="106">
        <v>12355.199999999999</v>
      </c>
      <c r="H32" s="106">
        <v>20</v>
      </c>
      <c r="I32" s="106">
        <v>10296</v>
      </c>
      <c r="J32" s="106">
        <v>32.193997718202077</v>
      </c>
      <c r="K32" s="106">
        <v>16573.470025330429</v>
      </c>
      <c r="L32" s="106">
        <v>28</v>
      </c>
      <c r="M32" s="106">
        <v>14414.399999999998</v>
      </c>
      <c r="N32" s="106">
        <v>26</v>
      </c>
      <c r="O32" s="106">
        <v>13384.8</v>
      </c>
      <c r="P32" s="106">
        <v>39</v>
      </c>
      <c r="Q32" s="106">
        <v>20077.199999999997</v>
      </c>
      <c r="R32" s="106">
        <v>34</v>
      </c>
      <c r="S32" s="106">
        <v>17503.199999999997</v>
      </c>
      <c r="T32" s="106">
        <v>22</v>
      </c>
      <c r="U32" s="106">
        <v>11325.599999999999</v>
      </c>
      <c r="V32" s="106">
        <v>20</v>
      </c>
      <c r="W32" s="106">
        <v>10296</v>
      </c>
      <c r="X32" s="106">
        <v>20.498814933271948</v>
      </c>
      <c r="Y32" s="106">
        <v>10552.789927648399</v>
      </c>
      <c r="Z32" s="106">
        <v>19.409626133156745</v>
      </c>
      <c r="AA32" s="106">
        <v>9992.0755333490924</v>
      </c>
      <c r="AB32" s="106">
        <v>13</v>
      </c>
      <c r="AC32" s="106">
        <v>6692.4</v>
      </c>
      <c r="AD32" s="106">
        <v>19.302736094595527</v>
      </c>
      <c r="AE32" s="106">
        <v>9937.0485414977775</v>
      </c>
      <c r="AF32" s="106">
        <v>11</v>
      </c>
      <c r="AG32" s="106">
        <v>5662.7999999999993</v>
      </c>
      <c r="AH32" s="106">
        <v>10</v>
      </c>
      <c r="AI32" s="106">
        <v>5148</v>
      </c>
      <c r="AJ32" s="106">
        <v>12</v>
      </c>
      <c r="AK32" s="106">
        <v>6177.5999999999995</v>
      </c>
      <c r="AL32" s="106">
        <v>11</v>
      </c>
      <c r="AM32" s="106">
        <v>5662.7999999999993</v>
      </c>
      <c r="AN32" s="106">
        <v>12.037145528962501</v>
      </c>
      <c r="AO32" s="106">
        <v>6196.7225183098953</v>
      </c>
      <c r="AP32" s="106">
        <v>17.74339161474262</v>
      </c>
      <c r="AQ32" s="106">
        <v>9134.2980032694995</v>
      </c>
      <c r="AR32" s="106">
        <v>10.712469077725842</v>
      </c>
      <c r="AS32" s="106">
        <v>5514.7790812132635</v>
      </c>
      <c r="AT32" s="106">
        <v>9.6881804066072892</v>
      </c>
      <c r="AU32" s="106">
        <v>4987.4752733214318</v>
      </c>
      <c r="AV32" s="106">
        <v>14</v>
      </c>
      <c r="AW32" s="106">
        <v>7207.1999999999989</v>
      </c>
      <c r="AX32" s="106">
        <v>17</v>
      </c>
      <c r="AY32" s="106">
        <v>8751.5999999999985</v>
      </c>
      <c r="AZ32" s="106">
        <v>13.428236081667134</v>
      </c>
      <c r="BA32" s="106">
        <v>6912.8559348422395</v>
      </c>
      <c r="BB32" s="106">
        <v>17</v>
      </c>
      <c r="BC32" s="106">
        <v>8751.5999999999985</v>
      </c>
      <c r="BD32" s="106">
        <v>16</v>
      </c>
      <c r="BE32" s="106">
        <v>8236.7999999999993</v>
      </c>
      <c r="BF32" s="106">
        <v>12</v>
      </c>
      <c r="BG32" s="106">
        <v>6177.5999999999995</v>
      </c>
      <c r="BH32" s="106">
        <v>35</v>
      </c>
      <c r="BI32" s="106">
        <v>18018</v>
      </c>
      <c r="BJ32" s="106">
        <v>21.74839645030297</v>
      </c>
      <c r="BK32" s="106">
        <v>11196.074492615968</v>
      </c>
      <c r="BL32" s="106">
        <v>42.350065817028231</v>
      </c>
      <c r="BM32" s="106">
        <v>21801.813882606129</v>
      </c>
      <c r="BN32" s="106">
        <v>35.843669365626191</v>
      </c>
      <c r="BO32" s="106">
        <v>18452.320989424363</v>
      </c>
      <c r="BP32" s="106">
        <v>26</v>
      </c>
      <c r="BQ32" s="106">
        <v>13384.8</v>
      </c>
      <c r="BR32" s="106">
        <v>24</v>
      </c>
      <c r="BS32" s="106">
        <v>12355.199999999999</v>
      </c>
      <c r="BT32" s="106">
        <v>27</v>
      </c>
      <c r="BU32" s="106">
        <v>13899.599999999999</v>
      </c>
      <c r="BV32" s="106">
        <v>20</v>
      </c>
      <c r="BW32" s="106">
        <v>10296</v>
      </c>
      <c r="BX32" s="106">
        <v>33</v>
      </c>
      <c r="BY32" s="106">
        <v>16988.399999999998</v>
      </c>
      <c r="BZ32" s="106">
        <v>38.041521507709469</v>
      </c>
      <c r="CA32" s="106">
        <v>19583.775272168834</v>
      </c>
      <c r="CB32" s="106">
        <v>32</v>
      </c>
      <c r="CC32" s="106">
        <v>16473.599999999999</v>
      </c>
      <c r="CD32" s="106">
        <v>32.860207751673812</v>
      </c>
      <c r="CE32" s="106">
        <v>16916.434950561677</v>
      </c>
      <c r="CF32" s="106">
        <v>147.44983560683596</v>
      </c>
      <c r="CG32" s="106">
        <v>75907.175370399142</v>
      </c>
      <c r="CH32" s="106">
        <v>99.198330855573914</v>
      </c>
      <c r="CI32" s="106">
        <v>51067.300724449444</v>
      </c>
      <c r="CJ32" s="106">
        <v>114.29030148937279</v>
      </c>
      <c r="CK32" s="106">
        <v>58836.647206729111</v>
      </c>
      <c r="CL32" s="106">
        <v>102.77119076482518</v>
      </c>
      <c r="CM32" s="106">
        <v>52906.609005731996</v>
      </c>
      <c r="CN32" s="106">
        <v>47.20139840486749</v>
      </c>
      <c r="CO32" s="106">
        <v>24299.279898825782</v>
      </c>
      <c r="CP32" s="106">
        <v>74.666632683400252</v>
      </c>
      <c r="CQ32" s="106">
        <v>38438.382505414447</v>
      </c>
      <c r="CR32" s="106">
        <v>73.625286112600705</v>
      </c>
      <c r="CS32" s="106">
        <v>37902.297290766837</v>
      </c>
      <c r="CT32" s="106">
        <v>57.415389564703318</v>
      </c>
      <c r="CU32" s="106">
        <v>29557.442547909264</v>
      </c>
    </row>
    <row r="33" spans="2:99" x14ac:dyDescent="0.2">
      <c r="C33" s="105" t="s">
        <v>199</v>
      </c>
      <c r="D33" s="106">
        <v>9.9962796676158963</v>
      </c>
      <c r="E33" s="106">
        <v>3346.754432717802</v>
      </c>
      <c r="F33" s="106">
        <v>25.341458948601094</v>
      </c>
      <c r="G33" s="106">
        <v>8484.3204559916467</v>
      </c>
      <c r="H33" s="106">
        <v>19</v>
      </c>
      <c r="I33" s="106">
        <v>6361.2</v>
      </c>
      <c r="J33" s="106">
        <v>28.556788744660125</v>
      </c>
      <c r="K33" s="106">
        <v>9560.8128717122108</v>
      </c>
      <c r="L33" s="106">
        <v>30.565068951670522</v>
      </c>
      <c r="M33" s="106">
        <v>10233.185085019291</v>
      </c>
      <c r="N33" s="106">
        <v>25.306554884515965</v>
      </c>
      <c r="O33" s="106">
        <v>8472.6345753359456</v>
      </c>
      <c r="P33" s="106">
        <v>37.416132909476957</v>
      </c>
      <c r="Q33" s="106">
        <v>12526.921298092886</v>
      </c>
      <c r="R33" s="106">
        <v>32.189613165007948</v>
      </c>
      <c r="S33" s="106">
        <v>10777.082487644662</v>
      </c>
      <c r="T33" s="106">
        <v>21.277893013941071</v>
      </c>
      <c r="U33" s="106">
        <v>7123.8385810674708</v>
      </c>
      <c r="V33" s="106">
        <v>20.398822897784822</v>
      </c>
      <c r="W33" s="106">
        <v>6829.5259061783581</v>
      </c>
      <c r="X33" s="106">
        <v>21</v>
      </c>
      <c r="Y33" s="106">
        <v>7030.8</v>
      </c>
      <c r="Z33" s="106">
        <v>21.300991776361467</v>
      </c>
      <c r="AA33" s="106">
        <v>7131.5720467258197</v>
      </c>
      <c r="AB33" s="106">
        <v>12</v>
      </c>
      <c r="AC33" s="106">
        <v>4017.6000000000004</v>
      </c>
      <c r="AD33" s="106">
        <v>20.137370154112119</v>
      </c>
      <c r="AE33" s="106">
        <v>6741.9915275967378</v>
      </c>
      <c r="AF33" s="106">
        <v>11.944275543899897</v>
      </c>
      <c r="AG33" s="106">
        <v>3998.9434520976856</v>
      </c>
      <c r="AH33" s="106">
        <v>9.4270686159343633</v>
      </c>
      <c r="AI33" s="106">
        <v>3156.1825726148249</v>
      </c>
      <c r="AJ33" s="106">
        <v>10.344227685991402</v>
      </c>
      <c r="AK33" s="106">
        <v>3463.2474292699217</v>
      </c>
      <c r="AL33" s="106">
        <v>10.53651280302687</v>
      </c>
      <c r="AM33" s="106">
        <v>3527.624486453396</v>
      </c>
      <c r="AN33" s="106">
        <v>12.739164777517995</v>
      </c>
      <c r="AO33" s="106">
        <v>4265.0723675130248</v>
      </c>
      <c r="AP33" s="106">
        <v>16.198717995509462</v>
      </c>
      <c r="AQ33" s="106">
        <v>5423.3307848965678</v>
      </c>
      <c r="AR33" s="106">
        <v>11.241864568970543</v>
      </c>
      <c r="AS33" s="106">
        <v>3763.7762576913378</v>
      </c>
      <c r="AT33" s="106">
        <v>9.2084526123626702</v>
      </c>
      <c r="AU33" s="106">
        <v>3082.9899346190223</v>
      </c>
      <c r="AV33" s="106">
        <v>15</v>
      </c>
      <c r="AW33" s="106">
        <v>5022</v>
      </c>
      <c r="AX33" s="106">
        <v>16.613315994650044</v>
      </c>
      <c r="AY33" s="106">
        <v>5562.1381950088353</v>
      </c>
      <c r="AZ33" s="106">
        <v>12.409700124272945</v>
      </c>
      <c r="BA33" s="106">
        <v>4154.7676016065825</v>
      </c>
      <c r="BB33" s="106">
        <v>17.35392425668023</v>
      </c>
      <c r="BC33" s="106">
        <v>5810.0938411365414</v>
      </c>
      <c r="BD33" s="106">
        <v>14</v>
      </c>
      <c r="BE33" s="106">
        <v>4687.2</v>
      </c>
      <c r="BF33" s="106">
        <v>11.470067263640152</v>
      </c>
      <c r="BG33" s="106">
        <v>3840.178519866723</v>
      </c>
      <c r="BH33" s="106">
        <v>36</v>
      </c>
      <c r="BI33" s="106">
        <v>12052.800000000001</v>
      </c>
      <c r="BJ33" s="106">
        <v>21.114717522454207</v>
      </c>
      <c r="BK33" s="106">
        <v>7069.2074265176689</v>
      </c>
      <c r="BL33" s="106">
        <v>38</v>
      </c>
      <c r="BM33" s="106">
        <v>12722.4</v>
      </c>
      <c r="BN33" s="106">
        <v>34.576532244472482</v>
      </c>
      <c r="BO33" s="106">
        <v>11576.222995449387</v>
      </c>
      <c r="BP33" s="106">
        <v>23.829836359986516</v>
      </c>
      <c r="BQ33" s="106">
        <v>7978.229213323486</v>
      </c>
      <c r="BR33" s="106">
        <v>21.646144891877192</v>
      </c>
      <c r="BS33" s="106">
        <v>7247.1293098004844</v>
      </c>
      <c r="BT33" s="106">
        <v>28</v>
      </c>
      <c r="BU33" s="106">
        <v>9374.4</v>
      </c>
      <c r="BV33" s="106">
        <v>22.288214500984935</v>
      </c>
      <c r="BW33" s="106">
        <v>7462.0942149297562</v>
      </c>
      <c r="BX33" s="106">
        <v>33.643244341345991</v>
      </c>
      <c r="BY33" s="106">
        <v>11263.758205482638</v>
      </c>
      <c r="BZ33" s="106">
        <v>39.556253752126075</v>
      </c>
      <c r="CA33" s="106">
        <v>13243.433756211811</v>
      </c>
      <c r="CB33" s="106">
        <v>30.704014574370994</v>
      </c>
      <c r="CC33" s="106">
        <v>10279.70407949941</v>
      </c>
      <c r="CD33" s="106">
        <v>35.55892364321479</v>
      </c>
      <c r="CE33" s="106">
        <v>11905.127635748313</v>
      </c>
      <c r="CF33" s="106">
        <v>138</v>
      </c>
      <c r="CG33" s="106">
        <v>46202.400000000001</v>
      </c>
      <c r="CH33" s="106">
        <v>97.598602342561662</v>
      </c>
      <c r="CI33" s="106">
        <v>32676.012064289647</v>
      </c>
      <c r="CJ33" s="106">
        <v>117</v>
      </c>
      <c r="CK33" s="106">
        <v>39171.599999999999</v>
      </c>
      <c r="CL33" s="106">
        <v>108.66351613205299</v>
      </c>
      <c r="CM33" s="106">
        <v>36380.545201011344</v>
      </c>
      <c r="CN33" s="106">
        <v>55.217194154880353</v>
      </c>
      <c r="CO33" s="106">
        <v>18486.716603053941</v>
      </c>
      <c r="CP33" s="106">
        <v>72.527125290945548</v>
      </c>
      <c r="CQ33" s="106">
        <v>24282.081547408572</v>
      </c>
      <c r="CR33" s="106">
        <v>78.4434257109898</v>
      </c>
      <c r="CS33" s="106">
        <v>26262.858928039386</v>
      </c>
      <c r="CT33" s="106">
        <v>60.194912717145321</v>
      </c>
      <c r="CU33" s="106">
        <v>20153.256777700255</v>
      </c>
    </row>
    <row r="34" spans="2:99" x14ac:dyDescent="0.2">
      <c r="C34" s="105" t="s">
        <v>200</v>
      </c>
      <c r="D34" s="106">
        <v>8.7467447091639094</v>
      </c>
      <c r="E34" s="106">
        <v>3327.2616873659508</v>
      </c>
      <c r="F34" s="106">
        <v>25.298776580025955</v>
      </c>
      <c r="G34" s="106">
        <v>9623.6546110418731</v>
      </c>
      <c r="H34" s="106">
        <v>17</v>
      </c>
      <c r="I34" s="106">
        <v>6466.7999999999993</v>
      </c>
      <c r="J34" s="106">
        <v>32.603187806715134</v>
      </c>
      <c r="K34" s="106">
        <v>12402.252641674437</v>
      </c>
      <c r="L34" s="106">
        <v>30.52160210923433</v>
      </c>
      <c r="M34" s="106">
        <v>11610.417442352738</v>
      </c>
      <c r="N34" s="106">
        <v>26.268235523951468</v>
      </c>
      <c r="O34" s="106">
        <v>9992.4367933111371</v>
      </c>
      <c r="P34" s="106">
        <v>39.323658929593186</v>
      </c>
      <c r="Q34" s="106">
        <v>14958.719856817248</v>
      </c>
      <c r="R34" s="106">
        <v>37.210681294453273</v>
      </c>
      <c r="S34" s="106">
        <v>14154.943164410024</v>
      </c>
      <c r="T34" s="106">
        <v>22.250103712546967</v>
      </c>
      <c r="U34" s="106">
        <v>8463.9394522528655</v>
      </c>
      <c r="V34" s="106">
        <v>21.348970035561717</v>
      </c>
      <c r="W34" s="106">
        <v>8121.148201527677</v>
      </c>
      <c r="X34" s="106">
        <v>21</v>
      </c>
      <c r="Y34" s="106">
        <v>7988.4</v>
      </c>
      <c r="Z34" s="106">
        <v>21.263367804316285</v>
      </c>
      <c r="AA34" s="106">
        <v>8088.5851127619144</v>
      </c>
      <c r="AB34" s="106">
        <v>12</v>
      </c>
      <c r="AC34" s="106">
        <v>4564.7999999999993</v>
      </c>
      <c r="AD34" s="106">
        <v>20.137370154112119</v>
      </c>
      <c r="AE34" s="106">
        <v>7660.2556066242496</v>
      </c>
      <c r="AF34" s="106">
        <v>13.030118775163523</v>
      </c>
      <c r="AG34" s="106">
        <v>4956.6571820722038</v>
      </c>
      <c r="AH34" s="106">
        <v>10.481821002592614</v>
      </c>
      <c r="AI34" s="106">
        <v>3987.2847093862301</v>
      </c>
      <c r="AJ34" s="106">
        <v>11.305980165325691</v>
      </c>
      <c r="AK34" s="106">
        <v>4300.7948548898921</v>
      </c>
      <c r="AL34" s="106">
        <v>10.502980752837692</v>
      </c>
      <c r="AM34" s="106">
        <v>3995.3338783794575</v>
      </c>
      <c r="AN34" s="106">
        <v>11.668768132040091</v>
      </c>
      <c r="AO34" s="106">
        <v>4438.7993974280507</v>
      </c>
      <c r="AP34" s="106">
        <v>17.188259153640544</v>
      </c>
      <c r="AQ34" s="106">
        <v>6538.4137820448623</v>
      </c>
      <c r="AR34" s="106">
        <v>10.225740264372506</v>
      </c>
      <c r="AS34" s="106">
        <v>3889.8715965673009</v>
      </c>
      <c r="AT34" s="106">
        <v>9.1935631400510509</v>
      </c>
      <c r="AU34" s="106">
        <v>3497.2314184754196</v>
      </c>
      <c r="AV34" s="106">
        <v>16</v>
      </c>
      <c r="AW34" s="106">
        <v>6086.4</v>
      </c>
      <c r="AX34" s="106">
        <v>18.569507709317897</v>
      </c>
      <c r="AY34" s="106">
        <v>7063.8407326245278</v>
      </c>
      <c r="AZ34" s="106">
        <v>12.409700124272945</v>
      </c>
      <c r="BA34" s="106">
        <v>4720.6499272734281</v>
      </c>
      <c r="BB34" s="106">
        <v>15.318531831012207</v>
      </c>
      <c r="BC34" s="106">
        <v>5827.1695085170431</v>
      </c>
      <c r="BD34" s="106">
        <v>16</v>
      </c>
      <c r="BE34" s="106">
        <v>6086.4</v>
      </c>
      <c r="BF34" s="106">
        <v>11.470067263640152</v>
      </c>
      <c r="BG34" s="106">
        <v>4363.2135870887132</v>
      </c>
      <c r="BH34" s="106">
        <v>35</v>
      </c>
      <c r="BI34" s="106">
        <v>13314</v>
      </c>
      <c r="BJ34" s="106">
        <v>23.178415666594447</v>
      </c>
      <c r="BK34" s="106">
        <v>8817.0693195725271</v>
      </c>
      <c r="BL34" s="106">
        <v>38</v>
      </c>
      <c r="BM34" s="106">
        <v>14455.199999999999</v>
      </c>
      <c r="BN34" s="106">
        <v>31.616956148176907</v>
      </c>
      <c r="BO34" s="106">
        <v>12027.090118766495</v>
      </c>
      <c r="BP34" s="106">
        <v>26.749529615471694</v>
      </c>
      <c r="BQ34" s="106">
        <v>10175.521065725432</v>
      </c>
      <c r="BR34" s="106">
        <v>23.678452136471051</v>
      </c>
      <c r="BS34" s="106">
        <v>9007.2831927135867</v>
      </c>
      <c r="BT34" s="106">
        <v>26</v>
      </c>
      <c r="BU34" s="106">
        <v>9890.4</v>
      </c>
      <c r="BV34" s="106">
        <v>22.335926149169563</v>
      </c>
      <c r="BW34" s="106">
        <v>8496.5863071441017</v>
      </c>
      <c r="BX34" s="106">
        <v>35.591784794038311</v>
      </c>
      <c r="BY34" s="106">
        <v>13539.114935652173</v>
      </c>
      <c r="BZ34" s="106">
        <v>44.585530265395874</v>
      </c>
      <c r="CA34" s="106">
        <v>16960.335712956588</v>
      </c>
      <c r="CB34" s="106">
        <v>32.782238415967768</v>
      </c>
      <c r="CC34" s="106">
        <v>12470.363493434139</v>
      </c>
      <c r="CD34" s="106">
        <v>30.584329263360917</v>
      </c>
      <c r="CE34" s="106">
        <v>11634.278851782492</v>
      </c>
      <c r="CF34" s="106">
        <v>132</v>
      </c>
      <c r="CG34" s="106">
        <v>50212.799999999996</v>
      </c>
      <c r="CH34" s="106">
        <v>93.598602342561662</v>
      </c>
      <c r="CI34" s="106">
        <v>35604.908331110455</v>
      </c>
      <c r="CJ34" s="106">
        <v>116</v>
      </c>
      <c r="CK34" s="106">
        <v>44126.399999999994</v>
      </c>
      <c r="CL34" s="106">
        <v>109.70775054085652</v>
      </c>
      <c r="CM34" s="106">
        <v>41732.828305741816</v>
      </c>
      <c r="CN34" s="106">
        <v>47.217194154880353</v>
      </c>
      <c r="CO34" s="106">
        <v>17961.420656516486</v>
      </c>
      <c r="CP34" s="106">
        <v>77.489473484449434</v>
      </c>
      <c r="CQ34" s="106">
        <v>29476.995713484564</v>
      </c>
      <c r="CR34" s="106">
        <v>79.506772241131202</v>
      </c>
      <c r="CS34" s="106">
        <v>30244.376160526306</v>
      </c>
      <c r="CT34" s="106">
        <v>59.21440398885985</v>
      </c>
      <c r="CU34" s="106">
        <v>22525.159277362287</v>
      </c>
    </row>
    <row r="35" spans="2:99" x14ac:dyDescent="0.2">
      <c r="C35" s="105" t="s">
        <v>201</v>
      </c>
      <c r="D35" s="106">
        <v>8.7467447091639094</v>
      </c>
      <c r="E35" s="106">
        <v>3589.6640286408683</v>
      </c>
      <c r="F35" s="106">
        <v>24.341458948601094</v>
      </c>
      <c r="G35" s="106">
        <v>9989.7347525058885</v>
      </c>
      <c r="H35" s="106">
        <v>20</v>
      </c>
      <c r="I35" s="106">
        <v>8208</v>
      </c>
      <c r="J35" s="106">
        <v>29.603187806715134</v>
      </c>
      <c r="K35" s="106">
        <v>12149.14827587589</v>
      </c>
      <c r="L35" s="106">
        <v>32.608535794106714</v>
      </c>
      <c r="M35" s="106">
        <v>13382.543089901395</v>
      </c>
      <c r="N35" s="106">
        <v>28.306554884515965</v>
      </c>
      <c r="O35" s="106">
        <v>11617.010124605351</v>
      </c>
      <c r="P35" s="106">
        <v>39.323658929593186</v>
      </c>
      <c r="Q35" s="106">
        <v>16138.429624705042</v>
      </c>
      <c r="R35" s="106">
        <v>36.210681294453273</v>
      </c>
      <c r="S35" s="106">
        <v>14860.863603243622</v>
      </c>
      <c r="T35" s="106">
        <v>22.305682315335179</v>
      </c>
      <c r="U35" s="106">
        <v>9154.2520222135572</v>
      </c>
      <c r="V35" s="106">
        <v>23.448675760007923</v>
      </c>
      <c r="W35" s="106">
        <v>9623.3365319072509</v>
      </c>
      <c r="X35" s="106">
        <v>22</v>
      </c>
      <c r="Y35" s="106">
        <v>9028.7999999999993</v>
      </c>
      <c r="Z35" s="106">
        <v>20.300991776361467</v>
      </c>
      <c r="AA35" s="106">
        <v>8331.5270250187459</v>
      </c>
      <c r="AB35" s="106">
        <v>12</v>
      </c>
      <c r="AC35" s="106">
        <v>4924.7999999999993</v>
      </c>
      <c r="AD35" s="106">
        <v>18.974888703524673</v>
      </c>
      <c r="AE35" s="106">
        <v>7787.2943239265251</v>
      </c>
      <c r="AF35" s="106">
        <v>12.11596200642715</v>
      </c>
      <c r="AG35" s="106">
        <v>4972.3908074377023</v>
      </c>
      <c r="AH35" s="106">
        <v>9.4708705252609633</v>
      </c>
      <c r="AI35" s="106">
        <v>3886.8452635670992</v>
      </c>
      <c r="AJ35" s="106">
        <v>11.325103925658546</v>
      </c>
      <c r="AK35" s="106">
        <v>4647.8226510902668</v>
      </c>
      <c r="AL35" s="106">
        <v>11.53651280302687</v>
      </c>
      <c r="AM35" s="106">
        <v>4734.5848543622269</v>
      </c>
      <c r="AN35" s="106">
        <v>12.774363100256947</v>
      </c>
      <c r="AO35" s="106">
        <v>5242.5986163454509</v>
      </c>
      <c r="AP35" s="106">
        <v>17.198717995509462</v>
      </c>
      <c r="AQ35" s="106">
        <v>7058.3538653570831</v>
      </c>
      <c r="AR35" s="106">
        <v>9.2418645689705432</v>
      </c>
      <c r="AS35" s="106">
        <v>3792.8612191055108</v>
      </c>
      <c r="AT35" s="106">
        <v>8.2084526123626702</v>
      </c>
      <c r="AU35" s="106">
        <v>3368.7489521136395</v>
      </c>
      <c r="AV35" s="106">
        <v>15</v>
      </c>
      <c r="AW35" s="106">
        <v>6156</v>
      </c>
      <c r="AX35" s="106">
        <v>16.525699423985753</v>
      </c>
      <c r="AY35" s="106">
        <v>6782.1470436037525</v>
      </c>
      <c r="AZ35" s="106">
        <v>13.346669335923261</v>
      </c>
      <c r="BA35" s="106">
        <v>5477.4730954629058</v>
      </c>
      <c r="BB35" s="106">
        <v>16.389316682348252</v>
      </c>
      <c r="BC35" s="106">
        <v>6726.1755664357224</v>
      </c>
      <c r="BD35" s="106">
        <v>13</v>
      </c>
      <c r="BE35" s="106">
        <v>5335.2</v>
      </c>
      <c r="BF35" s="106">
        <v>13.423060537276138</v>
      </c>
      <c r="BG35" s="106">
        <v>5508.8240444981266</v>
      </c>
      <c r="BH35" s="106">
        <v>39</v>
      </c>
      <c r="BI35" s="106">
        <v>16005.599999999999</v>
      </c>
      <c r="BJ35" s="106">
        <v>23.114717522454207</v>
      </c>
      <c r="BK35" s="106">
        <v>9486.2800712152057</v>
      </c>
      <c r="BL35" s="106">
        <v>38</v>
      </c>
      <c r="BM35" s="106">
        <v>15595.199999999999</v>
      </c>
      <c r="BN35" s="106">
        <v>33.697803955585755</v>
      </c>
      <c r="BO35" s="106">
        <v>13829.578743372393</v>
      </c>
      <c r="BP35" s="106">
        <v>26.749529615471694</v>
      </c>
      <c r="BQ35" s="106">
        <v>10978.006954189583</v>
      </c>
      <c r="BR35" s="106">
        <v>22.678452136471051</v>
      </c>
      <c r="BS35" s="106">
        <v>9307.2367568077188</v>
      </c>
      <c r="BT35" s="106">
        <v>28</v>
      </c>
      <c r="BU35" s="106">
        <v>11491.199999999999</v>
      </c>
      <c r="BV35" s="106">
        <v>23.097367908246426</v>
      </c>
      <c r="BW35" s="106">
        <v>9479.1597895443319</v>
      </c>
      <c r="BX35" s="106">
        <v>34.617514567692155</v>
      </c>
      <c r="BY35" s="106">
        <v>14207.02797858086</v>
      </c>
      <c r="BZ35" s="106">
        <v>45.644083291935459</v>
      </c>
      <c r="CA35" s="106">
        <v>18732.331783010311</v>
      </c>
      <c r="CB35" s="106">
        <v>31.756163802102179</v>
      </c>
      <c r="CC35" s="106">
        <v>13032.729624382733</v>
      </c>
      <c r="CD35" s="106">
        <v>30.533518023068662</v>
      </c>
      <c r="CE35" s="106">
        <v>12530.955796667378</v>
      </c>
      <c r="CF35" s="106">
        <v>157</v>
      </c>
      <c r="CG35" s="106">
        <v>64432.799999999996</v>
      </c>
      <c r="CH35" s="106">
        <v>90.548718814014862</v>
      </c>
      <c r="CI35" s="106">
        <v>37161.194201271697</v>
      </c>
      <c r="CJ35" s="106">
        <v>121</v>
      </c>
      <c r="CK35" s="106">
        <v>49658.399999999994</v>
      </c>
      <c r="CL35" s="106">
        <v>110.66351613205299</v>
      </c>
      <c r="CM35" s="106">
        <v>45416.307020594548</v>
      </c>
      <c r="CN35" s="106">
        <v>47.217194154880353</v>
      </c>
      <c r="CO35" s="106">
        <v>19377.936481162895</v>
      </c>
      <c r="CP35" s="106">
        <v>69.489473484449434</v>
      </c>
      <c r="CQ35" s="106">
        <v>28518.479918018045</v>
      </c>
      <c r="CR35" s="106">
        <v>85.475098976060494</v>
      </c>
      <c r="CS35" s="106">
        <v>35078.980619775226</v>
      </c>
      <c r="CT35" s="106">
        <v>60.21440398885985</v>
      </c>
      <c r="CU35" s="106">
        <v>24711.99139702808</v>
      </c>
    </row>
    <row r="36" spans="2:99" x14ac:dyDescent="0.2">
      <c r="C36" s="105" t="s">
        <v>202</v>
      </c>
      <c r="D36" s="106">
        <v>13.144016335038311</v>
      </c>
      <c r="E36" s="106">
        <v>7365.9067541554687</v>
      </c>
      <c r="F36" s="106">
        <v>23</v>
      </c>
      <c r="G36" s="106">
        <v>12889.199999999999</v>
      </c>
      <c r="H36" s="106">
        <v>19</v>
      </c>
      <c r="I36" s="106">
        <v>10647.6</v>
      </c>
      <c r="J36" s="106">
        <v>29.180140738330504</v>
      </c>
      <c r="K36" s="106">
        <v>16352.550869760415</v>
      </c>
      <c r="L36" s="106">
        <v>32</v>
      </c>
      <c r="M36" s="106">
        <v>17932.8</v>
      </c>
      <c r="N36" s="106">
        <v>24</v>
      </c>
      <c r="O36" s="106">
        <v>13449.599999999999</v>
      </c>
      <c r="P36" s="106">
        <v>38</v>
      </c>
      <c r="Q36" s="106">
        <v>21295.200000000001</v>
      </c>
      <c r="R36" s="106">
        <v>35</v>
      </c>
      <c r="S36" s="106">
        <v>19614</v>
      </c>
      <c r="T36" s="106">
        <v>20</v>
      </c>
      <c r="U36" s="106">
        <v>11208</v>
      </c>
      <c r="V36" s="106">
        <v>22</v>
      </c>
      <c r="W36" s="106">
        <v>12328.8</v>
      </c>
      <c r="X36" s="106">
        <v>21.598577919926338</v>
      </c>
      <c r="Y36" s="106">
        <v>12103.843066326719</v>
      </c>
      <c r="Z36" s="106">
        <v>19.318598103566359</v>
      </c>
      <c r="AA36" s="106">
        <v>10826.142377238588</v>
      </c>
      <c r="AB36" s="106">
        <v>14</v>
      </c>
      <c r="AC36" s="106">
        <v>7845.5999999999995</v>
      </c>
      <c r="AD36" s="106">
        <v>18.31394854254351</v>
      </c>
      <c r="AE36" s="106">
        <v>10263.136763241382</v>
      </c>
      <c r="AF36" s="106">
        <v>10</v>
      </c>
      <c r="AG36" s="106">
        <v>5604</v>
      </c>
      <c r="AH36" s="106">
        <v>9</v>
      </c>
      <c r="AI36" s="106">
        <v>5043.5999999999995</v>
      </c>
      <c r="AJ36" s="106">
        <v>11</v>
      </c>
      <c r="AK36" s="106">
        <v>6164.4</v>
      </c>
      <c r="AL36" s="106">
        <v>10</v>
      </c>
      <c r="AM36" s="106">
        <v>5604</v>
      </c>
      <c r="AN36" s="106">
        <v>11.888981881967858</v>
      </c>
      <c r="AO36" s="106">
        <v>6662.5854466547871</v>
      </c>
      <c r="AP36" s="106">
        <v>15.74339161474262</v>
      </c>
      <c r="AQ36" s="106">
        <v>8822.5966609017632</v>
      </c>
      <c r="AR36" s="106">
        <v>9.6649711392107864</v>
      </c>
      <c r="AS36" s="106">
        <v>5416.2498264137248</v>
      </c>
      <c r="AT36" s="106">
        <v>8.5898689199491045</v>
      </c>
      <c r="AU36" s="106">
        <v>4813.7625427394778</v>
      </c>
      <c r="AV36" s="106">
        <v>15</v>
      </c>
      <c r="AW36" s="106">
        <v>8406</v>
      </c>
      <c r="AX36" s="106">
        <v>18</v>
      </c>
      <c r="AY36" s="106">
        <v>10087.199999999999</v>
      </c>
      <c r="AZ36" s="106">
        <v>11.506097187424794</v>
      </c>
      <c r="BA36" s="106">
        <v>6448.0168638328541</v>
      </c>
      <c r="BB36" s="106">
        <v>15</v>
      </c>
      <c r="BC36" s="106">
        <v>8406</v>
      </c>
      <c r="BD36" s="106">
        <v>15</v>
      </c>
      <c r="BE36" s="106">
        <v>8406</v>
      </c>
      <c r="BF36" s="106">
        <v>13</v>
      </c>
      <c r="BG36" s="106">
        <v>7285.2</v>
      </c>
      <c r="BH36" s="106">
        <v>37</v>
      </c>
      <c r="BI36" s="106">
        <v>20734.8</v>
      </c>
      <c r="BJ36" s="106">
        <v>22.706818869730579</v>
      </c>
      <c r="BK36" s="106">
        <v>12724.901294597015</v>
      </c>
      <c r="BL36" s="106">
        <v>41.315059235325407</v>
      </c>
      <c r="BM36" s="106">
        <v>23152.959195476356</v>
      </c>
      <c r="BN36" s="106">
        <v>32.613210694922913</v>
      </c>
      <c r="BO36" s="106">
        <v>18276.443273434801</v>
      </c>
      <c r="BP36" s="106">
        <v>25</v>
      </c>
      <c r="BQ36" s="106">
        <v>14010</v>
      </c>
      <c r="BR36" s="106">
        <v>23</v>
      </c>
      <c r="BS36" s="106">
        <v>12889.199999999999</v>
      </c>
      <c r="BT36" s="106">
        <v>23</v>
      </c>
      <c r="BU36" s="106">
        <v>12889.199999999999</v>
      </c>
      <c r="BV36" s="106">
        <v>21</v>
      </c>
      <c r="BW36" s="106">
        <v>11768.4</v>
      </c>
      <c r="BX36" s="106">
        <v>31</v>
      </c>
      <c r="BY36" s="106">
        <v>17372.399999999998</v>
      </c>
      <c r="BZ36" s="106">
        <v>42.991925245437585</v>
      </c>
      <c r="CA36" s="106">
        <v>24092.674907543224</v>
      </c>
      <c r="CB36" s="106">
        <v>30</v>
      </c>
      <c r="CC36" s="106">
        <v>16812</v>
      </c>
      <c r="CD36" s="106">
        <v>30.81719736409012</v>
      </c>
      <c r="CE36" s="106">
        <v>17269.957402836102</v>
      </c>
      <c r="CF36" s="106">
        <v>127.42337468878678</v>
      </c>
      <c r="CG36" s="106">
        <v>71408.059175596107</v>
      </c>
      <c r="CH36" s="106">
        <v>100.19833085557391</v>
      </c>
      <c r="CI36" s="106">
        <v>56151.14461146362</v>
      </c>
      <c r="CJ36" s="106">
        <v>110.29030148937279</v>
      </c>
      <c r="CK36" s="106">
        <v>61806.684954644508</v>
      </c>
      <c r="CL36" s="106">
        <v>104.77119076482518</v>
      </c>
      <c r="CM36" s="106">
        <v>58713.775304608025</v>
      </c>
      <c r="CN36" s="106">
        <v>49.181258564380741</v>
      </c>
      <c r="CO36" s="106">
        <v>27561.177299478964</v>
      </c>
      <c r="CP36" s="106">
        <v>71.714249303643129</v>
      </c>
      <c r="CQ36" s="106">
        <v>40188.665309761607</v>
      </c>
      <c r="CR36" s="106">
        <v>86.769582907816257</v>
      </c>
      <c r="CS36" s="106">
        <v>48625.674261540225</v>
      </c>
      <c r="CT36" s="106">
        <v>50.415389564703318</v>
      </c>
      <c r="CU36" s="106">
        <v>28252.784312059739</v>
      </c>
    </row>
    <row r="37" spans="2:99" x14ac:dyDescent="0.2">
      <c r="B37" s="105" t="s">
        <v>128</v>
      </c>
      <c r="C37" s="105" t="s">
        <v>203</v>
      </c>
      <c r="D37" s="106">
        <v>2.0825582640866451</v>
      </c>
      <c r="E37" s="106">
        <v>1356.9949648788579</v>
      </c>
      <c r="F37" s="106">
        <v>5.2987765800259554</v>
      </c>
      <c r="G37" s="106">
        <v>3452.6828195449125</v>
      </c>
      <c r="H37" s="106">
        <v>6</v>
      </c>
      <c r="I37" s="106">
        <v>3909.6000000000004</v>
      </c>
      <c r="J37" s="106">
        <v>3.3247934343850725</v>
      </c>
      <c r="K37" s="106">
        <v>2166.4354018453132</v>
      </c>
      <c r="L37" s="106">
        <v>6.3477347394895531</v>
      </c>
      <c r="M37" s="106">
        <v>4136.1839562513933</v>
      </c>
      <c r="N37" s="106">
        <v>4.3448742450804598</v>
      </c>
      <c r="O37" s="106">
        <v>2831.1200580944278</v>
      </c>
      <c r="P37" s="106">
        <v>6.2311849497094194</v>
      </c>
      <c r="Q37" s="106">
        <v>4060.2401132306577</v>
      </c>
      <c r="R37" s="106">
        <v>5.1896131650079456</v>
      </c>
      <c r="S37" s="106">
        <v>3381.5519383191772</v>
      </c>
      <c r="T37" s="106">
        <v>13.222314411152858</v>
      </c>
      <c r="U37" s="106">
        <v>8615.6600703072036</v>
      </c>
      <c r="V37" s="106">
        <v>8.4985286222310261</v>
      </c>
      <c r="W37" s="106">
        <v>5537.641250245737</v>
      </c>
      <c r="X37" s="106">
        <v>9</v>
      </c>
      <c r="Y37" s="106">
        <v>5864.4000000000005</v>
      </c>
      <c r="Z37" s="106">
        <v>7.3009917763614691</v>
      </c>
      <c r="AA37" s="106">
        <v>4757.3262414771334</v>
      </c>
      <c r="AB37" s="106">
        <v>10</v>
      </c>
      <c r="AC37" s="106">
        <v>6516</v>
      </c>
      <c r="AD37" s="106">
        <v>11.406203626468614</v>
      </c>
      <c r="AE37" s="106">
        <v>7432.282283006949</v>
      </c>
      <c r="AF37" s="106">
        <v>10.429216156318134</v>
      </c>
      <c r="AG37" s="106">
        <v>6795.6772474568961</v>
      </c>
      <c r="AH37" s="106">
        <v>8.0876038186532018</v>
      </c>
      <c r="AI37" s="106">
        <v>5269.8826482344266</v>
      </c>
      <c r="AJ37" s="106">
        <v>7.1721138429957012</v>
      </c>
      <c r="AK37" s="106">
        <v>4673.3493800959986</v>
      </c>
      <c r="AL37" s="106">
        <v>8.268256401513435</v>
      </c>
      <c r="AM37" s="106">
        <v>5387.5958712261545</v>
      </c>
      <c r="AN37" s="106">
        <v>8.4575781956063771</v>
      </c>
      <c r="AO37" s="106">
        <v>5510.9579522571157</v>
      </c>
      <c r="AP37" s="106">
        <v>9.1673414699027056</v>
      </c>
      <c r="AQ37" s="106">
        <v>5973.4397017886031</v>
      </c>
      <c r="AR37" s="106">
        <v>8.1289944367842892</v>
      </c>
      <c r="AS37" s="106">
        <v>5296.8527750086432</v>
      </c>
      <c r="AT37" s="106">
        <v>5.1340052508045737</v>
      </c>
      <c r="AU37" s="106">
        <v>3345.3178214242603</v>
      </c>
      <c r="AV37" s="106">
        <v>7</v>
      </c>
      <c r="AW37" s="106">
        <v>4561.2</v>
      </c>
      <c r="AX37" s="106">
        <v>8.3942745679893136</v>
      </c>
      <c r="AY37" s="106">
        <v>5469.7093085018369</v>
      </c>
      <c r="AZ37" s="106">
        <v>13.346669335923261</v>
      </c>
      <c r="BA37" s="106">
        <v>8696.6897392875981</v>
      </c>
      <c r="BB37" s="106">
        <v>12.318531831012207</v>
      </c>
      <c r="BC37" s="106">
        <v>8026.7553410875544</v>
      </c>
      <c r="BD37" s="106">
        <v>10</v>
      </c>
      <c r="BE37" s="106">
        <v>6516</v>
      </c>
      <c r="BF37" s="106">
        <v>11.376053810912122</v>
      </c>
      <c r="BG37" s="106">
        <v>7412.6366631903393</v>
      </c>
      <c r="BH37" s="106">
        <v>6</v>
      </c>
      <c r="BI37" s="106">
        <v>3909.6000000000004</v>
      </c>
      <c r="BJ37" s="106">
        <v>5.2547925765609618</v>
      </c>
      <c r="BK37" s="106">
        <v>3424.0228428871228</v>
      </c>
      <c r="BL37" s="106">
        <v>4</v>
      </c>
      <c r="BM37" s="106">
        <v>2606.4</v>
      </c>
      <c r="BN37" s="106">
        <v>4.2829673259309589</v>
      </c>
      <c r="BO37" s="106">
        <v>2790.7815095766127</v>
      </c>
      <c r="BP37" s="106">
        <v>6.2141513187061976</v>
      </c>
      <c r="BQ37" s="106">
        <v>4049.1409992689587</v>
      </c>
      <c r="BR37" s="106">
        <v>5.2584579567508776</v>
      </c>
      <c r="BS37" s="106">
        <v>3426.411204618872</v>
      </c>
      <c r="BT37" s="106">
        <v>6</v>
      </c>
      <c r="BU37" s="106">
        <v>3909.6000000000004</v>
      </c>
      <c r="BV37" s="106">
        <v>4.3339815372923907</v>
      </c>
      <c r="BW37" s="106">
        <v>2824.0223696997218</v>
      </c>
      <c r="BX37" s="106">
        <v>7.2572977365383977</v>
      </c>
      <c r="BY37" s="106">
        <v>4728.8552051284205</v>
      </c>
      <c r="BZ37" s="106">
        <v>9.2634886194281432</v>
      </c>
      <c r="CA37" s="106">
        <v>6036.0891844193784</v>
      </c>
      <c r="CB37" s="106">
        <v>7.2346715247903317</v>
      </c>
      <c r="CC37" s="106">
        <v>4714.1119655533803</v>
      </c>
      <c r="CD37" s="106">
        <v>6.2540562014612684</v>
      </c>
      <c r="CE37" s="106">
        <v>4075.1430208721627</v>
      </c>
      <c r="CF37" s="106">
        <v>4</v>
      </c>
      <c r="CG37" s="106">
        <v>2606.4</v>
      </c>
      <c r="CH37" s="106">
        <v>5.3990682283744444</v>
      </c>
      <c r="CI37" s="106">
        <v>3518.0328576087882</v>
      </c>
      <c r="CJ37" s="106">
        <v>6</v>
      </c>
      <c r="CK37" s="106">
        <v>3909.6000000000004</v>
      </c>
      <c r="CL37" s="106">
        <v>4.3538752704282642</v>
      </c>
      <c r="CM37" s="106">
        <v>2836.9851262110569</v>
      </c>
      <c r="CN37" s="106">
        <v>14.168928787129163</v>
      </c>
      <c r="CO37" s="106">
        <v>9232.4739976933633</v>
      </c>
      <c r="CP37" s="106">
        <v>14.263562645472772</v>
      </c>
      <c r="CQ37" s="106">
        <v>9294.1374197900586</v>
      </c>
      <c r="CR37" s="106">
        <v>20.316732650706999</v>
      </c>
      <c r="CS37" s="106">
        <v>13238.382995200682</v>
      </c>
      <c r="CT37" s="106">
        <v>10.155930173716255</v>
      </c>
      <c r="CU37" s="106">
        <v>6617.6041011935122</v>
      </c>
    </row>
    <row r="38" spans="2:99" x14ac:dyDescent="0.2">
      <c r="C38" s="105" t="s">
        <v>204</v>
      </c>
      <c r="D38" s="106">
        <v>1.6660466112693162</v>
      </c>
      <c r="E38" s="106">
        <v>1719.3601028299342</v>
      </c>
      <c r="F38" s="106">
        <v>5.2987765800259554</v>
      </c>
      <c r="G38" s="106">
        <v>5468.3374305867856</v>
      </c>
      <c r="H38" s="106">
        <v>6</v>
      </c>
      <c r="I38" s="106">
        <v>6192</v>
      </c>
      <c r="J38" s="106">
        <v>4.3247934343850725</v>
      </c>
      <c r="K38" s="106">
        <v>4463.1868242853952</v>
      </c>
      <c r="L38" s="106">
        <v>5.3912015819257473</v>
      </c>
      <c r="M38" s="106">
        <v>5563.7200325473714</v>
      </c>
      <c r="N38" s="106">
        <v>4.3448742450804598</v>
      </c>
      <c r="O38" s="106">
        <v>4483.9102209230341</v>
      </c>
      <c r="P38" s="106">
        <v>6.2774219396513029</v>
      </c>
      <c r="Q38" s="106">
        <v>6478.2994417201444</v>
      </c>
      <c r="R38" s="106">
        <v>5.1896131650079456</v>
      </c>
      <c r="S38" s="106">
        <v>5355.6807862881997</v>
      </c>
      <c r="T38" s="106">
        <v>12.222314411152858</v>
      </c>
      <c r="U38" s="106">
        <v>12613.42847230975</v>
      </c>
      <c r="V38" s="106">
        <v>7.448675760007923</v>
      </c>
      <c r="W38" s="106">
        <v>7687.0333843281769</v>
      </c>
      <c r="X38" s="106">
        <v>9</v>
      </c>
      <c r="Y38" s="106">
        <v>9288</v>
      </c>
      <c r="Z38" s="106">
        <v>6.3009917763614691</v>
      </c>
      <c r="AA38" s="106">
        <v>6502.623513205036</v>
      </c>
      <c r="AB38" s="106">
        <v>9</v>
      </c>
      <c r="AC38" s="106">
        <v>9288</v>
      </c>
      <c r="AD38" s="106">
        <v>12.365583263821753</v>
      </c>
      <c r="AE38" s="106">
        <v>12761.281928264048</v>
      </c>
      <c r="AF38" s="106">
        <v>10.386294540686322</v>
      </c>
      <c r="AG38" s="106">
        <v>10718.655965988284</v>
      </c>
      <c r="AH38" s="106">
        <v>9.0876038186532018</v>
      </c>
      <c r="AI38" s="106">
        <v>9378.407140850104</v>
      </c>
      <c r="AJ38" s="106">
        <v>7.1912376033285561</v>
      </c>
      <c r="AK38" s="106">
        <v>7421.3572066350698</v>
      </c>
      <c r="AL38" s="106">
        <v>8.268256401513435</v>
      </c>
      <c r="AM38" s="106">
        <v>8532.840606361864</v>
      </c>
      <c r="AN38" s="106">
        <v>8.4927765183453303</v>
      </c>
      <c r="AO38" s="106">
        <v>8764.5453669323815</v>
      </c>
      <c r="AP38" s="106">
        <v>9.1568826280337863</v>
      </c>
      <c r="AQ38" s="106">
        <v>9449.9028721308678</v>
      </c>
      <c r="AR38" s="106">
        <v>8.1289944367842892</v>
      </c>
      <c r="AS38" s="106">
        <v>8389.1222587613865</v>
      </c>
      <c r="AT38" s="106">
        <v>5.1191157784929544</v>
      </c>
      <c r="AU38" s="106">
        <v>5282.9274834047292</v>
      </c>
      <c r="AV38" s="106">
        <v>7</v>
      </c>
      <c r="AW38" s="106">
        <v>7224</v>
      </c>
      <c r="AX38" s="106">
        <v>7.3942745679893136</v>
      </c>
      <c r="AY38" s="106">
        <v>7630.8913541649717</v>
      </c>
      <c r="AZ38" s="106">
        <v>12.283638547573577</v>
      </c>
      <c r="BA38" s="106">
        <v>12676.714981095933</v>
      </c>
      <c r="BB38" s="106">
        <v>12.318531831012207</v>
      </c>
      <c r="BC38" s="106">
        <v>12712.724849604598</v>
      </c>
      <c r="BD38" s="106">
        <v>10</v>
      </c>
      <c r="BE38" s="106">
        <v>10320</v>
      </c>
      <c r="BF38" s="106">
        <v>10.376053810912122</v>
      </c>
      <c r="BG38" s="106">
        <v>10708.087532861309</v>
      </c>
      <c r="BH38" s="106">
        <v>6</v>
      </c>
      <c r="BI38" s="106">
        <v>6192</v>
      </c>
      <c r="BJ38" s="106">
        <v>5.2866416486310817</v>
      </c>
      <c r="BK38" s="106">
        <v>5455.8141813872762</v>
      </c>
      <c r="BL38" s="106">
        <v>4</v>
      </c>
      <c r="BM38" s="106">
        <v>4128</v>
      </c>
      <c r="BN38" s="106">
        <v>4.3233912296353809</v>
      </c>
      <c r="BO38" s="106">
        <v>4461.7397489837131</v>
      </c>
      <c r="BP38" s="106">
        <v>6.2409202335444727</v>
      </c>
      <c r="BQ38" s="106">
        <v>6440.6296810178956</v>
      </c>
      <c r="BR38" s="106">
        <v>5.2907652013447368</v>
      </c>
      <c r="BS38" s="106">
        <v>5460.0696877877681</v>
      </c>
      <c r="BT38" s="106">
        <v>6</v>
      </c>
      <c r="BU38" s="106">
        <v>6192</v>
      </c>
      <c r="BV38" s="106">
        <v>4.3339815372923907</v>
      </c>
      <c r="BW38" s="106">
        <v>4472.6689464857473</v>
      </c>
      <c r="BX38" s="106">
        <v>6.2572977365383977</v>
      </c>
      <c r="BY38" s="106">
        <v>6457.5312641076262</v>
      </c>
      <c r="BZ38" s="106">
        <v>9.2634886194281432</v>
      </c>
      <c r="CA38" s="106">
        <v>9559.9202552498446</v>
      </c>
      <c r="CB38" s="106">
        <v>8.2346715247903308</v>
      </c>
      <c r="CC38" s="106">
        <v>8498.1810135836222</v>
      </c>
      <c r="CD38" s="106">
        <v>5.2286505813151418</v>
      </c>
      <c r="CE38" s="106">
        <v>5395.9673999172264</v>
      </c>
      <c r="CF38" s="106">
        <v>4</v>
      </c>
      <c r="CG38" s="106">
        <v>4128</v>
      </c>
      <c r="CH38" s="106">
        <v>5.3491846998276387</v>
      </c>
      <c r="CI38" s="106">
        <v>5520.3586102221234</v>
      </c>
      <c r="CJ38" s="106">
        <v>5</v>
      </c>
      <c r="CK38" s="106">
        <v>5160</v>
      </c>
      <c r="CL38" s="106">
        <v>4.3981096792317977</v>
      </c>
      <c r="CM38" s="106">
        <v>4538.849188967215</v>
      </c>
      <c r="CN38" s="106">
        <v>13.193061471004759</v>
      </c>
      <c r="CO38" s="106">
        <v>13615.239438076911</v>
      </c>
      <c r="CP38" s="106">
        <v>13.301214451968882</v>
      </c>
      <c r="CQ38" s="106">
        <v>13726.853314431886</v>
      </c>
      <c r="CR38" s="106">
        <v>18.3484059157777</v>
      </c>
      <c r="CS38" s="106">
        <v>18935.554905082587</v>
      </c>
      <c r="CT38" s="106">
        <v>10.155930173716255</v>
      </c>
      <c r="CU38" s="106">
        <v>10480.919939275176</v>
      </c>
    </row>
    <row r="39" spans="2:99" x14ac:dyDescent="0.2">
      <c r="C39" s="105" t="s">
        <v>205</v>
      </c>
      <c r="D39" s="106">
        <v>2.0825582640866451</v>
      </c>
      <c r="E39" s="106">
        <v>2524.060616073014</v>
      </c>
      <c r="F39" s="106">
        <v>5.2987765800259554</v>
      </c>
      <c r="G39" s="106">
        <v>6422.1172149914582</v>
      </c>
      <c r="H39" s="106">
        <v>6</v>
      </c>
      <c r="I39" s="106">
        <v>7272</v>
      </c>
      <c r="J39" s="106">
        <v>4.3711924964400826</v>
      </c>
      <c r="K39" s="106">
        <v>5297.8853056853804</v>
      </c>
      <c r="L39" s="106">
        <v>5.3912015819257473</v>
      </c>
      <c r="M39" s="106">
        <v>6534.1363172940055</v>
      </c>
      <c r="N39" s="106">
        <v>4.383193605644955</v>
      </c>
      <c r="O39" s="106">
        <v>5312.4306500416851</v>
      </c>
      <c r="P39" s="106">
        <v>5.2311849497094194</v>
      </c>
      <c r="Q39" s="106">
        <v>6340.1961590478159</v>
      </c>
      <c r="R39" s="106">
        <v>5.1896131650079456</v>
      </c>
      <c r="S39" s="106">
        <v>6289.8111559896297</v>
      </c>
      <c r="T39" s="106">
        <v>13.222314411152858</v>
      </c>
      <c r="U39" s="106">
        <v>16025.445066317265</v>
      </c>
      <c r="V39" s="106">
        <v>7.448675760007923</v>
      </c>
      <c r="W39" s="106">
        <v>9027.7950211296029</v>
      </c>
      <c r="X39" s="106">
        <v>10</v>
      </c>
      <c r="Y39" s="106">
        <v>12120</v>
      </c>
      <c r="Z39" s="106">
        <v>6.3009917763614691</v>
      </c>
      <c r="AA39" s="106">
        <v>7636.8020329501005</v>
      </c>
      <c r="AB39" s="106">
        <v>10</v>
      </c>
      <c r="AC39" s="106">
        <v>12120</v>
      </c>
      <c r="AD39" s="106">
        <v>11.406203626468614</v>
      </c>
      <c r="AE39" s="106">
        <v>13824.31879527996</v>
      </c>
      <c r="AF39" s="106">
        <v>10.429216156318134</v>
      </c>
      <c r="AG39" s="106">
        <v>12640.209981457578</v>
      </c>
      <c r="AH39" s="106">
        <v>8.0985542959848527</v>
      </c>
      <c r="AI39" s="106">
        <v>9815.4478067336422</v>
      </c>
      <c r="AJ39" s="106">
        <v>7.1912376033285561</v>
      </c>
      <c r="AK39" s="106">
        <v>8715.7799752342107</v>
      </c>
      <c r="AL39" s="106">
        <v>8.301788451702615</v>
      </c>
      <c r="AM39" s="106">
        <v>10061.76760346357</v>
      </c>
      <c r="AN39" s="106">
        <v>8.4927765183453303</v>
      </c>
      <c r="AO39" s="106">
        <v>10293.24514023454</v>
      </c>
      <c r="AP39" s="106">
        <v>9.1673414699027056</v>
      </c>
      <c r="AQ39" s="106">
        <v>11110.817861522079</v>
      </c>
      <c r="AR39" s="106">
        <v>8.1451187413823263</v>
      </c>
      <c r="AS39" s="106">
        <v>9871.8839145553793</v>
      </c>
      <c r="AT39" s="106">
        <v>5.1340052508045737</v>
      </c>
      <c r="AU39" s="106">
        <v>6222.4143639751437</v>
      </c>
      <c r="AV39" s="106">
        <v>7</v>
      </c>
      <c r="AW39" s="106">
        <v>8484</v>
      </c>
      <c r="AX39" s="106">
        <v>8.4380828533214594</v>
      </c>
      <c r="AY39" s="106">
        <v>10226.956418225609</v>
      </c>
      <c r="AZ39" s="106">
        <v>11.346669335923261</v>
      </c>
      <c r="BA39" s="106">
        <v>13752.163235138993</v>
      </c>
      <c r="BB39" s="106">
        <v>12.318531831012207</v>
      </c>
      <c r="BC39" s="106">
        <v>14930.060579186795</v>
      </c>
      <c r="BD39" s="106">
        <v>9</v>
      </c>
      <c r="BE39" s="106">
        <v>10908</v>
      </c>
      <c r="BF39" s="106">
        <v>11.423060537276138</v>
      </c>
      <c r="BG39" s="106">
        <v>13844.749371178679</v>
      </c>
      <c r="BH39" s="106">
        <v>6</v>
      </c>
      <c r="BI39" s="106">
        <v>7272</v>
      </c>
      <c r="BJ39" s="106">
        <v>5.2866416486310817</v>
      </c>
      <c r="BK39" s="106">
        <v>6407.4096781408707</v>
      </c>
      <c r="BL39" s="106">
        <v>4</v>
      </c>
      <c r="BM39" s="106">
        <v>4848</v>
      </c>
      <c r="BN39" s="106">
        <v>4.2829673259309589</v>
      </c>
      <c r="BO39" s="106">
        <v>5190.9563990283223</v>
      </c>
      <c r="BP39" s="106">
        <v>6.2141513187061976</v>
      </c>
      <c r="BQ39" s="106">
        <v>7531.5513982719112</v>
      </c>
      <c r="BR39" s="106">
        <v>5.2584579567508776</v>
      </c>
      <c r="BS39" s="106">
        <v>6373.2510435820632</v>
      </c>
      <c r="BT39" s="106">
        <v>5</v>
      </c>
      <c r="BU39" s="106">
        <v>6060</v>
      </c>
      <c r="BV39" s="106">
        <v>4.2862698891077633</v>
      </c>
      <c r="BW39" s="106">
        <v>5194.9591055986093</v>
      </c>
      <c r="BX39" s="106">
        <v>6.2572977365383977</v>
      </c>
      <c r="BY39" s="106">
        <v>7583.8448566845382</v>
      </c>
      <c r="BZ39" s="106">
        <v>10.234212106158349</v>
      </c>
      <c r="CA39" s="106">
        <v>12403.865072663919</v>
      </c>
      <c r="CB39" s="106">
        <v>8.2346715247903308</v>
      </c>
      <c r="CC39" s="106">
        <v>9980.4218880458811</v>
      </c>
      <c r="CD39" s="106">
        <v>6.2286505813151418</v>
      </c>
      <c r="CE39" s="106">
        <v>7549.1245045539517</v>
      </c>
      <c r="CF39" s="106">
        <v>4</v>
      </c>
      <c r="CG39" s="106">
        <v>4848</v>
      </c>
      <c r="CH39" s="106">
        <v>5.3491846998276387</v>
      </c>
      <c r="CI39" s="106">
        <v>6483.2118561910984</v>
      </c>
      <c r="CJ39" s="106">
        <v>6</v>
      </c>
      <c r="CK39" s="106">
        <v>7272</v>
      </c>
      <c r="CL39" s="106">
        <v>4.3981096792317977</v>
      </c>
      <c r="CM39" s="106">
        <v>5330.5089312289392</v>
      </c>
      <c r="CN39" s="106">
        <v>14.168928787129163</v>
      </c>
      <c r="CO39" s="106">
        <v>17172.741690000545</v>
      </c>
      <c r="CP39" s="106">
        <v>13.301214451968882</v>
      </c>
      <c r="CQ39" s="106">
        <v>16121.071915786284</v>
      </c>
      <c r="CR39" s="106">
        <v>17.3484059157777</v>
      </c>
      <c r="CS39" s="106">
        <v>21026.267969922574</v>
      </c>
      <c r="CT39" s="106">
        <v>10.155930173716255</v>
      </c>
      <c r="CU39" s="106">
        <v>12308.987370544102</v>
      </c>
    </row>
    <row r="40" spans="2:99" x14ac:dyDescent="0.2">
      <c r="C40" s="105" t="s">
        <v>206</v>
      </c>
      <c r="D40" s="106">
        <v>2.0825582640866451</v>
      </c>
      <c r="E40" s="106">
        <v>1077.0991341856127</v>
      </c>
      <c r="F40" s="106">
        <v>5.2987765800259554</v>
      </c>
      <c r="G40" s="106">
        <v>2740.5272471894236</v>
      </c>
      <c r="H40" s="106">
        <v>6</v>
      </c>
      <c r="I40" s="106">
        <v>3103.2</v>
      </c>
      <c r="J40" s="106">
        <v>4.3247934343850725</v>
      </c>
      <c r="K40" s="106">
        <v>2236.7831642639594</v>
      </c>
      <c r="L40" s="106">
        <v>5.3912015819257473</v>
      </c>
      <c r="M40" s="106">
        <v>2788.3294581719961</v>
      </c>
      <c r="N40" s="106">
        <v>4.3448742450804598</v>
      </c>
      <c r="O40" s="106">
        <v>2247.1689595556136</v>
      </c>
      <c r="P40" s="106">
        <v>6.2774219396513029</v>
      </c>
      <c r="Q40" s="106">
        <v>3246.6826271876535</v>
      </c>
      <c r="R40" s="106">
        <v>5.2106812944532734</v>
      </c>
      <c r="S40" s="106">
        <v>2694.9643654912325</v>
      </c>
      <c r="T40" s="106">
        <v>14.222314411152858</v>
      </c>
      <c r="U40" s="106">
        <v>7355.781013448257</v>
      </c>
      <c r="V40" s="106">
        <v>7.448675760007923</v>
      </c>
      <c r="W40" s="106">
        <v>3852.4551030760972</v>
      </c>
      <c r="X40" s="106">
        <v>9</v>
      </c>
      <c r="Y40" s="106">
        <v>4654.7999999999993</v>
      </c>
      <c r="Z40" s="106">
        <v>7.2633678043162853</v>
      </c>
      <c r="AA40" s="106">
        <v>3756.6138283923824</v>
      </c>
      <c r="AB40" s="106">
        <v>11</v>
      </c>
      <c r="AC40" s="106">
        <v>5689.1999999999989</v>
      </c>
      <c r="AD40" s="106">
        <v>12.446823989115476</v>
      </c>
      <c r="AE40" s="106">
        <v>6437.4973671705229</v>
      </c>
      <c r="AF40" s="106">
        <v>9.4721377719499475</v>
      </c>
      <c r="AG40" s="106">
        <v>4898.9896556525118</v>
      </c>
      <c r="AH40" s="106">
        <v>10.109504773316504</v>
      </c>
      <c r="AI40" s="106">
        <v>5228.6358687592947</v>
      </c>
      <c r="AJ40" s="106">
        <v>7.2103613636614119</v>
      </c>
      <c r="AK40" s="106">
        <v>3729.1988972856816</v>
      </c>
      <c r="AL40" s="106">
        <v>8.301788451702615</v>
      </c>
      <c r="AM40" s="106">
        <v>4293.6849872205921</v>
      </c>
      <c r="AN40" s="106">
        <v>9.4927765183453303</v>
      </c>
      <c r="AO40" s="106">
        <v>4909.6640152882046</v>
      </c>
      <c r="AP40" s="106">
        <v>10.177800311771625</v>
      </c>
      <c r="AQ40" s="106">
        <v>5263.9583212482839</v>
      </c>
      <c r="AR40" s="106">
        <v>9.1289944367842892</v>
      </c>
      <c r="AS40" s="106">
        <v>4721.5159227048334</v>
      </c>
      <c r="AT40" s="106">
        <v>5.148894723116193</v>
      </c>
      <c r="AU40" s="106">
        <v>2663.0083507956947</v>
      </c>
      <c r="AV40" s="106">
        <v>8</v>
      </c>
      <c r="AW40" s="106">
        <v>4137.5999999999995</v>
      </c>
      <c r="AX40" s="106">
        <v>8.3942745679893136</v>
      </c>
      <c r="AY40" s="106">
        <v>4341.5188065640723</v>
      </c>
      <c r="AZ40" s="106">
        <v>13.346669335923261</v>
      </c>
      <c r="BA40" s="106">
        <v>6902.8973805395099</v>
      </c>
      <c r="BB40" s="106">
        <v>13.318531831012207</v>
      </c>
      <c r="BC40" s="106">
        <v>6888.3446629995124</v>
      </c>
      <c r="BD40" s="106">
        <v>9</v>
      </c>
      <c r="BE40" s="106">
        <v>4654.7999999999993</v>
      </c>
      <c r="BF40" s="106">
        <v>11.423060537276138</v>
      </c>
      <c r="BG40" s="106">
        <v>5908.0069098792173</v>
      </c>
      <c r="BH40" s="106">
        <v>6</v>
      </c>
      <c r="BI40" s="106">
        <v>3103.2</v>
      </c>
      <c r="BJ40" s="106">
        <v>5.2547925765609618</v>
      </c>
      <c r="BK40" s="106">
        <v>2717.7787205973291</v>
      </c>
      <c r="BL40" s="106">
        <v>4</v>
      </c>
      <c r="BM40" s="106">
        <v>2068.7999999999997</v>
      </c>
      <c r="BN40" s="106">
        <v>4.2829673259309589</v>
      </c>
      <c r="BO40" s="106">
        <v>2215.1507009714915</v>
      </c>
      <c r="BP40" s="106">
        <v>7.2676891483827468</v>
      </c>
      <c r="BQ40" s="106">
        <v>3758.8488275435561</v>
      </c>
      <c r="BR40" s="106">
        <v>5.2584579567508776</v>
      </c>
      <c r="BS40" s="106">
        <v>2719.6744552315536</v>
      </c>
      <c r="BT40" s="106">
        <v>5</v>
      </c>
      <c r="BU40" s="106">
        <v>2585.9999999999995</v>
      </c>
      <c r="BV40" s="106">
        <v>4.2862698891077633</v>
      </c>
      <c r="BW40" s="106">
        <v>2216.858786646535</v>
      </c>
      <c r="BX40" s="106">
        <v>7.2830275101922375</v>
      </c>
      <c r="BY40" s="106">
        <v>3766.7818282714247</v>
      </c>
      <c r="BZ40" s="106">
        <v>9.2634886194281432</v>
      </c>
      <c r="CA40" s="106">
        <v>4791.0763139682349</v>
      </c>
      <c r="CB40" s="106">
        <v>7.2607461386559233</v>
      </c>
      <c r="CC40" s="106">
        <v>3755.2579029128428</v>
      </c>
      <c r="CD40" s="106">
        <v>6.2540562014612684</v>
      </c>
      <c r="CE40" s="106">
        <v>3234.5978673957675</v>
      </c>
      <c r="CF40" s="106">
        <v>5</v>
      </c>
      <c r="CG40" s="106">
        <v>2585.9999999999995</v>
      </c>
      <c r="CH40" s="106">
        <v>6.3491846998276387</v>
      </c>
      <c r="CI40" s="106">
        <v>3283.7983267508544</v>
      </c>
      <c r="CJ40" s="106">
        <v>6</v>
      </c>
      <c r="CK40" s="106">
        <v>3103.2</v>
      </c>
      <c r="CL40" s="106">
        <v>4.4423440880353304</v>
      </c>
      <c r="CM40" s="106">
        <v>2297.5803623318725</v>
      </c>
      <c r="CN40" s="106">
        <v>14.193061471004759</v>
      </c>
      <c r="CO40" s="106">
        <v>7340.6513928036602</v>
      </c>
      <c r="CP40" s="106">
        <v>16.301214451968882</v>
      </c>
      <c r="CQ40" s="106">
        <v>8430.988114558304</v>
      </c>
      <c r="CR40" s="106">
        <v>18.380079180848401</v>
      </c>
      <c r="CS40" s="106">
        <v>9506.1769523347921</v>
      </c>
      <c r="CT40" s="106">
        <v>11.175421445430787</v>
      </c>
      <c r="CU40" s="106">
        <v>5779.9279715768025</v>
      </c>
    </row>
    <row r="41" spans="2:99" x14ac:dyDescent="0.2">
      <c r="C41" s="105" t="s">
        <v>207</v>
      </c>
      <c r="D41" s="106">
        <v>1.6660466112693162</v>
      </c>
      <c r="E41" s="106">
        <v>757.71799880528499</v>
      </c>
      <c r="F41" s="106">
        <v>5.2987765800259554</v>
      </c>
      <c r="G41" s="106">
        <v>2409.8835885958047</v>
      </c>
      <c r="H41" s="106">
        <v>6</v>
      </c>
      <c r="I41" s="106">
        <v>2728.8</v>
      </c>
      <c r="J41" s="106">
        <v>4.3711924964400826</v>
      </c>
      <c r="K41" s="106">
        <v>1988.0183473809495</v>
      </c>
      <c r="L41" s="106">
        <v>5.3477347394895531</v>
      </c>
      <c r="M41" s="106">
        <v>2432.1497595198489</v>
      </c>
      <c r="N41" s="106">
        <v>4.383193605644955</v>
      </c>
      <c r="O41" s="106">
        <v>1993.4764518473255</v>
      </c>
      <c r="P41" s="106">
        <v>5.2774219396513029</v>
      </c>
      <c r="Q41" s="106">
        <v>2400.1714981534128</v>
      </c>
      <c r="R41" s="106">
        <v>5.2106812944532734</v>
      </c>
      <c r="S41" s="106">
        <v>2369.8178527173486</v>
      </c>
      <c r="T41" s="106">
        <v>14.19452510975875</v>
      </c>
      <c r="U41" s="106">
        <v>6455.6700199182796</v>
      </c>
      <c r="V41" s="106">
        <v>7.448675760007923</v>
      </c>
      <c r="W41" s="106">
        <v>3387.6577356516036</v>
      </c>
      <c r="X41" s="106">
        <v>9</v>
      </c>
      <c r="Y41" s="106">
        <v>4093.2000000000003</v>
      </c>
      <c r="Z41" s="106">
        <v>7.2633678043162853</v>
      </c>
      <c r="AA41" s="106">
        <v>3303.3796774030466</v>
      </c>
      <c r="AB41" s="106">
        <v>9</v>
      </c>
      <c r="AC41" s="106">
        <v>4093.2000000000003</v>
      </c>
      <c r="AD41" s="106">
        <v>11.446823989115476</v>
      </c>
      <c r="AE41" s="106">
        <v>5206.0155502497182</v>
      </c>
      <c r="AF41" s="106">
        <v>10.472137771949948</v>
      </c>
      <c r="AG41" s="106">
        <v>4762.728258682836</v>
      </c>
      <c r="AH41" s="106">
        <v>10.098554295984853</v>
      </c>
      <c r="AI41" s="106">
        <v>4592.822493813911</v>
      </c>
      <c r="AJ41" s="106">
        <v>7.1912376033285561</v>
      </c>
      <c r="AK41" s="106">
        <v>3270.5748619938272</v>
      </c>
      <c r="AL41" s="106">
        <v>9.3353205018917933</v>
      </c>
      <c r="AM41" s="106">
        <v>4245.7037642603873</v>
      </c>
      <c r="AN41" s="106">
        <v>8.4575781956063771</v>
      </c>
      <c r="AO41" s="106">
        <v>3846.5065633617805</v>
      </c>
      <c r="AP41" s="106">
        <v>9.1778003117716249</v>
      </c>
      <c r="AQ41" s="106">
        <v>4174.0635817937355</v>
      </c>
      <c r="AR41" s="106">
        <v>9.1451187413823263</v>
      </c>
      <c r="AS41" s="106">
        <v>4159.2000035806823</v>
      </c>
      <c r="AT41" s="106">
        <v>6.1340052508045737</v>
      </c>
      <c r="AU41" s="106">
        <v>2789.7455880659204</v>
      </c>
      <c r="AV41" s="106">
        <v>7</v>
      </c>
      <c r="AW41" s="106">
        <v>3183.6</v>
      </c>
      <c r="AX41" s="106">
        <v>8.3942745679893136</v>
      </c>
      <c r="AY41" s="106">
        <v>3817.7160735215398</v>
      </c>
      <c r="AZ41" s="106">
        <v>12.346669335923261</v>
      </c>
      <c r="BA41" s="106">
        <v>5615.2652139778993</v>
      </c>
      <c r="BB41" s="106">
        <v>13.318531831012207</v>
      </c>
      <c r="BC41" s="106">
        <v>6057.2682767443521</v>
      </c>
      <c r="BD41" s="106">
        <v>9</v>
      </c>
      <c r="BE41" s="106">
        <v>4093.2000000000003</v>
      </c>
      <c r="BF41" s="106">
        <v>11.470067263640152</v>
      </c>
      <c r="BG41" s="106">
        <v>5216.5865915035411</v>
      </c>
      <c r="BH41" s="106">
        <v>6</v>
      </c>
      <c r="BI41" s="106">
        <v>2728.8</v>
      </c>
      <c r="BJ41" s="106">
        <v>5.2866416486310817</v>
      </c>
      <c r="BK41" s="106">
        <v>2404.364621797416</v>
      </c>
      <c r="BL41" s="106">
        <v>4</v>
      </c>
      <c r="BM41" s="106">
        <v>1819.2</v>
      </c>
      <c r="BN41" s="106">
        <v>4.2829673259309589</v>
      </c>
      <c r="BO41" s="106">
        <v>1947.8935398334002</v>
      </c>
      <c r="BP41" s="106">
        <v>7.2141513187061976</v>
      </c>
      <c r="BQ41" s="106">
        <v>3280.9960197475789</v>
      </c>
      <c r="BR41" s="106">
        <v>6.2907652013447368</v>
      </c>
      <c r="BS41" s="106">
        <v>2861.0400135715863</v>
      </c>
      <c r="BT41" s="106">
        <v>6</v>
      </c>
      <c r="BU41" s="106">
        <v>2728.8</v>
      </c>
      <c r="BV41" s="106">
        <v>4.2862698891077633</v>
      </c>
      <c r="BW41" s="106">
        <v>1949.3955455662108</v>
      </c>
      <c r="BX41" s="106">
        <v>6.2830275101922375</v>
      </c>
      <c r="BY41" s="106">
        <v>2857.5209116354295</v>
      </c>
      <c r="BZ41" s="106">
        <v>9.2342121061583491</v>
      </c>
      <c r="CA41" s="106">
        <v>4199.719665880817</v>
      </c>
      <c r="CB41" s="106">
        <v>8.2607461386559233</v>
      </c>
      <c r="CC41" s="106">
        <v>3756.9873438607142</v>
      </c>
      <c r="CD41" s="106">
        <v>6.2286505813151418</v>
      </c>
      <c r="CE41" s="106">
        <v>2832.7902843821266</v>
      </c>
      <c r="CF41" s="106">
        <v>5</v>
      </c>
      <c r="CG41" s="106">
        <v>2274</v>
      </c>
      <c r="CH41" s="106">
        <v>6.3990682283744444</v>
      </c>
      <c r="CI41" s="106">
        <v>2910.2962302646974</v>
      </c>
      <c r="CJ41" s="106">
        <v>6</v>
      </c>
      <c r="CK41" s="106">
        <v>2728.8</v>
      </c>
      <c r="CL41" s="106">
        <v>4.3538752704282642</v>
      </c>
      <c r="CM41" s="106">
        <v>1980.1424729907746</v>
      </c>
      <c r="CN41" s="106">
        <v>15.193061471004759</v>
      </c>
      <c r="CO41" s="106">
        <v>6909.8043570129648</v>
      </c>
      <c r="CP41" s="106">
        <v>14.301214451968882</v>
      </c>
      <c r="CQ41" s="106">
        <v>6504.1923327554478</v>
      </c>
      <c r="CR41" s="106">
        <v>18.316732650706999</v>
      </c>
      <c r="CS41" s="106">
        <v>8330.4500095415442</v>
      </c>
      <c r="CT41" s="106">
        <v>10.155930173716255</v>
      </c>
      <c r="CU41" s="106">
        <v>4618.9170430061531</v>
      </c>
    </row>
    <row r="42" spans="2:99" x14ac:dyDescent="0.2">
      <c r="C42" s="105" t="s">
        <v>208</v>
      </c>
      <c r="D42" s="106">
        <v>2.0825582640866451</v>
      </c>
      <c r="E42" s="106">
        <v>1449.4605518043049</v>
      </c>
      <c r="F42" s="106">
        <v>5.2987765800259554</v>
      </c>
      <c r="G42" s="106">
        <v>3687.948499698065</v>
      </c>
      <c r="H42" s="106">
        <v>6</v>
      </c>
      <c r="I42" s="106">
        <v>4176</v>
      </c>
      <c r="J42" s="106">
        <v>4.3711924964400826</v>
      </c>
      <c r="K42" s="106">
        <v>3042.3499775222976</v>
      </c>
      <c r="L42" s="106">
        <v>6.3912015819257473</v>
      </c>
      <c r="M42" s="106">
        <v>4448.2763010203198</v>
      </c>
      <c r="N42" s="106">
        <v>4.383193605644955</v>
      </c>
      <c r="O42" s="106">
        <v>3050.7027495288885</v>
      </c>
      <c r="P42" s="106">
        <v>6.2774219396513029</v>
      </c>
      <c r="Q42" s="106">
        <v>4369.0856699973065</v>
      </c>
      <c r="R42" s="106">
        <v>5.1896131650079456</v>
      </c>
      <c r="S42" s="106">
        <v>3611.9707628455303</v>
      </c>
      <c r="T42" s="106">
        <v>14.250103712546965</v>
      </c>
      <c r="U42" s="106">
        <v>9918.072183932687</v>
      </c>
      <c r="V42" s="106">
        <v>8.3988228977848216</v>
      </c>
      <c r="W42" s="106">
        <v>5845.5807368582355</v>
      </c>
      <c r="X42" s="106">
        <v>8</v>
      </c>
      <c r="Y42" s="106">
        <v>5568</v>
      </c>
      <c r="Z42" s="106">
        <v>6.3009917763614691</v>
      </c>
      <c r="AA42" s="106">
        <v>4385.4902763475829</v>
      </c>
      <c r="AB42" s="106">
        <v>10</v>
      </c>
      <c r="AC42" s="106">
        <v>6960</v>
      </c>
      <c r="AD42" s="106">
        <v>11.406203626468614</v>
      </c>
      <c r="AE42" s="106">
        <v>7938.7177240221554</v>
      </c>
      <c r="AF42" s="106">
        <v>10.472137771949948</v>
      </c>
      <c r="AG42" s="106">
        <v>7288.6078892771638</v>
      </c>
      <c r="AH42" s="106">
        <v>10.098554295984853</v>
      </c>
      <c r="AI42" s="106">
        <v>7028.5937900054578</v>
      </c>
      <c r="AJ42" s="106">
        <v>8.2103613636614128</v>
      </c>
      <c r="AK42" s="106">
        <v>5714.4115091083431</v>
      </c>
      <c r="AL42" s="106">
        <v>10.335320501891793</v>
      </c>
      <c r="AM42" s="106">
        <v>7193.3830693166883</v>
      </c>
      <c r="AN42" s="106">
        <v>8.5279748410842817</v>
      </c>
      <c r="AO42" s="106">
        <v>5935.47048939466</v>
      </c>
      <c r="AP42" s="106">
        <v>10.156882628033786</v>
      </c>
      <c r="AQ42" s="106">
        <v>7069.1903091115155</v>
      </c>
      <c r="AR42" s="106">
        <v>8.1289944367842892</v>
      </c>
      <c r="AS42" s="106">
        <v>5657.7801280018657</v>
      </c>
      <c r="AT42" s="106">
        <v>5.1191157784929544</v>
      </c>
      <c r="AU42" s="106">
        <v>3562.904581831096</v>
      </c>
      <c r="AV42" s="106">
        <v>7</v>
      </c>
      <c r="AW42" s="106">
        <v>4872</v>
      </c>
      <c r="AX42" s="106">
        <v>9.3942745679893136</v>
      </c>
      <c r="AY42" s="106">
        <v>6538.4150993205621</v>
      </c>
      <c r="AZ42" s="106">
        <v>11.315153941748418</v>
      </c>
      <c r="BA42" s="106">
        <v>7875.3471434568992</v>
      </c>
      <c r="BB42" s="106">
        <v>13.318531831012207</v>
      </c>
      <c r="BC42" s="106">
        <v>9269.6981543844959</v>
      </c>
      <c r="BD42" s="106">
        <v>9</v>
      </c>
      <c r="BE42" s="106">
        <v>6264</v>
      </c>
      <c r="BF42" s="106">
        <v>12.423060537276138</v>
      </c>
      <c r="BG42" s="106">
        <v>8646.4501339441922</v>
      </c>
      <c r="BH42" s="106">
        <v>6</v>
      </c>
      <c r="BI42" s="106">
        <v>4176</v>
      </c>
      <c r="BJ42" s="106">
        <v>5.2866416486310817</v>
      </c>
      <c r="BK42" s="106">
        <v>3679.5025874472331</v>
      </c>
      <c r="BL42" s="106">
        <v>4</v>
      </c>
      <c r="BM42" s="106">
        <v>2784</v>
      </c>
      <c r="BN42" s="106">
        <v>4.2829673259309589</v>
      </c>
      <c r="BO42" s="106">
        <v>2980.9452588479476</v>
      </c>
      <c r="BP42" s="106">
        <v>7.2676891483827468</v>
      </c>
      <c r="BQ42" s="106">
        <v>5058.3116472743914</v>
      </c>
      <c r="BR42" s="106">
        <v>5.2584579567508776</v>
      </c>
      <c r="BS42" s="106">
        <v>3659.8867378986106</v>
      </c>
      <c r="BT42" s="106">
        <v>6</v>
      </c>
      <c r="BU42" s="106">
        <v>4176</v>
      </c>
      <c r="BV42" s="106">
        <v>4.3339815372923907</v>
      </c>
      <c r="BW42" s="106">
        <v>3016.4511499555038</v>
      </c>
      <c r="BX42" s="106">
        <v>7.2572977365383977</v>
      </c>
      <c r="BY42" s="106">
        <v>5051.0792246307246</v>
      </c>
      <c r="BZ42" s="106">
        <v>9.2342121061583491</v>
      </c>
      <c r="CA42" s="106">
        <v>6427.0116258862108</v>
      </c>
      <c r="CB42" s="106">
        <v>8.2346715247903308</v>
      </c>
      <c r="CC42" s="106">
        <v>5731.33138125407</v>
      </c>
      <c r="CD42" s="106">
        <v>6.2286505813151418</v>
      </c>
      <c r="CE42" s="106">
        <v>4335.1408045953385</v>
      </c>
      <c r="CF42" s="106">
        <v>4</v>
      </c>
      <c r="CG42" s="106">
        <v>2784</v>
      </c>
      <c r="CH42" s="106">
        <v>5.3990682283744444</v>
      </c>
      <c r="CI42" s="106">
        <v>3757.7514869486135</v>
      </c>
      <c r="CJ42" s="106">
        <v>5</v>
      </c>
      <c r="CK42" s="106">
        <v>3480</v>
      </c>
      <c r="CL42" s="106">
        <v>4.3538752704282642</v>
      </c>
      <c r="CM42" s="106">
        <v>3030.2971882180718</v>
      </c>
      <c r="CN42" s="106">
        <v>15.193061471004759</v>
      </c>
      <c r="CO42" s="106">
        <v>10574.370783819311</v>
      </c>
      <c r="CP42" s="106">
        <v>14.301214451968882</v>
      </c>
      <c r="CQ42" s="106">
        <v>9953.645258570341</v>
      </c>
      <c r="CR42" s="106">
        <v>17.316732650706999</v>
      </c>
      <c r="CS42" s="106">
        <v>12052.445924892072</v>
      </c>
      <c r="CT42" s="106">
        <v>10.155930173716255</v>
      </c>
      <c r="CU42" s="106">
        <v>7068.5274009065133</v>
      </c>
    </row>
    <row r="43" spans="2:99" x14ac:dyDescent="0.2">
      <c r="C43" s="105" t="s">
        <v>209</v>
      </c>
      <c r="D43" s="106">
        <v>1.6660466112693162</v>
      </c>
      <c r="E43" s="106">
        <v>1357.4947788622387</v>
      </c>
      <c r="F43" s="106">
        <v>5.2987765800259554</v>
      </c>
      <c r="G43" s="106">
        <v>4317.4431574051487</v>
      </c>
      <c r="H43" s="106">
        <v>5</v>
      </c>
      <c r="I43" s="106">
        <v>4074</v>
      </c>
      <c r="J43" s="106">
        <v>3.3247934343850725</v>
      </c>
      <c r="K43" s="106">
        <v>2709.0416903369569</v>
      </c>
      <c r="L43" s="106">
        <v>5.3912015819257473</v>
      </c>
      <c r="M43" s="106">
        <v>4392.7510489530987</v>
      </c>
      <c r="N43" s="106">
        <v>4.3448742450804598</v>
      </c>
      <c r="O43" s="106">
        <v>3540.2035348915583</v>
      </c>
      <c r="P43" s="106">
        <v>5.2774219396513029</v>
      </c>
      <c r="Q43" s="106">
        <v>4300.0433964278818</v>
      </c>
      <c r="R43" s="106">
        <v>5.1896131650079456</v>
      </c>
      <c r="S43" s="106">
        <v>4228.4968068484741</v>
      </c>
      <c r="T43" s="106">
        <v>12.222314411152858</v>
      </c>
      <c r="U43" s="106">
        <v>9958.7417822073476</v>
      </c>
      <c r="V43" s="106">
        <v>7.448675760007923</v>
      </c>
      <c r="W43" s="106">
        <v>6069.1810092544556</v>
      </c>
      <c r="X43" s="106">
        <v>9</v>
      </c>
      <c r="Y43" s="106">
        <v>7333.2</v>
      </c>
      <c r="Z43" s="106">
        <v>7.3009917763614691</v>
      </c>
      <c r="AA43" s="106">
        <v>5948.8480993793246</v>
      </c>
      <c r="AB43" s="106">
        <v>10</v>
      </c>
      <c r="AC43" s="106">
        <v>8148</v>
      </c>
      <c r="AD43" s="106">
        <v>11.446823989115476</v>
      </c>
      <c r="AE43" s="106">
        <v>9326.8721863312894</v>
      </c>
      <c r="AF43" s="106">
        <v>9.4292161563181338</v>
      </c>
      <c r="AG43" s="106">
        <v>7682.9253241680153</v>
      </c>
      <c r="AH43" s="106">
        <v>10.098554295984853</v>
      </c>
      <c r="AI43" s="106">
        <v>8228.3020403684568</v>
      </c>
      <c r="AJ43" s="106">
        <v>7.1912376033285561</v>
      </c>
      <c r="AK43" s="106">
        <v>5859.4203991921067</v>
      </c>
      <c r="AL43" s="106">
        <v>9.301788451702615</v>
      </c>
      <c r="AM43" s="106">
        <v>7579.0972304472907</v>
      </c>
      <c r="AN43" s="106">
        <v>8.4575781956063771</v>
      </c>
      <c r="AO43" s="106">
        <v>6891.2347137800753</v>
      </c>
      <c r="AP43" s="106">
        <v>9.1778003117716249</v>
      </c>
      <c r="AQ43" s="106">
        <v>7478.0716940315197</v>
      </c>
      <c r="AR43" s="106">
        <v>8.1451187413823263</v>
      </c>
      <c r="AS43" s="106">
        <v>6636.6427504783187</v>
      </c>
      <c r="AT43" s="106">
        <v>5.1340052508045737</v>
      </c>
      <c r="AU43" s="106">
        <v>4183.1874783555668</v>
      </c>
      <c r="AV43" s="106">
        <v>7</v>
      </c>
      <c r="AW43" s="106">
        <v>5703.5999999999995</v>
      </c>
      <c r="AX43" s="106">
        <v>8.4380828533214594</v>
      </c>
      <c r="AY43" s="106">
        <v>6875.3499088863246</v>
      </c>
      <c r="AZ43" s="106">
        <v>12.283638547573577</v>
      </c>
      <c r="BA43" s="106">
        <v>10008.708688562951</v>
      </c>
      <c r="BB43" s="106">
        <v>11.318531831012207</v>
      </c>
      <c r="BC43" s="106">
        <v>9222.3397359087448</v>
      </c>
      <c r="BD43" s="106">
        <v>10</v>
      </c>
      <c r="BE43" s="106">
        <v>8148</v>
      </c>
      <c r="BF43" s="106">
        <v>11.423060537276138</v>
      </c>
      <c r="BG43" s="106">
        <v>9307.5097257725974</v>
      </c>
      <c r="BH43" s="106">
        <v>7</v>
      </c>
      <c r="BI43" s="106">
        <v>5703.5999999999995</v>
      </c>
      <c r="BJ43" s="106">
        <v>5.2866416486310817</v>
      </c>
      <c r="BK43" s="106">
        <v>4307.5556153046055</v>
      </c>
      <c r="BL43" s="106">
        <v>4</v>
      </c>
      <c r="BM43" s="106">
        <v>3259.2</v>
      </c>
      <c r="BN43" s="106">
        <v>4.2829673259309589</v>
      </c>
      <c r="BO43" s="106">
        <v>3489.761777168545</v>
      </c>
      <c r="BP43" s="106">
        <v>7.2141513187061976</v>
      </c>
      <c r="BQ43" s="106">
        <v>5878.0904944818094</v>
      </c>
      <c r="BR43" s="106">
        <v>5.2584579567508776</v>
      </c>
      <c r="BS43" s="106">
        <v>4284.5915431606145</v>
      </c>
      <c r="BT43" s="106">
        <v>5</v>
      </c>
      <c r="BU43" s="106">
        <v>4074</v>
      </c>
      <c r="BV43" s="106">
        <v>4.3339815372923907</v>
      </c>
      <c r="BW43" s="106">
        <v>3531.3281565858397</v>
      </c>
      <c r="BX43" s="106">
        <v>6.2830275101922375</v>
      </c>
      <c r="BY43" s="106">
        <v>5119.4108153046345</v>
      </c>
      <c r="BZ43" s="106">
        <v>8.2342121061583491</v>
      </c>
      <c r="CA43" s="106">
        <v>6709.2360240978223</v>
      </c>
      <c r="CB43" s="106">
        <v>7.2346715247903317</v>
      </c>
      <c r="CC43" s="106">
        <v>5894.8103583991624</v>
      </c>
      <c r="CD43" s="106">
        <v>5.2286505813151418</v>
      </c>
      <c r="CE43" s="106">
        <v>4260.3044936555771</v>
      </c>
      <c r="CF43" s="106">
        <v>4</v>
      </c>
      <c r="CG43" s="106">
        <v>3259.2</v>
      </c>
      <c r="CH43" s="106">
        <v>6.3491846998276387</v>
      </c>
      <c r="CI43" s="106">
        <v>5173.3156934195595</v>
      </c>
      <c r="CJ43" s="106">
        <v>6</v>
      </c>
      <c r="CK43" s="106">
        <v>4888.7999999999993</v>
      </c>
      <c r="CL43" s="106">
        <v>4.3981096792317977</v>
      </c>
      <c r="CM43" s="106">
        <v>3583.5797666380686</v>
      </c>
      <c r="CN43" s="106">
        <v>14.168928787129163</v>
      </c>
      <c r="CO43" s="106">
        <v>11544.843175752841</v>
      </c>
      <c r="CP43" s="106">
        <v>14.301214451968882</v>
      </c>
      <c r="CQ43" s="106">
        <v>11652.629535464244</v>
      </c>
      <c r="CR43" s="106">
        <v>20.316732650706999</v>
      </c>
      <c r="CS43" s="106">
        <v>16554.073763796063</v>
      </c>
      <c r="CT43" s="106">
        <v>9.1559301737162553</v>
      </c>
      <c r="CU43" s="106">
        <v>7460.2519055440043</v>
      </c>
    </row>
    <row r="44" spans="2:99" x14ac:dyDescent="0.2">
      <c r="C44" s="105" t="s">
        <v>210</v>
      </c>
      <c r="D44" s="106">
        <v>1.6660466112693162</v>
      </c>
      <c r="E44" s="106">
        <v>1405.4769212667952</v>
      </c>
      <c r="F44" s="106">
        <v>4.2560942114508187</v>
      </c>
      <c r="G44" s="106">
        <v>3590.4410767799109</v>
      </c>
      <c r="H44" s="106">
        <v>5</v>
      </c>
      <c r="I44" s="106">
        <v>4218</v>
      </c>
      <c r="J44" s="106">
        <v>4.3247934343850725</v>
      </c>
      <c r="K44" s="106">
        <v>3648.3957412472473</v>
      </c>
      <c r="L44" s="106">
        <v>6.3912015819257473</v>
      </c>
      <c r="M44" s="106">
        <v>5391.6176545125609</v>
      </c>
      <c r="N44" s="106">
        <v>4.4215129662094501</v>
      </c>
      <c r="O44" s="106">
        <v>3729.9883382942921</v>
      </c>
      <c r="P44" s="106">
        <v>6.2774219396513029</v>
      </c>
      <c r="Q44" s="106">
        <v>5295.6331482898395</v>
      </c>
      <c r="R44" s="106">
        <v>5.2106812944532734</v>
      </c>
      <c r="S44" s="106">
        <v>4395.7307400007812</v>
      </c>
      <c r="T44" s="106">
        <v>12.250103712546965</v>
      </c>
      <c r="U44" s="106">
        <v>10334.18749190462</v>
      </c>
      <c r="V44" s="106">
        <v>7.4985286222310261</v>
      </c>
      <c r="W44" s="106">
        <v>6325.7587457140935</v>
      </c>
      <c r="X44" s="106">
        <v>9</v>
      </c>
      <c r="Y44" s="106">
        <v>7592.4000000000005</v>
      </c>
      <c r="Z44" s="106">
        <v>7.3009917763614691</v>
      </c>
      <c r="AA44" s="106">
        <v>6159.1166625385358</v>
      </c>
      <c r="AB44" s="106">
        <v>10</v>
      </c>
      <c r="AC44" s="106">
        <v>8436</v>
      </c>
      <c r="AD44" s="106">
        <v>12.446823989115476</v>
      </c>
      <c r="AE44" s="106">
        <v>10500.140717217815</v>
      </c>
      <c r="AF44" s="106">
        <v>9.3862945406863219</v>
      </c>
      <c r="AG44" s="106">
        <v>7918.2780745229811</v>
      </c>
      <c r="AH44" s="106">
        <v>10.087603818653202</v>
      </c>
      <c r="AI44" s="106">
        <v>8509.9025814158413</v>
      </c>
      <c r="AJ44" s="106">
        <v>8.1721138429957012</v>
      </c>
      <c r="AK44" s="106">
        <v>6893.9952379511733</v>
      </c>
      <c r="AL44" s="106">
        <v>9.268256401513435</v>
      </c>
      <c r="AM44" s="106">
        <v>7818.7011003167336</v>
      </c>
      <c r="AN44" s="106">
        <v>9.4575781956063771</v>
      </c>
      <c r="AO44" s="106">
        <v>7978.4129658135398</v>
      </c>
      <c r="AP44" s="106">
        <v>9.1568826280337863</v>
      </c>
      <c r="AQ44" s="106">
        <v>7724.7461850093023</v>
      </c>
      <c r="AR44" s="106">
        <v>8.1451187413823263</v>
      </c>
      <c r="AS44" s="106">
        <v>6871.2221702301304</v>
      </c>
      <c r="AT44" s="106">
        <v>5.1191157784929544</v>
      </c>
      <c r="AU44" s="106">
        <v>4318.4860707366561</v>
      </c>
      <c r="AV44" s="106">
        <v>7</v>
      </c>
      <c r="AW44" s="106">
        <v>5905.2</v>
      </c>
      <c r="AX44" s="106">
        <v>8.3942745679893136</v>
      </c>
      <c r="AY44" s="106">
        <v>7081.4100255557851</v>
      </c>
      <c r="AZ44" s="106">
        <v>12.315153941748418</v>
      </c>
      <c r="BA44" s="106">
        <v>10389.063865258966</v>
      </c>
      <c r="BB44" s="106">
        <v>11.318531831012207</v>
      </c>
      <c r="BC44" s="106">
        <v>9548.313452641898</v>
      </c>
      <c r="BD44" s="106">
        <v>11</v>
      </c>
      <c r="BE44" s="106">
        <v>9279.6</v>
      </c>
      <c r="BF44" s="106">
        <v>11.423060537276138</v>
      </c>
      <c r="BG44" s="106">
        <v>9636.493869246151</v>
      </c>
      <c r="BH44" s="106">
        <v>6</v>
      </c>
      <c r="BI44" s="106">
        <v>5061.6000000000004</v>
      </c>
      <c r="BJ44" s="106">
        <v>5.2547925765609618</v>
      </c>
      <c r="BK44" s="106">
        <v>4432.9430175868274</v>
      </c>
      <c r="BL44" s="106">
        <v>4</v>
      </c>
      <c r="BM44" s="106">
        <v>3374.4</v>
      </c>
      <c r="BN44" s="106">
        <v>4.3233912296353809</v>
      </c>
      <c r="BO44" s="106">
        <v>3647.2128413204073</v>
      </c>
      <c r="BP44" s="106">
        <v>7.2409202335444727</v>
      </c>
      <c r="BQ44" s="106">
        <v>6108.4403090181177</v>
      </c>
      <c r="BR44" s="106">
        <v>5.2261507121570174</v>
      </c>
      <c r="BS44" s="106">
        <v>4408.78074077566</v>
      </c>
      <c r="BT44" s="106">
        <v>5</v>
      </c>
      <c r="BU44" s="106">
        <v>4218</v>
      </c>
      <c r="BV44" s="106">
        <v>4.2862698891077633</v>
      </c>
      <c r="BW44" s="106">
        <v>3615.8972784513094</v>
      </c>
      <c r="BX44" s="106">
        <v>6.2572977365383977</v>
      </c>
      <c r="BY44" s="106">
        <v>5278.656370543792</v>
      </c>
      <c r="BZ44" s="106">
        <v>9.2342121061583491</v>
      </c>
      <c r="CA44" s="106">
        <v>7789.9813327551838</v>
      </c>
      <c r="CB44" s="106">
        <v>7.2085969109247392</v>
      </c>
      <c r="CC44" s="106">
        <v>6081.1723540561097</v>
      </c>
      <c r="CD44" s="106">
        <v>6.2540562014612684</v>
      </c>
      <c r="CE44" s="106">
        <v>5275.9218115527265</v>
      </c>
      <c r="CF44" s="106">
        <v>4</v>
      </c>
      <c r="CG44" s="106">
        <v>3374.4</v>
      </c>
      <c r="CH44" s="106">
        <v>5.3491846998276387</v>
      </c>
      <c r="CI44" s="106">
        <v>4512.5722127745958</v>
      </c>
      <c r="CJ44" s="106">
        <v>6</v>
      </c>
      <c r="CK44" s="106">
        <v>5061.6000000000004</v>
      </c>
      <c r="CL44" s="106">
        <v>4.3981096792317977</v>
      </c>
      <c r="CM44" s="106">
        <v>3710.2453253999447</v>
      </c>
      <c r="CN44" s="106">
        <v>13.168928787129163</v>
      </c>
      <c r="CO44" s="106">
        <v>11109.308324822163</v>
      </c>
      <c r="CP44" s="106">
        <v>16.338866258464993</v>
      </c>
      <c r="CQ44" s="106">
        <v>13783.467575641069</v>
      </c>
      <c r="CR44" s="106">
        <v>17.3484059157777</v>
      </c>
      <c r="CS44" s="106">
        <v>14635.115230550069</v>
      </c>
      <c r="CT44" s="106">
        <v>11.175421445430787</v>
      </c>
      <c r="CU44" s="106">
        <v>9427.585531365412</v>
      </c>
    </row>
    <row r="45" spans="2:99" x14ac:dyDescent="0.2">
      <c r="C45" s="105" t="s">
        <v>211</v>
      </c>
      <c r="D45" s="106">
        <v>2.0825582640866451</v>
      </c>
      <c r="E45" s="106">
        <v>2166.6936179557451</v>
      </c>
      <c r="F45" s="106">
        <v>5.2987765800259554</v>
      </c>
      <c r="G45" s="106">
        <v>5512.8471538590029</v>
      </c>
      <c r="H45" s="106">
        <v>6</v>
      </c>
      <c r="I45" s="106">
        <v>6242.4</v>
      </c>
      <c r="J45" s="106">
        <v>4.3247934343850725</v>
      </c>
      <c r="K45" s="106">
        <v>4499.5150891342291</v>
      </c>
      <c r="L45" s="106">
        <v>5.3912015819257473</v>
      </c>
      <c r="M45" s="106">
        <v>5609.0061258355463</v>
      </c>
      <c r="N45" s="106">
        <v>4.3448742450804598</v>
      </c>
      <c r="O45" s="106">
        <v>4520.4071645817094</v>
      </c>
      <c r="P45" s="106">
        <v>6.2774219396513029</v>
      </c>
      <c r="Q45" s="106">
        <v>6531.029786013215</v>
      </c>
      <c r="R45" s="106">
        <v>5.1896131650079456</v>
      </c>
      <c r="S45" s="106">
        <v>5399.273536874266</v>
      </c>
      <c r="T45" s="106">
        <v>14.19452510975875</v>
      </c>
      <c r="U45" s="106">
        <v>14767.983924193002</v>
      </c>
      <c r="V45" s="106">
        <v>7.448675760007923</v>
      </c>
      <c r="W45" s="106">
        <v>7749.6022607122422</v>
      </c>
      <c r="X45" s="106">
        <v>8</v>
      </c>
      <c r="Y45" s="106">
        <v>8323.1999999999989</v>
      </c>
      <c r="Z45" s="106">
        <v>7.3009917763614691</v>
      </c>
      <c r="AA45" s="106">
        <v>7595.9518441264718</v>
      </c>
      <c r="AB45" s="106">
        <v>10</v>
      </c>
      <c r="AC45" s="106">
        <v>10403.999999999998</v>
      </c>
      <c r="AD45" s="106">
        <v>12.406203626468614</v>
      </c>
      <c r="AE45" s="106">
        <v>12907.414252977944</v>
      </c>
      <c r="AF45" s="106">
        <v>10.429216156318134</v>
      </c>
      <c r="AG45" s="106">
        <v>10850.556489033384</v>
      </c>
      <c r="AH45" s="106">
        <v>9.0985542959848527</v>
      </c>
      <c r="AI45" s="106">
        <v>9466.1358895426401</v>
      </c>
      <c r="AJ45" s="106">
        <v>8.1721138429957012</v>
      </c>
      <c r="AK45" s="106">
        <v>8502.2672422527266</v>
      </c>
      <c r="AL45" s="106">
        <v>9.3353205018917933</v>
      </c>
      <c r="AM45" s="106">
        <v>9712.4674501682202</v>
      </c>
      <c r="AN45" s="106">
        <v>8.4575781956063771</v>
      </c>
      <c r="AO45" s="106">
        <v>8799.2643547088737</v>
      </c>
      <c r="AP45" s="106">
        <v>9.1673414699027056</v>
      </c>
      <c r="AQ45" s="106">
        <v>9537.7020652867741</v>
      </c>
      <c r="AR45" s="106">
        <v>9.1451187413823263</v>
      </c>
      <c r="AS45" s="106">
        <v>9514.5815385341702</v>
      </c>
      <c r="AT45" s="106">
        <v>5.148894723116193</v>
      </c>
      <c r="AU45" s="106">
        <v>5356.9100699300861</v>
      </c>
      <c r="AV45" s="106">
        <v>7</v>
      </c>
      <c r="AW45" s="106">
        <v>7282.7999999999993</v>
      </c>
      <c r="AX45" s="106">
        <v>8.3942745679893136</v>
      </c>
      <c r="AY45" s="106">
        <v>8733.4032605360808</v>
      </c>
      <c r="AZ45" s="106">
        <v>12.346669335923261</v>
      </c>
      <c r="BA45" s="106">
        <v>12845.47477709456</v>
      </c>
      <c r="BB45" s="106">
        <v>12.283139405344183</v>
      </c>
      <c r="BC45" s="106">
        <v>12779.378237320087</v>
      </c>
      <c r="BD45" s="106">
        <v>10</v>
      </c>
      <c r="BE45" s="106">
        <v>10403.999999999998</v>
      </c>
      <c r="BF45" s="106">
        <v>10.376053810912122</v>
      </c>
      <c r="BG45" s="106">
        <v>10795.246384872971</v>
      </c>
      <c r="BH45" s="106">
        <v>7</v>
      </c>
      <c r="BI45" s="106">
        <v>7282.7999999999993</v>
      </c>
      <c r="BJ45" s="106">
        <v>5.2866416486310817</v>
      </c>
      <c r="BK45" s="106">
        <v>5500.2219712357764</v>
      </c>
      <c r="BL45" s="106">
        <v>4</v>
      </c>
      <c r="BM45" s="106">
        <v>4161.5999999999995</v>
      </c>
      <c r="BN45" s="106">
        <v>4.2829673259309589</v>
      </c>
      <c r="BO45" s="106">
        <v>4455.999205898569</v>
      </c>
      <c r="BP45" s="106">
        <v>6.2409202335444727</v>
      </c>
      <c r="BQ45" s="106">
        <v>6493.0534109796681</v>
      </c>
      <c r="BR45" s="106">
        <v>5.2261507121570174</v>
      </c>
      <c r="BS45" s="106">
        <v>5437.28720092816</v>
      </c>
      <c r="BT45" s="106">
        <v>5</v>
      </c>
      <c r="BU45" s="106">
        <v>5201.9999999999991</v>
      </c>
      <c r="BV45" s="106">
        <v>4.3339815372923907</v>
      </c>
      <c r="BW45" s="106">
        <v>4509.0743913990027</v>
      </c>
      <c r="BX45" s="106">
        <v>7.2315679628845579</v>
      </c>
      <c r="BY45" s="106">
        <v>7523.723308585093</v>
      </c>
      <c r="BZ45" s="106">
        <v>9.2342121061583491</v>
      </c>
      <c r="CA45" s="106">
        <v>9607.2742752471459</v>
      </c>
      <c r="CB45" s="106">
        <v>8.2085969109247383</v>
      </c>
      <c r="CC45" s="106">
        <v>8540.2242261260963</v>
      </c>
      <c r="CD45" s="106">
        <v>6.2540562014612684</v>
      </c>
      <c r="CE45" s="106">
        <v>6506.7200720003029</v>
      </c>
      <c r="CF45" s="106">
        <v>5</v>
      </c>
      <c r="CG45" s="106">
        <v>5201.9999999999991</v>
      </c>
      <c r="CH45" s="106">
        <v>6.3491846998276387</v>
      </c>
      <c r="CI45" s="106">
        <v>6605.6917617006748</v>
      </c>
      <c r="CJ45" s="106">
        <v>6</v>
      </c>
      <c r="CK45" s="106">
        <v>6242.4</v>
      </c>
      <c r="CL45" s="106">
        <v>4.3538752704282642</v>
      </c>
      <c r="CM45" s="106">
        <v>4529.7718313535652</v>
      </c>
      <c r="CN45" s="106">
        <v>13.193061471004759</v>
      </c>
      <c r="CO45" s="106">
        <v>13726.06115443335</v>
      </c>
      <c r="CP45" s="106">
        <v>13.263562645472772</v>
      </c>
      <c r="CQ45" s="106">
        <v>13799.41057634987</v>
      </c>
      <c r="CR45" s="106">
        <v>19.3484059157777</v>
      </c>
      <c r="CS45" s="106">
        <v>20130.081514775116</v>
      </c>
      <c r="CT45" s="106">
        <v>10.175421445430787</v>
      </c>
      <c r="CU45" s="106">
        <v>10586.50847182619</v>
      </c>
    </row>
    <row r="46" spans="2:99" x14ac:dyDescent="0.2">
      <c r="C46" s="105" t="s">
        <v>212</v>
      </c>
      <c r="D46" s="106">
        <v>2.0825582640866451</v>
      </c>
      <c r="E46" s="106">
        <v>2119.2112895345695</v>
      </c>
      <c r="F46" s="106">
        <v>5.2987765800259554</v>
      </c>
      <c r="G46" s="106">
        <v>5392.0350478344108</v>
      </c>
      <c r="H46" s="106">
        <v>6</v>
      </c>
      <c r="I46" s="106">
        <v>6105.5999999999985</v>
      </c>
      <c r="J46" s="106">
        <v>4.3711924964400826</v>
      </c>
      <c r="K46" s="106">
        <v>4448.1254843774268</v>
      </c>
      <c r="L46" s="106">
        <v>6.3912015819257473</v>
      </c>
      <c r="M46" s="106">
        <v>6503.686729767639</v>
      </c>
      <c r="N46" s="106">
        <v>4.3448742450804598</v>
      </c>
      <c r="O46" s="106">
        <v>4421.3440317938748</v>
      </c>
      <c r="P46" s="106">
        <v>5.2774219396513029</v>
      </c>
      <c r="Q46" s="106">
        <v>5370.3045657891644</v>
      </c>
      <c r="R46" s="106">
        <v>5.1685450355626186</v>
      </c>
      <c r="S46" s="106">
        <v>5259.5114281885199</v>
      </c>
      <c r="T46" s="106">
        <v>11.222314411152858</v>
      </c>
      <c r="U46" s="106">
        <v>11419.827144789146</v>
      </c>
      <c r="V46" s="106">
        <v>8.448675760007923</v>
      </c>
      <c r="W46" s="106">
        <v>8597.3724533840614</v>
      </c>
      <c r="X46" s="106">
        <v>10</v>
      </c>
      <c r="Y46" s="106">
        <v>10175.999999999998</v>
      </c>
      <c r="Z46" s="106">
        <v>7.3009917763614691</v>
      </c>
      <c r="AA46" s="106">
        <v>7429.4892316254291</v>
      </c>
      <c r="AB46" s="106">
        <v>9</v>
      </c>
      <c r="AC46" s="106">
        <v>9158.3999999999978</v>
      </c>
      <c r="AD46" s="106">
        <v>12.446823989115476</v>
      </c>
      <c r="AE46" s="106">
        <v>12665.888091323906</v>
      </c>
      <c r="AF46" s="106">
        <v>10.386294540686322</v>
      </c>
      <c r="AG46" s="106">
        <v>10569.0933246024</v>
      </c>
      <c r="AH46" s="106">
        <v>9.0876038186532018</v>
      </c>
      <c r="AI46" s="106">
        <v>9247.5456458614954</v>
      </c>
      <c r="AJ46" s="106">
        <v>8.1912376033285561</v>
      </c>
      <c r="AK46" s="106">
        <v>8335.4033851471377</v>
      </c>
      <c r="AL46" s="106">
        <v>9.301788451702615</v>
      </c>
      <c r="AM46" s="106">
        <v>9465.4999284525784</v>
      </c>
      <c r="AN46" s="106">
        <v>7.4223798728674257</v>
      </c>
      <c r="AO46" s="106">
        <v>7553.0137586298906</v>
      </c>
      <c r="AP46" s="106">
        <v>10.156882628033786</v>
      </c>
      <c r="AQ46" s="106">
        <v>10335.643762287178</v>
      </c>
      <c r="AR46" s="106">
        <v>9.1451187413823263</v>
      </c>
      <c r="AS46" s="106">
        <v>9306.0728312306528</v>
      </c>
      <c r="AT46" s="106">
        <v>5.148894723116193</v>
      </c>
      <c r="AU46" s="106">
        <v>5239.5152702430369</v>
      </c>
      <c r="AV46" s="106">
        <v>8</v>
      </c>
      <c r="AW46" s="106">
        <v>8140.7999999999984</v>
      </c>
      <c r="AX46" s="106">
        <v>7.4380828533214594</v>
      </c>
      <c r="AY46" s="106">
        <v>7568.9931115399158</v>
      </c>
      <c r="AZ46" s="106">
        <v>11.283638547573577</v>
      </c>
      <c r="BA46" s="106">
        <v>11482.23058601087</v>
      </c>
      <c r="BB46" s="106">
        <v>12.318531831012207</v>
      </c>
      <c r="BC46" s="106">
        <v>12535.337991238019</v>
      </c>
      <c r="BD46" s="106">
        <v>11</v>
      </c>
      <c r="BE46" s="106">
        <v>11193.599999999999</v>
      </c>
      <c r="BF46" s="106">
        <v>10.376053810912122</v>
      </c>
      <c r="BG46" s="106">
        <v>10558.672357984173</v>
      </c>
      <c r="BH46" s="106">
        <v>6</v>
      </c>
      <c r="BI46" s="106">
        <v>6105.5999999999985</v>
      </c>
      <c r="BJ46" s="106">
        <v>5.2866416486310817</v>
      </c>
      <c r="BK46" s="106">
        <v>5379.6865416469873</v>
      </c>
      <c r="BL46" s="106">
        <v>4</v>
      </c>
      <c r="BM46" s="106">
        <v>4070.3999999999992</v>
      </c>
      <c r="BN46" s="106">
        <v>4.2829673259309589</v>
      </c>
      <c r="BO46" s="106">
        <v>4358.3475508673428</v>
      </c>
      <c r="BP46" s="106">
        <v>7.2141513187061976</v>
      </c>
      <c r="BQ46" s="106">
        <v>7341.1203819154252</v>
      </c>
      <c r="BR46" s="106">
        <v>5.2261507121570174</v>
      </c>
      <c r="BS46" s="106">
        <v>5318.1309646909795</v>
      </c>
      <c r="BT46" s="106">
        <v>6</v>
      </c>
      <c r="BU46" s="106">
        <v>6105.5999999999985</v>
      </c>
      <c r="BV46" s="106">
        <v>4.2862698891077633</v>
      </c>
      <c r="BW46" s="106">
        <v>4361.7082391560589</v>
      </c>
      <c r="BX46" s="106">
        <v>6.2572977365383977</v>
      </c>
      <c r="BY46" s="106">
        <v>6367.4261767014723</v>
      </c>
      <c r="BZ46" s="106">
        <v>9.2342121061583491</v>
      </c>
      <c r="CA46" s="106">
        <v>9396.7342392267346</v>
      </c>
      <c r="CB46" s="106">
        <v>7.2085969109247392</v>
      </c>
      <c r="CC46" s="106">
        <v>7335.468216557013</v>
      </c>
      <c r="CD46" s="106">
        <v>6.2286505813151418</v>
      </c>
      <c r="CE46" s="106">
        <v>6338.2748315462868</v>
      </c>
      <c r="CF46" s="106">
        <v>4</v>
      </c>
      <c r="CG46" s="106">
        <v>4070.3999999999992</v>
      </c>
      <c r="CH46" s="106">
        <v>5.3990682283744444</v>
      </c>
      <c r="CI46" s="106">
        <v>5494.0918291938333</v>
      </c>
      <c r="CJ46" s="106">
        <v>5</v>
      </c>
      <c r="CK46" s="106">
        <v>5087.9999999999991</v>
      </c>
      <c r="CL46" s="106">
        <v>3.3981096792317977</v>
      </c>
      <c r="CM46" s="106">
        <v>3457.9164095862766</v>
      </c>
      <c r="CN46" s="106">
        <v>12.168928787129163</v>
      </c>
      <c r="CO46" s="106">
        <v>12383.101933782633</v>
      </c>
      <c r="CP46" s="106">
        <v>16.301214451968882</v>
      </c>
      <c r="CQ46" s="106">
        <v>16588.11582632353</v>
      </c>
      <c r="CR46" s="106">
        <v>19.316732650706999</v>
      </c>
      <c r="CS46" s="106">
        <v>19656.70714535944</v>
      </c>
      <c r="CT46" s="106">
        <v>10.175421445430787</v>
      </c>
      <c r="CU46" s="106">
        <v>10354.508862870367</v>
      </c>
    </row>
    <row r="47" spans="2:99" x14ac:dyDescent="0.2">
      <c r="C47" s="105" t="s">
        <v>213</v>
      </c>
      <c r="D47" s="106">
        <v>2.0825582640866451</v>
      </c>
      <c r="E47" s="106">
        <v>2743.9787687605635</v>
      </c>
      <c r="F47" s="106">
        <v>4.2987765800259554</v>
      </c>
      <c r="G47" s="106">
        <v>5664.0680218421985</v>
      </c>
      <c r="H47" s="106">
        <v>5</v>
      </c>
      <c r="I47" s="106">
        <v>6588</v>
      </c>
      <c r="J47" s="106">
        <v>3.3247934343850725</v>
      </c>
      <c r="K47" s="106">
        <v>4380.747829145771</v>
      </c>
      <c r="L47" s="106">
        <v>6.3912015819257473</v>
      </c>
      <c r="M47" s="106">
        <v>8421.0472043453647</v>
      </c>
      <c r="N47" s="106">
        <v>4.383193605644955</v>
      </c>
      <c r="O47" s="106">
        <v>5775.2958947977922</v>
      </c>
      <c r="P47" s="106">
        <v>5.2311849497094194</v>
      </c>
      <c r="Q47" s="106">
        <v>6892.6092897371309</v>
      </c>
      <c r="R47" s="106">
        <v>5.1896131650079456</v>
      </c>
      <c r="S47" s="106">
        <v>6837.8343062144686</v>
      </c>
      <c r="T47" s="106">
        <v>12.19452510975875</v>
      </c>
      <c r="U47" s="106">
        <v>16067.506284618128</v>
      </c>
      <c r="V47" s="106">
        <v>8.3988228977848216</v>
      </c>
      <c r="W47" s="106">
        <v>11066.289050121281</v>
      </c>
      <c r="X47" s="106">
        <v>9</v>
      </c>
      <c r="Y47" s="106">
        <v>11858.4</v>
      </c>
      <c r="Z47" s="106">
        <v>6.3009917763614691</v>
      </c>
      <c r="AA47" s="106">
        <v>8302.1867645338716</v>
      </c>
      <c r="AB47" s="106">
        <v>10</v>
      </c>
      <c r="AC47" s="106">
        <v>13176</v>
      </c>
      <c r="AD47" s="106">
        <v>11.406203626468614</v>
      </c>
      <c r="AE47" s="106">
        <v>15028.813898235045</v>
      </c>
      <c r="AF47" s="106">
        <v>8.3862945406863219</v>
      </c>
      <c r="AG47" s="106">
        <v>11049.781686808297</v>
      </c>
      <c r="AH47" s="106">
        <v>9.0876038186532018</v>
      </c>
      <c r="AI47" s="106">
        <v>11973.826791457457</v>
      </c>
      <c r="AJ47" s="106">
        <v>6.1912376033285561</v>
      </c>
      <c r="AK47" s="106">
        <v>8157.5746661457051</v>
      </c>
      <c r="AL47" s="106">
        <v>10.301788451702615</v>
      </c>
      <c r="AM47" s="106">
        <v>13573.636463963365</v>
      </c>
      <c r="AN47" s="106">
        <v>8.4223798728674257</v>
      </c>
      <c r="AO47" s="106">
        <v>11097.327720490119</v>
      </c>
      <c r="AP47" s="106">
        <v>8.1673414699027056</v>
      </c>
      <c r="AQ47" s="106">
        <v>10761.289120743804</v>
      </c>
      <c r="AR47" s="106">
        <v>7.1289944367842892</v>
      </c>
      <c r="AS47" s="106">
        <v>9393.1630699069792</v>
      </c>
      <c r="AT47" s="106">
        <v>4.1340052508045737</v>
      </c>
      <c r="AU47" s="106">
        <v>5446.9653184601057</v>
      </c>
      <c r="AV47" s="106">
        <v>7</v>
      </c>
      <c r="AW47" s="106">
        <v>9223.1999999999989</v>
      </c>
      <c r="AX47" s="106">
        <v>8.3942745679893136</v>
      </c>
      <c r="AY47" s="106">
        <v>11060.296170782718</v>
      </c>
      <c r="AZ47" s="106">
        <v>12.315153941748418</v>
      </c>
      <c r="BA47" s="106">
        <v>16226.446833647715</v>
      </c>
      <c r="BB47" s="106">
        <v>12.283139405344183</v>
      </c>
      <c r="BC47" s="106">
        <v>16184.264480481495</v>
      </c>
      <c r="BD47" s="106">
        <v>10</v>
      </c>
      <c r="BE47" s="106">
        <v>13176</v>
      </c>
      <c r="BF47" s="106">
        <v>11.376053810912122</v>
      </c>
      <c r="BG47" s="106">
        <v>14989.088501257811</v>
      </c>
      <c r="BH47" s="106">
        <v>6</v>
      </c>
      <c r="BI47" s="106">
        <v>7905.5999999999995</v>
      </c>
      <c r="BJ47" s="106">
        <v>4.2866416486310817</v>
      </c>
      <c r="BK47" s="106">
        <v>5648.0790362363132</v>
      </c>
      <c r="BL47" s="106">
        <v>4</v>
      </c>
      <c r="BM47" s="106">
        <v>5270.4</v>
      </c>
      <c r="BN47" s="106">
        <v>4.2829673259309589</v>
      </c>
      <c r="BO47" s="106">
        <v>5643.2377486466312</v>
      </c>
      <c r="BP47" s="106">
        <v>6.2409202335444727</v>
      </c>
      <c r="BQ47" s="106">
        <v>8223.0364997181969</v>
      </c>
      <c r="BR47" s="106">
        <v>5.2584579567508776</v>
      </c>
      <c r="BS47" s="106">
        <v>6928.5442038149558</v>
      </c>
      <c r="BT47" s="106">
        <v>5</v>
      </c>
      <c r="BU47" s="106">
        <v>6588</v>
      </c>
      <c r="BV47" s="106">
        <v>4.2862698891077633</v>
      </c>
      <c r="BW47" s="106">
        <v>5647.5892058883883</v>
      </c>
      <c r="BX47" s="106">
        <v>6.2830275101922375</v>
      </c>
      <c r="BY47" s="106">
        <v>8278.5170474292918</v>
      </c>
      <c r="BZ47" s="106">
        <v>9.2342121061583491</v>
      </c>
      <c r="CA47" s="106">
        <v>12166.99787107424</v>
      </c>
      <c r="CB47" s="106">
        <v>7.2346715247903317</v>
      </c>
      <c r="CC47" s="106">
        <v>9532.4032010637402</v>
      </c>
      <c r="CD47" s="106">
        <v>6.2286505813151418</v>
      </c>
      <c r="CE47" s="106">
        <v>8206.8700059408311</v>
      </c>
      <c r="CF47" s="106">
        <v>4</v>
      </c>
      <c r="CG47" s="106">
        <v>5270.4</v>
      </c>
      <c r="CH47" s="106">
        <v>5.3491846998276387</v>
      </c>
      <c r="CI47" s="106">
        <v>7048.085760492896</v>
      </c>
      <c r="CJ47" s="106">
        <v>6</v>
      </c>
      <c r="CK47" s="106">
        <v>7905.5999999999995</v>
      </c>
      <c r="CL47" s="106">
        <v>3.3538752704282646</v>
      </c>
      <c r="CM47" s="106">
        <v>4419.066056316281</v>
      </c>
      <c r="CN47" s="106">
        <v>13.168928787129163</v>
      </c>
      <c r="CO47" s="106">
        <v>17351.380569921384</v>
      </c>
      <c r="CP47" s="106">
        <v>14.263562645472772</v>
      </c>
      <c r="CQ47" s="106">
        <v>18793.670141674924</v>
      </c>
      <c r="CR47" s="106">
        <v>18.316732650706999</v>
      </c>
      <c r="CS47" s="106">
        <v>24134.126940571539</v>
      </c>
      <c r="CT47" s="106">
        <v>10.175421445430787</v>
      </c>
      <c r="CU47" s="106">
        <v>13407.135296499604</v>
      </c>
    </row>
    <row r="48" spans="2:99" x14ac:dyDescent="0.2">
      <c r="C48" s="105" t="s">
        <v>214</v>
      </c>
      <c r="D48" s="106">
        <v>2.0825582640866451</v>
      </c>
      <c r="E48" s="106">
        <v>1369.4903144633779</v>
      </c>
      <c r="F48" s="106">
        <v>5.2987765800259554</v>
      </c>
      <c r="G48" s="106">
        <v>3484.4754790250686</v>
      </c>
      <c r="H48" s="106">
        <v>6</v>
      </c>
      <c r="I48" s="106">
        <v>3945.6000000000004</v>
      </c>
      <c r="J48" s="106">
        <v>4.3247934343850725</v>
      </c>
      <c r="K48" s="106">
        <v>2843.9841624516239</v>
      </c>
      <c r="L48" s="106">
        <v>6.3477347394895531</v>
      </c>
      <c r="M48" s="106">
        <v>4174.2703646883301</v>
      </c>
      <c r="N48" s="106">
        <v>4.4215129662094501</v>
      </c>
      <c r="O48" s="106">
        <v>2907.5869265793344</v>
      </c>
      <c r="P48" s="106">
        <v>6.2311849497094194</v>
      </c>
      <c r="Q48" s="106">
        <v>4097.6272229289143</v>
      </c>
      <c r="R48" s="106">
        <v>5.1896131650079456</v>
      </c>
      <c r="S48" s="106">
        <v>3412.689617309225</v>
      </c>
      <c r="T48" s="106">
        <v>13.222314411152858</v>
      </c>
      <c r="U48" s="106">
        <v>8694.9939567741203</v>
      </c>
      <c r="V48" s="106">
        <v>7.448675760007923</v>
      </c>
      <c r="W48" s="106">
        <v>4898.2491797812099</v>
      </c>
      <c r="X48" s="106">
        <v>10</v>
      </c>
      <c r="Y48" s="106">
        <v>6576</v>
      </c>
      <c r="Z48" s="106">
        <v>7.3009917763614691</v>
      </c>
      <c r="AA48" s="106">
        <v>4801.1321921353019</v>
      </c>
      <c r="AB48" s="106">
        <v>11</v>
      </c>
      <c r="AC48" s="106">
        <v>7233.6</v>
      </c>
      <c r="AD48" s="106">
        <v>11.446823989115476</v>
      </c>
      <c r="AE48" s="106">
        <v>7527.4314552423375</v>
      </c>
      <c r="AF48" s="106">
        <v>10.386294540686322</v>
      </c>
      <c r="AG48" s="106">
        <v>6830.0272899553256</v>
      </c>
      <c r="AH48" s="106">
        <v>10.109504773316504</v>
      </c>
      <c r="AI48" s="106">
        <v>6648.0103389329333</v>
      </c>
      <c r="AJ48" s="106">
        <v>7.2103613636614119</v>
      </c>
      <c r="AK48" s="106">
        <v>4741.5336327437444</v>
      </c>
      <c r="AL48" s="106">
        <v>10.301788451702615</v>
      </c>
      <c r="AM48" s="106">
        <v>6774.4560858396399</v>
      </c>
      <c r="AN48" s="106">
        <v>9.4927765183453303</v>
      </c>
      <c r="AO48" s="106">
        <v>6242.4498384638891</v>
      </c>
      <c r="AP48" s="106">
        <v>10.156882628033786</v>
      </c>
      <c r="AQ48" s="106">
        <v>6679.1660161950185</v>
      </c>
      <c r="AR48" s="106">
        <v>9.1289944367842892</v>
      </c>
      <c r="AS48" s="106">
        <v>6003.2267416293489</v>
      </c>
      <c r="AT48" s="106">
        <v>5.148894723116193</v>
      </c>
      <c r="AU48" s="106">
        <v>3385.9131699212085</v>
      </c>
      <c r="AV48" s="106">
        <v>7</v>
      </c>
      <c r="AW48" s="106">
        <v>4603.2</v>
      </c>
      <c r="AX48" s="106">
        <v>8.4380828533214594</v>
      </c>
      <c r="AY48" s="106">
        <v>5548.8832843441915</v>
      </c>
      <c r="AZ48" s="106">
        <v>12.315153941748418</v>
      </c>
      <c r="BA48" s="106">
        <v>8098.4452320937598</v>
      </c>
      <c r="BB48" s="106">
        <v>12.283139405344183</v>
      </c>
      <c r="BC48" s="106">
        <v>8077.3924729543351</v>
      </c>
      <c r="BD48" s="106">
        <v>11</v>
      </c>
      <c r="BE48" s="106">
        <v>7233.6</v>
      </c>
      <c r="BF48" s="106">
        <v>10.470067263640152</v>
      </c>
      <c r="BG48" s="106">
        <v>6885.1162325697642</v>
      </c>
      <c r="BH48" s="106">
        <v>6</v>
      </c>
      <c r="BI48" s="106">
        <v>3945.6000000000004</v>
      </c>
      <c r="BJ48" s="106">
        <v>4.2866416486310817</v>
      </c>
      <c r="BK48" s="106">
        <v>2818.8955481397993</v>
      </c>
      <c r="BL48" s="106">
        <v>4</v>
      </c>
      <c r="BM48" s="106">
        <v>2630.4</v>
      </c>
      <c r="BN48" s="106">
        <v>4.3233912296353809</v>
      </c>
      <c r="BO48" s="106">
        <v>2843.0620726082266</v>
      </c>
      <c r="BP48" s="106">
        <v>7.2676891483827468</v>
      </c>
      <c r="BQ48" s="106">
        <v>4779.2323839764949</v>
      </c>
      <c r="BR48" s="106">
        <v>6.2584579567508776</v>
      </c>
      <c r="BS48" s="106">
        <v>4115.5619523593768</v>
      </c>
      <c r="BT48" s="106">
        <v>6</v>
      </c>
      <c r="BU48" s="106">
        <v>3945.6000000000004</v>
      </c>
      <c r="BV48" s="106">
        <v>4.3339815372923907</v>
      </c>
      <c r="BW48" s="106">
        <v>2850.0262589234762</v>
      </c>
      <c r="BX48" s="106">
        <v>7.2572977365383977</v>
      </c>
      <c r="BY48" s="106">
        <v>4772.3989915476504</v>
      </c>
      <c r="BZ48" s="106">
        <v>10.234212106158349</v>
      </c>
      <c r="CA48" s="106">
        <v>6730.0178810097304</v>
      </c>
      <c r="CB48" s="106">
        <v>8.2346715247903308</v>
      </c>
      <c r="CC48" s="106">
        <v>5415.1199947021214</v>
      </c>
      <c r="CD48" s="106">
        <v>6.2286505813151418</v>
      </c>
      <c r="CE48" s="106">
        <v>4095.9606222728376</v>
      </c>
      <c r="CF48" s="106">
        <v>4</v>
      </c>
      <c r="CG48" s="106">
        <v>2630.4</v>
      </c>
      <c r="CH48" s="106">
        <v>6.3491846998276387</v>
      </c>
      <c r="CI48" s="106">
        <v>4175.2238586066551</v>
      </c>
      <c r="CJ48" s="106">
        <v>6</v>
      </c>
      <c r="CK48" s="106">
        <v>3945.6000000000004</v>
      </c>
      <c r="CL48" s="106">
        <v>4.4423440880353304</v>
      </c>
      <c r="CM48" s="106">
        <v>2921.2854722920333</v>
      </c>
      <c r="CN48" s="106">
        <v>14.168928787129163</v>
      </c>
      <c r="CO48" s="106">
        <v>9317.4875704161386</v>
      </c>
      <c r="CP48" s="106">
        <v>16.338866258464993</v>
      </c>
      <c r="CQ48" s="106">
        <v>10744.438451566579</v>
      </c>
      <c r="CR48" s="106">
        <v>18.3484059157777</v>
      </c>
      <c r="CS48" s="106">
        <v>12065.911730215415</v>
      </c>
      <c r="CT48" s="106">
        <v>9.1559301737162553</v>
      </c>
      <c r="CU48" s="106">
        <v>6020.9396822358094</v>
      </c>
    </row>
    <row r="49" spans="2:99" x14ac:dyDescent="0.2">
      <c r="B49" s="105" t="s">
        <v>129</v>
      </c>
      <c r="C49" s="105" t="s">
        <v>215</v>
      </c>
      <c r="D49" s="106">
        <v>5.465738228365038</v>
      </c>
      <c r="E49" s="106">
        <v>1843.0469306046907</v>
      </c>
      <c r="F49" s="106">
        <v>6</v>
      </c>
      <c r="G49" s="106">
        <v>2023.1999999999998</v>
      </c>
      <c r="H49" s="106">
        <v>8</v>
      </c>
      <c r="I49" s="106">
        <v>2697.6</v>
      </c>
      <c r="J49" s="106">
        <v>10</v>
      </c>
      <c r="K49" s="106">
        <v>3372</v>
      </c>
      <c r="L49" s="106">
        <v>4</v>
      </c>
      <c r="M49" s="106">
        <v>1348.8</v>
      </c>
      <c r="N49" s="106">
        <v>3</v>
      </c>
      <c r="O49" s="106">
        <v>1011.5999999999999</v>
      </c>
      <c r="P49" s="106">
        <v>3</v>
      </c>
      <c r="Q49" s="106">
        <v>1011.5999999999999</v>
      </c>
      <c r="R49" s="106">
        <v>3</v>
      </c>
      <c r="S49" s="106">
        <v>1011.5999999999999</v>
      </c>
      <c r="T49" s="106">
        <v>5</v>
      </c>
      <c r="U49" s="106">
        <v>1686</v>
      </c>
      <c r="V49" s="106">
        <v>4</v>
      </c>
      <c r="W49" s="106">
        <v>1348.8</v>
      </c>
      <c r="X49" s="106">
        <v>5.4489334399447538</v>
      </c>
      <c r="Y49" s="106">
        <v>1837.3803559493708</v>
      </c>
      <c r="Z49" s="106">
        <v>3.3641121183615521</v>
      </c>
      <c r="AA49" s="106">
        <v>1134.3786063115153</v>
      </c>
      <c r="AB49" s="106">
        <v>7.2892129528707121</v>
      </c>
      <c r="AC49" s="106">
        <v>2457.9226077080039</v>
      </c>
      <c r="AD49" s="106">
        <v>6.0560622397399131</v>
      </c>
      <c r="AE49" s="106">
        <v>2042.1041872402986</v>
      </c>
      <c r="AF49" s="106">
        <v>5</v>
      </c>
      <c r="AG49" s="106">
        <v>1686</v>
      </c>
      <c r="AH49" s="106">
        <v>5</v>
      </c>
      <c r="AI49" s="106">
        <v>1686</v>
      </c>
      <c r="AJ49" s="106">
        <v>6</v>
      </c>
      <c r="AK49" s="106">
        <v>2023.1999999999998</v>
      </c>
      <c r="AL49" s="106">
        <v>7</v>
      </c>
      <c r="AM49" s="106">
        <v>2360.4</v>
      </c>
      <c r="AN49" s="106">
        <v>7.2469394116577384</v>
      </c>
      <c r="AO49" s="106">
        <v>2443.6679696109891</v>
      </c>
      <c r="AP49" s="106">
        <v>6.2186445925713585</v>
      </c>
      <c r="AQ49" s="106">
        <v>2096.926956615062</v>
      </c>
      <c r="AR49" s="106">
        <v>9.2849876310903365</v>
      </c>
      <c r="AS49" s="106">
        <v>3130.8978292036613</v>
      </c>
      <c r="AT49" s="106">
        <v>7.2457787166454599</v>
      </c>
      <c r="AU49" s="106">
        <v>2443.2765832528489</v>
      </c>
      <c r="AV49" s="106">
        <v>7</v>
      </c>
      <c r="AW49" s="106">
        <v>2360.4</v>
      </c>
      <c r="AX49" s="106">
        <v>6</v>
      </c>
      <c r="AY49" s="106">
        <v>2023.1999999999998</v>
      </c>
      <c r="AZ49" s="106">
        <v>5.1557222115153216</v>
      </c>
      <c r="BA49" s="106">
        <v>1738.5095297229664</v>
      </c>
      <c r="BB49" s="106">
        <v>4</v>
      </c>
      <c r="BC49" s="106">
        <v>1348.8</v>
      </c>
      <c r="BD49" s="106">
        <v>4</v>
      </c>
      <c r="BE49" s="106">
        <v>1348.8</v>
      </c>
      <c r="BF49" s="106">
        <v>4</v>
      </c>
      <c r="BG49" s="106">
        <v>1348.8</v>
      </c>
      <c r="BH49" s="106">
        <v>5</v>
      </c>
      <c r="BI49" s="106">
        <v>1686</v>
      </c>
      <c r="BJ49" s="106">
        <v>4.1039439514309679</v>
      </c>
      <c r="BK49" s="106">
        <v>1383.8499004225223</v>
      </c>
      <c r="BL49" s="106">
        <v>7.093350884540861</v>
      </c>
      <c r="BM49" s="106">
        <v>2391.8779182671783</v>
      </c>
      <c r="BN49" s="106">
        <v>5.2304586707032739</v>
      </c>
      <c r="BO49" s="106">
        <v>1763.7106637611439</v>
      </c>
      <c r="BP49" s="106">
        <v>4</v>
      </c>
      <c r="BQ49" s="106">
        <v>1348.8</v>
      </c>
      <c r="BR49" s="106">
        <v>5</v>
      </c>
      <c r="BS49" s="106">
        <v>1686</v>
      </c>
      <c r="BT49" s="106">
        <v>5</v>
      </c>
      <c r="BU49" s="106">
        <v>1686</v>
      </c>
      <c r="BV49" s="106">
        <v>4</v>
      </c>
      <c r="BW49" s="106">
        <v>1348.8</v>
      </c>
      <c r="BX49" s="106">
        <v>7</v>
      </c>
      <c r="BY49" s="106">
        <v>2360.4</v>
      </c>
      <c r="BZ49" s="106">
        <v>8.3471738359031562</v>
      </c>
      <c r="CA49" s="106">
        <v>2814.6670174665442</v>
      </c>
      <c r="CB49" s="106">
        <v>8.107706445161373</v>
      </c>
      <c r="CC49" s="106">
        <v>2733.9186133084149</v>
      </c>
      <c r="CD49" s="106">
        <v>11.258062325502143</v>
      </c>
      <c r="CE49" s="106">
        <v>3796.2186161593227</v>
      </c>
      <c r="CF49" s="106">
        <v>10.132304590245869</v>
      </c>
      <c r="CG49" s="106">
        <v>3416.6131078309072</v>
      </c>
      <c r="CH49" s="106">
        <v>11.106793537616724</v>
      </c>
      <c r="CI49" s="106">
        <v>3745.2107808843593</v>
      </c>
      <c r="CJ49" s="106">
        <v>7.1209589539053324</v>
      </c>
      <c r="CK49" s="106">
        <v>2401.1873592568782</v>
      </c>
      <c r="CL49" s="106">
        <v>7.3629133010941992</v>
      </c>
      <c r="CM49" s="106">
        <v>2482.7743651289638</v>
      </c>
      <c r="CN49" s="106">
        <v>4.322237447787983</v>
      </c>
      <c r="CO49" s="106">
        <v>1457.4584673941079</v>
      </c>
      <c r="CP49" s="106">
        <v>3.6190160631573791</v>
      </c>
      <c r="CQ49" s="106">
        <v>1220.3322164966683</v>
      </c>
      <c r="CR49" s="106">
        <v>3.8657807712932897</v>
      </c>
      <c r="CS49" s="106">
        <v>1303.5412760800973</v>
      </c>
      <c r="CT49" s="106">
        <v>4.4569285211736496</v>
      </c>
      <c r="CU49" s="106">
        <v>1502.8762973397545</v>
      </c>
    </row>
    <row r="50" spans="2:99" x14ac:dyDescent="0.2">
      <c r="C50" s="105" t="s">
        <v>216</v>
      </c>
      <c r="D50" s="106">
        <v>3.7486048753559613</v>
      </c>
      <c r="E50" s="106">
        <v>1448.4609238375433</v>
      </c>
      <c r="F50" s="106">
        <v>6.3414589486010922</v>
      </c>
      <c r="G50" s="106">
        <v>2450.3397377394617</v>
      </c>
      <c r="H50" s="106">
        <v>9</v>
      </c>
      <c r="I50" s="106">
        <v>3477.6</v>
      </c>
      <c r="J50" s="106">
        <v>9.3247934343850716</v>
      </c>
      <c r="K50" s="106">
        <v>3603.1001830463915</v>
      </c>
      <c r="L50" s="106">
        <v>4.7389363214153004</v>
      </c>
      <c r="M50" s="106">
        <v>1831.1249945948721</v>
      </c>
      <c r="N50" s="106">
        <v>3.4215129662094506</v>
      </c>
      <c r="O50" s="106">
        <v>1322.0726101433315</v>
      </c>
      <c r="P50" s="106">
        <v>2.7397918390701417</v>
      </c>
      <c r="Q50" s="106">
        <v>1058.6555666167026</v>
      </c>
      <c r="R50" s="106">
        <v>3.2738856827892553</v>
      </c>
      <c r="S50" s="106">
        <v>1265.0294278297681</v>
      </c>
      <c r="T50" s="106">
        <v>5.3056823153351793</v>
      </c>
      <c r="U50" s="106">
        <v>2050.1156466455132</v>
      </c>
      <c r="V50" s="106">
        <v>3.6480872089003338</v>
      </c>
      <c r="W50" s="106">
        <v>1409.6208975190889</v>
      </c>
      <c r="X50" s="106">
        <v>4</v>
      </c>
      <c r="Y50" s="106">
        <v>1545.6</v>
      </c>
      <c r="Z50" s="106">
        <v>3.3386157484066525</v>
      </c>
      <c r="AA50" s="106">
        <v>1290.0411251843304</v>
      </c>
      <c r="AB50" s="106">
        <v>7</v>
      </c>
      <c r="AC50" s="106">
        <v>2704.7999999999997</v>
      </c>
      <c r="AD50" s="106">
        <v>6.2437221758811683</v>
      </c>
      <c r="AE50" s="106">
        <v>2412.5742487604834</v>
      </c>
      <c r="AF50" s="106">
        <v>4.2575296937908806</v>
      </c>
      <c r="AG50" s="106">
        <v>1645.1094736807961</v>
      </c>
      <c r="AH50" s="106">
        <v>5.1204552506481535</v>
      </c>
      <c r="AI50" s="106">
        <v>1978.5439088504463</v>
      </c>
      <c r="AJ50" s="106">
        <v>6.1338663223299896</v>
      </c>
      <c r="AK50" s="106">
        <v>2370.125946948308</v>
      </c>
      <c r="AL50" s="106">
        <v>8.1676602509458966</v>
      </c>
      <c r="AM50" s="106">
        <v>3155.9839209654942</v>
      </c>
      <c r="AN50" s="106">
        <v>7.1759916136947606</v>
      </c>
      <c r="AO50" s="106">
        <v>2772.8031595316552</v>
      </c>
      <c r="AP50" s="106">
        <v>7.0522942093445957</v>
      </c>
      <c r="AQ50" s="106">
        <v>2725.0064824907518</v>
      </c>
      <c r="AR50" s="106">
        <v>9.0967458275882169</v>
      </c>
      <c r="AS50" s="106">
        <v>3514.9825877800868</v>
      </c>
      <c r="AT50" s="106">
        <v>7.0744473615580965</v>
      </c>
      <c r="AU50" s="106">
        <v>2733.5664605060483</v>
      </c>
      <c r="AV50" s="106">
        <v>8</v>
      </c>
      <c r="AW50" s="106">
        <v>3091.2</v>
      </c>
      <c r="AX50" s="106">
        <v>6.2190414266607297</v>
      </c>
      <c r="AY50" s="106">
        <v>2403.0376072617059</v>
      </c>
      <c r="AZ50" s="106">
        <v>5.1575769708742092</v>
      </c>
      <c r="BA50" s="106">
        <v>1992.8877415457944</v>
      </c>
      <c r="BB50" s="106">
        <v>4.176962128340115</v>
      </c>
      <c r="BC50" s="106">
        <v>1613.9781663906203</v>
      </c>
      <c r="BD50" s="106">
        <v>4</v>
      </c>
      <c r="BE50" s="106">
        <v>1545.6</v>
      </c>
      <c r="BF50" s="106">
        <v>4.2820403581840916</v>
      </c>
      <c r="BG50" s="106">
        <v>1654.5803944023328</v>
      </c>
      <c r="BH50" s="106">
        <v>5</v>
      </c>
      <c r="BI50" s="106">
        <v>1932</v>
      </c>
      <c r="BJ50" s="106">
        <v>4.1592453603506012</v>
      </c>
      <c r="BK50" s="106">
        <v>1607.1324072394723</v>
      </c>
      <c r="BL50" s="106">
        <v>8</v>
      </c>
      <c r="BM50" s="106">
        <v>3091.2</v>
      </c>
      <c r="BN50" s="106">
        <v>5.202119518522113</v>
      </c>
      <c r="BO50" s="106">
        <v>2010.0989819569443</v>
      </c>
      <c r="BP50" s="106">
        <v>4.1338445741913734</v>
      </c>
      <c r="BQ50" s="106">
        <v>1597.3175434675466</v>
      </c>
      <c r="BR50" s="106">
        <v>5.2584579567508776</v>
      </c>
      <c r="BS50" s="106">
        <v>2031.8681544885389</v>
      </c>
      <c r="BT50" s="106">
        <v>4</v>
      </c>
      <c r="BU50" s="106">
        <v>1545.6</v>
      </c>
      <c r="BV50" s="106">
        <v>4.2385582409231368</v>
      </c>
      <c r="BW50" s="106">
        <v>1637.7789042927</v>
      </c>
      <c r="BX50" s="106">
        <v>5.1801084155768784</v>
      </c>
      <c r="BY50" s="106">
        <v>2001.5938917789058</v>
      </c>
      <c r="BZ50" s="106">
        <v>8.2342121061583491</v>
      </c>
      <c r="CA50" s="106">
        <v>3181.6995578195861</v>
      </c>
      <c r="CB50" s="106">
        <v>7.1303730693279617</v>
      </c>
      <c r="CC50" s="106">
        <v>2755.1761539883241</v>
      </c>
      <c r="CD50" s="106">
        <v>10.177839341022887</v>
      </c>
      <c r="CE50" s="106">
        <v>3932.7171213712431</v>
      </c>
      <c r="CF50" s="106">
        <v>11</v>
      </c>
      <c r="CG50" s="106">
        <v>4250.3999999999996</v>
      </c>
      <c r="CH50" s="106">
        <v>12.399068228374444</v>
      </c>
      <c r="CI50" s="106">
        <v>4790.9999634438855</v>
      </c>
      <c r="CJ50" s="106">
        <v>7</v>
      </c>
      <c r="CK50" s="106">
        <v>2704.7999999999997</v>
      </c>
      <c r="CL50" s="106">
        <v>7.3096408616247315</v>
      </c>
      <c r="CM50" s="106">
        <v>2824.445228931796</v>
      </c>
      <c r="CN50" s="106">
        <v>3.3619902581339214</v>
      </c>
      <c r="CO50" s="106">
        <v>1299.0730357429472</v>
      </c>
      <c r="CP50" s="106">
        <v>4.4518216779533226</v>
      </c>
      <c r="CQ50" s="106">
        <v>1720.1838963611638</v>
      </c>
      <c r="CR50" s="106">
        <v>3.6017920363433</v>
      </c>
      <c r="CS50" s="106">
        <v>1391.7324428430511</v>
      </c>
      <c r="CT50" s="106">
        <v>4.1949127171453187</v>
      </c>
      <c r="CU50" s="106">
        <v>1620.914273904951</v>
      </c>
    </row>
    <row r="51" spans="2:99" x14ac:dyDescent="0.2">
      <c r="C51" s="105" t="s">
        <v>217</v>
      </c>
      <c r="D51" s="106">
        <v>5.465738228365038</v>
      </c>
      <c r="E51" s="106">
        <v>3843.5071221862945</v>
      </c>
      <c r="F51" s="106">
        <v>5</v>
      </c>
      <c r="G51" s="106">
        <v>3515.9999999999995</v>
      </c>
      <c r="H51" s="106">
        <v>8</v>
      </c>
      <c r="I51" s="106">
        <v>5625.5999999999995</v>
      </c>
      <c r="J51" s="106">
        <v>9.0969988591010402</v>
      </c>
      <c r="K51" s="106">
        <v>6397.0095977198507</v>
      </c>
      <c r="L51" s="106">
        <v>3.0000000000000004</v>
      </c>
      <c r="M51" s="106">
        <v>2109.6</v>
      </c>
      <c r="N51" s="106">
        <v>3</v>
      </c>
      <c r="O51" s="106">
        <v>2109.6</v>
      </c>
      <c r="P51" s="106">
        <v>3</v>
      </c>
      <c r="Q51" s="106">
        <v>2109.6</v>
      </c>
      <c r="R51" s="106">
        <v>3</v>
      </c>
      <c r="S51" s="106">
        <v>2109.6</v>
      </c>
      <c r="T51" s="106">
        <v>5</v>
      </c>
      <c r="U51" s="106">
        <v>3515.9999999999995</v>
      </c>
      <c r="V51" s="106">
        <v>3</v>
      </c>
      <c r="W51" s="106">
        <v>2109.6</v>
      </c>
      <c r="X51" s="106">
        <v>4.3990519466175586</v>
      </c>
      <c r="Y51" s="106">
        <v>3093.4133288614671</v>
      </c>
      <c r="Z51" s="106">
        <v>3.4096261331567463</v>
      </c>
      <c r="AA51" s="106">
        <v>2397.6490968358239</v>
      </c>
      <c r="AB51" s="106">
        <v>7.253061333761873</v>
      </c>
      <c r="AC51" s="106">
        <v>5100.3527299013485</v>
      </c>
      <c r="AD51" s="106">
        <v>5.0672746876878954</v>
      </c>
      <c r="AE51" s="106">
        <v>3563.3075603821276</v>
      </c>
      <c r="AF51" s="106">
        <v>5</v>
      </c>
      <c r="AG51" s="106">
        <v>3515.9999999999995</v>
      </c>
      <c r="AH51" s="106">
        <v>4</v>
      </c>
      <c r="AI51" s="106">
        <v>2812.7999999999997</v>
      </c>
      <c r="AJ51" s="106">
        <v>6</v>
      </c>
      <c r="AK51" s="106">
        <v>4219.2</v>
      </c>
      <c r="AL51" s="106">
        <v>7</v>
      </c>
      <c r="AM51" s="106">
        <v>4922.3999999999996</v>
      </c>
      <c r="AN51" s="106">
        <v>7.2469394116577384</v>
      </c>
      <c r="AO51" s="106">
        <v>5096.0477942777216</v>
      </c>
      <c r="AP51" s="106">
        <v>7.2186445925713585</v>
      </c>
      <c r="AQ51" s="106">
        <v>5076.1508774961785</v>
      </c>
      <c r="AR51" s="106">
        <v>9.2374896925752807</v>
      </c>
      <c r="AS51" s="106">
        <v>6495.8027518189365</v>
      </c>
      <c r="AT51" s="106">
        <v>6.1966229733163685</v>
      </c>
      <c r="AU51" s="106">
        <v>4357.4652748360695</v>
      </c>
      <c r="AV51" s="106">
        <v>7</v>
      </c>
      <c r="AW51" s="106">
        <v>4922.3999999999996</v>
      </c>
      <c r="AX51" s="106">
        <v>6</v>
      </c>
      <c r="AY51" s="106">
        <v>4219.2</v>
      </c>
      <c r="AZ51" s="106">
        <v>5.194652764394152</v>
      </c>
      <c r="BA51" s="106">
        <v>3652.8798239219673</v>
      </c>
      <c r="BB51" s="106">
        <v>4</v>
      </c>
      <c r="BC51" s="106">
        <v>2812.7999999999997</v>
      </c>
      <c r="BD51" s="106">
        <v>4</v>
      </c>
      <c r="BE51" s="106">
        <v>2812.7999999999997</v>
      </c>
      <c r="BF51" s="106">
        <v>4</v>
      </c>
      <c r="BG51" s="106">
        <v>2812.7999999999997</v>
      </c>
      <c r="BH51" s="106">
        <v>4</v>
      </c>
      <c r="BI51" s="106">
        <v>2812.7999999999997</v>
      </c>
      <c r="BJ51" s="106">
        <v>4.1039439514309679</v>
      </c>
      <c r="BK51" s="106">
        <v>2885.8933866462562</v>
      </c>
      <c r="BL51" s="106">
        <v>8.0816820239732525</v>
      </c>
      <c r="BM51" s="106">
        <v>5683.0387992579908</v>
      </c>
      <c r="BN51" s="106">
        <v>5.2765504048439285</v>
      </c>
      <c r="BO51" s="106">
        <v>3710.4702446862502</v>
      </c>
      <c r="BP51" s="106">
        <v>4</v>
      </c>
      <c r="BQ51" s="106">
        <v>2812.7999999999997</v>
      </c>
      <c r="BR51" s="106">
        <v>4</v>
      </c>
      <c r="BS51" s="106">
        <v>2812.7999999999997</v>
      </c>
      <c r="BT51" s="106">
        <v>4</v>
      </c>
      <c r="BU51" s="106">
        <v>2812.7999999999997</v>
      </c>
      <c r="BV51" s="106">
        <v>4</v>
      </c>
      <c r="BW51" s="106">
        <v>2812.7999999999997</v>
      </c>
      <c r="BX51" s="106">
        <v>6</v>
      </c>
      <c r="BY51" s="106">
        <v>4219.2</v>
      </c>
      <c r="BZ51" s="106">
        <v>8.3967700981750344</v>
      </c>
      <c r="CA51" s="106">
        <v>5904.6087330366836</v>
      </c>
      <c r="CB51" s="106">
        <v>7.107706445161373</v>
      </c>
      <c r="CC51" s="106">
        <v>4998.1391722374774</v>
      </c>
      <c r="CD51" s="106">
        <v>10.301072713085833</v>
      </c>
      <c r="CE51" s="106">
        <v>7243.7143318419576</v>
      </c>
      <c r="CF51" s="106">
        <v>11.132304590245869</v>
      </c>
      <c r="CG51" s="106">
        <v>7828.2365878608944</v>
      </c>
      <c r="CH51" s="106">
        <v>12.106793537616724</v>
      </c>
      <c r="CI51" s="106">
        <v>8513.4972156520798</v>
      </c>
      <c r="CJ51" s="106">
        <v>7.1451507446863989</v>
      </c>
      <c r="CK51" s="106">
        <v>5024.4700036634749</v>
      </c>
      <c r="CL51" s="106">
        <v>7.3175491384574238</v>
      </c>
      <c r="CM51" s="106">
        <v>5145.7005541632598</v>
      </c>
      <c r="CN51" s="106">
        <v>4</v>
      </c>
      <c r="CO51" s="106">
        <v>2812.7999999999997</v>
      </c>
      <c r="CP51" s="106">
        <v>4.5713994429145037</v>
      </c>
      <c r="CQ51" s="106">
        <v>3214.6080882574788</v>
      </c>
      <c r="CR51" s="106">
        <v>2.8657807712932897</v>
      </c>
      <c r="CS51" s="106">
        <v>2015.217038373441</v>
      </c>
      <c r="CT51" s="106">
        <v>4.4153895647033172</v>
      </c>
      <c r="CU51" s="106">
        <v>3104.9019418993726</v>
      </c>
    </row>
    <row r="52" spans="2:99" x14ac:dyDescent="0.2">
      <c r="C52" s="105" t="s">
        <v>218</v>
      </c>
      <c r="D52" s="106">
        <v>4.1651165281732903</v>
      </c>
      <c r="E52" s="106">
        <v>2574.0420144110935</v>
      </c>
      <c r="F52" s="106">
        <v>5.2987765800259554</v>
      </c>
      <c r="G52" s="106">
        <v>3274.6439264560404</v>
      </c>
      <c r="H52" s="106">
        <v>8</v>
      </c>
      <c r="I52" s="106">
        <v>4944</v>
      </c>
      <c r="J52" s="106">
        <v>9.3247934343850716</v>
      </c>
      <c r="K52" s="106">
        <v>5762.7223424499743</v>
      </c>
      <c r="L52" s="106">
        <v>4.6520026365429121</v>
      </c>
      <c r="M52" s="106">
        <v>2874.9376293835198</v>
      </c>
      <c r="N52" s="106">
        <v>3.4215129662094506</v>
      </c>
      <c r="O52" s="106">
        <v>2114.4950131174405</v>
      </c>
      <c r="P52" s="106">
        <v>3.6010808692444902</v>
      </c>
      <c r="Q52" s="106">
        <v>2225.4679771930951</v>
      </c>
      <c r="R52" s="106">
        <v>3.2528175533439279</v>
      </c>
      <c r="S52" s="106">
        <v>2010.2412479665475</v>
      </c>
      <c r="T52" s="106">
        <v>5.277893013941072</v>
      </c>
      <c r="U52" s="106">
        <v>3261.7378826155823</v>
      </c>
      <c r="V52" s="106">
        <v>3.6480872089003338</v>
      </c>
      <c r="W52" s="106">
        <v>2254.5178951004063</v>
      </c>
      <c r="X52" s="106">
        <v>4</v>
      </c>
      <c r="Y52" s="106">
        <v>2472</v>
      </c>
      <c r="Z52" s="106">
        <v>3.3009917763614691</v>
      </c>
      <c r="AA52" s="106">
        <v>2040.012917791388</v>
      </c>
      <c r="AB52" s="106">
        <v>6</v>
      </c>
      <c r="AC52" s="106">
        <v>3708</v>
      </c>
      <c r="AD52" s="106">
        <v>6.2437221758811683</v>
      </c>
      <c r="AE52" s="106">
        <v>3858.620304694562</v>
      </c>
      <c r="AF52" s="106">
        <v>4.2575296937908806</v>
      </c>
      <c r="AG52" s="106">
        <v>2631.1533507627641</v>
      </c>
      <c r="AH52" s="106">
        <v>5.1095047733165035</v>
      </c>
      <c r="AI52" s="106">
        <v>3157.6739499095993</v>
      </c>
      <c r="AJ52" s="106">
        <v>6.1147425619971338</v>
      </c>
      <c r="AK52" s="106">
        <v>3778.9109033142286</v>
      </c>
      <c r="AL52" s="106">
        <v>8.1676602509458966</v>
      </c>
      <c r="AM52" s="106">
        <v>5047.6140350845644</v>
      </c>
      <c r="AN52" s="106">
        <v>6.1759916136947606</v>
      </c>
      <c r="AO52" s="106">
        <v>3816.7628172633622</v>
      </c>
      <c r="AP52" s="106">
        <v>7.0522942093445957</v>
      </c>
      <c r="AQ52" s="106">
        <v>4358.3178213749597</v>
      </c>
      <c r="AR52" s="106">
        <v>8.0806215229901817</v>
      </c>
      <c r="AS52" s="106">
        <v>4993.8241012079325</v>
      </c>
      <c r="AT52" s="106">
        <v>7.0595578892464772</v>
      </c>
      <c r="AU52" s="106">
        <v>4362.8067755543225</v>
      </c>
      <c r="AV52" s="106">
        <v>8</v>
      </c>
      <c r="AW52" s="106">
        <v>4944</v>
      </c>
      <c r="AX52" s="106">
        <v>6.2190414266607297</v>
      </c>
      <c r="AY52" s="106">
        <v>3843.3676016763311</v>
      </c>
      <c r="AZ52" s="106">
        <v>5.1575769708742092</v>
      </c>
      <c r="BA52" s="106">
        <v>3187.3825680002615</v>
      </c>
      <c r="BB52" s="106">
        <v>4.1415697026720917</v>
      </c>
      <c r="BC52" s="106">
        <v>2559.4900762513525</v>
      </c>
      <c r="BD52" s="106">
        <v>4</v>
      </c>
      <c r="BE52" s="106">
        <v>2472</v>
      </c>
      <c r="BF52" s="106">
        <v>4.3290470845481064</v>
      </c>
      <c r="BG52" s="106">
        <v>2675.3510982507296</v>
      </c>
      <c r="BH52" s="106">
        <v>5</v>
      </c>
      <c r="BI52" s="106">
        <v>3090</v>
      </c>
      <c r="BJ52" s="106">
        <v>4.1273962882804804</v>
      </c>
      <c r="BK52" s="106">
        <v>2550.7309061573369</v>
      </c>
      <c r="BL52" s="106">
        <v>7</v>
      </c>
      <c r="BM52" s="106">
        <v>4326</v>
      </c>
      <c r="BN52" s="106">
        <v>5.2425434222265359</v>
      </c>
      <c r="BO52" s="106">
        <v>3239.8918349359992</v>
      </c>
      <c r="BP52" s="106">
        <v>3.1338445741913734</v>
      </c>
      <c r="BQ52" s="106">
        <v>1936.7159468502687</v>
      </c>
      <c r="BR52" s="106">
        <v>4.2584579567508776</v>
      </c>
      <c r="BS52" s="106">
        <v>2631.7270172720423</v>
      </c>
      <c r="BT52" s="106">
        <v>4</v>
      </c>
      <c r="BU52" s="106">
        <v>2472</v>
      </c>
      <c r="BV52" s="106">
        <v>4.2385582409231368</v>
      </c>
      <c r="BW52" s="106">
        <v>2619.4289928904986</v>
      </c>
      <c r="BX52" s="106">
        <v>6.1801084155768784</v>
      </c>
      <c r="BY52" s="106">
        <v>3819.3070008265108</v>
      </c>
      <c r="BZ52" s="106">
        <v>8.204935592888555</v>
      </c>
      <c r="CA52" s="106">
        <v>5070.6501964051267</v>
      </c>
      <c r="CB52" s="106">
        <v>7.1042984554623692</v>
      </c>
      <c r="CC52" s="106">
        <v>4390.4564454757437</v>
      </c>
      <c r="CD52" s="106">
        <v>10.152433720876761</v>
      </c>
      <c r="CE52" s="106">
        <v>6274.2040395018385</v>
      </c>
      <c r="CF52" s="106">
        <v>11</v>
      </c>
      <c r="CG52" s="106">
        <v>6798</v>
      </c>
      <c r="CH52" s="106">
        <v>10.299301171280833</v>
      </c>
      <c r="CI52" s="106">
        <v>6364.968123851555</v>
      </c>
      <c r="CJ52" s="106">
        <v>7</v>
      </c>
      <c r="CK52" s="106">
        <v>4326</v>
      </c>
      <c r="CL52" s="106">
        <v>7.3538752704282642</v>
      </c>
      <c r="CM52" s="106">
        <v>4544.694917124667</v>
      </c>
      <c r="CN52" s="106">
        <v>4.3619902581339218</v>
      </c>
      <c r="CO52" s="106">
        <v>2695.7099795267636</v>
      </c>
      <c r="CP52" s="106">
        <v>3.4518216779533231</v>
      </c>
      <c r="CQ52" s="106">
        <v>2133.2257969751536</v>
      </c>
      <c r="CR52" s="106">
        <v>2.5701187712726004</v>
      </c>
      <c r="CS52" s="106">
        <v>1588.333400646467</v>
      </c>
      <c r="CT52" s="106">
        <v>4.1949127171453187</v>
      </c>
      <c r="CU52" s="106">
        <v>2592.456059195807</v>
      </c>
    </row>
    <row r="53" spans="2:99" x14ac:dyDescent="0.2">
      <c r="C53" s="105" t="s">
        <v>219</v>
      </c>
      <c r="D53" s="106">
        <v>3.7486048753559613</v>
      </c>
      <c r="E53" s="106">
        <v>1857.8085762264143</v>
      </c>
      <c r="F53" s="106">
        <v>5.2987765800259554</v>
      </c>
      <c r="G53" s="106">
        <v>2626.0736730608633</v>
      </c>
      <c r="H53" s="106">
        <v>9</v>
      </c>
      <c r="I53" s="106">
        <v>4460.3999999999996</v>
      </c>
      <c r="J53" s="106">
        <v>10.324793434385072</v>
      </c>
      <c r="K53" s="106">
        <v>5116.9676260812412</v>
      </c>
      <c r="L53" s="106">
        <v>4.6954694789791063</v>
      </c>
      <c r="M53" s="106">
        <v>2327.074673782045</v>
      </c>
      <c r="N53" s="106">
        <v>3.383193605644955</v>
      </c>
      <c r="O53" s="106">
        <v>1676.7107509576397</v>
      </c>
      <c r="P53" s="106">
        <v>2.6010808692444902</v>
      </c>
      <c r="Q53" s="106">
        <v>1289.0956787975692</v>
      </c>
      <c r="R53" s="106">
        <v>3.2317494238986004</v>
      </c>
      <c r="S53" s="106">
        <v>1601.6550144841462</v>
      </c>
      <c r="T53" s="106">
        <v>5.3334716167292866</v>
      </c>
      <c r="U53" s="106">
        <v>2643.2685332510341</v>
      </c>
      <c r="V53" s="106">
        <v>4.6480872089003338</v>
      </c>
      <c r="W53" s="106">
        <v>2303.5920207310051</v>
      </c>
      <c r="X53" s="106">
        <v>4</v>
      </c>
      <c r="Y53" s="106">
        <v>1982.3999999999999</v>
      </c>
      <c r="Z53" s="106">
        <v>3.3386157484066525</v>
      </c>
      <c r="AA53" s="106">
        <v>1654.6179649103369</v>
      </c>
      <c r="AB53" s="106">
        <v>7</v>
      </c>
      <c r="AC53" s="106">
        <v>3469.2</v>
      </c>
      <c r="AD53" s="106">
        <v>5.2437221758811683</v>
      </c>
      <c r="AE53" s="106">
        <v>2598.7887103667067</v>
      </c>
      <c r="AF53" s="106">
        <v>5.2575296937908806</v>
      </c>
      <c r="AG53" s="106">
        <v>2605.6317162427604</v>
      </c>
      <c r="AH53" s="106">
        <v>4.1204552506481535</v>
      </c>
      <c r="AI53" s="106">
        <v>2042.0976222212248</v>
      </c>
      <c r="AJ53" s="106">
        <v>6.1147425619971338</v>
      </c>
      <c r="AK53" s="106">
        <v>3030.4664137257791</v>
      </c>
      <c r="AL53" s="106">
        <v>7.1676602509458966</v>
      </c>
      <c r="AM53" s="106">
        <v>3552.2924203687862</v>
      </c>
      <c r="AN53" s="106">
        <v>7.2111899364337129</v>
      </c>
      <c r="AO53" s="106">
        <v>3573.8657324965479</v>
      </c>
      <c r="AP53" s="106">
        <v>6.0522942093445957</v>
      </c>
      <c r="AQ53" s="106">
        <v>2999.5170101511812</v>
      </c>
      <c r="AR53" s="106">
        <v>10.080621522990182</v>
      </c>
      <c r="AS53" s="106">
        <v>4995.9560267939332</v>
      </c>
      <c r="AT53" s="106">
        <v>7.0744473615580965</v>
      </c>
      <c r="AU53" s="106">
        <v>3506.0961123881925</v>
      </c>
      <c r="AV53" s="106">
        <v>8</v>
      </c>
      <c r="AW53" s="106">
        <v>3964.7999999999997</v>
      </c>
      <c r="AX53" s="106">
        <v>6.2628497119928754</v>
      </c>
      <c r="AY53" s="106">
        <v>3103.8683172636688</v>
      </c>
      <c r="AZ53" s="106">
        <v>4.1575769708742092</v>
      </c>
      <c r="BA53" s="106">
        <v>2060.4951467652581</v>
      </c>
      <c r="BB53" s="106">
        <v>4.1415697026720917</v>
      </c>
      <c r="BC53" s="106">
        <v>2052.5619446442884</v>
      </c>
      <c r="BD53" s="106">
        <v>4</v>
      </c>
      <c r="BE53" s="106">
        <v>1982.3999999999999</v>
      </c>
      <c r="BF53" s="106">
        <v>3.3290470845481064</v>
      </c>
      <c r="BG53" s="106">
        <v>1649.8757351020415</v>
      </c>
      <c r="BH53" s="106">
        <v>5</v>
      </c>
      <c r="BI53" s="106">
        <v>2478</v>
      </c>
      <c r="BJ53" s="106">
        <v>4.1273962882804804</v>
      </c>
      <c r="BK53" s="106">
        <v>2045.5376004718059</v>
      </c>
      <c r="BL53" s="106">
        <v>8</v>
      </c>
      <c r="BM53" s="106">
        <v>3964.7999999999997</v>
      </c>
      <c r="BN53" s="106">
        <v>5.202119518522113</v>
      </c>
      <c r="BO53" s="106">
        <v>2578.1704333795592</v>
      </c>
      <c r="BP53" s="106">
        <v>4.1338445741913734</v>
      </c>
      <c r="BQ53" s="106">
        <v>2048.7333709692443</v>
      </c>
      <c r="BR53" s="106">
        <v>5.2261507121570174</v>
      </c>
      <c r="BS53" s="106">
        <v>2590.0802929450178</v>
      </c>
      <c r="BT53" s="106">
        <v>5</v>
      </c>
      <c r="BU53" s="106">
        <v>2478</v>
      </c>
      <c r="BV53" s="106">
        <v>4.2385582409231368</v>
      </c>
      <c r="BW53" s="106">
        <v>2100.6294642015064</v>
      </c>
      <c r="BX53" s="106">
        <v>6.1543786419230386</v>
      </c>
      <c r="BY53" s="106">
        <v>3050.1100549370576</v>
      </c>
      <c r="BZ53" s="106">
        <v>9.2342121061583491</v>
      </c>
      <c r="CA53" s="106">
        <v>4576.4755198120774</v>
      </c>
      <c r="CB53" s="106">
        <v>8.1303730693279626</v>
      </c>
      <c r="CC53" s="106">
        <v>4029.412893158938</v>
      </c>
      <c r="CD53" s="106">
        <v>10.177839341022887</v>
      </c>
      <c r="CE53" s="106">
        <v>5044.1371774109421</v>
      </c>
      <c r="CF53" s="106">
        <v>11</v>
      </c>
      <c r="CG53" s="106">
        <v>5451.5999999999995</v>
      </c>
      <c r="CH53" s="106">
        <v>12.349184699827639</v>
      </c>
      <c r="CI53" s="106">
        <v>6120.2559372345777</v>
      </c>
      <c r="CJ53" s="106">
        <v>6</v>
      </c>
      <c r="CK53" s="106">
        <v>2973.6</v>
      </c>
      <c r="CL53" s="106">
        <v>8.3096408616247306</v>
      </c>
      <c r="CM53" s="106">
        <v>4118.2580110212166</v>
      </c>
      <c r="CN53" s="106">
        <v>3.4102556258851111</v>
      </c>
      <c r="CO53" s="106">
        <v>1690.122688188661</v>
      </c>
      <c r="CP53" s="106">
        <v>4.4141698714572124</v>
      </c>
      <c r="CQ53" s="106">
        <v>2187.6625882941944</v>
      </c>
      <c r="CR53" s="106">
        <v>3.5701187712726004</v>
      </c>
      <c r="CS53" s="106">
        <v>1769.3508630427007</v>
      </c>
      <c r="CT53" s="106">
        <v>4.1949127171453187</v>
      </c>
      <c r="CU53" s="106">
        <v>2078.9987426172197</v>
      </c>
    </row>
    <row r="54" spans="2:99" x14ac:dyDescent="0.2">
      <c r="C54" s="105" t="s">
        <v>220</v>
      </c>
      <c r="D54" s="106">
        <v>4.1651165281732903</v>
      </c>
      <c r="E54" s="106">
        <v>1699.3675434947024</v>
      </c>
      <c r="F54" s="106">
        <v>5.3414589486010922</v>
      </c>
      <c r="G54" s="106">
        <v>2179.3152510292457</v>
      </c>
      <c r="H54" s="106">
        <v>9</v>
      </c>
      <c r="I54" s="106">
        <v>3672</v>
      </c>
      <c r="J54" s="106">
        <v>9.3247934343850716</v>
      </c>
      <c r="K54" s="106">
        <v>3804.5157212291092</v>
      </c>
      <c r="L54" s="106">
        <v>4.608535794106718</v>
      </c>
      <c r="M54" s="106">
        <v>1880.282603995541</v>
      </c>
      <c r="N54" s="106">
        <v>3.4215129662094506</v>
      </c>
      <c r="O54" s="106">
        <v>1395.9772902134557</v>
      </c>
      <c r="P54" s="106">
        <v>3.6473178591863737</v>
      </c>
      <c r="Q54" s="106">
        <v>1488.1056865480405</v>
      </c>
      <c r="R54" s="106">
        <v>3.2528175533439279</v>
      </c>
      <c r="S54" s="106">
        <v>1327.1495617643225</v>
      </c>
      <c r="T54" s="106">
        <v>5.3334716167292866</v>
      </c>
      <c r="U54" s="106">
        <v>2176.0564196255491</v>
      </c>
      <c r="V54" s="106">
        <v>4.5982343466772315</v>
      </c>
      <c r="W54" s="106">
        <v>1876.0796134443106</v>
      </c>
      <c r="X54" s="106">
        <v>4</v>
      </c>
      <c r="Y54" s="106">
        <v>1632</v>
      </c>
      <c r="Z54" s="106">
        <v>3.3386157484066525</v>
      </c>
      <c r="AA54" s="106">
        <v>1362.1552253499142</v>
      </c>
      <c r="AB54" s="106">
        <v>7</v>
      </c>
      <c r="AC54" s="106">
        <v>2856</v>
      </c>
      <c r="AD54" s="106">
        <v>6.2437221758811683</v>
      </c>
      <c r="AE54" s="106">
        <v>2547.4386477595167</v>
      </c>
      <c r="AF54" s="106">
        <v>4.2575296937908806</v>
      </c>
      <c r="AG54" s="106">
        <v>1737.0721150666793</v>
      </c>
      <c r="AH54" s="106">
        <v>5.1204552506481535</v>
      </c>
      <c r="AI54" s="106">
        <v>2089.1457422644467</v>
      </c>
      <c r="AJ54" s="106">
        <v>6.1338663223299896</v>
      </c>
      <c r="AK54" s="106">
        <v>2502.6174595106359</v>
      </c>
      <c r="AL54" s="106">
        <v>8.1676602509458966</v>
      </c>
      <c r="AM54" s="106">
        <v>3332.4053823859258</v>
      </c>
      <c r="AN54" s="106">
        <v>7.1759916136947606</v>
      </c>
      <c r="AO54" s="106">
        <v>2927.8045783874622</v>
      </c>
      <c r="AP54" s="106">
        <v>7.0522942093445957</v>
      </c>
      <c r="AQ54" s="106">
        <v>2877.336037412595</v>
      </c>
      <c r="AR54" s="106">
        <v>10.096745827588217</v>
      </c>
      <c r="AS54" s="106">
        <v>4119.4722976559924</v>
      </c>
      <c r="AT54" s="106">
        <v>7.0744473615580965</v>
      </c>
      <c r="AU54" s="106">
        <v>2886.3745235157035</v>
      </c>
      <c r="AV54" s="106">
        <v>8</v>
      </c>
      <c r="AW54" s="106">
        <v>3264</v>
      </c>
      <c r="AX54" s="106">
        <v>6.2190414266607297</v>
      </c>
      <c r="AY54" s="106">
        <v>2537.3689020775778</v>
      </c>
      <c r="AZ54" s="106">
        <v>4.1260615766993674</v>
      </c>
      <c r="BA54" s="106">
        <v>1683.4331232933419</v>
      </c>
      <c r="BB54" s="106">
        <v>4.1415697026720917</v>
      </c>
      <c r="BC54" s="106">
        <v>1689.7604386902135</v>
      </c>
      <c r="BD54" s="106">
        <v>4</v>
      </c>
      <c r="BE54" s="106">
        <v>1632</v>
      </c>
      <c r="BF54" s="106">
        <v>4.2820403581840916</v>
      </c>
      <c r="BG54" s="106">
        <v>1747.0724661391093</v>
      </c>
      <c r="BH54" s="106">
        <v>5</v>
      </c>
      <c r="BI54" s="106">
        <v>2040</v>
      </c>
      <c r="BJ54" s="106">
        <v>4.1592453603506012</v>
      </c>
      <c r="BK54" s="106">
        <v>1696.9721070230453</v>
      </c>
      <c r="BL54" s="106">
        <v>7</v>
      </c>
      <c r="BM54" s="106">
        <v>2856</v>
      </c>
      <c r="BN54" s="106">
        <v>5.2425434222265359</v>
      </c>
      <c r="BO54" s="106">
        <v>2138.9577162684268</v>
      </c>
      <c r="BP54" s="106">
        <v>3.1338445741913734</v>
      </c>
      <c r="BQ54" s="106">
        <v>1278.6085862700804</v>
      </c>
      <c r="BR54" s="106">
        <v>5.2261507121570174</v>
      </c>
      <c r="BS54" s="106">
        <v>2132.2694905600633</v>
      </c>
      <c r="BT54" s="106">
        <v>5</v>
      </c>
      <c r="BU54" s="106">
        <v>2040</v>
      </c>
      <c r="BV54" s="106">
        <v>4.2385582409231368</v>
      </c>
      <c r="BW54" s="106">
        <v>1729.3317622966399</v>
      </c>
      <c r="BX54" s="106">
        <v>6.1543786419230386</v>
      </c>
      <c r="BY54" s="106">
        <v>2510.9864859045997</v>
      </c>
      <c r="BZ54" s="106">
        <v>9.2342121061583491</v>
      </c>
      <c r="CA54" s="106">
        <v>3767.5585393126066</v>
      </c>
      <c r="CB54" s="106">
        <v>8.10429845546237</v>
      </c>
      <c r="CC54" s="106">
        <v>3306.5537698286471</v>
      </c>
      <c r="CD54" s="106">
        <v>10.177839341022887</v>
      </c>
      <c r="CE54" s="106">
        <v>4152.5584511373381</v>
      </c>
      <c r="CF54" s="106">
        <v>10</v>
      </c>
      <c r="CG54" s="106">
        <v>4080</v>
      </c>
      <c r="CH54" s="106">
        <v>12.349184699827639</v>
      </c>
      <c r="CI54" s="106">
        <v>5038.4673575296765</v>
      </c>
      <c r="CJ54" s="106">
        <v>7</v>
      </c>
      <c r="CK54" s="106">
        <v>2856</v>
      </c>
      <c r="CL54" s="106">
        <v>7.3538752704282642</v>
      </c>
      <c r="CM54" s="106">
        <v>3000.3811103347316</v>
      </c>
      <c r="CN54" s="106">
        <v>3.4102556258851111</v>
      </c>
      <c r="CO54" s="106">
        <v>1391.3842953611254</v>
      </c>
      <c r="CP54" s="106">
        <v>3.4894734844494333</v>
      </c>
      <c r="CQ54" s="106">
        <v>1423.7051816553687</v>
      </c>
      <c r="CR54" s="106">
        <v>3.5384455062019002</v>
      </c>
      <c r="CS54" s="106">
        <v>1443.6857665303753</v>
      </c>
      <c r="CT54" s="106">
        <v>4.2144039888598508</v>
      </c>
      <c r="CU54" s="106">
        <v>1719.4768274548192</v>
      </c>
    </row>
    <row r="55" spans="2:99" x14ac:dyDescent="0.2">
      <c r="C55" s="105" t="s">
        <v>221</v>
      </c>
      <c r="D55" s="106">
        <v>3.7486048753559613</v>
      </c>
      <c r="E55" s="106">
        <v>3018.3766456366197</v>
      </c>
      <c r="F55" s="106">
        <v>6.2987765800259554</v>
      </c>
      <c r="G55" s="106">
        <v>5071.7749022368989</v>
      </c>
      <c r="H55" s="106">
        <v>9</v>
      </c>
      <c r="I55" s="106">
        <v>7246.7999999999993</v>
      </c>
      <c r="J55" s="106">
        <v>9.3247934343850716</v>
      </c>
      <c r="K55" s="106">
        <v>7508.3236733668591</v>
      </c>
      <c r="L55" s="106">
        <v>4.608535794106718</v>
      </c>
      <c r="M55" s="106">
        <v>3710.7930214147291</v>
      </c>
      <c r="N55" s="106">
        <v>3.4215129662094506</v>
      </c>
      <c r="O55" s="106">
        <v>2755.0022403918492</v>
      </c>
      <c r="P55" s="106">
        <v>3.6473178591863737</v>
      </c>
      <c r="Q55" s="106">
        <v>2936.8203402168679</v>
      </c>
      <c r="R55" s="106">
        <v>2.2317494238986004</v>
      </c>
      <c r="S55" s="106">
        <v>1797.004636123153</v>
      </c>
      <c r="T55" s="106">
        <v>4.2501037125469647</v>
      </c>
      <c r="U55" s="106">
        <v>3422.1835093428158</v>
      </c>
      <c r="V55" s="106">
        <v>4.697940071123436</v>
      </c>
      <c r="W55" s="106">
        <v>3782.7813452685905</v>
      </c>
      <c r="X55" s="106">
        <v>4</v>
      </c>
      <c r="Y55" s="106">
        <v>3220.7999999999997</v>
      </c>
      <c r="Z55" s="106">
        <v>3.3386157484066525</v>
      </c>
      <c r="AA55" s="106">
        <v>2688.2534006170363</v>
      </c>
      <c r="AB55" s="106">
        <v>7</v>
      </c>
      <c r="AC55" s="106">
        <v>5636.4</v>
      </c>
      <c r="AD55" s="106">
        <v>5.2437221758811683</v>
      </c>
      <c r="AE55" s="106">
        <v>4222.2450960195165</v>
      </c>
      <c r="AF55" s="106">
        <v>4.2575296937908806</v>
      </c>
      <c r="AG55" s="106">
        <v>3428.162909440417</v>
      </c>
      <c r="AH55" s="106">
        <v>4.1095047733165035</v>
      </c>
      <c r="AI55" s="106">
        <v>3308.9732434744483</v>
      </c>
      <c r="AJ55" s="106">
        <v>6.1147425619971338</v>
      </c>
      <c r="AK55" s="106">
        <v>4923.5907109200916</v>
      </c>
      <c r="AL55" s="106">
        <v>8.1676602509458966</v>
      </c>
      <c r="AM55" s="106">
        <v>6576.6000340616356</v>
      </c>
      <c r="AN55" s="106">
        <v>7.1759916136947606</v>
      </c>
      <c r="AO55" s="106">
        <v>5778.108447347021</v>
      </c>
      <c r="AP55" s="106">
        <v>7.0522942093445957</v>
      </c>
      <c r="AQ55" s="106">
        <v>5678.5072973642682</v>
      </c>
      <c r="AR55" s="106">
        <v>10.096745827588217</v>
      </c>
      <c r="AS55" s="106">
        <v>8129.8997403740314</v>
      </c>
      <c r="AT55" s="106">
        <v>6.0595578892464772</v>
      </c>
      <c r="AU55" s="106">
        <v>4879.1560124212629</v>
      </c>
      <c r="AV55" s="106">
        <v>6</v>
      </c>
      <c r="AW55" s="106">
        <v>4831.2</v>
      </c>
      <c r="AX55" s="106">
        <v>6.2190414266607297</v>
      </c>
      <c r="AY55" s="106">
        <v>5007.5721567472192</v>
      </c>
      <c r="AZ55" s="106">
        <v>5.1260615766993674</v>
      </c>
      <c r="BA55" s="106">
        <v>4127.5047815583303</v>
      </c>
      <c r="BB55" s="106">
        <v>4.1415697026720917</v>
      </c>
      <c r="BC55" s="106">
        <v>3334.7919245915677</v>
      </c>
      <c r="BD55" s="106">
        <v>4</v>
      </c>
      <c r="BE55" s="106">
        <v>3220.7999999999997</v>
      </c>
      <c r="BF55" s="106">
        <v>4.2820403581840916</v>
      </c>
      <c r="BG55" s="106">
        <v>3447.8988964098303</v>
      </c>
      <c r="BH55" s="106">
        <v>5</v>
      </c>
      <c r="BI55" s="106">
        <v>4025.9999999999995</v>
      </c>
      <c r="BJ55" s="106">
        <v>4.1592453603506012</v>
      </c>
      <c r="BK55" s="106">
        <v>3349.0243641543038</v>
      </c>
      <c r="BL55" s="106">
        <v>7</v>
      </c>
      <c r="BM55" s="106">
        <v>5636.4</v>
      </c>
      <c r="BN55" s="106">
        <v>5.2425434222265359</v>
      </c>
      <c r="BO55" s="106">
        <v>4221.2959635768066</v>
      </c>
      <c r="BP55" s="106">
        <v>4.1338445741913734</v>
      </c>
      <c r="BQ55" s="106">
        <v>3328.5716511388937</v>
      </c>
      <c r="BR55" s="106">
        <v>4.2261507121570174</v>
      </c>
      <c r="BS55" s="106">
        <v>3402.89655342883</v>
      </c>
      <c r="BT55" s="106">
        <v>5</v>
      </c>
      <c r="BU55" s="106">
        <v>4025.9999999999995</v>
      </c>
      <c r="BV55" s="106">
        <v>5.2385582409231368</v>
      </c>
      <c r="BW55" s="106">
        <v>4218.0870955913097</v>
      </c>
      <c r="BX55" s="106">
        <v>6.1543786419230386</v>
      </c>
      <c r="BY55" s="106">
        <v>4955.5056824764306</v>
      </c>
      <c r="BZ55" s="106">
        <v>8.204935592888555</v>
      </c>
      <c r="CA55" s="106">
        <v>6606.6141393938642</v>
      </c>
      <c r="CB55" s="106">
        <v>7.1042984554623692</v>
      </c>
      <c r="CC55" s="106">
        <v>5720.3811163382989</v>
      </c>
      <c r="CD55" s="106">
        <v>11.177839341022887</v>
      </c>
      <c r="CE55" s="106">
        <v>9000.3962373916274</v>
      </c>
      <c r="CF55" s="106">
        <v>11</v>
      </c>
      <c r="CG55" s="106">
        <v>8857.1999999999989</v>
      </c>
      <c r="CH55" s="106">
        <v>10.349184699827639</v>
      </c>
      <c r="CI55" s="106">
        <v>8333.1635203012138</v>
      </c>
      <c r="CJ55" s="106">
        <v>6</v>
      </c>
      <c r="CK55" s="106">
        <v>4831.2</v>
      </c>
      <c r="CL55" s="106">
        <v>6.3096408616247315</v>
      </c>
      <c r="CM55" s="106">
        <v>5080.5228217802332</v>
      </c>
      <c r="CN55" s="106">
        <v>3.4102556258851111</v>
      </c>
      <c r="CO55" s="106">
        <v>2745.937829962691</v>
      </c>
      <c r="CP55" s="106">
        <v>3.4518216779533231</v>
      </c>
      <c r="CQ55" s="106">
        <v>2779.4068150880157</v>
      </c>
      <c r="CR55" s="106">
        <v>2.4750989760605</v>
      </c>
      <c r="CS55" s="106">
        <v>1992.9496955239144</v>
      </c>
      <c r="CT55" s="106">
        <v>4.2144039888598508</v>
      </c>
      <c r="CU55" s="106">
        <v>3393.4380918299516</v>
      </c>
    </row>
    <row r="56" spans="2:99" x14ac:dyDescent="0.2">
      <c r="C56" s="105" t="s">
        <v>222</v>
      </c>
      <c r="D56" s="106">
        <v>9</v>
      </c>
      <c r="E56" s="106">
        <v>7560</v>
      </c>
      <c r="F56" s="106">
        <v>5.3393088107857887</v>
      </c>
      <c r="G56" s="106">
        <v>4485.0194010600626</v>
      </c>
      <c r="H56" s="106">
        <v>8.1598897496559868</v>
      </c>
      <c r="I56" s="106">
        <v>6854.3073897110289</v>
      </c>
      <c r="J56" s="106">
        <v>10</v>
      </c>
      <c r="K56" s="106">
        <v>8400</v>
      </c>
      <c r="L56" s="106">
        <v>4.6116808722024558</v>
      </c>
      <c r="M56" s="106">
        <v>3873.8119326500628</v>
      </c>
      <c r="N56" s="106">
        <v>3</v>
      </c>
      <c r="O56" s="106">
        <v>2520</v>
      </c>
      <c r="P56" s="106">
        <v>3.5468559784343476</v>
      </c>
      <c r="Q56" s="106">
        <v>2979.3590218848522</v>
      </c>
      <c r="R56" s="106">
        <v>3.4355126028906278</v>
      </c>
      <c r="S56" s="106">
        <v>2885.8305864281274</v>
      </c>
      <c r="T56" s="106">
        <v>5.5477208806863718</v>
      </c>
      <c r="U56" s="106">
        <v>4660.0855397765527</v>
      </c>
      <c r="V56" s="106">
        <v>3.4667179299098194</v>
      </c>
      <c r="W56" s="106">
        <v>2912.0430611242482</v>
      </c>
      <c r="X56" s="106">
        <v>4</v>
      </c>
      <c r="Y56" s="106">
        <v>3360</v>
      </c>
      <c r="Z56" s="106">
        <v>3.3175868375135087</v>
      </c>
      <c r="AA56" s="106">
        <v>2786.7729435113474</v>
      </c>
      <c r="AB56" s="106">
        <v>7.3458189719747224</v>
      </c>
      <c r="AC56" s="106">
        <v>6170.4879364587669</v>
      </c>
      <c r="AD56" s="106">
        <v>5</v>
      </c>
      <c r="AE56" s="106">
        <v>4200</v>
      </c>
      <c r="AF56" s="106">
        <v>4.2961643798248259</v>
      </c>
      <c r="AG56" s="106">
        <v>3608.7780790528536</v>
      </c>
      <c r="AH56" s="106">
        <v>4</v>
      </c>
      <c r="AI56" s="106">
        <v>3360</v>
      </c>
      <c r="AJ56" s="106">
        <v>6.2934390232674229</v>
      </c>
      <c r="AK56" s="106">
        <v>5286.4887795446348</v>
      </c>
      <c r="AL56" s="106">
        <v>7</v>
      </c>
      <c r="AM56" s="106">
        <v>5880</v>
      </c>
      <c r="AN56" s="106">
        <v>3.0816300585965761</v>
      </c>
      <c r="AO56" s="106">
        <v>2588.5692492211238</v>
      </c>
      <c r="AP56" s="106">
        <v>2.4228113404199645</v>
      </c>
      <c r="AQ56" s="106">
        <v>2035.1615259527703</v>
      </c>
      <c r="AR56" s="106">
        <v>2.1499788186422095</v>
      </c>
      <c r="AS56" s="106">
        <v>1805.982207659456</v>
      </c>
      <c r="AT56" s="106">
        <v>0</v>
      </c>
      <c r="AU56" s="106">
        <v>0</v>
      </c>
      <c r="AV56" s="106">
        <v>1.6523469807343862</v>
      </c>
      <c r="AW56" s="106">
        <v>1387.9714638168844</v>
      </c>
      <c r="AX56" s="106">
        <v>0</v>
      </c>
      <c r="AY56" s="106">
        <v>0</v>
      </c>
      <c r="AZ56" s="106">
        <v>0</v>
      </c>
      <c r="BA56" s="106">
        <v>0</v>
      </c>
      <c r="BB56" s="106">
        <v>2.8743909352771442</v>
      </c>
      <c r="BC56" s="106">
        <v>2414.4883856328011</v>
      </c>
      <c r="BD56" s="106">
        <v>1.4591155888369765</v>
      </c>
      <c r="BE56" s="106">
        <v>1225.6570946230602</v>
      </c>
      <c r="BF56" s="106">
        <v>1.3603533739812783</v>
      </c>
      <c r="BG56" s="106">
        <v>1142.6968341442737</v>
      </c>
      <c r="BH56" s="106">
        <v>2.140260845224875</v>
      </c>
      <c r="BI56" s="106">
        <v>1797.819109988895</v>
      </c>
      <c r="BJ56" s="106">
        <v>0</v>
      </c>
      <c r="BK56" s="106">
        <v>0</v>
      </c>
      <c r="BL56" s="106">
        <v>1.0540530731324771</v>
      </c>
      <c r="BM56" s="106">
        <v>885.4045814312808</v>
      </c>
      <c r="BN56" s="106">
        <v>0.55277330831043259</v>
      </c>
      <c r="BO56" s="106">
        <v>464.32957898076336</v>
      </c>
      <c r="BP56" s="106">
        <v>0.58263444980037915</v>
      </c>
      <c r="BQ56" s="106">
        <v>489.41293783231851</v>
      </c>
      <c r="BR56" s="106">
        <v>0</v>
      </c>
      <c r="BS56" s="106">
        <v>0</v>
      </c>
      <c r="BT56" s="106">
        <v>0</v>
      </c>
      <c r="BU56" s="106">
        <v>0</v>
      </c>
      <c r="BV56" s="106">
        <v>0</v>
      </c>
      <c r="BW56" s="106">
        <v>0</v>
      </c>
      <c r="BX56" s="106">
        <v>0</v>
      </c>
      <c r="BY56" s="106">
        <v>0</v>
      </c>
      <c r="BZ56" s="106">
        <v>0.26255833439880072</v>
      </c>
      <c r="CA56" s="106">
        <v>220.54900089499262</v>
      </c>
      <c r="CB56" s="106">
        <v>0.16321800176455487</v>
      </c>
      <c r="CC56" s="106">
        <v>137.1031214822261</v>
      </c>
      <c r="CD56" s="106">
        <v>8.6037606556041174E-2</v>
      </c>
      <c r="CE56" s="106">
        <v>72.27158950707458</v>
      </c>
      <c r="CF56" s="106">
        <v>0.25720871628028563</v>
      </c>
      <c r="CG56" s="106">
        <v>216.05532167543993</v>
      </c>
      <c r="CH56" s="106">
        <v>1.3240977649929906</v>
      </c>
      <c r="CI56" s="106">
        <v>1112.2421225941121</v>
      </c>
      <c r="CJ56" s="106">
        <v>3.2494391595626797</v>
      </c>
      <c r="CK56" s="106">
        <v>2729.5288940326509</v>
      </c>
      <c r="CL56" s="106">
        <v>0</v>
      </c>
      <c r="CM56" s="106">
        <v>0</v>
      </c>
      <c r="CN56" s="106">
        <v>1.0644685886358722</v>
      </c>
      <c r="CO56" s="106">
        <v>894.15361445413271</v>
      </c>
      <c r="CP56" s="106">
        <v>1.3636706482835124</v>
      </c>
      <c r="CQ56" s="106">
        <v>1145.4833445581503</v>
      </c>
      <c r="CR56" s="106">
        <v>1.2648077874429815</v>
      </c>
      <c r="CS56" s="106">
        <v>1062.4385414521046</v>
      </c>
      <c r="CT56" s="106">
        <v>3.535817335056382</v>
      </c>
      <c r="CU56" s="106">
        <v>2970.086561447361</v>
      </c>
    </row>
    <row r="57" spans="2:99" x14ac:dyDescent="0.2">
      <c r="C57" s="105" t="s">
        <v>223</v>
      </c>
      <c r="D57" s="106">
        <v>4.9585312859718655</v>
      </c>
      <c r="E57" s="106">
        <v>6259.649895410882</v>
      </c>
      <c r="F57" s="106">
        <v>5</v>
      </c>
      <c r="G57" s="106">
        <v>6311.9999999999991</v>
      </c>
      <c r="H57" s="106">
        <v>8</v>
      </c>
      <c r="I57" s="106">
        <v>10099.199999999999</v>
      </c>
      <c r="J57" s="106">
        <v>9</v>
      </c>
      <c r="K57" s="106">
        <v>11361.599999999999</v>
      </c>
      <c r="L57" s="106">
        <v>4</v>
      </c>
      <c r="M57" s="106">
        <v>5049.5999999999995</v>
      </c>
      <c r="N57" s="106">
        <v>3</v>
      </c>
      <c r="O57" s="106">
        <v>3787.2</v>
      </c>
      <c r="P57" s="106">
        <v>3</v>
      </c>
      <c r="Q57" s="106">
        <v>3787.2</v>
      </c>
      <c r="R57" s="106">
        <v>3</v>
      </c>
      <c r="S57" s="106">
        <v>3787.2</v>
      </c>
      <c r="T57" s="106">
        <v>4</v>
      </c>
      <c r="U57" s="106">
        <v>5049.5999999999995</v>
      </c>
      <c r="V57" s="106">
        <v>3</v>
      </c>
      <c r="W57" s="106">
        <v>3787.2</v>
      </c>
      <c r="X57" s="106">
        <v>4.3990519466175586</v>
      </c>
      <c r="Y57" s="106">
        <v>5553.3631774100049</v>
      </c>
      <c r="Z57" s="106">
        <v>3.3641121183615521</v>
      </c>
      <c r="AA57" s="106">
        <v>4246.8551382196229</v>
      </c>
      <c r="AB57" s="106">
        <v>6.3253645719795513</v>
      </c>
      <c r="AC57" s="106">
        <v>7985.1402356669851</v>
      </c>
      <c r="AD57" s="106">
        <v>5.0672746876878954</v>
      </c>
      <c r="AE57" s="106">
        <v>6396.9275657371982</v>
      </c>
      <c r="AF57" s="106">
        <v>5</v>
      </c>
      <c r="AG57" s="106">
        <v>6311.9999999999991</v>
      </c>
      <c r="AH57" s="106">
        <v>5</v>
      </c>
      <c r="AI57" s="106">
        <v>6311.9999999999991</v>
      </c>
      <c r="AJ57" s="106">
        <v>6</v>
      </c>
      <c r="AK57" s="106">
        <v>7574.4</v>
      </c>
      <c r="AL57" s="106">
        <v>7</v>
      </c>
      <c r="AM57" s="106">
        <v>8836.7999999999993</v>
      </c>
      <c r="AN57" s="106">
        <v>7.2469394116577384</v>
      </c>
      <c r="AO57" s="106">
        <v>9148.536313276727</v>
      </c>
      <c r="AP57" s="106">
        <v>6.2186445925713585</v>
      </c>
      <c r="AQ57" s="106">
        <v>7850.4169336620826</v>
      </c>
      <c r="AR57" s="106">
        <v>9.2374896925752807</v>
      </c>
      <c r="AS57" s="106">
        <v>11661.406987907034</v>
      </c>
      <c r="AT57" s="106">
        <v>7.1966229733163685</v>
      </c>
      <c r="AU57" s="106">
        <v>9085.0168415145818</v>
      </c>
      <c r="AV57" s="106">
        <v>6</v>
      </c>
      <c r="AW57" s="106">
        <v>7574.4</v>
      </c>
      <c r="AX57" s="106">
        <v>5</v>
      </c>
      <c r="AY57" s="106">
        <v>6311.9999999999991</v>
      </c>
      <c r="AZ57" s="106">
        <v>5.194652764394152</v>
      </c>
      <c r="BA57" s="106">
        <v>6557.7296497711768</v>
      </c>
      <c r="BB57" s="106">
        <v>4</v>
      </c>
      <c r="BC57" s="106">
        <v>5049.5999999999995</v>
      </c>
      <c r="BD57" s="106">
        <v>4</v>
      </c>
      <c r="BE57" s="106">
        <v>5049.5999999999995</v>
      </c>
      <c r="BF57" s="106">
        <v>4</v>
      </c>
      <c r="BG57" s="106">
        <v>5049.5999999999995</v>
      </c>
      <c r="BH57" s="106">
        <v>5</v>
      </c>
      <c r="BI57" s="106">
        <v>6311.9999999999991</v>
      </c>
      <c r="BJ57" s="106">
        <v>4.1039439514309679</v>
      </c>
      <c r="BK57" s="106">
        <v>5180.818844286453</v>
      </c>
      <c r="BL57" s="106">
        <v>8.0700131634056458</v>
      </c>
      <c r="BM57" s="106">
        <v>10187.584617483286</v>
      </c>
      <c r="BN57" s="106">
        <v>5.2304586707032739</v>
      </c>
      <c r="BO57" s="106">
        <v>6602.9310258958121</v>
      </c>
      <c r="BP57" s="106">
        <v>4</v>
      </c>
      <c r="BQ57" s="106">
        <v>5049.5999999999995</v>
      </c>
      <c r="BR57" s="106">
        <v>4</v>
      </c>
      <c r="BS57" s="106">
        <v>5049.5999999999995</v>
      </c>
      <c r="BT57" s="106">
        <v>5</v>
      </c>
      <c r="BU57" s="106">
        <v>6311.9999999999991</v>
      </c>
      <c r="BV57" s="106">
        <v>4</v>
      </c>
      <c r="BW57" s="106">
        <v>5049.5999999999995</v>
      </c>
      <c r="BX57" s="106">
        <v>6</v>
      </c>
      <c r="BY57" s="106">
        <v>7574.4</v>
      </c>
      <c r="BZ57" s="106">
        <v>8.3967700981750344</v>
      </c>
      <c r="CA57" s="106">
        <v>10600.082571936162</v>
      </c>
      <c r="CB57" s="106">
        <v>7.1346330564517162</v>
      </c>
      <c r="CC57" s="106">
        <v>9006.7607704646452</v>
      </c>
      <c r="CD57" s="106">
        <v>9.3010727130858335</v>
      </c>
      <c r="CE57" s="106">
        <v>11741.674192999555</v>
      </c>
      <c r="CF57" s="106">
        <v>10.132304590245869</v>
      </c>
      <c r="CG57" s="106">
        <v>12791.021314726384</v>
      </c>
      <c r="CH57" s="106">
        <v>11.106793537616724</v>
      </c>
      <c r="CI57" s="106">
        <v>14021.216161887351</v>
      </c>
      <c r="CJ57" s="106">
        <v>6.1209589539053324</v>
      </c>
      <c r="CK57" s="106">
        <v>7727.0985834100911</v>
      </c>
      <c r="CL57" s="106">
        <v>7.3175491384574238</v>
      </c>
      <c r="CM57" s="106">
        <v>9237.6740323886515</v>
      </c>
      <c r="CN57" s="106">
        <v>3</v>
      </c>
      <c r="CO57" s="106">
        <v>3787.2</v>
      </c>
      <c r="CP57" s="106">
        <v>4.5713994429145037</v>
      </c>
      <c r="CQ57" s="106">
        <v>5770.9346567352686</v>
      </c>
      <c r="CR57" s="106">
        <v>2.8657807712932897</v>
      </c>
      <c r="CS57" s="106">
        <v>3617.7616456806486</v>
      </c>
      <c r="CT57" s="106">
        <v>3.4569285211736496</v>
      </c>
      <c r="CU57" s="106">
        <v>4364.0265651296149</v>
      </c>
    </row>
    <row r="58" spans="2:99" x14ac:dyDescent="0.2">
      <c r="C58" s="105" t="s">
        <v>224</v>
      </c>
      <c r="D58" s="106">
        <v>4.9322866990096443</v>
      </c>
      <c r="E58" s="106">
        <v>3468.3840067435817</v>
      </c>
      <c r="F58" s="106">
        <v>6</v>
      </c>
      <c r="G58" s="106">
        <v>4219.2</v>
      </c>
      <c r="H58" s="106">
        <v>8</v>
      </c>
      <c r="I58" s="106">
        <v>5625.5999999999995</v>
      </c>
      <c r="J58" s="106">
        <v>10</v>
      </c>
      <c r="K58" s="106">
        <v>7031.9999999999991</v>
      </c>
      <c r="L58" s="106">
        <v>4</v>
      </c>
      <c r="M58" s="106">
        <v>2812.7999999999997</v>
      </c>
      <c r="N58" s="106">
        <v>3</v>
      </c>
      <c r="O58" s="106">
        <v>2109.6</v>
      </c>
      <c r="P58" s="106">
        <v>2</v>
      </c>
      <c r="Q58" s="106">
        <v>1406.3999999999999</v>
      </c>
      <c r="R58" s="106">
        <v>3</v>
      </c>
      <c r="S58" s="106">
        <v>2109.6</v>
      </c>
      <c r="T58" s="106">
        <v>4</v>
      </c>
      <c r="U58" s="106">
        <v>2812.7999999999997</v>
      </c>
      <c r="V58" s="106">
        <v>3</v>
      </c>
      <c r="W58" s="106">
        <v>2109.6</v>
      </c>
      <c r="X58" s="106">
        <v>4.4489334399447538</v>
      </c>
      <c r="Y58" s="106">
        <v>3128.4899949691508</v>
      </c>
      <c r="Z58" s="106">
        <v>3.4551401479519401</v>
      </c>
      <c r="AA58" s="106">
        <v>2429.654552039804</v>
      </c>
      <c r="AB58" s="106">
        <v>7.253061333761873</v>
      </c>
      <c r="AC58" s="106">
        <v>5100.3527299013485</v>
      </c>
      <c r="AD58" s="106">
        <v>5.0560622397399131</v>
      </c>
      <c r="AE58" s="106">
        <v>3555.4229669851065</v>
      </c>
      <c r="AF58" s="106">
        <v>4</v>
      </c>
      <c r="AG58" s="106">
        <v>2812.7999999999997</v>
      </c>
      <c r="AH58" s="106">
        <v>5</v>
      </c>
      <c r="AI58" s="106">
        <v>3515.9999999999995</v>
      </c>
      <c r="AJ58" s="106">
        <v>6</v>
      </c>
      <c r="AK58" s="106">
        <v>4219.2</v>
      </c>
      <c r="AL58" s="106">
        <v>7</v>
      </c>
      <c r="AM58" s="106">
        <v>4922.3999999999996</v>
      </c>
      <c r="AN58" s="106">
        <v>6.2469394116577384</v>
      </c>
      <c r="AO58" s="106">
        <v>4392.8477942777208</v>
      </c>
      <c r="AP58" s="106">
        <v>7.2186445925713585</v>
      </c>
      <c r="AQ58" s="106">
        <v>5076.1508774961785</v>
      </c>
      <c r="AR58" s="106">
        <v>10.237489692575281</v>
      </c>
      <c r="AS58" s="106">
        <v>7199.0027518189363</v>
      </c>
      <c r="AT58" s="106">
        <v>7.1966229733163685</v>
      </c>
      <c r="AU58" s="106">
        <v>5060.6652748360702</v>
      </c>
      <c r="AV58" s="106">
        <v>7</v>
      </c>
      <c r="AW58" s="106">
        <v>4922.3999999999996</v>
      </c>
      <c r="AX58" s="106">
        <v>5</v>
      </c>
      <c r="AY58" s="106">
        <v>3515.9999999999995</v>
      </c>
      <c r="AZ58" s="106">
        <v>4.1557222115153216</v>
      </c>
      <c r="BA58" s="106">
        <v>2922.3038591375739</v>
      </c>
      <c r="BB58" s="106">
        <v>4</v>
      </c>
      <c r="BC58" s="106">
        <v>2812.7999999999997</v>
      </c>
      <c r="BD58" s="106">
        <v>4</v>
      </c>
      <c r="BE58" s="106">
        <v>2812.7999999999997</v>
      </c>
      <c r="BF58" s="106">
        <v>4</v>
      </c>
      <c r="BG58" s="106">
        <v>2812.7999999999997</v>
      </c>
      <c r="BH58" s="106">
        <v>5</v>
      </c>
      <c r="BI58" s="106">
        <v>3515.9999999999995</v>
      </c>
      <c r="BJ58" s="106">
        <v>4.1039439514309679</v>
      </c>
      <c r="BK58" s="106">
        <v>2885.8933866462562</v>
      </c>
      <c r="BL58" s="106">
        <v>7.0816820239732534</v>
      </c>
      <c r="BM58" s="106">
        <v>4979.838799257991</v>
      </c>
      <c r="BN58" s="106">
        <v>5.2765504048439285</v>
      </c>
      <c r="BO58" s="106">
        <v>3710.4702446862502</v>
      </c>
      <c r="BP58" s="106">
        <v>4</v>
      </c>
      <c r="BQ58" s="106">
        <v>2812.7999999999997</v>
      </c>
      <c r="BR58" s="106">
        <v>4</v>
      </c>
      <c r="BS58" s="106">
        <v>2812.7999999999997</v>
      </c>
      <c r="BT58" s="106">
        <v>5</v>
      </c>
      <c r="BU58" s="106">
        <v>3515.9999999999995</v>
      </c>
      <c r="BV58" s="106">
        <v>4</v>
      </c>
      <c r="BW58" s="106">
        <v>2812.7999999999997</v>
      </c>
      <c r="BX58" s="106">
        <v>6</v>
      </c>
      <c r="BY58" s="106">
        <v>4219.2</v>
      </c>
      <c r="BZ58" s="106">
        <v>9.3471738359031562</v>
      </c>
      <c r="CA58" s="106">
        <v>6572.9326414070993</v>
      </c>
      <c r="CB58" s="106">
        <v>8.1346330564517171</v>
      </c>
      <c r="CC58" s="106">
        <v>5720.2739652968467</v>
      </c>
      <c r="CD58" s="106">
        <v>10.301072713085833</v>
      </c>
      <c r="CE58" s="106">
        <v>7243.7143318419576</v>
      </c>
      <c r="CF58" s="106">
        <v>10.132304590245869</v>
      </c>
      <c r="CG58" s="106">
        <v>7125.0365878608945</v>
      </c>
      <c r="CH58" s="106">
        <v>10.106793537616724</v>
      </c>
      <c r="CI58" s="106">
        <v>7107.0972156520802</v>
      </c>
      <c r="CJ58" s="106">
        <v>7.1209589539053324</v>
      </c>
      <c r="CK58" s="106">
        <v>5007.4583363862293</v>
      </c>
      <c r="CL58" s="106">
        <v>7.3629133010941992</v>
      </c>
      <c r="CM58" s="106">
        <v>5177.6006333294399</v>
      </c>
      <c r="CN58" s="106">
        <v>3.342377288274732</v>
      </c>
      <c r="CO58" s="106">
        <v>2350.3597091147913</v>
      </c>
      <c r="CP58" s="106">
        <v>3.5713994429145037</v>
      </c>
      <c r="CQ58" s="106">
        <v>2511.408088257479</v>
      </c>
      <c r="CR58" s="106">
        <v>3.7695829078162575</v>
      </c>
      <c r="CS58" s="106">
        <v>2650.770700776392</v>
      </c>
      <c r="CT58" s="106">
        <v>3.4569285211736496</v>
      </c>
      <c r="CU58" s="106">
        <v>2430.91213608931</v>
      </c>
    </row>
    <row r="59" spans="2:99" x14ac:dyDescent="0.2">
      <c r="C59" s="105" t="s">
        <v>225</v>
      </c>
      <c r="D59" s="106">
        <v>4.1651165281732903</v>
      </c>
      <c r="E59" s="106">
        <v>1829.319179173709</v>
      </c>
      <c r="F59" s="106">
        <v>6.2987765800259554</v>
      </c>
      <c r="G59" s="106">
        <v>2766.4226739473997</v>
      </c>
      <c r="H59" s="106">
        <v>9</v>
      </c>
      <c r="I59" s="106">
        <v>3952.7999999999997</v>
      </c>
      <c r="J59" s="106">
        <v>11.324793434385072</v>
      </c>
      <c r="K59" s="106">
        <v>4973.8492763819231</v>
      </c>
      <c r="L59" s="106">
        <v>3.608535794106718</v>
      </c>
      <c r="M59" s="106">
        <v>1584.8689207716704</v>
      </c>
      <c r="N59" s="106">
        <v>3.4215129662094506</v>
      </c>
      <c r="O59" s="106">
        <v>1502.7284947591907</v>
      </c>
      <c r="P59" s="106">
        <v>2.6935548491282577</v>
      </c>
      <c r="Q59" s="106">
        <v>1183.0092897371308</v>
      </c>
      <c r="R59" s="106">
        <v>3.2738856827892553</v>
      </c>
      <c r="S59" s="106">
        <v>1437.8905918810408</v>
      </c>
      <c r="T59" s="106">
        <v>5.277893013941072</v>
      </c>
      <c r="U59" s="106">
        <v>2318.0506117229188</v>
      </c>
      <c r="V59" s="106">
        <v>4.6480872089003338</v>
      </c>
      <c r="W59" s="106">
        <v>2041.4399021490265</v>
      </c>
      <c r="X59" s="106">
        <v>5</v>
      </c>
      <c r="Y59" s="106">
        <v>2196</v>
      </c>
      <c r="Z59" s="106">
        <v>3.3386157484066525</v>
      </c>
      <c r="AA59" s="106">
        <v>1466.3200367002019</v>
      </c>
      <c r="AB59" s="106">
        <v>8</v>
      </c>
      <c r="AC59" s="106">
        <v>3513.6</v>
      </c>
      <c r="AD59" s="106">
        <v>5.2031018132343068</v>
      </c>
      <c r="AE59" s="106">
        <v>2285.2023163725075</v>
      </c>
      <c r="AF59" s="106">
        <v>5.3004513094226944</v>
      </c>
      <c r="AG59" s="106">
        <v>2327.9582150984475</v>
      </c>
      <c r="AH59" s="106">
        <v>5.1095047733165035</v>
      </c>
      <c r="AI59" s="106">
        <v>2244.0944964406085</v>
      </c>
      <c r="AJ59" s="106">
        <v>6.1147425619971338</v>
      </c>
      <c r="AK59" s="106">
        <v>2685.5949332291411</v>
      </c>
      <c r="AL59" s="106">
        <v>7.1676602509458966</v>
      </c>
      <c r="AM59" s="106">
        <v>3148.0363822154377</v>
      </c>
      <c r="AN59" s="106">
        <v>7.1759916136947606</v>
      </c>
      <c r="AO59" s="106">
        <v>3151.6955167347387</v>
      </c>
      <c r="AP59" s="106">
        <v>7.0522942093445957</v>
      </c>
      <c r="AQ59" s="106">
        <v>3097.3676167441463</v>
      </c>
      <c r="AR59" s="106">
        <v>10.080621522990182</v>
      </c>
      <c r="AS59" s="106">
        <v>4427.4089728972876</v>
      </c>
      <c r="AT59" s="106">
        <v>7.0744473615580965</v>
      </c>
      <c r="AU59" s="106">
        <v>3107.0972811963161</v>
      </c>
      <c r="AV59" s="106">
        <v>7</v>
      </c>
      <c r="AW59" s="106">
        <v>3074.4</v>
      </c>
      <c r="AX59" s="106">
        <v>6.2190414266607297</v>
      </c>
      <c r="AY59" s="106">
        <v>2731.4029945893926</v>
      </c>
      <c r="AZ59" s="106">
        <v>5.1575769708742092</v>
      </c>
      <c r="BA59" s="106">
        <v>2265.2078056079527</v>
      </c>
      <c r="BB59" s="106">
        <v>4.1415697026720917</v>
      </c>
      <c r="BC59" s="106">
        <v>1818.9774134135826</v>
      </c>
      <c r="BD59" s="106">
        <v>4</v>
      </c>
      <c r="BE59" s="106">
        <v>1756.8</v>
      </c>
      <c r="BF59" s="106">
        <v>4.2820403581840916</v>
      </c>
      <c r="BG59" s="106">
        <v>1880.6721253144531</v>
      </c>
      <c r="BH59" s="106">
        <v>5</v>
      </c>
      <c r="BI59" s="106">
        <v>2196</v>
      </c>
      <c r="BJ59" s="106">
        <v>4.1273962882804804</v>
      </c>
      <c r="BK59" s="106">
        <v>1812.7524498127871</v>
      </c>
      <c r="BL59" s="106">
        <v>8</v>
      </c>
      <c r="BM59" s="106">
        <v>3513.6</v>
      </c>
      <c r="BN59" s="106">
        <v>5.202119518522113</v>
      </c>
      <c r="BO59" s="106">
        <v>2284.770892534912</v>
      </c>
      <c r="BP59" s="106">
        <v>4.1338445741913734</v>
      </c>
      <c r="BQ59" s="106">
        <v>1815.5845369848512</v>
      </c>
      <c r="BR59" s="106">
        <v>4.2261507121570174</v>
      </c>
      <c r="BS59" s="106">
        <v>1856.1253927793621</v>
      </c>
      <c r="BT59" s="106">
        <v>5</v>
      </c>
      <c r="BU59" s="106">
        <v>2196</v>
      </c>
      <c r="BV59" s="106">
        <v>4.2385582409231368</v>
      </c>
      <c r="BW59" s="106">
        <v>1861.5747794134415</v>
      </c>
      <c r="BX59" s="106">
        <v>6.1543786419230386</v>
      </c>
      <c r="BY59" s="106">
        <v>2703.0030995325983</v>
      </c>
      <c r="BZ59" s="106">
        <v>9.204935592888555</v>
      </c>
      <c r="CA59" s="106">
        <v>4042.8077123966532</v>
      </c>
      <c r="CB59" s="106">
        <v>7.1042984554623692</v>
      </c>
      <c r="CC59" s="106">
        <v>3120.2078816390726</v>
      </c>
      <c r="CD59" s="106">
        <v>10.177839341022887</v>
      </c>
      <c r="CE59" s="106">
        <v>4470.1070385772518</v>
      </c>
      <c r="CF59" s="106">
        <v>10</v>
      </c>
      <c r="CG59" s="106">
        <v>4392</v>
      </c>
      <c r="CH59" s="106">
        <v>12.349184699827639</v>
      </c>
      <c r="CI59" s="106">
        <v>5423.7619201642983</v>
      </c>
      <c r="CJ59" s="106">
        <v>7</v>
      </c>
      <c r="CK59" s="106">
        <v>3074.4</v>
      </c>
      <c r="CL59" s="106">
        <v>7.3538752704282642</v>
      </c>
      <c r="CM59" s="106">
        <v>3229.8220187720935</v>
      </c>
      <c r="CN59" s="106">
        <v>3.3619902581339214</v>
      </c>
      <c r="CO59" s="106">
        <v>1476.5861213724181</v>
      </c>
      <c r="CP59" s="106">
        <v>3.4141698714572124</v>
      </c>
      <c r="CQ59" s="106">
        <v>1499.5034075440076</v>
      </c>
      <c r="CR59" s="106">
        <v>2.5067722411312001</v>
      </c>
      <c r="CS59" s="106">
        <v>1100.974368304823</v>
      </c>
      <c r="CT59" s="106">
        <v>4.1949127171453187</v>
      </c>
      <c r="CU59" s="106">
        <v>1842.4056653702239</v>
      </c>
    </row>
    <row r="60" spans="2:99" x14ac:dyDescent="0.2">
      <c r="C60" s="105" t="s">
        <v>226</v>
      </c>
      <c r="D60" s="106">
        <v>3.3320932225386324</v>
      </c>
      <c r="E60" s="106">
        <v>2355.1234896903052</v>
      </c>
      <c r="F60" s="106">
        <v>6.2987765800259554</v>
      </c>
      <c r="G60" s="106">
        <v>4451.9752867623447</v>
      </c>
      <c r="H60" s="106">
        <v>9</v>
      </c>
      <c r="I60" s="106">
        <v>6361.2</v>
      </c>
      <c r="J60" s="106">
        <v>10.371192496440083</v>
      </c>
      <c r="K60" s="106">
        <v>7330.3588564838501</v>
      </c>
      <c r="L60" s="106">
        <v>4.6954694789791063</v>
      </c>
      <c r="M60" s="106">
        <v>3318.7578277424323</v>
      </c>
      <c r="N60" s="106">
        <v>3.4598323267739461</v>
      </c>
      <c r="O60" s="106">
        <v>2445.4094885638251</v>
      </c>
      <c r="P60" s="106">
        <v>2.6010808692444902</v>
      </c>
      <c r="Q60" s="106">
        <v>1838.4439583820056</v>
      </c>
      <c r="R60" s="106">
        <v>3.2738856827892553</v>
      </c>
      <c r="S60" s="106">
        <v>2313.9824005954456</v>
      </c>
      <c r="T60" s="106">
        <v>5.3056823153351793</v>
      </c>
      <c r="U60" s="106">
        <v>3750.0562604789043</v>
      </c>
      <c r="V60" s="106">
        <v>3.5483814844541284</v>
      </c>
      <c r="W60" s="106">
        <v>2507.9960332121777</v>
      </c>
      <c r="X60" s="106">
        <v>4</v>
      </c>
      <c r="Y60" s="106">
        <v>2827.2</v>
      </c>
      <c r="Z60" s="106">
        <v>3.376239720451836</v>
      </c>
      <c r="AA60" s="106">
        <v>2386.3262344153577</v>
      </c>
      <c r="AB60" s="106">
        <v>6</v>
      </c>
      <c r="AC60" s="106">
        <v>4240.7999999999993</v>
      </c>
      <c r="AD60" s="106">
        <v>5.2437221758811683</v>
      </c>
      <c r="AE60" s="106">
        <v>3706.2628339128096</v>
      </c>
      <c r="AF60" s="106">
        <v>4.2575296937908806</v>
      </c>
      <c r="AG60" s="106">
        <v>3009.221987571394</v>
      </c>
      <c r="AH60" s="106">
        <v>5.1095047733165035</v>
      </c>
      <c r="AI60" s="106">
        <v>3611.3979737801046</v>
      </c>
      <c r="AJ60" s="106">
        <v>6.1147425619971338</v>
      </c>
      <c r="AK60" s="106">
        <v>4321.9000428195741</v>
      </c>
      <c r="AL60" s="106">
        <v>8.1676602509458966</v>
      </c>
      <c r="AM60" s="106">
        <v>5772.9022653685597</v>
      </c>
      <c r="AN60" s="106">
        <v>6.1759916136947606</v>
      </c>
      <c r="AO60" s="106">
        <v>4365.1908725594567</v>
      </c>
      <c r="AP60" s="106">
        <v>6.0522942093445957</v>
      </c>
      <c r="AQ60" s="106">
        <v>4277.7615471647596</v>
      </c>
      <c r="AR60" s="106">
        <v>9.0806215229901817</v>
      </c>
      <c r="AS60" s="106">
        <v>6418.1832924494602</v>
      </c>
      <c r="AT60" s="106">
        <v>6.0595578892464772</v>
      </c>
      <c r="AU60" s="106">
        <v>4282.8955161194099</v>
      </c>
      <c r="AV60" s="106">
        <v>7</v>
      </c>
      <c r="AW60" s="106">
        <v>4947.5999999999995</v>
      </c>
      <c r="AX60" s="106">
        <v>5.2190414266607297</v>
      </c>
      <c r="AY60" s="106">
        <v>3688.8184803638037</v>
      </c>
      <c r="AZ60" s="106">
        <v>5.1260615766993674</v>
      </c>
      <c r="BA60" s="106">
        <v>3623.1003224111128</v>
      </c>
      <c r="BB60" s="106">
        <v>4.1415697026720917</v>
      </c>
      <c r="BC60" s="106">
        <v>2927.2614658486341</v>
      </c>
      <c r="BD60" s="106">
        <v>4</v>
      </c>
      <c r="BE60" s="106">
        <v>2827.2</v>
      </c>
      <c r="BF60" s="106">
        <v>4.2820403581840916</v>
      </c>
      <c r="BG60" s="106">
        <v>3026.5461251645156</v>
      </c>
      <c r="BH60" s="106">
        <v>5</v>
      </c>
      <c r="BI60" s="106">
        <v>3534</v>
      </c>
      <c r="BJ60" s="106">
        <v>4.1273962882804804</v>
      </c>
      <c r="BK60" s="106">
        <v>2917.2436965566435</v>
      </c>
      <c r="BL60" s="106">
        <v>8</v>
      </c>
      <c r="BM60" s="106">
        <v>5654.4</v>
      </c>
      <c r="BN60" s="106">
        <v>5.2425434222265359</v>
      </c>
      <c r="BO60" s="106">
        <v>3705.4296908297151</v>
      </c>
      <c r="BP60" s="106">
        <v>4.1338445741913734</v>
      </c>
      <c r="BQ60" s="106">
        <v>2921.8013450384624</v>
      </c>
      <c r="BR60" s="106">
        <v>4.2261507121570174</v>
      </c>
      <c r="BS60" s="106">
        <v>2987.0433233525796</v>
      </c>
      <c r="BT60" s="106">
        <v>5</v>
      </c>
      <c r="BU60" s="106">
        <v>3534</v>
      </c>
      <c r="BV60" s="106">
        <v>4.2385582409231368</v>
      </c>
      <c r="BW60" s="106">
        <v>2995.8129646844727</v>
      </c>
      <c r="BX60" s="106">
        <v>6.1543786419230386</v>
      </c>
      <c r="BY60" s="106">
        <v>4349.9148241112034</v>
      </c>
      <c r="BZ60" s="106">
        <v>9.2342121061583491</v>
      </c>
      <c r="CA60" s="106">
        <v>6526.7411166327211</v>
      </c>
      <c r="CB60" s="106">
        <v>7.1042984554623692</v>
      </c>
      <c r="CC60" s="106">
        <v>5021.3181483208018</v>
      </c>
      <c r="CD60" s="106">
        <v>10.177839341022887</v>
      </c>
      <c r="CE60" s="106">
        <v>7193.696846234976</v>
      </c>
      <c r="CF60" s="106">
        <v>10</v>
      </c>
      <c r="CG60" s="106">
        <v>7068</v>
      </c>
      <c r="CH60" s="106">
        <v>12.349184699827639</v>
      </c>
      <c r="CI60" s="106">
        <v>8728.4037458381736</v>
      </c>
      <c r="CJ60" s="106">
        <v>6</v>
      </c>
      <c r="CK60" s="106">
        <v>4240.7999999999993</v>
      </c>
      <c r="CL60" s="106">
        <v>7.3538752704282642</v>
      </c>
      <c r="CM60" s="106">
        <v>5197.7190411386964</v>
      </c>
      <c r="CN60" s="106">
        <v>4.386122942009516</v>
      </c>
      <c r="CO60" s="106">
        <v>3100.1116954123258</v>
      </c>
      <c r="CP60" s="106">
        <v>3.4894734844494333</v>
      </c>
      <c r="CQ60" s="106">
        <v>2466.3598588088594</v>
      </c>
      <c r="CR60" s="106">
        <v>3.5067722411312001</v>
      </c>
      <c r="CS60" s="106">
        <v>2478.5866200315322</v>
      </c>
      <c r="CT60" s="106">
        <v>3.1949127171453187</v>
      </c>
      <c r="CU60" s="106">
        <v>2258.1643084783109</v>
      </c>
    </row>
    <row r="61" spans="2:99" x14ac:dyDescent="0.2">
      <c r="C61" s="105" t="s">
        <v>227</v>
      </c>
      <c r="D61" s="106">
        <v>5.465738228365038</v>
      </c>
      <c r="E61" s="106">
        <v>3686.0938612093814</v>
      </c>
      <c r="F61" s="106">
        <v>6</v>
      </c>
      <c r="G61" s="106">
        <v>4046.3999999999996</v>
      </c>
      <c r="H61" s="106">
        <v>9</v>
      </c>
      <c r="I61" s="106">
        <v>6069.5999999999995</v>
      </c>
      <c r="J61" s="106">
        <v>10.09699885910104</v>
      </c>
      <c r="K61" s="106">
        <v>6809.4160305777414</v>
      </c>
      <c r="L61" s="106">
        <v>4</v>
      </c>
      <c r="M61" s="106">
        <v>2697.6</v>
      </c>
      <c r="N61" s="106">
        <v>2</v>
      </c>
      <c r="O61" s="106">
        <v>1348.8</v>
      </c>
      <c r="P61" s="106">
        <v>3</v>
      </c>
      <c r="Q61" s="106">
        <v>2023.1999999999998</v>
      </c>
      <c r="R61" s="106">
        <v>3</v>
      </c>
      <c r="S61" s="106">
        <v>2023.1999999999998</v>
      </c>
      <c r="T61" s="106">
        <v>5</v>
      </c>
      <c r="U61" s="106">
        <v>3372</v>
      </c>
      <c r="V61" s="106">
        <v>4</v>
      </c>
      <c r="W61" s="106">
        <v>2697.6</v>
      </c>
      <c r="X61" s="106">
        <v>4.4489334399447538</v>
      </c>
      <c r="Y61" s="106">
        <v>3000.360711898742</v>
      </c>
      <c r="Z61" s="106">
        <v>3.4096261331567463</v>
      </c>
      <c r="AA61" s="106">
        <v>2299.4518642009098</v>
      </c>
      <c r="AB61" s="106">
        <v>8.3253645719795504</v>
      </c>
      <c r="AC61" s="106">
        <v>5614.6258673430084</v>
      </c>
      <c r="AD61" s="106">
        <v>6.0672746876878954</v>
      </c>
      <c r="AE61" s="106">
        <v>4091.7700493767165</v>
      </c>
      <c r="AF61" s="106">
        <v>4</v>
      </c>
      <c r="AG61" s="106">
        <v>2697.6</v>
      </c>
      <c r="AH61" s="106">
        <v>4</v>
      </c>
      <c r="AI61" s="106">
        <v>2697.6</v>
      </c>
      <c r="AJ61" s="106">
        <v>5</v>
      </c>
      <c r="AK61" s="106">
        <v>3372</v>
      </c>
      <c r="AL61" s="106">
        <v>8</v>
      </c>
      <c r="AM61" s="106">
        <v>5395.2</v>
      </c>
      <c r="AN61" s="106">
        <v>6.2469394116577384</v>
      </c>
      <c r="AO61" s="106">
        <v>4212.9359392219785</v>
      </c>
      <c r="AP61" s="106">
        <v>7.2186445925713585</v>
      </c>
      <c r="AQ61" s="106">
        <v>4868.2539132301245</v>
      </c>
      <c r="AR61" s="106">
        <v>9.2849876310903365</v>
      </c>
      <c r="AS61" s="106">
        <v>6261.7956584073227</v>
      </c>
      <c r="AT61" s="106">
        <v>7.2457787166454599</v>
      </c>
      <c r="AU61" s="106">
        <v>4886.5531665056978</v>
      </c>
      <c r="AV61" s="106">
        <v>8</v>
      </c>
      <c r="AW61" s="106">
        <v>5395.2</v>
      </c>
      <c r="AX61" s="106">
        <v>6</v>
      </c>
      <c r="AY61" s="106">
        <v>4046.3999999999996</v>
      </c>
      <c r="AZ61" s="106">
        <v>5.1557222115153216</v>
      </c>
      <c r="BA61" s="106">
        <v>3477.0190594459327</v>
      </c>
      <c r="BB61" s="106">
        <v>4</v>
      </c>
      <c r="BC61" s="106">
        <v>2697.6</v>
      </c>
      <c r="BD61" s="106">
        <v>4</v>
      </c>
      <c r="BE61" s="106">
        <v>2697.6</v>
      </c>
      <c r="BF61" s="106">
        <v>4</v>
      </c>
      <c r="BG61" s="106">
        <v>2697.6</v>
      </c>
      <c r="BH61" s="106">
        <v>5</v>
      </c>
      <c r="BI61" s="106">
        <v>3372</v>
      </c>
      <c r="BJ61" s="106">
        <v>4.1039439514309679</v>
      </c>
      <c r="BK61" s="106">
        <v>2767.6998008450446</v>
      </c>
      <c r="BL61" s="106">
        <v>8.0816820239732525</v>
      </c>
      <c r="BM61" s="106">
        <v>5450.286356967561</v>
      </c>
      <c r="BN61" s="106">
        <v>4.2765504048439285</v>
      </c>
      <c r="BO61" s="106">
        <v>2884.1055930267453</v>
      </c>
      <c r="BP61" s="106">
        <v>4</v>
      </c>
      <c r="BQ61" s="106">
        <v>2697.6</v>
      </c>
      <c r="BR61" s="106">
        <v>5</v>
      </c>
      <c r="BS61" s="106">
        <v>3372</v>
      </c>
      <c r="BT61" s="106">
        <v>5</v>
      </c>
      <c r="BU61" s="106">
        <v>3372</v>
      </c>
      <c r="BV61" s="106">
        <v>4</v>
      </c>
      <c r="BW61" s="106">
        <v>2697.6</v>
      </c>
      <c r="BX61" s="106">
        <v>6</v>
      </c>
      <c r="BY61" s="106">
        <v>4046.3999999999996</v>
      </c>
      <c r="BZ61" s="106">
        <v>8.3471738359031562</v>
      </c>
      <c r="CA61" s="106">
        <v>5629.3340349330883</v>
      </c>
      <c r="CB61" s="106">
        <v>8.107706445161373</v>
      </c>
      <c r="CC61" s="106">
        <v>5467.8372266168299</v>
      </c>
      <c r="CD61" s="106">
        <v>10.258062325502143</v>
      </c>
      <c r="CE61" s="106">
        <v>6918.0372323186448</v>
      </c>
      <c r="CF61" s="106">
        <v>10.158765508295044</v>
      </c>
      <c r="CG61" s="106">
        <v>6851.0714587941775</v>
      </c>
      <c r="CH61" s="106">
        <v>11.106793537616724</v>
      </c>
      <c r="CI61" s="106">
        <v>7490.4215617687187</v>
      </c>
      <c r="CJ61" s="106">
        <v>7.1209589539053324</v>
      </c>
      <c r="CK61" s="106">
        <v>4802.3747185137563</v>
      </c>
      <c r="CL61" s="106">
        <v>7.3629133010941992</v>
      </c>
      <c r="CM61" s="106">
        <v>4965.5487302579277</v>
      </c>
      <c r="CN61" s="106">
        <v>4.281957766814485</v>
      </c>
      <c r="CO61" s="106">
        <v>2887.7523179396885</v>
      </c>
      <c r="CP61" s="106">
        <v>4.5713994429145037</v>
      </c>
      <c r="CQ61" s="106">
        <v>3082.951784301541</v>
      </c>
      <c r="CR61" s="106">
        <v>2.7695829078162575</v>
      </c>
      <c r="CS61" s="106">
        <v>1867.8067130312841</v>
      </c>
      <c r="CT61" s="106">
        <v>4.4153895647033172</v>
      </c>
      <c r="CU61" s="106">
        <v>2977.7387224359172</v>
      </c>
    </row>
    <row r="62" spans="2:99" x14ac:dyDescent="0.2">
      <c r="C62" s="105" t="s">
        <v>228</v>
      </c>
      <c r="D62" s="106">
        <v>8</v>
      </c>
      <c r="E62" s="106">
        <v>10224</v>
      </c>
      <c r="F62" s="106">
        <v>5.3393088107857887</v>
      </c>
      <c r="G62" s="106">
        <v>6823.6366601842383</v>
      </c>
      <c r="H62" s="106">
        <v>9.1598897496559868</v>
      </c>
      <c r="I62" s="106">
        <v>11706.339100060351</v>
      </c>
      <c r="J62" s="106">
        <v>10</v>
      </c>
      <c r="K62" s="106">
        <v>12780</v>
      </c>
      <c r="L62" s="106">
        <v>3.6587332469872602</v>
      </c>
      <c r="M62" s="106">
        <v>4675.8610896497185</v>
      </c>
      <c r="N62" s="106">
        <v>2</v>
      </c>
      <c r="O62" s="106">
        <v>2556</v>
      </c>
      <c r="P62" s="106">
        <v>2.4739418479764348</v>
      </c>
      <c r="Q62" s="106">
        <v>3161.6976817138839</v>
      </c>
      <c r="R62" s="106">
        <v>2.4355126028906278</v>
      </c>
      <c r="S62" s="106">
        <v>3112.5851064942221</v>
      </c>
      <c r="T62" s="106">
        <v>5.5477208806863718</v>
      </c>
      <c r="U62" s="106">
        <v>7089.9872855171834</v>
      </c>
      <c r="V62" s="106">
        <v>3.3949151714621553</v>
      </c>
      <c r="W62" s="106">
        <v>4338.7015891286346</v>
      </c>
      <c r="X62" s="106">
        <v>4</v>
      </c>
      <c r="Y62" s="106">
        <v>5112</v>
      </c>
      <c r="Z62" s="106">
        <v>3.2822994111231187</v>
      </c>
      <c r="AA62" s="106">
        <v>4194.7786474153454</v>
      </c>
      <c r="AB62" s="106">
        <v>6.3073946417553088</v>
      </c>
      <c r="AC62" s="106">
        <v>8060.8503521632847</v>
      </c>
      <c r="AD62" s="106">
        <v>5</v>
      </c>
      <c r="AE62" s="106">
        <v>6390</v>
      </c>
      <c r="AF62" s="106">
        <v>5.2961643798248259</v>
      </c>
      <c r="AG62" s="106">
        <v>6768.4980774161277</v>
      </c>
      <c r="AH62" s="106">
        <v>4</v>
      </c>
      <c r="AI62" s="106">
        <v>5112</v>
      </c>
      <c r="AJ62" s="106">
        <v>5.3423455271453264</v>
      </c>
      <c r="AK62" s="106">
        <v>6827.5175836917269</v>
      </c>
      <c r="AL62" s="106">
        <v>6</v>
      </c>
      <c r="AM62" s="106">
        <v>7668</v>
      </c>
      <c r="AN62" s="106">
        <v>3.0816300585965761</v>
      </c>
      <c r="AO62" s="106">
        <v>3938.3232148864245</v>
      </c>
      <c r="AP62" s="106">
        <v>2.4228113404199645</v>
      </c>
      <c r="AQ62" s="106">
        <v>3096.3528930567145</v>
      </c>
      <c r="AR62" s="106">
        <v>2.1499788186422095</v>
      </c>
      <c r="AS62" s="106">
        <v>2747.6729302247436</v>
      </c>
      <c r="AT62" s="106">
        <v>0</v>
      </c>
      <c r="AU62" s="106">
        <v>0</v>
      </c>
      <c r="AV62" s="106">
        <v>1.6523469807343862</v>
      </c>
      <c r="AW62" s="106">
        <v>2111.6994413785455</v>
      </c>
      <c r="AX62" s="106">
        <v>0</v>
      </c>
      <c r="AY62" s="106">
        <v>0</v>
      </c>
      <c r="AZ62" s="106">
        <v>0</v>
      </c>
      <c r="BA62" s="106">
        <v>0</v>
      </c>
      <c r="BB62" s="106">
        <v>3.7963275548745794</v>
      </c>
      <c r="BC62" s="106">
        <v>4851.7066151297122</v>
      </c>
      <c r="BD62" s="106">
        <v>1.4591155888369765</v>
      </c>
      <c r="BE62" s="106">
        <v>1864.7497225336558</v>
      </c>
      <c r="BF62" s="106">
        <v>1.7927273322117439</v>
      </c>
      <c r="BG62" s="106">
        <v>2291.1055305666086</v>
      </c>
      <c r="BH62" s="106">
        <v>1.7122086761799002</v>
      </c>
      <c r="BI62" s="106">
        <v>2188.2026881579127</v>
      </c>
      <c r="BJ62" s="106">
        <v>0</v>
      </c>
      <c r="BK62" s="106">
        <v>0</v>
      </c>
      <c r="BL62" s="106">
        <v>0.90347406268498065</v>
      </c>
      <c r="BM62" s="106">
        <v>1154.6398521114052</v>
      </c>
      <c r="BN62" s="106">
        <v>0.54939457899298383</v>
      </c>
      <c r="BO62" s="106">
        <v>702.12627195303332</v>
      </c>
      <c r="BP62" s="106">
        <v>0.58263444980037915</v>
      </c>
      <c r="BQ62" s="106">
        <v>744.60682684488461</v>
      </c>
      <c r="BR62" s="106">
        <v>0</v>
      </c>
      <c r="BS62" s="106">
        <v>0</v>
      </c>
      <c r="BT62" s="106">
        <v>0</v>
      </c>
      <c r="BU62" s="106">
        <v>0</v>
      </c>
      <c r="BV62" s="106">
        <v>0</v>
      </c>
      <c r="BW62" s="106">
        <v>0</v>
      </c>
      <c r="BX62" s="106">
        <v>0</v>
      </c>
      <c r="BY62" s="106">
        <v>0</v>
      </c>
      <c r="BZ62" s="106">
        <v>0.20641771786253585</v>
      </c>
      <c r="CA62" s="106">
        <v>263.80184342832081</v>
      </c>
      <c r="CB62" s="106">
        <v>0.14281575154398551</v>
      </c>
      <c r="CC62" s="106">
        <v>182.51853047321347</v>
      </c>
      <c r="CD62" s="106">
        <v>8.5651662597354239E-2</v>
      </c>
      <c r="CE62" s="106">
        <v>109.46282479941871</v>
      </c>
      <c r="CF62" s="106">
        <v>0.23382610570935061</v>
      </c>
      <c r="CG62" s="106">
        <v>298.8297630965501</v>
      </c>
      <c r="CH62" s="106">
        <v>1.4460936309731252</v>
      </c>
      <c r="CI62" s="106">
        <v>1848.1076603836539</v>
      </c>
      <c r="CJ62" s="106">
        <v>2.78523356533944</v>
      </c>
      <c r="CK62" s="106">
        <v>3559.5284965038045</v>
      </c>
      <c r="CL62" s="106">
        <v>0</v>
      </c>
      <c r="CM62" s="106">
        <v>0</v>
      </c>
      <c r="CN62" s="106">
        <v>1.0457099789950635</v>
      </c>
      <c r="CO62" s="106">
        <v>1336.417353155691</v>
      </c>
      <c r="CP62" s="106">
        <v>1.3749482784340867</v>
      </c>
      <c r="CQ62" s="106">
        <v>1757.183899838763</v>
      </c>
      <c r="CR62" s="106">
        <v>0.94307974616815049</v>
      </c>
      <c r="CS62" s="106">
        <v>1205.2559156028963</v>
      </c>
      <c r="CT62" s="106">
        <v>3.4976017208453256</v>
      </c>
      <c r="CU62" s="106">
        <v>4469.9349992403259</v>
      </c>
    </row>
    <row r="63" spans="2:99" x14ac:dyDescent="0.2">
      <c r="C63" s="105" t="s">
        <v>229</v>
      </c>
      <c r="D63" s="106">
        <v>4.9585312859718655</v>
      </c>
      <c r="E63" s="106">
        <v>4296.0715061660239</v>
      </c>
      <c r="F63" s="106">
        <v>5</v>
      </c>
      <c r="G63" s="106">
        <v>4332</v>
      </c>
      <c r="H63" s="106">
        <v>9</v>
      </c>
      <c r="I63" s="106">
        <v>7797.5999999999995</v>
      </c>
      <c r="J63" s="106">
        <v>9.0969988591010402</v>
      </c>
      <c r="K63" s="106">
        <v>7881.6398115251413</v>
      </c>
      <c r="L63" s="106">
        <v>4</v>
      </c>
      <c r="M63" s="106">
        <v>3465.6</v>
      </c>
      <c r="N63" s="106">
        <v>3</v>
      </c>
      <c r="O63" s="106">
        <v>2599.1999999999998</v>
      </c>
      <c r="P63" s="106">
        <v>2</v>
      </c>
      <c r="Q63" s="106">
        <v>1732.8</v>
      </c>
      <c r="R63" s="106">
        <v>3</v>
      </c>
      <c r="S63" s="106">
        <v>2599.1999999999998</v>
      </c>
      <c r="T63" s="106">
        <v>5</v>
      </c>
      <c r="U63" s="106">
        <v>4332</v>
      </c>
      <c r="V63" s="106">
        <v>4</v>
      </c>
      <c r="W63" s="106">
        <v>3465.6</v>
      </c>
      <c r="X63" s="106">
        <v>4.4489334399447538</v>
      </c>
      <c r="Y63" s="106">
        <v>3854.5559323681346</v>
      </c>
      <c r="Z63" s="106">
        <v>3.3641121183615521</v>
      </c>
      <c r="AA63" s="106">
        <v>2914.6667393484486</v>
      </c>
      <c r="AB63" s="106">
        <v>7.3253645719795513</v>
      </c>
      <c r="AC63" s="106">
        <v>6346.695865163083</v>
      </c>
      <c r="AD63" s="106">
        <v>5.0672746876878954</v>
      </c>
      <c r="AE63" s="106">
        <v>4390.2867894127921</v>
      </c>
      <c r="AF63" s="106">
        <v>5</v>
      </c>
      <c r="AG63" s="106">
        <v>4332</v>
      </c>
      <c r="AH63" s="106">
        <v>5</v>
      </c>
      <c r="AI63" s="106">
        <v>4332</v>
      </c>
      <c r="AJ63" s="106">
        <v>5</v>
      </c>
      <c r="AK63" s="106">
        <v>4332</v>
      </c>
      <c r="AL63" s="106">
        <v>7</v>
      </c>
      <c r="AM63" s="106">
        <v>6064.8</v>
      </c>
      <c r="AN63" s="106">
        <v>7.296327293989286</v>
      </c>
      <c r="AO63" s="106">
        <v>6321.5379675123177</v>
      </c>
      <c r="AP63" s="106">
        <v>7.2186445925713585</v>
      </c>
      <c r="AQ63" s="106">
        <v>6254.2336750038248</v>
      </c>
      <c r="AR63" s="106">
        <v>9.2374896925752807</v>
      </c>
      <c r="AS63" s="106">
        <v>8003.3610696472233</v>
      </c>
      <c r="AT63" s="106">
        <v>7.1966229733163685</v>
      </c>
      <c r="AU63" s="106">
        <v>6235.1541440813016</v>
      </c>
      <c r="AV63" s="106">
        <v>8</v>
      </c>
      <c r="AW63" s="106">
        <v>6931.2</v>
      </c>
      <c r="AX63" s="106">
        <v>6</v>
      </c>
      <c r="AY63" s="106">
        <v>5198.3999999999996</v>
      </c>
      <c r="AZ63" s="106">
        <v>5.194652764394152</v>
      </c>
      <c r="BA63" s="106">
        <v>4500.647155071093</v>
      </c>
      <c r="BB63" s="106">
        <v>3</v>
      </c>
      <c r="BC63" s="106">
        <v>2599.1999999999998</v>
      </c>
      <c r="BD63" s="106">
        <v>4</v>
      </c>
      <c r="BE63" s="106">
        <v>3465.6</v>
      </c>
      <c r="BF63" s="106">
        <v>3</v>
      </c>
      <c r="BG63" s="106">
        <v>2599.1999999999998</v>
      </c>
      <c r="BH63" s="106">
        <v>4</v>
      </c>
      <c r="BI63" s="106">
        <v>3465.6</v>
      </c>
      <c r="BJ63" s="106">
        <v>3.1039439514309679</v>
      </c>
      <c r="BK63" s="106">
        <v>2689.2570395197904</v>
      </c>
      <c r="BL63" s="106">
        <v>7.0816820239732534</v>
      </c>
      <c r="BM63" s="106">
        <v>6135.5693055704269</v>
      </c>
      <c r="BN63" s="106">
        <v>5.2765504048439285</v>
      </c>
      <c r="BO63" s="106">
        <v>4571.6032707567792</v>
      </c>
      <c r="BP63" s="106">
        <v>4</v>
      </c>
      <c r="BQ63" s="106">
        <v>3465.6</v>
      </c>
      <c r="BR63" s="106">
        <v>4</v>
      </c>
      <c r="BS63" s="106">
        <v>3465.6</v>
      </c>
      <c r="BT63" s="106">
        <v>4</v>
      </c>
      <c r="BU63" s="106">
        <v>3465.6</v>
      </c>
      <c r="BV63" s="106">
        <v>4</v>
      </c>
      <c r="BW63" s="106">
        <v>3465.6</v>
      </c>
      <c r="BX63" s="106">
        <v>5</v>
      </c>
      <c r="BY63" s="106">
        <v>4332</v>
      </c>
      <c r="BZ63" s="106">
        <v>9.3471738359031562</v>
      </c>
      <c r="CA63" s="106">
        <v>8098.3914114264944</v>
      </c>
      <c r="CB63" s="106">
        <v>7.107706445161373</v>
      </c>
      <c r="CC63" s="106">
        <v>6158.1168640878132</v>
      </c>
      <c r="CD63" s="106">
        <v>9.2580623255021433</v>
      </c>
      <c r="CE63" s="106">
        <v>8021.1851988150565</v>
      </c>
      <c r="CF63" s="106">
        <v>11.132304590245869</v>
      </c>
      <c r="CG63" s="106">
        <v>9645.0286969890203</v>
      </c>
      <c r="CH63" s="106">
        <v>10.106793537616724</v>
      </c>
      <c r="CI63" s="106">
        <v>8756.5259209911292</v>
      </c>
      <c r="CJ63" s="106">
        <v>7.1451507446863989</v>
      </c>
      <c r="CK63" s="106">
        <v>6190.5586051962955</v>
      </c>
      <c r="CL63" s="106">
        <v>6.3629133010941992</v>
      </c>
      <c r="CM63" s="106">
        <v>5512.8280840680136</v>
      </c>
      <c r="CN63" s="106">
        <v>3.342377288274732</v>
      </c>
      <c r="CO63" s="106">
        <v>2895.8356825612277</v>
      </c>
      <c r="CP63" s="106">
        <v>3.5237828226716288</v>
      </c>
      <c r="CQ63" s="106">
        <v>3053.0054375626992</v>
      </c>
      <c r="CR63" s="106">
        <v>3.7695829078162575</v>
      </c>
      <c r="CS63" s="106">
        <v>3265.9666313320054</v>
      </c>
      <c r="CT63" s="106">
        <v>4.4153895647033172</v>
      </c>
      <c r="CU63" s="106">
        <v>3825.4935188589538</v>
      </c>
    </row>
    <row r="64" spans="2:99" x14ac:dyDescent="0.2">
      <c r="C64" s="105" t="s">
        <v>230</v>
      </c>
      <c r="D64" s="106">
        <v>4.9322866990096443</v>
      </c>
      <c r="E64" s="106">
        <v>4308.8456602548258</v>
      </c>
      <c r="F64" s="106">
        <v>6</v>
      </c>
      <c r="G64" s="106">
        <v>5241.6000000000004</v>
      </c>
      <c r="H64" s="106">
        <v>8</v>
      </c>
      <c r="I64" s="106">
        <v>6988.8</v>
      </c>
      <c r="J64" s="106">
        <v>10.083141879229462</v>
      </c>
      <c r="K64" s="106">
        <v>8808.6327456948584</v>
      </c>
      <c r="L64" s="106">
        <v>4</v>
      </c>
      <c r="M64" s="106">
        <v>3494.4</v>
      </c>
      <c r="N64" s="106">
        <v>3</v>
      </c>
      <c r="O64" s="106">
        <v>2620.8000000000002</v>
      </c>
      <c r="P64" s="106">
        <v>3</v>
      </c>
      <c r="Q64" s="106">
        <v>2620.8000000000002</v>
      </c>
      <c r="R64" s="106">
        <v>3</v>
      </c>
      <c r="S64" s="106">
        <v>2620.8000000000002</v>
      </c>
      <c r="T64" s="106">
        <v>4</v>
      </c>
      <c r="U64" s="106">
        <v>3494.4</v>
      </c>
      <c r="V64" s="106">
        <v>3</v>
      </c>
      <c r="W64" s="106">
        <v>2620.8000000000002</v>
      </c>
      <c r="X64" s="106">
        <v>4.4489334399447538</v>
      </c>
      <c r="Y64" s="106">
        <v>3886.588253135737</v>
      </c>
      <c r="Z64" s="106">
        <v>3.3641121183615521</v>
      </c>
      <c r="AA64" s="106">
        <v>2938.8883466006519</v>
      </c>
      <c r="AB64" s="106">
        <v>7.2892129528707121</v>
      </c>
      <c r="AC64" s="106">
        <v>6367.8564356278539</v>
      </c>
      <c r="AD64" s="106">
        <v>5.0672746876878954</v>
      </c>
      <c r="AE64" s="106">
        <v>4426.7711671641455</v>
      </c>
      <c r="AF64" s="106">
        <v>4</v>
      </c>
      <c r="AG64" s="106">
        <v>3494.4</v>
      </c>
      <c r="AH64" s="106">
        <v>5</v>
      </c>
      <c r="AI64" s="106">
        <v>4368</v>
      </c>
      <c r="AJ64" s="106">
        <v>6</v>
      </c>
      <c r="AK64" s="106">
        <v>5241.6000000000004</v>
      </c>
      <c r="AL64" s="106">
        <v>8</v>
      </c>
      <c r="AM64" s="106">
        <v>6988.8</v>
      </c>
      <c r="AN64" s="106">
        <v>6.2469394116577384</v>
      </c>
      <c r="AO64" s="106">
        <v>5457.3262700242003</v>
      </c>
      <c r="AP64" s="106">
        <v>7.2186445925713585</v>
      </c>
      <c r="AQ64" s="106">
        <v>6306.2079160703388</v>
      </c>
      <c r="AR64" s="106">
        <v>10.237489692575281</v>
      </c>
      <c r="AS64" s="106">
        <v>8943.470995433765</v>
      </c>
      <c r="AT64" s="106">
        <v>6.1966229733163685</v>
      </c>
      <c r="AU64" s="106">
        <v>5413.3698294891792</v>
      </c>
      <c r="AV64" s="106">
        <v>6</v>
      </c>
      <c r="AW64" s="106">
        <v>5241.6000000000004</v>
      </c>
      <c r="AX64" s="106">
        <v>6</v>
      </c>
      <c r="AY64" s="106">
        <v>5241.6000000000004</v>
      </c>
      <c r="AZ64" s="106">
        <v>5.194652764394152</v>
      </c>
      <c r="BA64" s="106">
        <v>4538.0486549747311</v>
      </c>
      <c r="BB64" s="106">
        <v>4</v>
      </c>
      <c r="BC64" s="106">
        <v>3494.4</v>
      </c>
      <c r="BD64" s="106">
        <v>4</v>
      </c>
      <c r="BE64" s="106">
        <v>3494.4</v>
      </c>
      <c r="BF64" s="106">
        <v>4</v>
      </c>
      <c r="BG64" s="106">
        <v>3494.4</v>
      </c>
      <c r="BH64" s="106">
        <v>5</v>
      </c>
      <c r="BI64" s="106">
        <v>4368</v>
      </c>
      <c r="BJ64" s="106">
        <v>4.1039439514309679</v>
      </c>
      <c r="BK64" s="106">
        <v>3585.2054359700937</v>
      </c>
      <c r="BL64" s="106">
        <v>7.0816820239732534</v>
      </c>
      <c r="BM64" s="106">
        <v>6186.5574161430341</v>
      </c>
      <c r="BN64" s="106">
        <v>5.2765504048439285</v>
      </c>
      <c r="BO64" s="106">
        <v>4609.5944336716557</v>
      </c>
      <c r="BP64" s="106">
        <v>4</v>
      </c>
      <c r="BQ64" s="106">
        <v>3494.4</v>
      </c>
      <c r="BR64" s="106">
        <v>4</v>
      </c>
      <c r="BS64" s="106">
        <v>3494.4</v>
      </c>
      <c r="BT64" s="106">
        <v>5</v>
      </c>
      <c r="BU64" s="106">
        <v>4368</v>
      </c>
      <c r="BV64" s="106">
        <v>4</v>
      </c>
      <c r="BW64" s="106">
        <v>3494.4</v>
      </c>
      <c r="BX64" s="106">
        <v>6</v>
      </c>
      <c r="BY64" s="106">
        <v>5241.6000000000004</v>
      </c>
      <c r="BZ64" s="106">
        <v>8.3471738359031562</v>
      </c>
      <c r="CA64" s="106">
        <v>7292.0910630449971</v>
      </c>
      <c r="CB64" s="106">
        <v>7.1346330564517162</v>
      </c>
      <c r="CC64" s="106">
        <v>6232.8154381162194</v>
      </c>
      <c r="CD64" s="106">
        <v>10.258062325502143</v>
      </c>
      <c r="CE64" s="106">
        <v>8961.4432475586727</v>
      </c>
      <c r="CF64" s="106">
        <v>9.1323045902458695</v>
      </c>
      <c r="CG64" s="106">
        <v>7977.9812900387915</v>
      </c>
      <c r="CH64" s="106">
        <v>10.091537317957192</v>
      </c>
      <c r="CI64" s="106">
        <v>8815.9670009674028</v>
      </c>
      <c r="CJ64" s="106">
        <v>6.1451507446863989</v>
      </c>
      <c r="CK64" s="106">
        <v>5368.4036905580379</v>
      </c>
      <c r="CL64" s="106">
        <v>7.3175491384574238</v>
      </c>
      <c r="CM64" s="106">
        <v>6392.6109273564052</v>
      </c>
      <c r="CN64" s="106">
        <v>3.302097607301234</v>
      </c>
      <c r="CO64" s="106">
        <v>2884.7124697383583</v>
      </c>
      <c r="CP64" s="106">
        <v>3.5237828226716288</v>
      </c>
      <c r="CQ64" s="106">
        <v>3078.3766738859349</v>
      </c>
      <c r="CR64" s="106">
        <v>3.7695829078162575</v>
      </c>
      <c r="CS64" s="106">
        <v>3293.1076282682825</v>
      </c>
      <c r="CT64" s="106">
        <v>3.4569285211736496</v>
      </c>
      <c r="CU64" s="106">
        <v>3019.9727560973001</v>
      </c>
    </row>
    <row r="65" spans="2:99" x14ac:dyDescent="0.2">
      <c r="C65" s="105" t="s">
        <v>231</v>
      </c>
      <c r="D65" s="106">
        <v>5.465738228365038</v>
      </c>
      <c r="E65" s="106">
        <v>1902.0769034710331</v>
      </c>
      <c r="F65" s="106">
        <v>5</v>
      </c>
      <c r="G65" s="106">
        <v>1740</v>
      </c>
      <c r="H65" s="106">
        <v>8</v>
      </c>
      <c r="I65" s="106">
        <v>2784</v>
      </c>
      <c r="J65" s="106">
        <v>10</v>
      </c>
      <c r="K65" s="106">
        <v>3480</v>
      </c>
      <c r="L65" s="106">
        <v>4</v>
      </c>
      <c r="M65" s="106">
        <v>1392</v>
      </c>
      <c r="N65" s="106">
        <v>3</v>
      </c>
      <c r="O65" s="106">
        <v>1044</v>
      </c>
      <c r="P65" s="106">
        <v>2</v>
      </c>
      <c r="Q65" s="106">
        <v>696</v>
      </c>
      <c r="R65" s="106">
        <v>3</v>
      </c>
      <c r="S65" s="106">
        <v>1044</v>
      </c>
      <c r="T65" s="106">
        <v>5</v>
      </c>
      <c r="U65" s="106">
        <v>1740</v>
      </c>
      <c r="V65" s="106">
        <v>4</v>
      </c>
      <c r="W65" s="106">
        <v>1392</v>
      </c>
      <c r="X65" s="106">
        <v>5.3990519466175586</v>
      </c>
      <c r="Y65" s="106">
        <v>1878.8700774229103</v>
      </c>
      <c r="Z65" s="106">
        <v>3.4551401479519401</v>
      </c>
      <c r="AA65" s="106">
        <v>1202.3887714872751</v>
      </c>
      <c r="AB65" s="106">
        <v>7.2892129528707121</v>
      </c>
      <c r="AC65" s="106">
        <v>2536.6461075990078</v>
      </c>
      <c r="AD65" s="106">
        <v>5.0672746876878954</v>
      </c>
      <c r="AE65" s="106">
        <v>1763.4115913153876</v>
      </c>
      <c r="AF65" s="106">
        <v>4</v>
      </c>
      <c r="AG65" s="106">
        <v>1392</v>
      </c>
      <c r="AH65" s="106">
        <v>5</v>
      </c>
      <c r="AI65" s="106">
        <v>1740</v>
      </c>
      <c r="AJ65" s="106">
        <v>6</v>
      </c>
      <c r="AK65" s="106">
        <v>2088</v>
      </c>
      <c r="AL65" s="106">
        <v>7</v>
      </c>
      <c r="AM65" s="106">
        <v>2436</v>
      </c>
      <c r="AN65" s="106">
        <v>7.2469394116577384</v>
      </c>
      <c r="AO65" s="106">
        <v>2521.934915256893</v>
      </c>
      <c r="AP65" s="106">
        <v>8.2186445925713585</v>
      </c>
      <c r="AQ65" s="106">
        <v>2860.0883182148327</v>
      </c>
      <c r="AR65" s="106">
        <v>9.2849876310903365</v>
      </c>
      <c r="AS65" s="106">
        <v>3231.1756956194372</v>
      </c>
      <c r="AT65" s="106">
        <v>8.1966229733163676</v>
      </c>
      <c r="AU65" s="106">
        <v>2852.4247947140957</v>
      </c>
      <c r="AV65" s="106">
        <v>8</v>
      </c>
      <c r="AW65" s="106">
        <v>2784</v>
      </c>
      <c r="AX65" s="106">
        <v>6</v>
      </c>
      <c r="AY65" s="106">
        <v>2088</v>
      </c>
      <c r="AZ65" s="106">
        <v>5.194652764394152</v>
      </c>
      <c r="BA65" s="106">
        <v>1807.7391620091648</v>
      </c>
      <c r="BB65" s="106">
        <v>4</v>
      </c>
      <c r="BC65" s="106">
        <v>1392</v>
      </c>
      <c r="BD65" s="106">
        <v>4</v>
      </c>
      <c r="BE65" s="106">
        <v>1392</v>
      </c>
      <c r="BF65" s="106">
        <v>4</v>
      </c>
      <c r="BG65" s="106">
        <v>1392</v>
      </c>
      <c r="BH65" s="106">
        <v>5</v>
      </c>
      <c r="BI65" s="106">
        <v>1740</v>
      </c>
      <c r="BJ65" s="106">
        <v>4.1039439514309679</v>
      </c>
      <c r="BK65" s="106">
        <v>1428.1724950979769</v>
      </c>
      <c r="BL65" s="106">
        <v>8.0816820239732525</v>
      </c>
      <c r="BM65" s="106">
        <v>2812.4253443426919</v>
      </c>
      <c r="BN65" s="106">
        <v>5.2765504048439285</v>
      </c>
      <c r="BO65" s="106">
        <v>1836.2395408856871</v>
      </c>
      <c r="BP65" s="106">
        <v>4</v>
      </c>
      <c r="BQ65" s="106">
        <v>1392</v>
      </c>
      <c r="BR65" s="106">
        <v>5</v>
      </c>
      <c r="BS65" s="106">
        <v>1740</v>
      </c>
      <c r="BT65" s="106">
        <v>4</v>
      </c>
      <c r="BU65" s="106">
        <v>1392</v>
      </c>
      <c r="BV65" s="106">
        <v>4</v>
      </c>
      <c r="BW65" s="106">
        <v>1392</v>
      </c>
      <c r="BX65" s="106">
        <v>6</v>
      </c>
      <c r="BY65" s="106">
        <v>2088</v>
      </c>
      <c r="BZ65" s="106">
        <v>8.3967700981750344</v>
      </c>
      <c r="CA65" s="106">
        <v>2922.0759941649121</v>
      </c>
      <c r="CB65" s="106">
        <v>8.107706445161373</v>
      </c>
      <c r="CC65" s="106">
        <v>2821.4818429161578</v>
      </c>
      <c r="CD65" s="106">
        <v>10.301072713085833</v>
      </c>
      <c r="CE65" s="106">
        <v>3584.77330415387</v>
      </c>
      <c r="CF65" s="106">
        <v>11.132304590245869</v>
      </c>
      <c r="CG65" s="106">
        <v>3874.0419974055626</v>
      </c>
      <c r="CH65" s="106">
        <v>12.106793537616724</v>
      </c>
      <c r="CI65" s="106">
        <v>4213.1641510906202</v>
      </c>
      <c r="CJ65" s="106">
        <v>6.1209589539053324</v>
      </c>
      <c r="CK65" s="106">
        <v>2130.0937159590558</v>
      </c>
      <c r="CL65" s="106">
        <v>7.3629133010941992</v>
      </c>
      <c r="CM65" s="106">
        <v>2562.2938287807815</v>
      </c>
      <c r="CN65" s="106">
        <v>4.342377288274732</v>
      </c>
      <c r="CO65" s="106">
        <v>1511.1472963196068</v>
      </c>
      <c r="CP65" s="106">
        <v>3.5713994429145037</v>
      </c>
      <c r="CQ65" s="106">
        <v>1242.8470061342473</v>
      </c>
      <c r="CR65" s="106">
        <v>3.8176818395547736</v>
      </c>
      <c r="CS65" s="106">
        <v>1328.5532801650611</v>
      </c>
      <c r="CT65" s="106">
        <v>4.4153895647033172</v>
      </c>
      <c r="CU65" s="106">
        <v>1536.5555685167544</v>
      </c>
    </row>
    <row r="66" spans="2:99" x14ac:dyDescent="0.2">
      <c r="C66" s="105" t="s">
        <v>232</v>
      </c>
      <c r="D66" s="106">
        <v>4.9585312859718655</v>
      </c>
      <c r="E66" s="106">
        <v>3754.5998897378963</v>
      </c>
      <c r="F66" s="106">
        <v>5</v>
      </c>
      <c r="G66" s="106">
        <v>3785.9999999999995</v>
      </c>
      <c r="H66" s="106">
        <v>9</v>
      </c>
      <c r="I66" s="106">
        <v>6814.7999999999993</v>
      </c>
      <c r="J66" s="106">
        <v>10.09699885910104</v>
      </c>
      <c r="K66" s="106">
        <v>7645.4475361113073</v>
      </c>
      <c r="L66" s="106">
        <v>3.0000000000000004</v>
      </c>
      <c r="M66" s="106">
        <v>2271.6</v>
      </c>
      <c r="N66" s="106">
        <v>3</v>
      </c>
      <c r="O66" s="106">
        <v>2271.6</v>
      </c>
      <c r="P66" s="106">
        <v>2</v>
      </c>
      <c r="Q66" s="106">
        <v>1514.3999999999999</v>
      </c>
      <c r="R66" s="106">
        <v>3</v>
      </c>
      <c r="S66" s="106">
        <v>2271.6</v>
      </c>
      <c r="T66" s="106">
        <v>4</v>
      </c>
      <c r="U66" s="106">
        <v>3028.7999999999997</v>
      </c>
      <c r="V66" s="106">
        <v>4</v>
      </c>
      <c r="W66" s="106">
        <v>3028.7999999999997</v>
      </c>
      <c r="X66" s="106">
        <v>5.4489334399447538</v>
      </c>
      <c r="Y66" s="106">
        <v>4125.9324007261675</v>
      </c>
      <c r="Z66" s="106">
        <v>3.3641121183615521</v>
      </c>
      <c r="AA66" s="106">
        <v>2547.3056960233671</v>
      </c>
      <c r="AB66" s="106">
        <v>7.3253645719795513</v>
      </c>
      <c r="AC66" s="106">
        <v>5546.7660539029157</v>
      </c>
      <c r="AD66" s="106">
        <v>5.0672746876878954</v>
      </c>
      <c r="AE66" s="106">
        <v>3836.9403935172741</v>
      </c>
      <c r="AF66" s="106">
        <v>5</v>
      </c>
      <c r="AG66" s="106">
        <v>3785.9999999999995</v>
      </c>
      <c r="AH66" s="106">
        <v>5</v>
      </c>
      <c r="AI66" s="106">
        <v>3785.9999999999995</v>
      </c>
      <c r="AJ66" s="106">
        <v>6</v>
      </c>
      <c r="AK66" s="106">
        <v>4543.2</v>
      </c>
      <c r="AL66" s="106">
        <v>8</v>
      </c>
      <c r="AM66" s="106">
        <v>6057.5999999999995</v>
      </c>
      <c r="AN66" s="106">
        <v>7.2469394116577384</v>
      </c>
      <c r="AO66" s="106">
        <v>5487.3825225072387</v>
      </c>
      <c r="AP66" s="106">
        <v>7.2186445925713585</v>
      </c>
      <c r="AQ66" s="106">
        <v>5465.9576854950319</v>
      </c>
      <c r="AR66" s="106">
        <v>10.237489692575281</v>
      </c>
      <c r="AS66" s="106">
        <v>7751.8271952180021</v>
      </c>
      <c r="AT66" s="106">
        <v>7.1966229733163685</v>
      </c>
      <c r="AU66" s="106">
        <v>5449.2829153951534</v>
      </c>
      <c r="AV66" s="106">
        <v>7</v>
      </c>
      <c r="AW66" s="106">
        <v>5300.4</v>
      </c>
      <c r="AX66" s="106">
        <v>6</v>
      </c>
      <c r="AY66" s="106">
        <v>4543.2</v>
      </c>
      <c r="AZ66" s="106">
        <v>5.194652764394152</v>
      </c>
      <c r="BA66" s="106">
        <v>3933.3910731992514</v>
      </c>
      <c r="BB66" s="106">
        <v>4</v>
      </c>
      <c r="BC66" s="106">
        <v>3028.7999999999997</v>
      </c>
      <c r="BD66" s="106">
        <v>4</v>
      </c>
      <c r="BE66" s="106">
        <v>3028.7999999999997</v>
      </c>
      <c r="BF66" s="106">
        <v>3</v>
      </c>
      <c r="BG66" s="106">
        <v>2271.6</v>
      </c>
      <c r="BH66" s="106">
        <v>5</v>
      </c>
      <c r="BI66" s="106">
        <v>3785.9999999999995</v>
      </c>
      <c r="BJ66" s="106">
        <v>4.1039439514309679</v>
      </c>
      <c r="BK66" s="106">
        <v>3107.5063600235285</v>
      </c>
      <c r="BL66" s="106">
        <v>8.0816820239732525</v>
      </c>
      <c r="BM66" s="106">
        <v>6119.4496285525465</v>
      </c>
      <c r="BN66" s="106">
        <v>5.2304586707032739</v>
      </c>
      <c r="BO66" s="106">
        <v>3960.5033054565188</v>
      </c>
      <c r="BP66" s="106">
        <v>4</v>
      </c>
      <c r="BQ66" s="106">
        <v>3028.7999999999997</v>
      </c>
      <c r="BR66" s="106">
        <v>4</v>
      </c>
      <c r="BS66" s="106">
        <v>3028.7999999999997</v>
      </c>
      <c r="BT66" s="106">
        <v>4</v>
      </c>
      <c r="BU66" s="106">
        <v>3028.7999999999997</v>
      </c>
      <c r="BV66" s="106">
        <v>4</v>
      </c>
      <c r="BW66" s="106">
        <v>3028.7999999999997</v>
      </c>
      <c r="BX66" s="106">
        <v>6</v>
      </c>
      <c r="BY66" s="106">
        <v>4543.2</v>
      </c>
      <c r="BZ66" s="106">
        <v>8.3471738359031562</v>
      </c>
      <c r="CA66" s="106">
        <v>6320.4800285458696</v>
      </c>
      <c r="CB66" s="106">
        <v>7.1346330564517162</v>
      </c>
      <c r="CC66" s="106">
        <v>5402.3441503452386</v>
      </c>
      <c r="CD66" s="106">
        <v>9.3010727130858335</v>
      </c>
      <c r="CE66" s="106">
        <v>7042.7722583485929</v>
      </c>
      <c r="CF66" s="106">
        <v>10.132304590245869</v>
      </c>
      <c r="CG66" s="106">
        <v>7672.1810357341719</v>
      </c>
      <c r="CH66" s="106">
        <v>11.106793537616724</v>
      </c>
      <c r="CI66" s="106">
        <v>8410.0640666833824</v>
      </c>
      <c r="CJ66" s="106">
        <v>7.1209589539053324</v>
      </c>
      <c r="CK66" s="106">
        <v>5391.9901198971174</v>
      </c>
      <c r="CL66" s="106">
        <v>6.3629133010941992</v>
      </c>
      <c r="CM66" s="106">
        <v>4817.997951588527</v>
      </c>
      <c r="CN66" s="106">
        <v>4.302097607301234</v>
      </c>
      <c r="CO66" s="106">
        <v>3257.5483082484943</v>
      </c>
      <c r="CP66" s="106">
        <v>3.5237828226716288</v>
      </c>
      <c r="CQ66" s="106">
        <v>2668.208353326957</v>
      </c>
      <c r="CR66" s="106">
        <v>2.8176818395547736</v>
      </c>
      <c r="CS66" s="106">
        <v>2133.5486889108743</v>
      </c>
      <c r="CT66" s="106">
        <v>4.4153895647033172</v>
      </c>
      <c r="CU66" s="106">
        <v>3343.3329783933514</v>
      </c>
    </row>
    <row r="67" spans="2:99" x14ac:dyDescent="0.2">
      <c r="C67" s="105" t="s">
        <v>233</v>
      </c>
      <c r="D67" s="106">
        <v>4.9322866990096443</v>
      </c>
      <c r="E67" s="106">
        <v>1970.9417649242537</v>
      </c>
      <c r="F67" s="106">
        <v>5</v>
      </c>
      <c r="G67" s="106">
        <v>1997.9999999999998</v>
      </c>
      <c r="H67" s="106">
        <v>9</v>
      </c>
      <c r="I67" s="106">
        <v>3596.3999999999996</v>
      </c>
      <c r="J67" s="106">
        <v>10.09699885910104</v>
      </c>
      <c r="K67" s="106">
        <v>4034.7607440967754</v>
      </c>
      <c r="L67" s="106">
        <v>4</v>
      </c>
      <c r="M67" s="106">
        <v>1598.3999999999999</v>
      </c>
      <c r="N67" s="106">
        <v>3</v>
      </c>
      <c r="O67" s="106">
        <v>1198.8</v>
      </c>
      <c r="P67" s="106">
        <v>2</v>
      </c>
      <c r="Q67" s="106">
        <v>799.19999999999993</v>
      </c>
      <c r="R67" s="106">
        <v>3</v>
      </c>
      <c r="S67" s="106">
        <v>1198.8</v>
      </c>
      <c r="T67" s="106">
        <v>5</v>
      </c>
      <c r="U67" s="106">
        <v>1997.9999999999998</v>
      </c>
      <c r="V67" s="106">
        <v>4</v>
      </c>
      <c r="W67" s="106">
        <v>1598.3999999999999</v>
      </c>
      <c r="X67" s="106">
        <v>5.4489334399447538</v>
      </c>
      <c r="Y67" s="106">
        <v>2177.3938026019232</v>
      </c>
      <c r="Z67" s="106">
        <v>3.3641121183615521</v>
      </c>
      <c r="AA67" s="106">
        <v>1344.2992024972762</v>
      </c>
      <c r="AB67" s="106">
        <v>7.2892129528707121</v>
      </c>
      <c r="AC67" s="106">
        <v>2912.7694959671362</v>
      </c>
      <c r="AD67" s="106">
        <v>6.0672746876878954</v>
      </c>
      <c r="AE67" s="106">
        <v>2424.4829652000826</v>
      </c>
      <c r="AF67" s="106">
        <v>4</v>
      </c>
      <c r="AG67" s="106">
        <v>1598.3999999999999</v>
      </c>
      <c r="AH67" s="106">
        <v>5</v>
      </c>
      <c r="AI67" s="106">
        <v>1997.9999999999998</v>
      </c>
      <c r="AJ67" s="106">
        <v>7</v>
      </c>
      <c r="AK67" s="106">
        <v>2797.2</v>
      </c>
      <c r="AL67" s="106">
        <v>8</v>
      </c>
      <c r="AM67" s="106">
        <v>3196.7999999999997</v>
      </c>
      <c r="AN67" s="106">
        <v>6.296327293989286</v>
      </c>
      <c r="AO67" s="106">
        <v>2516.0123866781187</v>
      </c>
      <c r="AP67" s="106">
        <v>7.2186445925713585</v>
      </c>
      <c r="AQ67" s="106">
        <v>2884.5703791915148</v>
      </c>
      <c r="AR67" s="106">
        <v>10.237489692575281</v>
      </c>
      <c r="AS67" s="106">
        <v>4090.9008811530816</v>
      </c>
      <c r="AT67" s="106">
        <v>7.2457787166454599</v>
      </c>
      <c r="AU67" s="106">
        <v>2895.4131751715254</v>
      </c>
      <c r="AV67" s="106">
        <v>7</v>
      </c>
      <c r="AW67" s="106">
        <v>2797.2</v>
      </c>
      <c r="AX67" s="106">
        <v>6</v>
      </c>
      <c r="AY67" s="106">
        <v>2397.6</v>
      </c>
      <c r="AZ67" s="106">
        <v>5.1557222115153216</v>
      </c>
      <c r="BA67" s="106">
        <v>2060.2265957215222</v>
      </c>
      <c r="BB67" s="106">
        <v>4</v>
      </c>
      <c r="BC67" s="106">
        <v>1598.3999999999999</v>
      </c>
      <c r="BD67" s="106">
        <v>4</v>
      </c>
      <c r="BE67" s="106">
        <v>1598.3999999999999</v>
      </c>
      <c r="BF67" s="106">
        <v>4</v>
      </c>
      <c r="BG67" s="106">
        <v>1598.3999999999999</v>
      </c>
      <c r="BH67" s="106">
        <v>5</v>
      </c>
      <c r="BI67" s="106">
        <v>1997.9999999999998</v>
      </c>
      <c r="BJ67" s="106">
        <v>4.1039439514309679</v>
      </c>
      <c r="BK67" s="106">
        <v>1639.9360029918146</v>
      </c>
      <c r="BL67" s="106">
        <v>8.0816820239732525</v>
      </c>
      <c r="BM67" s="106">
        <v>3229.4401367797113</v>
      </c>
      <c r="BN67" s="106">
        <v>5.2304586707032739</v>
      </c>
      <c r="BO67" s="106">
        <v>2090.0912848130279</v>
      </c>
      <c r="BP67" s="106">
        <v>4</v>
      </c>
      <c r="BQ67" s="106">
        <v>1598.3999999999999</v>
      </c>
      <c r="BR67" s="106">
        <v>4</v>
      </c>
      <c r="BS67" s="106">
        <v>1598.3999999999999</v>
      </c>
      <c r="BT67" s="106">
        <v>5</v>
      </c>
      <c r="BU67" s="106">
        <v>1997.9999999999998</v>
      </c>
      <c r="BV67" s="106">
        <v>4</v>
      </c>
      <c r="BW67" s="106">
        <v>1598.3999999999999</v>
      </c>
      <c r="BX67" s="106">
        <v>6</v>
      </c>
      <c r="BY67" s="106">
        <v>2397.6</v>
      </c>
      <c r="BZ67" s="106">
        <v>9.3967700981750344</v>
      </c>
      <c r="CA67" s="106">
        <v>3754.9493312307436</v>
      </c>
      <c r="CB67" s="106">
        <v>7.1346330564517162</v>
      </c>
      <c r="CC67" s="106">
        <v>2850.9993693581055</v>
      </c>
      <c r="CD67" s="106">
        <v>11.301072713085833</v>
      </c>
      <c r="CE67" s="106">
        <v>4515.9086561490985</v>
      </c>
      <c r="CF67" s="106">
        <v>10.158765508295044</v>
      </c>
      <c r="CG67" s="106">
        <v>4059.4426971146991</v>
      </c>
      <c r="CH67" s="106">
        <v>11.091537317957192</v>
      </c>
      <c r="CI67" s="106">
        <v>4432.1783122556935</v>
      </c>
      <c r="CJ67" s="106">
        <v>7.1451507446863989</v>
      </c>
      <c r="CK67" s="106">
        <v>2855.2022375766846</v>
      </c>
      <c r="CL67" s="106">
        <v>7.3175491384574238</v>
      </c>
      <c r="CM67" s="106">
        <v>2924.0926357275862</v>
      </c>
      <c r="CN67" s="106">
        <v>4.342377288274732</v>
      </c>
      <c r="CO67" s="106">
        <v>1735.2139643945827</v>
      </c>
      <c r="CP67" s="106">
        <v>3.5713994429145037</v>
      </c>
      <c r="CQ67" s="106">
        <v>1427.1312173886356</v>
      </c>
      <c r="CR67" s="106">
        <v>3.7695829078162575</v>
      </c>
      <c r="CS67" s="106">
        <v>1506.3253299633764</v>
      </c>
      <c r="CT67" s="106">
        <v>4.4153895647033172</v>
      </c>
      <c r="CU67" s="106">
        <v>1764.3896700554453</v>
      </c>
    </row>
    <row r="68" spans="2:99" x14ac:dyDescent="0.2">
      <c r="C68" s="105" t="s">
        <v>234</v>
      </c>
      <c r="D68" s="106">
        <v>4.9322866990096443</v>
      </c>
      <c r="E68" s="106">
        <v>4652.132814505896</v>
      </c>
      <c r="F68" s="106">
        <v>6</v>
      </c>
      <c r="G68" s="106">
        <v>5659.2</v>
      </c>
      <c r="H68" s="106">
        <v>8</v>
      </c>
      <c r="I68" s="106">
        <v>7545.5999999999995</v>
      </c>
      <c r="J68" s="106">
        <v>9</v>
      </c>
      <c r="K68" s="106">
        <v>8488.7999999999993</v>
      </c>
      <c r="L68" s="106">
        <v>4</v>
      </c>
      <c r="M68" s="106">
        <v>3772.7999999999997</v>
      </c>
      <c r="N68" s="106">
        <v>3</v>
      </c>
      <c r="O68" s="106">
        <v>2829.6</v>
      </c>
      <c r="P68" s="106">
        <v>3</v>
      </c>
      <c r="Q68" s="106">
        <v>2829.6</v>
      </c>
      <c r="R68" s="106">
        <v>3</v>
      </c>
      <c r="S68" s="106">
        <v>2829.6</v>
      </c>
      <c r="T68" s="106">
        <v>5</v>
      </c>
      <c r="U68" s="106">
        <v>4716</v>
      </c>
      <c r="V68" s="106">
        <v>3</v>
      </c>
      <c r="W68" s="106">
        <v>2829.6</v>
      </c>
      <c r="X68" s="106">
        <v>4.3990519466175586</v>
      </c>
      <c r="Y68" s="106">
        <v>4149.1857960496809</v>
      </c>
      <c r="Z68" s="106">
        <v>3.4096261331567463</v>
      </c>
      <c r="AA68" s="106">
        <v>3215.959368793443</v>
      </c>
      <c r="AB68" s="106">
        <v>6.3253645719795513</v>
      </c>
      <c r="AC68" s="106">
        <v>5966.0838642911121</v>
      </c>
      <c r="AD68" s="106">
        <v>6.0672746876878954</v>
      </c>
      <c r="AE68" s="106">
        <v>5722.6534854272222</v>
      </c>
      <c r="AF68" s="106">
        <v>5</v>
      </c>
      <c r="AG68" s="106">
        <v>4716</v>
      </c>
      <c r="AH68" s="106">
        <v>4</v>
      </c>
      <c r="AI68" s="106">
        <v>3772.7999999999997</v>
      </c>
      <c r="AJ68" s="106">
        <v>6</v>
      </c>
      <c r="AK68" s="106">
        <v>5659.2</v>
      </c>
      <c r="AL68" s="106">
        <v>7</v>
      </c>
      <c r="AM68" s="106">
        <v>6602.4</v>
      </c>
      <c r="AN68" s="106">
        <v>6.2469394116577384</v>
      </c>
      <c r="AO68" s="106">
        <v>5892.1132530755785</v>
      </c>
      <c r="AP68" s="106">
        <v>7.2186445925713585</v>
      </c>
      <c r="AQ68" s="106">
        <v>6808.6255797133044</v>
      </c>
      <c r="AR68" s="106">
        <v>9.2374896925752807</v>
      </c>
      <c r="AS68" s="106">
        <v>8712.8002780370043</v>
      </c>
      <c r="AT68" s="106">
        <v>7.1966229733163685</v>
      </c>
      <c r="AU68" s="106">
        <v>6787.8547884319978</v>
      </c>
      <c r="AV68" s="106">
        <v>8</v>
      </c>
      <c r="AW68" s="106">
        <v>7545.5999999999995</v>
      </c>
      <c r="AX68" s="106">
        <v>5</v>
      </c>
      <c r="AY68" s="106">
        <v>4716</v>
      </c>
      <c r="AZ68" s="106">
        <v>5.1557222115153216</v>
      </c>
      <c r="BA68" s="106">
        <v>4862.8771899012509</v>
      </c>
      <c r="BB68" s="106">
        <v>3</v>
      </c>
      <c r="BC68" s="106">
        <v>2829.6</v>
      </c>
      <c r="BD68" s="106">
        <v>4</v>
      </c>
      <c r="BE68" s="106">
        <v>3772.7999999999997</v>
      </c>
      <c r="BF68" s="106">
        <v>4</v>
      </c>
      <c r="BG68" s="106">
        <v>3772.7999999999997</v>
      </c>
      <c r="BH68" s="106">
        <v>5</v>
      </c>
      <c r="BI68" s="106">
        <v>4716</v>
      </c>
      <c r="BJ68" s="106">
        <v>4.1039439514309679</v>
      </c>
      <c r="BK68" s="106">
        <v>3870.8399349896886</v>
      </c>
      <c r="BL68" s="106">
        <v>7.0816820239732534</v>
      </c>
      <c r="BM68" s="106">
        <v>6679.442485011572</v>
      </c>
      <c r="BN68" s="106">
        <v>5.2304586707032739</v>
      </c>
      <c r="BO68" s="106">
        <v>4933.3686182073279</v>
      </c>
      <c r="BP68" s="106">
        <v>4</v>
      </c>
      <c r="BQ68" s="106">
        <v>3772.7999999999997</v>
      </c>
      <c r="BR68" s="106">
        <v>4</v>
      </c>
      <c r="BS68" s="106">
        <v>3772.7999999999997</v>
      </c>
      <c r="BT68" s="106">
        <v>4</v>
      </c>
      <c r="BU68" s="106">
        <v>3772.7999999999997</v>
      </c>
      <c r="BV68" s="106">
        <v>4</v>
      </c>
      <c r="BW68" s="106">
        <v>3772.7999999999997</v>
      </c>
      <c r="BX68" s="106">
        <v>6</v>
      </c>
      <c r="BY68" s="106">
        <v>5659.2</v>
      </c>
      <c r="BZ68" s="106">
        <v>7.3967700981750344</v>
      </c>
      <c r="CA68" s="106">
        <v>6976.6335565986919</v>
      </c>
      <c r="CB68" s="106">
        <v>7.107706445161373</v>
      </c>
      <c r="CC68" s="106">
        <v>6703.9887190762065</v>
      </c>
      <c r="CD68" s="106">
        <v>10.301072713085833</v>
      </c>
      <c r="CE68" s="106">
        <v>9715.9717829825568</v>
      </c>
      <c r="CF68" s="106">
        <v>10.132304590245869</v>
      </c>
      <c r="CG68" s="106">
        <v>9556.7896895199028</v>
      </c>
      <c r="CH68" s="106">
        <v>10.106793537616724</v>
      </c>
      <c r="CI68" s="106">
        <v>9532.7276646800929</v>
      </c>
      <c r="CJ68" s="106">
        <v>6.1451507446863989</v>
      </c>
      <c r="CK68" s="106">
        <v>5796.106182388211</v>
      </c>
      <c r="CL68" s="106">
        <v>7.3629133010941992</v>
      </c>
      <c r="CM68" s="106">
        <v>6944.699825592048</v>
      </c>
      <c r="CN68" s="106">
        <v>4.302097607301234</v>
      </c>
      <c r="CO68" s="106">
        <v>4057.7384632065236</v>
      </c>
      <c r="CP68" s="106">
        <v>3.5713994429145037</v>
      </c>
      <c r="CQ68" s="106">
        <v>3368.5439545569598</v>
      </c>
      <c r="CR68" s="106">
        <v>2.7695829078162575</v>
      </c>
      <c r="CS68" s="106">
        <v>2612.2705986522938</v>
      </c>
      <c r="CT68" s="106">
        <v>3.3738506082329858</v>
      </c>
      <c r="CU68" s="106">
        <v>3182.2158936853521</v>
      </c>
    </row>
    <row r="69" spans="2:99" x14ac:dyDescent="0.2">
      <c r="C69" s="105" t="s">
        <v>235</v>
      </c>
      <c r="D69" s="106">
        <v>4.1651165281732903</v>
      </c>
      <c r="E69" s="106">
        <v>3688.6271973502658</v>
      </c>
      <c r="F69" s="106">
        <v>5.2987765800259554</v>
      </c>
      <c r="G69" s="106">
        <v>4692.5965392709859</v>
      </c>
      <c r="H69" s="106">
        <v>8</v>
      </c>
      <c r="I69" s="106">
        <v>7084.8</v>
      </c>
      <c r="J69" s="106">
        <v>10.324793434385072</v>
      </c>
      <c r="K69" s="106">
        <v>9143.637065491419</v>
      </c>
      <c r="L69" s="106">
        <v>4.6520026365429121</v>
      </c>
      <c r="M69" s="106">
        <v>4119.8135349224031</v>
      </c>
      <c r="N69" s="106">
        <v>3.383193605644955</v>
      </c>
      <c r="O69" s="106">
        <v>2996.1562571591721</v>
      </c>
      <c r="P69" s="106">
        <v>2.6473178591863737</v>
      </c>
      <c r="Q69" s="106">
        <v>2344.4646960954528</v>
      </c>
      <c r="R69" s="106">
        <v>3.2528175533439279</v>
      </c>
      <c r="S69" s="106">
        <v>2880.6952252413826</v>
      </c>
      <c r="T69" s="106">
        <v>5.2501037125469647</v>
      </c>
      <c r="U69" s="106">
        <v>4649.4918478315922</v>
      </c>
      <c r="V69" s="106">
        <v>4.5982343466772315</v>
      </c>
      <c r="W69" s="106">
        <v>4072.1963374173565</v>
      </c>
      <c r="X69" s="106">
        <v>4</v>
      </c>
      <c r="Y69" s="106">
        <v>3542.4</v>
      </c>
      <c r="Z69" s="106">
        <v>3.3009917763614691</v>
      </c>
      <c r="AA69" s="106">
        <v>2923.3583171457171</v>
      </c>
      <c r="AB69" s="106">
        <v>6</v>
      </c>
      <c r="AC69" s="106">
        <v>5313.6</v>
      </c>
      <c r="AD69" s="106">
        <v>5.2437221758811683</v>
      </c>
      <c r="AE69" s="106">
        <v>4643.8403589603631</v>
      </c>
      <c r="AF69" s="106">
        <v>4.2575296937908806</v>
      </c>
      <c r="AG69" s="106">
        <v>3770.4682968212041</v>
      </c>
      <c r="AH69" s="106">
        <v>4.1204552506481535</v>
      </c>
      <c r="AI69" s="106">
        <v>3649.0751699740049</v>
      </c>
      <c r="AJ69" s="106">
        <v>5.1147425619971338</v>
      </c>
      <c r="AK69" s="106">
        <v>4529.6160129046621</v>
      </c>
      <c r="AL69" s="106">
        <v>7.1676602509458966</v>
      </c>
      <c r="AM69" s="106">
        <v>6347.6799182376863</v>
      </c>
      <c r="AN69" s="106">
        <v>7.1759916136947606</v>
      </c>
      <c r="AO69" s="106">
        <v>6355.0581730880804</v>
      </c>
      <c r="AP69" s="106">
        <v>7.0522942093445957</v>
      </c>
      <c r="AQ69" s="106">
        <v>6245.5117517955741</v>
      </c>
      <c r="AR69" s="106">
        <v>9.0806215229901817</v>
      </c>
      <c r="AS69" s="106">
        <v>8041.7984207601048</v>
      </c>
      <c r="AT69" s="106">
        <v>7.0744473615580965</v>
      </c>
      <c r="AU69" s="106">
        <v>6265.1305833958504</v>
      </c>
      <c r="AV69" s="106">
        <v>7</v>
      </c>
      <c r="AW69" s="106">
        <v>6199.2</v>
      </c>
      <c r="AX69" s="106">
        <v>6.2190414266607297</v>
      </c>
      <c r="AY69" s="106">
        <v>5507.5830874507419</v>
      </c>
      <c r="AZ69" s="106">
        <v>5.1260615766993674</v>
      </c>
      <c r="BA69" s="106">
        <v>4539.6401323249602</v>
      </c>
      <c r="BB69" s="106">
        <v>4.1415697026720917</v>
      </c>
      <c r="BC69" s="106">
        <v>3667.7741286864043</v>
      </c>
      <c r="BD69" s="106">
        <v>4</v>
      </c>
      <c r="BE69" s="106">
        <v>3542.4</v>
      </c>
      <c r="BF69" s="106">
        <v>4.2820403581840916</v>
      </c>
      <c r="BG69" s="106">
        <v>3792.1749412078316</v>
      </c>
      <c r="BH69" s="106">
        <v>5</v>
      </c>
      <c r="BI69" s="106">
        <v>4428</v>
      </c>
      <c r="BJ69" s="106">
        <v>4.1592453603506012</v>
      </c>
      <c r="BK69" s="106">
        <v>3683.4276911264924</v>
      </c>
      <c r="BL69" s="106">
        <v>7</v>
      </c>
      <c r="BM69" s="106">
        <v>6199.2</v>
      </c>
      <c r="BN69" s="106">
        <v>4.202119518522113</v>
      </c>
      <c r="BO69" s="106">
        <v>3721.3970456031834</v>
      </c>
      <c r="BP69" s="106">
        <v>3.1338445741913734</v>
      </c>
      <c r="BQ69" s="106">
        <v>2775.3327549038804</v>
      </c>
      <c r="BR69" s="106">
        <v>4.2261507121570174</v>
      </c>
      <c r="BS69" s="106">
        <v>3742.6790706862548</v>
      </c>
      <c r="BT69" s="106">
        <v>4</v>
      </c>
      <c r="BU69" s="106">
        <v>3542.4</v>
      </c>
      <c r="BV69" s="106">
        <v>4.1908465927385095</v>
      </c>
      <c r="BW69" s="106">
        <v>3711.4137425292242</v>
      </c>
      <c r="BX69" s="106">
        <v>5.1543786419230386</v>
      </c>
      <c r="BY69" s="106">
        <v>4564.7177252870433</v>
      </c>
      <c r="BZ69" s="106">
        <v>9.2342121061583491</v>
      </c>
      <c r="CA69" s="106">
        <v>8177.818241213834</v>
      </c>
      <c r="CB69" s="106">
        <v>7.1042984554623692</v>
      </c>
      <c r="CC69" s="106">
        <v>6291.5667121574743</v>
      </c>
      <c r="CD69" s="106">
        <v>9.1524337208767612</v>
      </c>
      <c r="CE69" s="106">
        <v>8105.3953032084601</v>
      </c>
      <c r="CF69" s="106">
        <v>11</v>
      </c>
      <c r="CG69" s="106">
        <v>9741.6</v>
      </c>
      <c r="CH69" s="106">
        <v>11.349184699827639</v>
      </c>
      <c r="CI69" s="106">
        <v>10050.837970167357</v>
      </c>
      <c r="CJ69" s="106">
        <v>6</v>
      </c>
      <c r="CK69" s="106">
        <v>5313.6</v>
      </c>
      <c r="CL69" s="106">
        <v>6.3096408616247315</v>
      </c>
      <c r="CM69" s="106">
        <v>5587.8179470548621</v>
      </c>
      <c r="CN69" s="106">
        <v>3.386122942009516</v>
      </c>
      <c r="CO69" s="106">
        <v>2998.7504774436275</v>
      </c>
      <c r="CP69" s="106">
        <v>4.4518216779533226</v>
      </c>
      <c r="CQ69" s="106">
        <v>3942.5332779954624</v>
      </c>
      <c r="CR69" s="106">
        <v>2.5384455062019002</v>
      </c>
      <c r="CS69" s="106">
        <v>2248.0473402924031</v>
      </c>
      <c r="CT69" s="106">
        <v>4.1949127171453187</v>
      </c>
      <c r="CU69" s="106">
        <v>3715.0147023038944</v>
      </c>
    </row>
    <row r="70" spans="2:99" x14ac:dyDescent="0.2">
      <c r="C70" s="105" t="s">
        <v>236</v>
      </c>
      <c r="D70" s="106">
        <v>3.7486048753559613</v>
      </c>
      <c r="E70" s="106">
        <v>2654.0122517520208</v>
      </c>
      <c r="F70" s="106">
        <v>5.2987765800259554</v>
      </c>
      <c r="G70" s="106">
        <v>3751.5338186583763</v>
      </c>
      <c r="H70" s="106">
        <v>9</v>
      </c>
      <c r="I70" s="106">
        <v>6372</v>
      </c>
      <c r="J70" s="106">
        <v>9.3711924964400826</v>
      </c>
      <c r="K70" s="106">
        <v>6634.8042874795783</v>
      </c>
      <c r="L70" s="106">
        <v>4.6520026365429121</v>
      </c>
      <c r="M70" s="106">
        <v>3293.6178666723818</v>
      </c>
      <c r="N70" s="106">
        <v>3.383193605644955</v>
      </c>
      <c r="O70" s="106">
        <v>2395.301072796628</v>
      </c>
      <c r="P70" s="106">
        <v>3.6935548491282577</v>
      </c>
      <c r="Q70" s="106">
        <v>2615.0368331828063</v>
      </c>
      <c r="R70" s="106">
        <v>3.2317494238986004</v>
      </c>
      <c r="S70" s="106">
        <v>2288.0785921202091</v>
      </c>
      <c r="T70" s="106">
        <v>5.277893013941072</v>
      </c>
      <c r="U70" s="106">
        <v>3736.7482538702789</v>
      </c>
      <c r="V70" s="106">
        <v>3.5982343466772311</v>
      </c>
      <c r="W70" s="106">
        <v>2547.5499174474794</v>
      </c>
      <c r="X70" s="106">
        <v>5</v>
      </c>
      <c r="Y70" s="106">
        <v>3540</v>
      </c>
      <c r="Z70" s="106">
        <v>3.3386157484066525</v>
      </c>
      <c r="AA70" s="106">
        <v>2363.7399498719101</v>
      </c>
      <c r="AB70" s="106">
        <v>7</v>
      </c>
      <c r="AC70" s="106">
        <v>4956</v>
      </c>
      <c r="AD70" s="106">
        <v>5.2437221758811683</v>
      </c>
      <c r="AE70" s="106">
        <v>3712.5553005238671</v>
      </c>
      <c r="AF70" s="106">
        <v>5.2575296937908806</v>
      </c>
      <c r="AG70" s="106">
        <v>3722.3310232039435</v>
      </c>
      <c r="AH70" s="106">
        <v>5.1095047733165035</v>
      </c>
      <c r="AI70" s="106">
        <v>3617.5293795080847</v>
      </c>
      <c r="AJ70" s="106">
        <v>6.1338663223299896</v>
      </c>
      <c r="AK70" s="106">
        <v>4342.7773562096327</v>
      </c>
      <c r="AL70" s="106">
        <v>7.1676602509458966</v>
      </c>
      <c r="AM70" s="106">
        <v>5074.7034576696951</v>
      </c>
      <c r="AN70" s="106">
        <v>7.2111899364337129</v>
      </c>
      <c r="AO70" s="106">
        <v>5105.5224749950685</v>
      </c>
      <c r="AP70" s="106">
        <v>6.0522942093445957</v>
      </c>
      <c r="AQ70" s="106">
        <v>4285.0243002159741</v>
      </c>
      <c r="AR70" s="106">
        <v>9.0967458275882169</v>
      </c>
      <c r="AS70" s="106">
        <v>6440.4960459324575</v>
      </c>
      <c r="AT70" s="106">
        <v>7.0595578892464772</v>
      </c>
      <c r="AU70" s="106">
        <v>4998.1669855865057</v>
      </c>
      <c r="AV70" s="106">
        <v>7</v>
      </c>
      <c r="AW70" s="106">
        <v>4956</v>
      </c>
      <c r="AX70" s="106">
        <v>5.2190414266607297</v>
      </c>
      <c r="AY70" s="106">
        <v>3695.0813300757968</v>
      </c>
      <c r="AZ70" s="106">
        <v>5.1260615766993674</v>
      </c>
      <c r="BA70" s="106">
        <v>3629.2515963031519</v>
      </c>
      <c r="BB70" s="106">
        <v>4.1415697026720917</v>
      </c>
      <c r="BC70" s="106">
        <v>2932.2313494918408</v>
      </c>
      <c r="BD70" s="106">
        <v>4</v>
      </c>
      <c r="BE70" s="106">
        <v>2832</v>
      </c>
      <c r="BF70" s="106">
        <v>4.2820403581840916</v>
      </c>
      <c r="BG70" s="106">
        <v>3031.6845735943371</v>
      </c>
      <c r="BH70" s="106">
        <v>5</v>
      </c>
      <c r="BI70" s="106">
        <v>3540</v>
      </c>
      <c r="BJ70" s="106">
        <v>4.1592453603506012</v>
      </c>
      <c r="BK70" s="106">
        <v>2944.7457151282256</v>
      </c>
      <c r="BL70" s="106">
        <v>8</v>
      </c>
      <c r="BM70" s="106">
        <v>5664</v>
      </c>
      <c r="BN70" s="106">
        <v>5.2425434222265359</v>
      </c>
      <c r="BO70" s="106">
        <v>3711.7207429363875</v>
      </c>
      <c r="BP70" s="106">
        <v>4.1338445741913734</v>
      </c>
      <c r="BQ70" s="106">
        <v>2926.7619585274924</v>
      </c>
      <c r="BR70" s="106">
        <v>5.2261507121570174</v>
      </c>
      <c r="BS70" s="106">
        <v>3700.1147042071684</v>
      </c>
      <c r="BT70" s="106">
        <v>4</v>
      </c>
      <c r="BU70" s="106">
        <v>2832</v>
      </c>
      <c r="BV70" s="106">
        <v>4.2385582409231368</v>
      </c>
      <c r="BW70" s="106">
        <v>3000.899234573581</v>
      </c>
      <c r="BX70" s="106">
        <v>6.1543786419230386</v>
      </c>
      <c r="BY70" s="106">
        <v>4357.3000784815113</v>
      </c>
      <c r="BZ70" s="106">
        <v>9.2342121061583491</v>
      </c>
      <c r="CA70" s="106">
        <v>6537.8221711601109</v>
      </c>
      <c r="CB70" s="106">
        <v>8.1303730693279626</v>
      </c>
      <c r="CC70" s="106">
        <v>5756.3041330841979</v>
      </c>
      <c r="CD70" s="106">
        <v>11.177839341022887</v>
      </c>
      <c r="CE70" s="106">
        <v>7913.9102534442036</v>
      </c>
      <c r="CF70" s="106">
        <v>11</v>
      </c>
      <c r="CG70" s="106">
        <v>7788</v>
      </c>
      <c r="CH70" s="106">
        <v>10.349184699827639</v>
      </c>
      <c r="CI70" s="106">
        <v>7327.2227674779679</v>
      </c>
      <c r="CJ70" s="106">
        <v>6</v>
      </c>
      <c r="CK70" s="106">
        <v>4248</v>
      </c>
      <c r="CL70" s="106">
        <v>7.3096408616247315</v>
      </c>
      <c r="CM70" s="106">
        <v>5175.2257300303099</v>
      </c>
      <c r="CN70" s="106">
        <v>3.3619902581339214</v>
      </c>
      <c r="CO70" s="106">
        <v>2380.2891027588162</v>
      </c>
      <c r="CP70" s="106">
        <v>4.4894734844494328</v>
      </c>
      <c r="CQ70" s="106">
        <v>3178.5472269901984</v>
      </c>
      <c r="CR70" s="106">
        <v>3.5067722411312001</v>
      </c>
      <c r="CS70" s="106">
        <v>2482.7947467208896</v>
      </c>
      <c r="CT70" s="106">
        <v>4.2144039888598508</v>
      </c>
      <c r="CU70" s="106">
        <v>2983.7980241127743</v>
      </c>
    </row>
    <row r="71" spans="2:99" x14ac:dyDescent="0.2">
      <c r="B71" s="105" t="s">
        <v>130</v>
      </c>
      <c r="C71" s="105" t="s">
        <v>237</v>
      </c>
      <c r="D71" s="106">
        <v>5.1947325686318582</v>
      </c>
      <c r="E71" s="106">
        <v>2911.1281314612934</v>
      </c>
      <c r="F71" s="106">
        <v>7</v>
      </c>
      <c r="G71" s="106">
        <v>3922.7999999999997</v>
      </c>
      <c r="H71" s="106">
        <v>10</v>
      </c>
      <c r="I71" s="106">
        <v>5604</v>
      </c>
      <c r="J71" s="106">
        <v>5.166283758458925</v>
      </c>
      <c r="K71" s="106">
        <v>2895.1854182403813</v>
      </c>
      <c r="L71" s="106">
        <v>5</v>
      </c>
      <c r="M71" s="106">
        <v>2802</v>
      </c>
      <c r="N71" s="106">
        <v>4</v>
      </c>
      <c r="O71" s="106">
        <v>2241.6</v>
      </c>
      <c r="P71" s="106">
        <v>5</v>
      </c>
      <c r="Q71" s="106">
        <v>2802</v>
      </c>
      <c r="R71" s="106">
        <v>4</v>
      </c>
      <c r="S71" s="106">
        <v>2241.6</v>
      </c>
      <c r="T71" s="106">
        <v>2</v>
      </c>
      <c r="U71" s="106">
        <v>1120.8</v>
      </c>
      <c r="V71" s="106">
        <v>2</v>
      </c>
      <c r="W71" s="106">
        <v>1120.8</v>
      </c>
      <c r="X71" s="106">
        <v>3.6484594132535335</v>
      </c>
      <c r="Y71" s="106">
        <v>2044.59665518728</v>
      </c>
      <c r="Z71" s="106">
        <v>2</v>
      </c>
      <c r="AA71" s="106">
        <v>1120.8</v>
      </c>
      <c r="AB71" s="106">
        <v>3.3615161910883904</v>
      </c>
      <c r="AC71" s="106">
        <v>1883.7936734859338</v>
      </c>
      <c r="AD71" s="106">
        <v>3</v>
      </c>
      <c r="AE71" s="106">
        <v>1681.1999999999998</v>
      </c>
      <c r="AF71" s="106">
        <v>2</v>
      </c>
      <c r="AG71" s="106">
        <v>1120.8</v>
      </c>
      <c r="AH71" s="106">
        <v>2</v>
      </c>
      <c r="AI71" s="106">
        <v>1120.8</v>
      </c>
      <c r="AJ71" s="106">
        <v>2</v>
      </c>
      <c r="AK71" s="106">
        <v>1120.8</v>
      </c>
      <c r="AL71" s="106">
        <v>4</v>
      </c>
      <c r="AM71" s="106">
        <v>2241.6</v>
      </c>
      <c r="AN71" s="106">
        <v>2.6420424703101197</v>
      </c>
      <c r="AO71" s="106">
        <v>1480.6006003617911</v>
      </c>
      <c r="AP71" s="106">
        <v>2.4372891851427179</v>
      </c>
      <c r="AQ71" s="106">
        <v>1365.856859353979</v>
      </c>
      <c r="AR71" s="106">
        <v>3.3799835081204495</v>
      </c>
      <c r="AS71" s="106">
        <v>1894.1427579506999</v>
      </c>
      <c r="AT71" s="106">
        <v>4.3440902033036446</v>
      </c>
      <c r="AU71" s="106">
        <v>2434.4281499313624</v>
      </c>
      <c r="AV71" s="106">
        <v>3</v>
      </c>
      <c r="AW71" s="106">
        <v>1681.1999999999998</v>
      </c>
      <c r="AX71" s="106">
        <v>2</v>
      </c>
      <c r="AY71" s="106">
        <v>1120.8</v>
      </c>
      <c r="AZ71" s="106">
        <v>4.389305528788304</v>
      </c>
      <c r="BA71" s="106">
        <v>2459.7668183329656</v>
      </c>
      <c r="BB71" s="106">
        <v>5</v>
      </c>
      <c r="BC71" s="106">
        <v>2802</v>
      </c>
      <c r="BD71" s="106">
        <v>3</v>
      </c>
      <c r="BE71" s="106">
        <v>1681.1999999999998</v>
      </c>
      <c r="BF71" s="106">
        <v>7</v>
      </c>
      <c r="BG71" s="106">
        <v>3922.7999999999997</v>
      </c>
      <c r="BH71" s="106">
        <v>5</v>
      </c>
      <c r="BI71" s="106">
        <v>2802</v>
      </c>
      <c r="BJ71" s="106">
        <v>8.1247327417171604</v>
      </c>
      <c r="BK71" s="106">
        <v>4553.1002284582964</v>
      </c>
      <c r="BL71" s="106">
        <v>6.093350884540861</v>
      </c>
      <c r="BM71" s="106">
        <v>3414.7138356966984</v>
      </c>
      <c r="BN71" s="106">
        <v>7.4609173414065468</v>
      </c>
      <c r="BO71" s="106">
        <v>4181.0980781242288</v>
      </c>
      <c r="BP71" s="106">
        <v>9</v>
      </c>
      <c r="BQ71" s="106">
        <v>5043.5999999999995</v>
      </c>
      <c r="BR71" s="106">
        <v>6</v>
      </c>
      <c r="BS71" s="106">
        <v>3362.3999999999996</v>
      </c>
      <c r="BT71" s="106">
        <v>7</v>
      </c>
      <c r="BU71" s="106">
        <v>3922.7999999999997</v>
      </c>
      <c r="BV71" s="106">
        <v>5</v>
      </c>
      <c r="BW71" s="106">
        <v>2802</v>
      </c>
      <c r="BX71" s="106">
        <v>6</v>
      </c>
      <c r="BY71" s="106">
        <v>3362.3999999999996</v>
      </c>
      <c r="BZ71" s="106">
        <v>9.0415215077094651</v>
      </c>
      <c r="CA71" s="106">
        <v>5066.8686529203842</v>
      </c>
      <c r="CB71" s="106">
        <v>7</v>
      </c>
      <c r="CC71" s="106">
        <v>3922.7999999999997</v>
      </c>
      <c r="CD71" s="106">
        <v>8.5591350385879768</v>
      </c>
      <c r="CE71" s="106">
        <v>4796.539275624702</v>
      </c>
      <c r="CF71" s="106">
        <v>12</v>
      </c>
      <c r="CG71" s="106">
        <v>6724.7999999999993</v>
      </c>
      <c r="CH71" s="106">
        <v>7</v>
      </c>
      <c r="CI71" s="106">
        <v>3922.7999999999997</v>
      </c>
      <c r="CJ71" s="106">
        <v>10</v>
      </c>
      <c r="CK71" s="106">
        <v>5604</v>
      </c>
      <c r="CL71" s="106">
        <v>8.6350982769148477</v>
      </c>
      <c r="CM71" s="106">
        <v>4839.10907438308</v>
      </c>
      <c r="CN71" s="106">
        <v>5</v>
      </c>
      <c r="CO71" s="106">
        <v>2802</v>
      </c>
      <c r="CP71" s="106">
        <v>7</v>
      </c>
      <c r="CQ71" s="106">
        <v>3922.7999999999997</v>
      </c>
      <c r="CR71" s="106">
        <v>5</v>
      </c>
      <c r="CS71" s="106">
        <v>2802</v>
      </c>
      <c r="CT71" s="106">
        <v>4.7061622599956401</v>
      </c>
      <c r="CU71" s="106">
        <v>2637.3333305015567</v>
      </c>
    </row>
    <row r="72" spans="2:99" x14ac:dyDescent="0.2">
      <c r="C72" s="105" t="s">
        <v>238</v>
      </c>
      <c r="D72" s="106">
        <v>4.6875256262386866</v>
      </c>
      <c r="E72" s="106">
        <v>3943.1465567919827</v>
      </c>
      <c r="F72" s="106">
        <v>7</v>
      </c>
      <c r="G72" s="106">
        <v>5888.4</v>
      </c>
      <c r="H72" s="106">
        <v>11</v>
      </c>
      <c r="I72" s="106">
        <v>9253.1999999999989</v>
      </c>
      <c r="J72" s="106">
        <v>5.1801407383305023</v>
      </c>
      <c r="K72" s="106">
        <v>4357.5343890836184</v>
      </c>
      <c r="L72" s="106">
        <v>5</v>
      </c>
      <c r="M72" s="106">
        <v>4206</v>
      </c>
      <c r="N72" s="106">
        <v>4</v>
      </c>
      <c r="O72" s="106">
        <v>3364.7999999999997</v>
      </c>
      <c r="P72" s="106">
        <v>5</v>
      </c>
      <c r="Q72" s="106">
        <v>4206</v>
      </c>
      <c r="R72" s="106">
        <v>4</v>
      </c>
      <c r="S72" s="106">
        <v>3364.7999999999997</v>
      </c>
      <c r="T72" s="106">
        <v>2</v>
      </c>
      <c r="U72" s="106">
        <v>1682.3999999999999</v>
      </c>
      <c r="V72" s="106">
        <v>2</v>
      </c>
      <c r="W72" s="106">
        <v>1682.3999999999999</v>
      </c>
      <c r="X72" s="106">
        <v>4.6983409065807287</v>
      </c>
      <c r="Y72" s="106">
        <v>3952.2443706157087</v>
      </c>
      <c r="Z72" s="106">
        <v>2</v>
      </c>
      <c r="AA72" s="106">
        <v>1682.3999999999999</v>
      </c>
      <c r="AB72" s="106">
        <v>3.3615161910883904</v>
      </c>
      <c r="AC72" s="106">
        <v>2827.7074199435538</v>
      </c>
      <c r="AD72" s="106">
        <v>2</v>
      </c>
      <c r="AE72" s="106">
        <v>1682.3999999999999</v>
      </c>
      <c r="AF72" s="106">
        <v>2</v>
      </c>
      <c r="AG72" s="106">
        <v>1682.3999999999999</v>
      </c>
      <c r="AH72" s="106">
        <v>2</v>
      </c>
      <c r="AI72" s="106">
        <v>1682.3999999999999</v>
      </c>
      <c r="AJ72" s="106">
        <v>3</v>
      </c>
      <c r="AK72" s="106">
        <v>2523.6</v>
      </c>
      <c r="AL72" s="106">
        <v>4</v>
      </c>
      <c r="AM72" s="106">
        <v>3364.7999999999997</v>
      </c>
      <c r="AN72" s="106">
        <v>2.5432667056470244</v>
      </c>
      <c r="AO72" s="106">
        <v>2139.3959527902766</v>
      </c>
      <c r="AP72" s="106">
        <v>3.4372891851427179</v>
      </c>
      <c r="AQ72" s="106">
        <v>2891.4476625420539</v>
      </c>
      <c r="AR72" s="106">
        <v>3.3324855696053932</v>
      </c>
      <c r="AS72" s="106">
        <v>2803.2868611520566</v>
      </c>
      <c r="AT72" s="106">
        <v>4.3440902033036446</v>
      </c>
      <c r="AU72" s="106">
        <v>3654.2486790190255</v>
      </c>
      <c r="AV72" s="106">
        <v>4</v>
      </c>
      <c r="AW72" s="106">
        <v>3364.7999999999997</v>
      </c>
      <c r="AX72" s="106">
        <v>2</v>
      </c>
      <c r="AY72" s="106">
        <v>1682.3999999999999</v>
      </c>
      <c r="AZ72" s="106">
        <v>4.4282360816671336</v>
      </c>
      <c r="BA72" s="106">
        <v>3725.0321918983923</v>
      </c>
      <c r="BB72" s="106">
        <v>6</v>
      </c>
      <c r="BC72" s="106">
        <v>5047.2</v>
      </c>
      <c r="BD72" s="106">
        <v>4</v>
      </c>
      <c r="BE72" s="106">
        <v>3364.7999999999997</v>
      </c>
      <c r="BF72" s="106">
        <v>5</v>
      </c>
      <c r="BG72" s="106">
        <v>4206</v>
      </c>
      <c r="BH72" s="106">
        <v>5</v>
      </c>
      <c r="BI72" s="106">
        <v>4206</v>
      </c>
      <c r="BJ72" s="106">
        <v>8.1247327417171604</v>
      </c>
      <c r="BK72" s="106">
        <v>6834.5251823324752</v>
      </c>
      <c r="BL72" s="106">
        <v>5</v>
      </c>
      <c r="BM72" s="106">
        <v>4206</v>
      </c>
      <c r="BN72" s="106">
        <v>8.4609173414065477</v>
      </c>
      <c r="BO72" s="106">
        <v>7117.3236675911876</v>
      </c>
      <c r="BP72" s="106">
        <v>8</v>
      </c>
      <c r="BQ72" s="106">
        <v>6729.5999999999995</v>
      </c>
      <c r="BR72" s="106">
        <v>7</v>
      </c>
      <c r="BS72" s="106">
        <v>5888.4</v>
      </c>
      <c r="BT72" s="106">
        <v>8</v>
      </c>
      <c r="BU72" s="106">
        <v>6729.5999999999995</v>
      </c>
      <c r="BV72" s="106">
        <v>6</v>
      </c>
      <c r="BW72" s="106">
        <v>5047.2</v>
      </c>
      <c r="BX72" s="106">
        <v>6</v>
      </c>
      <c r="BY72" s="106">
        <v>5047.2</v>
      </c>
      <c r="BZ72" s="106">
        <v>8.190310294525105</v>
      </c>
      <c r="CA72" s="106">
        <v>6889.6890197545181</v>
      </c>
      <c r="CB72" s="106">
        <v>6</v>
      </c>
      <c r="CC72" s="106">
        <v>5047.2</v>
      </c>
      <c r="CD72" s="106">
        <v>8.602145426171667</v>
      </c>
      <c r="CE72" s="106">
        <v>7236.1247324956057</v>
      </c>
      <c r="CF72" s="106">
        <v>12</v>
      </c>
      <c r="CG72" s="106">
        <v>10094.4</v>
      </c>
      <c r="CH72" s="106">
        <v>8</v>
      </c>
      <c r="CI72" s="106">
        <v>6729.5999999999995</v>
      </c>
      <c r="CJ72" s="106">
        <v>11</v>
      </c>
      <c r="CK72" s="106">
        <v>9253.1999999999989</v>
      </c>
      <c r="CL72" s="106">
        <v>9.6350982769148477</v>
      </c>
      <c r="CM72" s="106">
        <v>8105.0446705407694</v>
      </c>
      <c r="CN72" s="106">
        <v>5</v>
      </c>
      <c r="CO72" s="106">
        <v>4206</v>
      </c>
      <c r="CP72" s="106">
        <v>7</v>
      </c>
      <c r="CQ72" s="106">
        <v>5888.4</v>
      </c>
      <c r="CR72" s="106">
        <v>5</v>
      </c>
      <c r="CS72" s="106">
        <v>4206</v>
      </c>
      <c r="CT72" s="106">
        <v>4.6230843470549763</v>
      </c>
      <c r="CU72" s="106">
        <v>3888.9385527426457</v>
      </c>
    </row>
    <row r="73" spans="2:99" x14ac:dyDescent="0.2">
      <c r="C73" s="105" t="s">
        <v>239</v>
      </c>
      <c r="D73" s="106">
        <v>4.1540740968832939</v>
      </c>
      <c r="E73" s="106">
        <v>4321.8986903973782</v>
      </c>
      <c r="F73" s="106">
        <v>6</v>
      </c>
      <c r="G73" s="106">
        <v>6242.4</v>
      </c>
      <c r="H73" s="106">
        <v>11</v>
      </c>
      <c r="I73" s="106">
        <v>11444.399999999998</v>
      </c>
      <c r="J73" s="106">
        <v>5.166283758458925</v>
      </c>
      <c r="K73" s="106">
        <v>5375.0016223006651</v>
      </c>
      <c r="L73" s="106">
        <v>5</v>
      </c>
      <c r="M73" s="106">
        <v>5201.9999999999991</v>
      </c>
      <c r="N73" s="106">
        <v>4</v>
      </c>
      <c r="O73" s="106">
        <v>4161.5999999999995</v>
      </c>
      <c r="P73" s="106">
        <v>4</v>
      </c>
      <c r="Q73" s="106">
        <v>4161.5999999999995</v>
      </c>
      <c r="R73" s="106">
        <v>3</v>
      </c>
      <c r="S73" s="106">
        <v>3121.2</v>
      </c>
      <c r="T73" s="106">
        <v>3</v>
      </c>
      <c r="U73" s="106">
        <v>3121.2</v>
      </c>
      <c r="V73" s="106">
        <v>2</v>
      </c>
      <c r="W73" s="106">
        <v>2080.7999999999997</v>
      </c>
      <c r="X73" s="106">
        <v>3.6484594132535335</v>
      </c>
      <c r="Y73" s="106">
        <v>3795.8571735489759</v>
      </c>
      <c r="Z73" s="106">
        <v>2</v>
      </c>
      <c r="AA73" s="106">
        <v>2080.7999999999997</v>
      </c>
      <c r="AB73" s="106">
        <v>3.3615161910883904</v>
      </c>
      <c r="AC73" s="106">
        <v>3497.3214452083607</v>
      </c>
      <c r="AD73" s="106">
        <v>3</v>
      </c>
      <c r="AE73" s="106">
        <v>3121.2</v>
      </c>
      <c r="AF73" s="106">
        <v>2</v>
      </c>
      <c r="AG73" s="106">
        <v>2080.7999999999997</v>
      </c>
      <c r="AH73" s="106">
        <v>3</v>
      </c>
      <c r="AI73" s="106">
        <v>3121.2</v>
      </c>
      <c r="AJ73" s="106">
        <v>3</v>
      </c>
      <c r="AK73" s="106">
        <v>3121.2</v>
      </c>
      <c r="AL73" s="106">
        <v>4</v>
      </c>
      <c r="AM73" s="106">
        <v>4161.5999999999995</v>
      </c>
      <c r="AN73" s="106">
        <v>2.6420424703101197</v>
      </c>
      <c r="AO73" s="106">
        <v>2748.7809861106484</v>
      </c>
      <c r="AP73" s="106">
        <v>2.3935602666284463</v>
      </c>
      <c r="AQ73" s="106">
        <v>2490.2601014002353</v>
      </c>
      <c r="AR73" s="106">
        <v>3.3799835081204495</v>
      </c>
      <c r="AS73" s="106">
        <v>3516.534841848515</v>
      </c>
      <c r="AT73" s="106">
        <v>4.3440902033036446</v>
      </c>
      <c r="AU73" s="106">
        <v>4519.5914475171112</v>
      </c>
      <c r="AV73" s="106">
        <v>3</v>
      </c>
      <c r="AW73" s="106">
        <v>3121.2</v>
      </c>
      <c r="AX73" s="106">
        <v>2</v>
      </c>
      <c r="AY73" s="106">
        <v>2080.7999999999997</v>
      </c>
      <c r="AZ73" s="106">
        <v>4.4282360816671336</v>
      </c>
      <c r="BA73" s="106">
        <v>4607.1368193664848</v>
      </c>
      <c r="BB73" s="106">
        <v>6</v>
      </c>
      <c r="BC73" s="106">
        <v>6242.4</v>
      </c>
      <c r="BD73" s="106">
        <v>3</v>
      </c>
      <c r="BE73" s="106">
        <v>3121.2</v>
      </c>
      <c r="BF73" s="106">
        <v>6</v>
      </c>
      <c r="BG73" s="106">
        <v>6242.4</v>
      </c>
      <c r="BH73" s="106">
        <v>5</v>
      </c>
      <c r="BI73" s="106">
        <v>5201.9999999999991</v>
      </c>
      <c r="BJ73" s="106">
        <v>7.1247327417171613</v>
      </c>
      <c r="BK73" s="106">
        <v>7412.5719444825336</v>
      </c>
      <c r="BL73" s="106">
        <v>5.0816820239732534</v>
      </c>
      <c r="BM73" s="106">
        <v>5286.9819777417724</v>
      </c>
      <c r="BN73" s="106">
        <v>7.5070090755472023</v>
      </c>
      <c r="BO73" s="106">
        <v>7810.292242199308</v>
      </c>
      <c r="BP73" s="106">
        <v>8</v>
      </c>
      <c r="BQ73" s="106">
        <v>8323.1999999999989</v>
      </c>
      <c r="BR73" s="106">
        <v>6</v>
      </c>
      <c r="BS73" s="106">
        <v>6242.4</v>
      </c>
      <c r="BT73" s="106">
        <v>8</v>
      </c>
      <c r="BU73" s="106">
        <v>8323.1999999999989</v>
      </c>
      <c r="BV73" s="106">
        <v>5</v>
      </c>
      <c r="BW73" s="106">
        <v>5201.9999999999991</v>
      </c>
      <c r="BX73" s="106">
        <v>7</v>
      </c>
      <c r="BY73" s="106">
        <v>7282.7999999999993</v>
      </c>
      <c r="BZ73" s="106">
        <v>7.9919252454375869</v>
      </c>
      <c r="CA73" s="106">
        <v>8314.7990253532644</v>
      </c>
      <c r="CB73" s="106">
        <v>6</v>
      </c>
      <c r="CC73" s="106">
        <v>6242.4</v>
      </c>
      <c r="CD73" s="106">
        <v>8.5161246510042865</v>
      </c>
      <c r="CE73" s="106">
        <v>8860.1760869048594</v>
      </c>
      <c r="CF73" s="106">
        <v>13</v>
      </c>
      <c r="CG73" s="106">
        <v>13525.199999999999</v>
      </c>
      <c r="CH73" s="106">
        <v>8</v>
      </c>
      <c r="CI73" s="106">
        <v>8323.1999999999989</v>
      </c>
      <c r="CJ73" s="106">
        <v>10</v>
      </c>
      <c r="CK73" s="106">
        <v>10403.999999999998</v>
      </c>
      <c r="CL73" s="106">
        <v>9.6350982769148477</v>
      </c>
      <c r="CM73" s="106">
        <v>10024.356247302207</v>
      </c>
      <c r="CN73" s="106">
        <v>4</v>
      </c>
      <c r="CO73" s="106">
        <v>4161.5999999999995</v>
      </c>
      <c r="CP73" s="106">
        <v>6</v>
      </c>
      <c r="CQ73" s="106">
        <v>6242.4</v>
      </c>
      <c r="CR73" s="106">
        <v>5</v>
      </c>
      <c r="CS73" s="106">
        <v>5201.9999999999991</v>
      </c>
      <c r="CT73" s="106">
        <v>4.7477012164659715</v>
      </c>
      <c r="CU73" s="106">
        <v>4939.5083456111961</v>
      </c>
    </row>
    <row r="74" spans="2:99" x14ac:dyDescent="0.2">
      <c r="C74" s="105" t="s">
        <v>240</v>
      </c>
      <c r="D74" s="106">
        <v>5.2209771555940794</v>
      </c>
      <c r="E74" s="106">
        <v>1986.0597099879876</v>
      </c>
      <c r="F74" s="106">
        <v>6</v>
      </c>
      <c r="G74" s="106">
        <v>2282.3999999999996</v>
      </c>
      <c r="H74" s="106">
        <v>10</v>
      </c>
      <c r="I74" s="106">
        <v>3804</v>
      </c>
      <c r="J74" s="106">
        <v>7.166283758458925</v>
      </c>
      <c r="K74" s="106">
        <v>2726.0543417177751</v>
      </c>
      <c r="L74" s="106">
        <v>5</v>
      </c>
      <c r="M74" s="106">
        <v>1902</v>
      </c>
      <c r="N74" s="106">
        <v>4</v>
      </c>
      <c r="O74" s="106">
        <v>1521.6</v>
      </c>
      <c r="P74" s="106">
        <v>5</v>
      </c>
      <c r="Q74" s="106">
        <v>1902</v>
      </c>
      <c r="R74" s="106">
        <v>4</v>
      </c>
      <c r="S74" s="106">
        <v>1521.6</v>
      </c>
      <c r="T74" s="106">
        <v>3</v>
      </c>
      <c r="U74" s="106">
        <v>1141.1999999999998</v>
      </c>
      <c r="V74" s="106">
        <v>2</v>
      </c>
      <c r="W74" s="106">
        <v>760.8</v>
      </c>
      <c r="X74" s="106">
        <v>3.5985779199263384</v>
      </c>
      <c r="Y74" s="106">
        <v>1368.899040739979</v>
      </c>
      <c r="Z74" s="106">
        <v>2</v>
      </c>
      <c r="AA74" s="106">
        <v>760.8</v>
      </c>
      <c r="AB74" s="106">
        <v>3.3976678101972291</v>
      </c>
      <c r="AC74" s="106">
        <v>1292.472834999026</v>
      </c>
      <c r="AD74" s="106">
        <v>3</v>
      </c>
      <c r="AE74" s="106">
        <v>1141.1999999999998</v>
      </c>
      <c r="AF74" s="106">
        <v>2</v>
      </c>
      <c r="AG74" s="106">
        <v>760.8</v>
      </c>
      <c r="AH74" s="106">
        <v>2</v>
      </c>
      <c r="AI74" s="106">
        <v>760.8</v>
      </c>
      <c r="AJ74" s="106">
        <v>2</v>
      </c>
      <c r="AK74" s="106">
        <v>760.8</v>
      </c>
      <c r="AL74" s="106">
        <v>4</v>
      </c>
      <c r="AM74" s="106">
        <v>1521.6</v>
      </c>
      <c r="AN74" s="106">
        <v>3.5432667056470244</v>
      </c>
      <c r="AO74" s="106">
        <v>1347.858654828128</v>
      </c>
      <c r="AP74" s="106">
        <v>2.4810181036569898</v>
      </c>
      <c r="AQ74" s="106">
        <v>943.77928663111891</v>
      </c>
      <c r="AR74" s="106">
        <v>4.379983508120449</v>
      </c>
      <c r="AS74" s="106">
        <v>1666.1457264890187</v>
      </c>
      <c r="AT74" s="106">
        <v>3.3440902033036441</v>
      </c>
      <c r="AU74" s="106">
        <v>1272.0919133367061</v>
      </c>
      <c r="AV74" s="106">
        <v>3</v>
      </c>
      <c r="AW74" s="106">
        <v>1141.1999999999998</v>
      </c>
      <c r="AX74" s="106">
        <v>2</v>
      </c>
      <c r="AY74" s="106">
        <v>760.8</v>
      </c>
      <c r="AZ74" s="106">
        <v>4.4282360816671336</v>
      </c>
      <c r="BA74" s="106">
        <v>1684.5010054661775</v>
      </c>
      <c r="BB74" s="106">
        <v>6</v>
      </c>
      <c r="BC74" s="106">
        <v>2282.3999999999996</v>
      </c>
      <c r="BD74" s="106">
        <v>4</v>
      </c>
      <c r="BE74" s="106">
        <v>1521.6</v>
      </c>
      <c r="BF74" s="106">
        <v>6</v>
      </c>
      <c r="BG74" s="106">
        <v>2282.3999999999996</v>
      </c>
      <c r="BH74" s="106">
        <v>5</v>
      </c>
      <c r="BI74" s="106">
        <v>1902</v>
      </c>
      <c r="BJ74" s="106">
        <v>8.1455215320033556</v>
      </c>
      <c r="BK74" s="106">
        <v>3098.5563907740761</v>
      </c>
      <c r="BL74" s="106">
        <v>6.093350884540861</v>
      </c>
      <c r="BM74" s="106">
        <v>2317.9106764793432</v>
      </c>
      <c r="BN74" s="106">
        <v>8.4148256072658931</v>
      </c>
      <c r="BO74" s="106">
        <v>3200.9996610039457</v>
      </c>
      <c r="BP74" s="106">
        <v>9</v>
      </c>
      <c r="BQ74" s="106">
        <v>3423.6</v>
      </c>
      <c r="BR74" s="106">
        <v>7</v>
      </c>
      <c r="BS74" s="106">
        <v>2662.7999999999997</v>
      </c>
      <c r="BT74" s="106">
        <v>8</v>
      </c>
      <c r="BU74" s="106">
        <v>3043.2</v>
      </c>
      <c r="BV74" s="106">
        <v>5</v>
      </c>
      <c r="BW74" s="106">
        <v>1902</v>
      </c>
      <c r="BX74" s="106">
        <v>6</v>
      </c>
      <c r="BY74" s="106">
        <v>2282.3999999999996</v>
      </c>
      <c r="BZ74" s="106">
        <v>9.091117769981345</v>
      </c>
      <c r="CA74" s="106">
        <v>3458.2611997009035</v>
      </c>
      <c r="CB74" s="106">
        <v>6</v>
      </c>
      <c r="CC74" s="106">
        <v>2282.3999999999996</v>
      </c>
      <c r="CD74" s="106">
        <v>8.602145426171667</v>
      </c>
      <c r="CE74" s="106">
        <v>3272.2561201157018</v>
      </c>
      <c r="CF74" s="106">
        <v>12</v>
      </c>
      <c r="CG74" s="106">
        <v>4564.7999999999993</v>
      </c>
      <c r="CH74" s="106">
        <v>7</v>
      </c>
      <c r="CI74" s="106">
        <v>2662.7999999999997</v>
      </c>
      <c r="CJ74" s="106">
        <v>10</v>
      </c>
      <c r="CK74" s="106">
        <v>3804</v>
      </c>
      <c r="CL74" s="106">
        <v>10.589734114278073</v>
      </c>
      <c r="CM74" s="106">
        <v>4028.3348570713788</v>
      </c>
      <c r="CN74" s="106">
        <v>5</v>
      </c>
      <c r="CO74" s="106">
        <v>1902</v>
      </c>
      <c r="CP74" s="106">
        <v>8</v>
      </c>
      <c r="CQ74" s="106">
        <v>3043.2</v>
      </c>
      <c r="CR74" s="106">
        <v>5</v>
      </c>
      <c r="CS74" s="106">
        <v>1902</v>
      </c>
      <c r="CT74" s="106">
        <v>4</v>
      </c>
      <c r="CU74" s="106">
        <v>1521.6</v>
      </c>
    </row>
    <row r="75" spans="2:99" x14ac:dyDescent="0.2">
      <c r="C75" s="105" t="s">
        <v>241</v>
      </c>
      <c r="D75" s="106">
        <v>4.7400148001631299</v>
      </c>
      <c r="E75" s="106">
        <v>1899.7979319053825</v>
      </c>
      <c r="F75" s="106">
        <v>7</v>
      </c>
      <c r="G75" s="106">
        <v>2805.6</v>
      </c>
      <c r="H75" s="106">
        <v>10</v>
      </c>
      <c r="I75" s="106">
        <v>4008</v>
      </c>
      <c r="J75" s="106">
        <v>6.166283758458925</v>
      </c>
      <c r="K75" s="106">
        <v>2471.4465303903371</v>
      </c>
      <c r="L75" s="106">
        <v>5</v>
      </c>
      <c r="M75" s="106">
        <v>2004</v>
      </c>
      <c r="N75" s="106">
        <v>4</v>
      </c>
      <c r="O75" s="106">
        <v>1603.2</v>
      </c>
      <c r="P75" s="106">
        <v>4</v>
      </c>
      <c r="Q75" s="106">
        <v>1603.2</v>
      </c>
      <c r="R75" s="106">
        <v>4</v>
      </c>
      <c r="S75" s="106">
        <v>1603.2</v>
      </c>
      <c r="T75" s="106">
        <v>3</v>
      </c>
      <c r="U75" s="106">
        <v>1202.4000000000001</v>
      </c>
      <c r="V75" s="106">
        <v>2</v>
      </c>
      <c r="W75" s="106">
        <v>801.6</v>
      </c>
      <c r="X75" s="106">
        <v>3.6484594132535335</v>
      </c>
      <c r="Y75" s="106">
        <v>1462.3025328320164</v>
      </c>
      <c r="Z75" s="106">
        <v>2</v>
      </c>
      <c r="AA75" s="106">
        <v>801.6</v>
      </c>
      <c r="AB75" s="106">
        <v>3.3976678101972291</v>
      </c>
      <c r="AC75" s="106">
        <v>1361.7852583270494</v>
      </c>
      <c r="AD75" s="106">
        <v>3</v>
      </c>
      <c r="AE75" s="106">
        <v>1202.4000000000001</v>
      </c>
      <c r="AF75" s="106">
        <v>2</v>
      </c>
      <c r="AG75" s="106">
        <v>801.6</v>
      </c>
      <c r="AH75" s="106">
        <v>3</v>
      </c>
      <c r="AI75" s="106">
        <v>1202.4000000000001</v>
      </c>
      <c r="AJ75" s="106">
        <v>3</v>
      </c>
      <c r="AK75" s="106">
        <v>1202.4000000000001</v>
      </c>
      <c r="AL75" s="106">
        <v>4</v>
      </c>
      <c r="AM75" s="106">
        <v>1603.2</v>
      </c>
      <c r="AN75" s="106">
        <v>2.5926545879785721</v>
      </c>
      <c r="AO75" s="106">
        <v>1039.1359588618118</v>
      </c>
      <c r="AP75" s="106">
        <v>3.4810181036569898</v>
      </c>
      <c r="AQ75" s="106">
        <v>1395.1920559457214</v>
      </c>
      <c r="AR75" s="106">
        <v>3.3799835081204495</v>
      </c>
      <c r="AS75" s="106">
        <v>1354.6973900546761</v>
      </c>
      <c r="AT75" s="106">
        <v>3.3440902033036441</v>
      </c>
      <c r="AU75" s="106">
        <v>1340.3113534841007</v>
      </c>
      <c r="AV75" s="106">
        <v>3</v>
      </c>
      <c r="AW75" s="106">
        <v>1202.4000000000001</v>
      </c>
      <c r="AX75" s="106">
        <v>2</v>
      </c>
      <c r="AY75" s="106">
        <v>801.6</v>
      </c>
      <c r="AZ75" s="106">
        <v>3.428236081667134</v>
      </c>
      <c r="BA75" s="106">
        <v>1374.0370215321873</v>
      </c>
      <c r="BB75" s="106">
        <v>6</v>
      </c>
      <c r="BC75" s="106">
        <v>2404.8000000000002</v>
      </c>
      <c r="BD75" s="106">
        <v>3</v>
      </c>
      <c r="BE75" s="106">
        <v>1202.4000000000001</v>
      </c>
      <c r="BF75" s="106">
        <v>6</v>
      </c>
      <c r="BG75" s="106">
        <v>2404.8000000000002</v>
      </c>
      <c r="BH75" s="106">
        <v>5</v>
      </c>
      <c r="BI75" s="106">
        <v>2004</v>
      </c>
      <c r="BJ75" s="106">
        <v>7.1455215320033547</v>
      </c>
      <c r="BK75" s="106">
        <v>2863.9250300269446</v>
      </c>
      <c r="BL75" s="106">
        <v>6.093350884540861</v>
      </c>
      <c r="BM75" s="106">
        <v>2442.215034523977</v>
      </c>
      <c r="BN75" s="106">
        <v>7.4609173414065468</v>
      </c>
      <c r="BO75" s="106">
        <v>2990.3356704357439</v>
      </c>
      <c r="BP75" s="106">
        <v>9</v>
      </c>
      <c r="BQ75" s="106">
        <v>3607.2000000000003</v>
      </c>
      <c r="BR75" s="106">
        <v>6</v>
      </c>
      <c r="BS75" s="106">
        <v>2404.8000000000002</v>
      </c>
      <c r="BT75" s="106">
        <v>9</v>
      </c>
      <c r="BU75" s="106">
        <v>3607.2000000000003</v>
      </c>
      <c r="BV75" s="106">
        <v>6</v>
      </c>
      <c r="BW75" s="106">
        <v>2404.8000000000002</v>
      </c>
      <c r="BX75" s="106">
        <v>6</v>
      </c>
      <c r="BY75" s="106">
        <v>2404.8000000000002</v>
      </c>
      <c r="BZ75" s="106">
        <v>8.091117769981345</v>
      </c>
      <c r="CA75" s="106">
        <v>3242.9200022085233</v>
      </c>
      <c r="CB75" s="106">
        <v>7</v>
      </c>
      <c r="CC75" s="106">
        <v>2805.6</v>
      </c>
      <c r="CD75" s="106">
        <v>9.6451558137553572</v>
      </c>
      <c r="CE75" s="106">
        <v>3865.7784501531473</v>
      </c>
      <c r="CF75" s="106">
        <v>12</v>
      </c>
      <c r="CG75" s="106">
        <v>4809.6000000000004</v>
      </c>
      <c r="CH75" s="106">
        <v>8</v>
      </c>
      <c r="CI75" s="106">
        <v>3206.4</v>
      </c>
      <c r="CJ75" s="106">
        <v>11</v>
      </c>
      <c r="CK75" s="106">
        <v>4408.8</v>
      </c>
      <c r="CL75" s="106">
        <v>9.5897341142780732</v>
      </c>
      <c r="CM75" s="106">
        <v>3843.5654330026518</v>
      </c>
      <c r="CN75" s="106">
        <v>5</v>
      </c>
      <c r="CO75" s="106">
        <v>2004</v>
      </c>
      <c r="CP75" s="106">
        <v>8</v>
      </c>
      <c r="CQ75" s="106">
        <v>3206.4</v>
      </c>
      <c r="CR75" s="106">
        <v>6</v>
      </c>
      <c r="CS75" s="106">
        <v>2404.8000000000002</v>
      </c>
      <c r="CT75" s="106">
        <v>4</v>
      </c>
      <c r="CU75" s="106">
        <v>1603.2</v>
      </c>
    </row>
    <row r="76" spans="2:99" x14ac:dyDescent="0.2">
      <c r="C76" s="105" t="s">
        <v>242</v>
      </c>
      <c r="D76" s="106">
        <v>4.7400148001631299</v>
      </c>
      <c r="E76" s="106">
        <v>3287.6742653931469</v>
      </c>
      <c r="F76" s="106">
        <v>7</v>
      </c>
      <c r="G76" s="106">
        <v>4855.2</v>
      </c>
      <c r="H76" s="106">
        <v>11</v>
      </c>
      <c r="I76" s="106">
        <v>7629.6</v>
      </c>
      <c r="J76" s="106">
        <v>6.166283758458925</v>
      </c>
      <c r="K76" s="106">
        <v>4276.9344148671107</v>
      </c>
      <c r="L76" s="106">
        <v>5</v>
      </c>
      <c r="M76" s="106">
        <v>3468</v>
      </c>
      <c r="N76" s="106">
        <v>4</v>
      </c>
      <c r="O76" s="106">
        <v>2774.4</v>
      </c>
      <c r="P76" s="106">
        <v>4</v>
      </c>
      <c r="Q76" s="106">
        <v>2774.4</v>
      </c>
      <c r="R76" s="106">
        <v>4</v>
      </c>
      <c r="S76" s="106">
        <v>2774.4</v>
      </c>
      <c r="T76" s="106">
        <v>3</v>
      </c>
      <c r="U76" s="106">
        <v>2080.8000000000002</v>
      </c>
      <c r="V76" s="106">
        <v>3</v>
      </c>
      <c r="W76" s="106">
        <v>2080.8000000000002</v>
      </c>
      <c r="X76" s="106">
        <v>3.5985779199263384</v>
      </c>
      <c r="Y76" s="106">
        <v>2495.9736452609081</v>
      </c>
      <c r="Z76" s="106">
        <v>2</v>
      </c>
      <c r="AA76" s="106">
        <v>1387.2</v>
      </c>
      <c r="AB76" s="106">
        <v>3.3615161910883904</v>
      </c>
      <c r="AC76" s="106">
        <v>2331.5476301389076</v>
      </c>
      <c r="AD76" s="106">
        <v>2</v>
      </c>
      <c r="AE76" s="106">
        <v>1387.2</v>
      </c>
      <c r="AF76" s="106">
        <v>2</v>
      </c>
      <c r="AG76" s="106">
        <v>1387.2</v>
      </c>
      <c r="AH76" s="106">
        <v>3</v>
      </c>
      <c r="AI76" s="106">
        <v>2080.8000000000002</v>
      </c>
      <c r="AJ76" s="106">
        <v>3</v>
      </c>
      <c r="AK76" s="106">
        <v>2080.8000000000002</v>
      </c>
      <c r="AL76" s="106">
        <v>4</v>
      </c>
      <c r="AM76" s="106">
        <v>2774.4</v>
      </c>
      <c r="AN76" s="106">
        <v>2.5432667056470244</v>
      </c>
      <c r="AO76" s="106">
        <v>1764.0097870367763</v>
      </c>
      <c r="AP76" s="106">
        <v>3.3935602666284463</v>
      </c>
      <c r="AQ76" s="106">
        <v>2353.7734009334904</v>
      </c>
      <c r="AR76" s="106">
        <v>4.379983508120449</v>
      </c>
      <c r="AS76" s="106">
        <v>3037.9565612323436</v>
      </c>
      <c r="AT76" s="106">
        <v>4.393245946632736</v>
      </c>
      <c r="AU76" s="106">
        <v>3047.155388584466</v>
      </c>
      <c r="AV76" s="106">
        <v>3</v>
      </c>
      <c r="AW76" s="106">
        <v>2080.8000000000002</v>
      </c>
      <c r="AX76" s="106">
        <v>2</v>
      </c>
      <c r="AY76" s="106">
        <v>1387.2</v>
      </c>
      <c r="AZ76" s="106">
        <v>4.389305528788304</v>
      </c>
      <c r="BA76" s="106">
        <v>3044.422314767568</v>
      </c>
      <c r="BB76" s="106">
        <v>6</v>
      </c>
      <c r="BC76" s="106">
        <v>4161.6000000000004</v>
      </c>
      <c r="BD76" s="106">
        <v>3</v>
      </c>
      <c r="BE76" s="106">
        <v>2080.8000000000002</v>
      </c>
      <c r="BF76" s="106">
        <v>6</v>
      </c>
      <c r="BG76" s="106">
        <v>4161.6000000000004</v>
      </c>
      <c r="BH76" s="106">
        <v>5</v>
      </c>
      <c r="BI76" s="106">
        <v>3468</v>
      </c>
      <c r="BJ76" s="106">
        <v>7.1247327417171613</v>
      </c>
      <c r="BK76" s="106">
        <v>4941.7146296550236</v>
      </c>
      <c r="BL76" s="106">
        <v>5.0816820239732534</v>
      </c>
      <c r="BM76" s="106">
        <v>3524.6546518278487</v>
      </c>
      <c r="BN76" s="106">
        <v>7.4609173414065468</v>
      </c>
      <c r="BO76" s="106">
        <v>5174.8922679995812</v>
      </c>
      <c r="BP76" s="106">
        <v>8</v>
      </c>
      <c r="BQ76" s="106">
        <v>5548.8</v>
      </c>
      <c r="BR76" s="106">
        <v>7</v>
      </c>
      <c r="BS76" s="106">
        <v>4855.2</v>
      </c>
      <c r="BT76" s="106">
        <v>8</v>
      </c>
      <c r="BU76" s="106">
        <v>5548.8</v>
      </c>
      <c r="BV76" s="106">
        <v>5</v>
      </c>
      <c r="BW76" s="106">
        <v>3468</v>
      </c>
      <c r="BX76" s="106">
        <v>6</v>
      </c>
      <c r="BY76" s="106">
        <v>4161.6000000000004</v>
      </c>
      <c r="BZ76" s="106">
        <v>9.2399065567969831</v>
      </c>
      <c r="CA76" s="106">
        <v>6408.7991877943878</v>
      </c>
      <c r="CB76" s="106">
        <v>6</v>
      </c>
      <c r="CC76" s="106">
        <v>4161.6000000000004</v>
      </c>
      <c r="CD76" s="106">
        <v>8.5591350385879768</v>
      </c>
      <c r="CE76" s="106">
        <v>5936.6160627646204</v>
      </c>
      <c r="CF76" s="106">
        <v>13</v>
      </c>
      <c r="CG76" s="106">
        <v>9016.8000000000011</v>
      </c>
      <c r="CH76" s="106">
        <v>8</v>
      </c>
      <c r="CI76" s="106">
        <v>5548.8</v>
      </c>
      <c r="CJ76" s="106">
        <v>10</v>
      </c>
      <c r="CK76" s="106">
        <v>6936</v>
      </c>
      <c r="CL76" s="106">
        <v>8.6350982769148477</v>
      </c>
      <c r="CM76" s="106">
        <v>5989.3041648681383</v>
      </c>
      <c r="CN76" s="106">
        <v>4</v>
      </c>
      <c r="CO76" s="106">
        <v>2774.4</v>
      </c>
      <c r="CP76" s="106">
        <v>7</v>
      </c>
      <c r="CQ76" s="106">
        <v>4855.2</v>
      </c>
      <c r="CR76" s="106">
        <v>5</v>
      </c>
      <c r="CS76" s="106">
        <v>3468</v>
      </c>
      <c r="CT76" s="106">
        <v>4.7477012164659715</v>
      </c>
      <c r="CU76" s="106">
        <v>3293.0055637407982</v>
      </c>
    </row>
    <row r="77" spans="2:99" x14ac:dyDescent="0.2">
      <c r="C77" s="105" t="s">
        <v>243</v>
      </c>
      <c r="D77" s="106">
        <v>4.6875256262386866</v>
      </c>
      <c r="E77" s="106">
        <v>4505.6496319406251</v>
      </c>
      <c r="F77" s="106">
        <v>6</v>
      </c>
      <c r="G77" s="106">
        <v>5767.2</v>
      </c>
      <c r="H77" s="106">
        <v>11</v>
      </c>
      <c r="I77" s="106">
        <v>10573.199999999999</v>
      </c>
      <c r="J77" s="106">
        <v>6.1524267785873477</v>
      </c>
      <c r="K77" s="106">
        <v>5913.7126195781584</v>
      </c>
      <c r="L77" s="106">
        <v>5</v>
      </c>
      <c r="M77" s="106">
        <v>4806</v>
      </c>
      <c r="N77" s="106">
        <v>4</v>
      </c>
      <c r="O77" s="106">
        <v>3844.7999999999997</v>
      </c>
      <c r="P77" s="106">
        <v>5</v>
      </c>
      <c r="Q77" s="106">
        <v>4806</v>
      </c>
      <c r="R77" s="106">
        <v>4</v>
      </c>
      <c r="S77" s="106">
        <v>3844.7999999999997</v>
      </c>
      <c r="T77" s="106">
        <v>3</v>
      </c>
      <c r="U77" s="106">
        <v>2883.6</v>
      </c>
      <c r="V77" s="106">
        <v>2</v>
      </c>
      <c r="W77" s="106">
        <v>1922.3999999999999</v>
      </c>
      <c r="X77" s="106">
        <v>4.6484594132535335</v>
      </c>
      <c r="Y77" s="106">
        <v>4468.099188019296</v>
      </c>
      <c r="Z77" s="106">
        <v>2</v>
      </c>
      <c r="AA77" s="106">
        <v>1922.3999999999999</v>
      </c>
      <c r="AB77" s="106">
        <v>2.3615161910883904</v>
      </c>
      <c r="AC77" s="106">
        <v>2269.8893628741607</v>
      </c>
      <c r="AD77" s="106">
        <v>3</v>
      </c>
      <c r="AE77" s="106">
        <v>2883.6</v>
      </c>
      <c r="AF77" s="106">
        <v>2</v>
      </c>
      <c r="AG77" s="106">
        <v>1922.3999999999999</v>
      </c>
      <c r="AH77" s="106">
        <v>3</v>
      </c>
      <c r="AI77" s="106">
        <v>2883.6</v>
      </c>
      <c r="AJ77" s="106">
        <v>3</v>
      </c>
      <c r="AK77" s="106">
        <v>2883.6</v>
      </c>
      <c r="AL77" s="106">
        <v>4</v>
      </c>
      <c r="AM77" s="106">
        <v>3844.7999999999997</v>
      </c>
      <c r="AN77" s="106">
        <v>2.5926545879785721</v>
      </c>
      <c r="AO77" s="106">
        <v>2492.0595899650034</v>
      </c>
      <c r="AP77" s="106">
        <v>2.4372891851427179</v>
      </c>
      <c r="AQ77" s="106">
        <v>2342.7223647591804</v>
      </c>
      <c r="AR77" s="106">
        <v>3.3799835081204495</v>
      </c>
      <c r="AS77" s="106">
        <v>3248.8401480053758</v>
      </c>
      <c r="AT77" s="106">
        <v>3.393245946632736</v>
      </c>
      <c r="AU77" s="106">
        <v>3261.5880039033855</v>
      </c>
      <c r="AV77" s="106">
        <v>3</v>
      </c>
      <c r="AW77" s="106">
        <v>2883.6</v>
      </c>
      <c r="AX77" s="106">
        <v>2</v>
      </c>
      <c r="AY77" s="106">
        <v>1922.3999999999999</v>
      </c>
      <c r="AZ77" s="106">
        <v>4.4282360816671336</v>
      </c>
      <c r="BA77" s="106">
        <v>4256.4205216984483</v>
      </c>
      <c r="BB77" s="106">
        <v>6</v>
      </c>
      <c r="BC77" s="106">
        <v>5767.2</v>
      </c>
      <c r="BD77" s="106">
        <v>4</v>
      </c>
      <c r="BE77" s="106">
        <v>3844.7999999999997</v>
      </c>
      <c r="BF77" s="106">
        <v>6</v>
      </c>
      <c r="BG77" s="106">
        <v>5767.2</v>
      </c>
      <c r="BH77" s="106">
        <v>5</v>
      </c>
      <c r="BI77" s="106">
        <v>4806</v>
      </c>
      <c r="BJ77" s="106">
        <v>7.1455215320033547</v>
      </c>
      <c r="BK77" s="106">
        <v>6868.2752965616237</v>
      </c>
      <c r="BL77" s="106">
        <v>5.0816820239732534</v>
      </c>
      <c r="BM77" s="106">
        <v>4884.5127614430912</v>
      </c>
      <c r="BN77" s="106">
        <v>8.4148256072658931</v>
      </c>
      <c r="BO77" s="106">
        <v>8088.330373703976</v>
      </c>
      <c r="BP77" s="106">
        <v>9</v>
      </c>
      <c r="BQ77" s="106">
        <v>8650.7999999999993</v>
      </c>
      <c r="BR77" s="106">
        <v>6</v>
      </c>
      <c r="BS77" s="106">
        <v>5767.2</v>
      </c>
      <c r="BT77" s="106">
        <v>7</v>
      </c>
      <c r="BU77" s="106">
        <v>6728.4</v>
      </c>
      <c r="BV77" s="106">
        <v>6</v>
      </c>
      <c r="BW77" s="106">
        <v>5767.2</v>
      </c>
      <c r="BX77" s="106">
        <v>6</v>
      </c>
      <c r="BY77" s="106">
        <v>5767.2</v>
      </c>
      <c r="BZ77" s="106">
        <v>8.140714032253225</v>
      </c>
      <c r="CA77" s="106">
        <v>7824.8543278017996</v>
      </c>
      <c r="CB77" s="106">
        <v>7</v>
      </c>
      <c r="CC77" s="106">
        <v>6728.4</v>
      </c>
      <c r="CD77" s="106">
        <v>8.5591350385879768</v>
      </c>
      <c r="CE77" s="106">
        <v>8227.040599090762</v>
      </c>
      <c r="CF77" s="106">
        <v>12</v>
      </c>
      <c r="CG77" s="106">
        <v>11534.4</v>
      </c>
      <c r="CH77" s="106">
        <v>8</v>
      </c>
      <c r="CI77" s="106">
        <v>7689.5999999999995</v>
      </c>
      <c r="CJ77" s="106">
        <v>11</v>
      </c>
      <c r="CK77" s="106">
        <v>10573.199999999999</v>
      </c>
      <c r="CL77" s="106">
        <v>8.5897341142780732</v>
      </c>
      <c r="CM77" s="106">
        <v>8256.4524306440835</v>
      </c>
      <c r="CN77" s="106">
        <v>4</v>
      </c>
      <c r="CO77" s="106">
        <v>3844.7999999999997</v>
      </c>
      <c r="CP77" s="106">
        <v>7</v>
      </c>
      <c r="CQ77" s="106">
        <v>6728.4</v>
      </c>
      <c r="CR77" s="106">
        <v>5</v>
      </c>
      <c r="CS77" s="106">
        <v>4806</v>
      </c>
      <c r="CT77" s="106">
        <v>4</v>
      </c>
      <c r="CU77" s="106">
        <v>3844.7999999999997</v>
      </c>
    </row>
    <row r="78" spans="2:99" x14ac:dyDescent="0.2">
      <c r="C78" s="105" t="s">
        <v>244</v>
      </c>
      <c r="D78" s="106">
        <v>5.2997109164807448</v>
      </c>
      <c r="E78" s="106">
        <v>2308.5540752190122</v>
      </c>
      <c r="F78" s="106">
        <v>7</v>
      </c>
      <c r="G78" s="106">
        <v>3049.2</v>
      </c>
      <c r="H78" s="106">
        <v>11</v>
      </c>
      <c r="I78" s="106">
        <v>4791.5999999999995</v>
      </c>
      <c r="J78" s="106">
        <v>6.1801407383305023</v>
      </c>
      <c r="K78" s="106">
        <v>2692.0693056167665</v>
      </c>
      <c r="L78" s="106">
        <v>5</v>
      </c>
      <c r="M78" s="106">
        <v>2178</v>
      </c>
      <c r="N78" s="106">
        <v>3</v>
      </c>
      <c r="O78" s="106">
        <v>1306.8</v>
      </c>
      <c r="P78" s="106">
        <v>5</v>
      </c>
      <c r="Q78" s="106">
        <v>2178</v>
      </c>
      <c r="R78" s="106">
        <v>4</v>
      </c>
      <c r="S78" s="106">
        <v>1742.3999999999999</v>
      </c>
      <c r="T78" s="106">
        <v>2</v>
      </c>
      <c r="U78" s="106">
        <v>871.19999999999993</v>
      </c>
      <c r="V78" s="106">
        <v>2</v>
      </c>
      <c r="W78" s="106">
        <v>871.19999999999993</v>
      </c>
      <c r="X78" s="106">
        <v>3.6484594132535335</v>
      </c>
      <c r="Y78" s="106">
        <v>1589.2689204132391</v>
      </c>
      <c r="Z78" s="106">
        <v>2</v>
      </c>
      <c r="AA78" s="106">
        <v>871.19999999999993</v>
      </c>
      <c r="AB78" s="106">
        <v>3.3253645719795513</v>
      </c>
      <c r="AC78" s="106">
        <v>1448.5288075542924</v>
      </c>
      <c r="AD78" s="106">
        <v>2</v>
      </c>
      <c r="AE78" s="106">
        <v>871.19999999999993</v>
      </c>
      <c r="AF78" s="106">
        <v>2</v>
      </c>
      <c r="AG78" s="106">
        <v>871.19999999999993</v>
      </c>
      <c r="AH78" s="106">
        <v>3</v>
      </c>
      <c r="AI78" s="106">
        <v>1306.8</v>
      </c>
      <c r="AJ78" s="106">
        <v>3</v>
      </c>
      <c r="AK78" s="106">
        <v>1306.8</v>
      </c>
      <c r="AL78" s="106">
        <v>4</v>
      </c>
      <c r="AM78" s="106">
        <v>1742.3999999999999</v>
      </c>
      <c r="AN78" s="106">
        <v>3.6420424703101197</v>
      </c>
      <c r="AO78" s="106">
        <v>1586.473700067088</v>
      </c>
      <c r="AP78" s="106">
        <v>2.3935602666284463</v>
      </c>
      <c r="AQ78" s="106">
        <v>1042.6348521433511</v>
      </c>
      <c r="AR78" s="106">
        <v>4.379983508120449</v>
      </c>
      <c r="AS78" s="106">
        <v>1907.9208161372674</v>
      </c>
      <c r="AT78" s="106">
        <v>3.393245946632736</v>
      </c>
      <c r="AU78" s="106">
        <v>1478.0979343532197</v>
      </c>
      <c r="AV78" s="106">
        <v>4</v>
      </c>
      <c r="AW78" s="106">
        <v>1742.3999999999999</v>
      </c>
      <c r="AX78" s="106">
        <v>2</v>
      </c>
      <c r="AY78" s="106">
        <v>871.19999999999993</v>
      </c>
      <c r="AZ78" s="106">
        <v>4.4282360816671336</v>
      </c>
      <c r="BA78" s="106">
        <v>1928.9396371742032</v>
      </c>
      <c r="BB78" s="106">
        <v>6</v>
      </c>
      <c r="BC78" s="106">
        <v>2613.6</v>
      </c>
      <c r="BD78" s="106">
        <v>4</v>
      </c>
      <c r="BE78" s="106">
        <v>1742.3999999999999</v>
      </c>
      <c r="BF78" s="106">
        <v>6</v>
      </c>
      <c r="BG78" s="106">
        <v>2613.6</v>
      </c>
      <c r="BH78" s="106">
        <v>5</v>
      </c>
      <c r="BI78" s="106">
        <v>2178</v>
      </c>
      <c r="BJ78" s="106">
        <v>7.1247327417171613</v>
      </c>
      <c r="BK78" s="106">
        <v>3103.5335822919951</v>
      </c>
      <c r="BL78" s="106">
        <v>5</v>
      </c>
      <c r="BM78" s="106">
        <v>2178</v>
      </c>
      <c r="BN78" s="106">
        <v>7.5070090755472023</v>
      </c>
      <c r="BO78" s="106">
        <v>3270.0531533083613</v>
      </c>
      <c r="BP78" s="106">
        <v>9</v>
      </c>
      <c r="BQ78" s="106">
        <v>3920.3999999999996</v>
      </c>
      <c r="BR78" s="106">
        <v>6</v>
      </c>
      <c r="BS78" s="106">
        <v>2613.6</v>
      </c>
      <c r="BT78" s="106">
        <v>8</v>
      </c>
      <c r="BU78" s="106">
        <v>3484.7999999999997</v>
      </c>
      <c r="BV78" s="106">
        <v>5</v>
      </c>
      <c r="BW78" s="106">
        <v>2178</v>
      </c>
      <c r="BX78" s="106">
        <v>6</v>
      </c>
      <c r="BY78" s="106">
        <v>2613.6</v>
      </c>
      <c r="BZ78" s="106">
        <v>8.0415215077094651</v>
      </c>
      <c r="CA78" s="106">
        <v>3502.8867687582429</v>
      </c>
      <c r="CB78" s="106">
        <v>7</v>
      </c>
      <c r="CC78" s="106">
        <v>3049.2</v>
      </c>
      <c r="CD78" s="106">
        <v>9.5591350385879768</v>
      </c>
      <c r="CE78" s="106">
        <v>4163.9592228089223</v>
      </c>
      <c r="CF78" s="106">
        <v>11</v>
      </c>
      <c r="CG78" s="106">
        <v>4791.5999999999995</v>
      </c>
      <c r="CH78" s="106">
        <v>8</v>
      </c>
      <c r="CI78" s="106">
        <v>3484.7999999999997</v>
      </c>
      <c r="CJ78" s="106">
        <v>11</v>
      </c>
      <c r="CK78" s="106">
        <v>4791.5999999999995</v>
      </c>
      <c r="CL78" s="106">
        <v>8.5897341142780732</v>
      </c>
      <c r="CM78" s="106">
        <v>3741.6881801795284</v>
      </c>
      <c r="CN78" s="106">
        <v>4</v>
      </c>
      <c r="CO78" s="106">
        <v>1742.3999999999999</v>
      </c>
      <c r="CP78" s="106">
        <v>7</v>
      </c>
      <c r="CQ78" s="106">
        <v>3049.2</v>
      </c>
      <c r="CR78" s="106">
        <v>5</v>
      </c>
      <c r="CS78" s="106">
        <v>2178</v>
      </c>
      <c r="CT78" s="106">
        <v>4.6646233035253086</v>
      </c>
      <c r="CU78" s="106">
        <v>2031.9099110156242</v>
      </c>
    </row>
    <row r="79" spans="2:99" x14ac:dyDescent="0.2">
      <c r="C79" s="105" t="s">
        <v>245</v>
      </c>
      <c r="D79" s="106">
        <v>5.2472217425563015</v>
      </c>
      <c r="E79" s="106">
        <v>170.00998445882416</v>
      </c>
      <c r="F79" s="106">
        <v>7</v>
      </c>
      <c r="G79" s="106">
        <v>226.79999999999998</v>
      </c>
      <c r="H79" s="106">
        <v>11</v>
      </c>
      <c r="I79" s="106">
        <v>356.4</v>
      </c>
      <c r="J79" s="106">
        <v>7.1939977182020796</v>
      </c>
      <c r="K79" s="106">
        <v>233.08552606974737</v>
      </c>
      <c r="L79" s="106">
        <v>5</v>
      </c>
      <c r="M79" s="106">
        <v>162</v>
      </c>
      <c r="N79" s="106">
        <v>4</v>
      </c>
      <c r="O79" s="106">
        <v>129.6</v>
      </c>
      <c r="P79" s="106">
        <v>5</v>
      </c>
      <c r="Q79" s="106">
        <v>162</v>
      </c>
      <c r="R79" s="106">
        <v>4</v>
      </c>
      <c r="S79" s="106">
        <v>129.6</v>
      </c>
      <c r="T79" s="106">
        <v>2</v>
      </c>
      <c r="U79" s="106">
        <v>64.8</v>
      </c>
      <c r="V79" s="106">
        <v>2</v>
      </c>
      <c r="W79" s="106">
        <v>64.8</v>
      </c>
      <c r="X79" s="106">
        <v>3.7482223999079229</v>
      </c>
      <c r="Y79" s="106">
        <v>121.4424057570167</v>
      </c>
      <c r="Z79" s="106">
        <v>2</v>
      </c>
      <c r="AA79" s="106">
        <v>64.8</v>
      </c>
      <c r="AB79" s="106">
        <v>3.3615161910883904</v>
      </c>
      <c r="AC79" s="106">
        <v>108.91312459126384</v>
      </c>
      <c r="AD79" s="106">
        <v>3</v>
      </c>
      <c r="AE79" s="106">
        <v>97.199999999999989</v>
      </c>
      <c r="AF79" s="106">
        <v>2</v>
      </c>
      <c r="AG79" s="106">
        <v>64.8</v>
      </c>
      <c r="AH79" s="106">
        <v>3</v>
      </c>
      <c r="AI79" s="106">
        <v>97.199999999999989</v>
      </c>
      <c r="AJ79" s="106">
        <v>3</v>
      </c>
      <c r="AK79" s="106">
        <v>97.199999999999989</v>
      </c>
      <c r="AL79" s="106">
        <v>4</v>
      </c>
      <c r="AM79" s="106">
        <v>129.6</v>
      </c>
      <c r="AN79" s="106">
        <v>3.6420424703101197</v>
      </c>
      <c r="AO79" s="106">
        <v>118.00217603804788</v>
      </c>
      <c r="AP79" s="106">
        <v>3.4810181036569898</v>
      </c>
      <c r="AQ79" s="106">
        <v>112.78498655848647</v>
      </c>
      <c r="AR79" s="106">
        <v>4.379983508120449</v>
      </c>
      <c r="AS79" s="106">
        <v>141.91146566310255</v>
      </c>
      <c r="AT79" s="106">
        <v>3.393245946632736</v>
      </c>
      <c r="AU79" s="106">
        <v>109.94116867090064</v>
      </c>
      <c r="AV79" s="106">
        <v>4</v>
      </c>
      <c r="AW79" s="106">
        <v>129.6</v>
      </c>
      <c r="AX79" s="106">
        <v>2</v>
      </c>
      <c r="AY79" s="106">
        <v>64.8</v>
      </c>
      <c r="AZ79" s="106">
        <v>4.4282360816671336</v>
      </c>
      <c r="BA79" s="106">
        <v>143.47484904601512</v>
      </c>
      <c r="BB79" s="106">
        <v>6</v>
      </c>
      <c r="BC79" s="106">
        <v>194.39999999999998</v>
      </c>
      <c r="BD79" s="106">
        <v>4</v>
      </c>
      <c r="BE79" s="106">
        <v>129.6</v>
      </c>
      <c r="BF79" s="106">
        <v>6</v>
      </c>
      <c r="BG79" s="106">
        <v>194.39999999999998</v>
      </c>
      <c r="BH79" s="106">
        <v>6</v>
      </c>
      <c r="BI79" s="106">
        <v>194.39999999999998</v>
      </c>
      <c r="BJ79" s="106">
        <v>8.1455215320033556</v>
      </c>
      <c r="BK79" s="106">
        <v>263.91489763690873</v>
      </c>
      <c r="BL79" s="106">
        <v>5</v>
      </c>
      <c r="BM79" s="106">
        <v>162</v>
      </c>
      <c r="BN79" s="106">
        <v>8.4609173414065477</v>
      </c>
      <c r="BO79" s="106">
        <v>274.13372186157216</v>
      </c>
      <c r="BP79" s="106">
        <v>9</v>
      </c>
      <c r="BQ79" s="106">
        <v>291.59999999999997</v>
      </c>
      <c r="BR79" s="106">
        <v>7</v>
      </c>
      <c r="BS79" s="106">
        <v>226.79999999999998</v>
      </c>
      <c r="BT79" s="106">
        <v>8</v>
      </c>
      <c r="BU79" s="106">
        <v>259.2</v>
      </c>
      <c r="BV79" s="106">
        <v>5</v>
      </c>
      <c r="BW79" s="106">
        <v>162</v>
      </c>
      <c r="BX79" s="106">
        <v>7</v>
      </c>
      <c r="BY79" s="106">
        <v>226.79999999999998</v>
      </c>
      <c r="BZ79" s="106">
        <v>9.190310294525105</v>
      </c>
      <c r="CA79" s="106">
        <v>297.76605354261341</v>
      </c>
      <c r="CB79" s="106">
        <v>7</v>
      </c>
      <c r="CC79" s="106">
        <v>226.79999999999998</v>
      </c>
      <c r="CD79" s="106">
        <v>8.602145426171667</v>
      </c>
      <c r="CE79" s="106">
        <v>278.70951180796197</v>
      </c>
      <c r="CF79" s="106">
        <v>12</v>
      </c>
      <c r="CG79" s="106">
        <v>388.79999999999995</v>
      </c>
      <c r="CH79" s="106">
        <v>8</v>
      </c>
      <c r="CI79" s="106">
        <v>259.2</v>
      </c>
      <c r="CJ79" s="106">
        <v>11</v>
      </c>
      <c r="CK79" s="106">
        <v>356.4</v>
      </c>
      <c r="CL79" s="106">
        <v>9.5897341142780732</v>
      </c>
      <c r="CM79" s="106">
        <v>310.70738530260957</v>
      </c>
      <c r="CN79" s="106">
        <v>5</v>
      </c>
      <c r="CO79" s="106">
        <v>162</v>
      </c>
      <c r="CP79" s="106">
        <v>8</v>
      </c>
      <c r="CQ79" s="106">
        <v>259.2</v>
      </c>
      <c r="CR79" s="106">
        <v>5</v>
      </c>
      <c r="CS79" s="106">
        <v>162</v>
      </c>
      <c r="CT79" s="106">
        <v>4.6646233035253086</v>
      </c>
      <c r="CU79" s="106">
        <v>151.13379503421999</v>
      </c>
    </row>
    <row r="80" spans="2:99" x14ac:dyDescent="0.2">
      <c r="C80" s="105" t="s">
        <v>246</v>
      </c>
      <c r="D80" s="106">
        <v>5.2209771555940794</v>
      </c>
      <c r="E80" s="106">
        <v>2518.5993798585837</v>
      </c>
      <c r="F80" s="106">
        <v>7</v>
      </c>
      <c r="G80" s="106">
        <v>3376.7999999999997</v>
      </c>
      <c r="H80" s="106">
        <v>12</v>
      </c>
      <c r="I80" s="106">
        <v>5788.7999999999993</v>
      </c>
      <c r="J80" s="106">
        <v>7.1801407383305023</v>
      </c>
      <c r="K80" s="106">
        <v>3463.699892170634</v>
      </c>
      <c r="L80" s="106">
        <v>5</v>
      </c>
      <c r="M80" s="106">
        <v>2412</v>
      </c>
      <c r="N80" s="106">
        <v>4</v>
      </c>
      <c r="O80" s="106">
        <v>1929.6</v>
      </c>
      <c r="P80" s="106">
        <v>5</v>
      </c>
      <c r="Q80" s="106">
        <v>2412</v>
      </c>
      <c r="R80" s="106">
        <v>4</v>
      </c>
      <c r="S80" s="106">
        <v>1929.6</v>
      </c>
      <c r="T80" s="106">
        <v>3</v>
      </c>
      <c r="U80" s="106">
        <v>1447.1999999999998</v>
      </c>
      <c r="V80" s="106">
        <v>2</v>
      </c>
      <c r="W80" s="106">
        <v>964.8</v>
      </c>
      <c r="X80" s="106">
        <v>4.6484594132535335</v>
      </c>
      <c r="Y80" s="106">
        <v>2242.4168209535046</v>
      </c>
      <c r="Z80" s="106">
        <v>2</v>
      </c>
      <c r="AA80" s="106">
        <v>964.8</v>
      </c>
      <c r="AB80" s="106">
        <v>3.3253645719795513</v>
      </c>
      <c r="AC80" s="106">
        <v>1604.1558695229355</v>
      </c>
      <c r="AD80" s="106">
        <v>2</v>
      </c>
      <c r="AE80" s="106">
        <v>964.8</v>
      </c>
      <c r="AF80" s="106">
        <v>2</v>
      </c>
      <c r="AG80" s="106">
        <v>964.8</v>
      </c>
      <c r="AH80" s="106">
        <v>3</v>
      </c>
      <c r="AI80" s="106">
        <v>1447.1999999999998</v>
      </c>
      <c r="AJ80" s="106">
        <v>3</v>
      </c>
      <c r="AK80" s="106">
        <v>1447.1999999999998</v>
      </c>
      <c r="AL80" s="106">
        <v>4</v>
      </c>
      <c r="AM80" s="106">
        <v>1929.6</v>
      </c>
      <c r="AN80" s="106">
        <v>3.5432667056470244</v>
      </c>
      <c r="AO80" s="106">
        <v>1709.2718588041246</v>
      </c>
      <c r="AP80" s="106">
        <v>3.3935602666284463</v>
      </c>
      <c r="AQ80" s="106">
        <v>1637.0534726215624</v>
      </c>
      <c r="AR80" s="106">
        <v>4.4274814466355057</v>
      </c>
      <c r="AS80" s="106">
        <v>2135.817049856968</v>
      </c>
      <c r="AT80" s="106">
        <v>3.3440902033036441</v>
      </c>
      <c r="AU80" s="106">
        <v>1613.189114073678</v>
      </c>
      <c r="AV80" s="106">
        <v>3</v>
      </c>
      <c r="AW80" s="106">
        <v>1447.1999999999998</v>
      </c>
      <c r="AX80" s="106">
        <v>2</v>
      </c>
      <c r="AY80" s="106">
        <v>964.8</v>
      </c>
      <c r="AZ80" s="106">
        <v>4.389305528788304</v>
      </c>
      <c r="BA80" s="106">
        <v>2117.4009870874779</v>
      </c>
      <c r="BB80" s="106">
        <v>6</v>
      </c>
      <c r="BC80" s="106">
        <v>2894.3999999999996</v>
      </c>
      <c r="BD80" s="106">
        <v>3</v>
      </c>
      <c r="BE80" s="106">
        <v>1447.1999999999998</v>
      </c>
      <c r="BF80" s="106">
        <v>6</v>
      </c>
      <c r="BG80" s="106">
        <v>2894.3999999999996</v>
      </c>
      <c r="BH80" s="106">
        <v>5</v>
      </c>
      <c r="BI80" s="106">
        <v>2412</v>
      </c>
      <c r="BJ80" s="106">
        <v>7.1455215320033547</v>
      </c>
      <c r="BK80" s="106">
        <v>3446.9995870384182</v>
      </c>
      <c r="BL80" s="106">
        <v>6.093350884540861</v>
      </c>
      <c r="BM80" s="106">
        <v>2939.4324667025112</v>
      </c>
      <c r="BN80" s="106">
        <v>7.4609173414065468</v>
      </c>
      <c r="BO80" s="106">
        <v>3599.1465254945178</v>
      </c>
      <c r="BP80" s="106">
        <v>8</v>
      </c>
      <c r="BQ80" s="106">
        <v>3859.2</v>
      </c>
      <c r="BR80" s="106">
        <v>6</v>
      </c>
      <c r="BS80" s="106">
        <v>2894.3999999999996</v>
      </c>
      <c r="BT80" s="106">
        <v>8</v>
      </c>
      <c r="BU80" s="106">
        <v>3859.2</v>
      </c>
      <c r="BV80" s="106">
        <v>6</v>
      </c>
      <c r="BW80" s="106">
        <v>2894.3999999999996</v>
      </c>
      <c r="BX80" s="106">
        <v>7</v>
      </c>
      <c r="BY80" s="106">
        <v>3376.7999999999997</v>
      </c>
      <c r="BZ80" s="106">
        <v>8.091117769981345</v>
      </c>
      <c r="CA80" s="106">
        <v>3903.1552122390008</v>
      </c>
      <c r="CB80" s="106">
        <v>6</v>
      </c>
      <c r="CC80" s="106">
        <v>2894.3999999999996</v>
      </c>
      <c r="CD80" s="106">
        <v>9.5591350385879768</v>
      </c>
      <c r="CE80" s="106">
        <v>4611.3267426148395</v>
      </c>
      <c r="CF80" s="106">
        <v>13</v>
      </c>
      <c r="CG80" s="106">
        <v>6271.2</v>
      </c>
      <c r="CH80" s="106">
        <v>8</v>
      </c>
      <c r="CI80" s="106">
        <v>3859.2</v>
      </c>
      <c r="CJ80" s="106">
        <v>11</v>
      </c>
      <c r="CK80" s="106">
        <v>5306.4</v>
      </c>
      <c r="CL80" s="106">
        <v>9.5443699516412988</v>
      </c>
      <c r="CM80" s="106">
        <v>4604.2040646717624</v>
      </c>
      <c r="CN80" s="106">
        <v>4</v>
      </c>
      <c r="CO80" s="106">
        <v>1929.6</v>
      </c>
      <c r="CP80" s="106">
        <v>8</v>
      </c>
      <c r="CQ80" s="106">
        <v>3859.2</v>
      </c>
      <c r="CR80" s="106">
        <v>5</v>
      </c>
      <c r="CS80" s="106">
        <v>2412</v>
      </c>
      <c r="CT80" s="106">
        <v>4.6646233035253086</v>
      </c>
      <c r="CU80" s="106">
        <v>2250.2142816206087</v>
      </c>
    </row>
    <row r="81" spans="2:99" x14ac:dyDescent="0.2">
      <c r="C81" s="105" t="s">
        <v>247</v>
      </c>
      <c r="D81" s="106">
        <v>4.6875256262386866</v>
      </c>
      <c r="E81" s="106">
        <v>1411.8827186230924</v>
      </c>
      <c r="F81" s="106">
        <v>6</v>
      </c>
      <c r="G81" s="106">
        <v>1807.1999999999998</v>
      </c>
      <c r="H81" s="106">
        <v>12</v>
      </c>
      <c r="I81" s="106">
        <v>3614.3999999999996</v>
      </c>
      <c r="J81" s="106">
        <v>6.1939977182020796</v>
      </c>
      <c r="K81" s="106">
        <v>1865.6321127224662</v>
      </c>
      <c r="L81" s="106">
        <v>5</v>
      </c>
      <c r="M81" s="106">
        <v>1506</v>
      </c>
      <c r="N81" s="106">
        <v>4</v>
      </c>
      <c r="O81" s="106">
        <v>1204.8</v>
      </c>
      <c r="P81" s="106">
        <v>5</v>
      </c>
      <c r="Q81" s="106">
        <v>1506</v>
      </c>
      <c r="R81" s="106">
        <v>4</v>
      </c>
      <c r="S81" s="106">
        <v>1204.8</v>
      </c>
      <c r="T81" s="106">
        <v>2</v>
      </c>
      <c r="U81" s="106">
        <v>602.4</v>
      </c>
      <c r="V81" s="106">
        <v>2</v>
      </c>
      <c r="W81" s="106">
        <v>602.4</v>
      </c>
      <c r="X81" s="106">
        <v>3.5985779199263384</v>
      </c>
      <c r="Y81" s="106">
        <v>1083.8916694818131</v>
      </c>
      <c r="Z81" s="106">
        <v>2</v>
      </c>
      <c r="AA81" s="106">
        <v>602.4</v>
      </c>
      <c r="AB81" s="106">
        <v>3.3976678101972291</v>
      </c>
      <c r="AC81" s="106">
        <v>1023.3775444314053</v>
      </c>
      <c r="AD81" s="106">
        <v>3</v>
      </c>
      <c r="AE81" s="106">
        <v>903.59999999999991</v>
      </c>
      <c r="AF81" s="106">
        <v>2</v>
      </c>
      <c r="AG81" s="106">
        <v>602.4</v>
      </c>
      <c r="AH81" s="106">
        <v>2</v>
      </c>
      <c r="AI81" s="106">
        <v>602.4</v>
      </c>
      <c r="AJ81" s="106">
        <v>3</v>
      </c>
      <c r="AK81" s="106">
        <v>903.59999999999991</v>
      </c>
      <c r="AL81" s="106">
        <v>4</v>
      </c>
      <c r="AM81" s="106">
        <v>1204.8</v>
      </c>
      <c r="AN81" s="106">
        <v>2.5926545879785721</v>
      </c>
      <c r="AO81" s="106">
        <v>780.90756189914589</v>
      </c>
      <c r="AP81" s="106">
        <v>3.4372891851427179</v>
      </c>
      <c r="AQ81" s="106">
        <v>1035.3115025649865</v>
      </c>
      <c r="AR81" s="106">
        <v>4.379983508120449</v>
      </c>
      <c r="AS81" s="106">
        <v>1319.2510326458791</v>
      </c>
      <c r="AT81" s="106">
        <v>4.3440902033036446</v>
      </c>
      <c r="AU81" s="106">
        <v>1308.4399692350578</v>
      </c>
      <c r="AV81" s="106">
        <v>4</v>
      </c>
      <c r="AW81" s="106">
        <v>1204.8</v>
      </c>
      <c r="AX81" s="106">
        <v>2</v>
      </c>
      <c r="AY81" s="106">
        <v>602.4</v>
      </c>
      <c r="AZ81" s="106">
        <v>4.389305528788304</v>
      </c>
      <c r="BA81" s="106">
        <v>1322.0588252710372</v>
      </c>
      <c r="BB81" s="106">
        <v>6</v>
      </c>
      <c r="BC81" s="106">
        <v>1807.1999999999998</v>
      </c>
      <c r="BD81" s="106">
        <v>4</v>
      </c>
      <c r="BE81" s="106">
        <v>1204.8</v>
      </c>
      <c r="BF81" s="106">
        <v>6</v>
      </c>
      <c r="BG81" s="106">
        <v>1807.1999999999998</v>
      </c>
      <c r="BH81" s="106">
        <v>5</v>
      </c>
      <c r="BI81" s="106">
        <v>1506</v>
      </c>
      <c r="BJ81" s="106">
        <v>8.1455215320033556</v>
      </c>
      <c r="BK81" s="106">
        <v>2453.4310854394107</v>
      </c>
      <c r="BL81" s="106">
        <v>6.0816820239732534</v>
      </c>
      <c r="BM81" s="106">
        <v>1831.8026256207438</v>
      </c>
      <c r="BN81" s="106">
        <v>8.5070090755472023</v>
      </c>
      <c r="BO81" s="106">
        <v>2562.3111335548174</v>
      </c>
      <c r="BP81" s="106">
        <v>8</v>
      </c>
      <c r="BQ81" s="106">
        <v>2409.6</v>
      </c>
      <c r="BR81" s="106">
        <v>7</v>
      </c>
      <c r="BS81" s="106">
        <v>2108.4</v>
      </c>
      <c r="BT81" s="106">
        <v>9</v>
      </c>
      <c r="BU81" s="106">
        <v>2710.7999999999997</v>
      </c>
      <c r="BV81" s="106">
        <v>6</v>
      </c>
      <c r="BW81" s="106">
        <v>1807.1999999999998</v>
      </c>
      <c r="BX81" s="106">
        <v>6</v>
      </c>
      <c r="BY81" s="106">
        <v>1807.1999999999998</v>
      </c>
      <c r="BZ81" s="106">
        <v>8.0415215077094651</v>
      </c>
      <c r="CA81" s="106">
        <v>2422.1062781220908</v>
      </c>
      <c r="CB81" s="106">
        <v>7</v>
      </c>
      <c r="CC81" s="106">
        <v>2108.4</v>
      </c>
      <c r="CD81" s="106">
        <v>9.6451558137553572</v>
      </c>
      <c r="CE81" s="106">
        <v>2905.1209311031134</v>
      </c>
      <c r="CF81" s="106">
        <v>12</v>
      </c>
      <c r="CG81" s="106">
        <v>3614.3999999999996</v>
      </c>
      <c r="CH81" s="106">
        <v>7</v>
      </c>
      <c r="CI81" s="106">
        <v>2108.4</v>
      </c>
      <c r="CJ81" s="106">
        <v>11</v>
      </c>
      <c r="CK81" s="106">
        <v>3313.2</v>
      </c>
      <c r="CL81" s="106">
        <v>9.5897341142780732</v>
      </c>
      <c r="CM81" s="106">
        <v>2888.4279152205554</v>
      </c>
      <c r="CN81" s="106">
        <v>5</v>
      </c>
      <c r="CO81" s="106">
        <v>1506</v>
      </c>
      <c r="CP81" s="106">
        <v>8</v>
      </c>
      <c r="CQ81" s="106">
        <v>2409.6</v>
      </c>
      <c r="CR81" s="106">
        <v>5</v>
      </c>
      <c r="CS81" s="106">
        <v>1506</v>
      </c>
      <c r="CT81" s="106">
        <v>4</v>
      </c>
      <c r="CU81" s="106">
        <v>1204.8</v>
      </c>
    </row>
    <row r="82" spans="2:99" x14ac:dyDescent="0.2">
      <c r="C82" s="105" t="s">
        <v>248</v>
      </c>
      <c r="D82" s="106">
        <v>4.7137702132009087</v>
      </c>
      <c r="E82" s="106">
        <v>3869.0625909953055</v>
      </c>
      <c r="F82" s="106">
        <v>6</v>
      </c>
      <c r="G82" s="106">
        <v>4924.7999999999993</v>
      </c>
      <c r="H82" s="106">
        <v>10</v>
      </c>
      <c r="I82" s="106">
        <v>8208</v>
      </c>
      <c r="J82" s="106">
        <v>6.1801407383305023</v>
      </c>
      <c r="K82" s="106">
        <v>5072.6595180216764</v>
      </c>
      <c r="L82" s="106">
        <v>5</v>
      </c>
      <c r="M82" s="106">
        <v>4104</v>
      </c>
      <c r="N82" s="106">
        <v>4</v>
      </c>
      <c r="O82" s="106">
        <v>3283.2</v>
      </c>
      <c r="P82" s="106">
        <v>4</v>
      </c>
      <c r="Q82" s="106">
        <v>3283.2</v>
      </c>
      <c r="R82" s="106">
        <v>4</v>
      </c>
      <c r="S82" s="106">
        <v>3283.2</v>
      </c>
      <c r="T82" s="106">
        <v>2</v>
      </c>
      <c r="U82" s="106">
        <v>1641.6</v>
      </c>
      <c r="V82" s="106">
        <v>2</v>
      </c>
      <c r="W82" s="106">
        <v>1641.6</v>
      </c>
      <c r="X82" s="106">
        <v>4.5985779199263384</v>
      </c>
      <c r="Y82" s="106">
        <v>3774.5127566755382</v>
      </c>
      <c r="Z82" s="106">
        <v>2</v>
      </c>
      <c r="AA82" s="106">
        <v>1641.6</v>
      </c>
      <c r="AB82" s="106">
        <v>3.3615161910883904</v>
      </c>
      <c r="AC82" s="106">
        <v>2759.1324896453507</v>
      </c>
      <c r="AD82" s="106">
        <v>2</v>
      </c>
      <c r="AE82" s="106">
        <v>1641.6</v>
      </c>
      <c r="AF82" s="106">
        <v>2</v>
      </c>
      <c r="AG82" s="106">
        <v>1641.6</v>
      </c>
      <c r="AH82" s="106">
        <v>3</v>
      </c>
      <c r="AI82" s="106">
        <v>2462.3999999999996</v>
      </c>
      <c r="AJ82" s="106">
        <v>3</v>
      </c>
      <c r="AK82" s="106">
        <v>2462.3999999999996</v>
      </c>
      <c r="AL82" s="106">
        <v>4</v>
      </c>
      <c r="AM82" s="106">
        <v>3283.2</v>
      </c>
      <c r="AN82" s="106">
        <v>2.5432667056470244</v>
      </c>
      <c r="AO82" s="106">
        <v>2087.5133119950774</v>
      </c>
      <c r="AP82" s="106">
        <v>2.3935602666284463</v>
      </c>
      <c r="AQ82" s="106">
        <v>1964.6342668486286</v>
      </c>
      <c r="AR82" s="106">
        <v>4.4274814466355057</v>
      </c>
      <c r="AS82" s="106">
        <v>3634.0767713984228</v>
      </c>
      <c r="AT82" s="106">
        <v>3.3440902033036441</v>
      </c>
      <c r="AU82" s="106">
        <v>2744.8292388716309</v>
      </c>
      <c r="AV82" s="106">
        <v>3</v>
      </c>
      <c r="AW82" s="106">
        <v>2462.3999999999996</v>
      </c>
      <c r="AX82" s="106">
        <v>2</v>
      </c>
      <c r="AY82" s="106">
        <v>1641.6</v>
      </c>
      <c r="AZ82" s="106">
        <v>4.4282360816671336</v>
      </c>
      <c r="BA82" s="106">
        <v>3634.6961758323832</v>
      </c>
      <c r="BB82" s="106">
        <v>6</v>
      </c>
      <c r="BC82" s="106">
        <v>4924.7999999999993</v>
      </c>
      <c r="BD82" s="106">
        <v>3</v>
      </c>
      <c r="BE82" s="106">
        <v>2462.3999999999996</v>
      </c>
      <c r="BF82" s="106">
        <v>6</v>
      </c>
      <c r="BG82" s="106">
        <v>4924.7999999999993</v>
      </c>
      <c r="BH82" s="106">
        <v>5</v>
      </c>
      <c r="BI82" s="106">
        <v>4104</v>
      </c>
      <c r="BJ82" s="106">
        <v>8.1455215320033556</v>
      </c>
      <c r="BK82" s="106">
        <v>6685.8440734683536</v>
      </c>
      <c r="BL82" s="106">
        <v>6.0816820239732534</v>
      </c>
      <c r="BM82" s="106">
        <v>4991.844605277246</v>
      </c>
      <c r="BN82" s="106">
        <v>7.5070090755472023</v>
      </c>
      <c r="BO82" s="106">
        <v>6161.7530492091437</v>
      </c>
      <c r="BP82" s="106">
        <v>8</v>
      </c>
      <c r="BQ82" s="106">
        <v>6566.4</v>
      </c>
      <c r="BR82" s="106">
        <v>6</v>
      </c>
      <c r="BS82" s="106">
        <v>4924.7999999999993</v>
      </c>
      <c r="BT82" s="106">
        <v>8</v>
      </c>
      <c r="BU82" s="106">
        <v>6566.4</v>
      </c>
      <c r="BV82" s="106">
        <v>5</v>
      </c>
      <c r="BW82" s="106">
        <v>4104</v>
      </c>
      <c r="BX82" s="106">
        <v>6</v>
      </c>
      <c r="BY82" s="106">
        <v>4924.7999999999993</v>
      </c>
      <c r="BZ82" s="106">
        <v>8.190310294525105</v>
      </c>
      <c r="CA82" s="106">
        <v>6722.606689746206</v>
      </c>
      <c r="CB82" s="106">
        <v>7</v>
      </c>
      <c r="CC82" s="106">
        <v>5745.5999999999995</v>
      </c>
      <c r="CD82" s="106">
        <v>8.602145426171667</v>
      </c>
      <c r="CE82" s="106">
        <v>7060.6409658017037</v>
      </c>
      <c r="CF82" s="106">
        <v>12</v>
      </c>
      <c r="CG82" s="106">
        <v>9849.5999999999985</v>
      </c>
      <c r="CH82" s="106">
        <v>7</v>
      </c>
      <c r="CI82" s="106">
        <v>5745.5999999999995</v>
      </c>
      <c r="CJ82" s="106">
        <v>11</v>
      </c>
      <c r="CK82" s="106">
        <v>9028.7999999999993</v>
      </c>
      <c r="CL82" s="106">
        <v>9.5897341142780732</v>
      </c>
      <c r="CM82" s="106">
        <v>7871.2537609994424</v>
      </c>
      <c r="CN82" s="106">
        <v>5</v>
      </c>
      <c r="CO82" s="106">
        <v>4104</v>
      </c>
      <c r="CP82" s="106">
        <v>7</v>
      </c>
      <c r="CQ82" s="106">
        <v>5745.5999999999995</v>
      </c>
      <c r="CR82" s="106">
        <v>5</v>
      </c>
      <c r="CS82" s="106">
        <v>4104</v>
      </c>
      <c r="CT82" s="106">
        <v>4</v>
      </c>
      <c r="CU82" s="106">
        <v>3283.2</v>
      </c>
    </row>
    <row r="83" spans="2:99" x14ac:dyDescent="0.2">
      <c r="C83" s="105" t="s">
        <v>249</v>
      </c>
      <c r="D83" s="106">
        <v>5.2734663295185236</v>
      </c>
      <c r="E83" s="106">
        <v>670.78491711475601</v>
      </c>
      <c r="F83" s="106">
        <v>6</v>
      </c>
      <c r="G83" s="106">
        <v>763.19999999999982</v>
      </c>
      <c r="H83" s="106">
        <v>11</v>
      </c>
      <c r="I83" s="106">
        <v>1399.1999999999998</v>
      </c>
      <c r="J83" s="106">
        <v>6.166283758458925</v>
      </c>
      <c r="K83" s="106">
        <v>784.35129407597515</v>
      </c>
      <c r="L83" s="106">
        <v>6</v>
      </c>
      <c r="M83" s="106">
        <v>763.19999999999982</v>
      </c>
      <c r="N83" s="106">
        <v>4</v>
      </c>
      <c r="O83" s="106">
        <v>508.7999999999999</v>
      </c>
      <c r="P83" s="106">
        <v>4</v>
      </c>
      <c r="Q83" s="106">
        <v>508.7999999999999</v>
      </c>
      <c r="R83" s="106">
        <v>4</v>
      </c>
      <c r="S83" s="106">
        <v>508.7999999999999</v>
      </c>
      <c r="T83" s="106">
        <v>3</v>
      </c>
      <c r="U83" s="106">
        <v>381.59999999999991</v>
      </c>
      <c r="V83" s="106">
        <v>2</v>
      </c>
      <c r="W83" s="106">
        <v>254.39999999999995</v>
      </c>
      <c r="X83" s="106">
        <v>4.6484594132535335</v>
      </c>
      <c r="Y83" s="106">
        <v>591.28403736584937</v>
      </c>
      <c r="Z83" s="106">
        <v>2</v>
      </c>
      <c r="AA83" s="106">
        <v>254.39999999999995</v>
      </c>
      <c r="AB83" s="106">
        <v>3.3615161910883904</v>
      </c>
      <c r="AC83" s="106">
        <v>427.58485950644319</v>
      </c>
      <c r="AD83" s="106">
        <v>3</v>
      </c>
      <c r="AE83" s="106">
        <v>381.59999999999991</v>
      </c>
      <c r="AF83" s="106">
        <v>2</v>
      </c>
      <c r="AG83" s="106">
        <v>254.39999999999995</v>
      </c>
      <c r="AH83" s="106">
        <v>3</v>
      </c>
      <c r="AI83" s="106">
        <v>381.59999999999991</v>
      </c>
      <c r="AJ83" s="106">
        <v>3</v>
      </c>
      <c r="AK83" s="106">
        <v>381.59999999999991</v>
      </c>
      <c r="AL83" s="106">
        <v>4</v>
      </c>
      <c r="AM83" s="106">
        <v>508.7999999999999</v>
      </c>
      <c r="AN83" s="106">
        <v>3.6420424703101197</v>
      </c>
      <c r="AO83" s="106">
        <v>463.26780222344712</v>
      </c>
      <c r="AP83" s="106">
        <v>2.4810181036569898</v>
      </c>
      <c r="AQ83" s="106">
        <v>315.58550278516907</v>
      </c>
      <c r="AR83" s="106">
        <v>4.4274814466355057</v>
      </c>
      <c r="AS83" s="106">
        <v>563.17564001203618</v>
      </c>
      <c r="AT83" s="106">
        <v>3.393245946632736</v>
      </c>
      <c r="AU83" s="106">
        <v>431.62088441168396</v>
      </c>
      <c r="AV83" s="106">
        <v>4</v>
      </c>
      <c r="AW83" s="106">
        <v>508.7999999999999</v>
      </c>
      <c r="AX83" s="106">
        <v>2</v>
      </c>
      <c r="AY83" s="106">
        <v>254.39999999999995</v>
      </c>
      <c r="AZ83" s="106">
        <v>4.467166634545964</v>
      </c>
      <c r="BA83" s="106">
        <v>568.22359591424652</v>
      </c>
      <c r="BB83" s="106">
        <v>6</v>
      </c>
      <c r="BC83" s="106">
        <v>763.19999999999982</v>
      </c>
      <c r="BD83" s="106">
        <v>4</v>
      </c>
      <c r="BE83" s="106">
        <v>508.7999999999999</v>
      </c>
      <c r="BF83" s="106">
        <v>6</v>
      </c>
      <c r="BG83" s="106">
        <v>763.19999999999982</v>
      </c>
      <c r="BH83" s="106">
        <v>5</v>
      </c>
      <c r="BI83" s="106">
        <v>635.99999999999989</v>
      </c>
      <c r="BJ83" s="106">
        <v>8.1247327417171604</v>
      </c>
      <c r="BK83" s="106">
        <v>1033.4660047464226</v>
      </c>
      <c r="BL83" s="106">
        <v>6.093350884540861</v>
      </c>
      <c r="BM83" s="106">
        <v>775.07423251359739</v>
      </c>
      <c r="BN83" s="106">
        <v>8.4609173414065477</v>
      </c>
      <c r="BO83" s="106">
        <v>1076.2286858269126</v>
      </c>
      <c r="BP83" s="106">
        <v>9</v>
      </c>
      <c r="BQ83" s="106">
        <v>1144.7999999999997</v>
      </c>
      <c r="BR83" s="106">
        <v>7</v>
      </c>
      <c r="BS83" s="106">
        <v>890.39999999999986</v>
      </c>
      <c r="BT83" s="106">
        <v>8</v>
      </c>
      <c r="BU83" s="106">
        <v>1017.5999999999998</v>
      </c>
      <c r="BV83" s="106">
        <v>6</v>
      </c>
      <c r="BW83" s="106">
        <v>763.19999999999982</v>
      </c>
      <c r="BX83" s="106">
        <v>6</v>
      </c>
      <c r="BY83" s="106">
        <v>763.19999999999982</v>
      </c>
      <c r="BZ83" s="106">
        <v>9.140714032253225</v>
      </c>
      <c r="CA83" s="106">
        <v>1162.6988249026099</v>
      </c>
      <c r="CB83" s="106">
        <v>6</v>
      </c>
      <c r="CC83" s="106">
        <v>763.19999999999982</v>
      </c>
      <c r="CD83" s="106">
        <v>8.6451558137553572</v>
      </c>
      <c r="CE83" s="106">
        <v>1099.6638195096812</v>
      </c>
      <c r="CF83" s="106">
        <v>12</v>
      </c>
      <c r="CG83" s="106">
        <v>1526.3999999999996</v>
      </c>
      <c r="CH83" s="106">
        <v>8</v>
      </c>
      <c r="CI83" s="106">
        <v>1017.5999999999998</v>
      </c>
      <c r="CJ83" s="106">
        <v>11</v>
      </c>
      <c r="CK83" s="106">
        <v>1399.1999999999998</v>
      </c>
      <c r="CL83" s="106">
        <v>9.5897341142780732</v>
      </c>
      <c r="CM83" s="106">
        <v>1219.8141793361706</v>
      </c>
      <c r="CN83" s="106">
        <v>5</v>
      </c>
      <c r="CO83" s="106">
        <v>635.99999999999989</v>
      </c>
      <c r="CP83" s="106">
        <v>8</v>
      </c>
      <c r="CQ83" s="106">
        <v>1017.5999999999998</v>
      </c>
      <c r="CR83" s="106">
        <v>5</v>
      </c>
      <c r="CS83" s="106">
        <v>635.99999999999989</v>
      </c>
      <c r="CT83" s="106">
        <v>4.7061622599956401</v>
      </c>
      <c r="CU83" s="106">
        <v>598.62383947144531</v>
      </c>
    </row>
    <row r="84" spans="2:99" x14ac:dyDescent="0.2">
      <c r="C84" s="105" t="s">
        <v>250</v>
      </c>
      <c r="D84" s="106">
        <v>4.6875256262386866</v>
      </c>
      <c r="E84" s="106">
        <v>4162.5227560999538</v>
      </c>
      <c r="F84" s="106">
        <v>6</v>
      </c>
      <c r="G84" s="106">
        <v>5328</v>
      </c>
      <c r="H84" s="106">
        <v>11</v>
      </c>
      <c r="I84" s="106">
        <v>9768</v>
      </c>
      <c r="J84" s="106">
        <v>6.1801407383305023</v>
      </c>
      <c r="K84" s="106">
        <v>5487.9649756374856</v>
      </c>
      <c r="L84" s="106">
        <v>5</v>
      </c>
      <c r="M84" s="106">
        <v>4440</v>
      </c>
      <c r="N84" s="106">
        <v>3</v>
      </c>
      <c r="O84" s="106">
        <v>2664</v>
      </c>
      <c r="P84" s="106">
        <v>4</v>
      </c>
      <c r="Q84" s="106">
        <v>3552</v>
      </c>
      <c r="R84" s="106">
        <v>4</v>
      </c>
      <c r="S84" s="106">
        <v>3552</v>
      </c>
      <c r="T84" s="106">
        <v>3</v>
      </c>
      <c r="U84" s="106">
        <v>2664</v>
      </c>
      <c r="V84" s="106">
        <v>2</v>
      </c>
      <c r="W84" s="106">
        <v>1776</v>
      </c>
      <c r="X84" s="106">
        <v>3.5985779199263384</v>
      </c>
      <c r="Y84" s="106">
        <v>3195.5371928945883</v>
      </c>
      <c r="Z84" s="106">
        <v>2</v>
      </c>
      <c r="AA84" s="106">
        <v>1776</v>
      </c>
      <c r="AB84" s="106">
        <v>3.3253645719795513</v>
      </c>
      <c r="AC84" s="106">
        <v>2952.9237399178414</v>
      </c>
      <c r="AD84" s="106">
        <v>3</v>
      </c>
      <c r="AE84" s="106">
        <v>2664</v>
      </c>
      <c r="AF84" s="106">
        <v>2</v>
      </c>
      <c r="AG84" s="106">
        <v>1776</v>
      </c>
      <c r="AH84" s="106">
        <v>2</v>
      </c>
      <c r="AI84" s="106">
        <v>1776</v>
      </c>
      <c r="AJ84" s="106">
        <v>3</v>
      </c>
      <c r="AK84" s="106">
        <v>2664</v>
      </c>
      <c r="AL84" s="106">
        <v>3</v>
      </c>
      <c r="AM84" s="106">
        <v>2664</v>
      </c>
      <c r="AN84" s="106">
        <v>2.6420424703101197</v>
      </c>
      <c r="AO84" s="106">
        <v>2346.1337136353864</v>
      </c>
      <c r="AP84" s="106">
        <v>3.4372891851427179</v>
      </c>
      <c r="AQ84" s="106">
        <v>3052.3127964067335</v>
      </c>
      <c r="AR84" s="106">
        <v>3.3799835081204495</v>
      </c>
      <c r="AS84" s="106">
        <v>3001.425355210959</v>
      </c>
      <c r="AT84" s="106">
        <v>3.393245946632736</v>
      </c>
      <c r="AU84" s="106">
        <v>3013.2024006098695</v>
      </c>
      <c r="AV84" s="106">
        <v>3</v>
      </c>
      <c r="AW84" s="106">
        <v>2664</v>
      </c>
      <c r="AX84" s="106">
        <v>2</v>
      </c>
      <c r="AY84" s="106">
        <v>1776</v>
      </c>
      <c r="AZ84" s="106">
        <v>4.389305528788304</v>
      </c>
      <c r="BA84" s="106">
        <v>3897.703309564014</v>
      </c>
      <c r="BB84" s="106">
        <v>6</v>
      </c>
      <c r="BC84" s="106">
        <v>5328</v>
      </c>
      <c r="BD84" s="106">
        <v>3</v>
      </c>
      <c r="BE84" s="106">
        <v>2664</v>
      </c>
      <c r="BF84" s="106">
        <v>6</v>
      </c>
      <c r="BG84" s="106">
        <v>5328</v>
      </c>
      <c r="BH84" s="106">
        <v>5</v>
      </c>
      <c r="BI84" s="106">
        <v>4440</v>
      </c>
      <c r="BJ84" s="106">
        <v>7.1247327417171613</v>
      </c>
      <c r="BK84" s="106">
        <v>6326.7626746448395</v>
      </c>
      <c r="BL84" s="106">
        <v>5.0816820239732534</v>
      </c>
      <c r="BM84" s="106">
        <v>4512.5336372882493</v>
      </c>
      <c r="BN84" s="106">
        <v>7.4609173414065468</v>
      </c>
      <c r="BO84" s="106">
        <v>6625.294599169014</v>
      </c>
      <c r="BP84" s="106">
        <v>8</v>
      </c>
      <c r="BQ84" s="106">
        <v>7104</v>
      </c>
      <c r="BR84" s="106">
        <v>6</v>
      </c>
      <c r="BS84" s="106">
        <v>5328</v>
      </c>
      <c r="BT84" s="106">
        <v>8</v>
      </c>
      <c r="BU84" s="106">
        <v>7104</v>
      </c>
      <c r="BV84" s="106">
        <v>6</v>
      </c>
      <c r="BW84" s="106">
        <v>5328</v>
      </c>
      <c r="BX84" s="106">
        <v>6</v>
      </c>
      <c r="BY84" s="106">
        <v>5328</v>
      </c>
      <c r="BZ84" s="106">
        <v>9.091117769981345</v>
      </c>
      <c r="CA84" s="106">
        <v>8072.9125797434344</v>
      </c>
      <c r="CB84" s="106">
        <v>6</v>
      </c>
      <c r="CC84" s="106">
        <v>5328</v>
      </c>
      <c r="CD84" s="106">
        <v>8.602145426171667</v>
      </c>
      <c r="CE84" s="106">
        <v>7638.7051384404404</v>
      </c>
      <c r="CF84" s="106">
        <v>13</v>
      </c>
      <c r="CG84" s="106">
        <v>11544</v>
      </c>
      <c r="CH84" s="106">
        <v>8</v>
      </c>
      <c r="CI84" s="106">
        <v>7104</v>
      </c>
      <c r="CJ84" s="106">
        <v>11</v>
      </c>
      <c r="CK84" s="106">
        <v>9768</v>
      </c>
      <c r="CL84" s="106">
        <v>9.5897341142780732</v>
      </c>
      <c r="CM84" s="106">
        <v>8515.6838934789284</v>
      </c>
      <c r="CN84" s="106">
        <v>4</v>
      </c>
      <c r="CO84" s="106">
        <v>3552</v>
      </c>
      <c r="CP84" s="106">
        <v>7</v>
      </c>
      <c r="CQ84" s="106">
        <v>6216</v>
      </c>
      <c r="CR84" s="106">
        <v>5</v>
      </c>
      <c r="CS84" s="106">
        <v>4440</v>
      </c>
      <c r="CT84" s="106">
        <v>3</v>
      </c>
      <c r="CU84" s="106">
        <v>2664</v>
      </c>
    </row>
    <row r="85" spans="2:99" x14ac:dyDescent="0.2">
      <c r="C85" s="105" t="s">
        <v>251</v>
      </c>
      <c r="D85" s="106">
        <v>4.6612810392764654</v>
      </c>
      <c r="E85" s="106">
        <v>3048.4777996868083</v>
      </c>
      <c r="F85" s="106">
        <v>7</v>
      </c>
      <c r="G85" s="106">
        <v>4578</v>
      </c>
      <c r="H85" s="106">
        <v>11</v>
      </c>
      <c r="I85" s="106">
        <v>7194</v>
      </c>
      <c r="J85" s="106">
        <v>6.1801407383305023</v>
      </c>
      <c r="K85" s="106">
        <v>4041.8120428681486</v>
      </c>
      <c r="L85" s="106">
        <v>5</v>
      </c>
      <c r="M85" s="106">
        <v>3270</v>
      </c>
      <c r="N85" s="106">
        <v>4</v>
      </c>
      <c r="O85" s="106">
        <v>2616</v>
      </c>
      <c r="P85" s="106">
        <v>4</v>
      </c>
      <c r="Q85" s="106">
        <v>2616</v>
      </c>
      <c r="R85" s="106">
        <v>3</v>
      </c>
      <c r="S85" s="106">
        <v>1962</v>
      </c>
      <c r="T85" s="106">
        <v>3</v>
      </c>
      <c r="U85" s="106">
        <v>1962</v>
      </c>
      <c r="V85" s="106">
        <v>2</v>
      </c>
      <c r="W85" s="106">
        <v>1308</v>
      </c>
      <c r="X85" s="106">
        <v>4.5985779199263384</v>
      </c>
      <c r="Y85" s="106">
        <v>3007.4699596318251</v>
      </c>
      <c r="Z85" s="106">
        <v>2</v>
      </c>
      <c r="AA85" s="106">
        <v>1308</v>
      </c>
      <c r="AB85" s="106">
        <v>3.3615161910883904</v>
      </c>
      <c r="AC85" s="106">
        <v>2198.4315889718073</v>
      </c>
      <c r="AD85" s="106">
        <v>2</v>
      </c>
      <c r="AE85" s="106">
        <v>1308</v>
      </c>
      <c r="AF85" s="106">
        <v>2</v>
      </c>
      <c r="AG85" s="106">
        <v>1308</v>
      </c>
      <c r="AH85" s="106">
        <v>3</v>
      </c>
      <c r="AI85" s="106">
        <v>1962</v>
      </c>
      <c r="AJ85" s="106">
        <v>3</v>
      </c>
      <c r="AK85" s="106">
        <v>1962</v>
      </c>
      <c r="AL85" s="106">
        <v>4</v>
      </c>
      <c r="AM85" s="106">
        <v>2616</v>
      </c>
      <c r="AN85" s="106">
        <v>2.5926545879785721</v>
      </c>
      <c r="AO85" s="106">
        <v>1695.5961005379861</v>
      </c>
      <c r="AP85" s="106">
        <v>3.4372891851427179</v>
      </c>
      <c r="AQ85" s="106">
        <v>2247.9871270833373</v>
      </c>
      <c r="AR85" s="106">
        <v>4.379983508120449</v>
      </c>
      <c r="AS85" s="106">
        <v>2864.5092143107736</v>
      </c>
      <c r="AT85" s="106">
        <v>3.393245946632736</v>
      </c>
      <c r="AU85" s="106">
        <v>2219.1828490978096</v>
      </c>
      <c r="AV85" s="106">
        <v>4</v>
      </c>
      <c r="AW85" s="106">
        <v>2616</v>
      </c>
      <c r="AX85" s="106">
        <v>2</v>
      </c>
      <c r="AY85" s="106">
        <v>1308</v>
      </c>
      <c r="AZ85" s="106">
        <v>4.4282360816671336</v>
      </c>
      <c r="BA85" s="106">
        <v>2896.0663974103054</v>
      </c>
      <c r="BB85" s="106">
        <v>6</v>
      </c>
      <c r="BC85" s="106">
        <v>3924</v>
      </c>
      <c r="BD85" s="106">
        <v>3</v>
      </c>
      <c r="BE85" s="106">
        <v>1962</v>
      </c>
      <c r="BF85" s="106">
        <v>6</v>
      </c>
      <c r="BG85" s="106">
        <v>3924</v>
      </c>
      <c r="BH85" s="106">
        <v>5</v>
      </c>
      <c r="BI85" s="106">
        <v>3270</v>
      </c>
      <c r="BJ85" s="106">
        <v>7.1455215320033547</v>
      </c>
      <c r="BK85" s="106">
        <v>4673.1710819301943</v>
      </c>
      <c r="BL85" s="106">
        <v>5.0816820239732534</v>
      </c>
      <c r="BM85" s="106">
        <v>3323.4200436785077</v>
      </c>
      <c r="BN85" s="106">
        <v>7.5070090755472023</v>
      </c>
      <c r="BO85" s="106">
        <v>4909.5839354078707</v>
      </c>
      <c r="BP85" s="106">
        <v>8</v>
      </c>
      <c r="BQ85" s="106">
        <v>5232</v>
      </c>
      <c r="BR85" s="106">
        <v>7</v>
      </c>
      <c r="BS85" s="106">
        <v>4578</v>
      </c>
      <c r="BT85" s="106">
        <v>8</v>
      </c>
      <c r="BU85" s="106">
        <v>5232</v>
      </c>
      <c r="BV85" s="106">
        <v>5</v>
      </c>
      <c r="BW85" s="106">
        <v>3270</v>
      </c>
      <c r="BX85" s="106">
        <v>6</v>
      </c>
      <c r="BY85" s="106">
        <v>3924</v>
      </c>
      <c r="BZ85" s="106">
        <v>7.9919252454375869</v>
      </c>
      <c r="CA85" s="106">
        <v>5226.7191105161819</v>
      </c>
      <c r="CB85" s="106">
        <v>7</v>
      </c>
      <c r="CC85" s="106">
        <v>4578</v>
      </c>
      <c r="CD85" s="106">
        <v>8.5591350385879768</v>
      </c>
      <c r="CE85" s="106">
        <v>5597.674315236537</v>
      </c>
      <c r="CF85" s="106">
        <v>11</v>
      </c>
      <c r="CG85" s="106">
        <v>7194</v>
      </c>
      <c r="CH85" s="106">
        <v>8</v>
      </c>
      <c r="CI85" s="106">
        <v>5232</v>
      </c>
      <c r="CJ85" s="106">
        <v>10</v>
      </c>
      <c r="CK85" s="106">
        <v>6540</v>
      </c>
      <c r="CL85" s="106">
        <v>9.6350982769148477</v>
      </c>
      <c r="CM85" s="106">
        <v>6301.3542731023108</v>
      </c>
      <c r="CN85" s="106">
        <v>5</v>
      </c>
      <c r="CO85" s="106">
        <v>3270</v>
      </c>
      <c r="CP85" s="106">
        <v>8</v>
      </c>
      <c r="CQ85" s="106">
        <v>5232</v>
      </c>
      <c r="CR85" s="106">
        <v>5</v>
      </c>
      <c r="CS85" s="106">
        <v>3270</v>
      </c>
      <c r="CT85" s="106">
        <v>4.6646233035253086</v>
      </c>
      <c r="CU85" s="106">
        <v>3050.6636405055519</v>
      </c>
    </row>
    <row r="86" spans="2:99" x14ac:dyDescent="0.2">
      <c r="C86" s="105" t="s">
        <v>252</v>
      </c>
      <c r="D86" s="106">
        <v>5.2472217425563015</v>
      </c>
      <c r="E86" s="106">
        <v>1996.0431508684169</v>
      </c>
      <c r="F86" s="106">
        <v>6</v>
      </c>
      <c r="G86" s="106">
        <v>2282.3999999999996</v>
      </c>
      <c r="H86" s="106">
        <v>11</v>
      </c>
      <c r="I86" s="106">
        <v>4184.3999999999996</v>
      </c>
      <c r="J86" s="106">
        <v>6.166283758458925</v>
      </c>
      <c r="K86" s="106">
        <v>2345.654341717775</v>
      </c>
      <c r="L86" s="106">
        <v>5</v>
      </c>
      <c r="M86" s="106">
        <v>1902</v>
      </c>
      <c r="N86" s="106">
        <v>4</v>
      </c>
      <c r="O86" s="106">
        <v>1521.6</v>
      </c>
      <c r="P86" s="106">
        <v>5</v>
      </c>
      <c r="Q86" s="106">
        <v>1902</v>
      </c>
      <c r="R86" s="106">
        <v>4</v>
      </c>
      <c r="S86" s="106">
        <v>1521.6</v>
      </c>
      <c r="T86" s="106">
        <v>2</v>
      </c>
      <c r="U86" s="106">
        <v>760.8</v>
      </c>
      <c r="V86" s="106">
        <v>3</v>
      </c>
      <c r="W86" s="106">
        <v>1141.1999999999998</v>
      </c>
      <c r="X86" s="106">
        <v>3.6484594132535335</v>
      </c>
      <c r="Y86" s="106">
        <v>1387.873960801644</v>
      </c>
      <c r="Z86" s="106">
        <v>2</v>
      </c>
      <c r="AA86" s="106">
        <v>760.8</v>
      </c>
      <c r="AB86" s="106">
        <v>3.3976678101972291</v>
      </c>
      <c r="AC86" s="106">
        <v>1292.472834999026</v>
      </c>
      <c r="AD86" s="106">
        <v>3</v>
      </c>
      <c r="AE86" s="106">
        <v>1141.1999999999998</v>
      </c>
      <c r="AF86" s="106">
        <v>2</v>
      </c>
      <c r="AG86" s="106">
        <v>760.8</v>
      </c>
      <c r="AH86" s="106">
        <v>2</v>
      </c>
      <c r="AI86" s="106">
        <v>760.8</v>
      </c>
      <c r="AJ86" s="106">
        <v>3</v>
      </c>
      <c r="AK86" s="106">
        <v>1141.1999999999998</v>
      </c>
      <c r="AL86" s="106">
        <v>4</v>
      </c>
      <c r="AM86" s="106">
        <v>1521.6</v>
      </c>
      <c r="AN86" s="106">
        <v>2.5926545879785721</v>
      </c>
      <c r="AO86" s="106">
        <v>986.24580526704881</v>
      </c>
      <c r="AP86" s="106">
        <v>2.4372891851427179</v>
      </c>
      <c r="AQ86" s="106">
        <v>927.14480602828985</v>
      </c>
      <c r="AR86" s="106">
        <v>3.3799835081204495</v>
      </c>
      <c r="AS86" s="106">
        <v>1285.7457264890188</v>
      </c>
      <c r="AT86" s="106">
        <v>4.393245946632736</v>
      </c>
      <c r="AU86" s="106">
        <v>1671.1907580990926</v>
      </c>
      <c r="AV86" s="106">
        <v>3</v>
      </c>
      <c r="AW86" s="106">
        <v>1141.1999999999998</v>
      </c>
      <c r="AX86" s="106">
        <v>2</v>
      </c>
      <c r="AY86" s="106">
        <v>760.8</v>
      </c>
      <c r="AZ86" s="106">
        <v>4.467166634545964</v>
      </c>
      <c r="BA86" s="106">
        <v>1699.3101877812846</v>
      </c>
      <c r="BB86" s="106">
        <v>6</v>
      </c>
      <c r="BC86" s="106">
        <v>2282.3999999999996</v>
      </c>
      <c r="BD86" s="106">
        <v>4</v>
      </c>
      <c r="BE86" s="106">
        <v>1521.6</v>
      </c>
      <c r="BF86" s="106">
        <v>6</v>
      </c>
      <c r="BG86" s="106">
        <v>2282.3999999999996</v>
      </c>
      <c r="BH86" s="106">
        <v>5</v>
      </c>
      <c r="BI86" s="106">
        <v>1902</v>
      </c>
      <c r="BJ86" s="106">
        <v>7.1455215320033547</v>
      </c>
      <c r="BK86" s="106">
        <v>2718.156390774076</v>
      </c>
      <c r="BL86" s="106">
        <v>5.0816820239732534</v>
      </c>
      <c r="BM86" s="106">
        <v>1933.0718419194254</v>
      </c>
      <c r="BN86" s="106">
        <v>7.4148256072658922</v>
      </c>
      <c r="BO86" s="106">
        <v>2820.5996610039451</v>
      </c>
      <c r="BP86" s="106">
        <v>9</v>
      </c>
      <c r="BQ86" s="106">
        <v>3423.6</v>
      </c>
      <c r="BR86" s="106">
        <v>6</v>
      </c>
      <c r="BS86" s="106">
        <v>2282.3999999999996</v>
      </c>
      <c r="BT86" s="106">
        <v>8</v>
      </c>
      <c r="BU86" s="106">
        <v>3043.2</v>
      </c>
      <c r="BV86" s="106">
        <v>6</v>
      </c>
      <c r="BW86" s="106">
        <v>2282.3999999999996</v>
      </c>
      <c r="BX86" s="106">
        <v>7</v>
      </c>
      <c r="BY86" s="106">
        <v>2662.7999999999997</v>
      </c>
      <c r="BZ86" s="106">
        <v>9.2399065567969831</v>
      </c>
      <c r="CA86" s="106">
        <v>3514.8604542055723</v>
      </c>
      <c r="CB86" s="106">
        <v>7</v>
      </c>
      <c r="CC86" s="106">
        <v>2662.7999999999997</v>
      </c>
      <c r="CD86" s="106">
        <v>9.602145426171667</v>
      </c>
      <c r="CE86" s="106">
        <v>3652.6561201157019</v>
      </c>
      <c r="CF86" s="106">
        <v>13</v>
      </c>
      <c r="CG86" s="106">
        <v>4945.2</v>
      </c>
      <c r="CH86" s="106">
        <v>8</v>
      </c>
      <c r="CI86" s="106">
        <v>3043.2</v>
      </c>
      <c r="CJ86" s="106">
        <v>12</v>
      </c>
      <c r="CK86" s="106">
        <v>4564.7999999999993</v>
      </c>
      <c r="CL86" s="106">
        <v>9.6350982769148477</v>
      </c>
      <c r="CM86" s="106">
        <v>3665.1913845384079</v>
      </c>
      <c r="CN86" s="106">
        <v>5</v>
      </c>
      <c r="CO86" s="106">
        <v>1902</v>
      </c>
      <c r="CP86" s="106">
        <v>8</v>
      </c>
      <c r="CQ86" s="106">
        <v>3043.2</v>
      </c>
      <c r="CR86" s="106">
        <v>5</v>
      </c>
      <c r="CS86" s="106">
        <v>1902</v>
      </c>
      <c r="CT86" s="106">
        <v>4.6646233035253086</v>
      </c>
      <c r="CU86" s="106">
        <v>1774.4227046610272</v>
      </c>
    </row>
    <row r="87" spans="2:99" x14ac:dyDescent="0.2">
      <c r="B87" s="105" t="s">
        <v>131</v>
      </c>
      <c r="C87" s="105" t="s">
        <v>253</v>
      </c>
      <c r="D87" s="106">
        <v>5</v>
      </c>
      <c r="E87" s="106">
        <v>2820</v>
      </c>
      <c r="F87" s="106">
        <v>5.3393088107857887</v>
      </c>
      <c r="G87" s="106">
        <v>3011.3701692831846</v>
      </c>
      <c r="H87" s="106">
        <v>4.2238456495183812</v>
      </c>
      <c r="I87" s="106">
        <v>2382.2489463283669</v>
      </c>
      <c r="J87" s="106">
        <v>6</v>
      </c>
      <c r="K87" s="106">
        <v>3384</v>
      </c>
      <c r="L87" s="106">
        <v>4.2352618739240215</v>
      </c>
      <c r="M87" s="106">
        <v>2388.6876968931483</v>
      </c>
      <c r="N87" s="106">
        <v>3</v>
      </c>
      <c r="O87" s="106">
        <v>1692</v>
      </c>
      <c r="P87" s="106">
        <v>4.1822853261447825</v>
      </c>
      <c r="Q87" s="106">
        <v>2358.8089239456572</v>
      </c>
      <c r="R87" s="106">
        <v>3.1583682192329556</v>
      </c>
      <c r="S87" s="106">
        <v>1781.3196756473869</v>
      </c>
      <c r="T87" s="106">
        <v>3</v>
      </c>
      <c r="U87" s="106">
        <v>1692</v>
      </c>
      <c r="V87" s="106">
        <v>3.2513096545668261</v>
      </c>
      <c r="W87" s="106">
        <v>1833.73864517569</v>
      </c>
      <c r="X87" s="106">
        <v>2</v>
      </c>
      <c r="Y87" s="106">
        <v>1128</v>
      </c>
      <c r="Z87" s="106">
        <v>3.2822994111231187</v>
      </c>
      <c r="AA87" s="106">
        <v>1851.216867873439</v>
      </c>
      <c r="AB87" s="106">
        <v>7.1536973208776544</v>
      </c>
      <c r="AC87" s="106">
        <v>4034.6852889749971</v>
      </c>
      <c r="AD87" s="106">
        <v>9</v>
      </c>
      <c r="AE87" s="106">
        <v>5076</v>
      </c>
      <c r="AF87" s="106">
        <v>5.2961643798248259</v>
      </c>
      <c r="AG87" s="106">
        <v>2987.0367102212017</v>
      </c>
      <c r="AH87" s="106">
        <v>6</v>
      </c>
      <c r="AI87" s="106">
        <v>3384</v>
      </c>
      <c r="AJ87" s="106">
        <v>8.2934390232674229</v>
      </c>
      <c r="AK87" s="106">
        <v>4677.4996091228268</v>
      </c>
      <c r="AL87" s="106">
        <v>4</v>
      </c>
      <c r="AM87" s="106">
        <v>2256</v>
      </c>
      <c r="AN87" s="106">
        <v>4.1150241806159089</v>
      </c>
      <c r="AO87" s="106">
        <v>2320.8736378673725</v>
      </c>
      <c r="AP87" s="106">
        <v>2.8483109300547151</v>
      </c>
      <c r="AQ87" s="106">
        <v>1606.4473645508594</v>
      </c>
      <c r="AR87" s="106">
        <v>1.6722057478328298</v>
      </c>
      <c r="AS87" s="106">
        <v>943.124041777716</v>
      </c>
      <c r="AT87" s="106">
        <v>0</v>
      </c>
      <c r="AU87" s="106">
        <v>0</v>
      </c>
      <c r="AV87" s="106">
        <v>1.6523469807343862</v>
      </c>
      <c r="AW87" s="106">
        <v>931.92369713419384</v>
      </c>
      <c r="AX87" s="106">
        <v>0</v>
      </c>
      <c r="AY87" s="106">
        <v>0</v>
      </c>
      <c r="AZ87" s="106">
        <v>0</v>
      </c>
      <c r="BA87" s="106">
        <v>0</v>
      </c>
      <c r="BB87" s="106">
        <v>3.8777633622382077</v>
      </c>
      <c r="BC87" s="106">
        <v>2187.0585363023492</v>
      </c>
      <c r="BD87" s="106">
        <v>1.1258767475628655</v>
      </c>
      <c r="BE87" s="106">
        <v>634.99448562545615</v>
      </c>
      <c r="BF87" s="106">
        <v>2.2461784568721699</v>
      </c>
      <c r="BG87" s="106">
        <v>1266.8446496759038</v>
      </c>
      <c r="BH87" s="106">
        <v>1.7122086761799002</v>
      </c>
      <c r="BI87" s="106">
        <v>965.68569336546375</v>
      </c>
      <c r="BJ87" s="106">
        <v>0</v>
      </c>
      <c r="BK87" s="106">
        <v>0</v>
      </c>
      <c r="BL87" s="106">
        <v>0.48149041039956492</v>
      </c>
      <c r="BM87" s="106">
        <v>271.56059146535461</v>
      </c>
      <c r="BN87" s="106">
        <v>0.33977293534813646</v>
      </c>
      <c r="BO87" s="106">
        <v>191.63193553634898</v>
      </c>
      <c r="BP87" s="106">
        <v>0.45169974328954426</v>
      </c>
      <c r="BQ87" s="106">
        <v>254.75865521530295</v>
      </c>
      <c r="BR87" s="106">
        <v>0</v>
      </c>
      <c r="BS87" s="106">
        <v>0</v>
      </c>
      <c r="BT87" s="106">
        <v>0</v>
      </c>
      <c r="BU87" s="106">
        <v>0</v>
      </c>
      <c r="BV87" s="106">
        <v>0</v>
      </c>
      <c r="BW87" s="106">
        <v>0</v>
      </c>
      <c r="BX87" s="106">
        <v>0</v>
      </c>
      <c r="BY87" s="106">
        <v>0</v>
      </c>
      <c r="BZ87" s="106">
        <v>0.11918597045382284</v>
      </c>
      <c r="CA87" s="106">
        <v>67.220887335956078</v>
      </c>
      <c r="CB87" s="106">
        <v>8.1609000882277433E-2</v>
      </c>
      <c r="CC87" s="106">
        <v>46.027476497604475</v>
      </c>
      <c r="CD87" s="106">
        <v>3.6036007248901554E-2</v>
      </c>
      <c r="CE87" s="106">
        <v>20.324308088380477</v>
      </c>
      <c r="CF87" s="106">
        <v>7.014783171280517E-2</v>
      </c>
      <c r="CG87" s="106">
        <v>39.563377086022115</v>
      </c>
      <c r="CH87" s="106">
        <v>0.42112006539480418</v>
      </c>
      <c r="CI87" s="106">
        <v>237.51171688266956</v>
      </c>
      <c r="CJ87" s="106">
        <v>1.8568223768929597</v>
      </c>
      <c r="CK87" s="106">
        <v>1047.2478205676293</v>
      </c>
      <c r="CL87" s="106">
        <v>0</v>
      </c>
      <c r="CM87" s="106">
        <v>0</v>
      </c>
      <c r="CN87" s="106">
        <v>1.6021603926857069</v>
      </c>
      <c r="CO87" s="106">
        <v>903.61846147473864</v>
      </c>
      <c r="CP87" s="106">
        <v>3.0277705672703474</v>
      </c>
      <c r="CQ87" s="106">
        <v>1707.662599940476</v>
      </c>
      <c r="CR87" s="106">
        <v>3.3093183831371071</v>
      </c>
      <c r="CS87" s="106">
        <v>1866.4555680893284</v>
      </c>
      <c r="CT87" s="106">
        <v>4.3290095850692172</v>
      </c>
      <c r="CU87" s="106">
        <v>2441.5614059790387</v>
      </c>
    </row>
    <row r="88" spans="2:99" x14ac:dyDescent="0.2">
      <c r="C88" s="105" t="s">
        <v>254</v>
      </c>
      <c r="D88" s="106">
        <v>5</v>
      </c>
      <c r="E88" s="106">
        <v>2430</v>
      </c>
      <c r="F88" s="106">
        <v>4.3877814980409013</v>
      </c>
      <c r="G88" s="106">
        <v>2132.4618080478781</v>
      </c>
      <c r="H88" s="106">
        <v>4.191867699587184</v>
      </c>
      <c r="I88" s="106">
        <v>2037.2477019993714</v>
      </c>
      <c r="J88" s="106">
        <v>7</v>
      </c>
      <c r="K88" s="106">
        <v>3402</v>
      </c>
      <c r="L88" s="106">
        <v>5.2352618739240215</v>
      </c>
      <c r="M88" s="106">
        <v>2544.3372707270746</v>
      </c>
      <c r="N88" s="106">
        <v>3</v>
      </c>
      <c r="O88" s="106">
        <v>1458</v>
      </c>
      <c r="P88" s="106">
        <v>5.1822853261447825</v>
      </c>
      <c r="Q88" s="106">
        <v>2518.5906685063642</v>
      </c>
      <c r="R88" s="106">
        <v>3.1583682192329556</v>
      </c>
      <c r="S88" s="106">
        <v>1534.9669545472163</v>
      </c>
      <c r="T88" s="106">
        <v>3</v>
      </c>
      <c r="U88" s="106">
        <v>1458</v>
      </c>
      <c r="V88" s="106">
        <v>3.2513096545668261</v>
      </c>
      <c r="W88" s="106">
        <v>1580.1364921194775</v>
      </c>
      <c r="X88" s="106">
        <v>2</v>
      </c>
      <c r="Y88" s="106">
        <v>972</v>
      </c>
      <c r="Z88" s="106">
        <v>4.2470119847327288</v>
      </c>
      <c r="AA88" s="106">
        <v>2064.0478245801064</v>
      </c>
      <c r="AB88" s="106">
        <v>6.1536973208776544</v>
      </c>
      <c r="AC88" s="106">
        <v>2990.69689794654</v>
      </c>
      <c r="AD88" s="106">
        <v>8</v>
      </c>
      <c r="AE88" s="106">
        <v>3888</v>
      </c>
      <c r="AF88" s="106">
        <v>5.2961643798248259</v>
      </c>
      <c r="AG88" s="106">
        <v>2573.9358885948654</v>
      </c>
      <c r="AH88" s="106">
        <v>6</v>
      </c>
      <c r="AI88" s="106">
        <v>2916</v>
      </c>
      <c r="AJ88" s="106">
        <v>10.244532519389519</v>
      </c>
      <c r="AK88" s="106">
        <v>4978.842804423306</v>
      </c>
      <c r="AL88" s="106">
        <v>5</v>
      </c>
      <c r="AM88" s="106">
        <v>2430</v>
      </c>
      <c r="AN88" s="106">
        <v>4.1150241806159089</v>
      </c>
      <c r="AO88" s="106">
        <v>1999.9017517793318</v>
      </c>
      <c r="AP88" s="106">
        <v>2.8483109300547151</v>
      </c>
      <c r="AQ88" s="106">
        <v>1384.2791120065915</v>
      </c>
      <c r="AR88" s="106">
        <v>1.6722057478328298</v>
      </c>
      <c r="AS88" s="106">
        <v>812.6919934467553</v>
      </c>
      <c r="AT88" s="106">
        <v>0</v>
      </c>
      <c r="AU88" s="106">
        <v>0</v>
      </c>
      <c r="AV88" s="106">
        <v>1.6523469807343862</v>
      </c>
      <c r="AW88" s="106">
        <v>803.04063263691171</v>
      </c>
      <c r="AX88" s="106">
        <v>0</v>
      </c>
      <c r="AY88" s="106">
        <v>0</v>
      </c>
      <c r="AZ88" s="106">
        <v>0</v>
      </c>
      <c r="BA88" s="106">
        <v>0</v>
      </c>
      <c r="BB88" s="106">
        <v>3.8506180931169984</v>
      </c>
      <c r="BC88" s="106">
        <v>1871.4003932548612</v>
      </c>
      <c r="BD88" s="106">
        <v>1.135581380158291</v>
      </c>
      <c r="BE88" s="106">
        <v>551.89255075692938</v>
      </c>
      <c r="BF88" s="106">
        <v>1.8138044986417046</v>
      </c>
      <c r="BG88" s="106">
        <v>881.50898633986844</v>
      </c>
      <c r="BH88" s="106">
        <v>1.284156507134925</v>
      </c>
      <c r="BI88" s="106">
        <v>624.10006246757359</v>
      </c>
      <c r="BJ88" s="106">
        <v>0</v>
      </c>
      <c r="BK88" s="106">
        <v>0</v>
      </c>
      <c r="BL88" s="106">
        <v>0.47653151389005249</v>
      </c>
      <c r="BM88" s="106">
        <v>231.5943157505655</v>
      </c>
      <c r="BN88" s="106">
        <v>0.33977293534813646</v>
      </c>
      <c r="BO88" s="106">
        <v>165.12964657919431</v>
      </c>
      <c r="BP88" s="106">
        <v>0.4562301758862396</v>
      </c>
      <c r="BQ88" s="106">
        <v>221.72786548071244</v>
      </c>
      <c r="BR88" s="106">
        <v>0</v>
      </c>
      <c r="BS88" s="106">
        <v>0</v>
      </c>
      <c r="BT88" s="106">
        <v>0</v>
      </c>
      <c r="BU88" s="106">
        <v>0</v>
      </c>
      <c r="BV88" s="106">
        <v>0</v>
      </c>
      <c r="BW88" s="106">
        <v>0</v>
      </c>
      <c r="BX88" s="106">
        <v>0</v>
      </c>
      <c r="BY88" s="106">
        <v>0</v>
      </c>
      <c r="BZ88" s="106">
        <v>0.11918597045382284</v>
      </c>
      <c r="CA88" s="106">
        <v>57.924381640557904</v>
      </c>
      <c r="CB88" s="106">
        <v>8.1609000882277433E-2</v>
      </c>
      <c r="CC88" s="106">
        <v>39.661974428786834</v>
      </c>
      <c r="CD88" s="106">
        <v>2.7702407364378283E-2</v>
      </c>
      <c r="CE88" s="106">
        <v>13.463369979087846</v>
      </c>
      <c r="CF88" s="106">
        <v>9.3530442283740231E-2</v>
      </c>
      <c r="CG88" s="106">
        <v>45.455794949897751</v>
      </c>
      <c r="CH88" s="106">
        <v>0.42112006539480418</v>
      </c>
      <c r="CI88" s="106">
        <v>204.66435178187484</v>
      </c>
      <c r="CJ88" s="106">
        <v>1.8568223768929597</v>
      </c>
      <c r="CK88" s="106">
        <v>902.41567516997839</v>
      </c>
      <c r="CL88" s="106">
        <v>0</v>
      </c>
      <c r="CM88" s="106">
        <v>0</v>
      </c>
      <c r="CN88" s="106">
        <v>1.6021603926857069</v>
      </c>
      <c r="CO88" s="106">
        <v>778.64995084525356</v>
      </c>
      <c r="CP88" s="106">
        <v>2.6145649950612824</v>
      </c>
      <c r="CQ88" s="106">
        <v>1270.6785875997832</v>
      </c>
      <c r="CR88" s="106">
        <v>2.9447869613453488</v>
      </c>
      <c r="CS88" s="106">
        <v>1431.1664632138395</v>
      </c>
      <c r="CT88" s="106">
        <v>3.5167095279508533</v>
      </c>
      <c r="CU88" s="106">
        <v>1709.1208305841146</v>
      </c>
    </row>
    <row r="89" spans="2:99" x14ac:dyDescent="0.2">
      <c r="C89" s="105" t="s">
        <v>255</v>
      </c>
      <c r="D89" s="106">
        <v>5</v>
      </c>
      <c r="E89" s="106">
        <v>3474</v>
      </c>
      <c r="F89" s="106">
        <v>5.3393088107857887</v>
      </c>
      <c r="G89" s="106">
        <v>3709.7517617339658</v>
      </c>
      <c r="H89" s="106">
        <v>4.2238456495183812</v>
      </c>
      <c r="I89" s="106">
        <v>2934.7279572853708</v>
      </c>
      <c r="J89" s="106">
        <v>6</v>
      </c>
      <c r="K89" s="106">
        <v>4168.7999999999993</v>
      </c>
      <c r="L89" s="106">
        <v>5.2352618739240215</v>
      </c>
      <c r="M89" s="106">
        <v>3637.4599500024101</v>
      </c>
      <c r="N89" s="106">
        <v>4</v>
      </c>
      <c r="O89" s="106">
        <v>2779.2</v>
      </c>
      <c r="P89" s="106">
        <v>4.1822853261447825</v>
      </c>
      <c r="Q89" s="106">
        <v>2905.8518446053949</v>
      </c>
      <c r="R89" s="106">
        <v>3.1583682192329556</v>
      </c>
      <c r="S89" s="106">
        <v>2194.4342387230572</v>
      </c>
      <c r="T89" s="106">
        <v>3</v>
      </c>
      <c r="U89" s="106">
        <v>2084.3999999999996</v>
      </c>
      <c r="V89" s="106">
        <v>3.2513096545668261</v>
      </c>
      <c r="W89" s="106">
        <v>2259.0099479930304</v>
      </c>
      <c r="X89" s="106">
        <v>3</v>
      </c>
      <c r="Y89" s="106">
        <v>2084.3999999999996</v>
      </c>
      <c r="Z89" s="106">
        <v>4.2822994111231187</v>
      </c>
      <c r="AA89" s="106">
        <v>2975.3416308483429</v>
      </c>
      <c r="AB89" s="106">
        <v>7.1536973208776544</v>
      </c>
      <c r="AC89" s="106">
        <v>4970.3888985457943</v>
      </c>
      <c r="AD89" s="106">
        <v>8</v>
      </c>
      <c r="AE89" s="106">
        <v>5558.4</v>
      </c>
      <c r="AF89" s="106">
        <v>6.2468036498540211</v>
      </c>
      <c r="AG89" s="106">
        <v>4340.2791759185739</v>
      </c>
      <c r="AH89" s="106">
        <v>6</v>
      </c>
      <c r="AI89" s="106">
        <v>4168.7999999999993</v>
      </c>
      <c r="AJ89" s="106">
        <v>8.2445325193895194</v>
      </c>
      <c r="AK89" s="106">
        <v>5728.3011944718373</v>
      </c>
      <c r="AL89" s="106">
        <v>5</v>
      </c>
      <c r="AM89" s="106">
        <v>3474</v>
      </c>
      <c r="AN89" s="106">
        <v>4.0964718731544858</v>
      </c>
      <c r="AO89" s="106">
        <v>2846.2286574677364</v>
      </c>
      <c r="AP89" s="106">
        <v>2.4528543090480892</v>
      </c>
      <c r="AQ89" s="106">
        <v>1704.2431739266124</v>
      </c>
      <c r="AR89" s="106">
        <v>1.6722057478328298</v>
      </c>
      <c r="AS89" s="106">
        <v>1161.84855359425</v>
      </c>
      <c r="AT89" s="106">
        <v>0</v>
      </c>
      <c r="AU89" s="106">
        <v>0</v>
      </c>
      <c r="AV89" s="106">
        <v>1.6523469807343862</v>
      </c>
      <c r="AW89" s="106">
        <v>1148.0506822142515</v>
      </c>
      <c r="AX89" s="106">
        <v>0</v>
      </c>
      <c r="AY89" s="106">
        <v>0</v>
      </c>
      <c r="AZ89" s="106">
        <v>0</v>
      </c>
      <c r="BA89" s="106">
        <v>0</v>
      </c>
      <c r="BB89" s="106">
        <v>3.8506180931169984</v>
      </c>
      <c r="BC89" s="106">
        <v>2675.4094510976902</v>
      </c>
      <c r="BD89" s="106">
        <v>1.135581380158291</v>
      </c>
      <c r="BE89" s="106">
        <v>789.00194293398056</v>
      </c>
      <c r="BF89" s="106">
        <v>2.2356398736571896</v>
      </c>
      <c r="BG89" s="106">
        <v>1553.3225842170152</v>
      </c>
      <c r="BH89" s="106">
        <v>1.7122086761799002</v>
      </c>
      <c r="BI89" s="106">
        <v>1189.6425882097947</v>
      </c>
      <c r="BJ89" s="106">
        <v>0</v>
      </c>
      <c r="BK89" s="106">
        <v>0</v>
      </c>
      <c r="BL89" s="106">
        <v>0.47653151389005249</v>
      </c>
      <c r="BM89" s="106">
        <v>331.09409585080846</v>
      </c>
      <c r="BN89" s="106">
        <v>0.33977293534813646</v>
      </c>
      <c r="BO89" s="106">
        <v>236.0742354798852</v>
      </c>
      <c r="BP89" s="106">
        <v>0.4562301758862396</v>
      </c>
      <c r="BQ89" s="106">
        <v>316.98872620575924</v>
      </c>
      <c r="BR89" s="106">
        <v>0</v>
      </c>
      <c r="BS89" s="106">
        <v>0</v>
      </c>
      <c r="BT89" s="106">
        <v>0</v>
      </c>
      <c r="BU89" s="106">
        <v>0</v>
      </c>
      <c r="BV89" s="106">
        <v>0</v>
      </c>
      <c r="BW89" s="106">
        <v>0</v>
      </c>
      <c r="BX89" s="106">
        <v>0</v>
      </c>
      <c r="BY89" s="106">
        <v>0</v>
      </c>
      <c r="BZ89" s="106">
        <v>0.1476878248082861</v>
      </c>
      <c r="CA89" s="106">
        <v>102.61350067679717</v>
      </c>
      <c r="CB89" s="106">
        <v>8.1609000882277433E-2</v>
      </c>
      <c r="CC89" s="106">
        <v>56.701933813006356</v>
      </c>
      <c r="CD89" s="106">
        <v>3.6036007248901554E-2</v>
      </c>
      <c r="CE89" s="106">
        <v>25.037817836536799</v>
      </c>
      <c r="CF89" s="106">
        <v>7.014783171280517E-2</v>
      </c>
      <c r="CG89" s="106">
        <v>48.738713474057029</v>
      </c>
      <c r="CH89" s="106">
        <v>0.42112006539480418</v>
      </c>
      <c r="CI89" s="106">
        <v>292.59422143630991</v>
      </c>
      <c r="CJ89" s="106">
        <v>1.8568223768929597</v>
      </c>
      <c r="CK89" s="106">
        <v>1290.1201874652284</v>
      </c>
      <c r="CL89" s="106">
        <v>0</v>
      </c>
      <c r="CM89" s="106">
        <v>0</v>
      </c>
      <c r="CN89" s="106">
        <v>1.5927810878653021</v>
      </c>
      <c r="CO89" s="106">
        <v>1106.6642998488119</v>
      </c>
      <c r="CP89" s="106">
        <v>3.0164929371197728</v>
      </c>
      <c r="CQ89" s="106">
        <v>2095.859292710818</v>
      </c>
      <c r="CR89" s="106">
        <v>3.280782796125822</v>
      </c>
      <c r="CS89" s="106">
        <v>2279.4878867482212</v>
      </c>
      <c r="CT89" s="106">
        <v>4.3481173921747454</v>
      </c>
      <c r="CU89" s="106">
        <v>3021.071964083013</v>
      </c>
    </row>
    <row r="90" spans="2:99" x14ac:dyDescent="0.2">
      <c r="C90" s="105" t="s">
        <v>256</v>
      </c>
      <c r="D90" s="106">
        <v>5</v>
      </c>
      <c r="E90" s="106">
        <v>2945.9999999999995</v>
      </c>
      <c r="F90" s="106">
        <v>5.3393088107857887</v>
      </c>
      <c r="G90" s="106">
        <v>3145.9207513149863</v>
      </c>
      <c r="H90" s="106">
        <v>4.2238456495183812</v>
      </c>
      <c r="I90" s="106">
        <v>2488.68985669623</v>
      </c>
      <c r="J90" s="106">
        <v>6</v>
      </c>
      <c r="K90" s="106">
        <v>3535.2</v>
      </c>
      <c r="L90" s="106">
        <v>4.2352618739240215</v>
      </c>
      <c r="M90" s="106">
        <v>2495.4162961160332</v>
      </c>
      <c r="N90" s="106">
        <v>3</v>
      </c>
      <c r="O90" s="106">
        <v>1767.6</v>
      </c>
      <c r="P90" s="106">
        <v>4.1458282609158257</v>
      </c>
      <c r="Q90" s="106">
        <v>2442.7220113316043</v>
      </c>
      <c r="R90" s="106">
        <v>3.1583682192329556</v>
      </c>
      <c r="S90" s="106">
        <v>1860.9105547720571</v>
      </c>
      <c r="T90" s="106">
        <v>3.2987568440107484</v>
      </c>
      <c r="U90" s="106">
        <v>1943.6275324911328</v>
      </c>
      <c r="V90" s="106">
        <v>3.2154082753429938</v>
      </c>
      <c r="W90" s="106">
        <v>1894.5185558320918</v>
      </c>
      <c r="X90" s="106">
        <v>2</v>
      </c>
      <c r="Y90" s="106">
        <v>1178.3999999999999</v>
      </c>
      <c r="Z90" s="106">
        <v>4.2470119847327288</v>
      </c>
      <c r="AA90" s="106">
        <v>2502.3394614045237</v>
      </c>
      <c r="AB90" s="106">
        <v>7.1536973208776544</v>
      </c>
      <c r="AC90" s="106">
        <v>4214.9584614611131</v>
      </c>
      <c r="AD90" s="106">
        <v>8</v>
      </c>
      <c r="AE90" s="106">
        <v>4713.5999999999995</v>
      </c>
      <c r="AF90" s="106">
        <v>6.2468036498540211</v>
      </c>
      <c r="AG90" s="106">
        <v>3680.6167104939886</v>
      </c>
      <c r="AH90" s="106">
        <v>5</v>
      </c>
      <c r="AI90" s="106">
        <v>2945.9999999999995</v>
      </c>
      <c r="AJ90" s="106">
        <v>9.2445325193895194</v>
      </c>
      <c r="AK90" s="106">
        <v>5446.8785604243039</v>
      </c>
      <c r="AL90" s="106">
        <v>5</v>
      </c>
      <c r="AM90" s="106">
        <v>2945.9999999999995</v>
      </c>
      <c r="AN90" s="106">
        <v>4.0964718731544858</v>
      </c>
      <c r="AO90" s="106">
        <v>2413.6412276626229</v>
      </c>
      <c r="AP90" s="106">
        <v>2.4428399861720473</v>
      </c>
      <c r="AQ90" s="106">
        <v>1439.32131985257</v>
      </c>
      <c r="AR90" s="106">
        <v>1.6722057478328298</v>
      </c>
      <c r="AS90" s="106">
        <v>985.26362662310316</v>
      </c>
      <c r="AT90" s="106">
        <v>0</v>
      </c>
      <c r="AU90" s="106">
        <v>0</v>
      </c>
      <c r="AV90" s="106">
        <v>1.6523469807343862</v>
      </c>
      <c r="AW90" s="106">
        <v>973.56284104870031</v>
      </c>
      <c r="AX90" s="106">
        <v>0</v>
      </c>
      <c r="AY90" s="106">
        <v>0</v>
      </c>
      <c r="AZ90" s="106">
        <v>0</v>
      </c>
      <c r="BA90" s="106">
        <v>0</v>
      </c>
      <c r="BB90" s="106">
        <v>3.8777633622382077</v>
      </c>
      <c r="BC90" s="106">
        <v>2284.7781730307515</v>
      </c>
      <c r="BD90" s="106">
        <v>1.135581380158291</v>
      </c>
      <c r="BE90" s="106">
        <v>669.08454918926498</v>
      </c>
      <c r="BF90" s="106">
        <v>1.8138044986417046</v>
      </c>
      <c r="BG90" s="106">
        <v>1068.6936105996922</v>
      </c>
      <c r="BH90" s="106">
        <v>1.7122086761799002</v>
      </c>
      <c r="BI90" s="106">
        <v>1008.8333520051971</v>
      </c>
      <c r="BJ90" s="106">
        <v>0</v>
      </c>
      <c r="BK90" s="106">
        <v>0</v>
      </c>
      <c r="BL90" s="106">
        <v>0.47653151389005249</v>
      </c>
      <c r="BM90" s="106">
        <v>280.7723679840189</v>
      </c>
      <c r="BN90" s="106">
        <v>0.33639420603068776</v>
      </c>
      <c r="BO90" s="106">
        <v>198.2034661932812</v>
      </c>
      <c r="BP90" s="106">
        <v>0.4562301758862396</v>
      </c>
      <c r="BQ90" s="106">
        <v>268.81081963217235</v>
      </c>
      <c r="BR90" s="106">
        <v>0</v>
      </c>
      <c r="BS90" s="106">
        <v>0</v>
      </c>
      <c r="BT90" s="106">
        <v>0</v>
      </c>
      <c r="BU90" s="106">
        <v>0</v>
      </c>
      <c r="BV90" s="106">
        <v>0</v>
      </c>
      <c r="BW90" s="106">
        <v>0</v>
      </c>
      <c r="BX90" s="106">
        <v>0</v>
      </c>
      <c r="BY90" s="106">
        <v>0</v>
      </c>
      <c r="BZ90" s="106">
        <v>0.11918597045382284</v>
      </c>
      <c r="CA90" s="106">
        <v>70.224373791392409</v>
      </c>
      <c r="CB90" s="106">
        <v>0.1020112511028468</v>
      </c>
      <c r="CC90" s="106">
        <v>60.105029149797325</v>
      </c>
      <c r="CD90" s="106">
        <v>3.6036007248901554E-2</v>
      </c>
      <c r="CE90" s="106">
        <v>21.232415471052793</v>
      </c>
      <c r="CF90" s="106">
        <v>9.3530442283740231E-2</v>
      </c>
      <c r="CG90" s="106">
        <v>55.108136593579736</v>
      </c>
      <c r="CH90" s="106">
        <v>0.42112006539480418</v>
      </c>
      <c r="CI90" s="106">
        <v>248.12394253061859</v>
      </c>
      <c r="CJ90" s="106">
        <v>1.8568223768929597</v>
      </c>
      <c r="CK90" s="106">
        <v>1094.0397444653318</v>
      </c>
      <c r="CL90" s="106">
        <v>0</v>
      </c>
      <c r="CM90" s="106">
        <v>0</v>
      </c>
      <c r="CN90" s="106">
        <v>1.6115396975061111</v>
      </c>
      <c r="CO90" s="106">
        <v>949.51918977060063</v>
      </c>
      <c r="CP90" s="106">
        <v>2.5920097347601332</v>
      </c>
      <c r="CQ90" s="106">
        <v>1527.2121357206704</v>
      </c>
      <c r="CR90" s="106">
        <v>2.5802555395535913</v>
      </c>
      <c r="CS90" s="106">
        <v>1520.2865639049758</v>
      </c>
      <c r="CT90" s="106">
        <v>3.4784939137397966</v>
      </c>
      <c r="CU90" s="106">
        <v>2049.528613975488</v>
      </c>
    </row>
    <row r="91" spans="2:99" x14ac:dyDescent="0.2">
      <c r="C91" s="105" t="s">
        <v>257</v>
      </c>
      <c r="D91" s="106">
        <v>5</v>
      </c>
      <c r="E91" s="106">
        <v>3192</v>
      </c>
      <c r="F91" s="106">
        <v>4.3393088107857887</v>
      </c>
      <c r="G91" s="106">
        <v>2770.2147448056476</v>
      </c>
      <c r="H91" s="106">
        <v>4.2238456495183812</v>
      </c>
      <c r="I91" s="106">
        <v>2696.5030626525345</v>
      </c>
      <c r="J91" s="106">
        <v>6</v>
      </c>
      <c r="K91" s="106">
        <v>3830.3999999999996</v>
      </c>
      <c r="L91" s="106">
        <v>4.2352618739240215</v>
      </c>
      <c r="M91" s="106">
        <v>2703.7911803130951</v>
      </c>
      <c r="N91" s="106">
        <v>3</v>
      </c>
      <c r="O91" s="106">
        <v>1915.1999999999998</v>
      </c>
      <c r="P91" s="106">
        <v>4.1822853261447825</v>
      </c>
      <c r="Q91" s="106">
        <v>2669.9709522108292</v>
      </c>
      <c r="R91" s="106">
        <v>3.1583682192329556</v>
      </c>
      <c r="S91" s="106">
        <v>2016.3022711583187</v>
      </c>
      <c r="T91" s="106">
        <v>3.348549651345873</v>
      </c>
      <c r="U91" s="106">
        <v>2137.7140974192052</v>
      </c>
      <c r="V91" s="106">
        <v>3.2513096545668261</v>
      </c>
      <c r="W91" s="106">
        <v>2075.6360834754619</v>
      </c>
      <c r="X91" s="106">
        <v>2</v>
      </c>
      <c r="Y91" s="106">
        <v>1276.8</v>
      </c>
      <c r="Z91" s="106">
        <v>3.2470119847327288</v>
      </c>
      <c r="AA91" s="106">
        <v>2072.8924510533739</v>
      </c>
      <c r="AB91" s="106">
        <v>7.1536973208776544</v>
      </c>
      <c r="AC91" s="106">
        <v>4566.9203696482946</v>
      </c>
      <c r="AD91" s="106">
        <v>8</v>
      </c>
      <c r="AE91" s="106">
        <v>5107.2</v>
      </c>
      <c r="AF91" s="106">
        <v>6.2468036498540211</v>
      </c>
      <c r="AG91" s="106">
        <v>3987.9594500668068</v>
      </c>
      <c r="AH91" s="106">
        <v>5</v>
      </c>
      <c r="AI91" s="106">
        <v>3192</v>
      </c>
      <c r="AJ91" s="106">
        <v>8.2445325193895194</v>
      </c>
      <c r="AK91" s="106">
        <v>5263.3095603782685</v>
      </c>
      <c r="AL91" s="106">
        <v>5</v>
      </c>
      <c r="AM91" s="106">
        <v>3192</v>
      </c>
      <c r="AN91" s="106">
        <v>4.1150241806159089</v>
      </c>
      <c r="AO91" s="106">
        <v>2627.0314369051962</v>
      </c>
      <c r="AP91" s="106">
        <v>2.8382966071786737</v>
      </c>
      <c r="AQ91" s="106">
        <v>1811.9685540228652</v>
      </c>
      <c r="AR91" s="106">
        <v>1.6722057478328298</v>
      </c>
      <c r="AS91" s="106">
        <v>1067.5361494164786</v>
      </c>
      <c r="AT91" s="106">
        <v>0</v>
      </c>
      <c r="AU91" s="106">
        <v>0</v>
      </c>
      <c r="AV91" s="106">
        <v>1.6523469807343862</v>
      </c>
      <c r="AW91" s="106">
        <v>1054.8583125008322</v>
      </c>
      <c r="AX91" s="106">
        <v>0</v>
      </c>
      <c r="AY91" s="106">
        <v>0</v>
      </c>
      <c r="AZ91" s="106">
        <v>0</v>
      </c>
      <c r="BA91" s="106">
        <v>0</v>
      </c>
      <c r="BB91" s="106">
        <v>3.8777633622382077</v>
      </c>
      <c r="BC91" s="106">
        <v>2475.5641304528717</v>
      </c>
      <c r="BD91" s="106">
        <v>1.1258767475628655</v>
      </c>
      <c r="BE91" s="106">
        <v>718.75971564413328</v>
      </c>
      <c r="BF91" s="106">
        <v>2.2356398736571896</v>
      </c>
      <c r="BG91" s="106">
        <v>1427.2324953427499</v>
      </c>
      <c r="BH91" s="106">
        <v>1.7122086761799002</v>
      </c>
      <c r="BI91" s="106">
        <v>1093.0740188732482</v>
      </c>
      <c r="BJ91" s="106">
        <v>0</v>
      </c>
      <c r="BK91" s="106">
        <v>0</v>
      </c>
      <c r="BL91" s="106">
        <v>0.47653151389005249</v>
      </c>
      <c r="BM91" s="106">
        <v>304.2177184674095</v>
      </c>
      <c r="BN91" s="106">
        <v>0.33639420603068776</v>
      </c>
      <c r="BO91" s="106">
        <v>214.75406112999104</v>
      </c>
      <c r="BP91" s="106">
        <v>0.4562301758862396</v>
      </c>
      <c r="BQ91" s="106">
        <v>291.25734428577533</v>
      </c>
      <c r="BR91" s="106">
        <v>0</v>
      </c>
      <c r="BS91" s="106">
        <v>0</v>
      </c>
      <c r="BT91" s="106">
        <v>0</v>
      </c>
      <c r="BU91" s="106">
        <v>0</v>
      </c>
      <c r="BV91" s="106">
        <v>0</v>
      </c>
      <c r="BW91" s="106">
        <v>0</v>
      </c>
      <c r="BX91" s="106">
        <v>0</v>
      </c>
      <c r="BY91" s="106">
        <v>0</v>
      </c>
      <c r="BZ91" s="106">
        <v>0.11832287828116118</v>
      </c>
      <c r="CA91" s="106">
        <v>75.537325494693292</v>
      </c>
      <c r="CB91" s="106">
        <v>0.1020112511028468</v>
      </c>
      <c r="CC91" s="106">
        <v>65.123982704057397</v>
      </c>
      <c r="CD91" s="106">
        <v>3.5650063290214626E-2</v>
      </c>
      <c r="CE91" s="106">
        <v>22.759000404473017</v>
      </c>
      <c r="CF91" s="106">
        <v>7.014783171280517E-2</v>
      </c>
      <c r="CG91" s="106">
        <v>44.782375765454816</v>
      </c>
      <c r="CH91" s="106">
        <v>0.42112006539480418</v>
      </c>
      <c r="CI91" s="106">
        <v>268.84304974804297</v>
      </c>
      <c r="CJ91" s="106">
        <v>1.8568223768929597</v>
      </c>
      <c r="CK91" s="106">
        <v>1185.3954054084654</v>
      </c>
      <c r="CL91" s="106">
        <v>0</v>
      </c>
      <c r="CM91" s="106">
        <v>0</v>
      </c>
      <c r="CN91" s="106">
        <v>1.6021603926857069</v>
      </c>
      <c r="CO91" s="106">
        <v>1022.8191946905553</v>
      </c>
      <c r="CP91" s="106">
        <v>2.6032873649107078</v>
      </c>
      <c r="CQ91" s="106">
        <v>1661.9386537589958</v>
      </c>
      <c r="CR91" s="106">
        <v>3.3093183831371071</v>
      </c>
      <c r="CS91" s="106">
        <v>2112.6688557947291</v>
      </c>
      <c r="CT91" s="106">
        <v>4.3481173921747454</v>
      </c>
      <c r="CU91" s="106">
        <v>2775.8381431643575</v>
      </c>
    </row>
    <row r="92" spans="2:99" x14ac:dyDescent="0.2">
      <c r="C92" s="105" t="s">
        <v>258</v>
      </c>
      <c r="D92" s="106">
        <v>5</v>
      </c>
      <c r="E92" s="106">
        <v>2496</v>
      </c>
      <c r="F92" s="106">
        <v>5.3393088107857887</v>
      </c>
      <c r="G92" s="106">
        <v>2665.3829583442657</v>
      </c>
      <c r="H92" s="106">
        <v>4.2238456495183812</v>
      </c>
      <c r="I92" s="106">
        <v>2108.543748239576</v>
      </c>
      <c r="J92" s="106">
        <v>7</v>
      </c>
      <c r="K92" s="106">
        <v>3494.4</v>
      </c>
      <c r="L92" s="106">
        <v>4.2352618739240215</v>
      </c>
      <c r="M92" s="106">
        <v>2114.2427274628717</v>
      </c>
      <c r="N92" s="106">
        <v>3</v>
      </c>
      <c r="O92" s="106">
        <v>1497.6</v>
      </c>
      <c r="P92" s="106">
        <v>4.1822853261447825</v>
      </c>
      <c r="Q92" s="106">
        <v>2087.7968348114755</v>
      </c>
      <c r="R92" s="106">
        <v>3.1583682192329556</v>
      </c>
      <c r="S92" s="106">
        <v>1576.6574150410913</v>
      </c>
      <c r="T92" s="106">
        <v>4.3485496513458735</v>
      </c>
      <c r="U92" s="106">
        <v>2170.7959859518601</v>
      </c>
      <c r="V92" s="106">
        <v>3.2154082753429938</v>
      </c>
      <c r="W92" s="106">
        <v>1605.1318110512225</v>
      </c>
      <c r="X92" s="106">
        <v>3</v>
      </c>
      <c r="Y92" s="106">
        <v>1497.6</v>
      </c>
      <c r="Z92" s="106">
        <v>3.2117245583423388</v>
      </c>
      <c r="AA92" s="106">
        <v>1603.2928995244954</v>
      </c>
      <c r="AB92" s="106">
        <v>6.1536973208776544</v>
      </c>
      <c r="AC92" s="106">
        <v>3071.9257025821248</v>
      </c>
      <c r="AD92" s="106">
        <v>8</v>
      </c>
      <c r="AE92" s="106">
        <v>3993.6</v>
      </c>
      <c r="AF92" s="106">
        <v>6.2468036498540211</v>
      </c>
      <c r="AG92" s="106">
        <v>3118.4043820071274</v>
      </c>
      <c r="AH92" s="106">
        <v>6</v>
      </c>
      <c r="AI92" s="106">
        <v>2995.2</v>
      </c>
      <c r="AJ92" s="106">
        <v>9.2445325193895194</v>
      </c>
      <c r="AK92" s="106">
        <v>4614.8706336792484</v>
      </c>
      <c r="AL92" s="106">
        <v>5</v>
      </c>
      <c r="AM92" s="106">
        <v>2496</v>
      </c>
      <c r="AN92" s="106">
        <v>4.1150241806159089</v>
      </c>
      <c r="AO92" s="106">
        <v>2054.2200709634617</v>
      </c>
      <c r="AP92" s="106">
        <v>2.4528543090480892</v>
      </c>
      <c r="AQ92" s="106">
        <v>1224.464871076806</v>
      </c>
      <c r="AR92" s="106">
        <v>1.6722057478328298</v>
      </c>
      <c r="AS92" s="106">
        <v>834.76510931814857</v>
      </c>
      <c r="AT92" s="106">
        <v>0</v>
      </c>
      <c r="AU92" s="106">
        <v>0</v>
      </c>
      <c r="AV92" s="106">
        <v>1.6523469807343862</v>
      </c>
      <c r="AW92" s="106">
        <v>824.85161278260557</v>
      </c>
      <c r="AX92" s="106">
        <v>0</v>
      </c>
      <c r="AY92" s="106">
        <v>0</v>
      </c>
      <c r="AZ92" s="106">
        <v>0</v>
      </c>
      <c r="BA92" s="106">
        <v>0</v>
      </c>
      <c r="BB92" s="106">
        <v>3.8777633622382077</v>
      </c>
      <c r="BC92" s="106">
        <v>1935.7794704293133</v>
      </c>
      <c r="BD92" s="106">
        <v>1.135581380158291</v>
      </c>
      <c r="BE92" s="106">
        <v>566.88222497501886</v>
      </c>
      <c r="BF92" s="106">
        <v>2.2356398736571896</v>
      </c>
      <c r="BG92" s="106">
        <v>1116.0314249296691</v>
      </c>
      <c r="BH92" s="106">
        <v>1.7122086761799002</v>
      </c>
      <c r="BI92" s="106">
        <v>854.73457114900623</v>
      </c>
      <c r="BJ92" s="106">
        <v>0</v>
      </c>
      <c r="BK92" s="106">
        <v>0</v>
      </c>
      <c r="BL92" s="106">
        <v>0.48149041039956492</v>
      </c>
      <c r="BM92" s="106">
        <v>240.3600128714628</v>
      </c>
      <c r="BN92" s="106">
        <v>0.33977293534813646</v>
      </c>
      <c r="BO92" s="106">
        <v>169.61464932578971</v>
      </c>
      <c r="BP92" s="106">
        <v>0.4562301758862396</v>
      </c>
      <c r="BQ92" s="106">
        <v>227.75010380241079</v>
      </c>
      <c r="BR92" s="106">
        <v>0</v>
      </c>
      <c r="BS92" s="106">
        <v>0</v>
      </c>
      <c r="BT92" s="106">
        <v>0</v>
      </c>
      <c r="BU92" s="106">
        <v>0</v>
      </c>
      <c r="BV92" s="106">
        <v>0</v>
      </c>
      <c r="BW92" s="106">
        <v>0</v>
      </c>
      <c r="BX92" s="106">
        <v>0</v>
      </c>
      <c r="BY92" s="106">
        <v>0</v>
      </c>
      <c r="BZ92" s="106">
        <v>0.11918597045382284</v>
      </c>
      <c r="CA92" s="106">
        <v>59.497636450548363</v>
      </c>
      <c r="CB92" s="106">
        <v>8.1609000882277433E-2</v>
      </c>
      <c r="CC92" s="106">
        <v>40.739213240432896</v>
      </c>
      <c r="CD92" s="106">
        <v>3.6036007248901554E-2</v>
      </c>
      <c r="CE92" s="106">
        <v>17.989174818651655</v>
      </c>
      <c r="CF92" s="106">
        <v>7.014783171280517E-2</v>
      </c>
      <c r="CG92" s="106">
        <v>35.017797591032341</v>
      </c>
      <c r="CH92" s="106">
        <v>0.42112006539480418</v>
      </c>
      <c r="CI92" s="106">
        <v>210.22313664508624</v>
      </c>
      <c r="CJ92" s="106">
        <v>1.8568223768929597</v>
      </c>
      <c r="CK92" s="106">
        <v>926.92573054496552</v>
      </c>
      <c r="CL92" s="106">
        <v>0</v>
      </c>
      <c r="CM92" s="106">
        <v>0</v>
      </c>
      <c r="CN92" s="106">
        <v>1.6021603926857069</v>
      </c>
      <c r="CO92" s="106">
        <v>799.79846802870486</v>
      </c>
      <c r="CP92" s="106">
        <v>3.0164929371197728</v>
      </c>
      <c r="CQ92" s="106">
        <v>1505.8332742101907</v>
      </c>
      <c r="CR92" s="106">
        <v>3.3093183831371071</v>
      </c>
      <c r="CS92" s="106">
        <v>1652.0117368620438</v>
      </c>
      <c r="CT92" s="106">
        <v>3.4784939137397966</v>
      </c>
      <c r="CU92" s="106">
        <v>1736.4641617389063</v>
      </c>
    </row>
    <row r="93" spans="2:99" x14ac:dyDescent="0.2">
      <c r="C93" s="105" t="s">
        <v>259</v>
      </c>
      <c r="D93" s="106">
        <v>6</v>
      </c>
      <c r="E93" s="106">
        <v>1044</v>
      </c>
      <c r="F93" s="106">
        <v>5.3393088107857887</v>
      </c>
      <c r="G93" s="106">
        <v>929.0397330767272</v>
      </c>
      <c r="H93" s="106">
        <v>4.2238456495183812</v>
      </c>
      <c r="I93" s="106">
        <v>734.94914301619838</v>
      </c>
      <c r="J93" s="106">
        <v>6</v>
      </c>
      <c r="K93" s="106">
        <v>1044</v>
      </c>
      <c r="L93" s="106">
        <v>4.1882094991392176</v>
      </c>
      <c r="M93" s="106">
        <v>728.74845285022388</v>
      </c>
      <c r="N93" s="106">
        <v>3</v>
      </c>
      <c r="O93" s="106">
        <v>522</v>
      </c>
      <c r="P93" s="106">
        <v>4.1458282609158257</v>
      </c>
      <c r="Q93" s="106">
        <v>721.37411739935362</v>
      </c>
      <c r="R93" s="106">
        <v>3.1583682192329556</v>
      </c>
      <c r="S93" s="106">
        <v>549.55607014653424</v>
      </c>
      <c r="T93" s="106">
        <v>3.348549651345873</v>
      </c>
      <c r="U93" s="106">
        <v>582.64763933418192</v>
      </c>
      <c r="V93" s="106">
        <v>3.2513096545668261</v>
      </c>
      <c r="W93" s="106">
        <v>565.72787989462779</v>
      </c>
      <c r="X93" s="106">
        <v>2</v>
      </c>
      <c r="Y93" s="106">
        <v>348</v>
      </c>
      <c r="Z93" s="106">
        <v>4.2470119847327288</v>
      </c>
      <c r="AA93" s="106">
        <v>738.98008534349481</v>
      </c>
      <c r="AB93" s="106">
        <v>7.1536973208776544</v>
      </c>
      <c r="AC93" s="106">
        <v>1244.7433338327119</v>
      </c>
      <c r="AD93" s="106">
        <v>9</v>
      </c>
      <c r="AE93" s="106">
        <v>1566</v>
      </c>
      <c r="AF93" s="106">
        <v>5.2961643798248259</v>
      </c>
      <c r="AG93" s="106">
        <v>921.53260208951974</v>
      </c>
      <c r="AH93" s="106">
        <v>6</v>
      </c>
      <c r="AI93" s="106">
        <v>1044</v>
      </c>
      <c r="AJ93" s="106">
        <v>9.2934390232674229</v>
      </c>
      <c r="AK93" s="106">
        <v>1617.0583900485317</v>
      </c>
      <c r="AL93" s="106">
        <v>5</v>
      </c>
      <c r="AM93" s="106">
        <v>870</v>
      </c>
      <c r="AN93" s="106">
        <v>4.133576488077332</v>
      </c>
      <c r="AO93" s="106">
        <v>719.24230892545575</v>
      </c>
      <c r="AP93" s="106">
        <v>2.8483109300547151</v>
      </c>
      <c r="AQ93" s="106">
        <v>495.60610182952041</v>
      </c>
      <c r="AR93" s="106">
        <v>1.9110922832375197</v>
      </c>
      <c r="AS93" s="106">
        <v>332.5300572833284</v>
      </c>
      <c r="AT93" s="106">
        <v>0</v>
      </c>
      <c r="AU93" s="106">
        <v>0</v>
      </c>
      <c r="AV93" s="106">
        <v>1.6523469807343862</v>
      </c>
      <c r="AW93" s="106">
        <v>287.50837464778323</v>
      </c>
      <c r="AX93" s="106">
        <v>0</v>
      </c>
      <c r="AY93" s="106">
        <v>0</v>
      </c>
      <c r="AZ93" s="106">
        <v>0</v>
      </c>
      <c r="BA93" s="106">
        <v>0</v>
      </c>
      <c r="BB93" s="106">
        <v>3.8777633622382077</v>
      </c>
      <c r="BC93" s="106">
        <v>674.73082502944817</v>
      </c>
      <c r="BD93" s="106">
        <v>1.1258767475628655</v>
      </c>
      <c r="BE93" s="106">
        <v>195.90255407593858</v>
      </c>
      <c r="BF93" s="106">
        <v>1.8032659154267239</v>
      </c>
      <c r="BG93" s="106">
        <v>313.76826928424998</v>
      </c>
      <c r="BH93" s="106">
        <v>1.284156507134925</v>
      </c>
      <c r="BI93" s="106">
        <v>223.44323224147695</v>
      </c>
      <c r="BJ93" s="106">
        <v>0</v>
      </c>
      <c r="BK93" s="106">
        <v>0</v>
      </c>
      <c r="BL93" s="106">
        <v>0.47653151389005249</v>
      </c>
      <c r="BM93" s="106">
        <v>82.916483416869127</v>
      </c>
      <c r="BN93" s="106">
        <v>0.33639420603068776</v>
      </c>
      <c r="BO93" s="106">
        <v>58.532591849339667</v>
      </c>
      <c r="BP93" s="106">
        <v>0.46076060848293493</v>
      </c>
      <c r="BQ93" s="106">
        <v>80.172345876030676</v>
      </c>
      <c r="BR93" s="106">
        <v>0</v>
      </c>
      <c r="BS93" s="106">
        <v>0</v>
      </c>
      <c r="BT93" s="106">
        <v>0</v>
      </c>
      <c r="BU93" s="106">
        <v>0</v>
      </c>
      <c r="BV93" s="106">
        <v>0</v>
      </c>
      <c r="BW93" s="106">
        <v>0</v>
      </c>
      <c r="BX93" s="106">
        <v>0</v>
      </c>
      <c r="BY93" s="106">
        <v>0</v>
      </c>
      <c r="BZ93" s="106">
        <v>0.11918597045382284</v>
      </c>
      <c r="CA93" s="106">
        <v>20.738358858965174</v>
      </c>
      <c r="CB93" s="106">
        <v>8.1609000882277433E-2</v>
      </c>
      <c r="CC93" s="106">
        <v>14.199966153516273</v>
      </c>
      <c r="CD93" s="106">
        <v>3.6421951207588475E-2</v>
      </c>
      <c r="CE93" s="106">
        <v>6.3374195101203945</v>
      </c>
      <c r="CF93" s="106">
        <v>7.014783171280517E-2</v>
      </c>
      <c r="CG93" s="106">
        <v>12.205722718028099</v>
      </c>
      <c r="CH93" s="106">
        <v>0.42112006539480418</v>
      </c>
      <c r="CI93" s="106">
        <v>73.274891378695926</v>
      </c>
      <c r="CJ93" s="106">
        <v>1.8568223768929597</v>
      </c>
      <c r="CK93" s="106">
        <v>323.08709357937499</v>
      </c>
      <c r="CL93" s="106">
        <v>0</v>
      </c>
      <c r="CM93" s="106">
        <v>0</v>
      </c>
      <c r="CN93" s="106">
        <v>1.6021603926857069</v>
      </c>
      <c r="CO93" s="106">
        <v>278.775908327313</v>
      </c>
      <c r="CP93" s="106">
        <v>3.0164929371197728</v>
      </c>
      <c r="CQ93" s="106">
        <v>524.86977105884046</v>
      </c>
      <c r="CR93" s="106">
        <v>2.9447869613453488</v>
      </c>
      <c r="CS93" s="106">
        <v>512.39293127409064</v>
      </c>
      <c r="CT93" s="106">
        <v>4.3481173921747454</v>
      </c>
      <c r="CU93" s="106">
        <v>756.57242623840568</v>
      </c>
    </row>
    <row r="94" spans="2:99" x14ac:dyDescent="0.2">
      <c r="C94" s="105" t="s">
        <v>260</v>
      </c>
      <c r="D94" s="106">
        <v>5</v>
      </c>
      <c r="E94" s="106">
        <v>3575.9999999999995</v>
      </c>
      <c r="F94" s="106">
        <v>5.290836123530676</v>
      </c>
      <c r="G94" s="106">
        <v>3784.0059955491392</v>
      </c>
      <c r="H94" s="106">
        <v>4.191867699587184</v>
      </c>
      <c r="I94" s="106">
        <v>2998.0237787447536</v>
      </c>
      <c r="J94" s="106">
        <v>6</v>
      </c>
      <c r="K94" s="106">
        <v>4291.2</v>
      </c>
      <c r="L94" s="106">
        <v>4.2352618739240215</v>
      </c>
      <c r="M94" s="106">
        <v>3029.05929223046</v>
      </c>
      <c r="N94" s="106">
        <v>4</v>
      </c>
      <c r="O94" s="106">
        <v>2860.7999999999997</v>
      </c>
      <c r="P94" s="106">
        <v>4.1458282609158257</v>
      </c>
      <c r="Q94" s="106">
        <v>2965.0963722069982</v>
      </c>
      <c r="R94" s="106">
        <v>3.1583682192329556</v>
      </c>
      <c r="S94" s="106">
        <v>2258.8649503954098</v>
      </c>
      <c r="T94" s="106">
        <v>3.348549651345873</v>
      </c>
      <c r="U94" s="106">
        <v>2394.8827106425683</v>
      </c>
      <c r="V94" s="106">
        <v>3.2513096545668261</v>
      </c>
      <c r="W94" s="106">
        <v>2325.3366649461937</v>
      </c>
      <c r="X94" s="106">
        <v>2</v>
      </c>
      <c r="Y94" s="106">
        <v>1430.3999999999999</v>
      </c>
      <c r="Z94" s="106">
        <v>4.2117245583423388</v>
      </c>
      <c r="AA94" s="106">
        <v>3012.2254041264405</v>
      </c>
      <c r="AB94" s="106">
        <v>7.1536973208776544</v>
      </c>
      <c r="AC94" s="106">
        <v>5116.3243238916975</v>
      </c>
      <c r="AD94" s="106">
        <v>9</v>
      </c>
      <c r="AE94" s="106">
        <v>6436.7999999999993</v>
      </c>
      <c r="AF94" s="106">
        <v>5.2961643798248259</v>
      </c>
      <c r="AG94" s="106">
        <v>3787.8167644507153</v>
      </c>
      <c r="AH94" s="106">
        <v>6</v>
      </c>
      <c r="AI94" s="106">
        <v>4291.2</v>
      </c>
      <c r="AJ94" s="106">
        <v>9.2934390232674229</v>
      </c>
      <c r="AK94" s="106">
        <v>6646.66758944086</v>
      </c>
      <c r="AL94" s="106">
        <v>5</v>
      </c>
      <c r="AM94" s="106">
        <v>3575.9999999999995</v>
      </c>
      <c r="AN94" s="106">
        <v>3.6168794270676652</v>
      </c>
      <c r="AO94" s="106">
        <v>2586.7921662387939</v>
      </c>
      <c r="AP94" s="106">
        <v>2.4528543090480892</v>
      </c>
      <c r="AQ94" s="106">
        <v>1754.2814018311933</v>
      </c>
      <c r="AR94" s="106">
        <v>1.6722057478328298</v>
      </c>
      <c r="AS94" s="106">
        <v>1195.9615508500399</v>
      </c>
      <c r="AT94" s="106">
        <v>0</v>
      </c>
      <c r="AU94" s="106">
        <v>0</v>
      </c>
      <c r="AV94" s="106">
        <v>1.6523469807343862</v>
      </c>
      <c r="AW94" s="106">
        <v>1181.7585606212328</v>
      </c>
      <c r="AX94" s="106">
        <v>0</v>
      </c>
      <c r="AY94" s="106">
        <v>0</v>
      </c>
      <c r="AZ94" s="106">
        <v>0</v>
      </c>
      <c r="BA94" s="106">
        <v>0</v>
      </c>
      <c r="BB94" s="106">
        <v>3.8506180931169984</v>
      </c>
      <c r="BC94" s="106">
        <v>2753.962060197277</v>
      </c>
      <c r="BD94" s="106">
        <v>1.1258767475628655</v>
      </c>
      <c r="BE94" s="106">
        <v>805.22704985696134</v>
      </c>
      <c r="BF94" s="106">
        <v>1.8138044986417046</v>
      </c>
      <c r="BG94" s="106">
        <v>1297.232977428547</v>
      </c>
      <c r="BH94" s="106">
        <v>1.7122086761799002</v>
      </c>
      <c r="BI94" s="106">
        <v>1224.5716452038646</v>
      </c>
      <c r="BJ94" s="106">
        <v>0</v>
      </c>
      <c r="BK94" s="106">
        <v>0</v>
      </c>
      <c r="BL94" s="106">
        <v>0.47653151389005249</v>
      </c>
      <c r="BM94" s="106">
        <v>340.81533873416549</v>
      </c>
      <c r="BN94" s="106">
        <v>0.33977293534813646</v>
      </c>
      <c r="BO94" s="106">
        <v>243.00560336098718</v>
      </c>
      <c r="BP94" s="106">
        <v>0.45169974328954426</v>
      </c>
      <c r="BQ94" s="106">
        <v>323.05565640068204</v>
      </c>
      <c r="BR94" s="106">
        <v>0</v>
      </c>
      <c r="BS94" s="106">
        <v>0</v>
      </c>
      <c r="BT94" s="106">
        <v>0</v>
      </c>
      <c r="BU94" s="106">
        <v>0</v>
      </c>
      <c r="BV94" s="106">
        <v>0</v>
      </c>
      <c r="BW94" s="106">
        <v>0</v>
      </c>
      <c r="BX94" s="106">
        <v>0</v>
      </c>
      <c r="BY94" s="106">
        <v>0</v>
      </c>
      <c r="BZ94" s="106">
        <v>0.11918597045382284</v>
      </c>
      <c r="CA94" s="106">
        <v>85.241806068574093</v>
      </c>
      <c r="CB94" s="106">
        <v>8.1609000882277433E-2</v>
      </c>
      <c r="CC94" s="106">
        <v>58.366757431004814</v>
      </c>
      <c r="CD94" s="106">
        <v>2.7316463405691358E-2</v>
      </c>
      <c r="CE94" s="106">
        <v>19.536734627750459</v>
      </c>
      <c r="CF94" s="106">
        <v>7.014783171280517E-2</v>
      </c>
      <c r="CG94" s="106">
        <v>50.169729240998251</v>
      </c>
      <c r="CH94" s="106">
        <v>0.42112006539480418</v>
      </c>
      <c r="CI94" s="106">
        <v>301.18507077036389</v>
      </c>
      <c r="CJ94" s="106">
        <v>1.8568223768929597</v>
      </c>
      <c r="CK94" s="106">
        <v>1327.9993639538447</v>
      </c>
      <c r="CL94" s="106">
        <v>0</v>
      </c>
      <c r="CM94" s="106">
        <v>0</v>
      </c>
      <c r="CN94" s="106">
        <v>1.6021603926857069</v>
      </c>
      <c r="CO94" s="106">
        <v>1145.8651128488175</v>
      </c>
      <c r="CP94" s="106">
        <v>2.6145649950612824</v>
      </c>
      <c r="CQ94" s="106">
        <v>1869.936884467829</v>
      </c>
      <c r="CR94" s="106">
        <v>2.9590547548509911</v>
      </c>
      <c r="CS94" s="106">
        <v>2116.3159606694285</v>
      </c>
      <c r="CT94" s="106">
        <v>4.3290095850692172</v>
      </c>
      <c r="CU94" s="106">
        <v>3096.1076552415038</v>
      </c>
    </row>
    <row r="95" spans="2:99" x14ac:dyDescent="0.2">
      <c r="B95" s="105" t="s">
        <v>132</v>
      </c>
      <c r="C95" s="105" t="s">
        <v>261</v>
      </c>
      <c r="D95" s="106">
        <v>10</v>
      </c>
      <c r="E95" s="106">
        <v>6611.9999999999991</v>
      </c>
      <c r="F95" s="106">
        <v>9.3393088107857878</v>
      </c>
      <c r="G95" s="106">
        <v>6175.1509856915618</v>
      </c>
      <c r="H95" s="106">
        <v>8.2238456495183812</v>
      </c>
      <c r="I95" s="106">
        <v>5437.6067434615534</v>
      </c>
      <c r="J95" s="106">
        <v>7</v>
      </c>
      <c r="K95" s="106">
        <v>4628.3999999999996</v>
      </c>
      <c r="L95" s="106">
        <v>6.3764189982784343</v>
      </c>
      <c r="M95" s="106">
        <v>4216.0882416617005</v>
      </c>
      <c r="N95" s="106">
        <v>6</v>
      </c>
      <c r="O95" s="106">
        <v>3967.2</v>
      </c>
      <c r="P95" s="106">
        <v>7.1822853261447825</v>
      </c>
      <c r="Q95" s="106">
        <v>4748.9270576469298</v>
      </c>
      <c r="R95" s="106">
        <v>6.3167364384659113</v>
      </c>
      <c r="S95" s="106">
        <v>4176.6261331136602</v>
      </c>
      <c r="T95" s="106">
        <v>5.2987568440107484</v>
      </c>
      <c r="U95" s="106">
        <v>3503.5380252599066</v>
      </c>
      <c r="V95" s="106">
        <v>5.2513096545668256</v>
      </c>
      <c r="W95" s="106">
        <v>3472.1659435995848</v>
      </c>
      <c r="X95" s="106">
        <v>6</v>
      </c>
      <c r="Y95" s="106">
        <v>3967.2</v>
      </c>
      <c r="Z95" s="106">
        <v>5.3175868375135087</v>
      </c>
      <c r="AA95" s="106">
        <v>3515.9884169639317</v>
      </c>
      <c r="AB95" s="106">
        <v>6.2689703115358952</v>
      </c>
      <c r="AC95" s="106">
        <v>4145.0431699875335</v>
      </c>
      <c r="AD95" s="106">
        <v>7</v>
      </c>
      <c r="AE95" s="106">
        <v>4628.3999999999996</v>
      </c>
      <c r="AF95" s="106">
        <v>5</v>
      </c>
      <c r="AG95" s="106">
        <v>3305.9999999999995</v>
      </c>
      <c r="AH95" s="106">
        <v>5</v>
      </c>
      <c r="AI95" s="106">
        <v>3305.9999999999995</v>
      </c>
      <c r="AJ95" s="106">
        <v>6.3912520310232308</v>
      </c>
      <c r="AK95" s="106">
        <v>4225.8958429125596</v>
      </c>
      <c r="AL95" s="106">
        <v>10</v>
      </c>
      <c r="AM95" s="106">
        <v>6611.9999999999991</v>
      </c>
      <c r="AN95" s="106">
        <v>3.1001823660579984</v>
      </c>
      <c r="AO95" s="106">
        <v>2049.8405804375484</v>
      </c>
      <c r="AP95" s="106">
        <v>2.4328256632960059</v>
      </c>
      <c r="AQ95" s="106">
        <v>1608.584328571319</v>
      </c>
      <c r="AR95" s="106">
        <v>1.4333192124281398</v>
      </c>
      <c r="AS95" s="106">
        <v>947.71066325748586</v>
      </c>
      <c r="AT95" s="106">
        <v>0</v>
      </c>
      <c r="AU95" s="106">
        <v>0</v>
      </c>
      <c r="AV95" s="106">
        <v>1.6523469807343862</v>
      </c>
      <c r="AW95" s="106">
        <v>1092.531823661576</v>
      </c>
      <c r="AX95" s="106">
        <v>0</v>
      </c>
      <c r="AY95" s="106">
        <v>0</v>
      </c>
      <c r="AZ95" s="106">
        <v>0</v>
      </c>
      <c r="BA95" s="106">
        <v>0</v>
      </c>
      <c r="BB95" s="106">
        <v>5.7216366014330777</v>
      </c>
      <c r="BC95" s="106">
        <v>3783.1461208675505</v>
      </c>
      <c r="BD95" s="106">
        <v>2.8891172798876772</v>
      </c>
      <c r="BE95" s="106">
        <v>1910.2843454617321</v>
      </c>
      <c r="BF95" s="106">
        <v>1.8243430818566848</v>
      </c>
      <c r="BG95" s="106">
        <v>1206.2556457236399</v>
      </c>
      <c r="BH95" s="106">
        <v>2.140260845224875</v>
      </c>
      <c r="BI95" s="106">
        <v>1415.1404708626872</v>
      </c>
      <c r="BJ95" s="106">
        <v>0</v>
      </c>
      <c r="BK95" s="106">
        <v>0</v>
      </c>
      <c r="BL95" s="106">
        <v>0.89851516617546812</v>
      </c>
      <c r="BM95" s="106">
        <v>594.09822787521944</v>
      </c>
      <c r="BN95" s="106">
        <v>0.77590986922507477</v>
      </c>
      <c r="BO95" s="106">
        <v>513.03160553161933</v>
      </c>
      <c r="BP95" s="106">
        <v>0.72716045410130004</v>
      </c>
      <c r="BQ95" s="106">
        <v>480.79849225177952</v>
      </c>
      <c r="BR95" s="106">
        <v>0</v>
      </c>
      <c r="BS95" s="106">
        <v>0</v>
      </c>
      <c r="BT95" s="106">
        <v>0</v>
      </c>
      <c r="BU95" s="106">
        <v>0</v>
      </c>
      <c r="BV95" s="106">
        <v>0</v>
      </c>
      <c r="BW95" s="106">
        <v>0</v>
      </c>
      <c r="BX95" s="106">
        <v>0</v>
      </c>
      <c r="BY95" s="106">
        <v>0</v>
      </c>
      <c r="BZ95" s="106">
        <v>0.15114019349893262</v>
      </c>
      <c r="CA95" s="106">
        <v>99.933895941494242</v>
      </c>
      <c r="CB95" s="106">
        <v>0.16321800176455487</v>
      </c>
      <c r="CC95" s="106">
        <v>107.91974276672367</v>
      </c>
      <c r="CD95" s="106">
        <v>4.4755551092111753E-2</v>
      </c>
      <c r="CE95" s="106">
        <v>29.592370382104288</v>
      </c>
      <c r="CF95" s="106">
        <v>0.14029566342561034</v>
      </c>
      <c r="CG95" s="106">
        <v>92.763492657013543</v>
      </c>
      <c r="CH95" s="106">
        <v>1.0739802033155659</v>
      </c>
      <c r="CI95" s="106">
        <v>710.11571043225206</v>
      </c>
      <c r="CJ95" s="106">
        <v>2.78523356533944</v>
      </c>
      <c r="CK95" s="106">
        <v>1841.5964334024375</v>
      </c>
      <c r="CL95" s="106">
        <v>0</v>
      </c>
      <c r="CM95" s="106">
        <v>0</v>
      </c>
      <c r="CN95" s="106">
        <v>1.2535903996873521</v>
      </c>
      <c r="CO95" s="106">
        <v>828.8739722732771</v>
      </c>
      <c r="CP95" s="106">
        <v>2.5694544744589844</v>
      </c>
      <c r="CQ95" s="106">
        <v>1698.9232985122803</v>
      </c>
      <c r="CR95" s="106">
        <v>2.2014563242561906</v>
      </c>
      <c r="CS95" s="106">
        <v>1455.602921598193</v>
      </c>
      <c r="CT95" s="106">
        <v>4.2525783566471027</v>
      </c>
      <c r="CU95" s="106">
        <v>2811.804809415064</v>
      </c>
    </row>
    <row r="96" spans="2:99" x14ac:dyDescent="0.2">
      <c r="C96" s="105" t="s">
        <v>262</v>
      </c>
      <c r="D96" s="106">
        <v>9</v>
      </c>
      <c r="E96" s="106">
        <v>10054.800000000001</v>
      </c>
      <c r="F96" s="106">
        <v>9.290836123530676</v>
      </c>
      <c r="G96" s="106">
        <v>10379.722117208472</v>
      </c>
      <c r="H96" s="106">
        <v>7.2558235994495783</v>
      </c>
      <c r="I96" s="106">
        <v>8106.2061253050697</v>
      </c>
      <c r="J96" s="106">
        <v>6</v>
      </c>
      <c r="K96" s="106">
        <v>6703.2000000000007</v>
      </c>
      <c r="L96" s="106">
        <v>6.3293666234936303</v>
      </c>
      <c r="M96" s="106">
        <v>7071.1683917670844</v>
      </c>
      <c r="N96" s="106">
        <v>6</v>
      </c>
      <c r="O96" s="106">
        <v>6703.2000000000007</v>
      </c>
      <c r="P96" s="106">
        <v>7.1822853261447825</v>
      </c>
      <c r="Q96" s="106">
        <v>8024.0491663689518</v>
      </c>
      <c r="R96" s="106">
        <v>6.2771443836576726</v>
      </c>
      <c r="S96" s="106">
        <v>7012.8257054223523</v>
      </c>
      <c r="T96" s="106">
        <v>5.2987568440107484</v>
      </c>
      <c r="U96" s="106">
        <v>5919.7711461288081</v>
      </c>
      <c r="V96" s="106">
        <v>5.2513096545668256</v>
      </c>
      <c r="W96" s="106">
        <v>5866.7631460820576</v>
      </c>
      <c r="X96" s="106">
        <v>5</v>
      </c>
      <c r="Y96" s="106">
        <v>5586</v>
      </c>
      <c r="Z96" s="106">
        <v>5.2822994111231187</v>
      </c>
      <c r="AA96" s="106">
        <v>5901.3849021067481</v>
      </c>
      <c r="AB96" s="106">
        <v>6.2689703115358952</v>
      </c>
      <c r="AC96" s="106">
        <v>7003.6936320479026</v>
      </c>
      <c r="AD96" s="106">
        <v>6</v>
      </c>
      <c r="AE96" s="106">
        <v>6703.2000000000007</v>
      </c>
      <c r="AF96" s="106">
        <v>5.3948858397664345</v>
      </c>
      <c r="AG96" s="106">
        <v>6027.1664601870607</v>
      </c>
      <c r="AH96" s="106">
        <v>5</v>
      </c>
      <c r="AI96" s="106">
        <v>5586</v>
      </c>
      <c r="AJ96" s="106">
        <v>7.4401585349011343</v>
      </c>
      <c r="AK96" s="106">
        <v>8312.145115191548</v>
      </c>
      <c r="AL96" s="106">
        <v>10</v>
      </c>
      <c r="AM96" s="106">
        <v>11172</v>
      </c>
      <c r="AN96" s="106">
        <v>3.5797748121448199</v>
      </c>
      <c r="AO96" s="106">
        <v>3999.3244201281927</v>
      </c>
      <c r="AP96" s="106">
        <v>2.4328256632960059</v>
      </c>
      <c r="AQ96" s="106">
        <v>2717.952831034298</v>
      </c>
      <c r="AR96" s="106">
        <v>1.4333192124281398</v>
      </c>
      <c r="AS96" s="106">
        <v>1601.3042241247178</v>
      </c>
      <c r="AT96" s="106">
        <v>0</v>
      </c>
      <c r="AU96" s="106">
        <v>0</v>
      </c>
      <c r="AV96" s="106">
        <v>1.4162974120580454</v>
      </c>
      <c r="AW96" s="106">
        <v>1582.2874687512483</v>
      </c>
      <c r="AX96" s="106">
        <v>0</v>
      </c>
      <c r="AY96" s="106">
        <v>0</v>
      </c>
      <c r="AZ96" s="106">
        <v>0</v>
      </c>
      <c r="BA96" s="106">
        <v>0</v>
      </c>
      <c r="BB96" s="106">
        <v>5.7216366014330777</v>
      </c>
      <c r="BC96" s="106">
        <v>6392.2124111210351</v>
      </c>
      <c r="BD96" s="106">
        <v>2.8891172798876772</v>
      </c>
      <c r="BE96" s="106">
        <v>3227.721825090513</v>
      </c>
      <c r="BF96" s="106">
        <v>1.8243430818566848</v>
      </c>
      <c r="BG96" s="106">
        <v>2038.1560910502883</v>
      </c>
      <c r="BH96" s="106">
        <v>2.140260845224875</v>
      </c>
      <c r="BI96" s="106">
        <v>2391.0994162852303</v>
      </c>
      <c r="BJ96" s="106">
        <v>0</v>
      </c>
      <c r="BK96" s="106">
        <v>0</v>
      </c>
      <c r="BL96" s="106">
        <v>0.89851516617546812</v>
      </c>
      <c r="BM96" s="106">
        <v>1003.821143651233</v>
      </c>
      <c r="BN96" s="106">
        <v>0.77928859854252353</v>
      </c>
      <c r="BO96" s="106">
        <v>870.62122229170734</v>
      </c>
      <c r="BP96" s="106">
        <v>0.58716488239707443</v>
      </c>
      <c r="BQ96" s="106">
        <v>655.98060661401155</v>
      </c>
      <c r="BR96" s="106">
        <v>0</v>
      </c>
      <c r="BS96" s="106">
        <v>0</v>
      </c>
      <c r="BT96" s="106">
        <v>0</v>
      </c>
      <c r="BU96" s="106">
        <v>0</v>
      </c>
      <c r="BV96" s="106">
        <v>0</v>
      </c>
      <c r="BW96" s="106">
        <v>0</v>
      </c>
      <c r="BX96" s="106">
        <v>0</v>
      </c>
      <c r="BY96" s="106">
        <v>0</v>
      </c>
      <c r="BZ96" s="106">
        <v>0.12177524697180775</v>
      </c>
      <c r="CA96" s="106">
        <v>136.04730591690361</v>
      </c>
      <c r="CB96" s="106">
        <v>0.14281575154398551</v>
      </c>
      <c r="CC96" s="106">
        <v>159.55375762494063</v>
      </c>
      <c r="CD96" s="106">
        <v>3.6421951207588475E-2</v>
      </c>
      <c r="CE96" s="106">
        <v>40.690603889117845</v>
      </c>
      <c r="CF96" s="106">
        <v>0.14029566342561034</v>
      </c>
      <c r="CG96" s="106">
        <v>156.73831517909187</v>
      </c>
      <c r="CH96" s="106">
        <v>0.93973267790112014</v>
      </c>
      <c r="CI96" s="106">
        <v>1049.8693477511315</v>
      </c>
      <c r="CJ96" s="106">
        <v>2.78523356533944</v>
      </c>
      <c r="CK96" s="106">
        <v>3111.6629391972224</v>
      </c>
      <c r="CL96" s="106">
        <v>0</v>
      </c>
      <c r="CM96" s="106">
        <v>0</v>
      </c>
      <c r="CN96" s="106">
        <v>1.2535903996873521</v>
      </c>
      <c r="CO96" s="106">
        <v>1400.5111945307099</v>
      </c>
      <c r="CP96" s="106">
        <v>2.5694544744589844</v>
      </c>
      <c r="CQ96" s="106">
        <v>2870.5945388655778</v>
      </c>
      <c r="CR96" s="106">
        <v>2.5374521590366643</v>
      </c>
      <c r="CS96" s="106">
        <v>2834.8415520757617</v>
      </c>
      <c r="CT96" s="106">
        <v>4.2525783566471027</v>
      </c>
      <c r="CU96" s="106">
        <v>4750.9805400461437</v>
      </c>
    </row>
    <row r="97" spans="2:99" x14ac:dyDescent="0.2">
      <c r="C97" s="105" t="s">
        <v>263</v>
      </c>
      <c r="D97" s="106">
        <v>11</v>
      </c>
      <c r="E97" s="106">
        <v>6520.7999999999993</v>
      </c>
      <c r="F97" s="106">
        <v>9.3393088107857878</v>
      </c>
      <c r="G97" s="106">
        <v>5536.3422630338146</v>
      </c>
      <c r="H97" s="106">
        <v>7.2238456495183812</v>
      </c>
      <c r="I97" s="106">
        <v>4282.2957010344962</v>
      </c>
      <c r="J97" s="106">
        <v>7</v>
      </c>
      <c r="K97" s="106">
        <v>4149.5999999999995</v>
      </c>
      <c r="L97" s="106">
        <v>6.3764189982784343</v>
      </c>
      <c r="M97" s="106">
        <v>3779.9411821794556</v>
      </c>
      <c r="N97" s="106">
        <v>7</v>
      </c>
      <c r="O97" s="106">
        <v>4149.5999999999995</v>
      </c>
      <c r="P97" s="106">
        <v>6.1822853261447825</v>
      </c>
      <c r="Q97" s="106">
        <v>3664.8587413386267</v>
      </c>
      <c r="R97" s="106">
        <v>6.3167364384659113</v>
      </c>
      <c r="S97" s="106">
        <v>3744.5613607225919</v>
      </c>
      <c r="T97" s="106">
        <v>5.2489640366756234</v>
      </c>
      <c r="U97" s="106">
        <v>3111.5858809413094</v>
      </c>
      <c r="V97" s="106">
        <v>5.2872110337906584</v>
      </c>
      <c r="W97" s="106">
        <v>3134.258700831102</v>
      </c>
      <c r="X97" s="106">
        <v>6</v>
      </c>
      <c r="Y97" s="106">
        <v>3556.7999999999997</v>
      </c>
      <c r="Z97" s="106">
        <v>5.2822994111231187</v>
      </c>
      <c r="AA97" s="106">
        <v>3131.3470909137845</v>
      </c>
      <c r="AB97" s="106">
        <v>6.2689703115358952</v>
      </c>
      <c r="AC97" s="106">
        <v>3716.2456006784782</v>
      </c>
      <c r="AD97" s="106">
        <v>7</v>
      </c>
      <c r="AE97" s="106">
        <v>4149.5999999999995</v>
      </c>
      <c r="AF97" s="106">
        <v>5.3948858397664345</v>
      </c>
      <c r="AG97" s="106">
        <v>3198.0883258135423</v>
      </c>
      <c r="AH97" s="106">
        <v>5</v>
      </c>
      <c r="AI97" s="106">
        <v>2964</v>
      </c>
      <c r="AJ97" s="106">
        <v>7.4401585349011343</v>
      </c>
      <c r="AK97" s="106">
        <v>4410.5259794893918</v>
      </c>
      <c r="AL97" s="106">
        <v>9</v>
      </c>
      <c r="AM97" s="106">
        <v>5335.2</v>
      </c>
      <c r="AN97" s="106">
        <v>3.5983271196062421</v>
      </c>
      <c r="AO97" s="106">
        <v>2133.0883165025803</v>
      </c>
      <c r="AP97" s="106">
        <v>2.4328256632960059</v>
      </c>
      <c r="AQ97" s="106">
        <v>1442.1790532018722</v>
      </c>
      <c r="AR97" s="106">
        <v>1.6722057478328298</v>
      </c>
      <c r="AS97" s="106">
        <v>991.28356731530141</v>
      </c>
      <c r="AT97" s="106">
        <v>0</v>
      </c>
      <c r="AU97" s="106">
        <v>0</v>
      </c>
      <c r="AV97" s="106">
        <v>1.8883965494107271</v>
      </c>
      <c r="AW97" s="106">
        <v>1119.441474490679</v>
      </c>
      <c r="AX97" s="106">
        <v>0</v>
      </c>
      <c r="AY97" s="106">
        <v>0</v>
      </c>
      <c r="AZ97" s="106">
        <v>0</v>
      </c>
      <c r="BA97" s="106">
        <v>0</v>
      </c>
      <c r="BB97" s="106">
        <v>6.6435732210305138</v>
      </c>
      <c r="BC97" s="106">
        <v>3938.3102054268884</v>
      </c>
      <c r="BD97" s="106">
        <v>2.5364691734227147</v>
      </c>
      <c r="BE97" s="106">
        <v>1503.6189260049853</v>
      </c>
      <c r="BF97" s="106">
        <v>1.8243430818566848</v>
      </c>
      <c r="BG97" s="106">
        <v>1081.4705789246427</v>
      </c>
      <c r="BH97" s="106">
        <v>2.140260845224875</v>
      </c>
      <c r="BI97" s="106">
        <v>1268.7466290493057</v>
      </c>
      <c r="BJ97" s="106">
        <v>0</v>
      </c>
      <c r="BK97" s="106">
        <v>0</v>
      </c>
      <c r="BL97" s="106">
        <v>0.90347406268498065</v>
      </c>
      <c r="BM97" s="106">
        <v>535.57942435965651</v>
      </c>
      <c r="BN97" s="106">
        <v>0.87903132638877424</v>
      </c>
      <c r="BO97" s="106">
        <v>521.08977028326535</v>
      </c>
      <c r="BP97" s="106">
        <v>0.73169088669799554</v>
      </c>
      <c r="BQ97" s="106">
        <v>433.74635763457172</v>
      </c>
      <c r="BR97" s="106">
        <v>0</v>
      </c>
      <c r="BS97" s="106">
        <v>0</v>
      </c>
      <c r="BT97" s="106">
        <v>0</v>
      </c>
      <c r="BU97" s="106">
        <v>0</v>
      </c>
      <c r="BV97" s="106">
        <v>0</v>
      </c>
      <c r="BW97" s="106">
        <v>0</v>
      </c>
      <c r="BX97" s="106">
        <v>0</v>
      </c>
      <c r="BY97" s="106">
        <v>0</v>
      </c>
      <c r="BZ97" s="106">
        <v>0.15027710132627101</v>
      </c>
      <c r="CA97" s="106">
        <v>89.08426566621344</v>
      </c>
      <c r="CB97" s="106">
        <v>0.16321800176455487</v>
      </c>
      <c r="CC97" s="106">
        <v>96.755631446028119</v>
      </c>
      <c r="CD97" s="106">
        <v>4.4755551092111753E-2</v>
      </c>
      <c r="CE97" s="106">
        <v>26.531090687403847</v>
      </c>
      <c r="CF97" s="106">
        <v>0.16367827399654541</v>
      </c>
      <c r="CG97" s="106">
        <v>97.028480825152116</v>
      </c>
      <c r="CH97" s="106">
        <v>1.0678543735984105</v>
      </c>
      <c r="CI97" s="106">
        <v>633.02407266913769</v>
      </c>
      <c r="CJ97" s="106">
        <v>2.78523356533944</v>
      </c>
      <c r="CK97" s="106">
        <v>1651.0864575332198</v>
      </c>
      <c r="CL97" s="106">
        <v>0</v>
      </c>
      <c r="CM97" s="106">
        <v>0</v>
      </c>
      <c r="CN97" s="106">
        <v>1.2442110948669478</v>
      </c>
      <c r="CO97" s="106">
        <v>737.56833703712664</v>
      </c>
      <c r="CP97" s="106">
        <v>2.5694544744589844</v>
      </c>
      <c r="CQ97" s="106">
        <v>1523.1726124592858</v>
      </c>
      <c r="CR97" s="106">
        <v>2.5374521590366643</v>
      </c>
      <c r="CS97" s="106">
        <v>1504.2016398769345</v>
      </c>
      <c r="CT97" s="106">
        <v>4.2525783566471027</v>
      </c>
      <c r="CU97" s="106">
        <v>2520.9284498204024</v>
      </c>
    </row>
    <row r="98" spans="2:99" x14ac:dyDescent="0.2">
      <c r="C98" s="105" t="s">
        <v>264</v>
      </c>
      <c r="D98" s="106">
        <v>10</v>
      </c>
      <c r="E98" s="106">
        <v>4584</v>
      </c>
      <c r="F98" s="106">
        <v>9.290836123530676</v>
      </c>
      <c r="G98" s="106">
        <v>4258.9192790264615</v>
      </c>
      <c r="H98" s="106">
        <v>8.2238456495183812</v>
      </c>
      <c r="I98" s="106">
        <v>3769.8108457392259</v>
      </c>
      <c r="J98" s="106">
        <v>8</v>
      </c>
      <c r="K98" s="106">
        <v>3667.2</v>
      </c>
      <c r="L98" s="106">
        <v>7.4234713730632382</v>
      </c>
      <c r="M98" s="106">
        <v>3402.9192774121884</v>
      </c>
      <c r="N98" s="106">
        <v>6</v>
      </c>
      <c r="O98" s="106">
        <v>2750.3999999999996</v>
      </c>
      <c r="P98" s="106">
        <v>7.1822853261447825</v>
      </c>
      <c r="Q98" s="106">
        <v>3292.3595935047683</v>
      </c>
      <c r="R98" s="106">
        <v>6.3167364384659113</v>
      </c>
      <c r="S98" s="106">
        <v>2895.5919833927737</v>
      </c>
      <c r="T98" s="106">
        <v>5.2987568440107484</v>
      </c>
      <c r="U98" s="106">
        <v>2428.9501372945269</v>
      </c>
      <c r="V98" s="106">
        <v>6.2513096545668256</v>
      </c>
      <c r="W98" s="106">
        <v>2865.6003456534327</v>
      </c>
      <c r="X98" s="106">
        <v>6</v>
      </c>
      <c r="Y98" s="106">
        <v>2750.3999999999996</v>
      </c>
      <c r="Z98" s="106">
        <v>5.2822994111231187</v>
      </c>
      <c r="AA98" s="106">
        <v>2421.4060500588375</v>
      </c>
      <c r="AB98" s="106">
        <v>6.2689703115358952</v>
      </c>
      <c r="AC98" s="106">
        <v>2873.6959908080544</v>
      </c>
      <c r="AD98" s="106">
        <v>7</v>
      </c>
      <c r="AE98" s="106">
        <v>3208.7999999999997</v>
      </c>
      <c r="AF98" s="106">
        <v>5</v>
      </c>
      <c r="AG98" s="106">
        <v>2292</v>
      </c>
      <c r="AH98" s="106">
        <v>5</v>
      </c>
      <c r="AI98" s="106">
        <v>2292</v>
      </c>
      <c r="AJ98" s="106">
        <v>7.3912520310232308</v>
      </c>
      <c r="AK98" s="106">
        <v>3388.1499310210488</v>
      </c>
      <c r="AL98" s="106">
        <v>10</v>
      </c>
      <c r="AM98" s="106">
        <v>4584</v>
      </c>
      <c r="AN98" s="106">
        <v>3.1001823660579984</v>
      </c>
      <c r="AO98" s="106">
        <v>1421.1235966009863</v>
      </c>
      <c r="AP98" s="106">
        <v>2.4328256632960059</v>
      </c>
      <c r="AQ98" s="106">
        <v>1115.207284054889</v>
      </c>
      <c r="AR98" s="106">
        <v>1.4333192124281398</v>
      </c>
      <c r="AS98" s="106">
        <v>657.03352697705918</v>
      </c>
      <c r="AT98" s="106">
        <v>0</v>
      </c>
      <c r="AU98" s="106">
        <v>0</v>
      </c>
      <c r="AV98" s="106">
        <v>1.6523469807343862</v>
      </c>
      <c r="AW98" s="106">
        <v>757.43585596864261</v>
      </c>
      <c r="AX98" s="106">
        <v>0</v>
      </c>
      <c r="AY98" s="106">
        <v>0</v>
      </c>
      <c r="AZ98" s="106">
        <v>0</v>
      </c>
      <c r="BA98" s="106">
        <v>0</v>
      </c>
      <c r="BB98" s="106">
        <v>6.6435732210305138</v>
      </c>
      <c r="BC98" s="106">
        <v>3045.4139645203873</v>
      </c>
      <c r="BD98" s="106">
        <v>2.8891172798876772</v>
      </c>
      <c r="BE98" s="106">
        <v>1324.3713611005112</v>
      </c>
      <c r="BF98" s="106">
        <v>1.8138044986417046</v>
      </c>
      <c r="BG98" s="106">
        <v>831.44798217735729</v>
      </c>
      <c r="BH98" s="106">
        <v>2.140260845224875</v>
      </c>
      <c r="BI98" s="106">
        <v>981.09557145108272</v>
      </c>
      <c r="BJ98" s="106">
        <v>0</v>
      </c>
      <c r="BK98" s="106">
        <v>0</v>
      </c>
      <c r="BL98" s="106">
        <v>0.89851516617546812</v>
      </c>
      <c r="BM98" s="106">
        <v>411.87935217483454</v>
      </c>
      <c r="BN98" s="106">
        <v>0.77928859854252353</v>
      </c>
      <c r="BO98" s="106">
        <v>357.22589357189275</v>
      </c>
      <c r="BP98" s="106">
        <v>0.73169088669799554</v>
      </c>
      <c r="BQ98" s="106">
        <v>335.40710246236114</v>
      </c>
      <c r="BR98" s="106">
        <v>0</v>
      </c>
      <c r="BS98" s="106">
        <v>0</v>
      </c>
      <c r="BT98" s="106">
        <v>0</v>
      </c>
      <c r="BU98" s="106">
        <v>0</v>
      </c>
      <c r="BV98" s="106">
        <v>0</v>
      </c>
      <c r="BW98" s="106">
        <v>0</v>
      </c>
      <c r="BX98" s="106">
        <v>0</v>
      </c>
      <c r="BY98" s="106">
        <v>0</v>
      </c>
      <c r="BZ98" s="106">
        <v>0.15027710132627101</v>
      </c>
      <c r="CA98" s="106">
        <v>68.887023247962631</v>
      </c>
      <c r="CB98" s="106">
        <v>0.14281575154398551</v>
      </c>
      <c r="CC98" s="106">
        <v>65.46674050776295</v>
      </c>
      <c r="CD98" s="106">
        <v>4.4369607133424818E-2</v>
      </c>
      <c r="CE98" s="106">
        <v>20.339027909961935</v>
      </c>
      <c r="CF98" s="106">
        <v>0.16367827399654541</v>
      </c>
      <c r="CG98" s="106">
        <v>75.030120800016419</v>
      </c>
      <c r="CH98" s="106">
        <v>1.0678543735984105</v>
      </c>
      <c r="CI98" s="106">
        <v>489.50444485751137</v>
      </c>
      <c r="CJ98" s="106">
        <v>2.78523356533944</v>
      </c>
      <c r="CK98" s="106">
        <v>1276.7510663515993</v>
      </c>
      <c r="CL98" s="106">
        <v>0</v>
      </c>
      <c r="CM98" s="106">
        <v>0</v>
      </c>
      <c r="CN98" s="106">
        <v>1.2535903996873521</v>
      </c>
      <c r="CO98" s="106">
        <v>574.64583921668213</v>
      </c>
      <c r="CP98" s="106">
        <v>2.5694544744589844</v>
      </c>
      <c r="CQ98" s="106">
        <v>1177.8379310919984</v>
      </c>
      <c r="CR98" s="106">
        <v>2.5374521590366643</v>
      </c>
      <c r="CS98" s="106">
        <v>1163.1680697024069</v>
      </c>
      <c r="CT98" s="106">
        <v>5.0839862208709947</v>
      </c>
      <c r="CU98" s="106">
        <v>2330.4992836472638</v>
      </c>
    </row>
    <row r="99" spans="2:99" x14ac:dyDescent="0.2">
      <c r="C99" s="105" t="s">
        <v>265</v>
      </c>
      <c r="D99" s="106">
        <v>7</v>
      </c>
      <c r="E99" s="106">
        <v>30248.399999999998</v>
      </c>
      <c r="F99" s="106">
        <v>7.2423634362755633</v>
      </c>
      <c r="G99" s="106">
        <v>31295.700880833963</v>
      </c>
      <c r="H99" s="106">
        <v>6.2238456495183812</v>
      </c>
      <c r="I99" s="106">
        <v>26894.481820698828</v>
      </c>
      <c r="J99" s="106">
        <v>6</v>
      </c>
      <c r="K99" s="106">
        <v>25927.199999999997</v>
      </c>
      <c r="L99" s="106">
        <v>5.2823142487088255</v>
      </c>
      <c r="M99" s="106">
        <v>22825.936331520577</v>
      </c>
      <c r="N99" s="106">
        <v>5</v>
      </c>
      <c r="O99" s="106">
        <v>21606</v>
      </c>
      <c r="P99" s="106">
        <v>5.1822853261447825</v>
      </c>
      <c r="Q99" s="106">
        <v>22393.691351336834</v>
      </c>
      <c r="R99" s="106">
        <v>5.237552328849433</v>
      </c>
      <c r="S99" s="106">
        <v>22632.51112342417</v>
      </c>
      <c r="T99" s="106">
        <v>4.2489640366756234</v>
      </c>
      <c r="U99" s="106">
        <v>18360.623395282702</v>
      </c>
      <c r="V99" s="106">
        <v>4.2154082753429938</v>
      </c>
      <c r="W99" s="106">
        <v>18215.622239412143</v>
      </c>
      <c r="X99" s="106">
        <v>5</v>
      </c>
      <c r="Y99" s="106">
        <v>21606</v>
      </c>
      <c r="Z99" s="106">
        <v>4.2470119847327288</v>
      </c>
      <c r="AA99" s="106">
        <v>18352.188188427066</v>
      </c>
      <c r="AB99" s="106">
        <v>5.2305459813164816</v>
      </c>
      <c r="AC99" s="106">
        <v>22602.235294464779</v>
      </c>
      <c r="AD99" s="106">
        <v>6</v>
      </c>
      <c r="AE99" s="106">
        <v>25927.199999999997</v>
      </c>
      <c r="AF99" s="106">
        <v>4</v>
      </c>
      <c r="AG99" s="106">
        <v>17284.8</v>
      </c>
      <c r="AH99" s="106">
        <v>4</v>
      </c>
      <c r="AI99" s="106">
        <v>17284.8</v>
      </c>
      <c r="AJ99" s="106">
        <v>6.3912520310232308</v>
      </c>
      <c r="AK99" s="106">
        <v>27617.878276457584</v>
      </c>
      <c r="AL99" s="106">
        <v>9</v>
      </c>
      <c r="AM99" s="106">
        <v>38890.799999999996</v>
      </c>
      <c r="AN99" s="106">
        <v>2.5834853050483324</v>
      </c>
      <c r="AO99" s="106">
        <v>11163.756700174854</v>
      </c>
      <c r="AP99" s="106">
        <v>2.0273547194133381</v>
      </c>
      <c r="AQ99" s="106">
        <v>8760.6052135289156</v>
      </c>
      <c r="AR99" s="106">
        <v>1.1944326770234499</v>
      </c>
      <c r="AS99" s="106">
        <v>5161.3824839537319</v>
      </c>
      <c r="AT99" s="106">
        <v>0</v>
      </c>
      <c r="AU99" s="106">
        <v>0</v>
      </c>
      <c r="AV99" s="106">
        <v>1.4162974120580454</v>
      </c>
      <c r="AW99" s="106">
        <v>6120.1043769852258</v>
      </c>
      <c r="AX99" s="106">
        <v>0</v>
      </c>
      <c r="AY99" s="106">
        <v>0</v>
      </c>
      <c r="AZ99" s="106">
        <v>0</v>
      </c>
      <c r="BA99" s="106">
        <v>0</v>
      </c>
      <c r="BB99" s="106">
        <v>5.66734606319066</v>
      </c>
      <c r="BC99" s="106">
        <v>24489.73580825948</v>
      </c>
      <c r="BD99" s="106">
        <v>2.1741164343623267</v>
      </c>
      <c r="BE99" s="106">
        <v>9394.7919361664863</v>
      </c>
      <c r="BF99" s="106">
        <v>1.8032659154267239</v>
      </c>
      <c r="BG99" s="106">
        <v>7792.2726737419589</v>
      </c>
      <c r="BH99" s="106">
        <v>1.7122086761799002</v>
      </c>
      <c r="BI99" s="106">
        <v>7398.7961315085849</v>
      </c>
      <c r="BJ99" s="106">
        <v>0</v>
      </c>
      <c r="BK99" s="106">
        <v>0</v>
      </c>
      <c r="BL99" s="106">
        <v>0.75289505223748387</v>
      </c>
      <c r="BM99" s="106">
        <v>3253.410099728615</v>
      </c>
      <c r="BN99" s="106">
        <v>0.66265222410902935</v>
      </c>
      <c r="BO99" s="106">
        <v>2863.4527908199375</v>
      </c>
      <c r="BP99" s="106">
        <v>0.58716488239707443</v>
      </c>
      <c r="BQ99" s="106">
        <v>2537.2568898142381</v>
      </c>
      <c r="BR99" s="106">
        <v>0</v>
      </c>
      <c r="BS99" s="106">
        <v>0</v>
      </c>
      <c r="BT99" s="106">
        <v>0</v>
      </c>
      <c r="BU99" s="106">
        <v>0</v>
      </c>
      <c r="BV99" s="106">
        <v>0</v>
      </c>
      <c r="BW99" s="106">
        <v>0</v>
      </c>
      <c r="BX99" s="106">
        <v>0</v>
      </c>
      <c r="BY99" s="106">
        <v>0</v>
      </c>
      <c r="BZ99" s="106">
        <v>0.12004906262648446</v>
      </c>
      <c r="CA99" s="106">
        <v>518.75600942156461</v>
      </c>
      <c r="CB99" s="106">
        <v>0.14281575154398551</v>
      </c>
      <c r="CC99" s="106">
        <v>617.1354255718702</v>
      </c>
      <c r="CD99" s="106">
        <v>3.5650063290214626E-2</v>
      </c>
      <c r="CE99" s="106">
        <v>154.05105348967544</v>
      </c>
      <c r="CF99" s="106">
        <v>0.11691305285467531</v>
      </c>
      <c r="CG99" s="106">
        <v>505.20468399562293</v>
      </c>
      <c r="CH99" s="106">
        <v>0.80548515248667441</v>
      </c>
      <c r="CI99" s="106">
        <v>3480.6624409254173</v>
      </c>
      <c r="CJ99" s="106">
        <v>1.8568223768929597</v>
      </c>
      <c r="CK99" s="106">
        <v>8023.7008550298569</v>
      </c>
      <c r="CL99" s="106">
        <v>0</v>
      </c>
      <c r="CM99" s="106">
        <v>0</v>
      </c>
      <c r="CN99" s="106">
        <v>0.95191693079101958</v>
      </c>
      <c r="CO99" s="106">
        <v>4113.4234413341537</v>
      </c>
      <c r="CP99" s="106">
        <v>2.1336936419487711</v>
      </c>
      <c r="CQ99" s="106">
        <v>9220.1169655890299</v>
      </c>
      <c r="CR99" s="106">
        <v>2.172920737244906</v>
      </c>
      <c r="CS99" s="106">
        <v>9389.6250897826867</v>
      </c>
      <c r="CT99" s="106">
        <v>3.4020626853176816</v>
      </c>
      <c r="CU99" s="106">
        <v>14700.993275794764</v>
      </c>
    </row>
    <row r="100" spans="2:99" x14ac:dyDescent="0.2">
      <c r="C100" s="105" t="s">
        <v>266</v>
      </c>
      <c r="D100" s="106">
        <v>9</v>
      </c>
      <c r="E100" s="106">
        <v>6976.7999999999993</v>
      </c>
      <c r="F100" s="106">
        <v>10.290836123530676</v>
      </c>
      <c r="G100" s="106">
        <v>7977.4561629609798</v>
      </c>
      <c r="H100" s="106">
        <v>7.2238456495183812</v>
      </c>
      <c r="I100" s="106">
        <v>5599.9251475066485</v>
      </c>
      <c r="J100" s="106">
        <v>7</v>
      </c>
      <c r="K100" s="106">
        <v>5426.4</v>
      </c>
      <c r="L100" s="106">
        <v>6.3764189982784343</v>
      </c>
      <c r="M100" s="106">
        <v>4943.0000074654417</v>
      </c>
      <c r="N100" s="106">
        <v>6</v>
      </c>
      <c r="O100" s="106">
        <v>4651.2</v>
      </c>
      <c r="P100" s="106">
        <v>6.1822853261447825</v>
      </c>
      <c r="Q100" s="106">
        <v>4792.5075848274346</v>
      </c>
      <c r="R100" s="106">
        <v>6.2771443836576726</v>
      </c>
      <c r="S100" s="106">
        <v>4866.0423262114273</v>
      </c>
      <c r="T100" s="106">
        <v>5.2987568440107484</v>
      </c>
      <c r="U100" s="106">
        <v>4107.5963054771319</v>
      </c>
      <c r="V100" s="106">
        <v>5.2872110337906584</v>
      </c>
      <c r="W100" s="106">
        <v>4098.645993394518</v>
      </c>
      <c r="X100" s="106">
        <v>5</v>
      </c>
      <c r="Y100" s="106">
        <v>3875.9999999999995</v>
      </c>
      <c r="Z100" s="106">
        <v>5.3175868375135087</v>
      </c>
      <c r="AA100" s="106">
        <v>4122.1933164404718</v>
      </c>
      <c r="AB100" s="106">
        <v>6.3073946417553088</v>
      </c>
      <c r="AC100" s="106">
        <v>4889.492326288715</v>
      </c>
      <c r="AD100" s="106">
        <v>7</v>
      </c>
      <c r="AE100" s="106">
        <v>5426.4</v>
      </c>
      <c r="AF100" s="106">
        <v>5</v>
      </c>
      <c r="AG100" s="106">
        <v>3875.9999999999995</v>
      </c>
      <c r="AH100" s="106">
        <v>5</v>
      </c>
      <c r="AI100" s="106">
        <v>3875.9999999999995</v>
      </c>
      <c r="AJ100" s="106">
        <v>7.4401585349011343</v>
      </c>
      <c r="AK100" s="106">
        <v>5767.610896255359</v>
      </c>
      <c r="AL100" s="106">
        <v>10</v>
      </c>
      <c r="AM100" s="106">
        <v>7751.9999999999991</v>
      </c>
      <c r="AN100" s="106">
        <v>3.1001823660579984</v>
      </c>
      <c r="AO100" s="106">
        <v>2403.2613701681603</v>
      </c>
      <c r="AP100" s="106">
        <v>2.03736904228938</v>
      </c>
      <c r="AQ100" s="106">
        <v>1579.3684815827273</v>
      </c>
      <c r="AR100" s="106">
        <v>1.4333192124281398</v>
      </c>
      <c r="AS100" s="106">
        <v>1111.1090534742939</v>
      </c>
      <c r="AT100" s="106">
        <v>0</v>
      </c>
      <c r="AU100" s="106">
        <v>0</v>
      </c>
      <c r="AV100" s="106">
        <v>1.8883965494107271</v>
      </c>
      <c r="AW100" s="106">
        <v>1463.8850051031955</v>
      </c>
      <c r="AX100" s="106">
        <v>0</v>
      </c>
      <c r="AY100" s="106">
        <v>0</v>
      </c>
      <c r="AZ100" s="106">
        <v>0</v>
      </c>
      <c r="BA100" s="106">
        <v>0</v>
      </c>
      <c r="BB100" s="106">
        <v>6.6707184901517236</v>
      </c>
      <c r="BC100" s="106">
        <v>5171.1409735656152</v>
      </c>
      <c r="BD100" s="106">
        <v>2.8794126472922517</v>
      </c>
      <c r="BE100" s="106">
        <v>2232.1206841809535</v>
      </c>
      <c r="BF100" s="106">
        <v>1.8243430818566848</v>
      </c>
      <c r="BG100" s="106">
        <v>1414.2307570553019</v>
      </c>
      <c r="BH100" s="106">
        <v>2.140260845224875</v>
      </c>
      <c r="BI100" s="106">
        <v>1659.130207218323</v>
      </c>
      <c r="BJ100" s="106">
        <v>0</v>
      </c>
      <c r="BK100" s="106">
        <v>0</v>
      </c>
      <c r="BL100" s="106">
        <v>0.90347406268498065</v>
      </c>
      <c r="BM100" s="106">
        <v>700.37309339339697</v>
      </c>
      <c r="BN100" s="106">
        <v>0.77590986922507477</v>
      </c>
      <c r="BO100" s="106">
        <v>601.48533062327795</v>
      </c>
      <c r="BP100" s="106">
        <v>0.59169531499376982</v>
      </c>
      <c r="BQ100" s="106">
        <v>458.6822081831703</v>
      </c>
      <c r="BR100" s="106">
        <v>0</v>
      </c>
      <c r="BS100" s="106">
        <v>0</v>
      </c>
      <c r="BT100" s="106">
        <v>0</v>
      </c>
      <c r="BU100" s="106">
        <v>0</v>
      </c>
      <c r="BV100" s="106">
        <v>0</v>
      </c>
      <c r="BW100" s="106">
        <v>0</v>
      </c>
      <c r="BX100" s="106">
        <v>0</v>
      </c>
      <c r="BY100" s="106">
        <v>0</v>
      </c>
      <c r="BZ100" s="106">
        <v>0.15114019349893262</v>
      </c>
      <c r="CA100" s="106">
        <v>117.16387800037256</v>
      </c>
      <c r="CB100" s="106">
        <v>0.16321800176455487</v>
      </c>
      <c r="CC100" s="106">
        <v>126.52659496788291</v>
      </c>
      <c r="CD100" s="106">
        <v>3.6421951207588475E-2</v>
      </c>
      <c r="CE100" s="106">
        <v>28.234296576122585</v>
      </c>
      <c r="CF100" s="106">
        <v>0.16367827399654541</v>
      </c>
      <c r="CG100" s="106">
        <v>126.88339800212199</v>
      </c>
      <c r="CH100" s="106">
        <v>0.94585850761827595</v>
      </c>
      <c r="CI100" s="106">
        <v>733.22951510568748</v>
      </c>
      <c r="CJ100" s="106">
        <v>2.78523356533944</v>
      </c>
      <c r="CK100" s="106">
        <v>2159.1130598511336</v>
      </c>
      <c r="CL100" s="106">
        <v>0</v>
      </c>
      <c r="CM100" s="106">
        <v>0</v>
      </c>
      <c r="CN100" s="106">
        <v>1.2535903996873521</v>
      </c>
      <c r="CO100" s="106">
        <v>971.7832778376353</v>
      </c>
      <c r="CP100" s="106">
        <v>2.5581768443084103</v>
      </c>
      <c r="CQ100" s="106">
        <v>1983.0986897078794</v>
      </c>
      <c r="CR100" s="106">
        <v>2.5374521590366643</v>
      </c>
      <c r="CS100" s="106">
        <v>1967.032913685222</v>
      </c>
      <c r="CT100" s="106">
        <v>4.2525783566471027</v>
      </c>
      <c r="CU100" s="106">
        <v>3296.5987420728338</v>
      </c>
    </row>
    <row r="101" spans="2:99" x14ac:dyDescent="0.2">
      <c r="C101" s="105" t="s">
        <v>267</v>
      </c>
      <c r="D101" s="106">
        <v>11</v>
      </c>
      <c r="E101" s="106">
        <v>6745.1999999999989</v>
      </c>
      <c r="F101" s="106">
        <v>9.3393088107857878</v>
      </c>
      <c r="G101" s="106">
        <v>5726.8641627738443</v>
      </c>
      <c r="H101" s="106">
        <v>7.2238456495183812</v>
      </c>
      <c r="I101" s="106">
        <v>4429.6621522846708</v>
      </c>
      <c r="J101" s="106">
        <v>7</v>
      </c>
      <c r="K101" s="106">
        <v>4292.3999999999996</v>
      </c>
      <c r="L101" s="106">
        <v>6.3764189982784343</v>
      </c>
      <c r="M101" s="106">
        <v>3910.0201297443355</v>
      </c>
      <c r="N101" s="106">
        <v>6</v>
      </c>
      <c r="O101" s="106">
        <v>3679.2</v>
      </c>
      <c r="P101" s="106">
        <v>6.1822853261447825</v>
      </c>
      <c r="Q101" s="106">
        <v>3790.9773619919802</v>
      </c>
      <c r="R101" s="106">
        <v>6.3167364384659113</v>
      </c>
      <c r="S101" s="106">
        <v>3873.4227840672966</v>
      </c>
      <c r="T101" s="106">
        <v>5.2987568440107484</v>
      </c>
      <c r="U101" s="106">
        <v>3249.1976967473906</v>
      </c>
      <c r="V101" s="106">
        <v>5.2872110337906584</v>
      </c>
      <c r="W101" s="106">
        <v>3242.1178059204312</v>
      </c>
      <c r="X101" s="106">
        <v>6</v>
      </c>
      <c r="Y101" s="106">
        <v>3679.2</v>
      </c>
      <c r="Z101" s="106">
        <v>5.2822994111231187</v>
      </c>
      <c r="AA101" s="106">
        <v>3239.1059989006962</v>
      </c>
      <c r="AB101" s="106">
        <v>6.3073946417553088</v>
      </c>
      <c r="AC101" s="106">
        <v>3867.694394324355</v>
      </c>
      <c r="AD101" s="106">
        <v>7</v>
      </c>
      <c r="AE101" s="106">
        <v>4292.3999999999996</v>
      </c>
      <c r="AF101" s="106">
        <v>5</v>
      </c>
      <c r="AG101" s="106">
        <v>3065.9999999999995</v>
      </c>
      <c r="AH101" s="106">
        <v>5</v>
      </c>
      <c r="AI101" s="106">
        <v>3065.9999999999995</v>
      </c>
      <c r="AJ101" s="106">
        <v>6.4890650387790387</v>
      </c>
      <c r="AK101" s="106">
        <v>3979.094681779306</v>
      </c>
      <c r="AL101" s="106">
        <v>10</v>
      </c>
      <c r="AM101" s="106">
        <v>6131.9999999999991</v>
      </c>
      <c r="AN101" s="106">
        <v>3.1001823660579984</v>
      </c>
      <c r="AO101" s="106">
        <v>1901.0318268667643</v>
      </c>
      <c r="AP101" s="106">
        <v>2.4428399861720473</v>
      </c>
      <c r="AQ101" s="106">
        <v>1497.9494795206992</v>
      </c>
      <c r="AR101" s="106">
        <v>1.4333192124281398</v>
      </c>
      <c r="AS101" s="106">
        <v>878.91134106093523</v>
      </c>
      <c r="AT101" s="106">
        <v>0</v>
      </c>
      <c r="AU101" s="106">
        <v>0</v>
      </c>
      <c r="AV101" s="106">
        <v>1.8883965494107271</v>
      </c>
      <c r="AW101" s="106">
        <v>1157.9647640986577</v>
      </c>
      <c r="AX101" s="106">
        <v>0</v>
      </c>
      <c r="AY101" s="106">
        <v>0</v>
      </c>
      <c r="AZ101" s="106">
        <v>0</v>
      </c>
      <c r="BA101" s="106">
        <v>0</v>
      </c>
      <c r="BB101" s="106">
        <v>6.6435732210305138</v>
      </c>
      <c r="BC101" s="106">
        <v>4073.8390991359106</v>
      </c>
      <c r="BD101" s="106">
        <v>2.8891172798876772</v>
      </c>
      <c r="BE101" s="106">
        <v>1771.6067160271234</v>
      </c>
      <c r="BF101" s="106">
        <v>1.8138044986417046</v>
      </c>
      <c r="BG101" s="106">
        <v>1112.224918567093</v>
      </c>
      <c r="BH101" s="106">
        <v>2.140260845224875</v>
      </c>
      <c r="BI101" s="106">
        <v>1312.4079502918933</v>
      </c>
      <c r="BJ101" s="106">
        <v>0</v>
      </c>
      <c r="BK101" s="106">
        <v>0</v>
      </c>
      <c r="BL101" s="106">
        <v>0.90347406268498065</v>
      </c>
      <c r="BM101" s="106">
        <v>554.0102952384301</v>
      </c>
      <c r="BN101" s="106">
        <v>0.77590986922507477</v>
      </c>
      <c r="BO101" s="106">
        <v>475.78793180881581</v>
      </c>
      <c r="BP101" s="106">
        <v>0.5962257475904652</v>
      </c>
      <c r="BQ101" s="106">
        <v>365.60562842247322</v>
      </c>
      <c r="BR101" s="106">
        <v>0</v>
      </c>
      <c r="BS101" s="106">
        <v>0</v>
      </c>
      <c r="BT101" s="106">
        <v>0</v>
      </c>
      <c r="BU101" s="106">
        <v>0</v>
      </c>
      <c r="BV101" s="106">
        <v>0</v>
      </c>
      <c r="BW101" s="106">
        <v>0</v>
      </c>
      <c r="BX101" s="106">
        <v>0</v>
      </c>
      <c r="BY101" s="106">
        <v>0</v>
      </c>
      <c r="BZ101" s="106">
        <v>0.12263833914446937</v>
      </c>
      <c r="CA101" s="106">
        <v>75.2018295633886</v>
      </c>
      <c r="CB101" s="106">
        <v>0.16321800176455487</v>
      </c>
      <c r="CC101" s="106">
        <v>100.08527868202503</v>
      </c>
      <c r="CD101" s="106">
        <v>3.6036007248901554E-2</v>
      </c>
      <c r="CE101" s="106">
        <v>22.097279645026429</v>
      </c>
      <c r="CF101" s="106">
        <v>0.14029566342561034</v>
      </c>
      <c r="CG101" s="106">
        <v>86.029300812584253</v>
      </c>
      <c r="CH101" s="106">
        <v>1.0678543735984105</v>
      </c>
      <c r="CI101" s="106">
        <v>654.80830189054529</v>
      </c>
      <c r="CJ101" s="106">
        <v>2.78523356533944</v>
      </c>
      <c r="CK101" s="106">
        <v>1707.9052222661444</v>
      </c>
      <c r="CL101" s="106">
        <v>0</v>
      </c>
      <c r="CM101" s="106">
        <v>0</v>
      </c>
      <c r="CN101" s="106">
        <v>1.2535903996873521</v>
      </c>
      <c r="CO101" s="106">
        <v>768.70163308828421</v>
      </c>
      <c r="CP101" s="106">
        <v>2.5581768443084103</v>
      </c>
      <c r="CQ101" s="106">
        <v>1568.6740409299171</v>
      </c>
      <c r="CR101" s="106">
        <v>2.2014563242561906</v>
      </c>
      <c r="CS101" s="106">
        <v>1349.9330180338959</v>
      </c>
      <c r="CT101" s="106">
        <v>4.2525783566471027</v>
      </c>
      <c r="CU101" s="106">
        <v>2607.6810482960032</v>
      </c>
    </row>
    <row r="102" spans="2:99" x14ac:dyDescent="0.2">
      <c r="C102" s="105" t="s">
        <v>268</v>
      </c>
      <c r="D102" s="106">
        <v>9</v>
      </c>
      <c r="E102" s="106">
        <v>3585.6</v>
      </c>
      <c r="F102" s="106">
        <v>9.290836123530676</v>
      </c>
      <c r="G102" s="106">
        <v>3701.4691116146209</v>
      </c>
      <c r="H102" s="106">
        <v>7.2558235994495783</v>
      </c>
      <c r="I102" s="106">
        <v>2890.7201220207116</v>
      </c>
      <c r="J102" s="106">
        <v>7</v>
      </c>
      <c r="K102" s="106">
        <v>2788.7999999999997</v>
      </c>
      <c r="L102" s="106">
        <v>7.3764189982784343</v>
      </c>
      <c r="M102" s="106">
        <v>2938.7653289141281</v>
      </c>
      <c r="N102" s="106">
        <v>6</v>
      </c>
      <c r="O102" s="106">
        <v>2390.3999999999996</v>
      </c>
      <c r="P102" s="106">
        <v>6.1822853261447825</v>
      </c>
      <c r="Q102" s="106">
        <v>2463.022473936081</v>
      </c>
      <c r="R102" s="106">
        <v>6.3167364384659113</v>
      </c>
      <c r="S102" s="106">
        <v>2516.5877970848187</v>
      </c>
      <c r="T102" s="106">
        <v>5.2987568440107484</v>
      </c>
      <c r="U102" s="106">
        <v>2111.0247266538822</v>
      </c>
      <c r="V102" s="106">
        <v>5.2872110337906584</v>
      </c>
      <c r="W102" s="106">
        <v>2106.424875862198</v>
      </c>
      <c r="X102" s="106">
        <v>6</v>
      </c>
      <c r="Y102" s="106">
        <v>2390.3999999999996</v>
      </c>
      <c r="Z102" s="106">
        <v>5.3175868375135087</v>
      </c>
      <c r="AA102" s="106">
        <v>2118.5265960653819</v>
      </c>
      <c r="AB102" s="106">
        <v>6.3073946417553088</v>
      </c>
      <c r="AC102" s="106">
        <v>2512.8660252753148</v>
      </c>
      <c r="AD102" s="106">
        <v>7</v>
      </c>
      <c r="AE102" s="106">
        <v>2788.7999999999997</v>
      </c>
      <c r="AF102" s="106">
        <v>5.3948858397664345</v>
      </c>
      <c r="AG102" s="106">
        <v>2149.3225185629476</v>
      </c>
      <c r="AH102" s="106">
        <v>5</v>
      </c>
      <c r="AI102" s="106">
        <v>1992</v>
      </c>
      <c r="AJ102" s="106">
        <v>7.4401585349011343</v>
      </c>
      <c r="AK102" s="106">
        <v>2964.1591603046118</v>
      </c>
      <c r="AL102" s="106">
        <v>10</v>
      </c>
      <c r="AM102" s="106">
        <v>3984</v>
      </c>
      <c r="AN102" s="106">
        <v>3.1187346735194219</v>
      </c>
      <c r="AO102" s="106">
        <v>1242.5038939301376</v>
      </c>
      <c r="AP102" s="106">
        <v>2.8382966071786737</v>
      </c>
      <c r="AQ102" s="106">
        <v>1130.7773682999834</v>
      </c>
      <c r="AR102" s="106">
        <v>1.4333192124281398</v>
      </c>
      <c r="AS102" s="106">
        <v>571.03437423137086</v>
      </c>
      <c r="AT102" s="106">
        <v>0</v>
      </c>
      <c r="AU102" s="106">
        <v>0</v>
      </c>
      <c r="AV102" s="106">
        <v>1.8883965494107271</v>
      </c>
      <c r="AW102" s="106">
        <v>752.33718528523366</v>
      </c>
      <c r="AX102" s="106">
        <v>0</v>
      </c>
      <c r="AY102" s="106">
        <v>0</v>
      </c>
      <c r="AZ102" s="106">
        <v>0</v>
      </c>
      <c r="BA102" s="106">
        <v>0</v>
      </c>
      <c r="BB102" s="106">
        <v>5.7216366014330777</v>
      </c>
      <c r="BC102" s="106">
        <v>2279.5000220109382</v>
      </c>
      <c r="BD102" s="106">
        <v>2.5267645408272892</v>
      </c>
      <c r="BE102" s="106">
        <v>1006.662993065592</v>
      </c>
      <c r="BF102" s="106">
        <v>1.8243430818566848</v>
      </c>
      <c r="BG102" s="106">
        <v>726.81828381170317</v>
      </c>
      <c r="BH102" s="106">
        <v>2.140260845224875</v>
      </c>
      <c r="BI102" s="106">
        <v>852.67992073759012</v>
      </c>
      <c r="BJ102" s="106">
        <v>0</v>
      </c>
      <c r="BK102" s="106">
        <v>0</v>
      </c>
      <c r="BL102" s="106">
        <v>0.90347406268498065</v>
      </c>
      <c r="BM102" s="106">
        <v>359.94406657369626</v>
      </c>
      <c r="BN102" s="106">
        <v>0.77253113990762612</v>
      </c>
      <c r="BO102" s="106">
        <v>307.77640613919823</v>
      </c>
      <c r="BP102" s="106">
        <v>0.73169088669799554</v>
      </c>
      <c r="BQ102" s="106">
        <v>291.50564926048139</v>
      </c>
      <c r="BR102" s="106">
        <v>0</v>
      </c>
      <c r="BS102" s="106">
        <v>0</v>
      </c>
      <c r="BT102" s="106">
        <v>0</v>
      </c>
      <c r="BU102" s="106">
        <v>0</v>
      </c>
      <c r="BV102" s="106">
        <v>0</v>
      </c>
      <c r="BW102" s="106">
        <v>0</v>
      </c>
      <c r="BX102" s="106">
        <v>0</v>
      </c>
      <c r="BY102" s="106">
        <v>0</v>
      </c>
      <c r="BZ102" s="106">
        <v>0.15027710132627101</v>
      </c>
      <c r="CA102" s="106">
        <v>59.870397168386368</v>
      </c>
      <c r="CB102" s="106">
        <v>0.16321800176455487</v>
      </c>
      <c r="CC102" s="106">
        <v>65.02605190299866</v>
      </c>
      <c r="CD102" s="106">
        <v>3.6421951207588475E-2</v>
      </c>
      <c r="CE102" s="106">
        <v>14.510505361103247</v>
      </c>
      <c r="CF102" s="106">
        <v>0.14029566342561034</v>
      </c>
      <c r="CG102" s="106">
        <v>55.893792308763153</v>
      </c>
      <c r="CH102" s="106">
        <v>0.93973267790112014</v>
      </c>
      <c r="CI102" s="106">
        <v>374.38949887580623</v>
      </c>
      <c r="CJ102" s="106">
        <v>2.78523356533944</v>
      </c>
      <c r="CK102" s="106">
        <v>1109.6370524312329</v>
      </c>
      <c r="CL102" s="106">
        <v>0</v>
      </c>
      <c r="CM102" s="106">
        <v>0</v>
      </c>
      <c r="CN102" s="106">
        <v>1.2535903996873521</v>
      </c>
      <c r="CO102" s="106">
        <v>499.43041523544105</v>
      </c>
      <c r="CP102" s="106">
        <v>2.5581768443084103</v>
      </c>
      <c r="CQ102" s="106">
        <v>1019.1776547724706</v>
      </c>
      <c r="CR102" s="106">
        <v>2.5374521590366643</v>
      </c>
      <c r="CS102" s="106">
        <v>1010.920940160207</v>
      </c>
      <c r="CT102" s="106">
        <v>4.2525783566471027</v>
      </c>
      <c r="CU102" s="106">
        <v>1694.2272172882056</v>
      </c>
    </row>
    <row r="103" spans="2:99" x14ac:dyDescent="0.2">
      <c r="C103" s="105" t="s">
        <v>269</v>
      </c>
      <c r="D103" s="106">
        <v>9</v>
      </c>
      <c r="E103" s="106">
        <v>5162.4000000000005</v>
      </c>
      <c r="F103" s="106">
        <v>9.290836123530676</v>
      </c>
      <c r="G103" s="106">
        <v>5329.223600457196</v>
      </c>
      <c r="H103" s="106">
        <v>8.2238456495183812</v>
      </c>
      <c r="I103" s="106">
        <v>4717.1978645637437</v>
      </c>
      <c r="J103" s="106">
        <v>6</v>
      </c>
      <c r="K103" s="106">
        <v>3441.6000000000004</v>
      </c>
      <c r="L103" s="106">
        <v>6.3764189982784343</v>
      </c>
      <c r="M103" s="106">
        <v>3657.5139374125101</v>
      </c>
      <c r="N103" s="106">
        <v>6</v>
      </c>
      <c r="O103" s="106">
        <v>3441.6000000000004</v>
      </c>
      <c r="P103" s="106">
        <v>7.1822853261447825</v>
      </c>
      <c r="Q103" s="106">
        <v>4119.7588630766477</v>
      </c>
      <c r="R103" s="106">
        <v>6.3167364384659113</v>
      </c>
      <c r="S103" s="106">
        <v>3623.2800211040467</v>
      </c>
      <c r="T103" s="106">
        <v>5.2987568440107484</v>
      </c>
      <c r="U103" s="106">
        <v>3039.3669257245656</v>
      </c>
      <c r="V103" s="106">
        <v>5.2513096545668256</v>
      </c>
      <c r="W103" s="106">
        <v>3012.1512178595312</v>
      </c>
      <c r="X103" s="106">
        <v>6</v>
      </c>
      <c r="Y103" s="106">
        <v>3441.6000000000004</v>
      </c>
      <c r="Z103" s="106">
        <v>5.2822994111231187</v>
      </c>
      <c r="AA103" s="106">
        <v>3029.926942220221</v>
      </c>
      <c r="AB103" s="106">
        <v>6.2689703115358952</v>
      </c>
      <c r="AC103" s="106">
        <v>3595.8813706969895</v>
      </c>
      <c r="AD103" s="106">
        <v>7</v>
      </c>
      <c r="AE103" s="106">
        <v>4015.2000000000003</v>
      </c>
      <c r="AF103" s="106">
        <v>5.3948858397664345</v>
      </c>
      <c r="AG103" s="106">
        <v>3094.5065176900271</v>
      </c>
      <c r="AH103" s="106">
        <v>5</v>
      </c>
      <c r="AI103" s="106">
        <v>2868</v>
      </c>
      <c r="AJ103" s="106">
        <v>7.3912520310232308</v>
      </c>
      <c r="AK103" s="106">
        <v>4239.6221649949257</v>
      </c>
      <c r="AL103" s="106">
        <v>9</v>
      </c>
      <c r="AM103" s="106">
        <v>5162.4000000000005</v>
      </c>
      <c r="AN103" s="106">
        <v>3.1001823660579984</v>
      </c>
      <c r="AO103" s="106">
        <v>1778.264605170868</v>
      </c>
      <c r="AP103" s="106">
        <v>2.4328256632960059</v>
      </c>
      <c r="AQ103" s="106">
        <v>1395.4688004665891</v>
      </c>
      <c r="AR103" s="106">
        <v>1.4333192124281398</v>
      </c>
      <c r="AS103" s="106">
        <v>822.15190024878098</v>
      </c>
      <c r="AT103" s="106">
        <v>0</v>
      </c>
      <c r="AU103" s="106">
        <v>0</v>
      </c>
      <c r="AV103" s="106">
        <v>1.8883965494107271</v>
      </c>
      <c r="AW103" s="106">
        <v>1083.1842607419931</v>
      </c>
      <c r="AX103" s="106">
        <v>0</v>
      </c>
      <c r="AY103" s="106">
        <v>0</v>
      </c>
      <c r="AZ103" s="106">
        <v>0</v>
      </c>
      <c r="BA103" s="106">
        <v>0</v>
      </c>
      <c r="BB103" s="106">
        <v>5.7216366014330777</v>
      </c>
      <c r="BC103" s="106">
        <v>3281.9307545820134</v>
      </c>
      <c r="BD103" s="106">
        <v>2.5364691734227147</v>
      </c>
      <c r="BE103" s="106">
        <v>1454.9187178752693</v>
      </c>
      <c r="BF103" s="106">
        <v>2.2567170400871501</v>
      </c>
      <c r="BG103" s="106">
        <v>1294.4528941939893</v>
      </c>
      <c r="BH103" s="106">
        <v>2.140260845224875</v>
      </c>
      <c r="BI103" s="106">
        <v>1227.6536208209884</v>
      </c>
      <c r="BJ103" s="106">
        <v>0</v>
      </c>
      <c r="BK103" s="106">
        <v>0</v>
      </c>
      <c r="BL103" s="106">
        <v>0.89851516617546812</v>
      </c>
      <c r="BM103" s="106">
        <v>515.38829931824853</v>
      </c>
      <c r="BN103" s="106">
        <v>0.77590986922507477</v>
      </c>
      <c r="BO103" s="106">
        <v>445.0619009875029</v>
      </c>
      <c r="BP103" s="106">
        <v>0.59169531499376982</v>
      </c>
      <c r="BQ103" s="106">
        <v>339.39643268042636</v>
      </c>
      <c r="BR103" s="106">
        <v>0</v>
      </c>
      <c r="BS103" s="106">
        <v>0</v>
      </c>
      <c r="BT103" s="106">
        <v>0</v>
      </c>
      <c r="BU103" s="106">
        <v>0</v>
      </c>
      <c r="BV103" s="106">
        <v>0</v>
      </c>
      <c r="BW103" s="106">
        <v>0</v>
      </c>
      <c r="BX103" s="106">
        <v>0</v>
      </c>
      <c r="BY103" s="106">
        <v>0</v>
      </c>
      <c r="BZ103" s="106">
        <v>0.12177524697180775</v>
      </c>
      <c r="CA103" s="106">
        <v>69.850281663028923</v>
      </c>
      <c r="CB103" s="106">
        <v>0.16321800176455487</v>
      </c>
      <c r="CC103" s="106">
        <v>93.621845812148678</v>
      </c>
      <c r="CD103" s="106">
        <v>4.4755551092111753E-2</v>
      </c>
      <c r="CE103" s="106">
        <v>25.671784106435304</v>
      </c>
      <c r="CF103" s="106">
        <v>0.16367827399654541</v>
      </c>
      <c r="CG103" s="106">
        <v>93.885857964418449</v>
      </c>
      <c r="CH103" s="106">
        <v>0.93973267790112014</v>
      </c>
      <c r="CI103" s="106">
        <v>539.03066404408253</v>
      </c>
      <c r="CJ103" s="106">
        <v>2.3210279711161999</v>
      </c>
      <c r="CK103" s="106">
        <v>1331.3416442322523</v>
      </c>
      <c r="CL103" s="106">
        <v>0</v>
      </c>
      <c r="CM103" s="106">
        <v>0</v>
      </c>
      <c r="CN103" s="106">
        <v>1.2535903996873521</v>
      </c>
      <c r="CO103" s="106">
        <v>719.05945326066524</v>
      </c>
      <c r="CP103" s="106">
        <v>2.5694544744589844</v>
      </c>
      <c r="CQ103" s="106">
        <v>1473.8390865496735</v>
      </c>
      <c r="CR103" s="106">
        <v>2.5374521590366643</v>
      </c>
      <c r="CS103" s="106">
        <v>1455.4825584234306</v>
      </c>
      <c r="CT103" s="106">
        <v>4.2716861637526309</v>
      </c>
      <c r="CU103" s="106">
        <v>2450.2391835285093</v>
      </c>
    </row>
    <row r="104" spans="2:99" x14ac:dyDescent="0.2">
      <c r="C104" s="105" t="s">
        <v>270</v>
      </c>
      <c r="D104" s="106">
        <v>10</v>
      </c>
      <c r="E104" s="106">
        <v>6840</v>
      </c>
      <c r="F104" s="106">
        <v>8.290836123530676</v>
      </c>
      <c r="G104" s="106">
        <v>5670.9319084949821</v>
      </c>
      <c r="H104" s="106">
        <v>7.2238456495183812</v>
      </c>
      <c r="I104" s="106">
        <v>4941.1104242705724</v>
      </c>
      <c r="J104" s="106">
        <v>7</v>
      </c>
      <c r="K104" s="106">
        <v>4788</v>
      </c>
      <c r="L104" s="106">
        <v>6.3764189982784343</v>
      </c>
      <c r="M104" s="106">
        <v>4361.4705948224491</v>
      </c>
      <c r="N104" s="106">
        <v>6</v>
      </c>
      <c r="O104" s="106">
        <v>4104</v>
      </c>
      <c r="P104" s="106">
        <v>7.1822853261447825</v>
      </c>
      <c r="Q104" s="106">
        <v>4912.6831630830311</v>
      </c>
      <c r="R104" s="106">
        <v>6.3167364384659113</v>
      </c>
      <c r="S104" s="106">
        <v>4320.6477239106835</v>
      </c>
      <c r="T104" s="106">
        <v>5.2987568440107484</v>
      </c>
      <c r="U104" s="106">
        <v>3624.3496813033521</v>
      </c>
      <c r="V104" s="106">
        <v>5.2872110337906584</v>
      </c>
      <c r="W104" s="106">
        <v>3616.4523471128105</v>
      </c>
      <c r="X104" s="106">
        <v>5</v>
      </c>
      <c r="Y104" s="106">
        <v>3420</v>
      </c>
      <c r="Z104" s="106">
        <v>5.3175868375135087</v>
      </c>
      <c r="AA104" s="106">
        <v>3637.2293968592398</v>
      </c>
      <c r="AB104" s="106">
        <v>6.3073946417553088</v>
      </c>
      <c r="AC104" s="106">
        <v>4314.2579349606312</v>
      </c>
      <c r="AD104" s="106">
        <v>7</v>
      </c>
      <c r="AE104" s="106">
        <v>4788</v>
      </c>
      <c r="AF104" s="106">
        <v>5</v>
      </c>
      <c r="AG104" s="106">
        <v>3420</v>
      </c>
      <c r="AH104" s="106">
        <v>5</v>
      </c>
      <c r="AI104" s="106">
        <v>3420</v>
      </c>
      <c r="AJ104" s="106">
        <v>8.3912520310232299</v>
      </c>
      <c r="AK104" s="106">
        <v>5739.6163892198892</v>
      </c>
      <c r="AL104" s="106">
        <v>11</v>
      </c>
      <c r="AM104" s="106">
        <v>7524</v>
      </c>
      <c r="AN104" s="106">
        <v>3.1001823660579984</v>
      </c>
      <c r="AO104" s="106">
        <v>2120.5247383836709</v>
      </c>
      <c r="AP104" s="106">
        <v>2.4328256632960059</v>
      </c>
      <c r="AQ104" s="106">
        <v>1664.052753694468</v>
      </c>
      <c r="AR104" s="106">
        <v>1.4333192124281398</v>
      </c>
      <c r="AS104" s="106">
        <v>980.39034130084758</v>
      </c>
      <c r="AT104" s="106">
        <v>0</v>
      </c>
      <c r="AU104" s="106">
        <v>0</v>
      </c>
      <c r="AV104" s="106">
        <v>1.8883965494107271</v>
      </c>
      <c r="AW104" s="106">
        <v>1291.6632397969374</v>
      </c>
      <c r="AX104" s="106">
        <v>0</v>
      </c>
      <c r="AY104" s="106">
        <v>0</v>
      </c>
      <c r="AZ104" s="106">
        <v>0</v>
      </c>
      <c r="BA104" s="106">
        <v>0</v>
      </c>
      <c r="BB104" s="106">
        <v>5.7216366014330777</v>
      </c>
      <c r="BC104" s="106">
        <v>3913.5994353802253</v>
      </c>
      <c r="BD104" s="106">
        <v>2.5461738060181403</v>
      </c>
      <c r="BE104" s="106">
        <v>1741.582883316408</v>
      </c>
      <c r="BF104" s="106">
        <v>1.8243430818566848</v>
      </c>
      <c r="BG104" s="106">
        <v>1247.8506679899724</v>
      </c>
      <c r="BH104" s="106">
        <v>2.140260845224875</v>
      </c>
      <c r="BI104" s="106">
        <v>1463.9384181338146</v>
      </c>
      <c r="BJ104" s="106">
        <v>0</v>
      </c>
      <c r="BK104" s="106">
        <v>0</v>
      </c>
      <c r="BL104" s="106">
        <v>0.90347406268498065</v>
      </c>
      <c r="BM104" s="106">
        <v>617.9762588765268</v>
      </c>
      <c r="BN104" s="106">
        <v>0.77590986922507477</v>
      </c>
      <c r="BO104" s="106">
        <v>530.7223505499511</v>
      </c>
      <c r="BP104" s="106">
        <v>0.59169531499376982</v>
      </c>
      <c r="BQ104" s="106">
        <v>404.71959545573856</v>
      </c>
      <c r="BR104" s="106">
        <v>0</v>
      </c>
      <c r="BS104" s="106">
        <v>0</v>
      </c>
      <c r="BT104" s="106">
        <v>0</v>
      </c>
      <c r="BU104" s="106">
        <v>0</v>
      </c>
      <c r="BV104" s="106">
        <v>0</v>
      </c>
      <c r="BW104" s="106">
        <v>0</v>
      </c>
      <c r="BX104" s="106">
        <v>0</v>
      </c>
      <c r="BY104" s="106">
        <v>0</v>
      </c>
      <c r="BZ104" s="106">
        <v>0.15114019349893262</v>
      </c>
      <c r="CA104" s="106">
        <v>103.37989235326991</v>
      </c>
      <c r="CB104" s="106">
        <v>0.16321800176455487</v>
      </c>
      <c r="CC104" s="106">
        <v>111.64111320695552</v>
      </c>
      <c r="CD104" s="106">
        <v>3.6036007248901554E-2</v>
      </c>
      <c r="CE104" s="106">
        <v>24.648628958248661</v>
      </c>
      <c r="CF104" s="106">
        <v>0.14029566342561034</v>
      </c>
      <c r="CG104" s="106">
        <v>95.962233783117469</v>
      </c>
      <c r="CH104" s="106">
        <v>0.94585850761827595</v>
      </c>
      <c r="CI104" s="106">
        <v>646.96721921090079</v>
      </c>
      <c r="CJ104" s="106">
        <v>2.3210279711161999</v>
      </c>
      <c r="CK104" s="106">
        <v>1587.5831322434808</v>
      </c>
      <c r="CL104" s="106">
        <v>0</v>
      </c>
      <c r="CM104" s="106">
        <v>0</v>
      </c>
      <c r="CN104" s="106">
        <v>1.2535903996873521</v>
      </c>
      <c r="CO104" s="106">
        <v>857.45583338614881</v>
      </c>
      <c r="CP104" s="106">
        <v>2.5694544744589844</v>
      </c>
      <c r="CQ104" s="106">
        <v>1757.5068605299455</v>
      </c>
      <c r="CR104" s="106">
        <v>2.1871885307505483</v>
      </c>
      <c r="CS104" s="106">
        <v>1496.0369550333751</v>
      </c>
      <c r="CT104" s="106">
        <v>4.2716861637526309</v>
      </c>
      <c r="CU104" s="106">
        <v>2921.8333360067995</v>
      </c>
    </row>
    <row r="105" spans="2:99" x14ac:dyDescent="0.2">
      <c r="C105" s="105" t="s">
        <v>271</v>
      </c>
      <c r="D105" s="106">
        <v>10</v>
      </c>
      <c r="E105" s="106">
        <v>6131.9999999999991</v>
      </c>
      <c r="F105" s="106">
        <v>9.290836123530676</v>
      </c>
      <c r="G105" s="106">
        <v>5697.1407109490101</v>
      </c>
      <c r="H105" s="106">
        <v>7.2558235994495783</v>
      </c>
      <c r="I105" s="106">
        <v>4449.2710311824812</v>
      </c>
      <c r="J105" s="106">
        <v>7</v>
      </c>
      <c r="K105" s="106">
        <v>4292.3999999999996</v>
      </c>
      <c r="L105" s="106">
        <v>7.3764189982784343</v>
      </c>
      <c r="M105" s="106">
        <v>4523.2201297443353</v>
      </c>
      <c r="N105" s="106">
        <v>6</v>
      </c>
      <c r="O105" s="106">
        <v>3679.2</v>
      </c>
      <c r="P105" s="106">
        <v>7.1822853261447825</v>
      </c>
      <c r="Q105" s="106">
        <v>4404.1773619919804</v>
      </c>
      <c r="R105" s="106">
        <v>6.3167364384659113</v>
      </c>
      <c r="S105" s="106">
        <v>3873.4227840672966</v>
      </c>
      <c r="T105" s="106">
        <v>5.2987568440107484</v>
      </c>
      <c r="U105" s="106">
        <v>3249.1976967473906</v>
      </c>
      <c r="V105" s="106">
        <v>5.2872110337906584</v>
      </c>
      <c r="W105" s="106">
        <v>3242.1178059204312</v>
      </c>
      <c r="X105" s="106">
        <v>6</v>
      </c>
      <c r="Y105" s="106">
        <v>3679.2</v>
      </c>
      <c r="Z105" s="106">
        <v>5.2822994111231187</v>
      </c>
      <c r="AA105" s="106">
        <v>3239.1059989006962</v>
      </c>
      <c r="AB105" s="106">
        <v>6.2689703115358952</v>
      </c>
      <c r="AC105" s="106">
        <v>3844.1325950338105</v>
      </c>
      <c r="AD105" s="106">
        <v>7</v>
      </c>
      <c r="AE105" s="106">
        <v>4292.3999999999996</v>
      </c>
      <c r="AF105" s="106">
        <v>5.3948858397664345</v>
      </c>
      <c r="AG105" s="106">
        <v>3308.1439969447774</v>
      </c>
      <c r="AH105" s="106">
        <v>5</v>
      </c>
      <c r="AI105" s="106">
        <v>3065.9999999999995</v>
      </c>
      <c r="AJ105" s="106">
        <v>8.4401585349011352</v>
      </c>
      <c r="AK105" s="106">
        <v>5175.5052136013755</v>
      </c>
      <c r="AL105" s="106">
        <v>10</v>
      </c>
      <c r="AM105" s="106">
        <v>6131.9999999999991</v>
      </c>
      <c r="AN105" s="106">
        <v>3.5983271196062421</v>
      </c>
      <c r="AO105" s="106">
        <v>2206.4941897425474</v>
      </c>
      <c r="AP105" s="106">
        <v>2.4328256632960059</v>
      </c>
      <c r="AQ105" s="106">
        <v>1491.8086967331108</v>
      </c>
      <c r="AR105" s="106">
        <v>1.4333192124281398</v>
      </c>
      <c r="AS105" s="106">
        <v>878.91134106093523</v>
      </c>
      <c r="AT105" s="106">
        <v>0</v>
      </c>
      <c r="AU105" s="106">
        <v>0</v>
      </c>
      <c r="AV105" s="106">
        <v>1.6523469807343862</v>
      </c>
      <c r="AW105" s="106">
        <v>1013.2191685863255</v>
      </c>
      <c r="AX105" s="106">
        <v>0</v>
      </c>
      <c r="AY105" s="106">
        <v>0</v>
      </c>
      <c r="AZ105" s="106">
        <v>0</v>
      </c>
      <c r="BA105" s="106">
        <v>0</v>
      </c>
      <c r="BB105" s="106">
        <v>5.7216366014330777</v>
      </c>
      <c r="BC105" s="106">
        <v>3508.5075639987631</v>
      </c>
      <c r="BD105" s="106">
        <v>2.5267645408272892</v>
      </c>
      <c r="BE105" s="106">
        <v>1549.4120164352935</v>
      </c>
      <c r="BF105" s="106">
        <v>1.8243430818566848</v>
      </c>
      <c r="BG105" s="106">
        <v>1118.6871777945189</v>
      </c>
      <c r="BH105" s="106">
        <v>2.140260845224875</v>
      </c>
      <c r="BI105" s="106">
        <v>1312.4079502918933</v>
      </c>
      <c r="BJ105" s="106">
        <v>0</v>
      </c>
      <c r="BK105" s="106">
        <v>0</v>
      </c>
      <c r="BL105" s="106">
        <v>1.0441352801134525</v>
      </c>
      <c r="BM105" s="106">
        <v>640.26375376556894</v>
      </c>
      <c r="BN105" s="106">
        <v>0.77590986922507477</v>
      </c>
      <c r="BO105" s="106">
        <v>475.78793180881581</v>
      </c>
      <c r="BP105" s="106">
        <v>0.73622131929469081</v>
      </c>
      <c r="BQ105" s="106">
        <v>451.45091299150437</v>
      </c>
      <c r="BR105" s="106">
        <v>0</v>
      </c>
      <c r="BS105" s="106">
        <v>0</v>
      </c>
      <c r="BT105" s="106">
        <v>0</v>
      </c>
      <c r="BU105" s="106">
        <v>0</v>
      </c>
      <c r="BV105" s="106">
        <v>0</v>
      </c>
      <c r="BW105" s="106">
        <v>0</v>
      </c>
      <c r="BX105" s="106">
        <v>0</v>
      </c>
      <c r="BY105" s="106">
        <v>0</v>
      </c>
      <c r="BZ105" s="106">
        <v>0.15027710132627101</v>
      </c>
      <c r="CA105" s="106">
        <v>92.149918533269371</v>
      </c>
      <c r="CB105" s="106">
        <v>0.14281575154398551</v>
      </c>
      <c r="CC105" s="106">
        <v>87.574618846771912</v>
      </c>
      <c r="CD105" s="106">
        <v>3.6807895166275396E-2</v>
      </c>
      <c r="CE105" s="106">
        <v>22.570601315960072</v>
      </c>
      <c r="CF105" s="106">
        <v>0.14029566342561034</v>
      </c>
      <c r="CG105" s="106">
        <v>86.029300812584253</v>
      </c>
      <c r="CH105" s="106">
        <v>1.0678543735984105</v>
      </c>
      <c r="CI105" s="106">
        <v>654.80830189054529</v>
      </c>
      <c r="CJ105" s="106">
        <v>2.3210279711161999</v>
      </c>
      <c r="CK105" s="106">
        <v>1423.2543518884536</v>
      </c>
      <c r="CL105" s="106">
        <v>0</v>
      </c>
      <c r="CM105" s="106">
        <v>0</v>
      </c>
      <c r="CN105" s="106">
        <v>1.2535903996873521</v>
      </c>
      <c r="CO105" s="106">
        <v>768.70163308828421</v>
      </c>
      <c r="CP105" s="106">
        <v>2.5694544744589844</v>
      </c>
      <c r="CQ105" s="106">
        <v>1575.5894837382491</v>
      </c>
      <c r="CR105" s="106">
        <v>2.2014563242561906</v>
      </c>
      <c r="CS105" s="106">
        <v>1349.9330180338959</v>
      </c>
      <c r="CT105" s="106">
        <v>4.2525783566471027</v>
      </c>
      <c r="CU105" s="106">
        <v>2607.6810482960032</v>
      </c>
    </row>
    <row r="107" spans="2:99" x14ac:dyDescent="0.2">
      <c r="B107" s="110" t="s">
        <v>276</v>
      </c>
    </row>
    <row r="108" spans="2:99" x14ac:dyDescent="0.2">
      <c r="C108" s="105" t="s">
        <v>277</v>
      </c>
      <c r="D108" s="105" t="s">
        <v>92</v>
      </c>
      <c r="E108" s="105" t="s">
        <v>93</v>
      </c>
      <c r="F108" s="105" t="s">
        <v>94</v>
      </c>
      <c r="G108" s="105" t="s">
        <v>95</v>
      </c>
      <c r="H108" s="105" t="s">
        <v>96</v>
      </c>
      <c r="I108" s="105" t="s">
        <v>97</v>
      </c>
      <c r="J108" s="105" t="s">
        <v>98</v>
      </c>
      <c r="K108" s="105" t="s">
        <v>99</v>
      </c>
      <c r="L108" s="105" t="s">
        <v>100</v>
      </c>
      <c r="M108" s="105" t="s">
        <v>101</v>
      </c>
      <c r="N108" s="105" t="s">
        <v>102</v>
      </c>
      <c r="O108" s="105" t="s">
        <v>103</v>
      </c>
    </row>
    <row r="109" spans="2:99" x14ac:dyDescent="0.2">
      <c r="C109" s="105" t="s">
        <v>126</v>
      </c>
      <c r="D109" s="106">
        <f>SUM(D$6:D$19)+SUM(F$6:F$19)+SUM(H$6:H$19)+SUM(J$6:J$19)</f>
        <v>559.97971042023187</v>
      </c>
      <c r="E109" s="106">
        <f>SUM(L$6:L$19)+SUM(N$6:N$19)+SUM(P$6:P$19)+SUM(R$6:R$19)</f>
        <v>257.97574274297631</v>
      </c>
      <c r="F109" s="106">
        <f>SUM(T$6:T$19)+SUM(V$6:V$19)+SUM(X$6:X$19)+SUM(Z$6:Z$19)</f>
        <v>567.5395879042245</v>
      </c>
      <c r="G109" s="106">
        <f>SUM(AB$6:AB$19)+SUM(AD$6:AD$19)+SUM(AF$6:AF$19)+SUM(AH$6:AH$19)</f>
        <v>619.59161399061543</v>
      </c>
      <c r="H109" s="106">
        <f>SUM(AJ$6:AJ$19)+SUM(AL$6:AL$19)+SUM(AN$6:AN$19)+SUM(AP$6:AP$19)</f>
        <v>380.8810003708553</v>
      </c>
      <c r="I109" s="106">
        <f>SUM(AR$6:AR$19)+SUM(AT$6:AT$19)+SUM(AV$6:AV$19)+SUM(AX$6:AX$19)</f>
        <v>496.36716328357249</v>
      </c>
      <c r="J109" s="106">
        <f>SUM(AZ$6:AZ$19)+SUM(BB$6:BB$19)+SUM(BD$6:BD$19)+SUM(BF$6:BF$19)</f>
        <v>344.6033075080486</v>
      </c>
      <c r="K109" s="106">
        <f>SUM(BH$6:BH$19)+SUM(BJ$6:BJ$19)+SUM(BL$6:BL$19)+SUM(BN$6:BN$19)</f>
        <v>383.9123038247339</v>
      </c>
      <c r="L109" s="106">
        <f>SUM(BP$6:BP$19)+SUM(BR$6:BR$19)+SUM(BT$6:BT$19)+SUM(BV$6:BV$19)</f>
        <v>543.76343638985168</v>
      </c>
      <c r="M109" s="106">
        <f>SUM(BX$6:BX$19)+SUM(BZ$6:BZ$19)+SUM(CB$6:CB$19)+SUM(CD$6:CD$19)</f>
        <v>4692.9446920760738</v>
      </c>
      <c r="N109" s="106">
        <f>SUM(CF$6:CF$19)+SUM(CH$6:CH$19)+SUM(CJ$6:CJ$19)+SUM(CL$6:CL$19)</f>
        <v>1004.6988381176855</v>
      </c>
      <c r="O109" s="106">
        <f>SUM(CN$6:CN$19)+SUM(CP$6:CP$19)+SUM(CR$6:CR$19)+SUM(CT$6:CT$19)</f>
        <v>538.31841825203253</v>
      </c>
    </row>
    <row r="110" spans="2:99" x14ac:dyDescent="0.2">
      <c r="C110" s="105" t="s">
        <v>127</v>
      </c>
      <c r="D110" s="106">
        <f>SUM(D$20:D$36)+SUM(F$20:F$36)+SUM(H$20:H$36)+SUM(J$20:J$36)</f>
        <v>1446.0639872777563</v>
      </c>
      <c r="E110" s="106">
        <f>SUM(L$20:L$36)+SUM(N$20:N$36)+SUM(P$20:P$36)+SUM(R$20:R$36)</f>
        <v>2226.2153548271999</v>
      </c>
      <c r="F110" s="106">
        <f>SUM(T$20:T$36)+SUM(V$20:V$36)+SUM(X$20:X$36)+SUM(Z$20:Z$36)</f>
        <v>1487.8233714304524</v>
      </c>
      <c r="G110" s="106">
        <f>SUM(AB$20:AB$36)+SUM(AD$20:AD$36)+SUM(AF$20:AF$36)+SUM(AH$20:AH$36)</f>
        <v>920.72569288311297</v>
      </c>
      <c r="H110" s="106">
        <f>SUM(AJ$20:AJ$36)+SUM(AL$20:AL$36)+SUM(AN$20:AN$36)+SUM(AP$20:AP$36)</f>
        <v>850.21408727199923</v>
      </c>
      <c r="I110" s="106">
        <f>SUM(AR$20:AR$36)+SUM(AT$20:AT$36)+SUM(AV$20:AV$36)+SUM(AX$20:AX$36)</f>
        <v>883.30390855231849</v>
      </c>
      <c r="J110" s="106">
        <f>SUM(AZ$20:AZ$36)+SUM(BB$20:BB$36)+SUM(BD$20:BD$36)+SUM(BF$20:BF$36)</f>
        <v>951.3869434277683</v>
      </c>
      <c r="K110" s="106">
        <f>SUM(BH$20:BH$36)+SUM(BJ$20:BJ$36)+SUM(BL$20:BL$36)+SUM(BN$20:BN$36)</f>
        <v>2256.8068058937642</v>
      </c>
      <c r="L110" s="106">
        <f>SUM(BP$20:BP$36)+SUM(BR$20:BR$36)+SUM(BT$20:BT$36)+SUM(BV$20:BV$36)</f>
        <v>1644.0108658553163</v>
      </c>
      <c r="M110" s="106">
        <f>SUM(BX$20:BX$36)+SUM(BZ$20:BZ$36)+SUM(CB$20:CB$36)+SUM(CD$20:CD$36)</f>
        <v>2388.9195574222654</v>
      </c>
      <c r="N110" s="106">
        <f>SUM(CF$20:CF$36)+SUM(CH$20:CH$36)+SUM(CJ$20:CJ$36)+SUM(CL$20:CL$36)</f>
        <v>7839.7846076758069</v>
      </c>
      <c r="O110" s="106">
        <f>SUM(CN$20:CN$36)+SUM(CP$20:CP$36)+SUM(CR$20:CR$36)+SUM(CT$20:CT$36)</f>
        <v>4475.159271448787</v>
      </c>
    </row>
    <row r="111" spans="2:99" x14ac:dyDescent="0.2">
      <c r="C111" s="105" t="s">
        <v>128</v>
      </c>
      <c r="D111" s="106">
        <f>SUM(D$37:D$48)+SUM(F$37:F$48)+SUM(H$37:H$48)+SUM(J$37:J$48)</f>
        <v>202.95040661034767</v>
      </c>
      <c r="E111" s="106">
        <f>SUM(L$37:L$48)+SUM(N$37:N$48)+SUM(P$37:P$48)+SUM(R$37:R$48)</f>
        <v>255.470673836316</v>
      </c>
      <c r="F111" s="106">
        <f>SUM(T$37:T$48)+SUM(V$37:V$48)+SUM(X$37:X$48)+SUM(Z$37:Z$48)</f>
        <v>442.5607461247825</v>
      </c>
      <c r="G111" s="106">
        <f>SUM(AB$37:AB$48)+SUM(AD$37:AD$48)+SUM(AF$37:AF$48)+SUM(AH$37:AH$48)</f>
        <v>494.29209609523497</v>
      </c>
      <c r="H111" s="106">
        <f>SUM(AJ$37:AJ$48)+SUM(AL$37:AL$48)+SUM(AN$37:AN$48)+SUM(AP$37:AP$48)</f>
        <v>416.53522425370107</v>
      </c>
      <c r="I111" s="106">
        <f>SUM(AR$37:AR$48)+SUM(AT$37:AT$48)+SUM(AV$37:AV$48)+SUM(AX$37:AX$48)</f>
        <v>349.17415950816655</v>
      </c>
      <c r="J111" s="106">
        <f>SUM(AZ$37:AZ$48)+SUM(BB$37:BB$48)+SUM(BD$37:BD$48)+SUM(BF$37:BF$48)</f>
        <v>548.49678905269479</v>
      </c>
      <c r="K111" s="106">
        <f>SUM(BH$37:BH$48)+SUM(BJ$37:BJ$48)+SUM(BL$37:BL$48)+SUM(BN$37:BN$48)</f>
        <v>234.8610321896474</v>
      </c>
      <c r="L111" s="106">
        <f>SUM(BP$37:BP$48)+SUM(BR$37:BR$48)+SUM(BT$37:BT$48)+SUM(BV$37:BV$48)</f>
        <v>264.62820176767468</v>
      </c>
      <c r="M111" s="106">
        <f>SUM(BX$37:BX$48)+SUM(BZ$37:BZ$48)+SUM(CB$37:CB$48)+SUM(CD$37:CD$48)</f>
        <v>357.69855011311654</v>
      </c>
      <c r="N111" s="106">
        <f>SUM(CF$37:CF$48)+SUM(CH$37:CH$48)+SUM(CJ$37:CJ$48)+SUM(CL$37:CL$48)</f>
        <v>240.03436343648985</v>
      </c>
      <c r="O111" s="106">
        <f>SUM(CN$37:CN$48)+SUM(CP$37:CP$48)+SUM(CR$37:CR$48)+SUM(CT$37:CT$48)</f>
        <v>687.71585358920515</v>
      </c>
    </row>
    <row r="112" spans="2:99" x14ac:dyDescent="0.2">
      <c r="C112" s="105" t="s">
        <v>129</v>
      </c>
      <c r="D112" s="106">
        <f>SUM(D$49:D$70)+SUM(F$49:F$70)+SUM(H$49:H$70)+SUM(J$49:J$70)</f>
        <v>634.81149869064768</v>
      </c>
      <c r="E112" s="106">
        <f>SUM(L$49:L$70)+SUM(N$49:N$70)+SUM(P$49:P$70)+SUM(R$49:R$70)</f>
        <v>287.93816140017481</v>
      </c>
      <c r="F112" s="106">
        <f>SUM(T$49:T$70)+SUM(V$49:V$70)+SUM(X$49:X$70)+SUM(Z$49:Z$70)</f>
        <v>364.87501990887961</v>
      </c>
      <c r="G112" s="106">
        <f>SUM(AB$49:AB$70)+SUM(AD$49:AD$70)+SUM(AF$49:AF$70)+SUM(AH$49:AH$70)</f>
        <v>477.79584933016349</v>
      </c>
      <c r="H112" s="106">
        <f>SUM(AJ$49:AJ$70)+SUM(AL$49:AL$70)+SUM(AN$49:AN$70)+SUM(AP$49:AP$70)</f>
        <v>581.58883280994701</v>
      </c>
      <c r="I112" s="106">
        <f>SUM(AR$49:AR$70)+SUM(AT$49:AT$70)+SUM(AV$49:AV$70)+SUM(AX$49:AX$70)</f>
        <v>600.08559238445264</v>
      </c>
      <c r="J112" s="106">
        <f>SUM(AZ$49:AZ$70)+SUM(BB$49:BB$70)+SUM(BD$49:BD$70)+SUM(BF$49:BF$70)</f>
        <v>351.89107021105565</v>
      </c>
      <c r="K112" s="106">
        <f>SUM(BH$49:BH$70)+SUM(BJ$49:BJ$70)+SUM(BL$49:BL$70)+SUM(BN$49:BN$70)</f>
        <v>441.09265319664809</v>
      </c>
      <c r="L112" s="106">
        <f>SUM(BP$49:BP$70)+SUM(BR$49:BR$70)+SUM(BT$49:BT$70)+SUM(BV$49:BV$70)</f>
        <v>342.56915348604764</v>
      </c>
      <c r="M112" s="106">
        <f>SUM(BX$49:BX$70)+SUM(BZ$49:BZ$70)+SUM(CB$49:CB$70)+SUM(CD$49:CD$70)</f>
        <v>648.50035433775633</v>
      </c>
      <c r="N112" s="106">
        <f>SUM(CF$49:CF$70)+SUM(CH$49:CH$70)+SUM(CJ$49:CJ$70)+SUM(CL$49:CL$70)</f>
        <v>719.31685254276431</v>
      </c>
      <c r="O112" s="106">
        <f>SUM(CN$49:CN$70)+SUM(CP$49:CP$70)+SUM(CR$49:CR$70)+SUM(CT$49:CT$70)</f>
        <v>312.88641268855861</v>
      </c>
    </row>
    <row r="113" spans="2:15" x14ac:dyDescent="0.2">
      <c r="C113" s="105" t="s">
        <v>130</v>
      </c>
      <c r="D113" s="106">
        <f>SUM(D$71:D$86)+SUM(F$71:F$86)+SUM(H$71:H$86)+SUM(J$71:J$86)</f>
        <v>455.24881801976056</v>
      </c>
      <c r="E113" s="106">
        <f>SUM(L$71:L$86)+SUM(N$71:N$86)+SUM(P$71:P$86)+SUM(R$71:R$86)</f>
        <v>278</v>
      </c>
      <c r="F113" s="106">
        <f>SUM(T$71:T$86)+SUM(V$71:V$86)+SUM(X$71:X$86)+SUM(Z$71:Z$86)</f>
        <v>171.22570613207495</v>
      </c>
      <c r="G113" s="106">
        <f>SUM(AB$71:AB$86)+SUM(AD$71:AD$86)+SUM(AF$71:AF$86)+SUM(AH$71:AH$86)</f>
        <v>168.82041067652307</v>
      </c>
      <c r="H113" s="106">
        <f>SUM(AJ$71:AJ$86)+SUM(AL$71:AL$86)+SUM(AN$71:AN$86)+SUM(AP$71:AP$86)</f>
        <v>202.48475933375789</v>
      </c>
      <c r="I113" s="106">
        <f>SUM(AR$71:AR$86)+SUM(AT$71:AT$86)+SUM(AV$71:AV$86)+SUM(AX$71:AX$86)</f>
        <v>209.07342120644833</v>
      </c>
      <c r="J113" s="106">
        <f>SUM(AZ$71:AZ$86)+SUM(BB$71:BB$86)+SUM(BD$71:BD$86)+SUM(BF$71:BF$86)</f>
        <v>316.73498564803765</v>
      </c>
      <c r="K113" s="106">
        <f>SUM(BH$71:BH$86)+SUM(BJ$71:BJ$86)+SUM(BL$71:BL$86)+SUM(BN$71:BN$86)</f>
        <v>415.76989452532678</v>
      </c>
      <c r="L113" s="106">
        <f>SUM(BP$71:BP$86)+SUM(BR$71:BR$86)+SUM(BT$71:BT$86)+SUM(BV$71:BV$86)</f>
        <v>455</v>
      </c>
      <c r="M113" s="106">
        <f>SUM(BX$71:BX$86)+SUM(BZ$71:BZ$86)+SUM(CB$71:CB$86)+SUM(CD$71:CD$86)</f>
        <v>484.22433303643288</v>
      </c>
      <c r="N113" s="106">
        <f>SUM(CF$71:CF$86)+SUM(CH$71:CH$86)+SUM(CJ$71:CJ$86)+SUM(CL$71:CL$86)</f>
        <v>641.66256664163302</v>
      </c>
      <c r="O113" s="106">
        <f>SUM(CN$71:CN$86)+SUM(CP$71:CP$86)+SUM(CR$71:CR$86)+SUM(CT$71:CT$86)</f>
        <v>343.85392781760476</v>
      </c>
    </row>
    <row r="114" spans="2:15" x14ac:dyDescent="0.2">
      <c r="C114" s="105" t="s">
        <v>131</v>
      </c>
      <c r="D114" s="106">
        <f>SUM(D$87:D$94)+SUM(F$87:F$94)+SUM(H$87:H$94)+SUM(J$87:J$94)</f>
        <v>165.44127978257097</v>
      </c>
      <c r="E114" s="106">
        <f>SUM(L$87:L$94)+SUM(N$87:N$94)+SUM(P$87:P$94)+SUM(R$87:R$94)</f>
        <v>121.45089978394239</v>
      </c>
      <c r="F114" s="106">
        <f>SUM(T$87:T$94)+SUM(V$87:V$94)+SUM(X$87:X$94)+SUM(Z$87:Z$94)</f>
        <v>101.60772580534302</v>
      </c>
      <c r="G114" s="106">
        <f>SUM(AB$87:AB$94)+SUM(AD$87:AD$94)+SUM(AF$87:AF$94)+SUM(AH$87:AH$94)</f>
        <v>214.40145068573662</v>
      </c>
      <c r="H114" s="106">
        <f>SUM(AJ$87:AJ$94)+SUM(AL$87:AL$94)+SUM(AN$87:AN$94)+SUM(AP$87:AP$94)</f>
        <v>164.6911083613266</v>
      </c>
      <c r="I114" s="106">
        <f>SUM(AR$87:AR$94)+SUM(AT$87:AT$94)+SUM(AV$87:AV$94)+SUM(AX$87:AX$94)</f>
        <v>26.835308363942417</v>
      </c>
      <c r="J114" s="106">
        <f>SUM(AZ$87:AZ$94)+SUM(BB$87:BB$94)+SUM(BD$87:BD$94)+SUM(BF$87:BF$94)</f>
        <v>56.184281090622235</v>
      </c>
      <c r="K114" s="106">
        <f>SUM(BH$87:BH$94)+SUM(BJ$87:BJ$94)+SUM(BL$87:BL$94)+SUM(BN$87:BN$94)</f>
        <v>19.37178227032144</v>
      </c>
      <c r="L114" s="106">
        <f>SUM(BP$87:BP$94)+SUM(BR$87:BR$94)+SUM(BT$87:BT$94)+SUM(BV$87:BV$94)</f>
        <v>3.6453109744932211</v>
      </c>
      <c r="M114" s="106">
        <f>SUM(BX$87:BX$94)+SUM(BZ$87:BZ$94)+SUM(CB$87:CB$94)+SUM(CD$87:CD$94)</f>
        <v>1.9460379475752214</v>
      </c>
      <c r="N114" s="106">
        <f>SUM(CF$87:CF$94)+SUM(CH$87:CH$94)+SUM(CJ$87:CJ$94)+SUM(CL$87:CL$94)</f>
        <v>18.831487413146426</v>
      </c>
      <c r="O114" s="106">
        <f>SUM(CN$87:CN$94)+SUM(CP$87:CP$94)+SUM(CR$87:CR$94)+SUM(CT$87:CT$94)</f>
        <v>92.132650474634275</v>
      </c>
    </row>
    <row r="115" spans="2:15" x14ac:dyDescent="0.2">
      <c r="C115" s="105" t="s">
        <v>132</v>
      </c>
      <c r="D115" s="106">
        <f>SUM(D$95:D$105)+SUM(F$95:F$105)+SUM(H$95:H$105)+SUM(J$95:J$105)</f>
        <v>361.85437872784348</v>
      </c>
      <c r="E115" s="106">
        <f>SUM(L$95:L$105)+SUM(N$95:N$105)+SUM(P$95:P$105)+SUM(R$95:R$105)</f>
        <v>279.37737542297782</v>
      </c>
      <c r="F115" s="106">
        <f>SUM(T$95:T$105)+SUM(V$95:V$105)+SUM(X$95:X$105)+SUM(Z$95:Z$105)</f>
        <v>234.34180856732769</v>
      </c>
      <c r="G115" s="106">
        <f>SUM(AB$95:AB$105)+SUM(AD$95:AD$105)+SUM(AF$95:AF$105)+SUM(AH$95:AH$105)</f>
        <v>253.04837561638527</v>
      </c>
      <c r="H115" s="106">
        <f>SUM(AJ$95:AJ$105)+SUM(AL$95:AL$105)+SUM(AN$95:AN$105)+SUM(AP$95:AP$105)</f>
        <v>250.1015010927994</v>
      </c>
      <c r="I115" s="106">
        <f>SUM(AR$95:AR$105)+SUM(AT$95:AT$105)+SUM(AV$95:AV$105)+SUM(AX$95:AX$105)</f>
        <v>34.88652639949315</v>
      </c>
      <c r="J115" s="106">
        <f>SUM(AZ$95:AZ$105)+SUM(BB$95:BB$105)+SUM(BD$95:BD$105)+SUM(BF$95:BF$105)</f>
        <v>116.3392367865499</v>
      </c>
      <c r="K115" s="106">
        <f>SUM(BH$95:BH$105)+SUM(BJ$95:BJ$105)+SUM(BL$95:BL$105)+SUM(BN$95:BN$105)</f>
        <v>41.551529541747293</v>
      </c>
      <c r="L115" s="106">
        <f>SUM(BP$95:BP$105)+SUM(BR$95:BR$105)+SUM(BT$95:BT$105)+SUM(BV$95:BV$105)</f>
        <v>7.2040958908558999</v>
      </c>
      <c r="M115" s="106">
        <f>SUM(BX$95:BX$105)+SUM(BZ$95:BZ$105)+SUM(CB$95:CB$105)+SUM(CD$95:CD$105)</f>
        <v>3.6869879870310953</v>
      </c>
      <c r="N115" s="106">
        <f>SUM(CF$95:CF$105)+SUM(CH$95:CH$105)+SUM(CJ$95:CJ$105)+SUM(CL$95:CL$105)</f>
        <v>40.791739276147958</v>
      </c>
      <c r="O115" s="106">
        <f>SUM(CN$95:CN$105)+SUM(CP$95:CP$105)+SUM(CR$95:CR$105)+SUM(CT$95:CT$105)</f>
        <v>114.25950804413873</v>
      </c>
    </row>
    <row r="116" spans="2:15" x14ac:dyDescent="0.2">
      <c r="C116" s="105" t="s">
        <v>278</v>
      </c>
      <c r="D116" s="106">
        <f t="shared" ref="D116:O116" si="0">SUM(D$109:D$115)</f>
        <v>3826.3500795291588</v>
      </c>
      <c r="E116" s="106">
        <f t="shared" si="0"/>
        <v>3706.4282080135877</v>
      </c>
      <c r="F116" s="106">
        <f t="shared" si="0"/>
        <v>3369.9739658730841</v>
      </c>
      <c r="G116" s="106">
        <f t="shared" si="0"/>
        <v>3148.6754892777717</v>
      </c>
      <c r="H116" s="106">
        <f t="shared" si="0"/>
        <v>2846.4965134943868</v>
      </c>
      <c r="I116" s="106">
        <f t="shared" si="0"/>
        <v>2599.7260796983942</v>
      </c>
      <c r="J116" s="106">
        <f t="shared" si="0"/>
        <v>2685.6366137247774</v>
      </c>
      <c r="K116" s="106">
        <f t="shared" si="0"/>
        <v>3793.3660014421889</v>
      </c>
      <c r="L116" s="106">
        <f t="shared" si="0"/>
        <v>3260.8210643642396</v>
      </c>
      <c r="M116" s="106">
        <f t="shared" si="0"/>
        <v>8577.9205129202528</v>
      </c>
      <c r="N116" s="106">
        <f t="shared" si="0"/>
        <v>10505.120455103674</v>
      </c>
      <c r="O116" s="106">
        <f t="shared" si="0"/>
        <v>6564.3260423149604</v>
      </c>
    </row>
    <row r="118" spans="2:15" x14ac:dyDescent="0.2">
      <c r="B118" s="109" t="s">
        <v>279</v>
      </c>
    </row>
    <row r="119" spans="2:15" x14ac:dyDescent="0.2">
      <c r="C119" s="105" t="s">
        <v>277</v>
      </c>
      <c r="D119" s="105" t="s">
        <v>92</v>
      </c>
      <c r="E119" s="105" t="s">
        <v>93</v>
      </c>
      <c r="F119" s="105" t="s">
        <v>94</v>
      </c>
      <c r="G119" s="105" t="s">
        <v>95</v>
      </c>
      <c r="H119" s="105" t="s">
        <v>96</v>
      </c>
      <c r="I119" s="105" t="s">
        <v>97</v>
      </c>
      <c r="J119" s="105" t="s">
        <v>98</v>
      </c>
      <c r="K119" s="105" t="s">
        <v>99</v>
      </c>
      <c r="L119" s="105" t="s">
        <v>100</v>
      </c>
      <c r="M119" s="105" t="s">
        <v>101</v>
      </c>
      <c r="N119" s="105" t="s">
        <v>102</v>
      </c>
      <c r="O119" s="105" t="s">
        <v>103</v>
      </c>
    </row>
    <row r="120" spans="2:15" x14ac:dyDescent="0.2">
      <c r="C120" s="105" t="s">
        <v>126</v>
      </c>
      <c r="D120" s="106">
        <f>D109*pricing!D24*2000</f>
        <v>2960436.554926299</v>
      </c>
      <c r="E120" s="106">
        <f>E109*pricing!E24*2000</f>
        <v>2063805.9419438106</v>
      </c>
      <c r="F120" s="106">
        <f>F109*pricing!F24*2000</f>
        <v>3127409.560811819</v>
      </c>
      <c r="G120" s="106">
        <f>G109*pricing!G24*2000</f>
        <v>3455568.6094013685</v>
      </c>
      <c r="H120" s="106">
        <f>H109*pricing!H24*2000</f>
        <v>2641176.159251356</v>
      </c>
      <c r="I120" s="106">
        <f>I109*pricing!I24*2000</f>
        <v>3204895.7592956065</v>
      </c>
      <c r="J120" s="106">
        <f>J109*pricing!J24*2000</f>
        <v>2756826.4600643888</v>
      </c>
      <c r="K120" s="106">
        <f>K109*pricing!K24*2000</f>
        <v>3071298.4305978711</v>
      </c>
      <c r="L120" s="106">
        <f>L109*pricing!L24*2000</f>
        <v>3420930.3220964326</v>
      </c>
      <c r="M120" s="106">
        <f>M109*pricing!M24*2000</f>
        <v>10612605.331820123</v>
      </c>
      <c r="N120" s="106">
        <f>N109*pricing!N24*2000</f>
        <v>4606840.7879981669</v>
      </c>
      <c r="O120" s="106">
        <f>O109*pricing!O24*2000</f>
        <v>3190202.8122587954</v>
      </c>
    </row>
    <row r="121" spans="2:15" x14ac:dyDescent="0.2">
      <c r="C121" s="105" t="s">
        <v>127</v>
      </c>
      <c r="D121" s="106">
        <f>D110*pricing!D25*2000</f>
        <v>6390559.2687991355</v>
      </c>
      <c r="E121" s="106">
        <f>E110*pricing!E25*2000</f>
        <v>9487067.3053041119</v>
      </c>
      <c r="F121" s="106">
        <f>F110*pricing!F25*2000</f>
        <v>7775005.5196524132</v>
      </c>
      <c r="G121" s="106">
        <f>G110*pricing!G25*2000</f>
        <v>5622463.037375655</v>
      </c>
      <c r="H121" s="106">
        <f>H110*pricing!H25*2000</f>
        <v>5423684.2890688675</v>
      </c>
      <c r="I121" s="106">
        <f>I110*pricing!I25*2000</f>
        <v>5681738.1505350797</v>
      </c>
      <c r="J121" s="106">
        <f>J110*pricing!J25*2000</f>
        <v>6159955.3080768911</v>
      </c>
      <c r="K121" s="106">
        <f>K110*pricing!K25*2000</f>
        <v>9713702.1219948251</v>
      </c>
      <c r="L121" s="106">
        <f>L110*pricing!L25*2000</f>
        <v>8403206.635539623</v>
      </c>
      <c r="M121" s="106">
        <f>M110*pricing!M25*2000</f>
        <v>10298850.898521511</v>
      </c>
      <c r="N121" s="106">
        <f>N110*pricing!N25*2000</f>
        <v>19058098.301226333</v>
      </c>
      <c r="O121" s="106">
        <f>O110*pricing!O25*2000</f>
        <v>14463595.16221579</v>
      </c>
    </row>
    <row r="122" spans="2:15" x14ac:dyDescent="0.2">
      <c r="C122" s="105" t="s">
        <v>128</v>
      </c>
      <c r="D122" s="106">
        <f>D111*pricing!D26*2000</f>
        <v>1623603.2528827814</v>
      </c>
      <c r="E122" s="106">
        <f>E111*pricing!E26*2000</f>
        <v>2043765.3906905279</v>
      </c>
      <c r="F122" s="106">
        <f>F111*pricing!F26*2000</f>
        <v>2478024.1908111707</v>
      </c>
      <c r="G122" s="106">
        <f>G111*pricing!G26*2000</f>
        <v>2767513.6836273512</v>
      </c>
      <c r="H122" s="106">
        <f>H111*pricing!H26*2000</f>
        <v>2464700.610775861</v>
      </c>
      <c r="I122" s="106">
        <f>I111*pricing!I26*2000</f>
        <v>2489277.2421632838</v>
      </c>
      <c r="J122" s="106">
        <f>J111*pricing!J26*2000</f>
        <v>3249800.7362674139</v>
      </c>
      <c r="K122" s="106">
        <f>K111*pricing!K26*2000</f>
        <v>1878888.2575171792</v>
      </c>
      <c r="L122" s="106">
        <f>L111*pricing!L26*2000</f>
        <v>2117025.6141413976</v>
      </c>
      <c r="M122" s="106">
        <f>M111*pricing!M26*2000</f>
        <v>2338606.7017400414</v>
      </c>
      <c r="N122" s="106">
        <f>N111*pricing!N26*2000</f>
        <v>1920274.9074919189</v>
      </c>
      <c r="O122" s="106">
        <f>O111*pricing!O26*2000</f>
        <v>3372530.7512775236</v>
      </c>
    </row>
    <row r="123" spans="2:15" x14ac:dyDescent="0.2">
      <c r="C123" s="105" t="s">
        <v>129</v>
      </c>
      <c r="D123" s="106">
        <f>D112*pricing!D27*2000</f>
        <v>3640891.6596131288</v>
      </c>
      <c r="E123" s="106">
        <f>E112*pricing!E27*2000</f>
        <v>2303505.2912013982</v>
      </c>
      <c r="F123" s="106">
        <f>F112*pricing!F27*2000</f>
        <v>2919000.1592710367</v>
      </c>
      <c r="G123" s="106">
        <f>G112*pricing!G27*2000</f>
        <v>3201591.3009168603</v>
      </c>
      <c r="H123" s="106">
        <f>H112*pricing!H27*2000</f>
        <v>3664131.6593870791</v>
      </c>
      <c r="I123" s="106">
        <f>I112*pricing!I27*2000</f>
        <v>3406789.8307894263</v>
      </c>
      <c r="J123" s="106">
        <f>J112*pricing!J27*2000</f>
        <v>2815128.561688445</v>
      </c>
      <c r="K123" s="106">
        <f>K112*pricing!K27*2000</f>
        <v>2854904.1672132169</v>
      </c>
      <c r="L123" s="106">
        <f>L112*pricing!L27*2000</f>
        <v>2265118.4994167681</v>
      </c>
      <c r="M123" s="106">
        <f>M112*pricing!M27*2000</f>
        <v>3604440.5702835573</v>
      </c>
      <c r="N123" s="106">
        <f>N112*pricing!N27*2000</f>
        <v>3754781.2759978799</v>
      </c>
      <c r="O123" s="106">
        <f>O112*pricing!O27*2000</f>
        <v>2503091.301508469</v>
      </c>
    </row>
    <row r="124" spans="2:15" x14ac:dyDescent="0.2">
      <c r="C124" s="105" t="s">
        <v>130</v>
      </c>
      <c r="D124" s="106">
        <f>D113*pricing!D28*2000</f>
        <v>2324857.5310248323</v>
      </c>
      <c r="E124" s="106">
        <f>E113*pricing!E28*2000</f>
        <v>1962846.083872</v>
      </c>
      <c r="F124" s="106">
        <f>F113*pricing!F28*2000</f>
        <v>1369805.6490565995</v>
      </c>
      <c r="G124" s="106">
        <f>G113*pricing!G28*2000</f>
        <v>1350563.2854121844</v>
      </c>
      <c r="H124" s="106">
        <f>H113*pricing!H28*2000</f>
        <v>1619878.0746700631</v>
      </c>
      <c r="I124" s="106">
        <f>I113*pricing!I28*2000</f>
        <v>1672587.3696515867</v>
      </c>
      <c r="J124" s="106">
        <f>J113*pricing!J28*2000</f>
        <v>2080516.6328114923</v>
      </c>
      <c r="K124" s="106">
        <f>K113*pricing!K28*2000</f>
        <v>2563882.2397211515</v>
      </c>
      <c r="L124" s="106">
        <f>L113*pricing!L28*2000</f>
        <v>2589446.12017</v>
      </c>
      <c r="M124" s="106">
        <f>M113*pricing!M28*2000</f>
        <v>2861122.1985677169</v>
      </c>
      <c r="N124" s="106">
        <f>N113*pricing!N28*2000</f>
        <v>3123130.0310119134</v>
      </c>
      <c r="O124" s="106">
        <f>O113*pricing!O28*2000</f>
        <v>2166437.8994895942</v>
      </c>
    </row>
    <row r="125" spans="2:15" x14ac:dyDescent="0.2">
      <c r="C125" s="105" t="s">
        <v>131</v>
      </c>
      <c r="D125" s="106">
        <f>D114*pricing!D29*2000</f>
        <v>1124823.9437346326</v>
      </c>
      <c r="E125" s="106">
        <f>E114*pricing!E29*2000</f>
        <v>971607.19827153906</v>
      </c>
      <c r="F125" s="106">
        <f>F114*pricing!F29*2000</f>
        <v>812861.80644274422</v>
      </c>
      <c r="G125" s="106">
        <f>G114*pricing!G29*2000</f>
        <v>1281134.3769712024</v>
      </c>
      <c r="H125" s="106">
        <f>H114*pricing!H29*2000</f>
        <v>999450.83045361808</v>
      </c>
      <c r="I125" s="106">
        <f>I114*pricing!I29*2000</f>
        <v>162884.66069981924</v>
      </c>
      <c r="J125" s="106">
        <f>J114*pricing!J29*2000</f>
        <v>449474.24872497789</v>
      </c>
      <c r="K125" s="106">
        <f>K114*pricing!K29*2000</f>
        <v>154974.25816257152</v>
      </c>
      <c r="L125" s="106">
        <f>L114*pricing!L29*2000</f>
        <v>29162.48779594577</v>
      </c>
      <c r="M125" s="106">
        <f>M114*pricing!M29*2000</f>
        <v>15568.303580601771</v>
      </c>
      <c r="N125" s="106">
        <f>N114*pricing!N29*2000</f>
        <v>150651.89930517142</v>
      </c>
      <c r="O125" s="106">
        <f>O114*pricing!O29*2000</f>
        <v>596587.96106368629</v>
      </c>
    </row>
    <row r="126" spans="2:15" x14ac:dyDescent="0.2">
      <c r="C126" s="105" t="s">
        <v>132</v>
      </c>
      <c r="D126" s="106">
        <f>D115*pricing!D30*2000</f>
        <v>2371445.6273741359</v>
      </c>
      <c r="E126" s="106">
        <f>E115*pricing!E30*2000</f>
        <v>2235019.0033838227</v>
      </c>
      <c r="F126" s="106">
        <f>F115*pricing!F30*2000</f>
        <v>1874734.4685386214</v>
      </c>
      <c r="G126" s="106">
        <f>G115*pricing!G30*2000</f>
        <v>2024387.0049310823</v>
      </c>
      <c r="H126" s="106">
        <f>H115*pricing!H30*2000</f>
        <v>1721843.3322067028</v>
      </c>
      <c r="I126" s="106">
        <f>I115*pricing!I30*2000</f>
        <v>279092.21119594522</v>
      </c>
      <c r="J126" s="106">
        <f>J115*pricing!J30*2000</f>
        <v>930713.89429239929</v>
      </c>
      <c r="K126" s="106">
        <f>K115*pricing!K30*2000</f>
        <v>332412.23633397836</v>
      </c>
      <c r="L126" s="106">
        <f>L115*pricing!L30*2000</f>
        <v>57632.767126847197</v>
      </c>
      <c r="M126" s="106">
        <f>M115*pricing!M30*2000</f>
        <v>29495.903896248761</v>
      </c>
      <c r="N126" s="106">
        <f>N115*pricing!N30*2000</f>
        <v>326333.91420918365</v>
      </c>
      <c r="O126" s="106">
        <f>O115*pricing!O30*2000</f>
        <v>914076.0643531098</v>
      </c>
    </row>
    <row r="127" spans="2:15" x14ac:dyDescent="0.2">
      <c r="C127" s="105" t="s">
        <v>278</v>
      </c>
      <c r="D127" s="106">
        <f t="shared" ref="D127:O127" si="1">SUM(D$120:D$126)</f>
        <v>20436617.838354941</v>
      </c>
      <c r="E127" s="106">
        <f t="shared" si="1"/>
        <v>21067616.214667212</v>
      </c>
      <c r="F127" s="106">
        <f t="shared" si="1"/>
        <v>20356841.354584403</v>
      </c>
      <c r="G127" s="106">
        <f t="shared" si="1"/>
        <v>19703221.298635703</v>
      </c>
      <c r="H127" s="106">
        <f t="shared" si="1"/>
        <v>18534864.955813546</v>
      </c>
      <c r="I127" s="106">
        <f t="shared" si="1"/>
        <v>16897265.224330746</v>
      </c>
      <c r="J127" s="106">
        <f t="shared" si="1"/>
        <v>18442415.841926012</v>
      </c>
      <c r="K127" s="106">
        <f t="shared" si="1"/>
        <v>20570061.711540796</v>
      </c>
      <c r="L127" s="106">
        <f t="shared" si="1"/>
        <v>18882522.446287014</v>
      </c>
      <c r="M127" s="106">
        <f t="shared" si="1"/>
        <v>29760689.908409804</v>
      </c>
      <c r="N127" s="106">
        <f t="shared" si="1"/>
        <v>32940111.117240567</v>
      </c>
      <c r="O127" s="106">
        <f t="shared" si="1"/>
        <v>27206521.952166967</v>
      </c>
    </row>
    <row r="129" spans="2:15" x14ac:dyDescent="0.2">
      <c r="B129" s="109" t="s">
        <v>280</v>
      </c>
    </row>
    <row r="130" spans="2:15" x14ac:dyDescent="0.2">
      <c r="C130" s="111" t="s">
        <v>277</v>
      </c>
      <c r="D130" s="111" t="s">
        <v>92</v>
      </c>
      <c r="E130" s="111" t="s">
        <v>93</v>
      </c>
      <c r="F130" s="111" t="s">
        <v>94</v>
      </c>
      <c r="G130" s="111" t="s">
        <v>95</v>
      </c>
      <c r="H130" s="111" t="s">
        <v>96</v>
      </c>
      <c r="I130" s="111" t="s">
        <v>97</v>
      </c>
      <c r="J130" s="111" t="s">
        <v>98</v>
      </c>
      <c r="K130" s="111" t="s">
        <v>99</v>
      </c>
      <c r="L130" s="111" t="s">
        <v>100</v>
      </c>
      <c r="M130" s="111" t="s">
        <v>101</v>
      </c>
      <c r="N130" s="111" t="s">
        <v>102</v>
      </c>
      <c r="O130" s="111" t="s">
        <v>103</v>
      </c>
    </row>
    <row r="131" spans="2:15" x14ac:dyDescent="0.2">
      <c r="C131" s="111" t="s">
        <v>126</v>
      </c>
      <c r="D131" s="112">
        <f>SUM(E$6:E$19)+SUM(G$6:G$19)+SUM(I$6:I$19)+SUM(K$6:K$19)</f>
        <v>320495.56087466399</v>
      </c>
      <c r="E131" s="112">
        <f>SUM(M$6:M$19)+SUM(O$6:O$19)+SUM(Q$6:Q$19)+SUM(S$6:S$19)</f>
        <v>147865.28739392012</v>
      </c>
      <c r="F131" s="112">
        <f>SUM(U$6:U$19)+SUM(W$6:W$19)+SUM(Y$6:Y$19)+SUM(AA$6:AA$19)</f>
        <v>323791.1434377738</v>
      </c>
      <c r="G131" s="112">
        <f>SUM(AC$6:AC$19)+SUM(AE$6:AE$19)+SUM(AG$6:AG$19)+SUM(AI$6:AI$19)</f>
        <v>353448.47819328745</v>
      </c>
      <c r="H131" s="112">
        <f>SUM(AK$6:AK$19)+SUM(AM$6:AM$19)+SUM(AO$6:AO$19)+SUM(AQ$6:AQ$19)</f>
        <v>218037.938850167</v>
      </c>
      <c r="I131" s="112">
        <f>SUM(AS$6:AS$19)+SUM(AU$6:AU$19)+SUM(AW$6:AW$19)+SUM(AY$6:AY$19)</f>
        <v>283240.14778624644</v>
      </c>
      <c r="J131" s="112">
        <f>SUM(BA$6:BA$19)+SUM(BC$6:BC$19)+SUM(BE$6:BE$19)+SUM(BG$6:BG$19)</f>
        <v>196240.71791831061</v>
      </c>
      <c r="K131" s="112">
        <f>SUM(BI$6:BI$19)+SUM(BK$6:BK$19)+SUM(BM$6:BM$19)+SUM(BO$6:BO$19)</f>
        <v>220207.67465573354</v>
      </c>
      <c r="L131" s="112">
        <f>SUM(BQ$6:BQ$19)+SUM(BS$6:BS$19)+SUM(BU$6:BU$19)+SUM(BW$6:BW$19)</f>
        <v>311215.75078604452</v>
      </c>
      <c r="M131" s="112">
        <f>SUM(BY$6:BY$19)+SUM(CA$6:CA$19)+SUM(CC$6:CC$19)+SUM(CE$6:CE$19)</f>
        <v>2665692.8226897363</v>
      </c>
      <c r="N131" s="112">
        <f>SUM(CG$6:CG$19)+SUM(CI$6:CI$19)+SUM(CK$6:CK$19)+SUM(CM$6:CM$19)</f>
        <v>574270.07143257558</v>
      </c>
      <c r="O131" s="112">
        <f>SUM(CO$6:CO$19)+SUM(CQ$6:CQ$19)+SUM(CS$6:CS$19)+SUM(CU$6:CU$19)</f>
        <v>308567.31159479916</v>
      </c>
    </row>
    <row r="132" spans="2:15" x14ac:dyDescent="0.2">
      <c r="C132" s="111" t="s">
        <v>127</v>
      </c>
      <c r="D132" s="112">
        <f>SUM(E$20:E$36)+SUM(G$20:G$36)+SUM(I$20:I$36)+SUM(K$20:K$36)</f>
        <v>454870.86702436546</v>
      </c>
      <c r="E132" s="112">
        <f>SUM(M$20:M$36)+SUM(O$20:O$36)+SUM(Q$20:Q$36)+SUM(S$20:S$36)</f>
        <v>696991.58706358168</v>
      </c>
      <c r="F132" s="112">
        <f>SUM(U$20:U$36)+SUM(W$20:W$36)+SUM(Y$20:Y$36)+SUM(AA$20:AA$36)</f>
        <v>463744.84357420303</v>
      </c>
      <c r="G132" s="112">
        <f>SUM(AC$20:AC$36)+SUM(AE$20:AE$36)+SUM(AG$20:AG$36)+SUM(AI$20:AI$36)</f>
        <v>286715.40945372992</v>
      </c>
      <c r="H132" s="112">
        <f>SUM(AK$20:AK$36)+SUM(AM$20:AM$36)+SUM(AO$20:AO$36)+SUM(AQ$20:AQ$36)</f>
        <v>266736.46889699646</v>
      </c>
      <c r="I132" s="112">
        <f>SUM(AS$20:AS$36)+SUM(AU$20:AU$36)+SUM(AW$20:AW$36)+SUM(AY$20:AY$36)</f>
        <v>275586.90344132995</v>
      </c>
      <c r="J132" s="112">
        <f>SUM(BA$20:BA$36)+SUM(BC$20:BC$36)+SUM(BE$20:BE$36)+SUM(BG$20:BG$36)</f>
        <v>297041.82378065516</v>
      </c>
      <c r="K132" s="112">
        <f>SUM(BI$20:BI$36)+SUM(BK$20:BK$36)+SUM(BM$20:BM$36)+SUM(BO$20:BO$36)</f>
        <v>707740.86157201626</v>
      </c>
      <c r="L132" s="112">
        <f>SUM(BQ$20:BQ$36)+SUM(BS$20:BS$36)+SUM(BU$20:BU$36)+SUM(BW$20:BW$36)</f>
        <v>516031.81865160726</v>
      </c>
      <c r="M132" s="112">
        <f>SUM(BY$20:BY$36)+SUM(CA$20:CA$36)+SUM(CC$20:CC$36)+SUM(CE$20:CE$36)</f>
        <v>748052.88244097214</v>
      </c>
      <c r="N132" s="112">
        <f>SUM(CG$20:CG$36)+SUM(CI$20:CI$36)+SUM(CK$20:CK$36)+SUM(CM$20:CM$36)</f>
        <v>2448723.2382133715</v>
      </c>
      <c r="O132" s="112">
        <f>SUM(CO$20:CO$36)+SUM(CQ$20:CQ$36)+SUM(CS$20:CS$36)+SUM(CU$20:CU$36)</f>
        <v>1399442.3835962571</v>
      </c>
    </row>
    <row r="133" spans="2:15" x14ac:dyDescent="0.2">
      <c r="C133" s="111" t="s">
        <v>128</v>
      </c>
      <c r="D133" s="112">
        <f>SUM(E$37:E$48)+SUM(G$37:G$48)+SUM(I$37:I$48)+SUM(K$37:K$48)</f>
        <v>172469.51481444904</v>
      </c>
      <c r="E133" s="112">
        <f>SUM(M$37:M$48)+SUM(O$37:O$48)+SUM(Q$37:Q$48)+SUM(S$37:S$48)</f>
        <v>217828.066149447</v>
      </c>
      <c r="F133" s="112">
        <f>SUM(U$37:U$48)+SUM(W$37:W$48)+SUM(Y$37:Y$48)+SUM(AA$37:AA$48)</f>
        <v>376298.47370509076</v>
      </c>
      <c r="G133" s="112">
        <f>SUM(AC$37:AC$48)+SUM(AE$37:AE$48)+SUM(AG$37:AG$48)+SUM(AI$37:AI$48)</f>
        <v>420172.11847290304</v>
      </c>
      <c r="H133" s="112">
        <f>SUM(AK$37:AK$48)+SUM(AM$37:AM$48)+SUM(AO$37:AO$48)+SUM(AQ$37:AQ$48)</f>
        <v>354033.78492532653</v>
      </c>
      <c r="I133" s="112">
        <f>SUM(AS$37:AS$48)+SUM(AU$37:AU$48)+SUM(AW$37:AW$48)+SUM(AY$37:AY$48)</f>
        <v>295833.30249370949</v>
      </c>
      <c r="J133" s="112">
        <f>SUM(BA$37:BA$48)+SUM(BC$37:BC$48)+SUM(BE$37:BE$48)+SUM(BG$37:BG$48)</f>
        <v>466900.77018497826</v>
      </c>
      <c r="K133" s="112">
        <f>SUM(BI$37:BI$48)+SUM(BK$37:BK$48)+SUM(BM$37:BM$48)+SUM(BO$37:BO$48)</f>
        <v>200608.56271615875</v>
      </c>
      <c r="L133" s="112">
        <f>SUM(BQ$37:BQ$48)+SUM(BS$37:BS$48)+SUM(BU$37:BU$48)+SUM(BW$37:BW$48)</f>
        <v>223911.26123599059</v>
      </c>
      <c r="M133" s="112">
        <f>SUM(BY$37:BY$48)+SUM(CA$37:CA$48)+SUM(CC$37:CC$48)+SUM(CE$37:CE$48)</f>
        <v>304945.97530684929</v>
      </c>
      <c r="N133" s="112">
        <f>SUM(CG$37:CG$48)+SUM(CI$37:CI$48)+SUM(CK$37:CK$48)+SUM(CM$37:CM$48)</f>
        <v>202937.45861570849</v>
      </c>
      <c r="O133" s="112">
        <f>SUM(CO$37:CO$48)+SUM(CQ$37:CQ$48)+SUM(CS$37:CS$48)+SUM(CU$37:CU$48)</f>
        <v>584067.19351053331</v>
      </c>
    </row>
    <row r="134" spans="2:15" x14ac:dyDescent="0.2">
      <c r="C134" s="111" t="s">
        <v>129</v>
      </c>
      <c r="D134" s="112">
        <f>SUM(E$49:E$70)+SUM(G$49:G$70)+SUM(I$49:I$70)+SUM(K$49:K$70)</f>
        <v>446488.05203470076</v>
      </c>
      <c r="E134" s="112">
        <f>SUM(M$49:M$70)+SUM(O$49:O$70)+SUM(Q$49:Q$70)+SUM(S$49:S$70)</f>
        <v>200291.09643497871</v>
      </c>
      <c r="F134" s="112">
        <f>SUM(U$49:U$70)+SUM(W$49:W$70)+SUM(Y$49:Y$70)+SUM(AA$49:AA$70)</f>
        <v>252481.70837988457</v>
      </c>
      <c r="G134" s="112">
        <f>SUM(AC$49:AC$70)+SUM(AE$49:AE$70)+SUM(AG$49:AG$70)+SUM(AI$49:AI$70)</f>
        <v>332145.87355160288</v>
      </c>
      <c r="H134" s="112">
        <f>SUM(AK$49:AK$70)+SUM(AM$49:AM$70)+SUM(AO$49:AO$70)+SUM(AQ$49:AQ$70)</f>
        <v>399096.11871731875</v>
      </c>
      <c r="I134" s="112">
        <f>SUM(AS$49:AS$70)+SUM(AU$49:AU$70)+SUM(AW$49:AW$70)+SUM(AY$49:AY$70)</f>
        <v>398972.45713961369</v>
      </c>
      <c r="J134" s="112">
        <f>SUM(BA$49:BA$70)+SUM(BC$49:BC$70)+SUM(BE$49:BE$70)+SUM(BG$49:BG$70)</f>
        <v>239252.16241691058</v>
      </c>
      <c r="K134" s="112">
        <f>SUM(BI$49:BI$70)+SUM(BK$49:BK$70)+SUM(BM$49:BM$70)+SUM(BO$49:BO$70)</f>
        <v>295307.49394323595</v>
      </c>
      <c r="L134" s="112">
        <f>SUM(BQ$49:BQ$70)+SUM(BS$49:BS$70)+SUM(BU$49:BU$70)+SUM(BW$49:BW$70)</f>
        <v>226983.60839902118</v>
      </c>
      <c r="M134" s="112">
        <f>SUM(BY$49:BY$70)+SUM(CA$49:CA$70)+SUM(CC$49:CC$70)+SUM(CE$49:CE$70)</f>
        <v>428714.36833912157</v>
      </c>
      <c r="N134" s="112">
        <f>SUM(CG$49:CG$70)+SUM(CI$49:CI$70)+SUM(CK$49:CK$70)+SUM(CM$49:CM$70)</f>
        <v>478390.74002805934</v>
      </c>
      <c r="O134" s="112">
        <f>SUM(CO$49:CO$70)+SUM(CQ$49:CQ$70)+SUM(CS$49:CS$70)+SUM(CU$49:CU$70)</f>
        <v>211574.56917999146</v>
      </c>
    </row>
    <row r="135" spans="2:15" x14ac:dyDescent="0.2">
      <c r="C135" s="111" t="s">
        <v>130</v>
      </c>
      <c r="D135" s="112">
        <f>SUM(E$71:E$86)+SUM(G$71:G$86)+SUM(I$71:I$86)+SUM(K$71:K$86)</f>
        <v>252735.69063588124</v>
      </c>
      <c r="E135" s="112">
        <f>SUM(M$71:M$86)+SUM(O$71:O$86)+SUM(Q$71:Q$86)+SUM(S$71:S$86)</f>
        <v>154484.4</v>
      </c>
      <c r="F135" s="112">
        <f>SUM(U$71:U$86)+SUM(W$71:W$86)+SUM(Y$71:Y$86)+SUM(AA$71:AA$86)</f>
        <v>97283.6703301792</v>
      </c>
      <c r="G135" s="112">
        <f>SUM(AC$71:AC$86)+SUM(AE$71:AE$86)+SUM(AG$71:AG$86)+SUM(AI$71:AI$86)</f>
        <v>94000.838484117354</v>
      </c>
      <c r="H135" s="112">
        <f>SUM(AK$71:AK$86)+SUM(AM$71:AM$86)+SUM(AO$71:AO$86)+SUM(AQ$71:AQ$86)</f>
        <v>112074.93460502809</v>
      </c>
      <c r="I135" s="112">
        <f>SUM(AS$71:AS$86)+SUM(AU$71:AU$86)+SUM(AW$71:AW$86)+SUM(AY$71:AY$86)</f>
        <v>115886.14661165621</v>
      </c>
      <c r="J135" s="112">
        <f>SUM(BA$71:BA$86)+SUM(BC$71:BC$86)+SUM(BE$71:BE$86)+SUM(BG$71:BG$86)</f>
        <v>176977.59065814316</v>
      </c>
      <c r="K135" s="112">
        <f>SUM(BI$71:BI$86)+SUM(BK$71:BK$86)+SUM(BM$71:BM$86)+SUM(BO$71:BO$86)</f>
        <v>230896.89289686873</v>
      </c>
      <c r="L135" s="112">
        <f>SUM(BQ$71:BQ$86)+SUM(BS$71:BS$86)+SUM(BU$71:BU$86)+SUM(BW$71:BW$86)</f>
        <v>252871.2</v>
      </c>
      <c r="M135" s="112">
        <f>SUM(BY$71:BY$86)+SUM(CA$71:CA$86)+SUM(CC$71:CC$86)+SUM(CE$71:CE$86)</f>
        <v>269717.29148189799</v>
      </c>
      <c r="N135" s="112">
        <f>SUM(CG$71:CG$86)+SUM(CI$71:CI$86)+SUM(CK$71:CK$86)+SUM(CM$71:CM$86)</f>
        <v>360588.49191464204</v>
      </c>
      <c r="O135" s="112">
        <f>SUM(CO$71:CO$86)+SUM(CQ$71:CQ$86)+SUM(CS$71:CS$86)+SUM(CU$71:CU$86)</f>
        <v>189355.35396490467</v>
      </c>
    </row>
    <row r="136" spans="2:15" x14ac:dyDescent="0.2">
      <c r="C136" s="111" t="s">
        <v>131</v>
      </c>
      <c r="D136" s="112">
        <f>SUM(E$87:E$94)+SUM(G$87:G$94)+SUM(I$87:I$94)+SUM(K$87:K$94)</f>
        <v>89657.082117118203</v>
      </c>
      <c r="E136" s="112">
        <f>SUM(M$87:M$94)+SUM(O$87:O$94)+SUM(Q$87:Q$94)+SUM(S$87:S$94)</f>
        <v>66577.366722044069</v>
      </c>
      <c r="F136" s="112">
        <f>SUM(U$87:U$94)+SUM(W$87:W$94)+SUM(Y$87:Y$94)+SUM(AA$87:AA$94)</f>
        <v>55339.240671080959</v>
      </c>
      <c r="G136" s="112">
        <f>SUM(AC$87:AC$94)+SUM(AE$87:AE$94)+SUM(AG$87:AG$94)+SUM(AI$87:AI$94)</f>
        <v>116885.02496072606</v>
      </c>
      <c r="H136" s="112">
        <f>SUM(AK$87:AK$94)+SUM(AM$87:AM$94)+SUM(AO$87:AO$94)+SUM(AQ$87:AQ$94)</f>
        <v>89201.971498896164</v>
      </c>
      <c r="I136" s="112">
        <f>SUM(AS$87:AS$94)+SUM(AU$87:AU$94)+SUM(AW$87:AW$94)+SUM(AY$87:AY$94)</f>
        <v>14539.27579589633</v>
      </c>
      <c r="J136" s="112">
        <f>SUM(BA$87:BA$94)+SUM(BC$87:BC$94)+SUM(BE$87:BE$94)+SUM(BG$87:BG$94)</f>
        <v>30715.063110669944</v>
      </c>
      <c r="K136" s="112">
        <f>SUM(BI$87:BI$94)+SUM(BK$87:BK$94)+SUM(BM$87:BM$94)+SUM(BO$87:BO$94)</f>
        <v>10744.362277511096</v>
      </c>
      <c r="L136" s="112">
        <f>SUM(BQ$87:BQ$94)+SUM(BS$87:BS$94)+SUM(BU$87:BU$94)+SUM(BW$87:BW$94)</f>
        <v>1984.5215168988459</v>
      </c>
      <c r="M136" s="112">
        <f>SUM(BY$87:BY$94)+SUM(CA$87:CA$94)+SUM(CC$87:CC$94)+SUM(CE$87:CE$94)</f>
        <v>1066.6048444717444</v>
      </c>
      <c r="N136" s="112">
        <f>SUM(CG$87:CG$94)+SUM(CI$87:CI$94)+SUM(CK$87:CK$94)+SUM(CM$87:CM$94)</f>
        <v>10264.69304974755</v>
      </c>
      <c r="O136" s="112">
        <f>SUM(CO$87:CO$94)+SUM(CQ$87:CQ$94)+SUM(CS$87:CS$94)+SUM(CU$87:CU$94)</f>
        <v>50226.752952863884</v>
      </c>
    </row>
    <row r="137" spans="2:15" x14ac:dyDescent="0.2">
      <c r="C137" s="111" t="s">
        <v>132</v>
      </c>
      <c r="D137" s="112">
        <f>SUM(E$95:E$105)+SUM(G$95:G$105)+SUM(I$95:I$105)+SUM(K$95:K$105)</f>
        <v>330834.40916111291</v>
      </c>
      <c r="E137" s="112">
        <f>SUM(M$95:M$105)+SUM(O$95:O$105)+SUM(Q$95:Q$105)+SUM(S$95:S$105)</f>
        <v>256894.57601426856</v>
      </c>
      <c r="F137" s="112">
        <f>SUM(U$95:U$105)+SUM(W$95:W$105)+SUM(Y$95:Y$105)+SUM(AA$95:AA$105)</f>
        <v>216238.72493706626</v>
      </c>
      <c r="G137" s="112">
        <f>SUM(AC$95:AC$105)+SUM(AE$95:AE$105)+SUM(AG$95:AG$105)+SUM(AI$95:AI$105)</f>
        <v>234328.46615376489</v>
      </c>
      <c r="H137" s="112">
        <f>SUM(AK$95:AK$105)+SUM(AM$95:AM$105)+SUM(AO$95:AO$105)+SUM(AQ$95:AQ$105)</f>
        <v>235923.77218002276</v>
      </c>
      <c r="I137" s="112">
        <f>SUM(AS$95:AS$105)+SUM(AU$95:AU$105)+SUM(AW$95:AW$105)+SUM(AY$95:AY$105)</f>
        <v>32035.277440475176</v>
      </c>
      <c r="J137" s="112">
        <f>SUM(BA$95:BA$105)+SUM(BC$95:BC$105)+SUM(BE$95:BE$105)+SUM(BG$95:BG$105)</f>
        <v>110858.29643462414</v>
      </c>
      <c r="K137" s="112">
        <f>SUM(BI$95:BI$105)+SUM(BK$95:BK$105)+SUM(BM$95:BM$105)+SUM(BO$95:BO$105)</f>
        <v>38431.883436022807</v>
      </c>
      <c r="L137" s="112">
        <f>SUM(BQ$95:BQ$105)+SUM(BS$95:BS$105)+SUM(BU$95:BU$105)+SUM(BW$95:BW$105)</f>
        <v>6754.5498757707564</v>
      </c>
      <c r="M137" s="112">
        <f>SUM(BY$95:BY$105)+SUM(CA$95:CA$105)+SUM(CC$95:CC$105)+SUM(CE$95:CE$105)</f>
        <v>3470.5687411331223</v>
      </c>
      <c r="N137" s="112">
        <f>SUM(CG$95:CG$105)+SUM(CI$95:CI$105)+SUM(CK$95:CK$105)+SUM(CM$95:CM$105)</f>
        <v>36661.490709220539</v>
      </c>
      <c r="O137" s="112">
        <f>SUM(CO$95:CO$105)+SUM(CQ$95:CQ$105)+SUM(CS$95:CS$105)+SUM(CU$95:CU$105)</f>
        <v>105778.93180365273</v>
      </c>
    </row>
    <row r="138" spans="2:15" x14ac:dyDescent="0.2">
      <c r="C138" s="111" t="s">
        <v>278</v>
      </c>
      <c r="D138" s="106">
        <f t="shared" ref="D138:O138" si="2">SUM(D$131:D$137)</f>
        <v>2067551.1766622916</v>
      </c>
      <c r="E138" s="106">
        <f t="shared" si="2"/>
        <v>1740932.3797782403</v>
      </c>
      <c r="F138" s="106">
        <f t="shared" si="2"/>
        <v>1785177.8050352784</v>
      </c>
      <c r="G138" s="106">
        <f t="shared" si="2"/>
        <v>1837696.2092701315</v>
      </c>
      <c r="H138" s="106">
        <f t="shared" si="2"/>
        <v>1675104.9896737554</v>
      </c>
      <c r="I138" s="106">
        <f t="shared" si="2"/>
        <v>1416093.5107089272</v>
      </c>
      <c r="J138" s="106">
        <f t="shared" si="2"/>
        <v>1517986.4245042917</v>
      </c>
      <c r="K138" s="106">
        <f t="shared" si="2"/>
        <v>1703937.7314975471</v>
      </c>
      <c r="L138" s="106">
        <f t="shared" si="2"/>
        <v>1539752.7104653332</v>
      </c>
      <c r="M138" s="106">
        <f t="shared" si="2"/>
        <v>4421660.5138441827</v>
      </c>
      <c r="N138" s="106">
        <f t="shared" si="2"/>
        <v>4111836.1839633253</v>
      </c>
      <c r="O138" s="106">
        <f t="shared" si="2"/>
        <v>2849012.4966030023</v>
      </c>
    </row>
  </sheetData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U138"/>
  <sheetViews>
    <sheetView workbookViewId="0"/>
  </sheetViews>
  <sheetFormatPr defaultRowHeight="12.75" x14ac:dyDescent="0.2"/>
  <cols>
    <col min="1" max="16384" width="9.140625" style="106"/>
  </cols>
  <sheetData>
    <row r="1" spans="1:99" x14ac:dyDescent="0.2">
      <c r="A1" s="107"/>
    </row>
    <row r="2" spans="1:99" x14ac:dyDescent="0.2">
      <c r="B2" s="108" t="s">
        <v>272</v>
      </c>
    </row>
    <row r="3" spans="1:99" x14ac:dyDescent="0.2">
      <c r="B3" s="109" t="s">
        <v>273</v>
      </c>
    </row>
    <row r="4" spans="1:99" x14ac:dyDescent="0.2">
      <c r="A4" s="107"/>
      <c r="B4" s="107"/>
      <c r="C4" s="105" t="s">
        <v>274</v>
      </c>
      <c r="D4" s="105" t="s">
        <v>92</v>
      </c>
      <c r="E4" s="107"/>
      <c r="F4" s="107"/>
      <c r="G4" s="107"/>
      <c r="H4" s="107"/>
      <c r="I4" s="107"/>
      <c r="J4" s="107"/>
      <c r="K4" s="107"/>
      <c r="L4" s="105" t="s">
        <v>93</v>
      </c>
      <c r="M4" s="107"/>
      <c r="N4" s="107"/>
      <c r="O4" s="107"/>
      <c r="P4" s="107"/>
      <c r="Q4" s="107"/>
      <c r="R4" s="107"/>
      <c r="S4" s="107"/>
      <c r="T4" s="105" t="s">
        <v>94</v>
      </c>
      <c r="U4" s="107"/>
      <c r="V4" s="107"/>
      <c r="W4" s="107"/>
      <c r="X4" s="107"/>
      <c r="Y4" s="107"/>
      <c r="Z4" s="107"/>
      <c r="AA4" s="107"/>
      <c r="AB4" s="105" t="s">
        <v>95</v>
      </c>
      <c r="AC4" s="107"/>
      <c r="AD4" s="107"/>
      <c r="AE4" s="107"/>
      <c r="AF4" s="107"/>
      <c r="AG4" s="107"/>
      <c r="AH4" s="107"/>
      <c r="AI4" s="107"/>
      <c r="AJ4" s="105" t="s">
        <v>96</v>
      </c>
      <c r="AK4" s="107"/>
      <c r="AL4" s="107"/>
      <c r="AM4" s="107"/>
      <c r="AN4" s="107"/>
      <c r="AO4" s="107"/>
      <c r="AP4" s="107"/>
      <c r="AQ4" s="107"/>
      <c r="AR4" s="105" t="s">
        <v>97</v>
      </c>
      <c r="AS4" s="107"/>
      <c r="AT4" s="107"/>
      <c r="AU4" s="107"/>
      <c r="AV4" s="107"/>
      <c r="AW4" s="107"/>
      <c r="AX4" s="107"/>
      <c r="AY4" s="107"/>
      <c r="AZ4" s="105" t="s">
        <v>98</v>
      </c>
      <c r="BA4" s="107"/>
      <c r="BB4" s="107"/>
      <c r="BC4" s="107"/>
      <c r="BD4" s="107"/>
      <c r="BE4" s="107"/>
      <c r="BF4" s="107"/>
      <c r="BG4" s="107"/>
      <c r="BH4" s="105" t="s">
        <v>99</v>
      </c>
      <c r="BI4" s="107"/>
      <c r="BJ4" s="107"/>
      <c r="BK4" s="107"/>
      <c r="BL4" s="107"/>
      <c r="BM4" s="107"/>
      <c r="BN4" s="107"/>
      <c r="BO4" s="107"/>
      <c r="BP4" s="105" t="s">
        <v>100</v>
      </c>
      <c r="BQ4" s="107"/>
      <c r="BR4" s="107"/>
      <c r="BS4" s="107"/>
      <c r="BT4" s="107"/>
      <c r="BU4" s="107"/>
      <c r="BV4" s="107"/>
      <c r="BW4" s="107"/>
      <c r="BX4" s="105" t="s">
        <v>101</v>
      </c>
      <c r="BY4" s="107"/>
      <c r="BZ4" s="107"/>
      <c r="CA4" s="107"/>
      <c r="CB4" s="107"/>
      <c r="CC4" s="107"/>
      <c r="CD4" s="107"/>
      <c r="CE4" s="107"/>
      <c r="CF4" s="105" t="s">
        <v>102</v>
      </c>
      <c r="CG4" s="107"/>
      <c r="CH4" s="107"/>
      <c r="CI4" s="107"/>
      <c r="CJ4" s="107"/>
      <c r="CK4" s="107"/>
      <c r="CL4" s="107"/>
      <c r="CM4" s="107"/>
      <c r="CN4" s="105" t="s">
        <v>103</v>
      </c>
      <c r="CO4" s="107"/>
      <c r="CP4" s="107"/>
      <c r="CQ4" s="107"/>
      <c r="CR4" s="107"/>
      <c r="CS4" s="107"/>
      <c r="CT4" s="107"/>
      <c r="CU4" s="107"/>
    </row>
    <row r="5" spans="1:99" x14ac:dyDescent="0.2">
      <c r="B5" s="105" t="s">
        <v>167</v>
      </c>
      <c r="C5" s="105" t="s">
        <v>275</v>
      </c>
      <c r="D5" s="105">
        <v>1</v>
      </c>
      <c r="E5" s="105"/>
      <c r="F5" s="105">
        <v>2</v>
      </c>
      <c r="G5" s="105"/>
      <c r="H5" s="105">
        <v>3</v>
      </c>
      <c r="I5" s="105"/>
      <c r="J5" s="105">
        <v>4</v>
      </c>
      <c r="K5" s="105"/>
      <c r="L5" s="105">
        <v>1</v>
      </c>
      <c r="M5" s="105"/>
      <c r="N5" s="105">
        <v>2</v>
      </c>
      <c r="O5" s="105"/>
      <c r="P5" s="105">
        <v>3</v>
      </c>
      <c r="Q5" s="105"/>
      <c r="R5" s="105">
        <v>4</v>
      </c>
      <c r="S5" s="105"/>
      <c r="T5" s="105">
        <v>1</v>
      </c>
      <c r="U5" s="105"/>
      <c r="V5" s="105">
        <v>2</v>
      </c>
      <c r="W5" s="105"/>
      <c r="X5" s="105">
        <v>3</v>
      </c>
      <c r="Y5" s="105"/>
      <c r="Z5" s="105">
        <v>4</v>
      </c>
      <c r="AA5" s="105"/>
      <c r="AB5" s="105">
        <v>1</v>
      </c>
      <c r="AC5" s="105"/>
      <c r="AD5" s="105">
        <v>2</v>
      </c>
      <c r="AE5" s="105"/>
      <c r="AF5" s="105">
        <v>3</v>
      </c>
      <c r="AG5" s="105"/>
      <c r="AH5" s="105">
        <v>4</v>
      </c>
      <c r="AI5" s="105"/>
      <c r="AJ5" s="105">
        <v>1</v>
      </c>
      <c r="AK5" s="105"/>
      <c r="AL5" s="105">
        <v>2</v>
      </c>
      <c r="AM5" s="105"/>
      <c r="AN5" s="105">
        <v>3</v>
      </c>
      <c r="AO5" s="105"/>
      <c r="AP5" s="105">
        <v>4</v>
      </c>
      <c r="AQ5" s="105"/>
      <c r="AR5" s="105">
        <v>1</v>
      </c>
      <c r="AS5" s="105"/>
      <c r="AT5" s="105">
        <v>2</v>
      </c>
      <c r="AU5" s="105"/>
      <c r="AV5" s="105">
        <v>3</v>
      </c>
      <c r="AW5" s="105"/>
      <c r="AX5" s="105">
        <v>4</v>
      </c>
      <c r="AY5" s="105"/>
      <c r="AZ5" s="105">
        <v>1</v>
      </c>
      <c r="BA5" s="105"/>
      <c r="BB5" s="105">
        <v>2</v>
      </c>
      <c r="BC5" s="105"/>
      <c r="BD5" s="105">
        <v>3</v>
      </c>
      <c r="BE5" s="105"/>
      <c r="BF5" s="105">
        <v>4</v>
      </c>
      <c r="BG5" s="105"/>
      <c r="BH5" s="105">
        <v>1</v>
      </c>
      <c r="BI5" s="105"/>
      <c r="BJ5" s="105">
        <v>2</v>
      </c>
      <c r="BK5" s="105"/>
      <c r="BL5" s="105">
        <v>3</v>
      </c>
      <c r="BM5" s="105"/>
      <c r="BN5" s="105">
        <v>4</v>
      </c>
      <c r="BO5" s="105"/>
      <c r="BP5" s="105">
        <v>1</v>
      </c>
      <c r="BQ5" s="105"/>
      <c r="BR5" s="105">
        <v>2</v>
      </c>
      <c r="BS5" s="105"/>
      <c r="BT5" s="105">
        <v>3</v>
      </c>
      <c r="BU5" s="105"/>
      <c r="BV5" s="105">
        <v>4</v>
      </c>
      <c r="BW5" s="105"/>
      <c r="BX5" s="105">
        <v>1</v>
      </c>
      <c r="BY5" s="105"/>
      <c r="BZ5" s="105">
        <v>2</v>
      </c>
      <c r="CA5" s="105"/>
      <c r="CB5" s="105">
        <v>3</v>
      </c>
      <c r="CC5" s="105"/>
      <c r="CD5" s="105">
        <v>4</v>
      </c>
      <c r="CE5" s="105"/>
      <c r="CF5" s="105">
        <v>1</v>
      </c>
      <c r="CG5" s="105"/>
      <c r="CH5" s="105">
        <v>2</v>
      </c>
      <c r="CI5" s="105"/>
      <c r="CJ5" s="105">
        <v>3</v>
      </c>
      <c r="CK5" s="105"/>
      <c r="CL5" s="105">
        <v>4</v>
      </c>
      <c r="CM5" s="105"/>
      <c r="CN5" s="105">
        <v>1</v>
      </c>
      <c r="CO5" s="105"/>
      <c r="CP5" s="105">
        <v>2</v>
      </c>
      <c r="CQ5" s="105"/>
      <c r="CR5" s="105">
        <v>3</v>
      </c>
      <c r="CS5" s="105"/>
      <c r="CT5" s="105">
        <v>4</v>
      </c>
      <c r="CU5" s="105"/>
    </row>
    <row r="6" spans="1:99" x14ac:dyDescent="0.2">
      <c r="B6" s="105" t="s">
        <v>126</v>
      </c>
      <c r="C6" s="105" t="s">
        <v>172</v>
      </c>
      <c r="D6" s="106">
        <v>23</v>
      </c>
      <c r="E6" s="106">
        <v>15704.4</v>
      </c>
      <c r="F6" s="106">
        <v>17.128047105725411</v>
      </c>
      <c r="G6" s="106">
        <v>11695.030563789311</v>
      </c>
      <c r="H6" s="106">
        <v>22</v>
      </c>
      <c r="I6" s="106">
        <v>15021.599999999999</v>
      </c>
      <c r="J6" s="106">
        <v>26.278394372330062</v>
      </c>
      <c r="K6" s="106">
        <v>17942.887677426967</v>
      </c>
      <c r="L6" s="106">
        <v>28.173867369744777</v>
      </c>
      <c r="M6" s="106">
        <v>19237.116640061733</v>
      </c>
      <c r="N6" s="106">
        <v>19.229916163386974</v>
      </c>
      <c r="O6" s="106">
        <v>13130.186756360625</v>
      </c>
      <c r="P6" s="106">
        <v>18.231184949709419</v>
      </c>
      <c r="Q6" s="106">
        <v>12448.253083661592</v>
      </c>
      <c r="R6" s="106">
        <v>16.105340647226637</v>
      </c>
      <c r="S6" s="106">
        <v>10996.726593926347</v>
      </c>
      <c r="T6" s="106">
        <v>12.333471616729287</v>
      </c>
      <c r="U6" s="106">
        <v>8421.294419902757</v>
      </c>
      <c r="V6" s="106">
        <v>7.7477929333465392</v>
      </c>
      <c r="W6" s="106">
        <v>5290.1930148890169</v>
      </c>
      <c r="X6" s="106">
        <v>3.4617264716029998</v>
      </c>
      <c r="Y6" s="106">
        <v>2363.6668348105281</v>
      </c>
      <c r="Z6" s="106">
        <v>6.5627337484166803</v>
      </c>
      <c r="AA6" s="106">
        <v>4481.0346034189088</v>
      </c>
      <c r="AB6" s="106">
        <v>2.908791232927876</v>
      </c>
      <c r="AC6" s="106">
        <v>1986.1226538431536</v>
      </c>
      <c r="AD6" s="106">
        <v>12.088413952391701</v>
      </c>
      <c r="AE6" s="106">
        <v>8253.9690466930533</v>
      </c>
      <c r="AF6" s="106">
        <v>12.300451309422694</v>
      </c>
      <c r="AG6" s="106">
        <v>8398.7481540738154</v>
      </c>
      <c r="AH6" s="106">
        <v>4.5386777548418467</v>
      </c>
      <c r="AI6" s="106">
        <v>3099.0091710060128</v>
      </c>
      <c r="AJ6" s="106">
        <v>9.2486088843271226</v>
      </c>
      <c r="AK6" s="106">
        <v>6314.950146218559</v>
      </c>
      <c r="AL6" s="106">
        <v>7.4023846022701534</v>
      </c>
      <c r="AM6" s="106">
        <v>5054.3482064300606</v>
      </c>
      <c r="AN6" s="106">
        <v>12.422379872867426</v>
      </c>
      <c r="AO6" s="106">
        <v>8482.0009771938785</v>
      </c>
      <c r="AP6" s="106">
        <v>10.135964944295948</v>
      </c>
      <c r="AQ6" s="106">
        <v>6920.8368639652726</v>
      </c>
      <c r="AR6" s="106">
        <v>5.0644972183921446</v>
      </c>
      <c r="AS6" s="106">
        <v>3458.0387007181562</v>
      </c>
      <c r="AT6" s="106">
        <v>5.1340052508045737</v>
      </c>
      <c r="AU6" s="106">
        <v>3505.4987852493628</v>
      </c>
      <c r="AV6" s="106">
        <v>5</v>
      </c>
      <c r="AW6" s="106">
        <v>3414</v>
      </c>
      <c r="AX6" s="106">
        <v>7.2628497119928754</v>
      </c>
      <c r="AY6" s="106">
        <v>4959.0737833487347</v>
      </c>
      <c r="AZ6" s="106">
        <v>11.252123153398735</v>
      </c>
      <c r="BA6" s="106">
        <v>7682.9496891406552</v>
      </c>
      <c r="BB6" s="106">
        <v>6.596524576050407</v>
      </c>
      <c r="BC6" s="106">
        <v>4504.1069805272173</v>
      </c>
      <c r="BD6" s="106">
        <v>3.3105586098348438</v>
      </c>
      <c r="BE6" s="106">
        <v>2260.4494187952314</v>
      </c>
      <c r="BF6" s="106">
        <v>12.85659661737575</v>
      </c>
      <c r="BG6" s="106">
        <v>8778.4841703441616</v>
      </c>
      <c r="BH6" s="106">
        <v>9.3344801593137827</v>
      </c>
      <c r="BI6" s="106">
        <v>6373.5830527794506</v>
      </c>
      <c r="BJ6" s="106">
        <v>11.477736081051804</v>
      </c>
      <c r="BK6" s="106">
        <v>7836.9981961421709</v>
      </c>
      <c r="BL6" s="106">
        <v>9.7849942579230902</v>
      </c>
      <c r="BM6" s="106">
        <v>6681.1940793098856</v>
      </c>
      <c r="BN6" s="106">
        <v>17.646782459270764</v>
      </c>
      <c r="BO6" s="106">
        <v>12049.223063190077</v>
      </c>
      <c r="BP6" s="106">
        <v>9.1873824038679235</v>
      </c>
      <c r="BQ6" s="106">
        <v>6273.1447053610182</v>
      </c>
      <c r="BR6" s="106">
        <v>6.1938434675631582</v>
      </c>
      <c r="BS6" s="106">
        <v>4229.1563196521238</v>
      </c>
      <c r="BT6" s="106">
        <v>6</v>
      </c>
      <c r="BU6" s="106">
        <v>4096.7999999999993</v>
      </c>
      <c r="BV6" s="106">
        <v>6.2862698891077633</v>
      </c>
      <c r="BW6" s="106">
        <v>4292.2650802827802</v>
      </c>
      <c r="BX6" s="106">
        <v>8.8985922297943869</v>
      </c>
      <c r="BY6" s="106">
        <v>6075.9587745036069</v>
      </c>
      <c r="BZ6" s="106">
        <v>7.1269864460393295</v>
      </c>
      <c r="CA6" s="106">
        <v>4866.3063453556542</v>
      </c>
      <c r="CB6" s="106">
        <v>9.7484621810787679</v>
      </c>
      <c r="CC6" s="106">
        <v>6656.2499772405827</v>
      </c>
      <c r="CD6" s="106">
        <v>7.902966954198221</v>
      </c>
      <c r="CE6" s="106">
        <v>5396.1458363265447</v>
      </c>
      <c r="CF6" s="106">
        <v>3.1256316876558112</v>
      </c>
      <c r="CG6" s="106">
        <v>2134.1813163313877</v>
      </c>
      <c r="CH6" s="106">
        <v>8.8493870211900951</v>
      </c>
      <c r="CI6" s="106">
        <v>6042.3614580685962</v>
      </c>
      <c r="CJ6" s="106">
        <v>3.3169968930224938</v>
      </c>
      <c r="CK6" s="106">
        <v>2264.8454785557587</v>
      </c>
      <c r="CL6" s="106">
        <v>6.5360651874927074</v>
      </c>
      <c r="CM6" s="106">
        <v>4462.82531002002</v>
      </c>
      <c r="CN6" s="106">
        <v>16.931936640989584</v>
      </c>
      <c r="CO6" s="106">
        <v>11561.126338467688</v>
      </c>
      <c r="CP6" s="106">
        <v>19.826157732358123</v>
      </c>
      <c r="CQ6" s="106">
        <v>13537.300499654126</v>
      </c>
      <c r="CR6" s="106">
        <v>18.2217128554949</v>
      </c>
      <c r="CS6" s="106">
        <v>12441.785537731917</v>
      </c>
      <c r="CT6" s="106">
        <v>12.175421445430787</v>
      </c>
      <c r="CU6" s="106">
        <v>8313.3777629401411</v>
      </c>
    </row>
    <row r="7" spans="1:99" x14ac:dyDescent="0.2">
      <c r="C7" s="105" t="s">
        <v>173</v>
      </c>
      <c r="D7" s="106">
        <v>19</v>
      </c>
      <c r="E7" s="106">
        <v>16393.2</v>
      </c>
      <c r="F7" s="106">
        <v>15.170729474300547</v>
      </c>
      <c r="G7" s="106">
        <v>13089.305390426511</v>
      </c>
      <c r="H7" s="106">
        <v>18</v>
      </c>
      <c r="I7" s="106">
        <v>15530.4</v>
      </c>
      <c r="J7" s="106">
        <v>25.278394372330062</v>
      </c>
      <c r="K7" s="106">
        <v>21810.198664446376</v>
      </c>
      <c r="L7" s="106">
        <v>24.217334212180969</v>
      </c>
      <c r="M7" s="106">
        <v>20894.715958269739</v>
      </c>
      <c r="N7" s="106">
        <v>18.229916163386974</v>
      </c>
      <c r="O7" s="106">
        <v>15728.77166577028</v>
      </c>
      <c r="P7" s="106">
        <v>19.231184949709419</v>
      </c>
      <c r="Q7" s="106">
        <v>16592.666374609285</v>
      </c>
      <c r="R7" s="106">
        <v>14.105340647226637</v>
      </c>
      <c r="S7" s="106">
        <v>12170.087910427141</v>
      </c>
      <c r="T7" s="106">
        <v>10.361260918123394</v>
      </c>
      <c r="U7" s="106">
        <v>8939.6959201568643</v>
      </c>
      <c r="V7" s="106">
        <v>7.8474986577927446</v>
      </c>
      <c r="W7" s="106">
        <v>6770.8218419435798</v>
      </c>
      <c r="X7" s="106">
        <v>4.0386808835368324</v>
      </c>
      <c r="Y7" s="106">
        <v>3484.5738663155789</v>
      </c>
      <c r="Z7" s="106">
        <v>7.2664112270167838</v>
      </c>
      <c r="AA7" s="106">
        <v>6269.4596066700806</v>
      </c>
      <c r="AB7" s="106">
        <v>2.7269917808698838</v>
      </c>
      <c r="AC7" s="106">
        <v>2352.8485085345355</v>
      </c>
      <c r="AD7" s="106">
        <v>13.038777095411845</v>
      </c>
      <c r="AE7" s="106">
        <v>11249.85687792134</v>
      </c>
      <c r="AF7" s="106">
        <v>10.257529693790881</v>
      </c>
      <c r="AG7" s="106">
        <v>8850.1966198027712</v>
      </c>
      <c r="AH7" s="106">
        <v>4.5386777548418467</v>
      </c>
      <c r="AI7" s="106">
        <v>3915.9711668775449</v>
      </c>
      <c r="AJ7" s="106">
        <v>9.2486088843271226</v>
      </c>
      <c r="AK7" s="106">
        <v>7979.6997453974409</v>
      </c>
      <c r="AL7" s="106">
        <v>7.4023846022701534</v>
      </c>
      <c r="AM7" s="106">
        <v>6386.7774348386884</v>
      </c>
      <c r="AN7" s="106">
        <v>12.457578195606377</v>
      </c>
      <c r="AO7" s="106">
        <v>10748.398467169181</v>
      </c>
      <c r="AP7" s="106">
        <v>9.1255061024270283</v>
      </c>
      <c r="AQ7" s="106">
        <v>7873.4866651740394</v>
      </c>
      <c r="AR7" s="106">
        <v>5.0644972183921446</v>
      </c>
      <c r="AS7" s="106">
        <v>4369.6482000287424</v>
      </c>
      <c r="AT7" s="106">
        <v>4.1191157784929544</v>
      </c>
      <c r="AU7" s="106">
        <v>3553.9730936837209</v>
      </c>
      <c r="AV7" s="106">
        <v>6</v>
      </c>
      <c r="AW7" s="106">
        <v>5176.7999999999993</v>
      </c>
      <c r="AX7" s="106">
        <v>7.2628497119928754</v>
      </c>
      <c r="AY7" s="106">
        <v>6266.3867315074522</v>
      </c>
      <c r="AZ7" s="106">
        <v>12.252123153398735</v>
      </c>
      <c r="BA7" s="106">
        <v>10571.131856752429</v>
      </c>
      <c r="BB7" s="106">
        <v>6.596524576050407</v>
      </c>
      <c r="BC7" s="106">
        <v>5691.4814042162907</v>
      </c>
      <c r="BD7" s="106">
        <v>3.3105586098348438</v>
      </c>
      <c r="BE7" s="106">
        <v>2856.3499685655033</v>
      </c>
      <c r="BF7" s="106">
        <v>10.324945504274828</v>
      </c>
      <c r="BG7" s="106">
        <v>8908.3629810883212</v>
      </c>
      <c r="BH7" s="106">
        <v>9.3344801593137827</v>
      </c>
      <c r="BI7" s="106">
        <v>8053.7894814559313</v>
      </c>
      <c r="BJ7" s="106">
        <v>10.541434225192043</v>
      </c>
      <c r="BK7" s="106">
        <v>9095.1494494956951</v>
      </c>
      <c r="BL7" s="106">
        <v>8.895449325384627</v>
      </c>
      <c r="BM7" s="106">
        <v>7674.9936779418558</v>
      </c>
      <c r="BN7" s="106">
        <v>17.646782459270764</v>
      </c>
      <c r="BO7" s="106">
        <v>15225.643905858815</v>
      </c>
      <c r="BP7" s="106">
        <v>8.1873824038679235</v>
      </c>
      <c r="BQ7" s="106">
        <v>7064.0735380572441</v>
      </c>
      <c r="BR7" s="106">
        <v>6.1938434675631582</v>
      </c>
      <c r="BS7" s="106">
        <v>5344.048143813493</v>
      </c>
      <c r="BT7" s="106">
        <v>5</v>
      </c>
      <c r="BU7" s="106">
        <v>4314</v>
      </c>
      <c r="BV7" s="106">
        <v>6.2862698891077633</v>
      </c>
      <c r="BW7" s="106">
        <v>5423.7936603221779</v>
      </c>
      <c r="BX7" s="106">
        <v>9.9037220739092433</v>
      </c>
      <c r="BY7" s="106">
        <v>8544.931405368894</v>
      </c>
      <c r="BZ7" s="106">
        <v>6.5161777068183104</v>
      </c>
      <c r="CA7" s="106">
        <v>5622.1581254428384</v>
      </c>
      <c r="CB7" s="106">
        <v>7.6760874249056856</v>
      </c>
      <c r="CC7" s="106">
        <v>6622.9282302086249</v>
      </c>
      <c r="CD7" s="106">
        <v>6.6237224614319681</v>
      </c>
      <c r="CE7" s="106">
        <v>5714.9477397235014</v>
      </c>
      <c r="CF7" s="106">
        <v>2.8130685188902302</v>
      </c>
      <c r="CG7" s="106">
        <v>2427.1155180984906</v>
      </c>
      <c r="CH7" s="106">
        <v>7.6159528984421474</v>
      </c>
      <c r="CI7" s="106">
        <v>6571.0441607758848</v>
      </c>
      <c r="CJ7" s="106">
        <v>2.8066896787113409</v>
      </c>
      <c r="CK7" s="106">
        <v>2421.6118547921446</v>
      </c>
      <c r="CL7" s="106">
        <v>5.6683450820516796</v>
      </c>
      <c r="CM7" s="106">
        <v>4890.6481367941888</v>
      </c>
      <c r="CN7" s="106">
        <v>16.955769707997071</v>
      </c>
      <c r="CO7" s="106">
        <v>14629.438104059873</v>
      </c>
      <c r="CP7" s="106">
        <v>19.863203298584907</v>
      </c>
      <c r="CQ7" s="106">
        <v>17137.971806019057</v>
      </c>
      <c r="CR7" s="106">
        <v>18.2217128554949</v>
      </c>
      <c r="CS7" s="106">
        <v>15721.693851720998</v>
      </c>
      <c r="CT7" s="106">
        <v>9.1559301737162553</v>
      </c>
      <c r="CU7" s="106">
        <v>7899.7365538823842</v>
      </c>
    </row>
    <row r="8" spans="1:99" x14ac:dyDescent="0.2">
      <c r="C8" s="105" t="s">
        <v>174</v>
      </c>
      <c r="D8" s="106">
        <v>22</v>
      </c>
      <c r="E8" s="106">
        <v>7207.1999999999989</v>
      </c>
      <c r="F8" s="106">
        <v>17.170729474300547</v>
      </c>
      <c r="G8" s="106">
        <v>5625.1309757808585</v>
      </c>
      <c r="H8" s="106">
        <v>20</v>
      </c>
      <c r="I8" s="106">
        <v>6551.9999999999991</v>
      </c>
      <c r="J8" s="106">
        <v>28.278394372330062</v>
      </c>
      <c r="K8" s="106">
        <v>9264.0019963753275</v>
      </c>
      <c r="L8" s="106">
        <v>31.217334212180969</v>
      </c>
      <c r="M8" s="106">
        <v>10226.798687910485</v>
      </c>
      <c r="N8" s="106">
        <v>21.229916163386974</v>
      </c>
      <c r="O8" s="106">
        <v>6954.9205351255723</v>
      </c>
      <c r="P8" s="106">
        <v>18.231184949709419</v>
      </c>
      <c r="Q8" s="106">
        <v>5972.5361895248052</v>
      </c>
      <c r="R8" s="106">
        <v>17.105340647226637</v>
      </c>
      <c r="S8" s="106">
        <v>5603.7095960314455</v>
      </c>
      <c r="T8" s="106">
        <v>13.333471616729287</v>
      </c>
      <c r="U8" s="106">
        <v>4368.0453016405145</v>
      </c>
      <c r="V8" s="106">
        <v>7.9472043822389491</v>
      </c>
      <c r="W8" s="106">
        <v>2603.5041556214796</v>
      </c>
      <c r="X8" s="106">
        <v>4.0386808835368324</v>
      </c>
      <c r="Y8" s="106">
        <v>1323.0718574466662</v>
      </c>
      <c r="Z8" s="106">
        <v>7.9445735455040261</v>
      </c>
      <c r="AA8" s="106">
        <v>2602.6422935071187</v>
      </c>
      <c r="AB8" s="106">
        <v>2.5451923288118912</v>
      </c>
      <c r="AC8" s="106">
        <v>833.80500691877546</v>
      </c>
      <c r="AD8" s="106">
        <v>13.079015697538315</v>
      </c>
      <c r="AE8" s="106">
        <v>4284.6855425135518</v>
      </c>
      <c r="AF8" s="106">
        <v>13.300451309422694</v>
      </c>
      <c r="AG8" s="106">
        <v>4357.2278489668743</v>
      </c>
      <c r="AH8" s="106">
        <v>4.5331954785511153</v>
      </c>
      <c r="AI8" s="106">
        <v>1485.0748387733452</v>
      </c>
      <c r="AJ8" s="106">
        <v>9.2868564049928342</v>
      </c>
      <c r="AK8" s="106">
        <v>3042.374158275652</v>
      </c>
      <c r="AL8" s="106">
        <v>7.4023846022701534</v>
      </c>
      <c r="AM8" s="106">
        <v>2425.0211957037018</v>
      </c>
      <c r="AN8" s="106">
        <v>14.49277651834533</v>
      </c>
      <c r="AO8" s="106">
        <v>4747.8335874099294</v>
      </c>
      <c r="AP8" s="106">
        <v>10.146423786164867</v>
      </c>
      <c r="AQ8" s="106">
        <v>3323.9684323476099</v>
      </c>
      <c r="AR8" s="106">
        <v>5.0806215229901808</v>
      </c>
      <c r="AS8" s="106">
        <v>1664.411610931583</v>
      </c>
      <c r="AT8" s="106">
        <v>5.1340052508045737</v>
      </c>
      <c r="AU8" s="106">
        <v>1681.9001201635781</v>
      </c>
      <c r="AV8" s="106">
        <v>6</v>
      </c>
      <c r="AW8" s="106">
        <v>1965.6</v>
      </c>
      <c r="AX8" s="106">
        <v>9.2628497119928763</v>
      </c>
      <c r="AY8" s="106">
        <v>3034.5095656488661</v>
      </c>
      <c r="AZ8" s="106">
        <v>14.283638547573577</v>
      </c>
      <c r="BA8" s="106">
        <v>4679.3199881851033</v>
      </c>
      <c r="BB8" s="106">
        <v>7.4246284932299478</v>
      </c>
      <c r="BC8" s="106">
        <v>2432.3082943821305</v>
      </c>
      <c r="BD8" s="106">
        <v>3.3105586098348438</v>
      </c>
      <c r="BE8" s="106">
        <v>1084.5390005818947</v>
      </c>
      <c r="BF8" s="106">
        <v>12.012712913008775</v>
      </c>
      <c r="BG8" s="106">
        <v>3935.3647503016741</v>
      </c>
      <c r="BH8" s="106">
        <v>9.3344801593137827</v>
      </c>
      <c r="BI8" s="106">
        <v>3057.9757001911948</v>
      </c>
      <c r="BJ8" s="106">
        <v>10.541434225192043</v>
      </c>
      <c r="BK8" s="106">
        <v>3453.3738521729128</v>
      </c>
      <c r="BL8" s="106">
        <v>9.7849942579230902</v>
      </c>
      <c r="BM8" s="106">
        <v>3205.5641188956042</v>
      </c>
      <c r="BN8" s="106">
        <v>17.646782459270764</v>
      </c>
      <c r="BO8" s="106">
        <v>5781.0859336571011</v>
      </c>
      <c r="BP8" s="106">
        <v>9.1873824038679235</v>
      </c>
      <c r="BQ8" s="106">
        <v>3009.7864755071314</v>
      </c>
      <c r="BR8" s="106">
        <v>6.2261507121570174</v>
      </c>
      <c r="BS8" s="106">
        <v>2039.6869733026388</v>
      </c>
      <c r="BT8" s="106">
        <v>6</v>
      </c>
      <c r="BU8" s="106">
        <v>1965.6</v>
      </c>
      <c r="BV8" s="106">
        <v>6.3339815372923907</v>
      </c>
      <c r="BW8" s="106">
        <v>2075.012351616987</v>
      </c>
      <c r="BX8" s="106">
        <v>9.9037220739092433</v>
      </c>
      <c r="BY8" s="106">
        <v>3244.4593514126677</v>
      </c>
      <c r="BZ8" s="106">
        <v>7.1269864460393295</v>
      </c>
      <c r="CA8" s="106">
        <v>2334.8007597224841</v>
      </c>
      <c r="CB8" s="106">
        <v>9.0457659825178336</v>
      </c>
      <c r="CC8" s="106">
        <v>2963.3929358728419</v>
      </c>
      <c r="CD8" s="106">
        <v>7.9192169540268429</v>
      </c>
      <c r="CE8" s="106">
        <v>2594.3354741391936</v>
      </c>
      <c r="CF8" s="106">
        <v>3.7507580251869732</v>
      </c>
      <c r="CG8" s="106">
        <v>1228.7483290512523</v>
      </c>
      <c r="CH8" s="106">
        <v>9.4661040825640708</v>
      </c>
      <c r="CI8" s="106">
        <v>3101.0956974479891</v>
      </c>
      <c r="CJ8" s="106">
        <v>3.3169968930224938</v>
      </c>
      <c r="CK8" s="106">
        <v>1086.6481821541688</v>
      </c>
      <c r="CL8" s="106">
        <v>6.9229845790715405</v>
      </c>
      <c r="CM8" s="106">
        <v>2267.9697481038365</v>
      </c>
      <c r="CN8" s="106">
        <v>17.943354310287933</v>
      </c>
      <c r="CO8" s="106">
        <v>5878.2428720503267</v>
      </c>
      <c r="CP8" s="106">
        <v>20.810056505730671</v>
      </c>
      <c r="CQ8" s="106">
        <v>6817.3745112773668</v>
      </c>
      <c r="CR8" s="106">
        <v>17.190039590424199</v>
      </c>
      <c r="CS8" s="106">
        <v>5631.456969822967</v>
      </c>
      <c r="CT8" s="106">
        <v>10.175421445430787</v>
      </c>
      <c r="CU8" s="106">
        <v>3333.4680655231255</v>
      </c>
    </row>
    <row r="9" spans="1:99" x14ac:dyDescent="0.2">
      <c r="C9" s="105" t="s">
        <v>175</v>
      </c>
      <c r="D9" s="106">
        <v>19</v>
      </c>
      <c r="E9" s="106">
        <v>15253.199999999999</v>
      </c>
      <c r="F9" s="106">
        <v>16.170729474300547</v>
      </c>
      <c r="G9" s="106">
        <v>12981.861621968479</v>
      </c>
      <c r="H9" s="106">
        <v>18</v>
      </c>
      <c r="I9" s="106">
        <v>14450.4</v>
      </c>
      <c r="J9" s="106">
        <v>27.278394372330062</v>
      </c>
      <c r="K9" s="106">
        <v>21899.095002106573</v>
      </c>
      <c r="L9" s="106">
        <v>28.217334212180969</v>
      </c>
      <c r="M9" s="106">
        <v>22652.87590553888</v>
      </c>
      <c r="N9" s="106">
        <v>19.229916163386974</v>
      </c>
      <c r="O9" s="106">
        <v>15437.776695967063</v>
      </c>
      <c r="P9" s="106">
        <v>19.231184949709419</v>
      </c>
      <c r="Q9" s="106">
        <v>15438.795277626721</v>
      </c>
      <c r="R9" s="106">
        <v>14.105340647226637</v>
      </c>
      <c r="S9" s="106">
        <v>11323.767471593543</v>
      </c>
      <c r="T9" s="106">
        <v>11.333471616729287</v>
      </c>
      <c r="U9" s="106">
        <v>9098.5110139102708</v>
      </c>
      <c r="V9" s="106">
        <v>7.8474986577927446</v>
      </c>
      <c r="W9" s="106">
        <v>6299.9719224760147</v>
      </c>
      <c r="X9" s="106">
        <v>3.4617264716029998</v>
      </c>
      <c r="Y9" s="106">
        <v>2779.0740114028881</v>
      </c>
      <c r="Z9" s="106">
        <v>7.2919263871296449</v>
      </c>
      <c r="AA9" s="106">
        <v>5853.9585035876789</v>
      </c>
      <c r="AB9" s="106">
        <v>2.7269917808698838</v>
      </c>
      <c r="AC9" s="106">
        <v>2189.2290016823426</v>
      </c>
      <c r="AD9" s="106">
        <v>14.069617442684928</v>
      </c>
      <c r="AE9" s="106">
        <v>11295.08888298746</v>
      </c>
      <c r="AF9" s="106">
        <v>10.300451309422694</v>
      </c>
      <c r="AG9" s="106">
        <v>8269.202311204539</v>
      </c>
      <c r="AH9" s="106">
        <v>5.0393204322971199</v>
      </c>
      <c r="AI9" s="106">
        <v>4045.5664430481274</v>
      </c>
      <c r="AJ9" s="106">
        <v>9.2677326446599793</v>
      </c>
      <c r="AK9" s="106">
        <v>7440.1357671330306</v>
      </c>
      <c r="AL9" s="106">
        <v>7.4023846022701534</v>
      </c>
      <c r="AM9" s="106">
        <v>5942.6343587024785</v>
      </c>
      <c r="AN9" s="106">
        <v>12.457578195606377</v>
      </c>
      <c r="AO9" s="106">
        <v>10000.943775432799</v>
      </c>
      <c r="AP9" s="106">
        <v>10.146423786164867</v>
      </c>
      <c r="AQ9" s="106">
        <v>8145.5490155331545</v>
      </c>
      <c r="AR9" s="106">
        <v>5.0806215229901808</v>
      </c>
      <c r="AS9" s="106">
        <v>4078.7229586565168</v>
      </c>
      <c r="AT9" s="106">
        <v>4.1340052508045737</v>
      </c>
      <c r="AU9" s="106">
        <v>3318.7794153459117</v>
      </c>
      <c r="AV9" s="106">
        <v>5</v>
      </c>
      <c r="AW9" s="106">
        <v>4014</v>
      </c>
      <c r="AX9" s="106">
        <v>8.2628497119928763</v>
      </c>
      <c r="AY9" s="106">
        <v>6633.4157487878811</v>
      </c>
      <c r="AZ9" s="106">
        <v>11.283638547573577</v>
      </c>
      <c r="BA9" s="106">
        <v>9058.5050259920681</v>
      </c>
      <c r="BB9" s="106">
        <v>6.6248313374363281</v>
      </c>
      <c r="BC9" s="106">
        <v>5318.4145976938835</v>
      </c>
      <c r="BD9" s="106">
        <v>3.3105586098348438</v>
      </c>
      <c r="BE9" s="106">
        <v>2657.7164519754124</v>
      </c>
      <c r="BF9" s="106">
        <v>12.012712913008775</v>
      </c>
      <c r="BG9" s="106">
        <v>9643.8059265634438</v>
      </c>
      <c r="BH9" s="106">
        <v>9.3344801593137827</v>
      </c>
      <c r="BI9" s="106">
        <v>7493.7206718971047</v>
      </c>
      <c r="BJ9" s="106">
        <v>11.573283297262163</v>
      </c>
      <c r="BK9" s="106">
        <v>9291.0318310420644</v>
      </c>
      <c r="BL9" s="106">
        <v>8.895449325384627</v>
      </c>
      <c r="BM9" s="106">
        <v>7141.2667184187785</v>
      </c>
      <c r="BN9" s="106">
        <v>17.646782459270764</v>
      </c>
      <c r="BO9" s="106">
        <v>14166.836958302569</v>
      </c>
      <c r="BP9" s="106">
        <v>8.1606134890296484</v>
      </c>
      <c r="BQ9" s="106">
        <v>6551.3405089930011</v>
      </c>
      <c r="BR9" s="106">
        <v>6.2261507121570174</v>
      </c>
      <c r="BS9" s="106">
        <v>4998.3537917196536</v>
      </c>
      <c r="BT9" s="106">
        <v>6</v>
      </c>
      <c r="BU9" s="106">
        <v>4816.7999999999993</v>
      </c>
      <c r="BV9" s="106">
        <v>6.2862698891077633</v>
      </c>
      <c r="BW9" s="106">
        <v>5046.617466975712</v>
      </c>
      <c r="BX9" s="106">
        <v>9.8791260127026899</v>
      </c>
      <c r="BY9" s="106">
        <v>7930.9623629977186</v>
      </c>
      <c r="BZ9" s="106">
        <v>6.5499641109204605</v>
      </c>
      <c r="CA9" s="106">
        <v>5258.3111882469457</v>
      </c>
      <c r="CB9" s="106">
        <v>9.0457659825178336</v>
      </c>
      <c r="CC9" s="106">
        <v>7261.9409307653168</v>
      </c>
      <c r="CD9" s="106">
        <v>7.2633447078150937</v>
      </c>
      <c r="CE9" s="106">
        <v>5831.0131314339569</v>
      </c>
      <c r="CF9" s="106">
        <v>3.1256316876558112</v>
      </c>
      <c r="CG9" s="106">
        <v>2509.2571188500851</v>
      </c>
      <c r="CH9" s="106">
        <v>8.201905936679772</v>
      </c>
      <c r="CI9" s="106">
        <v>6584.4900859665204</v>
      </c>
      <c r="CJ9" s="106">
        <v>3.0618432858669169</v>
      </c>
      <c r="CK9" s="106">
        <v>2458.0477898939607</v>
      </c>
      <c r="CL9" s="106">
        <v>6.0928170025438577</v>
      </c>
      <c r="CM9" s="106">
        <v>4891.3134896422089</v>
      </c>
      <c r="CN9" s="106">
        <v>15.944352038698721</v>
      </c>
      <c r="CO9" s="106">
        <v>12800.125816667332</v>
      </c>
      <c r="CP9" s="106">
        <v>20.810056505730671</v>
      </c>
      <c r="CQ9" s="106">
        <v>16706.313362800582</v>
      </c>
      <c r="CR9" s="106">
        <v>16.2217128554949</v>
      </c>
      <c r="CS9" s="106">
        <v>13022.791080391306</v>
      </c>
      <c r="CT9" s="106">
        <v>10.155930173716255</v>
      </c>
      <c r="CU9" s="106">
        <v>8153.1807434594093</v>
      </c>
    </row>
    <row r="10" spans="1:99" x14ac:dyDescent="0.2">
      <c r="C10" s="105" t="s">
        <v>176</v>
      </c>
      <c r="D10" s="106">
        <v>23</v>
      </c>
      <c r="E10" s="106">
        <v>12806.4</v>
      </c>
      <c r="F10" s="106">
        <v>15.170729474300547</v>
      </c>
      <c r="G10" s="106">
        <v>8447.0621712905431</v>
      </c>
      <c r="H10" s="106">
        <v>19</v>
      </c>
      <c r="I10" s="106">
        <v>10579.199999999999</v>
      </c>
      <c r="J10" s="106">
        <v>30.278394372330062</v>
      </c>
      <c r="K10" s="106">
        <v>16859.009986513378</v>
      </c>
      <c r="L10" s="106">
        <v>26.217334212180969</v>
      </c>
      <c r="M10" s="106">
        <v>14597.811689342363</v>
      </c>
      <c r="N10" s="106">
        <v>18.229916163386974</v>
      </c>
      <c r="O10" s="106">
        <v>10150.417319773867</v>
      </c>
      <c r="P10" s="106">
        <v>20.231184949709419</v>
      </c>
      <c r="Q10" s="106">
        <v>11264.723779998203</v>
      </c>
      <c r="R10" s="106">
        <v>16.105340647226637</v>
      </c>
      <c r="S10" s="106">
        <v>8967.4536723757901</v>
      </c>
      <c r="T10" s="106">
        <v>10.333471616729287</v>
      </c>
      <c r="U10" s="106">
        <v>5753.6769961948667</v>
      </c>
      <c r="V10" s="106">
        <v>8.9472043822389491</v>
      </c>
      <c r="W10" s="106">
        <v>4981.8034000306461</v>
      </c>
      <c r="X10" s="106">
        <v>3.4617264716029998</v>
      </c>
      <c r="Y10" s="106">
        <v>1927.4892993885501</v>
      </c>
      <c r="Z10" s="106">
        <v>7.2408960669039226</v>
      </c>
      <c r="AA10" s="106">
        <v>4031.7309300521038</v>
      </c>
      <c r="AB10" s="106">
        <v>2.7269917808698838</v>
      </c>
      <c r="AC10" s="106">
        <v>1518.3890235883512</v>
      </c>
      <c r="AD10" s="106">
        <v>14.069617442684928</v>
      </c>
      <c r="AE10" s="106">
        <v>7833.9629920869675</v>
      </c>
      <c r="AF10" s="106">
        <v>11.300451309422694</v>
      </c>
      <c r="AG10" s="106">
        <v>6292.0912890865557</v>
      </c>
      <c r="AH10" s="106">
        <v>4.5386777548418467</v>
      </c>
      <c r="AI10" s="106">
        <v>2527.13577389594</v>
      </c>
      <c r="AJ10" s="106">
        <v>9.2486088843271226</v>
      </c>
      <c r="AK10" s="106">
        <v>5149.6254267933418</v>
      </c>
      <c r="AL10" s="106">
        <v>8.4023846022701534</v>
      </c>
      <c r="AM10" s="106">
        <v>4678.4477465440214</v>
      </c>
      <c r="AN10" s="106">
        <v>13.49277651834533</v>
      </c>
      <c r="AO10" s="106">
        <v>7512.7779654146789</v>
      </c>
      <c r="AP10" s="106">
        <v>10.146423786164867</v>
      </c>
      <c r="AQ10" s="106">
        <v>5649.5287641365976</v>
      </c>
      <c r="AR10" s="106">
        <v>5.0644972183921446</v>
      </c>
      <c r="AS10" s="106">
        <v>2819.9120512007457</v>
      </c>
      <c r="AT10" s="106">
        <v>5.1191157784929544</v>
      </c>
      <c r="AU10" s="106">
        <v>2850.3236654648767</v>
      </c>
      <c r="AV10" s="106">
        <v>6</v>
      </c>
      <c r="AW10" s="106">
        <v>3340.7999999999997</v>
      </c>
      <c r="AX10" s="106">
        <v>8.2628497119928763</v>
      </c>
      <c r="AY10" s="106">
        <v>4600.7547196376336</v>
      </c>
      <c r="AZ10" s="106">
        <v>13.252123153398735</v>
      </c>
      <c r="BA10" s="106">
        <v>7378.7821718124151</v>
      </c>
      <c r="BB10" s="106">
        <v>7.4246284932299478</v>
      </c>
      <c r="BC10" s="106">
        <v>4134.0331450304348</v>
      </c>
      <c r="BD10" s="106">
        <v>2.9427187642976391</v>
      </c>
      <c r="BE10" s="106">
        <v>1638.5058079609253</v>
      </c>
      <c r="BF10" s="106">
        <v>12.012712913008775</v>
      </c>
      <c r="BG10" s="106">
        <v>6688.6785499632851</v>
      </c>
      <c r="BH10" s="106">
        <v>9.3344801593137827</v>
      </c>
      <c r="BI10" s="106">
        <v>5197.4385527059139</v>
      </c>
      <c r="BJ10" s="106">
        <v>11.477736081051804</v>
      </c>
      <c r="BK10" s="106">
        <v>6390.8034499296436</v>
      </c>
      <c r="BL10" s="106">
        <v>10.674539190461553</v>
      </c>
      <c r="BM10" s="106">
        <v>5943.5834212489926</v>
      </c>
      <c r="BN10" s="106">
        <v>17.565934651861916</v>
      </c>
      <c r="BO10" s="106">
        <v>9780.7124141567147</v>
      </c>
      <c r="BP10" s="106">
        <v>8.1873824038679235</v>
      </c>
      <c r="BQ10" s="106">
        <v>4558.7345224736591</v>
      </c>
      <c r="BR10" s="106">
        <v>6.2261507121570174</v>
      </c>
      <c r="BS10" s="106">
        <v>3466.720716529027</v>
      </c>
      <c r="BT10" s="106">
        <v>6</v>
      </c>
      <c r="BU10" s="106">
        <v>3340.7999999999997</v>
      </c>
      <c r="BV10" s="106">
        <v>6.2862698891077633</v>
      </c>
      <c r="BW10" s="106">
        <v>3500.1950742552021</v>
      </c>
      <c r="BX10" s="106">
        <v>9.9037220739092433</v>
      </c>
      <c r="BY10" s="106">
        <v>5514.3924507526663</v>
      </c>
      <c r="BZ10" s="106">
        <v>7.1100932439882554</v>
      </c>
      <c r="CA10" s="106">
        <v>3958.8999182526604</v>
      </c>
      <c r="CB10" s="106">
        <v>8.3787836234666191</v>
      </c>
      <c r="CC10" s="106">
        <v>4665.3067215462133</v>
      </c>
      <c r="CD10" s="106">
        <v>7.902966954198221</v>
      </c>
      <c r="CE10" s="106">
        <v>4400.3720000975691</v>
      </c>
      <c r="CF10" s="106">
        <v>3.4381948564213927</v>
      </c>
      <c r="CG10" s="106">
        <v>1914.3868960554312</v>
      </c>
      <c r="CH10" s="106">
        <v>8.232669959816123</v>
      </c>
      <c r="CI10" s="106">
        <v>4583.9506336256172</v>
      </c>
      <c r="CJ10" s="106">
        <v>3.0618432858669169</v>
      </c>
      <c r="CK10" s="106">
        <v>1704.8343415706993</v>
      </c>
      <c r="CL10" s="106">
        <v>6.0928170025438577</v>
      </c>
      <c r="CM10" s="106">
        <v>3392.4805070164198</v>
      </c>
      <c r="CN10" s="106">
        <v>15.968185105706214</v>
      </c>
      <c r="CO10" s="106">
        <v>8891.0854668572192</v>
      </c>
      <c r="CP10" s="106">
        <v>20.847102071957455</v>
      </c>
      <c r="CQ10" s="106">
        <v>11607.666433665911</v>
      </c>
      <c r="CR10" s="106">
        <v>17.2217128554949</v>
      </c>
      <c r="CS10" s="106">
        <v>9589.0497179395588</v>
      </c>
      <c r="CT10" s="106">
        <v>11.175421445430787</v>
      </c>
      <c r="CU10" s="106">
        <v>6222.4746608158621</v>
      </c>
    </row>
    <row r="11" spans="1:99" x14ac:dyDescent="0.2">
      <c r="C11" s="105" t="s">
        <v>177</v>
      </c>
      <c r="D11" s="106">
        <v>23</v>
      </c>
      <c r="E11" s="106">
        <v>13772.4</v>
      </c>
      <c r="F11" s="106">
        <v>16.170729474300547</v>
      </c>
      <c r="G11" s="106">
        <v>9683.0328092111668</v>
      </c>
      <c r="H11" s="106">
        <v>21</v>
      </c>
      <c r="I11" s="106">
        <v>12574.8</v>
      </c>
      <c r="J11" s="106">
        <v>25.324793434385072</v>
      </c>
      <c r="K11" s="106">
        <v>15164.48630850978</v>
      </c>
      <c r="L11" s="106">
        <v>27.173867369744777</v>
      </c>
      <c r="M11" s="106">
        <v>16271.71178100317</v>
      </c>
      <c r="N11" s="106">
        <v>17.229916163386974</v>
      </c>
      <c r="O11" s="106">
        <v>10317.273798636119</v>
      </c>
      <c r="P11" s="106">
        <v>19.277421939651305</v>
      </c>
      <c r="Q11" s="106">
        <v>11543.3202574632</v>
      </c>
      <c r="R11" s="106">
        <v>15.105340647226637</v>
      </c>
      <c r="S11" s="106">
        <v>9045.0779795593098</v>
      </c>
      <c r="T11" s="106">
        <v>11.361260918123394</v>
      </c>
      <c r="U11" s="106">
        <v>6803.1230377722877</v>
      </c>
      <c r="V11" s="106">
        <v>6.8474986577927446</v>
      </c>
      <c r="W11" s="106">
        <v>4100.2821962862954</v>
      </c>
      <c r="X11" s="106">
        <v>3.4617264716029998</v>
      </c>
      <c r="Y11" s="106">
        <v>2072.8818111958763</v>
      </c>
      <c r="Z11" s="106">
        <v>7.2153809067910624</v>
      </c>
      <c r="AA11" s="106">
        <v>4320.5700869864877</v>
      </c>
      <c r="AB11" s="106">
        <v>2.7269917808698838</v>
      </c>
      <c r="AC11" s="106">
        <v>1632.9226783848862</v>
      </c>
      <c r="AD11" s="106">
        <v>14.02937884055846</v>
      </c>
      <c r="AE11" s="106">
        <v>8400.7920497264058</v>
      </c>
      <c r="AF11" s="106">
        <v>12.300451309422694</v>
      </c>
      <c r="AG11" s="106">
        <v>7365.5102440823084</v>
      </c>
      <c r="AH11" s="106">
        <v>4.5386777548418467</v>
      </c>
      <c r="AI11" s="106">
        <v>2717.7602395992976</v>
      </c>
      <c r="AJ11" s="106">
        <v>9.2677326446599793</v>
      </c>
      <c r="AK11" s="106">
        <v>5549.5183076223948</v>
      </c>
      <c r="AL11" s="106">
        <v>7.4359166524593325</v>
      </c>
      <c r="AM11" s="106">
        <v>4452.6268914926477</v>
      </c>
      <c r="AN11" s="106">
        <v>13.49277651834533</v>
      </c>
      <c r="AO11" s="106">
        <v>8079.4745791851828</v>
      </c>
      <c r="AP11" s="106">
        <v>9.1359649442959476</v>
      </c>
      <c r="AQ11" s="106">
        <v>5470.6158086444129</v>
      </c>
      <c r="AR11" s="106">
        <v>5.0644972183921446</v>
      </c>
      <c r="AS11" s="106">
        <v>3032.6209343732162</v>
      </c>
      <c r="AT11" s="106">
        <v>5.1340052508045737</v>
      </c>
      <c r="AU11" s="106">
        <v>3074.2423441817787</v>
      </c>
      <c r="AV11" s="106">
        <v>5</v>
      </c>
      <c r="AW11" s="106">
        <v>2994</v>
      </c>
      <c r="AX11" s="106">
        <v>8.2190414266607306</v>
      </c>
      <c r="AY11" s="106">
        <v>4921.5620062844455</v>
      </c>
      <c r="AZ11" s="106">
        <v>13.220607759223894</v>
      </c>
      <c r="BA11" s="106">
        <v>7916.4999262232668</v>
      </c>
      <c r="BB11" s="106">
        <v>7.4246284932299478</v>
      </c>
      <c r="BC11" s="106">
        <v>4445.8675417460927</v>
      </c>
      <c r="BD11" s="106">
        <v>2.9427187642976391</v>
      </c>
      <c r="BE11" s="106">
        <v>1762.0999960614263</v>
      </c>
      <c r="BF11" s="106">
        <v>12.012712913008775</v>
      </c>
      <c r="BG11" s="106">
        <v>7193.2124923096535</v>
      </c>
      <c r="BH11" s="106">
        <v>8.6677315765056555</v>
      </c>
      <c r="BI11" s="106">
        <v>5190.2376680115858</v>
      </c>
      <c r="BJ11" s="106">
        <v>11.477736081051804</v>
      </c>
      <c r="BK11" s="106">
        <v>6872.8683653338194</v>
      </c>
      <c r="BL11" s="106">
        <v>8.895449325384627</v>
      </c>
      <c r="BM11" s="106">
        <v>5326.5950560403144</v>
      </c>
      <c r="BN11" s="106">
        <v>18.565934651861916</v>
      </c>
      <c r="BO11" s="106">
        <v>11117.281669534914</v>
      </c>
      <c r="BP11" s="106">
        <v>8.1873824038679235</v>
      </c>
      <c r="BQ11" s="106">
        <v>4902.6045834361121</v>
      </c>
      <c r="BR11" s="106">
        <v>7.2261507121570174</v>
      </c>
      <c r="BS11" s="106">
        <v>4327.0190464396219</v>
      </c>
      <c r="BT11" s="106">
        <v>5</v>
      </c>
      <c r="BU11" s="106">
        <v>2994</v>
      </c>
      <c r="BV11" s="106">
        <v>6.2862698891077633</v>
      </c>
      <c r="BW11" s="106">
        <v>3764.2184095977282</v>
      </c>
      <c r="BX11" s="106">
        <v>7.96725056929919</v>
      </c>
      <c r="BY11" s="106">
        <v>4770.7896408963543</v>
      </c>
      <c r="BZ11" s="106">
        <v>7.6871155791071235</v>
      </c>
      <c r="CA11" s="106">
        <v>4603.0448087693449</v>
      </c>
      <c r="CB11" s="106">
        <v>9.0457659825178336</v>
      </c>
      <c r="CC11" s="106">
        <v>5416.6046703316788</v>
      </c>
      <c r="CD11" s="106">
        <v>7.9354669538554639</v>
      </c>
      <c r="CE11" s="106">
        <v>4751.757611968651</v>
      </c>
      <c r="CF11" s="106">
        <v>3.1256316876558112</v>
      </c>
      <c r="CG11" s="106">
        <v>1871.6282545682996</v>
      </c>
      <c r="CH11" s="106">
        <v>7.6159528984421474</v>
      </c>
      <c r="CI11" s="106">
        <v>4560.4325955871573</v>
      </c>
      <c r="CJ11" s="106">
        <v>3.0618432858669169</v>
      </c>
      <c r="CK11" s="106">
        <v>1833.4317595771097</v>
      </c>
      <c r="CL11" s="106">
        <v>6.4985126585793624</v>
      </c>
      <c r="CM11" s="106">
        <v>3891.3093799573221</v>
      </c>
      <c r="CN11" s="106">
        <v>15.968185105706214</v>
      </c>
      <c r="CO11" s="106">
        <v>9561.7492412968804</v>
      </c>
      <c r="CP11" s="106">
        <v>19.826157732358123</v>
      </c>
      <c r="CQ11" s="106">
        <v>11871.903250136043</v>
      </c>
      <c r="CR11" s="106">
        <v>16.2217128554949</v>
      </c>
      <c r="CS11" s="106">
        <v>9713.5616578703448</v>
      </c>
      <c r="CT11" s="106">
        <v>10.155930173716255</v>
      </c>
      <c r="CU11" s="106">
        <v>6081.3709880212928</v>
      </c>
    </row>
    <row r="12" spans="1:99" x14ac:dyDescent="0.2">
      <c r="C12" s="105" t="s">
        <v>178</v>
      </c>
      <c r="D12" s="106">
        <v>20</v>
      </c>
      <c r="E12" s="106">
        <v>12096</v>
      </c>
      <c r="F12" s="106">
        <v>18.170729474300547</v>
      </c>
      <c r="G12" s="106">
        <v>10989.657186056969</v>
      </c>
      <c r="H12" s="106">
        <v>21</v>
      </c>
      <c r="I12" s="106">
        <v>12700.8</v>
      </c>
      <c r="J12" s="106">
        <v>29.278394372330062</v>
      </c>
      <c r="K12" s="106">
        <v>17707.572916385219</v>
      </c>
      <c r="L12" s="106">
        <v>28.217334212180969</v>
      </c>
      <c r="M12" s="106">
        <v>17065.843731527049</v>
      </c>
      <c r="N12" s="106">
        <v>19.229916163386974</v>
      </c>
      <c r="O12" s="106">
        <v>11630.253295616441</v>
      </c>
      <c r="P12" s="106">
        <v>20.231184949709419</v>
      </c>
      <c r="Q12" s="106">
        <v>12235.820657584256</v>
      </c>
      <c r="R12" s="106">
        <v>16.126408776671965</v>
      </c>
      <c r="S12" s="106">
        <v>9753.2520281312045</v>
      </c>
      <c r="T12" s="106">
        <v>11.361260918123394</v>
      </c>
      <c r="U12" s="106">
        <v>6871.2906032810279</v>
      </c>
      <c r="V12" s="106">
        <v>7.7976457955696414</v>
      </c>
      <c r="W12" s="106">
        <v>4716.016177160519</v>
      </c>
      <c r="X12" s="106">
        <v>3.4617264716029998</v>
      </c>
      <c r="Y12" s="106">
        <v>2093.6521700254943</v>
      </c>
      <c r="Z12" s="106">
        <v>7.2408960669039226</v>
      </c>
      <c r="AA12" s="106">
        <v>4379.2939412634923</v>
      </c>
      <c r="AB12" s="106">
        <v>2.5451923288118912</v>
      </c>
      <c r="AC12" s="106">
        <v>1539.3323204654316</v>
      </c>
      <c r="AD12" s="106">
        <v>14.02937884055846</v>
      </c>
      <c r="AE12" s="106">
        <v>8484.9683227697551</v>
      </c>
      <c r="AF12" s="106">
        <v>11.300451309422694</v>
      </c>
      <c r="AG12" s="106">
        <v>6834.5129519388447</v>
      </c>
      <c r="AH12" s="106">
        <v>4.5331954785511153</v>
      </c>
      <c r="AI12" s="106">
        <v>2741.6766254277145</v>
      </c>
      <c r="AJ12" s="106">
        <v>9.2868564049928342</v>
      </c>
      <c r="AK12" s="106">
        <v>5616.6907537396655</v>
      </c>
      <c r="AL12" s="106">
        <v>7.4023846022701534</v>
      </c>
      <c r="AM12" s="106">
        <v>4476.9622074529889</v>
      </c>
      <c r="AN12" s="106">
        <v>13.457578195606377</v>
      </c>
      <c r="AO12" s="106">
        <v>8139.1432927027363</v>
      </c>
      <c r="AP12" s="106">
        <v>10.125506102427028</v>
      </c>
      <c r="AQ12" s="106">
        <v>6123.9060907478661</v>
      </c>
      <c r="AR12" s="106">
        <v>5.0644972183921446</v>
      </c>
      <c r="AS12" s="106">
        <v>3063.0079176835688</v>
      </c>
      <c r="AT12" s="106">
        <v>4.1340052508045737</v>
      </c>
      <c r="AU12" s="106">
        <v>2500.2463756866059</v>
      </c>
      <c r="AV12" s="106">
        <v>5</v>
      </c>
      <c r="AW12" s="106">
        <v>3024</v>
      </c>
      <c r="AX12" s="106">
        <v>7.2628497119928754</v>
      </c>
      <c r="AY12" s="106">
        <v>4392.571505813291</v>
      </c>
      <c r="AZ12" s="106">
        <v>11.252123153398735</v>
      </c>
      <c r="BA12" s="106">
        <v>6805.2840831755539</v>
      </c>
      <c r="BB12" s="106">
        <v>7.3963217318440257</v>
      </c>
      <c r="BC12" s="106">
        <v>4473.2953834192667</v>
      </c>
      <c r="BD12" s="106">
        <v>3.6783984553720486</v>
      </c>
      <c r="BE12" s="106">
        <v>2224.6953858090146</v>
      </c>
      <c r="BF12" s="106">
        <v>12.85659661737575</v>
      </c>
      <c r="BG12" s="106">
        <v>7775.6696341888528</v>
      </c>
      <c r="BH12" s="106">
        <v>9.3344801593137827</v>
      </c>
      <c r="BI12" s="106">
        <v>5645.4936003529756</v>
      </c>
      <c r="BJ12" s="106">
        <v>11.509585153121924</v>
      </c>
      <c r="BK12" s="106">
        <v>6960.9971006081387</v>
      </c>
      <c r="BL12" s="106">
        <v>9.7849942579230902</v>
      </c>
      <c r="BM12" s="106">
        <v>5917.9645271918844</v>
      </c>
      <c r="BN12" s="106">
        <v>16.646782459270764</v>
      </c>
      <c r="BO12" s="106">
        <v>10067.974031366957</v>
      </c>
      <c r="BP12" s="106">
        <v>8.1873824038679235</v>
      </c>
      <c r="BQ12" s="106">
        <v>4951.7288778593202</v>
      </c>
      <c r="BR12" s="106">
        <v>6.2261507121570174</v>
      </c>
      <c r="BS12" s="106">
        <v>3765.575950712564</v>
      </c>
      <c r="BT12" s="106">
        <v>5</v>
      </c>
      <c r="BU12" s="106">
        <v>3024</v>
      </c>
      <c r="BV12" s="106">
        <v>5.2862698891077633</v>
      </c>
      <c r="BW12" s="106">
        <v>3197.1360289323752</v>
      </c>
      <c r="BX12" s="106">
        <v>8.8985922297943869</v>
      </c>
      <c r="BY12" s="106">
        <v>5381.8685805796449</v>
      </c>
      <c r="BZ12" s="106">
        <v>7.7040087811581994</v>
      </c>
      <c r="CA12" s="106">
        <v>4659.3845108444784</v>
      </c>
      <c r="CB12" s="106">
        <v>8.3609267037117601</v>
      </c>
      <c r="CC12" s="106">
        <v>5056.6884704048725</v>
      </c>
      <c r="CD12" s="106">
        <v>7.2795947076437173</v>
      </c>
      <c r="CE12" s="106">
        <v>4402.6988791829199</v>
      </c>
      <c r="CF12" s="106">
        <v>3.1256316876558112</v>
      </c>
      <c r="CG12" s="106">
        <v>1890.3820446942345</v>
      </c>
      <c r="CH12" s="106">
        <v>7.5851888753057972</v>
      </c>
      <c r="CI12" s="106">
        <v>4587.5222317849457</v>
      </c>
      <c r="CJ12" s="106">
        <v>2.8066896787113409</v>
      </c>
      <c r="CK12" s="106">
        <v>1697.4859176846189</v>
      </c>
      <c r="CL12" s="106">
        <v>6.5172889230360358</v>
      </c>
      <c r="CM12" s="106">
        <v>3941.6563406521941</v>
      </c>
      <c r="CN12" s="106">
        <v>15.992018172713701</v>
      </c>
      <c r="CO12" s="106">
        <v>9671.9725908572455</v>
      </c>
      <c r="CP12" s="106">
        <v>18.879304525212355</v>
      </c>
      <c r="CQ12" s="106">
        <v>11418.203376848431</v>
      </c>
      <c r="CR12" s="106">
        <v>16.2217128554949</v>
      </c>
      <c r="CS12" s="106">
        <v>9810.8919350033138</v>
      </c>
      <c r="CT12" s="106">
        <v>11.175421445430787</v>
      </c>
      <c r="CU12" s="106">
        <v>6758.8948901965396</v>
      </c>
    </row>
    <row r="13" spans="1:99" x14ac:dyDescent="0.2">
      <c r="C13" s="105" t="s">
        <v>179</v>
      </c>
      <c r="D13" s="106">
        <v>24</v>
      </c>
      <c r="E13" s="106">
        <v>4003.2</v>
      </c>
      <c r="F13" s="106">
        <v>19.170729474300547</v>
      </c>
      <c r="G13" s="106">
        <v>3197.6776763133307</v>
      </c>
      <c r="H13" s="106">
        <v>21</v>
      </c>
      <c r="I13" s="106">
        <v>3502.7999999999997</v>
      </c>
      <c r="J13" s="106">
        <v>28.324793434385072</v>
      </c>
      <c r="K13" s="106">
        <v>4724.5755448554291</v>
      </c>
      <c r="L13" s="106">
        <v>32.217334212180972</v>
      </c>
      <c r="M13" s="106">
        <v>5373.8513465917858</v>
      </c>
      <c r="N13" s="106">
        <v>21.229916163386974</v>
      </c>
      <c r="O13" s="106">
        <v>3541.1500160529472</v>
      </c>
      <c r="P13" s="106">
        <v>18.277421939651305</v>
      </c>
      <c r="Q13" s="106">
        <v>3048.6739795338372</v>
      </c>
      <c r="R13" s="106">
        <v>16.126408776671965</v>
      </c>
      <c r="S13" s="106">
        <v>2689.8849839488835</v>
      </c>
      <c r="T13" s="106">
        <v>12.361260918123394</v>
      </c>
      <c r="U13" s="106">
        <v>2061.8583211429818</v>
      </c>
      <c r="V13" s="106">
        <v>7.8973515200158468</v>
      </c>
      <c r="W13" s="106">
        <v>1317.278233538643</v>
      </c>
      <c r="X13" s="106">
        <v>3.4617264716029998</v>
      </c>
      <c r="Y13" s="106">
        <v>577.41597546338028</v>
      </c>
      <c r="Z13" s="106">
        <v>7.9190583853911649</v>
      </c>
      <c r="AA13" s="106">
        <v>1320.8989386832461</v>
      </c>
      <c r="AB13" s="106">
        <v>2.7269917808698838</v>
      </c>
      <c r="AC13" s="106">
        <v>454.86222904909658</v>
      </c>
      <c r="AD13" s="106">
        <v>15.060219187831541</v>
      </c>
      <c r="AE13" s="106">
        <v>2512.0445605303007</v>
      </c>
      <c r="AF13" s="106">
        <v>13.300451309422694</v>
      </c>
      <c r="AG13" s="106">
        <v>2218.5152784117054</v>
      </c>
      <c r="AH13" s="106">
        <v>5.5399631097523931</v>
      </c>
      <c r="AI13" s="106">
        <v>924.06584670669906</v>
      </c>
      <c r="AJ13" s="106">
        <v>10.267732644659979</v>
      </c>
      <c r="AK13" s="106">
        <v>1712.6578051292843</v>
      </c>
      <c r="AL13" s="106">
        <v>8.4023846022701534</v>
      </c>
      <c r="AM13" s="106">
        <v>1401.5177516586614</v>
      </c>
      <c r="AN13" s="106">
        <v>12.527974841084282</v>
      </c>
      <c r="AO13" s="106">
        <v>2089.6662034928581</v>
      </c>
      <c r="AP13" s="106">
        <v>10.146423786164867</v>
      </c>
      <c r="AQ13" s="106">
        <v>1692.4234875322995</v>
      </c>
      <c r="AR13" s="106">
        <v>5.0806215229901808</v>
      </c>
      <c r="AS13" s="106">
        <v>847.44767003476204</v>
      </c>
      <c r="AT13" s="106">
        <v>5.1191157784929544</v>
      </c>
      <c r="AU13" s="106">
        <v>853.86851185262469</v>
      </c>
      <c r="AV13" s="106">
        <v>6</v>
      </c>
      <c r="AW13" s="106">
        <v>1000.8</v>
      </c>
      <c r="AX13" s="106">
        <v>8.2628497119928763</v>
      </c>
      <c r="AY13" s="106">
        <v>1378.2433319604115</v>
      </c>
      <c r="AZ13" s="106">
        <v>12.252123153398735</v>
      </c>
      <c r="BA13" s="106">
        <v>2043.6541419869088</v>
      </c>
      <c r="BB13" s="106">
        <v>7.4246284932299478</v>
      </c>
      <c r="BC13" s="106">
        <v>1238.4280326707551</v>
      </c>
      <c r="BD13" s="106">
        <v>3.3105586098348438</v>
      </c>
      <c r="BE13" s="106">
        <v>552.20117612045192</v>
      </c>
      <c r="BF13" s="106">
        <v>11.168829208641803</v>
      </c>
      <c r="BG13" s="106">
        <v>1862.9607120014525</v>
      </c>
      <c r="BH13" s="106">
        <v>10.00122874212191</v>
      </c>
      <c r="BI13" s="106">
        <v>1668.2049541859344</v>
      </c>
      <c r="BJ13" s="106">
        <v>10.541434225192043</v>
      </c>
      <c r="BK13" s="106">
        <v>1758.3112287620327</v>
      </c>
      <c r="BL13" s="106">
        <v>10.674539190461553</v>
      </c>
      <c r="BM13" s="106">
        <v>1780.5131369689868</v>
      </c>
      <c r="BN13" s="106">
        <v>18.565934651861916</v>
      </c>
      <c r="BO13" s="106">
        <v>3096.7978999305674</v>
      </c>
      <c r="BP13" s="106">
        <v>8.2141513187061985</v>
      </c>
      <c r="BQ13" s="106">
        <v>1370.1204399601938</v>
      </c>
      <c r="BR13" s="106">
        <v>7.1938434675631582</v>
      </c>
      <c r="BS13" s="106">
        <v>1199.9330903895348</v>
      </c>
      <c r="BT13" s="106">
        <v>5</v>
      </c>
      <c r="BU13" s="106">
        <v>833.99999999999989</v>
      </c>
      <c r="BV13" s="106">
        <v>6.2862698891077633</v>
      </c>
      <c r="BW13" s="106">
        <v>1048.5498175031748</v>
      </c>
      <c r="BX13" s="106">
        <v>8.9477843522074938</v>
      </c>
      <c r="BY13" s="106">
        <v>1492.4904299482098</v>
      </c>
      <c r="BZ13" s="106">
        <v>7.1269864460393295</v>
      </c>
      <c r="CA13" s="106">
        <v>1188.78133919936</v>
      </c>
      <c r="CB13" s="106">
        <v>10.433301459884841</v>
      </c>
      <c r="CC13" s="106">
        <v>1740.2746835087914</v>
      </c>
      <c r="CD13" s="106">
        <v>7.2958447074723383</v>
      </c>
      <c r="CE13" s="106">
        <v>1216.946897206386</v>
      </c>
      <c r="CF13" s="106">
        <v>3.7507580251869732</v>
      </c>
      <c r="CG13" s="106">
        <v>625.62643860118703</v>
      </c>
      <c r="CH13" s="106">
        <v>8.232669959816123</v>
      </c>
      <c r="CI13" s="106">
        <v>1373.2093492973293</v>
      </c>
      <c r="CJ13" s="106">
        <v>3.5721505001780698</v>
      </c>
      <c r="CK13" s="106">
        <v>595.83470342970202</v>
      </c>
      <c r="CL13" s="106">
        <v>6.1115932670005293</v>
      </c>
      <c r="CM13" s="106">
        <v>1019.4137569356882</v>
      </c>
      <c r="CN13" s="106">
        <v>18.954771979586283</v>
      </c>
      <c r="CO13" s="106">
        <v>3161.6559661949918</v>
      </c>
      <c r="CP13" s="106">
        <v>22.814899618702555</v>
      </c>
      <c r="CQ13" s="106">
        <v>3805.5252563995855</v>
      </c>
      <c r="CR13" s="106">
        <v>17.253386120565601</v>
      </c>
      <c r="CS13" s="106">
        <v>2877.8648049103417</v>
      </c>
      <c r="CT13" s="106">
        <v>11.19491271714532</v>
      </c>
      <c r="CU13" s="106">
        <v>1867.311441219839</v>
      </c>
    </row>
    <row r="14" spans="1:99" x14ac:dyDescent="0.2">
      <c r="C14" s="105" t="s">
        <v>180</v>
      </c>
      <c r="D14" s="106">
        <v>21</v>
      </c>
      <c r="E14" s="106">
        <v>10483.199999999999</v>
      </c>
      <c r="F14" s="106">
        <v>17.170729474300547</v>
      </c>
      <c r="G14" s="106">
        <v>8571.6281535708331</v>
      </c>
      <c r="H14" s="106">
        <v>22</v>
      </c>
      <c r="I14" s="106">
        <v>10982.4</v>
      </c>
      <c r="J14" s="106">
        <v>28.278394372330062</v>
      </c>
      <c r="K14" s="106">
        <v>14116.574470667167</v>
      </c>
      <c r="L14" s="106">
        <v>27.217334212180969</v>
      </c>
      <c r="M14" s="106">
        <v>13586.893238720739</v>
      </c>
      <c r="N14" s="106">
        <v>18.229916163386974</v>
      </c>
      <c r="O14" s="106">
        <v>9100.3741487627776</v>
      </c>
      <c r="P14" s="106">
        <v>17.231184949709419</v>
      </c>
      <c r="Q14" s="106">
        <v>8601.8075268949415</v>
      </c>
      <c r="R14" s="106">
        <v>14.126408776671964</v>
      </c>
      <c r="S14" s="106">
        <v>7051.9032613146437</v>
      </c>
      <c r="T14" s="106">
        <v>12.361260918123394</v>
      </c>
      <c r="U14" s="106">
        <v>6170.7414503271984</v>
      </c>
      <c r="V14" s="106">
        <v>7.7976457955696414</v>
      </c>
      <c r="W14" s="106">
        <v>3892.584781148365</v>
      </c>
      <c r="X14" s="106">
        <v>3.4617264716029998</v>
      </c>
      <c r="Y14" s="106">
        <v>1728.0938546242176</v>
      </c>
      <c r="Z14" s="106">
        <v>7.2919263871296449</v>
      </c>
      <c r="AA14" s="106">
        <v>3640.1296524551185</v>
      </c>
      <c r="AB14" s="106">
        <v>2.908791232927876</v>
      </c>
      <c r="AC14" s="106">
        <v>1452.0685834775957</v>
      </c>
      <c r="AD14" s="106">
        <v>14.069617442684928</v>
      </c>
      <c r="AE14" s="106">
        <v>7023.553027388316</v>
      </c>
      <c r="AF14" s="106">
        <v>11.257529693790881</v>
      </c>
      <c r="AG14" s="106">
        <v>5619.7588231404079</v>
      </c>
      <c r="AH14" s="106">
        <v>4.5331954785511153</v>
      </c>
      <c r="AI14" s="106">
        <v>2262.9711828927166</v>
      </c>
      <c r="AJ14" s="106">
        <v>9.2677326446599793</v>
      </c>
      <c r="AK14" s="106">
        <v>4626.4521362142614</v>
      </c>
      <c r="AL14" s="106">
        <v>7.4023846022701534</v>
      </c>
      <c r="AM14" s="106">
        <v>3695.2703934532606</v>
      </c>
      <c r="AN14" s="106">
        <v>12.457578195606377</v>
      </c>
      <c r="AO14" s="106">
        <v>6218.8230352467035</v>
      </c>
      <c r="AP14" s="106">
        <v>9.146423786164867</v>
      </c>
      <c r="AQ14" s="106">
        <v>4565.8947540535019</v>
      </c>
      <c r="AR14" s="106">
        <v>5.0806215229901808</v>
      </c>
      <c r="AS14" s="106">
        <v>2536.2462642766982</v>
      </c>
      <c r="AT14" s="106">
        <v>4.1340052508045737</v>
      </c>
      <c r="AU14" s="106">
        <v>2063.6954212016431</v>
      </c>
      <c r="AV14" s="106">
        <v>5</v>
      </c>
      <c r="AW14" s="106">
        <v>2496</v>
      </c>
      <c r="AX14" s="106">
        <v>7.2190414266607297</v>
      </c>
      <c r="AY14" s="106">
        <v>3603.7454801890362</v>
      </c>
      <c r="AZ14" s="106">
        <v>13.220607759223894</v>
      </c>
      <c r="BA14" s="106">
        <v>6599.7273934045679</v>
      </c>
      <c r="BB14" s="106">
        <v>7.3963217318440257</v>
      </c>
      <c r="BC14" s="106">
        <v>3692.2438085365375</v>
      </c>
      <c r="BD14" s="106">
        <v>3.3105586098348438</v>
      </c>
      <c r="BE14" s="106">
        <v>1652.630858029554</v>
      </c>
      <c r="BF14" s="106">
        <v>11.168829208641803</v>
      </c>
      <c r="BG14" s="106">
        <v>5575.4795409539884</v>
      </c>
      <c r="BH14" s="106">
        <v>8.6677315765056555</v>
      </c>
      <c r="BI14" s="106">
        <v>4326.9316029916235</v>
      </c>
      <c r="BJ14" s="106">
        <v>10.573283297262163</v>
      </c>
      <c r="BK14" s="106">
        <v>5278.1830219932717</v>
      </c>
      <c r="BL14" s="106">
        <v>10.674539190461553</v>
      </c>
      <c r="BM14" s="106">
        <v>5328.729963878407</v>
      </c>
      <c r="BN14" s="106">
        <v>16.646782459270764</v>
      </c>
      <c r="BO14" s="106">
        <v>8310.073803667965</v>
      </c>
      <c r="BP14" s="106">
        <v>9.1873824038679235</v>
      </c>
      <c r="BQ14" s="106">
        <v>4586.3412960108672</v>
      </c>
      <c r="BR14" s="106">
        <v>6.2261507121570174</v>
      </c>
      <c r="BS14" s="106">
        <v>3108.0944355087831</v>
      </c>
      <c r="BT14" s="106">
        <v>6</v>
      </c>
      <c r="BU14" s="106">
        <v>2995.2</v>
      </c>
      <c r="BV14" s="106">
        <v>6.3339815372923907</v>
      </c>
      <c r="BW14" s="106">
        <v>3161.9235834163615</v>
      </c>
      <c r="BX14" s="106">
        <v>9.9037220739092433</v>
      </c>
      <c r="BY14" s="106">
        <v>4943.938059295494</v>
      </c>
      <c r="BZ14" s="106">
        <v>7.7040087811581994</v>
      </c>
      <c r="CA14" s="106">
        <v>3845.8411835541729</v>
      </c>
      <c r="CB14" s="106">
        <v>8.3787836234666191</v>
      </c>
      <c r="CC14" s="106">
        <v>4182.6887848345359</v>
      </c>
      <c r="CD14" s="106">
        <v>7.2633447078150937</v>
      </c>
      <c r="CE14" s="106">
        <v>3625.8616781412948</v>
      </c>
      <c r="CF14" s="106">
        <v>3.4381948564213927</v>
      </c>
      <c r="CG14" s="106">
        <v>1716.3468723255592</v>
      </c>
      <c r="CH14" s="106">
        <v>8.8493870211900951</v>
      </c>
      <c r="CI14" s="106">
        <v>4417.6140009780956</v>
      </c>
      <c r="CJ14" s="106">
        <v>3.0618432858669169</v>
      </c>
      <c r="CK14" s="106">
        <v>1528.4721683047649</v>
      </c>
      <c r="CL14" s="106">
        <v>6.5172889230360358</v>
      </c>
      <c r="CM14" s="106">
        <v>3253.4306303795888</v>
      </c>
      <c r="CN14" s="106">
        <v>17.943354310287933</v>
      </c>
      <c r="CO14" s="106">
        <v>8957.3224716957357</v>
      </c>
      <c r="CP14" s="106">
        <v>19.863203298584907</v>
      </c>
      <c r="CQ14" s="106">
        <v>9915.7110866535859</v>
      </c>
      <c r="CR14" s="106">
        <v>18.190039590424199</v>
      </c>
      <c r="CS14" s="106">
        <v>9080.4677635397602</v>
      </c>
      <c r="CT14" s="106">
        <v>10.155930173716255</v>
      </c>
      <c r="CU14" s="106">
        <v>5069.8403427191543</v>
      </c>
    </row>
    <row r="15" spans="1:99" x14ac:dyDescent="0.2">
      <c r="C15" s="105" t="s">
        <v>181</v>
      </c>
      <c r="D15" s="106">
        <v>22</v>
      </c>
      <c r="E15" s="106">
        <v>18136.8</v>
      </c>
      <c r="F15" s="106">
        <v>14.170729474300547</v>
      </c>
      <c r="G15" s="106">
        <v>11682.349378613371</v>
      </c>
      <c r="H15" s="106">
        <v>20</v>
      </c>
      <c r="I15" s="106">
        <v>16488</v>
      </c>
      <c r="J15" s="106">
        <v>24.278394372330062</v>
      </c>
      <c r="K15" s="106">
        <v>20015.108320548901</v>
      </c>
      <c r="L15" s="106">
        <v>28.173867369744777</v>
      </c>
      <c r="M15" s="106">
        <v>23226.536259617595</v>
      </c>
      <c r="N15" s="106">
        <v>20.229916163386974</v>
      </c>
      <c r="O15" s="106">
        <v>16677.54288509622</v>
      </c>
      <c r="P15" s="106">
        <v>19.231184949709419</v>
      </c>
      <c r="Q15" s="106">
        <v>15854.188872540444</v>
      </c>
      <c r="R15" s="106">
        <v>15.105340647226637</v>
      </c>
      <c r="S15" s="106">
        <v>12452.842829573639</v>
      </c>
      <c r="T15" s="106">
        <v>10.361260918123394</v>
      </c>
      <c r="U15" s="106">
        <v>8541.8235009009259</v>
      </c>
      <c r="V15" s="106">
        <v>7.7976457955696414</v>
      </c>
      <c r="W15" s="106">
        <v>6428.3791938676122</v>
      </c>
      <c r="X15" s="106">
        <v>3.4617264716029998</v>
      </c>
      <c r="Y15" s="106">
        <v>2853.8473031895128</v>
      </c>
      <c r="Z15" s="106">
        <v>7.2153809067910624</v>
      </c>
      <c r="AA15" s="106">
        <v>5948.3600195585514</v>
      </c>
      <c r="AB15" s="106">
        <v>2.5451923288118912</v>
      </c>
      <c r="AC15" s="106">
        <v>2098.2565558725232</v>
      </c>
      <c r="AD15" s="106">
        <v>14.069617442684928</v>
      </c>
      <c r="AE15" s="106">
        <v>11598.992619749455</v>
      </c>
      <c r="AF15" s="106">
        <v>10.257529693790881</v>
      </c>
      <c r="AG15" s="106">
        <v>8456.307479561201</v>
      </c>
      <c r="AH15" s="106">
        <v>5.0393204322971199</v>
      </c>
      <c r="AI15" s="106">
        <v>4154.4157643857452</v>
      </c>
      <c r="AJ15" s="106">
        <v>9.2868564049928342</v>
      </c>
      <c r="AK15" s="106">
        <v>7656.0844202760927</v>
      </c>
      <c r="AL15" s="106">
        <v>6.4359166524593325</v>
      </c>
      <c r="AM15" s="106">
        <v>5305.7696882874734</v>
      </c>
      <c r="AN15" s="106">
        <v>13.422379872867426</v>
      </c>
      <c r="AO15" s="106">
        <v>11065.409967191905</v>
      </c>
      <c r="AP15" s="106">
        <v>9.1359649442959476</v>
      </c>
      <c r="AQ15" s="106">
        <v>7531.6895000775794</v>
      </c>
      <c r="AR15" s="106">
        <v>5.0644972183921446</v>
      </c>
      <c r="AS15" s="106">
        <v>4175.1715068424837</v>
      </c>
      <c r="AT15" s="106">
        <v>4.1191157784929544</v>
      </c>
      <c r="AU15" s="106">
        <v>3395.7990477895914</v>
      </c>
      <c r="AV15" s="106">
        <v>6</v>
      </c>
      <c r="AW15" s="106">
        <v>4946.3999999999996</v>
      </c>
      <c r="AX15" s="106">
        <v>7.2190414266607297</v>
      </c>
      <c r="AY15" s="106">
        <v>5951.3777521391057</v>
      </c>
      <c r="AZ15" s="106">
        <v>11.252123153398735</v>
      </c>
      <c r="BA15" s="106">
        <v>9276.2503276619173</v>
      </c>
      <c r="BB15" s="106">
        <v>6.596524576050407</v>
      </c>
      <c r="BC15" s="106">
        <v>5438.1748604959557</v>
      </c>
      <c r="BD15" s="106">
        <v>3.3105586098348438</v>
      </c>
      <c r="BE15" s="106">
        <v>2729.224517947845</v>
      </c>
      <c r="BF15" s="106">
        <v>10.324945504274828</v>
      </c>
      <c r="BG15" s="106">
        <v>8511.8850737241683</v>
      </c>
      <c r="BH15" s="106">
        <v>8.6677315765056555</v>
      </c>
      <c r="BI15" s="106">
        <v>7145.6779116712623</v>
      </c>
      <c r="BJ15" s="106">
        <v>11.477736081051804</v>
      </c>
      <c r="BK15" s="106">
        <v>9462.2456252191059</v>
      </c>
      <c r="BL15" s="106">
        <v>8.895449325384627</v>
      </c>
      <c r="BM15" s="106">
        <v>7333.4084238470859</v>
      </c>
      <c r="BN15" s="106">
        <v>16.646782459270764</v>
      </c>
      <c r="BO15" s="106">
        <v>13723.607459422818</v>
      </c>
      <c r="BP15" s="106">
        <v>8.1873824038679235</v>
      </c>
      <c r="BQ15" s="106">
        <v>6749.6780537487157</v>
      </c>
      <c r="BR15" s="106">
        <v>6.2261507121570174</v>
      </c>
      <c r="BS15" s="106">
        <v>5132.838647102245</v>
      </c>
      <c r="BT15" s="106">
        <v>5</v>
      </c>
      <c r="BU15" s="106">
        <v>4122</v>
      </c>
      <c r="BV15" s="106">
        <v>5.2862698891077633</v>
      </c>
      <c r="BW15" s="106">
        <v>4358.00089658044</v>
      </c>
      <c r="BX15" s="106">
        <v>9.8791260127026899</v>
      </c>
      <c r="BY15" s="106">
        <v>8144.351484872097</v>
      </c>
      <c r="BZ15" s="106">
        <v>6.5499641109204605</v>
      </c>
      <c r="CA15" s="106">
        <v>5399.7904130428278</v>
      </c>
      <c r="CB15" s="106">
        <v>8.3609267037117601</v>
      </c>
      <c r="CC15" s="106">
        <v>6892.7479745399751</v>
      </c>
      <c r="CD15" s="106">
        <v>7.2958447074723383</v>
      </c>
      <c r="CE15" s="106">
        <v>6014.6943768401952</v>
      </c>
      <c r="CF15" s="106">
        <v>3.4381948564213927</v>
      </c>
      <c r="CG15" s="106">
        <v>2834.4478396337959</v>
      </c>
      <c r="CH15" s="106">
        <v>7.6159528984421474</v>
      </c>
      <c r="CI15" s="106">
        <v>6278.5915694757059</v>
      </c>
      <c r="CJ15" s="106">
        <v>3.3169968930224938</v>
      </c>
      <c r="CK15" s="106">
        <v>2734.5322386077437</v>
      </c>
      <c r="CL15" s="106">
        <v>6.0740407380871861</v>
      </c>
      <c r="CM15" s="106">
        <v>5007.4391844790762</v>
      </c>
      <c r="CN15" s="106">
        <v>14.980600503415349</v>
      </c>
      <c r="CO15" s="106">
        <v>12350.007055015614</v>
      </c>
      <c r="CP15" s="106">
        <v>18.842258958985571</v>
      </c>
      <c r="CQ15" s="106">
        <v>15533.558285787705</v>
      </c>
      <c r="CR15" s="106">
        <v>19.253386120565601</v>
      </c>
      <c r="CS15" s="106">
        <v>15872.49151779428</v>
      </c>
      <c r="CT15" s="106">
        <v>9.1754214454307874</v>
      </c>
      <c r="CU15" s="106">
        <v>7564.2174396131413</v>
      </c>
    </row>
    <row r="16" spans="1:99" x14ac:dyDescent="0.2">
      <c r="C16" s="105" t="s">
        <v>182</v>
      </c>
      <c r="D16" s="106">
        <v>23</v>
      </c>
      <c r="E16" s="106">
        <v>11702.399999999998</v>
      </c>
      <c r="F16" s="106">
        <v>16.170729474300547</v>
      </c>
      <c r="G16" s="106">
        <v>8227.6671565241159</v>
      </c>
      <c r="H16" s="106">
        <v>21</v>
      </c>
      <c r="I16" s="106">
        <v>10684.799999999997</v>
      </c>
      <c r="J16" s="106">
        <v>30.278394372330062</v>
      </c>
      <c r="K16" s="106">
        <v>15405.647056641532</v>
      </c>
      <c r="L16" s="106">
        <v>30.173867369744777</v>
      </c>
      <c r="M16" s="106">
        <v>15352.463717726139</v>
      </c>
      <c r="N16" s="106">
        <v>20.229916163386974</v>
      </c>
      <c r="O16" s="106">
        <v>10292.981343931291</v>
      </c>
      <c r="P16" s="106">
        <v>19.231184949709419</v>
      </c>
      <c r="Q16" s="106">
        <v>9784.826902412151</v>
      </c>
      <c r="R16" s="106">
        <v>16.126408776671965</v>
      </c>
      <c r="S16" s="106">
        <v>8205.1167855706935</v>
      </c>
      <c r="T16" s="106">
        <v>12.361260918123394</v>
      </c>
      <c r="U16" s="106">
        <v>6289.409555141182</v>
      </c>
      <c r="V16" s="106">
        <v>7.8474986577927446</v>
      </c>
      <c r="W16" s="106">
        <v>3992.8073170849475</v>
      </c>
      <c r="X16" s="106">
        <v>3.4617264716029998</v>
      </c>
      <c r="Y16" s="106">
        <v>1761.326428751606</v>
      </c>
      <c r="Z16" s="106">
        <v>7.2408960669039226</v>
      </c>
      <c r="AA16" s="106">
        <v>3684.1679188407152</v>
      </c>
      <c r="AB16" s="106">
        <v>2.908791232927876</v>
      </c>
      <c r="AC16" s="106">
        <v>1479.992979313703</v>
      </c>
      <c r="AD16" s="106">
        <v>14.02937884055846</v>
      </c>
      <c r="AE16" s="106">
        <v>7138.1479540761429</v>
      </c>
      <c r="AF16" s="106">
        <v>12.257529693790881</v>
      </c>
      <c r="AG16" s="106">
        <v>6236.6311082007987</v>
      </c>
      <c r="AH16" s="106">
        <v>5.0393204322971199</v>
      </c>
      <c r="AI16" s="106">
        <v>2564.0062359527742</v>
      </c>
      <c r="AJ16" s="106">
        <v>10.267732644659979</v>
      </c>
      <c r="AK16" s="106">
        <v>5224.222369602996</v>
      </c>
      <c r="AL16" s="106">
        <v>7.4023846022701534</v>
      </c>
      <c r="AM16" s="106">
        <v>3766.3332856350535</v>
      </c>
      <c r="AN16" s="106">
        <v>12.49277651834533</v>
      </c>
      <c r="AO16" s="106">
        <v>6356.3246925341027</v>
      </c>
      <c r="AP16" s="106">
        <v>9.146423786164867</v>
      </c>
      <c r="AQ16" s="106">
        <v>4653.7004224006832</v>
      </c>
      <c r="AR16" s="106">
        <v>5.0806215229901808</v>
      </c>
      <c r="AS16" s="106">
        <v>2585.0202308974035</v>
      </c>
      <c r="AT16" s="106">
        <v>5.1340052508045737</v>
      </c>
      <c r="AU16" s="106">
        <v>2612.1818716093667</v>
      </c>
      <c r="AV16" s="106">
        <v>5</v>
      </c>
      <c r="AW16" s="106">
        <v>2543.9999999999995</v>
      </c>
      <c r="AX16" s="106">
        <v>7.2628497119928754</v>
      </c>
      <c r="AY16" s="106">
        <v>3695.3379334619744</v>
      </c>
      <c r="AZ16" s="106">
        <v>12.252123153398735</v>
      </c>
      <c r="BA16" s="106">
        <v>6233.8802604492748</v>
      </c>
      <c r="BB16" s="106">
        <v>6.6248313374363281</v>
      </c>
      <c r="BC16" s="106">
        <v>3370.7141844876032</v>
      </c>
      <c r="BD16" s="106">
        <v>3.3105586098348438</v>
      </c>
      <c r="BE16" s="106">
        <v>1684.4122206839681</v>
      </c>
      <c r="BF16" s="106">
        <v>11.168829208641803</v>
      </c>
      <c r="BG16" s="106">
        <v>5682.7003013569483</v>
      </c>
      <c r="BH16" s="106">
        <v>8.6677315765056555</v>
      </c>
      <c r="BI16" s="106">
        <v>4410.1418261260769</v>
      </c>
      <c r="BJ16" s="106">
        <v>10.573283297262163</v>
      </c>
      <c r="BK16" s="106">
        <v>5379.6865416469873</v>
      </c>
      <c r="BL16" s="106">
        <v>9.7849942579230902</v>
      </c>
      <c r="BM16" s="106">
        <v>4978.6050784312674</v>
      </c>
      <c r="BN16" s="106">
        <v>18.646782459270764</v>
      </c>
      <c r="BO16" s="106">
        <v>9487.4829152769635</v>
      </c>
      <c r="BP16" s="106">
        <v>8.1873824038679235</v>
      </c>
      <c r="BQ16" s="106">
        <v>4165.740167087999</v>
      </c>
      <c r="BR16" s="106">
        <v>7.2261507121570174</v>
      </c>
      <c r="BS16" s="106">
        <v>3676.6654823454896</v>
      </c>
      <c r="BT16" s="106">
        <v>6</v>
      </c>
      <c r="BU16" s="106">
        <v>3052.7999999999993</v>
      </c>
      <c r="BV16" s="106">
        <v>6.2862698891077633</v>
      </c>
      <c r="BW16" s="106">
        <v>3198.4541195780293</v>
      </c>
      <c r="BX16" s="106">
        <v>8.9477843522074938</v>
      </c>
      <c r="BY16" s="106">
        <v>4552.6326784031717</v>
      </c>
      <c r="BZ16" s="106">
        <v>6.5330709088693846</v>
      </c>
      <c r="CA16" s="106">
        <v>3324.0264784327424</v>
      </c>
      <c r="CB16" s="106">
        <v>8.3609267037117601</v>
      </c>
      <c r="CC16" s="106">
        <v>4254.0395068485423</v>
      </c>
      <c r="CD16" s="106">
        <v>7.2795947076437173</v>
      </c>
      <c r="CE16" s="106">
        <v>3703.8577872491228</v>
      </c>
      <c r="CF16" s="106">
        <v>3.1256316876558112</v>
      </c>
      <c r="CG16" s="106">
        <v>1590.3214026792764</v>
      </c>
      <c r="CH16" s="106">
        <v>8.8493870211900951</v>
      </c>
      <c r="CI16" s="106">
        <v>4502.5681163815198</v>
      </c>
      <c r="CJ16" s="106">
        <v>3.3169968930224938</v>
      </c>
      <c r="CK16" s="106">
        <v>1687.6880191698444</v>
      </c>
      <c r="CL16" s="106">
        <v>5.6683450820516796</v>
      </c>
      <c r="CM16" s="106">
        <v>2884.0539777478939</v>
      </c>
      <c r="CN16" s="106">
        <v>17.919521243280442</v>
      </c>
      <c r="CO16" s="106">
        <v>9117.4524085810881</v>
      </c>
      <c r="CP16" s="106">
        <v>17.895405751839807</v>
      </c>
      <c r="CQ16" s="106">
        <v>9105.1824465360914</v>
      </c>
      <c r="CR16" s="106">
        <v>16.2217128554949</v>
      </c>
      <c r="CS16" s="106">
        <v>8253.6075008758035</v>
      </c>
      <c r="CT16" s="106">
        <v>10.175421445430787</v>
      </c>
      <c r="CU16" s="106">
        <v>5177.2544314351835</v>
      </c>
    </row>
    <row r="17" spans="2:99" x14ac:dyDescent="0.2">
      <c r="C17" s="105" t="s">
        <v>183</v>
      </c>
      <c r="D17" s="106">
        <v>20</v>
      </c>
      <c r="E17" s="106">
        <v>9936</v>
      </c>
      <c r="F17" s="106">
        <v>15.170729474300547</v>
      </c>
      <c r="G17" s="106">
        <v>7536.8184028325113</v>
      </c>
      <c r="H17" s="106">
        <v>20</v>
      </c>
      <c r="I17" s="106">
        <v>9936</v>
      </c>
      <c r="J17" s="106">
        <v>30.278394372330062</v>
      </c>
      <c r="K17" s="106">
        <v>15042.306324173574</v>
      </c>
      <c r="L17" s="106">
        <v>30.217334212180969</v>
      </c>
      <c r="M17" s="106">
        <v>15011.971636611504</v>
      </c>
      <c r="N17" s="106">
        <v>20.191596802822477</v>
      </c>
      <c r="O17" s="106">
        <v>10031.185291642207</v>
      </c>
      <c r="P17" s="106">
        <v>20.231184949709419</v>
      </c>
      <c r="Q17" s="106">
        <v>10050.852683015639</v>
      </c>
      <c r="R17" s="106">
        <v>16.105340647226637</v>
      </c>
      <c r="S17" s="106">
        <v>8001.1332335421921</v>
      </c>
      <c r="T17" s="106">
        <v>11.333471616729287</v>
      </c>
      <c r="U17" s="106">
        <v>5630.4686991911094</v>
      </c>
      <c r="V17" s="106">
        <v>7.9472043822389491</v>
      </c>
      <c r="W17" s="106">
        <v>3948.1711370963094</v>
      </c>
      <c r="X17" s="106">
        <v>3.4617264716029998</v>
      </c>
      <c r="Y17" s="106">
        <v>1719.7857110923701</v>
      </c>
      <c r="Z17" s="106">
        <v>7.2153809067910624</v>
      </c>
      <c r="AA17" s="106">
        <v>3584.6012344937994</v>
      </c>
      <c r="AB17" s="106">
        <v>2.5451923288118912</v>
      </c>
      <c r="AC17" s="106">
        <v>1264.4515489537473</v>
      </c>
      <c r="AD17" s="106">
        <v>15.060219187831541</v>
      </c>
      <c r="AE17" s="106">
        <v>7481.9168925147087</v>
      </c>
      <c r="AF17" s="106">
        <v>11.300451309422694</v>
      </c>
      <c r="AG17" s="106">
        <v>5614.0642105211937</v>
      </c>
      <c r="AH17" s="106">
        <v>5.0338381560063894</v>
      </c>
      <c r="AI17" s="106">
        <v>2500.8107959039739</v>
      </c>
      <c r="AJ17" s="106">
        <v>9.2486088843271226</v>
      </c>
      <c r="AK17" s="106">
        <v>4594.7088937337139</v>
      </c>
      <c r="AL17" s="106">
        <v>7.4023846022701534</v>
      </c>
      <c r="AM17" s="106">
        <v>3677.5046704078118</v>
      </c>
      <c r="AN17" s="106">
        <v>12.422379872867426</v>
      </c>
      <c r="AO17" s="106">
        <v>6171.4383208405361</v>
      </c>
      <c r="AP17" s="106">
        <v>9.1255061024270283</v>
      </c>
      <c r="AQ17" s="106">
        <v>4533.551431685747</v>
      </c>
      <c r="AR17" s="106">
        <v>5.0806215229901808</v>
      </c>
      <c r="AS17" s="106">
        <v>2524.0527726215214</v>
      </c>
      <c r="AT17" s="106">
        <v>5.1340052508045737</v>
      </c>
      <c r="AU17" s="106">
        <v>2550.5738085997118</v>
      </c>
      <c r="AV17" s="106">
        <v>6</v>
      </c>
      <c r="AW17" s="106">
        <v>2980.7999999999997</v>
      </c>
      <c r="AX17" s="106">
        <v>7.2628497119928754</v>
      </c>
      <c r="AY17" s="106">
        <v>3608.1837369180603</v>
      </c>
      <c r="AZ17" s="106">
        <v>13.283638547573577</v>
      </c>
      <c r="BA17" s="106">
        <v>6599.3116304345531</v>
      </c>
      <c r="BB17" s="106">
        <v>7.3963217318440257</v>
      </c>
      <c r="BC17" s="106">
        <v>3674.4926363801114</v>
      </c>
      <c r="BD17" s="106">
        <v>3.6783984553720486</v>
      </c>
      <c r="BE17" s="106">
        <v>1827.4283526288336</v>
      </c>
      <c r="BF17" s="106">
        <v>12.012712913008775</v>
      </c>
      <c r="BG17" s="106">
        <v>5967.9157751827588</v>
      </c>
      <c r="BH17" s="106">
        <v>9.3344801593137827</v>
      </c>
      <c r="BI17" s="106">
        <v>4637.3697431470864</v>
      </c>
      <c r="BJ17" s="106">
        <v>10.477736081051804</v>
      </c>
      <c r="BK17" s="106">
        <v>5205.3392850665359</v>
      </c>
      <c r="BL17" s="106">
        <v>8.895449325384627</v>
      </c>
      <c r="BM17" s="106">
        <v>4419.2592248510819</v>
      </c>
      <c r="BN17" s="106">
        <v>18.565934651861916</v>
      </c>
      <c r="BO17" s="106">
        <v>9223.5563350449993</v>
      </c>
      <c r="BP17" s="106">
        <v>8.1873824038679235</v>
      </c>
      <c r="BQ17" s="106">
        <v>4067.4915782415842</v>
      </c>
      <c r="BR17" s="106">
        <v>6.2261507121570174</v>
      </c>
      <c r="BS17" s="106">
        <v>3093.1516737996058</v>
      </c>
      <c r="BT17" s="106">
        <v>6</v>
      </c>
      <c r="BU17" s="106">
        <v>2980.7999999999997</v>
      </c>
      <c r="BV17" s="106">
        <v>6.2862698891077633</v>
      </c>
      <c r="BW17" s="106">
        <v>3123.0188809087367</v>
      </c>
      <c r="BX17" s="106">
        <v>9.9037220739092433</v>
      </c>
      <c r="BY17" s="106">
        <v>4920.1691263181119</v>
      </c>
      <c r="BZ17" s="106">
        <v>7.7040087811581994</v>
      </c>
      <c r="CA17" s="106">
        <v>3827.3515624793931</v>
      </c>
      <c r="CB17" s="106">
        <v>9.0457659825178336</v>
      </c>
      <c r="CC17" s="106">
        <v>4493.9365401148589</v>
      </c>
      <c r="CD17" s="106">
        <v>7.2633447078150937</v>
      </c>
      <c r="CE17" s="106">
        <v>3608.4296508425382</v>
      </c>
      <c r="CF17" s="106">
        <v>3.4381948564213927</v>
      </c>
      <c r="CG17" s="106">
        <v>1708.0952046701477</v>
      </c>
      <c r="CH17" s="106">
        <v>7.6159528984421474</v>
      </c>
      <c r="CI17" s="106">
        <v>3783.6053999460587</v>
      </c>
      <c r="CJ17" s="106">
        <v>3.3169968930224938</v>
      </c>
      <c r="CK17" s="106">
        <v>1647.8840564535747</v>
      </c>
      <c r="CL17" s="106">
        <v>6.0928170025438577</v>
      </c>
      <c r="CM17" s="106">
        <v>3026.911486863788</v>
      </c>
      <c r="CN17" s="106">
        <v>16.979602775004562</v>
      </c>
      <c r="CO17" s="106">
        <v>8435.4666586222647</v>
      </c>
      <c r="CP17" s="106">
        <v>20.847102071957455</v>
      </c>
      <c r="CQ17" s="106">
        <v>10356.840309348463</v>
      </c>
      <c r="CR17" s="106">
        <v>16.2217128554949</v>
      </c>
      <c r="CS17" s="106">
        <v>8058.9469466098653</v>
      </c>
      <c r="CT17" s="106">
        <v>11.175421445430787</v>
      </c>
      <c r="CU17" s="106">
        <v>5551.9493740900143</v>
      </c>
    </row>
    <row r="18" spans="2:99" x14ac:dyDescent="0.2">
      <c r="C18" s="105" t="s">
        <v>184</v>
      </c>
      <c r="D18" s="106">
        <v>22</v>
      </c>
      <c r="E18" s="106">
        <v>16077.599999999999</v>
      </c>
      <c r="F18" s="106">
        <v>15.128047105725409</v>
      </c>
      <c r="G18" s="106">
        <v>11055.576824864129</v>
      </c>
      <c r="H18" s="106">
        <v>21</v>
      </c>
      <c r="I18" s="106">
        <v>15346.8</v>
      </c>
      <c r="J18" s="106">
        <v>29.324793434385072</v>
      </c>
      <c r="K18" s="106">
        <v>21430.55904184861</v>
      </c>
      <c r="L18" s="106">
        <v>29.217334212180969</v>
      </c>
      <c r="M18" s="106">
        <v>21352.02784226185</v>
      </c>
      <c r="N18" s="106">
        <v>17.229916163386974</v>
      </c>
      <c r="O18" s="106">
        <v>12591.622732203201</v>
      </c>
      <c r="P18" s="106">
        <v>17.231184949709419</v>
      </c>
      <c r="Q18" s="106">
        <v>12592.549961247643</v>
      </c>
      <c r="R18" s="106">
        <v>14.105340647226637</v>
      </c>
      <c r="S18" s="106">
        <v>10308.182944993225</v>
      </c>
      <c r="T18" s="106">
        <v>12.361260918123394</v>
      </c>
      <c r="U18" s="106">
        <v>9033.6094789645758</v>
      </c>
      <c r="V18" s="106">
        <v>6.8973515200158468</v>
      </c>
      <c r="W18" s="106">
        <v>5040.5844908275803</v>
      </c>
      <c r="X18" s="106">
        <v>3.4617264716029998</v>
      </c>
      <c r="Y18" s="106">
        <v>2529.829705447472</v>
      </c>
      <c r="Z18" s="106">
        <v>7.2153809067910624</v>
      </c>
      <c r="AA18" s="106">
        <v>5273.000366682908</v>
      </c>
      <c r="AB18" s="106">
        <v>2.7269917808698838</v>
      </c>
      <c r="AC18" s="106">
        <v>1992.8855934597109</v>
      </c>
      <c r="AD18" s="106">
        <v>14.069617442684928</v>
      </c>
      <c r="AE18" s="106">
        <v>10282.076427114145</v>
      </c>
      <c r="AF18" s="106">
        <v>11.300451309422694</v>
      </c>
      <c r="AG18" s="106">
        <v>8258.3698169261042</v>
      </c>
      <c r="AH18" s="106">
        <v>5.0393204322971199</v>
      </c>
      <c r="AI18" s="106">
        <v>3682.7353719227349</v>
      </c>
      <c r="AJ18" s="106">
        <v>10.286856404992834</v>
      </c>
      <c r="AK18" s="106">
        <v>7517.6346607687628</v>
      </c>
      <c r="AL18" s="106">
        <v>7.4023846022701534</v>
      </c>
      <c r="AM18" s="106">
        <v>5409.6626673390274</v>
      </c>
      <c r="AN18" s="106">
        <v>12.457578195606377</v>
      </c>
      <c r="AO18" s="106">
        <v>9103.99814534914</v>
      </c>
      <c r="AP18" s="106">
        <v>9.1359649442959476</v>
      </c>
      <c r="AQ18" s="106">
        <v>6676.563181291478</v>
      </c>
      <c r="AR18" s="106">
        <v>5.0806215229901808</v>
      </c>
      <c r="AS18" s="106">
        <v>3712.9182090012237</v>
      </c>
      <c r="AT18" s="106">
        <v>4.1191157784929544</v>
      </c>
      <c r="AU18" s="106">
        <v>3010.2498109226508</v>
      </c>
      <c r="AV18" s="106">
        <v>5</v>
      </c>
      <c r="AW18" s="106">
        <v>3654</v>
      </c>
      <c r="AX18" s="106">
        <v>7.2628497119928754</v>
      </c>
      <c r="AY18" s="106">
        <v>5307.6905695243931</v>
      </c>
      <c r="AZ18" s="106">
        <v>12.252123153398735</v>
      </c>
      <c r="BA18" s="106">
        <v>8953.8516005037945</v>
      </c>
      <c r="BB18" s="106">
        <v>6.6248313374363281</v>
      </c>
      <c r="BC18" s="106">
        <v>4841.426741398468</v>
      </c>
      <c r="BD18" s="106">
        <v>2.9427187642976391</v>
      </c>
      <c r="BE18" s="106">
        <v>2150.5388729487145</v>
      </c>
      <c r="BF18" s="106">
        <v>11.168829208641803</v>
      </c>
      <c r="BG18" s="106">
        <v>8162.1803856754295</v>
      </c>
      <c r="BH18" s="106">
        <v>9.3344801593137827</v>
      </c>
      <c r="BI18" s="106">
        <v>6821.6381004265122</v>
      </c>
      <c r="BJ18" s="106">
        <v>10.509585153121924</v>
      </c>
      <c r="BK18" s="106">
        <v>7680.4048299015012</v>
      </c>
      <c r="BL18" s="106">
        <v>9.7849942579230902</v>
      </c>
      <c r="BM18" s="106">
        <v>7150.8738036901941</v>
      </c>
      <c r="BN18" s="106">
        <v>18.565934651861916</v>
      </c>
      <c r="BO18" s="106">
        <v>13567.985043580687</v>
      </c>
      <c r="BP18" s="106">
        <v>8.1873824038679235</v>
      </c>
      <c r="BQ18" s="106">
        <v>5983.3390607466781</v>
      </c>
      <c r="BR18" s="106">
        <v>7.2261507121570174</v>
      </c>
      <c r="BS18" s="106">
        <v>5280.870940444348</v>
      </c>
      <c r="BT18" s="106">
        <v>6</v>
      </c>
      <c r="BU18" s="106">
        <v>4384.7999999999993</v>
      </c>
      <c r="BV18" s="106">
        <v>6.2862698891077633</v>
      </c>
      <c r="BW18" s="106">
        <v>4594.0060349599535</v>
      </c>
      <c r="BX18" s="106">
        <v>7.96725056929919</v>
      </c>
      <c r="BY18" s="106">
        <v>5822.4667160438476</v>
      </c>
      <c r="BZ18" s="106">
        <v>7.1269864460393295</v>
      </c>
      <c r="CA18" s="106">
        <v>5208.4016947655418</v>
      </c>
      <c r="CB18" s="106">
        <v>9.0457659825178336</v>
      </c>
      <c r="CC18" s="106">
        <v>6610.6457800240323</v>
      </c>
      <c r="CD18" s="106">
        <v>7.2958447074723383</v>
      </c>
      <c r="CE18" s="106">
        <v>5331.8033122207844</v>
      </c>
      <c r="CF18" s="106">
        <v>3.4381948564213927</v>
      </c>
      <c r="CG18" s="106">
        <v>2512.6328010727534</v>
      </c>
      <c r="CH18" s="106">
        <v>7.6159528984421474</v>
      </c>
      <c r="CI18" s="106">
        <v>5565.7383781815206</v>
      </c>
      <c r="CJ18" s="106">
        <v>3.0618432858669169</v>
      </c>
      <c r="CK18" s="106">
        <v>2237.5950733115428</v>
      </c>
      <c r="CL18" s="106">
        <v>6.0928170025438577</v>
      </c>
      <c r="CM18" s="106">
        <v>4452.6306654590508</v>
      </c>
      <c r="CN18" s="106">
        <v>17.967187377295421</v>
      </c>
      <c r="CO18" s="106">
        <v>13130.420535327492</v>
      </c>
      <c r="CP18" s="106">
        <v>18.879304525212355</v>
      </c>
      <c r="CQ18" s="106">
        <v>13796.995747025188</v>
      </c>
      <c r="CR18" s="106">
        <v>17.2217128554949</v>
      </c>
      <c r="CS18" s="106">
        <v>12585.627754795672</v>
      </c>
      <c r="CT18" s="106">
        <v>10.175421445430787</v>
      </c>
      <c r="CU18" s="106">
        <v>7436.1979923208191</v>
      </c>
    </row>
    <row r="19" spans="2:99" x14ac:dyDescent="0.2">
      <c r="C19" s="105" t="s">
        <v>185</v>
      </c>
      <c r="D19" s="106">
        <v>21</v>
      </c>
      <c r="E19" s="106">
        <v>8114.4</v>
      </c>
      <c r="F19" s="106">
        <v>16.170729474300547</v>
      </c>
      <c r="G19" s="106">
        <v>6248.3698688697314</v>
      </c>
      <c r="H19" s="106">
        <v>22</v>
      </c>
      <c r="I19" s="106">
        <v>8500.7999999999993</v>
      </c>
      <c r="J19" s="106">
        <v>28.278394372330062</v>
      </c>
      <c r="K19" s="106">
        <v>10926.771585468336</v>
      </c>
      <c r="L19" s="106">
        <v>27.217334212180969</v>
      </c>
      <c r="M19" s="106">
        <v>10516.777939586726</v>
      </c>
      <c r="N19" s="106">
        <v>21.268235523951468</v>
      </c>
      <c r="O19" s="106">
        <v>8218.0462064548465</v>
      </c>
      <c r="P19" s="106">
        <v>18.231184949709419</v>
      </c>
      <c r="Q19" s="106">
        <v>7044.5298645677194</v>
      </c>
      <c r="R19" s="106">
        <v>17.105340647226637</v>
      </c>
      <c r="S19" s="106">
        <v>6609.5036260883717</v>
      </c>
      <c r="T19" s="106">
        <v>12.361260918123394</v>
      </c>
      <c r="U19" s="106">
        <v>4776.3912187628794</v>
      </c>
      <c r="V19" s="106">
        <v>7.8973515200158468</v>
      </c>
      <c r="W19" s="106">
        <v>3051.5366273341228</v>
      </c>
      <c r="X19" s="106">
        <v>4.0386808835368324</v>
      </c>
      <c r="Y19" s="106">
        <v>1560.5462933986319</v>
      </c>
      <c r="Z19" s="106">
        <v>7.2408960669039226</v>
      </c>
      <c r="AA19" s="106">
        <v>2797.8822402516757</v>
      </c>
      <c r="AB19" s="106">
        <v>2.908791232927876</v>
      </c>
      <c r="AC19" s="106">
        <v>1123.9569324033312</v>
      </c>
      <c r="AD19" s="106">
        <v>14.069617442684928</v>
      </c>
      <c r="AE19" s="106">
        <v>5436.5001798534558</v>
      </c>
      <c r="AF19" s="106">
        <v>13.300451309422694</v>
      </c>
      <c r="AG19" s="106">
        <v>5139.2943859609286</v>
      </c>
      <c r="AH19" s="106">
        <v>4.5386777548418467</v>
      </c>
      <c r="AI19" s="106">
        <v>1753.7450844708894</v>
      </c>
      <c r="AJ19" s="106">
        <v>10.267732644659979</v>
      </c>
      <c r="AK19" s="106">
        <v>3967.4518938966157</v>
      </c>
      <c r="AL19" s="106">
        <v>8.4023846022701534</v>
      </c>
      <c r="AM19" s="106">
        <v>3246.6814103171869</v>
      </c>
      <c r="AN19" s="106">
        <v>14.422379872867426</v>
      </c>
      <c r="AO19" s="106">
        <v>5572.8075828759729</v>
      </c>
      <c r="AP19" s="106">
        <v>10.156882628033786</v>
      </c>
      <c r="AQ19" s="106">
        <v>3924.6194474722547</v>
      </c>
      <c r="AR19" s="106">
        <v>5.0806215229901808</v>
      </c>
      <c r="AS19" s="106">
        <v>1963.1521564834056</v>
      </c>
      <c r="AT19" s="106">
        <v>5.1191157784929544</v>
      </c>
      <c r="AU19" s="106">
        <v>1978.0263368096776</v>
      </c>
      <c r="AV19" s="106">
        <v>6</v>
      </c>
      <c r="AW19" s="106">
        <v>2318.3999999999996</v>
      </c>
      <c r="AX19" s="106">
        <v>7.2628497119928754</v>
      </c>
      <c r="AY19" s="106">
        <v>2806.3651287140469</v>
      </c>
      <c r="AZ19" s="106">
        <v>13.252123153398735</v>
      </c>
      <c r="BA19" s="106">
        <v>5120.6203864732706</v>
      </c>
      <c r="BB19" s="106">
        <v>7.4246284932299478</v>
      </c>
      <c r="BC19" s="106">
        <v>2868.8764497840516</v>
      </c>
      <c r="BD19" s="106">
        <v>3.3105586098348438</v>
      </c>
      <c r="BE19" s="106">
        <v>1279.1998468401837</v>
      </c>
      <c r="BF19" s="106">
        <v>12.85659661737575</v>
      </c>
      <c r="BG19" s="106">
        <v>4967.7889329539894</v>
      </c>
      <c r="BH19" s="106">
        <v>10.00122874212191</v>
      </c>
      <c r="BI19" s="106">
        <v>3864.4747859559056</v>
      </c>
      <c r="BJ19" s="106">
        <v>11.509585153121924</v>
      </c>
      <c r="BK19" s="106">
        <v>4447.3037031663107</v>
      </c>
      <c r="BL19" s="106">
        <v>10.674539190461553</v>
      </c>
      <c r="BM19" s="106">
        <v>4124.6419431943441</v>
      </c>
      <c r="BN19" s="106">
        <v>17.646782459270764</v>
      </c>
      <c r="BO19" s="106">
        <v>6818.7167422622224</v>
      </c>
      <c r="BP19" s="106">
        <v>8.1873824038679235</v>
      </c>
      <c r="BQ19" s="106">
        <v>3163.6045608545655</v>
      </c>
      <c r="BR19" s="106">
        <v>6.1938434675631582</v>
      </c>
      <c r="BS19" s="106">
        <v>2393.301115866404</v>
      </c>
      <c r="BT19" s="106">
        <v>6</v>
      </c>
      <c r="BU19" s="106">
        <v>2318.3999999999996</v>
      </c>
      <c r="BV19" s="106">
        <v>5.2862698891077633</v>
      </c>
      <c r="BW19" s="106">
        <v>2042.6146851512397</v>
      </c>
      <c r="BX19" s="106">
        <v>8.9723804134140472</v>
      </c>
      <c r="BY19" s="106">
        <v>3466.9277917431878</v>
      </c>
      <c r="BZ19" s="106">
        <v>7.7040087811581994</v>
      </c>
      <c r="CA19" s="106">
        <v>2976.8289930395281</v>
      </c>
      <c r="CB19" s="106">
        <v>9.7484621810787679</v>
      </c>
      <c r="CC19" s="106">
        <v>3766.8057867688358</v>
      </c>
      <c r="CD19" s="106">
        <v>7.902966954198221</v>
      </c>
      <c r="CE19" s="106">
        <v>3053.7064311021923</v>
      </c>
      <c r="CF19" s="106">
        <v>3.1256316876558112</v>
      </c>
      <c r="CG19" s="106">
        <v>1207.7440841102054</v>
      </c>
      <c r="CH19" s="106">
        <v>7.6159528984421474</v>
      </c>
      <c r="CI19" s="106">
        <v>2942.8041999580455</v>
      </c>
      <c r="CJ19" s="106">
        <v>3.0618432858669169</v>
      </c>
      <c r="CK19" s="106">
        <v>1183.0962456589766</v>
      </c>
      <c r="CL19" s="106">
        <v>6.5172889230360358</v>
      </c>
      <c r="CM19" s="106">
        <v>2518.2804398611243</v>
      </c>
      <c r="CN19" s="106">
        <v>18.930938912578796</v>
      </c>
      <c r="CO19" s="106">
        <v>7314.9147958204467</v>
      </c>
      <c r="CP19" s="106">
        <v>20.847102071957455</v>
      </c>
      <c r="CQ19" s="106">
        <v>8055.3202406043602</v>
      </c>
      <c r="CR19" s="106">
        <v>17.2217128554949</v>
      </c>
      <c r="CS19" s="106">
        <v>6654.4698473632288</v>
      </c>
      <c r="CT19" s="106">
        <v>11.155930173716255</v>
      </c>
      <c r="CU19" s="106">
        <v>4310.6514191239612</v>
      </c>
    </row>
    <row r="20" spans="2:99" x14ac:dyDescent="0.2">
      <c r="B20" s="105" t="s">
        <v>127</v>
      </c>
      <c r="C20" s="105" t="s">
        <v>186</v>
      </c>
      <c r="D20" s="106">
        <v>5</v>
      </c>
      <c r="E20" s="106">
        <v>480</v>
      </c>
      <c r="F20" s="106">
        <v>4.2987765800259554</v>
      </c>
      <c r="G20" s="106">
        <v>412.68255168249175</v>
      </c>
      <c r="H20" s="106">
        <v>4</v>
      </c>
      <c r="I20" s="106">
        <v>384</v>
      </c>
      <c r="J20" s="106">
        <v>3.6495868687701449</v>
      </c>
      <c r="K20" s="106">
        <v>350.36033940193391</v>
      </c>
      <c r="L20" s="106">
        <v>2.5650689516705238</v>
      </c>
      <c r="M20" s="106">
        <v>246.24661936037029</v>
      </c>
      <c r="N20" s="106">
        <v>2.3065548845159642</v>
      </c>
      <c r="O20" s="106">
        <v>221.42926891353255</v>
      </c>
      <c r="P20" s="106">
        <v>1.3698959195350708</v>
      </c>
      <c r="Q20" s="106">
        <v>131.5100082753668</v>
      </c>
      <c r="R20" s="106">
        <v>1.2317494238986004</v>
      </c>
      <c r="S20" s="106">
        <v>118.24794469426564</v>
      </c>
      <c r="T20" s="106">
        <v>9.3334716167292875</v>
      </c>
      <c r="U20" s="106">
        <v>896.0132752060116</v>
      </c>
      <c r="V20" s="106">
        <v>10.398822897784822</v>
      </c>
      <c r="W20" s="106">
        <v>998.28699818734287</v>
      </c>
      <c r="X20" s="106">
        <v>5.7695441193383328</v>
      </c>
      <c r="Y20" s="106">
        <v>553.87623545647989</v>
      </c>
      <c r="Z20" s="106">
        <v>6.9857444657753138</v>
      </c>
      <c r="AA20" s="106">
        <v>670.63146871443018</v>
      </c>
      <c r="AB20" s="106">
        <v>1.454395616463938</v>
      </c>
      <c r="AC20" s="106">
        <v>139.62197918053806</v>
      </c>
      <c r="AD20" s="106">
        <v>8.9307790143346342</v>
      </c>
      <c r="AE20" s="106">
        <v>857.35478537612494</v>
      </c>
      <c r="AF20" s="106">
        <v>10.030118775163523</v>
      </c>
      <c r="AG20" s="106">
        <v>962.89140241569817</v>
      </c>
      <c r="AH20" s="106">
        <v>5.7318427799279679</v>
      </c>
      <c r="AI20" s="106">
        <v>550.25690687308497</v>
      </c>
      <c r="AJ20" s="106">
        <v>12.305980165325691</v>
      </c>
      <c r="AK20" s="106">
        <v>1181.3740958712663</v>
      </c>
      <c r="AL20" s="106">
        <v>8.57004485321605</v>
      </c>
      <c r="AM20" s="106">
        <v>822.7243059087408</v>
      </c>
      <c r="AN20" s="106">
        <v>14.774363100256947</v>
      </c>
      <c r="AO20" s="106">
        <v>1418.3388576246668</v>
      </c>
      <c r="AP20" s="106">
        <v>11.188259153640544</v>
      </c>
      <c r="AQ20" s="106">
        <v>1074.0728787494922</v>
      </c>
      <c r="AR20" s="106">
        <v>9.2418645689705432</v>
      </c>
      <c r="AS20" s="106">
        <v>887.2189986211722</v>
      </c>
      <c r="AT20" s="106">
        <v>8.2084526123626702</v>
      </c>
      <c r="AU20" s="106">
        <v>788.01145078681634</v>
      </c>
      <c r="AV20" s="106">
        <v>11</v>
      </c>
      <c r="AW20" s="106">
        <v>1056</v>
      </c>
      <c r="AX20" s="106">
        <v>9.5695077093178984</v>
      </c>
      <c r="AY20" s="106">
        <v>918.6727400945183</v>
      </c>
      <c r="AZ20" s="106">
        <v>8.4412155184477857</v>
      </c>
      <c r="BA20" s="106">
        <v>810.35668977098749</v>
      </c>
      <c r="BB20" s="106">
        <v>6.6814448602081731</v>
      </c>
      <c r="BC20" s="106">
        <v>641.41870657998459</v>
      </c>
      <c r="BD20" s="106">
        <v>4.0462383009092537</v>
      </c>
      <c r="BE20" s="106">
        <v>388.43887688728836</v>
      </c>
      <c r="BF20" s="106">
        <v>8.7958509370378017</v>
      </c>
      <c r="BG20" s="106">
        <v>844.40168995562897</v>
      </c>
      <c r="BH20" s="106">
        <v>1.3334971656162546</v>
      </c>
      <c r="BI20" s="106">
        <v>128.01572789916045</v>
      </c>
      <c r="BJ20" s="106">
        <v>3.1465665945243266</v>
      </c>
      <c r="BK20" s="106">
        <v>302.07039307433536</v>
      </c>
      <c r="BL20" s="106">
        <v>1.7790898650769256</v>
      </c>
      <c r="BM20" s="106">
        <v>170.79262704738485</v>
      </c>
      <c r="BN20" s="106">
        <v>4.5765322444724834</v>
      </c>
      <c r="BO20" s="106">
        <v>439.34709546935841</v>
      </c>
      <c r="BP20" s="106">
        <v>10.856605274824791</v>
      </c>
      <c r="BQ20" s="106">
        <v>1042.23410638318</v>
      </c>
      <c r="BR20" s="106">
        <v>11.646144891877194</v>
      </c>
      <c r="BS20" s="106">
        <v>1118.0299096202107</v>
      </c>
      <c r="BT20" s="106">
        <v>9</v>
      </c>
      <c r="BU20" s="106">
        <v>864</v>
      </c>
      <c r="BV20" s="106">
        <v>8.3359261491695644</v>
      </c>
      <c r="BW20" s="106">
        <v>800.24891032027813</v>
      </c>
      <c r="BX20" s="106">
        <v>4.4878445393839366</v>
      </c>
      <c r="BY20" s="106">
        <v>430.83307578085794</v>
      </c>
      <c r="BZ20" s="106">
        <v>4.954042721972451</v>
      </c>
      <c r="CA20" s="106">
        <v>475.5881013093553</v>
      </c>
      <c r="CB20" s="106">
        <v>4.5554586667079215</v>
      </c>
      <c r="CC20" s="106">
        <v>437.3240320039605</v>
      </c>
      <c r="CD20" s="106">
        <v>2.9159889817621889</v>
      </c>
      <c r="CE20" s="106">
        <v>279.93494224917015</v>
      </c>
      <c r="CF20" s="106">
        <v>1.2502526750623246</v>
      </c>
      <c r="CG20" s="106">
        <v>120.02425680598316</v>
      </c>
      <c r="CH20" s="106">
        <v>2.8360365231321056</v>
      </c>
      <c r="CI20" s="106">
        <v>272.25950622068217</v>
      </c>
      <c r="CJ20" s="106">
        <v>1.7860752500890349</v>
      </c>
      <c r="CK20" s="106">
        <v>171.46322400854734</v>
      </c>
      <c r="CL20" s="106">
        <v>2.4040035693109632</v>
      </c>
      <c r="CM20" s="106">
        <v>230.78434265385246</v>
      </c>
      <c r="CN20" s="106">
        <v>12.065512830557749</v>
      </c>
      <c r="CO20" s="106">
        <v>1158.2892317335438</v>
      </c>
      <c r="CP20" s="106">
        <v>12.32542320764556</v>
      </c>
      <c r="CQ20" s="106">
        <v>1183.2406279339739</v>
      </c>
      <c r="CR20" s="106">
        <v>10.475098976060501</v>
      </c>
      <c r="CS20" s="106">
        <v>1005.6095017018081</v>
      </c>
      <c r="CT20" s="106">
        <v>12.21440398885985</v>
      </c>
      <c r="CU20" s="106">
        <v>1172.5827829305456</v>
      </c>
    </row>
    <row r="21" spans="2:99" x14ac:dyDescent="0.2">
      <c r="C21" s="105" t="s">
        <v>187</v>
      </c>
      <c r="D21" s="106">
        <v>4</v>
      </c>
      <c r="E21" s="106">
        <v>969.59999999999991</v>
      </c>
      <c r="F21" s="106">
        <v>4.2987765800259554</v>
      </c>
      <c r="G21" s="106">
        <v>1042.0234429982916</v>
      </c>
      <c r="H21" s="106">
        <v>4</v>
      </c>
      <c r="I21" s="106">
        <v>969.59999999999991</v>
      </c>
      <c r="J21" s="106">
        <v>3.6495868687701449</v>
      </c>
      <c r="K21" s="106">
        <v>884.659856989883</v>
      </c>
      <c r="L21" s="106">
        <v>1.6520026365429119</v>
      </c>
      <c r="M21" s="106">
        <v>400.44543909800183</v>
      </c>
      <c r="N21" s="106">
        <v>2.3065548845159642</v>
      </c>
      <c r="O21" s="106">
        <v>559.10890400666972</v>
      </c>
      <c r="P21" s="106">
        <v>1.3236589295931869</v>
      </c>
      <c r="Q21" s="106">
        <v>320.85492453338844</v>
      </c>
      <c r="R21" s="106">
        <v>1.2106812944532732</v>
      </c>
      <c r="S21" s="106">
        <v>293.46914577547341</v>
      </c>
      <c r="T21" s="106">
        <v>8.2778930139410729</v>
      </c>
      <c r="U21" s="106">
        <v>2006.561266579316</v>
      </c>
      <c r="V21" s="106">
        <v>12.398822897784822</v>
      </c>
      <c r="W21" s="106">
        <v>3005.4746704230406</v>
      </c>
      <c r="X21" s="106">
        <v>5.7695441193383328</v>
      </c>
      <c r="Y21" s="106">
        <v>1398.5374945276117</v>
      </c>
      <c r="Z21" s="106">
        <v>6.9857444657753138</v>
      </c>
      <c r="AA21" s="106">
        <v>1693.3444585039358</v>
      </c>
      <c r="AB21" s="106">
        <v>1.2725961644059456</v>
      </c>
      <c r="AC21" s="106">
        <v>308.47731025200119</v>
      </c>
      <c r="AD21" s="106">
        <v>8.8905404122081642</v>
      </c>
      <c r="AE21" s="106">
        <v>2155.0669959192587</v>
      </c>
      <c r="AF21" s="106">
        <v>9.9442755438998969</v>
      </c>
      <c r="AG21" s="106">
        <v>2410.4923918413347</v>
      </c>
      <c r="AH21" s="106">
        <v>6.2379677336739725</v>
      </c>
      <c r="AI21" s="106">
        <v>1512.0833786425708</v>
      </c>
      <c r="AJ21" s="106">
        <v>12.325103925658546</v>
      </c>
      <c r="AK21" s="106">
        <v>2987.6051915796311</v>
      </c>
      <c r="AL21" s="106">
        <v>8.57004485321605</v>
      </c>
      <c r="AM21" s="106">
        <v>2077.3788724195701</v>
      </c>
      <c r="AN21" s="106">
        <v>13.633569809301138</v>
      </c>
      <c r="AO21" s="106">
        <v>3304.7773217745953</v>
      </c>
      <c r="AP21" s="106">
        <v>10.198717995509464</v>
      </c>
      <c r="AQ21" s="106">
        <v>2472.1692421114935</v>
      </c>
      <c r="AR21" s="106">
        <v>8.2257402643725062</v>
      </c>
      <c r="AS21" s="106">
        <v>1993.9194400838953</v>
      </c>
      <c r="AT21" s="106">
        <v>9.1935631400510509</v>
      </c>
      <c r="AU21" s="106">
        <v>2228.5197051483747</v>
      </c>
      <c r="AV21" s="106">
        <v>11</v>
      </c>
      <c r="AW21" s="106">
        <v>2666.3999999999996</v>
      </c>
      <c r="AX21" s="106">
        <v>7.5256994239857518</v>
      </c>
      <c r="AY21" s="106">
        <v>1824.2295403741462</v>
      </c>
      <c r="AZ21" s="106">
        <v>7.4097001242729448</v>
      </c>
      <c r="BA21" s="106">
        <v>1796.1113101237615</v>
      </c>
      <c r="BB21" s="106">
        <v>7.4529352546158698</v>
      </c>
      <c r="BC21" s="106">
        <v>1806.5915057188868</v>
      </c>
      <c r="BD21" s="106">
        <v>4.4140781464464585</v>
      </c>
      <c r="BE21" s="106">
        <v>1069.9725426986215</v>
      </c>
      <c r="BF21" s="106">
        <v>7.9519672326708291</v>
      </c>
      <c r="BG21" s="106">
        <v>1927.5568571994088</v>
      </c>
      <c r="BH21" s="106">
        <v>0.66674858280812732</v>
      </c>
      <c r="BI21" s="106">
        <v>161.61985647269006</v>
      </c>
      <c r="BJ21" s="106">
        <v>3.1147175224542067</v>
      </c>
      <c r="BK21" s="106">
        <v>755.00752744289969</v>
      </c>
      <c r="BL21" s="106">
        <v>1.7790898650769256</v>
      </c>
      <c r="BM21" s="106">
        <v>431.2513832946467</v>
      </c>
      <c r="BN21" s="106">
        <v>3.7382278592901743</v>
      </c>
      <c r="BO21" s="106">
        <v>906.14643309193821</v>
      </c>
      <c r="BP21" s="106">
        <v>10.910143104501341</v>
      </c>
      <c r="BQ21" s="106">
        <v>2644.6186885311249</v>
      </c>
      <c r="BR21" s="106">
        <v>11.613837647283333</v>
      </c>
      <c r="BS21" s="106">
        <v>2815.1942457014798</v>
      </c>
      <c r="BT21" s="106">
        <v>11</v>
      </c>
      <c r="BU21" s="106">
        <v>2666.3999999999996</v>
      </c>
      <c r="BV21" s="106">
        <v>8.145079556431055</v>
      </c>
      <c r="BW21" s="106">
        <v>1974.3672844788875</v>
      </c>
      <c r="BX21" s="106">
        <v>4.4386524169708306</v>
      </c>
      <c r="BY21" s="106">
        <v>1075.9293458737293</v>
      </c>
      <c r="BZ21" s="106">
        <v>4.377020386853582</v>
      </c>
      <c r="CA21" s="106">
        <v>1060.9897417733082</v>
      </c>
      <c r="CB21" s="106">
        <v>3.9599039866761436</v>
      </c>
      <c r="CC21" s="106">
        <v>959.88072637029711</v>
      </c>
      <c r="CD21" s="106">
        <v>3.5231112284880708</v>
      </c>
      <c r="CE21" s="106">
        <v>854.00216178550829</v>
      </c>
      <c r="CF21" s="106">
        <v>1.2502526750623246</v>
      </c>
      <c r="CG21" s="106">
        <v>303.06124843510747</v>
      </c>
      <c r="CH21" s="106">
        <v>2.8975645694048069</v>
      </c>
      <c r="CI21" s="106">
        <v>702.36965162372508</v>
      </c>
      <c r="CJ21" s="106">
        <v>1.7860752500890349</v>
      </c>
      <c r="CK21" s="106">
        <v>432.94464062158204</v>
      </c>
      <c r="CL21" s="106">
        <v>2.4415560982243067</v>
      </c>
      <c r="CM21" s="106">
        <v>591.83319820957195</v>
      </c>
      <c r="CN21" s="106">
        <v>12.089345897565238</v>
      </c>
      <c r="CO21" s="106">
        <v>2930.4574455698134</v>
      </c>
      <c r="CP21" s="106">
        <v>13.30932198101811</v>
      </c>
      <c r="CQ21" s="106">
        <v>3226.1796481987894</v>
      </c>
      <c r="CR21" s="106">
        <v>10.5067722411312</v>
      </c>
      <c r="CS21" s="106">
        <v>2546.8415912502028</v>
      </c>
      <c r="CT21" s="106">
        <v>13.233895260574382</v>
      </c>
      <c r="CU21" s="106">
        <v>3207.89621116323</v>
      </c>
    </row>
    <row r="22" spans="2:99" x14ac:dyDescent="0.2">
      <c r="C22" s="105" t="s">
        <v>188</v>
      </c>
      <c r="D22" s="106">
        <v>4</v>
      </c>
      <c r="E22" s="106">
        <v>249.6</v>
      </c>
      <c r="F22" s="106">
        <v>4.3841413171762289</v>
      </c>
      <c r="G22" s="106">
        <v>273.5704181917967</v>
      </c>
      <c r="H22" s="106">
        <v>4</v>
      </c>
      <c r="I22" s="106">
        <v>249.6</v>
      </c>
      <c r="J22" s="106">
        <v>2.695985930825155</v>
      </c>
      <c r="K22" s="106">
        <v>168.22952208348968</v>
      </c>
      <c r="L22" s="106">
        <v>1.5650689516705236</v>
      </c>
      <c r="M22" s="106">
        <v>97.660302584240668</v>
      </c>
      <c r="N22" s="106">
        <v>2.3065548845159642</v>
      </c>
      <c r="O22" s="106">
        <v>143.92902479379617</v>
      </c>
      <c r="P22" s="106">
        <v>1.3236589295931869</v>
      </c>
      <c r="Q22" s="106">
        <v>82.596317206614856</v>
      </c>
      <c r="R22" s="106">
        <v>1.2106812944532732</v>
      </c>
      <c r="S22" s="106">
        <v>75.546512773884245</v>
      </c>
      <c r="T22" s="106">
        <v>8.2778930139410729</v>
      </c>
      <c r="U22" s="106">
        <v>516.54052406992298</v>
      </c>
      <c r="V22" s="106">
        <v>10.398822897784822</v>
      </c>
      <c r="W22" s="106">
        <v>648.88654882177286</v>
      </c>
      <c r="X22" s="106">
        <v>5.1925897074044993</v>
      </c>
      <c r="Y22" s="106">
        <v>324.01759774204078</v>
      </c>
      <c r="Z22" s="106">
        <v>7.0112596258881759</v>
      </c>
      <c r="AA22" s="106">
        <v>437.50260065542216</v>
      </c>
      <c r="AB22" s="106">
        <v>1.454395616463938</v>
      </c>
      <c r="AC22" s="106">
        <v>90.754286467349729</v>
      </c>
      <c r="AD22" s="106">
        <v>8.8905404122081642</v>
      </c>
      <c r="AE22" s="106">
        <v>554.76972172178944</v>
      </c>
      <c r="AF22" s="106">
        <v>11.073040390795336</v>
      </c>
      <c r="AG22" s="106">
        <v>690.95772038562893</v>
      </c>
      <c r="AH22" s="106">
        <v>6.2708613914183564</v>
      </c>
      <c r="AI22" s="106">
        <v>391.3017508245054</v>
      </c>
      <c r="AJ22" s="106">
        <v>13.305980165325691</v>
      </c>
      <c r="AK22" s="106">
        <v>830.29316231632311</v>
      </c>
      <c r="AL22" s="106">
        <v>8.53651280302687</v>
      </c>
      <c r="AM22" s="106">
        <v>532.67839890887672</v>
      </c>
      <c r="AN22" s="106">
        <v>13.739164777517995</v>
      </c>
      <c r="AO22" s="106">
        <v>857.32388211712293</v>
      </c>
      <c r="AP22" s="106">
        <v>11.188259153640544</v>
      </c>
      <c r="AQ22" s="106">
        <v>698.14737118716994</v>
      </c>
      <c r="AR22" s="106">
        <v>8.2418645689705432</v>
      </c>
      <c r="AS22" s="106">
        <v>514.29234910376192</v>
      </c>
      <c r="AT22" s="106">
        <v>8.1935631400510509</v>
      </c>
      <c r="AU22" s="106">
        <v>511.27833993918557</v>
      </c>
      <c r="AV22" s="106">
        <v>11</v>
      </c>
      <c r="AW22" s="106">
        <v>686.4</v>
      </c>
      <c r="AX22" s="106">
        <v>8.6133159946500442</v>
      </c>
      <c r="AY22" s="106">
        <v>537.47091806616277</v>
      </c>
      <c r="AZ22" s="106">
        <v>8.4412155184477857</v>
      </c>
      <c r="BA22" s="106">
        <v>526.73184835114182</v>
      </c>
      <c r="BB22" s="106">
        <v>6.7097516215940942</v>
      </c>
      <c r="BC22" s="106">
        <v>418.68850118747145</v>
      </c>
      <c r="BD22" s="106">
        <v>4.4140781464464585</v>
      </c>
      <c r="BE22" s="106">
        <v>275.43847633825902</v>
      </c>
      <c r="BF22" s="106">
        <v>7.9519672326708291</v>
      </c>
      <c r="BG22" s="106">
        <v>496.20275531865974</v>
      </c>
      <c r="BH22" s="106">
        <v>0.66674858280812732</v>
      </c>
      <c r="BI22" s="106">
        <v>41.605111567227141</v>
      </c>
      <c r="BJ22" s="106">
        <v>3.2102647386645673</v>
      </c>
      <c r="BK22" s="106">
        <v>200.320519692669</v>
      </c>
      <c r="BL22" s="106">
        <v>1.7790898650769256</v>
      </c>
      <c r="BM22" s="106">
        <v>111.01520758080015</v>
      </c>
      <c r="BN22" s="106">
        <v>4.5361083407680614</v>
      </c>
      <c r="BO22" s="106">
        <v>283.05316046392704</v>
      </c>
      <c r="BP22" s="106">
        <v>10.829836359986516</v>
      </c>
      <c r="BQ22" s="106">
        <v>675.78178886315857</v>
      </c>
      <c r="BR22" s="106">
        <v>11.646144891877194</v>
      </c>
      <c r="BS22" s="106">
        <v>726.71944125313689</v>
      </c>
      <c r="BT22" s="106">
        <v>11</v>
      </c>
      <c r="BU22" s="106">
        <v>686.4</v>
      </c>
      <c r="BV22" s="106">
        <v>9.145079556431055</v>
      </c>
      <c r="BW22" s="106">
        <v>570.65296432129787</v>
      </c>
      <c r="BX22" s="106">
        <v>4.4878445393839366</v>
      </c>
      <c r="BY22" s="106">
        <v>280.04149925755763</v>
      </c>
      <c r="BZ22" s="106">
        <v>4.377020386853582</v>
      </c>
      <c r="CA22" s="106">
        <v>273.12607213966351</v>
      </c>
      <c r="CB22" s="106">
        <v>4.5911725062176405</v>
      </c>
      <c r="CC22" s="106">
        <v>286.48916438798074</v>
      </c>
      <c r="CD22" s="106">
        <v>2.8834889821049452</v>
      </c>
      <c r="CE22" s="106">
        <v>179.92971248334857</v>
      </c>
      <c r="CF22" s="106">
        <v>1.2502526750623246</v>
      </c>
      <c r="CG22" s="106">
        <v>78.015766923889061</v>
      </c>
      <c r="CH22" s="106">
        <v>2.8668005462684558</v>
      </c>
      <c r="CI22" s="106">
        <v>178.88835408715164</v>
      </c>
      <c r="CJ22" s="106">
        <v>1.5309216429334584</v>
      </c>
      <c r="CK22" s="106">
        <v>95.529510519047804</v>
      </c>
      <c r="CL22" s="106">
        <v>2.4040035693109632</v>
      </c>
      <c r="CM22" s="106">
        <v>150.00982272500408</v>
      </c>
      <c r="CN22" s="106">
        <v>13.076930499856099</v>
      </c>
      <c r="CO22" s="106">
        <v>816.00046319102057</v>
      </c>
      <c r="CP22" s="106">
        <v>12.362468773872346</v>
      </c>
      <c r="CQ22" s="106">
        <v>771.41805148963431</v>
      </c>
      <c r="CR22" s="106">
        <v>10.5067722411312</v>
      </c>
      <c r="CS22" s="106">
        <v>655.62258784658684</v>
      </c>
      <c r="CT22" s="106">
        <v>13.21440398885985</v>
      </c>
      <c r="CU22" s="106">
        <v>824.57880890485467</v>
      </c>
    </row>
    <row r="23" spans="2:99" x14ac:dyDescent="0.2">
      <c r="C23" s="105" t="s">
        <v>189</v>
      </c>
      <c r="D23" s="106">
        <v>4</v>
      </c>
      <c r="E23" s="106">
        <v>1118.3999999999999</v>
      </c>
      <c r="F23" s="106">
        <v>4.2987765800259554</v>
      </c>
      <c r="G23" s="106">
        <v>1201.9379317752571</v>
      </c>
      <c r="H23" s="106">
        <v>4</v>
      </c>
      <c r="I23" s="106">
        <v>1118.3999999999999</v>
      </c>
      <c r="J23" s="106">
        <v>3.6031878067151344</v>
      </c>
      <c r="K23" s="106">
        <v>1007.4513107575515</v>
      </c>
      <c r="L23" s="106">
        <v>2.608535794106718</v>
      </c>
      <c r="M23" s="106">
        <v>729.34660803223824</v>
      </c>
      <c r="N23" s="106">
        <v>2.3065548845159642</v>
      </c>
      <c r="O23" s="106">
        <v>644.91274571066356</v>
      </c>
      <c r="P23" s="106">
        <v>1.3236589295931869</v>
      </c>
      <c r="Q23" s="106">
        <v>370.095036714255</v>
      </c>
      <c r="R23" s="106">
        <v>1.2106812944532732</v>
      </c>
      <c r="S23" s="106">
        <v>338.50648992913517</v>
      </c>
      <c r="T23" s="106">
        <v>8.2778930139410729</v>
      </c>
      <c r="U23" s="106">
        <v>2314.4988866979238</v>
      </c>
      <c r="V23" s="106">
        <v>10.448675760007923</v>
      </c>
      <c r="W23" s="106">
        <v>2921.4497424982151</v>
      </c>
      <c r="X23" s="106">
        <v>5.7695441193383328</v>
      </c>
      <c r="Y23" s="106">
        <v>1613.1645357669977</v>
      </c>
      <c r="Z23" s="106">
        <v>6.9857444657753138</v>
      </c>
      <c r="AA23" s="106">
        <v>1953.2141526307776</v>
      </c>
      <c r="AB23" s="106">
        <v>1.2725961644059456</v>
      </c>
      <c r="AC23" s="106">
        <v>355.81788756790235</v>
      </c>
      <c r="AD23" s="106">
        <v>9.0514948207140407</v>
      </c>
      <c r="AE23" s="106">
        <v>2530.7979518716456</v>
      </c>
      <c r="AF23" s="106">
        <v>10.030118775163523</v>
      </c>
      <c r="AG23" s="106">
        <v>2804.4212095357207</v>
      </c>
      <c r="AH23" s="106">
        <v>6.221520904801781</v>
      </c>
      <c r="AI23" s="106">
        <v>1739.5372449825777</v>
      </c>
      <c r="AJ23" s="106">
        <v>11.325103925658546</v>
      </c>
      <c r="AK23" s="106">
        <v>3166.499057614129</v>
      </c>
      <c r="AL23" s="106">
        <v>7.57004485321605</v>
      </c>
      <c r="AM23" s="106">
        <v>2116.5845409592075</v>
      </c>
      <c r="AN23" s="106">
        <v>15.739164777517995</v>
      </c>
      <c r="AO23" s="106">
        <v>4400.6704717940311</v>
      </c>
      <c r="AP23" s="106">
        <v>10.198717995509464</v>
      </c>
      <c r="AQ23" s="106">
        <v>2851.5615515444456</v>
      </c>
      <c r="AR23" s="106">
        <v>8.2418645689705432</v>
      </c>
      <c r="AS23" s="106">
        <v>2304.4253334841637</v>
      </c>
      <c r="AT23" s="106">
        <v>9.2084526123626702</v>
      </c>
      <c r="AU23" s="106">
        <v>2574.6833504166025</v>
      </c>
      <c r="AV23" s="106">
        <v>11</v>
      </c>
      <c r="AW23" s="106">
        <v>3075.5999999999995</v>
      </c>
      <c r="AX23" s="106">
        <v>8.5695077093178984</v>
      </c>
      <c r="AY23" s="106">
        <v>2396.0343555252839</v>
      </c>
      <c r="AZ23" s="106">
        <v>8.3781847300981021</v>
      </c>
      <c r="BA23" s="106">
        <v>2342.540450535429</v>
      </c>
      <c r="BB23" s="106">
        <v>7.4812420160017927</v>
      </c>
      <c r="BC23" s="106">
        <v>2091.7552676741011</v>
      </c>
      <c r="BD23" s="106">
        <v>3.6783984553720486</v>
      </c>
      <c r="BE23" s="106">
        <v>1028.4802081220246</v>
      </c>
      <c r="BF23" s="106">
        <v>8.8355191474120307</v>
      </c>
      <c r="BG23" s="106">
        <v>2470.4111536164037</v>
      </c>
      <c r="BH23" s="106">
        <v>1.3334971656162546</v>
      </c>
      <c r="BI23" s="106">
        <v>372.84580750630477</v>
      </c>
      <c r="BJ23" s="106">
        <v>3.1465665945243266</v>
      </c>
      <c r="BK23" s="106">
        <v>879.78001982900162</v>
      </c>
      <c r="BL23" s="106">
        <v>1.7790898650769256</v>
      </c>
      <c r="BM23" s="106">
        <v>497.43352627550831</v>
      </c>
      <c r="BN23" s="106">
        <v>3.5361083407680614</v>
      </c>
      <c r="BO23" s="106">
        <v>988.69589207874981</v>
      </c>
      <c r="BP23" s="106">
        <v>11.910143104501341</v>
      </c>
      <c r="BQ23" s="106">
        <v>3330.0760120185746</v>
      </c>
      <c r="BR23" s="106">
        <v>10.613837647283333</v>
      </c>
      <c r="BS23" s="106">
        <v>2967.6290061804193</v>
      </c>
      <c r="BT23" s="106">
        <v>11</v>
      </c>
      <c r="BU23" s="106">
        <v>3075.5999999999995</v>
      </c>
      <c r="BV23" s="106">
        <v>8.0973679082464276</v>
      </c>
      <c r="BW23" s="106">
        <v>2264.0240671457009</v>
      </c>
      <c r="BX23" s="106">
        <v>4.463248478177384</v>
      </c>
      <c r="BY23" s="106">
        <v>1247.9242744983965</v>
      </c>
      <c r="BZ23" s="106">
        <v>4.3601271848025078</v>
      </c>
      <c r="CA23" s="106">
        <v>1219.091560870781</v>
      </c>
      <c r="CB23" s="106">
        <v>3.8884763076567075</v>
      </c>
      <c r="CC23" s="106">
        <v>1087.2179756208152</v>
      </c>
      <c r="CD23" s="106">
        <v>2.8672389822763225</v>
      </c>
      <c r="CE23" s="106">
        <v>801.68001944445962</v>
      </c>
      <c r="CF23" s="106">
        <v>1.2502526750623246</v>
      </c>
      <c r="CG23" s="106">
        <v>349.57064794742593</v>
      </c>
      <c r="CH23" s="106">
        <v>2.8975645694048069</v>
      </c>
      <c r="CI23" s="106">
        <v>810.15905360558395</v>
      </c>
      <c r="CJ23" s="106">
        <v>1.5309216429334584</v>
      </c>
      <c r="CK23" s="106">
        <v>428.04569136419491</v>
      </c>
      <c r="CL23" s="106">
        <v>2.4227798337676352</v>
      </c>
      <c r="CM23" s="106">
        <v>677.40924152143066</v>
      </c>
      <c r="CN23" s="106">
        <v>13.076930499856099</v>
      </c>
      <c r="CO23" s="106">
        <v>3656.3097677597648</v>
      </c>
      <c r="CP23" s="106">
        <v>12.32542320764556</v>
      </c>
      <c r="CQ23" s="106">
        <v>3446.1883288576983</v>
      </c>
      <c r="CR23" s="106">
        <v>11.4434257109898</v>
      </c>
      <c r="CS23" s="106">
        <v>3199.5818287927477</v>
      </c>
      <c r="CT23" s="106">
        <v>13.19491271714532</v>
      </c>
      <c r="CU23" s="106">
        <v>3689.297595713831</v>
      </c>
    </row>
    <row r="24" spans="2:99" x14ac:dyDescent="0.2">
      <c r="C24" s="105" t="s">
        <v>190</v>
      </c>
      <c r="D24" s="106">
        <v>5</v>
      </c>
      <c r="E24" s="106">
        <v>1524</v>
      </c>
      <c r="F24" s="106">
        <v>4.3414589486010922</v>
      </c>
      <c r="G24" s="106">
        <v>1323.2766875336129</v>
      </c>
      <c r="H24" s="106">
        <v>5</v>
      </c>
      <c r="I24" s="106">
        <v>1524</v>
      </c>
      <c r="J24" s="106">
        <v>3.6031878067151344</v>
      </c>
      <c r="K24" s="106">
        <v>1098.251643486773</v>
      </c>
      <c r="L24" s="106">
        <v>1.608535794106718</v>
      </c>
      <c r="M24" s="106">
        <v>490.28171004372768</v>
      </c>
      <c r="N24" s="106">
        <v>2.3065548845159642</v>
      </c>
      <c r="O24" s="106">
        <v>703.03792880046592</v>
      </c>
      <c r="P24" s="106">
        <v>1.3698959195350708</v>
      </c>
      <c r="Q24" s="106">
        <v>417.54427627428959</v>
      </c>
      <c r="R24" s="106">
        <v>1.1896131650079458</v>
      </c>
      <c r="S24" s="106">
        <v>362.59409269442187</v>
      </c>
      <c r="T24" s="106">
        <v>7.3056823153351793</v>
      </c>
      <c r="U24" s="106">
        <v>2226.7719697141629</v>
      </c>
      <c r="V24" s="106">
        <v>12.448675760007923</v>
      </c>
      <c r="W24" s="106">
        <v>3794.356371650415</v>
      </c>
      <c r="X24" s="106">
        <v>5.7695441193383328</v>
      </c>
      <c r="Y24" s="106">
        <v>1758.5570475743239</v>
      </c>
      <c r="Z24" s="106">
        <v>7.0112596258881759</v>
      </c>
      <c r="AA24" s="106">
        <v>2137.0319339707162</v>
      </c>
      <c r="AB24" s="106">
        <v>1.454395616463938</v>
      </c>
      <c r="AC24" s="106">
        <v>443.29978389820832</v>
      </c>
      <c r="AD24" s="106">
        <v>8.9710176164611024</v>
      </c>
      <c r="AE24" s="106">
        <v>2734.3661694973439</v>
      </c>
      <c r="AF24" s="106">
        <v>8.9871971595317106</v>
      </c>
      <c r="AG24" s="106">
        <v>2739.2976942252653</v>
      </c>
      <c r="AH24" s="106">
        <v>6.232485457383242</v>
      </c>
      <c r="AI24" s="106">
        <v>1899.6615674104123</v>
      </c>
      <c r="AJ24" s="106">
        <v>12.325103925658546</v>
      </c>
      <c r="AK24" s="106">
        <v>3756.691676540725</v>
      </c>
      <c r="AL24" s="106">
        <v>7.5029807528376908</v>
      </c>
      <c r="AM24" s="106">
        <v>2286.908533464928</v>
      </c>
      <c r="AN24" s="106">
        <v>14.633569809301138</v>
      </c>
      <c r="AO24" s="106">
        <v>4460.3120778749872</v>
      </c>
      <c r="AP24" s="106">
        <v>10.188259153640544</v>
      </c>
      <c r="AQ24" s="106">
        <v>3105.3813900296382</v>
      </c>
      <c r="AR24" s="106">
        <v>8.2579888735685785</v>
      </c>
      <c r="AS24" s="106">
        <v>2517.0350086637027</v>
      </c>
      <c r="AT24" s="106">
        <v>9.2084526123626702</v>
      </c>
      <c r="AU24" s="106">
        <v>2806.7363562481419</v>
      </c>
      <c r="AV24" s="106">
        <v>10</v>
      </c>
      <c r="AW24" s="106">
        <v>3048</v>
      </c>
      <c r="AX24" s="106">
        <v>8.5695077093178984</v>
      </c>
      <c r="AY24" s="106">
        <v>2611.9859498000956</v>
      </c>
      <c r="AZ24" s="106">
        <v>8.4097001242729448</v>
      </c>
      <c r="BA24" s="106">
        <v>2563.2765978783937</v>
      </c>
      <c r="BB24" s="106">
        <v>7.4812420160017927</v>
      </c>
      <c r="BC24" s="106">
        <v>2280.2825664773463</v>
      </c>
      <c r="BD24" s="106">
        <v>3.6783984553720486</v>
      </c>
      <c r="BE24" s="106">
        <v>1121.1758491974003</v>
      </c>
      <c r="BF24" s="106">
        <v>7.9916354430450571</v>
      </c>
      <c r="BG24" s="106">
        <v>2435.8504830401334</v>
      </c>
      <c r="BH24" s="106">
        <v>1.3334971656162546</v>
      </c>
      <c r="BI24" s="106">
        <v>406.44993607983446</v>
      </c>
      <c r="BJ24" s="106">
        <v>3.1147175224542067</v>
      </c>
      <c r="BK24" s="106">
        <v>949.36590084404224</v>
      </c>
      <c r="BL24" s="106">
        <v>1.7790898650769256</v>
      </c>
      <c r="BM24" s="106">
        <v>542.26659087544692</v>
      </c>
      <c r="BN24" s="106">
        <v>3.7382278592901743</v>
      </c>
      <c r="BO24" s="106">
        <v>1139.4118515116452</v>
      </c>
      <c r="BP24" s="106">
        <v>10.910143104501341</v>
      </c>
      <c r="BQ24" s="106">
        <v>3325.4116182520088</v>
      </c>
      <c r="BR24" s="106">
        <v>10.678452136471053</v>
      </c>
      <c r="BS24" s="106">
        <v>3254.7922111963771</v>
      </c>
      <c r="BT24" s="106">
        <v>10</v>
      </c>
      <c r="BU24" s="106">
        <v>3048</v>
      </c>
      <c r="BV24" s="106">
        <v>8.0973679082464276</v>
      </c>
      <c r="BW24" s="106">
        <v>2468.0777384335111</v>
      </c>
      <c r="BX24" s="106">
        <v>4.4878445393839366</v>
      </c>
      <c r="BY24" s="106">
        <v>1367.895015604224</v>
      </c>
      <c r="BZ24" s="106">
        <v>4.3939135889046561</v>
      </c>
      <c r="CA24" s="106">
        <v>1339.2648618981393</v>
      </c>
      <c r="CB24" s="106">
        <v>3.942047066921285</v>
      </c>
      <c r="CC24" s="106">
        <v>1201.5359459976078</v>
      </c>
      <c r="CD24" s="106">
        <v>2.8997389819335666</v>
      </c>
      <c r="CE24" s="106">
        <v>883.84044169335118</v>
      </c>
      <c r="CF24" s="106">
        <v>1.2502526750623246</v>
      </c>
      <c r="CG24" s="106">
        <v>381.07701535899656</v>
      </c>
      <c r="CH24" s="106">
        <v>2.8668005462684558</v>
      </c>
      <c r="CI24" s="106">
        <v>873.80080650262539</v>
      </c>
      <c r="CJ24" s="106">
        <v>1.5309216429334584</v>
      </c>
      <c r="CK24" s="106">
        <v>466.62491676611813</v>
      </c>
      <c r="CL24" s="106">
        <v>2.4227798337676352</v>
      </c>
      <c r="CM24" s="106">
        <v>738.4632933323752</v>
      </c>
      <c r="CN24" s="106">
        <v>14.04068203513947</v>
      </c>
      <c r="CO24" s="106">
        <v>4279.5998843105108</v>
      </c>
      <c r="CP24" s="106">
        <v>12.288377641418778</v>
      </c>
      <c r="CQ24" s="106">
        <v>3745.4975051044439</v>
      </c>
      <c r="CR24" s="106">
        <v>11.475098976060501</v>
      </c>
      <c r="CS24" s="106">
        <v>3497.6101679032408</v>
      </c>
      <c r="CT24" s="106">
        <v>13.21440398885985</v>
      </c>
      <c r="CU24" s="106">
        <v>4027.7503358044823</v>
      </c>
    </row>
    <row r="25" spans="2:99" x14ac:dyDescent="0.2">
      <c r="C25" s="105" t="s">
        <v>191</v>
      </c>
      <c r="D25" s="106">
        <v>4</v>
      </c>
      <c r="E25" s="106">
        <v>1300.8</v>
      </c>
      <c r="F25" s="106">
        <v>4.2987765800259554</v>
      </c>
      <c r="G25" s="106">
        <v>1397.9621438244405</v>
      </c>
      <c r="H25" s="106">
        <v>4</v>
      </c>
      <c r="I25" s="106">
        <v>1300.8</v>
      </c>
      <c r="J25" s="106">
        <v>3.5567887446601238</v>
      </c>
      <c r="K25" s="106">
        <v>1156.6676997634722</v>
      </c>
      <c r="L25" s="106">
        <v>1.5650689516705236</v>
      </c>
      <c r="M25" s="106">
        <v>508.96042308325428</v>
      </c>
      <c r="N25" s="106">
        <v>2.3065548845159642</v>
      </c>
      <c r="O25" s="106">
        <v>750.09164844459156</v>
      </c>
      <c r="P25" s="106">
        <v>1.3698959195350708</v>
      </c>
      <c r="Q25" s="106">
        <v>445.49015303280504</v>
      </c>
      <c r="R25" s="106">
        <v>1.1896131650079458</v>
      </c>
      <c r="S25" s="106">
        <v>386.86220126058396</v>
      </c>
      <c r="T25" s="106">
        <v>8.2778930139410729</v>
      </c>
      <c r="U25" s="106">
        <v>2691.9708081336366</v>
      </c>
      <c r="V25" s="106">
        <v>10.398822897784822</v>
      </c>
      <c r="W25" s="106">
        <v>3381.697206359624</v>
      </c>
      <c r="X25" s="106">
        <v>5.7695441193383328</v>
      </c>
      <c r="Y25" s="106">
        <v>1876.2557476088257</v>
      </c>
      <c r="Z25" s="106">
        <v>7.0112596258881759</v>
      </c>
      <c r="AA25" s="106">
        <v>2280.0616303388347</v>
      </c>
      <c r="AB25" s="106">
        <v>1.454395616463938</v>
      </c>
      <c r="AC25" s="106">
        <v>472.96945447407262</v>
      </c>
      <c r="AD25" s="106">
        <v>9.0112562185875706</v>
      </c>
      <c r="AE25" s="106">
        <v>2930.4605222846781</v>
      </c>
      <c r="AF25" s="106">
        <v>9.9442755438998969</v>
      </c>
      <c r="AG25" s="106">
        <v>3233.8784068762466</v>
      </c>
      <c r="AH25" s="106">
        <v>5.7208782273465069</v>
      </c>
      <c r="AI25" s="106">
        <v>1860.429599533084</v>
      </c>
      <c r="AJ25" s="106">
        <v>13.344227685991402</v>
      </c>
      <c r="AK25" s="106">
        <v>4339.5428434844043</v>
      </c>
      <c r="AL25" s="106">
        <v>7.6035769034052292</v>
      </c>
      <c r="AM25" s="106">
        <v>2472.6832089873806</v>
      </c>
      <c r="AN25" s="106">
        <v>13.739164777517995</v>
      </c>
      <c r="AO25" s="106">
        <v>4467.9763856488516</v>
      </c>
      <c r="AP25" s="106">
        <v>10.188259153640544</v>
      </c>
      <c r="AQ25" s="106">
        <v>3313.2218767639047</v>
      </c>
      <c r="AR25" s="106">
        <v>8.2579888735685785</v>
      </c>
      <c r="AS25" s="106">
        <v>2685.4979816845016</v>
      </c>
      <c r="AT25" s="106">
        <v>9.2084526123626702</v>
      </c>
      <c r="AU25" s="106">
        <v>2994.5887895403403</v>
      </c>
      <c r="AV25" s="106">
        <v>10</v>
      </c>
      <c r="AW25" s="106">
        <v>3252</v>
      </c>
      <c r="AX25" s="106">
        <v>8.5256994239857509</v>
      </c>
      <c r="AY25" s="106">
        <v>2772.5574526801661</v>
      </c>
      <c r="AZ25" s="106">
        <v>9.4097001242729448</v>
      </c>
      <c r="BA25" s="106">
        <v>3060.0344804135616</v>
      </c>
      <c r="BB25" s="106">
        <v>7.509548777387713</v>
      </c>
      <c r="BC25" s="106">
        <v>2442.1052624064841</v>
      </c>
      <c r="BD25" s="106">
        <v>4.4140781464464585</v>
      </c>
      <c r="BE25" s="106">
        <v>1435.4582132243881</v>
      </c>
      <c r="BF25" s="106">
        <v>8.7958509370378017</v>
      </c>
      <c r="BG25" s="106">
        <v>2860.410724724693</v>
      </c>
      <c r="BH25" s="106">
        <v>0.66674858280812743</v>
      </c>
      <c r="BI25" s="106">
        <v>216.82663912920304</v>
      </c>
      <c r="BJ25" s="106">
        <v>3.1465665945243266</v>
      </c>
      <c r="BK25" s="106">
        <v>1023.2634565393109</v>
      </c>
      <c r="BL25" s="106">
        <v>1.7790898650769256</v>
      </c>
      <c r="BM25" s="106">
        <v>578.56002412301621</v>
      </c>
      <c r="BN25" s="106">
        <v>3.4552605333592159</v>
      </c>
      <c r="BO25" s="106">
        <v>1123.650725448417</v>
      </c>
      <c r="BP25" s="106">
        <v>10.803067445148242</v>
      </c>
      <c r="BQ25" s="106">
        <v>3513.1575331622084</v>
      </c>
      <c r="BR25" s="106">
        <v>10.743066625658772</v>
      </c>
      <c r="BS25" s="106">
        <v>3493.6452666642326</v>
      </c>
      <c r="BT25" s="106">
        <v>11</v>
      </c>
      <c r="BU25" s="106">
        <v>3577.2</v>
      </c>
      <c r="BV25" s="106">
        <v>8.0973679082464276</v>
      </c>
      <c r="BW25" s="106">
        <v>2633.2640437617383</v>
      </c>
      <c r="BX25" s="106">
        <v>4.463248478177384</v>
      </c>
      <c r="BY25" s="106">
        <v>1451.4484051032853</v>
      </c>
      <c r="BZ25" s="106">
        <v>4.4108067909557311</v>
      </c>
      <c r="CA25" s="106">
        <v>1434.3943684188037</v>
      </c>
      <c r="CB25" s="106">
        <v>3.870619387901848</v>
      </c>
      <c r="CC25" s="106">
        <v>1258.725424945681</v>
      </c>
      <c r="CD25" s="106">
        <v>2.9159889817621889</v>
      </c>
      <c r="CE25" s="106">
        <v>948.27961686906383</v>
      </c>
      <c r="CF25" s="106">
        <v>1.2502526750623246</v>
      </c>
      <c r="CG25" s="106">
        <v>406.58216993026798</v>
      </c>
      <c r="CH25" s="106">
        <v>2.8668005462684558</v>
      </c>
      <c r="CI25" s="106">
        <v>932.28353764650183</v>
      </c>
      <c r="CJ25" s="106">
        <v>1.7860752500890349</v>
      </c>
      <c r="CK25" s="106">
        <v>580.83167132895414</v>
      </c>
      <c r="CL25" s="106">
        <v>2.4227798337676352</v>
      </c>
      <c r="CM25" s="106">
        <v>787.88800194123496</v>
      </c>
      <c r="CN25" s="106">
        <v>13.10076356686359</v>
      </c>
      <c r="CO25" s="106">
        <v>4260.3683119440393</v>
      </c>
      <c r="CP25" s="106">
        <v>12.362468773872346</v>
      </c>
      <c r="CQ25" s="106">
        <v>4020.2748452632868</v>
      </c>
      <c r="CR25" s="106">
        <v>11.5067722411312</v>
      </c>
      <c r="CS25" s="106">
        <v>3742.0023328158663</v>
      </c>
      <c r="CT25" s="106">
        <v>12.21440398885985</v>
      </c>
      <c r="CU25" s="106">
        <v>3972.1241771772229</v>
      </c>
    </row>
    <row r="26" spans="2:99" x14ac:dyDescent="0.2">
      <c r="C26" s="105" t="s">
        <v>192</v>
      </c>
      <c r="D26" s="106">
        <v>4</v>
      </c>
      <c r="E26" s="106">
        <v>1147.2</v>
      </c>
      <c r="F26" s="106">
        <v>4.3414589486010922</v>
      </c>
      <c r="G26" s="106">
        <v>1245.1304264587932</v>
      </c>
      <c r="H26" s="106">
        <v>4</v>
      </c>
      <c r="I26" s="106">
        <v>1147.2</v>
      </c>
      <c r="J26" s="106">
        <v>2.6495868687701449</v>
      </c>
      <c r="K26" s="106">
        <v>759.90151396327758</v>
      </c>
      <c r="L26" s="106">
        <v>1.608535794106718</v>
      </c>
      <c r="M26" s="106">
        <v>461.32806574980674</v>
      </c>
      <c r="N26" s="106">
        <v>2.3065548845159642</v>
      </c>
      <c r="O26" s="106">
        <v>661.51994087917853</v>
      </c>
      <c r="P26" s="106">
        <v>1.3698959195350708</v>
      </c>
      <c r="Q26" s="106">
        <v>392.88614972265833</v>
      </c>
      <c r="R26" s="106">
        <v>2.1896131650079456</v>
      </c>
      <c r="S26" s="106">
        <v>627.9810557242788</v>
      </c>
      <c r="T26" s="106">
        <v>8.3056823153351793</v>
      </c>
      <c r="U26" s="106">
        <v>2382.0696880381297</v>
      </c>
      <c r="V26" s="106">
        <v>11.398822897784822</v>
      </c>
      <c r="W26" s="106">
        <v>3269.1824070846869</v>
      </c>
      <c r="X26" s="106">
        <v>5.7695441193383328</v>
      </c>
      <c r="Y26" s="106">
        <v>1654.7052534262339</v>
      </c>
      <c r="Z26" s="106">
        <v>6.3075821472880707</v>
      </c>
      <c r="AA26" s="106">
        <v>1809.0145598422187</v>
      </c>
      <c r="AB26" s="106">
        <v>1.454395616463938</v>
      </c>
      <c r="AC26" s="106">
        <v>417.12066280185746</v>
      </c>
      <c r="AD26" s="106">
        <v>9.0112562185875706</v>
      </c>
      <c r="AE26" s="106">
        <v>2584.4282834909154</v>
      </c>
      <c r="AF26" s="106">
        <v>10.030118775163523</v>
      </c>
      <c r="AG26" s="106">
        <v>2876.6380647168985</v>
      </c>
      <c r="AH26" s="106">
        <v>6.2270031810925106</v>
      </c>
      <c r="AI26" s="106">
        <v>1785.9045123373321</v>
      </c>
      <c r="AJ26" s="106">
        <v>11.344227685991402</v>
      </c>
      <c r="AK26" s="106">
        <v>3253.5245003423342</v>
      </c>
      <c r="AL26" s="106">
        <v>8.5029807528376917</v>
      </c>
      <c r="AM26" s="106">
        <v>2438.65487991385</v>
      </c>
      <c r="AN26" s="106">
        <v>14.774363100256947</v>
      </c>
      <c r="AO26" s="106">
        <v>4237.2873371536925</v>
      </c>
      <c r="AP26" s="106">
        <v>11.198717995509464</v>
      </c>
      <c r="AQ26" s="106">
        <v>3211.7923211121142</v>
      </c>
      <c r="AR26" s="106">
        <v>8.2579888735685785</v>
      </c>
      <c r="AS26" s="106">
        <v>2368.3912089394685</v>
      </c>
      <c r="AT26" s="106">
        <v>8.2084526123626702</v>
      </c>
      <c r="AU26" s="106">
        <v>2354.1842092256138</v>
      </c>
      <c r="AV26" s="106">
        <v>12</v>
      </c>
      <c r="AW26" s="106">
        <v>3441.6000000000004</v>
      </c>
      <c r="AX26" s="106">
        <v>8.6133159946500442</v>
      </c>
      <c r="AY26" s="106">
        <v>2470.299027265633</v>
      </c>
      <c r="AZ26" s="106">
        <v>8.4097001242729448</v>
      </c>
      <c r="BA26" s="106">
        <v>2411.9019956414809</v>
      </c>
      <c r="BB26" s="106">
        <v>6.6531380988222502</v>
      </c>
      <c r="BC26" s="106">
        <v>1908.1200067422214</v>
      </c>
      <c r="BD26" s="106">
        <v>4.0462383009092537</v>
      </c>
      <c r="BE26" s="106">
        <v>1160.461144700774</v>
      </c>
      <c r="BF26" s="106">
        <v>8.8355191474120307</v>
      </c>
      <c r="BG26" s="106">
        <v>2534.0268914777707</v>
      </c>
      <c r="BH26" s="106">
        <v>1.3334971656162546</v>
      </c>
      <c r="BI26" s="106">
        <v>382.44698709874183</v>
      </c>
      <c r="BJ26" s="106">
        <v>3.0191703062438462</v>
      </c>
      <c r="BK26" s="106">
        <v>865.89804383073511</v>
      </c>
      <c r="BL26" s="106">
        <v>1.7790898650769256</v>
      </c>
      <c r="BM26" s="106">
        <v>510.24297330406228</v>
      </c>
      <c r="BN26" s="106">
        <v>3.6169561481769064</v>
      </c>
      <c r="BO26" s="106">
        <v>1037.3430232971368</v>
      </c>
      <c r="BP26" s="106">
        <v>10.803067445148242</v>
      </c>
      <c r="BQ26" s="106">
        <v>3098.319743268516</v>
      </c>
      <c r="BR26" s="106">
        <v>11.710759381064912</v>
      </c>
      <c r="BS26" s="106">
        <v>3358.6457904894169</v>
      </c>
      <c r="BT26" s="106">
        <v>10</v>
      </c>
      <c r="BU26" s="106">
        <v>2868</v>
      </c>
      <c r="BV26" s="106">
        <v>8.2405028528003097</v>
      </c>
      <c r="BW26" s="106">
        <v>2363.3762181831289</v>
      </c>
      <c r="BX26" s="106">
        <v>4.463248478177384</v>
      </c>
      <c r="BY26" s="106">
        <v>1280.0596635412737</v>
      </c>
      <c r="BZ26" s="106">
        <v>4.970935924023526</v>
      </c>
      <c r="CA26" s="106">
        <v>1425.6644230099473</v>
      </c>
      <c r="CB26" s="106">
        <v>3.8884763076567075</v>
      </c>
      <c r="CC26" s="106">
        <v>1115.2150050359437</v>
      </c>
      <c r="CD26" s="106">
        <v>2.8834889821049452</v>
      </c>
      <c r="CE26" s="106">
        <v>826.98464006769836</v>
      </c>
      <c r="CF26" s="106">
        <v>0.9376895062967433</v>
      </c>
      <c r="CG26" s="106">
        <v>268.92935040590601</v>
      </c>
      <c r="CH26" s="106">
        <v>2.8668005462684558</v>
      </c>
      <c r="CI26" s="106">
        <v>822.19839666979317</v>
      </c>
      <c r="CJ26" s="106">
        <v>1.5309216429334584</v>
      </c>
      <c r="CK26" s="106">
        <v>439.06832719331589</v>
      </c>
      <c r="CL26" s="106">
        <v>2.4227798337676352</v>
      </c>
      <c r="CM26" s="106">
        <v>694.85325632455783</v>
      </c>
      <c r="CN26" s="106">
        <v>12.089345897565238</v>
      </c>
      <c r="CO26" s="106">
        <v>3467.2244034217106</v>
      </c>
      <c r="CP26" s="106">
        <v>12.288377641418778</v>
      </c>
      <c r="CQ26" s="106">
        <v>3524.3067075589056</v>
      </c>
      <c r="CR26" s="106">
        <v>11.475098976060501</v>
      </c>
      <c r="CS26" s="106">
        <v>3291.0583863341517</v>
      </c>
      <c r="CT26" s="106">
        <v>11.19491271714532</v>
      </c>
      <c r="CU26" s="106">
        <v>3210.7009672772779</v>
      </c>
    </row>
    <row r="27" spans="2:99" x14ac:dyDescent="0.2">
      <c r="C27" s="105" t="s">
        <v>193</v>
      </c>
      <c r="D27" s="106">
        <v>4</v>
      </c>
      <c r="E27" s="106">
        <v>1262.3999999999999</v>
      </c>
      <c r="F27" s="106">
        <v>4.2987765800259554</v>
      </c>
      <c r="G27" s="106">
        <v>1356.6938886561913</v>
      </c>
      <c r="H27" s="106">
        <v>4</v>
      </c>
      <c r="I27" s="106">
        <v>1262.3999999999999</v>
      </c>
      <c r="J27" s="106">
        <v>3.5567887446601238</v>
      </c>
      <c r="K27" s="106">
        <v>1122.522527814735</v>
      </c>
      <c r="L27" s="106">
        <v>2.5650689516705238</v>
      </c>
      <c r="M27" s="106">
        <v>809.53576114721727</v>
      </c>
      <c r="N27" s="106">
        <v>2.2682355239514687</v>
      </c>
      <c r="O27" s="106">
        <v>715.85513135908343</v>
      </c>
      <c r="P27" s="106">
        <v>1.4161329094769546</v>
      </c>
      <c r="Q27" s="106">
        <v>446.93154623092681</v>
      </c>
      <c r="R27" s="106">
        <v>2.1896131650079456</v>
      </c>
      <c r="S27" s="106">
        <v>691.04191487650758</v>
      </c>
      <c r="T27" s="106">
        <v>8.3056823153351793</v>
      </c>
      <c r="U27" s="106">
        <v>2621.2733387197823</v>
      </c>
      <c r="V27" s="106">
        <v>10.398822897784822</v>
      </c>
      <c r="W27" s="106">
        <v>3281.8685065408895</v>
      </c>
      <c r="X27" s="106">
        <v>5.1925897074044993</v>
      </c>
      <c r="Y27" s="106">
        <v>1638.7813116568598</v>
      </c>
      <c r="Z27" s="106">
        <v>6.3075821472880707</v>
      </c>
      <c r="AA27" s="106">
        <v>1990.6729256841149</v>
      </c>
      <c r="AB27" s="106">
        <v>1.2725961644059456</v>
      </c>
      <c r="AC27" s="106">
        <v>401.6313494865164</v>
      </c>
      <c r="AD27" s="106">
        <v>9.0514948207140407</v>
      </c>
      <c r="AE27" s="106">
        <v>2856.6517654173508</v>
      </c>
      <c r="AF27" s="106">
        <v>10.987197159531711</v>
      </c>
      <c r="AG27" s="106">
        <v>3467.5594235482076</v>
      </c>
      <c r="AH27" s="106">
        <v>6.254414562546164</v>
      </c>
      <c r="AI27" s="106">
        <v>1973.8932359395692</v>
      </c>
      <c r="AJ27" s="106">
        <v>11.325103925658546</v>
      </c>
      <c r="AK27" s="106">
        <v>3574.2027989378366</v>
      </c>
      <c r="AL27" s="106">
        <v>8.53651280302687</v>
      </c>
      <c r="AM27" s="106">
        <v>2694.1234406352801</v>
      </c>
      <c r="AN27" s="106">
        <v>14.668768132040091</v>
      </c>
      <c r="AO27" s="106">
        <v>4629.4632224718525</v>
      </c>
      <c r="AP27" s="106">
        <v>10.177800311771625</v>
      </c>
      <c r="AQ27" s="106">
        <v>3212.1137783951244</v>
      </c>
      <c r="AR27" s="106">
        <v>9.2418645689705432</v>
      </c>
      <c r="AS27" s="106">
        <v>2916.7324579671031</v>
      </c>
      <c r="AT27" s="106">
        <v>8.2084526123626702</v>
      </c>
      <c r="AU27" s="106">
        <v>2590.5876444616583</v>
      </c>
      <c r="AV27" s="106">
        <v>10</v>
      </c>
      <c r="AW27" s="106">
        <v>3155.9999999999995</v>
      </c>
      <c r="AX27" s="106">
        <v>7.5695077093178975</v>
      </c>
      <c r="AY27" s="106">
        <v>2388.9366330607281</v>
      </c>
      <c r="AZ27" s="106">
        <v>8.4097001242729448</v>
      </c>
      <c r="BA27" s="106">
        <v>2654.1013592205409</v>
      </c>
      <c r="BB27" s="106">
        <v>6.7097516215940942</v>
      </c>
      <c r="BC27" s="106">
        <v>2117.5976117750961</v>
      </c>
      <c r="BD27" s="106">
        <v>4.4140781464464585</v>
      </c>
      <c r="BE27" s="106">
        <v>1393.0830630185021</v>
      </c>
      <c r="BF27" s="106">
        <v>7.9519672326708291</v>
      </c>
      <c r="BG27" s="106">
        <v>2509.6408586309135</v>
      </c>
      <c r="BH27" s="106">
        <v>1.3334971656162546</v>
      </c>
      <c r="BI27" s="106">
        <v>420.85170546848991</v>
      </c>
      <c r="BJ27" s="106">
        <v>3.1147175224542067</v>
      </c>
      <c r="BK27" s="106">
        <v>983.00485008654755</v>
      </c>
      <c r="BL27" s="106">
        <v>1.7790898650769256</v>
      </c>
      <c r="BM27" s="106">
        <v>561.48076141827767</v>
      </c>
      <c r="BN27" s="106">
        <v>3.5765322444724839</v>
      </c>
      <c r="BO27" s="106">
        <v>1128.7535763555159</v>
      </c>
      <c r="BP27" s="106">
        <v>11.883374189663066</v>
      </c>
      <c r="BQ27" s="106">
        <v>3750.3928942576631</v>
      </c>
      <c r="BR27" s="106">
        <v>11.710759381064912</v>
      </c>
      <c r="BS27" s="106">
        <v>3695.9156606640859</v>
      </c>
      <c r="BT27" s="106">
        <v>10</v>
      </c>
      <c r="BU27" s="106">
        <v>3155.9999999999995</v>
      </c>
      <c r="BV27" s="106">
        <v>9.2882145009849371</v>
      </c>
      <c r="BW27" s="106">
        <v>2931.3604965108457</v>
      </c>
      <c r="BX27" s="106">
        <v>4.463248478177384</v>
      </c>
      <c r="BY27" s="106">
        <v>1408.6012197127823</v>
      </c>
      <c r="BZ27" s="106">
        <v>4.954042721972451</v>
      </c>
      <c r="CA27" s="106">
        <v>1563.4958830545054</v>
      </c>
      <c r="CB27" s="106">
        <v>3.942047066921285</v>
      </c>
      <c r="CC27" s="106">
        <v>1244.1100543203574</v>
      </c>
      <c r="CD27" s="106">
        <v>2.8672389822763225</v>
      </c>
      <c r="CE27" s="106">
        <v>904.90062280640723</v>
      </c>
      <c r="CF27" s="106">
        <v>1.2502526750623246</v>
      </c>
      <c r="CG27" s="106">
        <v>394.5797442496696</v>
      </c>
      <c r="CH27" s="106">
        <v>2.8668005462684558</v>
      </c>
      <c r="CI27" s="106">
        <v>904.76225240232452</v>
      </c>
      <c r="CJ27" s="106">
        <v>1.5309216429334584</v>
      </c>
      <c r="CK27" s="106">
        <v>483.15887050979944</v>
      </c>
      <c r="CL27" s="106">
        <v>2.4415560982243067</v>
      </c>
      <c r="CM27" s="106">
        <v>770.55510459959112</v>
      </c>
      <c r="CN27" s="106">
        <v>12.065512830557749</v>
      </c>
      <c r="CO27" s="106">
        <v>3807.8758493240252</v>
      </c>
      <c r="CP27" s="106">
        <v>13.30932198101811</v>
      </c>
      <c r="CQ27" s="106">
        <v>4200.4220172093155</v>
      </c>
      <c r="CR27" s="106">
        <v>11.4434257109898</v>
      </c>
      <c r="CS27" s="106">
        <v>3611.5451543883805</v>
      </c>
      <c r="CT27" s="106">
        <v>12.233895260574382</v>
      </c>
      <c r="CU27" s="106">
        <v>3861.0173442372748</v>
      </c>
    </row>
    <row r="28" spans="2:99" x14ac:dyDescent="0.2">
      <c r="C28" s="105" t="s">
        <v>194</v>
      </c>
      <c r="D28" s="106">
        <v>4.5903723697769045</v>
      </c>
      <c r="E28" s="106">
        <v>2710.1558471162843</v>
      </c>
      <c r="F28" s="106">
        <v>4</v>
      </c>
      <c r="G28" s="106">
        <v>2361.6</v>
      </c>
      <c r="H28" s="106">
        <v>4</v>
      </c>
      <c r="I28" s="106">
        <v>2361.6</v>
      </c>
      <c r="J28" s="106">
        <v>2.1801407383305023</v>
      </c>
      <c r="K28" s="106">
        <v>1287.1550919103286</v>
      </c>
      <c r="L28" s="106">
        <v>1.0000000000000002</v>
      </c>
      <c r="M28" s="106">
        <v>590.40000000000009</v>
      </c>
      <c r="N28" s="106">
        <v>2</v>
      </c>
      <c r="O28" s="106">
        <v>1180.8</v>
      </c>
      <c r="P28" s="106">
        <v>1</v>
      </c>
      <c r="Q28" s="106">
        <v>590.4</v>
      </c>
      <c r="R28" s="106">
        <v>1</v>
      </c>
      <c r="S28" s="106">
        <v>590.4</v>
      </c>
      <c r="T28" s="106">
        <v>8</v>
      </c>
      <c r="U28" s="106">
        <v>4723.2</v>
      </c>
      <c r="V28" s="106">
        <v>10</v>
      </c>
      <c r="W28" s="106">
        <v>5904</v>
      </c>
      <c r="X28" s="106">
        <v>8.5486964265991432</v>
      </c>
      <c r="Y28" s="106">
        <v>5047.1503702641339</v>
      </c>
      <c r="Z28" s="106">
        <v>10.409626133156745</v>
      </c>
      <c r="AA28" s="106">
        <v>6145.8432690157424</v>
      </c>
      <c r="AB28" s="106">
        <v>8</v>
      </c>
      <c r="AC28" s="106">
        <v>4723.2</v>
      </c>
      <c r="AD28" s="106">
        <v>8</v>
      </c>
      <c r="AE28" s="106">
        <v>4723.2</v>
      </c>
      <c r="AF28" s="106">
        <v>8</v>
      </c>
      <c r="AG28" s="106">
        <v>4723.2</v>
      </c>
      <c r="AH28" s="106">
        <v>11</v>
      </c>
      <c r="AI28" s="106">
        <v>6494.4</v>
      </c>
      <c r="AJ28" s="106">
        <v>12</v>
      </c>
      <c r="AK28" s="106">
        <v>7084.7999999999993</v>
      </c>
      <c r="AL28" s="106">
        <v>7</v>
      </c>
      <c r="AM28" s="106">
        <v>4132.8</v>
      </c>
      <c r="AN28" s="106">
        <v>15.037145528962501</v>
      </c>
      <c r="AO28" s="106">
        <v>8877.9307202994605</v>
      </c>
      <c r="AP28" s="106">
        <v>9.7871205332568927</v>
      </c>
      <c r="AQ28" s="106">
        <v>5778.3159628348694</v>
      </c>
      <c r="AR28" s="106">
        <v>8.4545262969945565</v>
      </c>
      <c r="AS28" s="106">
        <v>4991.5523257455861</v>
      </c>
      <c r="AT28" s="106">
        <v>3.6786054370891046</v>
      </c>
      <c r="AU28" s="106">
        <v>2171.8486500574072</v>
      </c>
      <c r="AV28" s="106">
        <v>3.7309213739156646</v>
      </c>
      <c r="AW28" s="106">
        <v>2202.7359791598083</v>
      </c>
      <c r="AX28" s="106">
        <v>7</v>
      </c>
      <c r="AY28" s="106">
        <v>4132.8</v>
      </c>
      <c r="AZ28" s="106">
        <v>1.8155812677015695</v>
      </c>
      <c r="BA28" s="106">
        <v>1071.9191804510065</v>
      </c>
      <c r="BB28" s="106">
        <v>4.8937142822614952</v>
      </c>
      <c r="BC28" s="106">
        <v>2889.2489122471866</v>
      </c>
      <c r="BD28" s="106">
        <v>2.6923956570908527</v>
      </c>
      <c r="BE28" s="106">
        <v>1589.5903959464395</v>
      </c>
      <c r="BF28" s="106">
        <v>2.8879455866048001</v>
      </c>
      <c r="BG28" s="106">
        <v>1705.0430743314739</v>
      </c>
      <c r="BH28" s="106">
        <v>2</v>
      </c>
      <c r="BI28" s="106">
        <v>1180.8</v>
      </c>
      <c r="BJ28" s="106">
        <v>2</v>
      </c>
      <c r="BK28" s="106">
        <v>1180.8</v>
      </c>
      <c r="BL28" s="106">
        <v>2.3150592353254051</v>
      </c>
      <c r="BM28" s="106">
        <v>1366.8109725361192</v>
      </c>
      <c r="BN28" s="106">
        <v>3.7053941632042244</v>
      </c>
      <c r="BO28" s="106">
        <v>2187.664713955774</v>
      </c>
      <c r="BP28" s="106">
        <v>10</v>
      </c>
      <c r="BQ28" s="106">
        <v>5904</v>
      </c>
      <c r="BR28" s="106">
        <v>10</v>
      </c>
      <c r="BS28" s="106">
        <v>5904</v>
      </c>
      <c r="BT28" s="106">
        <v>9</v>
      </c>
      <c r="BU28" s="106">
        <v>5313.5999999999995</v>
      </c>
      <c r="BV28" s="106">
        <v>7</v>
      </c>
      <c r="BW28" s="106">
        <v>4132.8</v>
      </c>
      <c r="BX28" s="106">
        <v>4</v>
      </c>
      <c r="BY28" s="106">
        <v>2361.6</v>
      </c>
      <c r="BZ28" s="106">
        <v>8.0415215077094651</v>
      </c>
      <c r="CA28" s="106">
        <v>4747.7142981516681</v>
      </c>
      <c r="CB28" s="106">
        <v>5</v>
      </c>
      <c r="CC28" s="106">
        <v>2952</v>
      </c>
      <c r="CD28" s="106">
        <v>4.8602077516738103</v>
      </c>
      <c r="CE28" s="106">
        <v>2869.4666565882176</v>
      </c>
      <c r="CF28" s="106">
        <v>4.4498356068359586</v>
      </c>
      <c r="CG28" s="106">
        <v>2627.1829422759497</v>
      </c>
      <c r="CH28" s="106">
        <v>4.2135870752334492</v>
      </c>
      <c r="CI28" s="106">
        <v>2487.7018092178282</v>
      </c>
      <c r="CJ28" s="106">
        <v>6.3144932801538642</v>
      </c>
      <c r="CK28" s="106">
        <v>3728.0768326028415</v>
      </c>
      <c r="CL28" s="106">
        <v>5.1404398120903432</v>
      </c>
      <c r="CM28" s="106">
        <v>3034.9156650581385</v>
      </c>
      <c r="CN28" s="106">
        <v>11.20139840486749</v>
      </c>
      <c r="CO28" s="106">
        <v>6613.3056182337659</v>
      </c>
      <c r="CP28" s="106">
        <v>11.61901606315738</v>
      </c>
      <c r="CQ28" s="106">
        <v>6859.8670836881165</v>
      </c>
      <c r="CR28" s="106">
        <v>11.721483976077742</v>
      </c>
      <c r="CS28" s="106">
        <v>6920.364139476299</v>
      </c>
      <c r="CT28" s="106">
        <v>13.498467477643981</v>
      </c>
      <c r="CU28" s="106">
        <v>7969.4951988010062</v>
      </c>
    </row>
    <row r="29" spans="2:99" x14ac:dyDescent="0.2">
      <c r="C29" s="105" t="s">
        <v>195</v>
      </c>
      <c r="D29" s="106">
        <v>5</v>
      </c>
      <c r="E29" s="106">
        <v>1176</v>
      </c>
      <c r="F29" s="106">
        <v>4.3414589486010922</v>
      </c>
      <c r="G29" s="106">
        <v>1021.1111447109769</v>
      </c>
      <c r="H29" s="106">
        <v>4</v>
      </c>
      <c r="I29" s="106">
        <v>940.8</v>
      </c>
      <c r="J29" s="106">
        <v>2.695985930825155</v>
      </c>
      <c r="K29" s="106">
        <v>634.09589093007639</v>
      </c>
      <c r="L29" s="106">
        <v>2.5650689516705238</v>
      </c>
      <c r="M29" s="106">
        <v>603.30421743290719</v>
      </c>
      <c r="N29" s="106">
        <v>2.2682355239514687</v>
      </c>
      <c r="O29" s="106">
        <v>533.48899523338537</v>
      </c>
      <c r="P29" s="106">
        <v>1.3698959195350708</v>
      </c>
      <c r="Q29" s="106">
        <v>322.19952027464865</v>
      </c>
      <c r="R29" s="106">
        <v>1.2106812944532732</v>
      </c>
      <c r="S29" s="106">
        <v>284.75224045540983</v>
      </c>
      <c r="T29" s="106">
        <v>7.3056823153351793</v>
      </c>
      <c r="U29" s="106">
        <v>1718.2964805668341</v>
      </c>
      <c r="V29" s="106">
        <v>12.398822897784822</v>
      </c>
      <c r="W29" s="106">
        <v>2916.2031455589899</v>
      </c>
      <c r="X29" s="106">
        <v>5.7695441193383328</v>
      </c>
      <c r="Y29" s="106">
        <v>1356.9967768683757</v>
      </c>
      <c r="Z29" s="106">
        <v>7.0112596258881759</v>
      </c>
      <c r="AA29" s="106">
        <v>1649.048264008899</v>
      </c>
      <c r="AB29" s="106">
        <v>1.2725961644059456</v>
      </c>
      <c r="AC29" s="106">
        <v>299.31461786827839</v>
      </c>
      <c r="AD29" s="106">
        <v>8.0206544734409579</v>
      </c>
      <c r="AE29" s="106">
        <v>1886.4579321533133</v>
      </c>
      <c r="AF29" s="106">
        <v>10.073040390795336</v>
      </c>
      <c r="AG29" s="106">
        <v>2369.179099915063</v>
      </c>
      <c r="AH29" s="106">
        <v>5.7647364376723518</v>
      </c>
      <c r="AI29" s="106">
        <v>1355.8660101405371</v>
      </c>
      <c r="AJ29" s="106">
        <v>12.305980165325691</v>
      </c>
      <c r="AK29" s="106">
        <v>2894.3665348846025</v>
      </c>
      <c r="AL29" s="106">
        <v>7.5029807528376908</v>
      </c>
      <c r="AM29" s="106">
        <v>1764.7010730674249</v>
      </c>
      <c r="AN29" s="106">
        <v>13.739164777517995</v>
      </c>
      <c r="AO29" s="106">
        <v>3231.4515556722322</v>
      </c>
      <c r="AP29" s="106">
        <v>9.2091768373783829</v>
      </c>
      <c r="AQ29" s="106">
        <v>2165.9983921513954</v>
      </c>
      <c r="AR29" s="106">
        <v>9.2257402643725062</v>
      </c>
      <c r="AS29" s="106">
        <v>2169.8941101804135</v>
      </c>
      <c r="AT29" s="106">
        <v>8.2084526123626702</v>
      </c>
      <c r="AU29" s="106">
        <v>1930.6280544276999</v>
      </c>
      <c r="AV29" s="106">
        <v>11</v>
      </c>
      <c r="AW29" s="106">
        <v>2587.1999999999998</v>
      </c>
      <c r="AX29" s="106">
        <v>8.5256994239857509</v>
      </c>
      <c r="AY29" s="106">
        <v>2005.2445045214486</v>
      </c>
      <c r="AZ29" s="106">
        <v>7.4097001242729448</v>
      </c>
      <c r="BA29" s="106">
        <v>1742.7614692289965</v>
      </c>
      <c r="BB29" s="106">
        <v>7.4812420160017927</v>
      </c>
      <c r="BC29" s="106">
        <v>1759.5881221636216</v>
      </c>
      <c r="BD29" s="106">
        <v>3.6783984553720486</v>
      </c>
      <c r="BE29" s="106">
        <v>865.15931670350574</v>
      </c>
      <c r="BF29" s="106">
        <v>7.1080835283038546</v>
      </c>
      <c r="BG29" s="106">
        <v>1671.8212458570665</v>
      </c>
      <c r="BH29" s="106">
        <v>1.3334971656162546</v>
      </c>
      <c r="BI29" s="106">
        <v>313.63853335294306</v>
      </c>
      <c r="BJ29" s="106">
        <v>3.0191703062438462</v>
      </c>
      <c r="BK29" s="106">
        <v>710.10885602855262</v>
      </c>
      <c r="BL29" s="106">
        <v>1.7790898650769256</v>
      </c>
      <c r="BM29" s="106">
        <v>418.44193626609285</v>
      </c>
      <c r="BN29" s="106">
        <v>3.6169561481769064</v>
      </c>
      <c r="BO29" s="106">
        <v>850.70808605120828</v>
      </c>
      <c r="BP29" s="106">
        <v>10.910143104501341</v>
      </c>
      <c r="BQ29" s="106">
        <v>2566.0656581787152</v>
      </c>
      <c r="BR29" s="106">
        <v>11.646144891877194</v>
      </c>
      <c r="BS29" s="106">
        <v>2739.1732785695158</v>
      </c>
      <c r="BT29" s="106">
        <v>11</v>
      </c>
      <c r="BU29" s="106">
        <v>2587.1999999999998</v>
      </c>
      <c r="BV29" s="106">
        <v>8.2405028528003097</v>
      </c>
      <c r="BW29" s="106">
        <v>1938.1662709786328</v>
      </c>
      <c r="BX29" s="106">
        <v>4.4878445393839366</v>
      </c>
      <c r="BY29" s="106">
        <v>1055.5410356631019</v>
      </c>
      <c r="BZ29" s="106">
        <v>4.3939135889046561</v>
      </c>
      <c r="CA29" s="106">
        <v>1033.4484761103752</v>
      </c>
      <c r="CB29" s="106">
        <v>3.924190147166426</v>
      </c>
      <c r="CC29" s="106">
        <v>922.9695226135434</v>
      </c>
      <c r="CD29" s="106">
        <v>2.8834889821049452</v>
      </c>
      <c r="CE29" s="106">
        <v>678.19660859108308</v>
      </c>
      <c r="CF29" s="106">
        <v>1.2502526750623246</v>
      </c>
      <c r="CG29" s="106">
        <v>294.05942917465876</v>
      </c>
      <c r="CH29" s="106">
        <v>2.8360365231321056</v>
      </c>
      <c r="CI29" s="106">
        <v>667.03579024067119</v>
      </c>
      <c r="CJ29" s="106">
        <v>1.7860752500890349</v>
      </c>
      <c r="CK29" s="106">
        <v>420.08489882094096</v>
      </c>
      <c r="CL29" s="106">
        <v>2.4603323626809788</v>
      </c>
      <c r="CM29" s="106">
        <v>578.67017170256622</v>
      </c>
      <c r="CN29" s="106">
        <v>12.065512830557749</v>
      </c>
      <c r="CO29" s="106">
        <v>2837.8086177471823</v>
      </c>
      <c r="CP29" s="106">
        <v>13.346367547244895</v>
      </c>
      <c r="CQ29" s="106">
        <v>3139.0656471119992</v>
      </c>
      <c r="CR29" s="106">
        <v>10.4434257109898</v>
      </c>
      <c r="CS29" s="106">
        <v>2456.2937272248009</v>
      </c>
      <c r="CT29" s="106">
        <v>13.21440398885985</v>
      </c>
      <c r="CU29" s="106">
        <v>3108.0278181798367</v>
      </c>
    </row>
    <row r="30" spans="2:99" x14ac:dyDescent="0.2">
      <c r="C30" s="105" t="s">
        <v>196</v>
      </c>
      <c r="D30" s="106">
        <v>4</v>
      </c>
      <c r="E30" s="106">
        <v>926.4</v>
      </c>
      <c r="F30" s="106">
        <v>4.3414589486010922</v>
      </c>
      <c r="G30" s="106">
        <v>1005.481892496013</v>
      </c>
      <c r="H30" s="106">
        <v>4</v>
      </c>
      <c r="I30" s="106">
        <v>926.4</v>
      </c>
      <c r="J30" s="106">
        <v>3.6031878067151344</v>
      </c>
      <c r="K30" s="106">
        <v>834.49829603522505</v>
      </c>
      <c r="L30" s="106">
        <v>1.5216021092343297</v>
      </c>
      <c r="M30" s="106">
        <v>352.40304849867073</v>
      </c>
      <c r="N30" s="106">
        <v>2.3065548845159642</v>
      </c>
      <c r="O30" s="106">
        <v>534.19811125389731</v>
      </c>
      <c r="P30" s="106">
        <v>1.3698959195350708</v>
      </c>
      <c r="Q30" s="106">
        <v>317.26789496432241</v>
      </c>
      <c r="R30" s="106">
        <v>2.210681294453273</v>
      </c>
      <c r="S30" s="106">
        <v>511.99378779537801</v>
      </c>
      <c r="T30" s="106">
        <v>8.2501037125469647</v>
      </c>
      <c r="U30" s="106">
        <v>1910.7240198258769</v>
      </c>
      <c r="V30" s="106">
        <v>11.398822897784822</v>
      </c>
      <c r="W30" s="106">
        <v>2639.9673831269647</v>
      </c>
      <c r="X30" s="106">
        <v>5.1925897074044993</v>
      </c>
      <c r="Y30" s="106">
        <v>1202.6037762348819</v>
      </c>
      <c r="Z30" s="106">
        <v>6.3075821472880707</v>
      </c>
      <c r="AA30" s="106">
        <v>1460.8360253119172</v>
      </c>
      <c r="AB30" s="106">
        <v>1.454395616463938</v>
      </c>
      <c r="AC30" s="106">
        <v>336.83802477304801</v>
      </c>
      <c r="AD30" s="106">
        <v>8.9307790143346342</v>
      </c>
      <c r="AE30" s="106">
        <v>2068.3684197199013</v>
      </c>
      <c r="AF30" s="106">
        <v>10.030118775163523</v>
      </c>
      <c r="AG30" s="106">
        <v>2322.9755083278719</v>
      </c>
      <c r="AH30" s="106">
        <v>5.7647364376723518</v>
      </c>
      <c r="AI30" s="106">
        <v>1335.1129589649167</v>
      </c>
      <c r="AJ30" s="106">
        <v>12.363351446324257</v>
      </c>
      <c r="AK30" s="106">
        <v>2863.3521949686979</v>
      </c>
      <c r="AL30" s="106">
        <v>7.6035769034052292</v>
      </c>
      <c r="AM30" s="106">
        <v>1760.988410828651</v>
      </c>
      <c r="AN30" s="106">
        <v>14.739164777517995</v>
      </c>
      <c r="AO30" s="106">
        <v>3413.5905624731677</v>
      </c>
      <c r="AP30" s="106">
        <v>9.1882591536405442</v>
      </c>
      <c r="AQ30" s="106">
        <v>2128.00081998315</v>
      </c>
      <c r="AR30" s="106">
        <v>8.2257402643725062</v>
      </c>
      <c r="AS30" s="106">
        <v>1905.0814452286725</v>
      </c>
      <c r="AT30" s="106">
        <v>8.2084526123626702</v>
      </c>
      <c r="AU30" s="106">
        <v>1901.0776250231943</v>
      </c>
      <c r="AV30" s="106">
        <v>10</v>
      </c>
      <c r="AW30" s="106">
        <v>2316</v>
      </c>
      <c r="AX30" s="106">
        <v>8.6133159946500442</v>
      </c>
      <c r="AY30" s="106">
        <v>1994.8439843609501</v>
      </c>
      <c r="AZ30" s="106">
        <v>8.4097001242729448</v>
      </c>
      <c r="BA30" s="106">
        <v>1947.686548781614</v>
      </c>
      <c r="BB30" s="106">
        <v>7.4529352546158698</v>
      </c>
      <c r="BC30" s="106">
        <v>1726.0998049690354</v>
      </c>
      <c r="BD30" s="106">
        <v>4.4140781464464585</v>
      </c>
      <c r="BE30" s="106">
        <v>1022.3004987169998</v>
      </c>
      <c r="BF30" s="106">
        <v>7.9916354430450571</v>
      </c>
      <c r="BG30" s="106">
        <v>1850.8627686092352</v>
      </c>
      <c r="BH30" s="106">
        <v>0.66674858280812743</v>
      </c>
      <c r="BI30" s="106">
        <v>154.41897177836231</v>
      </c>
      <c r="BJ30" s="106">
        <v>3.0510193783139661</v>
      </c>
      <c r="BK30" s="106">
        <v>706.61608801751447</v>
      </c>
      <c r="BL30" s="106">
        <v>1.7790898650769256</v>
      </c>
      <c r="BM30" s="106">
        <v>412.03721275181596</v>
      </c>
      <c r="BN30" s="106">
        <v>3.6169561481769064</v>
      </c>
      <c r="BO30" s="106">
        <v>837.68704391777146</v>
      </c>
      <c r="BP30" s="106">
        <v>10.883374189663066</v>
      </c>
      <c r="BQ30" s="106">
        <v>2520.589462325966</v>
      </c>
      <c r="BR30" s="106">
        <v>11.710759381064912</v>
      </c>
      <c r="BS30" s="106">
        <v>2712.2118726546337</v>
      </c>
      <c r="BT30" s="106">
        <v>11</v>
      </c>
      <c r="BU30" s="106">
        <v>2547.6</v>
      </c>
      <c r="BV30" s="106">
        <v>7.145079556431055</v>
      </c>
      <c r="BW30" s="106">
        <v>1654.8004252694323</v>
      </c>
      <c r="BX30" s="106">
        <v>4.463248478177384</v>
      </c>
      <c r="BY30" s="106">
        <v>1033.6883475458822</v>
      </c>
      <c r="BZ30" s="106">
        <v>4.4108067909557311</v>
      </c>
      <c r="CA30" s="106">
        <v>1021.5428527853473</v>
      </c>
      <c r="CB30" s="106">
        <v>3.942047066921285</v>
      </c>
      <c r="CC30" s="106">
        <v>912.97810069896957</v>
      </c>
      <c r="CD30" s="106">
        <v>2.9159889817621889</v>
      </c>
      <c r="CE30" s="106">
        <v>675.34304817612292</v>
      </c>
      <c r="CF30" s="106">
        <v>1.2502526750623246</v>
      </c>
      <c r="CG30" s="106">
        <v>289.55851954443438</v>
      </c>
      <c r="CH30" s="106">
        <v>2.8360365231321056</v>
      </c>
      <c r="CI30" s="106">
        <v>656.82605875739569</v>
      </c>
      <c r="CJ30" s="106">
        <v>1.7860752500890349</v>
      </c>
      <c r="CK30" s="106">
        <v>413.65502792062046</v>
      </c>
      <c r="CL30" s="106">
        <v>2.4227798337676352</v>
      </c>
      <c r="CM30" s="106">
        <v>561.11580950058431</v>
      </c>
      <c r="CN30" s="106">
        <v>14.04068203513947</v>
      </c>
      <c r="CO30" s="106">
        <v>3251.8219593383014</v>
      </c>
      <c r="CP30" s="106">
        <v>13.272276414791326</v>
      </c>
      <c r="CQ30" s="106">
        <v>3073.8592176656712</v>
      </c>
      <c r="CR30" s="106">
        <v>10.5067722411312</v>
      </c>
      <c r="CS30" s="106">
        <v>2433.3684510459857</v>
      </c>
      <c r="CT30" s="106">
        <v>13.19491271714532</v>
      </c>
      <c r="CU30" s="106">
        <v>3055.9417852908559</v>
      </c>
    </row>
    <row r="31" spans="2:99" x14ac:dyDescent="0.2">
      <c r="C31" s="105" t="s">
        <v>197</v>
      </c>
      <c r="D31" s="106">
        <v>5</v>
      </c>
      <c r="E31" s="106">
        <v>888</v>
      </c>
      <c r="F31" s="106">
        <v>4.3414589486010922</v>
      </c>
      <c r="G31" s="106">
        <v>771.04310927155393</v>
      </c>
      <c r="H31" s="106">
        <v>4</v>
      </c>
      <c r="I31" s="106">
        <v>710.4</v>
      </c>
      <c r="J31" s="106">
        <v>2.6031878067151344</v>
      </c>
      <c r="K31" s="106">
        <v>462.32615447260787</v>
      </c>
      <c r="L31" s="106">
        <v>1.6520026365429119</v>
      </c>
      <c r="M31" s="106">
        <v>293.39566825002112</v>
      </c>
      <c r="N31" s="106">
        <v>2.2682355239514687</v>
      </c>
      <c r="O31" s="106">
        <v>402.83862905378083</v>
      </c>
      <c r="P31" s="106">
        <v>1.3698959195350708</v>
      </c>
      <c r="Q31" s="106">
        <v>243.29351530942859</v>
      </c>
      <c r="R31" s="106">
        <v>1.2106812944532732</v>
      </c>
      <c r="S31" s="106">
        <v>215.01699789490132</v>
      </c>
      <c r="T31" s="106">
        <v>8.2778930139410729</v>
      </c>
      <c r="U31" s="106">
        <v>1470.1537992759345</v>
      </c>
      <c r="V31" s="106">
        <v>11.398822897784822</v>
      </c>
      <c r="W31" s="106">
        <v>2024.4309466465843</v>
      </c>
      <c r="X31" s="106">
        <v>5.1925897074044993</v>
      </c>
      <c r="Y31" s="106">
        <v>922.20393203503909</v>
      </c>
      <c r="Z31" s="106">
        <v>6.3075821472880707</v>
      </c>
      <c r="AA31" s="106">
        <v>1120.2265893583613</v>
      </c>
      <c r="AB31" s="106">
        <v>1.454395616463938</v>
      </c>
      <c r="AC31" s="106">
        <v>258.30066148399538</v>
      </c>
      <c r="AD31" s="106">
        <v>8.9307790143346342</v>
      </c>
      <c r="AE31" s="106">
        <v>1586.1063529458311</v>
      </c>
      <c r="AF31" s="106">
        <v>10.11596200642715</v>
      </c>
      <c r="AG31" s="106">
        <v>1796.5948523414618</v>
      </c>
      <c r="AH31" s="106">
        <v>5.7647364376723518</v>
      </c>
      <c r="AI31" s="106">
        <v>1023.8171913306096</v>
      </c>
      <c r="AJ31" s="106">
        <v>11.363351446324257</v>
      </c>
      <c r="AK31" s="106">
        <v>2018.131216867188</v>
      </c>
      <c r="AL31" s="106">
        <v>8.5029807528376917</v>
      </c>
      <c r="AM31" s="106">
        <v>1510.1293817039741</v>
      </c>
      <c r="AN31" s="106">
        <v>14.739164777517995</v>
      </c>
      <c r="AO31" s="106">
        <v>2617.6756644871957</v>
      </c>
      <c r="AP31" s="106">
        <v>10.177800311771625</v>
      </c>
      <c r="AQ31" s="106">
        <v>1807.5773353706406</v>
      </c>
      <c r="AR31" s="106">
        <v>8.2579888735685785</v>
      </c>
      <c r="AS31" s="106">
        <v>1466.6188239457795</v>
      </c>
      <c r="AT31" s="106">
        <v>9.2233420846742895</v>
      </c>
      <c r="AU31" s="106">
        <v>1638.0655542381537</v>
      </c>
      <c r="AV31" s="106">
        <v>10</v>
      </c>
      <c r="AW31" s="106">
        <v>1776</v>
      </c>
      <c r="AX31" s="106">
        <v>8.5695077093178984</v>
      </c>
      <c r="AY31" s="106">
        <v>1521.9445691748588</v>
      </c>
      <c r="AZ31" s="106">
        <v>9.4097001242729448</v>
      </c>
      <c r="BA31" s="106">
        <v>1671.1627420708749</v>
      </c>
      <c r="BB31" s="106">
        <v>8.3093459331813317</v>
      </c>
      <c r="BC31" s="106">
        <v>1475.7398377330044</v>
      </c>
      <c r="BD31" s="106">
        <v>4.0462383009092537</v>
      </c>
      <c r="BE31" s="106">
        <v>718.6119222414834</v>
      </c>
      <c r="BF31" s="106">
        <v>7.9916354430450571</v>
      </c>
      <c r="BG31" s="106">
        <v>1419.3144546848021</v>
      </c>
      <c r="BH31" s="106">
        <v>1.3334971656162546</v>
      </c>
      <c r="BI31" s="106">
        <v>236.82909661344681</v>
      </c>
      <c r="BJ31" s="106">
        <v>3.2421138107346872</v>
      </c>
      <c r="BK31" s="106">
        <v>575.79941278648039</v>
      </c>
      <c r="BL31" s="106">
        <v>1.7790898650769256</v>
      </c>
      <c r="BM31" s="106">
        <v>315.96636003766196</v>
      </c>
      <c r="BN31" s="106">
        <v>3.5765322444724839</v>
      </c>
      <c r="BO31" s="106">
        <v>635.19212661831307</v>
      </c>
      <c r="BP31" s="106">
        <v>11.803067445148242</v>
      </c>
      <c r="BQ31" s="106">
        <v>2096.2247782583277</v>
      </c>
      <c r="BR31" s="106">
        <v>11.613837647283333</v>
      </c>
      <c r="BS31" s="106">
        <v>2062.6175661575198</v>
      </c>
      <c r="BT31" s="106">
        <v>11</v>
      </c>
      <c r="BU31" s="106">
        <v>1953.6</v>
      </c>
      <c r="BV31" s="106">
        <v>8.2882145009849371</v>
      </c>
      <c r="BW31" s="106">
        <v>1471.9868953749249</v>
      </c>
      <c r="BX31" s="106">
        <v>4.4140563557642771</v>
      </c>
      <c r="BY31" s="106">
        <v>783.9364087837356</v>
      </c>
      <c r="BZ31" s="106">
        <v>4.3939135889046561</v>
      </c>
      <c r="CA31" s="106">
        <v>780.35905338946691</v>
      </c>
      <c r="CB31" s="106">
        <v>3.9599039866761436</v>
      </c>
      <c r="CC31" s="106">
        <v>703.27894803368304</v>
      </c>
      <c r="CD31" s="106">
        <v>2.9322389815908112</v>
      </c>
      <c r="CE31" s="106">
        <v>520.76564313052802</v>
      </c>
      <c r="CF31" s="106">
        <v>0.9376895062967433</v>
      </c>
      <c r="CG31" s="106">
        <v>166.53365631830161</v>
      </c>
      <c r="CH31" s="106">
        <v>2.8360365231321056</v>
      </c>
      <c r="CI31" s="106">
        <v>503.68008650826192</v>
      </c>
      <c r="CJ31" s="106">
        <v>1.5309216429334584</v>
      </c>
      <c r="CK31" s="106">
        <v>271.89168378498221</v>
      </c>
      <c r="CL31" s="106">
        <v>2.4227798337676352</v>
      </c>
      <c r="CM31" s="106">
        <v>430.28569847713197</v>
      </c>
      <c r="CN31" s="106">
        <v>12.065512830557749</v>
      </c>
      <c r="CO31" s="106">
        <v>2142.8350787070563</v>
      </c>
      <c r="CP31" s="106">
        <v>13.272276414791326</v>
      </c>
      <c r="CQ31" s="106">
        <v>2357.1562912669397</v>
      </c>
      <c r="CR31" s="106">
        <v>11.5067722411312</v>
      </c>
      <c r="CS31" s="106">
        <v>2043.6027500249011</v>
      </c>
      <c r="CT31" s="106">
        <v>13.21440398885985</v>
      </c>
      <c r="CU31" s="106">
        <v>2346.8781484215092</v>
      </c>
    </row>
    <row r="32" spans="2:99" x14ac:dyDescent="0.2">
      <c r="C32" s="105" t="s">
        <v>198</v>
      </c>
      <c r="D32" s="106">
        <v>5.5903723697769045</v>
      </c>
      <c r="E32" s="106">
        <v>2877.9236959611503</v>
      </c>
      <c r="F32" s="106">
        <v>4</v>
      </c>
      <c r="G32" s="106">
        <v>2059.1999999999998</v>
      </c>
      <c r="H32" s="106">
        <v>4</v>
      </c>
      <c r="I32" s="106">
        <v>2059.1999999999998</v>
      </c>
      <c r="J32" s="106">
        <v>3.1939977182020796</v>
      </c>
      <c r="K32" s="106">
        <v>1644.2700253304304</v>
      </c>
      <c r="L32" s="106">
        <v>1.0000000000000002</v>
      </c>
      <c r="M32" s="106">
        <v>514.80000000000007</v>
      </c>
      <c r="N32" s="106">
        <v>2</v>
      </c>
      <c r="O32" s="106">
        <v>1029.5999999999999</v>
      </c>
      <c r="P32" s="106">
        <v>1</v>
      </c>
      <c r="Q32" s="106">
        <v>514.79999999999995</v>
      </c>
      <c r="R32" s="106">
        <v>1</v>
      </c>
      <c r="S32" s="106">
        <v>514.79999999999995</v>
      </c>
      <c r="T32" s="106">
        <v>7</v>
      </c>
      <c r="U32" s="106">
        <v>3603.5999999999995</v>
      </c>
      <c r="V32" s="106">
        <v>10</v>
      </c>
      <c r="W32" s="106">
        <v>5148</v>
      </c>
      <c r="X32" s="106">
        <v>10.498814933271948</v>
      </c>
      <c r="Y32" s="106">
        <v>5404.7899276483986</v>
      </c>
      <c r="Z32" s="106">
        <v>9.4096261331567455</v>
      </c>
      <c r="AA32" s="106">
        <v>4844.0755333490924</v>
      </c>
      <c r="AB32" s="106">
        <v>8</v>
      </c>
      <c r="AC32" s="106">
        <v>4118.3999999999996</v>
      </c>
      <c r="AD32" s="106">
        <v>7</v>
      </c>
      <c r="AE32" s="106">
        <v>3603.5999999999995</v>
      </c>
      <c r="AF32" s="106">
        <v>9</v>
      </c>
      <c r="AG32" s="106">
        <v>4633.2</v>
      </c>
      <c r="AH32" s="106">
        <v>10</v>
      </c>
      <c r="AI32" s="106">
        <v>5148</v>
      </c>
      <c r="AJ32" s="106">
        <v>11</v>
      </c>
      <c r="AK32" s="106">
        <v>5662.7999999999993</v>
      </c>
      <c r="AL32" s="106">
        <v>7</v>
      </c>
      <c r="AM32" s="106">
        <v>3603.5999999999995</v>
      </c>
      <c r="AN32" s="106">
        <v>13.037145528962501</v>
      </c>
      <c r="AO32" s="106">
        <v>6711.5225183098946</v>
      </c>
      <c r="AP32" s="106">
        <v>10.74339161474262</v>
      </c>
      <c r="AQ32" s="106">
        <v>5530.6980032695001</v>
      </c>
      <c r="AR32" s="106">
        <v>6.7135629581492768</v>
      </c>
      <c r="AS32" s="106">
        <v>3456.1422108552474</v>
      </c>
      <c r="AT32" s="106">
        <v>3.6786054370891046</v>
      </c>
      <c r="AU32" s="106">
        <v>1893.746079013471</v>
      </c>
      <c r="AV32" s="106">
        <v>3.7309213739156646</v>
      </c>
      <c r="AW32" s="106">
        <v>1920.678323291784</v>
      </c>
      <c r="AX32" s="106">
        <v>8</v>
      </c>
      <c r="AY32" s="106">
        <v>4118.3999999999996</v>
      </c>
      <c r="AZ32" s="106">
        <v>1.585517539333781</v>
      </c>
      <c r="BA32" s="106">
        <v>816.22442924903044</v>
      </c>
      <c r="BB32" s="106">
        <v>4.3499682508991073</v>
      </c>
      <c r="BC32" s="106">
        <v>2239.3636555628605</v>
      </c>
      <c r="BD32" s="106">
        <v>2.6923956570908527</v>
      </c>
      <c r="BE32" s="106">
        <v>1386.0452842703708</v>
      </c>
      <c r="BF32" s="106">
        <v>2.8879455866048001</v>
      </c>
      <c r="BG32" s="106">
        <v>1486.714387984151</v>
      </c>
      <c r="BH32" s="106">
        <v>2</v>
      </c>
      <c r="BI32" s="106">
        <v>1029.5999999999999</v>
      </c>
      <c r="BJ32" s="106">
        <v>2</v>
      </c>
      <c r="BK32" s="106">
        <v>1029.5999999999999</v>
      </c>
      <c r="BL32" s="106">
        <v>2.350065817028228</v>
      </c>
      <c r="BM32" s="106">
        <v>1209.8138826061318</v>
      </c>
      <c r="BN32" s="106">
        <v>3.8436693656261891</v>
      </c>
      <c r="BO32" s="106">
        <v>1978.720989424362</v>
      </c>
      <c r="BP32" s="106">
        <v>10</v>
      </c>
      <c r="BQ32" s="106">
        <v>5148</v>
      </c>
      <c r="BR32" s="106">
        <v>10</v>
      </c>
      <c r="BS32" s="106">
        <v>5148</v>
      </c>
      <c r="BT32" s="106">
        <v>10</v>
      </c>
      <c r="BU32" s="106">
        <v>5148</v>
      </c>
      <c r="BV32" s="106">
        <v>6</v>
      </c>
      <c r="BW32" s="106">
        <v>3088.7999999999997</v>
      </c>
      <c r="BX32" s="106">
        <v>4</v>
      </c>
      <c r="BY32" s="106">
        <v>2059.1999999999998</v>
      </c>
      <c r="BZ32" s="106">
        <v>8.0415215077094651</v>
      </c>
      <c r="CA32" s="106">
        <v>4139.7752721688321</v>
      </c>
      <c r="CB32" s="106">
        <v>5</v>
      </c>
      <c r="CC32" s="106">
        <v>2574</v>
      </c>
      <c r="CD32" s="106">
        <v>5.8602077516738103</v>
      </c>
      <c r="CE32" s="106">
        <v>3016.834950561677</v>
      </c>
      <c r="CF32" s="106">
        <v>3.449835606835959</v>
      </c>
      <c r="CG32" s="106">
        <v>1775.9753703991516</v>
      </c>
      <c r="CH32" s="106">
        <v>4.1983308555739169</v>
      </c>
      <c r="CI32" s="106">
        <v>2161.3007244494524</v>
      </c>
      <c r="CJ32" s="106">
        <v>7.2903014893727978</v>
      </c>
      <c r="CK32" s="106">
        <v>3753.0472067291162</v>
      </c>
      <c r="CL32" s="106">
        <v>5.1811661148343164</v>
      </c>
      <c r="CM32" s="106">
        <v>2667.264315916706</v>
      </c>
      <c r="CN32" s="106">
        <v>13.20139840486749</v>
      </c>
      <c r="CO32" s="106">
        <v>6796.0798988257829</v>
      </c>
      <c r="CP32" s="106">
        <v>13.666632683400255</v>
      </c>
      <c r="CQ32" s="106">
        <v>7035.5825054144507</v>
      </c>
      <c r="CR32" s="106">
        <v>10.625286112600708</v>
      </c>
      <c r="CS32" s="106">
        <v>5469.897290766844</v>
      </c>
      <c r="CT32" s="106">
        <v>13.415389564703318</v>
      </c>
      <c r="CU32" s="106">
        <v>6906.2425479092672</v>
      </c>
    </row>
    <row r="33" spans="2:99" x14ac:dyDescent="0.2">
      <c r="C33" s="105" t="s">
        <v>199</v>
      </c>
      <c r="D33" s="106">
        <v>4</v>
      </c>
      <c r="E33" s="106">
        <v>1339.2</v>
      </c>
      <c r="F33" s="106">
        <v>4.3414589486010922</v>
      </c>
      <c r="G33" s="106">
        <v>1453.5204559916458</v>
      </c>
      <c r="H33" s="106">
        <v>4</v>
      </c>
      <c r="I33" s="106">
        <v>1339.2</v>
      </c>
      <c r="J33" s="106">
        <v>3.5567887446601238</v>
      </c>
      <c r="K33" s="106">
        <v>1190.8128717122095</v>
      </c>
      <c r="L33" s="106">
        <v>1.5650689516705236</v>
      </c>
      <c r="M33" s="106">
        <v>523.98508501929132</v>
      </c>
      <c r="N33" s="106">
        <v>2.3065548845159642</v>
      </c>
      <c r="O33" s="106">
        <v>772.2345753359449</v>
      </c>
      <c r="P33" s="106">
        <v>1.4161329094769546</v>
      </c>
      <c r="Q33" s="106">
        <v>474.12129809288439</v>
      </c>
      <c r="R33" s="106">
        <v>2.1896131650079456</v>
      </c>
      <c r="S33" s="106">
        <v>733.0824876446602</v>
      </c>
      <c r="T33" s="106">
        <v>8.2778930139410729</v>
      </c>
      <c r="U33" s="106">
        <v>2771.4385810674712</v>
      </c>
      <c r="V33" s="106">
        <v>10.398822897784822</v>
      </c>
      <c r="W33" s="106">
        <v>3481.5259061783586</v>
      </c>
      <c r="X33" s="106">
        <v>5.7695441193383328</v>
      </c>
      <c r="Y33" s="106">
        <v>1931.6433711544739</v>
      </c>
      <c r="Z33" s="106">
        <v>6.3075821472880707</v>
      </c>
      <c r="AA33" s="106">
        <v>2111.778502912046</v>
      </c>
      <c r="AB33" s="106">
        <v>1.454395616463938</v>
      </c>
      <c r="AC33" s="106">
        <v>486.93165239212647</v>
      </c>
      <c r="AD33" s="106">
        <v>8.060893075567428</v>
      </c>
      <c r="AE33" s="106">
        <v>2698.787001699975</v>
      </c>
      <c r="AF33" s="106">
        <v>10.944275543899897</v>
      </c>
      <c r="AG33" s="106">
        <v>3664.1434520976854</v>
      </c>
      <c r="AH33" s="106">
        <v>5.7208782273465069</v>
      </c>
      <c r="AI33" s="106">
        <v>1915.3500305156106</v>
      </c>
      <c r="AJ33" s="106">
        <v>13.344227685991402</v>
      </c>
      <c r="AK33" s="106">
        <v>4467.6474292699213</v>
      </c>
      <c r="AL33" s="106">
        <v>8.53651280302687</v>
      </c>
      <c r="AM33" s="106">
        <v>2858.0244864533961</v>
      </c>
      <c r="AN33" s="106">
        <v>15.739164777517995</v>
      </c>
      <c r="AO33" s="106">
        <v>5269.4723675130253</v>
      </c>
      <c r="AP33" s="106">
        <v>10.198717995509464</v>
      </c>
      <c r="AQ33" s="106">
        <v>3414.5307848965685</v>
      </c>
      <c r="AR33" s="106">
        <v>7.2418645689705432</v>
      </c>
      <c r="AS33" s="106">
        <v>2424.576257691338</v>
      </c>
      <c r="AT33" s="106">
        <v>9.2084526123626702</v>
      </c>
      <c r="AU33" s="106">
        <v>3082.9899346190223</v>
      </c>
      <c r="AV33" s="106">
        <v>10</v>
      </c>
      <c r="AW33" s="106">
        <v>3348</v>
      </c>
      <c r="AX33" s="106">
        <v>7.6133159946500433</v>
      </c>
      <c r="AY33" s="106">
        <v>2548.9381950088346</v>
      </c>
      <c r="AZ33" s="106">
        <v>8.4097001242729448</v>
      </c>
      <c r="BA33" s="106">
        <v>2815.5676016065822</v>
      </c>
      <c r="BB33" s="106">
        <v>6.6814448602081731</v>
      </c>
      <c r="BC33" s="106">
        <v>2236.9477391976966</v>
      </c>
      <c r="BD33" s="106">
        <v>3.6783984553720486</v>
      </c>
      <c r="BE33" s="106">
        <v>1231.5278028585619</v>
      </c>
      <c r="BF33" s="106">
        <v>7.9916354430450571</v>
      </c>
      <c r="BG33" s="106">
        <v>2675.5995463314853</v>
      </c>
      <c r="BH33" s="106">
        <v>0.66674858280812743</v>
      </c>
      <c r="BI33" s="106">
        <v>223.22742552416108</v>
      </c>
      <c r="BJ33" s="106">
        <v>3.1147175224542067</v>
      </c>
      <c r="BK33" s="106">
        <v>1042.8074265176685</v>
      </c>
      <c r="BL33" s="106">
        <v>1.7790898650769256</v>
      </c>
      <c r="BM33" s="106">
        <v>595.63928682775474</v>
      </c>
      <c r="BN33" s="106">
        <v>3.5765322444724839</v>
      </c>
      <c r="BO33" s="106">
        <v>1197.4229954493876</v>
      </c>
      <c r="BP33" s="106">
        <v>10.829836359986516</v>
      </c>
      <c r="BQ33" s="106">
        <v>3625.8292133234854</v>
      </c>
      <c r="BR33" s="106">
        <v>10.646144891877194</v>
      </c>
      <c r="BS33" s="106">
        <v>3564.3293098004847</v>
      </c>
      <c r="BT33" s="106">
        <v>9</v>
      </c>
      <c r="BU33" s="106">
        <v>3013.2000000000003</v>
      </c>
      <c r="BV33" s="106">
        <v>8.2882145009849371</v>
      </c>
      <c r="BW33" s="106">
        <v>2774.8942149297568</v>
      </c>
      <c r="BX33" s="106">
        <v>4.4386524169708306</v>
      </c>
      <c r="BY33" s="106">
        <v>1486.0608292018342</v>
      </c>
      <c r="BZ33" s="106">
        <v>4.3601271848025078</v>
      </c>
      <c r="CA33" s="106">
        <v>1459.7705814718797</v>
      </c>
      <c r="CB33" s="106">
        <v>3.9063332274115665</v>
      </c>
      <c r="CC33" s="106">
        <v>1307.8403645373926</v>
      </c>
      <c r="CD33" s="106">
        <v>2.9159889817621889</v>
      </c>
      <c r="CE33" s="106">
        <v>976.2731110939809</v>
      </c>
      <c r="CF33" s="106">
        <v>1.2502526750623246</v>
      </c>
      <c r="CG33" s="106">
        <v>418.5845956108663</v>
      </c>
      <c r="CH33" s="106">
        <v>2.8360365231321056</v>
      </c>
      <c r="CI33" s="106">
        <v>949.50502794462898</v>
      </c>
      <c r="CJ33" s="106">
        <v>1.7860752500890349</v>
      </c>
      <c r="CK33" s="106">
        <v>597.97799372980887</v>
      </c>
      <c r="CL33" s="106">
        <v>2.4040035693109632</v>
      </c>
      <c r="CM33" s="106">
        <v>804.86039500531047</v>
      </c>
      <c r="CN33" s="106">
        <v>13.05309743284861</v>
      </c>
      <c r="CO33" s="106">
        <v>4370.1770205177145</v>
      </c>
      <c r="CP33" s="106">
        <v>13.30932198101811</v>
      </c>
      <c r="CQ33" s="106">
        <v>4455.9609992448632</v>
      </c>
      <c r="CR33" s="106">
        <v>11.4434257109898</v>
      </c>
      <c r="CS33" s="106">
        <v>3831.258928039385</v>
      </c>
      <c r="CT33" s="106">
        <v>11.19491271714532</v>
      </c>
      <c r="CU33" s="106">
        <v>3748.056777700253</v>
      </c>
    </row>
    <row r="34" spans="2:99" x14ac:dyDescent="0.2">
      <c r="C34" s="105" t="s">
        <v>200</v>
      </c>
      <c r="D34" s="106">
        <v>4</v>
      </c>
      <c r="E34" s="106">
        <v>1521.6</v>
      </c>
      <c r="F34" s="106">
        <v>4.2987765800259554</v>
      </c>
      <c r="G34" s="106">
        <v>1635.2546110418734</v>
      </c>
      <c r="H34" s="106">
        <v>4</v>
      </c>
      <c r="I34" s="106">
        <v>1521.6</v>
      </c>
      <c r="J34" s="106">
        <v>2.6031878067151344</v>
      </c>
      <c r="K34" s="106">
        <v>990.25264167443709</v>
      </c>
      <c r="L34" s="106">
        <v>1.5216021092343297</v>
      </c>
      <c r="M34" s="106">
        <v>578.81744235273902</v>
      </c>
      <c r="N34" s="106">
        <v>2.2682355239514687</v>
      </c>
      <c r="O34" s="106">
        <v>862.83679331113865</v>
      </c>
      <c r="P34" s="106">
        <v>1.3236589295931869</v>
      </c>
      <c r="Q34" s="106">
        <v>503.51985681724824</v>
      </c>
      <c r="R34" s="106">
        <v>1.2106812944532732</v>
      </c>
      <c r="S34" s="106">
        <v>460.5431644100251</v>
      </c>
      <c r="T34" s="106">
        <v>8.2501037125469647</v>
      </c>
      <c r="U34" s="106">
        <v>3138.3394522528652</v>
      </c>
      <c r="V34" s="106">
        <v>11.348970035561718</v>
      </c>
      <c r="W34" s="106">
        <v>4317.1482015276779</v>
      </c>
      <c r="X34" s="106">
        <v>5.1925897074044993</v>
      </c>
      <c r="Y34" s="106">
        <v>1975.2611246966715</v>
      </c>
      <c r="Z34" s="106">
        <v>6.9602293056624527</v>
      </c>
      <c r="AA34" s="106">
        <v>2647.6712278739969</v>
      </c>
      <c r="AB34" s="106">
        <v>1.454395616463938</v>
      </c>
      <c r="AC34" s="106">
        <v>553.25209250288196</v>
      </c>
      <c r="AD34" s="106">
        <v>9.0514948207140407</v>
      </c>
      <c r="AE34" s="106">
        <v>3443.1886297996207</v>
      </c>
      <c r="AF34" s="106">
        <v>9.0301187751635226</v>
      </c>
      <c r="AG34" s="106">
        <v>3435.0571820722039</v>
      </c>
      <c r="AH34" s="106">
        <v>6.2489322862554335</v>
      </c>
      <c r="AI34" s="106">
        <v>2377.0938416915669</v>
      </c>
      <c r="AJ34" s="106">
        <v>12.305980165325691</v>
      </c>
      <c r="AK34" s="106">
        <v>4681.1948548898927</v>
      </c>
      <c r="AL34" s="106">
        <v>8.5029807528376917</v>
      </c>
      <c r="AM34" s="106">
        <v>3234.5338783794577</v>
      </c>
      <c r="AN34" s="106">
        <v>12.668768132040091</v>
      </c>
      <c r="AO34" s="106">
        <v>4819.1993974280504</v>
      </c>
      <c r="AP34" s="106">
        <v>9.1882591536405442</v>
      </c>
      <c r="AQ34" s="106">
        <v>3495.2137820448629</v>
      </c>
      <c r="AR34" s="106">
        <v>9.2257402643725062</v>
      </c>
      <c r="AS34" s="106">
        <v>3509.4715965673013</v>
      </c>
      <c r="AT34" s="106">
        <v>9.1935631400510509</v>
      </c>
      <c r="AU34" s="106">
        <v>3497.2314184754196</v>
      </c>
      <c r="AV34" s="106">
        <v>11</v>
      </c>
      <c r="AW34" s="106">
        <v>4184.3999999999996</v>
      </c>
      <c r="AX34" s="106">
        <v>7.5695077093178975</v>
      </c>
      <c r="AY34" s="106">
        <v>2879.4407326245282</v>
      </c>
      <c r="AZ34" s="106">
        <v>8.4097001242729448</v>
      </c>
      <c r="BA34" s="106">
        <v>3199.0499272734278</v>
      </c>
      <c r="BB34" s="106">
        <v>7.4529352546158698</v>
      </c>
      <c r="BC34" s="106">
        <v>2835.0965708558765</v>
      </c>
      <c r="BD34" s="106">
        <v>4.0462383009092537</v>
      </c>
      <c r="BE34" s="106">
        <v>1539.18904966588</v>
      </c>
      <c r="BF34" s="106">
        <v>7.9916354430450571</v>
      </c>
      <c r="BG34" s="106">
        <v>3040.0181225343395</v>
      </c>
      <c r="BH34" s="106">
        <v>1.3334971656162546</v>
      </c>
      <c r="BI34" s="106">
        <v>507.26232180042325</v>
      </c>
      <c r="BJ34" s="106">
        <v>3.1784156665944474</v>
      </c>
      <c r="BK34" s="106">
        <v>1209.0693195725278</v>
      </c>
      <c r="BL34" s="106">
        <v>1.7790898650769256</v>
      </c>
      <c r="BM34" s="106">
        <v>676.76578467526247</v>
      </c>
      <c r="BN34" s="106">
        <v>3.6169561481769064</v>
      </c>
      <c r="BO34" s="106">
        <v>1375.8901187664951</v>
      </c>
      <c r="BP34" s="106">
        <v>10.749529615471692</v>
      </c>
      <c r="BQ34" s="106">
        <v>4089.1210657254314</v>
      </c>
      <c r="BR34" s="106">
        <v>10.678452136471053</v>
      </c>
      <c r="BS34" s="106">
        <v>4062.0831927135882</v>
      </c>
      <c r="BT34" s="106">
        <v>10</v>
      </c>
      <c r="BU34" s="106">
        <v>3804</v>
      </c>
      <c r="BV34" s="106">
        <v>7.3359261491695635</v>
      </c>
      <c r="BW34" s="106">
        <v>2790.5863071441017</v>
      </c>
      <c r="BX34" s="106">
        <v>5.3453980162594732</v>
      </c>
      <c r="BY34" s="106">
        <v>2033.3894053851034</v>
      </c>
      <c r="BZ34" s="106">
        <v>4.377020386853582</v>
      </c>
      <c r="CA34" s="106">
        <v>1665.0185551591026</v>
      </c>
      <c r="CB34" s="106">
        <v>3.9599039866761436</v>
      </c>
      <c r="CC34" s="106">
        <v>1506.347476531605</v>
      </c>
      <c r="CD34" s="106">
        <v>2.9322389815908112</v>
      </c>
      <c r="CE34" s="106">
        <v>1115.4237085971445</v>
      </c>
      <c r="CF34" s="106">
        <v>1.2502526750623246</v>
      </c>
      <c r="CG34" s="106">
        <v>475.59611759370824</v>
      </c>
      <c r="CH34" s="106">
        <v>2.8360365231321056</v>
      </c>
      <c r="CI34" s="106">
        <v>1078.8282933994528</v>
      </c>
      <c r="CJ34" s="106">
        <v>1.7860752500890349</v>
      </c>
      <c r="CK34" s="106">
        <v>679.4230251338688</v>
      </c>
      <c r="CL34" s="106">
        <v>2.4227798337676352</v>
      </c>
      <c r="CM34" s="106">
        <v>921.62544876520838</v>
      </c>
      <c r="CN34" s="106">
        <v>13.05309743284861</v>
      </c>
      <c r="CO34" s="106">
        <v>4965.3982634556105</v>
      </c>
      <c r="CP34" s="106">
        <v>13.272276414791326</v>
      </c>
      <c r="CQ34" s="106">
        <v>5048.7739481866201</v>
      </c>
      <c r="CR34" s="106">
        <v>10.5067722411312</v>
      </c>
      <c r="CS34" s="106">
        <v>3996.7761605263081</v>
      </c>
      <c r="CT34" s="106">
        <v>12.21440398885985</v>
      </c>
      <c r="CU34" s="106">
        <v>4646.3592773622868</v>
      </c>
    </row>
    <row r="35" spans="2:99" x14ac:dyDescent="0.2">
      <c r="C35" s="105" t="s">
        <v>201</v>
      </c>
      <c r="D35" s="106">
        <v>4</v>
      </c>
      <c r="E35" s="106">
        <v>1641.6</v>
      </c>
      <c r="F35" s="106">
        <v>4.3414589486010922</v>
      </c>
      <c r="G35" s="106">
        <v>1781.7347525058881</v>
      </c>
      <c r="H35" s="106">
        <v>4</v>
      </c>
      <c r="I35" s="106">
        <v>1641.6</v>
      </c>
      <c r="J35" s="106">
        <v>3.6031878067151344</v>
      </c>
      <c r="K35" s="106">
        <v>1478.7482758758911</v>
      </c>
      <c r="L35" s="106">
        <v>1.608535794106718</v>
      </c>
      <c r="M35" s="106">
        <v>660.14308990139705</v>
      </c>
      <c r="N35" s="106">
        <v>2.3065548845159642</v>
      </c>
      <c r="O35" s="106">
        <v>946.61012460535164</v>
      </c>
      <c r="P35" s="106">
        <v>1.3236589295931869</v>
      </c>
      <c r="Q35" s="106">
        <v>543.22962470504388</v>
      </c>
      <c r="R35" s="106">
        <v>2.210681294453273</v>
      </c>
      <c r="S35" s="106">
        <v>907.26360324362315</v>
      </c>
      <c r="T35" s="106">
        <v>8.3056823153351793</v>
      </c>
      <c r="U35" s="106">
        <v>3408.6520222135573</v>
      </c>
      <c r="V35" s="106">
        <v>11.448675760007923</v>
      </c>
      <c r="W35" s="106">
        <v>4698.5365319072516</v>
      </c>
      <c r="X35" s="106">
        <v>5.1925897074044993</v>
      </c>
      <c r="Y35" s="106">
        <v>2131.0388159188064</v>
      </c>
      <c r="Z35" s="106">
        <v>6.9857444657753138</v>
      </c>
      <c r="AA35" s="106">
        <v>2866.9495287541886</v>
      </c>
      <c r="AB35" s="106">
        <v>1.2725961644059456</v>
      </c>
      <c r="AC35" s="106">
        <v>522.27346587220006</v>
      </c>
      <c r="AD35" s="106">
        <v>8.8905404122081642</v>
      </c>
      <c r="AE35" s="106">
        <v>3648.6777851702304</v>
      </c>
      <c r="AF35" s="106">
        <v>9.11596200642715</v>
      </c>
      <c r="AG35" s="106">
        <v>3741.190807437702</v>
      </c>
      <c r="AH35" s="106">
        <v>6.243450009964703</v>
      </c>
      <c r="AI35" s="106">
        <v>2562.311884089514</v>
      </c>
      <c r="AJ35" s="106">
        <v>12.325103925658546</v>
      </c>
      <c r="AK35" s="106">
        <v>5058.2226510902665</v>
      </c>
      <c r="AL35" s="106">
        <v>7.5365128030268709</v>
      </c>
      <c r="AM35" s="106">
        <v>3092.9848543622275</v>
      </c>
      <c r="AN35" s="106">
        <v>13.774363100256947</v>
      </c>
      <c r="AO35" s="106">
        <v>5652.9986163454505</v>
      </c>
      <c r="AP35" s="106">
        <v>10.198717995509464</v>
      </c>
      <c r="AQ35" s="106">
        <v>4185.5538653570839</v>
      </c>
      <c r="AR35" s="106">
        <v>8.2418645689705432</v>
      </c>
      <c r="AS35" s="106">
        <v>3382.4612191055107</v>
      </c>
      <c r="AT35" s="106">
        <v>9.2084526123626702</v>
      </c>
      <c r="AU35" s="106">
        <v>3779.1489521136396</v>
      </c>
      <c r="AV35" s="106">
        <v>10</v>
      </c>
      <c r="AW35" s="106">
        <v>4104</v>
      </c>
      <c r="AX35" s="106">
        <v>8.5256994239857509</v>
      </c>
      <c r="AY35" s="106">
        <v>3498.9470436037518</v>
      </c>
      <c r="AZ35" s="106">
        <v>8.3466693359232611</v>
      </c>
      <c r="BA35" s="106">
        <v>3425.4730954629063</v>
      </c>
      <c r="BB35" s="106">
        <v>6.7097516215940942</v>
      </c>
      <c r="BC35" s="106">
        <v>2753.6820655022161</v>
      </c>
      <c r="BD35" s="106">
        <v>4.0462383009092537</v>
      </c>
      <c r="BE35" s="106">
        <v>1660.5761986931577</v>
      </c>
      <c r="BF35" s="106">
        <v>8.7958509370378017</v>
      </c>
      <c r="BG35" s="106">
        <v>3609.8172245603137</v>
      </c>
      <c r="BH35" s="106">
        <v>1.3334971656162546</v>
      </c>
      <c r="BI35" s="106">
        <v>547.26723676891083</v>
      </c>
      <c r="BJ35" s="106">
        <v>3.1147175224542067</v>
      </c>
      <c r="BK35" s="106">
        <v>1278.2800712152064</v>
      </c>
      <c r="BL35" s="106">
        <v>1.7790898650769256</v>
      </c>
      <c r="BM35" s="106">
        <v>730.13848062757017</v>
      </c>
      <c r="BN35" s="106">
        <v>3.6978039555857518</v>
      </c>
      <c r="BO35" s="106">
        <v>1517.5787433723924</v>
      </c>
      <c r="BP35" s="106">
        <v>9.7495296154716922</v>
      </c>
      <c r="BQ35" s="106">
        <v>4001.2069541895821</v>
      </c>
      <c r="BR35" s="106">
        <v>10.678452136471053</v>
      </c>
      <c r="BS35" s="106">
        <v>4382.4367568077196</v>
      </c>
      <c r="BT35" s="106">
        <v>9</v>
      </c>
      <c r="BU35" s="106">
        <v>3693.6</v>
      </c>
      <c r="BV35" s="106">
        <v>8.0973679082464276</v>
      </c>
      <c r="BW35" s="106">
        <v>3323.1597895443338</v>
      </c>
      <c r="BX35" s="106">
        <v>4.4140563557642771</v>
      </c>
      <c r="BY35" s="106">
        <v>1811.5287284056592</v>
      </c>
      <c r="BZ35" s="106">
        <v>4.4108067909557311</v>
      </c>
      <c r="CA35" s="106">
        <v>1810.1951070082321</v>
      </c>
      <c r="CB35" s="106">
        <v>3.942047066921285</v>
      </c>
      <c r="CC35" s="106">
        <v>1617.8161162644953</v>
      </c>
      <c r="CD35" s="106">
        <v>2.8997389819335666</v>
      </c>
      <c r="CE35" s="106">
        <v>1190.0528781855357</v>
      </c>
      <c r="CF35" s="106">
        <v>1.2502526750623246</v>
      </c>
      <c r="CG35" s="106">
        <v>513.10369784557804</v>
      </c>
      <c r="CH35" s="106">
        <v>2.805272499995755</v>
      </c>
      <c r="CI35" s="106">
        <v>1151.2838339982577</v>
      </c>
      <c r="CJ35" s="106">
        <v>1.5309216429334584</v>
      </c>
      <c r="CK35" s="106">
        <v>628.29024225989133</v>
      </c>
      <c r="CL35" s="106">
        <v>2.4040035693109632</v>
      </c>
      <c r="CM35" s="106">
        <v>986.60306484521925</v>
      </c>
      <c r="CN35" s="106">
        <v>11.077928228266885</v>
      </c>
      <c r="CO35" s="106">
        <v>4546.3817448807295</v>
      </c>
      <c r="CP35" s="106">
        <v>12.288377641418778</v>
      </c>
      <c r="CQ35" s="106">
        <v>5043.1501840382662</v>
      </c>
      <c r="CR35" s="106">
        <v>11.475098976060501</v>
      </c>
      <c r="CS35" s="106">
        <v>4709.3806197752292</v>
      </c>
      <c r="CT35" s="106">
        <v>13.21440398885985</v>
      </c>
      <c r="CU35" s="106">
        <v>5423.1913970280821</v>
      </c>
    </row>
    <row r="36" spans="2:99" x14ac:dyDescent="0.2">
      <c r="C36" s="105" t="s">
        <v>202</v>
      </c>
      <c r="D36" s="106">
        <v>4.6395700672583136</v>
      </c>
      <c r="E36" s="106">
        <v>2600.0150656915589</v>
      </c>
      <c r="F36" s="106">
        <v>4</v>
      </c>
      <c r="G36" s="106">
        <v>2241.6</v>
      </c>
      <c r="H36" s="106">
        <v>4</v>
      </c>
      <c r="I36" s="106">
        <v>2241.6</v>
      </c>
      <c r="J36" s="106">
        <v>2.1801407383305023</v>
      </c>
      <c r="K36" s="106">
        <v>1221.7508697604135</v>
      </c>
      <c r="L36" s="106">
        <v>1.0000000000000002</v>
      </c>
      <c r="M36" s="106">
        <v>560.40000000000009</v>
      </c>
      <c r="N36" s="106">
        <v>2</v>
      </c>
      <c r="O36" s="106">
        <v>1120.8</v>
      </c>
      <c r="P36" s="106">
        <v>1</v>
      </c>
      <c r="Q36" s="106">
        <v>560.4</v>
      </c>
      <c r="R36" s="106">
        <v>1</v>
      </c>
      <c r="S36" s="106">
        <v>560.4</v>
      </c>
      <c r="T36" s="106">
        <v>8</v>
      </c>
      <c r="U36" s="106">
        <v>4483.2</v>
      </c>
      <c r="V36" s="106">
        <v>10</v>
      </c>
      <c r="W36" s="106">
        <v>5604</v>
      </c>
      <c r="X36" s="106">
        <v>9.5985779199263384</v>
      </c>
      <c r="Y36" s="106">
        <v>5379.0430663267198</v>
      </c>
      <c r="Z36" s="106">
        <v>9.3185981035663588</v>
      </c>
      <c r="AA36" s="106">
        <v>5222.142377238587</v>
      </c>
      <c r="AB36" s="106">
        <v>8</v>
      </c>
      <c r="AC36" s="106">
        <v>4483.2</v>
      </c>
      <c r="AD36" s="106">
        <v>7</v>
      </c>
      <c r="AE36" s="106">
        <v>3922.7999999999997</v>
      </c>
      <c r="AF36" s="106">
        <v>9</v>
      </c>
      <c r="AG36" s="106">
        <v>5043.5999999999995</v>
      </c>
      <c r="AH36" s="106">
        <v>11</v>
      </c>
      <c r="AI36" s="106">
        <v>6164.4</v>
      </c>
      <c r="AJ36" s="106">
        <v>11</v>
      </c>
      <c r="AK36" s="106">
        <v>6164.4</v>
      </c>
      <c r="AL36" s="106">
        <v>7</v>
      </c>
      <c r="AM36" s="106">
        <v>3922.7999999999997</v>
      </c>
      <c r="AN36" s="106">
        <v>13.888981881967858</v>
      </c>
      <c r="AO36" s="106">
        <v>7783.3854466547873</v>
      </c>
      <c r="AP36" s="106">
        <v>10.74339161474262</v>
      </c>
      <c r="AQ36" s="106">
        <v>6020.5966609017642</v>
      </c>
      <c r="AR36" s="106">
        <v>7.5426985427591973</v>
      </c>
      <c r="AS36" s="106">
        <v>4226.9282633622543</v>
      </c>
      <c r="AT36" s="106">
        <v>3.6412765317455924</v>
      </c>
      <c r="AU36" s="106">
        <v>2040.57136839023</v>
      </c>
      <c r="AV36" s="106">
        <v>4.1040135113072314</v>
      </c>
      <c r="AW36" s="106">
        <v>2299.8891717365723</v>
      </c>
      <c r="AX36" s="106">
        <v>7</v>
      </c>
      <c r="AY36" s="106">
        <v>3922.7999999999997</v>
      </c>
      <c r="AZ36" s="106">
        <v>1.6021365788276074</v>
      </c>
      <c r="BA36" s="106">
        <v>897.83733877499117</v>
      </c>
      <c r="BB36" s="106">
        <v>4.3499682508991073</v>
      </c>
      <c r="BC36" s="106">
        <v>2437.7222078038594</v>
      </c>
      <c r="BD36" s="106">
        <v>2.9616352227999378</v>
      </c>
      <c r="BE36" s="106">
        <v>1659.7003788570851</v>
      </c>
      <c r="BF36" s="106">
        <v>3.2489387849303992</v>
      </c>
      <c r="BG36" s="106">
        <v>1820.7052950749955</v>
      </c>
      <c r="BH36" s="106">
        <v>1</v>
      </c>
      <c r="BI36" s="106">
        <v>560.4</v>
      </c>
      <c r="BJ36" s="106">
        <v>2</v>
      </c>
      <c r="BK36" s="106">
        <v>1120.8</v>
      </c>
      <c r="BL36" s="106">
        <v>2.3150592353254051</v>
      </c>
      <c r="BM36" s="106">
        <v>1297.3591954763569</v>
      </c>
      <c r="BN36" s="106">
        <v>3.6132106949229152</v>
      </c>
      <c r="BO36" s="106">
        <v>2024.8432734348016</v>
      </c>
      <c r="BP36" s="106">
        <v>10</v>
      </c>
      <c r="BQ36" s="106">
        <v>5604</v>
      </c>
      <c r="BR36" s="106">
        <v>9</v>
      </c>
      <c r="BS36" s="106">
        <v>5043.5999999999995</v>
      </c>
      <c r="BT36" s="106">
        <v>11</v>
      </c>
      <c r="BU36" s="106">
        <v>6164.4</v>
      </c>
      <c r="BV36" s="106">
        <v>7</v>
      </c>
      <c r="BW36" s="106">
        <v>3922.7999999999997</v>
      </c>
      <c r="BX36" s="106">
        <v>5</v>
      </c>
      <c r="BY36" s="106">
        <v>2802</v>
      </c>
      <c r="BZ36" s="106">
        <v>7.9919252454375869</v>
      </c>
      <c r="CA36" s="106">
        <v>4478.6749075432235</v>
      </c>
      <c r="CB36" s="106">
        <v>5</v>
      </c>
      <c r="CC36" s="106">
        <v>2802</v>
      </c>
      <c r="CD36" s="106">
        <v>4.81719736409012</v>
      </c>
      <c r="CE36" s="106">
        <v>2699.5574028361029</v>
      </c>
      <c r="CF36" s="106">
        <v>4.4233746887867849</v>
      </c>
      <c r="CG36" s="106">
        <v>2478.8591755961143</v>
      </c>
      <c r="CH36" s="106">
        <v>4.1983308555739169</v>
      </c>
      <c r="CI36" s="106">
        <v>2352.7446114636227</v>
      </c>
      <c r="CJ36" s="106">
        <v>6.2903014893727978</v>
      </c>
      <c r="CK36" s="106">
        <v>3525.0849546445156</v>
      </c>
      <c r="CL36" s="106">
        <v>4.2834023211969621</v>
      </c>
      <c r="CM36" s="106">
        <v>2400.4186607987776</v>
      </c>
      <c r="CN36" s="106">
        <v>11.181258564380741</v>
      </c>
      <c r="CO36" s="106">
        <v>6265.9772994789673</v>
      </c>
      <c r="CP36" s="106">
        <v>11.714249303643129</v>
      </c>
      <c r="CQ36" s="106">
        <v>6564.665309761609</v>
      </c>
      <c r="CR36" s="106">
        <v>9.7695829078162575</v>
      </c>
      <c r="CS36" s="106">
        <v>5474.8742615402307</v>
      </c>
      <c r="CT36" s="106">
        <v>12.415389564703318</v>
      </c>
      <c r="CU36" s="106">
        <v>6957.5843120597392</v>
      </c>
    </row>
    <row r="37" spans="2:99" x14ac:dyDescent="0.2">
      <c r="B37" s="105" t="s">
        <v>128</v>
      </c>
      <c r="C37" s="105" t="s">
        <v>203</v>
      </c>
      <c r="D37" s="106">
        <v>15</v>
      </c>
      <c r="E37" s="106">
        <v>9774</v>
      </c>
      <c r="F37" s="106">
        <v>13.298776580025956</v>
      </c>
      <c r="G37" s="106">
        <v>8665.4828195449136</v>
      </c>
      <c r="H37" s="106">
        <v>13</v>
      </c>
      <c r="I37" s="106">
        <v>8470.8000000000011</v>
      </c>
      <c r="J37" s="106">
        <v>15.324793434385072</v>
      </c>
      <c r="K37" s="106">
        <v>9985.635401845313</v>
      </c>
      <c r="L37" s="106">
        <v>3.3477347394895531</v>
      </c>
      <c r="M37" s="106">
        <v>2181.3839562513931</v>
      </c>
      <c r="N37" s="106">
        <v>4.3448742450804598</v>
      </c>
      <c r="O37" s="106">
        <v>2831.1200580944278</v>
      </c>
      <c r="P37" s="106">
        <v>2.2311849497094194</v>
      </c>
      <c r="Q37" s="106">
        <v>1453.8401132306578</v>
      </c>
      <c r="R37" s="106">
        <v>2.1896131650079456</v>
      </c>
      <c r="S37" s="106">
        <v>1426.7519383191773</v>
      </c>
      <c r="T37" s="106">
        <v>30.222314411152858</v>
      </c>
      <c r="U37" s="106">
        <v>19692.860070307204</v>
      </c>
      <c r="V37" s="106">
        <v>47.498528622231028</v>
      </c>
      <c r="W37" s="106">
        <v>30950.04125024574</v>
      </c>
      <c r="X37" s="106">
        <v>15.000814710279663</v>
      </c>
      <c r="Y37" s="106">
        <v>9774.5308652182284</v>
      </c>
      <c r="Z37" s="106">
        <v>26.652451701905353</v>
      </c>
      <c r="AA37" s="106">
        <v>17366.73752896153</v>
      </c>
      <c r="AB37" s="106">
        <v>0.54539835617397669</v>
      </c>
      <c r="AC37" s="106">
        <v>355.38156888296322</v>
      </c>
      <c r="AD37" s="106">
        <v>3.3741912567045311</v>
      </c>
      <c r="AE37" s="106">
        <v>2198.6230228686727</v>
      </c>
      <c r="AF37" s="106">
        <v>2.4292161563181347</v>
      </c>
      <c r="AG37" s="106">
        <v>1582.8772474568966</v>
      </c>
      <c r="AH37" s="106">
        <v>1.5457862426916664</v>
      </c>
      <c r="AI37" s="106">
        <v>1007.2343157378899</v>
      </c>
      <c r="AJ37" s="106">
        <v>3.1721138429957008</v>
      </c>
      <c r="AK37" s="106">
        <v>2066.9493800959985</v>
      </c>
      <c r="AL37" s="106">
        <v>2.2682564015134354</v>
      </c>
      <c r="AM37" s="106">
        <v>1477.9958712261546</v>
      </c>
      <c r="AN37" s="106">
        <v>3.457578195606378</v>
      </c>
      <c r="AO37" s="106">
        <v>2252.9579522571162</v>
      </c>
      <c r="AP37" s="106">
        <v>3.1673414699027056</v>
      </c>
      <c r="AQ37" s="106">
        <v>2063.8397017886032</v>
      </c>
      <c r="AR37" s="106">
        <v>6.1289944367842892</v>
      </c>
      <c r="AS37" s="106">
        <v>3993.6527750086429</v>
      </c>
      <c r="AT37" s="106">
        <v>6.1340052508045737</v>
      </c>
      <c r="AU37" s="106">
        <v>3996.9178214242602</v>
      </c>
      <c r="AV37" s="106">
        <v>8</v>
      </c>
      <c r="AW37" s="106">
        <v>5212.8</v>
      </c>
      <c r="AX37" s="106">
        <v>7.3942745679893136</v>
      </c>
      <c r="AY37" s="106">
        <v>4818.1093085018365</v>
      </c>
      <c r="AZ37" s="106">
        <v>6.3466693359232602</v>
      </c>
      <c r="BA37" s="106">
        <v>4135.4897392875964</v>
      </c>
      <c r="BB37" s="106">
        <v>6.6531380988222502</v>
      </c>
      <c r="BC37" s="106">
        <v>4335.1847851925786</v>
      </c>
      <c r="BD37" s="106">
        <v>2.5748789187604344</v>
      </c>
      <c r="BE37" s="106">
        <v>1677.7911034642991</v>
      </c>
      <c r="BF37" s="106">
        <v>7.0684153179296247</v>
      </c>
      <c r="BG37" s="106">
        <v>4605.7794211629434</v>
      </c>
      <c r="BH37" s="106">
        <v>2.6669943312325093</v>
      </c>
      <c r="BI37" s="106">
        <v>1737.813506231103</v>
      </c>
      <c r="BJ37" s="106">
        <v>4.2547925765609618</v>
      </c>
      <c r="BK37" s="106">
        <v>2772.4228428871229</v>
      </c>
      <c r="BL37" s="106">
        <v>3.5581797301538511</v>
      </c>
      <c r="BM37" s="106">
        <v>2318.5099121682497</v>
      </c>
      <c r="BN37" s="106">
        <v>3.2829673259309589</v>
      </c>
      <c r="BO37" s="106">
        <v>2139.1815095766128</v>
      </c>
      <c r="BP37" s="106">
        <v>3.2141513187061976</v>
      </c>
      <c r="BQ37" s="106">
        <v>2094.3409992689585</v>
      </c>
      <c r="BR37" s="106">
        <v>4.2584579567508776</v>
      </c>
      <c r="BS37" s="106">
        <v>2774.8112046188721</v>
      </c>
      <c r="BT37" s="106">
        <v>3</v>
      </c>
      <c r="BU37" s="106">
        <v>1954.8000000000002</v>
      </c>
      <c r="BV37" s="106">
        <v>3.3339815372923911</v>
      </c>
      <c r="BW37" s="106">
        <v>2172.4223696997219</v>
      </c>
      <c r="BX37" s="106">
        <v>4.0697114988725316</v>
      </c>
      <c r="BY37" s="106">
        <v>2651.8240126653418</v>
      </c>
      <c r="BZ37" s="106">
        <v>2.4601281589351509</v>
      </c>
      <c r="CA37" s="106">
        <v>1603.0195083621443</v>
      </c>
      <c r="CB37" s="106">
        <v>1.5303908354058802</v>
      </c>
      <c r="CC37" s="106">
        <v>997.20266835047153</v>
      </c>
      <c r="CD37" s="106">
        <v>2.0813667374355984</v>
      </c>
      <c r="CE37" s="106">
        <v>1356.2185661130359</v>
      </c>
      <c r="CF37" s="106">
        <v>2.8130685188902302</v>
      </c>
      <c r="CG37" s="106">
        <v>1832.9954469088741</v>
      </c>
      <c r="CH37" s="106">
        <v>5.7965657374565751</v>
      </c>
      <c r="CI37" s="106">
        <v>3777.0422345267043</v>
      </c>
      <c r="CJ37" s="106">
        <v>2.296382464400188</v>
      </c>
      <c r="CK37" s="106">
        <v>1496.3228138031625</v>
      </c>
      <c r="CL37" s="106">
        <v>6.941760843528213</v>
      </c>
      <c r="CM37" s="106">
        <v>4523.2513656429837</v>
      </c>
      <c r="CN37" s="106">
        <v>6.0923390827975989</v>
      </c>
      <c r="CO37" s="106">
        <v>3969.7681463509157</v>
      </c>
      <c r="CP37" s="106">
        <v>8.1305091505678799</v>
      </c>
      <c r="CQ37" s="106">
        <v>5297.8397625100306</v>
      </c>
      <c r="CR37" s="106">
        <v>7.3167326507070003</v>
      </c>
      <c r="CS37" s="106">
        <v>4767.5829952006816</v>
      </c>
      <c r="CT37" s="106">
        <v>10.155930173716255</v>
      </c>
      <c r="CU37" s="106">
        <v>6617.6041011935122</v>
      </c>
    </row>
    <row r="38" spans="2:99" x14ac:dyDescent="0.2">
      <c r="C38" s="105" t="s">
        <v>204</v>
      </c>
      <c r="D38" s="106">
        <v>13</v>
      </c>
      <c r="E38" s="106">
        <v>13416</v>
      </c>
      <c r="F38" s="106">
        <v>12.298776580025956</v>
      </c>
      <c r="G38" s="106">
        <v>12692.337430586787</v>
      </c>
      <c r="H38" s="106">
        <v>13</v>
      </c>
      <c r="I38" s="106">
        <v>13416</v>
      </c>
      <c r="J38" s="106">
        <v>13.324793434385072</v>
      </c>
      <c r="K38" s="106">
        <v>13751.186824285394</v>
      </c>
      <c r="L38" s="106">
        <v>3.3912015819257473</v>
      </c>
      <c r="M38" s="106">
        <v>3499.7200325473714</v>
      </c>
      <c r="N38" s="106">
        <v>3.3448742450804598</v>
      </c>
      <c r="O38" s="106">
        <v>3451.9102209230346</v>
      </c>
      <c r="P38" s="106">
        <v>2.2774219396513029</v>
      </c>
      <c r="Q38" s="106">
        <v>2350.2994417201444</v>
      </c>
      <c r="R38" s="106">
        <v>2.1896131650079456</v>
      </c>
      <c r="S38" s="106">
        <v>2259.6807862881997</v>
      </c>
      <c r="T38" s="106">
        <v>29.222314411152858</v>
      </c>
      <c r="U38" s="106">
        <v>30157.428472309748</v>
      </c>
      <c r="V38" s="106">
        <v>41.448675760007923</v>
      </c>
      <c r="W38" s="106">
        <v>42775.033384328177</v>
      </c>
      <c r="X38" s="106">
        <v>15.577769122213498</v>
      </c>
      <c r="Y38" s="106">
        <v>16076.25773412433</v>
      </c>
      <c r="Z38" s="106">
        <v>21.227153154007407</v>
      </c>
      <c r="AA38" s="106">
        <v>21906.422054935643</v>
      </c>
      <c r="AB38" s="106">
        <v>0.54539835617397669</v>
      </c>
      <c r="AC38" s="106">
        <v>562.85110357154394</v>
      </c>
      <c r="AD38" s="106">
        <v>3.3339526545780616</v>
      </c>
      <c r="AE38" s="106">
        <v>3440.6391395245596</v>
      </c>
      <c r="AF38" s="106">
        <v>2.3862945406863214</v>
      </c>
      <c r="AG38" s="106">
        <v>2462.6559659882837</v>
      </c>
      <c r="AH38" s="106">
        <v>1.5457862426916664</v>
      </c>
      <c r="AI38" s="106">
        <v>1595.2514024577997</v>
      </c>
      <c r="AJ38" s="106">
        <v>3.1912376033285565</v>
      </c>
      <c r="AK38" s="106">
        <v>3293.3572066350703</v>
      </c>
      <c r="AL38" s="106">
        <v>3.2682564015134354</v>
      </c>
      <c r="AM38" s="106">
        <v>3372.8406063618654</v>
      </c>
      <c r="AN38" s="106">
        <v>3.4927765183453299</v>
      </c>
      <c r="AO38" s="106">
        <v>3604.5453669323806</v>
      </c>
      <c r="AP38" s="106">
        <v>3.1568826280337863</v>
      </c>
      <c r="AQ38" s="106">
        <v>3257.9028721308673</v>
      </c>
      <c r="AR38" s="106">
        <v>6.1289944367842892</v>
      </c>
      <c r="AS38" s="106">
        <v>6325.1222587613865</v>
      </c>
      <c r="AT38" s="106">
        <v>5.1191157784929544</v>
      </c>
      <c r="AU38" s="106">
        <v>5282.9274834047292</v>
      </c>
      <c r="AV38" s="106">
        <v>8</v>
      </c>
      <c r="AW38" s="106">
        <v>8256</v>
      </c>
      <c r="AX38" s="106">
        <v>7.3942745679893136</v>
      </c>
      <c r="AY38" s="106">
        <v>7630.8913541649717</v>
      </c>
      <c r="AZ38" s="106">
        <v>6.2836385475735765</v>
      </c>
      <c r="BA38" s="106">
        <v>6484.7149810959309</v>
      </c>
      <c r="BB38" s="106">
        <v>5.8533409430286314</v>
      </c>
      <c r="BC38" s="106">
        <v>6040.647853205548</v>
      </c>
      <c r="BD38" s="106">
        <v>2.5748789187604344</v>
      </c>
      <c r="BE38" s="106">
        <v>2657.2750441607682</v>
      </c>
      <c r="BF38" s="106">
        <v>6.2245316135626521</v>
      </c>
      <c r="BG38" s="106">
        <v>6423.7166251966573</v>
      </c>
      <c r="BH38" s="106">
        <v>2.0002457484243821</v>
      </c>
      <c r="BI38" s="106">
        <v>2064.2536123739624</v>
      </c>
      <c r="BJ38" s="106">
        <v>4.2866416486310817</v>
      </c>
      <c r="BK38" s="106">
        <v>4423.8141813872762</v>
      </c>
      <c r="BL38" s="106">
        <v>3.5581797301538511</v>
      </c>
      <c r="BM38" s="106">
        <v>3672.0414815187742</v>
      </c>
      <c r="BN38" s="106">
        <v>3.3233912296353814</v>
      </c>
      <c r="BO38" s="106">
        <v>3429.7397489837135</v>
      </c>
      <c r="BP38" s="106">
        <v>3.2409202335444727</v>
      </c>
      <c r="BQ38" s="106">
        <v>3344.629681017896</v>
      </c>
      <c r="BR38" s="106">
        <v>3.2907652013447368</v>
      </c>
      <c r="BS38" s="106">
        <v>3396.0696877877685</v>
      </c>
      <c r="BT38" s="106">
        <v>3</v>
      </c>
      <c r="BU38" s="106">
        <v>3096</v>
      </c>
      <c r="BV38" s="106">
        <v>3.3339815372923911</v>
      </c>
      <c r="BW38" s="106">
        <v>3440.6689464857477</v>
      </c>
      <c r="BX38" s="106">
        <v>3.1137737771707816</v>
      </c>
      <c r="BY38" s="106">
        <v>3213.4145380402465</v>
      </c>
      <c r="BZ38" s="106">
        <v>2.4601281589351509</v>
      </c>
      <c r="CA38" s="106">
        <v>2538.8522600210758</v>
      </c>
      <c r="CB38" s="106">
        <v>1.5303908354058802</v>
      </c>
      <c r="CC38" s="106">
        <v>1579.3633421388683</v>
      </c>
      <c r="CD38" s="106">
        <v>2.0651167376069766</v>
      </c>
      <c r="CE38" s="106">
        <v>2131.2004732103997</v>
      </c>
      <c r="CF38" s="106">
        <v>2.8130685188902302</v>
      </c>
      <c r="CG38" s="106">
        <v>2903.0867114947177</v>
      </c>
      <c r="CH38" s="106">
        <v>5.7658017143202249</v>
      </c>
      <c r="CI38" s="106">
        <v>5950.3073691784721</v>
      </c>
      <c r="CJ38" s="106">
        <v>2.5515360715557645</v>
      </c>
      <c r="CK38" s="106">
        <v>2633.1852258455488</v>
      </c>
      <c r="CL38" s="106">
        <v>6.9605371079848846</v>
      </c>
      <c r="CM38" s="106">
        <v>7183.2742954404011</v>
      </c>
      <c r="CN38" s="106">
        <v>6.1161721498050889</v>
      </c>
      <c r="CO38" s="106">
        <v>6311.8896585988514</v>
      </c>
      <c r="CP38" s="106">
        <v>9.1514534901672118</v>
      </c>
      <c r="CQ38" s="106">
        <v>9444.3000018525618</v>
      </c>
      <c r="CR38" s="106">
        <v>8.3484059157777004</v>
      </c>
      <c r="CS38" s="106">
        <v>8615.5549050825866</v>
      </c>
      <c r="CT38" s="106">
        <v>11.155930173716255</v>
      </c>
      <c r="CU38" s="106">
        <v>11512.919939275176</v>
      </c>
    </row>
    <row r="39" spans="2:99" x14ac:dyDescent="0.2">
      <c r="C39" s="105" t="s">
        <v>205</v>
      </c>
      <c r="D39" s="106">
        <v>14</v>
      </c>
      <c r="E39" s="106">
        <v>16968</v>
      </c>
      <c r="F39" s="106">
        <v>13.298776580025956</v>
      </c>
      <c r="G39" s="106">
        <v>16118.117214991458</v>
      </c>
      <c r="H39" s="106">
        <v>13</v>
      </c>
      <c r="I39" s="106">
        <v>15756</v>
      </c>
      <c r="J39" s="106">
        <v>14.371192496440083</v>
      </c>
      <c r="K39" s="106">
        <v>17417.88530568538</v>
      </c>
      <c r="L39" s="106">
        <v>3.3912015819257473</v>
      </c>
      <c r="M39" s="106">
        <v>4110.1363172940055</v>
      </c>
      <c r="N39" s="106">
        <v>3.383193605644955</v>
      </c>
      <c r="O39" s="106">
        <v>4100.4306500416851</v>
      </c>
      <c r="P39" s="106">
        <v>2.2311849497094194</v>
      </c>
      <c r="Q39" s="106">
        <v>2704.1961590478163</v>
      </c>
      <c r="R39" s="106">
        <v>3.1896131650079456</v>
      </c>
      <c r="S39" s="106">
        <v>3865.8111559896302</v>
      </c>
      <c r="T39" s="106">
        <v>25.222314411152858</v>
      </c>
      <c r="U39" s="106">
        <v>30569.445066317265</v>
      </c>
      <c r="V39" s="106">
        <v>48.448675760007923</v>
      </c>
      <c r="W39" s="106">
        <v>58719.795021129605</v>
      </c>
      <c r="X39" s="106">
        <v>16.15472353414733</v>
      </c>
      <c r="Y39" s="106">
        <v>19579.524923386565</v>
      </c>
      <c r="Z39" s="106">
        <v>22.583477790981895</v>
      </c>
      <c r="AA39" s="106">
        <v>27371.175082670055</v>
      </c>
      <c r="AB39" s="106">
        <v>0.3635989041159845</v>
      </c>
      <c r="AC39" s="106">
        <v>440.68187178857323</v>
      </c>
      <c r="AD39" s="106">
        <v>3.3741912567045311</v>
      </c>
      <c r="AE39" s="106">
        <v>4089.5198031258919</v>
      </c>
      <c r="AF39" s="106">
        <v>2.4292161563181347</v>
      </c>
      <c r="AG39" s="106">
        <v>2944.209981457579</v>
      </c>
      <c r="AH39" s="106">
        <v>1.5512685189823971</v>
      </c>
      <c r="AI39" s="106">
        <v>1880.1374450066653</v>
      </c>
      <c r="AJ39" s="106">
        <v>3.1912376033285565</v>
      </c>
      <c r="AK39" s="106">
        <v>3867.7799752342107</v>
      </c>
      <c r="AL39" s="106">
        <v>2.3017884517026146</v>
      </c>
      <c r="AM39" s="106">
        <v>2789.7676034635688</v>
      </c>
      <c r="AN39" s="106">
        <v>2.4927765183453299</v>
      </c>
      <c r="AO39" s="106">
        <v>3021.24514023454</v>
      </c>
      <c r="AP39" s="106">
        <v>3.1673414699027056</v>
      </c>
      <c r="AQ39" s="106">
        <v>3838.8178615220791</v>
      </c>
      <c r="AR39" s="106">
        <v>6.1451187413823263</v>
      </c>
      <c r="AS39" s="106">
        <v>7447.8839145553793</v>
      </c>
      <c r="AT39" s="106">
        <v>5.1340052508045737</v>
      </c>
      <c r="AU39" s="106">
        <v>6222.4143639751437</v>
      </c>
      <c r="AV39" s="106">
        <v>8</v>
      </c>
      <c r="AW39" s="106">
        <v>9696</v>
      </c>
      <c r="AX39" s="106">
        <v>7.4380828533214594</v>
      </c>
      <c r="AY39" s="106">
        <v>9014.956418225609</v>
      </c>
      <c r="AZ39" s="106">
        <v>6.3466693359232602</v>
      </c>
      <c r="BA39" s="106">
        <v>7692.1632351389917</v>
      </c>
      <c r="BB39" s="106">
        <v>7.4529352546158698</v>
      </c>
      <c r="BC39" s="106">
        <v>9032.9575285944338</v>
      </c>
      <c r="BD39" s="106">
        <v>2.2070390732232292</v>
      </c>
      <c r="BE39" s="106">
        <v>2674.9313567465538</v>
      </c>
      <c r="BF39" s="106">
        <v>6.264199823936881</v>
      </c>
      <c r="BG39" s="106">
        <v>7592.2101866114999</v>
      </c>
      <c r="BH39" s="106">
        <v>2.6669943312325093</v>
      </c>
      <c r="BI39" s="106">
        <v>3232.3971294538014</v>
      </c>
      <c r="BJ39" s="106">
        <v>4.2866416486310817</v>
      </c>
      <c r="BK39" s="106">
        <v>5195.4096781408707</v>
      </c>
      <c r="BL39" s="106">
        <v>2.6686347976153884</v>
      </c>
      <c r="BM39" s="106">
        <v>3234.3853747098506</v>
      </c>
      <c r="BN39" s="106">
        <v>3.2829673259309589</v>
      </c>
      <c r="BO39" s="106">
        <v>3978.9563990283223</v>
      </c>
      <c r="BP39" s="106">
        <v>3.2141513187061976</v>
      </c>
      <c r="BQ39" s="106">
        <v>3895.5513982719117</v>
      </c>
      <c r="BR39" s="106">
        <v>4.2584579567508776</v>
      </c>
      <c r="BS39" s="106">
        <v>5161.2510435820632</v>
      </c>
      <c r="BT39" s="106">
        <v>3</v>
      </c>
      <c r="BU39" s="106">
        <v>3636</v>
      </c>
      <c r="BV39" s="106">
        <v>3.2862698891077637</v>
      </c>
      <c r="BW39" s="106">
        <v>3982.9591055986098</v>
      </c>
      <c r="BX39" s="106">
        <v>4.0697114988725316</v>
      </c>
      <c r="BY39" s="106">
        <v>4932.4903366335084</v>
      </c>
      <c r="BZ39" s="106">
        <v>2.4432349568840759</v>
      </c>
      <c r="CA39" s="106">
        <v>2961.2007677434999</v>
      </c>
      <c r="CB39" s="106">
        <v>1.5303908354058802</v>
      </c>
      <c r="CC39" s="106">
        <v>1854.8336925119268</v>
      </c>
      <c r="CD39" s="106">
        <v>2.0651167376069766</v>
      </c>
      <c r="CE39" s="106">
        <v>2502.9214859796557</v>
      </c>
      <c r="CF39" s="106">
        <v>2.8130685188902302</v>
      </c>
      <c r="CG39" s="106">
        <v>3409.4390448949589</v>
      </c>
      <c r="CH39" s="106">
        <v>6.3825187756941988</v>
      </c>
      <c r="CI39" s="106">
        <v>7735.6127561413687</v>
      </c>
      <c r="CJ39" s="106">
        <v>2.296382464400188</v>
      </c>
      <c r="CK39" s="106">
        <v>2783.2155468530277</v>
      </c>
      <c r="CL39" s="106">
        <v>7.3850090284770618</v>
      </c>
      <c r="CM39" s="106">
        <v>8950.630942514199</v>
      </c>
      <c r="CN39" s="106">
        <v>5.1047544805067373</v>
      </c>
      <c r="CO39" s="106">
        <v>6186.9624303741657</v>
      </c>
      <c r="CP39" s="106">
        <v>9.1514534901672118</v>
      </c>
      <c r="CQ39" s="106">
        <v>11091.56163008266</v>
      </c>
      <c r="CR39" s="106">
        <v>7.3484059157777004</v>
      </c>
      <c r="CS39" s="106">
        <v>8906.2679699225737</v>
      </c>
      <c r="CT39" s="106">
        <v>9.1559301737162553</v>
      </c>
      <c r="CU39" s="106">
        <v>11096.987370544102</v>
      </c>
    </row>
    <row r="40" spans="2:99" x14ac:dyDescent="0.2">
      <c r="C40" s="105" t="s">
        <v>206</v>
      </c>
      <c r="D40" s="106">
        <v>16</v>
      </c>
      <c r="E40" s="106">
        <v>8275.1999999999989</v>
      </c>
      <c r="F40" s="106">
        <v>13.298776580025956</v>
      </c>
      <c r="G40" s="106">
        <v>6878.1272471894235</v>
      </c>
      <c r="H40" s="106">
        <v>13</v>
      </c>
      <c r="I40" s="106">
        <v>6723.5999999999995</v>
      </c>
      <c r="J40" s="106">
        <v>15.324793434385072</v>
      </c>
      <c r="K40" s="106">
        <v>7925.9831642639583</v>
      </c>
      <c r="L40" s="106">
        <v>3.3912015819257473</v>
      </c>
      <c r="M40" s="106">
        <v>1753.9294581719962</v>
      </c>
      <c r="N40" s="106">
        <v>3.3448742450804598</v>
      </c>
      <c r="O40" s="106">
        <v>1729.9689595556135</v>
      </c>
      <c r="P40" s="106">
        <v>2.2774219396513029</v>
      </c>
      <c r="Q40" s="106">
        <v>1177.8826271876537</v>
      </c>
      <c r="R40" s="106">
        <v>2.210681294453273</v>
      </c>
      <c r="S40" s="106">
        <v>1143.3643654912325</v>
      </c>
      <c r="T40" s="106">
        <v>32.222314411152858</v>
      </c>
      <c r="U40" s="106">
        <v>16665.381013448256</v>
      </c>
      <c r="V40" s="106">
        <v>54.448675760007923</v>
      </c>
      <c r="W40" s="106">
        <v>28160.855103076094</v>
      </c>
      <c r="X40" s="106">
        <v>15.000814710279663</v>
      </c>
      <c r="Y40" s="106">
        <v>7758.4213681566407</v>
      </c>
      <c r="Z40" s="106">
        <v>27.983261178766977</v>
      </c>
      <c r="AA40" s="106">
        <v>14472.942681658278</v>
      </c>
      <c r="AB40" s="106">
        <v>0.54539835617397669</v>
      </c>
      <c r="AC40" s="106">
        <v>282.08002981318072</v>
      </c>
      <c r="AD40" s="106">
        <v>3.4144298588310003</v>
      </c>
      <c r="AE40" s="106">
        <v>1765.9431229873931</v>
      </c>
      <c r="AF40" s="106">
        <v>2.4721377719499484</v>
      </c>
      <c r="AG40" s="106">
        <v>1278.5896556525131</v>
      </c>
      <c r="AH40" s="106">
        <v>2.0573934727284016</v>
      </c>
      <c r="AI40" s="106">
        <v>1064.0839040951291</v>
      </c>
      <c r="AJ40" s="106">
        <v>3.2103613636614119</v>
      </c>
      <c r="AK40" s="106">
        <v>1660.3988972856821</v>
      </c>
      <c r="AL40" s="106">
        <v>2.3017884517026146</v>
      </c>
      <c r="AM40" s="106">
        <v>1190.4849872205921</v>
      </c>
      <c r="AN40" s="106">
        <v>2.4927765183453299</v>
      </c>
      <c r="AO40" s="106">
        <v>1289.2640152882045</v>
      </c>
      <c r="AP40" s="106">
        <v>3.1778003117716249</v>
      </c>
      <c r="AQ40" s="106">
        <v>1643.5583212482843</v>
      </c>
      <c r="AR40" s="106">
        <v>6.1289944367842892</v>
      </c>
      <c r="AS40" s="106">
        <v>3169.915922704834</v>
      </c>
      <c r="AT40" s="106">
        <v>5.148894723116193</v>
      </c>
      <c r="AU40" s="106">
        <v>2663.0083507956947</v>
      </c>
      <c r="AV40" s="106">
        <v>9</v>
      </c>
      <c r="AW40" s="106">
        <v>4654.7999999999993</v>
      </c>
      <c r="AX40" s="106">
        <v>7.3942745679893136</v>
      </c>
      <c r="AY40" s="106">
        <v>3824.3188065640725</v>
      </c>
      <c r="AZ40" s="106">
        <v>6.3466693359232602</v>
      </c>
      <c r="BA40" s="106">
        <v>3282.4973805395098</v>
      </c>
      <c r="BB40" s="106">
        <v>7.4529352546158698</v>
      </c>
      <c r="BC40" s="106">
        <v>3854.6581136873274</v>
      </c>
      <c r="BD40" s="106">
        <v>2.2070390732232292</v>
      </c>
      <c r="BE40" s="106">
        <v>1141.4806086710539</v>
      </c>
      <c r="BF40" s="106">
        <v>6.264199823936881</v>
      </c>
      <c r="BG40" s="106">
        <v>3239.8441489401544</v>
      </c>
      <c r="BH40" s="106">
        <v>2.6669943312325093</v>
      </c>
      <c r="BI40" s="106">
        <v>1379.3694681134536</v>
      </c>
      <c r="BJ40" s="106">
        <v>4.2547925765609618</v>
      </c>
      <c r="BK40" s="106">
        <v>2200.5787205973293</v>
      </c>
      <c r="BL40" s="106">
        <v>3.5581797301538511</v>
      </c>
      <c r="BM40" s="106">
        <v>1840.2905564355715</v>
      </c>
      <c r="BN40" s="106">
        <v>3.2829673259309589</v>
      </c>
      <c r="BO40" s="106">
        <v>1697.9507009714916</v>
      </c>
      <c r="BP40" s="106">
        <v>3.2676891483827473</v>
      </c>
      <c r="BQ40" s="106">
        <v>1690.0488275435566</v>
      </c>
      <c r="BR40" s="106">
        <v>4.2584579567508776</v>
      </c>
      <c r="BS40" s="106">
        <v>2202.4744552315537</v>
      </c>
      <c r="BT40" s="106">
        <v>3</v>
      </c>
      <c r="BU40" s="106">
        <v>1551.6</v>
      </c>
      <c r="BV40" s="106">
        <v>3.2862698891077637</v>
      </c>
      <c r="BW40" s="106">
        <v>1699.6587866465352</v>
      </c>
      <c r="BX40" s="106">
        <v>4.094307560079085</v>
      </c>
      <c r="BY40" s="106">
        <v>2117.5758700729025</v>
      </c>
      <c r="BZ40" s="106">
        <v>2.4601281589351509</v>
      </c>
      <c r="CA40" s="106">
        <v>1272.3782838012598</v>
      </c>
      <c r="CB40" s="106">
        <v>1.5482477551607394</v>
      </c>
      <c r="CC40" s="106">
        <v>800.75373896913436</v>
      </c>
      <c r="CD40" s="106">
        <v>2.0813667374355984</v>
      </c>
      <c r="CE40" s="106">
        <v>1076.4828766016913</v>
      </c>
      <c r="CF40" s="106">
        <v>2.8130685188902302</v>
      </c>
      <c r="CG40" s="106">
        <v>1454.9190379700269</v>
      </c>
      <c r="CH40" s="106">
        <v>5.7658017143202249</v>
      </c>
      <c r="CI40" s="106">
        <v>2982.0726466464198</v>
      </c>
      <c r="CJ40" s="106">
        <v>2.5515360715557645</v>
      </c>
      <c r="CK40" s="106">
        <v>1319.6544562086412</v>
      </c>
      <c r="CL40" s="106">
        <v>7.8282572134259096</v>
      </c>
      <c r="CM40" s="106">
        <v>4048.7746307838797</v>
      </c>
      <c r="CN40" s="106">
        <v>5.1285875475142282</v>
      </c>
      <c r="CO40" s="106">
        <v>2652.5054795743586</v>
      </c>
      <c r="CP40" s="106">
        <v>10.135352263539762</v>
      </c>
      <c r="CQ40" s="106">
        <v>5242.0041907027644</v>
      </c>
      <c r="CR40" s="106">
        <v>8.3800791808483996</v>
      </c>
      <c r="CS40" s="106">
        <v>4334.1769523347921</v>
      </c>
      <c r="CT40" s="106">
        <v>11.175421445430787</v>
      </c>
      <c r="CU40" s="106">
        <v>5779.9279715768025</v>
      </c>
    </row>
    <row r="41" spans="2:99" x14ac:dyDescent="0.2">
      <c r="C41" s="105" t="s">
        <v>207</v>
      </c>
      <c r="D41" s="106">
        <v>16</v>
      </c>
      <c r="E41" s="106">
        <v>7276.8</v>
      </c>
      <c r="F41" s="106">
        <v>12.298776580025956</v>
      </c>
      <c r="G41" s="106">
        <v>5593.4835885958055</v>
      </c>
      <c r="H41" s="106">
        <v>14</v>
      </c>
      <c r="I41" s="106">
        <v>6367.2</v>
      </c>
      <c r="J41" s="106">
        <v>14.371192496440083</v>
      </c>
      <c r="K41" s="106">
        <v>6536.0183473809493</v>
      </c>
      <c r="L41" s="106">
        <v>3.3477347394895531</v>
      </c>
      <c r="M41" s="106">
        <v>1522.5497595198487</v>
      </c>
      <c r="N41" s="106">
        <v>4.383193605644955</v>
      </c>
      <c r="O41" s="106">
        <v>1993.4764518473255</v>
      </c>
      <c r="P41" s="106">
        <v>2.2774219396513029</v>
      </c>
      <c r="Q41" s="106">
        <v>1035.7714981534125</v>
      </c>
      <c r="R41" s="106">
        <v>2.210681294453273</v>
      </c>
      <c r="S41" s="106">
        <v>1005.4178527173486</v>
      </c>
      <c r="T41" s="106">
        <v>30.19452510975875</v>
      </c>
      <c r="U41" s="106">
        <v>13732.470019918281</v>
      </c>
      <c r="V41" s="106">
        <v>52.448675760007923</v>
      </c>
      <c r="W41" s="106">
        <v>23853.657735651603</v>
      </c>
      <c r="X41" s="106">
        <v>15.000814710279663</v>
      </c>
      <c r="Y41" s="106">
        <v>6822.3705302351909</v>
      </c>
      <c r="Z41" s="106">
        <v>24.592449586330765</v>
      </c>
      <c r="AA41" s="106">
        <v>11184.646071863232</v>
      </c>
      <c r="AB41" s="106">
        <v>0.54539835617397669</v>
      </c>
      <c r="AC41" s="106">
        <v>248.0471723879246</v>
      </c>
      <c r="AD41" s="106">
        <v>3.4144298588310003</v>
      </c>
      <c r="AE41" s="106">
        <v>1552.882699796339</v>
      </c>
      <c r="AF41" s="106">
        <v>2.4721377719499484</v>
      </c>
      <c r="AG41" s="106">
        <v>1124.3282586828366</v>
      </c>
      <c r="AH41" s="106">
        <v>1.5512685189823971</v>
      </c>
      <c r="AI41" s="106">
        <v>705.51692243319428</v>
      </c>
      <c r="AJ41" s="106">
        <v>3.1912376033285565</v>
      </c>
      <c r="AK41" s="106">
        <v>1451.3748619938276</v>
      </c>
      <c r="AL41" s="106">
        <v>2.3353205018917942</v>
      </c>
      <c r="AM41" s="106">
        <v>1062.1037642603881</v>
      </c>
      <c r="AN41" s="106">
        <v>2.457578195606378</v>
      </c>
      <c r="AO41" s="106">
        <v>1117.7065633617808</v>
      </c>
      <c r="AP41" s="106">
        <v>3.1778003117716249</v>
      </c>
      <c r="AQ41" s="106">
        <v>1445.2635817937351</v>
      </c>
      <c r="AR41" s="106">
        <v>6.1451187413823263</v>
      </c>
      <c r="AS41" s="106">
        <v>2794.8000035806822</v>
      </c>
      <c r="AT41" s="106">
        <v>5.1340052508045737</v>
      </c>
      <c r="AU41" s="106">
        <v>2334.9455880659202</v>
      </c>
      <c r="AV41" s="106">
        <v>9</v>
      </c>
      <c r="AW41" s="106">
        <v>4093.2000000000003</v>
      </c>
      <c r="AX41" s="106">
        <v>7.3942745679893136</v>
      </c>
      <c r="AY41" s="106">
        <v>3362.9160735215401</v>
      </c>
      <c r="AZ41" s="106">
        <v>7.3466693359232602</v>
      </c>
      <c r="BA41" s="106">
        <v>3341.2652139778988</v>
      </c>
      <c r="BB41" s="106">
        <v>6.6531380988222502</v>
      </c>
      <c r="BC41" s="106">
        <v>3025.8472073443595</v>
      </c>
      <c r="BD41" s="106">
        <v>2.5748789187604344</v>
      </c>
      <c r="BE41" s="106">
        <v>1171.0549322522456</v>
      </c>
      <c r="BF41" s="106">
        <v>6.3038680343111118</v>
      </c>
      <c r="BG41" s="106">
        <v>2866.9991820046939</v>
      </c>
      <c r="BH41" s="106">
        <v>2.6669943312325093</v>
      </c>
      <c r="BI41" s="106">
        <v>1212.9490218445453</v>
      </c>
      <c r="BJ41" s="106">
        <v>4.2866416486310817</v>
      </c>
      <c r="BK41" s="106">
        <v>1949.5646217974161</v>
      </c>
      <c r="BL41" s="106">
        <v>3.5581797301538511</v>
      </c>
      <c r="BM41" s="106">
        <v>1618.2601412739716</v>
      </c>
      <c r="BN41" s="106">
        <v>3.2829673259309589</v>
      </c>
      <c r="BO41" s="106">
        <v>1493.0935398334002</v>
      </c>
      <c r="BP41" s="106">
        <v>3.2141513187061976</v>
      </c>
      <c r="BQ41" s="106">
        <v>1461.7960197475786</v>
      </c>
      <c r="BR41" s="106">
        <v>4.2907652013447368</v>
      </c>
      <c r="BS41" s="106">
        <v>1951.4400135715864</v>
      </c>
      <c r="BT41" s="106">
        <v>3</v>
      </c>
      <c r="BU41" s="106">
        <v>1364.4</v>
      </c>
      <c r="BV41" s="106">
        <v>3.2862698891077637</v>
      </c>
      <c r="BW41" s="106">
        <v>1494.5955455662111</v>
      </c>
      <c r="BX41" s="106">
        <v>4.094307560079085</v>
      </c>
      <c r="BY41" s="106">
        <v>1862.0910783239678</v>
      </c>
      <c r="BZ41" s="106">
        <v>2.4432349568840759</v>
      </c>
      <c r="CA41" s="106">
        <v>1111.1832583908777</v>
      </c>
      <c r="CB41" s="106">
        <v>2.2330870339668132</v>
      </c>
      <c r="CC41" s="106">
        <v>1015.6079830481067</v>
      </c>
      <c r="CD41" s="106">
        <v>2.7047389839901026</v>
      </c>
      <c r="CE41" s="106">
        <v>1230.1152899186986</v>
      </c>
      <c r="CF41" s="106">
        <v>2.8130685188902302</v>
      </c>
      <c r="CG41" s="106">
        <v>1279.3835623912767</v>
      </c>
      <c r="CH41" s="106">
        <v>6.4132827988305499</v>
      </c>
      <c r="CI41" s="106">
        <v>2916.761016908134</v>
      </c>
      <c r="CJ41" s="106">
        <v>2.5515360715557645</v>
      </c>
      <c r="CK41" s="106">
        <v>1160.4386053435617</v>
      </c>
      <c r="CL41" s="106">
        <v>6.941760843528213</v>
      </c>
      <c r="CM41" s="106">
        <v>3157.1128316366312</v>
      </c>
      <c r="CN41" s="106">
        <v>5.1285875475142282</v>
      </c>
      <c r="CO41" s="106">
        <v>2332.4816166094711</v>
      </c>
      <c r="CP41" s="106">
        <v>10.135352263539762</v>
      </c>
      <c r="CQ41" s="106">
        <v>4609.558209457884</v>
      </c>
      <c r="CR41" s="106">
        <v>8.3167326507069994</v>
      </c>
      <c r="CS41" s="106">
        <v>3782.4500095415433</v>
      </c>
      <c r="CT41" s="106">
        <v>10.155930173716255</v>
      </c>
      <c r="CU41" s="106">
        <v>4618.9170430061531</v>
      </c>
    </row>
    <row r="42" spans="2:99" x14ac:dyDescent="0.2">
      <c r="C42" s="105" t="s">
        <v>208</v>
      </c>
      <c r="D42" s="106">
        <v>14</v>
      </c>
      <c r="E42" s="106">
        <v>9744</v>
      </c>
      <c r="F42" s="106">
        <v>12.298776580025956</v>
      </c>
      <c r="G42" s="106">
        <v>8559.9484996980664</v>
      </c>
      <c r="H42" s="106">
        <v>12</v>
      </c>
      <c r="I42" s="106">
        <v>8352</v>
      </c>
      <c r="J42" s="106">
        <v>14.371192496440083</v>
      </c>
      <c r="K42" s="106">
        <v>10002.349977522297</v>
      </c>
      <c r="L42" s="106">
        <v>3.3912015819257473</v>
      </c>
      <c r="M42" s="106">
        <v>2360.2763010203203</v>
      </c>
      <c r="N42" s="106">
        <v>3.383193605644955</v>
      </c>
      <c r="O42" s="106">
        <v>2354.7027495288885</v>
      </c>
      <c r="P42" s="106">
        <v>2.2774219396513029</v>
      </c>
      <c r="Q42" s="106">
        <v>1585.0856699973069</v>
      </c>
      <c r="R42" s="106">
        <v>2.1896131650079456</v>
      </c>
      <c r="S42" s="106">
        <v>1523.9707628455301</v>
      </c>
      <c r="T42" s="106">
        <v>31.250103712546967</v>
      </c>
      <c r="U42" s="106">
        <v>21750.072183932687</v>
      </c>
      <c r="V42" s="106">
        <v>48.398822897784818</v>
      </c>
      <c r="W42" s="106">
        <v>33685.580736858232</v>
      </c>
      <c r="X42" s="106">
        <v>15.577769122213498</v>
      </c>
      <c r="Y42" s="106">
        <v>10842.127309060594</v>
      </c>
      <c r="Z42" s="106">
        <v>22.583477790981895</v>
      </c>
      <c r="AA42" s="106">
        <v>15718.1005425234</v>
      </c>
      <c r="AB42" s="106">
        <v>0.54539835617397669</v>
      </c>
      <c r="AC42" s="106">
        <v>379.59725589708779</v>
      </c>
      <c r="AD42" s="106">
        <v>3.3741912567045311</v>
      </c>
      <c r="AE42" s="106">
        <v>2348.4371146663539</v>
      </c>
      <c r="AF42" s="106">
        <v>2.4721377719499484</v>
      </c>
      <c r="AG42" s="106">
        <v>1720.6078892771641</v>
      </c>
      <c r="AH42" s="106">
        <v>2.0519111964376706</v>
      </c>
      <c r="AI42" s="106">
        <v>1428.1301927206187</v>
      </c>
      <c r="AJ42" s="106">
        <v>3.2103613636614119</v>
      </c>
      <c r="AK42" s="106">
        <v>2234.4115091083427</v>
      </c>
      <c r="AL42" s="106">
        <v>2.3353205018917942</v>
      </c>
      <c r="AM42" s="106">
        <v>1625.3830693166888</v>
      </c>
      <c r="AN42" s="106">
        <v>3.5279748410842822</v>
      </c>
      <c r="AO42" s="106">
        <v>2455.4704893946605</v>
      </c>
      <c r="AP42" s="106">
        <v>3.1568826280337863</v>
      </c>
      <c r="AQ42" s="106">
        <v>2197.190309111515</v>
      </c>
      <c r="AR42" s="106">
        <v>5.1289944367842892</v>
      </c>
      <c r="AS42" s="106">
        <v>3569.7801280018653</v>
      </c>
      <c r="AT42" s="106">
        <v>6.1191157784929544</v>
      </c>
      <c r="AU42" s="106">
        <v>4258.904581831096</v>
      </c>
      <c r="AV42" s="106">
        <v>9</v>
      </c>
      <c r="AW42" s="106">
        <v>6264</v>
      </c>
      <c r="AX42" s="106">
        <v>6.3942745679893136</v>
      </c>
      <c r="AY42" s="106">
        <v>4450.4150993205621</v>
      </c>
      <c r="AZ42" s="106">
        <v>6.3151539417484184</v>
      </c>
      <c r="BA42" s="106">
        <v>4395.3471434568992</v>
      </c>
      <c r="BB42" s="106">
        <v>6.6531380988222502</v>
      </c>
      <c r="BC42" s="106">
        <v>4630.5841167802864</v>
      </c>
      <c r="BD42" s="106">
        <v>2.5748789187604344</v>
      </c>
      <c r="BE42" s="106">
        <v>1792.1157274572624</v>
      </c>
      <c r="BF42" s="106">
        <v>6.264199823936881</v>
      </c>
      <c r="BG42" s="106">
        <v>4359.8830774600692</v>
      </c>
      <c r="BH42" s="106">
        <v>2.6669943312325093</v>
      </c>
      <c r="BI42" s="106">
        <v>1856.2280545378264</v>
      </c>
      <c r="BJ42" s="106">
        <v>4.2866416486310817</v>
      </c>
      <c r="BK42" s="106">
        <v>2983.5025874472331</v>
      </c>
      <c r="BL42" s="106">
        <v>3.5581797301538511</v>
      </c>
      <c r="BM42" s="106">
        <v>2476.4930921870805</v>
      </c>
      <c r="BN42" s="106">
        <v>3.2829673259309589</v>
      </c>
      <c r="BO42" s="106">
        <v>2284.9452588479476</v>
      </c>
      <c r="BP42" s="106">
        <v>3.2676891483827473</v>
      </c>
      <c r="BQ42" s="106">
        <v>2274.3116472743923</v>
      </c>
      <c r="BR42" s="106">
        <v>4.2584579567508776</v>
      </c>
      <c r="BS42" s="106">
        <v>2963.8867378986106</v>
      </c>
      <c r="BT42" s="106">
        <v>4</v>
      </c>
      <c r="BU42" s="106">
        <v>2784</v>
      </c>
      <c r="BV42" s="106">
        <v>3.3339815372923911</v>
      </c>
      <c r="BW42" s="106">
        <v>2320.4511499555042</v>
      </c>
      <c r="BX42" s="106">
        <v>4.0697114988725316</v>
      </c>
      <c r="BY42" s="106">
        <v>2832.5192032152818</v>
      </c>
      <c r="BZ42" s="106">
        <v>2.4432349568840759</v>
      </c>
      <c r="CA42" s="106">
        <v>1700.4915299913168</v>
      </c>
      <c r="CB42" s="106">
        <v>1.5303908354058802</v>
      </c>
      <c r="CC42" s="106">
        <v>1065.1520214424927</v>
      </c>
      <c r="CD42" s="106">
        <v>2.0651167376069766</v>
      </c>
      <c r="CE42" s="106">
        <v>1437.3212493744556</v>
      </c>
      <c r="CF42" s="106">
        <v>2.5005053501246493</v>
      </c>
      <c r="CG42" s="106">
        <v>1740.3517236867558</v>
      </c>
      <c r="CH42" s="106">
        <v>6.4132827988305499</v>
      </c>
      <c r="CI42" s="106">
        <v>4463.6448279860624</v>
      </c>
      <c r="CJ42" s="106">
        <v>2.5515360715557645</v>
      </c>
      <c r="CK42" s="106">
        <v>1775.8691058028121</v>
      </c>
      <c r="CL42" s="106">
        <v>7.7907046845125674</v>
      </c>
      <c r="CM42" s="106">
        <v>5422.3304604207469</v>
      </c>
      <c r="CN42" s="106">
        <v>6.1161721498050889</v>
      </c>
      <c r="CO42" s="106">
        <v>4256.8558162643421</v>
      </c>
      <c r="CP42" s="106">
        <v>8.1675547167946618</v>
      </c>
      <c r="CQ42" s="106">
        <v>5684.6180828890847</v>
      </c>
      <c r="CR42" s="106">
        <v>8.3167326507069994</v>
      </c>
      <c r="CS42" s="106">
        <v>5788.4459248920712</v>
      </c>
      <c r="CT42" s="106">
        <v>10.155930173716255</v>
      </c>
      <c r="CU42" s="106">
        <v>7068.5274009065133</v>
      </c>
    </row>
    <row r="43" spans="2:99" x14ac:dyDescent="0.2">
      <c r="C43" s="105" t="s">
        <v>209</v>
      </c>
      <c r="D43" s="106">
        <v>13</v>
      </c>
      <c r="E43" s="106">
        <v>10592.4</v>
      </c>
      <c r="F43" s="106">
        <v>12.298776580025956</v>
      </c>
      <c r="G43" s="106">
        <v>10021.043157405149</v>
      </c>
      <c r="H43" s="106">
        <v>13</v>
      </c>
      <c r="I43" s="106">
        <v>10592.4</v>
      </c>
      <c r="J43" s="106">
        <v>13.324793434385072</v>
      </c>
      <c r="K43" s="106">
        <v>10857.041690336955</v>
      </c>
      <c r="L43" s="106">
        <v>3.3912015819257473</v>
      </c>
      <c r="M43" s="106">
        <v>2763.1510489530988</v>
      </c>
      <c r="N43" s="106">
        <v>3.3448742450804598</v>
      </c>
      <c r="O43" s="106">
        <v>2725.4035348915586</v>
      </c>
      <c r="P43" s="106">
        <v>2.2774219396513029</v>
      </c>
      <c r="Q43" s="106">
        <v>1855.6433964278815</v>
      </c>
      <c r="R43" s="106">
        <v>3.1896131650079456</v>
      </c>
      <c r="S43" s="106">
        <v>2598.8968068484737</v>
      </c>
      <c r="T43" s="106">
        <v>29.222314411152858</v>
      </c>
      <c r="U43" s="106">
        <v>23810.341782207346</v>
      </c>
      <c r="V43" s="106">
        <v>51.448675760007923</v>
      </c>
      <c r="W43" s="106">
        <v>41920.381009254452</v>
      </c>
      <c r="X43" s="106">
        <v>13.846905886411999</v>
      </c>
      <c r="Y43" s="106">
        <v>11282.458916248497</v>
      </c>
      <c r="Z43" s="106">
        <v>23.93980242795638</v>
      </c>
      <c r="AA43" s="106">
        <v>19506.151018298857</v>
      </c>
      <c r="AB43" s="106">
        <v>0.54539835617397669</v>
      </c>
      <c r="AC43" s="106">
        <v>444.39058061055619</v>
      </c>
      <c r="AD43" s="106">
        <v>3.4144298588310003</v>
      </c>
      <c r="AE43" s="106">
        <v>2782.077448975499</v>
      </c>
      <c r="AF43" s="106">
        <v>2.4292161563181347</v>
      </c>
      <c r="AG43" s="106">
        <v>1979.3253241680161</v>
      </c>
      <c r="AH43" s="106">
        <v>1.5512685189823971</v>
      </c>
      <c r="AI43" s="106">
        <v>1263.9735892668571</v>
      </c>
      <c r="AJ43" s="106">
        <v>3.1912376033285565</v>
      </c>
      <c r="AK43" s="106">
        <v>2600.2203991921078</v>
      </c>
      <c r="AL43" s="106">
        <v>2.3017884517026146</v>
      </c>
      <c r="AM43" s="106">
        <v>1875.4972304472903</v>
      </c>
      <c r="AN43" s="106">
        <v>2.457578195606378</v>
      </c>
      <c r="AO43" s="106">
        <v>2002.4347137800767</v>
      </c>
      <c r="AP43" s="106">
        <v>3.1778003117716249</v>
      </c>
      <c r="AQ43" s="106">
        <v>2589.2716940315199</v>
      </c>
      <c r="AR43" s="106">
        <v>6.1451187413823263</v>
      </c>
      <c r="AS43" s="106">
        <v>5007.0427504783192</v>
      </c>
      <c r="AT43" s="106">
        <v>6.1340052508045737</v>
      </c>
      <c r="AU43" s="106">
        <v>4997.9874783555661</v>
      </c>
      <c r="AV43" s="106">
        <v>8</v>
      </c>
      <c r="AW43" s="106">
        <v>6518.4</v>
      </c>
      <c r="AX43" s="106">
        <v>6.4380828533214594</v>
      </c>
      <c r="AY43" s="106">
        <v>5245.7499088863251</v>
      </c>
      <c r="AZ43" s="106">
        <v>6.2836385475735765</v>
      </c>
      <c r="BA43" s="106">
        <v>5119.9086885629495</v>
      </c>
      <c r="BB43" s="106">
        <v>6.6531380988222502</v>
      </c>
      <c r="BC43" s="106">
        <v>5420.9769229203694</v>
      </c>
      <c r="BD43" s="106">
        <v>2.2070390732232292</v>
      </c>
      <c r="BE43" s="106">
        <v>1798.295436862287</v>
      </c>
      <c r="BF43" s="106">
        <v>6.264199823936881</v>
      </c>
      <c r="BG43" s="106">
        <v>5104.0700165437702</v>
      </c>
      <c r="BH43" s="106">
        <v>2.6669943312325093</v>
      </c>
      <c r="BI43" s="106">
        <v>2173.0669810882487</v>
      </c>
      <c r="BJ43" s="106">
        <v>4.2866416486310817</v>
      </c>
      <c r="BK43" s="106">
        <v>3492.7556153046053</v>
      </c>
      <c r="BL43" s="106">
        <v>3.5581797301538511</v>
      </c>
      <c r="BM43" s="106">
        <v>2899.2048441293578</v>
      </c>
      <c r="BN43" s="106">
        <v>3.2829673259309589</v>
      </c>
      <c r="BO43" s="106">
        <v>2674.9617771685453</v>
      </c>
      <c r="BP43" s="106">
        <v>3.2141513187061976</v>
      </c>
      <c r="BQ43" s="106">
        <v>2618.8904944818096</v>
      </c>
      <c r="BR43" s="106">
        <v>4.2584579567508776</v>
      </c>
      <c r="BS43" s="106">
        <v>3469.7915431606148</v>
      </c>
      <c r="BT43" s="106">
        <v>3</v>
      </c>
      <c r="BU43" s="106">
        <v>2444.3999999999996</v>
      </c>
      <c r="BV43" s="106">
        <v>3.3339815372923911</v>
      </c>
      <c r="BW43" s="106">
        <v>2716.52815658584</v>
      </c>
      <c r="BX43" s="106">
        <v>4.094307560079085</v>
      </c>
      <c r="BY43" s="106">
        <v>3336.0417999524384</v>
      </c>
      <c r="BZ43" s="106">
        <v>2.4432349568840759</v>
      </c>
      <c r="CA43" s="106">
        <v>1990.747842869145</v>
      </c>
      <c r="CB43" s="106">
        <v>1.5303908354058802</v>
      </c>
      <c r="CC43" s="106">
        <v>1246.962452688711</v>
      </c>
      <c r="CD43" s="106">
        <v>2.0651167376069766</v>
      </c>
      <c r="CE43" s="106">
        <v>1682.6571178021645</v>
      </c>
      <c r="CF43" s="106">
        <v>2.5005053501246493</v>
      </c>
      <c r="CG43" s="106">
        <v>2037.4117592815642</v>
      </c>
      <c r="CH43" s="106">
        <v>5.7658017143202249</v>
      </c>
      <c r="CI43" s="106">
        <v>4697.9752368281188</v>
      </c>
      <c r="CJ43" s="106">
        <v>2.5515360715557645</v>
      </c>
      <c r="CK43" s="106">
        <v>2078.9915911036369</v>
      </c>
      <c r="CL43" s="106">
        <v>6.9605371079848846</v>
      </c>
      <c r="CM43" s="106">
        <v>5671.4456355860839</v>
      </c>
      <c r="CN43" s="106">
        <v>5.1047544805067373</v>
      </c>
      <c r="CO43" s="106">
        <v>4159.3539507168889</v>
      </c>
      <c r="CP43" s="106">
        <v>9.1514534901672118</v>
      </c>
      <c r="CQ43" s="106">
        <v>7456.6043037882437</v>
      </c>
      <c r="CR43" s="106">
        <v>7.3167326507070003</v>
      </c>
      <c r="CS43" s="106">
        <v>5961.6737637960632</v>
      </c>
      <c r="CT43" s="106">
        <v>11.155930173716255</v>
      </c>
      <c r="CU43" s="106">
        <v>9089.8519055440047</v>
      </c>
    </row>
    <row r="44" spans="2:99" x14ac:dyDescent="0.2">
      <c r="C44" s="105" t="s">
        <v>210</v>
      </c>
      <c r="D44" s="106">
        <v>15</v>
      </c>
      <c r="E44" s="106">
        <v>12654</v>
      </c>
      <c r="F44" s="106">
        <v>11.256094211450819</v>
      </c>
      <c r="G44" s="106">
        <v>9495.6410767799116</v>
      </c>
      <c r="H44" s="106">
        <v>13</v>
      </c>
      <c r="I44" s="106">
        <v>10966.800000000001</v>
      </c>
      <c r="J44" s="106">
        <v>15.324793434385072</v>
      </c>
      <c r="K44" s="106">
        <v>12927.995741247247</v>
      </c>
      <c r="L44" s="106">
        <v>3.3912015819257473</v>
      </c>
      <c r="M44" s="106">
        <v>2860.8176545125607</v>
      </c>
      <c r="N44" s="106">
        <v>3.4215129662094506</v>
      </c>
      <c r="O44" s="106">
        <v>2886.3883382942927</v>
      </c>
      <c r="P44" s="106">
        <v>2.2774219396513029</v>
      </c>
      <c r="Q44" s="106">
        <v>1921.2331482898392</v>
      </c>
      <c r="R44" s="106">
        <v>2.210681294453273</v>
      </c>
      <c r="S44" s="106">
        <v>1864.930740000781</v>
      </c>
      <c r="T44" s="106">
        <v>30.250103712546967</v>
      </c>
      <c r="U44" s="106">
        <v>25518.987491904623</v>
      </c>
      <c r="V44" s="106">
        <v>50.498528622231028</v>
      </c>
      <c r="W44" s="106">
        <v>42600.558745714094</v>
      </c>
      <c r="X44" s="106">
        <v>15.577769122213498</v>
      </c>
      <c r="Y44" s="106">
        <v>13141.406031499308</v>
      </c>
      <c r="Z44" s="106">
        <v>23.93980242795638</v>
      </c>
      <c r="AA44" s="106">
        <v>20195.617328224002</v>
      </c>
      <c r="AB44" s="106">
        <v>0.54539835617397669</v>
      </c>
      <c r="AC44" s="106">
        <v>460.09805326836675</v>
      </c>
      <c r="AD44" s="106">
        <v>3.4144298588310003</v>
      </c>
      <c r="AE44" s="106">
        <v>2880.4130289098321</v>
      </c>
      <c r="AF44" s="106">
        <v>2.3862945406863214</v>
      </c>
      <c r="AG44" s="106">
        <v>2013.0780745229808</v>
      </c>
      <c r="AH44" s="106">
        <v>1.5457862426916664</v>
      </c>
      <c r="AI44" s="106">
        <v>1304.0252743346898</v>
      </c>
      <c r="AJ44" s="106">
        <v>3.1721138429957008</v>
      </c>
      <c r="AK44" s="106">
        <v>2675.9952379511733</v>
      </c>
      <c r="AL44" s="106">
        <v>2.2682564015134354</v>
      </c>
      <c r="AM44" s="106">
        <v>1913.5011003167342</v>
      </c>
      <c r="AN44" s="106">
        <v>2.457578195606378</v>
      </c>
      <c r="AO44" s="106">
        <v>2073.2129658135404</v>
      </c>
      <c r="AP44" s="106">
        <v>3.1568826280337863</v>
      </c>
      <c r="AQ44" s="106">
        <v>2663.1461850093024</v>
      </c>
      <c r="AR44" s="106">
        <v>6.1451187413823263</v>
      </c>
      <c r="AS44" s="106">
        <v>5184.0221702301305</v>
      </c>
      <c r="AT44" s="106">
        <v>5.1191157784929544</v>
      </c>
      <c r="AU44" s="106">
        <v>4318.4860707366561</v>
      </c>
      <c r="AV44" s="106">
        <v>9</v>
      </c>
      <c r="AW44" s="106">
        <v>7592.4000000000005</v>
      </c>
      <c r="AX44" s="106">
        <v>7.3942745679893136</v>
      </c>
      <c r="AY44" s="106">
        <v>6237.8100255557847</v>
      </c>
      <c r="AZ44" s="106">
        <v>6.3151539417484184</v>
      </c>
      <c r="BA44" s="106">
        <v>5327.4638652589656</v>
      </c>
      <c r="BB44" s="106">
        <v>6.6531380988222502</v>
      </c>
      <c r="BC44" s="106">
        <v>5612.5873001664504</v>
      </c>
      <c r="BD44" s="106">
        <v>2.2070390732232292</v>
      </c>
      <c r="BE44" s="106">
        <v>1861.8581621711162</v>
      </c>
      <c r="BF44" s="106">
        <v>6.264199823936881</v>
      </c>
      <c r="BG44" s="106">
        <v>5284.4789714731533</v>
      </c>
      <c r="BH44" s="106">
        <v>2.6669943312325093</v>
      </c>
      <c r="BI44" s="106">
        <v>2249.8764178277447</v>
      </c>
      <c r="BJ44" s="106">
        <v>4.2547925765609618</v>
      </c>
      <c r="BK44" s="106">
        <v>3589.3430175868275</v>
      </c>
      <c r="BL44" s="106">
        <v>3.5581797301538511</v>
      </c>
      <c r="BM44" s="106">
        <v>3001.680420357789</v>
      </c>
      <c r="BN44" s="106">
        <v>3.3233912296353814</v>
      </c>
      <c r="BO44" s="106">
        <v>2803.6128413204078</v>
      </c>
      <c r="BP44" s="106">
        <v>3.2409202335444727</v>
      </c>
      <c r="BQ44" s="106">
        <v>2734.0403090181171</v>
      </c>
      <c r="BR44" s="106">
        <v>4.2261507121570174</v>
      </c>
      <c r="BS44" s="106">
        <v>3565.1807407756601</v>
      </c>
      <c r="BT44" s="106">
        <v>4</v>
      </c>
      <c r="BU44" s="106">
        <v>3374.4</v>
      </c>
      <c r="BV44" s="106">
        <v>3.2862698891077637</v>
      </c>
      <c r="BW44" s="106">
        <v>2772.2972784513095</v>
      </c>
      <c r="BX44" s="106">
        <v>4.0697114988725316</v>
      </c>
      <c r="BY44" s="106">
        <v>3433.2086204488678</v>
      </c>
      <c r="BZ44" s="106">
        <v>2.4432349568840759</v>
      </c>
      <c r="CA44" s="106">
        <v>2061.1130096274064</v>
      </c>
      <c r="CB44" s="106">
        <v>1.5125339156510211</v>
      </c>
      <c r="CC44" s="106">
        <v>1275.9736112432015</v>
      </c>
      <c r="CD44" s="106">
        <v>2.7209889838187244</v>
      </c>
      <c r="CE44" s="106">
        <v>2295.4263067494762</v>
      </c>
      <c r="CF44" s="106">
        <v>2.8130685188902302</v>
      </c>
      <c r="CG44" s="106">
        <v>2373.1046025357982</v>
      </c>
      <c r="CH44" s="106">
        <v>6.3825187756941988</v>
      </c>
      <c r="CI44" s="106">
        <v>5384.2928391756259</v>
      </c>
      <c r="CJ44" s="106">
        <v>2.296382464400188</v>
      </c>
      <c r="CK44" s="106">
        <v>1937.2282469679988</v>
      </c>
      <c r="CL44" s="106">
        <v>7.3850090284770618</v>
      </c>
      <c r="CM44" s="106">
        <v>6229.9936164232495</v>
      </c>
      <c r="CN44" s="106">
        <v>6.0923390827975989</v>
      </c>
      <c r="CO44" s="106">
        <v>5139.497250248055</v>
      </c>
      <c r="CP44" s="106">
        <v>8.2046002830214473</v>
      </c>
      <c r="CQ44" s="106">
        <v>6921.400798756893</v>
      </c>
      <c r="CR44" s="106">
        <v>7.3484059157777004</v>
      </c>
      <c r="CS44" s="106">
        <v>6199.1152305500682</v>
      </c>
      <c r="CT44" s="106">
        <v>10.175421445430787</v>
      </c>
      <c r="CU44" s="106">
        <v>8583.9855313654116</v>
      </c>
    </row>
    <row r="45" spans="2:99" x14ac:dyDescent="0.2">
      <c r="C45" s="105" t="s">
        <v>211</v>
      </c>
      <c r="D45" s="106">
        <v>15</v>
      </c>
      <c r="E45" s="106">
        <v>15605.999999999998</v>
      </c>
      <c r="F45" s="106">
        <v>12.298776580025956</v>
      </c>
      <c r="G45" s="106">
        <v>12795.647153859003</v>
      </c>
      <c r="H45" s="106">
        <v>14</v>
      </c>
      <c r="I45" s="106">
        <v>14565.599999999999</v>
      </c>
      <c r="J45" s="106">
        <v>12.324793434385072</v>
      </c>
      <c r="K45" s="106">
        <v>12822.715089134226</v>
      </c>
      <c r="L45" s="106">
        <v>3.3912015819257473</v>
      </c>
      <c r="M45" s="106">
        <v>3528.206125835547</v>
      </c>
      <c r="N45" s="106">
        <v>4.3448742450804598</v>
      </c>
      <c r="O45" s="106">
        <v>4520.4071645817094</v>
      </c>
      <c r="P45" s="106">
        <v>2.2774219396513029</v>
      </c>
      <c r="Q45" s="106">
        <v>2369.4297860132151</v>
      </c>
      <c r="R45" s="106">
        <v>2.1896131650079456</v>
      </c>
      <c r="S45" s="106">
        <v>2278.0735368742662</v>
      </c>
      <c r="T45" s="106">
        <v>27.19452510975875</v>
      </c>
      <c r="U45" s="106">
        <v>28293.183924192999</v>
      </c>
      <c r="V45" s="106">
        <v>46.448675760007923</v>
      </c>
      <c r="W45" s="106">
        <v>48325.202260712234</v>
      </c>
      <c r="X45" s="106">
        <v>13.846905886411999</v>
      </c>
      <c r="Y45" s="106">
        <v>14406.320884223042</v>
      </c>
      <c r="Z45" s="106">
        <v>24.617964746443622</v>
      </c>
      <c r="AA45" s="106">
        <v>25612.530522199941</v>
      </c>
      <c r="AB45" s="106">
        <v>0.54539835617397669</v>
      </c>
      <c r="AC45" s="106">
        <v>567.43244976340532</v>
      </c>
      <c r="AD45" s="106">
        <v>3.3741912567045311</v>
      </c>
      <c r="AE45" s="106">
        <v>3510.5085834753936</v>
      </c>
      <c r="AF45" s="106">
        <v>2.4292161563181347</v>
      </c>
      <c r="AG45" s="106">
        <v>2527.3564890333869</v>
      </c>
      <c r="AH45" s="106">
        <v>1.5512685189823971</v>
      </c>
      <c r="AI45" s="106">
        <v>1613.9397671492857</v>
      </c>
      <c r="AJ45" s="106">
        <v>2.1721138429957008</v>
      </c>
      <c r="AK45" s="106">
        <v>2259.8672422527266</v>
      </c>
      <c r="AL45" s="106">
        <v>2.3353205018917942</v>
      </c>
      <c r="AM45" s="106">
        <v>2429.6674501682223</v>
      </c>
      <c r="AN45" s="106">
        <v>2.457578195606378</v>
      </c>
      <c r="AO45" s="106">
        <v>2556.8643547088755</v>
      </c>
      <c r="AP45" s="106">
        <v>3.1673414699027056</v>
      </c>
      <c r="AQ45" s="106">
        <v>3295.3020652867745</v>
      </c>
      <c r="AR45" s="106">
        <v>6.1451187413823263</v>
      </c>
      <c r="AS45" s="106">
        <v>6393.3815385341713</v>
      </c>
      <c r="AT45" s="106">
        <v>5.148894723116193</v>
      </c>
      <c r="AU45" s="106">
        <v>5356.9100699300861</v>
      </c>
      <c r="AV45" s="106">
        <v>8</v>
      </c>
      <c r="AW45" s="106">
        <v>8323.1999999999989</v>
      </c>
      <c r="AX45" s="106">
        <v>6.3942745679893136</v>
      </c>
      <c r="AY45" s="106">
        <v>6652.6032605360806</v>
      </c>
      <c r="AZ45" s="106">
        <v>6.3466693359232602</v>
      </c>
      <c r="BA45" s="106">
        <v>6603.0747770945591</v>
      </c>
      <c r="BB45" s="106">
        <v>6.6248313374363281</v>
      </c>
      <c r="BC45" s="106">
        <v>6892.4745234687553</v>
      </c>
      <c r="BD45" s="106">
        <v>2.5748789187604344</v>
      </c>
      <c r="BE45" s="106">
        <v>2678.9040270783557</v>
      </c>
      <c r="BF45" s="106">
        <v>6.2245316135626521</v>
      </c>
      <c r="BG45" s="106">
        <v>6476.0026907505826</v>
      </c>
      <c r="BH45" s="106">
        <v>2.6669943312325093</v>
      </c>
      <c r="BI45" s="106">
        <v>2774.7409022143024</v>
      </c>
      <c r="BJ45" s="106">
        <v>4.2866416486310817</v>
      </c>
      <c r="BK45" s="106">
        <v>4459.8219712357768</v>
      </c>
      <c r="BL45" s="106">
        <v>3.5581797301538511</v>
      </c>
      <c r="BM45" s="106">
        <v>3701.9301912520664</v>
      </c>
      <c r="BN45" s="106">
        <v>3.2829673259309589</v>
      </c>
      <c r="BO45" s="106">
        <v>3415.5992058985689</v>
      </c>
      <c r="BP45" s="106">
        <v>3.2409202335444727</v>
      </c>
      <c r="BQ45" s="106">
        <v>3371.8534109796688</v>
      </c>
      <c r="BR45" s="106">
        <v>3.2261507121570174</v>
      </c>
      <c r="BS45" s="106">
        <v>3356.4872009281603</v>
      </c>
      <c r="BT45" s="106">
        <v>3</v>
      </c>
      <c r="BU45" s="106">
        <v>3121.2</v>
      </c>
      <c r="BV45" s="106">
        <v>3.3339815372923911</v>
      </c>
      <c r="BW45" s="106">
        <v>3468.6743913990031</v>
      </c>
      <c r="BX45" s="106">
        <v>4.0451154376659781</v>
      </c>
      <c r="BY45" s="106">
        <v>4208.5381013476836</v>
      </c>
      <c r="BZ45" s="106">
        <v>2.4432349568840759</v>
      </c>
      <c r="CA45" s="106">
        <v>2541.9416491421921</v>
      </c>
      <c r="CB45" s="106">
        <v>1.5125339156510211</v>
      </c>
      <c r="CC45" s="106">
        <v>1573.6402858433221</v>
      </c>
      <c r="CD45" s="106">
        <v>2.0813667374355984</v>
      </c>
      <c r="CE45" s="106">
        <v>2165.4539536279963</v>
      </c>
      <c r="CF45" s="106">
        <v>2.8130685188902302</v>
      </c>
      <c r="CG45" s="106">
        <v>2926.7164870533952</v>
      </c>
      <c r="CH45" s="106">
        <v>6.3825187756941988</v>
      </c>
      <c r="CI45" s="106">
        <v>6640.3725342322432</v>
      </c>
      <c r="CJ45" s="106">
        <v>2.5515360715557645</v>
      </c>
      <c r="CK45" s="106">
        <v>2654.6181288466169</v>
      </c>
      <c r="CL45" s="106">
        <v>6.5172889230360358</v>
      </c>
      <c r="CM45" s="106">
        <v>6780.5873955266907</v>
      </c>
      <c r="CN45" s="106">
        <v>6.1161721498050889</v>
      </c>
      <c r="CO45" s="106">
        <v>6363.2655046572136</v>
      </c>
      <c r="CP45" s="106">
        <v>8.1305091505678799</v>
      </c>
      <c r="CQ45" s="106">
        <v>8458.981720250822</v>
      </c>
      <c r="CR45" s="106">
        <v>7.3484059157777004</v>
      </c>
      <c r="CS45" s="106">
        <v>7645.2815147751189</v>
      </c>
      <c r="CT45" s="106">
        <v>10.175421445430787</v>
      </c>
      <c r="CU45" s="106">
        <v>10586.50847182619</v>
      </c>
    </row>
    <row r="46" spans="2:99" x14ac:dyDescent="0.2">
      <c r="C46" s="105" t="s">
        <v>212</v>
      </c>
      <c r="D46" s="106">
        <v>13</v>
      </c>
      <c r="E46" s="106">
        <v>13228.799999999997</v>
      </c>
      <c r="F46" s="106">
        <v>12.298776580025956</v>
      </c>
      <c r="G46" s="106">
        <v>12515.235047834411</v>
      </c>
      <c r="H46" s="106">
        <v>12</v>
      </c>
      <c r="I46" s="106">
        <v>12211.199999999997</v>
      </c>
      <c r="J46" s="106">
        <v>13.371192496440083</v>
      </c>
      <c r="K46" s="106">
        <v>13606.525484377426</v>
      </c>
      <c r="L46" s="106">
        <v>3.3912015819257473</v>
      </c>
      <c r="M46" s="106">
        <v>3450.8867297676397</v>
      </c>
      <c r="N46" s="106">
        <v>3.3448742450804598</v>
      </c>
      <c r="O46" s="106">
        <v>3403.7440317938754</v>
      </c>
      <c r="P46" s="106">
        <v>2.2774219396513029</v>
      </c>
      <c r="Q46" s="106">
        <v>2317.5045657891656</v>
      </c>
      <c r="R46" s="106">
        <v>3.1685450355626186</v>
      </c>
      <c r="S46" s="106">
        <v>3224.31142818852</v>
      </c>
      <c r="T46" s="106">
        <v>27.222314411152858</v>
      </c>
      <c r="U46" s="106">
        <v>27701.427144789144</v>
      </c>
      <c r="V46" s="106">
        <v>45.448675760007923</v>
      </c>
      <c r="W46" s="106">
        <v>46248.572453384055</v>
      </c>
      <c r="X46" s="106">
        <v>16.15472353414733</v>
      </c>
      <c r="Y46" s="106">
        <v>16439.046668348321</v>
      </c>
      <c r="Z46" s="106">
        <v>24.617964746443622</v>
      </c>
      <c r="AA46" s="106">
        <v>25051.240925981027</v>
      </c>
      <c r="AB46" s="106">
        <v>0.54539835617397669</v>
      </c>
      <c r="AC46" s="106">
        <v>554.99736724263857</v>
      </c>
      <c r="AD46" s="106">
        <v>3.4144298588310003</v>
      </c>
      <c r="AE46" s="106">
        <v>3474.523824346425</v>
      </c>
      <c r="AF46" s="106">
        <v>2.3862945406863214</v>
      </c>
      <c r="AG46" s="106">
        <v>2428.2933246024004</v>
      </c>
      <c r="AH46" s="106">
        <v>1.5457862426916664</v>
      </c>
      <c r="AI46" s="106">
        <v>1572.9920805630395</v>
      </c>
      <c r="AJ46" s="106">
        <v>3.1912376033285565</v>
      </c>
      <c r="AK46" s="106">
        <v>3247.4033851471386</v>
      </c>
      <c r="AL46" s="106">
        <v>3.3017884517026146</v>
      </c>
      <c r="AM46" s="106">
        <v>3359.8999284525798</v>
      </c>
      <c r="AN46" s="106">
        <v>2.4223798728674257</v>
      </c>
      <c r="AO46" s="106">
        <v>2465.013758629892</v>
      </c>
      <c r="AP46" s="106">
        <v>3.1568826280337863</v>
      </c>
      <c r="AQ46" s="106">
        <v>3212.4437622871801</v>
      </c>
      <c r="AR46" s="106">
        <v>6.1451187413823263</v>
      </c>
      <c r="AS46" s="106">
        <v>6253.2728312306535</v>
      </c>
      <c r="AT46" s="106">
        <v>5.148894723116193</v>
      </c>
      <c r="AU46" s="106">
        <v>5239.5152702430369</v>
      </c>
      <c r="AV46" s="106">
        <v>9</v>
      </c>
      <c r="AW46" s="106">
        <v>9158.3999999999978</v>
      </c>
      <c r="AX46" s="106">
        <v>7.4380828533214594</v>
      </c>
      <c r="AY46" s="106">
        <v>7568.9931115399158</v>
      </c>
      <c r="AZ46" s="106">
        <v>6.2836385475735765</v>
      </c>
      <c r="BA46" s="106">
        <v>6394.23058601087</v>
      </c>
      <c r="BB46" s="106">
        <v>5.8533409430286314</v>
      </c>
      <c r="BC46" s="106">
        <v>5956.3597436259342</v>
      </c>
      <c r="BD46" s="106">
        <v>2.2070390732232292</v>
      </c>
      <c r="BE46" s="106">
        <v>2245.8829609119575</v>
      </c>
      <c r="BF46" s="106">
        <v>7.0684153179296247</v>
      </c>
      <c r="BG46" s="106">
        <v>7192.8194275251844</v>
      </c>
      <c r="BH46" s="106">
        <v>2.0002457484243821</v>
      </c>
      <c r="BI46" s="106">
        <v>2035.4500735966508</v>
      </c>
      <c r="BJ46" s="106">
        <v>4.2866416486310817</v>
      </c>
      <c r="BK46" s="106">
        <v>4362.0865416469878</v>
      </c>
      <c r="BL46" s="106">
        <v>3.5581797301538511</v>
      </c>
      <c r="BM46" s="106">
        <v>3620.8036934045581</v>
      </c>
      <c r="BN46" s="106">
        <v>3.2829673259309589</v>
      </c>
      <c r="BO46" s="106">
        <v>3340.7475508673429</v>
      </c>
      <c r="BP46" s="106">
        <v>3.2141513187061976</v>
      </c>
      <c r="BQ46" s="106">
        <v>3270.7203819154261</v>
      </c>
      <c r="BR46" s="106">
        <v>4.2261507121570174</v>
      </c>
      <c r="BS46" s="106">
        <v>4300.53096469098</v>
      </c>
      <c r="BT46" s="106">
        <v>3</v>
      </c>
      <c r="BU46" s="106">
        <v>3052.7999999999993</v>
      </c>
      <c r="BV46" s="106">
        <v>3.2862698891077637</v>
      </c>
      <c r="BW46" s="106">
        <v>3344.1082391560599</v>
      </c>
      <c r="BX46" s="106">
        <v>4.0697114988725316</v>
      </c>
      <c r="BY46" s="106">
        <v>4141.3384212526871</v>
      </c>
      <c r="BZ46" s="106">
        <v>2.4432349568840759</v>
      </c>
      <c r="CA46" s="106">
        <v>2486.2358921252353</v>
      </c>
      <c r="CB46" s="106">
        <v>1.5125339156510211</v>
      </c>
      <c r="CC46" s="106">
        <v>1539.1545125664788</v>
      </c>
      <c r="CD46" s="106">
        <v>2.0651167376069766</v>
      </c>
      <c r="CE46" s="106">
        <v>2101.4627921888591</v>
      </c>
      <c r="CF46" s="106">
        <v>2.8130685188902302</v>
      </c>
      <c r="CG46" s="106">
        <v>2862.5785248226975</v>
      </c>
      <c r="CH46" s="106">
        <v>5.7965657374565751</v>
      </c>
      <c r="CI46" s="106">
        <v>5898.5852944358094</v>
      </c>
      <c r="CJ46" s="106">
        <v>2.296382464400188</v>
      </c>
      <c r="CK46" s="106">
        <v>2336.7987957736309</v>
      </c>
      <c r="CL46" s="106">
        <v>6.5360651874927074</v>
      </c>
      <c r="CM46" s="106">
        <v>6651.0999347925781</v>
      </c>
      <c r="CN46" s="106">
        <v>6.0923390827975989</v>
      </c>
      <c r="CO46" s="106">
        <v>6199.5642506548356</v>
      </c>
      <c r="CP46" s="106">
        <v>10.135352263539762</v>
      </c>
      <c r="CQ46" s="106">
        <v>10313.734463378059</v>
      </c>
      <c r="CR46" s="106">
        <v>7.3167326507070003</v>
      </c>
      <c r="CS46" s="106">
        <v>7445.5071453594419</v>
      </c>
      <c r="CT46" s="106">
        <v>10.175421445430787</v>
      </c>
      <c r="CU46" s="106">
        <v>10354.508862870367</v>
      </c>
    </row>
    <row r="47" spans="2:99" x14ac:dyDescent="0.2">
      <c r="C47" s="105" t="s">
        <v>213</v>
      </c>
      <c r="D47" s="106">
        <v>14</v>
      </c>
      <c r="E47" s="106">
        <v>18446.399999999998</v>
      </c>
      <c r="F47" s="106">
        <v>11</v>
      </c>
      <c r="G47" s="106">
        <v>14493.599999999999</v>
      </c>
      <c r="H47" s="106">
        <v>12</v>
      </c>
      <c r="I47" s="106">
        <v>15811.199999999999</v>
      </c>
      <c r="J47" s="106">
        <v>13.324793434385072</v>
      </c>
      <c r="K47" s="106">
        <v>17556.74782914577</v>
      </c>
      <c r="L47" s="106">
        <v>3.3912015819257473</v>
      </c>
      <c r="M47" s="106">
        <v>4468.2472043453645</v>
      </c>
      <c r="N47" s="106">
        <v>3.383193605644955</v>
      </c>
      <c r="O47" s="106">
        <v>4457.6958947977928</v>
      </c>
      <c r="P47" s="106">
        <v>2.2311849497094194</v>
      </c>
      <c r="Q47" s="106">
        <v>2939.8092897371307</v>
      </c>
      <c r="R47" s="106">
        <v>2.1896131650079456</v>
      </c>
      <c r="S47" s="106">
        <v>2885.0343062144689</v>
      </c>
      <c r="T47" s="106">
        <v>28.19452510975875</v>
      </c>
      <c r="U47" s="106">
        <v>37149.106284618123</v>
      </c>
      <c r="V47" s="106">
        <v>44.398822897784818</v>
      </c>
      <c r="W47" s="106">
        <v>58499.889050121274</v>
      </c>
      <c r="X47" s="106">
        <v>13.846905886411999</v>
      </c>
      <c r="Y47" s="106">
        <v>18244.68319593645</v>
      </c>
      <c r="Z47" s="106">
        <v>21.905315472494653</v>
      </c>
      <c r="AA47" s="106">
        <v>28862.443666558953</v>
      </c>
      <c r="AB47" s="106">
        <v>0.54539835617397669</v>
      </c>
      <c r="AC47" s="106">
        <v>718.61687409483159</v>
      </c>
      <c r="AD47" s="106">
        <v>3.3741912567045311</v>
      </c>
      <c r="AE47" s="106">
        <v>4445.8343998338896</v>
      </c>
      <c r="AF47" s="106">
        <v>2.3862945406863214</v>
      </c>
      <c r="AG47" s="106">
        <v>3144.1816868082969</v>
      </c>
      <c r="AH47" s="106">
        <v>1.5457862426916664</v>
      </c>
      <c r="AI47" s="106">
        <v>2036.7279533705396</v>
      </c>
      <c r="AJ47" s="106">
        <v>3.1912376033285565</v>
      </c>
      <c r="AK47" s="106">
        <v>4204.7746661457059</v>
      </c>
      <c r="AL47" s="106">
        <v>2.3017884517026146</v>
      </c>
      <c r="AM47" s="106">
        <v>3032.8364639633646</v>
      </c>
      <c r="AN47" s="106">
        <v>2.4223798728674257</v>
      </c>
      <c r="AO47" s="106">
        <v>3191.7277204901197</v>
      </c>
      <c r="AP47" s="106">
        <v>3.1673414699027056</v>
      </c>
      <c r="AQ47" s="106">
        <v>4173.2891207438042</v>
      </c>
      <c r="AR47" s="106">
        <v>6.1289944367842892</v>
      </c>
      <c r="AS47" s="106">
        <v>8075.5630699069789</v>
      </c>
      <c r="AT47" s="106">
        <v>5.1340052508045737</v>
      </c>
      <c r="AU47" s="106">
        <v>6764.565318460106</v>
      </c>
      <c r="AV47" s="106">
        <v>9</v>
      </c>
      <c r="AW47" s="106">
        <v>11858.4</v>
      </c>
      <c r="AX47" s="106">
        <v>7.3942745679893136</v>
      </c>
      <c r="AY47" s="106">
        <v>9742.6961707827195</v>
      </c>
      <c r="AZ47" s="106">
        <v>6.3151539417484184</v>
      </c>
      <c r="BA47" s="106">
        <v>8320.8468336477163</v>
      </c>
      <c r="BB47" s="106">
        <v>6.6248313374363281</v>
      </c>
      <c r="BC47" s="106">
        <v>8728.8777702061052</v>
      </c>
      <c r="BD47" s="106">
        <v>2.2070390732232292</v>
      </c>
      <c r="BE47" s="106">
        <v>2907.9946828789266</v>
      </c>
      <c r="BF47" s="106">
        <v>6.2245316135626521</v>
      </c>
      <c r="BG47" s="106">
        <v>8201.4428540301506</v>
      </c>
      <c r="BH47" s="106">
        <v>2.6669943312325093</v>
      </c>
      <c r="BI47" s="106">
        <v>3514.0317308319541</v>
      </c>
      <c r="BJ47" s="106">
        <v>3.2866416486310817</v>
      </c>
      <c r="BK47" s="106">
        <v>4330.4790362363128</v>
      </c>
      <c r="BL47" s="106">
        <v>3.5581797301538511</v>
      </c>
      <c r="BM47" s="106">
        <v>4688.2576124507141</v>
      </c>
      <c r="BN47" s="106">
        <v>3.2829673259309589</v>
      </c>
      <c r="BO47" s="106">
        <v>4325.6377486466308</v>
      </c>
      <c r="BP47" s="106">
        <v>3.2409202335444727</v>
      </c>
      <c r="BQ47" s="106">
        <v>4270.2364997181967</v>
      </c>
      <c r="BR47" s="106">
        <v>3.2584579567508771</v>
      </c>
      <c r="BS47" s="106">
        <v>4293.3442038149551</v>
      </c>
      <c r="BT47" s="106">
        <v>4</v>
      </c>
      <c r="BU47" s="106">
        <v>5270.4</v>
      </c>
      <c r="BV47" s="106">
        <v>3.2862698891077637</v>
      </c>
      <c r="BW47" s="106">
        <v>4329.9892058883888</v>
      </c>
      <c r="BX47" s="106">
        <v>3.1383698383773346</v>
      </c>
      <c r="BY47" s="106">
        <v>4135.1160990459757</v>
      </c>
      <c r="BZ47" s="106">
        <v>2.4432349568840759</v>
      </c>
      <c r="CA47" s="106">
        <v>3219.2063791904579</v>
      </c>
      <c r="CB47" s="106">
        <v>1.5303908354058802</v>
      </c>
      <c r="CC47" s="106">
        <v>2016.4429647307875</v>
      </c>
      <c r="CD47" s="106">
        <v>2.7047389839901026</v>
      </c>
      <c r="CE47" s="106">
        <v>3563.764085305359</v>
      </c>
      <c r="CF47" s="106">
        <v>2.8130685188902302</v>
      </c>
      <c r="CG47" s="106">
        <v>3706.499080489767</v>
      </c>
      <c r="CH47" s="106">
        <v>5.1490846529462502</v>
      </c>
      <c r="CI47" s="106">
        <v>6784.4339387219788</v>
      </c>
      <c r="CJ47" s="106">
        <v>2.0412288572446111</v>
      </c>
      <c r="CK47" s="106">
        <v>2689.5231423054993</v>
      </c>
      <c r="CL47" s="106">
        <v>7.3662327640203902</v>
      </c>
      <c r="CM47" s="106">
        <v>9705.7482898732651</v>
      </c>
      <c r="CN47" s="106">
        <v>5.1047544805067373</v>
      </c>
      <c r="CO47" s="106">
        <v>6726.0245035156768</v>
      </c>
      <c r="CP47" s="106">
        <v>8.1305091505678799</v>
      </c>
      <c r="CQ47" s="106">
        <v>10712.758856788238</v>
      </c>
      <c r="CR47" s="106">
        <v>7.3167326507070003</v>
      </c>
      <c r="CS47" s="106">
        <v>9640.5269405715426</v>
      </c>
      <c r="CT47" s="106">
        <v>9.1754214454307874</v>
      </c>
      <c r="CU47" s="106">
        <v>12089.535296499605</v>
      </c>
    </row>
    <row r="48" spans="2:99" x14ac:dyDescent="0.2">
      <c r="C48" s="105" t="s">
        <v>214</v>
      </c>
      <c r="D48" s="106">
        <v>15</v>
      </c>
      <c r="E48" s="106">
        <v>9864</v>
      </c>
      <c r="F48" s="106">
        <v>13.298776580025956</v>
      </c>
      <c r="G48" s="106">
        <v>8745.2754790250692</v>
      </c>
      <c r="H48" s="106">
        <v>12</v>
      </c>
      <c r="I48" s="106">
        <v>7891.2000000000007</v>
      </c>
      <c r="J48" s="106">
        <v>14.324793434385072</v>
      </c>
      <c r="K48" s="106">
        <v>9419.984162451623</v>
      </c>
      <c r="L48" s="106">
        <v>3.3477347394895531</v>
      </c>
      <c r="M48" s="106">
        <v>2201.4703646883304</v>
      </c>
      <c r="N48" s="106">
        <v>3.4215129662094506</v>
      </c>
      <c r="O48" s="106">
        <v>2249.986926579335</v>
      </c>
      <c r="P48" s="106">
        <v>2.2311849497094194</v>
      </c>
      <c r="Q48" s="106">
        <v>1467.2272229289142</v>
      </c>
      <c r="R48" s="106">
        <v>2.1896131650079456</v>
      </c>
      <c r="S48" s="106">
        <v>1439.8896173092251</v>
      </c>
      <c r="T48" s="106">
        <v>27.222314411152858</v>
      </c>
      <c r="U48" s="106">
        <v>17901.393956774122</v>
      </c>
      <c r="V48" s="106">
        <v>52.448675760007923</v>
      </c>
      <c r="W48" s="106">
        <v>34490.249179781211</v>
      </c>
      <c r="X48" s="106">
        <v>17.308632358014997</v>
      </c>
      <c r="Y48" s="106">
        <v>11382.156638630662</v>
      </c>
      <c r="Z48" s="106">
        <v>23.261640109469141</v>
      </c>
      <c r="AA48" s="106">
        <v>15296.854535986908</v>
      </c>
      <c r="AB48" s="106">
        <v>0.54539835617397669</v>
      </c>
      <c r="AC48" s="106">
        <v>358.65395902000711</v>
      </c>
      <c r="AD48" s="106">
        <v>3.4144298588310003</v>
      </c>
      <c r="AE48" s="106">
        <v>2245.3290751672657</v>
      </c>
      <c r="AF48" s="106">
        <v>2.3862945406863214</v>
      </c>
      <c r="AG48" s="106">
        <v>1569.227289955325</v>
      </c>
      <c r="AH48" s="106">
        <v>1.5567507952731277</v>
      </c>
      <c r="AI48" s="106">
        <v>1023.7193229716088</v>
      </c>
      <c r="AJ48" s="106">
        <v>3.2103613636614119</v>
      </c>
      <c r="AK48" s="106">
        <v>2111.1336327437443</v>
      </c>
      <c r="AL48" s="106">
        <v>2.3017884517026146</v>
      </c>
      <c r="AM48" s="106">
        <v>1513.6560858396394</v>
      </c>
      <c r="AN48" s="106">
        <v>2.4927765183453299</v>
      </c>
      <c r="AO48" s="106">
        <v>1639.2498384638891</v>
      </c>
      <c r="AP48" s="106">
        <v>3.1568826280337863</v>
      </c>
      <c r="AQ48" s="106">
        <v>2075.9660161950178</v>
      </c>
      <c r="AR48" s="106">
        <v>6.1289944367842892</v>
      </c>
      <c r="AS48" s="106">
        <v>4030.4267416293487</v>
      </c>
      <c r="AT48" s="106">
        <v>5.148894723116193</v>
      </c>
      <c r="AU48" s="106">
        <v>3385.9131699212085</v>
      </c>
      <c r="AV48" s="106">
        <v>9</v>
      </c>
      <c r="AW48" s="106">
        <v>5918.4000000000005</v>
      </c>
      <c r="AX48" s="106">
        <v>7.4380828533214594</v>
      </c>
      <c r="AY48" s="106">
        <v>4891.283284344192</v>
      </c>
      <c r="AZ48" s="106">
        <v>7.3151539417484184</v>
      </c>
      <c r="BA48" s="106">
        <v>4810.4452320937598</v>
      </c>
      <c r="BB48" s="106">
        <v>6.6248313374363281</v>
      </c>
      <c r="BC48" s="106">
        <v>4356.4890874981293</v>
      </c>
      <c r="BD48" s="106">
        <v>2.5748789187604344</v>
      </c>
      <c r="BE48" s="106">
        <v>1693.2403769768616</v>
      </c>
      <c r="BF48" s="106">
        <v>6.3038680343111118</v>
      </c>
      <c r="BG48" s="106">
        <v>4145.4236193629877</v>
      </c>
      <c r="BH48" s="106">
        <v>2.6669943312325093</v>
      </c>
      <c r="BI48" s="106">
        <v>1753.8154722184981</v>
      </c>
      <c r="BJ48" s="106">
        <v>4.2866416486310817</v>
      </c>
      <c r="BK48" s="106">
        <v>2818.8955481397993</v>
      </c>
      <c r="BL48" s="106">
        <v>3.5581797301538511</v>
      </c>
      <c r="BM48" s="106">
        <v>2339.8589905491726</v>
      </c>
      <c r="BN48" s="106">
        <v>3.3233912296353814</v>
      </c>
      <c r="BO48" s="106">
        <v>2185.4620726082267</v>
      </c>
      <c r="BP48" s="106">
        <v>3.2676891483827473</v>
      </c>
      <c r="BQ48" s="106">
        <v>2148.8323839764948</v>
      </c>
      <c r="BR48" s="106">
        <v>4.2584579567508776</v>
      </c>
      <c r="BS48" s="106">
        <v>2800.361952359377</v>
      </c>
      <c r="BT48" s="106">
        <v>3</v>
      </c>
      <c r="BU48" s="106">
        <v>1972.8000000000002</v>
      </c>
      <c r="BV48" s="106">
        <v>3.3339815372923911</v>
      </c>
      <c r="BW48" s="106">
        <v>2192.4262589234763</v>
      </c>
      <c r="BX48" s="106">
        <v>4.0697114988725316</v>
      </c>
      <c r="BY48" s="106">
        <v>2676.2422816585768</v>
      </c>
      <c r="BZ48" s="106">
        <v>2.4432349568840759</v>
      </c>
      <c r="CA48" s="106">
        <v>1606.6713076469684</v>
      </c>
      <c r="CB48" s="106">
        <v>1.5303908354058802</v>
      </c>
      <c r="CC48" s="106">
        <v>1006.3850133629069</v>
      </c>
      <c r="CD48" s="106">
        <v>2.7047389839901026</v>
      </c>
      <c r="CE48" s="106">
        <v>1778.6363558718915</v>
      </c>
      <c r="CF48" s="106">
        <v>3.1256316876558112</v>
      </c>
      <c r="CG48" s="106">
        <v>2055.4153978024615</v>
      </c>
      <c r="CH48" s="106">
        <v>5.7658017143202249</v>
      </c>
      <c r="CI48" s="106">
        <v>3791.59120733698</v>
      </c>
      <c r="CJ48" s="106">
        <v>2.296382464400188</v>
      </c>
      <c r="CK48" s="106">
        <v>1510.1011085895636</v>
      </c>
      <c r="CL48" s="106">
        <v>6.5548414519493781</v>
      </c>
      <c r="CM48" s="106">
        <v>4310.4637388019109</v>
      </c>
      <c r="CN48" s="106">
        <v>6.0923390827975989</v>
      </c>
      <c r="CO48" s="106">
        <v>4006.322180847701</v>
      </c>
      <c r="CP48" s="106">
        <v>10.172397829766545</v>
      </c>
      <c r="CQ48" s="106">
        <v>6689.3688128544809</v>
      </c>
      <c r="CR48" s="106">
        <v>7.3484059157777004</v>
      </c>
      <c r="CS48" s="106">
        <v>4832.311730215416</v>
      </c>
      <c r="CT48" s="106">
        <v>11.155930173716255</v>
      </c>
      <c r="CU48" s="106">
        <v>7336.1396822358101</v>
      </c>
    </row>
    <row r="49" spans="2:99" x14ac:dyDescent="0.2">
      <c r="B49" s="105" t="s">
        <v>129</v>
      </c>
      <c r="C49" s="105" t="s">
        <v>215</v>
      </c>
      <c r="D49" s="106">
        <v>4.2459884874070433</v>
      </c>
      <c r="E49" s="106">
        <v>1431.7473179536548</v>
      </c>
      <c r="F49" s="106">
        <v>6</v>
      </c>
      <c r="G49" s="106">
        <v>2023.1999999999998</v>
      </c>
      <c r="H49" s="106">
        <v>8</v>
      </c>
      <c r="I49" s="106">
        <v>2697.6</v>
      </c>
      <c r="J49" s="106">
        <v>5</v>
      </c>
      <c r="K49" s="106">
        <v>1686</v>
      </c>
      <c r="L49" s="106">
        <v>6</v>
      </c>
      <c r="M49" s="106">
        <v>2023.1999999999998</v>
      </c>
      <c r="N49" s="106">
        <v>9</v>
      </c>
      <c r="O49" s="106">
        <v>3034.7999999999997</v>
      </c>
      <c r="P49" s="106">
        <v>6</v>
      </c>
      <c r="Q49" s="106">
        <v>2023.1999999999998</v>
      </c>
      <c r="R49" s="106">
        <v>7</v>
      </c>
      <c r="S49" s="106">
        <v>2360.4</v>
      </c>
      <c r="T49" s="106">
        <v>4</v>
      </c>
      <c r="U49" s="106">
        <v>1348.8</v>
      </c>
      <c r="V49" s="106">
        <v>3</v>
      </c>
      <c r="W49" s="106">
        <v>1011.5999999999999</v>
      </c>
      <c r="X49" s="106">
        <v>4.4489334399447538</v>
      </c>
      <c r="Y49" s="106">
        <v>1500.180355949371</v>
      </c>
      <c r="Z49" s="106">
        <v>4</v>
      </c>
      <c r="AA49" s="106">
        <v>1348.8</v>
      </c>
      <c r="AB49" s="106">
        <v>9.289212952870713</v>
      </c>
      <c r="AC49" s="106">
        <v>3132.3226077080044</v>
      </c>
      <c r="AD49" s="106">
        <v>9.0560622397399122</v>
      </c>
      <c r="AE49" s="106">
        <v>3053.7041872402983</v>
      </c>
      <c r="AF49" s="106">
        <v>6</v>
      </c>
      <c r="AG49" s="106">
        <v>2023.1999999999998</v>
      </c>
      <c r="AH49" s="106">
        <v>10</v>
      </c>
      <c r="AI49" s="106">
        <v>3372</v>
      </c>
      <c r="AJ49" s="106">
        <v>5</v>
      </c>
      <c r="AK49" s="106">
        <v>1686</v>
      </c>
      <c r="AL49" s="106">
        <v>7</v>
      </c>
      <c r="AM49" s="106">
        <v>2360.4</v>
      </c>
      <c r="AN49" s="106">
        <v>5.2469394116577384</v>
      </c>
      <c r="AO49" s="106">
        <v>1769.2679696109892</v>
      </c>
      <c r="AP49" s="106">
        <v>8.2186445925713585</v>
      </c>
      <c r="AQ49" s="106">
        <v>2771.326956615062</v>
      </c>
      <c r="AR49" s="106">
        <v>3.7300031865668779</v>
      </c>
      <c r="AS49" s="106">
        <v>1257.7570745103512</v>
      </c>
      <c r="AT49" s="106">
        <v>1.9918239854057358</v>
      </c>
      <c r="AU49" s="106">
        <v>671.64304787881406</v>
      </c>
      <c r="AV49" s="106">
        <v>1.8654606869578323</v>
      </c>
      <c r="AW49" s="106">
        <v>629.03334364218108</v>
      </c>
      <c r="AX49" s="106">
        <v>3</v>
      </c>
      <c r="AY49" s="106">
        <v>1011.5999999999999</v>
      </c>
      <c r="AZ49" s="106">
        <v>1.5273509011053881</v>
      </c>
      <c r="BA49" s="106">
        <v>515.02272385273682</v>
      </c>
      <c r="BB49" s="106">
        <v>4.8937142822614952</v>
      </c>
      <c r="BC49" s="106">
        <v>1650.160455978576</v>
      </c>
      <c r="BD49" s="106">
        <v>1.8846769599635969</v>
      </c>
      <c r="BE49" s="106">
        <v>635.51307089972488</v>
      </c>
      <c r="BF49" s="106">
        <v>2.1659591899535995</v>
      </c>
      <c r="BG49" s="106">
        <v>730.36143885235367</v>
      </c>
      <c r="BH49" s="106">
        <v>3</v>
      </c>
      <c r="BI49" s="106">
        <v>1011.5999999999999</v>
      </c>
      <c r="BJ49" s="106">
        <v>4.1039439514309679</v>
      </c>
      <c r="BK49" s="106">
        <v>1383.8499004225223</v>
      </c>
      <c r="BL49" s="106">
        <v>5.093350884540861</v>
      </c>
      <c r="BM49" s="106">
        <v>1717.4779182671782</v>
      </c>
      <c r="BN49" s="106">
        <v>4.2304586707032739</v>
      </c>
      <c r="BO49" s="106">
        <v>1426.5106637611439</v>
      </c>
      <c r="BP49" s="106">
        <v>4</v>
      </c>
      <c r="BQ49" s="106">
        <v>1348.8</v>
      </c>
      <c r="BR49" s="106">
        <v>4</v>
      </c>
      <c r="BS49" s="106">
        <v>1348.8</v>
      </c>
      <c r="BT49" s="106">
        <v>3</v>
      </c>
      <c r="BU49" s="106">
        <v>1011.5999999999999</v>
      </c>
      <c r="BV49" s="106">
        <v>4</v>
      </c>
      <c r="BW49" s="106">
        <v>1348.8</v>
      </c>
      <c r="BX49" s="106">
        <v>15</v>
      </c>
      <c r="BY49" s="106">
        <v>5058</v>
      </c>
      <c r="BZ49" s="106">
        <v>23.347173835903156</v>
      </c>
      <c r="CA49" s="106">
        <v>7872.6670174665442</v>
      </c>
      <c r="CB49" s="106">
        <v>17.107706445161373</v>
      </c>
      <c r="CC49" s="106">
        <v>5768.7186133084151</v>
      </c>
      <c r="CD49" s="106">
        <v>23.258062325502141</v>
      </c>
      <c r="CE49" s="106">
        <v>7842.6186161593214</v>
      </c>
      <c r="CF49" s="106">
        <v>2.1323045902458704</v>
      </c>
      <c r="CG49" s="106">
        <v>719.01310783090742</v>
      </c>
      <c r="CH49" s="106">
        <v>2.1067935376167246</v>
      </c>
      <c r="CI49" s="106">
        <v>710.4107808843595</v>
      </c>
      <c r="CJ49" s="106">
        <v>2.1209589539053324</v>
      </c>
      <c r="CK49" s="106">
        <v>715.18735925687804</v>
      </c>
      <c r="CL49" s="106">
        <v>2.121338009226494</v>
      </c>
      <c r="CM49" s="106">
        <v>715.31517671117376</v>
      </c>
      <c r="CN49" s="106">
        <v>3</v>
      </c>
      <c r="CO49" s="106">
        <v>1011.5999999999999</v>
      </c>
      <c r="CP49" s="106">
        <v>3</v>
      </c>
      <c r="CQ49" s="106">
        <v>1011.5999999999999</v>
      </c>
      <c r="CR49" s="106">
        <v>3</v>
      </c>
      <c r="CS49" s="106">
        <v>1011.5999999999999</v>
      </c>
      <c r="CT49" s="106">
        <v>3.4569285211736496</v>
      </c>
      <c r="CU49" s="106">
        <v>1165.6762973397547</v>
      </c>
    </row>
    <row r="50" spans="2:99" x14ac:dyDescent="0.2">
      <c r="C50" s="105" t="s">
        <v>216</v>
      </c>
      <c r="D50" s="106">
        <v>4</v>
      </c>
      <c r="E50" s="106">
        <v>1545.6</v>
      </c>
      <c r="F50" s="106">
        <v>6.3414589486010922</v>
      </c>
      <c r="G50" s="106">
        <v>2450.3397377394617</v>
      </c>
      <c r="H50" s="106">
        <v>7</v>
      </c>
      <c r="I50" s="106">
        <v>2704.7999999999997</v>
      </c>
      <c r="J50" s="106">
        <v>5.3247934343850725</v>
      </c>
      <c r="K50" s="106">
        <v>2057.5001830463921</v>
      </c>
      <c r="L50" s="106">
        <v>6</v>
      </c>
      <c r="M50" s="106">
        <v>2318.3999999999996</v>
      </c>
      <c r="N50" s="106">
        <v>9.4215129662094501</v>
      </c>
      <c r="O50" s="106">
        <v>3640.4726101433312</v>
      </c>
      <c r="P50" s="106">
        <v>6</v>
      </c>
      <c r="Q50" s="106">
        <v>2318.3999999999996</v>
      </c>
      <c r="R50" s="106">
        <v>7.2738856827892553</v>
      </c>
      <c r="S50" s="106">
        <v>2810.6294278297682</v>
      </c>
      <c r="T50" s="106">
        <v>4.3056823153351793</v>
      </c>
      <c r="U50" s="106">
        <v>1663.7156466455133</v>
      </c>
      <c r="V50" s="106">
        <v>3</v>
      </c>
      <c r="W50" s="106">
        <v>1159.1999999999998</v>
      </c>
      <c r="X50" s="106">
        <v>2.3078176477353329</v>
      </c>
      <c r="Y50" s="106">
        <v>891.74073908493256</v>
      </c>
      <c r="Z50" s="106">
        <v>2.2641233964774763</v>
      </c>
      <c r="AA50" s="106">
        <v>874.85728039889682</v>
      </c>
      <c r="AB50" s="106">
        <v>1.6361950685219302</v>
      </c>
      <c r="AC50" s="106">
        <v>632.22577447687377</v>
      </c>
      <c r="AD50" s="106">
        <v>9.1568473190783326</v>
      </c>
      <c r="AE50" s="106">
        <v>3538.2058040918673</v>
      </c>
      <c r="AF50" s="106">
        <v>7.2575296937908806</v>
      </c>
      <c r="AG50" s="106">
        <v>2804.3094736807961</v>
      </c>
      <c r="AH50" s="106">
        <v>5.5673744912060465</v>
      </c>
      <c r="AI50" s="106">
        <v>2151.2335034020161</v>
      </c>
      <c r="AJ50" s="106">
        <v>4.1338663223299896</v>
      </c>
      <c r="AK50" s="106">
        <v>1597.325946948308</v>
      </c>
      <c r="AL50" s="106">
        <v>7.1676602509458966</v>
      </c>
      <c r="AM50" s="106">
        <v>2769.5839209654941</v>
      </c>
      <c r="AN50" s="106">
        <v>5.1759916136947606</v>
      </c>
      <c r="AO50" s="106">
        <v>2000.0031595316555</v>
      </c>
      <c r="AP50" s="106">
        <v>10.052294209344595</v>
      </c>
      <c r="AQ50" s="106">
        <v>3884.2064824907511</v>
      </c>
      <c r="AR50" s="106">
        <v>4.0967458275882169</v>
      </c>
      <c r="AS50" s="106">
        <v>1582.982587780087</v>
      </c>
      <c r="AT50" s="106">
        <v>5.0744473615580965</v>
      </c>
      <c r="AU50" s="106">
        <v>1960.7664605060484</v>
      </c>
      <c r="AV50" s="106">
        <v>5</v>
      </c>
      <c r="AW50" s="106">
        <v>1932</v>
      </c>
      <c r="AX50" s="106">
        <v>3.2190414266607297</v>
      </c>
      <c r="AY50" s="106">
        <v>1243.8376072617059</v>
      </c>
      <c r="AZ50" s="106">
        <v>7.1575769708742092</v>
      </c>
      <c r="BA50" s="106">
        <v>2765.6877415457943</v>
      </c>
      <c r="BB50" s="106">
        <v>8.1395053648658031</v>
      </c>
      <c r="BC50" s="106">
        <v>3145.1048729841459</v>
      </c>
      <c r="BD50" s="106">
        <v>2.9427187642976391</v>
      </c>
      <c r="BE50" s="106">
        <v>1137.0665305246077</v>
      </c>
      <c r="BF50" s="106">
        <v>5.3013114884472188</v>
      </c>
      <c r="BG50" s="106">
        <v>2048.4267591360053</v>
      </c>
      <c r="BH50" s="106">
        <v>2.0002457484243821</v>
      </c>
      <c r="BI50" s="106">
        <v>772.89495719118122</v>
      </c>
      <c r="BJ50" s="106">
        <v>4.1592453603506012</v>
      </c>
      <c r="BK50" s="106">
        <v>1607.1324072394723</v>
      </c>
      <c r="BL50" s="106">
        <v>5.3372695952307767</v>
      </c>
      <c r="BM50" s="106">
        <v>2062.320971597172</v>
      </c>
      <c r="BN50" s="106">
        <v>5.202119518522113</v>
      </c>
      <c r="BO50" s="106">
        <v>2010.0989819569443</v>
      </c>
      <c r="BP50" s="106">
        <v>4.1338445741913734</v>
      </c>
      <c r="BQ50" s="106">
        <v>1597.3175434675466</v>
      </c>
      <c r="BR50" s="106">
        <v>4.2584579567508776</v>
      </c>
      <c r="BS50" s="106">
        <v>1645.4681544885391</v>
      </c>
      <c r="BT50" s="106">
        <v>3</v>
      </c>
      <c r="BU50" s="106">
        <v>1159.1999999999998</v>
      </c>
      <c r="BV50" s="106">
        <v>4.2385582409231368</v>
      </c>
      <c r="BW50" s="106">
        <v>1637.7789042927</v>
      </c>
      <c r="BX50" s="106">
        <v>14.511238253972119</v>
      </c>
      <c r="BY50" s="106">
        <v>5607.1424613348263</v>
      </c>
      <c r="BZ50" s="106">
        <v>13.98368165926146</v>
      </c>
      <c r="CA50" s="106">
        <v>5403.2945931386275</v>
      </c>
      <c r="CB50" s="106">
        <v>13.786070174895775</v>
      </c>
      <c r="CC50" s="106">
        <v>5326.937515579727</v>
      </c>
      <c r="CD50" s="106">
        <v>16.104306158378503</v>
      </c>
      <c r="CE50" s="106">
        <v>6222.7038995974526</v>
      </c>
      <c r="CF50" s="106">
        <v>0.62512633753116231</v>
      </c>
      <c r="CG50" s="106">
        <v>241.54881682204109</v>
      </c>
      <c r="CH50" s="106">
        <v>1.4795463078387543</v>
      </c>
      <c r="CI50" s="106">
        <v>571.69669334889466</v>
      </c>
      <c r="CJ50" s="106">
        <v>0.25515360715557639</v>
      </c>
      <c r="CK50" s="106">
        <v>98.591353804914718</v>
      </c>
      <c r="CL50" s="106">
        <v>0.98037769218105708</v>
      </c>
      <c r="CM50" s="106">
        <v>378.81794025876042</v>
      </c>
      <c r="CN50" s="106">
        <v>3.3202498119849384</v>
      </c>
      <c r="CO50" s="106">
        <v>1282.94452735098</v>
      </c>
      <c r="CP50" s="106">
        <v>3.3962431148390499</v>
      </c>
      <c r="CQ50" s="106">
        <v>1312.3083395738088</v>
      </c>
      <c r="CR50" s="106">
        <v>3.6017920363433</v>
      </c>
      <c r="CS50" s="106">
        <v>1391.7324428430511</v>
      </c>
      <c r="CT50" s="106">
        <v>4.1949127171453187</v>
      </c>
      <c r="CU50" s="106">
        <v>1620.914273904951</v>
      </c>
    </row>
    <row r="51" spans="2:99" x14ac:dyDescent="0.2">
      <c r="C51" s="105" t="s">
        <v>217</v>
      </c>
      <c r="D51" s="106">
        <v>4.2459884874070433</v>
      </c>
      <c r="E51" s="106">
        <v>2985.7791043446327</v>
      </c>
      <c r="F51" s="106">
        <v>6</v>
      </c>
      <c r="G51" s="106">
        <v>4219.2</v>
      </c>
      <c r="H51" s="106">
        <v>8</v>
      </c>
      <c r="I51" s="106">
        <v>5625.5999999999995</v>
      </c>
      <c r="J51" s="106">
        <v>5.0969988591010393</v>
      </c>
      <c r="K51" s="106">
        <v>3584.2095977198505</v>
      </c>
      <c r="L51" s="106">
        <v>5</v>
      </c>
      <c r="M51" s="106">
        <v>3515.9999999999995</v>
      </c>
      <c r="N51" s="106">
        <v>8</v>
      </c>
      <c r="O51" s="106">
        <v>5625.5999999999995</v>
      </c>
      <c r="P51" s="106">
        <v>6</v>
      </c>
      <c r="Q51" s="106">
        <v>4219.2</v>
      </c>
      <c r="R51" s="106">
        <v>6</v>
      </c>
      <c r="S51" s="106">
        <v>4219.2</v>
      </c>
      <c r="T51" s="106">
        <v>4</v>
      </c>
      <c r="U51" s="106">
        <v>2812.7999999999997</v>
      </c>
      <c r="V51" s="106">
        <v>3</v>
      </c>
      <c r="W51" s="106">
        <v>2109.6</v>
      </c>
      <c r="X51" s="106">
        <v>4.3990519466175586</v>
      </c>
      <c r="Y51" s="106">
        <v>3093.4133288614671</v>
      </c>
      <c r="Z51" s="106">
        <v>3</v>
      </c>
      <c r="AA51" s="106">
        <v>2109.6</v>
      </c>
      <c r="AB51" s="106">
        <v>8.2530613337618739</v>
      </c>
      <c r="AC51" s="106">
        <v>5803.5527299013493</v>
      </c>
      <c r="AD51" s="106">
        <v>8</v>
      </c>
      <c r="AE51" s="106">
        <v>5625.5999999999995</v>
      </c>
      <c r="AF51" s="106">
        <v>6</v>
      </c>
      <c r="AG51" s="106">
        <v>4219.2</v>
      </c>
      <c r="AH51" s="106">
        <v>10</v>
      </c>
      <c r="AI51" s="106">
        <v>7031.9999999999991</v>
      </c>
      <c r="AJ51" s="106">
        <v>4</v>
      </c>
      <c r="AK51" s="106">
        <v>2812.7999999999997</v>
      </c>
      <c r="AL51" s="106">
        <v>7</v>
      </c>
      <c r="AM51" s="106">
        <v>4922.3999999999996</v>
      </c>
      <c r="AN51" s="106">
        <v>4.2469394116577384</v>
      </c>
      <c r="AO51" s="106">
        <v>2986.4477942777212</v>
      </c>
      <c r="AP51" s="106">
        <v>9.2186445925713585</v>
      </c>
      <c r="AQ51" s="106">
        <v>6482.5508774961791</v>
      </c>
      <c r="AR51" s="106">
        <v>3.6886571017541585</v>
      </c>
      <c r="AS51" s="106">
        <v>2593.8636739535241</v>
      </c>
      <c r="AT51" s="106">
        <v>1.9731595327339801</v>
      </c>
      <c r="AU51" s="106">
        <v>1387.5257834185347</v>
      </c>
      <c r="AV51" s="106">
        <v>1.492368549566266</v>
      </c>
      <c r="AW51" s="106">
        <v>1049.4335640549982</v>
      </c>
      <c r="AX51" s="106">
        <v>3</v>
      </c>
      <c r="AY51" s="106">
        <v>2109.6</v>
      </c>
      <c r="AZ51" s="106">
        <v>1.3222157319783392</v>
      </c>
      <c r="BA51" s="106">
        <v>929.78210272716808</v>
      </c>
      <c r="BB51" s="106">
        <v>4.8937142822614952</v>
      </c>
      <c r="BC51" s="106">
        <v>3441.2598832862832</v>
      </c>
      <c r="BD51" s="106">
        <v>1.8846769599635969</v>
      </c>
      <c r="BE51" s="106">
        <v>1325.3048382464012</v>
      </c>
      <c r="BF51" s="106">
        <v>2.1659591899535995</v>
      </c>
      <c r="BG51" s="106">
        <v>1523.1025023753709</v>
      </c>
      <c r="BH51" s="106">
        <v>3</v>
      </c>
      <c r="BI51" s="106">
        <v>2109.6</v>
      </c>
      <c r="BJ51" s="106">
        <v>4.1039439514309679</v>
      </c>
      <c r="BK51" s="106">
        <v>2885.8933866462562</v>
      </c>
      <c r="BL51" s="106">
        <v>5.0816820239732534</v>
      </c>
      <c r="BM51" s="106">
        <v>3573.4387992579914</v>
      </c>
      <c r="BN51" s="106">
        <v>4.2765504048439285</v>
      </c>
      <c r="BO51" s="106">
        <v>3007.2702446862504</v>
      </c>
      <c r="BP51" s="106">
        <v>4</v>
      </c>
      <c r="BQ51" s="106">
        <v>2812.7999999999997</v>
      </c>
      <c r="BR51" s="106">
        <v>4</v>
      </c>
      <c r="BS51" s="106">
        <v>2812.7999999999997</v>
      </c>
      <c r="BT51" s="106">
        <v>3</v>
      </c>
      <c r="BU51" s="106">
        <v>2109.6</v>
      </c>
      <c r="BV51" s="106">
        <v>4</v>
      </c>
      <c r="BW51" s="106">
        <v>2812.7999999999997</v>
      </c>
      <c r="BX51" s="106">
        <v>15</v>
      </c>
      <c r="BY51" s="106">
        <v>10547.999999999998</v>
      </c>
      <c r="BZ51" s="106">
        <v>21.396770098175036</v>
      </c>
      <c r="CA51" s="106">
        <v>15046.208733036685</v>
      </c>
      <c r="CB51" s="106">
        <v>18.107706445161373</v>
      </c>
      <c r="CC51" s="106">
        <v>12733.339172237476</v>
      </c>
      <c r="CD51" s="106">
        <v>23.301072713085833</v>
      </c>
      <c r="CE51" s="106">
        <v>16385.314331841957</v>
      </c>
      <c r="CF51" s="106">
        <v>2.1323045902458704</v>
      </c>
      <c r="CG51" s="106">
        <v>1499.436587860896</v>
      </c>
      <c r="CH51" s="106">
        <v>2.1067935376167246</v>
      </c>
      <c r="CI51" s="106">
        <v>1481.4972156520805</v>
      </c>
      <c r="CJ51" s="106">
        <v>1.1451507446863989</v>
      </c>
      <c r="CK51" s="106">
        <v>805.27000366347556</v>
      </c>
      <c r="CL51" s="106">
        <v>2.0806117064825211</v>
      </c>
      <c r="CM51" s="106">
        <v>1463.0861519985087</v>
      </c>
      <c r="CN51" s="106">
        <v>3</v>
      </c>
      <c r="CO51" s="106">
        <v>2109.6</v>
      </c>
      <c r="CP51" s="106">
        <v>3</v>
      </c>
      <c r="CQ51" s="106">
        <v>2109.6</v>
      </c>
      <c r="CR51" s="106">
        <v>2</v>
      </c>
      <c r="CS51" s="106">
        <v>1406.3999999999999</v>
      </c>
      <c r="CT51" s="106">
        <v>3.4153895647033177</v>
      </c>
      <c r="CU51" s="106">
        <v>2401.7019418993727</v>
      </c>
    </row>
    <row r="52" spans="2:99" x14ac:dyDescent="0.2">
      <c r="C52" s="105" t="s">
        <v>218</v>
      </c>
      <c r="D52" s="106">
        <v>4</v>
      </c>
      <c r="E52" s="106">
        <v>2472</v>
      </c>
      <c r="F52" s="106">
        <v>6.2987765800259554</v>
      </c>
      <c r="G52" s="106">
        <v>3892.6439264560404</v>
      </c>
      <c r="H52" s="106">
        <v>7</v>
      </c>
      <c r="I52" s="106">
        <v>4326</v>
      </c>
      <c r="J52" s="106">
        <v>4.3247934343850725</v>
      </c>
      <c r="K52" s="106">
        <v>2672.7223424499748</v>
      </c>
      <c r="L52" s="106">
        <v>6.6520026365429121</v>
      </c>
      <c r="M52" s="106">
        <v>4110.9376293835194</v>
      </c>
      <c r="N52" s="106">
        <v>9.4215129662094501</v>
      </c>
      <c r="O52" s="106">
        <v>5822.4950131174401</v>
      </c>
      <c r="P52" s="106">
        <v>5</v>
      </c>
      <c r="Q52" s="106">
        <v>3090</v>
      </c>
      <c r="R52" s="106">
        <v>7.2528175533439274</v>
      </c>
      <c r="S52" s="106">
        <v>4482.2412479665472</v>
      </c>
      <c r="T52" s="106">
        <v>4.277893013941072</v>
      </c>
      <c r="U52" s="106">
        <v>2643.7378826155823</v>
      </c>
      <c r="V52" s="106">
        <v>3</v>
      </c>
      <c r="W52" s="106">
        <v>1854</v>
      </c>
      <c r="X52" s="106">
        <v>2.3078176477353329</v>
      </c>
      <c r="Y52" s="106">
        <v>1426.2313063004358</v>
      </c>
      <c r="Z52" s="106">
        <v>2.9167705548518579</v>
      </c>
      <c r="AA52" s="106">
        <v>1802.5642028984482</v>
      </c>
      <c r="AB52" s="106">
        <v>1.454395616463938</v>
      </c>
      <c r="AC52" s="106">
        <v>898.8164909747137</v>
      </c>
      <c r="AD52" s="106">
        <v>8.1662455739317199</v>
      </c>
      <c r="AE52" s="106">
        <v>5046.7397646898025</v>
      </c>
      <c r="AF52" s="106">
        <v>6.2575296937908806</v>
      </c>
      <c r="AG52" s="106">
        <v>3867.1533507627641</v>
      </c>
      <c r="AH52" s="106">
        <v>5.0612495374600428</v>
      </c>
      <c r="AI52" s="106">
        <v>3127.8522141503063</v>
      </c>
      <c r="AJ52" s="106">
        <v>4.1147425619971338</v>
      </c>
      <c r="AK52" s="106">
        <v>2542.9109033142286</v>
      </c>
      <c r="AL52" s="106">
        <v>7.1676602509458966</v>
      </c>
      <c r="AM52" s="106">
        <v>4429.6140350845644</v>
      </c>
      <c r="AN52" s="106">
        <v>5.1759916136947606</v>
      </c>
      <c r="AO52" s="106">
        <v>3198.7628172633622</v>
      </c>
      <c r="AP52" s="106">
        <v>9.0522942093445948</v>
      </c>
      <c r="AQ52" s="106">
        <v>5594.3178213749597</v>
      </c>
      <c r="AR52" s="106">
        <v>4.0806215229901808</v>
      </c>
      <c r="AS52" s="106">
        <v>2521.8241012079316</v>
      </c>
      <c r="AT52" s="106">
        <v>4.0595578892464772</v>
      </c>
      <c r="AU52" s="106">
        <v>2508.8067755543229</v>
      </c>
      <c r="AV52" s="106">
        <v>4</v>
      </c>
      <c r="AW52" s="106">
        <v>2472</v>
      </c>
      <c r="AX52" s="106">
        <v>3.2190414266607297</v>
      </c>
      <c r="AY52" s="106">
        <v>1989.3676016763309</v>
      </c>
      <c r="AZ52" s="106">
        <v>6.1575769708742092</v>
      </c>
      <c r="BA52" s="106">
        <v>3805.3825680002615</v>
      </c>
      <c r="BB52" s="106">
        <v>7.3114014476862605</v>
      </c>
      <c r="BC52" s="106">
        <v>4518.4460946701092</v>
      </c>
      <c r="BD52" s="106">
        <v>2.5748789187604344</v>
      </c>
      <c r="BE52" s="106">
        <v>1591.2751717939484</v>
      </c>
      <c r="BF52" s="106">
        <v>5.3409796988214486</v>
      </c>
      <c r="BG52" s="106">
        <v>3300.7254538716552</v>
      </c>
      <c r="BH52" s="106">
        <v>2.0002457484243821</v>
      </c>
      <c r="BI52" s="106">
        <v>1236.1518725262681</v>
      </c>
      <c r="BJ52" s="106">
        <v>4.1273962882804804</v>
      </c>
      <c r="BK52" s="106">
        <v>2550.7309061573369</v>
      </c>
      <c r="BL52" s="106">
        <v>4.4477246626923135</v>
      </c>
      <c r="BM52" s="106">
        <v>2748.6938415438499</v>
      </c>
      <c r="BN52" s="106">
        <v>5.2425434222265359</v>
      </c>
      <c r="BO52" s="106">
        <v>3239.8918349359992</v>
      </c>
      <c r="BP52" s="106">
        <v>4.1338445741913734</v>
      </c>
      <c r="BQ52" s="106">
        <v>2554.7159468502687</v>
      </c>
      <c r="BR52" s="106">
        <v>4.2584579567508776</v>
      </c>
      <c r="BS52" s="106">
        <v>2631.7270172720423</v>
      </c>
      <c r="BT52" s="106">
        <v>3</v>
      </c>
      <c r="BU52" s="106">
        <v>1854</v>
      </c>
      <c r="BV52" s="106">
        <v>4.2385582409231368</v>
      </c>
      <c r="BW52" s="106">
        <v>2619.4289928904986</v>
      </c>
      <c r="BX52" s="106">
        <v>16.423113697375619</v>
      </c>
      <c r="BY52" s="106">
        <v>10149.484264978133</v>
      </c>
      <c r="BZ52" s="106">
        <v>14.543810792329257</v>
      </c>
      <c r="CA52" s="106">
        <v>8988.0750696594805</v>
      </c>
      <c r="CB52" s="106">
        <v>12.398534697528769</v>
      </c>
      <c r="CC52" s="106">
        <v>7662.2944430727794</v>
      </c>
      <c r="CD52" s="106">
        <v>15.448433912166756</v>
      </c>
      <c r="CE52" s="106">
        <v>9547.1321577190556</v>
      </c>
      <c r="CF52" s="106">
        <v>0.31256316876558116</v>
      </c>
      <c r="CG52" s="106">
        <v>193.16403829712917</v>
      </c>
      <c r="CH52" s="106">
        <v>1.4180182615660528</v>
      </c>
      <c r="CI52" s="106">
        <v>876.33528564782068</v>
      </c>
      <c r="CJ52" s="106">
        <v>0.51030721431115278</v>
      </c>
      <c r="CK52" s="106">
        <v>315.36985844429239</v>
      </c>
      <c r="CL52" s="106">
        <v>0.99915395663772888</v>
      </c>
      <c r="CM52" s="106">
        <v>617.4771452021165</v>
      </c>
      <c r="CN52" s="106">
        <v>3.3202498119849384</v>
      </c>
      <c r="CO52" s="106">
        <v>2051.9143838066921</v>
      </c>
      <c r="CP52" s="106">
        <v>3.3962431148390499</v>
      </c>
      <c r="CQ52" s="106">
        <v>2098.8782449705327</v>
      </c>
      <c r="CR52" s="106">
        <v>2</v>
      </c>
      <c r="CS52" s="106">
        <v>1236</v>
      </c>
      <c r="CT52" s="106">
        <v>3.1949127171453187</v>
      </c>
      <c r="CU52" s="106">
        <v>1974.456059195807</v>
      </c>
    </row>
    <row r="53" spans="2:99" x14ac:dyDescent="0.2">
      <c r="C53" s="105" t="s">
        <v>219</v>
      </c>
      <c r="D53" s="106">
        <v>4</v>
      </c>
      <c r="E53" s="106">
        <v>1982.3999999999999</v>
      </c>
      <c r="F53" s="106">
        <v>7.2987765800259554</v>
      </c>
      <c r="G53" s="106">
        <v>3617.2736730608631</v>
      </c>
      <c r="H53" s="106">
        <v>8</v>
      </c>
      <c r="I53" s="106">
        <v>3964.7999999999997</v>
      </c>
      <c r="J53" s="106">
        <v>4.3247934343850725</v>
      </c>
      <c r="K53" s="106">
        <v>2143.3676260812417</v>
      </c>
      <c r="L53" s="106">
        <v>6.6954694789791063</v>
      </c>
      <c r="M53" s="106">
        <v>3318.2746737820448</v>
      </c>
      <c r="N53" s="106">
        <v>9.383193605644955</v>
      </c>
      <c r="O53" s="106">
        <v>4650.3107509576394</v>
      </c>
      <c r="P53" s="106">
        <v>6</v>
      </c>
      <c r="Q53" s="106">
        <v>2973.6</v>
      </c>
      <c r="R53" s="106">
        <v>6.2317494238986004</v>
      </c>
      <c r="S53" s="106">
        <v>3088.455014484146</v>
      </c>
      <c r="T53" s="106">
        <v>4.3334716167292866</v>
      </c>
      <c r="U53" s="106">
        <v>2147.6685332510342</v>
      </c>
      <c r="V53" s="106">
        <v>3</v>
      </c>
      <c r="W53" s="106">
        <v>1486.8</v>
      </c>
      <c r="X53" s="106">
        <v>2.3078176477353329</v>
      </c>
      <c r="Y53" s="106">
        <v>1143.7544262176309</v>
      </c>
      <c r="Z53" s="106">
        <v>2.2641233964774763</v>
      </c>
      <c r="AA53" s="106">
        <v>1122.0995552942372</v>
      </c>
      <c r="AB53" s="106">
        <v>1.454395616463938</v>
      </c>
      <c r="AC53" s="106">
        <v>720.79846751952766</v>
      </c>
      <c r="AD53" s="106">
        <v>9.1568473190783326</v>
      </c>
      <c r="AE53" s="106">
        <v>4538.1335313352211</v>
      </c>
      <c r="AF53" s="106">
        <v>6.2575296937908806</v>
      </c>
      <c r="AG53" s="106">
        <v>3101.2317162427603</v>
      </c>
      <c r="AH53" s="106">
        <v>5.0667318137507733</v>
      </c>
      <c r="AI53" s="106">
        <v>2511.0722868948833</v>
      </c>
      <c r="AJ53" s="106">
        <v>5.1147425619971338</v>
      </c>
      <c r="AK53" s="106">
        <v>2534.8664137257792</v>
      </c>
      <c r="AL53" s="106">
        <v>7.1676602509458966</v>
      </c>
      <c r="AM53" s="106">
        <v>3552.2924203687862</v>
      </c>
      <c r="AN53" s="106">
        <v>5.2111899364337129</v>
      </c>
      <c r="AO53" s="106">
        <v>2582.6657324965481</v>
      </c>
      <c r="AP53" s="106">
        <v>9.0522942093445948</v>
      </c>
      <c r="AQ53" s="106">
        <v>4486.3170101511805</v>
      </c>
      <c r="AR53" s="106">
        <v>4.0806215229901808</v>
      </c>
      <c r="AS53" s="106">
        <v>2022.3560267939336</v>
      </c>
      <c r="AT53" s="106">
        <v>5.0744473615580965</v>
      </c>
      <c r="AU53" s="106">
        <v>2514.8961123881923</v>
      </c>
      <c r="AV53" s="106">
        <v>5</v>
      </c>
      <c r="AW53" s="106">
        <v>2478</v>
      </c>
      <c r="AX53" s="106">
        <v>3.2628497119928759</v>
      </c>
      <c r="AY53" s="106">
        <v>1617.0683172636691</v>
      </c>
      <c r="AZ53" s="106">
        <v>7.1575769708742092</v>
      </c>
      <c r="BA53" s="106">
        <v>3547.2951467652579</v>
      </c>
      <c r="BB53" s="106">
        <v>7.3114014476862605</v>
      </c>
      <c r="BC53" s="106">
        <v>3623.5305574733106</v>
      </c>
      <c r="BD53" s="106">
        <v>2.9427187642976391</v>
      </c>
      <c r="BE53" s="106">
        <v>1458.4114195859099</v>
      </c>
      <c r="BF53" s="106">
        <v>5.3409796988214486</v>
      </c>
      <c r="BG53" s="106">
        <v>2646.9895387359097</v>
      </c>
      <c r="BH53" s="106">
        <v>2.0002457484243821</v>
      </c>
      <c r="BI53" s="106">
        <v>991.32179291912371</v>
      </c>
      <c r="BJ53" s="106">
        <v>4.1273962882804804</v>
      </c>
      <c r="BK53" s="106">
        <v>2045.5376004718059</v>
      </c>
      <c r="BL53" s="106">
        <v>4.4477246626923135</v>
      </c>
      <c r="BM53" s="106">
        <v>2204.2923428303102</v>
      </c>
      <c r="BN53" s="106">
        <v>4.202119518522113</v>
      </c>
      <c r="BO53" s="106">
        <v>2082.5704333795588</v>
      </c>
      <c r="BP53" s="106">
        <v>4.1338445741913734</v>
      </c>
      <c r="BQ53" s="106">
        <v>2048.7333709692443</v>
      </c>
      <c r="BR53" s="106">
        <v>4.2261507121570174</v>
      </c>
      <c r="BS53" s="106">
        <v>2094.4802929450175</v>
      </c>
      <c r="BT53" s="106">
        <v>3</v>
      </c>
      <c r="BU53" s="106">
        <v>1486.8</v>
      </c>
      <c r="BV53" s="106">
        <v>4.2385582409231368</v>
      </c>
      <c r="BW53" s="106">
        <v>2100.6294642015064</v>
      </c>
      <c r="BX53" s="106">
        <v>15.442579914467315</v>
      </c>
      <c r="BY53" s="106">
        <v>7653.3426056100006</v>
      </c>
      <c r="BZ53" s="106">
        <v>13.98368165926146</v>
      </c>
      <c r="CA53" s="106">
        <v>6930.3126303299796</v>
      </c>
      <c r="CB53" s="106">
        <v>13.101230896089701</v>
      </c>
      <c r="CC53" s="106">
        <v>6492.9700321020555</v>
      </c>
      <c r="CD53" s="106">
        <v>15.46468391199538</v>
      </c>
      <c r="CE53" s="106">
        <v>7664.2973467849097</v>
      </c>
      <c r="CF53" s="106">
        <v>0.62512633753116231</v>
      </c>
      <c r="CG53" s="106">
        <v>309.81261288044402</v>
      </c>
      <c r="CH53" s="106">
        <v>1.4487822847024034</v>
      </c>
      <c r="CI53" s="106">
        <v>718.01650029851112</v>
      </c>
      <c r="CJ53" s="106">
        <v>0.51030721431115278</v>
      </c>
      <c r="CK53" s="106">
        <v>252.9082554126073</v>
      </c>
      <c r="CL53" s="106">
        <v>0.98037769218105708</v>
      </c>
      <c r="CM53" s="106">
        <v>485.87518424493186</v>
      </c>
      <c r="CN53" s="106">
        <v>3.3679159459999193</v>
      </c>
      <c r="CO53" s="106">
        <v>1669.1391428375598</v>
      </c>
      <c r="CP53" s="106">
        <v>3.3591975486122658</v>
      </c>
      <c r="CQ53" s="106">
        <v>1664.8183050922389</v>
      </c>
      <c r="CR53" s="106">
        <v>2.5701187712726004</v>
      </c>
      <c r="CS53" s="106">
        <v>1273.7508630427008</v>
      </c>
      <c r="CT53" s="106">
        <v>4.1949127171453187</v>
      </c>
      <c r="CU53" s="106">
        <v>2078.9987426172197</v>
      </c>
    </row>
    <row r="54" spans="2:99" x14ac:dyDescent="0.2">
      <c r="C54" s="105" t="s">
        <v>220</v>
      </c>
      <c r="D54" s="106">
        <v>4</v>
      </c>
      <c r="E54" s="106">
        <v>1632</v>
      </c>
      <c r="F54" s="106">
        <v>6.3414589486010922</v>
      </c>
      <c r="G54" s="106">
        <v>2587.3152510292457</v>
      </c>
      <c r="H54" s="106">
        <v>8</v>
      </c>
      <c r="I54" s="106">
        <v>3264</v>
      </c>
      <c r="J54" s="106">
        <v>4.3247934343850725</v>
      </c>
      <c r="K54" s="106">
        <v>1764.5157212291097</v>
      </c>
      <c r="L54" s="106">
        <v>6.608535794106718</v>
      </c>
      <c r="M54" s="106">
        <v>2696.2826039955407</v>
      </c>
      <c r="N54" s="106">
        <v>9.4215129662094501</v>
      </c>
      <c r="O54" s="106">
        <v>3843.9772902134555</v>
      </c>
      <c r="P54" s="106">
        <v>6</v>
      </c>
      <c r="Q54" s="106">
        <v>2448</v>
      </c>
      <c r="R54" s="106">
        <v>7.2528175533439274</v>
      </c>
      <c r="S54" s="106">
        <v>2959.1495617643222</v>
      </c>
      <c r="T54" s="106">
        <v>4.3334716167292866</v>
      </c>
      <c r="U54" s="106">
        <v>1768.0564196255489</v>
      </c>
      <c r="V54" s="106">
        <v>3</v>
      </c>
      <c r="W54" s="106">
        <v>1224</v>
      </c>
      <c r="X54" s="106">
        <v>2.3078176477353329</v>
      </c>
      <c r="Y54" s="106">
        <v>941.58960027601586</v>
      </c>
      <c r="Z54" s="106">
        <v>2.2641233964774763</v>
      </c>
      <c r="AA54" s="106">
        <v>923.76234576281036</v>
      </c>
      <c r="AB54" s="106">
        <v>1.454395616463938</v>
      </c>
      <c r="AC54" s="106">
        <v>593.39341151728672</v>
      </c>
      <c r="AD54" s="106">
        <v>8.1662455739317199</v>
      </c>
      <c r="AE54" s="106">
        <v>3331.8281941641417</v>
      </c>
      <c r="AF54" s="106">
        <v>6.2575296937908806</v>
      </c>
      <c r="AG54" s="106">
        <v>2553.0721150666791</v>
      </c>
      <c r="AH54" s="106">
        <v>4.5660891362954992</v>
      </c>
      <c r="AI54" s="106">
        <v>1862.9643676085636</v>
      </c>
      <c r="AJ54" s="106">
        <v>5.1338663223299896</v>
      </c>
      <c r="AK54" s="106">
        <v>2094.6174595106359</v>
      </c>
      <c r="AL54" s="106">
        <v>8.1676602509458966</v>
      </c>
      <c r="AM54" s="106">
        <v>3332.4053823859258</v>
      </c>
      <c r="AN54" s="106">
        <v>5.1759916136947606</v>
      </c>
      <c r="AO54" s="106">
        <v>2111.8045783874622</v>
      </c>
      <c r="AP54" s="106">
        <v>8.0522942093445948</v>
      </c>
      <c r="AQ54" s="106">
        <v>3285.3360374125946</v>
      </c>
      <c r="AR54" s="106">
        <v>4.0967458275882169</v>
      </c>
      <c r="AS54" s="106">
        <v>1671.4722976559924</v>
      </c>
      <c r="AT54" s="106">
        <v>5.0744473615580965</v>
      </c>
      <c r="AU54" s="106">
        <v>2070.3745235157035</v>
      </c>
      <c r="AV54" s="106">
        <v>5</v>
      </c>
      <c r="AW54" s="106">
        <v>2040</v>
      </c>
      <c r="AX54" s="106">
        <v>3.2190414266607297</v>
      </c>
      <c r="AY54" s="106">
        <v>1313.3689020775778</v>
      </c>
      <c r="AZ54" s="106">
        <v>7.1260615766993674</v>
      </c>
      <c r="BA54" s="106">
        <v>2907.4331232933419</v>
      </c>
      <c r="BB54" s="106">
        <v>7.3114014476862605</v>
      </c>
      <c r="BC54" s="106">
        <v>2983.0517906559944</v>
      </c>
      <c r="BD54" s="106">
        <v>2.9427187642976391</v>
      </c>
      <c r="BE54" s="106">
        <v>1200.6292558334367</v>
      </c>
      <c r="BF54" s="106">
        <v>5.3013114884472188</v>
      </c>
      <c r="BG54" s="106">
        <v>2162.9350872864652</v>
      </c>
      <c r="BH54" s="106">
        <v>2.0002457484243821</v>
      </c>
      <c r="BI54" s="106">
        <v>816.10026535714792</v>
      </c>
      <c r="BJ54" s="106">
        <v>4.1592453603506012</v>
      </c>
      <c r="BK54" s="106">
        <v>1696.9721070230453</v>
      </c>
      <c r="BL54" s="106">
        <v>4.4477246626923135</v>
      </c>
      <c r="BM54" s="106">
        <v>1814.6716623784639</v>
      </c>
      <c r="BN54" s="106">
        <v>4.2425434222265359</v>
      </c>
      <c r="BO54" s="106">
        <v>1730.9577162684266</v>
      </c>
      <c r="BP54" s="106">
        <v>4.1338445741913734</v>
      </c>
      <c r="BQ54" s="106">
        <v>1686.6085862700804</v>
      </c>
      <c r="BR54" s="106">
        <v>4.2261507121570174</v>
      </c>
      <c r="BS54" s="106">
        <v>1724.2694905600631</v>
      </c>
      <c r="BT54" s="106">
        <v>3</v>
      </c>
      <c r="BU54" s="106">
        <v>1224</v>
      </c>
      <c r="BV54" s="106">
        <v>4.2385582409231368</v>
      </c>
      <c r="BW54" s="106">
        <v>1729.3317622966399</v>
      </c>
      <c r="BX54" s="106">
        <v>15.442579914467315</v>
      </c>
      <c r="BY54" s="106">
        <v>6300.5726051026641</v>
      </c>
      <c r="BZ54" s="106">
        <v>14.560703994380329</v>
      </c>
      <c r="CA54" s="106">
        <v>5940.767229707174</v>
      </c>
      <c r="CB54" s="106">
        <v>11.713695418722693</v>
      </c>
      <c r="CC54" s="106">
        <v>4779.1877308388594</v>
      </c>
      <c r="CD54" s="106">
        <v>16.104306158378503</v>
      </c>
      <c r="CE54" s="106">
        <v>6570.5569126184291</v>
      </c>
      <c r="CF54" s="106">
        <v>0.31256316876558116</v>
      </c>
      <c r="CG54" s="106">
        <v>127.52577285635711</v>
      </c>
      <c r="CH54" s="106">
        <v>1.4487822847024034</v>
      </c>
      <c r="CI54" s="106">
        <v>591.10317215858061</v>
      </c>
      <c r="CJ54" s="106">
        <v>0.51030721431115278</v>
      </c>
      <c r="CK54" s="106">
        <v>208.20534343895034</v>
      </c>
      <c r="CL54" s="106">
        <v>0.99915395663772888</v>
      </c>
      <c r="CM54" s="106">
        <v>407.65481430819341</v>
      </c>
      <c r="CN54" s="106">
        <v>3.3679159459999193</v>
      </c>
      <c r="CO54" s="106">
        <v>1374.1097059679671</v>
      </c>
      <c r="CP54" s="106">
        <v>3.4332886810658332</v>
      </c>
      <c r="CQ54" s="106">
        <v>1400.7817818748599</v>
      </c>
      <c r="CR54" s="106">
        <v>3.5384455062019002</v>
      </c>
      <c r="CS54" s="106">
        <v>1443.6857665303753</v>
      </c>
      <c r="CT54" s="106">
        <v>4.2144039888598508</v>
      </c>
      <c r="CU54" s="106">
        <v>1719.4768274548192</v>
      </c>
    </row>
    <row r="55" spans="2:99" x14ac:dyDescent="0.2">
      <c r="C55" s="105" t="s">
        <v>221</v>
      </c>
      <c r="D55" s="106">
        <v>4</v>
      </c>
      <c r="E55" s="106">
        <v>3220.7999999999997</v>
      </c>
      <c r="F55" s="106">
        <v>6.2987765800259554</v>
      </c>
      <c r="G55" s="106">
        <v>5071.7749022368989</v>
      </c>
      <c r="H55" s="106">
        <v>7</v>
      </c>
      <c r="I55" s="106">
        <v>5636.4</v>
      </c>
      <c r="J55" s="106">
        <v>4.3247934343850725</v>
      </c>
      <c r="K55" s="106">
        <v>3482.32367336686</v>
      </c>
      <c r="L55" s="106">
        <v>6.608535794106718</v>
      </c>
      <c r="M55" s="106">
        <v>5321.1930214147287</v>
      </c>
      <c r="N55" s="106">
        <v>8.4215129662094501</v>
      </c>
      <c r="O55" s="106">
        <v>6781.0022403918483</v>
      </c>
      <c r="P55" s="106">
        <v>5</v>
      </c>
      <c r="Q55" s="106">
        <v>4025.9999999999995</v>
      </c>
      <c r="R55" s="106">
        <v>6.2317494238986004</v>
      </c>
      <c r="S55" s="106">
        <v>5017.8046361231527</v>
      </c>
      <c r="T55" s="106">
        <v>4.2501037125469647</v>
      </c>
      <c r="U55" s="106">
        <v>3422.1835093428158</v>
      </c>
      <c r="V55" s="106">
        <v>3</v>
      </c>
      <c r="W55" s="106">
        <v>2415.6</v>
      </c>
      <c r="X55" s="106">
        <v>2.3078176477353329</v>
      </c>
      <c r="Y55" s="106">
        <v>1858.25476995649</v>
      </c>
      <c r="Z55" s="106">
        <v>2.9422857149647186</v>
      </c>
      <c r="AA55" s="106">
        <v>2369.1284576895914</v>
      </c>
      <c r="AB55" s="106">
        <v>1.454395616463938</v>
      </c>
      <c r="AC55" s="106">
        <v>1171.0793503767627</v>
      </c>
      <c r="AD55" s="106">
        <v>7.1756438287851063</v>
      </c>
      <c r="AE55" s="106">
        <v>5777.8284109377673</v>
      </c>
      <c r="AF55" s="106">
        <v>6.2575296937908806</v>
      </c>
      <c r="AG55" s="106">
        <v>5038.5629094404167</v>
      </c>
      <c r="AH55" s="106">
        <v>5.0612495374600428</v>
      </c>
      <c r="AI55" s="106">
        <v>4075.3181275628262</v>
      </c>
      <c r="AJ55" s="106">
        <v>5.1147425619971338</v>
      </c>
      <c r="AK55" s="106">
        <v>4118.3907109200918</v>
      </c>
      <c r="AL55" s="106">
        <v>7.1676602509458966</v>
      </c>
      <c r="AM55" s="106">
        <v>5771.4000340616358</v>
      </c>
      <c r="AN55" s="106">
        <v>4.1759916136947606</v>
      </c>
      <c r="AO55" s="106">
        <v>3362.508447347021</v>
      </c>
      <c r="AP55" s="106">
        <v>8.0522942093445948</v>
      </c>
      <c r="AQ55" s="106">
        <v>6483.7072973642671</v>
      </c>
      <c r="AR55" s="106">
        <v>4.0967458275882169</v>
      </c>
      <c r="AS55" s="106">
        <v>3298.699740374032</v>
      </c>
      <c r="AT55" s="106">
        <v>5.0595578892464772</v>
      </c>
      <c r="AU55" s="106">
        <v>4073.956012421263</v>
      </c>
      <c r="AV55" s="106">
        <v>5</v>
      </c>
      <c r="AW55" s="106">
        <v>4025.9999999999995</v>
      </c>
      <c r="AX55" s="106">
        <v>3.2190414266607297</v>
      </c>
      <c r="AY55" s="106">
        <v>2591.9721567472193</v>
      </c>
      <c r="AZ55" s="106">
        <v>6.1260615766993674</v>
      </c>
      <c r="BA55" s="106">
        <v>4932.7047815583301</v>
      </c>
      <c r="BB55" s="106">
        <v>7.3114014476862605</v>
      </c>
      <c r="BC55" s="106">
        <v>5887.1404456769769</v>
      </c>
      <c r="BD55" s="106">
        <v>2.5748789187604344</v>
      </c>
      <c r="BE55" s="106">
        <v>2073.2925053859017</v>
      </c>
      <c r="BF55" s="106">
        <v>5.3013114884472188</v>
      </c>
      <c r="BG55" s="106">
        <v>4268.6160104976998</v>
      </c>
      <c r="BH55" s="106">
        <v>2.0002457484243821</v>
      </c>
      <c r="BI55" s="106">
        <v>1610.5978766313124</v>
      </c>
      <c r="BJ55" s="106">
        <v>4.1592453603506012</v>
      </c>
      <c r="BK55" s="106">
        <v>3349.0243641543038</v>
      </c>
      <c r="BL55" s="106">
        <v>4.4477246626923135</v>
      </c>
      <c r="BM55" s="106">
        <v>3581.3078983998507</v>
      </c>
      <c r="BN55" s="106">
        <v>4.2425434222265359</v>
      </c>
      <c r="BO55" s="106">
        <v>3416.0959635768063</v>
      </c>
      <c r="BP55" s="106">
        <v>4.1338445741913734</v>
      </c>
      <c r="BQ55" s="106">
        <v>3328.5716511388937</v>
      </c>
      <c r="BR55" s="106">
        <v>4.2261507121570174</v>
      </c>
      <c r="BS55" s="106">
        <v>3402.89655342883</v>
      </c>
      <c r="BT55" s="106">
        <v>3</v>
      </c>
      <c r="BU55" s="106">
        <v>2415.6</v>
      </c>
      <c r="BV55" s="106">
        <v>4.2385582409231368</v>
      </c>
      <c r="BW55" s="106">
        <v>3412.8870955913094</v>
      </c>
      <c r="BX55" s="106">
        <v>14.486642192765565</v>
      </c>
      <c r="BY55" s="106">
        <v>11664.644293614832</v>
      </c>
      <c r="BZ55" s="106">
        <v>13.966788457210388</v>
      </c>
      <c r="CA55" s="106">
        <v>11246.058065745803</v>
      </c>
      <c r="CB55" s="106">
        <v>12.398534697528769</v>
      </c>
      <c r="CC55" s="106">
        <v>9983.300138450164</v>
      </c>
      <c r="CD55" s="106">
        <v>14.825061665612253</v>
      </c>
      <c r="CE55" s="106">
        <v>11937.139653150985</v>
      </c>
      <c r="CF55" s="106">
        <v>0.31256316876558116</v>
      </c>
      <c r="CG55" s="106">
        <v>251.67586349004591</v>
      </c>
      <c r="CH55" s="106">
        <v>1.4487822847024034</v>
      </c>
      <c r="CI55" s="106">
        <v>1166.5594956423752</v>
      </c>
      <c r="CJ55" s="106">
        <v>0.51030721431115278</v>
      </c>
      <c r="CK55" s="106">
        <v>410.89936896334018</v>
      </c>
      <c r="CL55" s="106">
        <v>0.98037769218105708</v>
      </c>
      <c r="CM55" s="106">
        <v>789.40011774418713</v>
      </c>
      <c r="CN55" s="106">
        <v>3.3679159459999193</v>
      </c>
      <c r="CO55" s="106">
        <v>2711.8459197191346</v>
      </c>
      <c r="CP55" s="106">
        <v>3.3962431148390499</v>
      </c>
      <c r="CQ55" s="106">
        <v>2734.654956068403</v>
      </c>
      <c r="CR55" s="106">
        <v>3</v>
      </c>
      <c r="CS55" s="106">
        <v>2415.6</v>
      </c>
      <c r="CT55" s="106">
        <v>3.2144039888598508</v>
      </c>
      <c r="CU55" s="106">
        <v>2588.2380918299518</v>
      </c>
    </row>
    <row r="56" spans="2:99" x14ac:dyDescent="0.2">
      <c r="C56" s="105" t="s">
        <v>222</v>
      </c>
      <c r="D56" s="106">
        <v>4</v>
      </c>
      <c r="E56" s="106">
        <v>3360</v>
      </c>
      <c r="F56" s="106">
        <v>6.3393088107857887</v>
      </c>
      <c r="G56" s="106">
        <v>5325.0194010600626</v>
      </c>
      <c r="H56" s="106">
        <v>7.1598897496559868</v>
      </c>
      <c r="I56" s="106">
        <v>6014.3073897110289</v>
      </c>
      <c r="J56" s="106">
        <v>0.37775923528244798</v>
      </c>
      <c r="K56" s="106">
        <v>317.31775763725631</v>
      </c>
      <c r="L56" s="106">
        <v>6.6116808722024558</v>
      </c>
      <c r="M56" s="106">
        <v>5553.8119326500628</v>
      </c>
      <c r="N56" s="106">
        <v>3.9690193766569291</v>
      </c>
      <c r="O56" s="106">
        <v>3333.9762763918202</v>
      </c>
      <c r="P56" s="106">
        <v>6.2444544283385524</v>
      </c>
      <c r="Q56" s="106">
        <v>5245.3417198043844</v>
      </c>
      <c r="R56" s="106">
        <v>6.560677145384064</v>
      </c>
      <c r="S56" s="106">
        <v>5510.9688021226139</v>
      </c>
      <c r="T56" s="106">
        <v>0.25928181323161986</v>
      </c>
      <c r="U56" s="106">
        <v>217.79672311456068</v>
      </c>
      <c r="V56" s="106">
        <v>8.4558533342541708E-2</v>
      </c>
      <c r="W56" s="106">
        <v>71.029168007735038</v>
      </c>
      <c r="X56" s="106">
        <v>0</v>
      </c>
      <c r="Y56" s="106">
        <v>0</v>
      </c>
      <c r="Z56" s="106">
        <v>8.5061887136811939E-2</v>
      </c>
      <c r="AA56" s="106">
        <v>71.451985194922031</v>
      </c>
      <c r="AB56" s="106">
        <v>3.0625889951719585</v>
      </c>
      <c r="AC56" s="106">
        <v>2572.5747559444453</v>
      </c>
      <c r="AD56" s="106">
        <v>0</v>
      </c>
      <c r="AE56" s="106">
        <v>0</v>
      </c>
      <c r="AF56" s="106">
        <v>4.2712094549673205</v>
      </c>
      <c r="AG56" s="106">
        <v>3587.8159421725491</v>
      </c>
      <c r="AH56" s="106">
        <v>0</v>
      </c>
      <c r="AI56" s="106">
        <v>0</v>
      </c>
      <c r="AJ56" s="106">
        <v>4.2934390232674229</v>
      </c>
      <c r="AK56" s="106">
        <v>3606.4887795446352</v>
      </c>
      <c r="AL56" s="106">
        <v>0.37652713865041754</v>
      </c>
      <c r="AM56" s="106">
        <v>316.2827964663507</v>
      </c>
      <c r="AN56" s="106">
        <v>2.7988438470911712</v>
      </c>
      <c r="AO56" s="106">
        <v>2351.028831556584</v>
      </c>
      <c r="AP56" s="106">
        <v>3.1599065582409436</v>
      </c>
      <c r="AQ56" s="106">
        <v>2654.3215089223927</v>
      </c>
      <c r="AR56" s="106">
        <v>0</v>
      </c>
      <c r="AS56" s="106">
        <v>0</v>
      </c>
      <c r="AT56" s="106">
        <v>1.4118005751748179</v>
      </c>
      <c r="AU56" s="106">
        <v>1185.9124831468471</v>
      </c>
      <c r="AV56" s="106">
        <v>0</v>
      </c>
      <c r="AW56" s="106">
        <v>0</v>
      </c>
      <c r="AX56" s="106">
        <v>0</v>
      </c>
      <c r="AY56" s="106">
        <v>0</v>
      </c>
      <c r="AZ56" s="106">
        <v>5.436777085300764</v>
      </c>
      <c r="BA56" s="106">
        <v>4566.8927516526419</v>
      </c>
      <c r="BB56" s="106">
        <v>3.687628625904571</v>
      </c>
      <c r="BC56" s="106">
        <v>3097.6080457598396</v>
      </c>
      <c r="BD56" s="106">
        <v>2.5227198459250078</v>
      </c>
      <c r="BE56" s="106">
        <v>2119.0846705770064</v>
      </c>
      <c r="BF56" s="106">
        <v>2.5750142511071412</v>
      </c>
      <c r="BG56" s="106">
        <v>2163.0119709299988</v>
      </c>
      <c r="BH56" s="106">
        <v>0</v>
      </c>
      <c r="BI56" s="106">
        <v>0</v>
      </c>
      <c r="BJ56" s="106">
        <v>4</v>
      </c>
      <c r="BK56" s="106">
        <v>3360</v>
      </c>
      <c r="BL56" s="106">
        <v>5.6593635075395996</v>
      </c>
      <c r="BM56" s="106">
        <v>4753.8653463332639</v>
      </c>
      <c r="BN56" s="106">
        <v>4.3608505753380875</v>
      </c>
      <c r="BO56" s="106">
        <v>3663.1144832839936</v>
      </c>
      <c r="BP56" s="106">
        <v>4.2275079358622643</v>
      </c>
      <c r="BQ56" s="106">
        <v>3551.1066661243021</v>
      </c>
      <c r="BR56" s="106">
        <v>0</v>
      </c>
      <c r="BS56" s="106">
        <v>0</v>
      </c>
      <c r="BT56" s="106">
        <v>3</v>
      </c>
      <c r="BU56" s="106">
        <v>2520</v>
      </c>
      <c r="BV56" s="106">
        <v>4</v>
      </c>
      <c r="BW56" s="106">
        <v>3360</v>
      </c>
      <c r="BX56" s="106">
        <v>14</v>
      </c>
      <c r="BY56" s="106">
        <v>11760</v>
      </c>
      <c r="BZ56" s="106">
        <v>20.187365732924317</v>
      </c>
      <c r="CA56" s="106">
        <v>16957.387215656425</v>
      </c>
      <c r="CB56" s="106">
        <v>9.7765909985198913</v>
      </c>
      <c r="CC56" s="106">
        <v>8212.336438756709</v>
      </c>
      <c r="CD56" s="106">
        <v>23.064014459848227</v>
      </c>
      <c r="CE56" s="106">
        <v>19373.772146272509</v>
      </c>
      <c r="CF56" s="106">
        <v>0.52128699120746524</v>
      </c>
      <c r="CG56" s="106">
        <v>437.88107261427081</v>
      </c>
      <c r="CH56" s="106">
        <v>2.6064804480093566</v>
      </c>
      <c r="CI56" s="106">
        <v>2189.4435763278598</v>
      </c>
      <c r="CJ56" s="106">
        <v>0</v>
      </c>
      <c r="CK56" s="106">
        <v>0</v>
      </c>
      <c r="CL56" s="106">
        <v>1.2108388993299886</v>
      </c>
      <c r="CM56" s="106">
        <v>1017.1046754371904</v>
      </c>
      <c r="CN56" s="106">
        <v>1.3462809015197561</v>
      </c>
      <c r="CO56" s="106">
        <v>1130.875957276595</v>
      </c>
      <c r="CP56" s="106">
        <v>1.245817687093056</v>
      </c>
      <c r="CQ56" s="106">
        <v>1046.4868571581669</v>
      </c>
      <c r="CR56" s="106">
        <v>1.9052869826606489</v>
      </c>
      <c r="CS56" s="106">
        <v>1600.4410654349451</v>
      </c>
      <c r="CT56" s="106">
        <v>0.7821628165518506</v>
      </c>
      <c r="CU56" s="106">
        <v>657.01676590355453</v>
      </c>
    </row>
    <row r="57" spans="2:99" x14ac:dyDescent="0.2">
      <c r="C57" s="105" t="s">
        <v>223</v>
      </c>
      <c r="D57" s="106">
        <v>4.2951861848884523</v>
      </c>
      <c r="E57" s="106">
        <v>5422.243039803182</v>
      </c>
      <c r="F57" s="106">
        <v>6</v>
      </c>
      <c r="G57" s="106">
        <v>7574.4</v>
      </c>
      <c r="H57" s="106">
        <v>7</v>
      </c>
      <c r="I57" s="106">
        <v>8836.7999999999993</v>
      </c>
      <c r="J57" s="106">
        <v>5</v>
      </c>
      <c r="K57" s="106">
        <v>6311.9999999999991</v>
      </c>
      <c r="L57" s="106">
        <v>5</v>
      </c>
      <c r="M57" s="106">
        <v>6311.9999999999991</v>
      </c>
      <c r="N57" s="106">
        <v>9</v>
      </c>
      <c r="O57" s="106">
        <v>11361.599999999999</v>
      </c>
      <c r="P57" s="106">
        <v>5</v>
      </c>
      <c r="Q57" s="106">
        <v>6311.9999999999991</v>
      </c>
      <c r="R57" s="106">
        <v>6</v>
      </c>
      <c r="S57" s="106">
        <v>7574.4</v>
      </c>
      <c r="T57" s="106">
        <v>4</v>
      </c>
      <c r="U57" s="106">
        <v>5049.5999999999995</v>
      </c>
      <c r="V57" s="106">
        <v>3</v>
      </c>
      <c r="W57" s="106">
        <v>3787.2</v>
      </c>
      <c r="X57" s="106">
        <v>4.3990519466175586</v>
      </c>
      <c r="Y57" s="106">
        <v>5553.3631774100049</v>
      </c>
      <c r="Z57" s="106">
        <v>3</v>
      </c>
      <c r="AA57" s="106">
        <v>3787.2</v>
      </c>
      <c r="AB57" s="106">
        <v>7.3253645719795513</v>
      </c>
      <c r="AC57" s="106">
        <v>9247.5402356669838</v>
      </c>
      <c r="AD57" s="106">
        <v>7</v>
      </c>
      <c r="AE57" s="106">
        <v>8836.7999999999993</v>
      </c>
      <c r="AF57" s="106">
        <v>6</v>
      </c>
      <c r="AG57" s="106">
        <v>7574.4</v>
      </c>
      <c r="AH57" s="106">
        <v>9</v>
      </c>
      <c r="AI57" s="106">
        <v>11361.599999999999</v>
      </c>
      <c r="AJ57" s="106">
        <v>5</v>
      </c>
      <c r="AK57" s="106">
        <v>6311.9999999999991</v>
      </c>
      <c r="AL57" s="106">
        <v>7</v>
      </c>
      <c r="AM57" s="106">
        <v>8836.7999999999993</v>
      </c>
      <c r="AN57" s="106">
        <v>4.2469394116577384</v>
      </c>
      <c r="AO57" s="106">
        <v>5361.3363132767281</v>
      </c>
      <c r="AP57" s="106">
        <v>8.2186445925713585</v>
      </c>
      <c r="AQ57" s="106">
        <v>10375.216933662083</v>
      </c>
      <c r="AR57" s="106">
        <v>3.6886571017541585</v>
      </c>
      <c r="AS57" s="106">
        <v>4656.5607252544496</v>
      </c>
      <c r="AT57" s="106">
        <v>1.5934591883245888</v>
      </c>
      <c r="AU57" s="106">
        <v>2011.5828793409607</v>
      </c>
      <c r="AV57" s="106">
        <v>1.8654606869578323</v>
      </c>
      <c r="AW57" s="106">
        <v>2354.9575712155674</v>
      </c>
      <c r="AX57" s="106">
        <v>3</v>
      </c>
      <c r="AY57" s="106">
        <v>3787.2</v>
      </c>
      <c r="AZ57" s="106">
        <v>1.3222157319783392</v>
      </c>
      <c r="BA57" s="106">
        <v>1669.1651400494552</v>
      </c>
      <c r="BB57" s="106">
        <v>4.3499682508991073</v>
      </c>
      <c r="BC57" s="106">
        <v>5491.3999199350328</v>
      </c>
      <c r="BD57" s="106">
        <v>1.8846769599635969</v>
      </c>
      <c r="BE57" s="106">
        <v>2379.2161942580442</v>
      </c>
      <c r="BF57" s="106">
        <v>1.8049659916279999</v>
      </c>
      <c r="BG57" s="106">
        <v>2278.5890678311866</v>
      </c>
      <c r="BH57" s="106">
        <v>3</v>
      </c>
      <c r="BI57" s="106">
        <v>3787.2</v>
      </c>
      <c r="BJ57" s="106">
        <v>4.1039439514309679</v>
      </c>
      <c r="BK57" s="106">
        <v>5180.818844286453</v>
      </c>
      <c r="BL57" s="106">
        <v>5.0700131634056458</v>
      </c>
      <c r="BM57" s="106">
        <v>6400.3846174832861</v>
      </c>
      <c r="BN57" s="106">
        <v>4.2304586707032739</v>
      </c>
      <c r="BO57" s="106">
        <v>5340.5310258958125</v>
      </c>
      <c r="BP57" s="106">
        <v>4</v>
      </c>
      <c r="BQ57" s="106">
        <v>5049.5999999999995</v>
      </c>
      <c r="BR57" s="106">
        <v>4</v>
      </c>
      <c r="BS57" s="106">
        <v>5049.5999999999995</v>
      </c>
      <c r="BT57" s="106">
        <v>3</v>
      </c>
      <c r="BU57" s="106">
        <v>3787.2</v>
      </c>
      <c r="BV57" s="106">
        <v>3</v>
      </c>
      <c r="BW57" s="106">
        <v>3787.2</v>
      </c>
      <c r="BX57" s="106">
        <v>14</v>
      </c>
      <c r="BY57" s="106">
        <v>17673.599999999999</v>
      </c>
      <c r="BZ57" s="106">
        <v>21.396770098175036</v>
      </c>
      <c r="CA57" s="106">
        <v>27011.282571936164</v>
      </c>
      <c r="CB57" s="106">
        <v>15.134633056451717</v>
      </c>
      <c r="CC57" s="106">
        <v>19105.960770464644</v>
      </c>
      <c r="CD57" s="106">
        <v>19.301072713085833</v>
      </c>
      <c r="CE57" s="106">
        <v>24365.674192999555</v>
      </c>
      <c r="CF57" s="106">
        <v>1.1323045902458704</v>
      </c>
      <c r="CG57" s="106">
        <v>1429.4213147263865</v>
      </c>
      <c r="CH57" s="106">
        <v>2.1067935376167246</v>
      </c>
      <c r="CI57" s="106">
        <v>2659.616161887353</v>
      </c>
      <c r="CJ57" s="106">
        <v>1.1209589539053324</v>
      </c>
      <c r="CK57" s="106">
        <v>1415.0985834100916</v>
      </c>
      <c r="CL57" s="106">
        <v>2.0806117064825211</v>
      </c>
      <c r="CM57" s="106">
        <v>2626.5642182635343</v>
      </c>
      <c r="CN57" s="106">
        <v>3</v>
      </c>
      <c r="CO57" s="106">
        <v>3787.2</v>
      </c>
      <c r="CP57" s="106">
        <v>3</v>
      </c>
      <c r="CQ57" s="106">
        <v>3787.2</v>
      </c>
      <c r="CR57" s="106">
        <v>2</v>
      </c>
      <c r="CS57" s="106">
        <v>2524.7999999999997</v>
      </c>
      <c r="CT57" s="106">
        <v>4.4569285211736496</v>
      </c>
      <c r="CU57" s="106">
        <v>5626.4265651296146</v>
      </c>
    </row>
    <row r="58" spans="2:99" x14ac:dyDescent="0.2">
      <c r="C58" s="105" t="s">
        <v>224</v>
      </c>
      <c r="D58" s="106">
        <v>4.2459884874070433</v>
      </c>
      <c r="E58" s="106">
        <v>2985.7791043446327</v>
      </c>
      <c r="F58" s="106">
        <v>7</v>
      </c>
      <c r="G58" s="106">
        <v>4922.3999999999996</v>
      </c>
      <c r="H58" s="106">
        <v>8</v>
      </c>
      <c r="I58" s="106">
        <v>5625.5999999999995</v>
      </c>
      <c r="J58" s="106">
        <v>4</v>
      </c>
      <c r="K58" s="106">
        <v>2812.7999999999997</v>
      </c>
      <c r="L58" s="106">
        <v>6</v>
      </c>
      <c r="M58" s="106">
        <v>4219.2</v>
      </c>
      <c r="N58" s="106">
        <v>9</v>
      </c>
      <c r="O58" s="106">
        <v>6328.7999999999993</v>
      </c>
      <c r="P58" s="106">
        <v>6</v>
      </c>
      <c r="Q58" s="106">
        <v>4219.2</v>
      </c>
      <c r="R58" s="106">
        <v>6</v>
      </c>
      <c r="S58" s="106">
        <v>4219.2</v>
      </c>
      <c r="T58" s="106">
        <v>4</v>
      </c>
      <c r="U58" s="106">
        <v>2812.7999999999997</v>
      </c>
      <c r="V58" s="106">
        <v>3</v>
      </c>
      <c r="W58" s="106">
        <v>2109.6</v>
      </c>
      <c r="X58" s="106">
        <v>3.4489334399447538</v>
      </c>
      <c r="Y58" s="106">
        <v>2425.2899949691505</v>
      </c>
      <c r="Z58" s="106">
        <v>4</v>
      </c>
      <c r="AA58" s="106">
        <v>2812.7999999999997</v>
      </c>
      <c r="AB58" s="106">
        <v>9.2530613337618739</v>
      </c>
      <c r="AC58" s="106">
        <v>6506.7527299013491</v>
      </c>
      <c r="AD58" s="106">
        <v>8.0560622397399122</v>
      </c>
      <c r="AE58" s="106">
        <v>5665.022966985106</v>
      </c>
      <c r="AF58" s="106">
        <v>6</v>
      </c>
      <c r="AG58" s="106">
        <v>4219.2</v>
      </c>
      <c r="AH58" s="106">
        <v>10</v>
      </c>
      <c r="AI58" s="106">
        <v>7031.9999999999991</v>
      </c>
      <c r="AJ58" s="106">
        <v>5</v>
      </c>
      <c r="AK58" s="106">
        <v>3515.9999999999995</v>
      </c>
      <c r="AL58" s="106">
        <v>7</v>
      </c>
      <c r="AM58" s="106">
        <v>4922.3999999999996</v>
      </c>
      <c r="AN58" s="106">
        <v>5.2469394116577384</v>
      </c>
      <c r="AO58" s="106">
        <v>3689.6477942777215</v>
      </c>
      <c r="AP58" s="106">
        <v>9.2186445925713585</v>
      </c>
      <c r="AQ58" s="106">
        <v>6482.5508774961791</v>
      </c>
      <c r="AR58" s="106">
        <v>3.6886571017541585</v>
      </c>
      <c r="AS58" s="106">
        <v>2593.8636739535241</v>
      </c>
      <c r="AT58" s="106">
        <v>1.9731595327339801</v>
      </c>
      <c r="AU58" s="106">
        <v>1387.5257834185347</v>
      </c>
      <c r="AV58" s="106">
        <v>1.8654606869578323</v>
      </c>
      <c r="AW58" s="106">
        <v>1311.7919550687475</v>
      </c>
      <c r="AX58" s="106">
        <v>3</v>
      </c>
      <c r="AY58" s="106">
        <v>2109.6</v>
      </c>
      <c r="AZ58" s="106">
        <v>1.5273509011053881</v>
      </c>
      <c r="BA58" s="106">
        <v>1074.0331536573087</v>
      </c>
      <c r="BB58" s="106">
        <v>4.3499682508991073</v>
      </c>
      <c r="BC58" s="106">
        <v>3058.8976740322519</v>
      </c>
      <c r="BD58" s="106">
        <v>2.153916525672682</v>
      </c>
      <c r="BE58" s="106">
        <v>1514.6341008530298</v>
      </c>
      <c r="BF58" s="106">
        <v>2.1659591899535995</v>
      </c>
      <c r="BG58" s="106">
        <v>1523.1025023753709</v>
      </c>
      <c r="BH58" s="106">
        <v>3</v>
      </c>
      <c r="BI58" s="106">
        <v>2109.6</v>
      </c>
      <c r="BJ58" s="106">
        <v>4.1039439514309679</v>
      </c>
      <c r="BK58" s="106">
        <v>2885.8933866462562</v>
      </c>
      <c r="BL58" s="106">
        <v>6.0816820239732534</v>
      </c>
      <c r="BM58" s="106">
        <v>4276.6387992579912</v>
      </c>
      <c r="BN58" s="106">
        <v>4.2765504048439285</v>
      </c>
      <c r="BO58" s="106">
        <v>3007.2702446862504</v>
      </c>
      <c r="BP58" s="106">
        <v>4</v>
      </c>
      <c r="BQ58" s="106">
        <v>2812.7999999999997</v>
      </c>
      <c r="BR58" s="106">
        <v>4</v>
      </c>
      <c r="BS58" s="106">
        <v>2812.7999999999997</v>
      </c>
      <c r="BT58" s="106">
        <v>3</v>
      </c>
      <c r="BU58" s="106">
        <v>2109.6</v>
      </c>
      <c r="BV58" s="106">
        <v>4</v>
      </c>
      <c r="BW58" s="106">
        <v>2812.7999999999997</v>
      </c>
      <c r="BX58" s="106">
        <v>15</v>
      </c>
      <c r="BY58" s="106">
        <v>10547.999999999998</v>
      </c>
      <c r="BZ58" s="106">
        <v>23.347173835903156</v>
      </c>
      <c r="CA58" s="106">
        <v>16417.732641407099</v>
      </c>
      <c r="CB58" s="106">
        <v>18.134633056451715</v>
      </c>
      <c r="CC58" s="106">
        <v>12752.273965296845</v>
      </c>
      <c r="CD58" s="106">
        <v>24.301072713085833</v>
      </c>
      <c r="CE58" s="106">
        <v>17088.514331841958</v>
      </c>
      <c r="CF58" s="106">
        <v>1.1323045902458704</v>
      </c>
      <c r="CG58" s="106">
        <v>796.23658786089595</v>
      </c>
      <c r="CH58" s="106">
        <v>2.1067935376167246</v>
      </c>
      <c r="CI58" s="106">
        <v>1481.4972156520805</v>
      </c>
      <c r="CJ58" s="106">
        <v>1.1209589539053324</v>
      </c>
      <c r="CK58" s="106">
        <v>788.25833638622964</v>
      </c>
      <c r="CL58" s="106">
        <v>2.121338009226494</v>
      </c>
      <c r="CM58" s="106">
        <v>1491.7248880880704</v>
      </c>
      <c r="CN58" s="106">
        <v>3</v>
      </c>
      <c r="CO58" s="106">
        <v>2109.6</v>
      </c>
      <c r="CP58" s="106">
        <v>3</v>
      </c>
      <c r="CQ58" s="106">
        <v>2109.6</v>
      </c>
      <c r="CR58" s="106">
        <v>2</v>
      </c>
      <c r="CS58" s="106">
        <v>1406.3999999999999</v>
      </c>
      <c r="CT58" s="106">
        <v>3.4569285211736496</v>
      </c>
      <c r="CU58" s="106">
        <v>2430.91213608931</v>
      </c>
    </row>
    <row r="59" spans="2:99" x14ac:dyDescent="0.2">
      <c r="C59" s="105" t="s">
        <v>225</v>
      </c>
      <c r="D59" s="106">
        <v>4</v>
      </c>
      <c r="E59" s="106">
        <v>1756.8</v>
      </c>
      <c r="F59" s="106">
        <v>6.2987765800259554</v>
      </c>
      <c r="G59" s="106">
        <v>2766.4226739473997</v>
      </c>
      <c r="H59" s="106">
        <v>8</v>
      </c>
      <c r="I59" s="106">
        <v>3513.6</v>
      </c>
      <c r="J59" s="106">
        <v>5.3247934343850725</v>
      </c>
      <c r="K59" s="106">
        <v>2338.6492763819238</v>
      </c>
      <c r="L59" s="106">
        <v>6</v>
      </c>
      <c r="M59" s="106">
        <v>2635.2</v>
      </c>
      <c r="N59" s="106">
        <v>9.4215129662094501</v>
      </c>
      <c r="O59" s="106">
        <v>4137.9284947591905</v>
      </c>
      <c r="P59" s="106">
        <v>6</v>
      </c>
      <c r="Q59" s="106">
        <v>2635.2</v>
      </c>
      <c r="R59" s="106">
        <v>6.2738856827892553</v>
      </c>
      <c r="S59" s="106">
        <v>2755.4905918810409</v>
      </c>
      <c r="T59" s="106">
        <v>4.277893013941072</v>
      </c>
      <c r="U59" s="106">
        <v>1878.8506117229188</v>
      </c>
      <c r="V59" s="106">
        <v>3</v>
      </c>
      <c r="W59" s="106">
        <v>1317.6</v>
      </c>
      <c r="X59" s="106">
        <v>2.3078176477353329</v>
      </c>
      <c r="Y59" s="106">
        <v>1013.5935108853582</v>
      </c>
      <c r="Z59" s="106">
        <v>2.9422857149647186</v>
      </c>
      <c r="AA59" s="106">
        <v>1292.2518860125044</v>
      </c>
      <c r="AB59" s="106">
        <v>1.6361950685219302</v>
      </c>
      <c r="AC59" s="106">
        <v>718.6168740948317</v>
      </c>
      <c r="AD59" s="106">
        <v>9.1166087169518626</v>
      </c>
      <c r="AE59" s="106">
        <v>4004.0145484852578</v>
      </c>
      <c r="AF59" s="106">
        <v>5.3004513094226944</v>
      </c>
      <c r="AG59" s="106">
        <v>2327.9582150984475</v>
      </c>
      <c r="AH59" s="106">
        <v>5.5618922149153169</v>
      </c>
      <c r="AI59" s="106">
        <v>2442.7830607908072</v>
      </c>
      <c r="AJ59" s="106">
        <v>5.1147425619971338</v>
      </c>
      <c r="AK59" s="106">
        <v>2246.3949332291413</v>
      </c>
      <c r="AL59" s="106">
        <v>7.1676602509458966</v>
      </c>
      <c r="AM59" s="106">
        <v>3148.0363822154377</v>
      </c>
      <c r="AN59" s="106">
        <v>5.1759916136947606</v>
      </c>
      <c r="AO59" s="106">
        <v>2273.2955167347386</v>
      </c>
      <c r="AP59" s="106">
        <v>10.052294209344595</v>
      </c>
      <c r="AQ59" s="106">
        <v>4414.9676167441457</v>
      </c>
      <c r="AR59" s="106">
        <v>4.0806215229901808</v>
      </c>
      <c r="AS59" s="106">
        <v>1792.2089728972874</v>
      </c>
      <c r="AT59" s="106">
        <v>5.0744473615580965</v>
      </c>
      <c r="AU59" s="106">
        <v>2228.697281196316</v>
      </c>
      <c r="AV59" s="106">
        <v>5</v>
      </c>
      <c r="AW59" s="106">
        <v>2196</v>
      </c>
      <c r="AX59" s="106">
        <v>3.2190414266607297</v>
      </c>
      <c r="AY59" s="106">
        <v>1413.8029945893925</v>
      </c>
      <c r="AZ59" s="106">
        <v>6.1575769708742092</v>
      </c>
      <c r="BA59" s="106">
        <v>2704.4078056079525</v>
      </c>
      <c r="BB59" s="106">
        <v>7.3114014476862605</v>
      </c>
      <c r="BC59" s="106">
        <v>3211.1675158238054</v>
      </c>
      <c r="BD59" s="106">
        <v>2.5748789187604344</v>
      </c>
      <c r="BE59" s="106">
        <v>1130.8868211195827</v>
      </c>
      <c r="BF59" s="106">
        <v>5.3013114884472188</v>
      </c>
      <c r="BG59" s="106">
        <v>2328.3360057260184</v>
      </c>
      <c r="BH59" s="106">
        <v>2.0002457484243821</v>
      </c>
      <c r="BI59" s="106">
        <v>878.50793270798863</v>
      </c>
      <c r="BJ59" s="106">
        <v>4.1273962882804804</v>
      </c>
      <c r="BK59" s="106">
        <v>1812.7524498127871</v>
      </c>
      <c r="BL59" s="106">
        <v>4.4477246626923135</v>
      </c>
      <c r="BM59" s="106">
        <v>1953.440671854464</v>
      </c>
      <c r="BN59" s="106">
        <v>5.202119518522113</v>
      </c>
      <c r="BO59" s="106">
        <v>2284.770892534912</v>
      </c>
      <c r="BP59" s="106">
        <v>4.1338445741913734</v>
      </c>
      <c r="BQ59" s="106">
        <v>1815.5845369848512</v>
      </c>
      <c r="BR59" s="106">
        <v>4.2261507121570174</v>
      </c>
      <c r="BS59" s="106">
        <v>1856.1253927793621</v>
      </c>
      <c r="BT59" s="106">
        <v>3</v>
      </c>
      <c r="BU59" s="106">
        <v>1317.6</v>
      </c>
      <c r="BV59" s="106">
        <v>4.2385582409231368</v>
      </c>
      <c r="BW59" s="106">
        <v>1861.5747794134415</v>
      </c>
      <c r="BX59" s="106">
        <v>14.486642192765565</v>
      </c>
      <c r="BY59" s="106">
        <v>6362.5332510626358</v>
      </c>
      <c r="BZ59" s="106">
        <v>13.389766122091519</v>
      </c>
      <c r="CA59" s="106">
        <v>5880.7852808225953</v>
      </c>
      <c r="CB59" s="106">
        <v>11.713695418722693</v>
      </c>
      <c r="CC59" s="106">
        <v>5144.6550279030071</v>
      </c>
      <c r="CD59" s="106">
        <v>16.743928404761629</v>
      </c>
      <c r="CE59" s="106">
        <v>7353.9333553713077</v>
      </c>
      <c r="CF59" s="106">
        <v>0.31256316876558116</v>
      </c>
      <c r="CG59" s="106">
        <v>137.27774372184325</v>
      </c>
      <c r="CH59" s="106">
        <v>1.4487822847024034</v>
      </c>
      <c r="CI59" s="106">
        <v>636.30517944129554</v>
      </c>
      <c r="CJ59" s="106">
        <v>0.51030721431115278</v>
      </c>
      <c r="CK59" s="106">
        <v>224.12692852545828</v>
      </c>
      <c r="CL59" s="106">
        <v>0.99915395663772888</v>
      </c>
      <c r="CM59" s="106">
        <v>438.8284177552905</v>
      </c>
      <c r="CN59" s="106">
        <v>3.3202498119849384</v>
      </c>
      <c r="CO59" s="106">
        <v>1458.253717423785</v>
      </c>
      <c r="CP59" s="106">
        <v>3.3591975486122658</v>
      </c>
      <c r="CQ59" s="106">
        <v>1475.3595633505072</v>
      </c>
      <c r="CR59" s="106">
        <v>2</v>
      </c>
      <c r="CS59" s="106">
        <v>878.4</v>
      </c>
      <c r="CT59" s="106">
        <v>3.1949127171453187</v>
      </c>
      <c r="CU59" s="106">
        <v>1403.2056653702239</v>
      </c>
    </row>
    <row r="60" spans="2:99" x14ac:dyDescent="0.2">
      <c r="C60" s="105" t="s">
        <v>226</v>
      </c>
      <c r="D60" s="106">
        <v>4</v>
      </c>
      <c r="E60" s="106">
        <v>2827.2</v>
      </c>
      <c r="F60" s="106">
        <v>6.2987765800259554</v>
      </c>
      <c r="G60" s="106">
        <v>4451.9752867623447</v>
      </c>
      <c r="H60" s="106">
        <v>7</v>
      </c>
      <c r="I60" s="106">
        <v>4947.5999999999995</v>
      </c>
      <c r="J60" s="106">
        <v>4.3711924964400826</v>
      </c>
      <c r="K60" s="106">
        <v>3089.5588564838504</v>
      </c>
      <c r="L60" s="106">
        <v>6.6954694789791063</v>
      </c>
      <c r="M60" s="106">
        <v>4732.3578277424322</v>
      </c>
      <c r="N60" s="106">
        <v>9.4598323267739453</v>
      </c>
      <c r="O60" s="106">
        <v>6686.2094885638244</v>
      </c>
      <c r="P60" s="106">
        <v>6</v>
      </c>
      <c r="Q60" s="106">
        <v>4240.7999999999993</v>
      </c>
      <c r="R60" s="106">
        <v>7.2738856827892553</v>
      </c>
      <c r="S60" s="106">
        <v>5141.182400595445</v>
      </c>
      <c r="T60" s="106">
        <v>4.3056823153351793</v>
      </c>
      <c r="U60" s="106">
        <v>3043.2562604789046</v>
      </c>
      <c r="V60" s="106">
        <v>3</v>
      </c>
      <c r="W60" s="106">
        <v>2120.3999999999996</v>
      </c>
      <c r="X60" s="106">
        <v>2.3078176477353329</v>
      </c>
      <c r="Y60" s="106">
        <v>1631.1655134193331</v>
      </c>
      <c r="Z60" s="106">
        <v>2.2896385565903374</v>
      </c>
      <c r="AA60" s="106">
        <v>1618.3165317980504</v>
      </c>
      <c r="AB60" s="106">
        <v>1.6361950685219302</v>
      </c>
      <c r="AC60" s="106">
        <v>1156.4626744313002</v>
      </c>
      <c r="AD60" s="106">
        <v>9.1568473190783326</v>
      </c>
      <c r="AE60" s="106">
        <v>6472.0596851245655</v>
      </c>
      <c r="AF60" s="106">
        <v>6.2575296937908806</v>
      </c>
      <c r="AG60" s="106">
        <v>4422.8219875713939</v>
      </c>
      <c r="AH60" s="106">
        <v>4.5606068600047687</v>
      </c>
      <c r="AI60" s="106">
        <v>3223.4369286513702</v>
      </c>
      <c r="AJ60" s="106">
        <v>4.1147425619971338</v>
      </c>
      <c r="AK60" s="106">
        <v>2908.3000428195742</v>
      </c>
      <c r="AL60" s="106">
        <v>7.1676602509458966</v>
      </c>
      <c r="AM60" s="106">
        <v>5066.1022653685595</v>
      </c>
      <c r="AN60" s="106">
        <v>4.1759916136947606</v>
      </c>
      <c r="AO60" s="106">
        <v>2951.5908725594568</v>
      </c>
      <c r="AP60" s="106">
        <v>9.0522942093445948</v>
      </c>
      <c r="AQ60" s="106">
        <v>6398.1615471647592</v>
      </c>
      <c r="AR60" s="106">
        <v>4.0806215229901808</v>
      </c>
      <c r="AS60" s="106">
        <v>2884.1832924494597</v>
      </c>
      <c r="AT60" s="106">
        <v>5.0595578892464772</v>
      </c>
      <c r="AU60" s="106">
        <v>3576.0955161194097</v>
      </c>
      <c r="AV60" s="106">
        <v>5</v>
      </c>
      <c r="AW60" s="106">
        <v>3534</v>
      </c>
      <c r="AX60" s="106">
        <v>3.2190414266607297</v>
      </c>
      <c r="AY60" s="106">
        <v>2275.2184803638038</v>
      </c>
      <c r="AZ60" s="106">
        <v>7.1260615766993674</v>
      </c>
      <c r="BA60" s="106">
        <v>5036.7003224111122</v>
      </c>
      <c r="BB60" s="106">
        <v>7.3114014476862605</v>
      </c>
      <c r="BC60" s="106">
        <v>5167.6985432246483</v>
      </c>
      <c r="BD60" s="106">
        <v>2.9427187642976391</v>
      </c>
      <c r="BE60" s="106">
        <v>2079.9136226055712</v>
      </c>
      <c r="BF60" s="106">
        <v>4.4574277840802461</v>
      </c>
      <c r="BG60" s="106">
        <v>3150.5099577879178</v>
      </c>
      <c r="BH60" s="106">
        <v>2.0002457484243821</v>
      </c>
      <c r="BI60" s="106">
        <v>1413.7736949863531</v>
      </c>
      <c r="BJ60" s="106">
        <v>4.1273962882804804</v>
      </c>
      <c r="BK60" s="106">
        <v>2917.2436965566435</v>
      </c>
      <c r="BL60" s="106">
        <v>4.4477246626923135</v>
      </c>
      <c r="BM60" s="106">
        <v>3143.6517915909271</v>
      </c>
      <c r="BN60" s="106">
        <v>4.2425434222265359</v>
      </c>
      <c r="BO60" s="106">
        <v>2998.6296908297154</v>
      </c>
      <c r="BP60" s="106">
        <v>4.1338445741913734</v>
      </c>
      <c r="BQ60" s="106">
        <v>2921.8013450384624</v>
      </c>
      <c r="BR60" s="106">
        <v>4.2261507121570174</v>
      </c>
      <c r="BS60" s="106">
        <v>2987.0433233525796</v>
      </c>
      <c r="BT60" s="106">
        <v>3</v>
      </c>
      <c r="BU60" s="106">
        <v>2120.3999999999996</v>
      </c>
      <c r="BV60" s="106">
        <v>4.2385582409231368</v>
      </c>
      <c r="BW60" s="106">
        <v>2995.8129646844727</v>
      </c>
      <c r="BX60" s="106">
        <v>15.442579914467315</v>
      </c>
      <c r="BY60" s="106">
        <v>10914.815483545497</v>
      </c>
      <c r="BZ60" s="106">
        <v>14.560703994380329</v>
      </c>
      <c r="CA60" s="106">
        <v>10291.505583228016</v>
      </c>
      <c r="CB60" s="106">
        <v>13.083373976334842</v>
      </c>
      <c r="CC60" s="106">
        <v>9247.3287264734663</v>
      </c>
      <c r="CD60" s="106">
        <v>14.825061665612253</v>
      </c>
      <c r="CE60" s="106">
        <v>10478.353585254739</v>
      </c>
      <c r="CF60" s="106">
        <v>0.31256316876558116</v>
      </c>
      <c r="CG60" s="106">
        <v>220.91964768351275</v>
      </c>
      <c r="CH60" s="106">
        <v>1.4487822847024034</v>
      </c>
      <c r="CI60" s="106">
        <v>1023.9993188276587</v>
      </c>
      <c r="CJ60" s="106">
        <v>0.25515360715557639</v>
      </c>
      <c r="CK60" s="106">
        <v>180.34256953756139</v>
      </c>
      <c r="CL60" s="106">
        <v>0.99915395663772888</v>
      </c>
      <c r="CM60" s="106">
        <v>706.20201655154676</v>
      </c>
      <c r="CN60" s="106">
        <v>3.3440828789924284</v>
      </c>
      <c r="CO60" s="106">
        <v>2363.5977788718483</v>
      </c>
      <c r="CP60" s="106">
        <v>3.4332886810658332</v>
      </c>
      <c r="CQ60" s="106">
        <v>2426.6484397773306</v>
      </c>
      <c r="CR60" s="106">
        <v>3.5067722411312001</v>
      </c>
      <c r="CS60" s="106">
        <v>2478.5866200315322</v>
      </c>
      <c r="CT60" s="106">
        <v>3.1949127171453187</v>
      </c>
      <c r="CU60" s="106">
        <v>2258.1643084783109</v>
      </c>
    </row>
    <row r="61" spans="2:99" x14ac:dyDescent="0.2">
      <c r="C61" s="105" t="s">
        <v>227</v>
      </c>
      <c r="D61" s="106">
        <v>4.2459884874070433</v>
      </c>
      <c r="E61" s="106">
        <v>2863.4946359073097</v>
      </c>
      <c r="F61" s="106">
        <v>6</v>
      </c>
      <c r="G61" s="106">
        <v>4046.3999999999996</v>
      </c>
      <c r="H61" s="106">
        <v>8</v>
      </c>
      <c r="I61" s="106">
        <v>5395.2</v>
      </c>
      <c r="J61" s="106">
        <v>5.0969988591010393</v>
      </c>
      <c r="K61" s="106">
        <v>3437.4160305777409</v>
      </c>
      <c r="L61" s="106">
        <v>6</v>
      </c>
      <c r="M61" s="106">
        <v>4046.3999999999996</v>
      </c>
      <c r="N61" s="106">
        <v>9</v>
      </c>
      <c r="O61" s="106">
        <v>6069.5999999999995</v>
      </c>
      <c r="P61" s="106">
        <v>6</v>
      </c>
      <c r="Q61" s="106">
        <v>4046.3999999999996</v>
      </c>
      <c r="R61" s="106">
        <v>7</v>
      </c>
      <c r="S61" s="106">
        <v>4720.8</v>
      </c>
      <c r="T61" s="106">
        <v>4</v>
      </c>
      <c r="U61" s="106">
        <v>2697.6</v>
      </c>
      <c r="V61" s="106">
        <v>3</v>
      </c>
      <c r="W61" s="106">
        <v>2023.1999999999998</v>
      </c>
      <c r="X61" s="106">
        <v>3.4489334399447538</v>
      </c>
      <c r="Y61" s="106">
        <v>2325.9607118987419</v>
      </c>
      <c r="Z61" s="106">
        <v>4</v>
      </c>
      <c r="AA61" s="106">
        <v>2697.6</v>
      </c>
      <c r="AB61" s="106">
        <v>9.3253645719795504</v>
      </c>
      <c r="AC61" s="106">
        <v>6289.0258673430089</v>
      </c>
      <c r="AD61" s="106">
        <v>8.0672746876878954</v>
      </c>
      <c r="AE61" s="106">
        <v>5440.5700493767163</v>
      </c>
      <c r="AF61" s="106">
        <v>6</v>
      </c>
      <c r="AG61" s="106">
        <v>4046.3999999999996</v>
      </c>
      <c r="AH61" s="106">
        <v>9</v>
      </c>
      <c r="AI61" s="106">
        <v>6069.5999999999995</v>
      </c>
      <c r="AJ61" s="106">
        <v>4</v>
      </c>
      <c r="AK61" s="106">
        <v>2697.6</v>
      </c>
      <c r="AL61" s="106">
        <v>7</v>
      </c>
      <c r="AM61" s="106">
        <v>4720.8</v>
      </c>
      <c r="AN61" s="106">
        <v>5.2469394116577384</v>
      </c>
      <c r="AO61" s="106">
        <v>3538.5359392219784</v>
      </c>
      <c r="AP61" s="106">
        <v>9.2186445925713585</v>
      </c>
      <c r="AQ61" s="106">
        <v>6217.0539132301237</v>
      </c>
      <c r="AR61" s="106">
        <v>3.7300031865668779</v>
      </c>
      <c r="AS61" s="106">
        <v>2515.5141490207025</v>
      </c>
      <c r="AT61" s="106">
        <v>1.9918239854057358</v>
      </c>
      <c r="AU61" s="106">
        <v>1343.2860957576281</v>
      </c>
      <c r="AV61" s="106">
        <v>1.492368549566266</v>
      </c>
      <c r="AW61" s="106">
        <v>1006.4533498274898</v>
      </c>
      <c r="AX61" s="106">
        <v>3</v>
      </c>
      <c r="AY61" s="106">
        <v>2023.1999999999998</v>
      </c>
      <c r="AZ61" s="106">
        <v>1.313906212231426</v>
      </c>
      <c r="BA61" s="106">
        <v>886.09834952887365</v>
      </c>
      <c r="BB61" s="106">
        <v>5.4374603136238848</v>
      </c>
      <c r="BC61" s="106">
        <v>3667.0232355079479</v>
      </c>
      <c r="BD61" s="106">
        <v>1.8846769599635969</v>
      </c>
      <c r="BE61" s="106">
        <v>1271.0261417994498</v>
      </c>
      <c r="BF61" s="106">
        <v>2.1659591899535995</v>
      </c>
      <c r="BG61" s="106">
        <v>1460.7228777047073</v>
      </c>
      <c r="BH61" s="106">
        <v>3</v>
      </c>
      <c r="BI61" s="106">
        <v>2023.1999999999998</v>
      </c>
      <c r="BJ61" s="106">
        <v>4.1039439514309679</v>
      </c>
      <c r="BK61" s="106">
        <v>2767.6998008450446</v>
      </c>
      <c r="BL61" s="106">
        <v>5.0816820239732534</v>
      </c>
      <c r="BM61" s="106">
        <v>3427.0863569675621</v>
      </c>
      <c r="BN61" s="106">
        <v>5.2765504048439285</v>
      </c>
      <c r="BO61" s="106">
        <v>3558.5055930267454</v>
      </c>
      <c r="BP61" s="106">
        <v>4</v>
      </c>
      <c r="BQ61" s="106">
        <v>2697.6</v>
      </c>
      <c r="BR61" s="106">
        <v>4</v>
      </c>
      <c r="BS61" s="106">
        <v>2697.6</v>
      </c>
      <c r="BT61" s="106">
        <v>3</v>
      </c>
      <c r="BU61" s="106">
        <v>2023.1999999999998</v>
      </c>
      <c r="BV61" s="106">
        <v>4</v>
      </c>
      <c r="BW61" s="106">
        <v>2697.6</v>
      </c>
      <c r="BX61" s="106">
        <v>15</v>
      </c>
      <c r="BY61" s="106">
        <v>10116</v>
      </c>
      <c r="BZ61" s="106">
        <v>21.347173835903156</v>
      </c>
      <c r="CA61" s="106">
        <v>14396.534034933087</v>
      </c>
      <c r="CB61" s="106">
        <v>18.107706445161373</v>
      </c>
      <c r="CC61" s="106">
        <v>12211.83722661683</v>
      </c>
      <c r="CD61" s="106">
        <v>21.258062325502141</v>
      </c>
      <c r="CE61" s="106">
        <v>14336.437232318644</v>
      </c>
      <c r="CF61" s="106">
        <v>1.1587655082950443</v>
      </c>
      <c r="CG61" s="106">
        <v>781.47145879417792</v>
      </c>
      <c r="CH61" s="106">
        <v>2.1067935376167246</v>
      </c>
      <c r="CI61" s="106">
        <v>1420.821561768719</v>
      </c>
      <c r="CJ61" s="106">
        <v>2.1209589539053324</v>
      </c>
      <c r="CK61" s="106">
        <v>1430.3747185137561</v>
      </c>
      <c r="CL61" s="106">
        <v>2.121338009226494</v>
      </c>
      <c r="CM61" s="106">
        <v>1430.6303534223475</v>
      </c>
      <c r="CN61" s="106">
        <v>3</v>
      </c>
      <c r="CO61" s="106">
        <v>2023.1999999999998</v>
      </c>
      <c r="CP61" s="106">
        <v>3</v>
      </c>
      <c r="CQ61" s="106">
        <v>2023.1999999999998</v>
      </c>
      <c r="CR61" s="106">
        <v>2</v>
      </c>
      <c r="CS61" s="106">
        <v>1348.8</v>
      </c>
      <c r="CT61" s="106">
        <v>3.4153895647033177</v>
      </c>
      <c r="CU61" s="106">
        <v>2303.3387224359171</v>
      </c>
    </row>
    <row r="62" spans="2:99" x14ac:dyDescent="0.2">
      <c r="C62" s="105" t="s">
        <v>228</v>
      </c>
      <c r="D62" s="106">
        <v>3</v>
      </c>
      <c r="E62" s="106">
        <v>3834</v>
      </c>
      <c r="F62" s="106">
        <v>6.3393088107857887</v>
      </c>
      <c r="G62" s="106">
        <v>8101.6366601842383</v>
      </c>
      <c r="H62" s="106">
        <v>6.1598897496559868</v>
      </c>
      <c r="I62" s="106">
        <v>7872.3391000603515</v>
      </c>
      <c r="J62" s="106">
        <v>0.30220738822595838</v>
      </c>
      <c r="K62" s="106">
        <v>386.22104215277483</v>
      </c>
      <c r="L62" s="106">
        <v>6</v>
      </c>
      <c r="M62" s="106">
        <v>7668</v>
      </c>
      <c r="N62" s="106">
        <v>3.528017223695048</v>
      </c>
      <c r="O62" s="106">
        <v>4508.8060118822714</v>
      </c>
      <c r="P62" s="106">
        <v>4.7690482644708236</v>
      </c>
      <c r="Q62" s="106">
        <v>6094.8436819937124</v>
      </c>
      <c r="R62" s="106">
        <v>5.2940617513043042</v>
      </c>
      <c r="S62" s="106">
        <v>6765.8109181669006</v>
      </c>
      <c r="T62" s="106">
        <v>0.25928181323161986</v>
      </c>
      <c r="U62" s="106">
        <v>331.36215731001016</v>
      </c>
      <c r="V62" s="106">
        <v>8.2807154641696204E-2</v>
      </c>
      <c r="W62" s="106">
        <v>105.82754363208775</v>
      </c>
      <c r="X62" s="106">
        <v>0</v>
      </c>
      <c r="Y62" s="106">
        <v>0</v>
      </c>
      <c r="Z62" s="106">
        <v>8.415712857946922E-2</v>
      </c>
      <c r="AA62" s="106">
        <v>107.55281032456166</v>
      </c>
      <c r="AB62" s="106">
        <v>3.4154496400270826</v>
      </c>
      <c r="AC62" s="106">
        <v>4364.9446399546114</v>
      </c>
      <c r="AD62" s="106">
        <v>0</v>
      </c>
      <c r="AE62" s="106">
        <v>0</v>
      </c>
      <c r="AF62" s="106">
        <v>4.2712094549673205</v>
      </c>
      <c r="AG62" s="106">
        <v>5458.6056834482361</v>
      </c>
      <c r="AH62" s="106">
        <v>0</v>
      </c>
      <c r="AI62" s="106">
        <v>0</v>
      </c>
      <c r="AJ62" s="106">
        <v>5.3423455271453264</v>
      </c>
      <c r="AK62" s="106">
        <v>6827.5175836917269</v>
      </c>
      <c r="AL62" s="106">
        <v>0.43928166175882044</v>
      </c>
      <c r="AM62" s="106">
        <v>561.40196372777257</v>
      </c>
      <c r="AN62" s="106">
        <v>2.7988438470911712</v>
      </c>
      <c r="AO62" s="106">
        <v>3576.9224365825166</v>
      </c>
      <c r="AP62" s="106">
        <v>2.8478668620191354</v>
      </c>
      <c r="AQ62" s="106">
        <v>3639.5738496604549</v>
      </c>
      <c r="AR62" s="106">
        <v>0</v>
      </c>
      <c r="AS62" s="106">
        <v>0</v>
      </c>
      <c r="AT62" s="106">
        <v>1.1294404601398544</v>
      </c>
      <c r="AU62" s="106">
        <v>1443.424908058734</v>
      </c>
      <c r="AV62" s="106">
        <v>0</v>
      </c>
      <c r="AW62" s="106">
        <v>0</v>
      </c>
      <c r="AX62" s="106">
        <v>0</v>
      </c>
      <c r="AY62" s="106">
        <v>0</v>
      </c>
      <c r="AZ62" s="106">
        <v>5.436777085300764</v>
      </c>
      <c r="BA62" s="106">
        <v>6948.2011150143762</v>
      </c>
      <c r="BB62" s="106">
        <v>3.283184709510083</v>
      </c>
      <c r="BC62" s="106">
        <v>4195.910058753886</v>
      </c>
      <c r="BD62" s="106">
        <v>2.1692787641702362</v>
      </c>
      <c r="BE62" s="106">
        <v>2772.338260609562</v>
      </c>
      <c r="BF62" s="106">
        <v>2.5750142511071412</v>
      </c>
      <c r="BG62" s="106">
        <v>3290.8682129149265</v>
      </c>
      <c r="BH62" s="106">
        <v>0</v>
      </c>
      <c r="BI62" s="106">
        <v>0</v>
      </c>
      <c r="BJ62" s="106">
        <v>4</v>
      </c>
      <c r="BK62" s="106">
        <v>5112</v>
      </c>
      <c r="BL62" s="106">
        <v>5.5651687207482281</v>
      </c>
      <c r="BM62" s="106">
        <v>7112.2856251162357</v>
      </c>
      <c r="BN62" s="106">
        <v>4.3586449398636837</v>
      </c>
      <c r="BO62" s="106">
        <v>5570.3482331457881</v>
      </c>
      <c r="BP62" s="106">
        <v>4.2275079358622643</v>
      </c>
      <c r="BQ62" s="106">
        <v>5402.7551420319733</v>
      </c>
      <c r="BR62" s="106">
        <v>0</v>
      </c>
      <c r="BS62" s="106">
        <v>0</v>
      </c>
      <c r="BT62" s="106">
        <v>3</v>
      </c>
      <c r="BU62" s="106">
        <v>3834</v>
      </c>
      <c r="BV62" s="106">
        <v>4</v>
      </c>
      <c r="BW62" s="106">
        <v>5112</v>
      </c>
      <c r="BX62" s="106">
        <v>13</v>
      </c>
      <c r="BY62" s="106">
        <v>16614</v>
      </c>
      <c r="BZ62" s="106">
        <v>22.147302911120448</v>
      </c>
      <c r="CA62" s="106">
        <v>28304.253120411933</v>
      </c>
      <c r="CB62" s="106">
        <v>9.7765909985198913</v>
      </c>
      <c r="CC62" s="106">
        <v>12494.483296108421</v>
      </c>
      <c r="CD62" s="106">
        <v>20.063727306415721</v>
      </c>
      <c r="CE62" s="106">
        <v>25641.443497599292</v>
      </c>
      <c r="CF62" s="106">
        <v>0.52128699120746524</v>
      </c>
      <c r="CG62" s="106">
        <v>666.20477476314056</v>
      </c>
      <c r="CH62" s="106">
        <v>2.6781655600822725</v>
      </c>
      <c r="CI62" s="106">
        <v>3422.6955857851444</v>
      </c>
      <c r="CJ62" s="106">
        <v>0</v>
      </c>
      <c r="CK62" s="106">
        <v>0</v>
      </c>
      <c r="CL62" s="106">
        <v>1.2108388993299886</v>
      </c>
      <c r="CM62" s="106">
        <v>1547.4521133437254</v>
      </c>
      <c r="CN62" s="106">
        <v>1.3426022997969629</v>
      </c>
      <c r="CO62" s="106">
        <v>1715.8457391405186</v>
      </c>
      <c r="CP62" s="106">
        <v>0.89994054099394094</v>
      </c>
      <c r="CQ62" s="106">
        <v>1150.1240113902566</v>
      </c>
      <c r="CR62" s="106">
        <v>1.2954356260999569</v>
      </c>
      <c r="CS62" s="106">
        <v>1655.5667301557448</v>
      </c>
      <c r="CT62" s="106">
        <v>1.0115679754334164</v>
      </c>
      <c r="CU62" s="106">
        <v>1292.783872603906</v>
      </c>
    </row>
    <row r="63" spans="2:99" x14ac:dyDescent="0.2">
      <c r="C63" s="105" t="s">
        <v>229</v>
      </c>
      <c r="D63" s="106">
        <v>4.2951861848884523</v>
      </c>
      <c r="E63" s="106">
        <v>3721.3493105873549</v>
      </c>
      <c r="F63" s="106">
        <v>6</v>
      </c>
      <c r="G63" s="106">
        <v>5198.3999999999996</v>
      </c>
      <c r="H63" s="106">
        <v>7</v>
      </c>
      <c r="I63" s="106">
        <v>6064.8</v>
      </c>
      <c r="J63" s="106">
        <v>5.0969988591010393</v>
      </c>
      <c r="K63" s="106">
        <v>4416.0398115251401</v>
      </c>
      <c r="L63" s="106">
        <v>6</v>
      </c>
      <c r="M63" s="106">
        <v>5198.3999999999996</v>
      </c>
      <c r="N63" s="106">
        <v>8</v>
      </c>
      <c r="O63" s="106">
        <v>6931.2</v>
      </c>
      <c r="P63" s="106">
        <v>6</v>
      </c>
      <c r="Q63" s="106">
        <v>5198.3999999999996</v>
      </c>
      <c r="R63" s="106">
        <v>6</v>
      </c>
      <c r="S63" s="106">
        <v>5198.3999999999996</v>
      </c>
      <c r="T63" s="106">
        <v>4</v>
      </c>
      <c r="U63" s="106">
        <v>3465.6</v>
      </c>
      <c r="V63" s="106">
        <v>3</v>
      </c>
      <c r="W63" s="106">
        <v>2599.1999999999998</v>
      </c>
      <c r="X63" s="106">
        <v>4.4489334399447538</v>
      </c>
      <c r="Y63" s="106">
        <v>3854.5559323681346</v>
      </c>
      <c r="Z63" s="106">
        <v>3</v>
      </c>
      <c r="AA63" s="106">
        <v>2599.1999999999998</v>
      </c>
      <c r="AB63" s="106">
        <v>8.3253645719795504</v>
      </c>
      <c r="AC63" s="106">
        <v>7213.0958651630826</v>
      </c>
      <c r="AD63" s="106">
        <v>7</v>
      </c>
      <c r="AE63" s="106">
        <v>6064.8</v>
      </c>
      <c r="AF63" s="106">
        <v>6</v>
      </c>
      <c r="AG63" s="106">
        <v>5198.3999999999996</v>
      </c>
      <c r="AH63" s="106">
        <v>9</v>
      </c>
      <c r="AI63" s="106">
        <v>7797.5999999999995</v>
      </c>
      <c r="AJ63" s="106">
        <v>5</v>
      </c>
      <c r="AK63" s="106">
        <v>4332</v>
      </c>
      <c r="AL63" s="106">
        <v>6</v>
      </c>
      <c r="AM63" s="106">
        <v>5198.3999999999996</v>
      </c>
      <c r="AN63" s="106">
        <v>4.296327293989286</v>
      </c>
      <c r="AO63" s="106">
        <v>3722.3379675123174</v>
      </c>
      <c r="AP63" s="106">
        <v>9.2186445925713585</v>
      </c>
      <c r="AQ63" s="106">
        <v>7987.033675003825</v>
      </c>
      <c r="AR63" s="106">
        <v>3.6886571017541585</v>
      </c>
      <c r="AS63" s="106">
        <v>3195.8525129598029</v>
      </c>
      <c r="AT63" s="106">
        <v>1.9731595327339801</v>
      </c>
      <c r="AU63" s="106">
        <v>1709.5454191607203</v>
      </c>
      <c r="AV63" s="106">
        <v>1.8654606869578323</v>
      </c>
      <c r="AW63" s="106">
        <v>1616.2351391802658</v>
      </c>
      <c r="AX63" s="106">
        <v>3</v>
      </c>
      <c r="AY63" s="106">
        <v>2599.1999999999998</v>
      </c>
      <c r="AZ63" s="106">
        <v>1.5356604208523015</v>
      </c>
      <c r="BA63" s="106">
        <v>1330.4961886264339</v>
      </c>
      <c r="BB63" s="106">
        <v>4.8937142822614952</v>
      </c>
      <c r="BC63" s="106">
        <v>4239.9140541513589</v>
      </c>
      <c r="BD63" s="106">
        <v>2.153916525672682</v>
      </c>
      <c r="BE63" s="106">
        <v>1866.1532778428116</v>
      </c>
      <c r="BF63" s="106">
        <v>2.1659591899535995</v>
      </c>
      <c r="BG63" s="106">
        <v>1876.5870421757986</v>
      </c>
      <c r="BH63" s="106">
        <v>3</v>
      </c>
      <c r="BI63" s="106">
        <v>2599.1999999999998</v>
      </c>
      <c r="BJ63" s="106">
        <v>4</v>
      </c>
      <c r="BK63" s="106">
        <v>3465.6</v>
      </c>
      <c r="BL63" s="106">
        <v>6.0816820239732534</v>
      </c>
      <c r="BM63" s="106">
        <v>5269.1693055704263</v>
      </c>
      <c r="BN63" s="106">
        <v>4.2765504048439285</v>
      </c>
      <c r="BO63" s="106">
        <v>3705.2032707567796</v>
      </c>
      <c r="BP63" s="106">
        <v>4</v>
      </c>
      <c r="BQ63" s="106">
        <v>3465.6</v>
      </c>
      <c r="BR63" s="106">
        <v>4</v>
      </c>
      <c r="BS63" s="106">
        <v>3465.6</v>
      </c>
      <c r="BT63" s="106">
        <v>3</v>
      </c>
      <c r="BU63" s="106">
        <v>2599.1999999999998</v>
      </c>
      <c r="BV63" s="106">
        <v>4</v>
      </c>
      <c r="BW63" s="106">
        <v>3465.6</v>
      </c>
      <c r="BX63" s="106">
        <v>14</v>
      </c>
      <c r="BY63" s="106">
        <v>12129.6</v>
      </c>
      <c r="BZ63" s="106">
        <v>21.347173835903156</v>
      </c>
      <c r="CA63" s="106">
        <v>18495.191411426495</v>
      </c>
      <c r="CB63" s="106">
        <v>17.107706445161373</v>
      </c>
      <c r="CC63" s="106">
        <v>14822.116864087813</v>
      </c>
      <c r="CD63" s="106">
        <v>21.258062325502141</v>
      </c>
      <c r="CE63" s="106">
        <v>18417.985198815055</v>
      </c>
      <c r="CF63" s="106">
        <v>1.1323045902458704</v>
      </c>
      <c r="CG63" s="106">
        <v>981.02869698902202</v>
      </c>
      <c r="CH63" s="106">
        <v>2.1067935376167246</v>
      </c>
      <c r="CI63" s="106">
        <v>1825.3259209911303</v>
      </c>
      <c r="CJ63" s="106">
        <v>1.1451507446863989</v>
      </c>
      <c r="CK63" s="106">
        <v>992.15860519629598</v>
      </c>
      <c r="CL63" s="106">
        <v>2.121338009226494</v>
      </c>
      <c r="CM63" s="106">
        <v>1837.9272511938343</v>
      </c>
      <c r="CN63" s="106">
        <v>3</v>
      </c>
      <c r="CO63" s="106">
        <v>2599.1999999999998</v>
      </c>
      <c r="CP63" s="106">
        <v>3</v>
      </c>
      <c r="CQ63" s="106">
        <v>2599.1999999999998</v>
      </c>
      <c r="CR63" s="106">
        <v>2</v>
      </c>
      <c r="CS63" s="106">
        <v>1732.8</v>
      </c>
      <c r="CT63" s="106">
        <v>4.4153895647033172</v>
      </c>
      <c r="CU63" s="106">
        <v>3825.4935188589538</v>
      </c>
    </row>
    <row r="64" spans="2:99" x14ac:dyDescent="0.2">
      <c r="C64" s="105" t="s">
        <v>230</v>
      </c>
      <c r="D64" s="106">
        <v>4.2459884874070433</v>
      </c>
      <c r="E64" s="106">
        <v>3709.295542598793</v>
      </c>
      <c r="F64" s="106">
        <v>6</v>
      </c>
      <c r="G64" s="106">
        <v>5241.6000000000004</v>
      </c>
      <c r="H64" s="106">
        <v>7</v>
      </c>
      <c r="I64" s="106">
        <v>6115.2</v>
      </c>
      <c r="J64" s="106">
        <v>5.0831418792294629</v>
      </c>
      <c r="K64" s="106">
        <v>4440.6327456948593</v>
      </c>
      <c r="L64" s="106">
        <v>5</v>
      </c>
      <c r="M64" s="106">
        <v>4368</v>
      </c>
      <c r="N64" s="106">
        <v>8</v>
      </c>
      <c r="O64" s="106">
        <v>6988.8</v>
      </c>
      <c r="P64" s="106">
        <v>6</v>
      </c>
      <c r="Q64" s="106">
        <v>5241.6000000000004</v>
      </c>
      <c r="R64" s="106">
        <v>6</v>
      </c>
      <c r="S64" s="106">
        <v>5241.6000000000004</v>
      </c>
      <c r="T64" s="106">
        <v>4</v>
      </c>
      <c r="U64" s="106">
        <v>3494.4</v>
      </c>
      <c r="V64" s="106">
        <v>3</v>
      </c>
      <c r="W64" s="106">
        <v>2620.8000000000002</v>
      </c>
      <c r="X64" s="106">
        <v>4.4489334399447538</v>
      </c>
      <c r="Y64" s="106">
        <v>3886.588253135737</v>
      </c>
      <c r="Z64" s="106">
        <v>4</v>
      </c>
      <c r="AA64" s="106">
        <v>3494.4</v>
      </c>
      <c r="AB64" s="106">
        <v>8.289212952870713</v>
      </c>
      <c r="AC64" s="106">
        <v>7241.4564356278552</v>
      </c>
      <c r="AD64" s="106">
        <v>8</v>
      </c>
      <c r="AE64" s="106">
        <v>6988.8</v>
      </c>
      <c r="AF64" s="106">
        <v>6</v>
      </c>
      <c r="AG64" s="106">
        <v>5241.6000000000004</v>
      </c>
      <c r="AH64" s="106">
        <v>9</v>
      </c>
      <c r="AI64" s="106">
        <v>7862.4000000000005</v>
      </c>
      <c r="AJ64" s="106">
        <v>4</v>
      </c>
      <c r="AK64" s="106">
        <v>3494.4</v>
      </c>
      <c r="AL64" s="106">
        <v>7</v>
      </c>
      <c r="AM64" s="106">
        <v>6115.2</v>
      </c>
      <c r="AN64" s="106">
        <v>4.2469394116577384</v>
      </c>
      <c r="AO64" s="106">
        <v>3710.1262700242005</v>
      </c>
      <c r="AP64" s="106">
        <v>8.2186445925713585</v>
      </c>
      <c r="AQ64" s="106">
        <v>7179.8079160703392</v>
      </c>
      <c r="AR64" s="106">
        <v>3.6886571017541585</v>
      </c>
      <c r="AS64" s="106">
        <v>3222.4108440924329</v>
      </c>
      <c r="AT64" s="106">
        <v>1.9731595327339801</v>
      </c>
      <c r="AU64" s="106">
        <v>1723.752167796405</v>
      </c>
      <c r="AV64" s="106">
        <v>1.8654606869578323</v>
      </c>
      <c r="AW64" s="106">
        <v>1629.6664561263624</v>
      </c>
      <c r="AX64" s="106">
        <v>3</v>
      </c>
      <c r="AY64" s="106">
        <v>2620.8000000000002</v>
      </c>
      <c r="AZ64" s="106">
        <v>1.3222157319783392</v>
      </c>
      <c r="BA64" s="106">
        <v>1155.0876634562771</v>
      </c>
      <c r="BB64" s="106">
        <v>4.8937142822614952</v>
      </c>
      <c r="BC64" s="106">
        <v>4275.1487969836426</v>
      </c>
      <c r="BD64" s="106">
        <v>1.8846769599635969</v>
      </c>
      <c r="BE64" s="106">
        <v>1646.4537922241982</v>
      </c>
      <c r="BF64" s="106">
        <v>1.8049659916279999</v>
      </c>
      <c r="BG64" s="106">
        <v>1576.8182902862206</v>
      </c>
      <c r="BH64" s="106">
        <v>3</v>
      </c>
      <c r="BI64" s="106">
        <v>2620.8000000000002</v>
      </c>
      <c r="BJ64" s="106">
        <v>4.1039439514309679</v>
      </c>
      <c r="BK64" s="106">
        <v>3585.2054359700937</v>
      </c>
      <c r="BL64" s="106">
        <v>5.0816820239732534</v>
      </c>
      <c r="BM64" s="106">
        <v>4439.3574161430342</v>
      </c>
      <c r="BN64" s="106">
        <v>4.2765504048439285</v>
      </c>
      <c r="BO64" s="106">
        <v>3735.9944336716558</v>
      </c>
      <c r="BP64" s="106">
        <v>4</v>
      </c>
      <c r="BQ64" s="106">
        <v>3494.4</v>
      </c>
      <c r="BR64" s="106">
        <v>4</v>
      </c>
      <c r="BS64" s="106">
        <v>3494.4</v>
      </c>
      <c r="BT64" s="106">
        <v>3</v>
      </c>
      <c r="BU64" s="106">
        <v>2620.8000000000002</v>
      </c>
      <c r="BV64" s="106">
        <v>4</v>
      </c>
      <c r="BW64" s="106">
        <v>3494.4</v>
      </c>
      <c r="BX64" s="106">
        <v>15</v>
      </c>
      <c r="BY64" s="106">
        <v>13104</v>
      </c>
      <c r="BZ64" s="106">
        <v>24.347173835903156</v>
      </c>
      <c r="CA64" s="106">
        <v>21269.691063044997</v>
      </c>
      <c r="CB64" s="106">
        <v>16.134633056451715</v>
      </c>
      <c r="CC64" s="106">
        <v>14095.215438116218</v>
      </c>
      <c r="CD64" s="106">
        <v>21.258062325502141</v>
      </c>
      <c r="CE64" s="106">
        <v>18571.043247558671</v>
      </c>
      <c r="CF64" s="106">
        <v>1.1323045902458704</v>
      </c>
      <c r="CG64" s="106">
        <v>989.18129003879244</v>
      </c>
      <c r="CH64" s="106">
        <v>2.0915373179571923</v>
      </c>
      <c r="CI64" s="106">
        <v>1827.1670009674033</v>
      </c>
      <c r="CJ64" s="106">
        <v>2.1451507446863989</v>
      </c>
      <c r="CK64" s="106">
        <v>1874.0036905580382</v>
      </c>
      <c r="CL64" s="106">
        <v>2.0806117064825211</v>
      </c>
      <c r="CM64" s="106">
        <v>1817.6223867831304</v>
      </c>
      <c r="CN64" s="106">
        <v>3</v>
      </c>
      <c r="CO64" s="106">
        <v>2620.8000000000002</v>
      </c>
      <c r="CP64" s="106">
        <v>3</v>
      </c>
      <c r="CQ64" s="106">
        <v>2620.8000000000002</v>
      </c>
      <c r="CR64" s="106">
        <v>2</v>
      </c>
      <c r="CS64" s="106">
        <v>1747.2</v>
      </c>
      <c r="CT64" s="106">
        <v>3.4569285211736496</v>
      </c>
      <c r="CU64" s="106">
        <v>3019.9727560973001</v>
      </c>
    </row>
    <row r="65" spans="2:99" x14ac:dyDescent="0.2">
      <c r="C65" s="105" t="s">
        <v>231</v>
      </c>
      <c r="D65" s="106">
        <v>4.2459884874070433</v>
      </c>
      <c r="E65" s="106">
        <v>1477.603993617651</v>
      </c>
      <c r="F65" s="106">
        <v>6</v>
      </c>
      <c r="G65" s="106">
        <v>2088</v>
      </c>
      <c r="H65" s="106">
        <v>7</v>
      </c>
      <c r="I65" s="106">
        <v>2436</v>
      </c>
      <c r="J65" s="106">
        <v>5</v>
      </c>
      <c r="K65" s="106">
        <v>1740</v>
      </c>
      <c r="L65" s="106">
        <v>6</v>
      </c>
      <c r="M65" s="106">
        <v>2088</v>
      </c>
      <c r="N65" s="106">
        <v>10</v>
      </c>
      <c r="O65" s="106">
        <v>3480</v>
      </c>
      <c r="P65" s="106">
        <v>7</v>
      </c>
      <c r="Q65" s="106">
        <v>2436</v>
      </c>
      <c r="R65" s="106">
        <v>7</v>
      </c>
      <c r="S65" s="106">
        <v>2436</v>
      </c>
      <c r="T65" s="106">
        <v>4</v>
      </c>
      <c r="U65" s="106">
        <v>1392</v>
      </c>
      <c r="V65" s="106">
        <v>3</v>
      </c>
      <c r="W65" s="106">
        <v>1044</v>
      </c>
      <c r="X65" s="106">
        <v>4.3990519466175586</v>
      </c>
      <c r="Y65" s="106">
        <v>1530.8700774229103</v>
      </c>
      <c r="Z65" s="106">
        <v>4</v>
      </c>
      <c r="AA65" s="106">
        <v>1392</v>
      </c>
      <c r="AB65" s="106">
        <v>10.289212952870713</v>
      </c>
      <c r="AC65" s="106">
        <v>3580.6461075990082</v>
      </c>
      <c r="AD65" s="106">
        <v>9</v>
      </c>
      <c r="AE65" s="106">
        <v>3132</v>
      </c>
      <c r="AF65" s="106">
        <v>6</v>
      </c>
      <c r="AG65" s="106">
        <v>2088</v>
      </c>
      <c r="AH65" s="106">
        <v>9</v>
      </c>
      <c r="AI65" s="106">
        <v>3132</v>
      </c>
      <c r="AJ65" s="106">
        <v>5</v>
      </c>
      <c r="AK65" s="106">
        <v>1740</v>
      </c>
      <c r="AL65" s="106">
        <v>7</v>
      </c>
      <c r="AM65" s="106">
        <v>2436</v>
      </c>
      <c r="AN65" s="106">
        <v>5.2469394116577384</v>
      </c>
      <c r="AO65" s="106">
        <v>1825.934915256893</v>
      </c>
      <c r="AP65" s="106">
        <v>10.218644592571358</v>
      </c>
      <c r="AQ65" s="106">
        <v>3556.0883182148327</v>
      </c>
      <c r="AR65" s="106">
        <v>3.7300031865668779</v>
      </c>
      <c r="AS65" s="106">
        <v>1298.0411089252734</v>
      </c>
      <c r="AT65" s="106">
        <v>1.9731595327339801</v>
      </c>
      <c r="AU65" s="106">
        <v>686.65951739142508</v>
      </c>
      <c r="AV65" s="106">
        <v>1.8654606869578323</v>
      </c>
      <c r="AW65" s="106">
        <v>649.18031906132569</v>
      </c>
      <c r="AX65" s="106">
        <v>3</v>
      </c>
      <c r="AY65" s="106">
        <v>1044</v>
      </c>
      <c r="AZ65" s="106">
        <v>1.5356604208523015</v>
      </c>
      <c r="BA65" s="106">
        <v>534.40982645660097</v>
      </c>
      <c r="BB65" s="106">
        <v>4.8937142822614952</v>
      </c>
      <c r="BC65" s="106">
        <v>1703.0125702270004</v>
      </c>
      <c r="BD65" s="106">
        <v>1.8846769599635969</v>
      </c>
      <c r="BE65" s="106">
        <v>655.86758206733168</v>
      </c>
      <c r="BF65" s="106">
        <v>2.5269523882791995</v>
      </c>
      <c r="BG65" s="106">
        <v>879.37943112116147</v>
      </c>
      <c r="BH65" s="106">
        <v>3</v>
      </c>
      <c r="BI65" s="106">
        <v>1044</v>
      </c>
      <c r="BJ65" s="106">
        <v>4.1039439514309679</v>
      </c>
      <c r="BK65" s="106">
        <v>1428.1724950979769</v>
      </c>
      <c r="BL65" s="106">
        <v>6.0816820239732534</v>
      </c>
      <c r="BM65" s="106">
        <v>2116.4253443426924</v>
      </c>
      <c r="BN65" s="106">
        <v>4.2765504048439285</v>
      </c>
      <c r="BO65" s="106">
        <v>1488.2395408856871</v>
      </c>
      <c r="BP65" s="106">
        <v>4</v>
      </c>
      <c r="BQ65" s="106">
        <v>1392</v>
      </c>
      <c r="BR65" s="106">
        <v>4</v>
      </c>
      <c r="BS65" s="106">
        <v>1392</v>
      </c>
      <c r="BT65" s="106">
        <v>3</v>
      </c>
      <c r="BU65" s="106">
        <v>1044</v>
      </c>
      <c r="BV65" s="106">
        <v>4</v>
      </c>
      <c r="BW65" s="106">
        <v>1392</v>
      </c>
      <c r="BX65" s="106">
        <v>16</v>
      </c>
      <c r="BY65" s="106">
        <v>5568</v>
      </c>
      <c r="BZ65" s="106">
        <v>25.396770098175036</v>
      </c>
      <c r="CA65" s="106">
        <v>8838.0759941649121</v>
      </c>
      <c r="CB65" s="106">
        <v>17.107706445161373</v>
      </c>
      <c r="CC65" s="106">
        <v>5953.4818429161578</v>
      </c>
      <c r="CD65" s="106">
        <v>22.301072713085833</v>
      </c>
      <c r="CE65" s="106">
        <v>7760.7733041538704</v>
      </c>
      <c r="CF65" s="106">
        <v>1.1323045902458704</v>
      </c>
      <c r="CG65" s="106">
        <v>394.04199740556288</v>
      </c>
      <c r="CH65" s="106">
        <v>2.1067935376167246</v>
      </c>
      <c r="CI65" s="106">
        <v>733.16415109062018</v>
      </c>
      <c r="CJ65" s="106">
        <v>1.1209589539053324</v>
      </c>
      <c r="CK65" s="106">
        <v>390.09371595905566</v>
      </c>
      <c r="CL65" s="106">
        <v>2.121338009226494</v>
      </c>
      <c r="CM65" s="106">
        <v>738.22562721081988</v>
      </c>
      <c r="CN65" s="106">
        <v>3</v>
      </c>
      <c r="CO65" s="106">
        <v>1044</v>
      </c>
      <c r="CP65" s="106">
        <v>3</v>
      </c>
      <c r="CQ65" s="106">
        <v>1044</v>
      </c>
      <c r="CR65" s="106">
        <v>2</v>
      </c>
      <c r="CS65" s="106">
        <v>696</v>
      </c>
      <c r="CT65" s="106">
        <v>3.4153895647033177</v>
      </c>
      <c r="CU65" s="106">
        <v>1188.5555685167546</v>
      </c>
    </row>
    <row r="66" spans="2:99" x14ac:dyDescent="0.2">
      <c r="C66" s="105" t="s">
        <v>232</v>
      </c>
      <c r="D66" s="106">
        <v>4.2951861848884523</v>
      </c>
      <c r="E66" s="106">
        <v>3252.3149791975356</v>
      </c>
      <c r="F66" s="106">
        <v>6</v>
      </c>
      <c r="G66" s="106">
        <v>4543.2</v>
      </c>
      <c r="H66" s="106">
        <v>7</v>
      </c>
      <c r="I66" s="106">
        <v>5300.4</v>
      </c>
      <c r="J66" s="106">
        <v>4.0969988591010393</v>
      </c>
      <c r="K66" s="106">
        <v>3102.2475361113065</v>
      </c>
      <c r="L66" s="106">
        <v>6</v>
      </c>
      <c r="M66" s="106">
        <v>4543.2</v>
      </c>
      <c r="N66" s="106">
        <v>9</v>
      </c>
      <c r="O66" s="106">
        <v>6814.7999999999993</v>
      </c>
      <c r="P66" s="106">
        <v>6</v>
      </c>
      <c r="Q66" s="106">
        <v>4543.2</v>
      </c>
      <c r="R66" s="106">
        <v>6</v>
      </c>
      <c r="S66" s="106">
        <v>4543.2</v>
      </c>
      <c r="T66" s="106">
        <v>4</v>
      </c>
      <c r="U66" s="106">
        <v>3028.7999999999997</v>
      </c>
      <c r="V66" s="106">
        <v>3</v>
      </c>
      <c r="W66" s="106">
        <v>2271.6</v>
      </c>
      <c r="X66" s="106">
        <v>4.4489334399447538</v>
      </c>
      <c r="Y66" s="106">
        <v>3368.7324007261673</v>
      </c>
      <c r="Z66" s="106">
        <v>3</v>
      </c>
      <c r="AA66" s="106">
        <v>2271.6</v>
      </c>
      <c r="AB66" s="106">
        <v>9.3253645719795504</v>
      </c>
      <c r="AC66" s="106">
        <v>7061.1660539029153</v>
      </c>
      <c r="AD66" s="106">
        <v>7</v>
      </c>
      <c r="AE66" s="106">
        <v>5300.4</v>
      </c>
      <c r="AF66" s="106">
        <v>6</v>
      </c>
      <c r="AG66" s="106">
        <v>4543.2</v>
      </c>
      <c r="AH66" s="106">
        <v>9</v>
      </c>
      <c r="AI66" s="106">
        <v>6814.7999999999993</v>
      </c>
      <c r="AJ66" s="106">
        <v>4</v>
      </c>
      <c r="AK66" s="106">
        <v>3028.7999999999997</v>
      </c>
      <c r="AL66" s="106">
        <v>7</v>
      </c>
      <c r="AM66" s="106">
        <v>5300.4</v>
      </c>
      <c r="AN66" s="106">
        <v>5.2469394116577384</v>
      </c>
      <c r="AO66" s="106">
        <v>3972.9825225072391</v>
      </c>
      <c r="AP66" s="106">
        <v>8.2186445925713585</v>
      </c>
      <c r="AQ66" s="106">
        <v>6223.1576854950317</v>
      </c>
      <c r="AR66" s="106">
        <v>3.6886571017541585</v>
      </c>
      <c r="AS66" s="106">
        <v>2793.0511574482484</v>
      </c>
      <c r="AT66" s="106">
        <v>1.9731595327339801</v>
      </c>
      <c r="AU66" s="106">
        <v>1494.0763981861696</v>
      </c>
      <c r="AV66" s="106">
        <v>1.492368549566266</v>
      </c>
      <c r="AW66" s="106">
        <v>1130.0214657315764</v>
      </c>
      <c r="AX66" s="106">
        <v>3</v>
      </c>
      <c r="AY66" s="106">
        <v>2271.6</v>
      </c>
      <c r="AZ66" s="106">
        <v>1.3222157319783392</v>
      </c>
      <c r="BA66" s="106">
        <v>1001.1817522539983</v>
      </c>
      <c r="BB66" s="106">
        <v>4.8937142822614952</v>
      </c>
      <c r="BC66" s="106">
        <v>3705.5204545284037</v>
      </c>
      <c r="BD66" s="106">
        <v>1.8846769599635969</v>
      </c>
      <c r="BE66" s="106">
        <v>1427.0773940844354</v>
      </c>
      <c r="BF66" s="106">
        <v>2.1659591899535995</v>
      </c>
      <c r="BG66" s="106">
        <v>1640.0642986328653</v>
      </c>
      <c r="BH66" s="106">
        <v>3</v>
      </c>
      <c r="BI66" s="106">
        <v>2271.6</v>
      </c>
      <c r="BJ66" s="106">
        <v>4.1039439514309679</v>
      </c>
      <c r="BK66" s="106">
        <v>3107.5063600235285</v>
      </c>
      <c r="BL66" s="106">
        <v>6.0816820239732534</v>
      </c>
      <c r="BM66" s="106">
        <v>4605.0496285525469</v>
      </c>
      <c r="BN66" s="106">
        <v>4.2304586707032739</v>
      </c>
      <c r="BO66" s="106">
        <v>3203.3033054565185</v>
      </c>
      <c r="BP66" s="106">
        <v>4</v>
      </c>
      <c r="BQ66" s="106">
        <v>3028.7999999999997</v>
      </c>
      <c r="BR66" s="106">
        <v>4</v>
      </c>
      <c r="BS66" s="106">
        <v>3028.7999999999997</v>
      </c>
      <c r="BT66" s="106">
        <v>3</v>
      </c>
      <c r="BU66" s="106">
        <v>2271.6</v>
      </c>
      <c r="BV66" s="106">
        <v>4</v>
      </c>
      <c r="BW66" s="106">
        <v>3028.7999999999997</v>
      </c>
      <c r="BX66" s="106">
        <v>14</v>
      </c>
      <c r="BY66" s="106">
        <v>10600.8</v>
      </c>
      <c r="BZ66" s="106">
        <v>24.347173835903156</v>
      </c>
      <c r="CA66" s="106">
        <v>18435.680028545867</v>
      </c>
      <c r="CB66" s="106">
        <v>17.134633056451715</v>
      </c>
      <c r="CC66" s="106">
        <v>12974.344150345238</v>
      </c>
      <c r="CD66" s="106">
        <v>23.301072713085833</v>
      </c>
      <c r="CE66" s="106">
        <v>17643.572258348591</v>
      </c>
      <c r="CF66" s="106">
        <v>1.1323045902458704</v>
      </c>
      <c r="CG66" s="106">
        <v>857.381035734173</v>
      </c>
      <c r="CH66" s="106">
        <v>2.1067935376167246</v>
      </c>
      <c r="CI66" s="106">
        <v>1595.2640666833838</v>
      </c>
      <c r="CJ66" s="106">
        <v>2.1209589539053324</v>
      </c>
      <c r="CK66" s="106">
        <v>1605.9901198971174</v>
      </c>
      <c r="CL66" s="106">
        <v>2.121338009226494</v>
      </c>
      <c r="CM66" s="106">
        <v>1606.2771405863011</v>
      </c>
      <c r="CN66" s="106">
        <v>3</v>
      </c>
      <c r="CO66" s="106">
        <v>2271.6</v>
      </c>
      <c r="CP66" s="106">
        <v>3</v>
      </c>
      <c r="CQ66" s="106">
        <v>2271.6</v>
      </c>
      <c r="CR66" s="106">
        <v>2</v>
      </c>
      <c r="CS66" s="106">
        <v>1514.3999999999999</v>
      </c>
      <c r="CT66" s="106">
        <v>3.4153895647033177</v>
      </c>
      <c r="CU66" s="106">
        <v>2586.132978393352</v>
      </c>
    </row>
    <row r="67" spans="2:99" x14ac:dyDescent="0.2">
      <c r="C67" s="105" t="s">
        <v>233</v>
      </c>
      <c r="D67" s="106">
        <v>4.2459884874070433</v>
      </c>
      <c r="E67" s="106">
        <v>1696.6969995678544</v>
      </c>
      <c r="F67" s="106">
        <v>6</v>
      </c>
      <c r="G67" s="106">
        <v>2397.6</v>
      </c>
      <c r="H67" s="106">
        <v>7</v>
      </c>
      <c r="I67" s="106">
        <v>2797.2</v>
      </c>
      <c r="J67" s="106">
        <v>5.0969988591010393</v>
      </c>
      <c r="K67" s="106">
        <v>2036.7607440967752</v>
      </c>
      <c r="L67" s="106">
        <v>6</v>
      </c>
      <c r="M67" s="106">
        <v>2397.6</v>
      </c>
      <c r="N67" s="106">
        <v>9</v>
      </c>
      <c r="O67" s="106">
        <v>3596.3999999999996</v>
      </c>
      <c r="P67" s="106">
        <v>6</v>
      </c>
      <c r="Q67" s="106">
        <v>2397.6</v>
      </c>
      <c r="R67" s="106">
        <v>7</v>
      </c>
      <c r="S67" s="106">
        <v>2797.2</v>
      </c>
      <c r="T67" s="106">
        <v>4</v>
      </c>
      <c r="U67" s="106">
        <v>1598.3999999999999</v>
      </c>
      <c r="V67" s="106">
        <v>3</v>
      </c>
      <c r="W67" s="106">
        <v>1198.8</v>
      </c>
      <c r="X67" s="106">
        <v>4.4489334399447538</v>
      </c>
      <c r="Y67" s="106">
        <v>1777.7938026019235</v>
      </c>
      <c r="Z67" s="106">
        <v>4</v>
      </c>
      <c r="AA67" s="106">
        <v>1598.3999999999999</v>
      </c>
      <c r="AB67" s="106">
        <v>8.289212952870713</v>
      </c>
      <c r="AC67" s="106">
        <v>3312.3694959671366</v>
      </c>
      <c r="AD67" s="106">
        <v>9.0672746876878954</v>
      </c>
      <c r="AE67" s="106">
        <v>3623.2829652000828</v>
      </c>
      <c r="AF67" s="106">
        <v>6</v>
      </c>
      <c r="AG67" s="106">
        <v>2397.6</v>
      </c>
      <c r="AH67" s="106">
        <v>10</v>
      </c>
      <c r="AI67" s="106">
        <v>3995.9999999999995</v>
      </c>
      <c r="AJ67" s="106">
        <v>5</v>
      </c>
      <c r="AK67" s="106">
        <v>1997.9999999999998</v>
      </c>
      <c r="AL67" s="106">
        <v>8</v>
      </c>
      <c r="AM67" s="106">
        <v>3196.7999999999997</v>
      </c>
      <c r="AN67" s="106">
        <v>4.296327293989286</v>
      </c>
      <c r="AO67" s="106">
        <v>1716.8123866781186</v>
      </c>
      <c r="AP67" s="106">
        <v>9.2186445925713585</v>
      </c>
      <c r="AQ67" s="106">
        <v>3683.7703791915146</v>
      </c>
      <c r="AR67" s="106">
        <v>3.6886571017541585</v>
      </c>
      <c r="AS67" s="106">
        <v>1473.9873778609617</v>
      </c>
      <c r="AT67" s="106">
        <v>1.9918239854057358</v>
      </c>
      <c r="AU67" s="106">
        <v>795.932864568132</v>
      </c>
      <c r="AV67" s="106">
        <v>1.8654606869578323</v>
      </c>
      <c r="AW67" s="106">
        <v>745.43809050834977</v>
      </c>
      <c r="AX67" s="106">
        <v>3</v>
      </c>
      <c r="AY67" s="106">
        <v>1198.8</v>
      </c>
      <c r="AZ67" s="106">
        <v>1.313906212231426</v>
      </c>
      <c r="BA67" s="106">
        <v>525.03692240767782</v>
      </c>
      <c r="BB67" s="106">
        <v>4.8937142822614952</v>
      </c>
      <c r="BC67" s="106">
        <v>1955.5282271916933</v>
      </c>
      <c r="BD67" s="106">
        <v>1.8846769599635969</v>
      </c>
      <c r="BE67" s="106">
        <v>753.11691320145326</v>
      </c>
      <c r="BF67" s="106">
        <v>2.1659591899535995</v>
      </c>
      <c r="BG67" s="106">
        <v>865.51729230545823</v>
      </c>
      <c r="BH67" s="106">
        <v>3</v>
      </c>
      <c r="BI67" s="106">
        <v>1198.8</v>
      </c>
      <c r="BJ67" s="106">
        <v>4.1039439514309679</v>
      </c>
      <c r="BK67" s="106">
        <v>1639.9360029918146</v>
      </c>
      <c r="BL67" s="106">
        <v>5.0816820239732534</v>
      </c>
      <c r="BM67" s="106">
        <v>2030.6401367797118</v>
      </c>
      <c r="BN67" s="106">
        <v>5.2304586707032739</v>
      </c>
      <c r="BO67" s="106">
        <v>2090.0912848130279</v>
      </c>
      <c r="BP67" s="106">
        <v>4</v>
      </c>
      <c r="BQ67" s="106">
        <v>1598.3999999999999</v>
      </c>
      <c r="BR67" s="106">
        <v>4</v>
      </c>
      <c r="BS67" s="106">
        <v>1598.3999999999999</v>
      </c>
      <c r="BT67" s="106">
        <v>3</v>
      </c>
      <c r="BU67" s="106">
        <v>1198.8</v>
      </c>
      <c r="BV67" s="106">
        <v>4</v>
      </c>
      <c r="BW67" s="106">
        <v>1598.3999999999999</v>
      </c>
      <c r="BX67" s="106">
        <v>15</v>
      </c>
      <c r="BY67" s="106">
        <v>5993.9999999999991</v>
      </c>
      <c r="BZ67" s="106">
        <v>23.396770098175036</v>
      </c>
      <c r="CA67" s="106">
        <v>9349.3493312307437</v>
      </c>
      <c r="CB67" s="106">
        <v>18.134633056451715</v>
      </c>
      <c r="CC67" s="106">
        <v>7246.5993693581049</v>
      </c>
      <c r="CD67" s="106">
        <v>22.301072713085833</v>
      </c>
      <c r="CE67" s="106">
        <v>8911.5086561490989</v>
      </c>
      <c r="CF67" s="106">
        <v>2.1587655082950441</v>
      </c>
      <c r="CG67" s="106">
        <v>862.64269711469956</v>
      </c>
      <c r="CH67" s="106">
        <v>2.0915373179571923</v>
      </c>
      <c r="CI67" s="106">
        <v>835.778312255694</v>
      </c>
      <c r="CJ67" s="106">
        <v>1.1451507446863989</v>
      </c>
      <c r="CK67" s="106">
        <v>457.60223757668496</v>
      </c>
      <c r="CL67" s="106">
        <v>2.0806117064825211</v>
      </c>
      <c r="CM67" s="106">
        <v>831.41243791041541</v>
      </c>
      <c r="CN67" s="106">
        <v>3</v>
      </c>
      <c r="CO67" s="106">
        <v>1198.8</v>
      </c>
      <c r="CP67" s="106">
        <v>3</v>
      </c>
      <c r="CQ67" s="106">
        <v>1198.8</v>
      </c>
      <c r="CR67" s="106">
        <v>2</v>
      </c>
      <c r="CS67" s="106">
        <v>799.19999999999993</v>
      </c>
      <c r="CT67" s="106">
        <v>3.4153895647033177</v>
      </c>
      <c r="CU67" s="106">
        <v>1364.7896700554456</v>
      </c>
    </row>
    <row r="68" spans="2:99" x14ac:dyDescent="0.2">
      <c r="C68" s="105" t="s">
        <v>234</v>
      </c>
      <c r="D68" s="106">
        <v>4.2459884874070433</v>
      </c>
      <c r="E68" s="106">
        <v>4004.8163413223228</v>
      </c>
      <c r="F68" s="106">
        <v>6</v>
      </c>
      <c r="G68" s="106">
        <v>5659.2</v>
      </c>
      <c r="H68" s="106">
        <v>7</v>
      </c>
      <c r="I68" s="106">
        <v>6602.4</v>
      </c>
      <c r="J68" s="106">
        <v>5</v>
      </c>
      <c r="K68" s="106">
        <v>4716</v>
      </c>
      <c r="L68" s="106">
        <v>5</v>
      </c>
      <c r="M68" s="106">
        <v>4716</v>
      </c>
      <c r="N68" s="106">
        <v>9</v>
      </c>
      <c r="O68" s="106">
        <v>8488.7999999999993</v>
      </c>
      <c r="P68" s="106">
        <v>6</v>
      </c>
      <c r="Q68" s="106">
        <v>5659.2</v>
      </c>
      <c r="R68" s="106">
        <v>6</v>
      </c>
      <c r="S68" s="106">
        <v>5659.2</v>
      </c>
      <c r="T68" s="106">
        <v>4</v>
      </c>
      <c r="U68" s="106">
        <v>3772.7999999999997</v>
      </c>
      <c r="V68" s="106">
        <v>3</v>
      </c>
      <c r="W68" s="106">
        <v>2829.6</v>
      </c>
      <c r="X68" s="106">
        <v>4.3990519466175586</v>
      </c>
      <c r="Y68" s="106">
        <v>4149.1857960496809</v>
      </c>
      <c r="Z68" s="106">
        <v>4</v>
      </c>
      <c r="AA68" s="106">
        <v>3772.7999999999997</v>
      </c>
      <c r="AB68" s="106">
        <v>8.3253645719795504</v>
      </c>
      <c r="AC68" s="106">
        <v>7852.4838642911118</v>
      </c>
      <c r="AD68" s="106">
        <v>8.0672746876878954</v>
      </c>
      <c r="AE68" s="106">
        <v>7609.0534854272228</v>
      </c>
      <c r="AF68" s="106">
        <v>6</v>
      </c>
      <c r="AG68" s="106">
        <v>5659.2</v>
      </c>
      <c r="AH68" s="106">
        <v>10</v>
      </c>
      <c r="AI68" s="106">
        <v>9432</v>
      </c>
      <c r="AJ68" s="106">
        <v>5</v>
      </c>
      <c r="AK68" s="106">
        <v>4716</v>
      </c>
      <c r="AL68" s="106">
        <v>7</v>
      </c>
      <c r="AM68" s="106">
        <v>6602.4</v>
      </c>
      <c r="AN68" s="106">
        <v>5.2469394116577384</v>
      </c>
      <c r="AO68" s="106">
        <v>4948.9132530755787</v>
      </c>
      <c r="AP68" s="106">
        <v>9.2186445925713585</v>
      </c>
      <c r="AQ68" s="106">
        <v>8695.025579713305</v>
      </c>
      <c r="AR68" s="106">
        <v>3.6886571017541585</v>
      </c>
      <c r="AS68" s="106">
        <v>3479.141378374522</v>
      </c>
      <c r="AT68" s="106">
        <v>1.9731595327339801</v>
      </c>
      <c r="AU68" s="106">
        <v>1861.0840712746899</v>
      </c>
      <c r="AV68" s="106">
        <v>1.492368549566266</v>
      </c>
      <c r="AW68" s="106">
        <v>1407.6020159509019</v>
      </c>
      <c r="AX68" s="106">
        <v>3</v>
      </c>
      <c r="AY68" s="106">
        <v>2829.6</v>
      </c>
      <c r="AZ68" s="106">
        <v>1.5273509011053881</v>
      </c>
      <c r="BA68" s="106">
        <v>1440.597369922602</v>
      </c>
      <c r="BB68" s="106">
        <v>4.3499682508991073</v>
      </c>
      <c r="BC68" s="106">
        <v>4102.8900542480378</v>
      </c>
      <c r="BD68" s="106">
        <v>1.8846769599635969</v>
      </c>
      <c r="BE68" s="106">
        <v>1777.6273086376643</v>
      </c>
      <c r="BF68" s="106">
        <v>2.1659591899535995</v>
      </c>
      <c r="BG68" s="106">
        <v>2042.9327079642349</v>
      </c>
      <c r="BH68" s="106">
        <v>3</v>
      </c>
      <c r="BI68" s="106">
        <v>2829.6</v>
      </c>
      <c r="BJ68" s="106">
        <v>4.1039439514309679</v>
      </c>
      <c r="BK68" s="106">
        <v>3870.8399349896886</v>
      </c>
      <c r="BL68" s="106">
        <v>6.0816820239732534</v>
      </c>
      <c r="BM68" s="106">
        <v>5736.2424850115722</v>
      </c>
      <c r="BN68" s="106">
        <v>4.2304586707032739</v>
      </c>
      <c r="BO68" s="106">
        <v>3990.1686182073277</v>
      </c>
      <c r="BP68" s="106">
        <v>4</v>
      </c>
      <c r="BQ68" s="106">
        <v>3772.7999999999997</v>
      </c>
      <c r="BR68" s="106">
        <v>4</v>
      </c>
      <c r="BS68" s="106">
        <v>3772.7999999999997</v>
      </c>
      <c r="BT68" s="106">
        <v>3</v>
      </c>
      <c r="BU68" s="106">
        <v>2829.6</v>
      </c>
      <c r="BV68" s="106">
        <v>4</v>
      </c>
      <c r="BW68" s="106">
        <v>3772.7999999999997</v>
      </c>
      <c r="BX68" s="106">
        <v>13</v>
      </c>
      <c r="BY68" s="106">
        <v>12261.599999999999</v>
      </c>
      <c r="BZ68" s="106">
        <v>24.396770098175036</v>
      </c>
      <c r="CA68" s="106">
        <v>23011.033556598693</v>
      </c>
      <c r="CB68" s="106">
        <v>16.107706445161373</v>
      </c>
      <c r="CC68" s="106">
        <v>15192.788719076207</v>
      </c>
      <c r="CD68" s="106">
        <v>23.301072713085833</v>
      </c>
      <c r="CE68" s="106">
        <v>21977.571782982555</v>
      </c>
      <c r="CF68" s="106">
        <v>2.1323045902458704</v>
      </c>
      <c r="CG68" s="106">
        <v>2011.1896895199047</v>
      </c>
      <c r="CH68" s="106">
        <v>2.1067935376167246</v>
      </c>
      <c r="CI68" s="106">
        <v>1987.1276646800945</v>
      </c>
      <c r="CJ68" s="106">
        <v>2.1451507446863989</v>
      </c>
      <c r="CK68" s="106">
        <v>2023.3061823882113</v>
      </c>
      <c r="CL68" s="106">
        <v>2.121338009226494</v>
      </c>
      <c r="CM68" s="106">
        <v>2000.846010302429</v>
      </c>
      <c r="CN68" s="106">
        <v>3</v>
      </c>
      <c r="CO68" s="106">
        <v>2829.6</v>
      </c>
      <c r="CP68" s="106">
        <v>2</v>
      </c>
      <c r="CQ68" s="106">
        <v>1886.3999999999999</v>
      </c>
      <c r="CR68" s="106">
        <v>2</v>
      </c>
      <c r="CS68" s="106">
        <v>1886.3999999999999</v>
      </c>
      <c r="CT68" s="106">
        <v>4.3738506082329858</v>
      </c>
      <c r="CU68" s="106">
        <v>4125.4158936853519</v>
      </c>
    </row>
    <row r="69" spans="2:99" x14ac:dyDescent="0.2">
      <c r="C69" s="105" t="s">
        <v>235</v>
      </c>
      <c r="D69" s="106">
        <v>4</v>
      </c>
      <c r="E69" s="106">
        <v>3542.4</v>
      </c>
      <c r="F69" s="106">
        <v>6.2987765800259554</v>
      </c>
      <c r="G69" s="106">
        <v>5578.1965392709862</v>
      </c>
      <c r="H69" s="106">
        <v>7</v>
      </c>
      <c r="I69" s="106">
        <v>6199.2</v>
      </c>
      <c r="J69" s="106">
        <v>5.3247934343850725</v>
      </c>
      <c r="K69" s="106">
        <v>4715.6370654914199</v>
      </c>
      <c r="L69" s="106">
        <v>6.6520026365429121</v>
      </c>
      <c r="M69" s="106">
        <v>5891.0135349224029</v>
      </c>
      <c r="N69" s="106">
        <v>9.383193605644955</v>
      </c>
      <c r="O69" s="106">
        <v>8309.7562571591716</v>
      </c>
      <c r="P69" s="106">
        <v>6</v>
      </c>
      <c r="Q69" s="106">
        <v>5313.6</v>
      </c>
      <c r="R69" s="106">
        <v>7.2528175533439274</v>
      </c>
      <c r="S69" s="106">
        <v>6423.0952252413826</v>
      </c>
      <c r="T69" s="106">
        <v>4.2501037125469647</v>
      </c>
      <c r="U69" s="106">
        <v>3763.8918478315923</v>
      </c>
      <c r="V69" s="106">
        <v>3</v>
      </c>
      <c r="W69" s="106">
        <v>2656.8</v>
      </c>
      <c r="X69" s="106">
        <v>2.3078176477353329</v>
      </c>
      <c r="Y69" s="106">
        <v>2043.8033088344109</v>
      </c>
      <c r="Z69" s="106">
        <v>2.2386082363646156</v>
      </c>
      <c r="AA69" s="106">
        <v>1982.5114541245036</v>
      </c>
      <c r="AB69" s="106">
        <v>1.6361950685219302</v>
      </c>
      <c r="AC69" s="106">
        <v>1449.0143526830213</v>
      </c>
      <c r="AD69" s="106">
        <v>8.1662455739317199</v>
      </c>
      <c r="AE69" s="106">
        <v>7232.0270802739315</v>
      </c>
      <c r="AF69" s="106">
        <v>6.2575296937908806</v>
      </c>
      <c r="AG69" s="106">
        <v>5541.6682968212044</v>
      </c>
      <c r="AH69" s="106">
        <v>5.0667318137507733</v>
      </c>
      <c r="AI69" s="106">
        <v>4487.0976942576854</v>
      </c>
      <c r="AJ69" s="106">
        <v>4.1147425619971338</v>
      </c>
      <c r="AK69" s="106">
        <v>3644.0160129046617</v>
      </c>
      <c r="AL69" s="106">
        <v>7.1676602509458966</v>
      </c>
      <c r="AM69" s="106">
        <v>6347.6799182376863</v>
      </c>
      <c r="AN69" s="106">
        <v>5.1759916136947606</v>
      </c>
      <c r="AO69" s="106">
        <v>4583.8581730880796</v>
      </c>
      <c r="AP69" s="106">
        <v>9.0522942093445948</v>
      </c>
      <c r="AQ69" s="106">
        <v>8016.711751795573</v>
      </c>
      <c r="AR69" s="106">
        <v>4.0806215229901808</v>
      </c>
      <c r="AS69" s="106">
        <v>3613.7984207601044</v>
      </c>
      <c r="AT69" s="106">
        <v>5.0744473615580965</v>
      </c>
      <c r="AU69" s="106">
        <v>4493.9305833958506</v>
      </c>
      <c r="AV69" s="106">
        <v>4</v>
      </c>
      <c r="AW69" s="106">
        <v>3542.4</v>
      </c>
      <c r="AX69" s="106">
        <v>3.2190414266607297</v>
      </c>
      <c r="AY69" s="106">
        <v>2850.7830874507422</v>
      </c>
      <c r="AZ69" s="106">
        <v>7.1260615766993674</v>
      </c>
      <c r="BA69" s="106">
        <v>6310.84013232496</v>
      </c>
      <c r="BB69" s="106">
        <v>6.5116042918926409</v>
      </c>
      <c r="BC69" s="106">
        <v>5766.6767609001226</v>
      </c>
      <c r="BD69" s="106">
        <v>2.5748789187604344</v>
      </c>
      <c r="BE69" s="106">
        <v>2280.3127704542408</v>
      </c>
      <c r="BF69" s="106">
        <v>5.3013114884472188</v>
      </c>
      <c r="BG69" s="106">
        <v>4694.8414541688571</v>
      </c>
      <c r="BH69" s="106">
        <v>2.0002457484243821</v>
      </c>
      <c r="BI69" s="106">
        <v>1771.4176348046328</v>
      </c>
      <c r="BJ69" s="106">
        <v>4.1592453603506012</v>
      </c>
      <c r="BK69" s="106">
        <v>3683.4276911264924</v>
      </c>
      <c r="BL69" s="106">
        <v>4.4477246626923135</v>
      </c>
      <c r="BM69" s="106">
        <v>3938.9049612803128</v>
      </c>
      <c r="BN69" s="106">
        <v>4.202119518522113</v>
      </c>
      <c r="BO69" s="106">
        <v>3721.3970456031834</v>
      </c>
      <c r="BP69" s="106">
        <v>3.1338445741913734</v>
      </c>
      <c r="BQ69" s="106">
        <v>2775.3327549038804</v>
      </c>
      <c r="BR69" s="106">
        <v>4.2261507121570174</v>
      </c>
      <c r="BS69" s="106">
        <v>3742.6790706862548</v>
      </c>
      <c r="BT69" s="106">
        <v>3</v>
      </c>
      <c r="BU69" s="106">
        <v>2656.8</v>
      </c>
      <c r="BV69" s="106">
        <v>4.1908465927385095</v>
      </c>
      <c r="BW69" s="106">
        <v>3711.4137425292242</v>
      </c>
      <c r="BX69" s="106">
        <v>14.486642192765565</v>
      </c>
      <c r="BY69" s="106">
        <v>12829.370325913185</v>
      </c>
      <c r="BZ69" s="106">
        <v>12.252614653904853</v>
      </c>
      <c r="CA69" s="106">
        <v>10850.915537498138</v>
      </c>
      <c r="CB69" s="106">
        <v>11.02885613991662</v>
      </c>
      <c r="CC69" s="106">
        <v>9767.1549975101589</v>
      </c>
      <c r="CD69" s="106">
        <v>13.529567173017378</v>
      </c>
      <c r="CE69" s="106">
        <v>11981.78468842419</v>
      </c>
      <c r="CF69" s="106">
        <v>0.31256316876558116</v>
      </c>
      <c r="CG69" s="106">
        <v>276.80594225879867</v>
      </c>
      <c r="CH69" s="106">
        <v>1.4487822847024034</v>
      </c>
      <c r="CI69" s="106">
        <v>1283.0415913324484</v>
      </c>
      <c r="CJ69" s="106">
        <v>0.25515360715557639</v>
      </c>
      <c r="CK69" s="106">
        <v>225.96403449697846</v>
      </c>
      <c r="CL69" s="106">
        <v>0.98037769218105708</v>
      </c>
      <c r="CM69" s="106">
        <v>868.22248419554421</v>
      </c>
      <c r="CN69" s="106">
        <v>3.3440828789924284</v>
      </c>
      <c r="CO69" s="106">
        <v>2961.5197976356949</v>
      </c>
      <c r="CP69" s="106">
        <v>3.3962431148390499</v>
      </c>
      <c r="CQ69" s="106">
        <v>3007.7129025014628</v>
      </c>
      <c r="CR69" s="106">
        <v>3</v>
      </c>
      <c r="CS69" s="106">
        <v>2656.8</v>
      </c>
      <c r="CT69" s="106">
        <v>3.1949127171453187</v>
      </c>
      <c r="CU69" s="106">
        <v>2829.4147023038945</v>
      </c>
    </row>
    <row r="70" spans="2:99" x14ac:dyDescent="0.2">
      <c r="C70" s="105" t="s">
        <v>236</v>
      </c>
      <c r="D70" s="106">
        <v>4</v>
      </c>
      <c r="E70" s="106">
        <v>2832</v>
      </c>
      <c r="F70" s="106">
        <v>6.2987765800259554</v>
      </c>
      <c r="G70" s="106">
        <v>4459.5338186583767</v>
      </c>
      <c r="H70" s="106">
        <v>7</v>
      </c>
      <c r="I70" s="106">
        <v>4956</v>
      </c>
      <c r="J70" s="106">
        <v>5.3711924964400826</v>
      </c>
      <c r="K70" s="106">
        <v>3802.8042874795783</v>
      </c>
      <c r="L70" s="106">
        <v>5.6520026365429121</v>
      </c>
      <c r="M70" s="106">
        <v>4001.6178666723818</v>
      </c>
      <c r="N70" s="106">
        <v>8.383193605644955</v>
      </c>
      <c r="O70" s="106">
        <v>5935.3010727966284</v>
      </c>
      <c r="P70" s="106">
        <v>6</v>
      </c>
      <c r="Q70" s="106">
        <v>4248</v>
      </c>
      <c r="R70" s="106">
        <v>6.2317494238986004</v>
      </c>
      <c r="S70" s="106">
        <v>4412.0785921202087</v>
      </c>
      <c r="T70" s="106">
        <v>4.277893013941072</v>
      </c>
      <c r="U70" s="106">
        <v>3028.7482538702789</v>
      </c>
      <c r="V70" s="106">
        <v>3</v>
      </c>
      <c r="W70" s="106">
        <v>2124</v>
      </c>
      <c r="X70" s="106">
        <v>1.7308632358014999</v>
      </c>
      <c r="Y70" s="106">
        <v>1225.4511709474618</v>
      </c>
      <c r="Z70" s="106">
        <v>2.9422857149647186</v>
      </c>
      <c r="AA70" s="106">
        <v>2083.1382861950206</v>
      </c>
      <c r="AB70" s="106">
        <v>1.6361950685219302</v>
      </c>
      <c r="AC70" s="106">
        <v>1158.4261085135265</v>
      </c>
      <c r="AD70" s="106">
        <v>9.1568473190783326</v>
      </c>
      <c r="AE70" s="106">
        <v>6483.0479019074592</v>
      </c>
      <c r="AF70" s="106">
        <v>6.2575296937908806</v>
      </c>
      <c r="AG70" s="106">
        <v>4430.3310232039439</v>
      </c>
      <c r="AH70" s="106">
        <v>5.5618922149153169</v>
      </c>
      <c r="AI70" s="106">
        <v>3937.8196881600443</v>
      </c>
      <c r="AJ70" s="106">
        <v>4.1338663223299896</v>
      </c>
      <c r="AK70" s="106">
        <v>2926.7773562096327</v>
      </c>
      <c r="AL70" s="106">
        <v>7.1676602509458966</v>
      </c>
      <c r="AM70" s="106">
        <v>5074.7034576696951</v>
      </c>
      <c r="AN70" s="106">
        <v>5.2111899364337129</v>
      </c>
      <c r="AO70" s="106">
        <v>3689.5224749950689</v>
      </c>
      <c r="AP70" s="106">
        <v>9.0522942093445948</v>
      </c>
      <c r="AQ70" s="106">
        <v>6409.0243002159732</v>
      </c>
      <c r="AR70" s="106">
        <v>4.0967458275882169</v>
      </c>
      <c r="AS70" s="106">
        <v>2900.4960459324575</v>
      </c>
      <c r="AT70" s="106">
        <v>5.0595578892464772</v>
      </c>
      <c r="AU70" s="106">
        <v>3582.1669855865057</v>
      </c>
      <c r="AV70" s="106">
        <v>4</v>
      </c>
      <c r="AW70" s="106">
        <v>2832</v>
      </c>
      <c r="AX70" s="106">
        <v>3.2190414266607297</v>
      </c>
      <c r="AY70" s="106">
        <v>2279.0813300757968</v>
      </c>
      <c r="AZ70" s="106">
        <v>7.1260615766993674</v>
      </c>
      <c r="BA70" s="106">
        <v>5045.2515963031519</v>
      </c>
      <c r="BB70" s="106">
        <v>7.3114014476862605</v>
      </c>
      <c r="BC70" s="106">
        <v>5176.4722249618726</v>
      </c>
      <c r="BD70" s="106">
        <v>2.9427187642976391</v>
      </c>
      <c r="BE70" s="106">
        <v>2083.4448851227285</v>
      </c>
      <c r="BF70" s="106">
        <v>5.3013114884472188</v>
      </c>
      <c r="BG70" s="106">
        <v>3753.328533820631</v>
      </c>
      <c r="BH70" s="106">
        <v>2.0002457484243821</v>
      </c>
      <c r="BI70" s="106">
        <v>1416.1739898844626</v>
      </c>
      <c r="BJ70" s="106">
        <v>4.1592453603506012</v>
      </c>
      <c r="BK70" s="106">
        <v>2944.7457151282256</v>
      </c>
      <c r="BL70" s="106">
        <v>5.3372695952307767</v>
      </c>
      <c r="BM70" s="106">
        <v>3778.7868734233898</v>
      </c>
      <c r="BN70" s="106">
        <v>4.2425434222265359</v>
      </c>
      <c r="BO70" s="106">
        <v>3003.7207429363875</v>
      </c>
      <c r="BP70" s="106">
        <v>4.1338445741913734</v>
      </c>
      <c r="BQ70" s="106">
        <v>2926.7619585274924</v>
      </c>
      <c r="BR70" s="106">
        <v>4.2261507121570174</v>
      </c>
      <c r="BS70" s="106">
        <v>2992.1147042071684</v>
      </c>
      <c r="BT70" s="106">
        <v>3</v>
      </c>
      <c r="BU70" s="106">
        <v>2124</v>
      </c>
      <c r="BV70" s="106">
        <v>4.2385582409231368</v>
      </c>
      <c r="BW70" s="106">
        <v>3000.899234573581</v>
      </c>
      <c r="BX70" s="106">
        <v>15.442579914467315</v>
      </c>
      <c r="BY70" s="106">
        <v>10933.346579442859</v>
      </c>
      <c r="BZ70" s="106">
        <v>13.98368165926146</v>
      </c>
      <c r="CA70" s="106">
        <v>9900.4466147571147</v>
      </c>
      <c r="CB70" s="106">
        <v>11.731552338477554</v>
      </c>
      <c r="CC70" s="106">
        <v>8305.9390556421076</v>
      </c>
      <c r="CD70" s="106">
        <v>14.825061665612253</v>
      </c>
      <c r="CE70" s="106">
        <v>10496.143659253476</v>
      </c>
      <c r="CF70" s="106">
        <v>0.31256316876558116</v>
      </c>
      <c r="CG70" s="106">
        <v>221.29472348603147</v>
      </c>
      <c r="CH70" s="106">
        <v>1.4487822847024034</v>
      </c>
      <c r="CI70" s="106">
        <v>1025.7378575693017</v>
      </c>
      <c r="CJ70" s="106">
        <v>0.51030721431115278</v>
      </c>
      <c r="CK70" s="106">
        <v>361.29750773229614</v>
      </c>
      <c r="CL70" s="106">
        <v>0.98037769218105708</v>
      </c>
      <c r="CM70" s="106">
        <v>694.10740606418847</v>
      </c>
      <c r="CN70" s="106">
        <v>3.3202498119849384</v>
      </c>
      <c r="CO70" s="106">
        <v>2350.7368668853364</v>
      </c>
      <c r="CP70" s="106">
        <v>3.4332886810658332</v>
      </c>
      <c r="CQ70" s="106">
        <v>2430.7683861946098</v>
      </c>
      <c r="CR70" s="106">
        <v>2.5067722411312001</v>
      </c>
      <c r="CS70" s="106">
        <v>1774.7947467208896</v>
      </c>
      <c r="CT70" s="106">
        <v>3.2144039888598508</v>
      </c>
      <c r="CU70" s="106">
        <v>2275.7980241127743</v>
      </c>
    </row>
    <row r="71" spans="2:99" x14ac:dyDescent="0.2">
      <c r="B71" s="105" t="s">
        <v>130</v>
      </c>
      <c r="C71" s="105" t="s">
        <v>237</v>
      </c>
      <c r="D71" s="106">
        <v>3.7949826875304256</v>
      </c>
      <c r="E71" s="106">
        <v>2126.7082980920504</v>
      </c>
      <c r="F71" s="106">
        <v>1</v>
      </c>
      <c r="G71" s="106">
        <v>560.4</v>
      </c>
      <c r="H71" s="106">
        <v>1</v>
      </c>
      <c r="I71" s="106">
        <v>560.4</v>
      </c>
      <c r="J71" s="106">
        <v>2</v>
      </c>
      <c r="K71" s="106">
        <v>1120.8</v>
      </c>
      <c r="L71" s="106">
        <v>7</v>
      </c>
      <c r="M71" s="106">
        <v>3922.7999999999997</v>
      </c>
      <c r="N71" s="106">
        <v>6</v>
      </c>
      <c r="O71" s="106">
        <v>3362.3999999999996</v>
      </c>
      <c r="P71" s="106">
        <v>6</v>
      </c>
      <c r="Q71" s="106">
        <v>3362.3999999999996</v>
      </c>
      <c r="R71" s="106">
        <v>6</v>
      </c>
      <c r="S71" s="106">
        <v>3362.3999999999996</v>
      </c>
      <c r="T71" s="106">
        <v>5</v>
      </c>
      <c r="U71" s="106">
        <v>2802</v>
      </c>
      <c r="V71" s="106">
        <v>7</v>
      </c>
      <c r="W71" s="106">
        <v>3922.7999999999997</v>
      </c>
      <c r="X71" s="106">
        <v>5</v>
      </c>
      <c r="Y71" s="106">
        <v>2802</v>
      </c>
      <c r="Z71" s="106">
        <v>5</v>
      </c>
      <c r="AA71" s="106">
        <v>2802</v>
      </c>
      <c r="AB71" s="106">
        <v>9</v>
      </c>
      <c r="AC71" s="106">
        <v>5043.5999999999995</v>
      </c>
      <c r="AD71" s="106">
        <v>10</v>
      </c>
      <c r="AE71" s="106">
        <v>5604</v>
      </c>
      <c r="AF71" s="106">
        <v>11</v>
      </c>
      <c r="AG71" s="106">
        <v>6164.4</v>
      </c>
      <c r="AH71" s="106">
        <v>9</v>
      </c>
      <c r="AI71" s="106">
        <v>5043.5999999999995</v>
      </c>
      <c r="AJ71" s="106">
        <v>4</v>
      </c>
      <c r="AK71" s="106">
        <v>2241.6</v>
      </c>
      <c r="AL71" s="106">
        <v>3</v>
      </c>
      <c r="AM71" s="106">
        <v>1681.1999999999998</v>
      </c>
      <c r="AN71" s="106">
        <v>4</v>
      </c>
      <c r="AO71" s="106">
        <v>2241.6</v>
      </c>
      <c r="AP71" s="106">
        <v>5</v>
      </c>
      <c r="AQ71" s="106">
        <v>2802</v>
      </c>
      <c r="AR71" s="106">
        <v>30.797627108294144</v>
      </c>
      <c r="AS71" s="106">
        <v>17258.990231488038</v>
      </c>
      <c r="AT71" s="106">
        <v>16.078065633896724</v>
      </c>
      <c r="AU71" s="106">
        <v>9010.1479812357229</v>
      </c>
      <c r="AV71" s="106">
        <v>10.819671984355427</v>
      </c>
      <c r="AW71" s="106">
        <v>6063.344180032781</v>
      </c>
      <c r="AX71" s="106">
        <v>24</v>
      </c>
      <c r="AY71" s="106">
        <v>13449.599999999999</v>
      </c>
      <c r="AZ71" s="106">
        <v>8.6208827524276188</v>
      </c>
      <c r="BA71" s="106">
        <v>4831.1426944604373</v>
      </c>
      <c r="BB71" s="106">
        <v>35.887238069917636</v>
      </c>
      <c r="BC71" s="106">
        <v>20111.208214381841</v>
      </c>
      <c r="BD71" s="106">
        <v>19.923727862472308</v>
      </c>
      <c r="BE71" s="106">
        <v>11165.257094129482</v>
      </c>
      <c r="BF71" s="106">
        <v>19.854625907907998</v>
      </c>
      <c r="BG71" s="106">
        <v>11126.532358791641</v>
      </c>
      <c r="BH71" s="106">
        <v>4</v>
      </c>
      <c r="BI71" s="106">
        <v>2241.6</v>
      </c>
      <c r="BJ71" s="106">
        <v>5.1247327417171613</v>
      </c>
      <c r="BK71" s="106">
        <v>2871.9002284582971</v>
      </c>
      <c r="BL71" s="106">
        <v>4</v>
      </c>
      <c r="BM71" s="106">
        <v>2241.6</v>
      </c>
      <c r="BN71" s="106">
        <v>6.4609173414065468</v>
      </c>
      <c r="BO71" s="106">
        <v>3620.6980781242287</v>
      </c>
      <c r="BP71" s="106">
        <v>5</v>
      </c>
      <c r="BQ71" s="106">
        <v>2802</v>
      </c>
      <c r="BR71" s="106">
        <v>5</v>
      </c>
      <c r="BS71" s="106">
        <v>2802</v>
      </c>
      <c r="BT71" s="106">
        <v>5</v>
      </c>
      <c r="BU71" s="106">
        <v>2802</v>
      </c>
      <c r="BV71" s="106">
        <v>6</v>
      </c>
      <c r="BW71" s="106">
        <v>3362.3999999999996</v>
      </c>
      <c r="BX71" s="106">
        <v>4</v>
      </c>
      <c r="BY71" s="106">
        <v>2241.6</v>
      </c>
      <c r="BZ71" s="106">
        <v>5.0415215077094659</v>
      </c>
      <c r="CA71" s="106">
        <v>2825.2686529203847</v>
      </c>
      <c r="CB71" s="106">
        <v>5</v>
      </c>
      <c r="CC71" s="106">
        <v>2802</v>
      </c>
      <c r="CD71" s="106">
        <v>4.5591350385879768</v>
      </c>
      <c r="CE71" s="106">
        <v>2554.9392756247021</v>
      </c>
      <c r="CF71" s="106">
        <v>13</v>
      </c>
      <c r="CG71" s="106">
        <v>7285.2</v>
      </c>
      <c r="CH71" s="106">
        <v>11</v>
      </c>
      <c r="CI71" s="106">
        <v>6164.4</v>
      </c>
      <c r="CJ71" s="106">
        <v>8</v>
      </c>
      <c r="CK71" s="106">
        <v>4483.2</v>
      </c>
      <c r="CL71" s="106">
        <v>11.343333762063885</v>
      </c>
      <c r="CM71" s="106">
        <v>6356.8042402606006</v>
      </c>
      <c r="CN71" s="106">
        <v>3</v>
      </c>
      <c r="CO71" s="106">
        <v>1681.1999999999998</v>
      </c>
      <c r="CP71" s="106">
        <v>4</v>
      </c>
      <c r="CQ71" s="106">
        <v>2241.6</v>
      </c>
      <c r="CR71" s="106">
        <v>3</v>
      </c>
      <c r="CS71" s="106">
        <v>1681.1999999999998</v>
      </c>
      <c r="CT71" s="106">
        <v>5.7061622599956401</v>
      </c>
      <c r="CU71" s="106">
        <v>3197.7333305015568</v>
      </c>
    </row>
    <row r="72" spans="2:99" x14ac:dyDescent="0.2">
      <c r="C72" s="105" t="s">
        <v>238</v>
      </c>
      <c r="D72" s="106">
        <v>3.6197229087906</v>
      </c>
      <c r="E72" s="106">
        <v>3044.9109108746525</v>
      </c>
      <c r="F72" s="106">
        <v>1</v>
      </c>
      <c r="G72" s="106">
        <v>841.19999999999993</v>
      </c>
      <c r="H72" s="106">
        <v>1</v>
      </c>
      <c r="I72" s="106">
        <v>841.19999999999993</v>
      </c>
      <c r="J72" s="106">
        <v>2</v>
      </c>
      <c r="K72" s="106">
        <v>1682.3999999999999</v>
      </c>
      <c r="L72" s="106">
        <v>6</v>
      </c>
      <c r="M72" s="106">
        <v>5047.2</v>
      </c>
      <c r="N72" s="106">
        <v>6</v>
      </c>
      <c r="O72" s="106">
        <v>5047.2</v>
      </c>
      <c r="P72" s="106">
        <v>5</v>
      </c>
      <c r="Q72" s="106">
        <v>4206</v>
      </c>
      <c r="R72" s="106">
        <v>6</v>
      </c>
      <c r="S72" s="106">
        <v>5047.2</v>
      </c>
      <c r="T72" s="106">
        <v>5</v>
      </c>
      <c r="U72" s="106">
        <v>4206</v>
      </c>
      <c r="V72" s="106">
        <v>7</v>
      </c>
      <c r="W72" s="106">
        <v>5888.4</v>
      </c>
      <c r="X72" s="106">
        <v>5</v>
      </c>
      <c r="Y72" s="106">
        <v>4206</v>
      </c>
      <c r="Z72" s="106">
        <v>5</v>
      </c>
      <c r="AA72" s="106">
        <v>4206</v>
      </c>
      <c r="AB72" s="106">
        <v>8</v>
      </c>
      <c r="AC72" s="106">
        <v>6729.5999999999995</v>
      </c>
      <c r="AD72" s="106">
        <v>12</v>
      </c>
      <c r="AE72" s="106">
        <v>10094.4</v>
      </c>
      <c r="AF72" s="106">
        <v>10</v>
      </c>
      <c r="AG72" s="106">
        <v>8412</v>
      </c>
      <c r="AH72" s="106">
        <v>8</v>
      </c>
      <c r="AI72" s="106">
        <v>6729.5999999999995</v>
      </c>
      <c r="AJ72" s="106">
        <v>4</v>
      </c>
      <c r="AK72" s="106">
        <v>3364.7999999999997</v>
      </c>
      <c r="AL72" s="106">
        <v>3</v>
      </c>
      <c r="AM72" s="106">
        <v>2523.6</v>
      </c>
      <c r="AN72" s="106">
        <v>4</v>
      </c>
      <c r="AO72" s="106">
        <v>3364.7999999999997</v>
      </c>
      <c r="AP72" s="106">
        <v>5</v>
      </c>
      <c r="AQ72" s="106">
        <v>4206</v>
      </c>
      <c r="AR72" s="106">
        <v>26.403872676368227</v>
      </c>
      <c r="AS72" s="106">
        <v>22210.93769536095</v>
      </c>
      <c r="AT72" s="106">
        <v>14.179563911849769</v>
      </c>
      <c r="AU72" s="106">
        <v>11927.849162648025</v>
      </c>
      <c r="AV72" s="106">
        <v>9.3273034347891617</v>
      </c>
      <c r="AW72" s="106">
        <v>7846.1276493446421</v>
      </c>
      <c r="AX72" s="106">
        <v>26</v>
      </c>
      <c r="AY72" s="106">
        <v>21871.199999999997</v>
      </c>
      <c r="AZ72" s="106">
        <v>7.5619688278047219</v>
      </c>
      <c r="BA72" s="106">
        <v>6361.128177949332</v>
      </c>
      <c r="BB72" s="106">
        <v>34.25599997583047</v>
      </c>
      <c r="BC72" s="106">
        <v>28816.147179668587</v>
      </c>
      <c r="BD72" s="106">
        <v>19.116009165345055</v>
      </c>
      <c r="BE72" s="106">
        <v>16080.386909888259</v>
      </c>
      <c r="BF72" s="106">
        <v>18.410653114605598</v>
      </c>
      <c r="BG72" s="106">
        <v>15487.041400006228</v>
      </c>
      <c r="BH72" s="106">
        <v>4</v>
      </c>
      <c r="BI72" s="106">
        <v>3364.7999999999997</v>
      </c>
      <c r="BJ72" s="106">
        <v>5.1247327417171613</v>
      </c>
      <c r="BK72" s="106">
        <v>4310.9251823324757</v>
      </c>
      <c r="BL72" s="106">
        <v>4</v>
      </c>
      <c r="BM72" s="106">
        <v>3364.7999999999997</v>
      </c>
      <c r="BN72" s="106">
        <v>6.4609173414065468</v>
      </c>
      <c r="BO72" s="106">
        <v>5434.923667591187</v>
      </c>
      <c r="BP72" s="106">
        <v>5</v>
      </c>
      <c r="BQ72" s="106">
        <v>4206</v>
      </c>
      <c r="BR72" s="106">
        <v>5</v>
      </c>
      <c r="BS72" s="106">
        <v>4206</v>
      </c>
      <c r="BT72" s="106">
        <v>5</v>
      </c>
      <c r="BU72" s="106">
        <v>4206</v>
      </c>
      <c r="BV72" s="106">
        <v>5</v>
      </c>
      <c r="BW72" s="106">
        <v>4206</v>
      </c>
      <c r="BX72" s="106">
        <v>3</v>
      </c>
      <c r="BY72" s="106">
        <v>2523.6</v>
      </c>
      <c r="BZ72" s="106">
        <v>4</v>
      </c>
      <c r="CA72" s="106">
        <v>3364.7999999999997</v>
      </c>
      <c r="CB72" s="106">
        <v>4</v>
      </c>
      <c r="CC72" s="106">
        <v>3364.7999999999997</v>
      </c>
      <c r="CD72" s="106">
        <v>4</v>
      </c>
      <c r="CE72" s="106">
        <v>3364.7999999999997</v>
      </c>
      <c r="CF72" s="106">
        <v>14</v>
      </c>
      <c r="CG72" s="106">
        <v>11776.8</v>
      </c>
      <c r="CH72" s="106">
        <v>10</v>
      </c>
      <c r="CI72" s="106">
        <v>8412</v>
      </c>
      <c r="CJ72" s="106">
        <v>7</v>
      </c>
      <c r="CK72" s="106">
        <v>5888.4</v>
      </c>
      <c r="CL72" s="106">
        <v>12.24109755570124</v>
      </c>
      <c r="CM72" s="106">
        <v>10297.211263855881</v>
      </c>
      <c r="CN72" s="106">
        <v>3</v>
      </c>
      <c r="CO72" s="106">
        <v>2523.6</v>
      </c>
      <c r="CP72" s="106">
        <v>4</v>
      </c>
      <c r="CQ72" s="106">
        <v>3364.7999999999997</v>
      </c>
      <c r="CR72" s="106">
        <v>3</v>
      </c>
      <c r="CS72" s="106">
        <v>2523.6</v>
      </c>
      <c r="CT72" s="106">
        <v>4.6230843470549763</v>
      </c>
      <c r="CU72" s="106">
        <v>3888.9385527426457</v>
      </c>
    </row>
    <row r="73" spans="2:99" x14ac:dyDescent="0.2">
      <c r="C73" s="105" t="s">
        <v>239</v>
      </c>
      <c r="D73" s="106">
        <v>3.4353946017644414</v>
      </c>
      <c r="E73" s="106">
        <v>3574.1845436757244</v>
      </c>
      <c r="F73" s="106">
        <v>1</v>
      </c>
      <c r="G73" s="106">
        <v>1040.3999999999999</v>
      </c>
      <c r="H73" s="106">
        <v>1</v>
      </c>
      <c r="I73" s="106">
        <v>1040.3999999999999</v>
      </c>
      <c r="J73" s="106">
        <v>2</v>
      </c>
      <c r="K73" s="106">
        <v>2080.7999999999997</v>
      </c>
      <c r="L73" s="106">
        <v>5</v>
      </c>
      <c r="M73" s="106">
        <v>5201.9999999999991</v>
      </c>
      <c r="N73" s="106">
        <v>6</v>
      </c>
      <c r="O73" s="106">
        <v>6242.4</v>
      </c>
      <c r="P73" s="106">
        <v>5</v>
      </c>
      <c r="Q73" s="106">
        <v>5201.9999999999991</v>
      </c>
      <c r="R73" s="106">
        <v>6</v>
      </c>
      <c r="S73" s="106">
        <v>6242.4</v>
      </c>
      <c r="T73" s="106">
        <v>4</v>
      </c>
      <c r="U73" s="106">
        <v>4161.5999999999995</v>
      </c>
      <c r="V73" s="106">
        <v>7</v>
      </c>
      <c r="W73" s="106">
        <v>7282.7999999999993</v>
      </c>
      <c r="X73" s="106">
        <v>4</v>
      </c>
      <c r="Y73" s="106">
        <v>4161.5999999999995</v>
      </c>
      <c r="Z73" s="106">
        <v>5</v>
      </c>
      <c r="AA73" s="106">
        <v>5201.9999999999991</v>
      </c>
      <c r="AB73" s="106">
        <v>9</v>
      </c>
      <c r="AC73" s="106">
        <v>9363.5999999999985</v>
      </c>
      <c r="AD73" s="106">
        <v>10</v>
      </c>
      <c r="AE73" s="106">
        <v>10403.999999999998</v>
      </c>
      <c r="AF73" s="106">
        <v>11</v>
      </c>
      <c r="AG73" s="106">
        <v>11444.399999999998</v>
      </c>
      <c r="AH73" s="106">
        <v>9</v>
      </c>
      <c r="AI73" s="106">
        <v>9363.5999999999985</v>
      </c>
      <c r="AJ73" s="106">
        <v>4</v>
      </c>
      <c r="AK73" s="106">
        <v>4161.5999999999995</v>
      </c>
      <c r="AL73" s="106">
        <v>3</v>
      </c>
      <c r="AM73" s="106">
        <v>3121.2</v>
      </c>
      <c r="AN73" s="106">
        <v>4</v>
      </c>
      <c r="AO73" s="106">
        <v>4161.5999999999995</v>
      </c>
      <c r="AP73" s="106">
        <v>5</v>
      </c>
      <c r="AQ73" s="106">
        <v>5201.9999999999991</v>
      </c>
      <c r="AR73" s="106">
        <v>26.44521876118095</v>
      </c>
      <c r="AS73" s="106">
        <v>27513.605599132658</v>
      </c>
      <c r="AT73" s="106">
        <v>14.55926425625916</v>
      </c>
      <c r="AU73" s="106">
        <v>15147.458532212029</v>
      </c>
      <c r="AV73" s="106">
        <v>8.581119160006029</v>
      </c>
      <c r="AW73" s="106">
        <v>8927.7963740702708</v>
      </c>
      <c r="AX73" s="106">
        <v>23</v>
      </c>
      <c r="AY73" s="106">
        <v>23929.199999999997</v>
      </c>
      <c r="AZ73" s="106">
        <v>7.1350794500567973</v>
      </c>
      <c r="BA73" s="106">
        <v>7423.3366598390912</v>
      </c>
      <c r="BB73" s="106">
        <v>30.449777756293752</v>
      </c>
      <c r="BC73" s="106">
        <v>31679.948777648016</v>
      </c>
      <c r="BD73" s="106">
        <v>16.692853073963285</v>
      </c>
      <c r="BE73" s="106">
        <v>17367.244338151399</v>
      </c>
      <c r="BF73" s="106">
        <v>16.244693924651997</v>
      </c>
      <c r="BG73" s="106">
        <v>16900.979559207935</v>
      </c>
      <c r="BH73" s="106">
        <v>4</v>
      </c>
      <c r="BI73" s="106">
        <v>4161.5999999999995</v>
      </c>
      <c r="BJ73" s="106">
        <v>5.1247327417171613</v>
      </c>
      <c r="BK73" s="106">
        <v>5331.7719444825343</v>
      </c>
      <c r="BL73" s="106">
        <v>4</v>
      </c>
      <c r="BM73" s="106">
        <v>4161.5999999999995</v>
      </c>
      <c r="BN73" s="106">
        <v>6.5070090755472023</v>
      </c>
      <c r="BO73" s="106">
        <v>6769.8922421993084</v>
      </c>
      <c r="BP73" s="106">
        <v>5</v>
      </c>
      <c r="BQ73" s="106">
        <v>5201.9999999999991</v>
      </c>
      <c r="BR73" s="106">
        <v>4</v>
      </c>
      <c r="BS73" s="106">
        <v>4161.5999999999995</v>
      </c>
      <c r="BT73" s="106">
        <v>5</v>
      </c>
      <c r="BU73" s="106">
        <v>5201.9999999999991</v>
      </c>
      <c r="BV73" s="106">
        <v>5</v>
      </c>
      <c r="BW73" s="106">
        <v>5201.9999999999991</v>
      </c>
      <c r="BX73" s="106">
        <v>3</v>
      </c>
      <c r="BY73" s="106">
        <v>3121.2</v>
      </c>
      <c r="BZ73" s="106">
        <v>4</v>
      </c>
      <c r="CA73" s="106">
        <v>4161.5999999999995</v>
      </c>
      <c r="CB73" s="106">
        <v>5</v>
      </c>
      <c r="CC73" s="106">
        <v>5201.9999999999991</v>
      </c>
      <c r="CD73" s="106">
        <v>4.5161246510042865</v>
      </c>
      <c r="CE73" s="106">
        <v>4698.576086904859</v>
      </c>
      <c r="CF73" s="106">
        <v>13</v>
      </c>
      <c r="CG73" s="106">
        <v>13525.199999999999</v>
      </c>
      <c r="CH73" s="106">
        <v>10</v>
      </c>
      <c r="CI73" s="106">
        <v>10403.999999999998</v>
      </c>
      <c r="CJ73" s="106">
        <v>6</v>
      </c>
      <c r="CK73" s="106">
        <v>6242.4</v>
      </c>
      <c r="CL73" s="106">
        <v>12.24109755570124</v>
      </c>
      <c r="CM73" s="106">
        <v>12735.637896951568</v>
      </c>
      <c r="CN73" s="106">
        <v>3</v>
      </c>
      <c r="CO73" s="106">
        <v>3121.2</v>
      </c>
      <c r="CP73" s="106">
        <v>5</v>
      </c>
      <c r="CQ73" s="106">
        <v>5201.9999999999991</v>
      </c>
      <c r="CR73" s="106">
        <v>3</v>
      </c>
      <c r="CS73" s="106">
        <v>3121.2</v>
      </c>
      <c r="CT73" s="106">
        <v>5</v>
      </c>
      <c r="CU73" s="106">
        <v>5201.9999999999991</v>
      </c>
    </row>
    <row r="74" spans="2:99" x14ac:dyDescent="0.2">
      <c r="C74" s="105" t="s">
        <v>240</v>
      </c>
      <c r="D74" s="106">
        <v>3.8040512158167585</v>
      </c>
      <c r="E74" s="106">
        <v>1447.0610824966948</v>
      </c>
      <c r="F74" s="106">
        <v>1</v>
      </c>
      <c r="G74" s="106">
        <v>380.4</v>
      </c>
      <c r="H74" s="106">
        <v>1</v>
      </c>
      <c r="I74" s="106">
        <v>380.4</v>
      </c>
      <c r="J74" s="106">
        <v>2</v>
      </c>
      <c r="K74" s="106">
        <v>760.8</v>
      </c>
      <c r="L74" s="106">
        <v>6</v>
      </c>
      <c r="M74" s="106">
        <v>2282.3999999999996</v>
      </c>
      <c r="N74" s="106">
        <v>6</v>
      </c>
      <c r="O74" s="106">
        <v>2282.3999999999996</v>
      </c>
      <c r="P74" s="106">
        <v>6</v>
      </c>
      <c r="Q74" s="106">
        <v>2282.3999999999996</v>
      </c>
      <c r="R74" s="106">
        <v>6</v>
      </c>
      <c r="S74" s="106">
        <v>2282.3999999999996</v>
      </c>
      <c r="T74" s="106">
        <v>5</v>
      </c>
      <c r="U74" s="106">
        <v>1902</v>
      </c>
      <c r="V74" s="106">
        <v>7</v>
      </c>
      <c r="W74" s="106">
        <v>2662.7999999999997</v>
      </c>
      <c r="X74" s="106">
        <v>6</v>
      </c>
      <c r="Y74" s="106">
        <v>2282.3999999999996</v>
      </c>
      <c r="Z74" s="106">
        <v>6</v>
      </c>
      <c r="AA74" s="106">
        <v>2282.3999999999996</v>
      </c>
      <c r="AB74" s="106">
        <v>10</v>
      </c>
      <c r="AC74" s="106">
        <v>3804</v>
      </c>
      <c r="AD74" s="106">
        <v>11</v>
      </c>
      <c r="AE74" s="106">
        <v>4184.3999999999996</v>
      </c>
      <c r="AF74" s="106">
        <v>10</v>
      </c>
      <c r="AG74" s="106">
        <v>3804</v>
      </c>
      <c r="AH74" s="106">
        <v>9</v>
      </c>
      <c r="AI74" s="106">
        <v>3423.6</v>
      </c>
      <c r="AJ74" s="106">
        <v>5</v>
      </c>
      <c r="AK74" s="106">
        <v>1902</v>
      </c>
      <c r="AL74" s="106">
        <v>4</v>
      </c>
      <c r="AM74" s="106">
        <v>1521.6</v>
      </c>
      <c r="AN74" s="106">
        <v>4</v>
      </c>
      <c r="AO74" s="106">
        <v>1521.6</v>
      </c>
      <c r="AP74" s="106">
        <v>6</v>
      </c>
      <c r="AQ74" s="106">
        <v>2282.3999999999996</v>
      </c>
      <c r="AR74" s="106">
        <v>31.668108777716782</v>
      </c>
      <c r="AS74" s="106">
        <v>12046.548579043463</v>
      </c>
      <c r="AT74" s="106">
        <v>16.457765978306117</v>
      </c>
      <c r="AU74" s="106">
        <v>6260.5341781476463</v>
      </c>
      <c r="AV74" s="106">
        <v>10.446579846963861</v>
      </c>
      <c r="AW74" s="106">
        <v>3973.8789737850525</v>
      </c>
      <c r="AX74" s="106">
        <v>29</v>
      </c>
      <c r="AY74" s="106">
        <v>11031.599999999999</v>
      </c>
      <c r="AZ74" s="106">
        <v>9.0560816499224561</v>
      </c>
      <c r="BA74" s="106">
        <v>3444.9334596305021</v>
      </c>
      <c r="BB74" s="106">
        <v>38.60596822672958</v>
      </c>
      <c r="BC74" s="106">
        <v>14685.710313447931</v>
      </c>
      <c r="BD74" s="106">
        <v>19.923727862472308</v>
      </c>
      <c r="BE74" s="106">
        <v>7578.9860788844653</v>
      </c>
      <c r="BF74" s="106">
        <v>18.771646312931196</v>
      </c>
      <c r="BG74" s="106">
        <v>7140.7342574390268</v>
      </c>
      <c r="BH74" s="106">
        <v>4</v>
      </c>
      <c r="BI74" s="106">
        <v>1521.6</v>
      </c>
      <c r="BJ74" s="106">
        <v>5.1455215320033547</v>
      </c>
      <c r="BK74" s="106">
        <v>1957.3563907740761</v>
      </c>
      <c r="BL74" s="106">
        <v>4</v>
      </c>
      <c r="BM74" s="106">
        <v>1521.6</v>
      </c>
      <c r="BN74" s="106">
        <v>7.4148256072658922</v>
      </c>
      <c r="BO74" s="106">
        <v>2820.5996610039451</v>
      </c>
      <c r="BP74" s="106">
        <v>5</v>
      </c>
      <c r="BQ74" s="106">
        <v>1902</v>
      </c>
      <c r="BR74" s="106">
        <v>5</v>
      </c>
      <c r="BS74" s="106">
        <v>1902</v>
      </c>
      <c r="BT74" s="106">
        <v>5</v>
      </c>
      <c r="BU74" s="106">
        <v>1902</v>
      </c>
      <c r="BV74" s="106">
        <v>5</v>
      </c>
      <c r="BW74" s="106">
        <v>1902</v>
      </c>
      <c r="BX74" s="106">
        <v>3</v>
      </c>
      <c r="BY74" s="106">
        <v>1141.1999999999998</v>
      </c>
      <c r="BZ74" s="106">
        <v>5.0911177699813459</v>
      </c>
      <c r="CA74" s="106">
        <v>1936.6611997009038</v>
      </c>
      <c r="CB74" s="106">
        <v>5</v>
      </c>
      <c r="CC74" s="106">
        <v>1902</v>
      </c>
      <c r="CD74" s="106">
        <v>4</v>
      </c>
      <c r="CE74" s="106">
        <v>1521.6</v>
      </c>
      <c r="CF74" s="106">
        <v>13</v>
      </c>
      <c r="CG74" s="106">
        <v>4945.2</v>
      </c>
      <c r="CH74" s="106">
        <v>11</v>
      </c>
      <c r="CI74" s="106">
        <v>4184.3999999999996</v>
      </c>
      <c r="CJ74" s="106">
        <v>8</v>
      </c>
      <c r="CK74" s="106">
        <v>3043.2</v>
      </c>
      <c r="CL74" s="106">
        <v>12.200371252957268</v>
      </c>
      <c r="CM74" s="106">
        <v>4641.0212246249448</v>
      </c>
      <c r="CN74" s="106">
        <v>3</v>
      </c>
      <c r="CO74" s="106">
        <v>1141.1999999999998</v>
      </c>
      <c r="CP74" s="106">
        <v>5</v>
      </c>
      <c r="CQ74" s="106">
        <v>1902</v>
      </c>
      <c r="CR74" s="106">
        <v>4</v>
      </c>
      <c r="CS74" s="106">
        <v>1521.6</v>
      </c>
      <c r="CT74" s="106">
        <v>5</v>
      </c>
      <c r="CU74" s="106">
        <v>1902</v>
      </c>
    </row>
    <row r="75" spans="2:99" x14ac:dyDescent="0.2">
      <c r="C75" s="105" t="s">
        <v>241</v>
      </c>
      <c r="D75" s="106">
        <v>3.6378599653632664</v>
      </c>
      <c r="E75" s="106">
        <v>1458.0542741175973</v>
      </c>
      <c r="F75" s="106">
        <v>2</v>
      </c>
      <c r="G75" s="106">
        <v>801.6</v>
      </c>
      <c r="H75" s="106">
        <v>1</v>
      </c>
      <c r="I75" s="106">
        <v>400.8</v>
      </c>
      <c r="J75" s="106">
        <v>2</v>
      </c>
      <c r="K75" s="106">
        <v>801.6</v>
      </c>
      <c r="L75" s="106">
        <v>7</v>
      </c>
      <c r="M75" s="106">
        <v>2805.6</v>
      </c>
      <c r="N75" s="106">
        <v>6</v>
      </c>
      <c r="O75" s="106">
        <v>2404.8000000000002</v>
      </c>
      <c r="P75" s="106">
        <v>5</v>
      </c>
      <c r="Q75" s="106">
        <v>2004</v>
      </c>
      <c r="R75" s="106">
        <v>6</v>
      </c>
      <c r="S75" s="106">
        <v>2404.8000000000002</v>
      </c>
      <c r="T75" s="106">
        <v>5</v>
      </c>
      <c r="U75" s="106">
        <v>2004</v>
      </c>
      <c r="V75" s="106">
        <v>7</v>
      </c>
      <c r="W75" s="106">
        <v>2805.6</v>
      </c>
      <c r="X75" s="106">
        <v>5</v>
      </c>
      <c r="Y75" s="106">
        <v>2004</v>
      </c>
      <c r="Z75" s="106">
        <v>5</v>
      </c>
      <c r="AA75" s="106">
        <v>2004</v>
      </c>
      <c r="AB75" s="106">
        <v>10</v>
      </c>
      <c r="AC75" s="106">
        <v>4008</v>
      </c>
      <c r="AD75" s="106">
        <v>10</v>
      </c>
      <c r="AE75" s="106">
        <v>4008</v>
      </c>
      <c r="AF75" s="106">
        <v>12</v>
      </c>
      <c r="AG75" s="106">
        <v>4809.6000000000004</v>
      </c>
      <c r="AH75" s="106">
        <v>8</v>
      </c>
      <c r="AI75" s="106">
        <v>3206.4</v>
      </c>
      <c r="AJ75" s="106">
        <v>4</v>
      </c>
      <c r="AK75" s="106">
        <v>1603.2</v>
      </c>
      <c r="AL75" s="106">
        <v>4</v>
      </c>
      <c r="AM75" s="106">
        <v>1603.2</v>
      </c>
      <c r="AN75" s="106">
        <v>5</v>
      </c>
      <c r="AO75" s="106">
        <v>2004</v>
      </c>
      <c r="AP75" s="106">
        <v>5</v>
      </c>
      <c r="AQ75" s="106">
        <v>2004</v>
      </c>
      <c r="AR75" s="106">
        <v>29.927145438871506</v>
      </c>
      <c r="AS75" s="106">
        <v>11994.7998918997</v>
      </c>
      <c r="AT75" s="106">
        <v>17.976567355943683</v>
      </c>
      <c r="AU75" s="106">
        <v>7205.008196262228</v>
      </c>
      <c r="AV75" s="106">
        <v>9.3273034347891617</v>
      </c>
      <c r="AW75" s="106">
        <v>3738.3832166634961</v>
      </c>
      <c r="AX75" s="106">
        <v>28</v>
      </c>
      <c r="AY75" s="106">
        <v>11222.4</v>
      </c>
      <c r="AZ75" s="106">
        <v>8.8426369610484947</v>
      </c>
      <c r="BA75" s="106">
        <v>3544.128893988237</v>
      </c>
      <c r="BB75" s="106">
        <v>34.799746007192859</v>
      </c>
      <c r="BC75" s="106">
        <v>13947.738199682899</v>
      </c>
      <c r="BD75" s="106">
        <v>19.923727862472308</v>
      </c>
      <c r="BE75" s="106">
        <v>7985.4301272789016</v>
      </c>
      <c r="BF75" s="106">
        <v>20.937605502884796</v>
      </c>
      <c r="BG75" s="106">
        <v>8391.7922855562265</v>
      </c>
      <c r="BH75" s="106">
        <v>5</v>
      </c>
      <c r="BI75" s="106">
        <v>2004</v>
      </c>
      <c r="BJ75" s="106">
        <v>5.1455215320033547</v>
      </c>
      <c r="BK75" s="106">
        <v>2062.3250300269447</v>
      </c>
      <c r="BL75" s="106">
        <v>4</v>
      </c>
      <c r="BM75" s="106">
        <v>1603.2</v>
      </c>
      <c r="BN75" s="106">
        <v>6.4609173414065468</v>
      </c>
      <c r="BO75" s="106">
        <v>2589.5356704357441</v>
      </c>
      <c r="BP75" s="106">
        <v>5</v>
      </c>
      <c r="BQ75" s="106">
        <v>2004</v>
      </c>
      <c r="BR75" s="106">
        <v>5</v>
      </c>
      <c r="BS75" s="106">
        <v>2004</v>
      </c>
      <c r="BT75" s="106">
        <v>5</v>
      </c>
      <c r="BU75" s="106">
        <v>2004</v>
      </c>
      <c r="BV75" s="106">
        <v>6</v>
      </c>
      <c r="BW75" s="106">
        <v>2404.8000000000002</v>
      </c>
      <c r="BX75" s="106">
        <v>4</v>
      </c>
      <c r="BY75" s="106">
        <v>1603.2</v>
      </c>
      <c r="BZ75" s="106">
        <v>4</v>
      </c>
      <c r="CA75" s="106">
        <v>1603.2</v>
      </c>
      <c r="CB75" s="106">
        <v>5</v>
      </c>
      <c r="CC75" s="106">
        <v>2004</v>
      </c>
      <c r="CD75" s="106">
        <v>4.6451558137553581</v>
      </c>
      <c r="CE75" s="106">
        <v>1861.7784501531476</v>
      </c>
      <c r="CF75" s="106">
        <v>13</v>
      </c>
      <c r="CG75" s="106">
        <v>5210.4000000000005</v>
      </c>
      <c r="CH75" s="106">
        <v>10</v>
      </c>
      <c r="CI75" s="106">
        <v>4008</v>
      </c>
      <c r="CJ75" s="106">
        <v>7</v>
      </c>
      <c r="CK75" s="106">
        <v>2805.6</v>
      </c>
      <c r="CL75" s="106">
        <v>13.098135046594621</v>
      </c>
      <c r="CM75" s="106">
        <v>5249.7325266751241</v>
      </c>
      <c r="CN75" s="106">
        <v>3</v>
      </c>
      <c r="CO75" s="106">
        <v>1202.4000000000001</v>
      </c>
      <c r="CP75" s="106">
        <v>4</v>
      </c>
      <c r="CQ75" s="106">
        <v>1603.2</v>
      </c>
      <c r="CR75" s="106">
        <v>3</v>
      </c>
      <c r="CS75" s="106">
        <v>1202.4000000000001</v>
      </c>
      <c r="CT75" s="106">
        <v>5</v>
      </c>
      <c r="CU75" s="106">
        <v>2004</v>
      </c>
    </row>
    <row r="76" spans="2:99" x14ac:dyDescent="0.2">
      <c r="C76" s="105" t="s">
        <v>242</v>
      </c>
      <c r="D76" s="106">
        <v>3.6378599653632664</v>
      </c>
      <c r="E76" s="106">
        <v>2523.2196719759618</v>
      </c>
      <c r="F76" s="106">
        <v>2</v>
      </c>
      <c r="G76" s="106">
        <v>1387.2</v>
      </c>
      <c r="H76" s="106">
        <v>1</v>
      </c>
      <c r="I76" s="106">
        <v>693.6</v>
      </c>
      <c r="J76" s="106">
        <v>2</v>
      </c>
      <c r="K76" s="106">
        <v>1387.2</v>
      </c>
      <c r="L76" s="106">
        <v>6</v>
      </c>
      <c r="M76" s="106">
        <v>4161.6000000000004</v>
      </c>
      <c r="N76" s="106">
        <v>6</v>
      </c>
      <c r="O76" s="106">
        <v>4161.6000000000004</v>
      </c>
      <c r="P76" s="106">
        <v>5</v>
      </c>
      <c r="Q76" s="106">
        <v>3468</v>
      </c>
      <c r="R76" s="106">
        <v>6</v>
      </c>
      <c r="S76" s="106">
        <v>4161.6000000000004</v>
      </c>
      <c r="T76" s="106">
        <v>4</v>
      </c>
      <c r="U76" s="106">
        <v>2774.4</v>
      </c>
      <c r="V76" s="106">
        <v>7</v>
      </c>
      <c r="W76" s="106">
        <v>4855.2</v>
      </c>
      <c r="X76" s="106">
        <v>4</v>
      </c>
      <c r="Y76" s="106">
        <v>2774.4</v>
      </c>
      <c r="Z76" s="106">
        <v>5</v>
      </c>
      <c r="AA76" s="106">
        <v>3468</v>
      </c>
      <c r="AB76" s="106">
        <v>8</v>
      </c>
      <c r="AC76" s="106">
        <v>5548.8</v>
      </c>
      <c r="AD76" s="106">
        <v>11</v>
      </c>
      <c r="AE76" s="106">
        <v>7629.6</v>
      </c>
      <c r="AF76" s="106">
        <v>11</v>
      </c>
      <c r="AG76" s="106">
        <v>7629.6</v>
      </c>
      <c r="AH76" s="106">
        <v>9</v>
      </c>
      <c r="AI76" s="106">
        <v>6242.4000000000005</v>
      </c>
      <c r="AJ76" s="106">
        <v>4</v>
      </c>
      <c r="AK76" s="106">
        <v>2774.4</v>
      </c>
      <c r="AL76" s="106">
        <v>3</v>
      </c>
      <c r="AM76" s="106">
        <v>2080.8000000000002</v>
      </c>
      <c r="AN76" s="106">
        <v>5</v>
      </c>
      <c r="AO76" s="106">
        <v>3468</v>
      </c>
      <c r="AP76" s="106">
        <v>5</v>
      </c>
      <c r="AQ76" s="106">
        <v>3468</v>
      </c>
      <c r="AR76" s="106">
        <v>29.056663769448864</v>
      </c>
      <c r="AS76" s="106">
        <v>20153.701990489732</v>
      </c>
      <c r="AT76" s="106">
        <v>16.096730086568481</v>
      </c>
      <c r="AU76" s="106">
        <v>11164.691988043898</v>
      </c>
      <c r="AV76" s="106">
        <v>8.9542112973975954</v>
      </c>
      <c r="AW76" s="106">
        <v>6210.640955874972</v>
      </c>
      <c r="AX76" s="106">
        <v>28</v>
      </c>
      <c r="AY76" s="106">
        <v>19420.8</v>
      </c>
      <c r="AZ76" s="106">
        <v>8.4074380635536574</v>
      </c>
      <c r="BA76" s="106">
        <v>5831.3990408808168</v>
      </c>
      <c r="BB76" s="106">
        <v>33.168507913105692</v>
      </c>
      <c r="BC76" s="106">
        <v>23005.677088530108</v>
      </c>
      <c r="BD76" s="106">
        <v>17.231332205381456</v>
      </c>
      <c r="BE76" s="106">
        <v>11951.652017652577</v>
      </c>
      <c r="BF76" s="106">
        <v>17.327673519628796</v>
      </c>
      <c r="BG76" s="106">
        <v>12018.474353214533</v>
      </c>
      <c r="BH76" s="106">
        <v>4</v>
      </c>
      <c r="BI76" s="106">
        <v>2774.4</v>
      </c>
      <c r="BJ76" s="106">
        <v>5.1247327417171613</v>
      </c>
      <c r="BK76" s="106">
        <v>3554.5146296550233</v>
      </c>
      <c r="BL76" s="106">
        <v>4</v>
      </c>
      <c r="BM76" s="106">
        <v>2774.4</v>
      </c>
      <c r="BN76" s="106">
        <v>7.4609173414065468</v>
      </c>
      <c r="BO76" s="106">
        <v>5174.8922679995812</v>
      </c>
      <c r="BP76" s="106">
        <v>5</v>
      </c>
      <c r="BQ76" s="106">
        <v>3468</v>
      </c>
      <c r="BR76" s="106">
        <v>5</v>
      </c>
      <c r="BS76" s="106">
        <v>3468</v>
      </c>
      <c r="BT76" s="106">
        <v>5</v>
      </c>
      <c r="BU76" s="106">
        <v>3468</v>
      </c>
      <c r="BV76" s="106">
        <v>6</v>
      </c>
      <c r="BW76" s="106">
        <v>4161.6000000000004</v>
      </c>
      <c r="BX76" s="106">
        <v>3</v>
      </c>
      <c r="BY76" s="106">
        <v>2080.8000000000002</v>
      </c>
      <c r="BZ76" s="106">
        <v>4</v>
      </c>
      <c r="CA76" s="106">
        <v>2774.4</v>
      </c>
      <c r="CB76" s="106">
        <v>5</v>
      </c>
      <c r="CC76" s="106">
        <v>3468</v>
      </c>
      <c r="CD76" s="106">
        <v>4.5591350385879768</v>
      </c>
      <c r="CE76" s="106">
        <v>3162.2160627646208</v>
      </c>
      <c r="CF76" s="106">
        <v>11</v>
      </c>
      <c r="CG76" s="106">
        <v>7629.6</v>
      </c>
      <c r="CH76" s="106">
        <v>11</v>
      </c>
      <c r="CI76" s="106">
        <v>7629.6</v>
      </c>
      <c r="CJ76" s="106">
        <v>8</v>
      </c>
      <c r="CK76" s="106">
        <v>5548.8</v>
      </c>
      <c r="CL76" s="106">
        <v>12.24109755570124</v>
      </c>
      <c r="CM76" s="106">
        <v>8490.4252646343793</v>
      </c>
      <c r="CN76" s="106">
        <v>3</v>
      </c>
      <c r="CO76" s="106">
        <v>2080.8000000000002</v>
      </c>
      <c r="CP76" s="106">
        <v>5</v>
      </c>
      <c r="CQ76" s="106">
        <v>3468</v>
      </c>
      <c r="CR76" s="106">
        <v>3</v>
      </c>
      <c r="CS76" s="106">
        <v>2080.8000000000002</v>
      </c>
      <c r="CT76" s="106">
        <v>5</v>
      </c>
      <c r="CU76" s="106">
        <v>3468</v>
      </c>
    </row>
    <row r="77" spans="2:99" x14ac:dyDescent="0.2">
      <c r="C77" s="105" t="s">
        <v>243</v>
      </c>
      <c r="D77" s="106">
        <v>3.6197229087906</v>
      </c>
      <c r="E77" s="106">
        <v>3479.2776599295244</v>
      </c>
      <c r="F77" s="106">
        <v>2</v>
      </c>
      <c r="G77" s="106">
        <v>1922.3999999999999</v>
      </c>
      <c r="H77" s="106">
        <v>1</v>
      </c>
      <c r="I77" s="106">
        <v>961.19999999999993</v>
      </c>
      <c r="J77" s="106">
        <v>2</v>
      </c>
      <c r="K77" s="106">
        <v>1922.3999999999999</v>
      </c>
      <c r="L77" s="106">
        <v>6</v>
      </c>
      <c r="M77" s="106">
        <v>5767.2</v>
      </c>
      <c r="N77" s="106">
        <v>6</v>
      </c>
      <c r="O77" s="106">
        <v>5767.2</v>
      </c>
      <c r="P77" s="106">
        <v>5</v>
      </c>
      <c r="Q77" s="106">
        <v>4806</v>
      </c>
      <c r="R77" s="106">
        <v>5</v>
      </c>
      <c r="S77" s="106">
        <v>4806</v>
      </c>
      <c r="T77" s="106">
        <v>4</v>
      </c>
      <c r="U77" s="106">
        <v>3844.7999999999997</v>
      </c>
      <c r="V77" s="106">
        <v>8</v>
      </c>
      <c r="W77" s="106">
        <v>7689.5999999999995</v>
      </c>
      <c r="X77" s="106">
        <v>5</v>
      </c>
      <c r="Y77" s="106">
        <v>4806</v>
      </c>
      <c r="Z77" s="106">
        <v>5</v>
      </c>
      <c r="AA77" s="106">
        <v>4806</v>
      </c>
      <c r="AB77" s="106">
        <v>9</v>
      </c>
      <c r="AC77" s="106">
        <v>8650.7999999999993</v>
      </c>
      <c r="AD77" s="106">
        <v>10</v>
      </c>
      <c r="AE77" s="106">
        <v>9612</v>
      </c>
      <c r="AF77" s="106">
        <v>10</v>
      </c>
      <c r="AG77" s="106">
        <v>9612</v>
      </c>
      <c r="AH77" s="106">
        <v>8</v>
      </c>
      <c r="AI77" s="106">
        <v>7689.5999999999995</v>
      </c>
      <c r="AJ77" s="106">
        <v>4</v>
      </c>
      <c r="AK77" s="106">
        <v>3844.7999999999997</v>
      </c>
      <c r="AL77" s="106">
        <v>4</v>
      </c>
      <c r="AM77" s="106">
        <v>3844.7999999999997</v>
      </c>
      <c r="AN77" s="106">
        <v>4</v>
      </c>
      <c r="AO77" s="106">
        <v>3844.7999999999997</v>
      </c>
      <c r="AP77" s="106">
        <v>5</v>
      </c>
      <c r="AQ77" s="106">
        <v>4806</v>
      </c>
      <c r="AR77" s="106">
        <v>28.186182100026226</v>
      </c>
      <c r="AS77" s="106">
        <v>27092.558234545206</v>
      </c>
      <c r="AT77" s="106">
        <v>14.957629053340309</v>
      </c>
      <c r="AU77" s="106">
        <v>14377.273046070704</v>
      </c>
      <c r="AV77" s="106">
        <v>8.2080270226144627</v>
      </c>
      <c r="AW77" s="106">
        <v>7889.5555741370208</v>
      </c>
      <c r="AX77" s="106">
        <v>23</v>
      </c>
      <c r="AY77" s="106">
        <v>22107.599999999999</v>
      </c>
      <c r="AZ77" s="106">
        <v>7.7754135166786833</v>
      </c>
      <c r="BA77" s="106">
        <v>7473.7274722315497</v>
      </c>
      <c r="BB77" s="106">
        <v>33.168507913105692</v>
      </c>
      <c r="BC77" s="106">
        <v>31881.56980607719</v>
      </c>
      <c r="BD77" s="106">
        <v>18.846769599635966</v>
      </c>
      <c r="BE77" s="106">
        <v>18115.514939170091</v>
      </c>
      <c r="BF77" s="106">
        <v>17.327673519628796</v>
      </c>
      <c r="BG77" s="106">
        <v>16655.359787067198</v>
      </c>
      <c r="BH77" s="106">
        <v>4</v>
      </c>
      <c r="BI77" s="106">
        <v>3844.7999999999997</v>
      </c>
      <c r="BJ77" s="106">
        <v>5.1455215320033547</v>
      </c>
      <c r="BK77" s="106">
        <v>4945.8752965616241</v>
      </c>
      <c r="BL77" s="106">
        <v>5</v>
      </c>
      <c r="BM77" s="106">
        <v>4806</v>
      </c>
      <c r="BN77" s="106">
        <v>6.4148256072658922</v>
      </c>
      <c r="BO77" s="106">
        <v>6165.9303737039754</v>
      </c>
      <c r="BP77" s="106">
        <v>5</v>
      </c>
      <c r="BQ77" s="106">
        <v>4806</v>
      </c>
      <c r="BR77" s="106">
        <v>4</v>
      </c>
      <c r="BS77" s="106">
        <v>3844.7999999999997</v>
      </c>
      <c r="BT77" s="106">
        <v>4</v>
      </c>
      <c r="BU77" s="106">
        <v>3844.7999999999997</v>
      </c>
      <c r="BV77" s="106">
        <v>5</v>
      </c>
      <c r="BW77" s="106">
        <v>4806</v>
      </c>
      <c r="BX77" s="106">
        <v>3</v>
      </c>
      <c r="BY77" s="106">
        <v>2883.6</v>
      </c>
      <c r="BZ77" s="106">
        <v>4</v>
      </c>
      <c r="CA77" s="106">
        <v>3844.7999999999997</v>
      </c>
      <c r="CB77" s="106">
        <v>5</v>
      </c>
      <c r="CC77" s="106">
        <v>4806</v>
      </c>
      <c r="CD77" s="106">
        <v>4.5591350385879768</v>
      </c>
      <c r="CE77" s="106">
        <v>4382.2405990907628</v>
      </c>
      <c r="CF77" s="106">
        <v>13</v>
      </c>
      <c r="CG77" s="106">
        <v>12495.599999999999</v>
      </c>
      <c r="CH77" s="106">
        <v>9</v>
      </c>
      <c r="CI77" s="106">
        <v>8650.7999999999993</v>
      </c>
      <c r="CJ77" s="106">
        <v>7</v>
      </c>
      <c r="CK77" s="106">
        <v>6728.4</v>
      </c>
      <c r="CL77" s="106">
        <v>13.098135046594621</v>
      </c>
      <c r="CM77" s="106">
        <v>12589.927406786748</v>
      </c>
      <c r="CN77" s="106">
        <v>3</v>
      </c>
      <c r="CO77" s="106">
        <v>2883.6</v>
      </c>
      <c r="CP77" s="106">
        <v>4</v>
      </c>
      <c r="CQ77" s="106">
        <v>3844.7999999999997</v>
      </c>
      <c r="CR77" s="106">
        <v>4</v>
      </c>
      <c r="CS77" s="106">
        <v>3844.7999999999997</v>
      </c>
      <c r="CT77" s="106">
        <v>4</v>
      </c>
      <c r="CU77" s="106">
        <v>3844.7999999999997</v>
      </c>
    </row>
    <row r="78" spans="2:99" x14ac:dyDescent="0.2">
      <c r="C78" s="105" t="s">
        <v>244</v>
      </c>
      <c r="D78" s="106">
        <v>3.8312568006757584</v>
      </c>
      <c r="E78" s="106">
        <v>1668.8954623743602</v>
      </c>
      <c r="F78" s="106">
        <v>1</v>
      </c>
      <c r="G78" s="106">
        <v>435.59999999999997</v>
      </c>
      <c r="H78" s="106">
        <v>1</v>
      </c>
      <c r="I78" s="106">
        <v>435.59999999999997</v>
      </c>
      <c r="J78" s="106">
        <v>2</v>
      </c>
      <c r="K78" s="106">
        <v>871.19999999999993</v>
      </c>
      <c r="L78" s="106">
        <v>6</v>
      </c>
      <c r="M78" s="106">
        <v>2613.6</v>
      </c>
      <c r="N78" s="106">
        <v>6</v>
      </c>
      <c r="O78" s="106">
        <v>2613.6</v>
      </c>
      <c r="P78" s="106">
        <v>5</v>
      </c>
      <c r="Q78" s="106">
        <v>2178</v>
      </c>
      <c r="R78" s="106">
        <v>6</v>
      </c>
      <c r="S78" s="106">
        <v>2613.6</v>
      </c>
      <c r="T78" s="106">
        <v>4</v>
      </c>
      <c r="U78" s="106">
        <v>1742.3999999999999</v>
      </c>
      <c r="V78" s="106">
        <v>8</v>
      </c>
      <c r="W78" s="106">
        <v>3484.7999999999997</v>
      </c>
      <c r="X78" s="106">
        <v>5</v>
      </c>
      <c r="Y78" s="106">
        <v>2178</v>
      </c>
      <c r="Z78" s="106">
        <v>5</v>
      </c>
      <c r="AA78" s="106">
        <v>2178</v>
      </c>
      <c r="AB78" s="106">
        <v>10</v>
      </c>
      <c r="AC78" s="106">
        <v>4356</v>
      </c>
      <c r="AD78" s="106">
        <v>12</v>
      </c>
      <c r="AE78" s="106">
        <v>5227.2</v>
      </c>
      <c r="AF78" s="106">
        <v>10</v>
      </c>
      <c r="AG78" s="106">
        <v>4356</v>
      </c>
      <c r="AH78" s="106">
        <v>10</v>
      </c>
      <c r="AI78" s="106">
        <v>4356</v>
      </c>
      <c r="AJ78" s="106">
        <v>4</v>
      </c>
      <c r="AK78" s="106">
        <v>1742.3999999999999</v>
      </c>
      <c r="AL78" s="106">
        <v>3</v>
      </c>
      <c r="AM78" s="106">
        <v>1306.8</v>
      </c>
      <c r="AN78" s="106">
        <v>4</v>
      </c>
      <c r="AO78" s="106">
        <v>1742.3999999999999</v>
      </c>
      <c r="AP78" s="106">
        <v>6</v>
      </c>
      <c r="AQ78" s="106">
        <v>2613.6</v>
      </c>
      <c r="AR78" s="106">
        <v>28.186182100026226</v>
      </c>
      <c r="AS78" s="106">
        <v>12277.900922771423</v>
      </c>
      <c r="AT78" s="106">
        <v>16.856130775387264</v>
      </c>
      <c r="AU78" s="106">
        <v>7342.5305657586914</v>
      </c>
      <c r="AV78" s="106">
        <v>10.446579846963861</v>
      </c>
      <c r="AW78" s="106">
        <v>4550.5301813374572</v>
      </c>
      <c r="AX78" s="106">
        <v>28</v>
      </c>
      <c r="AY78" s="106">
        <v>12196.8</v>
      </c>
      <c r="AZ78" s="106">
        <v>9.2695263387964193</v>
      </c>
      <c r="BA78" s="106">
        <v>4037.8056731797201</v>
      </c>
      <c r="BB78" s="106">
        <v>36.974730132642414</v>
      </c>
      <c r="BC78" s="106">
        <v>16106.192445779034</v>
      </c>
      <c r="BD78" s="106">
        <v>21.808404822435904</v>
      </c>
      <c r="BE78" s="106">
        <v>9499.7411406530791</v>
      </c>
      <c r="BF78" s="106">
        <v>20.937605502884796</v>
      </c>
      <c r="BG78" s="106">
        <v>9120.4209570566163</v>
      </c>
      <c r="BH78" s="106">
        <v>4</v>
      </c>
      <c r="BI78" s="106">
        <v>1742.3999999999999</v>
      </c>
      <c r="BJ78" s="106">
        <v>5.1247327417171613</v>
      </c>
      <c r="BK78" s="106">
        <v>2232.3335822919953</v>
      </c>
      <c r="BL78" s="106">
        <v>5</v>
      </c>
      <c r="BM78" s="106">
        <v>2178</v>
      </c>
      <c r="BN78" s="106">
        <v>6.5070090755472023</v>
      </c>
      <c r="BO78" s="106">
        <v>2834.4531533083609</v>
      </c>
      <c r="BP78" s="106">
        <v>5</v>
      </c>
      <c r="BQ78" s="106">
        <v>2178</v>
      </c>
      <c r="BR78" s="106">
        <v>5</v>
      </c>
      <c r="BS78" s="106">
        <v>2178</v>
      </c>
      <c r="BT78" s="106">
        <v>5</v>
      </c>
      <c r="BU78" s="106">
        <v>2178</v>
      </c>
      <c r="BV78" s="106">
        <v>5</v>
      </c>
      <c r="BW78" s="106">
        <v>2178</v>
      </c>
      <c r="BX78" s="106">
        <v>4</v>
      </c>
      <c r="BY78" s="106">
        <v>1742.3999999999999</v>
      </c>
      <c r="BZ78" s="106">
        <v>4</v>
      </c>
      <c r="CA78" s="106">
        <v>1742.3999999999999</v>
      </c>
      <c r="CB78" s="106">
        <v>5</v>
      </c>
      <c r="CC78" s="106">
        <v>2178</v>
      </c>
      <c r="CD78" s="106">
        <v>4.5591350385879768</v>
      </c>
      <c r="CE78" s="106">
        <v>1985.9592228089225</v>
      </c>
      <c r="CF78" s="106">
        <v>14</v>
      </c>
      <c r="CG78" s="106">
        <v>6098.4</v>
      </c>
      <c r="CH78" s="106">
        <v>11</v>
      </c>
      <c r="CI78" s="106">
        <v>4791.5999999999995</v>
      </c>
      <c r="CJ78" s="106">
        <v>8</v>
      </c>
      <c r="CK78" s="106">
        <v>3484.7999999999997</v>
      </c>
      <c r="CL78" s="106">
        <v>13.098135046594621</v>
      </c>
      <c r="CM78" s="106">
        <v>5705.5476262966167</v>
      </c>
      <c r="CN78" s="106">
        <v>3</v>
      </c>
      <c r="CO78" s="106">
        <v>1306.8</v>
      </c>
      <c r="CP78" s="106">
        <v>4</v>
      </c>
      <c r="CQ78" s="106">
        <v>1742.3999999999999</v>
      </c>
      <c r="CR78" s="106">
        <v>4</v>
      </c>
      <c r="CS78" s="106">
        <v>1742.3999999999999</v>
      </c>
      <c r="CT78" s="106">
        <v>4.6646233035253086</v>
      </c>
      <c r="CU78" s="106">
        <v>2031.9099110156242</v>
      </c>
    </row>
    <row r="79" spans="2:99" x14ac:dyDescent="0.2">
      <c r="C79" s="105" t="s">
        <v>245</v>
      </c>
      <c r="D79" s="106">
        <v>3.8131197441030915</v>
      </c>
      <c r="E79" s="106">
        <v>123.54507970894016</v>
      </c>
      <c r="F79" s="106">
        <v>1</v>
      </c>
      <c r="G79" s="106">
        <v>32.4</v>
      </c>
      <c r="H79" s="106">
        <v>1</v>
      </c>
      <c r="I79" s="106">
        <v>32.4</v>
      </c>
      <c r="J79" s="106">
        <v>2</v>
      </c>
      <c r="K79" s="106">
        <v>64.8</v>
      </c>
      <c r="L79" s="106">
        <v>7</v>
      </c>
      <c r="M79" s="106">
        <v>226.79999999999998</v>
      </c>
      <c r="N79" s="106">
        <v>7</v>
      </c>
      <c r="O79" s="106">
        <v>226.79999999999998</v>
      </c>
      <c r="P79" s="106">
        <v>5</v>
      </c>
      <c r="Q79" s="106">
        <v>162</v>
      </c>
      <c r="R79" s="106">
        <v>6</v>
      </c>
      <c r="S79" s="106">
        <v>194.39999999999998</v>
      </c>
      <c r="T79" s="106">
        <v>5</v>
      </c>
      <c r="U79" s="106">
        <v>162</v>
      </c>
      <c r="V79" s="106">
        <v>8</v>
      </c>
      <c r="W79" s="106">
        <v>259.2</v>
      </c>
      <c r="X79" s="106">
        <v>5</v>
      </c>
      <c r="Y79" s="106">
        <v>162</v>
      </c>
      <c r="Z79" s="106">
        <v>5</v>
      </c>
      <c r="AA79" s="106">
        <v>162</v>
      </c>
      <c r="AB79" s="106">
        <v>10</v>
      </c>
      <c r="AC79" s="106">
        <v>324</v>
      </c>
      <c r="AD79" s="106">
        <v>12</v>
      </c>
      <c r="AE79" s="106">
        <v>388.79999999999995</v>
      </c>
      <c r="AF79" s="106">
        <v>11</v>
      </c>
      <c r="AG79" s="106">
        <v>356.4</v>
      </c>
      <c r="AH79" s="106">
        <v>9</v>
      </c>
      <c r="AI79" s="106">
        <v>291.59999999999997</v>
      </c>
      <c r="AJ79" s="106">
        <v>5</v>
      </c>
      <c r="AK79" s="106">
        <v>162</v>
      </c>
      <c r="AL79" s="106">
        <v>4</v>
      </c>
      <c r="AM79" s="106">
        <v>129.6</v>
      </c>
      <c r="AN79" s="106">
        <v>4</v>
      </c>
      <c r="AO79" s="106">
        <v>129.6</v>
      </c>
      <c r="AP79" s="106">
        <v>5</v>
      </c>
      <c r="AQ79" s="106">
        <v>162</v>
      </c>
      <c r="AR79" s="106">
        <v>33.409072116562065</v>
      </c>
      <c r="AS79" s="106">
        <v>1082.4539365766109</v>
      </c>
      <c r="AT79" s="106">
        <v>17.235831119796657</v>
      </c>
      <c r="AU79" s="106">
        <v>558.44092828141163</v>
      </c>
      <c r="AV79" s="106">
        <v>11.938948396530128</v>
      </c>
      <c r="AW79" s="106">
        <v>386.82192804757614</v>
      </c>
      <c r="AX79" s="106">
        <v>27</v>
      </c>
      <c r="AY79" s="106">
        <v>874.8</v>
      </c>
      <c r="AZ79" s="106">
        <v>10.33674978316623</v>
      </c>
      <c r="BA79" s="106">
        <v>334.91069297458586</v>
      </c>
      <c r="BB79" s="106">
        <v>37.518476164004802</v>
      </c>
      <c r="BC79" s="106">
        <v>1215.5986277137556</v>
      </c>
      <c r="BD79" s="106">
        <v>21.000686125308651</v>
      </c>
      <c r="BE79" s="106">
        <v>680.42223046000026</v>
      </c>
      <c r="BF79" s="106">
        <v>20.937605502884796</v>
      </c>
      <c r="BG79" s="106">
        <v>678.37841829346735</v>
      </c>
      <c r="BH79" s="106">
        <v>4</v>
      </c>
      <c r="BI79" s="106">
        <v>129.6</v>
      </c>
      <c r="BJ79" s="106">
        <v>5.1455215320033547</v>
      </c>
      <c r="BK79" s="106">
        <v>166.71489763690869</v>
      </c>
      <c r="BL79" s="106">
        <v>5</v>
      </c>
      <c r="BM79" s="106">
        <v>162</v>
      </c>
      <c r="BN79" s="106">
        <v>7.4609173414065468</v>
      </c>
      <c r="BO79" s="106">
        <v>241.73372186157209</v>
      </c>
      <c r="BP79" s="106">
        <v>5</v>
      </c>
      <c r="BQ79" s="106">
        <v>162</v>
      </c>
      <c r="BR79" s="106">
        <v>5</v>
      </c>
      <c r="BS79" s="106">
        <v>162</v>
      </c>
      <c r="BT79" s="106">
        <v>5</v>
      </c>
      <c r="BU79" s="106">
        <v>162</v>
      </c>
      <c r="BV79" s="106">
        <v>6</v>
      </c>
      <c r="BW79" s="106">
        <v>194.39999999999998</v>
      </c>
      <c r="BX79" s="106">
        <v>4</v>
      </c>
      <c r="BY79" s="106">
        <v>129.6</v>
      </c>
      <c r="BZ79" s="106">
        <v>4</v>
      </c>
      <c r="CA79" s="106">
        <v>129.6</v>
      </c>
      <c r="CB79" s="106">
        <v>5</v>
      </c>
      <c r="CC79" s="106">
        <v>162</v>
      </c>
      <c r="CD79" s="106">
        <v>4.602145426171667</v>
      </c>
      <c r="CE79" s="106">
        <v>149.10951180796201</v>
      </c>
      <c r="CF79" s="106">
        <v>14</v>
      </c>
      <c r="CG79" s="106">
        <v>453.59999999999997</v>
      </c>
      <c r="CH79" s="106">
        <v>11</v>
      </c>
      <c r="CI79" s="106">
        <v>356.4</v>
      </c>
      <c r="CJ79" s="106">
        <v>7</v>
      </c>
      <c r="CK79" s="106">
        <v>226.79999999999998</v>
      </c>
      <c r="CL79" s="106">
        <v>13.098135046594621</v>
      </c>
      <c r="CM79" s="106">
        <v>424.3795755096657</v>
      </c>
      <c r="CN79" s="106">
        <v>3</v>
      </c>
      <c r="CO79" s="106">
        <v>97.199999999999989</v>
      </c>
      <c r="CP79" s="106">
        <v>5</v>
      </c>
      <c r="CQ79" s="106">
        <v>162</v>
      </c>
      <c r="CR79" s="106">
        <v>4</v>
      </c>
      <c r="CS79" s="106">
        <v>129.6</v>
      </c>
      <c r="CT79" s="106">
        <v>5.6646233035253086</v>
      </c>
      <c r="CU79" s="106">
        <v>183.53379503421999</v>
      </c>
    </row>
    <row r="80" spans="2:99" x14ac:dyDescent="0.2">
      <c r="C80" s="105" t="s">
        <v>246</v>
      </c>
      <c r="D80" s="106">
        <v>3.8040512158167585</v>
      </c>
      <c r="E80" s="106">
        <v>1835.0743065100041</v>
      </c>
      <c r="F80" s="106">
        <v>2</v>
      </c>
      <c r="G80" s="106">
        <v>964.8</v>
      </c>
      <c r="H80" s="106">
        <v>1</v>
      </c>
      <c r="I80" s="106">
        <v>482.4</v>
      </c>
      <c r="J80" s="106">
        <v>2</v>
      </c>
      <c r="K80" s="106">
        <v>964.8</v>
      </c>
      <c r="L80" s="106">
        <v>7</v>
      </c>
      <c r="M80" s="106">
        <v>3376.7999999999997</v>
      </c>
      <c r="N80" s="106">
        <v>7</v>
      </c>
      <c r="O80" s="106">
        <v>3376.7999999999997</v>
      </c>
      <c r="P80" s="106">
        <v>5</v>
      </c>
      <c r="Q80" s="106">
        <v>2412</v>
      </c>
      <c r="R80" s="106">
        <v>5</v>
      </c>
      <c r="S80" s="106">
        <v>2412</v>
      </c>
      <c r="T80" s="106">
        <v>5</v>
      </c>
      <c r="U80" s="106">
        <v>2412</v>
      </c>
      <c r="V80" s="106">
        <v>7</v>
      </c>
      <c r="W80" s="106">
        <v>3376.7999999999997</v>
      </c>
      <c r="X80" s="106">
        <v>5</v>
      </c>
      <c r="Y80" s="106">
        <v>2412</v>
      </c>
      <c r="Z80" s="106">
        <v>6</v>
      </c>
      <c r="AA80" s="106">
        <v>2894.3999999999996</v>
      </c>
      <c r="AB80" s="106">
        <v>10</v>
      </c>
      <c r="AC80" s="106">
        <v>4824</v>
      </c>
      <c r="AD80" s="106">
        <v>11</v>
      </c>
      <c r="AE80" s="106">
        <v>5306.4</v>
      </c>
      <c r="AF80" s="106">
        <v>11</v>
      </c>
      <c r="AG80" s="106">
        <v>5306.4</v>
      </c>
      <c r="AH80" s="106">
        <v>9</v>
      </c>
      <c r="AI80" s="106">
        <v>4341.5999999999995</v>
      </c>
      <c r="AJ80" s="106">
        <v>5</v>
      </c>
      <c r="AK80" s="106">
        <v>2412</v>
      </c>
      <c r="AL80" s="106">
        <v>4</v>
      </c>
      <c r="AM80" s="106">
        <v>1929.6</v>
      </c>
      <c r="AN80" s="106">
        <v>5</v>
      </c>
      <c r="AO80" s="106">
        <v>2412</v>
      </c>
      <c r="AP80" s="106">
        <v>6</v>
      </c>
      <c r="AQ80" s="106">
        <v>2894.3999999999996</v>
      </c>
      <c r="AR80" s="106">
        <v>29.968491523684225</v>
      </c>
      <c r="AS80" s="106">
        <v>14456.80031102527</v>
      </c>
      <c r="AT80" s="106">
        <v>16.457765978306117</v>
      </c>
      <c r="AU80" s="106">
        <v>7939.2263079348704</v>
      </c>
      <c r="AV80" s="106">
        <v>9.700395572180728</v>
      </c>
      <c r="AW80" s="106">
        <v>4679.4708240199834</v>
      </c>
      <c r="AX80" s="106">
        <v>25</v>
      </c>
      <c r="AY80" s="106">
        <v>12060</v>
      </c>
      <c r="AZ80" s="106">
        <v>9.0477721301755434</v>
      </c>
      <c r="BA80" s="106">
        <v>4364.645275596682</v>
      </c>
      <c r="BB80" s="106">
        <v>35.343492038555247</v>
      </c>
      <c r="BC80" s="106">
        <v>17049.700559399051</v>
      </c>
      <c r="BD80" s="106">
        <v>19.923727862472308</v>
      </c>
      <c r="BE80" s="106">
        <v>9611.2063208566415</v>
      </c>
      <c r="BF80" s="106">
        <v>19.493632709582396</v>
      </c>
      <c r="BG80" s="106">
        <v>9403.7284191025483</v>
      </c>
      <c r="BH80" s="106">
        <v>5</v>
      </c>
      <c r="BI80" s="106">
        <v>2412</v>
      </c>
      <c r="BJ80" s="106">
        <v>5.1455215320033547</v>
      </c>
      <c r="BK80" s="106">
        <v>2482.199587038418</v>
      </c>
      <c r="BL80" s="106">
        <v>5</v>
      </c>
      <c r="BM80" s="106">
        <v>2412</v>
      </c>
      <c r="BN80" s="106">
        <v>7.4609173414065468</v>
      </c>
      <c r="BO80" s="106">
        <v>3599.1465254945178</v>
      </c>
      <c r="BP80" s="106">
        <v>4</v>
      </c>
      <c r="BQ80" s="106">
        <v>1929.6</v>
      </c>
      <c r="BR80" s="106">
        <v>4</v>
      </c>
      <c r="BS80" s="106">
        <v>1929.6</v>
      </c>
      <c r="BT80" s="106">
        <v>5</v>
      </c>
      <c r="BU80" s="106">
        <v>2412</v>
      </c>
      <c r="BV80" s="106">
        <v>6</v>
      </c>
      <c r="BW80" s="106">
        <v>2894.3999999999996</v>
      </c>
      <c r="BX80" s="106">
        <v>4</v>
      </c>
      <c r="BY80" s="106">
        <v>1929.6</v>
      </c>
      <c r="BZ80" s="106">
        <v>4</v>
      </c>
      <c r="CA80" s="106">
        <v>1929.6</v>
      </c>
      <c r="CB80" s="106">
        <v>5</v>
      </c>
      <c r="CC80" s="106">
        <v>2412</v>
      </c>
      <c r="CD80" s="106">
        <v>4.5591350385879768</v>
      </c>
      <c r="CE80" s="106">
        <v>2199.32674261484</v>
      </c>
      <c r="CF80" s="106">
        <v>12</v>
      </c>
      <c r="CG80" s="106">
        <v>5788.7999999999993</v>
      </c>
      <c r="CH80" s="106">
        <v>11</v>
      </c>
      <c r="CI80" s="106">
        <v>5306.4</v>
      </c>
      <c r="CJ80" s="106">
        <v>7</v>
      </c>
      <c r="CK80" s="106">
        <v>3376.7999999999997</v>
      </c>
      <c r="CL80" s="106">
        <v>13.057408743850649</v>
      </c>
      <c r="CM80" s="106">
        <v>6298.8939780335531</v>
      </c>
      <c r="CN80" s="106">
        <v>3</v>
      </c>
      <c r="CO80" s="106">
        <v>1447.1999999999998</v>
      </c>
      <c r="CP80" s="106">
        <v>4</v>
      </c>
      <c r="CQ80" s="106">
        <v>1929.6</v>
      </c>
      <c r="CR80" s="106">
        <v>4</v>
      </c>
      <c r="CS80" s="106">
        <v>1929.6</v>
      </c>
      <c r="CT80" s="106">
        <v>5.6646233035253086</v>
      </c>
      <c r="CU80" s="106">
        <v>2732.6142816206088</v>
      </c>
    </row>
    <row r="81" spans="2:99" x14ac:dyDescent="0.2">
      <c r="C81" s="105" t="s">
        <v>247</v>
      </c>
      <c r="D81" s="106">
        <v>3.6197229087906</v>
      </c>
      <c r="E81" s="106">
        <v>1090.2605401277287</v>
      </c>
      <c r="F81" s="106">
        <v>1</v>
      </c>
      <c r="G81" s="106">
        <v>301.2</v>
      </c>
      <c r="H81" s="106">
        <v>1</v>
      </c>
      <c r="I81" s="106">
        <v>301.2</v>
      </c>
      <c r="J81" s="106">
        <v>2</v>
      </c>
      <c r="K81" s="106">
        <v>602.4</v>
      </c>
      <c r="L81" s="106">
        <v>7</v>
      </c>
      <c r="M81" s="106">
        <v>2108.4</v>
      </c>
      <c r="N81" s="106">
        <v>6</v>
      </c>
      <c r="O81" s="106">
        <v>1807.1999999999998</v>
      </c>
      <c r="P81" s="106">
        <v>5</v>
      </c>
      <c r="Q81" s="106">
        <v>1506</v>
      </c>
      <c r="R81" s="106">
        <v>5</v>
      </c>
      <c r="S81" s="106">
        <v>1506</v>
      </c>
      <c r="T81" s="106">
        <v>5</v>
      </c>
      <c r="U81" s="106">
        <v>1506</v>
      </c>
      <c r="V81" s="106">
        <v>8</v>
      </c>
      <c r="W81" s="106">
        <v>2409.6</v>
      </c>
      <c r="X81" s="106">
        <v>5</v>
      </c>
      <c r="Y81" s="106">
        <v>1506</v>
      </c>
      <c r="Z81" s="106">
        <v>5</v>
      </c>
      <c r="AA81" s="106">
        <v>1506</v>
      </c>
      <c r="AB81" s="106">
        <v>10</v>
      </c>
      <c r="AC81" s="106">
        <v>3012</v>
      </c>
      <c r="AD81" s="106">
        <v>11</v>
      </c>
      <c r="AE81" s="106">
        <v>3313.2</v>
      </c>
      <c r="AF81" s="106">
        <v>11</v>
      </c>
      <c r="AG81" s="106">
        <v>3313.2</v>
      </c>
      <c r="AH81" s="106">
        <v>9</v>
      </c>
      <c r="AI81" s="106">
        <v>2710.7999999999997</v>
      </c>
      <c r="AJ81" s="106">
        <v>4</v>
      </c>
      <c r="AK81" s="106">
        <v>1204.8</v>
      </c>
      <c r="AL81" s="106">
        <v>3</v>
      </c>
      <c r="AM81" s="106">
        <v>903.59999999999991</v>
      </c>
      <c r="AN81" s="106">
        <v>5</v>
      </c>
      <c r="AO81" s="106">
        <v>1506</v>
      </c>
      <c r="AP81" s="106">
        <v>6</v>
      </c>
      <c r="AQ81" s="106">
        <v>1807.1999999999998</v>
      </c>
      <c r="AR81" s="106">
        <v>33.409072116562065</v>
      </c>
      <c r="AS81" s="106">
        <v>10062.812521508493</v>
      </c>
      <c r="AT81" s="106">
        <v>17.59686701153429</v>
      </c>
      <c r="AU81" s="106">
        <v>5300.1763438741282</v>
      </c>
      <c r="AV81" s="106">
        <v>10.073487709572294</v>
      </c>
      <c r="AW81" s="106">
        <v>3034.134498123175</v>
      </c>
      <c r="AX81" s="106">
        <v>29</v>
      </c>
      <c r="AY81" s="106">
        <v>8734.7999999999993</v>
      </c>
      <c r="AZ81" s="106">
        <v>8.4074380635536574</v>
      </c>
      <c r="BA81" s="106">
        <v>2532.3203447423616</v>
      </c>
      <c r="BB81" s="106">
        <v>33.712253944468081</v>
      </c>
      <c r="BC81" s="106">
        <v>10154.130888073785</v>
      </c>
      <c r="BD81" s="106">
        <v>19.654488296763226</v>
      </c>
      <c r="BE81" s="106">
        <v>5919.9318749850836</v>
      </c>
      <c r="BF81" s="106">
        <v>20.937605502884796</v>
      </c>
      <c r="BG81" s="106">
        <v>6306.4067774689001</v>
      </c>
      <c r="BH81" s="106">
        <v>5</v>
      </c>
      <c r="BI81" s="106">
        <v>1506</v>
      </c>
      <c r="BJ81" s="106">
        <v>5.1455215320033547</v>
      </c>
      <c r="BK81" s="106">
        <v>1549.8310854394103</v>
      </c>
      <c r="BL81" s="106">
        <v>4.0816820239732534</v>
      </c>
      <c r="BM81" s="106">
        <v>1229.4026256207439</v>
      </c>
      <c r="BN81" s="106">
        <v>7.5070090755472023</v>
      </c>
      <c r="BO81" s="106">
        <v>2261.1111335548171</v>
      </c>
      <c r="BP81" s="106">
        <v>5</v>
      </c>
      <c r="BQ81" s="106">
        <v>1506</v>
      </c>
      <c r="BR81" s="106">
        <v>5</v>
      </c>
      <c r="BS81" s="106">
        <v>1506</v>
      </c>
      <c r="BT81" s="106">
        <v>5</v>
      </c>
      <c r="BU81" s="106">
        <v>1506</v>
      </c>
      <c r="BV81" s="106">
        <v>6</v>
      </c>
      <c r="BW81" s="106">
        <v>1807.1999999999998</v>
      </c>
      <c r="BX81" s="106">
        <v>4</v>
      </c>
      <c r="BY81" s="106">
        <v>1204.8</v>
      </c>
      <c r="BZ81" s="106">
        <v>4</v>
      </c>
      <c r="CA81" s="106">
        <v>1204.8</v>
      </c>
      <c r="CB81" s="106">
        <v>4</v>
      </c>
      <c r="CC81" s="106">
        <v>1204.8</v>
      </c>
      <c r="CD81" s="106">
        <v>4.6451558137553581</v>
      </c>
      <c r="CE81" s="106">
        <v>1399.1209311031139</v>
      </c>
      <c r="CF81" s="106">
        <v>14</v>
      </c>
      <c r="CG81" s="106">
        <v>4216.8</v>
      </c>
      <c r="CH81" s="106">
        <v>10</v>
      </c>
      <c r="CI81" s="106">
        <v>3012</v>
      </c>
      <c r="CJ81" s="106">
        <v>8</v>
      </c>
      <c r="CK81" s="106">
        <v>2409.6</v>
      </c>
      <c r="CL81" s="106">
        <v>13.995898840231977</v>
      </c>
      <c r="CM81" s="106">
        <v>4215.564730677871</v>
      </c>
      <c r="CN81" s="106">
        <v>3</v>
      </c>
      <c r="CO81" s="106">
        <v>903.59999999999991</v>
      </c>
      <c r="CP81" s="106">
        <v>4</v>
      </c>
      <c r="CQ81" s="106">
        <v>1204.8</v>
      </c>
      <c r="CR81" s="106">
        <v>4</v>
      </c>
      <c r="CS81" s="106">
        <v>1204.8</v>
      </c>
      <c r="CT81" s="106">
        <v>5</v>
      </c>
      <c r="CU81" s="106">
        <v>1506</v>
      </c>
    </row>
    <row r="82" spans="2:99" x14ac:dyDescent="0.2">
      <c r="C82" s="105" t="s">
        <v>248</v>
      </c>
      <c r="D82" s="106">
        <v>3.6287914370769334</v>
      </c>
      <c r="E82" s="106">
        <v>2978.5120115527466</v>
      </c>
      <c r="F82" s="106">
        <v>1</v>
      </c>
      <c r="G82" s="106">
        <v>820.8</v>
      </c>
      <c r="H82" s="106">
        <v>1</v>
      </c>
      <c r="I82" s="106">
        <v>820.8</v>
      </c>
      <c r="J82" s="106">
        <v>2</v>
      </c>
      <c r="K82" s="106">
        <v>1641.6</v>
      </c>
      <c r="L82" s="106">
        <v>6</v>
      </c>
      <c r="M82" s="106">
        <v>4924.7999999999993</v>
      </c>
      <c r="N82" s="106">
        <v>6</v>
      </c>
      <c r="O82" s="106">
        <v>4924.7999999999993</v>
      </c>
      <c r="P82" s="106">
        <v>5</v>
      </c>
      <c r="Q82" s="106">
        <v>4104</v>
      </c>
      <c r="R82" s="106">
        <v>5</v>
      </c>
      <c r="S82" s="106">
        <v>4104</v>
      </c>
      <c r="T82" s="106">
        <v>4</v>
      </c>
      <c r="U82" s="106">
        <v>3283.2</v>
      </c>
      <c r="V82" s="106">
        <v>8</v>
      </c>
      <c r="W82" s="106">
        <v>6566.4</v>
      </c>
      <c r="X82" s="106">
        <v>5</v>
      </c>
      <c r="Y82" s="106">
        <v>4104</v>
      </c>
      <c r="Z82" s="106">
        <v>5</v>
      </c>
      <c r="AA82" s="106">
        <v>4104</v>
      </c>
      <c r="AB82" s="106">
        <v>9</v>
      </c>
      <c r="AC82" s="106">
        <v>7387.2</v>
      </c>
      <c r="AD82" s="106">
        <v>11</v>
      </c>
      <c r="AE82" s="106">
        <v>9028.7999999999993</v>
      </c>
      <c r="AF82" s="106">
        <v>11</v>
      </c>
      <c r="AG82" s="106">
        <v>9028.7999999999993</v>
      </c>
      <c r="AH82" s="106">
        <v>8</v>
      </c>
      <c r="AI82" s="106">
        <v>6566.4</v>
      </c>
      <c r="AJ82" s="106">
        <v>5</v>
      </c>
      <c r="AK82" s="106">
        <v>4104</v>
      </c>
      <c r="AL82" s="106">
        <v>3</v>
      </c>
      <c r="AM82" s="106">
        <v>2462.3999999999996</v>
      </c>
      <c r="AN82" s="106">
        <v>5</v>
      </c>
      <c r="AO82" s="106">
        <v>4104</v>
      </c>
      <c r="AP82" s="106">
        <v>5</v>
      </c>
      <c r="AQ82" s="106">
        <v>4104</v>
      </c>
      <c r="AR82" s="106">
        <v>27.357046515416307</v>
      </c>
      <c r="AS82" s="106">
        <v>22454.663779853705</v>
      </c>
      <c r="AT82" s="106">
        <v>16.837466322715507</v>
      </c>
      <c r="AU82" s="106">
        <v>13820.192357684888</v>
      </c>
      <c r="AV82" s="106">
        <v>8.581119160006029</v>
      </c>
      <c r="AW82" s="106">
        <v>7043.3826065329486</v>
      </c>
      <c r="AX82" s="106">
        <v>25</v>
      </c>
      <c r="AY82" s="106">
        <v>20520</v>
      </c>
      <c r="AZ82" s="106">
        <v>7.3485241389307596</v>
      </c>
      <c r="BA82" s="106">
        <v>6031.6686132343675</v>
      </c>
      <c r="BB82" s="106">
        <v>32.081015850380915</v>
      </c>
      <c r="BC82" s="106">
        <v>26332.097809992654</v>
      </c>
      <c r="BD82" s="106">
        <v>16.423613508254199</v>
      </c>
      <c r="BE82" s="106">
        <v>13480.501967575046</v>
      </c>
      <c r="BF82" s="106">
        <v>17.688666717954398</v>
      </c>
      <c r="BG82" s="106">
        <v>14518.857642096969</v>
      </c>
      <c r="BH82" s="106">
        <v>4</v>
      </c>
      <c r="BI82" s="106">
        <v>3283.2</v>
      </c>
      <c r="BJ82" s="106">
        <v>5.1455215320033547</v>
      </c>
      <c r="BK82" s="106">
        <v>4223.4440734683531</v>
      </c>
      <c r="BL82" s="106">
        <v>4.0816820239732534</v>
      </c>
      <c r="BM82" s="106">
        <v>3350.2446052772461</v>
      </c>
      <c r="BN82" s="106">
        <v>7.5070090755472023</v>
      </c>
      <c r="BO82" s="106">
        <v>6161.7530492091437</v>
      </c>
      <c r="BP82" s="106">
        <v>5</v>
      </c>
      <c r="BQ82" s="106">
        <v>4104</v>
      </c>
      <c r="BR82" s="106">
        <v>5</v>
      </c>
      <c r="BS82" s="106">
        <v>4104</v>
      </c>
      <c r="BT82" s="106">
        <v>5</v>
      </c>
      <c r="BU82" s="106">
        <v>4104</v>
      </c>
      <c r="BV82" s="106">
        <v>6</v>
      </c>
      <c r="BW82" s="106">
        <v>4924.7999999999993</v>
      </c>
      <c r="BX82" s="106">
        <v>4</v>
      </c>
      <c r="BY82" s="106">
        <v>3283.2</v>
      </c>
      <c r="BZ82" s="106">
        <v>4</v>
      </c>
      <c r="CA82" s="106">
        <v>3283.2</v>
      </c>
      <c r="CB82" s="106">
        <v>4</v>
      </c>
      <c r="CC82" s="106">
        <v>3283.2</v>
      </c>
      <c r="CD82" s="106">
        <v>4</v>
      </c>
      <c r="CE82" s="106">
        <v>3283.2</v>
      </c>
      <c r="CF82" s="106">
        <v>11</v>
      </c>
      <c r="CG82" s="106">
        <v>9028.7999999999993</v>
      </c>
      <c r="CH82" s="106">
        <v>11</v>
      </c>
      <c r="CI82" s="106">
        <v>9028.7999999999993</v>
      </c>
      <c r="CJ82" s="106">
        <v>8</v>
      </c>
      <c r="CK82" s="106">
        <v>6566.4</v>
      </c>
      <c r="CL82" s="106">
        <v>13.098135046594621</v>
      </c>
      <c r="CM82" s="106">
        <v>10750.949246244863</v>
      </c>
      <c r="CN82" s="106">
        <v>3</v>
      </c>
      <c r="CO82" s="106">
        <v>2462.3999999999996</v>
      </c>
      <c r="CP82" s="106">
        <v>4</v>
      </c>
      <c r="CQ82" s="106">
        <v>3283.2</v>
      </c>
      <c r="CR82" s="106">
        <v>3</v>
      </c>
      <c r="CS82" s="106">
        <v>2462.3999999999996</v>
      </c>
      <c r="CT82" s="106">
        <v>4</v>
      </c>
      <c r="CU82" s="106">
        <v>3283.2</v>
      </c>
    </row>
    <row r="83" spans="2:99" x14ac:dyDescent="0.2">
      <c r="C83" s="105" t="s">
        <v>249</v>
      </c>
      <c r="D83" s="106">
        <v>3.8221882723894254</v>
      </c>
      <c r="E83" s="106">
        <v>486.18234824793478</v>
      </c>
      <c r="F83" s="106">
        <v>2</v>
      </c>
      <c r="G83" s="106">
        <v>254.39999999999995</v>
      </c>
      <c r="H83" s="106">
        <v>1</v>
      </c>
      <c r="I83" s="106">
        <v>127.19999999999997</v>
      </c>
      <c r="J83" s="106">
        <v>2</v>
      </c>
      <c r="K83" s="106">
        <v>254.39999999999995</v>
      </c>
      <c r="L83" s="106">
        <v>6</v>
      </c>
      <c r="M83" s="106">
        <v>763.19999999999982</v>
      </c>
      <c r="N83" s="106">
        <v>6</v>
      </c>
      <c r="O83" s="106">
        <v>763.19999999999982</v>
      </c>
      <c r="P83" s="106">
        <v>5</v>
      </c>
      <c r="Q83" s="106">
        <v>635.99999999999989</v>
      </c>
      <c r="R83" s="106">
        <v>6</v>
      </c>
      <c r="S83" s="106">
        <v>763.19999999999982</v>
      </c>
      <c r="T83" s="106">
        <v>5</v>
      </c>
      <c r="U83" s="106">
        <v>635.99999999999989</v>
      </c>
      <c r="V83" s="106">
        <v>8</v>
      </c>
      <c r="W83" s="106">
        <v>1017.5999999999998</v>
      </c>
      <c r="X83" s="106">
        <v>5</v>
      </c>
      <c r="Y83" s="106">
        <v>635.99999999999989</v>
      </c>
      <c r="Z83" s="106">
        <v>6</v>
      </c>
      <c r="AA83" s="106">
        <v>763.19999999999982</v>
      </c>
      <c r="AB83" s="106">
        <v>9</v>
      </c>
      <c r="AC83" s="106">
        <v>1144.7999999999997</v>
      </c>
      <c r="AD83" s="106">
        <v>12</v>
      </c>
      <c r="AE83" s="106">
        <v>1526.3999999999996</v>
      </c>
      <c r="AF83" s="106">
        <v>10</v>
      </c>
      <c r="AG83" s="106">
        <v>1271.9999999999998</v>
      </c>
      <c r="AH83" s="106">
        <v>9</v>
      </c>
      <c r="AI83" s="106">
        <v>1144.7999999999997</v>
      </c>
      <c r="AJ83" s="106">
        <v>4</v>
      </c>
      <c r="AK83" s="106">
        <v>508.7999999999999</v>
      </c>
      <c r="AL83" s="106">
        <v>4</v>
      </c>
      <c r="AM83" s="106">
        <v>508.7999999999999</v>
      </c>
      <c r="AN83" s="106">
        <v>5</v>
      </c>
      <c r="AO83" s="106">
        <v>635.99999999999989</v>
      </c>
      <c r="AP83" s="106">
        <v>5</v>
      </c>
      <c r="AQ83" s="106">
        <v>635.99999999999989</v>
      </c>
      <c r="AR83" s="106">
        <v>30.838973193106867</v>
      </c>
      <c r="AS83" s="106">
        <v>3922.7173901631927</v>
      </c>
      <c r="AT83" s="106">
        <v>17.99523180861544</v>
      </c>
      <c r="AU83" s="106">
        <v>2288.9934860558833</v>
      </c>
      <c r="AV83" s="106">
        <v>11.565856259138561</v>
      </c>
      <c r="AW83" s="106">
        <v>1471.1769161624247</v>
      </c>
      <c r="AX83" s="106">
        <v>29</v>
      </c>
      <c r="AY83" s="106">
        <v>3688.7999999999993</v>
      </c>
      <c r="AZ83" s="106">
        <v>10.558503991787104</v>
      </c>
      <c r="BA83" s="106">
        <v>1343.0417077553193</v>
      </c>
      <c r="BB83" s="106">
        <v>37.518476164004802</v>
      </c>
      <c r="BC83" s="106">
        <v>4772.3501680614099</v>
      </c>
      <c r="BD83" s="106">
        <v>21.000686125308651</v>
      </c>
      <c r="BE83" s="106">
        <v>2671.2872751392597</v>
      </c>
      <c r="BF83" s="106">
        <v>22.020585097861598</v>
      </c>
      <c r="BG83" s="106">
        <v>2801.0184244479947</v>
      </c>
      <c r="BH83" s="106">
        <v>4</v>
      </c>
      <c r="BI83" s="106">
        <v>508.7999999999999</v>
      </c>
      <c r="BJ83" s="106">
        <v>5.1247327417171613</v>
      </c>
      <c r="BK83" s="106">
        <v>651.86600474642273</v>
      </c>
      <c r="BL83" s="106">
        <v>5</v>
      </c>
      <c r="BM83" s="106">
        <v>635.99999999999989</v>
      </c>
      <c r="BN83" s="106">
        <v>7.4609173414065468</v>
      </c>
      <c r="BO83" s="106">
        <v>949.02868582691258</v>
      </c>
      <c r="BP83" s="106">
        <v>5</v>
      </c>
      <c r="BQ83" s="106">
        <v>635.99999999999989</v>
      </c>
      <c r="BR83" s="106">
        <v>5</v>
      </c>
      <c r="BS83" s="106">
        <v>635.99999999999989</v>
      </c>
      <c r="BT83" s="106">
        <v>6</v>
      </c>
      <c r="BU83" s="106">
        <v>763.19999999999982</v>
      </c>
      <c r="BV83" s="106">
        <v>5</v>
      </c>
      <c r="BW83" s="106">
        <v>635.99999999999989</v>
      </c>
      <c r="BX83" s="106">
        <v>4</v>
      </c>
      <c r="BY83" s="106">
        <v>508.7999999999999</v>
      </c>
      <c r="BZ83" s="106">
        <v>4</v>
      </c>
      <c r="CA83" s="106">
        <v>508.7999999999999</v>
      </c>
      <c r="CB83" s="106">
        <v>4</v>
      </c>
      <c r="CC83" s="106">
        <v>508.7999999999999</v>
      </c>
      <c r="CD83" s="106">
        <v>4</v>
      </c>
      <c r="CE83" s="106">
        <v>508.7999999999999</v>
      </c>
      <c r="CF83" s="106">
        <v>13</v>
      </c>
      <c r="CG83" s="106">
        <v>1653.5999999999997</v>
      </c>
      <c r="CH83" s="106">
        <v>11</v>
      </c>
      <c r="CI83" s="106">
        <v>1399.1999999999998</v>
      </c>
      <c r="CJ83" s="106">
        <v>7</v>
      </c>
      <c r="CK83" s="106">
        <v>890.39999999999986</v>
      </c>
      <c r="CL83" s="106">
        <v>14.893662633869333</v>
      </c>
      <c r="CM83" s="106">
        <v>1894.4738870281788</v>
      </c>
      <c r="CN83" s="106">
        <v>3</v>
      </c>
      <c r="CO83" s="106">
        <v>381.59999999999991</v>
      </c>
      <c r="CP83" s="106">
        <v>5</v>
      </c>
      <c r="CQ83" s="106">
        <v>635.99999999999989</v>
      </c>
      <c r="CR83" s="106">
        <v>3</v>
      </c>
      <c r="CS83" s="106">
        <v>381.59999999999991</v>
      </c>
      <c r="CT83" s="106">
        <v>4.7061622599956401</v>
      </c>
      <c r="CU83" s="106">
        <v>598.62383947144531</v>
      </c>
    </row>
    <row r="84" spans="2:99" x14ac:dyDescent="0.2">
      <c r="C84" s="105" t="s">
        <v>250</v>
      </c>
      <c r="D84" s="106">
        <v>3.6197229087906</v>
      </c>
      <c r="E84" s="106">
        <v>3214.3139430060528</v>
      </c>
      <c r="F84" s="106">
        <v>2</v>
      </c>
      <c r="G84" s="106">
        <v>1776</v>
      </c>
      <c r="H84" s="106">
        <v>1</v>
      </c>
      <c r="I84" s="106">
        <v>888</v>
      </c>
      <c r="J84" s="106">
        <v>2</v>
      </c>
      <c r="K84" s="106">
        <v>1776</v>
      </c>
      <c r="L84" s="106">
        <v>6</v>
      </c>
      <c r="M84" s="106">
        <v>5328</v>
      </c>
      <c r="N84" s="106">
        <v>5</v>
      </c>
      <c r="O84" s="106">
        <v>4440</v>
      </c>
      <c r="P84" s="106">
        <v>6</v>
      </c>
      <c r="Q84" s="106">
        <v>5328</v>
      </c>
      <c r="R84" s="106">
        <v>5</v>
      </c>
      <c r="S84" s="106">
        <v>4440</v>
      </c>
      <c r="T84" s="106">
        <v>5</v>
      </c>
      <c r="U84" s="106">
        <v>4440</v>
      </c>
      <c r="V84" s="106">
        <v>8</v>
      </c>
      <c r="W84" s="106">
        <v>7104</v>
      </c>
      <c r="X84" s="106">
        <v>4</v>
      </c>
      <c r="Y84" s="106">
        <v>3552</v>
      </c>
      <c r="Z84" s="106">
        <v>5</v>
      </c>
      <c r="AA84" s="106">
        <v>4440</v>
      </c>
      <c r="AB84" s="106">
        <v>8</v>
      </c>
      <c r="AC84" s="106">
        <v>7104</v>
      </c>
      <c r="AD84" s="106">
        <v>10</v>
      </c>
      <c r="AE84" s="106">
        <v>8880</v>
      </c>
      <c r="AF84" s="106">
        <v>10</v>
      </c>
      <c r="AG84" s="106">
        <v>8880</v>
      </c>
      <c r="AH84" s="106">
        <v>9</v>
      </c>
      <c r="AI84" s="106">
        <v>7992</v>
      </c>
      <c r="AJ84" s="106">
        <v>4</v>
      </c>
      <c r="AK84" s="106">
        <v>3552</v>
      </c>
      <c r="AL84" s="106">
        <v>3</v>
      </c>
      <c r="AM84" s="106">
        <v>2664</v>
      </c>
      <c r="AN84" s="106">
        <v>4</v>
      </c>
      <c r="AO84" s="106">
        <v>3552</v>
      </c>
      <c r="AP84" s="106">
        <v>5</v>
      </c>
      <c r="AQ84" s="106">
        <v>4440</v>
      </c>
      <c r="AR84" s="106">
        <v>27.315700430603588</v>
      </c>
      <c r="AS84" s="106">
        <v>24256.341982375987</v>
      </c>
      <c r="AT84" s="106">
        <v>15.3373293977497</v>
      </c>
      <c r="AU84" s="106">
        <v>13619.548505201734</v>
      </c>
      <c r="AV84" s="106">
        <v>10.073487709572294</v>
      </c>
      <c r="AW84" s="106">
        <v>8945.2570861001968</v>
      </c>
      <c r="AX84" s="106">
        <v>22</v>
      </c>
      <c r="AY84" s="106">
        <v>19536</v>
      </c>
      <c r="AZ84" s="106">
        <v>8.6208827524276188</v>
      </c>
      <c r="BA84" s="106">
        <v>7655.3438841557254</v>
      </c>
      <c r="BB84" s="106">
        <v>32.624761881743304</v>
      </c>
      <c r="BC84" s="106">
        <v>28970.788550988054</v>
      </c>
      <c r="BD84" s="106">
        <v>17.500571771090542</v>
      </c>
      <c r="BE84" s="106">
        <v>15540.507732728402</v>
      </c>
      <c r="BF84" s="106">
        <v>17.327673519628796</v>
      </c>
      <c r="BG84" s="106">
        <v>15386.974085430371</v>
      </c>
      <c r="BH84" s="106">
        <v>4</v>
      </c>
      <c r="BI84" s="106">
        <v>3552</v>
      </c>
      <c r="BJ84" s="106">
        <v>5.1247327417171613</v>
      </c>
      <c r="BK84" s="106">
        <v>4550.7626746448395</v>
      </c>
      <c r="BL84" s="106">
        <v>5</v>
      </c>
      <c r="BM84" s="106">
        <v>4440</v>
      </c>
      <c r="BN84" s="106">
        <v>6.4609173414065468</v>
      </c>
      <c r="BO84" s="106">
        <v>5737.294599169014</v>
      </c>
      <c r="BP84" s="106">
        <v>5</v>
      </c>
      <c r="BQ84" s="106">
        <v>4440</v>
      </c>
      <c r="BR84" s="106">
        <v>5</v>
      </c>
      <c r="BS84" s="106">
        <v>4440</v>
      </c>
      <c r="BT84" s="106">
        <v>5</v>
      </c>
      <c r="BU84" s="106">
        <v>4440</v>
      </c>
      <c r="BV84" s="106">
        <v>5</v>
      </c>
      <c r="BW84" s="106">
        <v>4440</v>
      </c>
      <c r="BX84" s="106">
        <v>4</v>
      </c>
      <c r="BY84" s="106">
        <v>3552</v>
      </c>
      <c r="BZ84" s="106">
        <v>5.0911177699813459</v>
      </c>
      <c r="CA84" s="106">
        <v>4520.9125797434353</v>
      </c>
      <c r="CB84" s="106">
        <v>5</v>
      </c>
      <c r="CC84" s="106">
        <v>4440</v>
      </c>
      <c r="CD84" s="106">
        <v>4</v>
      </c>
      <c r="CE84" s="106">
        <v>3552</v>
      </c>
      <c r="CF84" s="106">
        <v>12</v>
      </c>
      <c r="CG84" s="106">
        <v>10656</v>
      </c>
      <c r="CH84" s="106">
        <v>10</v>
      </c>
      <c r="CI84" s="106">
        <v>8880</v>
      </c>
      <c r="CJ84" s="106">
        <v>7</v>
      </c>
      <c r="CK84" s="106">
        <v>6216</v>
      </c>
      <c r="CL84" s="106">
        <v>11.302607459319912</v>
      </c>
      <c r="CM84" s="106">
        <v>10036.715423876081</v>
      </c>
      <c r="CN84" s="106">
        <v>3</v>
      </c>
      <c r="CO84" s="106">
        <v>2664</v>
      </c>
      <c r="CP84" s="106">
        <v>5</v>
      </c>
      <c r="CQ84" s="106">
        <v>4440</v>
      </c>
      <c r="CR84" s="106">
        <v>3</v>
      </c>
      <c r="CS84" s="106">
        <v>2664</v>
      </c>
      <c r="CT84" s="106">
        <v>4</v>
      </c>
      <c r="CU84" s="106">
        <v>3552</v>
      </c>
    </row>
    <row r="85" spans="2:99" x14ac:dyDescent="0.2">
      <c r="C85" s="105" t="s">
        <v>251</v>
      </c>
      <c r="D85" s="106">
        <v>3.610654380504267</v>
      </c>
      <c r="E85" s="106">
        <v>2361.3679648497905</v>
      </c>
      <c r="F85" s="106">
        <v>1</v>
      </c>
      <c r="G85" s="106">
        <v>654</v>
      </c>
      <c r="H85" s="106">
        <v>1</v>
      </c>
      <c r="I85" s="106">
        <v>654</v>
      </c>
      <c r="J85" s="106">
        <v>2</v>
      </c>
      <c r="K85" s="106">
        <v>1308</v>
      </c>
      <c r="L85" s="106">
        <v>6</v>
      </c>
      <c r="M85" s="106">
        <v>3924</v>
      </c>
      <c r="N85" s="106">
        <v>6</v>
      </c>
      <c r="O85" s="106">
        <v>3924</v>
      </c>
      <c r="P85" s="106">
        <v>5</v>
      </c>
      <c r="Q85" s="106">
        <v>3270</v>
      </c>
      <c r="R85" s="106">
        <v>6</v>
      </c>
      <c r="S85" s="106">
        <v>3924</v>
      </c>
      <c r="T85" s="106">
        <v>5</v>
      </c>
      <c r="U85" s="106">
        <v>3270</v>
      </c>
      <c r="V85" s="106">
        <v>8</v>
      </c>
      <c r="W85" s="106">
        <v>5232</v>
      </c>
      <c r="X85" s="106">
        <v>5</v>
      </c>
      <c r="Y85" s="106">
        <v>3270</v>
      </c>
      <c r="Z85" s="106">
        <v>5</v>
      </c>
      <c r="AA85" s="106">
        <v>3270</v>
      </c>
      <c r="AB85" s="106">
        <v>8</v>
      </c>
      <c r="AC85" s="106">
        <v>5232</v>
      </c>
      <c r="AD85" s="106">
        <v>10</v>
      </c>
      <c r="AE85" s="106">
        <v>6540</v>
      </c>
      <c r="AF85" s="106">
        <v>11</v>
      </c>
      <c r="AG85" s="106">
        <v>7194</v>
      </c>
      <c r="AH85" s="106">
        <v>9</v>
      </c>
      <c r="AI85" s="106">
        <v>5886</v>
      </c>
      <c r="AJ85" s="106">
        <v>4</v>
      </c>
      <c r="AK85" s="106">
        <v>2616</v>
      </c>
      <c r="AL85" s="106">
        <v>4</v>
      </c>
      <c r="AM85" s="106">
        <v>2616</v>
      </c>
      <c r="AN85" s="106">
        <v>4</v>
      </c>
      <c r="AO85" s="106">
        <v>2616</v>
      </c>
      <c r="AP85" s="106">
        <v>5</v>
      </c>
      <c r="AQ85" s="106">
        <v>3270</v>
      </c>
      <c r="AR85" s="106">
        <v>28.186182100026226</v>
      </c>
      <c r="AS85" s="106">
        <v>18433.76309341715</v>
      </c>
      <c r="AT85" s="106">
        <v>15.717029742159092</v>
      </c>
      <c r="AU85" s="106">
        <v>10278.937451372047</v>
      </c>
      <c r="AV85" s="106">
        <v>8.9542112973975954</v>
      </c>
      <c r="AW85" s="106">
        <v>5856.0541884980275</v>
      </c>
      <c r="AX85" s="106">
        <v>26</v>
      </c>
      <c r="AY85" s="106">
        <v>17004</v>
      </c>
      <c r="AZ85" s="106">
        <v>8.4157475833005702</v>
      </c>
      <c r="BA85" s="106">
        <v>5503.8989194785727</v>
      </c>
      <c r="BB85" s="106">
        <v>33.168507913105692</v>
      </c>
      <c r="BC85" s="106">
        <v>21692.204175171122</v>
      </c>
      <c r="BD85" s="106">
        <v>18.577530033926884</v>
      </c>
      <c r="BE85" s="106">
        <v>12149.704642188182</v>
      </c>
      <c r="BF85" s="106">
        <v>19.132639511256798</v>
      </c>
      <c r="BG85" s="106">
        <v>12512.746240361947</v>
      </c>
      <c r="BH85" s="106">
        <v>4</v>
      </c>
      <c r="BI85" s="106">
        <v>2616</v>
      </c>
      <c r="BJ85" s="106">
        <v>5.1455215320033547</v>
      </c>
      <c r="BK85" s="106">
        <v>3365.1710819301938</v>
      </c>
      <c r="BL85" s="106">
        <v>5</v>
      </c>
      <c r="BM85" s="106">
        <v>3270</v>
      </c>
      <c r="BN85" s="106">
        <v>6.5070090755472023</v>
      </c>
      <c r="BO85" s="106">
        <v>4255.5839354078707</v>
      </c>
      <c r="BP85" s="106">
        <v>5</v>
      </c>
      <c r="BQ85" s="106">
        <v>3270</v>
      </c>
      <c r="BR85" s="106">
        <v>4</v>
      </c>
      <c r="BS85" s="106">
        <v>2616</v>
      </c>
      <c r="BT85" s="106">
        <v>5</v>
      </c>
      <c r="BU85" s="106">
        <v>3270</v>
      </c>
      <c r="BV85" s="106">
        <v>6</v>
      </c>
      <c r="BW85" s="106">
        <v>3924</v>
      </c>
      <c r="BX85" s="106">
        <v>4</v>
      </c>
      <c r="BY85" s="106">
        <v>2616</v>
      </c>
      <c r="BZ85" s="106">
        <v>4</v>
      </c>
      <c r="CA85" s="106">
        <v>2616</v>
      </c>
      <c r="CB85" s="106">
        <v>5</v>
      </c>
      <c r="CC85" s="106">
        <v>3270</v>
      </c>
      <c r="CD85" s="106">
        <v>4.5591350385879768</v>
      </c>
      <c r="CE85" s="106">
        <v>2981.6743152365366</v>
      </c>
      <c r="CF85" s="106">
        <v>12</v>
      </c>
      <c r="CG85" s="106">
        <v>7848</v>
      </c>
      <c r="CH85" s="106">
        <v>11</v>
      </c>
      <c r="CI85" s="106">
        <v>7194</v>
      </c>
      <c r="CJ85" s="106">
        <v>7</v>
      </c>
      <c r="CK85" s="106">
        <v>4578</v>
      </c>
      <c r="CL85" s="106">
        <v>12.24109755570124</v>
      </c>
      <c r="CM85" s="106">
        <v>8005.677801428611</v>
      </c>
      <c r="CN85" s="106">
        <v>3</v>
      </c>
      <c r="CO85" s="106">
        <v>1962</v>
      </c>
      <c r="CP85" s="106">
        <v>5</v>
      </c>
      <c r="CQ85" s="106">
        <v>3270</v>
      </c>
      <c r="CR85" s="106">
        <v>3</v>
      </c>
      <c r="CS85" s="106">
        <v>1962</v>
      </c>
      <c r="CT85" s="106">
        <v>5.6646233035253086</v>
      </c>
      <c r="CU85" s="106">
        <v>3704.6636405055519</v>
      </c>
    </row>
    <row r="86" spans="2:99" x14ac:dyDescent="0.2">
      <c r="C86" s="105" t="s">
        <v>252</v>
      </c>
      <c r="D86" s="106">
        <v>3.8131197441030915</v>
      </c>
      <c r="E86" s="106">
        <v>1450.5107506568158</v>
      </c>
      <c r="F86" s="106">
        <v>2</v>
      </c>
      <c r="G86" s="106">
        <v>760.8</v>
      </c>
      <c r="H86" s="106">
        <v>1</v>
      </c>
      <c r="I86" s="106">
        <v>380.4</v>
      </c>
      <c r="J86" s="106">
        <v>2</v>
      </c>
      <c r="K86" s="106">
        <v>760.8</v>
      </c>
      <c r="L86" s="106">
        <v>6</v>
      </c>
      <c r="M86" s="106">
        <v>2282.3999999999996</v>
      </c>
      <c r="N86" s="106">
        <v>6</v>
      </c>
      <c r="O86" s="106">
        <v>2282.3999999999996</v>
      </c>
      <c r="P86" s="106">
        <v>6</v>
      </c>
      <c r="Q86" s="106">
        <v>2282.3999999999996</v>
      </c>
      <c r="R86" s="106">
        <v>6</v>
      </c>
      <c r="S86" s="106">
        <v>2282.3999999999996</v>
      </c>
      <c r="T86" s="106">
        <v>5</v>
      </c>
      <c r="U86" s="106">
        <v>1902</v>
      </c>
      <c r="V86" s="106">
        <v>8</v>
      </c>
      <c r="W86" s="106">
        <v>3043.2</v>
      </c>
      <c r="X86" s="106">
        <v>5</v>
      </c>
      <c r="Y86" s="106">
        <v>1902</v>
      </c>
      <c r="Z86" s="106">
        <v>5</v>
      </c>
      <c r="AA86" s="106">
        <v>1902</v>
      </c>
      <c r="AB86" s="106">
        <v>9</v>
      </c>
      <c r="AC86" s="106">
        <v>3423.6</v>
      </c>
      <c r="AD86" s="106">
        <v>11</v>
      </c>
      <c r="AE86" s="106">
        <v>4184.3999999999996</v>
      </c>
      <c r="AF86" s="106">
        <v>11</v>
      </c>
      <c r="AG86" s="106">
        <v>4184.3999999999996</v>
      </c>
      <c r="AH86" s="106">
        <v>10</v>
      </c>
      <c r="AI86" s="106">
        <v>3804</v>
      </c>
      <c r="AJ86" s="106">
        <v>5</v>
      </c>
      <c r="AK86" s="106">
        <v>1902</v>
      </c>
      <c r="AL86" s="106">
        <v>4</v>
      </c>
      <c r="AM86" s="106">
        <v>1521.6</v>
      </c>
      <c r="AN86" s="106">
        <v>5</v>
      </c>
      <c r="AO86" s="106">
        <v>1902</v>
      </c>
      <c r="AP86" s="106">
        <v>5</v>
      </c>
      <c r="AQ86" s="106">
        <v>1902</v>
      </c>
      <c r="AR86" s="106">
        <v>29.927145438871506</v>
      </c>
      <c r="AS86" s="106">
        <v>11384.286124946721</v>
      </c>
      <c r="AT86" s="106">
        <v>17.615531464206047</v>
      </c>
      <c r="AU86" s="106">
        <v>6700.9481689839795</v>
      </c>
      <c r="AV86" s="106">
        <v>10.446579846963861</v>
      </c>
      <c r="AW86" s="106">
        <v>3973.8789737850525</v>
      </c>
      <c r="AX86" s="106">
        <v>30</v>
      </c>
      <c r="AY86" s="106">
        <v>11412</v>
      </c>
      <c r="AZ86" s="106">
        <v>9.2778358585433303</v>
      </c>
      <c r="BA86" s="106">
        <v>3529.2887605898827</v>
      </c>
      <c r="BB86" s="106">
        <v>34.799746007192859</v>
      </c>
      <c r="BC86" s="106">
        <v>13237.823381136162</v>
      </c>
      <c r="BD86" s="106">
        <v>21.808404822435904</v>
      </c>
      <c r="BE86" s="106">
        <v>8295.9171944546179</v>
      </c>
      <c r="BF86" s="106">
        <v>19.132639511256798</v>
      </c>
      <c r="BG86" s="106">
        <v>7278.0560700820852</v>
      </c>
      <c r="BH86" s="106">
        <v>4</v>
      </c>
      <c r="BI86" s="106">
        <v>1521.6</v>
      </c>
      <c r="BJ86" s="106">
        <v>5.1455215320033547</v>
      </c>
      <c r="BK86" s="106">
        <v>1957.3563907740761</v>
      </c>
      <c r="BL86" s="106">
        <v>5</v>
      </c>
      <c r="BM86" s="106">
        <v>1902</v>
      </c>
      <c r="BN86" s="106">
        <v>7.4148256072658922</v>
      </c>
      <c r="BO86" s="106">
        <v>2820.5996610039451</v>
      </c>
      <c r="BP86" s="106">
        <v>5</v>
      </c>
      <c r="BQ86" s="106">
        <v>1902</v>
      </c>
      <c r="BR86" s="106">
        <v>5</v>
      </c>
      <c r="BS86" s="106">
        <v>1902</v>
      </c>
      <c r="BT86" s="106">
        <v>5</v>
      </c>
      <c r="BU86" s="106">
        <v>1902</v>
      </c>
      <c r="BV86" s="106">
        <v>6</v>
      </c>
      <c r="BW86" s="106">
        <v>2282.3999999999996</v>
      </c>
      <c r="BX86" s="106">
        <v>4</v>
      </c>
      <c r="BY86" s="106">
        <v>1521.6</v>
      </c>
      <c r="BZ86" s="106">
        <v>4</v>
      </c>
      <c r="CA86" s="106">
        <v>1521.6</v>
      </c>
      <c r="CB86" s="106">
        <v>5</v>
      </c>
      <c r="CC86" s="106">
        <v>1902</v>
      </c>
      <c r="CD86" s="106">
        <v>4.602145426171667</v>
      </c>
      <c r="CE86" s="106">
        <v>1750.6561201157019</v>
      </c>
      <c r="CF86" s="106">
        <v>12</v>
      </c>
      <c r="CG86" s="106">
        <v>4564.7999999999993</v>
      </c>
      <c r="CH86" s="106">
        <v>10</v>
      </c>
      <c r="CI86" s="106">
        <v>3804</v>
      </c>
      <c r="CJ86" s="106">
        <v>8</v>
      </c>
      <c r="CK86" s="106">
        <v>3043.2</v>
      </c>
      <c r="CL86" s="106">
        <v>12.24109755570124</v>
      </c>
      <c r="CM86" s="106">
        <v>4656.5135101887508</v>
      </c>
      <c r="CN86" s="106">
        <v>3</v>
      </c>
      <c r="CO86" s="106">
        <v>1141.1999999999998</v>
      </c>
      <c r="CP86" s="106">
        <v>5</v>
      </c>
      <c r="CQ86" s="106">
        <v>1902</v>
      </c>
      <c r="CR86" s="106">
        <v>3</v>
      </c>
      <c r="CS86" s="106">
        <v>1141.1999999999998</v>
      </c>
      <c r="CT86" s="106">
        <v>5.6646233035253086</v>
      </c>
      <c r="CU86" s="106">
        <v>2154.8227046610273</v>
      </c>
    </row>
    <row r="87" spans="2:99" x14ac:dyDescent="0.2">
      <c r="B87" s="105" t="s">
        <v>131</v>
      </c>
      <c r="C87" s="105" t="s">
        <v>253</v>
      </c>
      <c r="D87" s="106">
        <v>2</v>
      </c>
      <c r="E87" s="106">
        <v>1128</v>
      </c>
      <c r="F87" s="106">
        <v>2.3393088107857887</v>
      </c>
      <c r="G87" s="106">
        <v>1319.3701692831849</v>
      </c>
      <c r="H87" s="106">
        <v>1.2238456495183812</v>
      </c>
      <c r="I87" s="106">
        <v>690.24894632836697</v>
      </c>
      <c r="J87" s="106">
        <v>0.15110369411297919</v>
      </c>
      <c r="K87" s="106">
        <v>85.222483479720267</v>
      </c>
      <c r="L87" s="106">
        <v>2.2352618739240215</v>
      </c>
      <c r="M87" s="106">
        <v>1260.6876968931481</v>
      </c>
      <c r="N87" s="106">
        <v>0.882004305923762</v>
      </c>
      <c r="O87" s="106">
        <v>497.45042854100177</v>
      </c>
      <c r="P87" s="106">
        <v>2.081484809446184</v>
      </c>
      <c r="Q87" s="106">
        <v>1173.9574325276478</v>
      </c>
      <c r="R87" s="106">
        <v>1.9044224391119955</v>
      </c>
      <c r="S87" s="106">
        <v>1074.0942556591654</v>
      </c>
      <c r="T87" s="106">
        <v>0.11402714460017052</v>
      </c>
      <c r="U87" s="106">
        <v>64.311309554496177</v>
      </c>
      <c r="V87" s="106">
        <v>5.4912873310989874E-2</v>
      </c>
      <c r="W87" s="106">
        <v>30.970860547398289</v>
      </c>
      <c r="X87" s="106">
        <v>0</v>
      </c>
      <c r="Y87" s="106">
        <v>0</v>
      </c>
      <c r="Z87" s="106">
        <v>3.2877755165650883E-2</v>
      </c>
      <c r="AA87" s="106">
        <v>18.543053913427098</v>
      </c>
      <c r="AB87" s="106">
        <v>1.891205255274367</v>
      </c>
      <c r="AC87" s="106">
        <v>1066.6397639747429</v>
      </c>
      <c r="AD87" s="106">
        <v>0</v>
      </c>
      <c r="AE87" s="106">
        <v>0</v>
      </c>
      <c r="AF87" s="106">
        <v>4.2712094549673205</v>
      </c>
      <c r="AG87" s="106">
        <v>2408.9621326015686</v>
      </c>
      <c r="AH87" s="106">
        <v>0</v>
      </c>
      <c r="AI87" s="106">
        <v>0</v>
      </c>
      <c r="AJ87" s="106">
        <v>2.2934390232674229</v>
      </c>
      <c r="AK87" s="106">
        <v>1293.4996091228265</v>
      </c>
      <c r="AL87" s="106">
        <v>0.18826356932520877</v>
      </c>
      <c r="AM87" s="106">
        <v>106.18065309941774</v>
      </c>
      <c r="AN87" s="106">
        <v>1.7597015967222334</v>
      </c>
      <c r="AO87" s="106">
        <v>992.47170055133961</v>
      </c>
      <c r="AP87" s="106">
        <v>0.99933444230199686</v>
      </c>
      <c r="AQ87" s="106">
        <v>563.62462545832625</v>
      </c>
      <c r="AR87" s="106">
        <v>0</v>
      </c>
      <c r="AS87" s="106">
        <v>0</v>
      </c>
      <c r="AT87" s="106">
        <v>0.56472023006992722</v>
      </c>
      <c r="AU87" s="106">
        <v>318.50220975943893</v>
      </c>
      <c r="AV87" s="106">
        <v>0</v>
      </c>
      <c r="AW87" s="106">
        <v>0</v>
      </c>
      <c r="AX87" s="106">
        <v>0</v>
      </c>
      <c r="AY87" s="106">
        <v>0</v>
      </c>
      <c r="AZ87" s="106">
        <v>1.812259028433588</v>
      </c>
      <c r="BA87" s="106">
        <v>1022.1140920365436</v>
      </c>
      <c r="BB87" s="106">
        <v>0.8922462449087889</v>
      </c>
      <c r="BC87" s="106">
        <v>503.22688212855695</v>
      </c>
      <c r="BD87" s="106">
        <v>0.77496734660779421</v>
      </c>
      <c r="BE87" s="106">
        <v>437.08158348679592</v>
      </c>
      <c r="BF87" s="106">
        <v>0.919607520500199</v>
      </c>
      <c r="BG87" s="106">
        <v>518.65864156211228</v>
      </c>
      <c r="BH87" s="106">
        <v>0</v>
      </c>
      <c r="BI87" s="106">
        <v>0</v>
      </c>
      <c r="BJ87" s="106">
        <v>6</v>
      </c>
      <c r="BK87" s="106">
        <v>3384</v>
      </c>
      <c r="BL87" s="106">
        <v>3.3011966037955252</v>
      </c>
      <c r="BM87" s="106">
        <v>1861.8748845406762</v>
      </c>
      <c r="BN87" s="106">
        <v>4.2218038703414216</v>
      </c>
      <c r="BO87" s="106">
        <v>2381.0973828725619</v>
      </c>
      <c r="BP87" s="106">
        <v>1.2456468050797869</v>
      </c>
      <c r="BQ87" s="106">
        <v>702.54479806499978</v>
      </c>
      <c r="BR87" s="106">
        <v>0</v>
      </c>
      <c r="BS87" s="106">
        <v>0</v>
      </c>
      <c r="BT87" s="106">
        <v>1</v>
      </c>
      <c r="BU87" s="106">
        <v>564</v>
      </c>
      <c r="BV87" s="106">
        <v>2</v>
      </c>
      <c r="BW87" s="106">
        <v>1128</v>
      </c>
      <c r="BX87" s="106">
        <v>3</v>
      </c>
      <c r="BY87" s="106">
        <v>1692</v>
      </c>
      <c r="BZ87" s="106">
        <v>2.0850529721690623</v>
      </c>
      <c r="CA87" s="106">
        <v>1175.9698763033512</v>
      </c>
      <c r="CB87" s="106">
        <v>1.0862878887244323</v>
      </c>
      <c r="CC87" s="106">
        <v>612.6663692405798</v>
      </c>
      <c r="CD87" s="106">
        <v>2.0268118283558092</v>
      </c>
      <c r="CE87" s="106">
        <v>1143.1218711926763</v>
      </c>
      <c r="CF87" s="106">
        <v>2.085147964829861</v>
      </c>
      <c r="CG87" s="106">
        <v>1176.0234521640416</v>
      </c>
      <c r="CH87" s="106">
        <v>5.7327620216768249</v>
      </c>
      <c r="CI87" s="106">
        <v>3233.2777802257292</v>
      </c>
      <c r="CJ87" s="106">
        <v>0</v>
      </c>
      <c r="CK87" s="106">
        <v>0</v>
      </c>
      <c r="CL87" s="106">
        <v>3.6325166979899661</v>
      </c>
      <c r="CM87" s="106">
        <v>2048.7394176663411</v>
      </c>
      <c r="CN87" s="106">
        <v>1.4517233641853557</v>
      </c>
      <c r="CO87" s="106">
        <v>818.77197740054066</v>
      </c>
      <c r="CP87" s="106">
        <v>0.8089449933576105</v>
      </c>
      <c r="CQ87" s="106">
        <v>456.2449762536923</v>
      </c>
      <c r="CR87" s="106">
        <v>1.8224177369097787</v>
      </c>
      <c r="CS87" s="106">
        <v>1027.8436036171151</v>
      </c>
      <c r="CT87" s="106">
        <v>0.77111018832747957</v>
      </c>
      <c r="CU87" s="106">
        <v>434.90614621669846</v>
      </c>
    </row>
    <row r="88" spans="2:99" x14ac:dyDescent="0.2">
      <c r="C88" s="105" t="s">
        <v>254</v>
      </c>
      <c r="D88" s="106">
        <v>2</v>
      </c>
      <c r="E88" s="106">
        <v>972</v>
      </c>
      <c r="F88" s="106">
        <v>2.3877814980409013</v>
      </c>
      <c r="G88" s="106">
        <v>1160.4618080478781</v>
      </c>
      <c r="H88" s="106">
        <v>1.1918676995871837</v>
      </c>
      <c r="I88" s="106">
        <v>579.24770199937132</v>
      </c>
      <c r="J88" s="106">
        <v>0.15110369411297919</v>
      </c>
      <c r="K88" s="106">
        <v>73.436395338907886</v>
      </c>
      <c r="L88" s="106">
        <v>2.2352618739240215</v>
      </c>
      <c r="M88" s="106">
        <v>1086.3372707270744</v>
      </c>
      <c r="N88" s="106">
        <v>0.882004305923762</v>
      </c>
      <c r="O88" s="106">
        <v>428.65409267894836</v>
      </c>
      <c r="P88" s="106">
        <v>2.081484809446184</v>
      </c>
      <c r="Q88" s="106">
        <v>1011.6016173908454</v>
      </c>
      <c r="R88" s="106">
        <v>2.7867660643293797</v>
      </c>
      <c r="S88" s="106">
        <v>1354.3683072640786</v>
      </c>
      <c r="T88" s="106">
        <v>0.11402714460017052</v>
      </c>
      <c r="U88" s="106">
        <v>55.417192275682872</v>
      </c>
      <c r="V88" s="106">
        <v>5.4912873310989874E-2</v>
      </c>
      <c r="W88" s="106">
        <v>26.687656429141079</v>
      </c>
      <c r="X88" s="106">
        <v>0</v>
      </c>
      <c r="Y88" s="106">
        <v>0</v>
      </c>
      <c r="Z88" s="106">
        <v>5.7612683315217329E-2</v>
      </c>
      <c r="AA88" s="106">
        <v>27.999764091195622</v>
      </c>
      <c r="AB88" s="106">
        <v>1.891205255274367</v>
      </c>
      <c r="AC88" s="106">
        <v>919.12575406334236</v>
      </c>
      <c r="AD88" s="106">
        <v>0</v>
      </c>
      <c r="AE88" s="106">
        <v>0</v>
      </c>
      <c r="AF88" s="106">
        <v>4.2712094549673205</v>
      </c>
      <c r="AG88" s="106">
        <v>2075.8077951141177</v>
      </c>
      <c r="AH88" s="106">
        <v>0</v>
      </c>
      <c r="AI88" s="106">
        <v>0</v>
      </c>
      <c r="AJ88" s="106">
        <v>2.2445325193895194</v>
      </c>
      <c r="AK88" s="106">
        <v>1090.8428044233065</v>
      </c>
      <c r="AL88" s="106">
        <v>0.25101809243361167</v>
      </c>
      <c r="AM88" s="106">
        <v>121.99479292273527</v>
      </c>
      <c r="AN88" s="106">
        <v>1.7597015967222334</v>
      </c>
      <c r="AO88" s="106">
        <v>855.21497600700536</v>
      </c>
      <c r="AP88" s="106">
        <v>0.68729474608018815</v>
      </c>
      <c r="AQ88" s="106">
        <v>334.02524659497146</v>
      </c>
      <c r="AR88" s="106">
        <v>0</v>
      </c>
      <c r="AS88" s="106">
        <v>0</v>
      </c>
      <c r="AT88" s="106">
        <v>0.56472023006992722</v>
      </c>
      <c r="AU88" s="106">
        <v>274.45403181398461</v>
      </c>
      <c r="AV88" s="106">
        <v>0</v>
      </c>
      <c r="AW88" s="106">
        <v>0</v>
      </c>
      <c r="AX88" s="106">
        <v>0</v>
      </c>
      <c r="AY88" s="106">
        <v>0</v>
      </c>
      <c r="AZ88" s="106">
        <v>1.812259028433588</v>
      </c>
      <c r="BA88" s="106">
        <v>880.75788781872382</v>
      </c>
      <c r="BB88" s="106">
        <v>0.88033790032024406</v>
      </c>
      <c r="BC88" s="106">
        <v>427.84421955563863</v>
      </c>
      <c r="BD88" s="106">
        <v>0.89513563537502194</v>
      </c>
      <c r="BE88" s="106">
        <v>435.03591879226065</v>
      </c>
      <c r="BF88" s="106">
        <v>0.919607520500199</v>
      </c>
      <c r="BG88" s="106">
        <v>446.9292549630967</v>
      </c>
      <c r="BH88" s="106">
        <v>0</v>
      </c>
      <c r="BI88" s="106">
        <v>0</v>
      </c>
      <c r="BJ88" s="106">
        <v>6</v>
      </c>
      <c r="BK88" s="106">
        <v>2916</v>
      </c>
      <c r="BL88" s="106">
        <v>3.2980945632252898</v>
      </c>
      <c r="BM88" s="106">
        <v>1602.873957727491</v>
      </c>
      <c r="BN88" s="106">
        <v>3.221803870341422</v>
      </c>
      <c r="BO88" s="106">
        <v>1565.7966809859311</v>
      </c>
      <c r="BP88" s="106">
        <v>1.2484412299615093</v>
      </c>
      <c r="BQ88" s="106">
        <v>606.74243776129356</v>
      </c>
      <c r="BR88" s="106">
        <v>0</v>
      </c>
      <c r="BS88" s="106">
        <v>0</v>
      </c>
      <c r="BT88" s="106">
        <v>2</v>
      </c>
      <c r="BU88" s="106">
        <v>972</v>
      </c>
      <c r="BV88" s="106">
        <v>2</v>
      </c>
      <c r="BW88" s="106">
        <v>972</v>
      </c>
      <c r="BX88" s="106">
        <v>3</v>
      </c>
      <c r="BY88" s="106">
        <v>1458</v>
      </c>
      <c r="BZ88" s="106">
        <v>2.0850529721690623</v>
      </c>
      <c r="CA88" s="106">
        <v>1013.3357444741642</v>
      </c>
      <c r="CB88" s="106">
        <v>1.0862878887244323</v>
      </c>
      <c r="CC88" s="106">
        <v>527.93591392007409</v>
      </c>
      <c r="CD88" s="106">
        <v>3.0206113897737397</v>
      </c>
      <c r="CE88" s="106">
        <v>1468.0171354300376</v>
      </c>
      <c r="CF88" s="106">
        <v>2.085147964829861</v>
      </c>
      <c r="CG88" s="106">
        <v>1013.3819109073124</v>
      </c>
      <c r="CH88" s="106">
        <v>6.6469804705728448</v>
      </c>
      <c r="CI88" s="106">
        <v>3230.4325086984027</v>
      </c>
      <c r="CJ88" s="106">
        <v>0</v>
      </c>
      <c r="CK88" s="106">
        <v>0</v>
      </c>
      <c r="CL88" s="106">
        <v>3.0270972483249716</v>
      </c>
      <c r="CM88" s="106">
        <v>1471.1692626859362</v>
      </c>
      <c r="CN88" s="106">
        <v>1.072544552907706</v>
      </c>
      <c r="CO88" s="106">
        <v>521.25665271314517</v>
      </c>
      <c r="CP88" s="106">
        <v>1.1565021692035398</v>
      </c>
      <c r="CQ88" s="106">
        <v>562.06005423292038</v>
      </c>
      <c r="CR88" s="106">
        <v>1.8008883076763555</v>
      </c>
      <c r="CS88" s="106">
        <v>875.23171753070881</v>
      </c>
      <c r="CT88" s="106">
        <v>0.77663650243966509</v>
      </c>
      <c r="CU88" s="106">
        <v>377.44534018567725</v>
      </c>
    </row>
    <row r="89" spans="2:99" x14ac:dyDescent="0.2">
      <c r="C89" s="105" t="s">
        <v>255</v>
      </c>
      <c r="D89" s="106">
        <v>2</v>
      </c>
      <c r="E89" s="106">
        <v>1389.6</v>
      </c>
      <c r="F89" s="106">
        <v>2.3393088107857887</v>
      </c>
      <c r="G89" s="106">
        <v>1625.3517617339658</v>
      </c>
      <c r="H89" s="106">
        <v>1.2238456495183812</v>
      </c>
      <c r="I89" s="106">
        <v>850.32795728537121</v>
      </c>
      <c r="J89" s="106">
        <v>0.15110369411297919</v>
      </c>
      <c r="K89" s="106">
        <v>104.98684666969794</v>
      </c>
      <c r="L89" s="106">
        <v>2.2352618739240215</v>
      </c>
      <c r="M89" s="106">
        <v>1553.05995000241</v>
      </c>
      <c r="N89" s="106">
        <v>0.882004305923762</v>
      </c>
      <c r="O89" s="106">
        <v>612.81659175582979</v>
      </c>
      <c r="P89" s="106">
        <v>2.081484809446184</v>
      </c>
      <c r="Q89" s="106">
        <v>1446.2156456032085</v>
      </c>
      <c r="R89" s="106">
        <v>1.9044224391119955</v>
      </c>
      <c r="S89" s="106">
        <v>1323.1927106950143</v>
      </c>
      <c r="T89" s="106">
        <v>0.11402714460017052</v>
      </c>
      <c r="U89" s="106">
        <v>79.226060068198478</v>
      </c>
      <c r="V89" s="106">
        <v>5.4912873310989874E-2</v>
      </c>
      <c r="W89" s="106">
        <v>38.15346437647576</v>
      </c>
      <c r="X89" s="106">
        <v>0</v>
      </c>
      <c r="Y89" s="106">
        <v>0</v>
      </c>
      <c r="Z89" s="106">
        <v>3.2877755165650883E-2</v>
      </c>
      <c r="AA89" s="106">
        <v>22.843464289094232</v>
      </c>
      <c r="AB89" s="106">
        <v>1.891205255274367</v>
      </c>
      <c r="AC89" s="106">
        <v>1314.0094113646301</v>
      </c>
      <c r="AD89" s="106">
        <v>0</v>
      </c>
      <c r="AE89" s="106">
        <v>0</v>
      </c>
      <c r="AF89" s="106">
        <v>4.2314013973929514</v>
      </c>
      <c r="AG89" s="106">
        <v>2939.9776909086227</v>
      </c>
      <c r="AH89" s="106">
        <v>0</v>
      </c>
      <c r="AI89" s="106">
        <v>0</v>
      </c>
      <c r="AJ89" s="106">
        <v>2.2445325193895194</v>
      </c>
      <c r="AK89" s="106">
        <v>1559.5011944718381</v>
      </c>
      <c r="AL89" s="106">
        <v>0.18826356932520877</v>
      </c>
      <c r="AM89" s="106">
        <v>130.80552796715503</v>
      </c>
      <c r="AN89" s="106">
        <v>1.7396027746053506</v>
      </c>
      <c r="AO89" s="106">
        <v>1208.6760077957974</v>
      </c>
      <c r="AP89" s="106">
        <v>0.68729474608018815</v>
      </c>
      <c r="AQ89" s="106">
        <v>477.53238957651467</v>
      </c>
      <c r="AR89" s="106">
        <v>0</v>
      </c>
      <c r="AS89" s="106">
        <v>0</v>
      </c>
      <c r="AT89" s="106">
        <v>0.56472023006992722</v>
      </c>
      <c r="AU89" s="106">
        <v>392.3676158525854</v>
      </c>
      <c r="AV89" s="106">
        <v>0</v>
      </c>
      <c r="AW89" s="106">
        <v>0</v>
      </c>
      <c r="AX89" s="106">
        <v>0</v>
      </c>
      <c r="AY89" s="106">
        <v>0</v>
      </c>
      <c r="AZ89" s="106">
        <v>1.812259028433588</v>
      </c>
      <c r="BA89" s="106">
        <v>1259.1575729556569</v>
      </c>
      <c r="BB89" s="106">
        <v>0.88033790032024406</v>
      </c>
      <c r="BC89" s="106">
        <v>611.65877314250554</v>
      </c>
      <c r="BD89" s="106">
        <v>0.89513563537502194</v>
      </c>
      <c r="BE89" s="106">
        <v>621.9402394585652</v>
      </c>
      <c r="BF89" s="106">
        <v>0.90939594770056253</v>
      </c>
      <c r="BG89" s="106">
        <v>631.84830446235082</v>
      </c>
      <c r="BH89" s="106">
        <v>0</v>
      </c>
      <c r="BI89" s="106">
        <v>0</v>
      </c>
      <c r="BJ89" s="106">
        <v>5</v>
      </c>
      <c r="BK89" s="106">
        <v>3474</v>
      </c>
      <c r="BL89" s="106">
        <v>3.2980945632252898</v>
      </c>
      <c r="BM89" s="106">
        <v>2291.5161025289312</v>
      </c>
      <c r="BN89" s="106">
        <v>4.2218038703414216</v>
      </c>
      <c r="BO89" s="106">
        <v>2933.3093291132195</v>
      </c>
      <c r="BP89" s="106">
        <v>1.2484412299615093</v>
      </c>
      <c r="BQ89" s="106">
        <v>867.41696657725663</v>
      </c>
      <c r="BR89" s="106">
        <v>0</v>
      </c>
      <c r="BS89" s="106">
        <v>0</v>
      </c>
      <c r="BT89" s="106">
        <v>2</v>
      </c>
      <c r="BU89" s="106">
        <v>1389.6</v>
      </c>
      <c r="BV89" s="106">
        <v>2</v>
      </c>
      <c r="BW89" s="106">
        <v>1389.6</v>
      </c>
      <c r="BX89" s="106">
        <v>3</v>
      </c>
      <c r="BY89" s="106">
        <v>2084.3999999999996</v>
      </c>
      <c r="BZ89" s="106">
        <v>2.1053923411060804</v>
      </c>
      <c r="CA89" s="106">
        <v>1462.8265986005047</v>
      </c>
      <c r="CB89" s="106">
        <v>1.0862878887244323</v>
      </c>
      <c r="CC89" s="106">
        <v>754.75282508573548</v>
      </c>
      <c r="CD89" s="106">
        <v>2.0268118283558092</v>
      </c>
      <c r="CE89" s="106">
        <v>1408.2288583416162</v>
      </c>
      <c r="CF89" s="106">
        <v>2.085147964829861</v>
      </c>
      <c r="CG89" s="106">
        <v>1448.7608059637873</v>
      </c>
      <c r="CH89" s="106">
        <v>5.7327620216768249</v>
      </c>
      <c r="CI89" s="106">
        <v>3983.1230526610575</v>
      </c>
      <c r="CJ89" s="106">
        <v>0</v>
      </c>
      <c r="CK89" s="106">
        <v>0</v>
      </c>
      <c r="CL89" s="106">
        <v>3.6325166979899661</v>
      </c>
      <c r="CM89" s="106">
        <v>2523.8726017634285</v>
      </c>
      <c r="CN89" s="106">
        <v>0.86445877552975681</v>
      </c>
      <c r="CO89" s="106">
        <v>600.62595723807499</v>
      </c>
      <c r="CP89" s="106">
        <v>1.1470162823980603</v>
      </c>
      <c r="CQ89" s="106">
        <v>796.94691301017224</v>
      </c>
      <c r="CR89" s="106">
        <v>1.7793588784429331</v>
      </c>
      <c r="CS89" s="106">
        <v>1236.2985487421497</v>
      </c>
      <c r="CT89" s="106">
        <v>0.53617871533372841</v>
      </c>
      <c r="CU89" s="106">
        <v>372.53697141387448</v>
      </c>
    </row>
    <row r="90" spans="2:99" x14ac:dyDescent="0.2">
      <c r="C90" s="105" t="s">
        <v>256</v>
      </c>
      <c r="D90" s="106">
        <v>2</v>
      </c>
      <c r="E90" s="106">
        <v>1178.3999999999999</v>
      </c>
      <c r="F90" s="106">
        <v>2.3393088107857887</v>
      </c>
      <c r="G90" s="106">
        <v>1378.3207513149866</v>
      </c>
      <c r="H90" s="106">
        <v>2.2238456495183812</v>
      </c>
      <c r="I90" s="106">
        <v>1310.2898566962301</v>
      </c>
      <c r="J90" s="106">
        <v>0.15110369411297919</v>
      </c>
      <c r="K90" s="106">
        <v>89.03029657136733</v>
      </c>
      <c r="L90" s="106">
        <v>2.2352618739240215</v>
      </c>
      <c r="M90" s="106">
        <v>1317.0162961160333</v>
      </c>
      <c r="N90" s="106">
        <v>0.882004305923762</v>
      </c>
      <c r="O90" s="106">
        <v>519.67693705028046</v>
      </c>
      <c r="P90" s="106">
        <v>2.0467117087146134</v>
      </c>
      <c r="Q90" s="106">
        <v>1205.9225387746501</v>
      </c>
      <c r="R90" s="106">
        <v>1.9044224391119955</v>
      </c>
      <c r="S90" s="106">
        <v>1122.0857011247876</v>
      </c>
      <c r="T90" s="106">
        <v>0.13106033952632262</v>
      </c>
      <c r="U90" s="106">
        <v>77.220752048909276</v>
      </c>
      <c r="V90" s="106">
        <v>5.4037183960567121E-2</v>
      </c>
      <c r="W90" s="106">
        <v>31.838708789566144</v>
      </c>
      <c r="X90" s="106">
        <v>0</v>
      </c>
      <c r="Y90" s="106">
        <v>0</v>
      </c>
      <c r="Z90" s="106">
        <v>5.7612683315217329E-2</v>
      </c>
      <c r="AA90" s="106">
        <v>33.945393009326047</v>
      </c>
      <c r="AB90" s="106">
        <v>1.891205255274367</v>
      </c>
      <c r="AC90" s="106">
        <v>1114.298136407657</v>
      </c>
      <c r="AD90" s="106">
        <v>0</v>
      </c>
      <c r="AE90" s="106">
        <v>0</v>
      </c>
      <c r="AF90" s="106">
        <v>4.2314013973929514</v>
      </c>
      <c r="AG90" s="106">
        <v>2493.1417033439266</v>
      </c>
      <c r="AH90" s="106">
        <v>0</v>
      </c>
      <c r="AI90" s="106">
        <v>0</v>
      </c>
      <c r="AJ90" s="106">
        <v>2.2445325193895194</v>
      </c>
      <c r="AK90" s="106">
        <v>1322.4785604243048</v>
      </c>
      <c r="AL90" s="106">
        <v>0.25101809243361167</v>
      </c>
      <c r="AM90" s="106">
        <v>147.89986006188397</v>
      </c>
      <c r="AN90" s="106">
        <v>1.7396027746053506</v>
      </c>
      <c r="AO90" s="106">
        <v>1024.9739547974725</v>
      </c>
      <c r="AP90" s="106">
        <v>0.99143252309742558</v>
      </c>
      <c r="AQ90" s="106">
        <v>584.15204260900305</v>
      </c>
      <c r="AR90" s="106">
        <v>0</v>
      </c>
      <c r="AS90" s="106">
        <v>0</v>
      </c>
      <c r="AT90" s="106">
        <v>0.56472023006992722</v>
      </c>
      <c r="AU90" s="106">
        <v>332.73315955720108</v>
      </c>
      <c r="AV90" s="106">
        <v>0</v>
      </c>
      <c r="AW90" s="106">
        <v>0</v>
      </c>
      <c r="AX90" s="106">
        <v>0</v>
      </c>
      <c r="AY90" s="106">
        <v>0</v>
      </c>
      <c r="AZ90" s="106">
        <v>1.812259028433588</v>
      </c>
      <c r="BA90" s="106">
        <v>1067.7830195530698</v>
      </c>
      <c r="BB90" s="106">
        <v>0.48780232851430089</v>
      </c>
      <c r="BC90" s="106">
        <v>287.41313196062606</v>
      </c>
      <c r="BD90" s="106">
        <v>0.89513563537502194</v>
      </c>
      <c r="BE90" s="106">
        <v>527.41391636296282</v>
      </c>
      <c r="BF90" s="106">
        <v>0.919607520500199</v>
      </c>
      <c r="BG90" s="106">
        <v>541.83275107871714</v>
      </c>
      <c r="BH90" s="106">
        <v>0</v>
      </c>
      <c r="BI90" s="106">
        <v>0</v>
      </c>
      <c r="BJ90" s="106">
        <v>5</v>
      </c>
      <c r="BK90" s="106">
        <v>2945.9999999999995</v>
      </c>
      <c r="BL90" s="106">
        <v>3.2980945632252898</v>
      </c>
      <c r="BM90" s="106">
        <v>1943.2373166523405</v>
      </c>
      <c r="BN90" s="106">
        <v>4.2195982348670178</v>
      </c>
      <c r="BO90" s="106">
        <v>2486.1872799836465</v>
      </c>
      <c r="BP90" s="106">
        <v>2.2154742438027633</v>
      </c>
      <c r="BQ90" s="106">
        <v>1305.3574244485881</v>
      </c>
      <c r="BR90" s="106">
        <v>0</v>
      </c>
      <c r="BS90" s="106">
        <v>0</v>
      </c>
      <c r="BT90" s="106">
        <v>2</v>
      </c>
      <c r="BU90" s="106">
        <v>1178.3999999999999</v>
      </c>
      <c r="BV90" s="106">
        <v>2</v>
      </c>
      <c r="BW90" s="106">
        <v>1178.3999999999999</v>
      </c>
      <c r="BX90" s="106">
        <v>3</v>
      </c>
      <c r="BY90" s="106">
        <v>1767.6</v>
      </c>
      <c r="BZ90" s="106">
        <v>2.0850529721690623</v>
      </c>
      <c r="CA90" s="106">
        <v>1228.5132112020112</v>
      </c>
      <c r="CB90" s="106">
        <v>1.6294318330866484</v>
      </c>
      <c r="CC90" s="106">
        <v>960.06123605465314</v>
      </c>
      <c r="CD90" s="106">
        <v>3.0268118283558092</v>
      </c>
      <c r="CE90" s="106">
        <v>1783.3975292672426</v>
      </c>
      <c r="CF90" s="106">
        <v>2.085147964829861</v>
      </c>
      <c r="CG90" s="106">
        <v>1228.569180877754</v>
      </c>
      <c r="CH90" s="106">
        <v>5.7327620216768249</v>
      </c>
      <c r="CI90" s="106">
        <v>3377.743383171985</v>
      </c>
      <c r="CJ90" s="106">
        <v>0</v>
      </c>
      <c r="CK90" s="106">
        <v>0</v>
      </c>
      <c r="CL90" s="106">
        <v>3.6325166979899661</v>
      </c>
      <c r="CM90" s="106">
        <v>2140.2788384556879</v>
      </c>
      <c r="CN90" s="106">
        <v>1.0743838537691028</v>
      </c>
      <c r="CO90" s="106">
        <v>633.02696664075529</v>
      </c>
      <c r="CP90" s="106">
        <v>1.1375303955925811</v>
      </c>
      <c r="CQ90" s="106">
        <v>670.23290908314868</v>
      </c>
      <c r="CR90" s="106">
        <v>1.7793588784429331</v>
      </c>
      <c r="CS90" s="106">
        <v>1048.3982511785759</v>
      </c>
      <c r="CT90" s="106">
        <v>0.52512608710935738</v>
      </c>
      <c r="CU90" s="106">
        <v>309.40429052483336</v>
      </c>
    </row>
    <row r="91" spans="2:99" x14ac:dyDescent="0.2">
      <c r="C91" s="105" t="s">
        <v>257</v>
      </c>
      <c r="D91" s="106">
        <v>2</v>
      </c>
      <c r="E91" s="106">
        <v>1276.8</v>
      </c>
      <c r="F91" s="106">
        <v>2.3393088107857887</v>
      </c>
      <c r="G91" s="106">
        <v>1493.4147448056474</v>
      </c>
      <c r="H91" s="106">
        <v>1.2238456495183812</v>
      </c>
      <c r="I91" s="106">
        <v>781.30306265253455</v>
      </c>
      <c r="J91" s="106">
        <v>0.15110369411297919</v>
      </c>
      <c r="K91" s="106">
        <v>96.464598321725916</v>
      </c>
      <c r="L91" s="106">
        <v>2.2352618739240215</v>
      </c>
      <c r="M91" s="106">
        <v>1426.9911803130954</v>
      </c>
      <c r="N91" s="106">
        <v>0.882004305923762</v>
      </c>
      <c r="O91" s="106">
        <v>563.07154890172967</v>
      </c>
      <c r="P91" s="106">
        <v>2.081484809446184</v>
      </c>
      <c r="Q91" s="106">
        <v>1328.8199023504437</v>
      </c>
      <c r="R91" s="106">
        <v>1.9044224391119955</v>
      </c>
      <c r="S91" s="106">
        <v>1215.783285129098</v>
      </c>
      <c r="T91" s="106">
        <v>0.11402714460017052</v>
      </c>
      <c r="U91" s="106">
        <v>72.794929112748861</v>
      </c>
      <c r="V91" s="106">
        <v>5.4912873310989874E-2</v>
      </c>
      <c r="W91" s="106">
        <v>35.056378321735934</v>
      </c>
      <c r="X91" s="106">
        <v>0</v>
      </c>
      <c r="Y91" s="106">
        <v>0</v>
      </c>
      <c r="Z91" s="106">
        <v>5.7612683315217329E-2</v>
      </c>
      <c r="AA91" s="106">
        <v>36.779937028434745</v>
      </c>
      <c r="AB91" s="106">
        <v>1.891205255274367</v>
      </c>
      <c r="AC91" s="106">
        <v>1207.3454349671558</v>
      </c>
      <c r="AD91" s="106">
        <v>0</v>
      </c>
      <c r="AE91" s="106">
        <v>0</v>
      </c>
      <c r="AF91" s="106">
        <v>5.0378736192971729</v>
      </c>
      <c r="AG91" s="106">
        <v>3216.1785185593149</v>
      </c>
      <c r="AH91" s="106">
        <v>0</v>
      </c>
      <c r="AI91" s="106">
        <v>0</v>
      </c>
      <c r="AJ91" s="106">
        <v>2.2445325193895194</v>
      </c>
      <c r="AK91" s="106">
        <v>1432.9095603782691</v>
      </c>
      <c r="AL91" s="106">
        <v>0.18826356932520877</v>
      </c>
      <c r="AM91" s="106">
        <v>120.18746265721327</v>
      </c>
      <c r="AN91" s="106">
        <v>1.7597015967222334</v>
      </c>
      <c r="AO91" s="106">
        <v>1123.3934993474738</v>
      </c>
      <c r="AP91" s="106">
        <v>0.99143252309742558</v>
      </c>
      <c r="AQ91" s="106">
        <v>632.9305227453965</v>
      </c>
      <c r="AR91" s="106">
        <v>0</v>
      </c>
      <c r="AS91" s="106">
        <v>0</v>
      </c>
      <c r="AT91" s="106">
        <v>0.56472023006992722</v>
      </c>
      <c r="AU91" s="106">
        <v>360.5173948766415</v>
      </c>
      <c r="AV91" s="106">
        <v>0</v>
      </c>
      <c r="AW91" s="106">
        <v>0</v>
      </c>
      <c r="AX91" s="106">
        <v>0</v>
      </c>
      <c r="AY91" s="106">
        <v>0</v>
      </c>
      <c r="AZ91" s="106">
        <v>1.812259028433588</v>
      </c>
      <c r="BA91" s="106">
        <v>1156.9461637520026</v>
      </c>
      <c r="BB91" s="106">
        <v>0.48780232851430089</v>
      </c>
      <c r="BC91" s="106">
        <v>311.4130065235297</v>
      </c>
      <c r="BD91" s="106">
        <v>0.77496734660779421</v>
      </c>
      <c r="BE91" s="106">
        <v>494.73915407441581</v>
      </c>
      <c r="BF91" s="106">
        <v>0.90939594770056253</v>
      </c>
      <c r="BG91" s="106">
        <v>580.55837301203906</v>
      </c>
      <c r="BH91" s="106">
        <v>0</v>
      </c>
      <c r="BI91" s="106">
        <v>0</v>
      </c>
      <c r="BJ91" s="106">
        <v>5</v>
      </c>
      <c r="BK91" s="106">
        <v>3192</v>
      </c>
      <c r="BL91" s="106">
        <v>3.2980945632252898</v>
      </c>
      <c r="BM91" s="106">
        <v>2105.5035691630251</v>
      </c>
      <c r="BN91" s="106">
        <v>4.2195982348670178</v>
      </c>
      <c r="BO91" s="106">
        <v>2693.7915131391042</v>
      </c>
      <c r="BP91" s="106">
        <v>1.2484412299615093</v>
      </c>
      <c r="BQ91" s="106">
        <v>797.0048812074275</v>
      </c>
      <c r="BR91" s="106">
        <v>0</v>
      </c>
      <c r="BS91" s="106">
        <v>0</v>
      </c>
      <c r="BT91" s="106">
        <v>1</v>
      </c>
      <c r="BU91" s="106">
        <v>638.4</v>
      </c>
      <c r="BV91" s="106">
        <v>2</v>
      </c>
      <c r="BW91" s="106">
        <v>1276.8</v>
      </c>
      <c r="BX91" s="106">
        <v>3</v>
      </c>
      <c r="BY91" s="106">
        <v>1915.1999999999998</v>
      </c>
      <c r="BZ91" s="106">
        <v>2.0844370560988974</v>
      </c>
      <c r="CA91" s="106">
        <v>1330.704616613536</v>
      </c>
      <c r="CB91" s="106">
        <v>1.0862878887244323</v>
      </c>
      <c r="CC91" s="106">
        <v>693.48618816167755</v>
      </c>
      <c r="CD91" s="106">
        <v>2.0265246749233046</v>
      </c>
      <c r="CE91" s="106">
        <v>1293.7333524710375</v>
      </c>
      <c r="CF91" s="106">
        <v>2.085147964829861</v>
      </c>
      <c r="CG91" s="106">
        <v>1331.1584607473833</v>
      </c>
      <c r="CH91" s="106">
        <v>5.7327620216768249</v>
      </c>
      <c r="CI91" s="106">
        <v>3659.7952746384849</v>
      </c>
      <c r="CJ91" s="106">
        <v>0</v>
      </c>
      <c r="CK91" s="106">
        <v>0</v>
      </c>
      <c r="CL91" s="106">
        <v>3.0270972483249716</v>
      </c>
      <c r="CM91" s="106">
        <v>1932.4988833306618</v>
      </c>
      <c r="CN91" s="106">
        <v>1.4517233641853557</v>
      </c>
      <c r="CO91" s="106">
        <v>926.78019569593107</v>
      </c>
      <c r="CP91" s="106">
        <v>1.1470162823980603</v>
      </c>
      <c r="CQ91" s="106">
        <v>732.25519468292168</v>
      </c>
      <c r="CR91" s="106">
        <v>1.8224177369097787</v>
      </c>
      <c r="CS91" s="106">
        <v>1163.4314832432026</v>
      </c>
      <c r="CT91" s="106">
        <v>0.77663650243966509</v>
      </c>
      <c r="CU91" s="106">
        <v>495.80474315748216</v>
      </c>
    </row>
    <row r="92" spans="2:99" x14ac:dyDescent="0.2">
      <c r="C92" s="105" t="s">
        <v>258</v>
      </c>
      <c r="D92" s="106">
        <v>2</v>
      </c>
      <c r="E92" s="106">
        <v>998.4</v>
      </c>
      <c r="F92" s="106">
        <v>2.3393088107857887</v>
      </c>
      <c r="G92" s="106">
        <v>1167.7829583442656</v>
      </c>
      <c r="H92" s="106">
        <v>1.2238456495183812</v>
      </c>
      <c r="I92" s="106">
        <v>610.94374823957583</v>
      </c>
      <c r="J92" s="106">
        <v>0.15110369411297919</v>
      </c>
      <c r="K92" s="106">
        <v>75.430964101199208</v>
      </c>
      <c r="L92" s="106">
        <v>2.2352618739240215</v>
      </c>
      <c r="M92" s="106">
        <v>1115.8427274628716</v>
      </c>
      <c r="N92" s="106">
        <v>0.882004305923762</v>
      </c>
      <c r="O92" s="106">
        <v>440.29654951714195</v>
      </c>
      <c r="P92" s="106">
        <v>2.081484809446184</v>
      </c>
      <c r="Q92" s="106">
        <v>1039.077216875535</v>
      </c>
      <c r="R92" s="106">
        <v>1.9044224391119955</v>
      </c>
      <c r="S92" s="106">
        <v>950.68768160470813</v>
      </c>
      <c r="T92" s="106">
        <v>0.13389920534734798</v>
      </c>
      <c r="U92" s="106">
        <v>66.842483309396115</v>
      </c>
      <c r="V92" s="106">
        <v>5.4037183960567121E-2</v>
      </c>
      <c r="W92" s="106">
        <v>26.975362233115106</v>
      </c>
      <c r="X92" s="106">
        <v>0</v>
      </c>
      <c r="Y92" s="106">
        <v>0</v>
      </c>
      <c r="Z92" s="106">
        <v>5.6707924757874624E-2</v>
      </c>
      <c r="AA92" s="106">
        <v>28.308596039131011</v>
      </c>
      <c r="AB92" s="106">
        <v>1.891205255274367</v>
      </c>
      <c r="AC92" s="106">
        <v>944.08966343296402</v>
      </c>
      <c r="AD92" s="106">
        <v>0</v>
      </c>
      <c r="AE92" s="106">
        <v>0</v>
      </c>
      <c r="AF92" s="106">
        <v>5.0378736192971729</v>
      </c>
      <c r="AG92" s="106">
        <v>2514.9065107531487</v>
      </c>
      <c r="AH92" s="106">
        <v>0</v>
      </c>
      <c r="AI92" s="106">
        <v>0</v>
      </c>
      <c r="AJ92" s="106">
        <v>2.2445325193895194</v>
      </c>
      <c r="AK92" s="106">
        <v>1120.4706336792481</v>
      </c>
      <c r="AL92" s="106">
        <v>0.18826356932520877</v>
      </c>
      <c r="AM92" s="106">
        <v>93.981173807144216</v>
      </c>
      <c r="AN92" s="106">
        <v>1.7597015967222334</v>
      </c>
      <c r="AO92" s="106">
        <v>878.44303708373889</v>
      </c>
      <c r="AP92" s="106">
        <v>0.99933444230199686</v>
      </c>
      <c r="AQ92" s="106">
        <v>498.86775359715682</v>
      </c>
      <c r="AR92" s="106">
        <v>0</v>
      </c>
      <c r="AS92" s="106">
        <v>0</v>
      </c>
      <c r="AT92" s="106">
        <v>0.56472023006992722</v>
      </c>
      <c r="AU92" s="106">
        <v>281.90833885090768</v>
      </c>
      <c r="AV92" s="106">
        <v>0</v>
      </c>
      <c r="AW92" s="106">
        <v>0</v>
      </c>
      <c r="AX92" s="106">
        <v>0</v>
      </c>
      <c r="AY92" s="106">
        <v>0</v>
      </c>
      <c r="AZ92" s="106">
        <v>1.812259028433588</v>
      </c>
      <c r="BA92" s="106">
        <v>904.67970699404714</v>
      </c>
      <c r="BB92" s="106">
        <v>0.48780232851430089</v>
      </c>
      <c r="BC92" s="106">
        <v>243.51092239433899</v>
      </c>
      <c r="BD92" s="106">
        <v>0.89513563537502194</v>
      </c>
      <c r="BE92" s="106">
        <v>446.85170917921096</v>
      </c>
      <c r="BF92" s="106">
        <v>0.90939594770056253</v>
      </c>
      <c r="BG92" s="106">
        <v>453.9704570921208</v>
      </c>
      <c r="BH92" s="106">
        <v>0</v>
      </c>
      <c r="BI92" s="106">
        <v>0</v>
      </c>
      <c r="BJ92" s="106">
        <v>6</v>
      </c>
      <c r="BK92" s="106">
        <v>2995.2</v>
      </c>
      <c r="BL92" s="106">
        <v>3.3011966037955252</v>
      </c>
      <c r="BM92" s="106">
        <v>1647.957344614726</v>
      </c>
      <c r="BN92" s="106">
        <v>4.2218038703414216</v>
      </c>
      <c r="BO92" s="106">
        <v>2107.5244920744376</v>
      </c>
      <c r="BP92" s="106">
        <v>1.2484412299615093</v>
      </c>
      <c r="BQ92" s="106">
        <v>623.22186199678538</v>
      </c>
      <c r="BR92" s="106">
        <v>0</v>
      </c>
      <c r="BS92" s="106">
        <v>0</v>
      </c>
      <c r="BT92" s="106">
        <v>2</v>
      </c>
      <c r="BU92" s="106">
        <v>998.4</v>
      </c>
      <c r="BV92" s="106">
        <v>2</v>
      </c>
      <c r="BW92" s="106">
        <v>998.4</v>
      </c>
      <c r="BX92" s="106">
        <v>3</v>
      </c>
      <c r="BY92" s="106">
        <v>1497.6</v>
      </c>
      <c r="BZ92" s="106">
        <v>2.0850529721690623</v>
      </c>
      <c r="CA92" s="106">
        <v>1040.8584437067959</v>
      </c>
      <c r="CB92" s="106">
        <v>1.0862878887244323</v>
      </c>
      <c r="CC92" s="106">
        <v>542.27491405123658</v>
      </c>
      <c r="CD92" s="106">
        <v>3.0268118283558092</v>
      </c>
      <c r="CE92" s="106">
        <v>1510.9844647152199</v>
      </c>
      <c r="CF92" s="106">
        <v>2.085147964829861</v>
      </c>
      <c r="CG92" s="106">
        <v>1040.9058640430667</v>
      </c>
      <c r="CH92" s="106">
        <v>5.7327620216768249</v>
      </c>
      <c r="CI92" s="106">
        <v>2861.7948012210709</v>
      </c>
      <c r="CJ92" s="106">
        <v>0</v>
      </c>
      <c r="CK92" s="106">
        <v>0</v>
      </c>
      <c r="CL92" s="106">
        <v>3.0270972483249716</v>
      </c>
      <c r="CM92" s="106">
        <v>1511.1269463638257</v>
      </c>
      <c r="CN92" s="106">
        <v>1.4517233641853557</v>
      </c>
      <c r="CO92" s="106">
        <v>724.70030340132962</v>
      </c>
      <c r="CP92" s="106">
        <v>1.1470162823980603</v>
      </c>
      <c r="CQ92" s="106">
        <v>572.59052817311169</v>
      </c>
      <c r="CR92" s="106">
        <v>1.8224177369097787</v>
      </c>
      <c r="CS92" s="106">
        <v>909.75093426536148</v>
      </c>
      <c r="CT92" s="106">
        <v>0.52512608710935738</v>
      </c>
      <c r="CU92" s="106">
        <v>262.14294268499117</v>
      </c>
    </row>
    <row r="93" spans="2:99" x14ac:dyDescent="0.2">
      <c r="C93" s="105" t="s">
        <v>259</v>
      </c>
      <c r="D93" s="106">
        <v>2</v>
      </c>
      <c r="E93" s="106">
        <v>348</v>
      </c>
      <c r="F93" s="106">
        <v>2.3393088107857887</v>
      </c>
      <c r="G93" s="106">
        <v>407.0397330767272</v>
      </c>
      <c r="H93" s="106">
        <v>1.2238456495183812</v>
      </c>
      <c r="I93" s="106">
        <v>212.94914301619832</v>
      </c>
      <c r="J93" s="106">
        <v>0.15110369411297919</v>
      </c>
      <c r="K93" s="106">
        <v>26.292042775658381</v>
      </c>
      <c r="L93" s="106">
        <v>2.1882094991392171</v>
      </c>
      <c r="M93" s="106">
        <v>380.74845285022377</v>
      </c>
      <c r="N93" s="106">
        <v>0.882004305923762</v>
      </c>
      <c r="O93" s="106">
        <v>153.4687492307346</v>
      </c>
      <c r="P93" s="106">
        <v>2.0467117087146134</v>
      </c>
      <c r="Q93" s="106">
        <v>356.12783731634272</v>
      </c>
      <c r="R93" s="106">
        <v>2.7867660643293797</v>
      </c>
      <c r="S93" s="106">
        <v>484.89729519331206</v>
      </c>
      <c r="T93" s="106">
        <v>0.13389920534734798</v>
      </c>
      <c r="U93" s="106">
        <v>23.298461730438547</v>
      </c>
      <c r="V93" s="106">
        <v>5.4912873310989874E-2</v>
      </c>
      <c r="W93" s="106">
        <v>9.5548399561122377</v>
      </c>
      <c r="X93" s="106">
        <v>0</v>
      </c>
      <c r="Y93" s="106">
        <v>0</v>
      </c>
      <c r="Z93" s="106">
        <v>5.7612683315217329E-2</v>
      </c>
      <c r="AA93" s="106">
        <v>10.024606896847816</v>
      </c>
      <c r="AB93" s="106">
        <v>1.891205255274367</v>
      </c>
      <c r="AC93" s="106">
        <v>329.06971441773987</v>
      </c>
      <c r="AD93" s="106">
        <v>0</v>
      </c>
      <c r="AE93" s="106">
        <v>0</v>
      </c>
      <c r="AF93" s="106">
        <v>4.2712094549673205</v>
      </c>
      <c r="AG93" s="106">
        <v>743.19044516431381</v>
      </c>
      <c r="AH93" s="106">
        <v>0</v>
      </c>
      <c r="AI93" s="106">
        <v>0</v>
      </c>
      <c r="AJ93" s="106">
        <v>2.2934390232674229</v>
      </c>
      <c r="AK93" s="106">
        <v>399.05839004853158</v>
      </c>
      <c r="AL93" s="106">
        <v>0.25101809243361167</v>
      </c>
      <c r="AM93" s="106">
        <v>43.677148083448429</v>
      </c>
      <c r="AN93" s="106">
        <v>1.7798004188391159</v>
      </c>
      <c r="AO93" s="106">
        <v>309.68527287800617</v>
      </c>
      <c r="AP93" s="106">
        <v>0.99933444230199686</v>
      </c>
      <c r="AQ93" s="106">
        <v>173.88419296054747</v>
      </c>
      <c r="AR93" s="106">
        <v>0</v>
      </c>
      <c r="AS93" s="106">
        <v>0</v>
      </c>
      <c r="AT93" s="106">
        <v>0.56472023006992722</v>
      </c>
      <c r="AU93" s="106">
        <v>98.261320032167333</v>
      </c>
      <c r="AV93" s="106">
        <v>0</v>
      </c>
      <c r="AW93" s="106">
        <v>0</v>
      </c>
      <c r="AX93" s="106">
        <v>0</v>
      </c>
      <c r="AY93" s="106">
        <v>0</v>
      </c>
      <c r="AZ93" s="106">
        <v>1.812259028433588</v>
      </c>
      <c r="BA93" s="106">
        <v>315.3330709474443</v>
      </c>
      <c r="BB93" s="106">
        <v>0.48780232851430089</v>
      </c>
      <c r="BC93" s="106">
        <v>84.877605161488361</v>
      </c>
      <c r="BD93" s="106">
        <v>0.77496734660779421</v>
      </c>
      <c r="BE93" s="106">
        <v>134.8443183097562</v>
      </c>
      <c r="BF93" s="106">
        <v>0.90939594770056253</v>
      </c>
      <c r="BG93" s="106">
        <v>158.23489489989788</v>
      </c>
      <c r="BH93" s="106">
        <v>0</v>
      </c>
      <c r="BI93" s="106">
        <v>0</v>
      </c>
      <c r="BJ93" s="106">
        <v>6</v>
      </c>
      <c r="BK93" s="106">
        <v>1044</v>
      </c>
      <c r="BL93" s="106">
        <v>3.2980945632252898</v>
      </c>
      <c r="BM93" s="106">
        <v>573.86845400120046</v>
      </c>
      <c r="BN93" s="106">
        <v>4.2195982348670178</v>
      </c>
      <c r="BO93" s="106">
        <v>734.21009286686115</v>
      </c>
      <c r="BP93" s="106">
        <v>1.2512356548432317</v>
      </c>
      <c r="BQ93" s="106">
        <v>217.71500394272232</v>
      </c>
      <c r="BR93" s="106">
        <v>0</v>
      </c>
      <c r="BS93" s="106">
        <v>0</v>
      </c>
      <c r="BT93" s="106">
        <v>2</v>
      </c>
      <c r="BU93" s="106">
        <v>348</v>
      </c>
      <c r="BV93" s="106">
        <v>2</v>
      </c>
      <c r="BW93" s="106">
        <v>348</v>
      </c>
      <c r="BX93" s="106">
        <v>3</v>
      </c>
      <c r="BY93" s="106">
        <v>522</v>
      </c>
      <c r="BZ93" s="106">
        <v>2.0850529721690623</v>
      </c>
      <c r="CA93" s="106">
        <v>362.79921715741682</v>
      </c>
      <c r="CB93" s="106">
        <v>1.0862878887244323</v>
      </c>
      <c r="CC93" s="106">
        <v>189.01409263805121</v>
      </c>
      <c r="CD93" s="106">
        <v>2.0270989817883134</v>
      </c>
      <c r="CE93" s="106">
        <v>352.71522283116656</v>
      </c>
      <c r="CF93" s="106">
        <v>2.085147964829861</v>
      </c>
      <c r="CG93" s="106">
        <v>362.81574588039581</v>
      </c>
      <c r="CH93" s="106">
        <v>5.7327620216768249</v>
      </c>
      <c r="CI93" s="106">
        <v>997.50059177176752</v>
      </c>
      <c r="CJ93" s="106">
        <v>0</v>
      </c>
      <c r="CK93" s="106">
        <v>0</v>
      </c>
      <c r="CL93" s="106">
        <v>3.6325166979899661</v>
      </c>
      <c r="CM93" s="106">
        <v>632.05790545025411</v>
      </c>
      <c r="CN93" s="106">
        <v>1.4517233641853557</v>
      </c>
      <c r="CO93" s="106">
        <v>252.5998653682519</v>
      </c>
      <c r="CP93" s="106">
        <v>1.1470162823980603</v>
      </c>
      <c r="CQ93" s="106">
        <v>199.58083313726249</v>
      </c>
      <c r="CR93" s="106">
        <v>1.8008883076763555</v>
      </c>
      <c r="CS93" s="106">
        <v>313.35456553568588</v>
      </c>
      <c r="CT93" s="106">
        <v>0.53617871533372841</v>
      </c>
      <c r="CU93" s="106">
        <v>93.295096468068749</v>
      </c>
    </row>
    <row r="94" spans="2:99" x14ac:dyDescent="0.2">
      <c r="C94" s="105" t="s">
        <v>260</v>
      </c>
      <c r="D94" s="106">
        <v>2</v>
      </c>
      <c r="E94" s="106">
        <v>1430.3999999999999</v>
      </c>
      <c r="F94" s="106">
        <v>2.290836123530676</v>
      </c>
      <c r="G94" s="106">
        <v>1638.4059955491393</v>
      </c>
      <c r="H94" s="106">
        <v>1.1918676995871837</v>
      </c>
      <c r="I94" s="106">
        <v>852.42377874475369</v>
      </c>
      <c r="J94" s="106">
        <v>0.15110369411297919</v>
      </c>
      <c r="K94" s="106">
        <v>108.06936202960271</v>
      </c>
      <c r="L94" s="106">
        <v>2.2352618739240215</v>
      </c>
      <c r="M94" s="106">
        <v>1598.6592922304601</v>
      </c>
      <c r="N94" s="106">
        <v>0.882004305923762</v>
      </c>
      <c r="O94" s="106">
        <v>630.80947959667458</v>
      </c>
      <c r="P94" s="106">
        <v>2.0467117087146134</v>
      </c>
      <c r="Q94" s="106">
        <v>1463.8082140726913</v>
      </c>
      <c r="R94" s="106">
        <v>1.9044224391119955</v>
      </c>
      <c r="S94" s="106">
        <v>1362.0429284528991</v>
      </c>
      <c r="T94" s="106">
        <v>0.11402714460017052</v>
      </c>
      <c r="U94" s="106">
        <v>81.552213818041949</v>
      </c>
      <c r="V94" s="106">
        <v>5.4912873310989874E-2</v>
      </c>
      <c r="W94" s="106">
        <v>39.273686992019954</v>
      </c>
      <c r="X94" s="106">
        <v>0</v>
      </c>
      <c r="Y94" s="106">
        <v>0</v>
      </c>
      <c r="Z94" s="106">
        <v>5.6707924757874624E-2</v>
      </c>
      <c r="AA94" s="106">
        <v>40.557507786831927</v>
      </c>
      <c r="AB94" s="106">
        <v>1.891205255274367</v>
      </c>
      <c r="AC94" s="106">
        <v>1352.5899985722272</v>
      </c>
      <c r="AD94" s="106">
        <v>0</v>
      </c>
      <c r="AE94" s="106">
        <v>0</v>
      </c>
      <c r="AF94" s="106">
        <v>5.077681676871542</v>
      </c>
      <c r="AG94" s="106">
        <v>3631.5579352985264</v>
      </c>
      <c r="AH94" s="106">
        <v>0</v>
      </c>
      <c r="AI94" s="106">
        <v>0</v>
      </c>
      <c r="AJ94" s="106">
        <v>2.2934390232674229</v>
      </c>
      <c r="AK94" s="106">
        <v>1640.2675894408608</v>
      </c>
      <c r="AL94" s="106">
        <v>0.18826356932520877</v>
      </c>
      <c r="AM94" s="106">
        <v>134.64610478138931</v>
      </c>
      <c r="AN94" s="106">
        <v>1.7597015967222334</v>
      </c>
      <c r="AO94" s="106">
        <v>1258.5385819757412</v>
      </c>
      <c r="AP94" s="106">
        <v>0.99933444230199686</v>
      </c>
      <c r="AQ94" s="106">
        <v>714.72399313438814</v>
      </c>
      <c r="AR94" s="106">
        <v>0</v>
      </c>
      <c r="AS94" s="106">
        <v>0</v>
      </c>
      <c r="AT94" s="106">
        <v>0.56472023006992722</v>
      </c>
      <c r="AU94" s="106">
        <v>403.88790854601189</v>
      </c>
      <c r="AV94" s="106">
        <v>0</v>
      </c>
      <c r="AW94" s="106">
        <v>0</v>
      </c>
      <c r="AX94" s="106">
        <v>0</v>
      </c>
      <c r="AY94" s="106">
        <v>0</v>
      </c>
      <c r="AZ94" s="106">
        <v>1.812259028433588</v>
      </c>
      <c r="BA94" s="106">
        <v>1296.1276571357021</v>
      </c>
      <c r="BB94" s="106">
        <v>0.88033790032024406</v>
      </c>
      <c r="BC94" s="106">
        <v>629.61766630903844</v>
      </c>
      <c r="BD94" s="106">
        <v>0.77496734660779421</v>
      </c>
      <c r="BE94" s="106">
        <v>554.25664629389439</v>
      </c>
      <c r="BF94" s="106">
        <v>0.919607520500199</v>
      </c>
      <c r="BG94" s="106">
        <v>657.70329866174222</v>
      </c>
      <c r="BH94" s="106">
        <v>0</v>
      </c>
      <c r="BI94" s="106">
        <v>0</v>
      </c>
      <c r="BJ94" s="106">
        <v>5</v>
      </c>
      <c r="BK94" s="106">
        <v>3575.9999999999995</v>
      </c>
      <c r="BL94" s="106">
        <v>3.2980945632252898</v>
      </c>
      <c r="BM94" s="106">
        <v>2358.797231618727</v>
      </c>
      <c r="BN94" s="106">
        <v>4.2218038703414216</v>
      </c>
      <c r="BO94" s="106">
        <v>3019.4341280681842</v>
      </c>
      <c r="BP94" s="106">
        <v>1.2456468050797869</v>
      </c>
      <c r="BQ94" s="106">
        <v>890.88659499306345</v>
      </c>
      <c r="BR94" s="106">
        <v>0</v>
      </c>
      <c r="BS94" s="106">
        <v>0</v>
      </c>
      <c r="BT94" s="106">
        <v>2</v>
      </c>
      <c r="BU94" s="106">
        <v>1430.3999999999999</v>
      </c>
      <c r="BV94" s="106">
        <v>2</v>
      </c>
      <c r="BW94" s="106">
        <v>1430.3999999999999</v>
      </c>
      <c r="BX94" s="106">
        <v>3</v>
      </c>
      <c r="BY94" s="106">
        <v>2145.6</v>
      </c>
      <c r="BZ94" s="106">
        <v>2.0850529721690623</v>
      </c>
      <c r="CA94" s="106">
        <v>1491.2298856953132</v>
      </c>
      <c r="CB94" s="106">
        <v>1.0862878887244323</v>
      </c>
      <c r="CC94" s="106">
        <v>776.9130980157139</v>
      </c>
      <c r="CD94" s="106">
        <v>3.020324236341235</v>
      </c>
      <c r="CE94" s="106">
        <v>2160.135893831251</v>
      </c>
      <c r="CF94" s="106">
        <v>2.6064349560373263</v>
      </c>
      <c r="CG94" s="106">
        <v>1864.1222805578957</v>
      </c>
      <c r="CH94" s="106">
        <v>5.7327620216768249</v>
      </c>
      <c r="CI94" s="106">
        <v>4100.0713979032644</v>
      </c>
      <c r="CJ94" s="106">
        <v>0</v>
      </c>
      <c r="CK94" s="106">
        <v>0</v>
      </c>
      <c r="CL94" s="106">
        <v>3.6325166979899661</v>
      </c>
      <c r="CM94" s="106">
        <v>2597.9759424024237</v>
      </c>
      <c r="CN94" s="106">
        <v>1.4517233641853557</v>
      </c>
      <c r="CO94" s="106">
        <v>1038.2725500653664</v>
      </c>
      <c r="CP94" s="106">
        <v>1.1565021692035398</v>
      </c>
      <c r="CQ94" s="106">
        <v>827.1303514143716</v>
      </c>
      <c r="CR94" s="106">
        <v>1.8224177369097787</v>
      </c>
      <c r="CS94" s="106">
        <v>1303.3931654378737</v>
      </c>
      <c r="CT94" s="106">
        <v>0.77111018832747957</v>
      </c>
      <c r="CU94" s="106">
        <v>551.49800669181332</v>
      </c>
    </row>
    <row r="95" spans="2:99" x14ac:dyDescent="0.2">
      <c r="B95" s="105" t="s">
        <v>132</v>
      </c>
      <c r="C95" s="105" t="s">
        <v>261</v>
      </c>
      <c r="D95" s="106">
        <v>4</v>
      </c>
      <c r="E95" s="106">
        <v>2644.7999999999997</v>
      </c>
      <c r="F95" s="106">
        <v>6.3393088107857887</v>
      </c>
      <c r="G95" s="106">
        <v>4191.5509856915633</v>
      </c>
      <c r="H95" s="106">
        <v>3.2238456495183812</v>
      </c>
      <c r="I95" s="106">
        <v>2131.6067434615534</v>
      </c>
      <c r="J95" s="106">
        <v>0.30220738822595838</v>
      </c>
      <c r="K95" s="106">
        <v>199.81952509500366</v>
      </c>
      <c r="L95" s="106">
        <v>3.3764189982784343</v>
      </c>
      <c r="M95" s="106">
        <v>2232.4882416617006</v>
      </c>
      <c r="N95" s="106">
        <v>1.3230064588856429</v>
      </c>
      <c r="O95" s="106">
        <v>874.77187061518703</v>
      </c>
      <c r="P95" s="106">
        <v>2.081484809446184</v>
      </c>
      <c r="Q95" s="106">
        <v>1376.2777560058166</v>
      </c>
      <c r="R95" s="106">
        <v>3.808844878223991</v>
      </c>
      <c r="S95" s="106">
        <v>2518.4082334817026</v>
      </c>
      <c r="T95" s="106">
        <v>0.13106033952632262</v>
      </c>
      <c r="U95" s="106">
        <v>86.657096494804506</v>
      </c>
      <c r="V95" s="106">
        <v>7.9304397240005167E-2</v>
      </c>
      <c r="W95" s="106">
        <v>52.436067455091411</v>
      </c>
      <c r="X95" s="106">
        <v>0</v>
      </c>
      <c r="Y95" s="106">
        <v>0</v>
      </c>
      <c r="Z95" s="106">
        <v>8.5061887136811939E-2</v>
      </c>
      <c r="AA95" s="106">
        <v>56.242919774860049</v>
      </c>
      <c r="AB95" s="106">
        <v>1.1995841912306462</v>
      </c>
      <c r="AC95" s="106">
        <v>793.16506724170313</v>
      </c>
      <c r="AD95" s="106">
        <v>0</v>
      </c>
      <c r="AE95" s="106">
        <v>0</v>
      </c>
      <c r="AF95" s="106">
        <v>1.6129444438084428</v>
      </c>
      <c r="AG95" s="106">
        <v>1066.4788662461424</v>
      </c>
      <c r="AH95" s="106">
        <v>0</v>
      </c>
      <c r="AI95" s="106">
        <v>0</v>
      </c>
      <c r="AJ95" s="106">
        <v>2.3912520310232308</v>
      </c>
      <c r="AK95" s="106">
        <v>1581.0958429125601</v>
      </c>
      <c r="AL95" s="106">
        <v>0.12550904621680584</v>
      </c>
      <c r="AM95" s="106">
        <v>82.986581358552016</v>
      </c>
      <c r="AN95" s="106">
        <v>1.1999328273039991</v>
      </c>
      <c r="AO95" s="106">
        <v>793.39558541340409</v>
      </c>
      <c r="AP95" s="106">
        <v>0.67149090767104558</v>
      </c>
      <c r="AQ95" s="106">
        <v>443.98978815209529</v>
      </c>
      <c r="AR95" s="106">
        <v>0</v>
      </c>
      <c r="AS95" s="106">
        <v>0</v>
      </c>
      <c r="AT95" s="106">
        <v>0.84708034510489072</v>
      </c>
      <c r="AU95" s="106">
        <v>560.08952418335366</v>
      </c>
      <c r="AV95" s="106">
        <v>0</v>
      </c>
      <c r="AW95" s="106">
        <v>0</v>
      </c>
      <c r="AX95" s="106">
        <v>0</v>
      </c>
      <c r="AY95" s="106">
        <v>0</v>
      </c>
      <c r="AZ95" s="106">
        <v>2.718388542650382</v>
      </c>
      <c r="BA95" s="106">
        <v>1797.3985044004323</v>
      </c>
      <c r="BB95" s="106">
        <v>0.8922462449087889</v>
      </c>
      <c r="BC95" s="106">
        <v>589.95321713369117</v>
      </c>
      <c r="BD95" s="106">
        <v>1.1284084283625655</v>
      </c>
      <c r="BE95" s="106">
        <v>746.10365283332828</v>
      </c>
      <c r="BF95" s="106">
        <v>0.92981909329983536</v>
      </c>
      <c r="BG95" s="106">
        <v>614.79638448985111</v>
      </c>
      <c r="BH95" s="106">
        <v>0</v>
      </c>
      <c r="BI95" s="106">
        <v>0</v>
      </c>
      <c r="BJ95" s="106">
        <v>3</v>
      </c>
      <c r="BK95" s="106">
        <v>1983.6</v>
      </c>
      <c r="BL95" s="106">
        <v>2.5620666801779932</v>
      </c>
      <c r="BM95" s="106">
        <v>1694.038488933689</v>
      </c>
      <c r="BN95" s="106">
        <v>2.5065141867579652</v>
      </c>
      <c r="BO95" s="106">
        <v>1657.3071802843665</v>
      </c>
      <c r="BP95" s="106">
        <v>6.2507193274486532</v>
      </c>
      <c r="BQ95" s="106">
        <v>4132.9756193090489</v>
      </c>
      <c r="BR95" s="106">
        <v>0</v>
      </c>
      <c r="BS95" s="106">
        <v>0</v>
      </c>
      <c r="BT95" s="106">
        <v>4</v>
      </c>
      <c r="BU95" s="106">
        <v>2644.7999999999997</v>
      </c>
      <c r="BV95" s="106">
        <v>6</v>
      </c>
      <c r="BW95" s="106">
        <v>3967.2</v>
      </c>
      <c r="BX95" s="106">
        <v>3</v>
      </c>
      <c r="BY95" s="106">
        <v>1983.6</v>
      </c>
      <c r="BZ95" s="106">
        <v>3.1078560053867408</v>
      </c>
      <c r="CA95" s="106">
        <v>2054.9143907617126</v>
      </c>
      <c r="CB95" s="106">
        <v>1.6294318330866484</v>
      </c>
      <c r="CC95" s="106">
        <v>1077.3803280368918</v>
      </c>
      <c r="CD95" s="106">
        <v>2.0332994203703829</v>
      </c>
      <c r="CE95" s="106">
        <v>1344.4175767488971</v>
      </c>
      <c r="CF95" s="106">
        <v>1.5638609736223956</v>
      </c>
      <c r="CG95" s="106">
        <v>1034.0248757591278</v>
      </c>
      <c r="CH95" s="106">
        <v>3.3737291180837685</v>
      </c>
      <c r="CI95" s="106">
        <v>2230.7096928769874</v>
      </c>
      <c r="CJ95" s="106">
        <v>0</v>
      </c>
      <c r="CK95" s="106">
        <v>0</v>
      </c>
      <c r="CL95" s="106">
        <v>1.8162583489949831</v>
      </c>
      <c r="CM95" s="106">
        <v>1200.9100203554826</v>
      </c>
      <c r="CN95" s="106">
        <v>1.5756603300964085</v>
      </c>
      <c r="CO95" s="106">
        <v>1041.8266102597452</v>
      </c>
      <c r="CP95" s="106">
        <v>1.8136729736734807</v>
      </c>
      <c r="CQ95" s="106">
        <v>1199.2005701929054</v>
      </c>
      <c r="CR95" s="106">
        <v>2.793362696870838</v>
      </c>
      <c r="CS95" s="106">
        <v>1846.9714151709979</v>
      </c>
      <c r="CT95" s="106">
        <v>1.2299205060906111</v>
      </c>
      <c r="CU95" s="106">
        <v>813.22343862711193</v>
      </c>
    </row>
    <row r="96" spans="2:99" x14ac:dyDescent="0.2">
      <c r="C96" s="105" t="s">
        <v>262</v>
      </c>
      <c r="D96" s="106">
        <v>4</v>
      </c>
      <c r="E96" s="106">
        <v>4468.8</v>
      </c>
      <c r="F96" s="106">
        <v>5.290836123530676</v>
      </c>
      <c r="G96" s="106">
        <v>5910.9221172084717</v>
      </c>
      <c r="H96" s="106">
        <v>3.2558235994495783</v>
      </c>
      <c r="I96" s="106">
        <v>3637.4061253050691</v>
      </c>
      <c r="J96" s="106">
        <v>0.30220738822595838</v>
      </c>
      <c r="K96" s="106">
        <v>337.6260941260407</v>
      </c>
      <c r="L96" s="106">
        <v>3.3293666234936299</v>
      </c>
      <c r="M96" s="106">
        <v>3719.5683917670835</v>
      </c>
      <c r="N96" s="106">
        <v>1.3230064588856429</v>
      </c>
      <c r="O96" s="106">
        <v>1478.0628158670404</v>
      </c>
      <c r="P96" s="106">
        <v>2.081484809446184</v>
      </c>
      <c r="Q96" s="106">
        <v>2325.4348291132769</v>
      </c>
      <c r="R96" s="106">
        <v>3.7739110810546843</v>
      </c>
      <c r="S96" s="106">
        <v>4216.2134597542936</v>
      </c>
      <c r="T96" s="106">
        <v>0.13106033952632262</v>
      </c>
      <c r="U96" s="106">
        <v>146.42061131880763</v>
      </c>
      <c r="V96" s="106">
        <v>7.9304397240005167E-2</v>
      </c>
      <c r="W96" s="106">
        <v>88.598872596533781</v>
      </c>
      <c r="X96" s="106">
        <v>0</v>
      </c>
      <c r="Y96" s="106">
        <v>0</v>
      </c>
      <c r="Z96" s="106">
        <v>8.415712857946922E-2</v>
      </c>
      <c r="AA96" s="106">
        <v>94.02034404898302</v>
      </c>
      <c r="AB96" s="106">
        <v>1.1995841912306462</v>
      </c>
      <c r="AC96" s="106">
        <v>1340.1754584428779</v>
      </c>
      <c r="AD96" s="106">
        <v>0</v>
      </c>
      <c r="AE96" s="106">
        <v>0</v>
      </c>
      <c r="AF96" s="106">
        <v>1.9314089044033937</v>
      </c>
      <c r="AG96" s="106">
        <v>2157.7700279994715</v>
      </c>
      <c r="AH96" s="106">
        <v>0</v>
      </c>
      <c r="AI96" s="106">
        <v>0</v>
      </c>
      <c r="AJ96" s="106">
        <v>2.4401585349011343</v>
      </c>
      <c r="AK96" s="106">
        <v>2726.1451151915476</v>
      </c>
      <c r="AL96" s="106">
        <v>0.12550904621680584</v>
      </c>
      <c r="AM96" s="106">
        <v>140.21870643341549</v>
      </c>
      <c r="AN96" s="106">
        <v>1.1798340051871163</v>
      </c>
      <c r="AO96" s="106">
        <v>1318.1105505950463</v>
      </c>
      <c r="AP96" s="106">
        <v>0.67149090767104558</v>
      </c>
      <c r="AQ96" s="106">
        <v>750.18964205009217</v>
      </c>
      <c r="AR96" s="106">
        <v>0</v>
      </c>
      <c r="AS96" s="106">
        <v>0</v>
      </c>
      <c r="AT96" s="106">
        <v>1.1294404601398544</v>
      </c>
      <c r="AU96" s="106">
        <v>1261.8108820682455</v>
      </c>
      <c r="AV96" s="106">
        <v>0</v>
      </c>
      <c r="AW96" s="106">
        <v>0</v>
      </c>
      <c r="AX96" s="106">
        <v>0</v>
      </c>
      <c r="AY96" s="106">
        <v>0</v>
      </c>
      <c r="AZ96" s="106">
        <v>2.718388542650382</v>
      </c>
      <c r="BA96" s="106">
        <v>3036.9836798490069</v>
      </c>
      <c r="BB96" s="106">
        <v>0.8922462449087889</v>
      </c>
      <c r="BC96" s="106">
        <v>996.81750481209895</v>
      </c>
      <c r="BD96" s="106">
        <v>0.77496734660779421</v>
      </c>
      <c r="BE96" s="106">
        <v>865.79351963022771</v>
      </c>
      <c r="BF96" s="106">
        <v>0.92981909329983536</v>
      </c>
      <c r="BG96" s="106">
        <v>1038.7938910345761</v>
      </c>
      <c r="BH96" s="106">
        <v>0</v>
      </c>
      <c r="BI96" s="106">
        <v>0</v>
      </c>
      <c r="BJ96" s="106">
        <v>3</v>
      </c>
      <c r="BK96" s="106">
        <v>3351.6000000000004</v>
      </c>
      <c r="BL96" s="106">
        <v>2.5620666801779932</v>
      </c>
      <c r="BM96" s="106">
        <v>2862.3408950948542</v>
      </c>
      <c r="BN96" s="106">
        <v>2.5087198222323694</v>
      </c>
      <c r="BO96" s="106">
        <v>2802.7417853980032</v>
      </c>
      <c r="BP96" s="106">
        <v>5.19733537458524</v>
      </c>
      <c r="BQ96" s="106">
        <v>5806.4630804866301</v>
      </c>
      <c r="BR96" s="106">
        <v>0</v>
      </c>
      <c r="BS96" s="106">
        <v>0</v>
      </c>
      <c r="BT96" s="106">
        <v>4</v>
      </c>
      <c r="BU96" s="106">
        <v>4468.8</v>
      </c>
      <c r="BV96" s="106">
        <v>6</v>
      </c>
      <c r="BW96" s="106">
        <v>6703.2000000000007</v>
      </c>
      <c r="BX96" s="106">
        <v>3</v>
      </c>
      <c r="BY96" s="106">
        <v>3351.6000000000004</v>
      </c>
      <c r="BZ96" s="106">
        <v>2.0869007203795578</v>
      </c>
      <c r="CA96" s="106">
        <v>2331.4854848080422</v>
      </c>
      <c r="CB96" s="106">
        <v>1.6294318330866484</v>
      </c>
      <c r="CC96" s="106">
        <v>1820.4012439244036</v>
      </c>
      <c r="CD96" s="106">
        <v>2.0270989817883134</v>
      </c>
      <c r="CE96" s="106">
        <v>2264.6749824539038</v>
      </c>
      <c r="CF96" s="106">
        <v>1.0425739824149305</v>
      </c>
      <c r="CG96" s="106">
        <v>1164.7636531539604</v>
      </c>
      <c r="CH96" s="106">
        <v>3.2948448966593045</v>
      </c>
      <c r="CI96" s="106">
        <v>3681.0007185477753</v>
      </c>
      <c r="CJ96" s="106">
        <v>0</v>
      </c>
      <c r="CK96" s="106">
        <v>0</v>
      </c>
      <c r="CL96" s="106">
        <v>1.8162583489949831</v>
      </c>
      <c r="CM96" s="106">
        <v>2029.1238274971952</v>
      </c>
      <c r="CN96" s="106">
        <v>1.5756603300964085</v>
      </c>
      <c r="CO96" s="106">
        <v>1760.3277207837077</v>
      </c>
      <c r="CP96" s="106">
        <v>1.8136729736734807</v>
      </c>
      <c r="CQ96" s="106">
        <v>2026.2354461880127</v>
      </c>
      <c r="CR96" s="106">
        <v>2.7718332676374149</v>
      </c>
      <c r="CS96" s="106">
        <v>3096.6921266045201</v>
      </c>
      <c r="CT96" s="106">
        <v>1.2299205060906111</v>
      </c>
      <c r="CU96" s="106">
        <v>1374.0671894044308</v>
      </c>
    </row>
    <row r="97" spans="2:99" x14ac:dyDescent="0.2">
      <c r="C97" s="105" t="s">
        <v>263</v>
      </c>
      <c r="D97" s="106">
        <v>4</v>
      </c>
      <c r="E97" s="106">
        <v>2371.1999999999998</v>
      </c>
      <c r="F97" s="106">
        <v>6.3393088107857887</v>
      </c>
      <c r="G97" s="106">
        <v>3757.9422630338154</v>
      </c>
      <c r="H97" s="106">
        <v>4.2238456495183812</v>
      </c>
      <c r="I97" s="106">
        <v>2503.8957010344961</v>
      </c>
      <c r="J97" s="106">
        <v>0.37775923528244798</v>
      </c>
      <c r="K97" s="106">
        <v>223.93567467543514</v>
      </c>
      <c r="L97" s="106">
        <v>3.3764189982784343</v>
      </c>
      <c r="M97" s="106">
        <v>2001.5411821794557</v>
      </c>
      <c r="N97" s="106">
        <v>1.3230064588856429</v>
      </c>
      <c r="O97" s="106">
        <v>784.27822882740907</v>
      </c>
      <c r="P97" s="106">
        <v>3.0352944623403491</v>
      </c>
      <c r="Q97" s="106">
        <v>1799.3225572753588</v>
      </c>
      <c r="R97" s="106">
        <v>3.808844878223991</v>
      </c>
      <c r="S97" s="106">
        <v>2257.8832438111817</v>
      </c>
      <c r="T97" s="106">
        <v>0.12822147370529727</v>
      </c>
      <c r="U97" s="106">
        <v>76.00968961250021</v>
      </c>
      <c r="V97" s="106">
        <v>8.0180086590427926E-2</v>
      </c>
      <c r="W97" s="106">
        <v>47.530755330805668</v>
      </c>
      <c r="X97" s="106">
        <v>0</v>
      </c>
      <c r="Y97" s="106">
        <v>0</v>
      </c>
      <c r="Z97" s="106">
        <v>8.415712857946922E-2</v>
      </c>
      <c r="AA97" s="106">
        <v>49.888345821909347</v>
      </c>
      <c r="AB97" s="106">
        <v>1.1995841912306462</v>
      </c>
      <c r="AC97" s="106">
        <v>711.11350856152706</v>
      </c>
      <c r="AD97" s="106">
        <v>0</v>
      </c>
      <c r="AE97" s="106">
        <v>0</v>
      </c>
      <c r="AF97" s="106">
        <v>1.9314089044033937</v>
      </c>
      <c r="AG97" s="106">
        <v>1144.9391985303316</v>
      </c>
      <c r="AH97" s="106">
        <v>0</v>
      </c>
      <c r="AI97" s="106">
        <v>0</v>
      </c>
      <c r="AJ97" s="106">
        <v>2.4401585349011343</v>
      </c>
      <c r="AK97" s="106">
        <v>1446.5259794893923</v>
      </c>
      <c r="AL97" s="106">
        <v>0.12550904621680584</v>
      </c>
      <c r="AM97" s="106">
        <v>74.401762597322488</v>
      </c>
      <c r="AN97" s="106">
        <v>1.1999328273039991</v>
      </c>
      <c r="AO97" s="106">
        <v>711.3201800258106</v>
      </c>
      <c r="AP97" s="106">
        <v>0.67149090767104558</v>
      </c>
      <c r="AQ97" s="106">
        <v>398.0598100673958</v>
      </c>
      <c r="AR97" s="106">
        <v>0</v>
      </c>
      <c r="AS97" s="106">
        <v>0</v>
      </c>
      <c r="AT97" s="106">
        <v>1.1294404601398544</v>
      </c>
      <c r="AU97" s="106">
        <v>669.53230477090563</v>
      </c>
      <c r="AV97" s="106">
        <v>0</v>
      </c>
      <c r="AW97" s="106">
        <v>0</v>
      </c>
      <c r="AX97" s="106">
        <v>0</v>
      </c>
      <c r="AY97" s="106">
        <v>0</v>
      </c>
      <c r="AZ97" s="106">
        <v>1.812259028433588</v>
      </c>
      <c r="BA97" s="106">
        <v>1074.3071520554308</v>
      </c>
      <c r="BB97" s="106">
        <v>0.8922462449087889</v>
      </c>
      <c r="BC97" s="106">
        <v>528.92357398192996</v>
      </c>
      <c r="BD97" s="106">
        <v>0.77496734660779421</v>
      </c>
      <c r="BE97" s="106">
        <v>459.4006430691004</v>
      </c>
      <c r="BF97" s="106">
        <v>0.92981909329983536</v>
      </c>
      <c r="BG97" s="106">
        <v>551.19675850814235</v>
      </c>
      <c r="BH97" s="106">
        <v>0</v>
      </c>
      <c r="BI97" s="106">
        <v>0</v>
      </c>
      <c r="BJ97" s="106">
        <v>3</v>
      </c>
      <c r="BK97" s="106">
        <v>1778.3999999999999</v>
      </c>
      <c r="BL97" s="106">
        <v>2.5651687207482281</v>
      </c>
      <c r="BM97" s="106">
        <v>1520.6320176595495</v>
      </c>
      <c r="BN97" s="106">
        <v>2.5738319037818949</v>
      </c>
      <c r="BO97" s="106">
        <v>1525.7675525619072</v>
      </c>
      <c r="BP97" s="106">
        <v>6.2535137523303765</v>
      </c>
      <c r="BQ97" s="106">
        <v>3707.0829523814468</v>
      </c>
      <c r="BR97" s="106">
        <v>0</v>
      </c>
      <c r="BS97" s="106">
        <v>0</v>
      </c>
      <c r="BT97" s="106">
        <v>4</v>
      </c>
      <c r="BU97" s="106">
        <v>2371.1999999999998</v>
      </c>
      <c r="BV97" s="106">
        <v>6</v>
      </c>
      <c r="BW97" s="106">
        <v>3556.7999999999997</v>
      </c>
      <c r="BX97" s="106">
        <v>3</v>
      </c>
      <c r="BY97" s="106">
        <v>1778.3999999999999</v>
      </c>
      <c r="BZ97" s="106">
        <v>3.1072400893165755</v>
      </c>
      <c r="CA97" s="106">
        <v>1841.9719249468658</v>
      </c>
      <c r="CB97" s="106">
        <v>1.6294318330866484</v>
      </c>
      <c r="CC97" s="106">
        <v>965.92719065376514</v>
      </c>
      <c r="CD97" s="106">
        <v>2.0332994203703829</v>
      </c>
      <c r="CE97" s="106">
        <v>1205.3398963955628</v>
      </c>
      <c r="CF97" s="106">
        <v>1.5638609736223956</v>
      </c>
      <c r="CG97" s="106">
        <v>927.05678516335604</v>
      </c>
      <c r="CH97" s="106">
        <v>3.3701295634079949</v>
      </c>
      <c r="CI97" s="106">
        <v>1997.8128051882593</v>
      </c>
      <c r="CJ97" s="106">
        <v>0</v>
      </c>
      <c r="CK97" s="106">
        <v>0</v>
      </c>
      <c r="CL97" s="106">
        <v>2.4216777986599771</v>
      </c>
      <c r="CM97" s="106">
        <v>1435.5705990456343</v>
      </c>
      <c r="CN97" s="106">
        <v>1.5638713130992468</v>
      </c>
      <c r="CO97" s="106">
        <v>927.06291440523341</v>
      </c>
      <c r="CP97" s="106">
        <v>2.1612301495194099</v>
      </c>
      <c r="CQ97" s="106">
        <v>1281.1772326351061</v>
      </c>
      <c r="CR97" s="106">
        <v>3.3003646060847904</v>
      </c>
      <c r="CS97" s="106">
        <v>1956.4561384870635</v>
      </c>
      <c r="CT97" s="106">
        <v>1.2299205060906111</v>
      </c>
      <c r="CU97" s="106">
        <v>729.09687601051417</v>
      </c>
    </row>
    <row r="98" spans="2:99" x14ac:dyDescent="0.2">
      <c r="C98" s="105" t="s">
        <v>264</v>
      </c>
      <c r="D98" s="106">
        <v>4</v>
      </c>
      <c r="E98" s="106">
        <v>1833.6</v>
      </c>
      <c r="F98" s="106">
        <v>5.290836123530676</v>
      </c>
      <c r="G98" s="106">
        <v>2425.3192790264616</v>
      </c>
      <c r="H98" s="106">
        <v>3.2238456495183812</v>
      </c>
      <c r="I98" s="106">
        <v>1477.8108457392259</v>
      </c>
      <c r="J98" s="106">
        <v>0.30220738822595838</v>
      </c>
      <c r="K98" s="106">
        <v>138.53186676277932</v>
      </c>
      <c r="L98" s="106">
        <v>3.4234713730632387</v>
      </c>
      <c r="M98" s="106">
        <v>1569.3192774121885</v>
      </c>
      <c r="N98" s="106">
        <v>1.3230064588856429</v>
      </c>
      <c r="O98" s="106">
        <v>606.46616075317866</v>
      </c>
      <c r="P98" s="106">
        <v>3.0352944623403491</v>
      </c>
      <c r="Q98" s="106">
        <v>1391.3789815368159</v>
      </c>
      <c r="R98" s="106">
        <v>3.808844878223991</v>
      </c>
      <c r="S98" s="106">
        <v>1745.9744921778774</v>
      </c>
      <c r="T98" s="106">
        <v>0.13106033952632262</v>
      </c>
      <c r="U98" s="106">
        <v>60.078059638866286</v>
      </c>
      <c r="V98" s="106">
        <v>7.9304397240005167E-2</v>
      </c>
      <c r="W98" s="106">
        <v>36.35313569481837</v>
      </c>
      <c r="X98" s="106">
        <v>0</v>
      </c>
      <c r="Y98" s="106">
        <v>0</v>
      </c>
      <c r="Z98" s="106">
        <v>8.415712857946922E-2</v>
      </c>
      <c r="AA98" s="106">
        <v>38.577627740828689</v>
      </c>
      <c r="AB98" s="106">
        <v>1.1995841912306462</v>
      </c>
      <c r="AC98" s="106">
        <v>549.88939326012814</v>
      </c>
      <c r="AD98" s="106">
        <v>0</v>
      </c>
      <c r="AE98" s="106">
        <v>0</v>
      </c>
      <c r="AF98" s="106">
        <v>2.4194166657126641</v>
      </c>
      <c r="AG98" s="106">
        <v>1109.0605995626852</v>
      </c>
      <c r="AH98" s="106">
        <v>0</v>
      </c>
      <c r="AI98" s="106">
        <v>0</v>
      </c>
      <c r="AJ98" s="106">
        <v>2.3912520310232308</v>
      </c>
      <c r="AK98" s="106">
        <v>1096.149931021049</v>
      </c>
      <c r="AL98" s="106">
        <v>0.12550904621680584</v>
      </c>
      <c r="AM98" s="106">
        <v>57.533346785783792</v>
      </c>
      <c r="AN98" s="106">
        <v>1.1999328273039991</v>
      </c>
      <c r="AO98" s="106">
        <v>550.04920803615312</v>
      </c>
      <c r="AP98" s="106">
        <v>0.67149090767104558</v>
      </c>
      <c r="AQ98" s="106">
        <v>307.8114320764073</v>
      </c>
      <c r="AR98" s="106">
        <v>0</v>
      </c>
      <c r="AS98" s="106">
        <v>0</v>
      </c>
      <c r="AT98" s="106">
        <v>0.84708034510489072</v>
      </c>
      <c r="AU98" s="106">
        <v>388.30163019608187</v>
      </c>
      <c r="AV98" s="106">
        <v>0</v>
      </c>
      <c r="AW98" s="106">
        <v>0</v>
      </c>
      <c r="AX98" s="106">
        <v>0</v>
      </c>
      <c r="AY98" s="106">
        <v>0</v>
      </c>
      <c r="AZ98" s="106">
        <v>2.718388542650382</v>
      </c>
      <c r="BA98" s="106">
        <v>1246.1093079509351</v>
      </c>
      <c r="BB98" s="106">
        <v>1.2966901613032769</v>
      </c>
      <c r="BC98" s="106">
        <v>594.40276994142209</v>
      </c>
      <c r="BD98" s="106">
        <v>1.1284084283625655</v>
      </c>
      <c r="BE98" s="106">
        <v>517.26242356139994</v>
      </c>
      <c r="BF98" s="106">
        <v>0.919607520500199</v>
      </c>
      <c r="BG98" s="106">
        <v>421.54808739729123</v>
      </c>
      <c r="BH98" s="106">
        <v>0</v>
      </c>
      <c r="BI98" s="106">
        <v>0</v>
      </c>
      <c r="BJ98" s="106">
        <v>3</v>
      </c>
      <c r="BK98" s="106">
        <v>1375.1999999999998</v>
      </c>
      <c r="BL98" s="106">
        <v>2.5620666801779932</v>
      </c>
      <c r="BM98" s="106">
        <v>1174.4513661935921</v>
      </c>
      <c r="BN98" s="106">
        <v>2.5087198222323694</v>
      </c>
      <c r="BO98" s="106">
        <v>1149.997166511318</v>
      </c>
      <c r="BP98" s="106">
        <v>6.2535137523303765</v>
      </c>
      <c r="BQ98" s="106">
        <v>2866.6107040682446</v>
      </c>
      <c r="BR98" s="106">
        <v>0</v>
      </c>
      <c r="BS98" s="106">
        <v>0</v>
      </c>
      <c r="BT98" s="106">
        <v>4</v>
      </c>
      <c r="BU98" s="106">
        <v>1833.6</v>
      </c>
      <c r="BV98" s="106">
        <v>6</v>
      </c>
      <c r="BW98" s="106">
        <v>2750.3999999999996</v>
      </c>
      <c r="BX98" s="106">
        <v>3</v>
      </c>
      <c r="BY98" s="106">
        <v>1375.1999999999998</v>
      </c>
      <c r="BZ98" s="106">
        <v>3.1072400893165755</v>
      </c>
      <c r="CA98" s="106">
        <v>1424.3588569427181</v>
      </c>
      <c r="CB98" s="106">
        <v>1.6294318330866484</v>
      </c>
      <c r="CC98" s="106">
        <v>746.93155228691955</v>
      </c>
      <c r="CD98" s="106">
        <v>2.0330122669378787</v>
      </c>
      <c r="CE98" s="106">
        <v>931.93282316432351</v>
      </c>
      <c r="CF98" s="106">
        <v>1.5638609736223956</v>
      </c>
      <c r="CG98" s="106">
        <v>716.87387030850607</v>
      </c>
      <c r="CH98" s="106">
        <v>4.2843480123040134</v>
      </c>
      <c r="CI98" s="106">
        <v>1963.9451288401597</v>
      </c>
      <c r="CJ98" s="106">
        <v>0</v>
      </c>
      <c r="CK98" s="106">
        <v>0</v>
      </c>
      <c r="CL98" s="106">
        <v>2.4216777986599771</v>
      </c>
      <c r="CM98" s="106">
        <v>1110.0971029057334</v>
      </c>
      <c r="CN98" s="106">
        <v>1.5756603300964085</v>
      </c>
      <c r="CO98" s="106">
        <v>722.28269531619367</v>
      </c>
      <c r="CP98" s="106">
        <v>1.8136729736734807</v>
      </c>
      <c r="CQ98" s="106">
        <v>831.38769113192348</v>
      </c>
      <c r="CR98" s="106">
        <v>3.3003646060847904</v>
      </c>
      <c r="CS98" s="106">
        <v>1512.8871354292678</v>
      </c>
      <c r="CT98" s="106">
        <v>0.98946271898467431</v>
      </c>
      <c r="CU98" s="106">
        <v>453.56971038257467</v>
      </c>
    </row>
    <row r="99" spans="2:99" x14ac:dyDescent="0.2">
      <c r="C99" s="105" t="s">
        <v>265</v>
      </c>
      <c r="D99" s="106">
        <v>4</v>
      </c>
      <c r="E99" s="106">
        <v>17284.8</v>
      </c>
      <c r="F99" s="106">
        <v>4.2423634362755633</v>
      </c>
      <c r="G99" s="106">
        <v>18332.100880833965</v>
      </c>
      <c r="H99" s="106">
        <v>3.2238456495183812</v>
      </c>
      <c r="I99" s="106">
        <v>13930.881820698827</v>
      </c>
      <c r="J99" s="106">
        <v>0.30220738822595838</v>
      </c>
      <c r="K99" s="106">
        <v>1305.8985660020114</v>
      </c>
      <c r="L99" s="106">
        <v>2.2823142487088255</v>
      </c>
      <c r="M99" s="106">
        <v>9862.336331520577</v>
      </c>
      <c r="N99" s="106">
        <v>0.882004305923762</v>
      </c>
      <c r="O99" s="106">
        <v>3811.3170067577603</v>
      </c>
      <c r="P99" s="106">
        <v>2.081484809446184</v>
      </c>
      <c r="Q99" s="106">
        <v>8994.5121585788493</v>
      </c>
      <c r="R99" s="106">
        <v>2.856633658667993</v>
      </c>
      <c r="S99" s="106">
        <v>12344.08536583613</v>
      </c>
      <c r="T99" s="106">
        <v>0.12822147370529727</v>
      </c>
      <c r="U99" s="106">
        <v>554.0706321753305</v>
      </c>
      <c r="V99" s="106">
        <v>7.8428707889582408E-2</v>
      </c>
      <c r="W99" s="106">
        <v>338.90613253246346</v>
      </c>
      <c r="X99" s="106">
        <v>0</v>
      </c>
      <c r="Y99" s="106">
        <v>0</v>
      </c>
      <c r="Z99" s="106">
        <v>5.7612683315217329E-2</v>
      </c>
      <c r="AA99" s="106">
        <v>248.95592714171713</v>
      </c>
      <c r="AB99" s="106">
        <v>1.1854839655641189</v>
      </c>
      <c r="AC99" s="106">
        <v>5122.7133119956707</v>
      </c>
      <c r="AD99" s="106">
        <v>0</v>
      </c>
      <c r="AE99" s="106">
        <v>0</v>
      </c>
      <c r="AF99" s="106">
        <v>1.6129444438084428</v>
      </c>
      <c r="AG99" s="106">
        <v>6969.8555305850432</v>
      </c>
      <c r="AH99" s="106">
        <v>0</v>
      </c>
      <c r="AI99" s="106">
        <v>0</v>
      </c>
      <c r="AJ99" s="106">
        <v>2.3912520310232308</v>
      </c>
      <c r="AK99" s="106">
        <v>10333.078276457585</v>
      </c>
      <c r="AL99" s="106">
        <v>0.12550904621680584</v>
      </c>
      <c r="AM99" s="106">
        <v>542.34969051206133</v>
      </c>
      <c r="AN99" s="106">
        <v>0.64016405788576503</v>
      </c>
      <c r="AO99" s="106">
        <v>2766.2769269359678</v>
      </c>
      <c r="AP99" s="106">
        <v>0.66358898846647407</v>
      </c>
      <c r="AQ99" s="106">
        <v>2867.5007369613277</v>
      </c>
      <c r="AR99" s="106">
        <v>0</v>
      </c>
      <c r="AS99" s="106">
        <v>0</v>
      </c>
      <c r="AT99" s="106">
        <v>0.56472023006992722</v>
      </c>
      <c r="AU99" s="106">
        <v>2440.2690581781694</v>
      </c>
      <c r="AV99" s="106">
        <v>0</v>
      </c>
      <c r="AW99" s="106">
        <v>0</v>
      </c>
      <c r="AX99" s="106">
        <v>0</v>
      </c>
      <c r="AY99" s="106">
        <v>0</v>
      </c>
      <c r="AZ99" s="106">
        <v>1.812259028433588</v>
      </c>
      <c r="BA99" s="106">
        <v>7831.13371366722</v>
      </c>
      <c r="BB99" s="106">
        <v>0.86842955573169955</v>
      </c>
      <c r="BC99" s="106">
        <v>3752.6577962278197</v>
      </c>
      <c r="BD99" s="106">
        <v>0.76524089187947264</v>
      </c>
      <c r="BE99" s="106">
        <v>3306.7589419895771</v>
      </c>
      <c r="BF99" s="106">
        <v>0.90939594770056253</v>
      </c>
      <c r="BG99" s="106">
        <v>3929.6817692036707</v>
      </c>
      <c r="BH99" s="106">
        <v>0</v>
      </c>
      <c r="BI99" s="106">
        <v>0</v>
      </c>
      <c r="BJ99" s="106">
        <v>2</v>
      </c>
      <c r="BK99" s="106">
        <v>8642.4</v>
      </c>
      <c r="BL99" s="106">
        <v>2.470973933956857</v>
      </c>
      <c r="BM99" s="106">
        <v>10677.572563414371</v>
      </c>
      <c r="BN99" s="106">
        <v>1.4325795633108247</v>
      </c>
      <c r="BO99" s="106">
        <v>6190.4628089787357</v>
      </c>
      <c r="BP99" s="106">
        <v>4.2303023607439858</v>
      </c>
      <c r="BQ99" s="106">
        <v>18279.98256124691</v>
      </c>
      <c r="BR99" s="106">
        <v>0</v>
      </c>
      <c r="BS99" s="106">
        <v>0</v>
      </c>
      <c r="BT99" s="106">
        <v>3</v>
      </c>
      <c r="BU99" s="106">
        <v>12963.599999999999</v>
      </c>
      <c r="BV99" s="106">
        <v>5</v>
      </c>
      <c r="BW99" s="106">
        <v>21606</v>
      </c>
      <c r="BX99" s="106">
        <v>3</v>
      </c>
      <c r="BY99" s="106">
        <v>12963.599999999999</v>
      </c>
      <c r="BZ99" s="106">
        <v>2.0856688882392276</v>
      </c>
      <c r="CA99" s="106">
        <v>9012.5923998593498</v>
      </c>
      <c r="CB99" s="106">
        <v>1.0862878887244323</v>
      </c>
      <c r="CC99" s="106">
        <v>4694.0672247560169</v>
      </c>
      <c r="CD99" s="106">
        <v>2.0265246749233046</v>
      </c>
      <c r="CE99" s="106">
        <v>8757.0184252785839</v>
      </c>
      <c r="CF99" s="106">
        <v>1.0425739824149305</v>
      </c>
      <c r="CG99" s="106">
        <v>4505.1706928113972</v>
      </c>
      <c r="CH99" s="106">
        <v>3.2159606752348404</v>
      </c>
      <c r="CI99" s="106">
        <v>13896.809269824791</v>
      </c>
      <c r="CJ99" s="106">
        <v>0</v>
      </c>
      <c r="CK99" s="106">
        <v>0</v>
      </c>
      <c r="CL99" s="106">
        <v>1.8162583489949831</v>
      </c>
      <c r="CM99" s="106">
        <v>7848.4155776771204</v>
      </c>
      <c r="CN99" s="106">
        <v>1.196481518818759</v>
      </c>
      <c r="CO99" s="106">
        <v>5170.2359391196214</v>
      </c>
      <c r="CP99" s="106">
        <v>1.4471440242165932</v>
      </c>
      <c r="CQ99" s="106">
        <v>6253.3987574447419</v>
      </c>
      <c r="CR99" s="106">
        <v>2.2217724999566166</v>
      </c>
      <c r="CS99" s="106">
        <v>9600.723326812531</v>
      </c>
      <c r="CT99" s="106">
        <v>0.74347861776655211</v>
      </c>
      <c r="CU99" s="106">
        <v>3212.7198030928248</v>
      </c>
    </row>
    <row r="100" spans="2:99" x14ac:dyDescent="0.2">
      <c r="C100" s="105" t="s">
        <v>266</v>
      </c>
      <c r="D100" s="106">
        <v>4</v>
      </c>
      <c r="E100" s="106">
        <v>3100.7999999999997</v>
      </c>
      <c r="F100" s="106">
        <v>6.290836123530676</v>
      </c>
      <c r="G100" s="106">
        <v>4876.6561629609796</v>
      </c>
      <c r="H100" s="106">
        <v>4.2238456495183812</v>
      </c>
      <c r="I100" s="106">
        <v>3274.3251475066486</v>
      </c>
      <c r="J100" s="106">
        <v>0.30220738822595838</v>
      </c>
      <c r="K100" s="106">
        <v>234.27116735276292</v>
      </c>
      <c r="L100" s="106">
        <v>3.3764189982784343</v>
      </c>
      <c r="M100" s="106">
        <v>2617.4000074654418</v>
      </c>
      <c r="N100" s="106">
        <v>1.3230064588856429</v>
      </c>
      <c r="O100" s="106">
        <v>1025.5946069281504</v>
      </c>
      <c r="P100" s="106">
        <v>2.081484809446184</v>
      </c>
      <c r="Q100" s="106">
        <v>1613.5670242826816</v>
      </c>
      <c r="R100" s="106">
        <v>3.7739110810546843</v>
      </c>
      <c r="S100" s="106">
        <v>2925.535870033591</v>
      </c>
      <c r="T100" s="106">
        <v>0.13106033952632262</v>
      </c>
      <c r="U100" s="106">
        <v>101.59797520080529</v>
      </c>
      <c r="V100" s="106">
        <v>8.0180086590427926E-2</v>
      </c>
      <c r="W100" s="106">
        <v>62.15560312489972</v>
      </c>
      <c r="X100" s="106">
        <v>0</v>
      </c>
      <c r="Y100" s="106">
        <v>0</v>
      </c>
      <c r="Z100" s="106">
        <v>8.5061887136811939E-2</v>
      </c>
      <c r="AA100" s="106">
        <v>65.939974908456605</v>
      </c>
      <c r="AB100" s="106">
        <v>1.2136844168971739</v>
      </c>
      <c r="AC100" s="106">
        <v>940.84815997868907</v>
      </c>
      <c r="AD100" s="106">
        <v>0</v>
      </c>
      <c r="AE100" s="106">
        <v>0</v>
      </c>
      <c r="AF100" s="106">
        <v>1.6129444438084428</v>
      </c>
      <c r="AG100" s="106">
        <v>1250.3545328403047</v>
      </c>
      <c r="AH100" s="106">
        <v>0</v>
      </c>
      <c r="AI100" s="106">
        <v>0</v>
      </c>
      <c r="AJ100" s="106">
        <v>2.4401585349011343</v>
      </c>
      <c r="AK100" s="106">
        <v>1891.6108962553592</v>
      </c>
      <c r="AL100" s="106">
        <v>0.12550904621680584</v>
      </c>
      <c r="AM100" s="106">
        <v>97.294612627267881</v>
      </c>
      <c r="AN100" s="106">
        <v>1.1999328273039991</v>
      </c>
      <c r="AO100" s="106">
        <v>930.18792772606002</v>
      </c>
      <c r="AP100" s="106">
        <v>0.67149090767104558</v>
      </c>
      <c r="AQ100" s="106">
        <v>520.53975162659447</v>
      </c>
      <c r="AR100" s="106">
        <v>0</v>
      </c>
      <c r="AS100" s="106">
        <v>0</v>
      </c>
      <c r="AT100" s="106">
        <v>0.84708034510489072</v>
      </c>
      <c r="AU100" s="106">
        <v>656.65668352531122</v>
      </c>
      <c r="AV100" s="106">
        <v>0</v>
      </c>
      <c r="AW100" s="106">
        <v>0</v>
      </c>
      <c r="AX100" s="106">
        <v>0</v>
      </c>
      <c r="AY100" s="106">
        <v>0</v>
      </c>
      <c r="AZ100" s="106">
        <v>2.718388542650382</v>
      </c>
      <c r="BA100" s="106">
        <v>2107.294798262576</v>
      </c>
      <c r="BB100" s="106">
        <v>1.3085985058918215</v>
      </c>
      <c r="BC100" s="106">
        <v>1014.4255617673399</v>
      </c>
      <c r="BD100" s="106">
        <v>1.1186819736342439</v>
      </c>
      <c r="BE100" s="106">
        <v>867.20226596126577</v>
      </c>
      <c r="BF100" s="106">
        <v>0.92981909329983536</v>
      </c>
      <c r="BG100" s="106">
        <v>720.79576112603229</v>
      </c>
      <c r="BH100" s="106">
        <v>0</v>
      </c>
      <c r="BI100" s="106">
        <v>0</v>
      </c>
      <c r="BJ100" s="106">
        <v>3</v>
      </c>
      <c r="BK100" s="106">
        <v>2325.6</v>
      </c>
      <c r="BL100" s="106">
        <v>2.5651687207482281</v>
      </c>
      <c r="BM100" s="106">
        <v>1988.5187923240262</v>
      </c>
      <c r="BN100" s="106">
        <v>2.5065141867579652</v>
      </c>
      <c r="BO100" s="106">
        <v>1943.0497975747744</v>
      </c>
      <c r="BP100" s="106">
        <v>6.1671628133082175</v>
      </c>
      <c r="BQ100" s="106">
        <v>4780.7846128765295</v>
      </c>
      <c r="BR100" s="106">
        <v>0</v>
      </c>
      <c r="BS100" s="106">
        <v>0</v>
      </c>
      <c r="BT100" s="106">
        <v>4</v>
      </c>
      <c r="BU100" s="106">
        <v>3100.7999999999997</v>
      </c>
      <c r="BV100" s="106">
        <v>6</v>
      </c>
      <c r="BW100" s="106">
        <v>4651.2</v>
      </c>
      <c r="BX100" s="106">
        <v>3</v>
      </c>
      <c r="BY100" s="106">
        <v>2325.6</v>
      </c>
      <c r="BZ100" s="106">
        <v>3.1078560053867408</v>
      </c>
      <c r="CA100" s="106">
        <v>2409.2099753758012</v>
      </c>
      <c r="CB100" s="106">
        <v>1.6294318330866484</v>
      </c>
      <c r="CC100" s="106">
        <v>1263.1355570087696</v>
      </c>
      <c r="CD100" s="106">
        <v>2.0270989817883134</v>
      </c>
      <c r="CE100" s="106">
        <v>1571.4071306823005</v>
      </c>
      <c r="CF100" s="106">
        <v>1.5638609736223956</v>
      </c>
      <c r="CG100" s="106">
        <v>1212.3050267520809</v>
      </c>
      <c r="CH100" s="106">
        <v>4.2126629002310976</v>
      </c>
      <c r="CI100" s="106">
        <v>3265.6562802591466</v>
      </c>
      <c r="CJ100" s="106">
        <v>0</v>
      </c>
      <c r="CK100" s="106">
        <v>0</v>
      </c>
      <c r="CL100" s="106">
        <v>2.4216777986599771</v>
      </c>
      <c r="CM100" s="106">
        <v>1877.2846295212141</v>
      </c>
      <c r="CN100" s="106">
        <v>1.5756603300964085</v>
      </c>
      <c r="CO100" s="106">
        <v>1221.4518878907359</v>
      </c>
      <c r="CP100" s="106">
        <v>1.8041870868680017</v>
      </c>
      <c r="CQ100" s="106">
        <v>1398.6058297400748</v>
      </c>
      <c r="CR100" s="106">
        <v>2.7718332676374149</v>
      </c>
      <c r="CS100" s="106">
        <v>2148.7251490725239</v>
      </c>
      <c r="CT100" s="106">
        <v>1.2299205060906111</v>
      </c>
      <c r="CU100" s="106">
        <v>953.43437632144162</v>
      </c>
    </row>
    <row r="101" spans="2:99" x14ac:dyDescent="0.2">
      <c r="C101" s="105" t="s">
        <v>267</v>
      </c>
      <c r="D101" s="106">
        <v>4</v>
      </c>
      <c r="E101" s="106">
        <v>2452.7999999999997</v>
      </c>
      <c r="F101" s="106">
        <v>6.3393088107857887</v>
      </c>
      <c r="G101" s="106">
        <v>3887.2641627738453</v>
      </c>
      <c r="H101" s="106">
        <v>4.2238456495183812</v>
      </c>
      <c r="I101" s="106">
        <v>2590.0621522846709</v>
      </c>
      <c r="J101" s="106">
        <v>0.37775923528244798</v>
      </c>
      <c r="K101" s="106">
        <v>231.64196307519708</v>
      </c>
      <c r="L101" s="106">
        <v>3.3764189982784343</v>
      </c>
      <c r="M101" s="106">
        <v>2070.4201297443356</v>
      </c>
      <c r="N101" s="106">
        <v>1.3230064588856429</v>
      </c>
      <c r="O101" s="106">
        <v>811.26756058867613</v>
      </c>
      <c r="P101" s="106">
        <v>2.081484809446184</v>
      </c>
      <c r="Q101" s="106">
        <v>1276.3664851523999</v>
      </c>
      <c r="R101" s="106">
        <v>3.808844878223991</v>
      </c>
      <c r="S101" s="106">
        <v>2335.5836793269509</v>
      </c>
      <c r="T101" s="106">
        <v>0.13106033952632262</v>
      </c>
      <c r="U101" s="106">
        <v>80.366200197541019</v>
      </c>
      <c r="V101" s="106">
        <v>8.0180086590427926E-2</v>
      </c>
      <c r="W101" s="106">
        <v>49.166429097250401</v>
      </c>
      <c r="X101" s="106">
        <v>0</v>
      </c>
      <c r="Y101" s="106">
        <v>0</v>
      </c>
      <c r="Z101" s="106">
        <v>8.415712857946922E-2</v>
      </c>
      <c r="AA101" s="106">
        <v>51.605151244930518</v>
      </c>
      <c r="AB101" s="106">
        <v>1.2136844168971739</v>
      </c>
      <c r="AC101" s="106">
        <v>744.23128444134693</v>
      </c>
      <c r="AD101" s="106">
        <v>0</v>
      </c>
      <c r="AE101" s="106">
        <v>0</v>
      </c>
      <c r="AF101" s="106">
        <v>2.4194166657126641</v>
      </c>
      <c r="AG101" s="106">
        <v>1483.5862994150054</v>
      </c>
      <c r="AH101" s="106">
        <v>0</v>
      </c>
      <c r="AI101" s="106">
        <v>0</v>
      </c>
      <c r="AJ101" s="106">
        <v>2.4890650387790383</v>
      </c>
      <c r="AK101" s="106">
        <v>1526.2946817793061</v>
      </c>
      <c r="AL101" s="106">
        <v>0.12550904621680584</v>
      </c>
      <c r="AM101" s="106">
        <v>76.962147140145333</v>
      </c>
      <c r="AN101" s="106">
        <v>1.1999328273039991</v>
      </c>
      <c r="AO101" s="106">
        <v>735.79880970281215</v>
      </c>
      <c r="AP101" s="106">
        <v>0.67939282687561686</v>
      </c>
      <c r="AQ101" s="106">
        <v>416.60368144012824</v>
      </c>
      <c r="AR101" s="106">
        <v>0</v>
      </c>
      <c r="AS101" s="106">
        <v>0</v>
      </c>
      <c r="AT101" s="106">
        <v>1.1294404601398544</v>
      </c>
      <c r="AU101" s="106">
        <v>692.57289015775871</v>
      </c>
      <c r="AV101" s="106">
        <v>0</v>
      </c>
      <c r="AW101" s="106">
        <v>0</v>
      </c>
      <c r="AX101" s="106">
        <v>0</v>
      </c>
      <c r="AY101" s="106">
        <v>0</v>
      </c>
      <c r="AZ101" s="106">
        <v>2.718388542650382</v>
      </c>
      <c r="BA101" s="106">
        <v>1666.9158543532139</v>
      </c>
      <c r="BB101" s="106">
        <v>0.8922462449087889</v>
      </c>
      <c r="BC101" s="106">
        <v>547.12539737806924</v>
      </c>
      <c r="BD101" s="106">
        <v>0.77496734660779421</v>
      </c>
      <c r="BE101" s="106">
        <v>475.20997693989938</v>
      </c>
      <c r="BF101" s="106">
        <v>0.919607520500199</v>
      </c>
      <c r="BG101" s="106">
        <v>563.903331570722</v>
      </c>
      <c r="BH101" s="106">
        <v>0</v>
      </c>
      <c r="BI101" s="106">
        <v>0</v>
      </c>
      <c r="BJ101" s="106">
        <v>3</v>
      </c>
      <c r="BK101" s="106">
        <v>1839.6</v>
      </c>
      <c r="BL101" s="106">
        <v>2.5651687207482281</v>
      </c>
      <c r="BM101" s="106">
        <v>1572.9614595628134</v>
      </c>
      <c r="BN101" s="106">
        <v>2.5065141867579652</v>
      </c>
      <c r="BO101" s="106">
        <v>1536.994499319984</v>
      </c>
      <c r="BP101" s="106">
        <v>6.1699572381899408</v>
      </c>
      <c r="BQ101" s="106">
        <v>3783.4177784580711</v>
      </c>
      <c r="BR101" s="106">
        <v>0</v>
      </c>
      <c r="BS101" s="106">
        <v>0</v>
      </c>
      <c r="BT101" s="106">
        <v>4</v>
      </c>
      <c r="BU101" s="106">
        <v>2452.7999999999997</v>
      </c>
      <c r="BV101" s="106">
        <v>7</v>
      </c>
      <c r="BW101" s="106">
        <v>4292.3999999999996</v>
      </c>
      <c r="BX101" s="106">
        <v>3</v>
      </c>
      <c r="BY101" s="106">
        <v>1839.6</v>
      </c>
      <c r="BZ101" s="106">
        <v>3.0875166364497226</v>
      </c>
      <c r="CA101" s="106">
        <v>1893.2652014709697</v>
      </c>
      <c r="CB101" s="106">
        <v>1.6294318330866484</v>
      </c>
      <c r="CC101" s="106">
        <v>999.16760004873265</v>
      </c>
      <c r="CD101" s="106">
        <v>2.0268118283558092</v>
      </c>
      <c r="CE101" s="106">
        <v>1242.841013147782</v>
      </c>
      <c r="CF101" s="106">
        <v>1.5638609736223956</v>
      </c>
      <c r="CG101" s="106">
        <v>958.95954902525284</v>
      </c>
      <c r="CH101" s="106">
        <v>3.3701295634079949</v>
      </c>
      <c r="CI101" s="106">
        <v>2066.5634482817823</v>
      </c>
      <c r="CJ101" s="106">
        <v>0</v>
      </c>
      <c r="CK101" s="106">
        <v>0</v>
      </c>
      <c r="CL101" s="106">
        <v>2.4216777986599771</v>
      </c>
      <c r="CM101" s="106">
        <v>1484.9728261382977</v>
      </c>
      <c r="CN101" s="106">
        <v>1.5756603300964085</v>
      </c>
      <c r="CO101" s="106">
        <v>966.19491441511752</v>
      </c>
      <c r="CP101" s="106">
        <v>1.8041870868680017</v>
      </c>
      <c r="CQ101" s="106">
        <v>1106.3275216674585</v>
      </c>
      <c r="CR101" s="106">
        <v>2.793362696870838</v>
      </c>
      <c r="CS101" s="106">
        <v>1712.8900057211977</v>
      </c>
      <c r="CT101" s="106">
        <v>1.2299205060906111</v>
      </c>
      <c r="CU101" s="106">
        <v>754.18725433476266</v>
      </c>
    </row>
    <row r="102" spans="2:99" x14ac:dyDescent="0.2">
      <c r="C102" s="105" t="s">
        <v>268</v>
      </c>
      <c r="D102" s="106">
        <v>5</v>
      </c>
      <c r="E102" s="106">
        <v>1992</v>
      </c>
      <c r="F102" s="106">
        <v>6.290836123530676</v>
      </c>
      <c r="G102" s="106">
        <v>2506.2691116146211</v>
      </c>
      <c r="H102" s="106">
        <v>3.2558235994495783</v>
      </c>
      <c r="I102" s="106">
        <v>1297.120122020712</v>
      </c>
      <c r="J102" s="106">
        <v>0.37775923528244798</v>
      </c>
      <c r="K102" s="106">
        <v>150.49927933652728</v>
      </c>
      <c r="L102" s="106">
        <v>3.3764189982784343</v>
      </c>
      <c r="M102" s="106">
        <v>1345.1653289141282</v>
      </c>
      <c r="N102" s="106">
        <v>1.3230064588856429</v>
      </c>
      <c r="O102" s="106">
        <v>527.0857732200401</v>
      </c>
      <c r="P102" s="106">
        <v>2.081484809446184</v>
      </c>
      <c r="Q102" s="106">
        <v>829.26354808335964</v>
      </c>
      <c r="R102" s="106">
        <v>3.808844878223991</v>
      </c>
      <c r="S102" s="106">
        <v>1517.4437994844379</v>
      </c>
      <c r="T102" s="106">
        <v>0.13106033952632262</v>
      </c>
      <c r="U102" s="106">
        <v>52.214439267286927</v>
      </c>
      <c r="V102" s="106">
        <v>8.0180086590427926E-2</v>
      </c>
      <c r="W102" s="106">
        <v>31.943746497626485</v>
      </c>
      <c r="X102" s="106">
        <v>0</v>
      </c>
      <c r="Y102" s="106">
        <v>0</v>
      </c>
      <c r="Z102" s="106">
        <v>8.5061887136811939E-2</v>
      </c>
      <c r="AA102" s="106">
        <v>33.888655835305876</v>
      </c>
      <c r="AB102" s="106">
        <v>1.2136844168971739</v>
      </c>
      <c r="AC102" s="106">
        <v>483.53187169183406</v>
      </c>
      <c r="AD102" s="106">
        <v>0</v>
      </c>
      <c r="AE102" s="106">
        <v>0</v>
      </c>
      <c r="AF102" s="106">
        <v>2.7378811263076153</v>
      </c>
      <c r="AG102" s="106">
        <v>1090.7718407209538</v>
      </c>
      <c r="AH102" s="106">
        <v>0</v>
      </c>
      <c r="AI102" s="106">
        <v>0</v>
      </c>
      <c r="AJ102" s="106">
        <v>2.4401585349011343</v>
      </c>
      <c r="AK102" s="106">
        <v>972.15916030461187</v>
      </c>
      <c r="AL102" s="106">
        <v>0.12550904621680584</v>
      </c>
      <c r="AM102" s="106">
        <v>50.002804012775442</v>
      </c>
      <c r="AN102" s="106">
        <v>1.220031649420882</v>
      </c>
      <c r="AO102" s="106">
        <v>486.06060912927938</v>
      </c>
      <c r="AP102" s="106">
        <v>0.67939282687561686</v>
      </c>
      <c r="AQ102" s="106">
        <v>270.67010222724576</v>
      </c>
      <c r="AR102" s="106">
        <v>0</v>
      </c>
      <c r="AS102" s="106">
        <v>0</v>
      </c>
      <c r="AT102" s="106">
        <v>1.1294404601398544</v>
      </c>
      <c r="AU102" s="106">
        <v>449.96907931971799</v>
      </c>
      <c r="AV102" s="106">
        <v>0</v>
      </c>
      <c r="AW102" s="106">
        <v>0</v>
      </c>
      <c r="AX102" s="106">
        <v>0</v>
      </c>
      <c r="AY102" s="106">
        <v>0</v>
      </c>
      <c r="AZ102" s="106">
        <v>2.718388542650382</v>
      </c>
      <c r="BA102" s="106">
        <v>1083.0059953919122</v>
      </c>
      <c r="BB102" s="106">
        <v>0.8922462449087889</v>
      </c>
      <c r="BC102" s="106">
        <v>355.47090397166147</v>
      </c>
      <c r="BD102" s="106">
        <v>1.1186819736342439</v>
      </c>
      <c r="BE102" s="106">
        <v>445.68289829588275</v>
      </c>
      <c r="BF102" s="106">
        <v>0.92981909329983536</v>
      </c>
      <c r="BG102" s="106">
        <v>370.43992677065438</v>
      </c>
      <c r="BH102" s="106">
        <v>0</v>
      </c>
      <c r="BI102" s="106">
        <v>0</v>
      </c>
      <c r="BJ102" s="106">
        <v>3</v>
      </c>
      <c r="BK102" s="106">
        <v>1195.1999999999998</v>
      </c>
      <c r="BL102" s="106">
        <v>2.5651687207482281</v>
      </c>
      <c r="BM102" s="106">
        <v>1021.963218346094</v>
      </c>
      <c r="BN102" s="106">
        <v>2.5043085512835614</v>
      </c>
      <c r="BO102" s="106">
        <v>997.71652683137086</v>
      </c>
      <c r="BP102" s="106">
        <v>6.2535137523303765</v>
      </c>
      <c r="BQ102" s="106">
        <v>2491.3998789284219</v>
      </c>
      <c r="BR102" s="106">
        <v>0</v>
      </c>
      <c r="BS102" s="106">
        <v>0</v>
      </c>
      <c r="BT102" s="106">
        <v>4</v>
      </c>
      <c r="BU102" s="106">
        <v>1593.6</v>
      </c>
      <c r="BV102" s="106">
        <v>7</v>
      </c>
      <c r="BW102" s="106">
        <v>2788.7999999999997</v>
      </c>
      <c r="BX102" s="106">
        <v>3</v>
      </c>
      <c r="BY102" s="106">
        <v>1195.1999999999998</v>
      </c>
      <c r="BZ102" s="106">
        <v>3.1072400893165755</v>
      </c>
      <c r="CA102" s="106">
        <v>1237.9244515837236</v>
      </c>
      <c r="CB102" s="106">
        <v>1.6294318330866484</v>
      </c>
      <c r="CC102" s="106">
        <v>649.16564230172071</v>
      </c>
      <c r="CD102" s="106">
        <v>2.0270989817883134</v>
      </c>
      <c r="CE102" s="106">
        <v>807.59623434446405</v>
      </c>
      <c r="CF102" s="106">
        <v>1.0425739824149305</v>
      </c>
      <c r="CG102" s="106">
        <v>415.3614745941083</v>
      </c>
      <c r="CH102" s="106">
        <v>3.2948448966593045</v>
      </c>
      <c r="CI102" s="106">
        <v>1312.6662068290668</v>
      </c>
      <c r="CJ102" s="106">
        <v>0</v>
      </c>
      <c r="CK102" s="106">
        <v>0</v>
      </c>
      <c r="CL102" s="106">
        <v>1.8162583489949831</v>
      </c>
      <c r="CM102" s="106">
        <v>723.59732623960122</v>
      </c>
      <c r="CN102" s="106">
        <v>1.5756603300964085</v>
      </c>
      <c r="CO102" s="106">
        <v>627.74307551040908</v>
      </c>
      <c r="CP102" s="106">
        <v>1.8041870868680017</v>
      </c>
      <c r="CQ102" s="106">
        <v>718.78813540821182</v>
      </c>
      <c r="CR102" s="106">
        <v>2.7718332676374149</v>
      </c>
      <c r="CS102" s="106">
        <v>1104.298373826746</v>
      </c>
      <c r="CT102" s="106">
        <v>1.2299205060906111</v>
      </c>
      <c r="CU102" s="106">
        <v>490.00032962649942</v>
      </c>
    </row>
    <row r="103" spans="2:99" x14ac:dyDescent="0.2">
      <c r="C103" s="105" t="s">
        <v>269</v>
      </c>
      <c r="D103" s="106">
        <v>5</v>
      </c>
      <c r="E103" s="106">
        <v>2868</v>
      </c>
      <c r="F103" s="106">
        <v>5.290836123530676</v>
      </c>
      <c r="G103" s="106">
        <v>3034.8236004571959</v>
      </c>
      <c r="H103" s="106">
        <v>3.2238456495183812</v>
      </c>
      <c r="I103" s="106">
        <v>1849.1978645637435</v>
      </c>
      <c r="J103" s="106">
        <v>0.37775923528244798</v>
      </c>
      <c r="K103" s="106">
        <v>216.68269735801218</v>
      </c>
      <c r="L103" s="106">
        <v>3.3764189982784343</v>
      </c>
      <c r="M103" s="106">
        <v>1936.7139374125099</v>
      </c>
      <c r="N103" s="106">
        <v>1.3230064588856429</v>
      </c>
      <c r="O103" s="106">
        <v>758.87650481680487</v>
      </c>
      <c r="P103" s="106">
        <v>2.081484809446184</v>
      </c>
      <c r="Q103" s="106">
        <v>1193.9396866983311</v>
      </c>
      <c r="R103" s="106">
        <v>3.808844878223991</v>
      </c>
      <c r="S103" s="106">
        <v>2184.7534221492815</v>
      </c>
      <c r="T103" s="106">
        <v>0.13106033952632262</v>
      </c>
      <c r="U103" s="106">
        <v>75.176210752298658</v>
      </c>
      <c r="V103" s="106">
        <v>7.9304397240005167E-2</v>
      </c>
      <c r="W103" s="106">
        <v>45.489002256866968</v>
      </c>
      <c r="X103" s="106">
        <v>0</v>
      </c>
      <c r="Y103" s="106">
        <v>0</v>
      </c>
      <c r="Z103" s="106">
        <v>8.415712857946922E-2</v>
      </c>
      <c r="AA103" s="106">
        <v>48.272528953183546</v>
      </c>
      <c r="AB103" s="106">
        <v>1.1995841912306462</v>
      </c>
      <c r="AC103" s="106">
        <v>688.08149208989869</v>
      </c>
      <c r="AD103" s="106">
        <v>0</v>
      </c>
      <c r="AE103" s="106">
        <v>0</v>
      </c>
      <c r="AF103" s="106">
        <v>2.7378811263076153</v>
      </c>
      <c r="AG103" s="106">
        <v>1570.4486140500483</v>
      </c>
      <c r="AH103" s="106">
        <v>0</v>
      </c>
      <c r="AI103" s="106">
        <v>0</v>
      </c>
      <c r="AJ103" s="106">
        <v>2.3912520310232308</v>
      </c>
      <c r="AK103" s="106">
        <v>1371.6221649949252</v>
      </c>
      <c r="AL103" s="106">
        <v>0.12550904621680584</v>
      </c>
      <c r="AM103" s="106">
        <v>71.991988909959829</v>
      </c>
      <c r="AN103" s="106">
        <v>1.1999328273039991</v>
      </c>
      <c r="AO103" s="106">
        <v>688.28146974157391</v>
      </c>
      <c r="AP103" s="106">
        <v>0.67149090767104558</v>
      </c>
      <c r="AQ103" s="106">
        <v>385.16718464011177</v>
      </c>
      <c r="AR103" s="106">
        <v>0</v>
      </c>
      <c r="AS103" s="106">
        <v>0</v>
      </c>
      <c r="AT103" s="106">
        <v>1.1294404601398544</v>
      </c>
      <c r="AU103" s="106">
        <v>647.84704793622052</v>
      </c>
      <c r="AV103" s="106">
        <v>0</v>
      </c>
      <c r="AW103" s="106">
        <v>0</v>
      </c>
      <c r="AX103" s="106">
        <v>0</v>
      </c>
      <c r="AY103" s="106">
        <v>0</v>
      </c>
      <c r="AZ103" s="106">
        <v>2.718388542650382</v>
      </c>
      <c r="BA103" s="106">
        <v>1559.2676680642592</v>
      </c>
      <c r="BB103" s="106">
        <v>1.2966901613032769</v>
      </c>
      <c r="BC103" s="106">
        <v>743.7814765235596</v>
      </c>
      <c r="BD103" s="106">
        <v>1.1284084283625655</v>
      </c>
      <c r="BE103" s="106">
        <v>647.25507450876762</v>
      </c>
      <c r="BF103" s="106">
        <v>0.92981909329983536</v>
      </c>
      <c r="BG103" s="106">
        <v>533.34423191678559</v>
      </c>
      <c r="BH103" s="106">
        <v>0</v>
      </c>
      <c r="BI103" s="106">
        <v>0</v>
      </c>
      <c r="BJ103" s="106">
        <v>3</v>
      </c>
      <c r="BK103" s="106">
        <v>1720.8000000000002</v>
      </c>
      <c r="BL103" s="106">
        <v>2.5620666801779932</v>
      </c>
      <c r="BM103" s="106">
        <v>1469.6014477500969</v>
      </c>
      <c r="BN103" s="106">
        <v>2.5065141867579652</v>
      </c>
      <c r="BO103" s="106">
        <v>1437.7365375243689</v>
      </c>
      <c r="BP103" s="106">
        <v>7.1341958271494716</v>
      </c>
      <c r="BQ103" s="106">
        <v>4092.1747264529372</v>
      </c>
      <c r="BR103" s="106">
        <v>0</v>
      </c>
      <c r="BS103" s="106">
        <v>0</v>
      </c>
      <c r="BT103" s="106">
        <v>4</v>
      </c>
      <c r="BU103" s="106">
        <v>2294.4</v>
      </c>
      <c r="BV103" s="106">
        <v>6</v>
      </c>
      <c r="BW103" s="106">
        <v>3441.6000000000004</v>
      </c>
      <c r="BX103" s="106">
        <v>3</v>
      </c>
      <c r="BY103" s="106">
        <v>1720.8000000000002</v>
      </c>
      <c r="BZ103" s="106">
        <v>3.0869007203795578</v>
      </c>
      <c r="CA103" s="106">
        <v>1770.6462532097144</v>
      </c>
      <c r="CB103" s="106">
        <v>1.6294318330866484</v>
      </c>
      <c r="CC103" s="106">
        <v>934.64209945850155</v>
      </c>
      <c r="CD103" s="106">
        <v>2.0332994203703829</v>
      </c>
      <c r="CE103" s="106">
        <v>1166.3005475244518</v>
      </c>
      <c r="CF103" s="106">
        <v>1.5638609736223956</v>
      </c>
      <c r="CG103" s="106">
        <v>897.03065446980611</v>
      </c>
      <c r="CH103" s="106">
        <v>3.2948448966593045</v>
      </c>
      <c r="CI103" s="106">
        <v>1889.9230327237772</v>
      </c>
      <c r="CJ103" s="106">
        <v>0</v>
      </c>
      <c r="CK103" s="106">
        <v>0</v>
      </c>
      <c r="CL103" s="106">
        <v>2.4216777986599771</v>
      </c>
      <c r="CM103" s="106">
        <v>1389.0743853113629</v>
      </c>
      <c r="CN103" s="106">
        <v>1.5756603300964085</v>
      </c>
      <c r="CO103" s="106">
        <v>903.79876534329992</v>
      </c>
      <c r="CP103" s="106">
        <v>1.8136729736734807</v>
      </c>
      <c r="CQ103" s="106">
        <v>1040.3228176991086</v>
      </c>
      <c r="CR103" s="106">
        <v>3.3003646060847904</v>
      </c>
      <c r="CS103" s="106">
        <v>1893.0891380502358</v>
      </c>
      <c r="CT103" s="106">
        <v>0.99498903309685982</v>
      </c>
      <c r="CU103" s="106">
        <v>570.72570938435877</v>
      </c>
    </row>
    <row r="104" spans="2:99" x14ac:dyDescent="0.2">
      <c r="C104" s="105" t="s">
        <v>270</v>
      </c>
      <c r="D104" s="106">
        <v>4</v>
      </c>
      <c r="E104" s="106">
        <v>2736</v>
      </c>
      <c r="F104" s="106">
        <v>6.290836123530676</v>
      </c>
      <c r="G104" s="106">
        <v>4302.9319084949821</v>
      </c>
      <c r="H104" s="106">
        <v>4.2238456495183812</v>
      </c>
      <c r="I104" s="106">
        <v>2889.1104242705728</v>
      </c>
      <c r="J104" s="106">
        <v>0.37775923528244798</v>
      </c>
      <c r="K104" s="106">
        <v>258.38731693319443</v>
      </c>
      <c r="L104" s="106">
        <v>3.3764189982784343</v>
      </c>
      <c r="M104" s="106">
        <v>2309.4705948224491</v>
      </c>
      <c r="N104" s="106">
        <v>1.3230064588856429</v>
      </c>
      <c r="O104" s="106">
        <v>904.93641787777972</v>
      </c>
      <c r="P104" s="106">
        <v>2.081484809446184</v>
      </c>
      <c r="Q104" s="106">
        <v>1423.7356096611898</v>
      </c>
      <c r="R104" s="106">
        <v>3.808844878223991</v>
      </c>
      <c r="S104" s="106">
        <v>2605.2498967052097</v>
      </c>
      <c r="T104" s="106">
        <v>0.13106033952632262</v>
      </c>
      <c r="U104" s="106">
        <v>89.645272236004672</v>
      </c>
      <c r="V104" s="106">
        <v>8.0180086590427926E-2</v>
      </c>
      <c r="W104" s="106">
        <v>54.843179227852701</v>
      </c>
      <c r="X104" s="106">
        <v>0</v>
      </c>
      <c r="Y104" s="106">
        <v>0</v>
      </c>
      <c r="Z104" s="106">
        <v>8.5061887136811939E-2</v>
      </c>
      <c r="AA104" s="106">
        <v>58.182330801579369</v>
      </c>
      <c r="AB104" s="106">
        <v>1.2136844168971739</v>
      </c>
      <c r="AC104" s="106">
        <v>830.16014115766689</v>
      </c>
      <c r="AD104" s="106">
        <v>0</v>
      </c>
      <c r="AE104" s="106">
        <v>0</v>
      </c>
      <c r="AF104" s="106">
        <v>1.6129444438084428</v>
      </c>
      <c r="AG104" s="106">
        <v>1103.2539995649749</v>
      </c>
      <c r="AH104" s="106">
        <v>0</v>
      </c>
      <c r="AI104" s="106">
        <v>0</v>
      </c>
      <c r="AJ104" s="106">
        <v>2.3912520310232308</v>
      </c>
      <c r="AK104" s="106">
        <v>1635.6163892198899</v>
      </c>
      <c r="AL104" s="106">
        <v>0.12550904621680584</v>
      </c>
      <c r="AM104" s="106">
        <v>85.848187612295192</v>
      </c>
      <c r="AN104" s="106">
        <v>1.1999328273039991</v>
      </c>
      <c r="AO104" s="106">
        <v>820.75405387593537</v>
      </c>
      <c r="AP104" s="106">
        <v>0.67149090767104558</v>
      </c>
      <c r="AQ104" s="106">
        <v>459.29978084699519</v>
      </c>
      <c r="AR104" s="106">
        <v>0</v>
      </c>
      <c r="AS104" s="106">
        <v>0</v>
      </c>
      <c r="AT104" s="106">
        <v>1.1294404601398544</v>
      </c>
      <c r="AU104" s="106">
        <v>772.53727473566039</v>
      </c>
      <c r="AV104" s="106">
        <v>0</v>
      </c>
      <c r="AW104" s="106">
        <v>0</v>
      </c>
      <c r="AX104" s="106">
        <v>0</v>
      </c>
      <c r="AY104" s="106">
        <v>0</v>
      </c>
      <c r="AZ104" s="106">
        <v>2.718388542650382</v>
      </c>
      <c r="BA104" s="106">
        <v>1859.3777631728613</v>
      </c>
      <c r="BB104" s="106">
        <v>0.8922462449087889</v>
      </c>
      <c r="BC104" s="106">
        <v>610.29643151761161</v>
      </c>
      <c r="BD104" s="106">
        <v>1.1381348830908873</v>
      </c>
      <c r="BE104" s="106">
        <v>778.48426003416694</v>
      </c>
      <c r="BF104" s="106">
        <v>0.92981909329983536</v>
      </c>
      <c r="BG104" s="106">
        <v>635.99625981708743</v>
      </c>
      <c r="BH104" s="106">
        <v>0</v>
      </c>
      <c r="BI104" s="106">
        <v>0</v>
      </c>
      <c r="BJ104" s="106">
        <v>3</v>
      </c>
      <c r="BK104" s="106">
        <v>2052</v>
      </c>
      <c r="BL104" s="106">
        <v>2.5651687207482281</v>
      </c>
      <c r="BM104" s="106">
        <v>1754.575404991788</v>
      </c>
      <c r="BN104" s="106">
        <v>2.5065141867579652</v>
      </c>
      <c r="BO104" s="106">
        <v>1714.4557037424481</v>
      </c>
      <c r="BP104" s="106">
        <v>6.1671628133082175</v>
      </c>
      <c r="BQ104" s="106">
        <v>4218.3393643028212</v>
      </c>
      <c r="BR104" s="106">
        <v>0</v>
      </c>
      <c r="BS104" s="106">
        <v>0</v>
      </c>
      <c r="BT104" s="106">
        <v>4</v>
      </c>
      <c r="BU104" s="106">
        <v>2736</v>
      </c>
      <c r="BV104" s="106">
        <v>6</v>
      </c>
      <c r="BW104" s="106">
        <v>4104</v>
      </c>
      <c r="BX104" s="106">
        <v>3</v>
      </c>
      <c r="BY104" s="106">
        <v>2052</v>
      </c>
      <c r="BZ104" s="106">
        <v>3.1078560053867408</v>
      </c>
      <c r="CA104" s="106">
        <v>2125.7735076845306</v>
      </c>
      <c r="CB104" s="106">
        <v>1.6294318330866484</v>
      </c>
      <c r="CC104" s="106">
        <v>1114.5313738312675</v>
      </c>
      <c r="CD104" s="106">
        <v>2.0268118283558092</v>
      </c>
      <c r="CE104" s="106">
        <v>1386.3392905953735</v>
      </c>
      <c r="CF104" s="106">
        <v>1.0425739824149305</v>
      </c>
      <c r="CG104" s="106">
        <v>713.12060397181244</v>
      </c>
      <c r="CH104" s="106">
        <v>3.298444451335079</v>
      </c>
      <c r="CI104" s="106">
        <v>2256.1360047131939</v>
      </c>
      <c r="CJ104" s="106">
        <v>0</v>
      </c>
      <c r="CK104" s="106">
        <v>0</v>
      </c>
      <c r="CL104" s="106">
        <v>1.8162583489949831</v>
      </c>
      <c r="CM104" s="106">
        <v>1242.3207107125684</v>
      </c>
      <c r="CN104" s="106">
        <v>1.5756603300964085</v>
      </c>
      <c r="CO104" s="106">
        <v>1077.7516657859435</v>
      </c>
      <c r="CP104" s="106">
        <v>1.8136729736734807</v>
      </c>
      <c r="CQ104" s="106">
        <v>1240.5523139926609</v>
      </c>
      <c r="CR104" s="106">
        <v>3.3003646060847904</v>
      </c>
      <c r="CS104" s="106">
        <v>2257.4493905619966</v>
      </c>
      <c r="CT104" s="106">
        <v>1.2354468202027966</v>
      </c>
      <c r="CU104" s="106">
        <v>845.04562501871294</v>
      </c>
    </row>
    <row r="105" spans="2:99" x14ac:dyDescent="0.2">
      <c r="C105" s="105" t="s">
        <v>271</v>
      </c>
      <c r="D105" s="106">
        <v>4</v>
      </c>
      <c r="E105" s="106">
        <v>2452.7999999999997</v>
      </c>
      <c r="F105" s="106">
        <v>5.290836123530676</v>
      </c>
      <c r="G105" s="106">
        <v>3244.3407109490104</v>
      </c>
      <c r="H105" s="106">
        <v>3.2558235994495783</v>
      </c>
      <c r="I105" s="106">
        <v>1996.4710311824813</v>
      </c>
      <c r="J105" s="106">
        <v>0.37775923528244798</v>
      </c>
      <c r="K105" s="106">
        <v>231.64196307519708</v>
      </c>
      <c r="L105" s="106">
        <v>3.3764189982784343</v>
      </c>
      <c r="M105" s="106">
        <v>2070.4201297443356</v>
      </c>
      <c r="N105" s="106">
        <v>1.3230064588856429</v>
      </c>
      <c r="O105" s="106">
        <v>811.26756058867613</v>
      </c>
      <c r="P105" s="106">
        <v>3.0352944623403491</v>
      </c>
      <c r="Q105" s="106">
        <v>1861.2425643071019</v>
      </c>
      <c r="R105" s="106">
        <v>3.808844878223991</v>
      </c>
      <c r="S105" s="106">
        <v>2335.5836793269509</v>
      </c>
      <c r="T105" s="106">
        <v>0.13106033952632262</v>
      </c>
      <c r="U105" s="106">
        <v>80.366200197541019</v>
      </c>
      <c r="V105" s="106">
        <v>8.0180086590427926E-2</v>
      </c>
      <c r="W105" s="106">
        <v>49.166429097250401</v>
      </c>
      <c r="X105" s="106">
        <v>0</v>
      </c>
      <c r="Y105" s="106">
        <v>0</v>
      </c>
      <c r="Z105" s="106">
        <v>8.415712857946922E-2</v>
      </c>
      <c r="AA105" s="106">
        <v>51.605151244930518</v>
      </c>
      <c r="AB105" s="106">
        <v>1.1995841912306462</v>
      </c>
      <c r="AC105" s="106">
        <v>735.58502606263221</v>
      </c>
      <c r="AD105" s="106">
        <v>0</v>
      </c>
      <c r="AE105" s="106">
        <v>0</v>
      </c>
      <c r="AF105" s="106">
        <v>2.7378811263076153</v>
      </c>
      <c r="AG105" s="106">
        <v>1678.8687066518296</v>
      </c>
      <c r="AH105" s="106">
        <v>0</v>
      </c>
      <c r="AI105" s="106">
        <v>0</v>
      </c>
      <c r="AJ105" s="106">
        <v>2.4401585349011343</v>
      </c>
      <c r="AK105" s="106">
        <v>1496.3052136013755</v>
      </c>
      <c r="AL105" s="106">
        <v>0.12550904621680584</v>
      </c>
      <c r="AM105" s="106">
        <v>76.962147140145333</v>
      </c>
      <c r="AN105" s="106">
        <v>1.1999328273039991</v>
      </c>
      <c r="AO105" s="106">
        <v>735.79880970281215</v>
      </c>
      <c r="AP105" s="106">
        <v>0.67149090767104558</v>
      </c>
      <c r="AQ105" s="106">
        <v>411.75822458388512</v>
      </c>
      <c r="AR105" s="106">
        <v>0</v>
      </c>
      <c r="AS105" s="106">
        <v>0</v>
      </c>
      <c r="AT105" s="106">
        <v>0.84708034510489072</v>
      </c>
      <c r="AU105" s="106">
        <v>519.42966761831894</v>
      </c>
      <c r="AV105" s="106">
        <v>0</v>
      </c>
      <c r="AW105" s="106">
        <v>0</v>
      </c>
      <c r="AX105" s="106">
        <v>0</v>
      </c>
      <c r="AY105" s="106">
        <v>0</v>
      </c>
      <c r="AZ105" s="106">
        <v>1.812259028433588</v>
      </c>
      <c r="BA105" s="106">
        <v>1111.277236235476</v>
      </c>
      <c r="BB105" s="106">
        <v>0.8922462449087889</v>
      </c>
      <c r="BC105" s="106">
        <v>547.12539737806924</v>
      </c>
      <c r="BD105" s="106">
        <v>1.1186819736342439</v>
      </c>
      <c r="BE105" s="106">
        <v>685.97578623251832</v>
      </c>
      <c r="BF105" s="106">
        <v>0.92981909329983536</v>
      </c>
      <c r="BG105" s="106">
        <v>570.16506801145897</v>
      </c>
      <c r="BH105" s="106">
        <v>0</v>
      </c>
      <c r="BI105" s="106">
        <v>0</v>
      </c>
      <c r="BJ105" s="106">
        <v>3</v>
      </c>
      <c r="BK105" s="106">
        <v>1839.6</v>
      </c>
      <c r="BL105" s="106">
        <v>2.1702682540004159</v>
      </c>
      <c r="BM105" s="106">
        <v>1330.8084933530549</v>
      </c>
      <c r="BN105" s="106">
        <v>2.5065141867579652</v>
      </c>
      <c r="BO105" s="106">
        <v>1536.994499319984</v>
      </c>
      <c r="BP105" s="106">
        <v>6.256308177212099</v>
      </c>
      <c r="BQ105" s="106">
        <v>3836.3681742664585</v>
      </c>
      <c r="BR105" s="106">
        <v>0</v>
      </c>
      <c r="BS105" s="106">
        <v>0</v>
      </c>
      <c r="BT105" s="106">
        <v>4</v>
      </c>
      <c r="BU105" s="106">
        <v>2452.7999999999997</v>
      </c>
      <c r="BV105" s="106">
        <v>7</v>
      </c>
      <c r="BW105" s="106">
        <v>4292.3999999999996</v>
      </c>
      <c r="BX105" s="106">
        <v>3</v>
      </c>
      <c r="BY105" s="106">
        <v>1839.6</v>
      </c>
      <c r="BZ105" s="106">
        <v>3.1072400893165755</v>
      </c>
      <c r="CA105" s="106">
        <v>1905.3596227689238</v>
      </c>
      <c r="CB105" s="106">
        <v>1.6294318330866484</v>
      </c>
      <c r="CC105" s="106">
        <v>999.16760004873265</v>
      </c>
      <c r="CD105" s="106">
        <v>2.027386135220818</v>
      </c>
      <c r="CE105" s="106">
        <v>1243.1931781174055</v>
      </c>
      <c r="CF105" s="106">
        <v>1.5638609736223956</v>
      </c>
      <c r="CG105" s="106">
        <v>958.95954902525284</v>
      </c>
      <c r="CH105" s="106">
        <v>3.3701295634079949</v>
      </c>
      <c r="CI105" s="106">
        <v>2066.5634482817823</v>
      </c>
      <c r="CJ105" s="106">
        <v>0</v>
      </c>
      <c r="CK105" s="106">
        <v>0</v>
      </c>
      <c r="CL105" s="106">
        <v>1.8162583489949831</v>
      </c>
      <c r="CM105" s="106">
        <v>1113.7296196037234</v>
      </c>
      <c r="CN105" s="106">
        <v>1.5756603300964085</v>
      </c>
      <c r="CO105" s="106">
        <v>966.19491441511752</v>
      </c>
      <c r="CP105" s="106">
        <v>1.8136729736734807</v>
      </c>
      <c r="CQ105" s="106">
        <v>1112.1442674565783</v>
      </c>
      <c r="CR105" s="106">
        <v>2.793362696870838</v>
      </c>
      <c r="CS105" s="106">
        <v>1712.8900057211977</v>
      </c>
      <c r="CT105" s="106">
        <v>0.98946271898467431</v>
      </c>
      <c r="CU105" s="106">
        <v>606.73853928140227</v>
      </c>
    </row>
    <row r="107" spans="2:99" x14ac:dyDescent="0.2">
      <c r="B107" s="110" t="s">
        <v>276</v>
      </c>
    </row>
    <row r="108" spans="2:99" x14ac:dyDescent="0.2">
      <c r="C108" s="105" t="s">
        <v>277</v>
      </c>
      <c r="D108" s="105" t="s">
        <v>92</v>
      </c>
      <c r="E108" s="105" t="s">
        <v>93</v>
      </c>
      <c r="F108" s="105" t="s">
        <v>94</v>
      </c>
      <c r="G108" s="105" t="s">
        <v>95</v>
      </c>
      <c r="H108" s="105" t="s">
        <v>96</v>
      </c>
      <c r="I108" s="105" t="s">
        <v>97</v>
      </c>
      <c r="J108" s="105" t="s">
        <v>98</v>
      </c>
      <c r="K108" s="105" t="s">
        <v>99</v>
      </c>
      <c r="L108" s="105" t="s">
        <v>100</v>
      </c>
      <c r="M108" s="105" t="s">
        <v>101</v>
      </c>
      <c r="N108" s="105" t="s">
        <v>102</v>
      </c>
      <c r="O108" s="105" t="s">
        <v>103</v>
      </c>
    </row>
    <row r="109" spans="2:99" x14ac:dyDescent="0.2">
      <c r="C109" s="105" t="s">
        <v>126</v>
      </c>
      <c r="D109" s="106">
        <f>SUM(D$6:D$19)+SUM(F$6:F$19)+SUM(H$6:H$19)+SUM(J$6:J$19)</f>
        <v>1207.3415663018434</v>
      </c>
      <c r="E109" s="106">
        <f>SUM(L$6:L$19)+SUM(N$6:N$19)+SUM(P$6:P$19)+SUM(R$6:R$19)</f>
        <v>1150.9757427429763</v>
      </c>
      <c r="F109" s="106">
        <f>SUM(T$6:T$19)+SUM(V$6:V$19)+SUM(X$6:X$19)+SUM(Z$6:Z$19)</f>
        <v>425.27987041835922</v>
      </c>
      <c r="G109" s="106">
        <f>SUM(AB$6:AB$19)+SUM(AD$6:AD$19)+SUM(AF$6:AF$19)+SUM(AH$6:AH$19)</f>
        <v>464.06906130516853</v>
      </c>
      <c r="H109" s="106">
        <f>SUM(AJ$6:AJ$19)+SUM(AL$6:AL$19)+SUM(AN$6:AN$19)+SUM(AP$6:AP$19)</f>
        <v>556.88100037085519</v>
      </c>
      <c r="I109" s="106">
        <f>SUM(AR$6:AR$19)+SUM(AT$6:AT$19)+SUM(AV$6:AV$19)+SUM(AX$6:AX$19)</f>
        <v>321.36716328357244</v>
      </c>
      <c r="J109" s="106">
        <f>SUM(AZ$6:AZ$19)+SUM(BB$6:BB$19)+SUM(BD$6:BD$19)+SUM(BF$6:BF$19)</f>
        <v>483.47595789633777</v>
      </c>
      <c r="K109" s="106">
        <f>SUM(BH$6:BH$19)+SUM(BJ$6:BJ$19)+SUM(BL$6:BL$19)+SUM(BN$6:BN$19)</f>
        <v>668.3619035678953</v>
      </c>
      <c r="L109" s="106">
        <f>SUM(BP$6:BP$19)+SUM(BR$6:BR$19)+SUM(BT$6:BT$19)+SUM(BV$6:BV$19)</f>
        <v>372.76343638985168</v>
      </c>
      <c r="M109" s="106">
        <f>SUM(BX$6:BX$19)+SUM(BZ$6:BZ$19)+SUM(CB$6:CB$19)+SUM(CD$6:CD$19)</f>
        <v>459.24641909104628</v>
      </c>
      <c r="N109" s="106">
        <f>SUM(CF$6:CF$19)+SUM(CH$6:CH$19)+SUM(CJ$6:CJ$19)+SUM(CL$6:CL$19)</f>
        <v>291.76636165724398</v>
      </c>
      <c r="O109" s="106">
        <f>SUM(CN$6:CN$19)+SUM(CP$6:CP$19)+SUM(CR$6:CR$19)+SUM(CT$6:CT$19)</f>
        <v>908.71300797882213</v>
      </c>
    </row>
    <row r="110" spans="2:99" x14ac:dyDescent="0.2">
      <c r="C110" s="105" t="s">
        <v>127</v>
      </c>
      <c r="D110" s="106">
        <f>SUM(D$20:D$36)+SUM(F$20:F$36)+SUM(H$20:H$36)+SUM(J$20:J$36)</f>
        <v>269.57183298144673</v>
      </c>
      <c r="E110" s="106">
        <f>SUM(L$20:L$36)+SUM(N$20:N$36)+SUM(P$20:P$36)+SUM(R$20:R$36)</f>
        <v>114.21535482719986</v>
      </c>
      <c r="F110" s="106">
        <f>SUM(T$20:T$36)+SUM(V$20:V$36)+SUM(X$20:X$36)+SUM(Z$20:Z$36)</f>
        <v>554.29466225314695</v>
      </c>
      <c r="G110" s="106">
        <f>SUM(AB$20:AB$36)+SUM(AD$20:AD$36)+SUM(AF$20:AF$36)+SUM(AH$20:AH$36)</f>
        <v>471.88632541042023</v>
      </c>
      <c r="H110" s="106">
        <f>SUM(AJ$20:AJ$36)+SUM(AL$20:AL$36)+SUM(AN$20:AN$36)+SUM(AP$20:AP$36)</f>
        <v>757.21408727199923</v>
      </c>
      <c r="I110" s="106">
        <f>SUM(AR$20:AR$36)+SUM(AT$20:AT$36)+SUM(AV$20:AV$36)+SUM(AX$20:AX$36)</f>
        <v>573.52290098745766</v>
      </c>
      <c r="J110" s="106">
        <f>SUM(AZ$20:AZ$36)+SUM(BB$20:BB$36)+SUM(BD$20:BD$36)+SUM(BF$20:BF$36)</f>
        <v>426.43506782287943</v>
      </c>
      <c r="K110" s="106">
        <f>SUM(BH$20:BH$36)+SUM(BJ$20:BJ$36)+SUM(BL$20:BL$36)+SUM(BN$20:BN$36)</f>
        <v>165.59406608939463</v>
      </c>
      <c r="L110" s="106">
        <f>SUM(BP$20:BP$36)+SUM(BR$20:BR$36)+SUM(BT$20:BT$36)+SUM(BV$20:BV$36)</f>
        <v>679.0108658553163</v>
      </c>
      <c r="M110" s="106">
        <f>SUM(BX$20:BX$36)+SUM(BZ$20:BZ$36)+SUM(CB$20:CB$36)+SUM(CD$20:CD$36)</f>
        <v>291.58411004804742</v>
      </c>
      <c r="N110" s="106">
        <f>SUM(CF$20:CF$36)+SUM(CH$20:CH$36)+SUM(CJ$20:CJ$36)+SUM(CL$20:CL$36)</f>
        <v>173.40032974204706</v>
      </c>
      <c r="O110" s="106">
        <f>SUM(CN$20:CN$36)+SUM(CP$20:CP$36)+SUM(CR$20:CR$36)+SUM(CT$20:CT$36)</f>
        <v>831.99989299360482</v>
      </c>
    </row>
    <row r="111" spans="2:99" x14ac:dyDescent="0.2">
      <c r="C111" s="105" t="s">
        <v>128</v>
      </c>
      <c r="D111" s="106">
        <f>SUM(D$37:D$48)+SUM(F$37:F$48)+SUM(H$37:H$48)+SUM(J$37:J$48)</f>
        <v>645.32697747255122</v>
      </c>
      <c r="E111" s="106">
        <f>SUM(L$37:L$48)+SUM(N$37:N$48)+SUM(P$37:P$48)+SUM(R$37:R$48)</f>
        <v>140.47067383631597</v>
      </c>
      <c r="F111" s="106">
        <f>SUM(T$37:T$48)+SUM(V$37:V$48)+SUM(X$37:X$48)+SUM(Z$37:Z$48)</f>
        <v>1401.8234024692988</v>
      </c>
      <c r="G111" s="106">
        <f>SUM(AB$37:AB$48)+SUM(AD$37:AD$48)+SUM(AF$37:AF$48)+SUM(AH$37:AH$48)</f>
        <v>95.719280311497556</v>
      </c>
      <c r="H111" s="106">
        <f>SUM(AJ$37:AJ$48)+SUM(AL$37:AL$48)+SUM(AN$37:AN$48)+SUM(AP$37:AP$48)</f>
        <v>137.53522425370102</v>
      </c>
      <c r="I111" s="106">
        <f>SUM(AR$37:AR$48)+SUM(AT$37:AT$48)+SUM(AV$37:AV$48)+SUM(AX$37:AX$48)</f>
        <v>326.17415950816655</v>
      </c>
      <c r="J111" s="106">
        <f>SUM(AZ$37:AZ$48)+SUM(BB$37:BB$48)+SUM(BD$37:BD$48)+SUM(BF$37:BF$48)</f>
        <v>263.02828360779574</v>
      </c>
      <c r="K111" s="106">
        <f>SUM(BH$37:BH$48)+SUM(BJ$37:BJ$48)+SUM(BL$37:BL$48)+SUM(BN$37:BN$48)</f>
        <v>162.34007882812904</v>
      </c>
      <c r="L111" s="106">
        <f>SUM(BP$37:BP$48)+SUM(BR$37:BR$48)+SUM(BT$37:BT$48)+SUM(BV$37:BV$48)</f>
        <v>165.62820176767471</v>
      </c>
      <c r="M111" s="106">
        <f>SUM(BX$37:BX$48)+SUM(BZ$37:BZ$48)+SUM(CB$37:CB$48)+SUM(CD$37:CD$48)</f>
        <v>122.80451203550115</v>
      </c>
      <c r="N111" s="106">
        <f>SUM(CF$37:CF$48)+SUM(CH$37:CH$48)+SUM(CJ$37:CJ$48)+SUM(CL$37:CL$48)</f>
        <v>219.22416576079866</v>
      </c>
      <c r="O111" s="106">
        <f>SUM(CN$37:CN$48)+SUM(CP$37:CP$48)+SUM(CR$37:CR$48)+SUM(CT$37:CT$48)</f>
        <v>393.07693196670812</v>
      </c>
    </row>
    <row r="112" spans="2:99" x14ac:dyDescent="0.2">
      <c r="C112" s="105" t="s">
        <v>129</v>
      </c>
      <c r="D112" s="106">
        <f>SUM(D$49:D$70)+SUM(F$49:F$70)+SUM(H$49:H$70)+SUM(J$49:J$70)</f>
        <v>484.89025936400787</v>
      </c>
      <c r="E112" s="106">
        <f>SUM(L$49:L$70)+SUM(N$49:N$70)+SUM(P$49:P$70)+SUM(R$49:R$70)</f>
        <v>591.53331347270398</v>
      </c>
      <c r="F112" s="106">
        <f>SUM(T$49:T$70)+SUM(V$49:V$70)+SUM(X$49:X$70)+SUM(Z$49:Z$70)</f>
        <v>273.46373362711091</v>
      </c>
      <c r="G112" s="106">
        <f>SUM(AB$49:AB$70)+SUM(AD$49:AD$70)+SUM(AF$49:AF$70)+SUM(AH$49:AH$70)</f>
        <v>563.47564625840073</v>
      </c>
      <c r="H112" s="106">
        <f>SUM(AJ$49:AJ$70)+SUM(AL$49:AL$70)+SUM(AN$49:AN$70)+SUM(AP$49:AP$70)</f>
        <v>534.00121992676554</v>
      </c>
      <c r="I112" s="106">
        <f>SUM(AR$49:AR$70)+SUM(AT$49:AT$70)+SUM(AV$49:AV$70)+SUM(AX$49:AX$70)</f>
        <v>269.06499470505702</v>
      </c>
      <c r="J112" s="106">
        <f>SUM(AZ$49:AZ$70)+SUM(BB$49:BB$70)+SUM(BD$49:BD$70)+SUM(BF$49:BF$70)</f>
        <v>339.78619330654845</v>
      </c>
      <c r="K112" s="106">
        <f>SUM(BH$49:BH$70)+SUM(BJ$49:BJ$70)+SUM(BL$49:BL$70)+SUM(BN$49:BN$70)</f>
        <v>353.83139600930826</v>
      </c>
      <c r="L112" s="106">
        <f>SUM(BP$49:BP$70)+SUM(BR$49:BR$70)+SUM(BT$49:BT$70)+SUM(BV$49:BV$70)</f>
        <v>325.85890045817143</v>
      </c>
      <c r="M112" s="106">
        <f>SUM(BX$49:BX$70)+SUM(BZ$49:BZ$70)+SUM(CB$49:CB$70)+SUM(CD$49:CD$70)</f>
        <v>1490.7576338138256</v>
      </c>
      <c r="N112" s="106">
        <f>SUM(CF$49:CF$70)+SUM(CH$49:CH$70)+SUM(CJ$49:CJ$70)+SUM(CL$49:CL$70)</f>
        <v>118.22775074334676</v>
      </c>
      <c r="O112" s="106">
        <f>SUM(CN$49:CN$70)+SUM(CP$49:CP$70)+SUM(CR$49:CR$70)+SUM(CT$49:CT$70)</f>
        <v>256.73573242053135</v>
      </c>
    </row>
    <row r="113" spans="2:15" x14ac:dyDescent="0.2">
      <c r="C113" s="105" t="s">
        <v>130</v>
      </c>
      <c r="D113" s="106">
        <f>SUM(D$71:D$86)+SUM(F$71:F$86)+SUM(H$71:H$86)+SUM(J$71:J$86)</f>
        <v>130.11222166566989</v>
      </c>
      <c r="E113" s="106">
        <f>SUM(L$71:L$86)+SUM(N$71:N$86)+SUM(P$71:P$86)+SUM(R$71:R$86)</f>
        <v>372</v>
      </c>
      <c r="F113" s="106">
        <f>SUM(T$71:T$86)+SUM(V$71:V$86)+SUM(X$71:X$86)+SUM(Z$71:Z$86)</f>
        <v>357</v>
      </c>
      <c r="G113" s="106">
        <f>SUM(AB$71:AB$86)+SUM(AD$71:AD$86)+SUM(AF$71:AF$86)+SUM(AH$71:AH$86)</f>
        <v>633</v>
      </c>
      <c r="H113" s="106">
        <f>SUM(AJ$71:AJ$86)+SUM(AL$71:AL$86)+SUM(AN$71:AN$86)+SUM(AP$71:AP$86)</f>
        <v>280</v>
      </c>
      <c r="I113" s="106">
        <f>SUM(AR$71:AR$86)+SUM(AT$71:AT$86)+SUM(AV$71:AV$86)+SUM(AX$71:AX$86)</f>
        <v>1312.4823360426412</v>
      </c>
      <c r="J113" s="106">
        <f>SUM(AZ$71:AZ$86)+SUM(BB$71:BB$86)+SUM(BD$71:BD$86)+SUM(BF$71:BF$86)</f>
        <v>1308.5991741986209</v>
      </c>
      <c r="K113" s="106">
        <f>SUM(BH$71:BH$86)+SUM(BJ$71:BJ$86)+SUM(BL$71:BL$86)+SUM(BN$71:BN$86)</f>
        <v>332.81304795878293</v>
      </c>
      <c r="L113" s="106">
        <f>SUM(BP$71:BP$86)+SUM(BR$71:BR$86)+SUM(BT$71:BT$86)+SUM(BV$71:BV$86)</f>
        <v>324</v>
      </c>
      <c r="M113" s="106">
        <f>SUM(BX$71:BX$86)+SUM(BZ$71:BZ$86)+SUM(CB$71:CB$86)+SUM(CD$71:CD$86)</f>
        <v>272.58929441005836</v>
      </c>
      <c r="N113" s="106">
        <f>SUM(CF$71:CF$86)+SUM(CH$71:CH$86)+SUM(CJ$71:CJ$86)+SUM(CL$71:CL$86)</f>
        <v>693.48944570377228</v>
      </c>
      <c r="O113" s="106">
        <f>SUM(CN$71:CN$86)+SUM(CP$71:CP$86)+SUM(CR$71:CR$86)+SUM(CT$71:CT$86)</f>
        <v>253.35852538467282</v>
      </c>
    </row>
    <row r="114" spans="2:15" x14ac:dyDescent="0.2">
      <c r="C114" s="105" t="s">
        <v>131</v>
      </c>
      <c r="D114" s="106">
        <f>SUM(D$87:D$94)+SUM(F$87:F$94)+SUM(H$87:H$94)+SUM(J$87:J$94)</f>
        <v>46.650109335474802</v>
      </c>
      <c r="E114" s="106">
        <f>SUM(L$87:L$94)+SUM(N$87:N$94)+SUM(P$87:P$94)+SUM(R$87:R$94)</f>
        <v>58.438703000702958</v>
      </c>
      <c r="F114" s="106">
        <f>SUM(T$87:T$94)+SUM(V$87:V$94)+SUM(X$87:X$94)+SUM(Z$87:Z$94)</f>
        <v>1.8161681741168652</v>
      </c>
      <c r="G114" s="106">
        <f>SUM(AB$87:AB$94)+SUM(AD$87:AD$94)+SUM(AF$87:AF$94)+SUM(AH$87:AH$94)</f>
        <v>51.559502117348686</v>
      </c>
      <c r="H114" s="106">
        <f>SUM(AJ$87:AJ$94)+SUM(AL$87:AL$94)+SUM(AN$87:AN$94)+SUM(AP$87:AP$94)</f>
        <v>41.209658049900952</v>
      </c>
      <c r="I114" s="106">
        <f>SUM(AR$87:AR$94)+SUM(AT$87:AT$94)+SUM(AV$87:AV$94)+SUM(AX$87:AX$94)</f>
        <v>4.5177618405594169</v>
      </c>
      <c r="J114" s="106">
        <f>SUM(AZ$87:AZ$94)+SUM(BB$87:BB$94)+SUM(BD$87:BD$94)+SUM(BF$87:BF$94)</f>
        <v>33.978967288129731</v>
      </c>
      <c r="K114" s="106">
        <f>SUM(BH$87:BH$94)+SUM(BJ$87:BJ$94)+SUM(BL$87:BL$94)+SUM(BN$87:BN$94)</f>
        <v>103.15877464325095</v>
      </c>
      <c r="L114" s="106">
        <f>SUM(BP$87:BP$94)+SUM(BR$87:BR$94)+SUM(BT$87:BT$94)+SUM(BV$87:BV$94)</f>
        <v>40.951768428651604</v>
      </c>
      <c r="M114" s="106">
        <f>SUM(BX$87:BX$94)+SUM(BZ$87:BZ$94)+SUM(CB$87:CB$94)+SUM(CD$87:CD$94)</f>
        <v>70.135400880626847</v>
      </c>
      <c r="N114" s="106">
        <f>SUM(CF$87:CF$94)+SUM(CH$87:CH$94)+SUM(CJ$87:CJ$94)+SUM(CL$87:CL$94)</f>
        <v>91.222660567081732</v>
      </c>
      <c r="O114" s="106">
        <f>SUM(CN$87:CN$94)+SUM(CP$87:CP$94)+SUM(CR$87:CR$94)+SUM(CT$87:CT$94)</f>
        <v>38.785817166381008</v>
      </c>
    </row>
    <row r="115" spans="2:15" x14ac:dyDescent="0.2">
      <c r="C115" s="105" t="s">
        <v>132</v>
      </c>
      <c r="D115" s="106">
        <f>SUM(D$95:D$105)+SUM(F$95:F$105)+SUM(H$95:H$105)+SUM(J$95:J$105)</f>
        <v>152.63197108066794</v>
      </c>
      <c r="E115" s="106">
        <f>SUM(L$95:L$105)+SUM(N$95:N$105)+SUM(P$95:P$105)+SUM(R$95:R$105)</f>
        <v>116.79154983543317</v>
      </c>
      <c r="F115" s="106">
        <f>SUM(T$95:T$105)+SUM(V$95:V$105)+SUM(X$95:X$105)+SUM(Z$95:Z$105)</f>
        <v>3.2155158228789489</v>
      </c>
      <c r="G115" s="106">
        <f>SUM(AB$95:AB$105)+SUM(AD$95:AD$105)+SUM(AF$95:AF$105)+SUM(AH$95:AH$105)</f>
        <v>36.604799074925424</v>
      </c>
      <c r="H115" s="106">
        <f>SUM(AJ$95:AJ$105)+SUM(AL$95:AL$105)+SUM(AN$95:AN$105)+SUM(AP$95:AP$105)</f>
        <v>48.060511611297557</v>
      </c>
      <c r="I115" s="106">
        <f>SUM(AR$95:AR$105)+SUM(AT$95:AT$105)+SUM(AV$95:AV$105)+SUM(AX$95:AX$105)</f>
        <v>10.729684371328615</v>
      </c>
      <c r="J115" s="106">
        <f>SUM(AZ$95:AZ$105)+SUM(BB$95:BB$105)+SUM(BD$95:BD$105)+SUM(BF$95:BF$105)</f>
        <v>59.356730280979228</v>
      </c>
      <c r="K115" s="106">
        <f>SUM(BH$95:BH$105)+SUM(BJ$95:BJ$105)+SUM(BL$95:BL$105)+SUM(BN$95:BN$105)</f>
        <v>86.282597295799206</v>
      </c>
      <c r="L115" s="106">
        <f>SUM(BP$95:BP$105)+SUM(BR$95:BR$105)+SUM(BT$95:BT$105)+SUM(BV$95:BV$105)</f>
        <v>177.33368518893695</v>
      </c>
      <c r="M115" s="106">
        <f>SUM(BX$95:BX$105)+SUM(BZ$95:BZ$105)+SUM(CB$95:CB$105)+SUM(CD$95:CD$105)</f>
        <v>104.80186349873523</v>
      </c>
      <c r="N115" s="106">
        <f>SUM(CF$95:CF$105)+SUM(CH$95:CH$105)+SUM(CJ$95:CJ$105)+SUM(CL$95:CL$105)</f>
        <v>76.503330369676974</v>
      </c>
      <c r="O115" s="106">
        <f>SUM(CN$95:CN$105)+SUM(CP$95:CP$105)+SUM(CR$95:CR$105)+SUM(CT$95:CT$105)</f>
        <v>81.295450842566325</v>
      </c>
    </row>
    <row r="116" spans="2:15" x14ac:dyDescent="0.2">
      <c r="C116" s="105" t="s">
        <v>278</v>
      </c>
      <c r="D116" s="106">
        <f t="shared" ref="D116:O116" si="0">SUM(D$109:D$115)</f>
        <v>2936.5249382016618</v>
      </c>
      <c r="E116" s="106">
        <f t="shared" si="0"/>
        <v>2544.4253377153323</v>
      </c>
      <c r="F116" s="106">
        <f t="shared" si="0"/>
        <v>3016.8933527649115</v>
      </c>
      <c r="G116" s="106">
        <f t="shared" si="0"/>
        <v>2316.3146144777606</v>
      </c>
      <c r="H116" s="106">
        <f t="shared" si="0"/>
        <v>2354.9017014845194</v>
      </c>
      <c r="I116" s="106">
        <f t="shared" si="0"/>
        <v>2817.8590007387829</v>
      </c>
      <c r="J116" s="106">
        <f t="shared" si="0"/>
        <v>2914.6603744012914</v>
      </c>
      <c r="K116" s="106">
        <f t="shared" si="0"/>
        <v>1872.3818643925604</v>
      </c>
      <c r="L116" s="106">
        <f t="shared" si="0"/>
        <v>2085.5468580886027</v>
      </c>
      <c r="M116" s="106">
        <f t="shared" si="0"/>
        <v>2811.9192337778409</v>
      </c>
      <c r="N116" s="106">
        <f t="shared" si="0"/>
        <v>1663.8340445439671</v>
      </c>
      <c r="O116" s="106">
        <f t="shared" si="0"/>
        <v>2763.9653587532866</v>
      </c>
    </row>
    <row r="118" spans="2:15" x14ac:dyDescent="0.2">
      <c r="B118" s="109" t="s">
        <v>279</v>
      </c>
    </row>
    <row r="119" spans="2:15" x14ac:dyDescent="0.2">
      <c r="C119" s="105" t="s">
        <v>277</v>
      </c>
      <c r="D119" s="105" t="s">
        <v>92</v>
      </c>
      <c r="E119" s="105" t="s">
        <v>93</v>
      </c>
      <c r="F119" s="105" t="s">
        <v>94</v>
      </c>
      <c r="G119" s="105" t="s">
        <v>95</v>
      </c>
      <c r="H119" s="105" t="s">
        <v>96</v>
      </c>
      <c r="I119" s="105" t="s">
        <v>97</v>
      </c>
      <c r="J119" s="105" t="s">
        <v>98</v>
      </c>
      <c r="K119" s="105" t="s">
        <v>99</v>
      </c>
      <c r="L119" s="105" t="s">
        <v>100</v>
      </c>
      <c r="M119" s="105" t="s">
        <v>101</v>
      </c>
      <c r="N119" s="105" t="s">
        <v>102</v>
      </c>
      <c r="O119" s="105" t="s">
        <v>103</v>
      </c>
    </row>
    <row r="120" spans="2:15" x14ac:dyDescent="0.2">
      <c r="C120" s="105" t="s">
        <v>126</v>
      </c>
      <c r="D120" s="106">
        <f>D109*pricing!D33*2000</f>
        <v>3708090.5703597018</v>
      </c>
      <c r="E120" s="106">
        <f>E109*pricing!E33*2000</f>
        <v>3534975.0373052056</v>
      </c>
      <c r="F120" s="106">
        <f>F109*pricing!F33*2000</f>
        <v>1892882.4938240964</v>
      </c>
      <c r="G120" s="106">
        <f>G109*pricing!G33*2000</f>
        <v>1902541.8367043375</v>
      </c>
      <c r="H120" s="106">
        <f>H109*pricing!H33*2000</f>
        <v>2372424.4377799174</v>
      </c>
      <c r="I120" s="106">
        <f>I109*pricing!I33*2000</f>
        <v>1647188.7663263087</v>
      </c>
      <c r="J120" s="106">
        <f>J109*pricing!J33*2000</f>
        <v>2019511.3256778067</v>
      </c>
      <c r="K120" s="106">
        <f>K109*pricing!K33*2000</f>
        <v>2645340.0955789457</v>
      </c>
      <c r="L120" s="106">
        <f>L109*pricing!L33*2000</f>
        <v>1996529.9594048834</v>
      </c>
      <c r="M120" s="106">
        <f>M109*pricing!M33*2000</f>
        <v>1974943.3006591352</v>
      </c>
      <c r="N120" s="106">
        <f>N109*pricing!N33*2000</f>
        <v>1186067.8218732018</v>
      </c>
      <c r="O120" s="106">
        <f>O109*pricing!O33*2000</f>
        <v>3465648.800586828</v>
      </c>
    </row>
    <row r="121" spans="2:15" x14ac:dyDescent="0.2">
      <c r="C121" s="105" t="s">
        <v>127</v>
      </c>
      <c r="D121" s="106">
        <f>D110*pricing!D34*2000</f>
        <v>1681446.4539768479</v>
      </c>
      <c r="E121" s="106">
        <f>E110*pricing!E34*2000</f>
        <v>913722.83861759887</v>
      </c>
      <c r="F121" s="106">
        <f>F110*pricing!F34*2000</f>
        <v>2203432.1413887097</v>
      </c>
      <c r="G121" s="106">
        <f>G110*pricing!G34*2000</f>
        <v>1961348.3229358706</v>
      </c>
      <c r="H121" s="106">
        <f>H110*pricing!H34*2000</f>
        <v>3012526.8780911053</v>
      </c>
      <c r="I121" s="106">
        <f>I110*pricing!I34*2000</f>
        <v>2489377.2299591135</v>
      </c>
      <c r="J121" s="106">
        <f>J110*pricing!J34*2000</f>
        <v>1856186.5632194297</v>
      </c>
      <c r="K121" s="106">
        <f>K110*pricing!K34*2000</f>
        <v>1324752.528715157</v>
      </c>
      <c r="L121" s="106">
        <f>L110*pricing!L34*2000</f>
        <v>2991586.0727853528</v>
      </c>
      <c r="M121" s="106">
        <f>M110*pricing!M34*2000</f>
        <v>1520686.3352525514</v>
      </c>
      <c r="N121" s="106">
        <f>N110*pricing!N34*2000</f>
        <v>936899.89342224144</v>
      </c>
      <c r="O121" s="106">
        <f>O110*pricing!O34*2000</f>
        <v>3003722.1025628736</v>
      </c>
    </row>
    <row r="122" spans="2:15" x14ac:dyDescent="0.2">
      <c r="C122" s="105" t="s">
        <v>128</v>
      </c>
      <c r="D122" s="106">
        <f>D111*pricing!D35*2000</f>
        <v>2947601.5864463686</v>
      </c>
      <c r="E122" s="106">
        <f>E111*pricing!E35*2000</f>
        <v>1123765.3906905276</v>
      </c>
      <c r="F122" s="106">
        <f>F111*pricing!F35*2000</f>
        <v>4006644.196011662</v>
      </c>
      <c r="G122" s="106">
        <f>G111*pricing!G35*2000</f>
        <v>765754.24249198043</v>
      </c>
      <c r="H122" s="106">
        <f>H111*pricing!H35*2000</f>
        <v>1100281.7940296081</v>
      </c>
      <c r="I122" s="106">
        <f>I111*pricing!I35*2000</f>
        <v>1820177.1476559408</v>
      </c>
      <c r="J122" s="106">
        <f>J111*pricing!J35*2000</f>
        <v>1444329.3159123394</v>
      </c>
      <c r="K122" s="106">
        <f>K111*pricing!K35*2000</f>
        <v>1298720.6306250324</v>
      </c>
      <c r="L122" s="106">
        <f>L111*pricing!L35*2000</f>
        <v>1325025.6141413976</v>
      </c>
      <c r="M122" s="106">
        <f>M111*pricing!M35*2000</f>
        <v>982436.09628400917</v>
      </c>
      <c r="N122" s="106">
        <f>N111*pricing!N35*2000</f>
        <v>1002721.2379827965</v>
      </c>
      <c r="O122" s="106">
        <f>O111*pricing!O35*2000</f>
        <v>2174686.8580645029</v>
      </c>
    </row>
    <row r="123" spans="2:15" x14ac:dyDescent="0.2">
      <c r="C123" s="105" t="s">
        <v>129</v>
      </c>
      <c r="D123" s="106">
        <f>D112*pricing!D36*2000</f>
        <v>2546009.0439923881</v>
      </c>
      <c r="E123" s="106">
        <f>E112*pricing!E36*2000</f>
        <v>2919846.5537079871</v>
      </c>
      <c r="F123" s="106">
        <f>F112*pricing!F36*2000</f>
        <v>1711234.9832341333</v>
      </c>
      <c r="G123" s="106">
        <f>G112*pricing!G36*2000</f>
        <v>2637094.0348636904</v>
      </c>
      <c r="H123" s="106">
        <f>H112*pricing!H36*2000</f>
        <v>2631049.6586577669</v>
      </c>
      <c r="I123" s="106">
        <f>I112*pricing!I36*2000</f>
        <v>1640745.2390893654</v>
      </c>
      <c r="J123" s="106">
        <f>J112*pricing!J36*2000</f>
        <v>1659736.4245835433</v>
      </c>
      <c r="K123" s="106">
        <f>K112*pricing!K36*2000</f>
        <v>2078448.6977158154</v>
      </c>
      <c r="L123" s="106">
        <f>L112*pricing!L36*2000</f>
        <v>2186134.6783068459</v>
      </c>
      <c r="M123" s="106">
        <f>M112*pricing!M36*2000</f>
        <v>5001694.6436493946</v>
      </c>
      <c r="N123" s="106">
        <f>N112*pricing!N36*2000</f>
        <v>945822.00594677404</v>
      </c>
      <c r="O123" s="106">
        <f>O112*pricing!O36*2000</f>
        <v>1696963.6460678205</v>
      </c>
    </row>
    <row r="124" spans="2:15" x14ac:dyDescent="0.2">
      <c r="C124" s="105" t="s">
        <v>130</v>
      </c>
      <c r="D124" s="106">
        <f>D113*pricing!D37*2000</f>
        <v>1040897.7733253591</v>
      </c>
      <c r="E124" s="106">
        <f>E113*pricing!E37*2000</f>
        <v>1714016.483058257</v>
      </c>
      <c r="F124" s="106">
        <f>F113*pricing!F37*2000</f>
        <v>1763145.987246</v>
      </c>
      <c r="G124" s="106">
        <f>G113*pricing!G37*2000</f>
        <v>2689393.9168739999</v>
      </c>
      <c r="H124" s="106">
        <f>H113*pricing!H37*2000</f>
        <v>1542519.7160800002</v>
      </c>
      <c r="I124" s="106">
        <f>I113*pricing!I37*2000</f>
        <v>3218278.8010060275</v>
      </c>
      <c r="J124" s="106">
        <f>J113*pricing!J37*2000</f>
        <v>2695406.0426104865</v>
      </c>
      <c r="K124" s="106">
        <f>K113*pricing!K37*2000</f>
        <v>1780344.5208352469</v>
      </c>
      <c r="L124" s="106">
        <f>L113*pricing!L37*2000</f>
        <v>1855231.5880799999</v>
      </c>
      <c r="M124" s="106">
        <f>M113*pricing!M37*2000</f>
        <v>1502464.9532442347</v>
      </c>
      <c r="N124" s="106">
        <f>N113*pricing!N37*2000</f>
        <v>2838727.0254007946</v>
      </c>
      <c r="O124" s="106">
        <f>O113*pricing!O37*2000</f>
        <v>1559627.456439161</v>
      </c>
    </row>
    <row r="125" spans="2:15" x14ac:dyDescent="0.2">
      <c r="C125" s="105" t="s">
        <v>131</v>
      </c>
      <c r="D125" s="106">
        <f>D114*pricing!D38*2000</f>
        <v>373200.87468379841</v>
      </c>
      <c r="E125" s="106">
        <f>E114*pricing!E38*2000</f>
        <v>467509.62400562369</v>
      </c>
      <c r="F125" s="106">
        <f>F114*pricing!F38*2000</f>
        <v>14529.345392934922</v>
      </c>
      <c r="G125" s="106">
        <f>G114*pricing!G38*2000</f>
        <v>292684.20516131457</v>
      </c>
      <c r="H125" s="106">
        <f>H114*pricing!H38*2000</f>
        <v>279400.43823220592</v>
      </c>
      <c r="I125" s="106">
        <f>I114*pricing!I38*2000</f>
        <v>36142.094724475333</v>
      </c>
      <c r="J125" s="106">
        <f>J114*pricing!J38*2000</f>
        <v>271831.73830503784</v>
      </c>
      <c r="K125" s="106">
        <f>K114*pricing!K38*2000</f>
        <v>612693.11969329568</v>
      </c>
      <c r="L125" s="106">
        <f>L114*pricing!L38*2000</f>
        <v>327614.14742921281</v>
      </c>
      <c r="M125" s="106">
        <f>M114*pricing!M38*2000</f>
        <v>561083.20704501483</v>
      </c>
      <c r="N125" s="106">
        <f>N114*pricing!N38*2000</f>
        <v>532061.1010789877</v>
      </c>
      <c r="O125" s="106">
        <f>O114*pricing!O38*2000</f>
        <v>310286.53733104805</v>
      </c>
    </row>
    <row r="126" spans="2:15" x14ac:dyDescent="0.2">
      <c r="C126" s="105" t="s">
        <v>132</v>
      </c>
      <c r="D126" s="106">
        <f>D115*pricing!D39*2000</f>
        <v>942221.77452229545</v>
      </c>
      <c r="E126" s="106">
        <f>E115*pricing!E39*2000</f>
        <v>815096.61824151</v>
      </c>
      <c r="F126" s="106">
        <f>F115*pricing!F39*2000</f>
        <v>25724.12658303159</v>
      </c>
      <c r="G126" s="106">
        <f>G115*pricing!G39*2000</f>
        <v>292838.39259940339</v>
      </c>
      <c r="H126" s="106">
        <f>H115*pricing!H39*2000</f>
        <v>384484.09289038047</v>
      </c>
      <c r="I126" s="106">
        <f>I115*pricing!I39*2000</f>
        <v>74596.168411362465</v>
      </c>
      <c r="J126" s="106">
        <f>J115*pricing!J39*2000</f>
        <v>474853.84224783385</v>
      </c>
      <c r="K126" s="106">
        <f>K115*pricing!K39*2000</f>
        <v>690260.77836639364</v>
      </c>
      <c r="L126" s="106">
        <f>L115*pricing!L39*2000</f>
        <v>1078032.0514830467</v>
      </c>
      <c r="M126" s="106">
        <f>M115*pricing!M39*2000</f>
        <v>838414.90798988182</v>
      </c>
      <c r="N126" s="106">
        <f>N115*pricing!N39*2000</f>
        <v>533291.41636205337</v>
      </c>
      <c r="O126" s="106">
        <f>O115*pricing!O39*2000</f>
        <v>535335.39063307852</v>
      </c>
    </row>
    <row r="127" spans="2:15" x14ac:dyDescent="0.2">
      <c r="C127" s="105" t="s">
        <v>278</v>
      </c>
      <c r="D127" s="106">
        <f>SUM(D$120:D$126)</f>
        <v>13239468.07730676</v>
      </c>
      <c r="E127" s="106">
        <f t="shared" ref="E127:O127" si="1">SUM(E$120:E$126)</f>
        <v>11488932.545626709</v>
      </c>
      <c r="F127" s="106">
        <f t="shared" si="1"/>
        <v>11617593.273680568</v>
      </c>
      <c r="G127" s="106">
        <f t="shared" si="1"/>
        <v>10541654.951630596</v>
      </c>
      <c r="H127" s="106">
        <f t="shared" si="1"/>
        <v>11322687.015760984</v>
      </c>
      <c r="I127" s="106">
        <f t="shared" si="1"/>
        <v>10926505.447172593</v>
      </c>
      <c r="J127" s="106">
        <f t="shared" si="1"/>
        <v>10421855.252556479</v>
      </c>
      <c r="K127" s="106">
        <f t="shared" si="1"/>
        <v>10430560.371529886</v>
      </c>
      <c r="L127" s="106">
        <f t="shared" si="1"/>
        <v>11760154.11163074</v>
      </c>
      <c r="M127" s="106">
        <f t="shared" si="1"/>
        <v>12381723.444124222</v>
      </c>
      <c r="N127" s="106">
        <f t="shared" si="1"/>
        <v>7975590.5020668507</v>
      </c>
      <c r="O127" s="106">
        <f t="shared" si="1"/>
        <v>12746270.791685313</v>
      </c>
    </row>
    <row r="129" spans="2:15" x14ac:dyDescent="0.2">
      <c r="B129" s="109" t="s">
        <v>280</v>
      </c>
    </row>
    <row r="130" spans="2:15" x14ac:dyDescent="0.2">
      <c r="C130" s="111" t="s">
        <v>277</v>
      </c>
      <c r="D130" s="111" t="s">
        <v>92</v>
      </c>
      <c r="E130" s="111" t="s">
        <v>93</v>
      </c>
      <c r="F130" s="111" t="s">
        <v>94</v>
      </c>
      <c r="G130" s="111" t="s">
        <v>95</v>
      </c>
      <c r="H130" s="111" t="s">
        <v>96</v>
      </c>
      <c r="I130" s="111" t="s">
        <v>97</v>
      </c>
      <c r="J130" s="111" t="s">
        <v>98</v>
      </c>
      <c r="K130" s="111" t="s">
        <v>99</v>
      </c>
      <c r="L130" s="111" t="s">
        <v>100</v>
      </c>
      <c r="M130" s="111" t="s">
        <v>101</v>
      </c>
      <c r="N130" s="111" t="s">
        <v>102</v>
      </c>
      <c r="O130" s="111" t="s">
        <v>103</v>
      </c>
    </row>
    <row r="131" spans="2:15" x14ac:dyDescent="0.2">
      <c r="C131" s="111" t="s">
        <v>126</v>
      </c>
      <c r="D131" s="112">
        <f>SUM(E$6:E$19)+SUM(G$6:G$19)+SUM(I$6:I$19)+SUM(K$6:K$19)</f>
        <v>685877.16307607898</v>
      </c>
      <c r="E131" s="112">
        <f>SUM(M$6:M$19)+SUM(O$6:O$19)+SUM(Q$6:Q$19)+SUM(S$6:S$19)</f>
        <v>654822.08739392017</v>
      </c>
      <c r="F131" s="112">
        <f>SUM(U$6:U$19)+SUM(W$6:W$19)+SUM(Y$6:Y$19)+SUM(AA$6:AA$19)</f>
        <v>242156.85946559923</v>
      </c>
      <c r="G131" s="112">
        <f>SUM(AC$6:AC$19)+SUM(AE$6:AE$19)+SUM(AG$6:AG$19)+SUM(AI$6:AI$19)</f>
        <v>263481.05405461381</v>
      </c>
      <c r="H131" s="112">
        <f>SUM(AK$6:AK$19)+SUM(AM$6:AM$19)+SUM(AO$6:AO$19)+SUM(AQ$6:AQ$19)</f>
        <v>317687.13885016699</v>
      </c>
      <c r="I131" s="112">
        <f>SUM(AS$6:AS$19)+SUM(AU$6:AU$19)+SUM(AW$6:AW$19)+SUM(AY$6:AY$19)</f>
        <v>182808.54778624646</v>
      </c>
      <c r="J131" s="112">
        <f>SUM(BA$6:BA$19)+SUM(BC$6:BC$19)+SUM(BE$6:BE$19)+SUM(BG$6:BG$19)</f>
        <v>275058.11364452168</v>
      </c>
      <c r="K131" s="112">
        <f>SUM(BI$6:BI$19)+SUM(BK$6:BK$19)+SUM(BM$6:BM$19)+SUM(BO$6:BO$19)</f>
        <v>382423.54548154079</v>
      </c>
      <c r="L131" s="112">
        <f>SUM(BQ$6:BQ$19)+SUM(BS$6:BS$19)+SUM(BU$6:BU$19)+SUM(BW$6:BW$19)</f>
        <v>213518.95078604453</v>
      </c>
      <c r="M131" s="112">
        <f>SUM(BY$6:BY$19)+SUM(CA$6:CA$19)+SUM(CC$6:CC$19)+SUM(CE$6:CE$19)</f>
        <v>262111.08797376821</v>
      </c>
      <c r="N131" s="112">
        <f>SUM(CG$6:CG$19)+SUM(CI$6:CI$19)+SUM(CK$6:CK$19)+SUM(CM$6:CM$19)</f>
        <v>166048.31288129408</v>
      </c>
      <c r="O131" s="112">
        <f>SUM(CO$6:CO$19)+SUM(CQ$6:CQ$19)+SUM(CS$6:CS$19)+SUM(CU$6:CU$19)</f>
        <v>518181.47992600093</v>
      </c>
    </row>
    <row r="132" spans="2:15" x14ac:dyDescent="0.2">
      <c r="C132" s="111" t="s">
        <v>127</v>
      </c>
      <c r="D132" s="112">
        <f>SUM(E$20:E$36)+SUM(G$20:G$36)+SUM(I$20:I$36)+SUM(K$20:K$36)</f>
        <v>84307.07259787053</v>
      </c>
      <c r="E132" s="112">
        <f>SUM(M$20:M$36)+SUM(O$20:O$36)+SUM(Q$20:Q$36)+SUM(S$20:S$36)</f>
        <v>34554.387063581788</v>
      </c>
      <c r="F132" s="112">
        <f>SUM(U$20:U$36)+SUM(W$20:W$36)+SUM(Y$20:Y$36)+SUM(AA$20:AA$36)</f>
        <v>178126.99011194339</v>
      </c>
      <c r="G132" s="112">
        <f>SUM(AC$20:AC$36)+SUM(AE$20:AE$36)+SUM(AG$20:AG$36)+SUM(AI$20:AI$36)</f>
        <v>154201.18287510183</v>
      </c>
      <c r="H132" s="112">
        <f>SUM(AK$20:AK$36)+SUM(AM$20:AM$36)+SUM(AO$20:AO$36)+SUM(AQ$20:AQ$36)</f>
        <v>235925.26889699645</v>
      </c>
      <c r="I132" s="112">
        <f>SUM(AS$20:AS$36)+SUM(AU$20:AU$36)+SUM(AW$20:AW$36)+SUM(AY$20:AY$36)</f>
        <v>170168.58563370412</v>
      </c>
      <c r="J132" s="112">
        <f>SUM(BA$20:BA$36)+SUM(BC$20:BC$36)+SUM(BE$20:BE$36)+SUM(BG$20:BG$36)</f>
        <v>122716.39216550389</v>
      </c>
      <c r="K132" s="112">
        <f>SUM(BI$20:BI$36)+SUM(BK$20:BK$36)+SUM(BM$20:BM$36)+SUM(BO$20:BO$36)</f>
        <v>51774.82329696849</v>
      </c>
      <c r="L132" s="112">
        <f>SUM(BQ$20:BQ$36)+SUM(BS$20:BS$36)+SUM(BU$20:BU$36)+SUM(BW$20:BW$36)</f>
        <v>209254.21865160734</v>
      </c>
      <c r="M132" s="112">
        <f>SUM(BY$20:BY$36)+SUM(CA$20:CA$36)+SUM(CC$20:CC$36)+SUM(CE$20:CE$36)</f>
        <v>96208.986393141764</v>
      </c>
      <c r="N132" s="112">
        <f>SUM(CG$20:CG$36)+SUM(CI$20:CI$36)+SUM(CK$20:CK$36)+SUM(CM$20:CM$36)</f>
        <v>62989.675708469382</v>
      </c>
      <c r="O132" s="112">
        <f>SUM(CO$20:CO$36)+SUM(CQ$20:CQ$36)+SUM(CS$20:CS$36)+SUM(CU$20:CU$36)</f>
        <v>260874.93314184865</v>
      </c>
    </row>
    <row r="133" spans="2:15" x14ac:dyDescent="0.2">
      <c r="C133" s="111" t="s">
        <v>128</v>
      </c>
      <c r="D133" s="112">
        <f>SUM(E$37:E$48)+SUM(G$37:G$48)+SUM(I$37:I$48)+SUM(K$37:K$48)</f>
        <v>546353.60773318657</v>
      </c>
      <c r="E133" s="112">
        <f>SUM(M$37:M$48)+SUM(O$37:O$48)+SUM(Q$37:Q$48)+SUM(S$37:S$48)</f>
        <v>120100.06614944701</v>
      </c>
      <c r="F133" s="112">
        <f>SUM(U$37:U$48)+SUM(W$37:W$48)+SUM(Y$37:Y$48)+SUM(AA$37:AA$48)</f>
        <v>1181466.080365906</v>
      </c>
      <c r="G133" s="112">
        <f>SUM(AC$37:AC$48)+SUM(AE$37:AE$48)+SUM(AG$37:AG$48)+SUM(AI$37:AI$48)</f>
        <v>81378.022907731589</v>
      </c>
      <c r="H133" s="112">
        <f>SUM(AK$37:AK$48)+SUM(AM$37:AM$48)+SUM(AO$37:AO$48)+SUM(AQ$37:AQ$48)</f>
        <v>117442.98492532657</v>
      </c>
      <c r="I133" s="112">
        <f>SUM(AS$37:AS$48)+SUM(AU$37:AU$48)+SUM(AW$37:AW$48)+SUM(AY$37:AY$48)</f>
        <v>278054.10249370948</v>
      </c>
      <c r="J133" s="112">
        <f>SUM(BA$37:BA$48)+SUM(BC$37:BC$48)+SUM(BE$37:BE$48)+SUM(BG$37:BG$48)</f>
        <v>223588.58726954943</v>
      </c>
      <c r="K133" s="112">
        <f>SUM(BI$37:BI$48)+SUM(BK$37:BK$48)+SUM(BM$37:BM$48)+SUM(BO$37:BO$48)</f>
        <v>137744.27139692803</v>
      </c>
      <c r="L133" s="112">
        <f>SUM(BQ$37:BQ$48)+SUM(BS$37:BS$48)+SUM(BU$37:BU$48)+SUM(BW$37:BW$48)</f>
        <v>140968.46123599063</v>
      </c>
      <c r="M133" s="112">
        <f>SUM(BY$37:BY$48)+SUM(CA$37:CA$48)+SUM(CC$37:CC$48)+SUM(CE$37:CE$48)</f>
        <v>103926.57489120914</v>
      </c>
      <c r="N133" s="112">
        <f>SUM(CG$37:CG$48)+SUM(CI$37:CI$48)+SUM(CK$37:CK$48)+SUM(CM$37:CM$48)</f>
        <v>186615.25318633654</v>
      </c>
      <c r="O133" s="112">
        <f>SUM(CO$37:CO$48)+SUM(CQ$37:CQ$48)+SUM(CS$37:CS$48)+SUM(CU$37:CU$48)</f>
        <v>332881.53028080973</v>
      </c>
    </row>
    <row r="134" spans="2:15" x14ac:dyDescent="0.2">
      <c r="C134" s="111" t="s">
        <v>129</v>
      </c>
      <c r="D134" s="112">
        <f>SUM(E$49:E$70)+SUM(G$49:G$70)+SUM(I$49:I$70)+SUM(K$49:K$70)</f>
        <v>334722.62302694831</v>
      </c>
      <c r="E134" s="112">
        <f>SUM(M$49:M$70)+SUM(O$49:O$70)+SUM(Q$49:Q$70)+SUM(S$49:S$70)</f>
        <v>405312.01641703339</v>
      </c>
      <c r="F134" s="112">
        <f>SUM(U$49:U$70)+SUM(W$49:W$70)+SUM(Y$49:Y$70)+SUM(AA$49:AA$70)</f>
        <v>183296.87753045751</v>
      </c>
      <c r="G134" s="112">
        <f>SUM(AC$49:AC$70)+SUM(AE$49:AE$70)+SUM(AG$49:AG$70)+SUM(AI$49:AI$70)</f>
        <v>382506.19205378578</v>
      </c>
      <c r="H134" s="112">
        <f>SUM(AK$49:AK$70)+SUM(AM$49:AM$70)+SUM(AO$49:AO$70)+SUM(AQ$49:AQ$70)</f>
        <v>361207.24322111777</v>
      </c>
      <c r="I134" s="112">
        <f>SUM(AS$49:AS$70)+SUM(AU$49:AU$70)+SUM(AW$49:AW$70)+SUM(AY$49:AY$70)</f>
        <v>175841.62058016029</v>
      </c>
      <c r="J134" s="112">
        <f>SUM(BA$49:BA$70)+SUM(BC$49:BC$70)+SUM(BE$49:BE$70)+SUM(BG$49:BG$70)</f>
        <v>229079.68347859912</v>
      </c>
      <c r="K134" s="112">
        <f>SUM(BI$49:BI$70)+SUM(BK$49:BK$70)+SUM(BM$49:BM$70)+SUM(BO$49:BO$70)</f>
        <v>246751.93954087934</v>
      </c>
      <c r="L134" s="112">
        <f>SUM(BQ$49:BQ$70)+SUM(BS$49:BS$70)+SUM(BU$49:BU$70)+SUM(BW$49:BW$70)</f>
        <v>224703.85044250023</v>
      </c>
      <c r="M134" s="112">
        <f>SUM(BY$49:BY$70)+SUM(CA$49:CA$70)+SUM(CC$49:CC$70)+SUM(CE$49:CE$70)</f>
        <v>1046069.6367848283</v>
      </c>
      <c r="N134" s="112">
        <f>SUM(CG$49:CG$70)+SUM(CI$49:CI$70)+SUM(CK$49:CK$70)+SUM(CM$49:CM$70)</f>
        <v>83753.582512380308</v>
      </c>
      <c r="O134" s="112">
        <f>SUM(CO$49:CO$70)+SUM(CQ$49:CQ$70)+SUM(CS$49:CS$70)+SUM(CU$49:CU$70)</f>
        <v>173702.76694190409</v>
      </c>
    </row>
    <row r="135" spans="2:15" x14ac:dyDescent="0.2">
      <c r="C135" s="111" t="s">
        <v>130</v>
      </c>
      <c r="D135" s="112">
        <f>SUM(E$71:E$86)+SUM(G$71:G$86)+SUM(I$71:I$86)+SUM(K$71:K$86)</f>
        <v>72795.678848196563</v>
      </c>
      <c r="E135" s="112">
        <f>SUM(M$71:M$86)+SUM(O$71:O$86)+SUM(Q$71:Q$86)+SUM(S$71:S$86)</f>
        <v>206119.19999999998</v>
      </c>
      <c r="F135" s="112">
        <f>SUM(U$71:U$86)+SUM(W$71:W$86)+SUM(Y$71:Y$86)+SUM(AA$71:AA$86)</f>
        <v>197397.6</v>
      </c>
      <c r="G135" s="112">
        <f>SUM(AC$71:AC$86)+SUM(AE$71:AE$86)+SUM(AG$71:AG$86)+SUM(AI$71:AI$86)</f>
        <v>350446.79999999993</v>
      </c>
      <c r="H135" s="112">
        <f>SUM(AK$71:AK$86)+SUM(AM$71:AM$86)+SUM(AO$71:AO$86)+SUM(AQ$71:AQ$86)</f>
        <v>154321.20000000001</v>
      </c>
      <c r="I135" s="112">
        <f>SUM(AS$71:AS$86)+SUM(AU$71:AU$86)+SUM(AW$71:AW$86)+SUM(AY$71:AY$86)</f>
        <v>713194.87361088116</v>
      </c>
      <c r="J135" s="112">
        <f>SUM(BA$71:BA$86)+SUM(BC$71:BC$86)+SUM(BE$71:BE$86)+SUM(BG$71:BG$86)</f>
        <v>711722.79937625804</v>
      </c>
      <c r="K135" s="112">
        <f>SUM(BI$71:BI$86)+SUM(BK$71:BK$86)+SUM(BM$71:BM$86)+SUM(BO$71:BO$86)</f>
        <v>184888.7717370537</v>
      </c>
      <c r="L135" s="112">
        <f>SUM(BQ$71:BQ$86)+SUM(BS$71:BS$86)+SUM(BU$71:BU$86)+SUM(BW$71:BW$86)</f>
        <v>179871.59999999998</v>
      </c>
      <c r="M135" s="112">
        <f>SUM(BY$71:BY$86)+SUM(CA$71:CA$86)+SUM(CC$71:CC$86)+SUM(CE$71:CE$86)</f>
        <v>152316.4397505899</v>
      </c>
      <c r="N135" s="112">
        <f>SUM(CG$71:CG$86)+SUM(CI$71:CI$86)+SUM(CK$71:CK$86)+SUM(CM$71:CM$86)</f>
        <v>384283.87560307345</v>
      </c>
      <c r="O135" s="112">
        <f>SUM(CO$71:CO$86)+SUM(CQ$71:CQ$86)+SUM(CS$71:CS$86)+SUM(CU$71:CU$86)</f>
        <v>140044.44005555267</v>
      </c>
    </row>
    <row r="136" spans="2:15" x14ac:dyDescent="0.2">
      <c r="C136" s="111" t="s">
        <v>131</v>
      </c>
      <c r="D136" s="112">
        <f>SUM(E$87:E$94)+SUM(G$87:G$94)+SUM(I$87:I$94)+SUM(K$87:K$94)</f>
        <v>25458.415106406079</v>
      </c>
      <c r="E136" s="112">
        <f>SUM(M$87:M$94)+SUM(O$87:O$94)+SUM(Q$87:Q$94)+SUM(S$87:S$94)</f>
        <v>31498.269813902087</v>
      </c>
      <c r="F136" s="112">
        <f>SUM(U$87:U$94)+SUM(W$87:W$94)+SUM(Y$87:Y$94)+SUM(AA$87:AA$94)</f>
        <v>978.17668261776521</v>
      </c>
      <c r="G136" s="112">
        <f>SUM(AC$87:AC$94)+SUM(AE$87:AE$94)+SUM(AG$87:AG$94)+SUM(AI$87:AI$94)</f>
        <v>28270.890608943999</v>
      </c>
      <c r="H136" s="112">
        <f>SUM(AK$87:AK$94)+SUM(AM$87:AM$94)+SUM(AO$87:AO$94)+SUM(AQ$87:AQ$94)</f>
        <v>22389.538862482448</v>
      </c>
      <c r="I136" s="112">
        <f>SUM(AS$87:AS$94)+SUM(AU$87:AU$94)+SUM(AW$87:AW$94)+SUM(AY$87:AY$94)</f>
        <v>2462.631979288939</v>
      </c>
      <c r="J136" s="112">
        <f>SUM(BA$87:BA$94)+SUM(BC$87:BC$94)+SUM(BE$87:BE$94)+SUM(BG$87:BG$94)</f>
        <v>18644.360840058853</v>
      </c>
      <c r="K136" s="112">
        <f>SUM(BI$87:BI$94)+SUM(BK$87:BK$94)+SUM(BM$87:BM$94)+SUM(BO$87:BO$94)</f>
        <v>55834.179759951061</v>
      </c>
      <c r="L136" s="112">
        <f>SUM(BQ$87:BQ$94)+SUM(BS$87:BS$94)+SUM(BU$87:BU$94)+SUM(BW$87:BW$94)</f>
        <v>22251.689968992134</v>
      </c>
      <c r="M136" s="112">
        <f>SUM(BY$87:BY$94)+SUM(CA$87:CA$94)+SUM(CC$87:CC$94)+SUM(CE$87:CE$94)</f>
        <v>38366.076559001063</v>
      </c>
      <c r="N136" s="112">
        <f>SUM(CG$87:CG$94)+SUM(CI$87:CI$94)+SUM(CK$87:CK$94)+SUM(CM$87:CM$94)</f>
        <v>49767.196289551961</v>
      </c>
      <c r="O136" s="112">
        <f>SUM(CO$87:CO$94)+SUM(CQ$87:CQ$94)+SUM(CS$87:CS$94)+SUM(CU$87:CU$94)</f>
        <v>21107.81203540511</v>
      </c>
    </row>
    <row r="137" spans="2:15" x14ac:dyDescent="0.2">
      <c r="C137" s="111" t="s">
        <v>132</v>
      </c>
      <c r="D137" s="112">
        <f>SUM(E$95:E$105)+SUM(G$95:G$105)+SUM(I$95:I$105)+SUM(K$95:K$105)</f>
        <v>141782.54527490507</v>
      </c>
      <c r="E137" s="112">
        <f>SUM(M$95:M$105)+SUM(O$95:O$105)+SUM(Q$95:Q$105)+SUM(S$95:S$105)</f>
        <v>105200.52440226771</v>
      </c>
      <c r="F137" s="112">
        <f>SUM(U$95:U$105)+SUM(W$95:W$105)+SUM(Y$95:Y$105)+SUM(AA$95:AA$105)</f>
        <v>3056.3706975199307</v>
      </c>
      <c r="G137" s="112">
        <f>SUM(AC$95:AC$105)+SUM(AE$95:AE$105)+SUM(AG$95:AG$105)+SUM(AI$95:AI$105)</f>
        <v>33564.88293109076</v>
      </c>
      <c r="H137" s="112">
        <f>SUM(AK$95:AK$105)+SUM(AM$95:AM$105)+SUM(AO$95:AO$105)+SUM(AQ$95:AQ$105)</f>
        <v>45200.779891914455</v>
      </c>
      <c r="I137" s="112">
        <f>SUM(AS$95:AS$105)+SUM(AU$95:AU$105)+SUM(AW$95:AW$105)+SUM(AY$95:AY$105)</f>
        <v>9059.0160426897437</v>
      </c>
      <c r="J137" s="112">
        <f>SUM(BA$95:BA$105)+SUM(BC$95:BC$105)+SUM(BE$95:BE$105)+SUM(BG$95:BG$105)</f>
        <v>54399.842616939008</v>
      </c>
      <c r="K137" s="112">
        <f>SUM(BI$95:BI$105)+SUM(BK$95:BK$105)+SUM(BM$95:BM$105)+SUM(BO$95:BO$105)</f>
        <v>77664.688205671177</v>
      </c>
      <c r="L137" s="112">
        <f>SUM(BQ$95:BQ$105)+SUM(BS$95:BS$105)+SUM(BU$95:BU$105)+SUM(BW$95:BW$105)</f>
        <v>159061.9994527775</v>
      </c>
      <c r="M137" s="112">
        <f>SUM(BY$95:BY$105)+SUM(CA$95:CA$105)+SUM(CC$95:CC$105)+SUM(CE$95:CE$105)</f>
        <v>97618.280580221122</v>
      </c>
      <c r="N137" s="112">
        <f>SUM(CG$95:CG$105)+SUM(CI$95:CI$105)+SUM(CK$95:CK$105)+SUM(CM$95:CM$105)</f>
        <v>71586.509396409325</v>
      </c>
      <c r="O137" s="112">
        <f>SUM(CO$95:CO$105)+SUM(CQ$95:CQ$105)+SUM(CS$95:CS$105)+SUM(CU$95:CU$105)</f>
        <v>73238.892743744815</v>
      </c>
    </row>
    <row r="138" spans="2:15" x14ac:dyDescent="0.2">
      <c r="C138" s="111" t="s">
        <v>278</v>
      </c>
      <c r="D138" s="106">
        <f t="shared" ref="D138:O138" si="2">SUM(D$131:D$137)</f>
        <v>1891297.105663592</v>
      </c>
      <c r="E138" s="106">
        <f t="shared" si="2"/>
        <v>1557606.551240152</v>
      </c>
      <c r="F138" s="106">
        <f t="shared" si="2"/>
        <v>1986478.9548540439</v>
      </c>
      <c r="G138" s="106">
        <f t="shared" si="2"/>
        <v>1293849.0254312677</v>
      </c>
      <c r="H138" s="106">
        <f t="shared" si="2"/>
        <v>1254174.1546480046</v>
      </c>
      <c r="I138" s="106">
        <f t="shared" si="2"/>
        <v>1531589.3781266804</v>
      </c>
      <c r="J138" s="106">
        <f t="shared" si="2"/>
        <v>1635209.7793914299</v>
      </c>
      <c r="K138" s="106">
        <f t="shared" si="2"/>
        <v>1137082.2194189928</v>
      </c>
      <c r="L138" s="106">
        <f t="shared" si="2"/>
        <v>1149630.7705379124</v>
      </c>
      <c r="M138" s="106">
        <f t="shared" si="2"/>
        <v>1796617.0829327595</v>
      </c>
      <c r="N138" s="106">
        <f t="shared" si="2"/>
        <v>1005044.405577515</v>
      </c>
      <c r="O138" s="106">
        <f t="shared" si="2"/>
        <v>1520031.8551252659</v>
      </c>
    </row>
  </sheetData>
  <pageMargins left="0.75" right="0.75" top="1" bottom="1" header="0.5" footer="0.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1"/>
  <sheetViews>
    <sheetView workbookViewId="0"/>
  </sheetViews>
  <sheetFormatPr defaultRowHeight="12.75" x14ac:dyDescent="0.2"/>
  <cols>
    <col min="1" max="2" width="9.140625" style="106"/>
    <col min="3" max="3" width="14.5703125" style="106" bestFit="1" customWidth="1"/>
    <col min="4" max="4" width="16.85546875" style="106" bestFit="1" customWidth="1"/>
    <col min="5" max="5" width="22.85546875" style="106" bestFit="1" customWidth="1"/>
    <col min="6" max="16384" width="9.140625" style="106"/>
  </cols>
  <sheetData>
    <row r="1" spans="1:5" x14ac:dyDescent="0.2">
      <c r="A1" s="105" t="s">
        <v>167</v>
      </c>
      <c r="B1" s="105" t="s">
        <v>168</v>
      </c>
      <c r="C1" s="105" t="s">
        <v>169</v>
      </c>
      <c r="D1" s="105" t="s">
        <v>170</v>
      </c>
      <c r="E1" s="105" t="s">
        <v>171</v>
      </c>
    </row>
    <row r="2" spans="1:5" x14ac:dyDescent="0.2">
      <c r="A2" s="105" t="s">
        <v>126</v>
      </c>
      <c r="B2" s="105" t="s">
        <v>172</v>
      </c>
      <c r="C2" s="106" t="s">
        <v>49</v>
      </c>
      <c r="D2" s="106">
        <v>569</v>
      </c>
      <c r="E2" s="106">
        <v>682.8</v>
      </c>
    </row>
    <row r="3" spans="1:5" x14ac:dyDescent="0.2">
      <c r="B3" s="105" t="s">
        <v>173</v>
      </c>
      <c r="C3" s="106" t="s">
        <v>49</v>
      </c>
      <c r="D3" s="106">
        <v>719</v>
      </c>
      <c r="E3" s="106">
        <v>862.8</v>
      </c>
    </row>
    <row r="4" spans="1:5" x14ac:dyDescent="0.2">
      <c r="B4" s="105" t="s">
        <v>174</v>
      </c>
      <c r="C4" s="106" t="s">
        <v>49</v>
      </c>
      <c r="D4" s="106">
        <v>273</v>
      </c>
      <c r="E4" s="106">
        <v>327.59999999999997</v>
      </c>
    </row>
    <row r="5" spans="1:5" x14ac:dyDescent="0.2">
      <c r="B5" s="105" t="s">
        <v>175</v>
      </c>
      <c r="C5" s="106" t="s">
        <v>49</v>
      </c>
      <c r="D5" s="106">
        <v>669</v>
      </c>
      <c r="E5" s="106">
        <v>802.8</v>
      </c>
    </row>
    <row r="6" spans="1:5" x14ac:dyDescent="0.2">
      <c r="B6" s="105" t="s">
        <v>176</v>
      </c>
      <c r="C6" s="106" t="s">
        <v>49</v>
      </c>
      <c r="D6" s="106">
        <v>464</v>
      </c>
      <c r="E6" s="106">
        <v>556.79999999999995</v>
      </c>
    </row>
    <row r="7" spans="1:5" x14ac:dyDescent="0.2">
      <c r="B7" s="105" t="s">
        <v>177</v>
      </c>
      <c r="C7" s="106" t="s">
        <v>49</v>
      </c>
      <c r="D7" s="106">
        <v>499</v>
      </c>
      <c r="E7" s="106">
        <v>598.79999999999995</v>
      </c>
    </row>
    <row r="8" spans="1:5" x14ac:dyDescent="0.2">
      <c r="B8" s="105" t="s">
        <v>178</v>
      </c>
      <c r="C8" s="106" t="s">
        <v>49</v>
      </c>
      <c r="D8" s="106">
        <v>504</v>
      </c>
      <c r="E8" s="106">
        <v>604.79999999999995</v>
      </c>
    </row>
    <row r="9" spans="1:5" x14ac:dyDescent="0.2">
      <c r="B9" s="105" t="s">
        <v>179</v>
      </c>
      <c r="C9" s="106" t="s">
        <v>49</v>
      </c>
      <c r="D9" s="106">
        <v>139</v>
      </c>
      <c r="E9" s="106">
        <v>166.79999999999998</v>
      </c>
    </row>
    <row r="10" spans="1:5" x14ac:dyDescent="0.2">
      <c r="B10" s="105" t="s">
        <v>180</v>
      </c>
      <c r="C10" s="106" t="s">
        <v>49</v>
      </c>
      <c r="D10" s="106">
        <v>416</v>
      </c>
      <c r="E10" s="106">
        <v>499.2</v>
      </c>
    </row>
    <row r="11" spans="1:5" x14ac:dyDescent="0.2">
      <c r="B11" s="105" t="s">
        <v>181</v>
      </c>
      <c r="C11" s="106" t="s">
        <v>49</v>
      </c>
      <c r="D11" s="106">
        <v>687</v>
      </c>
      <c r="E11" s="106">
        <v>824.4</v>
      </c>
    </row>
    <row r="12" spans="1:5" x14ac:dyDescent="0.2">
      <c r="B12" s="105" t="s">
        <v>182</v>
      </c>
      <c r="C12" s="106" t="s">
        <v>49</v>
      </c>
      <c r="D12" s="106">
        <v>424</v>
      </c>
      <c r="E12" s="106">
        <v>508.7999999999999</v>
      </c>
    </row>
    <row r="13" spans="1:5" x14ac:dyDescent="0.2">
      <c r="B13" s="105" t="s">
        <v>183</v>
      </c>
      <c r="C13" s="106" t="s">
        <v>49</v>
      </c>
      <c r="D13" s="106">
        <v>414</v>
      </c>
      <c r="E13" s="106">
        <v>496.79999999999995</v>
      </c>
    </row>
    <row r="14" spans="1:5" x14ac:dyDescent="0.2">
      <c r="B14" s="105" t="s">
        <v>184</v>
      </c>
      <c r="C14" s="106" t="s">
        <v>49</v>
      </c>
      <c r="D14" s="106">
        <v>609</v>
      </c>
      <c r="E14" s="106">
        <v>730.8</v>
      </c>
    </row>
    <row r="15" spans="1:5" x14ac:dyDescent="0.2">
      <c r="B15" s="105" t="s">
        <v>185</v>
      </c>
      <c r="C15" s="106" t="s">
        <v>49</v>
      </c>
      <c r="D15" s="106">
        <v>322</v>
      </c>
      <c r="E15" s="106">
        <v>386.4</v>
      </c>
    </row>
    <row r="16" spans="1:5" x14ac:dyDescent="0.2">
      <c r="A16" s="105" t="s">
        <v>127</v>
      </c>
      <c r="B16" s="105" t="s">
        <v>186</v>
      </c>
      <c r="C16" s="106" t="s">
        <v>49</v>
      </c>
      <c r="D16" s="106">
        <v>80</v>
      </c>
      <c r="E16" s="106">
        <v>96</v>
      </c>
    </row>
    <row r="17" spans="2:5" x14ac:dyDescent="0.2">
      <c r="B17" s="105" t="s">
        <v>187</v>
      </c>
      <c r="C17" s="106" t="s">
        <v>49</v>
      </c>
      <c r="D17" s="106">
        <v>202</v>
      </c>
      <c r="E17" s="106">
        <v>242.39999999999998</v>
      </c>
    </row>
    <row r="18" spans="2:5" x14ac:dyDescent="0.2">
      <c r="B18" s="105" t="s">
        <v>188</v>
      </c>
      <c r="C18" s="106" t="s">
        <v>49</v>
      </c>
      <c r="D18" s="106">
        <v>52</v>
      </c>
      <c r="E18" s="106">
        <v>62.4</v>
      </c>
    </row>
    <row r="19" spans="2:5" x14ac:dyDescent="0.2">
      <c r="B19" s="105" t="s">
        <v>189</v>
      </c>
      <c r="C19" s="106" t="s">
        <v>49</v>
      </c>
      <c r="D19" s="106">
        <v>233</v>
      </c>
      <c r="E19" s="106">
        <v>279.59999999999997</v>
      </c>
    </row>
    <row r="20" spans="2:5" x14ac:dyDescent="0.2">
      <c r="B20" s="105" t="s">
        <v>190</v>
      </c>
      <c r="C20" s="106" t="s">
        <v>49</v>
      </c>
      <c r="D20" s="106">
        <v>254</v>
      </c>
      <c r="E20" s="106">
        <v>304.8</v>
      </c>
    </row>
    <row r="21" spans="2:5" x14ac:dyDescent="0.2">
      <c r="B21" s="105" t="s">
        <v>191</v>
      </c>
      <c r="C21" s="106" t="s">
        <v>49</v>
      </c>
      <c r="D21" s="106">
        <v>271</v>
      </c>
      <c r="E21" s="106">
        <v>325.2</v>
      </c>
    </row>
    <row r="22" spans="2:5" x14ac:dyDescent="0.2">
      <c r="B22" s="105" t="s">
        <v>192</v>
      </c>
      <c r="C22" s="106" t="s">
        <v>49</v>
      </c>
      <c r="D22" s="106">
        <v>239</v>
      </c>
      <c r="E22" s="106">
        <v>286.8</v>
      </c>
    </row>
    <row r="23" spans="2:5" x14ac:dyDescent="0.2">
      <c r="B23" s="105" t="s">
        <v>193</v>
      </c>
      <c r="C23" s="106" t="s">
        <v>49</v>
      </c>
      <c r="D23" s="106">
        <v>263</v>
      </c>
      <c r="E23" s="106">
        <v>315.59999999999997</v>
      </c>
    </row>
    <row r="24" spans="2:5" x14ac:dyDescent="0.2">
      <c r="B24" s="105" t="s">
        <v>194</v>
      </c>
      <c r="C24" s="106" t="s">
        <v>42</v>
      </c>
      <c r="D24" s="106">
        <v>492</v>
      </c>
      <c r="E24" s="106">
        <v>590.4</v>
      </c>
    </row>
    <row r="25" spans="2:5" x14ac:dyDescent="0.2">
      <c r="B25" s="105" t="s">
        <v>195</v>
      </c>
      <c r="C25" s="106" t="s">
        <v>49</v>
      </c>
      <c r="D25" s="106">
        <v>196</v>
      </c>
      <c r="E25" s="106">
        <v>235.2</v>
      </c>
    </row>
    <row r="26" spans="2:5" x14ac:dyDescent="0.2">
      <c r="B26" s="105" t="s">
        <v>196</v>
      </c>
      <c r="C26" s="106" t="s">
        <v>49</v>
      </c>
      <c r="D26" s="106">
        <v>193</v>
      </c>
      <c r="E26" s="106">
        <v>231.6</v>
      </c>
    </row>
    <row r="27" spans="2:5" x14ac:dyDescent="0.2">
      <c r="B27" s="105" t="s">
        <v>197</v>
      </c>
      <c r="C27" s="106" t="s">
        <v>49</v>
      </c>
      <c r="D27" s="106">
        <v>148</v>
      </c>
      <c r="E27" s="106">
        <v>177.6</v>
      </c>
    </row>
    <row r="28" spans="2:5" x14ac:dyDescent="0.2">
      <c r="B28" s="105" t="s">
        <v>198</v>
      </c>
      <c r="C28" s="106" t="s">
        <v>42</v>
      </c>
      <c r="D28" s="106">
        <v>429</v>
      </c>
      <c r="E28" s="106">
        <v>514.79999999999995</v>
      </c>
    </row>
    <row r="29" spans="2:5" x14ac:dyDescent="0.2">
      <c r="B29" s="105" t="s">
        <v>199</v>
      </c>
      <c r="C29" s="106" t="s">
        <v>49</v>
      </c>
      <c r="D29" s="106">
        <v>279</v>
      </c>
      <c r="E29" s="106">
        <v>334.8</v>
      </c>
    </row>
    <row r="30" spans="2:5" x14ac:dyDescent="0.2">
      <c r="B30" s="105" t="s">
        <v>200</v>
      </c>
      <c r="C30" s="106" t="s">
        <v>49</v>
      </c>
      <c r="D30" s="106">
        <v>317</v>
      </c>
      <c r="E30" s="106">
        <v>380.4</v>
      </c>
    </row>
    <row r="31" spans="2:5" x14ac:dyDescent="0.2">
      <c r="B31" s="105" t="s">
        <v>201</v>
      </c>
      <c r="C31" s="106" t="s">
        <v>49</v>
      </c>
      <c r="D31" s="106">
        <v>342</v>
      </c>
      <c r="E31" s="106">
        <v>410.4</v>
      </c>
    </row>
    <row r="32" spans="2:5" x14ac:dyDescent="0.2">
      <c r="B32" s="105" t="s">
        <v>202</v>
      </c>
      <c r="C32" s="106" t="s">
        <v>42</v>
      </c>
      <c r="D32" s="106">
        <v>467</v>
      </c>
      <c r="E32" s="106">
        <v>560.4</v>
      </c>
    </row>
    <row r="33" spans="1:5" x14ac:dyDescent="0.2">
      <c r="A33" s="105" t="s">
        <v>128</v>
      </c>
      <c r="B33" s="105" t="s">
        <v>203</v>
      </c>
      <c r="C33" s="106" t="s">
        <v>49</v>
      </c>
      <c r="D33" s="106">
        <v>543</v>
      </c>
      <c r="E33" s="106">
        <v>651.6</v>
      </c>
    </row>
    <row r="34" spans="1:5" x14ac:dyDescent="0.2">
      <c r="B34" s="105" t="s">
        <v>204</v>
      </c>
      <c r="C34" s="106" t="s">
        <v>49</v>
      </c>
      <c r="D34" s="106">
        <v>860</v>
      </c>
      <c r="E34" s="106">
        <v>1032</v>
      </c>
    </row>
    <row r="35" spans="1:5" x14ac:dyDescent="0.2">
      <c r="B35" s="105" t="s">
        <v>205</v>
      </c>
      <c r="C35" s="106" t="s">
        <v>49</v>
      </c>
      <c r="D35" s="106">
        <v>1010</v>
      </c>
      <c r="E35" s="106">
        <v>1212</v>
      </c>
    </row>
    <row r="36" spans="1:5" x14ac:dyDescent="0.2">
      <c r="B36" s="105" t="s">
        <v>206</v>
      </c>
      <c r="C36" s="106" t="s">
        <v>49</v>
      </c>
      <c r="D36" s="106">
        <v>431</v>
      </c>
      <c r="E36" s="106">
        <v>517.19999999999993</v>
      </c>
    </row>
    <row r="37" spans="1:5" x14ac:dyDescent="0.2">
      <c r="B37" s="105" t="s">
        <v>207</v>
      </c>
      <c r="C37" s="106" t="s">
        <v>49</v>
      </c>
      <c r="D37" s="106">
        <v>379</v>
      </c>
      <c r="E37" s="106">
        <v>454.8</v>
      </c>
    </row>
    <row r="38" spans="1:5" x14ac:dyDescent="0.2">
      <c r="B38" s="105" t="s">
        <v>208</v>
      </c>
      <c r="C38" s="106" t="s">
        <v>49</v>
      </c>
      <c r="D38" s="106">
        <v>580</v>
      </c>
      <c r="E38" s="106">
        <v>696</v>
      </c>
    </row>
    <row r="39" spans="1:5" x14ac:dyDescent="0.2">
      <c r="B39" s="105" t="s">
        <v>209</v>
      </c>
      <c r="C39" s="106" t="s">
        <v>49</v>
      </c>
      <c r="D39" s="106">
        <v>679</v>
      </c>
      <c r="E39" s="106">
        <v>814.8</v>
      </c>
    </row>
    <row r="40" spans="1:5" x14ac:dyDescent="0.2">
      <c r="B40" s="105" t="s">
        <v>210</v>
      </c>
      <c r="C40" s="106" t="s">
        <v>49</v>
      </c>
      <c r="D40" s="106">
        <v>703</v>
      </c>
      <c r="E40" s="106">
        <v>843.6</v>
      </c>
    </row>
    <row r="41" spans="1:5" x14ac:dyDescent="0.2">
      <c r="B41" s="105" t="s">
        <v>211</v>
      </c>
      <c r="C41" s="106" t="s">
        <v>49</v>
      </c>
      <c r="D41" s="106">
        <v>867</v>
      </c>
      <c r="E41" s="106">
        <v>1040.3999999999999</v>
      </c>
    </row>
    <row r="42" spans="1:5" x14ac:dyDescent="0.2">
      <c r="B42" s="105" t="s">
        <v>212</v>
      </c>
      <c r="C42" s="106" t="s">
        <v>49</v>
      </c>
      <c r="D42" s="106">
        <v>848</v>
      </c>
      <c r="E42" s="106">
        <v>1017.5999999999998</v>
      </c>
    </row>
    <row r="43" spans="1:5" x14ac:dyDescent="0.2">
      <c r="B43" s="105" t="s">
        <v>213</v>
      </c>
      <c r="C43" s="106" t="s">
        <v>49</v>
      </c>
      <c r="D43" s="106">
        <v>1098</v>
      </c>
      <c r="E43" s="106">
        <v>1317.6</v>
      </c>
    </row>
    <row r="44" spans="1:5" x14ac:dyDescent="0.2">
      <c r="B44" s="105" t="s">
        <v>214</v>
      </c>
      <c r="C44" s="106" t="s">
        <v>49</v>
      </c>
      <c r="D44" s="106">
        <v>548</v>
      </c>
      <c r="E44" s="106">
        <v>657.6</v>
      </c>
    </row>
    <row r="45" spans="1:5" x14ac:dyDescent="0.2">
      <c r="A45" s="105" t="s">
        <v>129</v>
      </c>
      <c r="B45" s="105" t="s">
        <v>215</v>
      </c>
      <c r="C45" s="106" t="s">
        <v>42</v>
      </c>
      <c r="D45" s="106">
        <v>281</v>
      </c>
      <c r="E45" s="106">
        <v>337.2</v>
      </c>
    </row>
    <row r="46" spans="1:5" x14ac:dyDescent="0.2">
      <c r="B46" s="105" t="s">
        <v>216</v>
      </c>
      <c r="C46" s="106" t="s">
        <v>49</v>
      </c>
      <c r="D46" s="106">
        <v>322</v>
      </c>
      <c r="E46" s="106">
        <v>386.4</v>
      </c>
    </row>
    <row r="47" spans="1:5" x14ac:dyDescent="0.2">
      <c r="B47" s="105" t="s">
        <v>217</v>
      </c>
      <c r="C47" s="106" t="s">
        <v>42</v>
      </c>
      <c r="D47" s="106">
        <v>586</v>
      </c>
      <c r="E47" s="106">
        <v>703.19999999999993</v>
      </c>
    </row>
    <row r="48" spans="1:5" x14ac:dyDescent="0.2">
      <c r="B48" s="105" t="s">
        <v>218</v>
      </c>
      <c r="C48" s="106" t="s">
        <v>49</v>
      </c>
      <c r="D48" s="106">
        <v>515</v>
      </c>
      <c r="E48" s="106">
        <v>618</v>
      </c>
    </row>
    <row r="49" spans="2:5" x14ac:dyDescent="0.2">
      <c r="B49" s="105" t="s">
        <v>219</v>
      </c>
      <c r="C49" s="106" t="s">
        <v>49</v>
      </c>
      <c r="D49" s="106">
        <v>413</v>
      </c>
      <c r="E49" s="106">
        <v>495.59999999999997</v>
      </c>
    </row>
    <row r="50" spans="2:5" x14ac:dyDescent="0.2">
      <c r="B50" s="105" t="s">
        <v>220</v>
      </c>
      <c r="C50" s="106" t="s">
        <v>49</v>
      </c>
      <c r="D50" s="106">
        <v>340</v>
      </c>
      <c r="E50" s="106">
        <v>408</v>
      </c>
    </row>
    <row r="51" spans="2:5" x14ac:dyDescent="0.2">
      <c r="B51" s="105" t="s">
        <v>221</v>
      </c>
      <c r="C51" s="106" t="s">
        <v>49</v>
      </c>
      <c r="D51" s="106">
        <v>671</v>
      </c>
      <c r="E51" s="106">
        <v>805.19999999999993</v>
      </c>
    </row>
    <row r="52" spans="2:5" x14ac:dyDescent="0.2">
      <c r="B52" s="105" t="s">
        <v>222</v>
      </c>
      <c r="C52" s="106" t="s">
        <v>66</v>
      </c>
      <c r="D52" s="106">
        <v>700</v>
      </c>
      <c r="E52" s="106">
        <v>840</v>
      </c>
    </row>
    <row r="53" spans="2:5" x14ac:dyDescent="0.2">
      <c r="B53" s="105" t="s">
        <v>223</v>
      </c>
      <c r="C53" s="106" t="s">
        <v>42</v>
      </c>
      <c r="D53" s="106">
        <v>1052</v>
      </c>
      <c r="E53" s="106">
        <v>1262.3999999999999</v>
      </c>
    </row>
    <row r="54" spans="2:5" x14ac:dyDescent="0.2">
      <c r="B54" s="105" t="s">
        <v>224</v>
      </c>
      <c r="C54" s="106" t="s">
        <v>42</v>
      </c>
      <c r="D54" s="106">
        <v>586</v>
      </c>
      <c r="E54" s="106">
        <v>703.19999999999993</v>
      </c>
    </row>
    <row r="55" spans="2:5" x14ac:dyDescent="0.2">
      <c r="B55" s="105" t="s">
        <v>225</v>
      </c>
      <c r="C55" s="106" t="s">
        <v>49</v>
      </c>
      <c r="D55" s="106">
        <v>366</v>
      </c>
      <c r="E55" s="106">
        <v>439.2</v>
      </c>
    </row>
    <row r="56" spans="2:5" x14ac:dyDescent="0.2">
      <c r="B56" s="105" t="s">
        <v>226</v>
      </c>
      <c r="C56" s="106" t="s">
        <v>49</v>
      </c>
      <c r="D56" s="106">
        <v>589</v>
      </c>
      <c r="E56" s="106">
        <v>706.8</v>
      </c>
    </row>
    <row r="57" spans="2:5" x14ac:dyDescent="0.2">
      <c r="B57" s="105" t="s">
        <v>227</v>
      </c>
      <c r="C57" s="106" t="s">
        <v>42</v>
      </c>
      <c r="D57" s="106">
        <v>562</v>
      </c>
      <c r="E57" s="106">
        <v>674.4</v>
      </c>
    </row>
    <row r="58" spans="2:5" x14ac:dyDescent="0.2">
      <c r="B58" s="105" t="s">
        <v>228</v>
      </c>
      <c r="C58" s="106" t="s">
        <v>66</v>
      </c>
      <c r="D58" s="106">
        <v>1065</v>
      </c>
      <c r="E58" s="106">
        <v>1278</v>
      </c>
    </row>
    <row r="59" spans="2:5" x14ac:dyDescent="0.2">
      <c r="B59" s="105" t="s">
        <v>229</v>
      </c>
      <c r="C59" s="106" t="s">
        <v>42</v>
      </c>
      <c r="D59" s="106">
        <v>722</v>
      </c>
      <c r="E59" s="106">
        <v>866.4</v>
      </c>
    </row>
    <row r="60" spans="2:5" x14ac:dyDescent="0.2">
      <c r="B60" s="105" t="s">
        <v>230</v>
      </c>
      <c r="C60" s="106" t="s">
        <v>42</v>
      </c>
      <c r="D60" s="106">
        <v>728</v>
      </c>
      <c r="E60" s="106">
        <v>873.6</v>
      </c>
    </row>
    <row r="61" spans="2:5" x14ac:dyDescent="0.2">
      <c r="B61" s="105" t="s">
        <v>231</v>
      </c>
      <c r="C61" s="106" t="s">
        <v>42</v>
      </c>
      <c r="D61" s="106">
        <v>290</v>
      </c>
      <c r="E61" s="106">
        <v>348</v>
      </c>
    </row>
    <row r="62" spans="2:5" x14ac:dyDescent="0.2">
      <c r="B62" s="105" t="s">
        <v>232</v>
      </c>
      <c r="C62" s="106" t="s">
        <v>42</v>
      </c>
      <c r="D62" s="106">
        <v>631</v>
      </c>
      <c r="E62" s="106">
        <v>757.19999999999993</v>
      </c>
    </row>
    <row r="63" spans="2:5" x14ac:dyDescent="0.2">
      <c r="B63" s="105" t="s">
        <v>233</v>
      </c>
      <c r="C63" s="106" t="s">
        <v>42</v>
      </c>
      <c r="D63" s="106">
        <v>333</v>
      </c>
      <c r="E63" s="106">
        <v>399.59999999999997</v>
      </c>
    </row>
    <row r="64" spans="2:5" x14ac:dyDescent="0.2">
      <c r="B64" s="105" t="s">
        <v>234</v>
      </c>
      <c r="C64" s="106" t="s">
        <v>42</v>
      </c>
      <c r="D64" s="106">
        <v>786</v>
      </c>
      <c r="E64" s="106">
        <v>943.19999999999993</v>
      </c>
    </row>
    <row r="65" spans="1:5" x14ac:dyDescent="0.2">
      <c r="B65" s="105" t="s">
        <v>235</v>
      </c>
      <c r="C65" s="106" t="s">
        <v>49</v>
      </c>
      <c r="D65" s="106">
        <v>738</v>
      </c>
      <c r="E65" s="106">
        <v>885.6</v>
      </c>
    </row>
    <row r="66" spans="1:5" x14ac:dyDescent="0.2">
      <c r="B66" s="105" t="s">
        <v>236</v>
      </c>
      <c r="C66" s="106" t="s">
        <v>49</v>
      </c>
      <c r="D66" s="106">
        <v>590</v>
      </c>
      <c r="E66" s="106">
        <v>708</v>
      </c>
    </row>
    <row r="67" spans="1:5" x14ac:dyDescent="0.2">
      <c r="A67" s="105" t="s">
        <v>130</v>
      </c>
      <c r="B67" s="105" t="s">
        <v>237</v>
      </c>
      <c r="C67" s="106" t="s">
        <v>42</v>
      </c>
      <c r="D67" s="106">
        <v>467</v>
      </c>
      <c r="E67" s="106">
        <v>560.4</v>
      </c>
    </row>
    <row r="68" spans="1:5" x14ac:dyDescent="0.2">
      <c r="B68" s="105" t="s">
        <v>238</v>
      </c>
      <c r="C68" s="106" t="s">
        <v>42</v>
      </c>
      <c r="D68" s="106">
        <v>701</v>
      </c>
      <c r="E68" s="106">
        <v>841.19999999999993</v>
      </c>
    </row>
    <row r="69" spans="1:5" x14ac:dyDescent="0.2">
      <c r="B69" s="105" t="s">
        <v>239</v>
      </c>
      <c r="C69" s="106" t="s">
        <v>42</v>
      </c>
      <c r="D69" s="106">
        <v>867</v>
      </c>
      <c r="E69" s="106">
        <v>1040.3999999999999</v>
      </c>
    </row>
    <row r="70" spans="1:5" x14ac:dyDescent="0.2">
      <c r="B70" s="105" t="s">
        <v>240</v>
      </c>
      <c r="C70" s="106" t="s">
        <v>42</v>
      </c>
      <c r="D70" s="106">
        <v>317</v>
      </c>
      <c r="E70" s="106">
        <v>380.4</v>
      </c>
    </row>
    <row r="71" spans="1:5" x14ac:dyDescent="0.2">
      <c r="B71" s="105" t="s">
        <v>241</v>
      </c>
      <c r="C71" s="106" t="s">
        <v>42</v>
      </c>
      <c r="D71" s="106">
        <v>334</v>
      </c>
      <c r="E71" s="106">
        <v>400.8</v>
      </c>
    </row>
    <row r="72" spans="1:5" x14ac:dyDescent="0.2">
      <c r="B72" s="105" t="s">
        <v>242</v>
      </c>
      <c r="C72" s="106" t="s">
        <v>42</v>
      </c>
      <c r="D72" s="106">
        <v>578</v>
      </c>
      <c r="E72" s="106">
        <v>693.6</v>
      </c>
    </row>
    <row r="73" spans="1:5" x14ac:dyDescent="0.2">
      <c r="B73" s="105" t="s">
        <v>243</v>
      </c>
      <c r="C73" s="106" t="s">
        <v>42</v>
      </c>
      <c r="D73" s="106">
        <v>801</v>
      </c>
      <c r="E73" s="106">
        <v>961.19999999999993</v>
      </c>
    </row>
    <row r="74" spans="1:5" x14ac:dyDescent="0.2">
      <c r="B74" s="105" t="s">
        <v>244</v>
      </c>
      <c r="C74" s="106" t="s">
        <v>42</v>
      </c>
      <c r="D74" s="106">
        <v>363</v>
      </c>
      <c r="E74" s="106">
        <v>435.59999999999997</v>
      </c>
    </row>
    <row r="75" spans="1:5" x14ac:dyDescent="0.2">
      <c r="B75" s="105" t="s">
        <v>245</v>
      </c>
      <c r="C75" s="106" t="s">
        <v>42</v>
      </c>
      <c r="D75" s="106">
        <v>27</v>
      </c>
      <c r="E75" s="106">
        <v>32.4</v>
      </c>
    </row>
    <row r="76" spans="1:5" x14ac:dyDescent="0.2">
      <c r="B76" s="105" t="s">
        <v>246</v>
      </c>
      <c r="C76" s="106" t="s">
        <v>42</v>
      </c>
      <c r="D76" s="106">
        <v>402</v>
      </c>
      <c r="E76" s="106">
        <v>482.4</v>
      </c>
    </row>
    <row r="77" spans="1:5" x14ac:dyDescent="0.2">
      <c r="B77" s="105" t="s">
        <v>247</v>
      </c>
      <c r="C77" s="106" t="s">
        <v>42</v>
      </c>
      <c r="D77" s="106">
        <v>251</v>
      </c>
      <c r="E77" s="106">
        <v>301.2</v>
      </c>
    </row>
    <row r="78" spans="1:5" x14ac:dyDescent="0.2">
      <c r="B78" s="105" t="s">
        <v>248</v>
      </c>
      <c r="C78" s="106" t="s">
        <v>42</v>
      </c>
      <c r="D78" s="106">
        <v>684</v>
      </c>
      <c r="E78" s="106">
        <v>820.8</v>
      </c>
    </row>
    <row r="79" spans="1:5" x14ac:dyDescent="0.2">
      <c r="B79" s="105" t="s">
        <v>249</v>
      </c>
      <c r="C79" s="106" t="s">
        <v>42</v>
      </c>
      <c r="D79" s="106">
        <v>106</v>
      </c>
      <c r="E79" s="106">
        <v>127.19999999999997</v>
      </c>
    </row>
    <row r="80" spans="1:5" x14ac:dyDescent="0.2">
      <c r="B80" s="105" t="s">
        <v>250</v>
      </c>
      <c r="C80" s="106" t="s">
        <v>42</v>
      </c>
      <c r="D80" s="106">
        <v>740</v>
      </c>
      <c r="E80" s="106">
        <v>888</v>
      </c>
    </row>
    <row r="81" spans="1:5" x14ac:dyDescent="0.2">
      <c r="B81" s="105" t="s">
        <v>251</v>
      </c>
      <c r="C81" s="106" t="s">
        <v>42</v>
      </c>
      <c r="D81" s="106">
        <v>545</v>
      </c>
      <c r="E81" s="106">
        <v>654</v>
      </c>
    </row>
    <row r="82" spans="1:5" x14ac:dyDescent="0.2">
      <c r="B82" s="105" t="s">
        <v>252</v>
      </c>
      <c r="C82" s="106" t="s">
        <v>42</v>
      </c>
      <c r="D82" s="106">
        <v>317</v>
      </c>
      <c r="E82" s="106">
        <v>380.4</v>
      </c>
    </row>
    <row r="83" spans="1:5" x14ac:dyDescent="0.2">
      <c r="A83" s="105" t="s">
        <v>131</v>
      </c>
      <c r="B83" s="105" t="s">
        <v>253</v>
      </c>
      <c r="C83" s="106" t="s">
        <v>66</v>
      </c>
      <c r="D83" s="106">
        <v>470</v>
      </c>
      <c r="E83" s="106">
        <v>564</v>
      </c>
    </row>
    <row r="84" spans="1:5" x14ac:dyDescent="0.2">
      <c r="B84" s="105" t="s">
        <v>254</v>
      </c>
      <c r="C84" s="106" t="s">
        <v>66</v>
      </c>
      <c r="D84" s="106">
        <v>405</v>
      </c>
      <c r="E84" s="106">
        <v>486</v>
      </c>
    </row>
    <row r="85" spans="1:5" x14ac:dyDescent="0.2">
      <c r="B85" s="105" t="s">
        <v>255</v>
      </c>
      <c r="C85" s="106" t="s">
        <v>66</v>
      </c>
      <c r="D85" s="106">
        <v>579</v>
      </c>
      <c r="E85" s="106">
        <v>694.8</v>
      </c>
    </row>
    <row r="86" spans="1:5" x14ac:dyDescent="0.2">
      <c r="B86" s="105" t="s">
        <v>256</v>
      </c>
      <c r="C86" s="106" t="s">
        <v>66</v>
      </c>
      <c r="D86" s="106">
        <v>491</v>
      </c>
      <c r="E86" s="106">
        <v>589.19999999999993</v>
      </c>
    </row>
    <row r="87" spans="1:5" x14ac:dyDescent="0.2">
      <c r="B87" s="105" t="s">
        <v>257</v>
      </c>
      <c r="C87" s="106" t="s">
        <v>66</v>
      </c>
      <c r="D87" s="106">
        <v>532</v>
      </c>
      <c r="E87" s="106">
        <v>638.4</v>
      </c>
    </row>
    <row r="88" spans="1:5" x14ac:dyDescent="0.2">
      <c r="B88" s="105" t="s">
        <v>258</v>
      </c>
      <c r="C88" s="106" t="s">
        <v>66</v>
      </c>
      <c r="D88" s="106">
        <v>416</v>
      </c>
      <c r="E88" s="106">
        <v>499.2</v>
      </c>
    </row>
    <row r="89" spans="1:5" x14ac:dyDescent="0.2">
      <c r="B89" s="105" t="s">
        <v>259</v>
      </c>
      <c r="C89" s="106" t="s">
        <v>66</v>
      </c>
      <c r="D89" s="106">
        <v>145</v>
      </c>
      <c r="E89" s="106">
        <v>174</v>
      </c>
    </row>
    <row r="90" spans="1:5" x14ac:dyDescent="0.2">
      <c r="B90" s="105" t="s">
        <v>260</v>
      </c>
      <c r="C90" s="106" t="s">
        <v>66</v>
      </c>
      <c r="D90" s="106">
        <v>596</v>
      </c>
      <c r="E90" s="106">
        <v>715.19999999999993</v>
      </c>
    </row>
    <row r="91" spans="1:5" x14ac:dyDescent="0.2">
      <c r="A91" s="105" t="s">
        <v>132</v>
      </c>
      <c r="B91" s="105" t="s">
        <v>261</v>
      </c>
      <c r="C91" s="106" t="s">
        <v>66</v>
      </c>
      <c r="D91" s="106">
        <v>551</v>
      </c>
      <c r="E91" s="106">
        <v>661.19999999999993</v>
      </c>
    </row>
    <row r="92" spans="1:5" x14ac:dyDescent="0.2">
      <c r="B92" s="105" t="s">
        <v>262</v>
      </c>
      <c r="C92" s="106" t="s">
        <v>66</v>
      </c>
      <c r="D92" s="106">
        <v>931</v>
      </c>
      <c r="E92" s="106">
        <v>1117.2</v>
      </c>
    </row>
    <row r="93" spans="1:5" x14ac:dyDescent="0.2">
      <c r="B93" s="105" t="s">
        <v>263</v>
      </c>
      <c r="C93" s="106" t="s">
        <v>66</v>
      </c>
      <c r="D93" s="106">
        <v>494</v>
      </c>
      <c r="E93" s="106">
        <v>592.79999999999995</v>
      </c>
    </row>
    <row r="94" spans="1:5" x14ac:dyDescent="0.2">
      <c r="B94" s="105" t="s">
        <v>264</v>
      </c>
      <c r="C94" s="106" t="s">
        <v>66</v>
      </c>
      <c r="D94" s="106">
        <v>382</v>
      </c>
      <c r="E94" s="106">
        <v>458.4</v>
      </c>
    </row>
    <row r="95" spans="1:5" x14ac:dyDescent="0.2">
      <c r="B95" s="105" t="s">
        <v>265</v>
      </c>
      <c r="C95" s="106" t="s">
        <v>66</v>
      </c>
      <c r="D95" s="106">
        <v>3601</v>
      </c>
      <c r="E95" s="106">
        <v>4321.2</v>
      </c>
    </row>
    <row r="96" spans="1:5" x14ac:dyDescent="0.2">
      <c r="B96" s="105" t="s">
        <v>266</v>
      </c>
      <c r="C96" s="106" t="s">
        <v>66</v>
      </c>
      <c r="D96" s="106">
        <v>646</v>
      </c>
      <c r="E96" s="106">
        <v>775.19999999999993</v>
      </c>
    </row>
    <row r="97" spans="2:5" x14ac:dyDescent="0.2">
      <c r="B97" s="105" t="s">
        <v>267</v>
      </c>
      <c r="C97" s="106" t="s">
        <v>66</v>
      </c>
      <c r="D97" s="106">
        <v>511</v>
      </c>
      <c r="E97" s="106">
        <v>613.19999999999993</v>
      </c>
    </row>
    <row r="98" spans="2:5" x14ac:dyDescent="0.2">
      <c r="B98" s="105" t="s">
        <v>268</v>
      </c>
      <c r="C98" s="106" t="s">
        <v>66</v>
      </c>
      <c r="D98" s="106">
        <v>332</v>
      </c>
      <c r="E98" s="106">
        <v>398.4</v>
      </c>
    </row>
    <row r="99" spans="2:5" x14ac:dyDescent="0.2">
      <c r="B99" s="105" t="s">
        <v>269</v>
      </c>
      <c r="C99" s="106" t="s">
        <v>66</v>
      </c>
      <c r="D99" s="106">
        <v>478</v>
      </c>
      <c r="E99" s="106">
        <v>573.6</v>
      </c>
    </row>
    <row r="100" spans="2:5" x14ac:dyDescent="0.2">
      <c r="B100" s="105" t="s">
        <v>270</v>
      </c>
      <c r="C100" s="106" t="s">
        <v>66</v>
      </c>
      <c r="D100" s="106">
        <v>570</v>
      </c>
      <c r="E100" s="106">
        <v>684</v>
      </c>
    </row>
    <row r="101" spans="2:5" x14ac:dyDescent="0.2">
      <c r="B101" s="105" t="s">
        <v>271</v>
      </c>
      <c r="C101" s="106" t="s">
        <v>66</v>
      </c>
      <c r="D101" s="106">
        <v>511</v>
      </c>
      <c r="E101" s="106">
        <v>613.19999999999993</v>
      </c>
    </row>
  </sheetData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9</vt:i4>
      </vt:variant>
    </vt:vector>
  </HeadingPairs>
  <TitlesOfParts>
    <vt:vector size="25" baseType="lpstr">
      <vt:lpstr>basic_info</vt:lpstr>
      <vt:lpstr>facilities</vt:lpstr>
      <vt:lpstr>raw_materials</vt:lpstr>
      <vt:lpstr>shipping_manufacturing</vt:lpstr>
      <vt:lpstr>pricing</vt:lpstr>
      <vt:lpstr>annual_report</vt:lpstr>
      <vt:lpstr>grove</vt:lpstr>
      <vt:lpstr>P07</vt:lpstr>
      <vt:lpstr>S44</vt:lpstr>
      <vt:lpstr>S51</vt:lpstr>
      <vt:lpstr>S68</vt:lpstr>
      <vt:lpstr>ORA</vt:lpstr>
      <vt:lpstr>POJ</vt:lpstr>
      <vt:lpstr>ROJ</vt:lpstr>
      <vt:lpstr>FCOJ</vt:lpstr>
      <vt:lpstr>market</vt:lpstr>
      <vt:lpstr>AddColumn1</vt:lpstr>
      <vt:lpstr>AddColumn2</vt:lpstr>
      <vt:lpstr>AddColumn3</vt:lpstr>
      <vt:lpstr>AddRow3</vt:lpstr>
      <vt:lpstr>AddRow4</vt:lpstr>
      <vt:lpstr>Table1</vt:lpstr>
      <vt:lpstr>Table2</vt:lpstr>
      <vt:lpstr>Table3</vt:lpstr>
      <vt:lpstr>Table4</vt:lpstr>
    </vt:vector>
  </TitlesOfParts>
  <Company>Princeton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hpsimao</cp:lastModifiedBy>
  <dcterms:created xsi:type="dcterms:W3CDTF">2003-07-09T21:14:27Z</dcterms:created>
  <dcterms:modified xsi:type="dcterms:W3CDTF">2016-12-06T22:22:39Z</dcterms:modified>
</cp:coreProperties>
</file>