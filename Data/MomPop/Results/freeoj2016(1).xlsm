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TeamFolders\freeoj\Results\"/>
    </mc:Choice>
  </mc:AlternateContent>
  <bookViews>
    <workbookView xWindow="0" yWindow="45" windowWidth="15480" windowHeight="11640" firstSheet="3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18" r:id="rId6"/>
    <sheet name="grove" sheetId="17" r:id="rId7"/>
    <sheet name="P07" sheetId="16" r:id="rId8"/>
    <sheet name="S15" sheetId="15" r:id="rId9"/>
    <sheet name="S61" sheetId="14" r:id="rId10"/>
    <sheet name="ORA" sheetId="13" r:id="rId11"/>
    <sheet name="POJ" sheetId="12" r:id="rId12"/>
    <sheet name="ROJ" sheetId="11" r:id="rId13"/>
    <sheet name="FCOJ" sheetId="10" r:id="rId14"/>
    <sheet name="market" sheetId="9" r:id="rId15"/>
  </sheets>
  <definedNames>
    <definedName name="AddColumn1">shipping_manufacturing!$G$4:$G$12</definedName>
    <definedName name="AddColumn2">shipping_manufacturing!$E$16:$E$20</definedName>
    <definedName name="AddColumn3">shipping_manufacturing!$F$24:$F$30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/>
</workbook>
</file>

<file path=xl/calcChain.xml><?xml version="1.0" encoding="utf-8"?>
<calcChain xmlns="http://schemas.openxmlformats.org/spreadsheetml/2006/main">
  <c r="S36" i="18" l="1"/>
  <c r="S16" i="18"/>
  <c r="S15" i="18"/>
  <c r="S14" i="18"/>
  <c r="S7" i="18"/>
  <c r="H40" i="18"/>
  <c r="H39" i="18"/>
  <c r="S39" i="18" s="1"/>
  <c r="H38" i="18"/>
  <c r="H35" i="18"/>
  <c r="S42" i="18" s="1"/>
  <c r="H34" i="18"/>
  <c r="H33" i="18"/>
  <c r="H30" i="18"/>
  <c r="H29" i="18"/>
  <c r="H28" i="18"/>
  <c r="S40" i="18" s="1"/>
  <c r="H27" i="18"/>
  <c r="H24" i="18"/>
  <c r="H23" i="18"/>
  <c r="H15" i="18"/>
  <c r="H14" i="18"/>
  <c r="H13" i="18"/>
  <c r="H10" i="18"/>
  <c r="AZ170" i="14"/>
  <c r="AZ121" i="14"/>
  <c r="AZ108" i="14"/>
  <c r="AZ99" i="14"/>
  <c r="AZ92" i="14"/>
  <c r="AZ170" i="15"/>
  <c r="AZ121" i="15"/>
  <c r="AZ108" i="15"/>
  <c r="AZ99" i="15"/>
  <c r="AZ92" i="15"/>
  <c r="AZ42" i="16"/>
  <c r="AZ43" i="16"/>
  <c r="AZ53" i="16"/>
  <c r="AZ54" i="16"/>
  <c r="T25" i="18"/>
  <c r="T19" i="18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S9" i="18" s="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7" i="18" s="1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Z14" i="14"/>
  <c r="AY259" i="14" s="1"/>
  <c r="AY181" i="14"/>
  <c r="AY179" i="14"/>
  <c r="AY177" i="14"/>
  <c r="AY175" i="14"/>
  <c r="AY260" i="14" s="1"/>
  <c r="AY14" i="14"/>
  <c r="AX259" i="14" s="1"/>
  <c r="AX181" i="14"/>
  <c r="AX179" i="14"/>
  <c r="AX177" i="14"/>
  <c r="AX175" i="14"/>
  <c r="AW259" i="14"/>
  <c r="AX14" i="14"/>
  <c r="AW181" i="14"/>
  <c r="AW179" i="14"/>
  <c r="AW177" i="14"/>
  <c r="AW260" i="14" s="1"/>
  <c r="AW175" i="14"/>
  <c r="AW14" i="14"/>
  <c r="AV259" i="14" s="1"/>
  <c r="AV181" i="14"/>
  <c r="AV179" i="14"/>
  <c r="AV177" i="14"/>
  <c r="AV175" i="14"/>
  <c r="AV260" i="14" s="1"/>
  <c r="AV14" i="14"/>
  <c r="AU259" i="14" s="1"/>
  <c r="AU181" i="14"/>
  <c r="AU179" i="14"/>
  <c r="AU177" i="14"/>
  <c r="AU175" i="14"/>
  <c r="AU260" i="14" s="1"/>
  <c r="AU14" i="14"/>
  <c r="AT259" i="14" s="1"/>
  <c r="AT181" i="14"/>
  <c r="AT179" i="14"/>
  <c r="AT177" i="14"/>
  <c r="AT175" i="14"/>
  <c r="AS259" i="14"/>
  <c r="AT14" i="14"/>
  <c r="AS181" i="14"/>
  <c r="AS179" i="14"/>
  <c r="AS260" i="14" s="1"/>
  <c r="AS177" i="14"/>
  <c r="AS175" i="14"/>
  <c r="AR259" i="14"/>
  <c r="AS14" i="14"/>
  <c r="AR181" i="14"/>
  <c r="AR179" i="14"/>
  <c r="AR177" i="14"/>
  <c r="AR175" i="14"/>
  <c r="AR14" i="14"/>
  <c r="AQ259" i="14" s="1"/>
  <c r="AQ181" i="14"/>
  <c r="AQ179" i="14"/>
  <c r="AQ177" i="14"/>
  <c r="AQ175" i="14"/>
  <c r="AQ260" i="14" s="1"/>
  <c r="AQ14" i="14"/>
  <c r="AP259" i="14" s="1"/>
  <c r="AP181" i="14"/>
  <c r="AP179" i="14"/>
  <c r="AP177" i="14"/>
  <c r="AP175" i="14"/>
  <c r="AO259" i="14"/>
  <c r="AP14" i="14"/>
  <c r="AO181" i="14"/>
  <c r="AO179" i="14"/>
  <c r="AO177" i="14"/>
  <c r="AO260" i="14" s="1"/>
  <c r="AO175" i="14"/>
  <c r="AO14" i="14"/>
  <c r="AN259" i="14" s="1"/>
  <c r="AN181" i="14"/>
  <c r="AN179" i="14"/>
  <c r="AN177" i="14"/>
  <c r="AN175" i="14"/>
  <c r="AN14" i="14"/>
  <c r="AM259" i="14" s="1"/>
  <c r="AM181" i="14"/>
  <c r="AM179" i="14"/>
  <c r="AM177" i="14"/>
  <c r="AM175" i="14"/>
  <c r="AM260" i="14" s="1"/>
  <c r="AM14" i="14"/>
  <c r="AL259" i="14" s="1"/>
  <c r="AL181" i="14"/>
  <c r="AL179" i="14"/>
  <c r="AL177" i="14"/>
  <c r="AL175" i="14"/>
  <c r="AK259" i="14"/>
  <c r="AL14" i="14"/>
  <c r="AK181" i="14"/>
  <c r="AK179" i="14"/>
  <c r="AK177" i="14"/>
  <c r="AK260" i="14" s="1"/>
  <c r="AK175" i="14"/>
  <c r="AJ259" i="14"/>
  <c r="AK14" i="14"/>
  <c r="AJ181" i="14"/>
  <c r="AJ179" i="14"/>
  <c r="AJ177" i="14"/>
  <c r="AJ175" i="14"/>
  <c r="AJ14" i="14"/>
  <c r="AI259" i="14" s="1"/>
  <c r="AI181" i="14"/>
  <c r="AI179" i="14"/>
  <c r="AI177" i="14"/>
  <c r="AI175" i="14"/>
  <c r="AI260" i="14" s="1"/>
  <c r="AI14" i="14"/>
  <c r="AH259" i="14" s="1"/>
  <c r="AH181" i="14"/>
  <c r="AH179" i="14"/>
  <c r="AH177" i="14"/>
  <c r="AH175" i="14"/>
  <c r="AH260" i="14" s="1"/>
  <c r="AG259" i="14"/>
  <c r="AH14" i="14"/>
  <c r="AG181" i="14"/>
  <c r="AG179" i="14"/>
  <c r="AG177" i="14"/>
  <c r="AG260" i="14" s="1"/>
  <c r="AG175" i="14"/>
  <c r="AG14" i="14"/>
  <c r="AF259" i="14" s="1"/>
  <c r="AF181" i="14"/>
  <c r="AF179" i="14"/>
  <c r="AF177" i="14"/>
  <c r="AF175" i="14"/>
  <c r="AF14" i="14"/>
  <c r="AE259" i="14" s="1"/>
  <c r="AE181" i="14"/>
  <c r="AE179" i="14"/>
  <c r="AE177" i="14"/>
  <c r="AE175" i="14"/>
  <c r="AE260" i="14" s="1"/>
  <c r="AE14" i="14"/>
  <c r="AD259" i="14" s="1"/>
  <c r="AD181" i="14"/>
  <c r="AD179" i="14"/>
  <c r="AD177" i="14"/>
  <c r="AD175" i="14"/>
  <c r="AC259" i="14"/>
  <c r="AD14" i="14"/>
  <c r="AC181" i="14"/>
  <c r="AC179" i="14"/>
  <c r="AC177" i="14"/>
  <c r="AC260" i="14" s="1"/>
  <c r="AC175" i="14"/>
  <c r="AC14" i="14"/>
  <c r="AB259" i="14" s="1"/>
  <c r="AB181" i="14"/>
  <c r="AB179" i="14"/>
  <c r="AB177" i="14"/>
  <c r="AB175" i="14"/>
  <c r="AB260" i="14" s="1"/>
  <c r="AB14" i="14"/>
  <c r="AA259" i="14" s="1"/>
  <c r="AA181" i="14"/>
  <c r="AA179" i="14"/>
  <c r="AA177" i="14"/>
  <c r="AA175" i="14"/>
  <c r="AA260" i="14" s="1"/>
  <c r="AA14" i="14"/>
  <c r="Z259" i="14" s="1"/>
  <c r="Z181" i="14"/>
  <c r="Z179" i="14"/>
  <c r="Z177" i="14"/>
  <c r="Z175" i="14"/>
  <c r="Z260" i="14" s="1"/>
  <c r="Y259" i="14"/>
  <c r="Z14" i="14"/>
  <c r="Y181" i="14"/>
  <c r="Y179" i="14"/>
  <c r="Y177" i="14"/>
  <c r="Y260" i="14" s="1"/>
  <c r="Y175" i="14"/>
  <c r="Y14" i="14"/>
  <c r="X259" i="14" s="1"/>
  <c r="X181" i="14"/>
  <c r="X179" i="14"/>
  <c r="X177" i="14"/>
  <c r="X175" i="14"/>
  <c r="X260" i="14" s="1"/>
  <c r="W259" i="14"/>
  <c r="X14" i="14"/>
  <c r="W181" i="14"/>
  <c r="W179" i="14"/>
  <c r="W177" i="14"/>
  <c r="W175" i="14"/>
  <c r="W14" i="14"/>
  <c r="V259" i="14" s="1"/>
  <c r="V181" i="14"/>
  <c r="V179" i="14"/>
  <c r="V177" i="14"/>
  <c r="V175" i="14"/>
  <c r="U259" i="14"/>
  <c r="V14" i="14"/>
  <c r="U181" i="14"/>
  <c r="U179" i="14"/>
  <c r="U260" i="14" s="1"/>
  <c r="U177" i="14"/>
  <c r="U175" i="14"/>
  <c r="U14" i="14"/>
  <c r="T259" i="14" s="1"/>
  <c r="T181" i="14"/>
  <c r="T179" i="14"/>
  <c r="T177" i="14"/>
  <c r="T175" i="14"/>
  <c r="T260" i="14" s="1"/>
  <c r="T14" i="14"/>
  <c r="S259" i="14" s="1"/>
  <c r="S181" i="14"/>
  <c r="S179" i="14"/>
  <c r="S177" i="14"/>
  <c r="S175" i="14"/>
  <c r="S260" i="14" s="1"/>
  <c r="S14" i="14"/>
  <c r="R259" i="14" s="1"/>
  <c r="R181" i="14"/>
  <c r="R179" i="14"/>
  <c r="R177" i="14"/>
  <c r="R175" i="14"/>
  <c r="Q259" i="14"/>
  <c r="R14" i="14"/>
  <c r="Q181" i="14"/>
  <c r="Q179" i="14"/>
  <c r="Q177" i="14"/>
  <c r="Q260" i="14" s="1"/>
  <c r="Q175" i="14"/>
  <c r="Q14" i="14"/>
  <c r="P259" i="14" s="1"/>
  <c r="P181" i="14"/>
  <c r="P179" i="14"/>
  <c r="P177" i="14"/>
  <c r="P175" i="14"/>
  <c r="P260" i="14" s="1"/>
  <c r="P14" i="14"/>
  <c r="O259" i="14" s="1"/>
  <c r="O181" i="14"/>
  <c r="O179" i="14"/>
  <c r="O177" i="14"/>
  <c r="O175" i="14"/>
  <c r="O260" i="14" s="1"/>
  <c r="O14" i="14"/>
  <c r="N259" i="14" s="1"/>
  <c r="N181" i="14"/>
  <c r="N179" i="14"/>
  <c r="N177" i="14"/>
  <c r="N175" i="14"/>
  <c r="M259" i="14"/>
  <c r="N14" i="14"/>
  <c r="M181" i="14"/>
  <c r="M179" i="14"/>
  <c r="M260" i="14" s="1"/>
  <c r="M177" i="14"/>
  <c r="M175" i="14"/>
  <c r="M14" i="14"/>
  <c r="L259" i="14" s="1"/>
  <c r="L181" i="14"/>
  <c r="L179" i="14"/>
  <c r="L177" i="14"/>
  <c r="L175" i="14"/>
  <c r="L260" i="14" s="1"/>
  <c r="L14" i="14"/>
  <c r="K259" i="14" s="1"/>
  <c r="K181" i="14"/>
  <c r="K179" i="14"/>
  <c r="K177" i="14"/>
  <c r="K175" i="14"/>
  <c r="K260" i="14" s="1"/>
  <c r="K14" i="14"/>
  <c r="J259" i="14" s="1"/>
  <c r="J181" i="14"/>
  <c r="J179" i="14"/>
  <c r="J177" i="14"/>
  <c r="J175" i="14"/>
  <c r="I259" i="14"/>
  <c r="J14" i="14"/>
  <c r="I181" i="14"/>
  <c r="I179" i="14"/>
  <c r="I177" i="14"/>
  <c r="I260" i="14" s="1"/>
  <c r="I175" i="14"/>
  <c r="I14" i="14"/>
  <c r="H259" i="14" s="1"/>
  <c r="H181" i="14"/>
  <c r="H179" i="14"/>
  <c r="H177" i="14"/>
  <c r="H175" i="14"/>
  <c r="H14" i="14"/>
  <c r="G181" i="14"/>
  <c r="G179" i="14"/>
  <c r="G177" i="14"/>
  <c r="G175" i="14"/>
  <c r="G260" i="14" s="1"/>
  <c r="G14" i="14"/>
  <c r="F259" i="14" s="1"/>
  <c r="F181" i="14"/>
  <c r="F179" i="14"/>
  <c r="F177" i="14"/>
  <c r="F175" i="14"/>
  <c r="E259" i="14"/>
  <c r="F14" i="14"/>
  <c r="E181" i="14"/>
  <c r="E179" i="14"/>
  <c r="E177" i="14"/>
  <c r="E260" i="14" s="1"/>
  <c r="E175" i="14"/>
  <c r="D259" i="14"/>
  <c r="E14" i="14"/>
  <c r="D181" i="14"/>
  <c r="D179" i="14"/>
  <c r="D177" i="14"/>
  <c r="D175" i="14"/>
  <c r="AZ14" i="15"/>
  <c r="AY259" i="15" s="1"/>
  <c r="AY181" i="15"/>
  <c r="AY179" i="15"/>
  <c r="AY177" i="15"/>
  <c r="AY175" i="15"/>
  <c r="AY260" i="15" s="1"/>
  <c r="AY14" i="15"/>
  <c r="AX259" i="15" s="1"/>
  <c r="AX181" i="15"/>
  <c r="AX179" i="15"/>
  <c r="AX177" i="15"/>
  <c r="AX175" i="15"/>
  <c r="AX260" i="15" s="1"/>
  <c r="AW259" i="15"/>
  <c r="AX14" i="15"/>
  <c r="AW181" i="15"/>
  <c r="AW179" i="15"/>
  <c r="AW177" i="15"/>
  <c r="AW260" i="15" s="1"/>
  <c r="AW175" i="15"/>
  <c r="AW14" i="15"/>
  <c r="AV259" i="15" s="1"/>
  <c r="AV181" i="15"/>
  <c r="AV179" i="15"/>
  <c r="AV177" i="15"/>
  <c r="AV175" i="15"/>
  <c r="AU259" i="15"/>
  <c r="AV14" i="15"/>
  <c r="AU181" i="15"/>
  <c r="AU179" i="15"/>
  <c r="AU177" i="15"/>
  <c r="AU175" i="15"/>
  <c r="AU14" i="15"/>
  <c r="AT259" i="15" s="1"/>
  <c r="AT181" i="15"/>
  <c r="AT179" i="15"/>
  <c r="AT177" i="15"/>
  <c r="AT175" i="15"/>
  <c r="AS259" i="15"/>
  <c r="AT14" i="15"/>
  <c r="AS181" i="15"/>
  <c r="AS179" i="15"/>
  <c r="AS177" i="15"/>
  <c r="AS260" i="15" s="1"/>
  <c r="AS175" i="15"/>
  <c r="AS14" i="15"/>
  <c r="AR259" i="15" s="1"/>
  <c r="AR181" i="15"/>
  <c r="AR179" i="15"/>
  <c r="AR177" i="15"/>
  <c r="AR175" i="15"/>
  <c r="AR260" i="15" s="1"/>
  <c r="AR14" i="15"/>
  <c r="AQ259" i="15" s="1"/>
  <c r="AQ181" i="15"/>
  <c r="AQ179" i="15"/>
  <c r="AQ177" i="15"/>
  <c r="AQ175" i="15"/>
  <c r="AQ260" i="15" s="1"/>
  <c r="AQ14" i="15"/>
  <c r="AP259" i="15" s="1"/>
  <c r="AP181" i="15"/>
  <c r="AP179" i="15"/>
  <c r="AP177" i="15"/>
  <c r="AP175" i="15"/>
  <c r="AP260" i="15" s="1"/>
  <c r="AO259" i="15"/>
  <c r="AP14" i="15"/>
  <c r="AO181" i="15"/>
  <c r="AO179" i="15"/>
  <c r="AO177" i="15"/>
  <c r="AO260" i="15" s="1"/>
  <c r="AO175" i="15"/>
  <c r="AO14" i="15"/>
  <c r="AN259" i="15" s="1"/>
  <c r="AN181" i="15"/>
  <c r="AN179" i="15"/>
  <c r="AN177" i="15"/>
  <c r="AN175" i="15"/>
  <c r="AN260" i="15" s="1"/>
  <c r="AM259" i="15"/>
  <c r="AN14" i="15"/>
  <c r="AM181" i="15"/>
  <c r="AM179" i="15"/>
  <c r="AM177" i="15"/>
  <c r="AM175" i="15"/>
  <c r="AM14" i="15"/>
  <c r="AL259" i="15" s="1"/>
  <c r="AL181" i="15"/>
  <c r="AL179" i="15"/>
  <c r="AL177" i="15"/>
  <c r="AL175" i="15"/>
  <c r="AK259" i="15"/>
  <c r="AL14" i="15"/>
  <c r="AK181" i="15"/>
  <c r="AK179" i="15"/>
  <c r="AK177" i="15"/>
  <c r="AK260" i="15" s="1"/>
  <c r="AK175" i="15"/>
  <c r="AK14" i="15"/>
  <c r="AJ259" i="15" s="1"/>
  <c r="AJ181" i="15"/>
  <c r="AJ179" i="15"/>
  <c r="AJ177" i="15"/>
  <c r="AJ175" i="15"/>
  <c r="AJ260" i="15" s="1"/>
  <c r="AJ14" i="15"/>
  <c r="AI259" i="15" s="1"/>
  <c r="AI181" i="15"/>
  <c r="AI179" i="15"/>
  <c r="AI177" i="15"/>
  <c r="AI175" i="15"/>
  <c r="AI260" i="15" s="1"/>
  <c r="AI14" i="15"/>
  <c r="AH259" i="15" s="1"/>
  <c r="AH181" i="15"/>
  <c r="AH179" i="15"/>
  <c r="AH177" i="15"/>
  <c r="AH175" i="15"/>
  <c r="AG259" i="15"/>
  <c r="AH14" i="15"/>
  <c r="AG181" i="15"/>
  <c r="AG179" i="15"/>
  <c r="AG177" i="15"/>
  <c r="AG260" i="15" s="1"/>
  <c r="AG175" i="15"/>
  <c r="AG14" i="15"/>
  <c r="AF259" i="15" s="1"/>
  <c r="AF181" i="15"/>
  <c r="AF179" i="15"/>
  <c r="AF177" i="15"/>
  <c r="AF175" i="15"/>
  <c r="AF260" i="15" s="1"/>
  <c r="AF14" i="15"/>
  <c r="AE259" i="15" s="1"/>
  <c r="AE181" i="15"/>
  <c r="AE179" i="15"/>
  <c r="AE177" i="15"/>
  <c r="AE175" i="15"/>
  <c r="AE260" i="15" s="1"/>
  <c r="AE14" i="15"/>
  <c r="AD259" i="15" s="1"/>
  <c r="AD181" i="15"/>
  <c r="AD179" i="15"/>
  <c r="AD177" i="15"/>
  <c r="AD175" i="15"/>
  <c r="AC259" i="15"/>
  <c r="AD14" i="15"/>
  <c r="AC181" i="15"/>
  <c r="AC179" i="15"/>
  <c r="AC260" i="15" s="1"/>
  <c r="AC177" i="15"/>
  <c r="AC175" i="15"/>
  <c r="AB259" i="15"/>
  <c r="AC14" i="15"/>
  <c r="AB181" i="15"/>
  <c r="AB179" i="15"/>
  <c r="AB177" i="15"/>
  <c r="AB175" i="15"/>
  <c r="AB14" i="15"/>
  <c r="AA259" i="15" s="1"/>
  <c r="AA181" i="15"/>
  <c r="AA179" i="15"/>
  <c r="AA177" i="15"/>
  <c r="AA175" i="15"/>
  <c r="AA260" i="15" s="1"/>
  <c r="AA14" i="15"/>
  <c r="Z259" i="15" s="1"/>
  <c r="Z181" i="15"/>
  <c r="Z179" i="15"/>
  <c r="Z177" i="15"/>
  <c r="Z175" i="15"/>
  <c r="Y259" i="15"/>
  <c r="Z14" i="15"/>
  <c r="Y181" i="15"/>
  <c r="Y179" i="15"/>
  <c r="Y177" i="15"/>
  <c r="Y260" i="15" s="1"/>
  <c r="Y175" i="15"/>
  <c r="Y14" i="15"/>
  <c r="X259" i="15" s="1"/>
  <c r="X181" i="15"/>
  <c r="X179" i="15"/>
  <c r="X177" i="15"/>
  <c r="X175" i="15"/>
  <c r="X14" i="15"/>
  <c r="W259" i="15" s="1"/>
  <c r="W181" i="15"/>
  <c r="W179" i="15"/>
  <c r="W177" i="15"/>
  <c r="W175" i="15"/>
  <c r="W260" i="15" s="1"/>
  <c r="W14" i="15"/>
  <c r="V259" i="15" s="1"/>
  <c r="V181" i="15"/>
  <c r="V179" i="15"/>
  <c r="V177" i="15"/>
  <c r="V175" i="15"/>
  <c r="U259" i="15"/>
  <c r="V14" i="15"/>
  <c r="U181" i="15"/>
  <c r="U179" i="15"/>
  <c r="U177" i="15"/>
  <c r="U260" i="15" s="1"/>
  <c r="U175" i="15"/>
  <c r="T259" i="15"/>
  <c r="U14" i="15"/>
  <c r="T181" i="15"/>
  <c r="T179" i="15"/>
  <c r="T177" i="15"/>
  <c r="T175" i="15"/>
  <c r="T14" i="15"/>
  <c r="S259" i="15" s="1"/>
  <c r="S181" i="15"/>
  <c r="S179" i="15"/>
  <c r="S177" i="15"/>
  <c r="S175" i="15"/>
  <c r="S260" i="15" s="1"/>
  <c r="S14" i="15"/>
  <c r="R259" i="15" s="1"/>
  <c r="R181" i="15"/>
  <c r="R179" i="15"/>
  <c r="R177" i="15"/>
  <c r="R175" i="15"/>
  <c r="R260" i="15" s="1"/>
  <c r="Q259" i="15"/>
  <c r="R14" i="15"/>
  <c r="Q181" i="15"/>
  <c r="Q179" i="15"/>
  <c r="Q177" i="15"/>
  <c r="Q260" i="15" s="1"/>
  <c r="Q175" i="15"/>
  <c r="Q14" i="15"/>
  <c r="P259" i="15" s="1"/>
  <c r="P181" i="15"/>
  <c r="P179" i="15"/>
  <c r="P177" i="15"/>
  <c r="P175" i="15"/>
  <c r="P14" i="15"/>
  <c r="O259" i="15" s="1"/>
  <c r="O181" i="15"/>
  <c r="O179" i="15"/>
  <c r="O177" i="15"/>
  <c r="O175" i="15"/>
  <c r="O260" i="15" s="1"/>
  <c r="O14" i="15"/>
  <c r="N259" i="15" s="1"/>
  <c r="N181" i="15"/>
  <c r="N179" i="15"/>
  <c r="N177" i="15"/>
  <c r="N175" i="15"/>
  <c r="M259" i="15"/>
  <c r="N14" i="15"/>
  <c r="M181" i="15"/>
  <c r="M179" i="15"/>
  <c r="M177" i="15"/>
  <c r="M260" i="15" s="1"/>
  <c r="M175" i="15"/>
  <c r="M14" i="15"/>
  <c r="L259" i="15" s="1"/>
  <c r="L181" i="15"/>
  <c r="L179" i="15"/>
  <c r="L177" i="15"/>
  <c r="L175" i="15"/>
  <c r="L260" i="15" s="1"/>
  <c r="L14" i="15"/>
  <c r="K259" i="15" s="1"/>
  <c r="K181" i="15"/>
  <c r="K179" i="15"/>
  <c r="K177" i="15"/>
  <c r="K175" i="15"/>
  <c r="K260" i="15" s="1"/>
  <c r="K14" i="15"/>
  <c r="J259" i="15" s="1"/>
  <c r="J181" i="15"/>
  <c r="J179" i="15"/>
  <c r="J177" i="15"/>
  <c r="J175" i="15"/>
  <c r="J260" i="15" s="1"/>
  <c r="I259" i="15"/>
  <c r="J14" i="15"/>
  <c r="I181" i="15"/>
  <c r="I179" i="15"/>
  <c r="I177" i="15"/>
  <c r="I260" i="15" s="1"/>
  <c r="I175" i="15"/>
  <c r="I14" i="15"/>
  <c r="H259" i="15" s="1"/>
  <c r="H181" i="15"/>
  <c r="H179" i="15"/>
  <c r="H177" i="15"/>
  <c r="H175" i="15"/>
  <c r="H260" i="15" s="1"/>
  <c r="G259" i="15"/>
  <c r="H14" i="15"/>
  <c r="G181" i="15"/>
  <c r="G179" i="15"/>
  <c r="G177" i="15"/>
  <c r="G175" i="15"/>
  <c r="G14" i="15"/>
  <c r="F259" i="15" s="1"/>
  <c r="F181" i="15"/>
  <c r="F179" i="15"/>
  <c r="F177" i="15"/>
  <c r="F175" i="15"/>
  <c r="E259" i="15"/>
  <c r="F14" i="15"/>
  <c r="E181" i="15"/>
  <c r="E179" i="15"/>
  <c r="E260" i="15" s="1"/>
  <c r="E177" i="15"/>
  <c r="E175" i="15"/>
  <c r="E14" i="15"/>
  <c r="D259" i="15" s="1"/>
  <c r="D181" i="15"/>
  <c r="D179" i="15"/>
  <c r="D177" i="15"/>
  <c r="D175" i="15"/>
  <c r="D260" i="15" s="1"/>
  <c r="AY14" i="16"/>
  <c r="AY15" i="16"/>
  <c r="AY16" i="16"/>
  <c r="AY10" i="16"/>
  <c r="AY13" i="16" s="1"/>
  <c r="AY17" i="16"/>
  <c r="AY29" i="16"/>
  <c r="AX14" i="16"/>
  <c r="AX15" i="16"/>
  <c r="AX16" i="16"/>
  <c r="AX10" i="16"/>
  <c r="AX13" i="16" s="1"/>
  <c r="AX17" i="16"/>
  <c r="AX29" i="16"/>
  <c r="AW14" i="16"/>
  <c r="AW15" i="16"/>
  <c r="AW16" i="16"/>
  <c r="AW17" i="16"/>
  <c r="AW29" i="16"/>
  <c r="AV14" i="16"/>
  <c r="AV15" i="16"/>
  <c r="AV16" i="16"/>
  <c r="AV17" i="16"/>
  <c r="AV29" i="16"/>
  <c r="AU14" i="16"/>
  <c r="AU15" i="16"/>
  <c r="AU16" i="16"/>
  <c r="AU10" i="16"/>
  <c r="AU13" i="16" s="1"/>
  <c r="AU17" i="16"/>
  <c r="AU29" i="16"/>
  <c r="AT16" i="16"/>
  <c r="AT21" i="16"/>
  <c r="AT33" i="16" s="1"/>
  <c r="AT22" i="16"/>
  <c r="AT23" i="16"/>
  <c r="AT29" i="16"/>
  <c r="AT39" i="16"/>
  <c r="AT44" i="16"/>
  <c r="AS14" i="16"/>
  <c r="AS15" i="16"/>
  <c r="AS16" i="16"/>
  <c r="AT17" i="16" s="1"/>
  <c r="AS17" i="16"/>
  <c r="AS29" i="16"/>
  <c r="AR14" i="16"/>
  <c r="AR15" i="16"/>
  <c r="AR16" i="16"/>
  <c r="AR17" i="16"/>
  <c r="AR29" i="16"/>
  <c r="AQ14" i="16"/>
  <c r="AQ15" i="16"/>
  <c r="AQ16" i="16"/>
  <c r="AQ17" i="16"/>
  <c r="AQ29" i="16"/>
  <c r="AP14" i="16"/>
  <c r="AP10" i="16" s="1"/>
  <c r="AP13" i="16" s="1"/>
  <c r="AQ21" i="16" s="1"/>
  <c r="AP15" i="16"/>
  <c r="AP16" i="16"/>
  <c r="AP17" i="16"/>
  <c r="AP29" i="16"/>
  <c r="AO14" i="16"/>
  <c r="AO15" i="16"/>
  <c r="AO10" i="16" s="1"/>
  <c r="AO13" i="16" s="1"/>
  <c r="AO16" i="16"/>
  <c r="AO17" i="16"/>
  <c r="AO29" i="16"/>
  <c r="AN14" i="16"/>
  <c r="AN15" i="16"/>
  <c r="AN16" i="16"/>
  <c r="AN10" i="16"/>
  <c r="AN13" i="16" s="1"/>
  <c r="AN17" i="16"/>
  <c r="AN29" i="16"/>
  <c r="AM14" i="16"/>
  <c r="AM15" i="16"/>
  <c r="AM16" i="16"/>
  <c r="AM17" i="16"/>
  <c r="AM29" i="16"/>
  <c r="AL14" i="16"/>
  <c r="AL15" i="16"/>
  <c r="AL16" i="16"/>
  <c r="AL17" i="16"/>
  <c r="AL29" i="16"/>
  <c r="AK14" i="16"/>
  <c r="AK15" i="16"/>
  <c r="AK16" i="16"/>
  <c r="AK10" i="16"/>
  <c r="AK13" i="16" s="1"/>
  <c r="AK17" i="16"/>
  <c r="AK29" i="16"/>
  <c r="AJ14" i="16"/>
  <c r="AJ15" i="16"/>
  <c r="AJ16" i="16"/>
  <c r="AJ17" i="16"/>
  <c r="AJ29" i="16"/>
  <c r="AI14" i="16"/>
  <c r="AI15" i="16"/>
  <c r="AI16" i="16"/>
  <c r="AI10" i="16"/>
  <c r="AI13" i="16" s="1"/>
  <c r="AJ21" i="16" s="1"/>
  <c r="AI17" i="16"/>
  <c r="AI29" i="16"/>
  <c r="AH14" i="16"/>
  <c r="AH15" i="16"/>
  <c r="AH16" i="16"/>
  <c r="AH17" i="16"/>
  <c r="AH29" i="16"/>
  <c r="AG14" i="16"/>
  <c r="AG15" i="16"/>
  <c r="AG16" i="16"/>
  <c r="AG17" i="16"/>
  <c r="AG29" i="16"/>
  <c r="AF14" i="16"/>
  <c r="AF10" i="16" s="1"/>
  <c r="AF13" i="16" s="1"/>
  <c r="AF15" i="16"/>
  <c r="AF16" i="16"/>
  <c r="AF17" i="16"/>
  <c r="AF29" i="16"/>
  <c r="AE14" i="16"/>
  <c r="AE10" i="16" s="1"/>
  <c r="AE15" i="16"/>
  <c r="AE16" i="16"/>
  <c r="AE13" i="16"/>
  <c r="AE17" i="16"/>
  <c r="AE29" i="16"/>
  <c r="AD14" i="16"/>
  <c r="AD15" i="16"/>
  <c r="AD16" i="16"/>
  <c r="AD17" i="16"/>
  <c r="AD29" i="16"/>
  <c r="AC14" i="16"/>
  <c r="AC15" i="16"/>
  <c r="AC16" i="16"/>
  <c r="AC10" i="16"/>
  <c r="AC13" i="16" s="1"/>
  <c r="AC17" i="16"/>
  <c r="AC29" i="16"/>
  <c r="AB14" i="16"/>
  <c r="AB10" i="16" s="1"/>
  <c r="AB13" i="16" s="1"/>
  <c r="AB15" i="16"/>
  <c r="AB16" i="16"/>
  <c r="AB17" i="16"/>
  <c r="AB29" i="16"/>
  <c r="AA14" i="16"/>
  <c r="AA15" i="16"/>
  <c r="AA16" i="16"/>
  <c r="AA10" i="16"/>
  <c r="AA13" i="16" s="1"/>
  <c r="AA17" i="16"/>
  <c r="AA29" i="16"/>
  <c r="Z14" i="16"/>
  <c r="Z10" i="16" s="1"/>
  <c r="Z13" i="16" s="1"/>
  <c r="Z15" i="16"/>
  <c r="Z16" i="16"/>
  <c r="Z17" i="16"/>
  <c r="Z29" i="16"/>
  <c r="Y14" i="16"/>
  <c r="Y15" i="16"/>
  <c r="Y10" i="16" s="1"/>
  <c r="Y13" i="16" s="1"/>
  <c r="Y16" i="16"/>
  <c r="Y17" i="16"/>
  <c r="Y29" i="16"/>
  <c r="X14" i="16"/>
  <c r="X15" i="16"/>
  <c r="X16" i="16"/>
  <c r="X10" i="16"/>
  <c r="X13" i="16" s="1"/>
  <c r="X17" i="16"/>
  <c r="X29" i="16"/>
  <c r="W14" i="16"/>
  <c r="W15" i="16"/>
  <c r="W16" i="16"/>
  <c r="W17" i="16"/>
  <c r="W29" i="16"/>
  <c r="V14" i="16"/>
  <c r="V15" i="16"/>
  <c r="V16" i="16"/>
  <c r="V17" i="16"/>
  <c r="V29" i="16"/>
  <c r="U14" i="16"/>
  <c r="U15" i="16"/>
  <c r="U16" i="16"/>
  <c r="U10" i="16"/>
  <c r="U13" i="16" s="1"/>
  <c r="U17" i="16"/>
  <c r="U29" i="16"/>
  <c r="T14" i="16"/>
  <c r="T15" i="16"/>
  <c r="T16" i="16"/>
  <c r="T10" i="16"/>
  <c r="T13" i="16" s="1"/>
  <c r="T17" i="16"/>
  <c r="T29" i="16"/>
  <c r="S14" i="16"/>
  <c r="S10" i="16" s="1"/>
  <c r="S13" i="16" s="1"/>
  <c r="S15" i="16"/>
  <c r="S16" i="16"/>
  <c r="S17" i="16"/>
  <c r="S29" i="16"/>
  <c r="R14" i="16"/>
  <c r="R15" i="16"/>
  <c r="R16" i="16"/>
  <c r="R17" i="16"/>
  <c r="R29" i="16"/>
  <c r="Q14" i="16"/>
  <c r="Q15" i="16"/>
  <c r="Q16" i="16"/>
  <c r="Q10" i="16"/>
  <c r="Q13" i="16" s="1"/>
  <c r="Q17" i="16"/>
  <c r="Q29" i="16"/>
  <c r="P14" i="16"/>
  <c r="P15" i="16"/>
  <c r="P16" i="16"/>
  <c r="P10" i="16"/>
  <c r="P13" i="16" s="1"/>
  <c r="P17" i="16"/>
  <c r="P29" i="16"/>
  <c r="O14" i="16"/>
  <c r="O10" i="16" s="1"/>
  <c r="O13" i="16" s="1"/>
  <c r="O15" i="16"/>
  <c r="O16" i="16"/>
  <c r="O17" i="16"/>
  <c r="O29" i="16"/>
  <c r="N14" i="16"/>
  <c r="N15" i="16"/>
  <c r="N16" i="16"/>
  <c r="N17" i="16"/>
  <c r="N29" i="16"/>
  <c r="M14" i="16"/>
  <c r="M15" i="16"/>
  <c r="M16" i="16"/>
  <c r="M10" i="16"/>
  <c r="M13" i="16" s="1"/>
  <c r="M17" i="16"/>
  <c r="M29" i="16"/>
  <c r="L14" i="16"/>
  <c r="L15" i="16"/>
  <c r="L16" i="16"/>
  <c r="L10" i="16"/>
  <c r="L13" i="16" s="1"/>
  <c r="L17" i="16"/>
  <c r="L29" i="16"/>
  <c r="K14" i="16"/>
  <c r="K15" i="16"/>
  <c r="K16" i="16"/>
  <c r="K17" i="16"/>
  <c r="K29" i="16"/>
  <c r="J14" i="16"/>
  <c r="J15" i="16"/>
  <c r="J16" i="16"/>
  <c r="J17" i="16"/>
  <c r="J29" i="16"/>
  <c r="I14" i="16"/>
  <c r="I15" i="16"/>
  <c r="I16" i="16"/>
  <c r="I10" i="16"/>
  <c r="I13" i="16" s="1"/>
  <c r="I17" i="16"/>
  <c r="I29" i="16"/>
  <c r="H14" i="16"/>
  <c r="H15" i="16"/>
  <c r="H16" i="16"/>
  <c r="H10" i="16"/>
  <c r="H13" i="16" s="1"/>
  <c r="H17" i="16"/>
  <c r="H29" i="16"/>
  <c r="G14" i="16"/>
  <c r="G15" i="16"/>
  <c r="G16" i="16"/>
  <c r="G17" i="16"/>
  <c r="G29" i="16"/>
  <c r="F14" i="16"/>
  <c r="F15" i="16"/>
  <c r="F16" i="16"/>
  <c r="F17" i="16"/>
  <c r="F29" i="16"/>
  <c r="E14" i="16"/>
  <c r="E15" i="16"/>
  <c r="E16" i="16"/>
  <c r="E10" i="16"/>
  <c r="E13" i="16" s="1"/>
  <c r="E17" i="16"/>
  <c r="E29" i="16"/>
  <c r="D14" i="16"/>
  <c r="D10" i="16" s="1"/>
  <c r="D15" i="16"/>
  <c r="D16" i="16"/>
  <c r="D17" i="16"/>
  <c r="D27" i="16"/>
  <c r="D29" i="16"/>
  <c r="E27" i="16" s="1"/>
  <c r="D30" i="16"/>
  <c r="B21" i="16"/>
  <c r="AB21" i="16" s="1"/>
  <c r="D121" i="17"/>
  <c r="E121" i="17"/>
  <c r="F121" i="17"/>
  <c r="G121" i="17"/>
  <c r="H121" i="17"/>
  <c r="I121" i="17"/>
  <c r="J121" i="17"/>
  <c r="K121" i="17"/>
  <c r="L121" i="17"/>
  <c r="M121" i="17"/>
  <c r="N121" i="17"/>
  <c r="O121" i="17"/>
  <c r="P121" i="17"/>
  <c r="Q121" i="17"/>
  <c r="R121" i="17"/>
  <c r="S121" i="17"/>
  <c r="T121" i="17"/>
  <c r="U121" i="17"/>
  <c r="V121" i="17"/>
  <c r="W121" i="17"/>
  <c r="X121" i="17"/>
  <c r="Y121" i="17"/>
  <c r="Z121" i="17"/>
  <c r="AA121" i="17"/>
  <c r="AB121" i="17"/>
  <c r="AC121" i="17"/>
  <c r="AD121" i="17"/>
  <c r="AE121" i="17"/>
  <c r="AF121" i="17"/>
  <c r="AG121" i="17"/>
  <c r="AH121" i="17"/>
  <c r="AI121" i="17"/>
  <c r="AJ121" i="17"/>
  <c r="AK121" i="17"/>
  <c r="AL121" i="17"/>
  <c r="AM121" i="17"/>
  <c r="AN121" i="17"/>
  <c r="AO121" i="17"/>
  <c r="AP121" i="17"/>
  <c r="AQ121" i="17"/>
  <c r="AR121" i="17"/>
  <c r="AS121" i="17"/>
  <c r="AT121" i="17"/>
  <c r="AU121" i="17"/>
  <c r="AV121" i="17"/>
  <c r="AW121" i="17"/>
  <c r="AX121" i="17"/>
  <c r="C121" i="17"/>
  <c r="D117" i="17"/>
  <c r="E117" i="17"/>
  <c r="F117" i="17"/>
  <c r="G117" i="17"/>
  <c r="H117" i="17"/>
  <c r="I117" i="17"/>
  <c r="J117" i="17"/>
  <c r="K117" i="17"/>
  <c r="L117" i="17"/>
  <c r="M117" i="17"/>
  <c r="N117" i="17"/>
  <c r="O117" i="17"/>
  <c r="P117" i="17"/>
  <c r="Q117" i="17"/>
  <c r="R117" i="17"/>
  <c r="S117" i="17"/>
  <c r="T117" i="17"/>
  <c r="U117" i="17"/>
  <c r="V117" i="17"/>
  <c r="W117" i="17"/>
  <c r="X117" i="17"/>
  <c r="Y117" i="17"/>
  <c r="Z117" i="17"/>
  <c r="AA117" i="17"/>
  <c r="AB117" i="17"/>
  <c r="AC117" i="17"/>
  <c r="AD117" i="17"/>
  <c r="AE117" i="17"/>
  <c r="AF117" i="17"/>
  <c r="AG117" i="17"/>
  <c r="AH117" i="17"/>
  <c r="AI117" i="17"/>
  <c r="AJ117" i="17"/>
  <c r="AK117" i="17"/>
  <c r="AL117" i="17"/>
  <c r="AM117" i="17"/>
  <c r="AN117" i="17"/>
  <c r="AO117" i="17"/>
  <c r="AP117" i="17"/>
  <c r="AQ117" i="17"/>
  <c r="AR117" i="17"/>
  <c r="AS117" i="17"/>
  <c r="AT117" i="17"/>
  <c r="AU117" i="17"/>
  <c r="AV117" i="17"/>
  <c r="AW117" i="17"/>
  <c r="AX117" i="17"/>
  <c r="C117" i="17"/>
  <c r="D113" i="17"/>
  <c r="E113" i="17"/>
  <c r="F113" i="17"/>
  <c r="G113" i="17"/>
  <c r="H113" i="17"/>
  <c r="I113" i="17"/>
  <c r="J113" i="17"/>
  <c r="K113" i="17"/>
  <c r="L113" i="17"/>
  <c r="M113" i="17"/>
  <c r="N113" i="17"/>
  <c r="O113" i="17"/>
  <c r="P113" i="17"/>
  <c r="Q113" i="17"/>
  <c r="R113" i="17"/>
  <c r="S113" i="17"/>
  <c r="T113" i="17"/>
  <c r="U113" i="17"/>
  <c r="V113" i="17"/>
  <c r="W113" i="17"/>
  <c r="X113" i="17"/>
  <c r="Y113" i="17"/>
  <c r="Z113" i="17"/>
  <c r="AA113" i="17"/>
  <c r="AB113" i="17"/>
  <c r="AC113" i="17"/>
  <c r="AD113" i="17"/>
  <c r="AE113" i="17"/>
  <c r="AF113" i="17"/>
  <c r="AG113" i="17"/>
  <c r="AH113" i="17"/>
  <c r="AI113" i="17"/>
  <c r="AJ113" i="17"/>
  <c r="AK113" i="17"/>
  <c r="AL113" i="17"/>
  <c r="AM113" i="17"/>
  <c r="AN113" i="17"/>
  <c r="AO113" i="17"/>
  <c r="AP113" i="17"/>
  <c r="AQ113" i="17"/>
  <c r="AR113" i="17"/>
  <c r="AS113" i="17"/>
  <c r="AT113" i="17"/>
  <c r="AU113" i="17"/>
  <c r="AV113" i="17"/>
  <c r="AW113" i="17"/>
  <c r="AX113" i="17"/>
  <c r="C113" i="17"/>
  <c r="D109" i="17"/>
  <c r="E109" i="17"/>
  <c r="F109" i="17"/>
  <c r="G109" i="17"/>
  <c r="H109" i="17"/>
  <c r="I109" i="17"/>
  <c r="J109" i="17"/>
  <c r="K109" i="17"/>
  <c r="L109" i="17"/>
  <c r="M109" i="17"/>
  <c r="N109" i="17"/>
  <c r="O109" i="17"/>
  <c r="P109" i="17"/>
  <c r="Q109" i="17"/>
  <c r="R109" i="17"/>
  <c r="S109" i="17"/>
  <c r="T109" i="17"/>
  <c r="U109" i="17"/>
  <c r="V109" i="17"/>
  <c r="W109" i="17"/>
  <c r="X109" i="17"/>
  <c r="Y109" i="17"/>
  <c r="Z109" i="17"/>
  <c r="AA109" i="17"/>
  <c r="AB109" i="17"/>
  <c r="AC109" i="17"/>
  <c r="AD109" i="17"/>
  <c r="AE109" i="17"/>
  <c r="AF109" i="17"/>
  <c r="AG109" i="17"/>
  <c r="AH109" i="17"/>
  <c r="AI109" i="17"/>
  <c r="AJ109" i="17"/>
  <c r="AK109" i="17"/>
  <c r="AL109" i="17"/>
  <c r="AM109" i="17"/>
  <c r="AN109" i="17"/>
  <c r="AO109" i="17"/>
  <c r="AP109" i="17"/>
  <c r="AQ109" i="17"/>
  <c r="AR109" i="17"/>
  <c r="AS109" i="17"/>
  <c r="AT109" i="17"/>
  <c r="AU109" i="17"/>
  <c r="AV109" i="17"/>
  <c r="AW109" i="17"/>
  <c r="AX109" i="17"/>
  <c r="C109" i="17"/>
  <c r="D105" i="17"/>
  <c r="E105" i="17"/>
  <c r="F105" i="17"/>
  <c r="G105" i="17"/>
  <c r="H105" i="17"/>
  <c r="I105" i="17"/>
  <c r="J105" i="17"/>
  <c r="K105" i="17"/>
  <c r="L105" i="17"/>
  <c r="M105" i="17"/>
  <c r="N105" i="17"/>
  <c r="O105" i="17"/>
  <c r="P105" i="17"/>
  <c r="Q105" i="17"/>
  <c r="R105" i="17"/>
  <c r="S105" i="17"/>
  <c r="T105" i="17"/>
  <c r="U105" i="17"/>
  <c r="V105" i="17"/>
  <c r="W105" i="17"/>
  <c r="X105" i="17"/>
  <c r="Y105" i="17"/>
  <c r="Z105" i="17"/>
  <c r="AA105" i="17"/>
  <c r="AB105" i="17"/>
  <c r="AC105" i="17"/>
  <c r="AD105" i="17"/>
  <c r="AE105" i="17"/>
  <c r="AF105" i="17"/>
  <c r="AG105" i="17"/>
  <c r="AH105" i="17"/>
  <c r="AI105" i="17"/>
  <c r="AJ105" i="17"/>
  <c r="AK105" i="17"/>
  <c r="AL105" i="17"/>
  <c r="AM105" i="17"/>
  <c r="AN105" i="17"/>
  <c r="AO105" i="17"/>
  <c r="AP105" i="17"/>
  <c r="AQ105" i="17"/>
  <c r="AR105" i="17"/>
  <c r="AS105" i="17"/>
  <c r="AT105" i="17"/>
  <c r="AU105" i="17"/>
  <c r="AV105" i="17"/>
  <c r="AW105" i="17"/>
  <c r="AX105" i="17"/>
  <c r="C105" i="17"/>
  <c r="D101" i="17"/>
  <c r="E101" i="17"/>
  <c r="F101" i="17"/>
  <c r="G101" i="17"/>
  <c r="H101" i="17"/>
  <c r="I101" i="17"/>
  <c r="J101" i="17"/>
  <c r="K101" i="17"/>
  <c r="L101" i="17"/>
  <c r="M101" i="17"/>
  <c r="N101" i="17"/>
  <c r="O101" i="17"/>
  <c r="P101" i="17"/>
  <c r="Q101" i="17"/>
  <c r="R101" i="17"/>
  <c r="S101" i="17"/>
  <c r="T101" i="17"/>
  <c r="U101" i="17"/>
  <c r="V101" i="17"/>
  <c r="W101" i="17"/>
  <c r="X101" i="17"/>
  <c r="Y101" i="17"/>
  <c r="Z101" i="17"/>
  <c r="AA101" i="17"/>
  <c r="AB101" i="17"/>
  <c r="AC101" i="17"/>
  <c r="AD101" i="17"/>
  <c r="AE101" i="17"/>
  <c r="AF101" i="17"/>
  <c r="AG101" i="17"/>
  <c r="AH101" i="17"/>
  <c r="AI101" i="17"/>
  <c r="AJ101" i="17"/>
  <c r="AK101" i="17"/>
  <c r="AL101" i="17"/>
  <c r="AM101" i="17"/>
  <c r="AN101" i="17"/>
  <c r="AO101" i="17"/>
  <c r="AP101" i="17"/>
  <c r="AQ101" i="17"/>
  <c r="AR101" i="17"/>
  <c r="AS101" i="17"/>
  <c r="AT101" i="17"/>
  <c r="AU101" i="17"/>
  <c r="AV101" i="17"/>
  <c r="AW101" i="17"/>
  <c r="AX101" i="17"/>
  <c r="C101" i="17"/>
  <c r="C88" i="17"/>
  <c r="D88" i="17"/>
  <c r="E88" i="17"/>
  <c r="F88" i="17"/>
  <c r="G88" i="17"/>
  <c r="H88" i="17"/>
  <c r="I88" i="17"/>
  <c r="J88" i="17"/>
  <c r="K88" i="17"/>
  <c r="L88" i="17"/>
  <c r="M88" i="17"/>
  <c r="N88" i="17"/>
  <c r="O88" i="17"/>
  <c r="P88" i="17"/>
  <c r="Q88" i="17"/>
  <c r="R88" i="17"/>
  <c r="S88" i="17"/>
  <c r="T88" i="17"/>
  <c r="U88" i="17"/>
  <c r="V88" i="17"/>
  <c r="W88" i="17"/>
  <c r="X88" i="17"/>
  <c r="Y88" i="17"/>
  <c r="Z88" i="17"/>
  <c r="AA88" i="17"/>
  <c r="AB88" i="17"/>
  <c r="AC88" i="17"/>
  <c r="AD88" i="17"/>
  <c r="AE88" i="17"/>
  <c r="AF88" i="17"/>
  <c r="AG88" i="17"/>
  <c r="AH88" i="17"/>
  <c r="AI88" i="17"/>
  <c r="AJ88" i="17"/>
  <c r="AK88" i="17"/>
  <c r="AL88" i="17"/>
  <c r="AM88" i="17"/>
  <c r="AN88" i="17"/>
  <c r="AO88" i="17"/>
  <c r="AP88" i="17"/>
  <c r="AQ88" i="17"/>
  <c r="AR88" i="17"/>
  <c r="AS88" i="17"/>
  <c r="AT88" i="17"/>
  <c r="AU88" i="17"/>
  <c r="AV88" i="17"/>
  <c r="AW88" i="17"/>
  <c r="AX88" i="17"/>
  <c r="C89" i="17"/>
  <c r="D89" i="17"/>
  <c r="E89" i="17"/>
  <c r="F89" i="17"/>
  <c r="G89" i="17"/>
  <c r="H89" i="17"/>
  <c r="I89" i="17"/>
  <c r="J89" i="17"/>
  <c r="K89" i="17"/>
  <c r="L89" i="17"/>
  <c r="M89" i="17"/>
  <c r="N89" i="17"/>
  <c r="O89" i="17"/>
  <c r="P89" i="17"/>
  <c r="Q89" i="17"/>
  <c r="R89" i="17"/>
  <c r="S89" i="17"/>
  <c r="T89" i="17"/>
  <c r="U89" i="17"/>
  <c r="V89" i="17"/>
  <c r="W89" i="17"/>
  <c r="X89" i="17"/>
  <c r="Y89" i="17"/>
  <c r="Z89" i="17"/>
  <c r="AA89" i="17"/>
  <c r="AB89" i="17"/>
  <c r="AC89" i="17"/>
  <c r="AD89" i="17"/>
  <c r="AE89" i="17"/>
  <c r="AF89" i="17"/>
  <c r="AG89" i="17"/>
  <c r="AH89" i="17"/>
  <c r="AI89" i="17"/>
  <c r="AJ89" i="17"/>
  <c r="AK89" i="17"/>
  <c r="AL89" i="17"/>
  <c r="AM89" i="17"/>
  <c r="AN89" i="17"/>
  <c r="AO89" i="17"/>
  <c r="AP89" i="17"/>
  <c r="AQ89" i="17"/>
  <c r="AR89" i="17"/>
  <c r="AS89" i="17"/>
  <c r="AT89" i="17"/>
  <c r="AU89" i="17"/>
  <c r="AV89" i="17"/>
  <c r="AW89" i="17"/>
  <c r="AX89" i="17"/>
  <c r="C90" i="17"/>
  <c r="D90" i="17"/>
  <c r="E90" i="17"/>
  <c r="F90" i="17"/>
  <c r="G90" i="17"/>
  <c r="H90" i="17"/>
  <c r="I90" i="17"/>
  <c r="J90" i="17"/>
  <c r="K90" i="17"/>
  <c r="L90" i="17"/>
  <c r="M90" i="17"/>
  <c r="N90" i="17"/>
  <c r="O90" i="17"/>
  <c r="P90" i="17"/>
  <c r="Q90" i="17"/>
  <c r="R90" i="17"/>
  <c r="S90" i="17"/>
  <c r="T90" i="17"/>
  <c r="U90" i="17"/>
  <c r="V90" i="17"/>
  <c r="W90" i="17"/>
  <c r="X90" i="17"/>
  <c r="Y90" i="17"/>
  <c r="Z90" i="17"/>
  <c r="AA90" i="17"/>
  <c r="AB90" i="17"/>
  <c r="AC90" i="17"/>
  <c r="AD90" i="17"/>
  <c r="AE90" i="17"/>
  <c r="AF90" i="17"/>
  <c r="AG90" i="17"/>
  <c r="AH90" i="17"/>
  <c r="AI90" i="17"/>
  <c r="AJ90" i="17"/>
  <c r="AK90" i="17"/>
  <c r="AL90" i="17"/>
  <c r="AM90" i="17"/>
  <c r="AN90" i="17"/>
  <c r="AO90" i="17"/>
  <c r="AP90" i="17"/>
  <c r="AQ90" i="17"/>
  <c r="AR90" i="17"/>
  <c r="AS90" i="17"/>
  <c r="AT90" i="17"/>
  <c r="AU90" i="17"/>
  <c r="AV90" i="17"/>
  <c r="AW90" i="17"/>
  <c r="AX90" i="17"/>
  <c r="C91" i="17"/>
  <c r="D91" i="17"/>
  <c r="E91" i="17"/>
  <c r="F91" i="17"/>
  <c r="G91" i="17"/>
  <c r="H91" i="17"/>
  <c r="I91" i="17"/>
  <c r="J91" i="17"/>
  <c r="K91" i="17"/>
  <c r="L91" i="17"/>
  <c r="M91" i="17"/>
  <c r="N91" i="17"/>
  <c r="O91" i="17"/>
  <c r="P91" i="17"/>
  <c r="Q91" i="17"/>
  <c r="R91" i="17"/>
  <c r="S91" i="17"/>
  <c r="T91" i="17"/>
  <c r="U91" i="17"/>
  <c r="V91" i="17"/>
  <c r="W91" i="17"/>
  <c r="X91" i="17"/>
  <c r="Y91" i="17"/>
  <c r="Z91" i="17"/>
  <c r="AA91" i="17"/>
  <c r="AB91" i="17"/>
  <c r="AC91" i="17"/>
  <c r="AD91" i="17"/>
  <c r="AE91" i="17"/>
  <c r="AF91" i="17"/>
  <c r="AG91" i="17"/>
  <c r="AH91" i="17"/>
  <c r="AI91" i="17"/>
  <c r="AJ91" i="17"/>
  <c r="AK91" i="17"/>
  <c r="AL91" i="17"/>
  <c r="AM91" i="17"/>
  <c r="AN91" i="17"/>
  <c r="AO91" i="17"/>
  <c r="AP91" i="17"/>
  <c r="AQ91" i="17"/>
  <c r="AR91" i="17"/>
  <c r="AS91" i="17"/>
  <c r="AT91" i="17"/>
  <c r="AU91" i="17"/>
  <c r="AV91" i="17"/>
  <c r="AW91" i="17"/>
  <c r="AX91" i="17"/>
  <c r="C92" i="17"/>
  <c r="D92" i="17"/>
  <c r="E92" i="17"/>
  <c r="F92" i="17"/>
  <c r="G92" i="17"/>
  <c r="H92" i="17"/>
  <c r="I92" i="17"/>
  <c r="J92" i="17"/>
  <c r="K92" i="17"/>
  <c r="L92" i="17"/>
  <c r="M92" i="17"/>
  <c r="N92" i="17"/>
  <c r="O92" i="17"/>
  <c r="P92" i="17"/>
  <c r="Q92" i="17"/>
  <c r="R92" i="17"/>
  <c r="S92" i="17"/>
  <c r="T92" i="17"/>
  <c r="U92" i="17"/>
  <c r="V92" i="17"/>
  <c r="W92" i="17"/>
  <c r="X92" i="17"/>
  <c r="Y92" i="17"/>
  <c r="Z92" i="17"/>
  <c r="AA92" i="17"/>
  <c r="AB92" i="17"/>
  <c r="AC92" i="17"/>
  <c r="AD92" i="17"/>
  <c r="AE92" i="17"/>
  <c r="AF92" i="17"/>
  <c r="AG92" i="17"/>
  <c r="AH92" i="17"/>
  <c r="AI92" i="17"/>
  <c r="AJ92" i="17"/>
  <c r="AK92" i="17"/>
  <c r="AL92" i="17"/>
  <c r="AM92" i="17"/>
  <c r="AN92" i="17"/>
  <c r="AO92" i="17"/>
  <c r="AP92" i="17"/>
  <c r="AQ92" i="17"/>
  <c r="AR92" i="17"/>
  <c r="AS92" i="17"/>
  <c r="AT92" i="17"/>
  <c r="AU92" i="17"/>
  <c r="AV92" i="17"/>
  <c r="AW92" i="17"/>
  <c r="AX92" i="17"/>
  <c r="C93" i="17"/>
  <c r="D93" i="17"/>
  <c r="E93" i="17"/>
  <c r="F93" i="17"/>
  <c r="G93" i="17"/>
  <c r="H93" i="17"/>
  <c r="I93" i="17"/>
  <c r="J93" i="17"/>
  <c r="K93" i="17"/>
  <c r="L93" i="17"/>
  <c r="M93" i="17"/>
  <c r="N93" i="17"/>
  <c r="O93" i="17"/>
  <c r="P93" i="17"/>
  <c r="Q93" i="17"/>
  <c r="R93" i="17"/>
  <c r="S93" i="17"/>
  <c r="T93" i="17"/>
  <c r="U93" i="17"/>
  <c r="V93" i="17"/>
  <c r="W93" i="17"/>
  <c r="X93" i="17"/>
  <c r="Y93" i="17"/>
  <c r="Z93" i="17"/>
  <c r="AA93" i="17"/>
  <c r="AB93" i="17"/>
  <c r="AC93" i="17"/>
  <c r="AD93" i="17"/>
  <c r="AE93" i="17"/>
  <c r="AF93" i="17"/>
  <c r="AG93" i="17"/>
  <c r="AH93" i="17"/>
  <c r="AI93" i="17"/>
  <c r="AJ93" i="17"/>
  <c r="AK93" i="17"/>
  <c r="AL93" i="17"/>
  <c r="AM93" i="17"/>
  <c r="AN93" i="17"/>
  <c r="AO93" i="17"/>
  <c r="AP93" i="17"/>
  <c r="AQ93" i="17"/>
  <c r="AR93" i="17"/>
  <c r="AS93" i="17"/>
  <c r="AT93" i="17"/>
  <c r="AU93" i="17"/>
  <c r="AV93" i="17"/>
  <c r="AW93" i="17"/>
  <c r="AX93" i="17"/>
  <c r="C19" i="17"/>
  <c r="C28" i="17" s="1"/>
  <c r="D19" i="17"/>
  <c r="D28" i="17" s="1"/>
  <c r="E19" i="17"/>
  <c r="E28" i="17" s="1"/>
  <c r="F19" i="17"/>
  <c r="F28" i="17" s="1"/>
  <c r="G19" i="17"/>
  <c r="G28" i="17" s="1"/>
  <c r="H19" i="17"/>
  <c r="H28" i="17" s="1"/>
  <c r="I19" i="17"/>
  <c r="I28" i="17" s="1"/>
  <c r="J19" i="17"/>
  <c r="J28" i="17" s="1"/>
  <c r="K19" i="17"/>
  <c r="K28" i="17" s="1"/>
  <c r="L19" i="17"/>
  <c r="L28" i="17" s="1"/>
  <c r="M19" i="17"/>
  <c r="M28" i="17" s="1"/>
  <c r="N19" i="17"/>
  <c r="N28" i="17" s="1"/>
  <c r="C20" i="17"/>
  <c r="C29" i="17" s="1"/>
  <c r="D20" i="17"/>
  <c r="D29" i="17" s="1"/>
  <c r="E20" i="17"/>
  <c r="E29" i="17" s="1"/>
  <c r="F20" i="17"/>
  <c r="F29" i="17" s="1"/>
  <c r="G20" i="17"/>
  <c r="G29" i="17" s="1"/>
  <c r="H20" i="17"/>
  <c r="H29" i="17" s="1"/>
  <c r="I20" i="17"/>
  <c r="I29" i="17" s="1"/>
  <c r="J20" i="17"/>
  <c r="J29" i="17" s="1"/>
  <c r="K20" i="17"/>
  <c r="K29" i="17" s="1"/>
  <c r="L20" i="17"/>
  <c r="L29" i="17" s="1"/>
  <c r="M20" i="17"/>
  <c r="M29" i="17" s="1"/>
  <c r="N20" i="17"/>
  <c r="N29" i="17" s="1"/>
  <c r="C21" i="17"/>
  <c r="C30" i="17" s="1"/>
  <c r="D21" i="17"/>
  <c r="D30" i="17" s="1"/>
  <c r="E21" i="17"/>
  <c r="E30" i="17" s="1"/>
  <c r="F21" i="17"/>
  <c r="F30" i="17" s="1"/>
  <c r="G21" i="17"/>
  <c r="G30" i="17" s="1"/>
  <c r="H21" i="17"/>
  <c r="H30" i="17" s="1"/>
  <c r="I21" i="17"/>
  <c r="I30" i="17" s="1"/>
  <c r="J21" i="17"/>
  <c r="J30" i="17" s="1"/>
  <c r="K21" i="17"/>
  <c r="K30" i="17" s="1"/>
  <c r="L21" i="17"/>
  <c r="L30" i="17" s="1"/>
  <c r="M21" i="17"/>
  <c r="M30" i="17" s="1"/>
  <c r="N21" i="17"/>
  <c r="N30" i="17" s="1"/>
  <c r="C22" i="17"/>
  <c r="C31" i="17" s="1"/>
  <c r="D22" i="17"/>
  <c r="D31" i="17" s="1"/>
  <c r="E22" i="17"/>
  <c r="E31" i="17" s="1"/>
  <c r="F22" i="17"/>
  <c r="F31" i="17" s="1"/>
  <c r="G22" i="17"/>
  <c r="G31" i="17" s="1"/>
  <c r="H22" i="17"/>
  <c r="H31" i="17" s="1"/>
  <c r="I22" i="17"/>
  <c r="I31" i="17" s="1"/>
  <c r="J22" i="17"/>
  <c r="J31" i="17" s="1"/>
  <c r="K22" i="17"/>
  <c r="K31" i="17" s="1"/>
  <c r="L22" i="17"/>
  <c r="L31" i="17" s="1"/>
  <c r="M22" i="17"/>
  <c r="M31" i="17" s="1"/>
  <c r="N22" i="17"/>
  <c r="N31" i="17" s="1"/>
  <c r="C23" i="17"/>
  <c r="C32" i="17" s="1"/>
  <c r="D23" i="17"/>
  <c r="D32" i="17" s="1"/>
  <c r="E23" i="17"/>
  <c r="E32" i="17" s="1"/>
  <c r="F23" i="17"/>
  <c r="F32" i="17" s="1"/>
  <c r="G23" i="17"/>
  <c r="G32" i="17" s="1"/>
  <c r="H23" i="17"/>
  <c r="H32" i="17" s="1"/>
  <c r="I23" i="17"/>
  <c r="I32" i="17" s="1"/>
  <c r="J23" i="17"/>
  <c r="J32" i="17" s="1"/>
  <c r="K23" i="17"/>
  <c r="K32" i="17" s="1"/>
  <c r="L23" i="17"/>
  <c r="L32" i="17" s="1"/>
  <c r="M23" i="17"/>
  <c r="M32" i="17" s="1"/>
  <c r="N23" i="17"/>
  <c r="N32" i="17" s="1"/>
  <c r="C24" i="17"/>
  <c r="C33" i="17" s="1"/>
  <c r="D24" i="17"/>
  <c r="D33" i="17" s="1"/>
  <c r="E24" i="17"/>
  <c r="E33" i="17" s="1"/>
  <c r="F24" i="17"/>
  <c r="F33" i="17" s="1"/>
  <c r="G24" i="17"/>
  <c r="G33" i="17" s="1"/>
  <c r="H24" i="17"/>
  <c r="H33" i="17" s="1"/>
  <c r="I24" i="17"/>
  <c r="I33" i="17" s="1"/>
  <c r="J24" i="17"/>
  <c r="J33" i="17" s="1"/>
  <c r="K24" i="17"/>
  <c r="K33" i="17" s="1"/>
  <c r="L24" i="17"/>
  <c r="L33" i="17" s="1"/>
  <c r="M24" i="17"/>
  <c r="M33" i="17" s="1"/>
  <c r="N24" i="17"/>
  <c r="N33" i="17" s="1"/>
  <c r="B22" i="16"/>
  <c r="D22" i="16" s="1"/>
  <c r="T21" i="16" l="1"/>
  <c r="T22" i="16"/>
  <c r="AJ33" i="16"/>
  <c r="AJ44" i="16"/>
  <c r="AJ23" i="16"/>
  <c r="AQ23" i="16"/>
  <c r="AQ44" i="16"/>
  <c r="AQ33" i="16"/>
  <c r="E30" i="16"/>
  <c r="F27" i="16"/>
  <c r="I22" i="16"/>
  <c r="I21" i="16"/>
  <c r="Q21" i="16"/>
  <c r="Q22" i="16"/>
  <c r="Y21" i="16"/>
  <c r="Y22" i="16"/>
  <c r="AY21" i="16"/>
  <c r="AY22" i="16"/>
  <c r="D24" i="16"/>
  <c r="D34" i="16"/>
  <c r="D40" i="16" s="1"/>
  <c r="D45" i="16"/>
  <c r="D51" i="16" s="1"/>
  <c r="D13" i="16"/>
  <c r="P21" i="16"/>
  <c r="P22" i="16"/>
  <c r="AB33" i="16"/>
  <c r="AB44" i="16"/>
  <c r="AB23" i="16"/>
  <c r="M21" i="16"/>
  <c r="M22" i="16"/>
  <c r="U21" i="16"/>
  <c r="U22" i="16"/>
  <c r="AG21" i="16"/>
  <c r="AG22" i="16"/>
  <c r="AO21" i="16"/>
  <c r="AO22" i="16"/>
  <c r="G10" i="16"/>
  <c r="G13" i="16" s="1"/>
  <c r="K10" i="16"/>
  <c r="K13" i="16" s="1"/>
  <c r="Z22" i="16"/>
  <c r="Z21" i="16"/>
  <c r="AA21" i="16"/>
  <c r="AD22" i="16"/>
  <c r="AD21" i="16"/>
  <c r="AF21" i="16"/>
  <c r="AP22" i="16"/>
  <c r="AP21" i="16"/>
  <c r="AT50" i="16"/>
  <c r="AT46" i="16"/>
  <c r="AZ259" i="15"/>
  <c r="D21" i="16"/>
  <c r="F22" i="16"/>
  <c r="J22" i="16"/>
  <c r="N22" i="16"/>
  <c r="R22" i="16"/>
  <c r="V22" i="16"/>
  <c r="V21" i="16"/>
  <c r="W10" i="16"/>
  <c r="W13" i="16" s="1"/>
  <c r="AB22" i="16"/>
  <c r="AJ10" i="16"/>
  <c r="AJ13" i="16" s="1"/>
  <c r="AM10" i="16"/>
  <c r="AM13" i="16" s="1"/>
  <c r="S37" i="18"/>
  <c r="T43" i="18" s="1"/>
  <c r="F21" i="16"/>
  <c r="F10" i="16"/>
  <c r="F13" i="16" s="1"/>
  <c r="J21" i="16"/>
  <c r="J10" i="16"/>
  <c r="J13" i="16" s="1"/>
  <c r="N21" i="16"/>
  <c r="N10" i="16"/>
  <c r="N13" i="16" s="1"/>
  <c r="R21" i="16"/>
  <c r="R10" i="16"/>
  <c r="R13" i="16" s="1"/>
  <c r="AF22" i="16"/>
  <c r="AG10" i="16"/>
  <c r="AG13" i="16" s="1"/>
  <c r="AH10" i="16"/>
  <c r="AH13" i="16" s="1"/>
  <c r="AL22" i="16"/>
  <c r="AL21" i="16"/>
  <c r="AQ22" i="16"/>
  <c r="AQ10" i="16"/>
  <c r="AQ13" i="16" s="1"/>
  <c r="AR10" i="16"/>
  <c r="AR13" i="16" s="1"/>
  <c r="AV22" i="16"/>
  <c r="AV21" i="16"/>
  <c r="AB260" i="15"/>
  <c r="AU260" i="15"/>
  <c r="BA14" i="14"/>
  <c r="G259" i="14"/>
  <c r="AZ259" i="14" s="1"/>
  <c r="AR260" i="14"/>
  <c r="AA22" i="16"/>
  <c r="AC21" i="16"/>
  <c r="AC22" i="16"/>
  <c r="AJ22" i="16"/>
  <c r="AT15" i="16"/>
  <c r="AS10" i="16"/>
  <c r="AS13" i="16" s="1"/>
  <c r="AT14" i="16" s="1"/>
  <c r="AT10" i="16" s="1"/>
  <c r="AT13" i="16" s="1"/>
  <c r="BA14" i="15"/>
  <c r="P260" i="15"/>
  <c r="Z260" i="15"/>
  <c r="AP260" i="14"/>
  <c r="AV260" i="15"/>
  <c r="J260" i="14"/>
  <c r="AF260" i="14"/>
  <c r="AZ17" i="16"/>
  <c r="V10" i="16"/>
  <c r="V13" i="16" s="1"/>
  <c r="AD10" i="16"/>
  <c r="AD13" i="16" s="1"/>
  <c r="AL10" i="16"/>
  <c r="AL13" i="16" s="1"/>
  <c r="AT24" i="16"/>
  <c r="AT34" i="16"/>
  <c r="AT45" i="16"/>
  <c r="AT51" i="16" s="1"/>
  <c r="AW10" i="16"/>
  <c r="AW13" i="16" s="1"/>
  <c r="G260" i="15"/>
  <c r="AZ260" i="15" s="1"/>
  <c r="T260" i="15"/>
  <c r="X260" i="15"/>
  <c r="AH260" i="15"/>
  <c r="AM260" i="15"/>
  <c r="D260" i="14"/>
  <c r="H260" i="14"/>
  <c r="R260" i="14"/>
  <c r="W260" i="14"/>
  <c r="AJ260" i="14"/>
  <c r="AN260" i="14"/>
  <c r="AX260" i="14"/>
  <c r="H8" i="18"/>
  <c r="AV10" i="16"/>
  <c r="AV13" i="16" s="1"/>
  <c r="F260" i="15"/>
  <c r="N260" i="15"/>
  <c r="V260" i="15"/>
  <c r="AD260" i="15"/>
  <c r="AL260" i="15"/>
  <c r="AT260" i="15"/>
  <c r="F260" i="14"/>
  <c r="N260" i="14"/>
  <c r="V260" i="14"/>
  <c r="AD260" i="14"/>
  <c r="AL260" i="14"/>
  <c r="AT260" i="14"/>
  <c r="S8" i="18"/>
  <c r="T11" i="18" s="1"/>
  <c r="S31" i="18"/>
  <c r="T32" i="18" s="1"/>
  <c r="H9" i="18"/>
  <c r="S10" i="18"/>
  <c r="E29" i="7"/>
  <c r="D29" i="7"/>
  <c r="C29" i="7"/>
  <c r="D19" i="7"/>
  <c r="F11" i="7"/>
  <c r="F10" i="7"/>
  <c r="F9" i="7"/>
  <c r="F8" i="7"/>
  <c r="F7" i="7"/>
  <c r="F6" i="7"/>
  <c r="T45" i="18" l="1"/>
  <c r="AW21" i="16"/>
  <c r="AW22" i="16"/>
  <c r="AZ260" i="14"/>
  <c r="AT40" i="16"/>
  <c r="AT35" i="16"/>
  <c r="W21" i="16"/>
  <c r="W22" i="16"/>
  <c r="AJ24" i="16"/>
  <c r="AJ34" i="16"/>
  <c r="AJ40" i="16" s="1"/>
  <c r="AJ45" i="16"/>
  <c r="AJ51" i="16" s="1"/>
  <c r="AS21" i="16"/>
  <c r="AS22" i="16"/>
  <c r="AL45" i="16"/>
  <c r="AL51" i="16" s="1"/>
  <c r="AL34" i="16"/>
  <c r="AL40" i="16" s="1"/>
  <c r="AL24" i="16"/>
  <c r="S21" i="16"/>
  <c r="S22" i="16"/>
  <c r="K21" i="16"/>
  <c r="K22" i="16"/>
  <c r="X21" i="16"/>
  <c r="X22" i="16"/>
  <c r="N45" i="16"/>
  <c r="N51" i="16" s="1"/>
  <c r="N24" i="16"/>
  <c r="N34" i="16"/>
  <c r="N40" i="16" s="1"/>
  <c r="AP23" i="16"/>
  <c r="AP33" i="16"/>
  <c r="AP44" i="16"/>
  <c r="AD45" i="16"/>
  <c r="AD51" i="16" s="1"/>
  <c r="AD34" i="16"/>
  <c r="AD40" i="16" s="1"/>
  <c r="AD24" i="16"/>
  <c r="L21" i="16"/>
  <c r="L22" i="16"/>
  <c r="AG24" i="16"/>
  <c r="AG34" i="16"/>
  <c r="AG40" i="16" s="1"/>
  <c r="AG45" i="16"/>
  <c r="AG51" i="16" s="1"/>
  <c r="M24" i="16"/>
  <c r="M45" i="16"/>
  <c r="M51" i="16" s="1"/>
  <c r="M34" i="16"/>
  <c r="M40" i="16" s="1"/>
  <c r="AB39" i="16"/>
  <c r="AZ10" i="16"/>
  <c r="Y23" i="16"/>
  <c r="Y33" i="16"/>
  <c r="Y44" i="16"/>
  <c r="I24" i="16"/>
  <c r="I45" i="16"/>
  <c r="I51" i="16" s="1"/>
  <c r="I34" i="16"/>
  <c r="I40" i="16" s="1"/>
  <c r="AQ39" i="16"/>
  <c r="AC34" i="16"/>
  <c r="AC40" i="16" s="1"/>
  <c r="AC24" i="16"/>
  <c r="AC45" i="16"/>
  <c r="AC51" i="16" s="1"/>
  <c r="AR22" i="16"/>
  <c r="AR21" i="16"/>
  <c r="AI21" i="16"/>
  <c r="AI22" i="16"/>
  <c r="R23" i="16"/>
  <c r="R44" i="16"/>
  <c r="R33" i="16"/>
  <c r="J23" i="16"/>
  <c r="J33" i="16"/>
  <c r="J44" i="16"/>
  <c r="AN21" i="16"/>
  <c r="AN22" i="16"/>
  <c r="V44" i="16"/>
  <c r="V23" i="16"/>
  <c r="V33" i="16"/>
  <c r="J45" i="16"/>
  <c r="J51" i="16" s="1"/>
  <c r="J24" i="16"/>
  <c r="J34" i="16"/>
  <c r="J40" i="16" s="1"/>
  <c r="AP45" i="16"/>
  <c r="AP51" i="16" s="1"/>
  <c r="AP24" i="16"/>
  <c r="AP34" i="16"/>
  <c r="AP40" i="16" s="1"/>
  <c r="AA44" i="16"/>
  <c r="AA33" i="16"/>
  <c r="AA23" i="16"/>
  <c r="H21" i="16"/>
  <c r="H22" i="16"/>
  <c r="AG23" i="16"/>
  <c r="AG44" i="16"/>
  <c r="AG33" i="16"/>
  <c r="M23" i="16"/>
  <c r="M33" i="16"/>
  <c r="M44" i="16"/>
  <c r="P24" i="16"/>
  <c r="P34" i="16"/>
  <c r="P40" i="16" s="1"/>
  <c r="P45" i="16"/>
  <c r="P51" i="16" s="1"/>
  <c r="AY45" i="16"/>
  <c r="AY51" i="16" s="1"/>
  <c r="AY24" i="16"/>
  <c r="AY34" i="16"/>
  <c r="AY40" i="16" s="1"/>
  <c r="Q24" i="16"/>
  <c r="Q34" i="16"/>
  <c r="Q40" i="16" s="1"/>
  <c r="Q45" i="16"/>
  <c r="Q51" i="16" s="1"/>
  <c r="G27" i="16"/>
  <c r="F30" i="16"/>
  <c r="AQ50" i="16"/>
  <c r="AJ35" i="16"/>
  <c r="AJ39" i="16"/>
  <c r="AX21" i="16"/>
  <c r="AX22" i="16"/>
  <c r="AM21" i="16"/>
  <c r="AM22" i="16"/>
  <c r="AU22" i="16"/>
  <c r="AU21" i="16"/>
  <c r="AC23" i="16"/>
  <c r="AC33" i="16"/>
  <c r="AC44" i="16"/>
  <c r="AV44" i="16"/>
  <c r="AV23" i="16"/>
  <c r="AV33" i="16"/>
  <c r="AQ34" i="16"/>
  <c r="AQ40" i="16" s="1"/>
  <c r="AQ24" i="16"/>
  <c r="AQ45" i="16"/>
  <c r="AQ51" i="16" s="1"/>
  <c r="AH22" i="16"/>
  <c r="AH21" i="16"/>
  <c r="O21" i="16"/>
  <c r="O22" i="16"/>
  <c r="G21" i="16"/>
  <c r="G22" i="16"/>
  <c r="AK21" i="16"/>
  <c r="AK22" i="16"/>
  <c r="V34" i="16"/>
  <c r="V40" i="16" s="1"/>
  <c r="V45" i="16"/>
  <c r="V51" i="16" s="1"/>
  <c r="V24" i="16"/>
  <c r="F45" i="16"/>
  <c r="F51" i="16" s="1"/>
  <c r="F24" i="16"/>
  <c r="F34" i="16"/>
  <c r="F40" i="16" s="1"/>
  <c r="AF33" i="16"/>
  <c r="AF23" i="16"/>
  <c r="AF44" i="16"/>
  <c r="Z23" i="16"/>
  <c r="Z33" i="16"/>
  <c r="Z44" i="16"/>
  <c r="AO24" i="16"/>
  <c r="AO34" i="16"/>
  <c r="AO40" i="16" s="1"/>
  <c r="AO45" i="16"/>
  <c r="AO51" i="16" s="1"/>
  <c r="U24" i="16"/>
  <c r="U34" i="16"/>
  <c r="U40" i="16" s="1"/>
  <c r="U45" i="16"/>
  <c r="U51" i="16" s="1"/>
  <c r="P33" i="16"/>
  <c r="P44" i="16"/>
  <c r="P23" i="16"/>
  <c r="AY23" i="16"/>
  <c r="AY33" i="16"/>
  <c r="AY44" i="16"/>
  <c r="Q23" i="16"/>
  <c r="Q33" i="16"/>
  <c r="Q44" i="16"/>
  <c r="T24" i="16"/>
  <c r="T34" i="16"/>
  <c r="T40" i="16" s="1"/>
  <c r="T45" i="16"/>
  <c r="T51" i="16" s="1"/>
  <c r="AE21" i="16"/>
  <c r="AE22" i="16"/>
  <c r="AA34" i="16"/>
  <c r="AA40" i="16" s="1"/>
  <c r="AA24" i="16"/>
  <c r="AA45" i="16"/>
  <c r="AA51" i="16" s="1"/>
  <c r="AV45" i="16"/>
  <c r="AV51" i="16" s="1"/>
  <c r="AV24" i="16"/>
  <c r="AV34" i="16"/>
  <c r="AV40" i="16" s="1"/>
  <c r="AL44" i="16"/>
  <c r="AL23" i="16"/>
  <c r="AL33" i="16"/>
  <c r="AF24" i="16"/>
  <c r="AF34" i="16"/>
  <c r="AF40" i="16" s="1"/>
  <c r="AF45" i="16"/>
  <c r="AF51" i="16" s="1"/>
  <c r="N23" i="16"/>
  <c r="N44" i="16"/>
  <c r="N33" i="16"/>
  <c r="F23" i="16"/>
  <c r="F33" i="16"/>
  <c r="F44" i="16"/>
  <c r="AB24" i="16"/>
  <c r="AB34" i="16"/>
  <c r="AB40" i="16" s="1"/>
  <c r="AB45" i="16"/>
  <c r="AB51" i="16" s="1"/>
  <c r="R45" i="16"/>
  <c r="R51" i="16" s="1"/>
  <c r="R24" i="16"/>
  <c r="R34" i="16"/>
  <c r="R40" i="16" s="1"/>
  <c r="AZ21" i="16"/>
  <c r="D33" i="16"/>
  <c r="D44" i="16"/>
  <c r="D23" i="16"/>
  <c r="AD23" i="16"/>
  <c r="AD33" i="16"/>
  <c r="AD44" i="16"/>
  <c r="Z45" i="16"/>
  <c r="Z51" i="16" s="1"/>
  <c r="Z24" i="16"/>
  <c r="Z34" i="16"/>
  <c r="Z40" i="16" s="1"/>
  <c r="AO23" i="16"/>
  <c r="AO33" i="16"/>
  <c r="AO44" i="16"/>
  <c r="U23" i="16"/>
  <c r="U33" i="16"/>
  <c r="U44" i="16"/>
  <c r="AB50" i="16"/>
  <c r="E22" i="16"/>
  <c r="E21" i="16"/>
  <c r="Y24" i="16"/>
  <c r="Y34" i="16"/>
  <c r="Y40" i="16" s="1"/>
  <c r="Y45" i="16"/>
  <c r="Y51" i="16" s="1"/>
  <c r="I23" i="16"/>
  <c r="I33" i="16"/>
  <c r="I44" i="16"/>
  <c r="T33" i="16"/>
  <c r="T44" i="16"/>
  <c r="T23" i="16"/>
  <c r="AJ50" i="16"/>
  <c r="AJ46" i="16"/>
  <c r="G12" i="5"/>
  <c r="G9" i="5"/>
  <c r="D16" i="5"/>
  <c r="T50" i="16" l="1"/>
  <c r="T46" i="16"/>
  <c r="AO46" i="16"/>
  <c r="AO50" i="16"/>
  <c r="F35" i="16"/>
  <c r="F39" i="16"/>
  <c r="AL35" i="16"/>
  <c r="AL39" i="16"/>
  <c r="AF50" i="16"/>
  <c r="AF46" i="16"/>
  <c r="G44" i="16"/>
  <c r="G23" i="16"/>
  <c r="G33" i="16"/>
  <c r="AH45" i="16"/>
  <c r="AH51" i="16" s="1"/>
  <c r="AH24" i="16"/>
  <c r="AH34" i="16"/>
  <c r="AH40" i="16" s="1"/>
  <c r="AV35" i="16"/>
  <c r="AV39" i="16"/>
  <c r="AC39" i="16"/>
  <c r="AC35" i="16"/>
  <c r="AM34" i="16"/>
  <c r="AM40" i="16" s="1"/>
  <c r="AM45" i="16"/>
  <c r="AM51" i="16" s="1"/>
  <c r="AM24" i="16"/>
  <c r="M39" i="16"/>
  <c r="M35" i="16"/>
  <c r="AA35" i="16"/>
  <c r="AA39" i="16"/>
  <c r="V35" i="16"/>
  <c r="V39" i="16"/>
  <c r="AN33" i="16"/>
  <c r="AN23" i="16"/>
  <c r="AN44" i="16"/>
  <c r="R35" i="16"/>
  <c r="R39" i="16"/>
  <c r="AI44" i="16"/>
  <c r="AI33" i="16"/>
  <c r="AI23" i="16"/>
  <c r="Y39" i="16"/>
  <c r="Y35" i="16"/>
  <c r="L33" i="16"/>
  <c r="L44" i="16"/>
  <c r="L23" i="16"/>
  <c r="AP46" i="16"/>
  <c r="AP50" i="16"/>
  <c r="K34" i="16"/>
  <c r="K40" i="16" s="1"/>
  <c r="K45" i="16"/>
  <c r="K51" i="16" s="1"/>
  <c r="K24" i="16"/>
  <c r="AS44" i="16"/>
  <c r="AS23" i="16"/>
  <c r="AS33" i="16"/>
  <c r="W34" i="16"/>
  <c r="W40" i="16" s="1"/>
  <c r="W45" i="16"/>
  <c r="W51" i="16" s="1"/>
  <c r="W24" i="16"/>
  <c r="T39" i="16"/>
  <c r="T35" i="16"/>
  <c r="E23" i="16"/>
  <c r="AZ23" i="16" s="1"/>
  <c r="E33" i="16"/>
  <c r="E44" i="16"/>
  <c r="U46" i="16"/>
  <c r="U50" i="16"/>
  <c r="AO39" i="16"/>
  <c r="AO35" i="16"/>
  <c r="AE34" i="16"/>
  <c r="AE40" i="16" s="1"/>
  <c r="AE45" i="16"/>
  <c r="AE51" i="16" s="1"/>
  <c r="AE24" i="16"/>
  <c r="AY46" i="16"/>
  <c r="AY50" i="16"/>
  <c r="P50" i="16"/>
  <c r="P46" i="16"/>
  <c r="Z46" i="16"/>
  <c r="Z50" i="16"/>
  <c r="AK45" i="16"/>
  <c r="AK51" i="16" s="1"/>
  <c r="AK34" i="16"/>
  <c r="AK40" i="16" s="1"/>
  <c r="AK24" i="16"/>
  <c r="O34" i="16"/>
  <c r="O40" i="16" s="1"/>
  <c r="O45" i="16"/>
  <c r="O51" i="16" s="1"/>
  <c r="O24" i="16"/>
  <c r="AM44" i="16"/>
  <c r="AM23" i="16"/>
  <c r="AM33" i="16"/>
  <c r="H27" i="16"/>
  <c r="G30" i="16"/>
  <c r="H24" i="16"/>
  <c r="H34" i="16"/>
  <c r="H40" i="16" s="1"/>
  <c r="H45" i="16"/>
  <c r="H51" i="16" s="1"/>
  <c r="AA46" i="16"/>
  <c r="AA50" i="16"/>
  <c r="J46" i="16"/>
  <c r="J50" i="16"/>
  <c r="R46" i="16"/>
  <c r="R50" i="16"/>
  <c r="AR33" i="16"/>
  <c r="AR44" i="16"/>
  <c r="AR23" i="16"/>
  <c r="AP35" i="16"/>
  <c r="AP39" i="16"/>
  <c r="K44" i="16"/>
  <c r="K23" i="16"/>
  <c r="K33" i="16"/>
  <c r="W44" i="16"/>
  <c r="W23" i="16"/>
  <c r="W33" i="16"/>
  <c r="AW34" i="16"/>
  <c r="AW40" i="16" s="1"/>
  <c r="AW45" i="16"/>
  <c r="AW51" i="16" s="1"/>
  <c r="AW24" i="16"/>
  <c r="I46" i="16"/>
  <c r="I50" i="16"/>
  <c r="E24" i="16"/>
  <c r="E34" i="16"/>
  <c r="E40" i="16" s="1"/>
  <c r="E45" i="16"/>
  <c r="E51" i="16" s="1"/>
  <c r="AZ22" i="16"/>
  <c r="U39" i="16"/>
  <c r="U35" i="16"/>
  <c r="AD46" i="16"/>
  <c r="AD50" i="16"/>
  <c r="D50" i="16"/>
  <c r="D46" i="16"/>
  <c r="N35" i="16"/>
  <c r="N39" i="16"/>
  <c r="AL46" i="16"/>
  <c r="AL50" i="16"/>
  <c r="AE44" i="16"/>
  <c r="AE23" i="16"/>
  <c r="AE33" i="16"/>
  <c r="Q46" i="16"/>
  <c r="Q50" i="16"/>
  <c r="AY39" i="16"/>
  <c r="AY35" i="16"/>
  <c r="P39" i="16"/>
  <c r="P35" i="16"/>
  <c r="Z35" i="16"/>
  <c r="Z39" i="16"/>
  <c r="AF35" i="16"/>
  <c r="AF39" i="16"/>
  <c r="AK23" i="16"/>
  <c r="AK33" i="16"/>
  <c r="AK44" i="16"/>
  <c r="O44" i="16"/>
  <c r="O23" i="16"/>
  <c r="O33" i="16"/>
  <c r="AV50" i="16"/>
  <c r="AV46" i="16"/>
  <c r="AU23" i="16"/>
  <c r="AU33" i="16"/>
  <c r="AU44" i="16"/>
  <c r="AX24" i="16"/>
  <c r="AX45" i="16"/>
  <c r="AX51" i="16" s="1"/>
  <c r="AX34" i="16"/>
  <c r="AX40" i="16" s="1"/>
  <c r="AG39" i="16"/>
  <c r="AG35" i="16"/>
  <c r="H33" i="16"/>
  <c r="H44" i="16"/>
  <c r="H23" i="16"/>
  <c r="V46" i="16"/>
  <c r="V50" i="16"/>
  <c r="J35" i="16"/>
  <c r="J39" i="16"/>
  <c r="AR45" i="16"/>
  <c r="AR51" i="16" s="1"/>
  <c r="AR24" i="16"/>
  <c r="AR34" i="16"/>
  <c r="AR40" i="16" s="1"/>
  <c r="X24" i="16"/>
  <c r="X45" i="16"/>
  <c r="X51" i="16" s="1"/>
  <c r="X34" i="16"/>
  <c r="X40" i="16" s="1"/>
  <c r="S34" i="16"/>
  <c r="S40" i="16" s="1"/>
  <c r="S45" i="16"/>
  <c r="S51" i="16" s="1"/>
  <c r="S24" i="16"/>
  <c r="AW44" i="16"/>
  <c r="AW23" i="16"/>
  <c r="AW33" i="16"/>
  <c r="I39" i="16"/>
  <c r="I35" i="16"/>
  <c r="AB46" i="16"/>
  <c r="AD35" i="16"/>
  <c r="AD39" i="16"/>
  <c r="D35" i="16"/>
  <c r="D39" i="16"/>
  <c r="F46" i="16"/>
  <c r="F50" i="16"/>
  <c r="N46" i="16"/>
  <c r="N50" i="16"/>
  <c r="Q39" i="16"/>
  <c r="Q35" i="16"/>
  <c r="G34" i="16"/>
  <c r="G40" i="16" s="1"/>
  <c r="G45" i="16"/>
  <c r="G51" i="16" s="1"/>
  <c r="G24" i="16"/>
  <c r="AH23" i="16"/>
  <c r="AH33" i="16"/>
  <c r="AH44" i="16"/>
  <c r="AC46" i="16"/>
  <c r="AC50" i="16"/>
  <c r="AU45" i="16"/>
  <c r="AU51" i="16" s="1"/>
  <c r="AU34" i="16"/>
  <c r="AU40" i="16" s="1"/>
  <c r="AU24" i="16"/>
  <c r="AX33" i="16"/>
  <c r="AX23" i="16"/>
  <c r="AX44" i="16"/>
  <c r="AQ46" i="16"/>
  <c r="M46" i="16"/>
  <c r="M50" i="16"/>
  <c r="AG46" i="16"/>
  <c r="AG50" i="16"/>
  <c r="AN24" i="16"/>
  <c r="AN45" i="16"/>
  <c r="AN51" i="16" s="1"/>
  <c r="AN34" i="16"/>
  <c r="AN40" i="16" s="1"/>
  <c r="AI34" i="16"/>
  <c r="AI40" i="16" s="1"/>
  <c r="AI24" i="16"/>
  <c r="AI45" i="16"/>
  <c r="AI51" i="16" s="1"/>
  <c r="AQ35" i="16"/>
  <c r="Y46" i="16"/>
  <c r="Y50" i="16"/>
  <c r="AB35" i="16"/>
  <c r="L24" i="16"/>
  <c r="L34" i="16"/>
  <c r="L40" i="16" s="1"/>
  <c r="L45" i="16"/>
  <c r="L51" i="16" s="1"/>
  <c r="X33" i="16"/>
  <c r="X23" i="16"/>
  <c r="X44" i="16"/>
  <c r="S44" i="16"/>
  <c r="S23" i="16"/>
  <c r="S33" i="16"/>
  <c r="AS34" i="16"/>
  <c r="AS40" i="16" s="1"/>
  <c r="AS45" i="16"/>
  <c r="AS51" i="16" s="1"/>
  <c r="AS24" i="16"/>
  <c r="P36" i="6"/>
  <c r="P30" i="6"/>
  <c r="G21" i="5"/>
  <c r="G6" i="5"/>
  <c r="G7" i="5"/>
  <c r="H7" i="5" s="1"/>
  <c r="G8" i="5"/>
  <c r="H8" i="5" s="1"/>
  <c r="H9" i="5"/>
  <c r="G10" i="5"/>
  <c r="H10" i="5" s="1"/>
  <c r="G11" i="5"/>
  <c r="H11" i="5" s="1"/>
  <c r="H12" i="5"/>
  <c r="G13" i="5"/>
  <c r="H13" i="5" s="1"/>
  <c r="G14" i="5"/>
  <c r="H14" i="5" s="1"/>
  <c r="G15" i="5"/>
  <c r="H15" i="5" s="1"/>
  <c r="G22" i="5"/>
  <c r="G23" i="5"/>
  <c r="G24" i="5"/>
  <c r="G25" i="5"/>
  <c r="G26" i="5"/>
  <c r="G27" i="5"/>
  <c r="G28" i="5"/>
  <c r="G29" i="5"/>
  <c r="G30" i="5"/>
  <c r="D31" i="5"/>
  <c r="G36" i="5"/>
  <c r="H36" i="5" s="1"/>
  <c r="G37" i="5"/>
  <c r="H37" i="5" s="1"/>
  <c r="G38" i="5"/>
  <c r="H38" i="5"/>
  <c r="G39" i="5"/>
  <c r="H39" i="5" s="1"/>
  <c r="G40" i="5"/>
  <c r="H40" i="5" s="1"/>
  <c r="G41" i="5"/>
  <c r="H41" i="5" s="1"/>
  <c r="G42" i="5"/>
  <c r="H42" i="5"/>
  <c r="G43" i="5"/>
  <c r="H43" i="5"/>
  <c r="G44" i="5"/>
  <c r="H44" i="5" s="1"/>
  <c r="G45" i="5"/>
  <c r="H45" i="5" s="1"/>
  <c r="G46" i="5"/>
  <c r="H46" i="5"/>
  <c r="G47" i="5"/>
  <c r="H47" i="5"/>
  <c r="G48" i="5"/>
  <c r="H48" i="5" s="1"/>
  <c r="G49" i="5"/>
  <c r="H49" i="5" s="1"/>
  <c r="G50" i="5"/>
  <c r="H50" i="5"/>
  <c r="G51" i="5"/>
  <c r="H51" i="5"/>
  <c r="G52" i="5"/>
  <c r="H52" i="5" s="1"/>
  <c r="G53" i="5"/>
  <c r="H53" i="5" s="1"/>
  <c r="G54" i="5"/>
  <c r="H54" i="5"/>
  <c r="G55" i="5"/>
  <c r="H55" i="5"/>
  <c r="G56" i="5"/>
  <c r="H56" i="5" s="1"/>
  <c r="G57" i="5"/>
  <c r="H57" i="5" s="1"/>
  <c r="G58" i="5"/>
  <c r="H58" i="5"/>
  <c r="G59" i="5"/>
  <c r="H59" i="5"/>
  <c r="G60" i="5"/>
  <c r="H60" i="5" s="1"/>
  <c r="G61" i="5"/>
  <c r="H61" i="5" s="1"/>
  <c r="G62" i="5"/>
  <c r="H62" i="5"/>
  <c r="G63" i="5"/>
  <c r="H63" i="5"/>
  <c r="G64" i="5"/>
  <c r="H64" i="5" s="1"/>
  <c r="G65" i="5"/>
  <c r="H65" i="5" s="1"/>
  <c r="G66" i="5"/>
  <c r="H66" i="5"/>
  <c r="G67" i="5"/>
  <c r="H67" i="5"/>
  <c r="G68" i="5"/>
  <c r="H68" i="5" s="1"/>
  <c r="G69" i="5"/>
  <c r="H69" i="5" s="1"/>
  <c r="G70" i="5"/>
  <c r="H70" i="5"/>
  <c r="G71" i="5"/>
  <c r="H71" i="5"/>
  <c r="G72" i="5"/>
  <c r="H72" i="5" s="1"/>
  <c r="G73" i="5"/>
  <c r="H73" i="5" s="1"/>
  <c r="G74" i="5"/>
  <c r="H74" i="5"/>
  <c r="G75" i="5"/>
  <c r="H75" i="5"/>
  <c r="G76" i="5"/>
  <c r="H76" i="5" s="1"/>
  <c r="G77" i="5"/>
  <c r="H77" i="5" s="1"/>
  <c r="G78" i="5"/>
  <c r="H78" i="5"/>
  <c r="G79" i="5"/>
  <c r="H79" i="5"/>
  <c r="G80" i="5"/>
  <c r="H80" i="5" s="1"/>
  <c r="G81" i="5"/>
  <c r="H81" i="5" s="1"/>
  <c r="G82" i="5"/>
  <c r="H82" i="5"/>
  <c r="G83" i="5"/>
  <c r="H83" i="5"/>
  <c r="G84" i="5"/>
  <c r="H84" i="5" s="1"/>
  <c r="G85" i="5"/>
  <c r="H85" i="5" s="1"/>
  <c r="G86" i="5"/>
  <c r="H86" i="5"/>
  <c r="G87" i="5"/>
  <c r="H87" i="5"/>
  <c r="G88" i="5"/>
  <c r="H88" i="5" s="1"/>
  <c r="G89" i="5"/>
  <c r="H89" i="5" s="1"/>
  <c r="G90" i="5"/>
  <c r="H90" i="5"/>
  <c r="G91" i="5"/>
  <c r="H91" i="5"/>
  <c r="G92" i="5"/>
  <c r="H92" i="5" s="1"/>
  <c r="G93" i="5"/>
  <c r="H93" i="5" s="1"/>
  <c r="G94" i="5"/>
  <c r="H94" i="5"/>
  <c r="G95" i="5"/>
  <c r="H95" i="5"/>
  <c r="G96" i="5"/>
  <c r="H96" i="5" s="1"/>
  <c r="G97" i="5"/>
  <c r="H97" i="5" s="1"/>
  <c r="G98" i="5"/>
  <c r="H98" i="5"/>
  <c r="G99" i="5"/>
  <c r="H99" i="5"/>
  <c r="G100" i="5"/>
  <c r="H100" i="5" s="1"/>
  <c r="G101" i="5"/>
  <c r="H101" i="5" s="1"/>
  <c r="G102" i="5"/>
  <c r="H102" i="5"/>
  <c r="G103" i="5"/>
  <c r="H103" i="5"/>
  <c r="G104" i="5"/>
  <c r="H104" i="5" s="1"/>
  <c r="G105" i="5"/>
  <c r="H105" i="5" s="1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X35" i="16" l="1"/>
  <c r="X39" i="16"/>
  <c r="AH35" i="16"/>
  <c r="AH39" i="16"/>
  <c r="AW46" i="16"/>
  <c r="AW50" i="16"/>
  <c r="H35" i="16"/>
  <c r="H39" i="16"/>
  <c r="K35" i="16"/>
  <c r="K39" i="16"/>
  <c r="AS50" i="16"/>
  <c r="AS46" i="16"/>
  <c r="L35" i="16"/>
  <c r="L39" i="16"/>
  <c r="AI35" i="16"/>
  <c r="AI39" i="16"/>
  <c r="AN50" i="16"/>
  <c r="AN46" i="16"/>
  <c r="S50" i="16"/>
  <c r="S46" i="16"/>
  <c r="AX39" i="16"/>
  <c r="AX35" i="16"/>
  <c r="O50" i="16"/>
  <c r="O46" i="16"/>
  <c r="AE46" i="16"/>
  <c r="AE50" i="16"/>
  <c r="W35" i="16"/>
  <c r="W39" i="16"/>
  <c r="AM50" i="16"/>
  <c r="AM46" i="16"/>
  <c r="AI46" i="16"/>
  <c r="AI50" i="16"/>
  <c r="G46" i="16"/>
  <c r="G50" i="16"/>
  <c r="X50" i="16"/>
  <c r="X46" i="16"/>
  <c r="AW39" i="16"/>
  <c r="AW35" i="16"/>
  <c r="AU46" i="16"/>
  <c r="AU50" i="16"/>
  <c r="AK46" i="16"/>
  <c r="AK50" i="16"/>
  <c r="K46" i="16"/>
  <c r="K50" i="16"/>
  <c r="AR46" i="16"/>
  <c r="AR50" i="16"/>
  <c r="I27" i="16"/>
  <c r="H30" i="16"/>
  <c r="E46" i="16"/>
  <c r="E50" i="16"/>
  <c r="AS39" i="16"/>
  <c r="AS35" i="16"/>
  <c r="AN35" i="16"/>
  <c r="AN39" i="16"/>
  <c r="S35" i="16"/>
  <c r="S39" i="16"/>
  <c r="AX50" i="16"/>
  <c r="AX46" i="16"/>
  <c r="AH46" i="16"/>
  <c r="AH50" i="16"/>
  <c r="H50" i="16"/>
  <c r="H46" i="16"/>
  <c r="AU39" i="16"/>
  <c r="AU35" i="16"/>
  <c r="O35" i="16"/>
  <c r="O39" i="16"/>
  <c r="AK39" i="16"/>
  <c r="AK35" i="16"/>
  <c r="AE39" i="16"/>
  <c r="AE35" i="16"/>
  <c r="AZ24" i="16"/>
  <c r="W50" i="16"/>
  <c r="W46" i="16"/>
  <c r="AR35" i="16"/>
  <c r="AR39" i="16"/>
  <c r="AM35" i="16"/>
  <c r="AM39" i="16"/>
  <c r="E39" i="16"/>
  <c r="E35" i="16"/>
  <c r="L50" i="16"/>
  <c r="L46" i="16"/>
  <c r="G35" i="16"/>
  <c r="G39" i="16"/>
  <c r="G107" i="5"/>
  <c r="H6" i="5"/>
  <c r="G16" i="5"/>
  <c r="I30" i="16" l="1"/>
  <c r="J27" i="16"/>
  <c r="K27" i="16" l="1"/>
  <c r="J30" i="16"/>
  <c r="L27" i="16" l="1"/>
  <c r="K30" i="16"/>
  <c r="M27" i="16" l="1"/>
  <c r="L30" i="16"/>
  <c r="M30" i="16" l="1"/>
  <c r="N27" i="16"/>
  <c r="O27" i="16" l="1"/>
  <c r="N30" i="16"/>
  <c r="P27" i="16" l="1"/>
  <c r="O30" i="16"/>
  <c r="Q27" i="16" l="1"/>
  <c r="P30" i="16"/>
  <c r="Q30" i="16" l="1"/>
  <c r="R27" i="16"/>
  <c r="S27" i="16" l="1"/>
  <c r="R30" i="16"/>
  <c r="T27" i="16" l="1"/>
  <c r="S30" i="16"/>
  <c r="U27" i="16" l="1"/>
  <c r="T30" i="16"/>
  <c r="V27" i="16" l="1"/>
  <c r="U30" i="16"/>
  <c r="W27" i="16" l="1"/>
  <c r="V30" i="16"/>
  <c r="X27" i="16" l="1"/>
  <c r="W30" i="16"/>
  <c r="Y27" i="16" l="1"/>
  <c r="X30" i="16"/>
  <c r="Y30" i="16" l="1"/>
  <c r="Z27" i="16"/>
  <c r="AA27" i="16" l="1"/>
  <c r="Z30" i="16"/>
  <c r="AB27" i="16" l="1"/>
  <c r="AA30" i="16"/>
  <c r="AB30" i="16" l="1"/>
  <c r="AC27" i="16"/>
  <c r="AC30" i="16" l="1"/>
  <c r="AD27" i="16"/>
  <c r="AE27" i="16" l="1"/>
  <c r="AD30" i="16"/>
  <c r="AF27" i="16" l="1"/>
  <c r="AE30" i="16"/>
  <c r="AG27" i="16" l="1"/>
  <c r="AF30" i="16"/>
  <c r="AG30" i="16" l="1"/>
  <c r="AH27" i="16"/>
  <c r="AI27" i="16" l="1"/>
  <c r="AH30" i="16"/>
  <c r="AI30" i="16" l="1"/>
  <c r="AJ27" i="16"/>
  <c r="AJ30" i="16" l="1"/>
  <c r="AK27" i="16"/>
  <c r="AK30" i="16" l="1"/>
  <c r="AL27" i="16"/>
  <c r="AM27" i="16" l="1"/>
  <c r="AL30" i="16"/>
  <c r="AN27" i="16" l="1"/>
  <c r="AM30" i="16"/>
  <c r="AO27" i="16" l="1"/>
  <c r="AN30" i="16"/>
  <c r="AO30" i="16" l="1"/>
  <c r="AP27" i="16"/>
  <c r="AQ27" i="16" l="1"/>
  <c r="AP30" i="16"/>
  <c r="AR27" i="16" l="1"/>
  <c r="AQ30" i="16"/>
  <c r="AS27" i="16" l="1"/>
  <c r="AR30" i="16"/>
  <c r="AS30" i="16" l="1"/>
  <c r="AT27" i="16"/>
  <c r="AT30" i="16" l="1"/>
  <c r="AU27" i="16"/>
  <c r="AU30" i="16" l="1"/>
  <c r="AV27" i="16"/>
  <c r="AW27" i="16" l="1"/>
  <c r="AV30" i="16"/>
  <c r="AW30" i="16" l="1"/>
  <c r="AX27" i="16"/>
  <c r="AY27" i="16" l="1"/>
  <c r="AY30" i="16" s="1"/>
  <c r="AZ30" i="16" s="1"/>
  <c r="AX30" i="16"/>
</calcChain>
</file>

<file path=xl/sharedStrings.xml><?xml version="1.0" encoding="utf-8"?>
<sst xmlns="http://schemas.openxmlformats.org/spreadsheetml/2006/main" count="2199" uniqueCount="413">
  <si>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</si>
  <si>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</si>
  <si>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</si>
  <si>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</si>
  <si>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</si>
  <si>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</si>
  <si>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</si>
  <si>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</si>
  <si>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</si>
  <si>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</si>
  <si>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</si>
  <si>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</si>
  <si>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</si>
  <si>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</si>
  <si>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</si>
  <si>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</si>
  <si>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</si>
  <si>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</si>
  <si>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</si>
  <si>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</si>
  <si>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</si>
  <si>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</si>
  <si>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</si>
  <si>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</si>
  <si>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</si>
  <si>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</si>
  <si>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</si>
  <si>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</si>
  <si>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</si>
  <si>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</si>
  <si>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</si>
  <si>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</si>
  <si>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</si>
  <si>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</si>
  <si>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</si>
  <si>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</si>
  <si>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</si>
  <si>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</si>
  <si>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</si>
  <si>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</si>
  <si>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</si>
  <si>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</si>
  <si>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</si>
  <si>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</si>
  <si>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</si>
  <si>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</si>
  <si>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</si>
  <si>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</si>
  <si>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</si>
  <si>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</si>
  <si>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</si>
  <si>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</si>
  <si>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</si>
  <si>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</si>
  <si>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</si>
  <si>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</si>
  <si>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</si>
  <si>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</si>
  <si>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</si>
  <si>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</si>
  <si>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</si>
  <si>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</si>
  <si>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</si>
  <si>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</si>
  <si>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</si>
  <si>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</si>
  <si>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</si>
  <si>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</si>
  <si>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</si>
  <si>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</si>
  <si>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</si>
  <si>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</si>
  <si>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</si>
  <si>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</si>
  <si>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</si>
  <si>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</si>
  <si>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</si>
  <si>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</si>
  <si>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</si>
  <si>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</si>
  <si>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</si>
  <si>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</si>
  <si>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</si>
  <si>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</si>
  <si>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</si>
  <si>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</si>
  <si>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</si>
  <si>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</si>
  <si>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</si>
  <si>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</si>
  <si>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</si>
  <si>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</si>
  <si>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</si>
  <si>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</si>
  <si>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</si>
  <si>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</si>
  <si>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</si>
  <si>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</si>
  <si>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</si>
  <si>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</si>
  <si>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</si>
  <si>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</si>
  <si>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</si>
  <si>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</si>
  <si>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</si>
  <si>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</si>
  <si>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</si>
  <si>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</si>
  <si>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</si>
  <si>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</si>
  <si>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</si>
  <si>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</si>
  <si>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</si>
  <si>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</si>
  <si>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</si>
  <si>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</si>
  <si>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</si>
  <si>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</si>
  <si>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</si>
  <si>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</si>
  <si>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</si>
  <si>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</si>
  <si>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</si>
  <si>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</si>
  <si>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</si>
  <si>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</si>
  <si>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</si>
  <si>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</si>
  <si>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</si>
  <si>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</si>
  <si>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</si>
  <si>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</si>
  <si>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</si>
  <si>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</si>
  <si>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</si>
  <si>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</si>
  <si>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</si>
  <si>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</si>
  <si>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</si>
  <si>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</si>
  <si>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</si>
  <si>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</si>
  <si>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</si>
  <si>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</si>
  <si>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</si>
  <si>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</si>
  <si>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</si>
  <si>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</si>
  <si>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</si>
  <si>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</si>
  <si>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</si>
  <si>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</si>
  <si>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</si>
  <si>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</si>
  <si>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</si>
  <si>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</si>
  <si>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</si>
  <si>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</si>
  <si>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</si>
  <si>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</si>
  <si>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</si>
  <si>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</si>
  <si>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</si>
  <si>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</si>
  <si>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</si>
  <si>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freeoj</t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</si>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</sst>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4" fillId="0" borderId="0"/>
  </cellStyleXfs>
  <cellXfs count="210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0" borderId="0" xfId="0" applyProtection="1">
      <protection locked="0"/>
    </xf>
    <xf numFmtId="0" fontId="4" fillId="0" borderId="10" xfId="1" applyNumberFormat="1" applyFill="1" applyBorder="1" applyAlignment="1" applyProtection="1">
      <protection locked="0"/>
    </xf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 applyAlignment="1">
      <alignment horizontal="center"/>
    </xf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11"/>
  <sheetViews>
    <sheetView showGridLines="0" topLeftCell="A2" workbookViewId="0"/>
  </sheetViews>
  <sheetFormatPr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101" t="s">
        <v>165</v>
      </c>
      <c r="E4" s="102"/>
      <c r="F4" s="103"/>
    </row>
    <row r="5" spans="2:6" x14ac:dyDescent="0.2">
      <c r="B5" s="6"/>
      <c r="C5" s="7" t="s">
        <v>111</v>
      </c>
      <c r="D5" s="104">
        <v>2016</v>
      </c>
      <c r="E5" s="105"/>
      <c r="F5" s="106"/>
    </row>
    <row r="6" spans="2:6" x14ac:dyDescent="0.2">
      <c r="B6" s="3"/>
      <c r="C6" s="3"/>
      <c r="D6" s="3"/>
      <c r="E6" s="3"/>
      <c r="F6" s="3"/>
    </row>
    <row r="8" spans="2:6" x14ac:dyDescent="0.2">
      <c r="B8">
        <v>1</v>
      </c>
      <c r="C8" t="s">
        <v>336</v>
      </c>
      <c r="D8">
        <v>2</v>
      </c>
      <c r="E8" t="s">
        <v>337</v>
      </c>
    </row>
    <row r="10" spans="2:6" x14ac:dyDescent="0.2">
      <c r="C10" t="s">
        <v>12</v>
      </c>
      <c r="E10" t="s">
        <v>22</v>
      </c>
    </row>
    <row r="11" spans="2:6" x14ac:dyDescent="0.2">
      <c r="E11" t="s">
        <v>59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topLeftCell="A27" workbookViewId="0"/>
  </sheetViews>
  <sheetFormatPr defaultColWidth="9.140625"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9.14062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4"/>
      <c r="D6" s="15">
        <v>0</v>
      </c>
      <c r="E6" s="15"/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4"/>
      <c r="D7" s="15">
        <v>0</v>
      </c>
      <c r="E7" s="15"/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4"/>
      <c r="D8" s="15">
        <v>0</v>
      </c>
      <c r="E8" s="15"/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4"/>
      <c r="D9" s="15">
        <v>0</v>
      </c>
      <c r="E9" s="15"/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4"/>
      <c r="D10" s="15">
        <v>0</v>
      </c>
      <c r="E10" s="15"/>
      <c r="F10" s="15" t="s">
        <v>6</v>
      </c>
      <c r="G10" s="15">
        <f t="shared" si="0"/>
        <v>0</v>
      </c>
      <c r="H10" s="17" t="str">
        <f t="shared" si="1"/>
        <v/>
      </c>
    </row>
    <row r="11" spans="2:8" x14ac:dyDescent="0.2">
      <c r="B11" s="14" t="s">
        <v>11</v>
      </c>
      <c r="C11" s="84"/>
      <c r="D11" s="15">
        <v>0</v>
      </c>
      <c r="E11" s="15"/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4"/>
      <c r="D12" s="15">
        <v>3748</v>
      </c>
      <c r="E12" s="15"/>
      <c r="F12" s="15" t="s">
        <v>6</v>
      </c>
      <c r="G12" s="15">
        <f t="shared" si="0"/>
        <v>3748</v>
      </c>
      <c r="H12" s="17" t="str">
        <f t="shared" si="1"/>
        <v/>
      </c>
    </row>
    <row r="13" spans="2:8" x14ac:dyDescent="0.2">
      <c r="B13" s="14" t="s">
        <v>13</v>
      </c>
      <c r="C13" s="84"/>
      <c r="D13" s="15">
        <v>0</v>
      </c>
      <c r="E13" s="15"/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0</v>
      </c>
      <c r="E14" s="15"/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/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1</v>
      </c>
      <c r="E16" s="21" t="s">
        <v>16</v>
      </c>
      <c r="F16" s="12"/>
      <c r="G16" s="21">
        <f>COUNTIF(G6:G15,"&gt;0")</f>
        <v>1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2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/>
      <c r="D25" s="15">
        <v>0</v>
      </c>
      <c r="E25" s="15"/>
      <c r="F25" s="15" t="s">
        <v>6</v>
      </c>
      <c r="G25" s="15">
        <f t="shared" si="2"/>
        <v>0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/>
      <c r="D27" s="15">
        <v>0</v>
      </c>
      <c r="E27" s="15"/>
      <c r="F27" s="15" t="s">
        <v>6</v>
      </c>
      <c r="G27" s="15">
        <f t="shared" si="2"/>
        <v>0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0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/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/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/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/>
      <c r="D39" s="14">
        <v>50000</v>
      </c>
      <c r="E39" s="15"/>
      <c r="F39" s="15" t="s">
        <v>6</v>
      </c>
      <c r="G39" s="15">
        <f t="shared" si="3"/>
        <v>50000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/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/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/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/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/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/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/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/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/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/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/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/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/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/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/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/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/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/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/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/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/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/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/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0</v>
      </c>
      <c r="E63" s="15"/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/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/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0</v>
      </c>
      <c r="E66" s="15"/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/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/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/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/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/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/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/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/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/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/>
      <c r="D76" s="15">
        <v>51000</v>
      </c>
      <c r="E76" s="15"/>
      <c r="F76" s="15" t="s">
        <v>6</v>
      </c>
      <c r="G76" s="15">
        <f t="shared" si="5"/>
        <v>51000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/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/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/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/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/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/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/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/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/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/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/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/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/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/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/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/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/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/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/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/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/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/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/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/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/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/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/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/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/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/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topLeftCell="A23" workbookViewId="0">
      <selection activeCell="F20" sqref="F20"/>
    </sheetView>
  </sheetViews>
  <sheetFormatPr defaultColWidth="9.140625"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9.14062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</row>
    <row r="7" spans="2:14" x14ac:dyDescent="0.2">
      <c r="B7" s="36" t="s">
        <v>105</v>
      </c>
      <c r="C7" s="88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</row>
    <row r="8" spans="2:14" x14ac:dyDescent="0.2">
      <c r="B8" s="36" t="s">
        <v>106</v>
      </c>
      <c r="C8" s="88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</row>
    <row r="9" spans="2:14" x14ac:dyDescent="0.2">
      <c r="B9" s="36" t="s">
        <v>107</v>
      </c>
      <c r="C9" s="88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</row>
    <row r="10" spans="2:14" x14ac:dyDescent="0.2">
      <c r="B10" s="36" t="s">
        <v>108</v>
      </c>
      <c r="C10" s="88">
        <v>10000</v>
      </c>
      <c r="D10" s="88">
        <v>10000</v>
      </c>
      <c r="E10" s="88">
        <v>10000</v>
      </c>
      <c r="F10" s="88">
        <v>10000</v>
      </c>
      <c r="G10" s="88">
        <v>10000</v>
      </c>
      <c r="H10" s="88">
        <v>10000</v>
      </c>
      <c r="I10" s="88">
        <v>10000</v>
      </c>
      <c r="J10" s="88">
        <v>10000</v>
      </c>
      <c r="K10" s="88">
        <v>10000</v>
      </c>
      <c r="L10" s="88">
        <v>10000</v>
      </c>
      <c r="M10" s="88">
        <v>10000</v>
      </c>
      <c r="N10" s="88">
        <v>10000</v>
      </c>
    </row>
    <row r="11" spans="2:14" x14ac:dyDescent="0.2">
      <c r="B11" s="37" t="s">
        <v>109</v>
      </c>
      <c r="C11" s="88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0">
        <v>1</v>
      </c>
      <c r="D17" s="90">
        <v>0</v>
      </c>
      <c r="E17" s="90">
        <v>1</v>
      </c>
      <c r="F17" s="90">
        <v>5</v>
      </c>
      <c r="G17" s="90">
        <v>1</v>
      </c>
      <c r="H17" s="90">
        <v>10</v>
      </c>
      <c r="I17" s="29" t="s">
        <v>110</v>
      </c>
    </row>
    <row r="18" spans="2:33" x14ac:dyDescent="0.2">
      <c r="B18" s="36" t="s">
        <v>105</v>
      </c>
      <c r="C18" s="91">
        <v>1</v>
      </c>
      <c r="D18" s="91">
        <v>0</v>
      </c>
      <c r="E18" s="91">
        <v>1</v>
      </c>
      <c r="F18" s="91">
        <v>5</v>
      </c>
      <c r="G18" s="91">
        <v>1</v>
      </c>
      <c r="H18" s="91">
        <v>10</v>
      </c>
      <c r="I18" s="29" t="s">
        <v>110</v>
      </c>
    </row>
    <row r="19" spans="2:33" x14ac:dyDescent="0.2">
      <c r="B19" s="36" t="s">
        <v>106</v>
      </c>
      <c r="C19" s="91">
        <v>1</v>
      </c>
      <c r="D19" s="91">
        <v>0</v>
      </c>
      <c r="E19" s="91">
        <v>1</v>
      </c>
      <c r="F19" s="91">
        <v>5</v>
      </c>
      <c r="G19" s="91">
        <v>1</v>
      </c>
      <c r="H19" s="91">
        <v>10</v>
      </c>
      <c r="I19" s="29" t="s">
        <v>110</v>
      </c>
    </row>
    <row r="20" spans="2:33" x14ac:dyDescent="0.2">
      <c r="B20" s="36" t="s">
        <v>107</v>
      </c>
      <c r="C20" s="91">
        <v>1</v>
      </c>
      <c r="D20" s="91">
        <v>0</v>
      </c>
      <c r="E20" s="91">
        <v>1</v>
      </c>
      <c r="F20" s="91">
        <v>5</v>
      </c>
      <c r="G20" s="91">
        <v>1</v>
      </c>
      <c r="H20" s="91">
        <v>10</v>
      </c>
    </row>
    <row r="21" spans="2:33" x14ac:dyDescent="0.2">
      <c r="B21" s="36" t="s">
        <v>108</v>
      </c>
      <c r="C21" s="91">
        <v>1</v>
      </c>
      <c r="D21" s="91">
        <v>0</v>
      </c>
      <c r="E21" s="91">
        <v>1</v>
      </c>
      <c r="F21" s="91">
        <v>5</v>
      </c>
      <c r="G21" s="91">
        <v>1</v>
      </c>
      <c r="H21" s="91">
        <v>10</v>
      </c>
    </row>
    <row r="22" spans="2:33" x14ac:dyDescent="0.2">
      <c r="B22" s="37" t="s">
        <v>109</v>
      </c>
      <c r="C22" s="91">
        <v>1</v>
      </c>
      <c r="D22" s="91">
        <v>0</v>
      </c>
      <c r="E22" s="91">
        <v>1</v>
      </c>
      <c r="F22" s="91">
        <v>5</v>
      </c>
      <c r="G22" s="91">
        <v>1</v>
      </c>
      <c r="H22" s="91">
        <v>10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2011</v>
      </c>
      <c r="E28" s="49"/>
      <c r="F28" s="45">
        <f>basic_info!$D$5-4</f>
        <v>2012</v>
      </c>
      <c r="G28" s="49"/>
      <c r="H28" s="45">
        <f>basic_info!$D$5-3</f>
        <v>2013</v>
      </c>
      <c r="I28" s="49"/>
      <c r="J28" s="45">
        <f>basic_info!$D$5-2</f>
        <v>2014</v>
      </c>
      <c r="K28" s="49"/>
      <c r="L28" s="45">
        <f>basic_info!$D$5-1</f>
        <v>2015</v>
      </c>
      <c r="N28" s="45">
        <f>basic_info!$D$5</f>
        <v>2016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2016</v>
      </c>
      <c r="D30" s="44">
        <v>0.71606841632270113</v>
      </c>
      <c r="E30" s="35">
        <v>0</v>
      </c>
      <c r="F30" s="47">
        <v>0.72887055332178219</v>
      </c>
      <c r="G30" s="46">
        <v>0</v>
      </c>
      <c r="H30" s="47">
        <v>0.83662811576897178</v>
      </c>
      <c r="I30" s="46">
        <v>0</v>
      </c>
      <c r="J30" s="47">
        <v>0.81866788858339068</v>
      </c>
      <c r="K30" s="46">
        <v>0</v>
      </c>
      <c r="L30" s="47">
        <v>0.66383864317884189</v>
      </c>
      <c r="M30" s="46">
        <v>0</v>
      </c>
      <c r="N30" s="60"/>
      <c r="O30" s="71" t="s">
        <v>162</v>
      </c>
      <c r="P30" s="41">
        <f>M30+K30+I30+E30+G30</f>
        <v>0</v>
      </c>
      <c r="Q30" s="70"/>
    </row>
    <row r="31" spans="2:33" x14ac:dyDescent="0.2">
      <c r="B31" s="36"/>
      <c r="C31" s="47">
        <f>basic_info!$D$5+1</f>
        <v>2017</v>
      </c>
      <c r="D31" s="76"/>
      <c r="E31" s="75"/>
      <c r="F31" s="69">
        <v>0.67862145488531522</v>
      </c>
      <c r="G31" s="79">
        <v>0</v>
      </c>
      <c r="H31" s="61">
        <v>0.77144919455166439</v>
      </c>
      <c r="I31" s="62">
        <v>0</v>
      </c>
      <c r="J31" s="61">
        <v>0.74927989201390566</v>
      </c>
      <c r="K31" s="62">
        <v>0</v>
      </c>
      <c r="L31" s="61">
        <v>0.67403456532264949</v>
      </c>
      <c r="M31" s="62">
        <v>0</v>
      </c>
      <c r="N31" s="63">
        <v>0.9094305994382329</v>
      </c>
      <c r="O31" s="89"/>
      <c r="P31" s="63">
        <f>O31+M31+K31+I31+G31</f>
        <v>0</v>
      </c>
    </row>
    <row r="32" spans="2:33" x14ac:dyDescent="0.2">
      <c r="B32" s="36"/>
      <c r="C32" s="47">
        <f>basic_info!$D$5+2</f>
        <v>2018</v>
      </c>
      <c r="D32" s="76"/>
      <c r="E32" s="75"/>
      <c r="F32" s="75"/>
      <c r="G32" s="75"/>
      <c r="H32" s="69">
        <v>0.71662753591933626</v>
      </c>
      <c r="I32" s="79">
        <v>0</v>
      </c>
      <c r="J32" s="61">
        <v>0.7118064307683698</v>
      </c>
      <c r="K32" s="62">
        <v>0</v>
      </c>
      <c r="L32" s="61">
        <v>0.65742258166301204</v>
      </c>
      <c r="M32" s="62">
        <v>0</v>
      </c>
      <c r="N32" s="63">
        <v>0.8608485705892801</v>
      </c>
      <c r="O32" s="89"/>
      <c r="P32" s="63">
        <f>O32+M32+K32+I32</f>
        <v>0</v>
      </c>
    </row>
    <row r="33" spans="2:17" x14ac:dyDescent="0.2">
      <c r="B33" s="36"/>
      <c r="C33" s="47">
        <f>basic_info!$D$5+3</f>
        <v>2019</v>
      </c>
      <c r="D33" s="76"/>
      <c r="E33" s="75"/>
      <c r="F33" s="75"/>
      <c r="G33" s="75"/>
      <c r="H33" s="75"/>
      <c r="I33" s="75"/>
      <c r="J33" s="69">
        <v>0.68616087553988669</v>
      </c>
      <c r="K33" s="79">
        <v>0</v>
      </c>
      <c r="L33" s="61">
        <v>0.64171751702829749</v>
      </c>
      <c r="M33" s="62">
        <v>0</v>
      </c>
      <c r="N33" s="63">
        <v>0.8295043288750632</v>
      </c>
      <c r="O33" s="89"/>
      <c r="P33" s="63">
        <f>O33+M33+K33</f>
        <v>0</v>
      </c>
    </row>
    <row r="34" spans="2:17" x14ac:dyDescent="0.2">
      <c r="B34" s="36"/>
      <c r="C34" s="47">
        <f>basic_info!$D$5+4</f>
        <v>2020</v>
      </c>
      <c r="D34" s="76"/>
      <c r="E34" s="75"/>
      <c r="F34" s="75"/>
      <c r="G34" s="75"/>
      <c r="H34" s="75"/>
      <c r="I34" s="75"/>
      <c r="J34" s="75"/>
      <c r="K34" s="75"/>
      <c r="L34" s="69">
        <v>0.65376248745918275</v>
      </c>
      <c r="M34" s="79">
        <v>0</v>
      </c>
      <c r="N34" s="63">
        <v>0.84540928358710421</v>
      </c>
      <c r="O34" s="89"/>
      <c r="P34" s="63">
        <f>O34+M34</f>
        <v>0</v>
      </c>
    </row>
    <row r="35" spans="2:17" x14ac:dyDescent="0.2">
      <c r="B35" s="37"/>
      <c r="C35" s="72">
        <f>basic_info!$D$5+5</f>
        <v>2021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0.76962524616122252</v>
      </c>
      <c r="O35" s="89"/>
      <c r="P35" s="65">
        <f>O35</f>
        <v>0</v>
      </c>
    </row>
    <row r="36" spans="2:17" x14ac:dyDescent="0.2">
      <c r="B36" s="41" t="s">
        <v>113</v>
      </c>
      <c r="C36" s="36">
        <f>basic_info!$D$5</f>
        <v>2016</v>
      </c>
      <c r="D36" s="44">
        <v>1.1250861635625817</v>
      </c>
      <c r="E36" s="35">
        <v>0</v>
      </c>
      <c r="F36" s="73">
        <v>1.3053357330394562</v>
      </c>
      <c r="G36" s="74">
        <v>0</v>
      </c>
      <c r="H36" s="73">
        <v>1.1125214549937747</v>
      </c>
      <c r="I36" s="74">
        <v>0</v>
      </c>
      <c r="J36" s="73">
        <v>1.2057521205584205</v>
      </c>
      <c r="K36" s="74">
        <v>0</v>
      </c>
      <c r="L36" s="66">
        <v>1.201165752532078</v>
      </c>
      <c r="M36" s="67">
        <v>0</v>
      </c>
      <c r="N36" s="68"/>
      <c r="O36" s="71" t="s">
        <v>162</v>
      </c>
      <c r="P36" s="41">
        <f>M36+K36+I36+E36+G36</f>
        <v>0</v>
      </c>
      <c r="Q36" s="70"/>
    </row>
    <row r="37" spans="2:17" x14ac:dyDescent="0.2">
      <c r="B37" s="36"/>
      <c r="C37" s="47">
        <f>basic_info!$D$5+1</f>
        <v>2017</v>
      </c>
      <c r="D37" s="76"/>
      <c r="E37" s="75"/>
      <c r="F37" s="69">
        <v>1.2381058075672227</v>
      </c>
      <c r="G37" s="79">
        <v>0</v>
      </c>
      <c r="H37" s="61">
        <v>1.0896456341169221</v>
      </c>
      <c r="I37" s="62">
        <v>0</v>
      </c>
      <c r="J37" s="61">
        <v>1.1880059380028796</v>
      </c>
      <c r="K37" s="62">
        <v>0</v>
      </c>
      <c r="L37" s="61">
        <v>1.1979988746751256</v>
      </c>
      <c r="M37" s="62">
        <v>0</v>
      </c>
      <c r="N37" s="61">
        <v>1.1284743819827652</v>
      </c>
      <c r="O37" s="89"/>
      <c r="P37" s="63">
        <f>O37+M37+K37+I37+G37</f>
        <v>0</v>
      </c>
    </row>
    <row r="38" spans="2:17" x14ac:dyDescent="0.2">
      <c r="B38" s="36"/>
      <c r="C38" s="47">
        <f>basic_info!$D$5+2</f>
        <v>2018</v>
      </c>
      <c r="D38" s="76"/>
      <c r="E38" s="75"/>
      <c r="F38" s="75"/>
      <c r="G38" s="75"/>
      <c r="H38" s="69">
        <v>1.0587453955633634</v>
      </c>
      <c r="I38" s="79">
        <v>0</v>
      </c>
      <c r="J38" s="61">
        <v>1.0938135695671274</v>
      </c>
      <c r="K38" s="62">
        <v>0</v>
      </c>
      <c r="L38" s="61">
        <v>1.1014713588815135</v>
      </c>
      <c r="M38" s="62">
        <v>0</v>
      </c>
      <c r="N38" s="61">
        <v>1.042842908637313</v>
      </c>
      <c r="O38" s="89"/>
      <c r="P38" s="63">
        <f>O38+M38+K38+I38</f>
        <v>0</v>
      </c>
    </row>
    <row r="39" spans="2:17" x14ac:dyDescent="0.2">
      <c r="B39" s="36"/>
      <c r="C39" s="47">
        <f>basic_info!$D$5+3</f>
        <v>2019</v>
      </c>
      <c r="D39" s="76"/>
      <c r="E39" s="75"/>
      <c r="F39" s="75"/>
      <c r="G39" s="75"/>
      <c r="H39" s="75"/>
      <c r="I39" s="75"/>
      <c r="J39" s="69">
        <v>1.0288140534879155</v>
      </c>
      <c r="K39" s="79">
        <v>0</v>
      </c>
      <c r="L39" s="61">
        <v>1.0108999284690923</v>
      </c>
      <c r="M39" s="62">
        <v>0</v>
      </c>
      <c r="N39" s="61">
        <v>1.0032828986441651</v>
      </c>
      <c r="O39" s="89"/>
      <c r="P39" s="63">
        <f>O39+M39+K39</f>
        <v>0</v>
      </c>
    </row>
    <row r="40" spans="2:17" x14ac:dyDescent="0.2">
      <c r="B40" s="36"/>
      <c r="C40" s="47">
        <f>basic_info!$D$5+4</f>
        <v>2020</v>
      </c>
      <c r="D40" s="76"/>
      <c r="E40" s="75"/>
      <c r="F40" s="75"/>
      <c r="G40" s="75"/>
      <c r="H40" s="75"/>
      <c r="I40" s="75"/>
      <c r="J40" s="75"/>
      <c r="K40" s="75"/>
      <c r="L40" s="69">
        <v>0.98955166281759732</v>
      </c>
      <c r="M40" s="79">
        <v>0</v>
      </c>
      <c r="N40" s="61">
        <v>0.95103433990902408</v>
      </c>
      <c r="O40" s="89"/>
      <c r="P40" s="63">
        <f>O40+M40</f>
        <v>0</v>
      </c>
    </row>
    <row r="41" spans="2:17" x14ac:dyDescent="0.2">
      <c r="B41" s="37"/>
      <c r="C41" s="72">
        <f>basic_info!$D$5+5</f>
        <v>2021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0.9180320969671012</v>
      </c>
      <c r="O41" s="89"/>
      <c r="P41" s="64">
        <f>O41</f>
        <v>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2"/>
      <c r="D47" s="92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33">
        <f>SUM(C47:N47)</f>
        <v>0</v>
      </c>
    </row>
    <row r="48" spans="2:17" x14ac:dyDescent="0.2">
      <c r="B48" s="37" t="s">
        <v>113</v>
      </c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33">
        <f>SUM(C48:N48)</f>
        <v>0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3"/>
  <sheetViews>
    <sheetView showGridLines="0" topLeftCell="A16" workbookViewId="0">
      <selection activeCell="B34" sqref="B34"/>
    </sheetView>
  </sheetViews>
  <sheetFormatPr defaultColWidth="9.140625" defaultRowHeight="12.75" x14ac:dyDescent="0.2"/>
  <cols>
    <col min="1" max="1" width="4.7109375" style="29" customWidth="1"/>
    <col min="2" max="2" width="17.28515625" style="29" customWidth="1"/>
    <col min="3" max="16384" width="9.140625" style="29"/>
  </cols>
  <sheetData>
    <row r="2" spans="2:15" x14ac:dyDescent="0.2">
      <c r="B2" s="28" t="s">
        <v>114</v>
      </c>
    </row>
    <row r="3" spans="2:15" x14ac:dyDescent="0.2">
      <c r="B3" s="30" t="s">
        <v>144</v>
      </c>
    </row>
    <row r="4" spans="2:15" x14ac:dyDescent="0.2">
      <c r="B4" s="48"/>
      <c r="C4" s="48"/>
      <c r="D4" s="48"/>
      <c r="E4" s="48"/>
      <c r="F4" s="48"/>
      <c r="G4" s="49"/>
      <c r="H4" s="49"/>
      <c r="I4" s="49"/>
      <c r="J4" s="49"/>
      <c r="K4" s="49"/>
      <c r="L4" s="49"/>
    </row>
    <row r="5" spans="2:15" x14ac:dyDescent="0.2">
      <c r="B5" s="45" t="s">
        <v>115</v>
      </c>
      <c r="C5" s="45" t="s">
        <v>12</v>
      </c>
      <c r="D5" s="45" t="s">
        <v>22</v>
      </c>
      <c r="E5" s="45" t="s">
        <v>59</v>
      </c>
      <c r="F5" s="45" t="s">
        <v>150</v>
      </c>
      <c r="G5" s="50"/>
      <c r="H5" s="50"/>
      <c r="I5" s="50"/>
      <c r="J5" s="50"/>
      <c r="K5" s="50"/>
      <c r="L5" s="50"/>
      <c r="M5" s="50"/>
      <c r="N5" s="50"/>
      <c r="O5" s="50"/>
    </row>
    <row r="6" spans="2:15" x14ac:dyDescent="0.2">
      <c r="B6" s="45" t="s">
        <v>163</v>
      </c>
      <c r="C6" s="93"/>
      <c r="D6" s="93"/>
      <c r="E6" s="93"/>
      <c r="F6" s="97">
        <f>SUM($C$6:$E$6)</f>
        <v>0</v>
      </c>
      <c r="G6" s="49"/>
      <c r="H6" s="49"/>
      <c r="I6" s="49"/>
      <c r="J6" s="49"/>
      <c r="K6" s="49"/>
      <c r="L6" s="49"/>
      <c r="M6" s="50"/>
      <c r="N6" s="50"/>
      <c r="O6" s="50"/>
    </row>
    <row r="7" spans="2:15" x14ac:dyDescent="0.2">
      <c r="B7" s="45" t="s">
        <v>105</v>
      </c>
      <c r="C7" s="93"/>
      <c r="D7" s="93"/>
      <c r="E7" s="93"/>
      <c r="F7" s="97">
        <f>SUM($C$7:$E$7)</f>
        <v>0</v>
      </c>
      <c r="G7" s="49"/>
      <c r="H7" s="49"/>
      <c r="I7" s="49"/>
      <c r="J7" s="49"/>
      <c r="K7" s="49"/>
      <c r="L7" s="49"/>
      <c r="M7" s="50"/>
      <c r="N7" s="50"/>
      <c r="O7" s="50"/>
    </row>
    <row r="8" spans="2:15" x14ac:dyDescent="0.2">
      <c r="B8" s="45" t="s">
        <v>106</v>
      </c>
      <c r="C8" s="93"/>
      <c r="D8" s="93"/>
      <c r="E8" s="93"/>
      <c r="F8" s="97">
        <f>SUM($C$8:$E$8)</f>
        <v>0</v>
      </c>
      <c r="G8" s="49"/>
      <c r="H8" s="49"/>
      <c r="I8" s="49"/>
      <c r="J8" s="49"/>
      <c r="K8" s="49"/>
      <c r="L8" s="49"/>
      <c r="M8" s="50"/>
      <c r="N8" s="50"/>
      <c r="O8" s="50"/>
    </row>
    <row r="9" spans="2:15" x14ac:dyDescent="0.2">
      <c r="B9" s="45" t="s">
        <v>107</v>
      </c>
      <c r="C9" s="93"/>
      <c r="D9" s="93"/>
      <c r="E9" s="93"/>
      <c r="F9" s="97">
        <f>SUM($C$9:$E$9)</f>
        <v>0</v>
      </c>
      <c r="G9" s="49"/>
      <c r="H9" s="49"/>
      <c r="I9" s="49"/>
      <c r="J9" s="49"/>
      <c r="K9" s="49"/>
      <c r="L9" s="49"/>
      <c r="M9" s="50"/>
      <c r="N9" s="50"/>
      <c r="O9" s="50"/>
    </row>
    <row r="10" spans="2:15" x14ac:dyDescent="0.2">
      <c r="B10" s="45" t="s">
        <v>108</v>
      </c>
      <c r="C10" s="93">
        <v>33.33</v>
      </c>
      <c r="D10" s="93">
        <v>33.33</v>
      </c>
      <c r="E10" s="93">
        <v>33.340000000000003</v>
      </c>
      <c r="F10" s="97">
        <f>SUM($C$10:$E$10)</f>
        <v>100</v>
      </c>
      <c r="G10" s="49"/>
      <c r="H10" s="49"/>
      <c r="I10" s="49"/>
      <c r="J10" s="49"/>
      <c r="K10" s="49"/>
      <c r="L10" s="49"/>
      <c r="M10" s="50"/>
      <c r="N10" s="50"/>
      <c r="O10" s="50"/>
    </row>
    <row r="11" spans="2:15" x14ac:dyDescent="0.2">
      <c r="B11" s="45" t="s">
        <v>109</v>
      </c>
      <c r="C11" s="94"/>
      <c r="D11" s="94"/>
      <c r="E11" s="94"/>
      <c r="F11" s="96">
        <f>SUM($C$11:$E$11)</f>
        <v>0</v>
      </c>
      <c r="G11" s="49"/>
      <c r="H11" s="49"/>
      <c r="I11" s="49"/>
      <c r="J11" s="49"/>
      <c r="K11" s="49"/>
      <c r="L11" s="49"/>
      <c r="M11" s="50"/>
      <c r="N11" s="50"/>
      <c r="O11" s="50"/>
    </row>
    <row r="12" spans="2:15" x14ac:dyDescent="0.2">
      <c r="B12" s="51"/>
      <c r="C12" s="51"/>
      <c r="D12" s="51"/>
      <c r="E12" s="51"/>
      <c r="F12" s="51"/>
      <c r="G12" s="49"/>
      <c r="H12" s="49"/>
      <c r="I12" s="49"/>
      <c r="J12" s="49"/>
      <c r="K12" s="49"/>
      <c r="L12" s="49"/>
      <c r="M12" s="50"/>
      <c r="N12" s="50"/>
      <c r="O12" s="50"/>
    </row>
    <row r="13" spans="2:15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5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5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5" x14ac:dyDescent="0.2">
      <c r="B16" s="31"/>
      <c r="C16" s="31"/>
      <c r="D16" s="31"/>
      <c r="E16" s="50"/>
      <c r="F16" s="50"/>
      <c r="G16" s="50"/>
      <c r="H16" s="50"/>
      <c r="K16" s="50"/>
      <c r="L16" s="50"/>
      <c r="M16" s="50"/>
    </row>
    <row r="17" spans="2:14" x14ac:dyDescent="0.2">
      <c r="B17" s="45" t="s">
        <v>118</v>
      </c>
      <c r="C17" s="45" t="s">
        <v>12</v>
      </c>
      <c r="D17" s="45"/>
      <c r="E17" s="50"/>
      <c r="F17" s="50"/>
      <c r="G17" s="50"/>
      <c r="H17" s="50"/>
      <c r="K17" s="50"/>
      <c r="L17" s="50"/>
      <c r="M17" s="50"/>
    </row>
    <row r="18" spans="2:14" x14ac:dyDescent="0.2">
      <c r="B18" s="45" t="s">
        <v>119</v>
      </c>
      <c r="C18" s="45" t="s">
        <v>133</v>
      </c>
      <c r="D18" s="45" t="s">
        <v>123</v>
      </c>
      <c r="E18" s="50"/>
      <c r="F18" s="50"/>
      <c r="G18" s="50"/>
      <c r="H18" s="50"/>
      <c r="I18" s="50"/>
      <c r="K18" s="50"/>
      <c r="L18" s="50"/>
      <c r="M18" s="50"/>
    </row>
    <row r="19" spans="2:14" x14ac:dyDescent="0.2">
      <c r="B19" s="45" t="s">
        <v>120</v>
      </c>
      <c r="C19" s="94">
        <v>50</v>
      </c>
      <c r="D19" s="33">
        <f>100-$C$19</f>
        <v>50</v>
      </c>
      <c r="K19" s="50"/>
      <c r="L19" s="50"/>
      <c r="M19" s="50"/>
    </row>
    <row r="20" spans="2:14" x14ac:dyDescent="0.2">
      <c r="B20" s="54"/>
      <c r="C20" s="54"/>
      <c r="D20" s="54"/>
      <c r="E20" s="50"/>
      <c r="F20" s="50"/>
      <c r="G20" s="50"/>
      <c r="H20" s="50"/>
      <c r="K20" s="50"/>
      <c r="L20" s="50"/>
      <c r="M20" s="50"/>
    </row>
    <row r="21" spans="2:14" x14ac:dyDescent="0.2">
      <c r="I21" s="50"/>
      <c r="J21" s="50"/>
      <c r="K21" s="50"/>
    </row>
    <row r="22" spans="2:14" x14ac:dyDescent="0.2">
      <c r="B22" s="52" t="s">
        <v>114</v>
      </c>
      <c r="I22" s="50"/>
      <c r="J22" s="50"/>
      <c r="K22" s="50"/>
    </row>
    <row r="23" spans="2:14" x14ac:dyDescent="0.2">
      <c r="B23" s="55" t="s">
        <v>145</v>
      </c>
      <c r="I23" s="50"/>
      <c r="J23" s="50"/>
      <c r="K23" s="50"/>
    </row>
    <row r="24" spans="2:14" x14ac:dyDescent="0.2">
      <c r="B24" s="31"/>
      <c r="C24" s="31"/>
      <c r="D24" s="31"/>
      <c r="E24" s="31"/>
      <c r="L24" s="50"/>
      <c r="M24" s="50"/>
      <c r="N24" s="50"/>
    </row>
    <row r="25" spans="2:14" x14ac:dyDescent="0.2">
      <c r="B25" s="45" t="s">
        <v>121</v>
      </c>
      <c r="C25" s="45" t="s">
        <v>122</v>
      </c>
      <c r="D25" s="45" t="s">
        <v>12</v>
      </c>
      <c r="E25" s="45"/>
      <c r="L25" s="50"/>
      <c r="M25" s="50"/>
      <c r="N25" s="50"/>
    </row>
    <row r="26" spans="2:14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L26" s="50"/>
      <c r="M26" s="50"/>
      <c r="N26" s="50"/>
    </row>
    <row r="27" spans="2:14" x14ac:dyDescent="0.2">
      <c r="B27" s="45" t="s">
        <v>22</v>
      </c>
      <c r="C27" s="93"/>
      <c r="D27" s="93">
        <v>50</v>
      </c>
      <c r="E27" s="95">
        <v>50</v>
      </c>
      <c r="L27" s="50"/>
      <c r="M27" s="50"/>
      <c r="N27" s="50"/>
    </row>
    <row r="28" spans="2:14" x14ac:dyDescent="0.2">
      <c r="B28" s="45" t="s">
        <v>59</v>
      </c>
      <c r="C28" s="93"/>
      <c r="D28" s="93">
        <v>50</v>
      </c>
      <c r="E28" s="95">
        <v>50</v>
      </c>
      <c r="L28" s="50"/>
      <c r="M28" s="50"/>
      <c r="N28" s="50"/>
    </row>
    <row r="29" spans="2:14" x14ac:dyDescent="0.2">
      <c r="B29" s="45" t="s">
        <v>150</v>
      </c>
      <c r="C29" s="98">
        <f>SUM($C$27:$C$28)</f>
        <v>0</v>
      </c>
      <c r="D29" s="98">
        <f>SUM($D$27:$D$28)</f>
        <v>100</v>
      </c>
      <c r="E29" s="96">
        <f>SUM($E$27:$E$28)</f>
        <v>100</v>
      </c>
      <c r="L29" s="50"/>
      <c r="M29" s="50"/>
      <c r="N29" s="50"/>
    </row>
    <row r="30" spans="2:14" x14ac:dyDescent="0.2">
      <c r="B30" s="54"/>
      <c r="C30" s="54"/>
      <c r="D30" s="54"/>
      <c r="E30" s="54"/>
      <c r="L30" s="50"/>
      <c r="M30" s="50"/>
      <c r="N30" s="50"/>
    </row>
    <row r="31" spans="2:14" x14ac:dyDescent="0.2">
      <c r="I31" s="50"/>
      <c r="J31" s="50"/>
      <c r="K31" s="50"/>
    </row>
    <row r="32" spans="2:14" x14ac:dyDescent="0.2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2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2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2">
      <c r="B36" s="45" t="s">
        <v>22</v>
      </c>
      <c r="C36" s="93">
        <v>40</v>
      </c>
      <c r="D36" s="93">
        <v>30</v>
      </c>
      <c r="E36" s="93">
        <v>20</v>
      </c>
      <c r="F36" s="93">
        <v>40</v>
      </c>
      <c r="G36" s="93">
        <v>30</v>
      </c>
      <c r="H36" s="93">
        <v>20</v>
      </c>
      <c r="I36" s="93">
        <v>40</v>
      </c>
      <c r="J36" s="93">
        <v>30</v>
      </c>
      <c r="K36" s="93">
        <v>20</v>
      </c>
      <c r="L36" s="93">
        <v>40</v>
      </c>
      <c r="M36" s="93">
        <v>30</v>
      </c>
      <c r="N36" s="93">
        <v>20</v>
      </c>
    </row>
    <row r="37" spans="2:14" x14ac:dyDescent="0.2">
      <c r="B37" s="45" t="s">
        <v>59</v>
      </c>
      <c r="C37" s="94">
        <v>20</v>
      </c>
      <c r="D37" s="94">
        <v>30</v>
      </c>
      <c r="E37" s="94">
        <v>40</v>
      </c>
      <c r="F37" s="94">
        <v>20</v>
      </c>
      <c r="G37" s="94">
        <v>30</v>
      </c>
      <c r="H37" s="94">
        <v>40</v>
      </c>
      <c r="I37" s="94">
        <v>20</v>
      </c>
      <c r="J37" s="94">
        <v>30</v>
      </c>
      <c r="K37" s="94">
        <v>40</v>
      </c>
      <c r="L37" s="94">
        <v>20</v>
      </c>
      <c r="M37" s="94">
        <v>30</v>
      </c>
      <c r="N37" s="94">
        <v>40</v>
      </c>
    </row>
    <row r="38" spans="2:14" x14ac:dyDescent="0.2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2">
      <c r="I39" s="50"/>
      <c r="J39" s="50"/>
      <c r="K39" s="50"/>
    </row>
    <row r="40" spans="2:14" x14ac:dyDescent="0.2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2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2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2">
      <c r="I61" s="50"/>
      <c r="J61" s="50"/>
    </row>
    <row r="62" spans="9:24" x14ac:dyDescent="0.2">
      <c r="I62" s="50"/>
      <c r="J62" s="50"/>
    </row>
    <row r="63" spans="9:24" x14ac:dyDescent="0.2">
      <c r="I63" s="50"/>
      <c r="J63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E11 C19 C27:E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workbookViewId="0">
      <selection activeCell="H16" sqref="H16"/>
    </sheetView>
  </sheetViews>
  <sheetFormatPr defaultColWidth="9.140625"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9.14062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99">
        <v>2.3364730988163922</v>
      </c>
      <c r="E6" s="99">
        <v>2.0371883652873666</v>
      </c>
      <c r="F6" s="99">
        <v>1.3480992082498298</v>
      </c>
      <c r="G6" s="99">
        <v>0.99645497265992988</v>
      </c>
      <c r="H6" s="99">
        <v>1.4879684820014747</v>
      </c>
      <c r="I6" s="99">
        <v>1.3675827005824011</v>
      </c>
      <c r="J6" s="99">
        <v>1.5059379002408591</v>
      </c>
      <c r="K6" s="99">
        <v>0.98929662510805272</v>
      </c>
      <c r="L6" s="99">
        <v>1.0431705018203452</v>
      </c>
      <c r="M6" s="99">
        <v>1.4628369707237794</v>
      </c>
      <c r="N6" s="99">
        <v>2.1292398156238681</v>
      </c>
      <c r="O6" s="99">
        <v>1.6936649586316832</v>
      </c>
    </row>
    <row r="7" spans="2:15" x14ac:dyDescent="0.2">
      <c r="C7" s="36" t="s">
        <v>127</v>
      </c>
      <c r="D7" s="99">
        <v>1.9905876571189074</v>
      </c>
      <c r="E7" s="99">
        <v>1.7010375480070949</v>
      </c>
      <c r="F7" s="99">
        <v>0.70420020234429537</v>
      </c>
      <c r="G7" s="99">
        <v>1.6686830637280206</v>
      </c>
      <c r="H7" s="99">
        <v>1.5937987202693384</v>
      </c>
      <c r="I7" s="99">
        <v>1.9238781693773339</v>
      </c>
      <c r="J7" s="99">
        <v>1.9582055225410251</v>
      </c>
      <c r="K7" s="99">
        <v>2.1280883056166253</v>
      </c>
      <c r="L7" s="99">
        <v>1.6321928777487569</v>
      </c>
      <c r="M7" s="99">
        <v>0.68620135077717626</v>
      </c>
      <c r="N7" s="99">
        <v>0.79562888753202465</v>
      </c>
      <c r="O7" s="99">
        <v>1.7734505204159843</v>
      </c>
    </row>
    <row r="8" spans="2:15" x14ac:dyDescent="0.2">
      <c r="C8" s="36" t="s">
        <v>128</v>
      </c>
      <c r="D8" s="99">
        <v>2.1595530536997503</v>
      </c>
      <c r="E8" s="99">
        <v>1.3436473936681343</v>
      </c>
      <c r="F8" s="99">
        <v>1.2094648393187351</v>
      </c>
      <c r="G8" s="99">
        <v>1.1115122745796646</v>
      </c>
      <c r="H8" s="99">
        <v>1.7424804027597416</v>
      </c>
      <c r="I8" s="99">
        <v>0.91771698190659567</v>
      </c>
      <c r="J8" s="99">
        <v>1.6651451926289498</v>
      </c>
      <c r="K8" s="99">
        <v>1.3878632103624218</v>
      </c>
      <c r="L8" s="99">
        <v>1.6114122472086778</v>
      </c>
      <c r="M8" s="99">
        <v>2.2040608498482133</v>
      </c>
      <c r="N8" s="99">
        <v>1.1113008878900617</v>
      </c>
      <c r="O8" s="99">
        <v>1.1924580632556452</v>
      </c>
    </row>
    <row r="9" spans="2:15" x14ac:dyDescent="0.2">
      <c r="C9" s="36" t="s">
        <v>129</v>
      </c>
      <c r="D9" s="99">
        <v>2.2097997796424811</v>
      </c>
      <c r="E9" s="99">
        <v>2.2187215434175336</v>
      </c>
      <c r="F9" s="99">
        <v>0.76637160621567701</v>
      </c>
      <c r="G9" s="99">
        <v>1.5566545081213947</v>
      </c>
      <c r="H9" s="99">
        <v>1.2841988000934952</v>
      </c>
      <c r="I9" s="99">
        <v>2.3726631782248946</v>
      </c>
      <c r="J9" s="99">
        <v>2.1803162702161427</v>
      </c>
      <c r="K9" s="99">
        <v>1.9982835285313869</v>
      </c>
      <c r="L9" s="99">
        <v>1.5032757184337839</v>
      </c>
      <c r="M9" s="99">
        <v>2.3712772284242529</v>
      </c>
      <c r="N9" s="99">
        <v>0.73399713120801291</v>
      </c>
      <c r="O9" s="99">
        <v>1.7240051292599539</v>
      </c>
    </row>
    <row r="10" spans="2:15" x14ac:dyDescent="0.2">
      <c r="C10" s="36" t="s">
        <v>130</v>
      </c>
      <c r="D10" s="99">
        <v>0.88552156590149866</v>
      </c>
      <c r="E10" s="99">
        <v>0.88126540970987943</v>
      </c>
      <c r="F10" s="99">
        <v>1.1575745757925751</v>
      </c>
      <c r="G10" s="99">
        <v>1.2755753141981623</v>
      </c>
      <c r="H10" s="99">
        <v>0.92971202864806257</v>
      </c>
      <c r="I10" s="99">
        <v>0.80383089163703703</v>
      </c>
      <c r="J10" s="99">
        <v>2.1696965363281389</v>
      </c>
      <c r="K10" s="99">
        <v>2.3074342488695998</v>
      </c>
      <c r="L10" s="99">
        <v>2.0354170673064327</v>
      </c>
      <c r="M10" s="99">
        <v>0.97080310418678017</v>
      </c>
      <c r="N10" s="99">
        <v>2.3464831615939756</v>
      </c>
      <c r="O10" s="99">
        <v>1.8738466531915037</v>
      </c>
    </row>
    <row r="11" spans="2:15" x14ac:dyDescent="0.2">
      <c r="C11" s="36" t="s">
        <v>131</v>
      </c>
      <c r="D11" s="99">
        <v>2.1275372079645356</v>
      </c>
      <c r="E11" s="99">
        <v>1.655850234380237</v>
      </c>
      <c r="F11" s="99">
        <v>1.6455987282824658</v>
      </c>
      <c r="G11" s="99">
        <v>1.2971038495787266</v>
      </c>
      <c r="H11" s="99">
        <v>1.4213587835819514</v>
      </c>
      <c r="I11" s="99">
        <v>1.0615495028343076</v>
      </c>
      <c r="J11" s="99">
        <v>2.1919414513365334</v>
      </c>
      <c r="K11" s="99">
        <v>1.4876610566918367</v>
      </c>
      <c r="L11" s="99">
        <v>1.1249630443814496</v>
      </c>
      <c r="M11" s="99">
        <v>1.5864027545898891</v>
      </c>
      <c r="N11" s="99">
        <v>2.0922711095395661</v>
      </c>
      <c r="O11" s="99">
        <v>2.3740064175015085</v>
      </c>
    </row>
    <row r="12" spans="2:15" x14ac:dyDescent="0.2">
      <c r="C12" s="37" t="s">
        <v>132</v>
      </c>
      <c r="D12" s="99">
        <v>1.2742314512624295</v>
      </c>
      <c r="E12" s="99">
        <v>0.88515788294366449</v>
      </c>
      <c r="F12" s="99">
        <v>1.2162480078166327</v>
      </c>
      <c r="G12" s="99">
        <v>1.7807318770178329</v>
      </c>
      <c r="H12" s="99">
        <v>1.6039595748374214</v>
      </c>
      <c r="I12" s="99">
        <v>2.2687773018406094</v>
      </c>
      <c r="J12" s="99">
        <v>1.6082098402997047</v>
      </c>
      <c r="K12" s="99">
        <v>1.5677930091252736</v>
      </c>
      <c r="L12" s="99">
        <v>2.2076259097668856</v>
      </c>
      <c r="M12" s="99">
        <v>1.5209235851715099</v>
      </c>
      <c r="N12" s="99">
        <v>1.9663652162150629</v>
      </c>
      <c r="O12" s="99">
        <v>1.5653699553086031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99">
        <v>1.4139788958330965</v>
      </c>
      <c r="E15" s="99">
        <v>0.85534264738310961</v>
      </c>
      <c r="F15" s="99">
        <v>2.3161515798400063</v>
      </c>
      <c r="G15" s="99">
        <v>1.2469568295902187</v>
      </c>
      <c r="H15" s="99">
        <v>2.0988474381832107</v>
      </c>
      <c r="I15" s="99">
        <v>1.0082674810360146</v>
      </c>
      <c r="J15" s="99">
        <v>1.9344157513058182</v>
      </c>
      <c r="K15" s="99">
        <v>0.83833692355885725</v>
      </c>
      <c r="L15" s="99">
        <v>0.75347511721340277</v>
      </c>
      <c r="M15" s="99">
        <v>1.6513203697117855</v>
      </c>
      <c r="N15" s="99">
        <v>1.4806078775482228</v>
      </c>
      <c r="O15" s="99">
        <v>1.6372121267175372</v>
      </c>
    </row>
    <row r="16" spans="2:15" x14ac:dyDescent="0.2">
      <c r="C16" s="36" t="s">
        <v>127</v>
      </c>
      <c r="D16" s="99">
        <v>1.509097726354691</v>
      </c>
      <c r="E16" s="99">
        <v>2.030286073039294</v>
      </c>
      <c r="F16" s="99">
        <v>1.6474177520061122</v>
      </c>
      <c r="G16" s="99">
        <v>2.1114086673597385</v>
      </c>
      <c r="H16" s="99">
        <v>1.9046064414427772</v>
      </c>
      <c r="I16" s="99">
        <v>2.0092686390092842</v>
      </c>
      <c r="J16" s="99">
        <v>0.88811009759717896</v>
      </c>
      <c r="K16" s="99">
        <v>2.238701842118564</v>
      </c>
      <c r="L16" s="99">
        <v>2.2302025391569273</v>
      </c>
      <c r="M16" s="99">
        <v>2.3635523899528028</v>
      </c>
      <c r="N16" s="99">
        <v>0.73225645076737556</v>
      </c>
      <c r="O16" s="99">
        <v>0.70572019463308933</v>
      </c>
    </row>
    <row r="17" spans="2:15" x14ac:dyDescent="0.2">
      <c r="C17" s="36" t="s">
        <v>128</v>
      </c>
      <c r="D17" s="99">
        <v>0.71205991726261764</v>
      </c>
      <c r="E17" s="99">
        <v>1.4996342538485232</v>
      </c>
      <c r="F17" s="99">
        <v>2.0179366916102675</v>
      </c>
      <c r="G17" s="99">
        <v>1.5152521143777016</v>
      </c>
      <c r="H17" s="99">
        <v>1.8196802463800159</v>
      </c>
      <c r="I17" s="99">
        <v>0.70414395826633513</v>
      </c>
      <c r="J17" s="99">
        <v>1.4917058306199373</v>
      </c>
      <c r="K17" s="99">
        <v>1.7619268913006767</v>
      </c>
      <c r="L17" s="99">
        <v>1.4157089960400939</v>
      </c>
      <c r="M17" s="99">
        <v>1.6363638186968079</v>
      </c>
      <c r="N17" s="99">
        <v>0.93747986264797289</v>
      </c>
      <c r="O17" s="99">
        <v>1.7903448466412746</v>
      </c>
    </row>
    <row r="18" spans="2:15" x14ac:dyDescent="0.2">
      <c r="C18" s="36" t="s">
        <v>129</v>
      </c>
      <c r="D18" s="99">
        <v>0.913154385150033</v>
      </c>
      <c r="E18" s="99">
        <v>1.783894679249086</v>
      </c>
      <c r="F18" s="99">
        <v>2.046026760546499</v>
      </c>
      <c r="G18" s="99">
        <v>2.3066806841633216</v>
      </c>
      <c r="H18" s="99">
        <v>1.2374975305631397</v>
      </c>
      <c r="I18" s="99">
        <v>1.2664607907582988</v>
      </c>
      <c r="J18" s="99">
        <v>1.6513066998995196</v>
      </c>
      <c r="K18" s="99">
        <v>1.3300091567149606</v>
      </c>
      <c r="L18" s="99">
        <v>1.5078532597519789</v>
      </c>
      <c r="M18" s="99">
        <v>1.1339174461979051</v>
      </c>
      <c r="N18" s="99">
        <v>1.3538643369207981</v>
      </c>
      <c r="O18" s="99">
        <v>1.6542831918080851</v>
      </c>
    </row>
    <row r="19" spans="2:15" x14ac:dyDescent="0.2">
      <c r="C19" s="36" t="s">
        <v>130</v>
      </c>
      <c r="D19" s="99">
        <v>1.6157716309978727</v>
      </c>
      <c r="E19" s="99">
        <v>1.3725166094052774</v>
      </c>
      <c r="F19" s="99">
        <v>1.6930344045067263</v>
      </c>
      <c r="G19" s="99">
        <v>1.9244509612351393</v>
      </c>
      <c r="H19" s="99">
        <v>2.0269074253931878</v>
      </c>
      <c r="I19" s="99">
        <v>0.79206558243003655</v>
      </c>
      <c r="J19" s="99">
        <v>2.3708747649017328</v>
      </c>
      <c r="K19" s="99">
        <v>1.1140147681687673</v>
      </c>
      <c r="L19" s="99">
        <v>2.2479684172285688</v>
      </c>
      <c r="M19" s="99">
        <v>1.8105384321433695</v>
      </c>
      <c r="N19" s="99">
        <v>2.1959808582401532</v>
      </c>
      <c r="O19" s="99">
        <v>1.9403488614278182</v>
      </c>
    </row>
    <row r="20" spans="2:15" x14ac:dyDescent="0.2">
      <c r="C20" s="36" t="s">
        <v>131</v>
      </c>
      <c r="D20" s="99">
        <v>1.6633664354785413</v>
      </c>
      <c r="E20" s="99">
        <v>0.91135703462581141</v>
      </c>
      <c r="F20" s="99">
        <v>0.72674117652386616</v>
      </c>
      <c r="G20" s="99">
        <v>1.2885011670394568</v>
      </c>
      <c r="H20" s="99">
        <v>0.71471531681354428</v>
      </c>
      <c r="I20" s="99">
        <v>1.6852465685671889</v>
      </c>
      <c r="J20" s="99">
        <v>1.2135455116412599</v>
      </c>
      <c r="K20" s="99">
        <v>1.3003090397168859</v>
      </c>
      <c r="L20" s="99">
        <v>0.88656371092309361</v>
      </c>
      <c r="M20" s="99">
        <v>1.5069357943837451</v>
      </c>
      <c r="N20" s="99">
        <v>1.038749444025231</v>
      </c>
      <c r="O20" s="99">
        <v>1.9823429088546829</v>
      </c>
    </row>
    <row r="21" spans="2:15" x14ac:dyDescent="0.2">
      <c r="C21" s="37" t="s">
        <v>132</v>
      </c>
      <c r="D21" s="99">
        <v>1.0052868821207408</v>
      </c>
      <c r="E21" s="99">
        <v>1.0405203225485404</v>
      </c>
      <c r="F21" s="99">
        <v>0.74286386034818441</v>
      </c>
      <c r="G21" s="99">
        <v>2.0753479997943192</v>
      </c>
      <c r="H21" s="99">
        <v>1.1754566380317377</v>
      </c>
      <c r="I21" s="99">
        <v>1.0443899144814643</v>
      </c>
      <c r="J21" s="99">
        <v>1.6300886441569271</v>
      </c>
      <c r="K21" s="99">
        <v>1.3193197817176912</v>
      </c>
      <c r="L21" s="99">
        <v>1.0672684442448157</v>
      </c>
      <c r="M21" s="99">
        <v>0.73332113669434451</v>
      </c>
      <c r="N21" s="99">
        <v>1.8815314302800275</v>
      </c>
      <c r="O21" s="99">
        <v>1.0562002884771238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100">
        <v>0.80563007960161814</v>
      </c>
      <c r="E24" s="100">
        <v>0.90515994808038369</v>
      </c>
      <c r="F24" s="100">
        <v>1.8184549184455501</v>
      </c>
      <c r="G24" s="100">
        <v>1.8404665513243907</v>
      </c>
      <c r="H24" s="100">
        <v>2.2883476246931838</v>
      </c>
      <c r="I24" s="100">
        <v>2.1307122607817384</v>
      </c>
      <c r="J24" s="100">
        <v>0.94453993759690913</v>
      </c>
      <c r="K24" s="100">
        <v>1.0679252883204182</v>
      </c>
      <c r="L24" s="100">
        <v>2.0760995143845817</v>
      </c>
      <c r="M24" s="100">
        <v>0.74626060783069414</v>
      </c>
      <c r="N24" s="100">
        <v>1.5131474249241099</v>
      </c>
      <c r="O24" s="100">
        <v>1.9556583839681632</v>
      </c>
    </row>
    <row r="25" spans="2:15" x14ac:dyDescent="0.2">
      <c r="C25" s="36" t="s">
        <v>127</v>
      </c>
      <c r="D25" s="100">
        <v>1.4583618546202024</v>
      </c>
      <c r="E25" s="100">
        <v>1.4063024961155426</v>
      </c>
      <c r="F25" s="100">
        <v>1.7245002807605201</v>
      </c>
      <c r="G25" s="100">
        <v>2.0151634916973689</v>
      </c>
      <c r="H25" s="100">
        <v>2.1051354505393789</v>
      </c>
      <c r="I25" s="100">
        <v>2.1226823199075882</v>
      </c>
      <c r="J25" s="100">
        <v>2.1366545609926835</v>
      </c>
      <c r="K25" s="100">
        <v>1.4203793127184863</v>
      </c>
      <c r="L25" s="100">
        <v>1.6867639059686301</v>
      </c>
      <c r="M25" s="100">
        <v>1.4226602089972555</v>
      </c>
      <c r="N25" s="100">
        <v>0.80221240156765672</v>
      </c>
      <c r="O25" s="100">
        <v>1.0665511806294883</v>
      </c>
    </row>
    <row r="26" spans="2:15" x14ac:dyDescent="0.2">
      <c r="C26" s="36" t="s">
        <v>128</v>
      </c>
      <c r="D26" s="100">
        <v>0.86885971325766642</v>
      </c>
      <c r="E26" s="100">
        <v>1.0284168405961454</v>
      </c>
      <c r="F26" s="100">
        <v>1.8477643804987252</v>
      </c>
      <c r="G26" s="100">
        <v>1.8476514654711078</v>
      </c>
      <c r="H26" s="100">
        <v>1.9526588727442151</v>
      </c>
      <c r="I26" s="100">
        <v>2.3525838538099477</v>
      </c>
      <c r="J26" s="100">
        <v>1.955224286146916</v>
      </c>
      <c r="K26" s="100">
        <v>0.76211645033361075</v>
      </c>
      <c r="L26" s="100">
        <v>1.3667381952958251</v>
      </c>
      <c r="M26" s="100">
        <v>2.157515626831112</v>
      </c>
      <c r="N26" s="100">
        <v>1.1971527223248883</v>
      </c>
      <c r="O26" s="100">
        <v>1.6183066628895688</v>
      </c>
    </row>
    <row r="27" spans="2:15" x14ac:dyDescent="0.2">
      <c r="C27" s="36" t="s">
        <v>129</v>
      </c>
      <c r="D27" s="100">
        <v>1.2343758326299283</v>
      </c>
      <c r="E27" s="100">
        <v>1.0104353292390293</v>
      </c>
      <c r="F27" s="100">
        <v>1.2828568685004533</v>
      </c>
      <c r="G27" s="100">
        <v>2.2112480276378808</v>
      </c>
      <c r="H27" s="100">
        <v>2.0790692315496155</v>
      </c>
      <c r="I27" s="100">
        <v>1.8734671492249027</v>
      </c>
      <c r="J27" s="100">
        <v>0.83899283214240161</v>
      </c>
      <c r="K27" s="100">
        <v>2.1358741033170325</v>
      </c>
      <c r="L27" s="100">
        <v>2.1820093756035219</v>
      </c>
      <c r="M27" s="100">
        <v>1.8341784706715354</v>
      </c>
      <c r="N27" s="100">
        <v>1.7225758255326826</v>
      </c>
      <c r="O27" s="100">
        <v>1.0151775640856611</v>
      </c>
    </row>
    <row r="28" spans="2:15" x14ac:dyDescent="0.2">
      <c r="C28" s="36" t="s">
        <v>130</v>
      </c>
      <c r="D28" s="100">
        <v>1.6852388293014113</v>
      </c>
      <c r="E28" s="100">
        <v>2.3299971497942455</v>
      </c>
      <c r="F28" s="100">
        <v>0.94464285530482828</v>
      </c>
      <c r="G28" s="100">
        <v>1.3170918473598756</v>
      </c>
      <c r="H28" s="100">
        <v>1.360488148486898</v>
      </c>
      <c r="I28" s="100">
        <v>1.1895463797775028</v>
      </c>
      <c r="J28" s="100">
        <v>2.1676496752012522</v>
      </c>
      <c r="K28" s="100">
        <v>1.2962184970093624</v>
      </c>
      <c r="L28" s="100">
        <v>1.8780598231654571</v>
      </c>
      <c r="M28" s="100">
        <v>1.9498613783719612</v>
      </c>
      <c r="N28" s="100">
        <v>1.2598310118055691</v>
      </c>
      <c r="O28" s="100">
        <v>2.0791517821835144</v>
      </c>
    </row>
    <row r="29" spans="2:15" x14ac:dyDescent="0.2">
      <c r="C29" s="36" t="s">
        <v>131</v>
      </c>
      <c r="D29" s="100">
        <v>2.2436474254919792</v>
      </c>
      <c r="E29" s="100">
        <v>1.1758773749053524</v>
      </c>
      <c r="F29" s="100">
        <v>0.84984648809206786</v>
      </c>
      <c r="G29" s="100">
        <v>1.5915875217829303</v>
      </c>
      <c r="H29" s="100">
        <v>1.3805788820685512</v>
      </c>
      <c r="I29" s="100">
        <v>2.0030303848373556</v>
      </c>
      <c r="J29" s="100">
        <v>1.7371030805574232</v>
      </c>
      <c r="K29" s="100">
        <v>1.1807535706596046</v>
      </c>
      <c r="L29" s="100">
        <v>0.81385095816291519</v>
      </c>
      <c r="M29" s="100">
        <v>0.94812530617085389</v>
      </c>
      <c r="N29" s="100">
        <v>1.5151395164186516</v>
      </c>
      <c r="O29" s="100">
        <v>2.1368540486547345</v>
      </c>
    </row>
    <row r="30" spans="2:15" x14ac:dyDescent="0.2">
      <c r="C30" s="37" t="s">
        <v>132</v>
      </c>
      <c r="D30" s="100">
        <v>2.099438168360344</v>
      </c>
      <c r="E30" s="100">
        <v>1.8007717413621762</v>
      </c>
      <c r="F30" s="100">
        <v>1.7016031671373855</v>
      </c>
      <c r="G30" s="100">
        <v>0.90252910795654551</v>
      </c>
      <c r="H30" s="100">
        <v>2.271910792940961</v>
      </c>
      <c r="I30" s="100">
        <v>1.0115919246219163</v>
      </c>
      <c r="J30" s="100">
        <v>1.2385400391659662</v>
      </c>
      <c r="K30" s="100">
        <v>1.1024950372203257</v>
      </c>
      <c r="L30" s="100">
        <v>1.2825090028075337</v>
      </c>
      <c r="M30" s="100">
        <v>1.2160548097986592</v>
      </c>
      <c r="N30" s="100">
        <v>1.3259634325299781</v>
      </c>
      <c r="O30" s="100">
        <v>0.66501463505260039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99">
        <v>2.2281794688436434</v>
      </c>
      <c r="E33" s="99">
        <v>2.2607538999009948</v>
      </c>
      <c r="F33" s="99">
        <v>1.7182517100723542</v>
      </c>
      <c r="G33" s="99">
        <v>0.94697603225423932</v>
      </c>
      <c r="H33" s="99">
        <v>2.1301470963479705</v>
      </c>
      <c r="I33" s="99">
        <v>1.3479817557167637</v>
      </c>
      <c r="J33" s="99">
        <v>1.9163553123381987</v>
      </c>
      <c r="K33" s="99">
        <v>1.6964136613108076</v>
      </c>
      <c r="L33" s="99">
        <v>0.90334144012554396</v>
      </c>
      <c r="M33" s="99">
        <v>2.1501775476230605</v>
      </c>
      <c r="N33" s="99">
        <v>0.95338505182194555</v>
      </c>
      <c r="O33" s="99">
        <v>1.5716895930575701</v>
      </c>
    </row>
    <row r="34" spans="3:15" x14ac:dyDescent="0.2">
      <c r="C34" s="36" t="s">
        <v>127</v>
      </c>
      <c r="D34" s="99">
        <v>2.0583653847953745</v>
      </c>
      <c r="E34" s="99">
        <v>1.0206526583597353</v>
      </c>
      <c r="F34" s="99">
        <v>1.9876157472738021</v>
      </c>
      <c r="G34" s="99">
        <v>2.0782262127619502</v>
      </c>
      <c r="H34" s="99">
        <v>1.2753569324321161</v>
      </c>
      <c r="I34" s="99">
        <v>0.87600908290406332</v>
      </c>
      <c r="J34" s="99">
        <v>2.1763726921052737</v>
      </c>
      <c r="K34" s="99">
        <v>1.2378516360876695</v>
      </c>
      <c r="L34" s="99">
        <v>2.2029069325249941</v>
      </c>
      <c r="M34" s="99">
        <v>1.0215179720918026</v>
      </c>
      <c r="N34" s="99">
        <v>0.94895396250618946</v>
      </c>
      <c r="O34" s="99">
        <v>1.0074155051612139</v>
      </c>
    </row>
    <row r="35" spans="3:15" x14ac:dyDescent="0.2">
      <c r="C35" s="36" t="s">
        <v>128</v>
      </c>
      <c r="D35" s="99">
        <v>1.5073111112959026</v>
      </c>
      <c r="E35" s="99">
        <v>0.71617791022607291</v>
      </c>
      <c r="F35" s="99">
        <v>2.1750231792122463</v>
      </c>
      <c r="G35" s="99">
        <v>0.73316766444503967</v>
      </c>
      <c r="H35" s="99">
        <v>0.79286263804282653</v>
      </c>
      <c r="I35" s="99">
        <v>1.1680923001200514</v>
      </c>
      <c r="J35" s="99">
        <v>2.0097648226945628</v>
      </c>
      <c r="K35" s="99">
        <v>0.81425802206775755</v>
      </c>
      <c r="L35" s="99">
        <v>1.0328487265702875</v>
      </c>
      <c r="M35" s="99">
        <v>1.7006992035775366</v>
      </c>
      <c r="N35" s="99">
        <v>2.144517113414679</v>
      </c>
      <c r="O35" s="99">
        <v>1.9864253336089912</v>
      </c>
    </row>
    <row r="36" spans="3:15" x14ac:dyDescent="0.2">
      <c r="C36" s="36" t="s">
        <v>129</v>
      </c>
      <c r="D36" s="99">
        <v>1.732728114031489</v>
      </c>
      <c r="E36" s="99">
        <v>0.88910678910181917</v>
      </c>
      <c r="F36" s="99">
        <v>2.065018044450099</v>
      </c>
      <c r="G36" s="99">
        <v>1.5444164043535484</v>
      </c>
      <c r="H36" s="99">
        <v>1.625925849615919</v>
      </c>
      <c r="I36" s="99">
        <v>2.0123239347005288</v>
      </c>
      <c r="J36" s="99">
        <v>1.6119343015550729</v>
      </c>
      <c r="K36" s="99">
        <v>1.9384601760058056</v>
      </c>
      <c r="L36" s="99">
        <v>2.213916645909495</v>
      </c>
      <c r="M36" s="99">
        <v>0.66892544072492766</v>
      </c>
      <c r="N36" s="99">
        <v>1.0013243847700366</v>
      </c>
      <c r="O36" s="99">
        <v>2.1812234625624809</v>
      </c>
    </row>
    <row r="37" spans="3:15" x14ac:dyDescent="0.2">
      <c r="C37" s="36" t="s">
        <v>130</v>
      </c>
      <c r="D37" s="99">
        <v>1.0867514184261546</v>
      </c>
      <c r="E37" s="99">
        <v>1.0636307612691061</v>
      </c>
      <c r="F37" s="99">
        <v>1.629798811533917</v>
      </c>
      <c r="G37" s="99">
        <v>1.4020537010338123</v>
      </c>
      <c r="H37" s="99">
        <v>1.8179696652888815</v>
      </c>
      <c r="I37" s="99">
        <v>0.80917813133540439</v>
      </c>
      <c r="J37" s="99">
        <v>0.67972226450878226</v>
      </c>
      <c r="K37" s="99">
        <v>1.7652964490853444</v>
      </c>
      <c r="L37" s="99">
        <v>1.8895877286997331</v>
      </c>
      <c r="M37" s="99">
        <v>1.8189028137448806</v>
      </c>
      <c r="N37" s="99">
        <v>0.94160041006133344</v>
      </c>
      <c r="O37" s="99">
        <v>2.0314179674332502</v>
      </c>
    </row>
    <row r="38" spans="3:15" x14ac:dyDescent="0.2">
      <c r="C38" s="36" t="s">
        <v>131</v>
      </c>
      <c r="D38" s="99">
        <v>1.6978279422147025</v>
      </c>
      <c r="E38" s="99">
        <v>1.4631345292427462</v>
      </c>
      <c r="F38" s="99">
        <v>1.479742175196717</v>
      </c>
      <c r="G38" s="99">
        <v>1.0352927546498412</v>
      </c>
      <c r="H38" s="99">
        <v>2.237391645232091</v>
      </c>
      <c r="I38" s="99">
        <v>0.78610914774722029</v>
      </c>
      <c r="J38" s="99">
        <v>0.81696898795346951</v>
      </c>
      <c r="K38" s="99">
        <v>1.9599760682570195</v>
      </c>
      <c r="L38" s="99">
        <v>1.1527141543168493</v>
      </c>
      <c r="M38" s="99">
        <v>1.490676976799306</v>
      </c>
      <c r="N38" s="99">
        <v>1.4488251598316348</v>
      </c>
      <c r="O38" s="99">
        <v>0.95224168549305166</v>
      </c>
    </row>
    <row r="39" spans="3:15" x14ac:dyDescent="0.2">
      <c r="C39" s="37" t="s">
        <v>132</v>
      </c>
      <c r="D39" s="99">
        <v>1.8897573123497993</v>
      </c>
      <c r="E39" s="99">
        <v>2.3030937117203663</v>
      </c>
      <c r="F39" s="99">
        <v>1.4672227076153654</v>
      </c>
      <c r="G39" s="99">
        <v>1.7811097108834362</v>
      </c>
      <c r="H39" s="99">
        <v>0.83537524603298052</v>
      </c>
      <c r="I39" s="99">
        <v>2.2942646517159675</v>
      </c>
      <c r="J39" s="99">
        <v>1.5432928692924694</v>
      </c>
      <c r="K39" s="99">
        <v>1.4156857512651835</v>
      </c>
      <c r="L39" s="99">
        <v>2.0061082959239807</v>
      </c>
      <c r="M39" s="99">
        <v>1.3239833022691256</v>
      </c>
      <c r="N39" s="99">
        <v>2.3003726317079178</v>
      </c>
      <c r="O39" s="99">
        <v>2.1730696745172913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defaultRowHeight="12.75" x14ac:dyDescent="0.2"/>
  <cols>
    <col min="1" max="1" width="4.7109375" style="108" customWidth="1"/>
    <col min="2" max="6" width="9.140625" style="108"/>
    <col min="7" max="7" width="2.7109375" style="108" customWidth="1"/>
    <col min="8" max="8" width="11.140625" style="108" customWidth="1"/>
    <col min="9" max="10" width="9.140625" style="108"/>
    <col min="11" max="12" width="4.7109375" style="108" customWidth="1"/>
    <col min="13" max="17" width="9.140625" style="108"/>
    <col min="18" max="18" width="2.7109375" style="108" customWidth="1"/>
    <col min="19" max="19" width="14.7109375" style="108" customWidth="1"/>
    <col min="20" max="20" width="16.7109375" style="108" customWidth="1"/>
    <col min="21" max="21" width="4.7109375" style="108" customWidth="1"/>
    <col min="22" max="16384" width="9.140625" style="108"/>
  </cols>
  <sheetData>
    <row r="1" spans="1:20" x14ac:dyDescent="0.2">
      <c r="A1" s="187"/>
    </row>
    <row r="2" spans="1:20" ht="15.75" x14ac:dyDescent="0.25">
      <c r="C2" s="188" t="s">
        <v>165</v>
      </c>
      <c r="D2" s="188"/>
      <c r="E2" s="188"/>
      <c r="F2" s="188"/>
      <c r="G2" s="188"/>
      <c r="H2" s="188"/>
    </row>
    <row r="3" spans="1:20" ht="18.75" x14ac:dyDescent="0.25">
      <c r="C3" s="189" t="s">
        <v>412</v>
      </c>
      <c r="D3" s="189"/>
      <c r="E3" s="189"/>
      <c r="F3" s="189"/>
      <c r="G3" s="189"/>
    </row>
    <row r="5" spans="1:20" ht="15.75" x14ac:dyDescent="0.25">
      <c r="A5" s="190" t="s">
        <v>351</v>
      </c>
      <c r="B5" s="191"/>
      <c r="G5" s="192"/>
      <c r="L5" s="190" t="s">
        <v>352</v>
      </c>
      <c r="M5" s="191"/>
      <c r="R5" s="192"/>
    </row>
    <row r="6" spans="1:20" x14ac:dyDescent="0.2">
      <c r="A6" s="193" t="s">
        <v>353</v>
      </c>
      <c r="B6" s="191"/>
      <c r="G6" s="194"/>
      <c r="H6" s="118"/>
      <c r="L6" s="193" t="s">
        <v>354</v>
      </c>
      <c r="M6" s="191"/>
      <c r="S6" s="133"/>
    </row>
    <row r="7" spans="1:20" x14ac:dyDescent="0.2">
      <c r="A7" s="191"/>
      <c r="B7" s="191" t="s">
        <v>355</v>
      </c>
      <c r="G7" s="194"/>
      <c r="H7" s="195">
        <f>SUM(ORA!$D$116:$O$116)</f>
        <v>168926</v>
      </c>
      <c r="L7" s="191"/>
      <c r="M7" s="191" t="s">
        <v>355</v>
      </c>
      <c r="S7" s="196">
        <f>SUM(ORA!$D$127:$O$127)</f>
        <v>395854916.63452536</v>
      </c>
    </row>
    <row r="8" spans="1:20" x14ac:dyDescent="0.2">
      <c r="A8" s="191"/>
      <c r="B8" s="191" t="s">
        <v>356</v>
      </c>
      <c r="G8" s="194"/>
      <c r="H8" s="197">
        <f>SUM(POJ!$D$116:$O$116)</f>
        <v>74366.75</v>
      </c>
      <c r="L8" s="191"/>
      <c r="M8" s="191" t="s">
        <v>356</v>
      </c>
      <c r="S8" s="198">
        <f>SUM(POJ!$D$127:$O$127)</f>
        <v>195207021.66471937</v>
      </c>
    </row>
    <row r="9" spans="1:20" x14ac:dyDescent="0.2">
      <c r="A9" s="191"/>
      <c r="B9" s="191" t="s">
        <v>357</v>
      </c>
      <c r="G9" s="194"/>
      <c r="H9" s="197">
        <f>SUM(ROJ!$D$116:$O$116)</f>
        <v>22833.414642044478</v>
      </c>
      <c r="L9" s="191"/>
      <c r="M9" s="191" t="s">
        <v>357</v>
      </c>
      <c r="S9" s="198">
        <f>SUM(ROJ!$D$127:$O$127)</f>
        <v>63610214.543377437</v>
      </c>
    </row>
    <row r="10" spans="1:20" x14ac:dyDescent="0.2">
      <c r="A10" s="191"/>
      <c r="B10" s="191" t="s">
        <v>358</v>
      </c>
      <c r="G10" s="194"/>
      <c r="H10" s="199">
        <f>SUM(FCOJ!$D$116:$O$116)</f>
        <v>49575.119990104533</v>
      </c>
      <c r="L10" s="191"/>
      <c r="M10" s="191" t="s">
        <v>358</v>
      </c>
      <c r="S10" s="200">
        <f>SUM(FCOJ!$D$127:$O$127)</f>
        <v>120926400.16581555</v>
      </c>
    </row>
    <row r="11" spans="1:20" x14ac:dyDescent="0.2">
      <c r="A11" s="191"/>
      <c r="B11" s="191"/>
      <c r="G11" s="194"/>
      <c r="M11" s="191" t="s">
        <v>359</v>
      </c>
      <c r="T11" s="201">
        <f>SUM($S$7:$S$10)</f>
        <v>775598553.00843775</v>
      </c>
    </row>
    <row r="12" spans="1:20" x14ac:dyDescent="0.2">
      <c r="A12" s="193" t="s">
        <v>360</v>
      </c>
      <c r="B12" s="191"/>
      <c r="G12" s="194"/>
    </row>
    <row r="13" spans="1:20" x14ac:dyDescent="0.2">
      <c r="A13" s="191"/>
      <c r="B13" s="191" t="s">
        <v>361</v>
      </c>
      <c r="G13" s="194"/>
      <c r="H13" s="202">
        <f>SUM(grove!$C$48:$AX$53)</f>
        <v>480000</v>
      </c>
      <c r="L13" s="193" t="s">
        <v>362</v>
      </c>
      <c r="M13" s="191"/>
    </row>
    <row r="14" spans="1:20" x14ac:dyDescent="0.2">
      <c r="A14" s="191"/>
      <c r="B14" s="191" t="s">
        <v>363</v>
      </c>
      <c r="G14" s="194"/>
      <c r="H14" s="195">
        <f>raw_materials!$P$30</f>
        <v>0</v>
      </c>
      <c r="L14" s="191"/>
      <c r="M14" s="191" t="s">
        <v>364</v>
      </c>
      <c r="S14" s="196">
        <f>SUM(grove!$C$58:$AX$63)</f>
        <v>687357873.37872565</v>
      </c>
    </row>
    <row r="15" spans="1:20" x14ac:dyDescent="0.2">
      <c r="A15" s="191"/>
      <c r="B15" s="191" t="s">
        <v>365</v>
      </c>
      <c r="G15" s="194"/>
      <c r="H15" s="199">
        <f>raw_materials!$P$36</f>
        <v>0</v>
      </c>
      <c r="L15" s="191"/>
      <c r="M15" s="191" t="s">
        <v>366</v>
      </c>
      <c r="S15" s="198">
        <f>(raw_materials!D30*raw_materials!E30+raw_materials!F30*raw_materials!G30+raw_materials!H30*raw_materials!I30+raw_materials!J30*raw_materials!K30+raw_materials!L30*raw_materials!M30)*2000</f>
        <v>0</v>
      </c>
    </row>
    <row r="16" spans="1:20" x14ac:dyDescent="0.2">
      <c r="A16" s="191"/>
      <c r="B16" s="191" t="s">
        <v>367</v>
      </c>
      <c r="G16" s="194"/>
      <c r="H16" s="203">
        <v>76866.5</v>
      </c>
      <c r="L16" s="191"/>
      <c r="M16" s="191" t="s">
        <v>368</v>
      </c>
      <c r="S16" s="198">
        <f>(raw_materials!D36*raw_materials!E36+raw_materials!F36*raw_materials!G36+raw_materials!H36*raw_materials!I36+raw_materials!J36*raw_materials!K36+raw_materials!L36*raw_materials!M36)*2000</f>
        <v>0</v>
      </c>
    </row>
    <row r="17" spans="1:21" x14ac:dyDescent="0.2">
      <c r="A17" s="191"/>
      <c r="B17" s="191" t="s">
        <v>369</v>
      </c>
      <c r="G17" s="194"/>
      <c r="H17" s="204">
        <v>76866.5</v>
      </c>
      <c r="L17" s="191"/>
      <c r="M17" s="191" t="s">
        <v>370</v>
      </c>
      <c r="S17" s="198">
        <v>132808389.11999993</v>
      </c>
    </row>
    <row r="18" spans="1:21" x14ac:dyDescent="0.2">
      <c r="A18" s="191"/>
      <c r="B18" s="191" t="s">
        <v>371</v>
      </c>
      <c r="G18" s="194"/>
      <c r="H18" s="205">
        <v>23666.664642044478</v>
      </c>
      <c r="L18" s="191"/>
      <c r="M18" s="191" t="s">
        <v>372</v>
      </c>
      <c r="S18" s="200">
        <v>0</v>
      </c>
    </row>
    <row r="19" spans="1:21" x14ac:dyDescent="0.2">
      <c r="A19" s="191"/>
      <c r="B19" s="191" t="s">
        <v>373</v>
      </c>
      <c r="G19" s="194"/>
      <c r="H19" s="204">
        <v>2918</v>
      </c>
      <c r="L19" s="191"/>
      <c r="M19" s="191" t="s">
        <v>374</v>
      </c>
      <c r="S19" s="206" t="s">
        <v>375</v>
      </c>
      <c r="T19" s="207">
        <f>SUM($S$14:$S$18)</f>
        <v>820166262.49872553</v>
      </c>
      <c r="U19" s="108" t="s">
        <v>376</v>
      </c>
    </row>
    <row r="20" spans="1:21" x14ac:dyDescent="0.2">
      <c r="A20" s="191"/>
      <c r="B20" s="191" t="s">
        <v>377</v>
      </c>
      <c r="G20" s="194"/>
      <c r="H20" s="199">
        <v>130727</v>
      </c>
      <c r="L20" s="191"/>
      <c r="M20" s="191"/>
    </row>
    <row r="21" spans="1:21" x14ac:dyDescent="0.2">
      <c r="A21" s="191"/>
      <c r="B21" s="191"/>
      <c r="G21" s="194"/>
      <c r="L21" s="193" t="s">
        <v>378</v>
      </c>
      <c r="M21" s="191"/>
      <c r="S21" s="133"/>
    </row>
    <row r="22" spans="1:21" x14ac:dyDescent="0.2">
      <c r="A22" s="193" t="s">
        <v>379</v>
      </c>
      <c r="B22" s="191"/>
      <c r="G22" s="194"/>
      <c r="L22" s="191"/>
      <c r="M22" s="191" t="s">
        <v>380</v>
      </c>
      <c r="S22" s="198">
        <v>153733000</v>
      </c>
    </row>
    <row r="23" spans="1:21" x14ac:dyDescent="0.2">
      <c r="A23" s="191"/>
      <c r="B23" s="191" t="s">
        <v>381</v>
      </c>
      <c r="G23" s="194"/>
      <c r="H23" s="195">
        <f>SUM(raw_materials!$O$31:$O$35)</f>
        <v>0</v>
      </c>
      <c r="L23" s="191"/>
      <c r="M23" s="191" t="s">
        <v>382</v>
      </c>
      <c r="S23" s="198">
        <v>76866500</v>
      </c>
    </row>
    <row r="24" spans="1:21" x14ac:dyDescent="0.2">
      <c r="A24" s="191"/>
      <c r="B24" s="191" t="s">
        <v>383</v>
      </c>
      <c r="G24" s="194"/>
      <c r="H24" s="199">
        <f>SUM(raw_materials!$O$37:$O$41)</f>
        <v>0</v>
      </c>
      <c r="L24" s="191"/>
      <c r="M24" s="191" t="s">
        <v>384</v>
      </c>
      <c r="S24" s="200">
        <v>15383332.017328911</v>
      </c>
    </row>
    <row r="25" spans="1:21" x14ac:dyDescent="0.2">
      <c r="A25" s="191"/>
      <c r="B25" s="191"/>
      <c r="G25" s="194"/>
      <c r="L25" s="191"/>
      <c r="M25" s="191" t="s">
        <v>385</v>
      </c>
      <c r="S25" s="206" t="s">
        <v>375</v>
      </c>
      <c r="T25" s="207">
        <f>SUM($S$22:$S$24)</f>
        <v>245982832.01732892</v>
      </c>
      <c r="U25" s="108" t="s">
        <v>376</v>
      </c>
    </row>
    <row r="26" spans="1:21" x14ac:dyDescent="0.2">
      <c r="A26" s="193" t="s">
        <v>386</v>
      </c>
      <c r="B26" s="191"/>
      <c r="G26" s="194"/>
      <c r="L26" s="191"/>
      <c r="M26" s="191"/>
    </row>
    <row r="27" spans="1:21" x14ac:dyDescent="0.2">
      <c r="A27" s="191"/>
      <c r="B27" s="191" t="s">
        <v>387</v>
      </c>
      <c r="G27" s="194"/>
      <c r="H27" s="195">
        <f>SUMIF(facilities!$C$6:$C$15,"&gt;0",facilities!$C$6:$C$15)</f>
        <v>0</v>
      </c>
      <c r="L27" s="193" t="s">
        <v>388</v>
      </c>
      <c r="M27" s="191"/>
    </row>
    <row r="28" spans="1:21" x14ac:dyDescent="0.2">
      <c r="A28" s="191"/>
      <c r="B28" s="191" t="s">
        <v>389</v>
      </c>
      <c r="G28" s="194"/>
      <c r="H28" s="197">
        <f>SUMIF(facilities!$C$36:$C$106,"&gt;0",facilities!$C$36:$C$106)</f>
        <v>0</v>
      </c>
      <c r="L28" s="191"/>
      <c r="M28" s="191" t="s">
        <v>390</v>
      </c>
      <c r="S28" s="196">
        <v>0</v>
      </c>
    </row>
    <row r="29" spans="1:21" x14ac:dyDescent="0.2">
      <c r="A29" s="191"/>
      <c r="B29" s="191" t="s">
        <v>391</v>
      </c>
      <c r="G29" s="194"/>
      <c r="H29" s="197">
        <f>SUMIF(facilities!$C$6:$C$15,"&lt;0",facilities!$C$6:$C$15)</f>
        <v>0</v>
      </c>
      <c r="L29" s="191"/>
      <c r="M29" s="191" t="s">
        <v>392</v>
      </c>
      <c r="S29" s="198">
        <v>86936011.5</v>
      </c>
    </row>
    <row r="30" spans="1:21" x14ac:dyDescent="0.2">
      <c r="A30" s="191"/>
      <c r="B30" s="191" t="s">
        <v>393</v>
      </c>
      <c r="G30" s="194"/>
      <c r="H30" s="199">
        <f>SUMIF(facilities!$C$36:$C$106,"&lt;0",facilities!$C$36:$C$106)</f>
        <v>0</v>
      </c>
      <c r="L30" s="191"/>
      <c r="M30" s="191" t="s">
        <v>394</v>
      </c>
      <c r="S30" s="198">
        <v>54845212.230435595</v>
      </c>
    </row>
    <row r="31" spans="1:21" x14ac:dyDescent="0.2">
      <c r="L31" s="191"/>
      <c r="M31" s="191" t="s">
        <v>395</v>
      </c>
      <c r="S31" s="200">
        <f>SUM(ORA!D138:O138)+SUM(POJ!D138:O138)+SUM(ROJ!D138:O138)+SUM(FCOJ!D138:O138)</f>
        <v>280044428.42435843</v>
      </c>
    </row>
    <row r="32" spans="1:21" x14ac:dyDescent="0.2">
      <c r="A32" s="193" t="s">
        <v>396</v>
      </c>
      <c r="B32" s="191"/>
      <c r="G32" s="194"/>
      <c r="L32" s="191"/>
      <c r="M32" s="191" t="s">
        <v>397</v>
      </c>
      <c r="S32" s="121" t="s">
        <v>375</v>
      </c>
      <c r="T32" s="207">
        <f>SUM($S$28:$S$31)</f>
        <v>421825652.15479404</v>
      </c>
      <c r="U32" s="108" t="s">
        <v>376</v>
      </c>
    </row>
    <row r="33" spans="1:21" x14ac:dyDescent="0.2">
      <c r="A33" s="191"/>
      <c r="B33" s="191" t="s">
        <v>398</v>
      </c>
      <c r="G33" s="194"/>
      <c r="H33" s="195">
        <f>COUNTIF(facilities!$H$6:$H$15,"=new")</f>
        <v>0</v>
      </c>
      <c r="M33" s="191"/>
    </row>
    <row r="34" spans="1:21" x14ac:dyDescent="0.2">
      <c r="A34" s="191"/>
      <c r="B34" s="191" t="s">
        <v>399</v>
      </c>
      <c r="G34" s="194"/>
      <c r="H34" s="197">
        <f>COUNTIF(facilities!$H$36:$H$106,"=new")</f>
        <v>0</v>
      </c>
      <c r="L34" s="193" t="s">
        <v>400</v>
      </c>
      <c r="M34" s="191"/>
    </row>
    <row r="35" spans="1:21" x14ac:dyDescent="0.2">
      <c r="B35" s="191" t="s">
        <v>18</v>
      </c>
      <c r="H35" s="199">
        <f>SUMIF(facilities!$C$21:$C$30,"&gt;0",facilities!$C$21:$C$30)</f>
        <v>0</v>
      </c>
      <c r="L35" s="191"/>
      <c r="M35" s="191" t="s">
        <v>401</v>
      </c>
      <c r="S35" s="196">
        <v>17370000</v>
      </c>
    </row>
    <row r="36" spans="1:21" x14ac:dyDescent="0.2">
      <c r="L36" s="191"/>
      <c r="M36" s="191" t="s">
        <v>402</v>
      </c>
      <c r="S36" s="198">
        <f>H33*12000000-H38*70/100*12000000</f>
        <v>0</v>
      </c>
    </row>
    <row r="37" spans="1:21" x14ac:dyDescent="0.2">
      <c r="A37" s="193" t="s">
        <v>403</v>
      </c>
      <c r="L37" s="191"/>
      <c r="M37" s="191" t="s">
        <v>404</v>
      </c>
      <c r="S37" s="198">
        <f>H27*8000+H29*70/100*8000</f>
        <v>0</v>
      </c>
    </row>
    <row r="38" spans="1:21" x14ac:dyDescent="0.2">
      <c r="B38" s="191" t="s">
        <v>398</v>
      </c>
      <c r="H38" s="195">
        <f>COUNTIF(facilities!$H$6:$H$15,"=sold")</f>
        <v>0</v>
      </c>
      <c r="L38" s="191"/>
      <c r="M38" s="191" t="s">
        <v>405</v>
      </c>
      <c r="S38" s="198">
        <v>80650000</v>
      </c>
    </row>
    <row r="39" spans="1:21" x14ac:dyDescent="0.2">
      <c r="B39" s="191" t="s">
        <v>399</v>
      </c>
      <c r="H39" s="197">
        <f>COUNTIF(facilities!$H$36:$H$106,"=sold")</f>
        <v>0</v>
      </c>
      <c r="L39" s="191"/>
      <c r="M39" s="191" t="s">
        <v>406</v>
      </c>
      <c r="S39" s="198">
        <f>H34*9000000-H39*80/100*9000000</f>
        <v>0</v>
      </c>
    </row>
    <row r="40" spans="1:21" x14ac:dyDescent="0.2">
      <c r="B40" s="191" t="s">
        <v>18</v>
      </c>
      <c r="H40" s="199">
        <f>-SUMIF(facilities!$C$21:$C$30,"&lt;0",facilities!$C$21:$C$30)</f>
        <v>0</v>
      </c>
      <c r="L40" s="191"/>
      <c r="M40" s="191" t="s">
        <v>407</v>
      </c>
      <c r="S40" s="198">
        <f>H28*6000+H30*80/100*6000</f>
        <v>0</v>
      </c>
    </row>
    <row r="41" spans="1:21" x14ac:dyDescent="0.2">
      <c r="L41" s="191"/>
      <c r="M41" s="191" t="s">
        <v>408</v>
      </c>
      <c r="S41" s="198">
        <v>0</v>
      </c>
    </row>
    <row r="42" spans="1:21" x14ac:dyDescent="0.2">
      <c r="L42" s="191"/>
      <c r="M42" s="191" t="s">
        <v>409</v>
      </c>
      <c r="S42" s="200">
        <f>H35*100000-H40*60/100*100000</f>
        <v>0</v>
      </c>
    </row>
    <row r="43" spans="1:21" x14ac:dyDescent="0.2">
      <c r="L43" s="191"/>
      <c r="M43" s="191" t="s">
        <v>410</v>
      </c>
      <c r="S43" s="185" t="s">
        <v>375</v>
      </c>
      <c r="T43" s="207">
        <f>SUM($S$35:$S$42)</f>
        <v>98020000</v>
      </c>
      <c r="U43" s="108" t="s">
        <v>376</v>
      </c>
    </row>
    <row r="44" spans="1:21" x14ac:dyDescent="0.2">
      <c r="L44" s="191"/>
      <c r="S44" s="118"/>
    </row>
    <row r="45" spans="1:21" ht="14.25" thickBot="1" x14ac:dyDescent="0.3">
      <c r="L45" s="208" t="s">
        <v>411</v>
      </c>
      <c r="M45" s="191"/>
      <c r="T45" s="209">
        <f>$T$11-$T$19-$T$25-$T$32-$T$43</f>
        <v>-810396193.66241074</v>
      </c>
    </row>
    <row r="46" spans="1:21" ht="13.5" thickTop="1" x14ac:dyDescent="0.2">
      <c r="M46" s="191"/>
    </row>
    <row r="316" spans="1:1" x14ac:dyDescent="0.2">
      <c r="A316" s="187"/>
    </row>
    <row r="317" spans="1:1" x14ac:dyDescent="0.2">
      <c r="A317" s="187"/>
    </row>
    <row r="318" spans="1:1" x14ac:dyDescent="0.2">
      <c r="A318" s="187"/>
    </row>
    <row r="319" spans="1:1" x14ac:dyDescent="0.2">
      <c r="A319" s="187"/>
    </row>
    <row r="320" spans="1:1" x14ac:dyDescent="0.2">
      <c r="A320" s="187"/>
    </row>
    <row r="321" spans="1:1" x14ac:dyDescent="0.2">
      <c r="A321" s="187"/>
    </row>
    <row r="322" spans="1:1" x14ac:dyDescent="0.2">
      <c r="A322" s="187"/>
    </row>
    <row r="323" spans="1:1" x14ac:dyDescent="0.2">
      <c r="A323" s="187"/>
    </row>
    <row r="325" spans="1:1" x14ac:dyDescent="0.2">
      <c r="A325" s="187"/>
    </row>
    <row r="326" spans="1:1" x14ac:dyDescent="0.2">
      <c r="A326" s="187"/>
    </row>
    <row r="327" spans="1:1" x14ac:dyDescent="0.2">
      <c r="A327" s="187"/>
    </row>
    <row r="328" spans="1:1" x14ac:dyDescent="0.2">
      <c r="A328" s="187"/>
    </row>
    <row r="329" spans="1:1" x14ac:dyDescent="0.2">
      <c r="A329" s="187"/>
    </row>
    <row r="330" spans="1:1" x14ac:dyDescent="0.2">
      <c r="A330" s="187"/>
    </row>
    <row r="331" spans="1:1" x14ac:dyDescent="0.2">
      <c r="A331" s="187"/>
    </row>
    <row r="332" spans="1:1" x14ac:dyDescent="0.2">
      <c r="A332" s="187"/>
    </row>
    <row r="334" spans="1:1" x14ac:dyDescent="0.2">
      <c r="A334" s="187"/>
    </row>
    <row r="335" spans="1:1" x14ac:dyDescent="0.2">
      <c r="A335" s="187"/>
    </row>
    <row r="336" spans="1:1" x14ac:dyDescent="0.2">
      <c r="A336" s="187"/>
    </row>
    <row r="337" spans="1:1" x14ac:dyDescent="0.2">
      <c r="A337" s="187"/>
    </row>
    <row r="338" spans="1:1" x14ac:dyDescent="0.2">
      <c r="A338" s="187"/>
    </row>
    <row r="339" spans="1:1" x14ac:dyDescent="0.2">
      <c r="A339" s="187"/>
    </row>
    <row r="340" spans="1:1" x14ac:dyDescent="0.2">
      <c r="A340" s="187"/>
    </row>
    <row r="341" spans="1:1" x14ac:dyDescent="0.2">
      <c r="A341" s="187"/>
    </row>
    <row r="343" spans="1:1" x14ac:dyDescent="0.2">
      <c r="A343" s="187"/>
    </row>
    <row r="344" spans="1:1" x14ac:dyDescent="0.2">
      <c r="A344" s="187"/>
    </row>
    <row r="345" spans="1:1" x14ac:dyDescent="0.2">
      <c r="A345" s="187"/>
    </row>
    <row r="346" spans="1:1" x14ac:dyDescent="0.2">
      <c r="A346" s="187"/>
    </row>
    <row r="347" spans="1:1" x14ac:dyDescent="0.2">
      <c r="A347" s="187"/>
    </row>
    <row r="348" spans="1:1" x14ac:dyDescent="0.2">
      <c r="A348" s="187"/>
    </row>
    <row r="349" spans="1:1" x14ac:dyDescent="0.2">
      <c r="A349" s="187"/>
    </row>
    <row r="350" spans="1:1" x14ac:dyDescent="0.2">
      <c r="A350" s="187"/>
    </row>
  </sheetData>
  <mergeCells count="1">
    <mergeCell ref="C2:H2"/>
  </mergeCell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21"/>
  <sheetViews>
    <sheetView workbookViewId="0">
      <selection activeCell="C38" sqref="C38:AX43"/>
    </sheetView>
  </sheetViews>
  <sheetFormatPr defaultRowHeight="12.75" x14ac:dyDescent="0.2"/>
  <cols>
    <col min="1" max="1" width="4.7109375" style="108" customWidth="1"/>
    <col min="2" max="2" width="15.7109375" style="108" customWidth="1"/>
    <col min="3" max="16384" width="9.140625" style="108"/>
  </cols>
  <sheetData>
    <row r="2" spans="2:14" x14ac:dyDescent="0.2">
      <c r="B2" s="110" t="s">
        <v>312</v>
      </c>
    </row>
    <row r="3" spans="2:14" x14ac:dyDescent="0.2">
      <c r="B3" s="111" t="s">
        <v>313</v>
      </c>
    </row>
    <row r="4" spans="2:14" x14ac:dyDescent="0.2">
      <c r="B4" s="178" t="s">
        <v>91</v>
      </c>
      <c r="C4" s="178" t="s">
        <v>92</v>
      </c>
      <c r="D4" s="178" t="s">
        <v>93</v>
      </c>
      <c r="E4" s="178" t="s">
        <v>94</v>
      </c>
      <c r="F4" s="178" t="s">
        <v>95</v>
      </c>
      <c r="G4" s="178" t="s">
        <v>96</v>
      </c>
      <c r="H4" s="178" t="s">
        <v>97</v>
      </c>
      <c r="I4" s="178" t="s">
        <v>98</v>
      </c>
      <c r="J4" s="178" t="s">
        <v>99</v>
      </c>
      <c r="K4" s="178" t="s">
        <v>100</v>
      </c>
      <c r="L4" s="178" t="s">
        <v>101</v>
      </c>
      <c r="M4" s="178" t="s">
        <v>102</v>
      </c>
      <c r="N4" s="178" t="s">
        <v>103</v>
      </c>
    </row>
    <row r="5" spans="2:14" x14ac:dyDescent="0.2">
      <c r="B5" s="179" t="s">
        <v>104</v>
      </c>
      <c r="C5" s="108">
        <v>0.67741335649818157</v>
      </c>
      <c r="D5" s="108">
        <v>0.67306361198030706</v>
      </c>
      <c r="E5" s="108">
        <v>0.63429629856453007</v>
      </c>
      <c r="F5" s="108">
        <v>0.69808639721708632</v>
      </c>
      <c r="G5" s="108">
        <v>0.70724112769495295</v>
      </c>
      <c r="H5" s="108">
        <v>0.5980741799547814</v>
      </c>
      <c r="I5" s="108">
        <v>0.64506078081390494</v>
      </c>
      <c r="J5" s="108">
        <v>0.61950430111258814</v>
      </c>
      <c r="K5" s="108">
        <v>0.56488458101668704</v>
      </c>
      <c r="L5" s="108">
        <v>0.71102622222764644</v>
      </c>
      <c r="M5" s="108">
        <v>0.7237409010704714</v>
      </c>
      <c r="N5" s="108">
        <v>0.60245694919618742</v>
      </c>
    </row>
    <row r="6" spans="2:14" x14ac:dyDescent="0.2">
      <c r="B6" s="179" t="s">
        <v>105</v>
      </c>
      <c r="C6" s="108">
        <v>0.691208702247601</v>
      </c>
      <c r="D6" s="108">
        <v>0.70639888532671125</v>
      </c>
      <c r="E6" s="108">
        <v>0.76501668382618615</v>
      </c>
      <c r="F6" s="108">
        <v>0.72298609822691973</v>
      </c>
      <c r="G6" s="108">
        <v>1.1000000000000001</v>
      </c>
      <c r="H6" s="108">
        <v>0.64659236005882259</v>
      </c>
      <c r="I6" s="108">
        <v>0.68560090947596286</v>
      </c>
      <c r="J6" s="108">
        <v>0.75559927261542148</v>
      </c>
      <c r="K6" s="108">
        <v>0.68375421684460724</v>
      </c>
      <c r="L6" s="108">
        <v>0.64755122745263294</v>
      </c>
      <c r="M6" s="108">
        <v>0.63517291777709128</v>
      </c>
      <c r="N6" s="108">
        <v>0.63837736899357989</v>
      </c>
    </row>
    <row r="7" spans="2:14" x14ac:dyDescent="0.2">
      <c r="B7" s="179" t="s">
        <v>106</v>
      </c>
      <c r="C7" s="108">
        <v>0.74760657902859307</v>
      </c>
      <c r="D7" s="108">
        <v>0.74080361230218661</v>
      </c>
      <c r="E7" s="108">
        <v>0.8298758235733199</v>
      </c>
      <c r="F7" s="108">
        <v>0.77506638069977385</v>
      </c>
      <c r="G7" s="108">
        <v>0.76779382237498128</v>
      </c>
      <c r="H7" s="108">
        <v>0.74768532912835473</v>
      </c>
      <c r="I7" s="108">
        <v>0.82467407343282673</v>
      </c>
      <c r="J7" s="108">
        <v>0.71140085518471019</v>
      </c>
      <c r="K7" s="108">
        <v>0.759502607055347</v>
      </c>
      <c r="L7" s="108">
        <v>0.72680293984924138</v>
      </c>
      <c r="M7" s="108">
        <v>0.71092183472043169</v>
      </c>
      <c r="N7" s="108">
        <v>0.73518345285574338</v>
      </c>
    </row>
    <row r="8" spans="2:14" x14ac:dyDescent="0.2">
      <c r="B8" s="179" t="s">
        <v>107</v>
      </c>
      <c r="C8" s="108">
        <v>0.74188668678311898</v>
      </c>
      <c r="D8" s="108">
        <v>0.74118622729628425</v>
      </c>
      <c r="E8" s="108">
        <v>0.7788210606208763</v>
      </c>
      <c r="F8" s="108">
        <v>0.69670912194501333</v>
      </c>
      <c r="G8" s="108">
        <v>0.73675634680278757</v>
      </c>
      <c r="H8" s="108">
        <v>0.68704235712703154</v>
      </c>
      <c r="I8" s="108">
        <v>0.72054500128757304</v>
      </c>
      <c r="J8" s="108">
        <v>0.73222811197822635</v>
      </c>
      <c r="K8" s="108">
        <v>0.70228298792888555</v>
      </c>
      <c r="L8" s="108">
        <v>0.71493581395385453</v>
      </c>
      <c r="M8" s="108">
        <v>0.68316600733067545</v>
      </c>
      <c r="N8" s="108">
        <v>0.67111377312283682</v>
      </c>
    </row>
    <row r="9" spans="2:14" x14ac:dyDescent="0.2">
      <c r="B9" s="179" t="s">
        <v>108</v>
      </c>
      <c r="C9" s="108">
        <v>2.0939883327484132</v>
      </c>
      <c r="D9" s="108">
        <v>2.0252206122875216</v>
      </c>
      <c r="E9" s="108">
        <v>2.1070303654670717</v>
      </c>
      <c r="F9" s="108">
        <v>2.053831330537796</v>
      </c>
      <c r="G9" s="108">
        <v>2.0804877614974977</v>
      </c>
      <c r="H9" s="108">
        <v>2.0680904901027679</v>
      </c>
      <c r="I9" s="108">
        <v>2.0963162398338318</v>
      </c>
      <c r="J9" s="108">
        <v>2.0572871840000153</v>
      </c>
      <c r="K9" s="108">
        <v>2.08117977142334</v>
      </c>
      <c r="L9" s="108">
        <v>2.0578357493877411</v>
      </c>
      <c r="M9" s="108">
        <v>2.0766165947914126</v>
      </c>
      <c r="N9" s="108">
        <v>2.0927777206897735</v>
      </c>
    </row>
    <row r="10" spans="2:14" x14ac:dyDescent="0.2">
      <c r="B10" s="179" t="s">
        <v>109</v>
      </c>
      <c r="C10" s="108">
        <v>0.66053335666656499</v>
      </c>
      <c r="D10" s="108">
        <v>0.6172994077205658</v>
      </c>
      <c r="E10" s="108">
        <v>0.67065237760543828</v>
      </c>
      <c r="F10" s="108">
        <v>0.65839009881019595</v>
      </c>
      <c r="G10" s="108">
        <v>0.69553704261779792</v>
      </c>
      <c r="H10" s="108">
        <v>0.65176588892936704</v>
      </c>
      <c r="I10" s="108">
        <v>0.67382031679153442</v>
      </c>
      <c r="J10" s="108">
        <v>0.65418413281440735</v>
      </c>
      <c r="K10" s="108">
        <v>0.61726138591766355</v>
      </c>
      <c r="L10" s="108">
        <v>0.68427352309226996</v>
      </c>
      <c r="M10" s="108">
        <v>0.60825542211532591</v>
      </c>
      <c r="N10" s="108">
        <v>0.68000479340553288</v>
      </c>
    </row>
    <row r="11" spans="2:14" x14ac:dyDescent="0.2">
      <c r="B11" s="180"/>
      <c r="C11" s="109"/>
      <c r="D11" s="109"/>
      <c r="E11" s="109"/>
      <c r="F11" s="109"/>
      <c r="G11" s="109"/>
    </row>
    <row r="12" spans="2:14" x14ac:dyDescent="0.2">
      <c r="B12" s="112" t="s">
        <v>314</v>
      </c>
      <c r="C12" s="109"/>
      <c r="D12" s="109"/>
      <c r="E12" s="109"/>
      <c r="F12" s="109"/>
      <c r="G12" s="109"/>
    </row>
    <row r="13" spans="2:14" x14ac:dyDescent="0.2">
      <c r="B13" s="179" t="s">
        <v>315</v>
      </c>
      <c r="C13" s="179" t="s">
        <v>92</v>
      </c>
      <c r="D13" s="179" t="s">
        <v>93</v>
      </c>
      <c r="E13" s="178" t="s">
        <v>94</v>
      </c>
      <c r="F13" s="178" t="s">
        <v>95</v>
      </c>
      <c r="G13" s="178" t="s">
        <v>96</v>
      </c>
      <c r="H13" s="178" t="s">
        <v>97</v>
      </c>
      <c r="I13" s="178" t="s">
        <v>98</v>
      </c>
      <c r="J13" s="178" t="s">
        <v>99</v>
      </c>
      <c r="K13" s="178" t="s">
        <v>100</v>
      </c>
      <c r="L13" s="178" t="s">
        <v>101</v>
      </c>
      <c r="M13" s="178" t="s">
        <v>102</v>
      </c>
      <c r="N13" s="178" t="s">
        <v>103</v>
      </c>
    </row>
    <row r="14" spans="2:14" x14ac:dyDescent="0.2">
      <c r="B14" s="178" t="s">
        <v>316</v>
      </c>
      <c r="C14" s="109">
        <v>0.3384819198766813</v>
      </c>
      <c r="D14" s="109">
        <v>0.3397383219801326</v>
      </c>
      <c r="E14" s="109">
        <v>0.34099118879763651</v>
      </c>
      <c r="F14" s="109">
        <v>0.34223699499089444</v>
      </c>
      <c r="G14" s="109">
        <v>0.34347223508891411</v>
      </c>
      <c r="H14" s="108">
        <v>0.34469343335176478</v>
      </c>
      <c r="I14" s="108">
        <v>0.34589715355067391</v>
      </c>
      <c r="J14" s="108">
        <v>0.34708000863694755</v>
      </c>
      <c r="K14" s="108">
        <v>0.34823867027250605</v>
      </c>
      <c r="L14" s="108">
        <v>0.34936987819521925</v>
      </c>
      <c r="M14" s="108">
        <v>0.35047044939268884</v>
      </c>
      <c r="N14" s="108">
        <v>0.35153728705866327</v>
      </c>
    </row>
    <row r="15" spans="2:14" x14ac:dyDescent="0.2">
      <c r="B15" s="178" t="s">
        <v>317</v>
      </c>
      <c r="C15" s="108">
        <v>1.1983436919155597</v>
      </c>
      <c r="D15" s="108">
        <v>1.2015209064278671</v>
      </c>
      <c r="E15" s="108">
        <v>1.2046891808390829</v>
      </c>
      <c r="F15" s="108">
        <v>1.2078396002039251</v>
      </c>
      <c r="G15" s="108">
        <v>1.2109632998179514</v>
      </c>
      <c r="H15" s="108">
        <v>1.2140514901612145</v>
      </c>
      <c r="I15" s="108">
        <v>1.2170954816303681</v>
      </c>
      <c r="J15" s="108">
        <v>1.2200867089896201</v>
      </c>
      <c r="K15" s="108">
        <v>1.2230167554717437</v>
      </c>
      <c r="L15" s="108">
        <v>1.2258773764613211</v>
      </c>
      <c r="M15" s="108">
        <v>1.2286605226935845</v>
      </c>
      <c r="N15" s="108">
        <v>1.2313583629035769</v>
      </c>
    </row>
    <row r="16" spans="2:14" x14ac:dyDescent="0.2">
      <c r="B16" s="109"/>
    </row>
    <row r="17" spans="2:14" x14ac:dyDescent="0.2">
      <c r="B17" s="111" t="s">
        <v>318</v>
      </c>
    </row>
    <row r="18" spans="2:14" x14ac:dyDescent="0.2">
      <c r="B18" s="107" t="s">
        <v>91</v>
      </c>
      <c r="C18" s="107" t="s">
        <v>92</v>
      </c>
      <c r="D18" s="107" t="s">
        <v>93</v>
      </c>
      <c r="E18" s="107" t="s">
        <v>94</v>
      </c>
      <c r="F18" s="107" t="s">
        <v>95</v>
      </c>
      <c r="G18" s="107" t="s">
        <v>96</v>
      </c>
      <c r="H18" s="107" t="s">
        <v>97</v>
      </c>
      <c r="I18" s="107" t="s">
        <v>98</v>
      </c>
      <c r="J18" s="107" t="s">
        <v>99</v>
      </c>
      <c r="K18" s="107" t="s">
        <v>100</v>
      </c>
      <c r="L18" s="107" t="s">
        <v>101</v>
      </c>
      <c r="M18" s="107" t="s">
        <v>102</v>
      </c>
      <c r="N18" s="107" t="s">
        <v>103</v>
      </c>
    </row>
    <row r="19" spans="2:14" x14ac:dyDescent="0.2">
      <c r="B19" s="181" t="s">
        <v>104</v>
      </c>
      <c r="C19" s="108">
        <f>C5</f>
        <v>0.67741335649818157</v>
      </c>
      <c r="D19" s="108">
        <f t="shared" ref="D19:N20" si="0">D5</f>
        <v>0.67306361198030706</v>
      </c>
      <c r="E19" s="108">
        <f t="shared" si="0"/>
        <v>0.63429629856453007</v>
      </c>
      <c r="F19" s="108">
        <f t="shared" si="0"/>
        <v>0.69808639721708632</v>
      </c>
      <c r="G19" s="108">
        <f t="shared" si="0"/>
        <v>0.70724112769495295</v>
      </c>
      <c r="H19" s="108">
        <f t="shared" si="0"/>
        <v>0.5980741799547814</v>
      </c>
      <c r="I19" s="108">
        <f t="shared" si="0"/>
        <v>0.64506078081390494</v>
      </c>
      <c r="J19" s="108">
        <f t="shared" si="0"/>
        <v>0.61950430111258814</v>
      </c>
      <c r="K19" s="108">
        <f t="shared" si="0"/>
        <v>0.56488458101668704</v>
      </c>
      <c r="L19" s="108">
        <f t="shared" si="0"/>
        <v>0.71102622222764644</v>
      </c>
      <c r="M19" s="108">
        <f t="shared" si="0"/>
        <v>0.7237409010704714</v>
      </c>
      <c r="N19" s="108">
        <f t="shared" si="0"/>
        <v>0.60245694919618742</v>
      </c>
    </row>
    <row r="20" spans="2:14" x14ac:dyDescent="0.2">
      <c r="B20" s="181" t="s">
        <v>105</v>
      </c>
      <c r="C20" s="108">
        <f>C6</f>
        <v>0.691208702247601</v>
      </c>
      <c r="D20" s="108">
        <f t="shared" si="0"/>
        <v>0.70639888532671125</v>
      </c>
      <c r="E20" s="108">
        <f t="shared" si="0"/>
        <v>0.76501668382618615</v>
      </c>
      <c r="F20" s="108">
        <f t="shared" si="0"/>
        <v>0.72298609822691973</v>
      </c>
      <c r="G20" s="108">
        <f t="shared" si="0"/>
        <v>1.1000000000000001</v>
      </c>
      <c r="H20" s="108">
        <f t="shared" si="0"/>
        <v>0.64659236005882259</v>
      </c>
      <c r="I20" s="108">
        <f t="shared" si="0"/>
        <v>0.68560090947596286</v>
      </c>
      <c r="J20" s="108">
        <f t="shared" si="0"/>
        <v>0.75559927261542148</v>
      </c>
      <c r="K20" s="108">
        <f t="shared" si="0"/>
        <v>0.68375421684460724</v>
      </c>
      <c r="L20" s="108">
        <f t="shared" si="0"/>
        <v>0.64755122745263294</v>
      </c>
      <c r="M20" s="108">
        <f t="shared" si="0"/>
        <v>0.63517291777709128</v>
      </c>
      <c r="N20" s="108">
        <f t="shared" si="0"/>
        <v>0.63837736899357989</v>
      </c>
    </row>
    <row r="21" spans="2:14" x14ac:dyDescent="0.2">
      <c r="B21" s="181" t="s">
        <v>106</v>
      </c>
      <c r="C21" s="108">
        <f t="shared" ref="C21:N22" si="1">C7</f>
        <v>0.74760657902859307</v>
      </c>
      <c r="D21" s="108">
        <f t="shared" si="1"/>
        <v>0.74080361230218661</v>
      </c>
      <c r="E21" s="108">
        <f t="shared" si="1"/>
        <v>0.8298758235733199</v>
      </c>
      <c r="F21" s="108">
        <f t="shared" si="1"/>
        <v>0.77506638069977385</v>
      </c>
      <c r="G21" s="108">
        <f t="shared" si="1"/>
        <v>0.76779382237498128</v>
      </c>
      <c r="H21" s="108">
        <f t="shared" si="1"/>
        <v>0.74768532912835473</v>
      </c>
      <c r="I21" s="108">
        <f t="shared" si="1"/>
        <v>0.82467407343282673</v>
      </c>
      <c r="J21" s="108">
        <f t="shared" si="1"/>
        <v>0.71140085518471019</v>
      </c>
      <c r="K21" s="108">
        <f t="shared" si="1"/>
        <v>0.759502607055347</v>
      </c>
      <c r="L21" s="108">
        <f t="shared" si="1"/>
        <v>0.72680293984924138</v>
      </c>
      <c r="M21" s="108">
        <f t="shared" si="1"/>
        <v>0.71092183472043169</v>
      </c>
      <c r="N21" s="108">
        <f t="shared" si="1"/>
        <v>0.73518345285574338</v>
      </c>
    </row>
    <row r="22" spans="2:14" x14ac:dyDescent="0.2">
      <c r="B22" s="181" t="s">
        <v>107</v>
      </c>
      <c r="C22" s="108">
        <f t="shared" si="1"/>
        <v>0.74188668678311898</v>
      </c>
      <c r="D22" s="108">
        <f t="shared" si="1"/>
        <v>0.74118622729628425</v>
      </c>
      <c r="E22" s="108">
        <f t="shared" si="1"/>
        <v>0.7788210606208763</v>
      </c>
      <c r="F22" s="108">
        <f t="shared" si="1"/>
        <v>0.69670912194501333</v>
      </c>
      <c r="G22" s="108">
        <f t="shared" si="1"/>
        <v>0.73675634680278757</v>
      </c>
      <c r="H22" s="108">
        <f t="shared" si="1"/>
        <v>0.68704235712703154</v>
      </c>
      <c r="I22" s="108">
        <f t="shared" si="1"/>
        <v>0.72054500128757304</v>
      </c>
      <c r="J22" s="108">
        <f t="shared" si="1"/>
        <v>0.73222811197822635</v>
      </c>
      <c r="K22" s="108">
        <f t="shared" si="1"/>
        <v>0.70228298792888555</v>
      </c>
      <c r="L22" s="108">
        <f t="shared" si="1"/>
        <v>0.71493581395385453</v>
      </c>
      <c r="M22" s="108">
        <f t="shared" si="1"/>
        <v>0.68316600733067545</v>
      </c>
      <c r="N22" s="108">
        <f t="shared" si="1"/>
        <v>0.67111377312283682</v>
      </c>
    </row>
    <row r="23" spans="2:14" x14ac:dyDescent="0.2">
      <c r="B23" s="181" t="s">
        <v>108</v>
      </c>
      <c r="C23" s="108">
        <f>C9*C14</f>
        <v>0.70877719106805392</v>
      </c>
      <c r="D23" s="108">
        <f t="shared" ref="D23:N24" si="2">D9*D14</f>
        <v>0.68804505245813929</v>
      </c>
      <c r="E23" s="108">
        <f t="shared" si="2"/>
        <v>0.7184787891533353</v>
      </c>
      <c r="F23" s="108">
        <f t="shared" si="2"/>
        <v>0.70289706278140573</v>
      </c>
      <c r="G23" s="108">
        <f t="shared" si="2"/>
        <v>0.71458978151667718</v>
      </c>
      <c r="H23" s="108">
        <f t="shared" si="2"/>
        <v>0.71285721151565695</v>
      </c>
      <c r="I23" s="108">
        <f t="shared" si="2"/>
        <v>0.72510982030057425</v>
      </c>
      <c r="J23" s="108">
        <f t="shared" si="2"/>
        <v>0.71404325359140686</v>
      </c>
      <c r="K23" s="108">
        <f t="shared" si="2"/>
        <v>0.72474727619850199</v>
      </c>
      <c r="L23" s="108">
        <f t="shared" si="2"/>
        <v>0.71894582510936278</v>
      </c>
      <c r="M23" s="108">
        <f t="shared" si="2"/>
        <v>0.72779275119286158</v>
      </c>
      <c r="N23" s="108">
        <f t="shared" si="2"/>
        <v>0.73568940234809599</v>
      </c>
    </row>
    <row r="24" spans="2:14" x14ac:dyDescent="0.2">
      <c r="B24" s="181" t="s">
        <v>109</v>
      </c>
      <c r="C24" s="108">
        <f>C10*C15</f>
        <v>0.79154598126118869</v>
      </c>
      <c r="D24" s="108">
        <f t="shared" si="2"/>
        <v>0.74169814390179978</v>
      </c>
      <c r="E24" s="108">
        <f t="shared" si="2"/>
        <v>0.80792766340527877</v>
      </c>
      <c r="F24" s="108">
        <f t="shared" si="2"/>
        <v>0.79522963372512978</v>
      </c>
      <c r="G24" s="108">
        <f t="shared" si="2"/>
        <v>0.8422698322740676</v>
      </c>
      <c r="H24" s="108">
        <f t="shared" si="2"/>
        <v>0.79127734869094668</v>
      </c>
      <c r="I24" s="108">
        <f t="shared" si="2"/>
        <v>0.82010366299771975</v>
      </c>
      <c r="J24" s="108">
        <f t="shared" si="2"/>
        <v>0.79816136567875884</v>
      </c>
      <c r="K24" s="108">
        <f t="shared" si="2"/>
        <v>0.75492101748301277</v>
      </c>
      <c r="L24" s="108">
        <f t="shared" si="2"/>
        <v>0.83883543127029714</v>
      </c>
      <c r="M24" s="108">
        <f t="shared" si="2"/>
        <v>0.74733942486742322</v>
      </c>
      <c r="N24" s="108">
        <f t="shared" si="2"/>
        <v>0.83732958917442202</v>
      </c>
    </row>
    <row r="25" spans="2:14" x14ac:dyDescent="0.2">
      <c r="B25" s="180"/>
    </row>
    <row r="26" spans="2:14" x14ac:dyDescent="0.2">
      <c r="B26" s="112" t="s">
        <v>319</v>
      </c>
    </row>
    <row r="27" spans="2:14" x14ac:dyDescent="0.2">
      <c r="B27" s="107" t="s">
        <v>320</v>
      </c>
      <c r="C27" s="107" t="s">
        <v>92</v>
      </c>
      <c r="D27" s="107" t="s">
        <v>93</v>
      </c>
      <c r="E27" s="107" t="s">
        <v>94</v>
      </c>
      <c r="F27" s="107" t="s">
        <v>95</v>
      </c>
      <c r="G27" s="107" t="s">
        <v>96</v>
      </c>
      <c r="H27" s="107" t="s">
        <v>97</v>
      </c>
      <c r="I27" s="107" t="s">
        <v>98</v>
      </c>
      <c r="J27" s="107" t="s">
        <v>99</v>
      </c>
      <c r="K27" s="107" t="s">
        <v>100</v>
      </c>
      <c r="L27" s="107" t="s">
        <v>101</v>
      </c>
      <c r="M27" s="107" t="s">
        <v>102</v>
      </c>
      <c r="N27" s="107" t="s">
        <v>103</v>
      </c>
    </row>
    <row r="28" spans="2:14" x14ac:dyDescent="0.2">
      <c r="B28" s="107" t="s">
        <v>104</v>
      </c>
      <c r="C28" s="108">
        <f>IF(C19&lt;=raw_materials!$D17,raw_materials!$C17,IF(C19&lt;=raw_materials!$F17,raw_materials!$E17,IF(C19&lt;=raw_materials!$H17,raw_materials!$G17,0)))</f>
        <v>1</v>
      </c>
      <c r="D28" s="108">
        <f>IF(D19&lt;=raw_materials!$D17,raw_materials!$C17,IF(D19&lt;=raw_materials!$F17,raw_materials!$E17,IF(D19&lt;=raw_materials!$H17,raw_materials!$G17,0)))</f>
        <v>1</v>
      </c>
      <c r="E28" s="108">
        <f>IF(E19&lt;=raw_materials!$D17,raw_materials!$C17,IF(E19&lt;=raw_materials!$F17,raw_materials!$E17,IF(E19&lt;=raw_materials!$H17,raw_materials!$G17,0)))</f>
        <v>1</v>
      </c>
      <c r="F28" s="108">
        <f>IF(F19&lt;=raw_materials!$D17,raw_materials!$C17,IF(F19&lt;=raw_materials!$F17,raw_materials!$E17,IF(F19&lt;=raw_materials!$H17,raw_materials!$G17,0)))</f>
        <v>1</v>
      </c>
      <c r="G28" s="108">
        <f>IF(G19&lt;=raw_materials!$D17,raw_materials!$C17,IF(G19&lt;=raw_materials!$F17,raw_materials!$E17,IF(G19&lt;=raw_materials!$H17,raw_materials!$G17,0)))</f>
        <v>1</v>
      </c>
      <c r="H28" s="108">
        <f>IF(H19&lt;=raw_materials!$D17,raw_materials!$C17,IF(H19&lt;=raw_materials!$F17,raw_materials!$E17,IF(H19&lt;=raw_materials!$H17,raw_materials!$G17,0)))</f>
        <v>1</v>
      </c>
      <c r="I28" s="108">
        <f>IF(I19&lt;=raw_materials!$D17,raw_materials!$C17,IF(I19&lt;=raw_materials!$F17,raw_materials!$E17,IF(I19&lt;=raw_materials!$H17,raw_materials!$G17,0)))</f>
        <v>1</v>
      </c>
      <c r="J28" s="108">
        <f>IF(J19&lt;=raw_materials!$D17,raw_materials!$C17,IF(J19&lt;=raw_materials!$F17,raw_materials!$E17,IF(J19&lt;=raw_materials!$H17,raw_materials!$G17,0)))</f>
        <v>1</v>
      </c>
      <c r="K28" s="108">
        <f>IF(K19&lt;=raw_materials!$D17,raw_materials!$C17,IF(K19&lt;=raw_materials!$F17,raw_materials!$E17,IF(K19&lt;=raw_materials!$H17,raw_materials!$G17,0)))</f>
        <v>1</v>
      </c>
      <c r="L28" s="108">
        <f>IF(L19&lt;=raw_materials!$D17,raw_materials!$C17,IF(L19&lt;=raw_materials!$F17,raw_materials!$E17,IF(L19&lt;=raw_materials!$H17,raw_materials!$G17,0)))</f>
        <v>1</v>
      </c>
      <c r="M28" s="108">
        <f>IF(M19&lt;=raw_materials!$D17,raw_materials!$C17,IF(M19&lt;=raw_materials!$F17,raw_materials!$E17,IF(M19&lt;=raw_materials!$H17,raw_materials!$G17,0)))</f>
        <v>1</v>
      </c>
      <c r="N28" s="108">
        <f>IF(N19&lt;=raw_materials!$D17,raw_materials!$C17,IF(N19&lt;=raw_materials!$F17,raw_materials!$E17,IF(N19&lt;=raw_materials!$H17,raw_materials!$G17,0)))</f>
        <v>1</v>
      </c>
    </row>
    <row r="29" spans="2:14" x14ac:dyDescent="0.2">
      <c r="B29" s="107" t="s">
        <v>105</v>
      </c>
      <c r="C29" s="108">
        <f>IF(C20&lt;=raw_materials!$D18,raw_materials!$C18,IF(C20&lt;=raw_materials!$F18,raw_materials!$E18,IF(C20&lt;=raw_materials!$H18,raw_materials!$G18,0)))</f>
        <v>1</v>
      </c>
      <c r="D29" s="108">
        <f>IF(D20&lt;=raw_materials!$D18,raw_materials!$C18,IF(D20&lt;=raw_materials!$F18,raw_materials!$E18,IF(D20&lt;=raw_materials!$H18,raw_materials!$G18,0)))</f>
        <v>1</v>
      </c>
      <c r="E29" s="108">
        <f>IF(E20&lt;=raw_materials!$D18,raw_materials!$C18,IF(E20&lt;=raw_materials!$F18,raw_materials!$E18,IF(E20&lt;=raw_materials!$H18,raw_materials!$G18,0)))</f>
        <v>1</v>
      </c>
      <c r="F29" s="108">
        <f>IF(F20&lt;=raw_materials!$D18,raw_materials!$C18,IF(F20&lt;=raw_materials!$F18,raw_materials!$E18,IF(F20&lt;=raw_materials!$H18,raw_materials!$G18,0)))</f>
        <v>1</v>
      </c>
      <c r="G29" s="108">
        <f>IF(G20&lt;=raw_materials!$D18,raw_materials!$C18,IF(G20&lt;=raw_materials!$F18,raw_materials!$E18,IF(G20&lt;=raw_materials!$H18,raw_materials!$G18,0)))</f>
        <v>1</v>
      </c>
      <c r="H29" s="108">
        <f>IF(H20&lt;=raw_materials!$D18,raw_materials!$C18,IF(H20&lt;=raw_materials!$F18,raw_materials!$E18,IF(H20&lt;=raw_materials!$H18,raw_materials!$G18,0)))</f>
        <v>1</v>
      </c>
      <c r="I29" s="108">
        <f>IF(I20&lt;=raw_materials!$D18,raw_materials!$C18,IF(I20&lt;=raw_materials!$F18,raw_materials!$E18,IF(I20&lt;=raw_materials!$H18,raw_materials!$G18,0)))</f>
        <v>1</v>
      </c>
      <c r="J29" s="108">
        <f>IF(J20&lt;=raw_materials!$D18,raw_materials!$C18,IF(J20&lt;=raw_materials!$F18,raw_materials!$E18,IF(J20&lt;=raw_materials!$H18,raw_materials!$G18,0)))</f>
        <v>1</v>
      </c>
      <c r="K29" s="108">
        <f>IF(K20&lt;=raw_materials!$D18,raw_materials!$C18,IF(K20&lt;=raw_materials!$F18,raw_materials!$E18,IF(K20&lt;=raw_materials!$H18,raw_materials!$G18,0)))</f>
        <v>1</v>
      </c>
      <c r="L29" s="108">
        <f>IF(L20&lt;=raw_materials!$D18,raw_materials!$C18,IF(L20&lt;=raw_materials!$F18,raw_materials!$E18,IF(L20&lt;=raw_materials!$H18,raw_materials!$G18,0)))</f>
        <v>1</v>
      </c>
      <c r="M29" s="108">
        <f>IF(M20&lt;=raw_materials!$D18,raw_materials!$C18,IF(M20&lt;=raw_materials!$F18,raw_materials!$E18,IF(M20&lt;=raw_materials!$H18,raw_materials!$G18,0)))</f>
        <v>1</v>
      </c>
      <c r="N29" s="108">
        <f>IF(N20&lt;=raw_materials!$D18,raw_materials!$C18,IF(N20&lt;=raw_materials!$F18,raw_materials!$E18,IF(N20&lt;=raw_materials!$H18,raw_materials!$G18,0)))</f>
        <v>1</v>
      </c>
    </row>
    <row r="30" spans="2:14" x14ac:dyDescent="0.2">
      <c r="B30" s="107" t="s">
        <v>106</v>
      </c>
      <c r="C30" s="108">
        <f>IF(C21&lt;=raw_materials!$D19,raw_materials!$C19,IF(C21&lt;=raw_materials!$F19,raw_materials!$E19,IF(C21&lt;=raw_materials!$H19,raw_materials!$G19,0)))</f>
        <v>1</v>
      </c>
      <c r="D30" s="108">
        <f>IF(D21&lt;=raw_materials!$D19,raw_materials!$C19,IF(D21&lt;=raw_materials!$F19,raw_materials!$E19,IF(D21&lt;=raw_materials!$H19,raw_materials!$G19,0)))</f>
        <v>1</v>
      </c>
      <c r="E30" s="108">
        <f>IF(E21&lt;=raw_materials!$D19,raw_materials!$C19,IF(E21&lt;=raw_materials!$F19,raw_materials!$E19,IF(E21&lt;=raw_materials!$H19,raw_materials!$G19,0)))</f>
        <v>1</v>
      </c>
      <c r="F30" s="108">
        <f>IF(F21&lt;=raw_materials!$D19,raw_materials!$C19,IF(F21&lt;=raw_materials!$F19,raw_materials!$E19,IF(F21&lt;=raw_materials!$H19,raw_materials!$G19,0)))</f>
        <v>1</v>
      </c>
      <c r="G30" s="108">
        <f>IF(G21&lt;=raw_materials!$D19,raw_materials!$C19,IF(G21&lt;=raw_materials!$F19,raw_materials!$E19,IF(G21&lt;=raw_materials!$H19,raw_materials!$G19,0)))</f>
        <v>1</v>
      </c>
      <c r="H30" s="108">
        <f>IF(H21&lt;=raw_materials!$D19,raw_materials!$C19,IF(H21&lt;=raw_materials!$F19,raw_materials!$E19,IF(H21&lt;=raw_materials!$H19,raw_materials!$G19,0)))</f>
        <v>1</v>
      </c>
      <c r="I30" s="108">
        <f>IF(I21&lt;=raw_materials!$D19,raw_materials!$C19,IF(I21&lt;=raw_materials!$F19,raw_materials!$E19,IF(I21&lt;=raw_materials!$H19,raw_materials!$G19,0)))</f>
        <v>1</v>
      </c>
      <c r="J30" s="108">
        <f>IF(J21&lt;=raw_materials!$D19,raw_materials!$C19,IF(J21&lt;=raw_materials!$F19,raw_materials!$E19,IF(J21&lt;=raw_materials!$H19,raw_materials!$G19,0)))</f>
        <v>1</v>
      </c>
      <c r="K30" s="108">
        <f>IF(K21&lt;=raw_materials!$D19,raw_materials!$C19,IF(K21&lt;=raw_materials!$F19,raw_materials!$E19,IF(K21&lt;=raw_materials!$H19,raw_materials!$G19,0)))</f>
        <v>1</v>
      </c>
      <c r="L30" s="108">
        <f>IF(L21&lt;=raw_materials!$D19,raw_materials!$C19,IF(L21&lt;=raw_materials!$F19,raw_materials!$E19,IF(L21&lt;=raw_materials!$H19,raw_materials!$G19,0)))</f>
        <v>1</v>
      </c>
      <c r="M30" s="108">
        <f>IF(M21&lt;=raw_materials!$D19,raw_materials!$C19,IF(M21&lt;=raw_materials!$F19,raw_materials!$E19,IF(M21&lt;=raw_materials!$H19,raw_materials!$G19,0)))</f>
        <v>1</v>
      </c>
      <c r="N30" s="108">
        <f>IF(N21&lt;=raw_materials!$D19,raw_materials!$C19,IF(N21&lt;=raw_materials!$F19,raw_materials!$E19,IF(N21&lt;=raw_materials!$H19,raw_materials!$G19,0)))</f>
        <v>1</v>
      </c>
    </row>
    <row r="31" spans="2:14" x14ac:dyDescent="0.2">
      <c r="B31" s="107" t="s">
        <v>107</v>
      </c>
      <c r="C31" s="108">
        <f>IF(C22&lt;=raw_materials!$D20,raw_materials!$C20,IF(C22&lt;=raw_materials!$F20,raw_materials!$E20,IF(C22&lt;=raw_materials!$H20,raw_materials!$G20,0)))</f>
        <v>1</v>
      </c>
      <c r="D31" s="108">
        <f>IF(D22&lt;=raw_materials!$D20,raw_materials!$C20,IF(D22&lt;=raw_materials!$F20,raw_materials!$E20,IF(D22&lt;=raw_materials!$H20,raw_materials!$G20,0)))</f>
        <v>1</v>
      </c>
      <c r="E31" s="108">
        <f>IF(E22&lt;=raw_materials!$D20,raw_materials!$C20,IF(E22&lt;=raw_materials!$F20,raw_materials!$E20,IF(E22&lt;=raw_materials!$H20,raw_materials!$G20,0)))</f>
        <v>1</v>
      </c>
      <c r="F31" s="108">
        <f>IF(F22&lt;=raw_materials!$D20,raw_materials!$C20,IF(F22&lt;=raw_materials!$F20,raw_materials!$E20,IF(F22&lt;=raw_materials!$H20,raw_materials!$G20,0)))</f>
        <v>1</v>
      </c>
      <c r="G31" s="108">
        <f>IF(G22&lt;=raw_materials!$D20,raw_materials!$C20,IF(G22&lt;=raw_materials!$F20,raw_materials!$E20,IF(G22&lt;=raw_materials!$H20,raw_materials!$G20,0)))</f>
        <v>1</v>
      </c>
      <c r="H31" s="108">
        <f>IF(H22&lt;=raw_materials!$D20,raw_materials!$C20,IF(H22&lt;=raw_materials!$F20,raw_materials!$E20,IF(H22&lt;=raw_materials!$H20,raw_materials!$G20,0)))</f>
        <v>1</v>
      </c>
      <c r="I31" s="108">
        <f>IF(I22&lt;=raw_materials!$D20,raw_materials!$C20,IF(I22&lt;=raw_materials!$F20,raw_materials!$E20,IF(I22&lt;=raw_materials!$H20,raw_materials!$G20,0)))</f>
        <v>1</v>
      </c>
      <c r="J31" s="108">
        <f>IF(J22&lt;=raw_materials!$D20,raw_materials!$C20,IF(J22&lt;=raw_materials!$F20,raw_materials!$E20,IF(J22&lt;=raw_materials!$H20,raw_materials!$G20,0)))</f>
        <v>1</v>
      </c>
      <c r="K31" s="108">
        <f>IF(K22&lt;=raw_materials!$D20,raw_materials!$C20,IF(K22&lt;=raw_materials!$F20,raw_materials!$E20,IF(K22&lt;=raw_materials!$H20,raw_materials!$G20,0)))</f>
        <v>1</v>
      </c>
      <c r="L31" s="108">
        <f>IF(L22&lt;=raw_materials!$D20,raw_materials!$C20,IF(L22&lt;=raw_materials!$F20,raw_materials!$E20,IF(L22&lt;=raw_materials!$H20,raw_materials!$G20,0)))</f>
        <v>1</v>
      </c>
      <c r="M31" s="108">
        <f>IF(M22&lt;=raw_materials!$D20,raw_materials!$C20,IF(M22&lt;=raw_materials!$F20,raw_materials!$E20,IF(M22&lt;=raw_materials!$H20,raw_materials!$G20,0)))</f>
        <v>1</v>
      </c>
      <c r="N31" s="108">
        <f>IF(N22&lt;=raw_materials!$D20,raw_materials!$C20,IF(N22&lt;=raw_materials!$F20,raw_materials!$E20,IF(N22&lt;=raw_materials!$H20,raw_materials!$G20,0)))</f>
        <v>1</v>
      </c>
    </row>
    <row r="32" spans="2:14" x14ac:dyDescent="0.2">
      <c r="B32" s="107" t="s">
        <v>108</v>
      </c>
      <c r="C32" s="108">
        <f>IF(C23&lt;=raw_materials!$D21,raw_materials!$C21,IF(C23&lt;=raw_materials!$F21,raw_materials!$E21,IF(C23&lt;=raw_materials!$H21,raw_materials!$G21,0)))</f>
        <v>1</v>
      </c>
      <c r="D32" s="108">
        <f>IF(D23&lt;=raw_materials!$D21,raw_materials!$C21,IF(D23&lt;=raw_materials!$F21,raw_materials!$E21,IF(D23&lt;=raw_materials!$H21,raw_materials!$G21,0)))</f>
        <v>1</v>
      </c>
      <c r="E32" s="108">
        <f>IF(E23&lt;=raw_materials!$D21,raw_materials!$C21,IF(E23&lt;=raw_materials!$F21,raw_materials!$E21,IF(E23&lt;=raw_materials!$H21,raw_materials!$G21,0)))</f>
        <v>1</v>
      </c>
      <c r="F32" s="108">
        <f>IF(F23&lt;=raw_materials!$D21,raw_materials!$C21,IF(F23&lt;=raw_materials!$F21,raw_materials!$E21,IF(F23&lt;=raw_materials!$H21,raw_materials!$G21,0)))</f>
        <v>1</v>
      </c>
      <c r="G32" s="108">
        <f>IF(G23&lt;=raw_materials!$D21,raw_materials!$C21,IF(G23&lt;=raw_materials!$F21,raw_materials!$E21,IF(G23&lt;=raw_materials!$H21,raw_materials!$G21,0)))</f>
        <v>1</v>
      </c>
      <c r="H32" s="108">
        <f>IF(H23&lt;=raw_materials!$D21,raw_materials!$C21,IF(H23&lt;=raw_materials!$F21,raw_materials!$E21,IF(H23&lt;=raw_materials!$H21,raw_materials!$G21,0)))</f>
        <v>1</v>
      </c>
      <c r="I32" s="108">
        <f>IF(I23&lt;=raw_materials!$D21,raw_materials!$C21,IF(I23&lt;=raw_materials!$F21,raw_materials!$E21,IF(I23&lt;=raw_materials!$H21,raw_materials!$G21,0)))</f>
        <v>1</v>
      </c>
      <c r="J32" s="108">
        <f>IF(J23&lt;=raw_materials!$D21,raw_materials!$C21,IF(J23&lt;=raw_materials!$F21,raw_materials!$E21,IF(J23&lt;=raw_materials!$H21,raw_materials!$G21,0)))</f>
        <v>1</v>
      </c>
      <c r="K32" s="108">
        <f>IF(K23&lt;=raw_materials!$D21,raw_materials!$C21,IF(K23&lt;=raw_materials!$F21,raw_materials!$E21,IF(K23&lt;=raw_materials!$H21,raw_materials!$G21,0)))</f>
        <v>1</v>
      </c>
      <c r="L32" s="108">
        <f>IF(L23&lt;=raw_materials!$D21,raw_materials!$C21,IF(L23&lt;=raw_materials!$F21,raw_materials!$E21,IF(L23&lt;=raw_materials!$H21,raw_materials!$G21,0)))</f>
        <v>1</v>
      </c>
      <c r="M32" s="108">
        <f>IF(M23&lt;=raw_materials!$D21,raw_materials!$C21,IF(M23&lt;=raw_materials!$F21,raw_materials!$E21,IF(M23&lt;=raw_materials!$H21,raw_materials!$G21,0)))</f>
        <v>1</v>
      </c>
      <c r="N32" s="108">
        <f>IF(N23&lt;=raw_materials!$D21,raw_materials!$C21,IF(N23&lt;=raw_materials!$F21,raw_materials!$E21,IF(N23&lt;=raw_materials!$H21,raw_materials!$G21,0)))</f>
        <v>1</v>
      </c>
    </row>
    <row r="33" spans="2:50" x14ac:dyDescent="0.2">
      <c r="B33" s="107" t="s">
        <v>109</v>
      </c>
      <c r="C33" s="108">
        <f>IF(C24&lt;=raw_materials!$D22,raw_materials!$C22,IF(C24&lt;=raw_materials!$F22,raw_materials!$E22,IF(C24&lt;=raw_materials!$H22,raw_materials!$G22,0)))</f>
        <v>1</v>
      </c>
      <c r="D33" s="108">
        <f>IF(D24&lt;=raw_materials!$D22,raw_materials!$C22,IF(D24&lt;=raw_materials!$F22,raw_materials!$E22,IF(D24&lt;=raw_materials!$H22,raw_materials!$G22,0)))</f>
        <v>1</v>
      </c>
      <c r="E33" s="108">
        <f>IF(E24&lt;=raw_materials!$D22,raw_materials!$C22,IF(E24&lt;=raw_materials!$F22,raw_materials!$E22,IF(E24&lt;=raw_materials!$H22,raw_materials!$G22,0)))</f>
        <v>1</v>
      </c>
      <c r="F33" s="108">
        <f>IF(F24&lt;=raw_materials!$D22,raw_materials!$C22,IF(F24&lt;=raw_materials!$F22,raw_materials!$E22,IF(F24&lt;=raw_materials!$H22,raw_materials!$G22,0)))</f>
        <v>1</v>
      </c>
      <c r="G33" s="108">
        <f>IF(G24&lt;=raw_materials!$D22,raw_materials!$C22,IF(G24&lt;=raw_materials!$F22,raw_materials!$E22,IF(G24&lt;=raw_materials!$H22,raw_materials!$G22,0)))</f>
        <v>1</v>
      </c>
      <c r="H33" s="108">
        <f>IF(H24&lt;=raw_materials!$D22,raw_materials!$C22,IF(H24&lt;=raw_materials!$F22,raw_materials!$E22,IF(H24&lt;=raw_materials!$H22,raw_materials!$G22,0)))</f>
        <v>1</v>
      </c>
      <c r="I33" s="108">
        <f>IF(I24&lt;=raw_materials!$D22,raw_materials!$C22,IF(I24&lt;=raw_materials!$F22,raw_materials!$E22,IF(I24&lt;=raw_materials!$H22,raw_materials!$G22,0)))</f>
        <v>1</v>
      </c>
      <c r="J33" s="108">
        <f>IF(J24&lt;=raw_materials!$D22,raw_materials!$C22,IF(J24&lt;=raw_materials!$F22,raw_materials!$E22,IF(J24&lt;=raw_materials!$H22,raw_materials!$G22,0)))</f>
        <v>1</v>
      </c>
      <c r="K33" s="108">
        <f>IF(K24&lt;=raw_materials!$D22,raw_materials!$C22,IF(K24&lt;=raw_materials!$F22,raw_materials!$E22,IF(K24&lt;=raw_materials!$H22,raw_materials!$G22,0)))</f>
        <v>1</v>
      </c>
      <c r="L33" s="108">
        <f>IF(L24&lt;=raw_materials!$D22,raw_materials!$C22,IF(L24&lt;=raw_materials!$F22,raw_materials!$E22,IF(L24&lt;=raw_materials!$H22,raw_materials!$G22,0)))</f>
        <v>1</v>
      </c>
      <c r="M33" s="108">
        <f>IF(M24&lt;=raw_materials!$D22,raw_materials!$C22,IF(M24&lt;=raw_materials!$F22,raw_materials!$E22,IF(M24&lt;=raw_materials!$H22,raw_materials!$G22,0)))</f>
        <v>1</v>
      </c>
      <c r="N33" s="108">
        <f>IF(N24&lt;=raw_materials!$D22,raw_materials!$C22,IF(N24&lt;=raw_materials!$F22,raw_materials!$E22,IF(N24&lt;=raw_materials!$H22,raw_materials!$G22,0)))</f>
        <v>1</v>
      </c>
    </row>
    <row r="35" spans="2:50" x14ac:dyDescent="0.2">
      <c r="B35" s="111" t="s">
        <v>321</v>
      </c>
    </row>
    <row r="36" spans="2:50" x14ac:dyDescent="0.2">
      <c r="B36" s="178" t="s">
        <v>273</v>
      </c>
      <c r="C36" s="178" t="s">
        <v>92</v>
      </c>
      <c r="D36" s="109"/>
      <c r="E36" s="109"/>
      <c r="F36" s="109"/>
      <c r="G36" s="178" t="s">
        <v>93</v>
      </c>
      <c r="H36" s="109"/>
      <c r="I36" s="109"/>
      <c r="J36" s="109"/>
      <c r="K36" s="178" t="s">
        <v>94</v>
      </c>
      <c r="L36" s="109"/>
      <c r="M36" s="109"/>
      <c r="N36" s="109"/>
      <c r="O36" s="178" t="s">
        <v>95</v>
      </c>
      <c r="P36" s="109"/>
      <c r="Q36" s="109"/>
      <c r="R36" s="109"/>
      <c r="S36" s="178" t="s">
        <v>96</v>
      </c>
      <c r="T36" s="109"/>
      <c r="U36" s="109"/>
      <c r="V36" s="109"/>
      <c r="W36" s="178" t="s">
        <v>97</v>
      </c>
      <c r="X36" s="109"/>
      <c r="Y36" s="109"/>
      <c r="Z36" s="109"/>
      <c r="AA36" s="178" t="s">
        <v>98</v>
      </c>
      <c r="AB36" s="109"/>
      <c r="AC36" s="109"/>
      <c r="AD36" s="109"/>
      <c r="AE36" s="178" t="s">
        <v>99</v>
      </c>
      <c r="AF36" s="109"/>
      <c r="AG36" s="109"/>
      <c r="AH36" s="109"/>
      <c r="AI36" s="178" t="s">
        <v>100</v>
      </c>
      <c r="AJ36" s="109"/>
      <c r="AK36" s="109"/>
      <c r="AL36" s="109"/>
      <c r="AM36" s="178" t="s">
        <v>101</v>
      </c>
      <c r="AN36" s="109"/>
      <c r="AO36" s="109"/>
      <c r="AP36" s="109"/>
      <c r="AQ36" s="178" t="s">
        <v>102</v>
      </c>
      <c r="AR36" s="109"/>
      <c r="AS36" s="109"/>
      <c r="AT36" s="109"/>
      <c r="AU36" s="178" t="s">
        <v>103</v>
      </c>
      <c r="AV36" s="109"/>
      <c r="AW36" s="109"/>
      <c r="AX36" s="109"/>
    </row>
    <row r="37" spans="2:50" x14ac:dyDescent="0.2">
      <c r="B37" s="178" t="s">
        <v>322</v>
      </c>
      <c r="C37" s="178">
        <v>1</v>
      </c>
      <c r="D37" s="178">
        <v>2</v>
      </c>
      <c r="E37" s="178">
        <v>3</v>
      </c>
      <c r="F37" s="178">
        <v>4</v>
      </c>
      <c r="G37" s="178">
        <v>1</v>
      </c>
      <c r="H37" s="178">
        <v>2</v>
      </c>
      <c r="I37" s="178">
        <v>3</v>
      </c>
      <c r="J37" s="178">
        <v>4</v>
      </c>
      <c r="K37" s="178">
        <v>1</v>
      </c>
      <c r="L37" s="178">
        <v>2</v>
      </c>
      <c r="M37" s="178">
        <v>3</v>
      </c>
      <c r="N37" s="178">
        <v>4</v>
      </c>
      <c r="O37" s="178">
        <v>1</v>
      </c>
      <c r="P37" s="178">
        <v>2</v>
      </c>
      <c r="Q37" s="178">
        <v>3</v>
      </c>
      <c r="R37" s="178">
        <v>4</v>
      </c>
      <c r="S37" s="178">
        <v>1</v>
      </c>
      <c r="T37" s="178">
        <v>2</v>
      </c>
      <c r="U37" s="178">
        <v>3</v>
      </c>
      <c r="V37" s="178">
        <v>4</v>
      </c>
      <c r="W37" s="178">
        <v>1</v>
      </c>
      <c r="X37" s="178">
        <v>2</v>
      </c>
      <c r="Y37" s="178">
        <v>3</v>
      </c>
      <c r="Z37" s="178">
        <v>4</v>
      </c>
      <c r="AA37" s="178">
        <v>1</v>
      </c>
      <c r="AB37" s="178">
        <v>2</v>
      </c>
      <c r="AC37" s="178">
        <v>3</v>
      </c>
      <c r="AD37" s="178">
        <v>4</v>
      </c>
      <c r="AE37" s="178">
        <v>1</v>
      </c>
      <c r="AF37" s="178">
        <v>2</v>
      </c>
      <c r="AG37" s="178">
        <v>3</v>
      </c>
      <c r="AH37" s="178">
        <v>4</v>
      </c>
      <c r="AI37" s="178">
        <v>1</v>
      </c>
      <c r="AJ37" s="178">
        <v>2</v>
      </c>
      <c r="AK37" s="178">
        <v>3</v>
      </c>
      <c r="AL37" s="178">
        <v>4</v>
      </c>
      <c r="AM37" s="178">
        <v>1</v>
      </c>
      <c r="AN37" s="178">
        <v>2</v>
      </c>
      <c r="AO37" s="178">
        <v>3</v>
      </c>
      <c r="AP37" s="178">
        <v>4</v>
      </c>
      <c r="AQ37" s="178">
        <v>1</v>
      </c>
      <c r="AR37" s="178">
        <v>2</v>
      </c>
      <c r="AS37" s="178">
        <v>3</v>
      </c>
      <c r="AT37" s="178">
        <v>4</v>
      </c>
      <c r="AU37" s="178">
        <v>1</v>
      </c>
      <c r="AV37" s="178">
        <v>2</v>
      </c>
      <c r="AW37" s="178">
        <v>3</v>
      </c>
      <c r="AX37" s="178">
        <v>4</v>
      </c>
    </row>
    <row r="38" spans="2:50" x14ac:dyDescent="0.2">
      <c r="B38" s="178" t="s">
        <v>104</v>
      </c>
      <c r="C38" s="108">
        <v>25054.902514011505</v>
      </c>
      <c r="D38" s="108">
        <v>25109.81675262624</v>
      </c>
      <c r="E38" s="108">
        <v>25164.733912812586</v>
      </c>
      <c r="F38" s="108">
        <v>25219.64518704552</v>
      </c>
      <c r="G38" s="108">
        <v>25274.541764850626</v>
      </c>
      <c r="H38" s="108">
        <v>25329.41483434946</v>
      </c>
      <c r="I38" s="108">
        <v>25384.255583806131</v>
      </c>
      <c r="J38" s="108">
        <v>25439.055203174696</v>
      </c>
      <c r="K38" s="108">
        <v>25493.804885647136</v>
      </c>
      <c r="L38" s="108">
        <v>25548.495829201689</v>
      </c>
      <c r="M38" s="108">
        <v>25603.119238151201</v>
      </c>
      <c r="N38" s="108">
        <v>25657.666324691218</v>
      </c>
      <c r="O38" s="108">
        <v>25712.128310447646</v>
      </c>
      <c r="P38" s="108">
        <v>25766.496428023554</v>
      </c>
      <c r="Q38" s="108">
        <v>25820.761922544945</v>
      </c>
      <c r="R38" s="108">
        <v>25874.916053205223</v>
      </c>
      <c r="S38" s="108">
        <v>25928.950094808049</v>
      </c>
      <c r="T38" s="108">
        <v>25982.855339308269</v>
      </c>
      <c r="U38" s="108">
        <v>26036.623097350748</v>
      </c>
      <c r="V38" s="108">
        <v>26090.24469980675</v>
      </c>
      <c r="W38" s="108">
        <v>26143.711499307632</v>
      </c>
      <c r="X38" s="108">
        <v>26197.014871775551</v>
      </c>
      <c r="Y38" s="108">
        <v>26250.146217950878</v>
      </c>
      <c r="Z38" s="108">
        <v>18412.167875441355</v>
      </c>
      <c r="AA38" s="108">
        <v>26355.858567616488</v>
      </c>
      <c r="AB38" s="108">
        <v>26408.422510375025</v>
      </c>
      <c r="AC38" s="108">
        <v>26460.780308405316</v>
      </c>
      <c r="AD38" s="108">
        <v>26512.923509318131</v>
      </c>
      <c r="AE38" s="108">
        <v>26564.8436946238</v>
      </c>
      <c r="AF38" s="108">
        <v>26616.532481229282</v>
      </c>
      <c r="AG38" s="108">
        <v>26667.981522929855</v>
      </c>
      <c r="AH38" s="108">
        <v>26719.182511895149</v>
      </c>
      <c r="AI38" s="108">
        <v>26770.127180149142</v>
      </c>
      <c r="AJ38" s="108">
        <v>26820.807301044035</v>
      </c>
      <c r="AK38" s="108">
        <v>26871.21469072756</v>
      </c>
      <c r="AL38" s="108">
        <v>26921.341209603564</v>
      </c>
      <c r="AM38" s="108">
        <v>26971.178763785614</v>
      </c>
      <c r="AN38" s="108">
        <v>18914.503514580269</v>
      </c>
      <c r="AO38" s="108">
        <v>18948.968387818528</v>
      </c>
      <c r="AP38" s="108">
        <v>18983.2141906877</v>
      </c>
      <c r="AQ38" s="108">
        <v>27167.47913646403</v>
      </c>
      <c r="AR38" s="108">
        <v>27215.752159530173</v>
      </c>
      <c r="AS38" s="108">
        <v>27263.688694937566</v>
      </c>
      <c r="AT38" s="108">
        <v>27311.281008823513</v>
      </c>
      <c r="AU38" s="108">
        <v>27358.521424379818</v>
      </c>
      <c r="AV38" s="108">
        <v>27405.40232323145</v>
      </c>
      <c r="AW38" s="108">
        <v>27451.916146805794</v>
      </c>
      <c r="AX38" s="108">
        <v>27498.055397691911</v>
      </c>
    </row>
    <row r="39" spans="2:50" x14ac:dyDescent="0.2">
      <c r="B39" s="178" t="s">
        <v>105</v>
      </c>
      <c r="C39" s="108">
        <v>15032.941508406904</v>
      </c>
      <c r="D39" s="108">
        <v>15065.890051575743</v>
      </c>
      <c r="E39" s="108">
        <v>15098.84034768755</v>
      </c>
      <c r="F39" s="108">
        <v>15131.787112227312</v>
      </c>
      <c r="G39" s="108">
        <v>15164.725058910377</v>
      </c>
      <c r="H39" s="108">
        <v>15197.648900609674</v>
      </c>
      <c r="I39" s="108">
        <v>15230.553350283679</v>
      </c>
      <c r="J39" s="108">
        <v>15263.433121904818</v>
      </c>
      <c r="K39" s="108">
        <v>15296.282931388283</v>
      </c>
      <c r="L39" s="108">
        <v>10730.368248264709</v>
      </c>
      <c r="M39" s="108">
        <v>15361.87154289072</v>
      </c>
      <c r="N39" s="108">
        <v>10776.21985637031</v>
      </c>
      <c r="O39" s="108">
        <v>10799.093890388011</v>
      </c>
      <c r="P39" s="108">
        <v>10821.928499769892</v>
      </c>
      <c r="Q39" s="108">
        <v>10844.720007468877</v>
      </c>
      <c r="R39" s="108">
        <v>15524.949631923135</v>
      </c>
      <c r="S39" s="108">
        <v>1555.7370056884831</v>
      </c>
      <c r="T39" s="108">
        <v>1558.9713203584963</v>
      </c>
      <c r="U39" s="108">
        <v>1562.1973858410449</v>
      </c>
      <c r="V39" s="108">
        <v>15654.14681988405</v>
      </c>
      <c r="W39" s="108">
        <v>15686.226899584581</v>
      </c>
      <c r="X39" s="108">
        <v>15718.208923065331</v>
      </c>
      <c r="Y39" s="108">
        <v>15750.087730770527</v>
      </c>
      <c r="Z39" s="108">
        <v>15781.858178949733</v>
      </c>
      <c r="AA39" s="108">
        <v>15813.515140569893</v>
      </c>
      <c r="AB39" s="108">
        <v>15845.053506225015</v>
      </c>
      <c r="AC39" s="108">
        <v>15876.468185043188</v>
      </c>
      <c r="AD39" s="108">
        <v>15907.754105590879</v>
      </c>
      <c r="AE39" s="108">
        <v>1593.890621677428</v>
      </c>
      <c r="AF39" s="108">
        <v>15969.919488737569</v>
      </c>
      <c r="AG39" s="108">
        <v>16000.788913757913</v>
      </c>
      <c r="AH39" s="108">
        <v>16031.509507137089</v>
      </c>
      <c r="AI39" s="108">
        <v>16062.076308089485</v>
      </c>
      <c r="AJ39" s="108">
        <v>11264.739066438493</v>
      </c>
      <c r="AK39" s="108">
        <v>11285.910170105573</v>
      </c>
      <c r="AL39" s="108">
        <v>16152.80472576214</v>
      </c>
      <c r="AM39" s="108">
        <v>16182.707258271368</v>
      </c>
      <c r="AN39" s="108">
        <v>16212.431583925947</v>
      </c>
      <c r="AO39" s="108">
        <v>16241.972903844453</v>
      </c>
      <c r="AP39" s="108">
        <v>16271.326449160888</v>
      </c>
      <c r="AQ39" s="108">
        <v>16300.487481878417</v>
      </c>
      <c r="AR39" s="108">
        <v>16329.451295718105</v>
      </c>
      <c r="AS39" s="108">
        <v>16358.213216962538</v>
      </c>
      <c r="AT39" s="108">
        <v>16386.768605294106</v>
      </c>
      <c r="AU39" s="108">
        <v>16415.112854627889</v>
      </c>
      <c r="AV39" s="108">
        <v>16443.241393938872</v>
      </c>
      <c r="AW39" s="108">
        <v>16471.149688083475</v>
      </c>
      <c r="AX39" s="108">
        <v>16498.833238615145</v>
      </c>
    </row>
    <row r="40" spans="2:50" x14ac:dyDescent="0.2">
      <c r="B40" s="178" t="s">
        <v>106</v>
      </c>
      <c r="C40" s="108">
        <v>5010.9805028023011</v>
      </c>
      <c r="D40" s="108">
        <v>5021.9633505252477</v>
      </c>
      <c r="E40" s="108">
        <v>5032.946782562517</v>
      </c>
      <c r="F40" s="108">
        <v>5043.9290374091042</v>
      </c>
      <c r="G40" s="108">
        <v>5054.9083529701256</v>
      </c>
      <c r="H40" s="108">
        <v>5065.8829668698918</v>
      </c>
      <c r="I40" s="108">
        <v>5076.851116761226</v>
      </c>
      <c r="J40" s="108">
        <v>5087.8110406349388</v>
      </c>
      <c r="K40" s="108">
        <v>3569.1326839905992</v>
      </c>
      <c r="L40" s="108">
        <v>3576.7894160882365</v>
      </c>
      <c r="M40" s="108">
        <v>3584.4366933411679</v>
      </c>
      <c r="N40" s="108">
        <v>5131.5332649382435</v>
      </c>
      <c r="O40" s="108">
        <v>5142.4256620895294</v>
      </c>
      <c r="P40" s="108">
        <v>5153.2992856047113</v>
      </c>
      <c r="Q40" s="108">
        <v>5164.1523845089887</v>
      </c>
      <c r="R40" s="108">
        <v>5174.9832106410449</v>
      </c>
      <c r="S40" s="108">
        <v>5185.7900189616103</v>
      </c>
      <c r="T40" s="108">
        <v>5196.5710678616542</v>
      </c>
      <c r="U40" s="108">
        <v>5207.3246194701496</v>
      </c>
      <c r="V40" s="108">
        <v>5218.0489399613498</v>
      </c>
      <c r="W40" s="108">
        <v>5228.7422998615266</v>
      </c>
      <c r="X40" s="108">
        <v>5239.40297435511</v>
      </c>
      <c r="Y40" s="108">
        <v>5250.0292435901756</v>
      </c>
      <c r="Z40" s="108">
        <v>5260.6193929832443</v>
      </c>
      <c r="AA40" s="108">
        <v>5271.1717135232975</v>
      </c>
      <c r="AB40" s="108">
        <v>5281.6845020750052</v>
      </c>
      <c r="AC40" s="108">
        <v>2116.8624246724253</v>
      </c>
      <c r="AD40" s="108">
        <v>3711.8092913045384</v>
      </c>
      <c r="AE40" s="108">
        <v>5312.9687389247601</v>
      </c>
      <c r="AF40" s="108">
        <v>5323.3064962458566</v>
      </c>
      <c r="AG40" s="108">
        <v>5333.5963045859717</v>
      </c>
      <c r="AH40" s="108">
        <v>5343.8365023790293</v>
      </c>
      <c r="AI40" s="108">
        <v>5354.0254360298286</v>
      </c>
      <c r="AJ40" s="108">
        <v>5364.1614602088066</v>
      </c>
      <c r="AK40" s="108">
        <v>5374.2429381455113</v>
      </c>
      <c r="AL40" s="108">
        <v>5384.2682419207131</v>
      </c>
      <c r="AM40" s="108">
        <v>5394.2357527571221</v>
      </c>
      <c r="AN40" s="108">
        <v>5404.1438613086484</v>
      </c>
      <c r="AO40" s="108">
        <v>5413.9909679481507</v>
      </c>
      <c r="AP40" s="108">
        <v>5423.7754830536296</v>
      </c>
      <c r="AQ40" s="108">
        <v>5433.4958272928061</v>
      </c>
      <c r="AR40" s="108">
        <v>3810.2053023342241</v>
      </c>
      <c r="AS40" s="108">
        <v>5452.7377389875128</v>
      </c>
      <c r="AT40" s="108">
        <v>5462.2562017647024</v>
      </c>
      <c r="AU40" s="108">
        <v>5471.7042848759638</v>
      </c>
      <c r="AV40" s="108">
        <v>5481.0804646462902</v>
      </c>
      <c r="AW40" s="108">
        <v>5490.3832293611586</v>
      </c>
      <c r="AX40" s="108">
        <v>5499.611079538382</v>
      </c>
    </row>
    <row r="41" spans="2:50" x14ac:dyDescent="0.2">
      <c r="B41" s="178" t="s">
        <v>107</v>
      </c>
      <c r="C41" s="108">
        <v>3006.5883016813805</v>
      </c>
      <c r="D41" s="108">
        <v>3013.1780103151486</v>
      </c>
      <c r="E41" s="108">
        <v>3019.7680695375102</v>
      </c>
      <c r="F41" s="108">
        <v>3026.3574224454624</v>
      </c>
      <c r="G41" s="108">
        <v>3032.9450117820752</v>
      </c>
      <c r="H41" s="108">
        <v>3039.5297801219349</v>
      </c>
      <c r="I41" s="108">
        <v>2132.277469039715</v>
      </c>
      <c r="J41" s="108">
        <v>3052.6866243809636</v>
      </c>
      <c r="K41" s="108">
        <v>3059.2565862776564</v>
      </c>
      <c r="L41" s="108">
        <v>3065.8194995042027</v>
      </c>
      <c r="M41" s="108">
        <v>2150.6620160047005</v>
      </c>
      <c r="N41" s="108">
        <v>3078.9199589629461</v>
      </c>
      <c r="O41" s="108">
        <v>3085.4553972537178</v>
      </c>
      <c r="P41" s="108">
        <v>3091.9795713628264</v>
      </c>
      <c r="Q41" s="108">
        <v>3098.4914307053937</v>
      </c>
      <c r="R41" s="108">
        <v>3104.9899263846269</v>
      </c>
      <c r="S41" s="108">
        <v>2178.031807963876</v>
      </c>
      <c r="T41" s="108">
        <v>3117.9426407169926</v>
      </c>
      <c r="U41" s="108">
        <v>3124.3947716820899</v>
      </c>
      <c r="V41" s="108">
        <v>3130.8293639768099</v>
      </c>
      <c r="W41" s="108">
        <v>3137.2453799169161</v>
      </c>
      <c r="X41" s="108">
        <v>3143.6417846130662</v>
      </c>
      <c r="Y41" s="108">
        <v>3150.0175461541053</v>
      </c>
      <c r="Z41" s="108">
        <v>3156.3716357899466</v>
      </c>
      <c r="AA41" s="108">
        <v>3162.7030281139782</v>
      </c>
      <c r="AB41" s="108">
        <v>3169.010701245003</v>
      </c>
      <c r="AC41" s="108">
        <v>3175.2936370086377</v>
      </c>
      <c r="AD41" s="108">
        <v>3181.5508211181759</v>
      </c>
      <c r="AE41" s="108">
        <v>3187.7812433548561</v>
      </c>
      <c r="AF41" s="108">
        <v>3193.9838977475138</v>
      </c>
      <c r="AG41" s="108">
        <v>3200.1577827515825</v>
      </c>
      <c r="AH41" s="108">
        <v>3206.3019014274178</v>
      </c>
      <c r="AI41" s="108">
        <v>3212.4152616178967</v>
      </c>
      <c r="AJ41" s="108">
        <v>3218.496876125284</v>
      </c>
      <c r="AK41" s="108">
        <v>3224.5457628873069</v>
      </c>
      <c r="AL41" s="108">
        <v>3230.5609451524278</v>
      </c>
      <c r="AM41" s="108">
        <v>3236.5414516542737</v>
      </c>
      <c r="AN41" s="108">
        <v>3242.486316785189</v>
      </c>
      <c r="AO41" s="108">
        <v>3248.3945807688906</v>
      </c>
      <c r="AP41" s="108">
        <v>3254.2652898321776</v>
      </c>
      <c r="AQ41" s="108">
        <v>3260.0974963756835</v>
      </c>
      <c r="AR41" s="108">
        <v>3265.8902591436208</v>
      </c>
      <c r="AS41" s="108">
        <v>3271.6426433925076</v>
      </c>
      <c r="AT41" s="108">
        <v>3277.3537210588215</v>
      </c>
      <c r="AU41" s="108">
        <v>3283.0225709255783</v>
      </c>
      <c r="AV41" s="108">
        <v>3288.648278787774</v>
      </c>
      <c r="AW41" s="108">
        <v>3294.2299376166952</v>
      </c>
      <c r="AX41" s="108">
        <v>3299.7666477230291</v>
      </c>
    </row>
    <row r="42" spans="2:50" x14ac:dyDescent="0.2">
      <c r="B42" s="178" t="s">
        <v>108</v>
      </c>
      <c r="C42" s="108">
        <v>10000000</v>
      </c>
      <c r="D42" s="108">
        <v>10000000</v>
      </c>
      <c r="E42" s="108">
        <v>10000000</v>
      </c>
      <c r="F42" s="108">
        <v>10000000</v>
      </c>
      <c r="G42" s="108">
        <v>10000000</v>
      </c>
      <c r="H42" s="108">
        <v>10000000</v>
      </c>
      <c r="I42" s="108">
        <v>10000000</v>
      </c>
      <c r="J42" s="108">
        <v>10000000</v>
      </c>
      <c r="K42" s="108">
        <v>10000000</v>
      </c>
      <c r="L42" s="108">
        <v>10000000</v>
      </c>
      <c r="M42" s="108">
        <v>10000000</v>
      </c>
      <c r="N42" s="108">
        <v>10000000</v>
      </c>
      <c r="O42" s="108">
        <v>10000000</v>
      </c>
      <c r="P42" s="108">
        <v>10000000</v>
      </c>
      <c r="Q42" s="108">
        <v>10000000</v>
      </c>
      <c r="R42" s="108">
        <v>10000000</v>
      </c>
      <c r="S42" s="108">
        <v>10000000</v>
      </c>
      <c r="T42" s="108">
        <v>10000000</v>
      </c>
      <c r="U42" s="108">
        <v>10000000</v>
      </c>
      <c r="V42" s="108">
        <v>10000000</v>
      </c>
      <c r="W42" s="108">
        <v>10000000</v>
      </c>
      <c r="X42" s="108">
        <v>10000000</v>
      </c>
      <c r="Y42" s="108">
        <v>10000000</v>
      </c>
      <c r="Z42" s="108">
        <v>10000000</v>
      </c>
      <c r="AA42" s="108">
        <v>10000000</v>
      </c>
      <c r="AB42" s="108">
        <v>10000000</v>
      </c>
      <c r="AC42" s="108">
        <v>10000000</v>
      </c>
      <c r="AD42" s="108">
        <v>10000000</v>
      </c>
      <c r="AE42" s="108">
        <v>10000000</v>
      </c>
      <c r="AF42" s="108">
        <v>10000000</v>
      </c>
      <c r="AG42" s="108">
        <v>10000000</v>
      </c>
      <c r="AH42" s="108">
        <v>10000000</v>
      </c>
      <c r="AI42" s="108">
        <v>10000000</v>
      </c>
      <c r="AJ42" s="108">
        <v>10000000</v>
      </c>
      <c r="AK42" s="108">
        <v>10000000</v>
      </c>
      <c r="AL42" s="108">
        <v>10000000</v>
      </c>
      <c r="AM42" s="108">
        <v>10000000</v>
      </c>
      <c r="AN42" s="108">
        <v>10000000</v>
      </c>
      <c r="AO42" s="108">
        <v>10000000</v>
      </c>
      <c r="AP42" s="108">
        <v>10000000</v>
      </c>
      <c r="AQ42" s="108">
        <v>10000000</v>
      </c>
      <c r="AR42" s="108">
        <v>10000000</v>
      </c>
      <c r="AS42" s="108">
        <v>10000000</v>
      </c>
      <c r="AT42" s="108">
        <v>10000000</v>
      </c>
      <c r="AU42" s="108">
        <v>10000000</v>
      </c>
      <c r="AV42" s="108">
        <v>10000000</v>
      </c>
      <c r="AW42" s="108">
        <v>10000000</v>
      </c>
      <c r="AX42" s="108">
        <v>10000000</v>
      </c>
    </row>
    <row r="43" spans="2:50" x14ac:dyDescent="0.2">
      <c r="B43" s="178" t="s">
        <v>109</v>
      </c>
      <c r="C43" s="108">
        <v>10000000</v>
      </c>
      <c r="D43" s="108">
        <v>10000000</v>
      </c>
      <c r="E43" s="108">
        <v>10000000</v>
      </c>
      <c r="F43" s="108">
        <v>10000000</v>
      </c>
      <c r="G43" s="108">
        <v>10000000</v>
      </c>
      <c r="H43" s="108">
        <v>10000000</v>
      </c>
      <c r="I43" s="108">
        <v>10000000</v>
      </c>
      <c r="J43" s="108">
        <v>10000000</v>
      </c>
      <c r="K43" s="108">
        <v>10000000</v>
      </c>
      <c r="L43" s="108">
        <v>10000000</v>
      </c>
      <c r="M43" s="108">
        <v>10000000</v>
      </c>
      <c r="N43" s="108">
        <v>10000000</v>
      </c>
      <c r="O43" s="108">
        <v>10000000</v>
      </c>
      <c r="P43" s="108">
        <v>10000000</v>
      </c>
      <c r="Q43" s="108">
        <v>10000000</v>
      </c>
      <c r="R43" s="108">
        <v>10000000</v>
      </c>
      <c r="S43" s="108">
        <v>10000000</v>
      </c>
      <c r="T43" s="108">
        <v>10000000</v>
      </c>
      <c r="U43" s="108">
        <v>10000000</v>
      </c>
      <c r="V43" s="108">
        <v>10000000</v>
      </c>
      <c r="W43" s="108">
        <v>10000000</v>
      </c>
      <c r="X43" s="108">
        <v>10000000</v>
      </c>
      <c r="Y43" s="108">
        <v>10000000</v>
      </c>
      <c r="Z43" s="108">
        <v>10000000</v>
      </c>
      <c r="AA43" s="108">
        <v>10000000</v>
      </c>
      <c r="AB43" s="108">
        <v>10000000</v>
      </c>
      <c r="AC43" s="108">
        <v>10000000</v>
      </c>
      <c r="AD43" s="108">
        <v>10000000</v>
      </c>
      <c r="AE43" s="108">
        <v>10000000</v>
      </c>
      <c r="AF43" s="108">
        <v>10000000</v>
      </c>
      <c r="AG43" s="108">
        <v>10000000</v>
      </c>
      <c r="AH43" s="108">
        <v>10000000</v>
      </c>
      <c r="AI43" s="108">
        <v>10000000</v>
      </c>
      <c r="AJ43" s="108">
        <v>10000000</v>
      </c>
      <c r="AK43" s="108">
        <v>10000000</v>
      </c>
      <c r="AL43" s="108">
        <v>10000000</v>
      </c>
      <c r="AM43" s="108">
        <v>10000000</v>
      </c>
      <c r="AN43" s="108">
        <v>10000000</v>
      </c>
      <c r="AO43" s="108">
        <v>10000000</v>
      </c>
      <c r="AP43" s="108">
        <v>10000000</v>
      </c>
      <c r="AQ43" s="108">
        <v>10000000</v>
      </c>
      <c r="AR43" s="108">
        <v>10000000</v>
      </c>
      <c r="AS43" s="108">
        <v>10000000</v>
      </c>
      <c r="AT43" s="108">
        <v>10000000</v>
      </c>
      <c r="AU43" s="108">
        <v>10000000</v>
      </c>
      <c r="AV43" s="108">
        <v>10000000</v>
      </c>
      <c r="AW43" s="108">
        <v>10000000</v>
      </c>
      <c r="AX43" s="108">
        <v>10000000</v>
      </c>
    </row>
    <row r="45" spans="2:50" x14ac:dyDescent="0.2">
      <c r="B45" s="111" t="s">
        <v>323</v>
      </c>
    </row>
    <row r="46" spans="2:50" x14ac:dyDescent="0.2">
      <c r="B46" s="107" t="s">
        <v>273</v>
      </c>
      <c r="C46" s="107" t="s">
        <v>92</v>
      </c>
      <c r="D46" s="109"/>
      <c r="E46" s="109"/>
      <c r="F46" s="109"/>
      <c r="G46" s="107" t="s">
        <v>93</v>
      </c>
      <c r="H46" s="109"/>
      <c r="I46" s="109"/>
      <c r="J46" s="109"/>
      <c r="K46" s="107" t="s">
        <v>94</v>
      </c>
      <c r="L46" s="109"/>
      <c r="M46" s="109"/>
      <c r="N46" s="109"/>
      <c r="O46" s="107" t="s">
        <v>95</v>
      </c>
      <c r="P46" s="109"/>
      <c r="Q46" s="109"/>
      <c r="R46" s="109"/>
      <c r="S46" s="107" t="s">
        <v>96</v>
      </c>
      <c r="T46" s="109"/>
      <c r="U46" s="109"/>
      <c r="V46" s="109"/>
      <c r="W46" s="107" t="s">
        <v>97</v>
      </c>
      <c r="X46" s="109"/>
      <c r="Y46" s="109"/>
      <c r="Z46" s="109"/>
      <c r="AA46" s="107" t="s">
        <v>98</v>
      </c>
      <c r="AB46" s="109"/>
      <c r="AC46" s="109"/>
      <c r="AD46" s="109"/>
      <c r="AE46" s="107" t="s">
        <v>99</v>
      </c>
      <c r="AF46" s="109"/>
      <c r="AG46" s="109"/>
      <c r="AH46" s="109"/>
      <c r="AI46" s="107" t="s">
        <v>100</v>
      </c>
      <c r="AJ46" s="109"/>
      <c r="AK46" s="109"/>
      <c r="AL46" s="109"/>
      <c r="AM46" s="107" t="s">
        <v>101</v>
      </c>
      <c r="AN46" s="109"/>
      <c r="AO46" s="109"/>
      <c r="AP46" s="109"/>
      <c r="AQ46" s="107" t="s">
        <v>102</v>
      </c>
      <c r="AR46" s="109"/>
      <c r="AS46" s="109"/>
      <c r="AT46" s="109"/>
      <c r="AU46" s="107" t="s">
        <v>103</v>
      </c>
      <c r="AV46" s="109"/>
      <c r="AW46" s="109"/>
    </row>
    <row r="47" spans="2:50" x14ac:dyDescent="0.2">
      <c r="B47" s="107" t="s">
        <v>324</v>
      </c>
      <c r="C47" s="107">
        <v>1</v>
      </c>
      <c r="D47" s="107">
        <v>2</v>
      </c>
      <c r="E47" s="107">
        <v>3</v>
      </c>
      <c r="F47" s="107">
        <v>4</v>
      </c>
      <c r="G47" s="107">
        <v>1</v>
      </c>
      <c r="H47" s="107">
        <v>2</v>
      </c>
      <c r="I47" s="107">
        <v>3</v>
      </c>
      <c r="J47" s="107">
        <v>4</v>
      </c>
      <c r="K47" s="107">
        <v>1</v>
      </c>
      <c r="L47" s="107">
        <v>2</v>
      </c>
      <c r="M47" s="107">
        <v>3</v>
      </c>
      <c r="N47" s="107">
        <v>4</v>
      </c>
      <c r="O47" s="107">
        <v>1</v>
      </c>
      <c r="P47" s="107">
        <v>2</v>
      </c>
      <c r="Q47" s="107">
        <v>3</v>
      </c>
      <c r="R47" s="107">
        <v>4</v>
      </c>
      <c r="S47" s="107">
        <v>1</v>
      </c>
      <c r="T47" s="107">
        <v>2</v>
      </c>
      <c r="U47" s="107">
        <v>3</v>
      </c>
      <c r="V47" s="107">
        <v>4</v>
      </c>
      <c r="W47" s="107">
        <v>1</v>
      </c>
      <c r="X47" s="107">
        <v>2</v>
      </c>
      <c r="Y47" s="107">
        <v>3</v>
      </c>
      <c r="Z47" s="107">
        <v>4</v>
      </c>
      <c r="AA47" s="107">
        <v>1</v>
      </c>
      <c r="AB47" s="107">
        <v>2</v>
      </c>
      <c r="AC47" s="107">
        <v>3</v>
      </c>
      <c r="AD47" s="107">
        <v>4</v>
      </c>
      <c r="AE47" s="107">
        <v>1</v>
      </c>
      <c r="AF47" s="107">
        <v>2</v>
      </c>
      <c r="AG47" s="107">
        <v>3</v>
      </c>
      <c r="AH47" s="107">
        <v>4</v>
      </c>
      <c r="AI47" s="107">
        <v>1</v>
      </c>
      <c r="AJ47" s="107">
        <v>2</v>
      </c>
      <c r="AK47" s="107">
        <v>3</v>
      </c>
      <c r="AL47" s="107">
        <v>4</v>
      </c>
      <c r="AM47" s="107">
        <v>1</v>
      </c>
      <c r="AN47" s="107">
        <v>2</v>
      </c>
      <c r="AO47" s="107">
        <v>3</v>
      </c>
      <c r="AP47" s="107">
        <v>4</v>
      </c>
      <c r="AQ47" s="107">
        <v>1</v>
      </c>
      <c r="AR47" s="107">
        <v>2</v>
      </c>
      <c r="AS47" s="107">
        <v>3</v>
      </c>
      <c r="AT47" s="107">
        <v>4</v>
      </c>
      <c r="AU47" s="107">
        <v>1</v>
      </c>
      <c r="AV47" s="107">
        <v>2</v>
      </c>
      <c r="AW47" s="107">
        <v>3</v>
      </c>
      <c r="AX47" s="107">
        <v>4</v>
      </c>
    </row>
    <row r="48" spans="2:50" x14ac:dyDescent="0.2">
      <c r="B48" s="107" t="s">
        <v>104</v>
      </c>
      <c r="C48" s="108">
        <v>0</v>
      </c>
      <c r="D48" s="108">
        <v>0</v>
      </c>
      <c r="E48" s="108">
        <v>0</v>
      </c>
      <c r="F48" s="108">
        <v>0</v>
      </c>
      <c r="G48" s="108">
        <v>0</v>
      </c>
      <c r="H48" s="108">
        <v>0</v>
      </c>
      <c r="I48" s="108">
        <v>0</v>
      </c>
      <c r="J48" s="108">
        <v>0</v>
      </c>
      <c r="K48" s="108">
        <v>0</v>
      </c>
      <c r="L48" s="108">
        <v>0</v>
      </c>
      <c r="M48" s="108">
        <v>0</v>
      </c>
      <c r="N48" s="108">
        <v>0</v>
      </c>
      <c r="O48" s="108">
        <v>0</v>
      </c>
      <c r="P48" s="108">
        <v>0</v>
      </c>
      <c r="Q48" s="108">
        <v>0</v>
      </c>
      <c r="R48" s="108">
        <v>0</v>
      </c>
      <c r="S48" s="108">
        <v>0</v>
      </c>
      <c r="T48" s="108">
        <v>0</v>
      </c>
      <c r="U48" s="108">
        <v>0</v>
      </c>
      <c r="V48" s="108">
        <v>0</v>
      </c>
      <c r="W48" s="108">
        <v>0</v>
      </c>
      <c r="X48" s="108">
        <v>0</v>
      </c>
      <c r="Y48" s="108">
        <v>0</v>
      </c>
      <c r="Z48" s="108">
        <v>0</v>
      </c>
      <c r="AA48" s="108">
        <v>0</v>
      </c>
      <c r="AB48" s="108">
        <v>0</v>
      </c>
      <c r="AC48" s="108">
        <v>0</v>
      </c>
      <c r="AD48" s="108">
        <v>0</v>
      </c>
      <c r="AE48" s="108">
        <v>0</v>
      </c>
      <c r="AF48" s="108">
        <v>0</v>
      </c>
      <c r="AG48" s="108">
        <v>0</v>
      </c>
      <c r="AH48" s="108">
        <v>0</v>
      </c>
      <c r="AI48" s="108">
        <v>0</v>
      </c>
      <c r="AJ48" s="108">
        <v>0</v>
      </c>
      <c r="AK48" s="108">
        <v>0</v>
      </c>
      <c r="AL48" s="108">
        <v>0</v>
      </c>
      <c r="AM48" s="108">
        <v>0</v>
      </c>
      <c r="AN48" s="108">
        <v>0</v>
      </c>
      <c r="AO48" s="108">
        <v>0</v>
      </c>
      <c r="AP48" s="108">
        <v>0</v>
      </c>
      <c r="AQ48" s="108">
        <v>0</v>
      </c>
      <c r="AR48" s="108">
        <v>0</v>
      </c>
      <c r="AS48" s="108">
        <v>0</v>
      </c>
      <c r="AT48" s="108">
        <v>0</v>
      </c>
      <c r="AU48" s="108">
        <v>0</v>
      </c>
      <c r="AV48" s="108">
        <v>0</v>
      </c>
      <c r="AW48" s="108">
        <v>0</v>
      </c>
      <c r="AX48" s="108">
        <v>0</v>
      </c>
    </row>
    <row r="49" spans="2:51" x14ac:dyDescent="0.2">
      <c r="B49" s="107" t="s">
        <v>105</v>
      </c>
      <c r="C49" s="108">
        <v>0</v>
      </c>
      <c r="D49" s="108">
        <v>0</v>
      </c>
      <c r="E49" s="108">
        <v>0</v>
      </c>
      <c r="F49" s="108">
        <v>0</v>
      </c>
      <c r="G49" s="108">
        <v>0</v>
      </c>
      <c r="H49" s="108">
        <v>0</v>
      </c>
      <c r="I49" s="108">
        <v>0</v>
      </c>
      <c r="J49" s="108">
        <v>0</v>
      </c>
      <c r="K49" s="108">
        <v>0</v>
      </c>
      <c r="L49" s="108">
        <v>0</v>
      </c>
      <c r="M49" s="108">
        <v>0</v>
      </c>
      <c r="N49" s="108">
        <v>0</v>
      </c>
      <c r="O49" s="108">
        <v>0</v>
      </c>
      <c r="P49" s="108">
        <v>0</v>
      </c>
      <c r="Q49" s="108">
        <v>0</v>
      </c>
      <c r="R49" s="108">
        <v>0</v>
      </c>
      <c r="S49" s="108">
        <v>0</v>
      </c>
      <c r="T49" s="108">
        <v>0</v>
      </c>
      <c r="U49" s="108">
        <v>0</v>
      </c>
      <c r="V49" s="108">
        <v>0</v>
      </c>
      <c r="W49" s="108">
        <v>0</v>
      </c>
      <c r="X49" s="108">
        <v>0</v>
      </c>
      <c r="Y49" s="108">
        <v>0</v>
      </c>
      <c r="Z49" s="108">
        <v>0</v>
      </c>
      <c r="AA49" s="108">
        <v>0</v>
      </c>
      <c r="AB49" s="108">
        <v>0</v>
      </c>
      <c r="AC49" s="108">
        <v>0</v>
      </c>
      <c r="AD49" s="108">
        <v>0</v>
      </c>
      <c r="AE49" s="108">
        <v>0</v>
      </c>
      <c r="AF49" s="108">
        <v>0</v>
      </c>
      <c r="AG49" s="108">
        <v>0</v>
      </c>
      <c r="AH49" s="108">
        <v>0</v>
      </c>
      <c r="AI49" s="108">
        <v>0</v>
      </c>
      <c r="AJ49" s="108">
        <v>0</v>
      </c>
      <c r="AK49" s="108">
        <v>0</v>
      </c>
      <c r="AL49" s="108">
        <v>0</v>
      </c>
      <c r="AM49" s="108">
        <v>0</v>
      </c>
      <c r="AN49" s="108">
        <v>0</v>
      </c>
      <c r="AO49" s="108">
        <v>0</v>
      </c>
      <c r="AP49" s="108">
        <v>0</v>
      </c>
      <c r="AQ49" s="108">
        <v>0</v>
      </c>
      <c r="AR49" s="108">
        <v>0</v>
      </c>
      <c r="AS49" s="108">
        <v>0</v>
      </c>
      <c r="AT49" s="108">
        <v>0</v>
      </c>
      <c r="AU49" s="108">
        <v>0</v>
      </c>
      <c r="AV49" s="108">
        <v>0</v>
      </c>
      <c r="AW49" s="108">
        <v>0</v>
      </c>
      <c r="AX49" s="108">
        <v>0</v>
      </c>
    </row>
    <row r="50" spans="2:51" x14ac:dyDescent="0.2">
      <c r="B50" s="107" t="s">
        <v>106</v>
      </c>
      <c r="C50" s="108">
        <v>0</v>
      </c>
      <c r="D50" s="108">
        <v>0</v>
      </c>
      <c r="E50" s="108">
        <v>0</v>
      </c>
      <c r="F50" s="108">
        <v>0</v>
      </c>
      <c r="G50" s="108">
        <v>0</v>
      </c>
      <c r="H50" s="108">
        <v>0</v>
      </c>
      <c r="I50" s="108">
        <v>0</v>
      </c>
      <c r="J50" s="108">
        <v>0</v>
      </c>
      <c r="K50" s="108">
        <v>0</v>
      </c>
      <c r="L50" s="108">
        <v>0</v>
      </c>
      <c r="M50" s="108">
        <v>0</v>
      </c>
      <c r="N50" s="108">
        <v>0</v>
      </c>
      <c r="O50" s="108">
        <v>0</v>
      </c>
      <c r="P50" s="108">
        <v>0</v>
      </c>
      <c r="Q50" s="108">
        <v>0</v>
      </c>
      <c r="R50" s="108">
        <v>0</v>
      </c>
      <c r="S50" s="108">
        <v>0</v>
      </c>
      <c r="T50" s="108">
        <v>0</v>
      </c>
      <c r="U50" s="108">
        <v>0</v>
      </c>
      <c r="V50" s="108">
        <v>0</v>
      </c>
      <c r="W50" s="108">
        <v>0</v>
      </c>
      <c r="X50" s="108">
        <v>0</v>
      </c>
      <c r="Y50" s="108">
        <v>0</v>
      </c>
      <c r="Z50" s="108">
        <v>0</v>
      </c>
      <c r="AA50" s="108">
        <v>0</v>
      </c>
      <c r="AB50" s="108">
        <v>0</v>
      </c>
      <c r="AC50" s="108">
        <v>0</v>
      </c>
      <c r="AD50" s="108">
        <v>0</v>
      </c>
      <c r="AE50" s="108">
        <v>0</v>
      </c>
      <c r="AF50" s="108">
        <v>0</v>
      </c>
      <c r="AG50" s="108">
        <v>0</v>
      </c>
      <c r="AH50" s="108">
        <v>0</v>
      </c>
      <c r="AI50" s="108">
        <v>0</v>
      </c>
      <c r="AJ50" s="108">
        <v>0</v>
      </c>
      <c r="AK50" s="108">
        <v>0</v>
      </c>
      <c r="AL50" s="108">
        <v>0</v>
      </c>
      <c r="AM50" s="108">
        <v>0</v>
      </c>
      <c r="AN50" s="108">
        <v>0</v>
      </c>
      <c r="AO50" s="108">
        <v>0</v>
      </c>
      <c r="AP50" s="108">
        <v>0</v>
      </c>
      <c r="AQ50" s="108">
        <v>0</v>
      </c>
      <c r="AR50" s="108">
        <v>0</v>
      </c>
      <c r="AS50" s="108">
        <v>0</v>
      </c>
      <c r="AT50" s="108">
        <v>0</v>
      </c>
      <c r="AU50" s="108">
        <v>0</v>
      </c>
      <c r="AV50" s="108">
        <v>0</v>
      </c>
      <c r="AW50" s="108">
        <v>0</v>
      </c>
      <c r="AX50" s="108">
        <v>0</v>
      </c>
      <c r="AY50" s="120"/>
    </row>
    <row r="51" spans="2:51" x14ac:dyDescent="0.2">
      <c r="B51" s="107" t="s">
        <v>107</v>
      </c>
      <c r="C51" s="108">
        <v>0</v>
      </c>
      <c r="D51" s="108">
        <v>0</v>
      </c>
      <c r="E51" s="108">
        <v>0</v>
      </c>
      <c r="F51" s="108">
        <v>0</v>
      </c>
      <c r="G51" s="108">
        <v>0</v>
      </c>
      <c r="H51" s="108">
        <v>0</v>
      </c>
      <c r="I51" s="108">
        <v>0</v>
      </c>
      <c r="J51" s="108">
        <v>0</v>
      </c>
      <c r="K51" s="108">
        <v>0</v>
      </c>
      <c r="L51" s="108">
        <v>0</v>
      </c>
      <c r="M51" s="108">
        <v>0</v>
      </c>
      <c r="N51" s="108">
        <v>0</v>
      </c>
      <c r="O51" s="108">
        <v>0</v>
      </c>
      <c r="P51" s="108">
        <v>0</v>
      </c>
      <c r="Q51" s="108">
        <v>0</v>
      </c>
      <c r="R51" s="108">
        <v>0</v>
      </c>
      <c r="S51" s="108">
        <v>0</v>
      </c>
      <c r="T51" s="108">
        <v>0</v>
      </c>
      <c r="U51" s="108">
        <v>0</v>
      </c>
      <c r="V51" s="108">
        <v>0</v>
      </c>
      <c r="W51" s="108">
        <v>0</v>
      </c>
      <c r="X51" s="108">
        <v>0</v>
      </c>
      <c r="Y51" s="108">
        <v>0</v>
      </c>
      <c r="Z51" s="108">
        <v>0</v>
      </c>
      <c r="AA51" s="108">
        <v>0</v>
      </c>
      <c r="AB51" s="108">
        <v>0</v>
      </c>
      <c r="AC51" s="108">
        <v>0</v>
      </c>
      <c r="AD51" s="108">
        <v>0</v>
      </c>
      <c r="AE51" s="108">
        <v>0</v>
      </c>
      <c r="AF51" s="108">
        <v>0</v>
      </c>
      <c r="AG51" s="108">
        <v>0</v>
      </c>
      <c r="AH51" s="108">
        <v>0</v>
      </c>
      <c r="AI51" s="108">
        <v>0</v>
      </c>
      <c r="AJ51" s="108">
        <v>0</v>
      </c>
      <c r="AK51" s="108">
        <v>0</v>
      </c>
      <c r="AL51" s="108">
        <v>0</v>
      </c>
      <c r="AM51" s="108">
        <v>0</v>
      </c>
      <c r="AN51" s="108">
        <v>0</v>
      </c>
      <c r="AO51" s="108">
        <v>0</v>
      </c>
      <c r="AP51" s="108">
        <v>0</v>
      </c>
      <c r="AQ51" s="108">
        <v>0</v>
      </c>
      <c r="AR51" s="108">
        <v>0</v>
      </c>
      <c r="AS51" s="108">
        <v>0</v>
      </c>
      <c r="AT51" s="108">
        <v>0</v>
      </c>
      <c r="AU51" s="108">
        <v>0</v>
      </c>
      <c r="AV51" s="108">
        <v>0</v>
      </c>
      <c r="AW51" s="108">
        <v>0</v>
      </c>
      <c r="AX51" s="108">
        <v>0</v>
      </c>
      <c r="AY51" s="119"/>
    </row>
    <row r="52" spans="2:51" x14ac:dyDescent="0.2">
      <c r="B52" s="107" t="s">
        <v>108</v>
      </c>
      <c r="C52" s="108">
        <v>10000</v>
      </c>
      <c r="D52" s="108">
        <v>10000</v>
      </c>
      <c r="E52" s="108">
        <v>10000</v>
      </c>
      <c r="F52" s="108">
        <v>10000</v>
      </c>
      <c r="G52" s="108">
        <v>10000</v>
      </c>
      <c r="H52" s="108">
        <v>10000</v>
      </c>
      <c r="I52" s="108">
        <v>10000</v>
      </c>
      <c r="J52" s="108">
        <v>10000</v>
      </c>
      <c r="K52" s="108">
        <v>10000</v>
      </c>
      <c r="L52" s="108">
        <v>10000</v>
      </c>
      <c r="M52" s="108">
        <v>10000</v>
      </c>
      <c r="N52" s="108">
        <v>10000</v>
      </c>
      <c r="O52" s="108">
        <v>10000</v>
      </c>
      <c r="P52" s="108">
        <v>10000</v>
      </c>
      <c r="Q52" s="108">
        <v>10000</v>
      </c>
      <c r="R52" s="108">
        <v>10000</v>
      </c>
      <c r="S52" s="108">
        <v>10000</v>
      </c>
      <c r="T52" s="108">
        <v>10000</v>
      </c>
      <c r="U52" s="108">
        <v>10000</v>
      </c>
      <c r="V52" s="108">
        <v>10000</v>
      </c>
      <c r="W52" s="108">
        <v>10000</v>
      </c>
      <c r="X52" s="108">
        <v>10000</v>
      </c>
      <c r="Y52" s="108">
        <v>10000</v>
      </c>
      <c r="Z52" s="108">
        <v>10000</v>
      </c>
      <c r="AA52" s="108">
        <v>10000</v>
      </c>
      <c r="AB52" s="108">
        <v>10000</v>
      </c>
      <c r="AC52" s="108">
        <v>10000</v>
      </c>
      <c r="AD52" s="108">
        <v>10000</v>
      </c>
      <c r="AE52" s="108">
        <v>10000</v>
      </c>
      <c r="AF52" s="108">
        <v>10000</v>
      </c>
      <c r="AG52" s="108">
        <v>10000</v>
      </c>
      <c r="AH52" s="108">
        <v>10000</v>
      </c>
      <c r="AI52" s="108">
        <v>10000</v>
      </c>
      <c r="AJ52" s="108">
        <v>10000</v>
      </c>
      <c r="AK52" s="108">
        <v>10000</v>
      </c>
      <c r="AL52" s="108">
        <v>10000</v>
      </c>
      <c r="AM52" s="108">
        <v>10000</v>
      </c>
      <c r="AN52" s="108">
        <v>10000</v>
      </c>
      <c r="AO52" s="108">
        <v>10000</v>
      </c>
      <c r="AP52" s="108">
        <v>10000</v>
      </c>
      <c r="AQ52" s="108">
        <v>10000</v>
      </c>
      <c r="AR52" s="108">
        <v>10000</v>
      </c>
      <c r="AS52" s="108">
        <v>10000</v>
      </c>
      <c r="AT52" s="108">
        <v>10000</v>
      </c>
      <c r="AU52" s="108">
        <v>10000</v>
      </c>
      <c r="AV52" s="108">
        <v>10000</v>
      </c>
      <c r="AW52" s="108">
        <v>10000</v>
      </c>
      <c r="AX52" s="108">
        <v>10000</v>
      </c>
    </row>
    <row r="53" spans="2:51" x14ac:dyDescent="0.2">
      <c r="B53" s="107" t="s">
        <v>109</v>
      </c>
      <c r="C53" s="108">
        <v>0</v>
      </c>
      <c r="D53" s="108">
        <v>0</v>
      </c>
      <c r="E53" s="108">
        <v>0</v>
      </c>
      <c r="F53" s="108">
        <v>0</v>
      </c>
      <c r="G53" s="108">
        <v>0</v>
      </c>
      <c r="H53" s="108">
        <v>0</v>
      </c>
      <c r="I53" s="108">
        <v>0</v>
      </c>
      <c r="J53" s="108">
        <v>0</v>
      </c>
      <c r="K53" s="108">
        <v>0</v>
      </c>
      <c r="L53" s="108">
        <v>0</v>
      </c>
      <c r="M53" s="108">
        <v>0</v>
      </c>
      <c r="N53" s="108">
        <v>0</v>
      </c>
      <c r="O53" s="108">
        <v>0</v>
      </c>
      <c r="P53" s="108">
        <v>0</v>
      </c>
      <c r="Q53" s="108">
        <v>0</v>
      </c>
      <c r="R53" s="108">
        <v>0</v>
      </c>
      <c r="S53" s="108">
        <v>0</v>
      </c>
      <c r="T53" s="108">
        <v>0</v>
      </c>
      <c r="U53" s="108">
        <v>0</v>
      </c>
      <c r="V53" s="108">
        <v>0</v>
      </c>
      <c r="W53" s="108">
        <v>0</v>
      </c>
      <c r="X53" s="108">
        <v>0</v>
      </c>
      <c r="Y53" s="108">
        <v>0</v>
      </c>
      <c r="Z53" s="108">
        <v>0</v>
      </c>
      <c r="AA53" s="108">
        <v>0</v>
      </c>
      <c r="AB53" s="108">
        <v>0</v>
      </c>
      <c r="AC53" s="108">
        <v>0</v>
      </c>
      <c r="AD53" s="108">
        <v>0</v>
      </c>
      <c r="AE53" s="108">
        <v>0</v>
      </c>
      <c r="AF53" s="108">
        <v>0</v>
      </c>
      <c r="AG53" s="108">
        <v>0</v>
      </c>
      <c r="AH53" s="108">
        <v>0</v>
      </c>
      <c r="AI53" s="108">
        <v>0</v>
      </c>
      <c r="AJ53" s="108">
        <v>0</v>
      </c>
      <c r="AK53" s="108">
        <v>0</v>
      </c>
      <c r="AL53" s="108">
        <v>0</v>
      </c>
      <c r="AM53" s="108">
        <v>0</v>
      </c>
      <c r="AN53" s="108">
        <v>0</v>
      </c>
      <c r="AO53" s="108">
        <v>0</v>
      </c>
      <c r="AP53" s="108">
        <v>0</v>
      </c>
      <c r="AQ53" s="108">
        <v>0</v>
      </c>
      <c r="AR53" s="108">
        <v>0</v>
      </c>
      <c r="AS53" s="108">
        <v>0</v>
      </c>
      <c r="AT53" s="108">
        <v>0</v>
      </c>
      <c r="AU53" s="108">
        <v>0</v>
      </c>
      <c r="AV53" s="108">
        <v>0</v>
      </c>
      <c r="AW53" s="108">
        <v>0</v>
      </c>
      <c r="AX53" s="108">
        <v>0</v>
      </c>
    </row>
    <row r="55" spans="2:51" x14ac:dyDescent="0.2">
      <c r="B55" s="182" t="s">
        <v>325</v>
      </c>
      <c r="C55" s="183"/>
      <c r="D55" s="183"/>
      <c r="E55" s="183"/>
      <c r="F55" s="183"/>
      <c r="G55" s="183"/>
      <c r="H55" s="183"/>
      <c r="I55" s="183"/>
      <c r="J55" s="183"/>
      <c r="K55" s="183"/>
      <c r="L55" s="183"/>
      <c r="M55" s="183"/>
      <c r="N55" s="183"/>
      <c r="O55" s="183"/>
      <c r="P55" s="183"/>
      <c r="Q55" s="183"/>
      <c r="R55" s="183"/>
      <c r="S55" s="183"/>
      <c r="T55" s="183"/>
      <c r="U55" s="183"/>
      <c r="V55" s="183"/>
      <c r="W55" s="183"/>
      <c r="X55" s="183"/>
      <c r="Y55" s="183"/>
      <c r="Z55" s="183"/>
      <c r="AA55" s="183"/>
      <c r="AB55" s="183"/>
      <c r="AC55" s="183"/>
      <c r="AD55" s="183"/>
      <c r="AE55" s="183"/>
      <c r="AF55" s="183"/>
      <c r="AG55" s="183"/>
      <c r="AH55" s="183"/>
      <c r="AI55" s="183"/>
      <c r="AJ55" s="183"/>
      <c r="AK55" s="183"/>
      <c r="AL55" s="183"/>
      <c r="AM55" s="183"/>
      <c r="AN55" s="183"/>
      <c r="AO55" s="183"/>
      <c r="AP55" s="183"/>
      <c r="AQ55" s="183"/>
      <c r="AR55" s="183"/>
      <c r="AS55" s="183"/>
      <c r="AT55" s="183"/>
      <c r="AU55" s="183"/>
      <c r="AV55" s="183"/>
      <c r="AW55" s="183"/>
      <c r="AX55" s="183"/>
    </row>
    <row r="56" spans="2:51" x14ac:dyDescent="0.2">
      <c r="B56" s="113" t="s">
        <v>273</v>
      </c>
      <c r="C56" s="113" t="s">
        <v>92</v>
      </c>
      <c r="D56" s="109"/>
      <c r="E56" s="109"/>
      <c r="F56" s="109"/>
      <c r="G56" s="113" t="s">
        <v>93</v>
      </c>
      <c r="H56" s="109"/>
      <c r="I56" s="109"/>
      <c r="J56" s="109"/>
      <c r="K56" s="113" t="s">
        <v>94</v>
      </c>
      <c r="L56" s="109"/>
      <c r="M56" s="109"/>
      <c r="N56" s="109"/>
      <c r="O56" s="113" t="s">
        <v>95</v>
      </c>
      <c r="P56" s="109"/>
      <c r="Q56" s="109"/>
      <c r="R56" s="109"/>
      <c r="S56" s="113" t="s">
        <v>96</v>
      </c>
      <c r="T56" s="109"/>
      <c r="U56" s="109"/>
      <c r="V56" s="109"/>
      <c r="W56" s="113" t="s">
        <v>97</v>
      </c>
      <c r="X56" s="109"/>
      <c r="Y56" s="109"/>
      <c r="Z56" s="109"/>
      <c r="AA56" s="113" t="s">
        <v>98</v>
      </c>
      <c r="AB56" s="109"/>
      <c r="AC56" s="109"/>
      <c r="AD56" s="109"/>
      <c r="AE56" s="113" t="s">
        <v>99</v>
      </c>
      <c r="AF56" s="109"/>
      <c r="AG56" s="109"/>
      <c r="AH56" s="109"/>
      <c r="AI56" s="113" t="s">
        <v>100</v>
      </c>
      <c r="AJ56" s="109"/>
      <c r="AK56" s="109"/>
      <c r="AL56" s="109"/>
      <c r="AM56" s="113" t="s">
        <v>101</v>
      </c>
      <c r="AN56" s="109"/>
      <c r="AO56" s="109"/>
      <c r="AP56" s="109"/>
      <c r="AQ56" s="113" t="s">
        <v>102</v>
      </c>
      <c r="AR56" s="109"/>
      <c r="AS56" s="109"/>
      <c r="AT56" s="109"/>
      <c r="AU56" s="113" t="s">
        <v>103</v>
      </c>
      <c r="AV56" s="109"/>
      <c r="AW56" s="109"/>
    </row>
    <row r="57" spans="2:51" x14ac:dyDescent="0.2">
      <c r="B57" s="113" t="s">
        <v>324</v>
      </c>
      <c r="C57" s="113">
        <v>1</v>
      </c>
      <c r="D57" s="113">
        <v>2</v>
      </c>
      <c r="E57" s="113">
        <v>3</v>
      </c>
      <c r="F57" s="113">
        <v>4</v>
      </c>
      <c r="G57" s="113">
        <v>1</v>
      </c>
      <c r="H57" s="113">
        <v>2</v>
      </c>
      <c r="I57" s="113">
        <v>3</v>
      </c>
      <c r="J57" s="113">
        <v>4</v>
      </c>
      <c r="K57" s="113">
        <v>1</v>
      </c>
      <c r="L57" s="113">
        <v>2</v>
      </c>
      <c r="M57" s="113">
        <v>3</v>
      </c>
      <c r="N57" s="113">
        <v>4</v>
      </c>
      <c r="O57" s="113">
        <v>1</v>
      </c>
      <c r="P57" s="113">
        <v>2</v>
      </c>
      <c r="Q57" s="113">
        <v>3</v>
      </c>
      <c r="R57" s="113">
        <v>4</v>
      </c>
      <c r="S57" s="113">
        <v>1</v>
      </c>
      <c r="T57" s="113">
        <v>2</v>
      </c>
      <c r="U57" s="113">
        <v>3</v>
      </c>
      <c r="V57" s="113">
        <v>4</v>
      </c>
      <c r="W57" s="113">
        <v>1</v>
      </c>
      <c r="X57" s="113">
        <v>2</v>
      </c>
      <c r="Y57" s="113">
        <v>3</v>
      </c>
      <c r="Z57" s="113">
        <v>4</v>
      </c>
      <c r="AA57" s="113">
        <v>1</v>
      </c>
      <c r="AB57" s="113">
        <v>2</v>
      </c>
      <c r="AC57" s="113">
        <v>3</v>
      </c>
      <c r="AD57" s="113">
        <v>4</v>
      </c>
      <c r="AE57" s="113">
        <v>1</v>
      </c>
      <c r="AF57" s="113">
        <v>2</v>
      </c>
      <c r="AG57" s="113">
        <v>3</v>
      </c>
      <c r="AH57" s="113">
        <v>4</v>
      </c>
      <c r="AI57" s="113">
        <v>1</v>
      </c>
      <c r="AJ57" s="113">
        <v>2</v>
      </c>
      <c r="AK57" s="113">
        <v>3</v>
      </c>
      <c r="AL57" s="113">
        <v>4</v>
      </c>
      <c r="AM57" s="113">
        <v>1</v>
      </c>
      <c r="AN57" s="113">
        <v>2</v>
      </c>
      <c r="AO57" s="113">
        <v>3</v>
      </c>
      <c r="AP57" s="113">
        <v>4</v>
      </c>
      <c r="AQ57" s="113">
        <v>1</v>
      </c>
      <c r="AR57" s="113">
        <v>2</v>
      </c>
      <c r="AS57" s="113">
        <v>3</v>
      </c>
      <c r="AT57" s="113">
        <v>4</v>
      </c>
      <c r="AU57" s="113">
        <v>1</v>
      </c>
      <c r="AV57" s="113">
        <v>2</v>
      </c>
      <c r="AW57" s="113">
        <v>3</v>
      </c>
      <c r="AX57" s="113">
        <v>4</v>
      </c>
    </row>
    <row r="58" spans="2:51" x14ac:dyDescent="0.2">
      <c r="B58" s="113" t="s">
        <v>104</v>
      </c>
      <c r="C58" s="108">
        <v>0</v>
      </c>
      <c r="D58" s="108">
        <v>0</v>
      </c>
      <c r="E58" s="108">
        <v>0</v>
      </c>
      <c r="F58" s="108">
        <v>0</v>
      </c>
      <c r="G58" s="108">
        <v>0</v>
      </c>
      <c r="H58" s="108">
        <v>0</v>
      </c>
      <c r="I58" s="108">
        <v>0</v>
      </c>
      <c r="J58" s="108">
        <v>0</v>
      </c>
      <c r="K58" s="108">
        <v>0</v>
      </c>
      <c r="L58" s="108">
        <v>0</v>
      </c>
      <c r="M58" s="108">
        <v>0</v>
      </c>
      <c r="N58" s="108">
        <v>0</v>
      </c>
      <c r="O58" s="108">
        <v>0</v>
      </c>
      <c r="P58" s="108">
        <v>0</v>
      </c>
      <c r="Q58" s="108">
        <v>0</v>
      </c>
      <c r="R58" s="108">
        <v>0</v>
      </c>
      <c r="S58" s="108">
        <v>0</v>
      </c>
      <c r="T58" s="108">
        <v>0</v>
      </c>
      <c r="U58" s="108">
        <v>0</v>
      </c>
      <c r="V58" s="108">
        <v>0</v>
      </c>
      <c r="W58" s="108">
        <v>0</v>
      </c>
      <c r="X58" s="108">
        <v>0</v>
      </c>
      <c r="Y58" s="108">
        <v>0</v>
      </c>
      <c r="Z58" s="108">
        <v>0</v>
      </c>
      <c r="AA58" s="108">
        <v>0</v>
      </c>
      <c r="AB58" s="108">
        <v>0</v>
      </c>
      <c r="AC58" s="108">
        <v>0</v>
      </c>
      <c r="AD58" s="108">
        <v>0</v>
      </c>
      <c r="AE58" s="108">
        <v>0</v>
      </c>
      <c r="AF58" s="108">
        <v>0</v>
      </c>
      <c r="AG58" s="108">
        <v>0</v>
      </c>
      <c r="AH58" s="108">
        <v>0</v>
      </c>
      <c r="AI58" s="108">
        <v>0</v>
      </c>
      <c r="AJ58" s="108">
        <v>0</v>
      </c>
      <c r="AK58" s="108">
        <v>0</v>
      </c>
      <c r="AL58" s="108">
        <v>0</v>
      </c>
      <c r="AM58" s="108">
        <v>0</v>
      </c>
      <c r="AN58" s="108">
        <v>0</v>
      </c>
      <c r="AO58" s="108">
        <v>0</v>
      </c>
      <c r="AP58" s="108">
        <v>0</v>
      </c>
      <c r="AQ58" s="108">
        <v>0</v>
      </c>
      <c r="AR58" s="108">
        <v>0</v>
      </c>
      <c r="AS58" s="108">
        <v>0</v>
      </c>
      <c r="AT58" s="108">
        <v>0</v>
      </c>
      <c r="AU58" s="108">
        <v>0</v>
      </c>
      <c r="AV58" s="108">
        <v>0</v>
      </c>
      <c r="AW58" s="108">
        <v>0</v>
      </c>
      <c r="AX58" s="108">
        <v>0</v>
      </c>
    </row>
    <row r="59" spans="2:51" x14ac:dyDescent="0.2">
      <c r="B59" s="113" t="s">
        <v>105</v>
      </c>
      <c r="C59" s="108">
        <v>0</v>
      </c>
      <c r="D59" s="108">
        <v>0</v>
      </c>
      <c r="E59" s="108">
        <v>0</v>
      </c>
      <c r="F59" s="108">
        <v>0</v>
      </c>
      <c r="G59" s="108">
        <v>0</v>
      </c>
      <c r="H59" s="108">
        <v>0</v>
      </c>
      <c r="I59" s="108">
        <v>0</v>
      </c>
      <c r="J59" s="108">
        <v>0</v>
      </c>
      <c r="K59" s="108">
        <v>0</v>
      </c>
      <c r="L59" s="108">
        <v>0</v>
      </c>
      <c r="M59" s="108">
        <v>0</v>
      </c>
      <c r="N59" s="108">
        <v>0</v>
      </c>
      <c r="O59" s="108">
        <v>0</v>
      </c>
      <c r="P59" s="108">
        <v>0</v>
      </c>
      <c r="Q59" s="108">
        <v>0</v>
      </c>
      <c r="R59" s="108">
        <v>0</v>
      </c>
      <c r="S59" s="108">
        <v>0</v>
      </c>
      <c r="T59" s="108">
        <v>0</v>
      </c>
      <c r="U59" s="108">
        <v>0</v>
      </c>
      <c r="V59" s="108">
        <v>0</v>
      </c>
      <c r="W59" s="108">
        <v>0</v>
      </c>
      <c r="X59" s="108">
        <v>0</v>
      </c>
      <c r="Y59" s="108">
        <v>0</v>
      </c>
      <c r="Z59" s="108">
        <v>0</v>
      </c>
      <c r="AA59" s="108">
        <v>0</v>
      </c>
      <c r="AB59" s="108">
        <v>0</v>
      </c>
      <c r="AC59" s="108">
        <v>0</v>
      </c>
      <c r="AD59" s="108">
        <v>0</v>
      </c>
      <c r="AE59" s="108">
        <v>0</v>
      </c>
      <c r="AF59" s="108">
        <v>0</v>
      </c>
      <c r="AG59" s="108">
        <v>0</v>
      </c>
      <c r="AH59" s="108">
        <v>0</v>
      </c>
      <c r="AI59" s="108">
        <v>0</v>
      </c>
      <c r="AJ59" s="108">
        <v>0</v>
      </c>
      <c r="AK59" s="108">
        <v>0</v>
      </c>
      <c r="AL59" s="108">
        <v>0</v>
      </c>
      <c r="AM59" s="108">
        <v>0</v>
      </c>
      <c r="AN59" s="108">
        <v>0</v>
      </c>
      <c r="AO59" s="108">
        <v>0</v>
      </c>
      <c r="AP59" s="108">
        <v>0</v>
      </c>
      <c r="AQ59" s="108">
        <v>0</v>
      </c>
      <c r="AR59" s="108">
        <v>0</v>
      </c>
      <c r="AS59" s="108">
        <v>0</v>
      </c>
      <c r="AT59" s="108">
        <v>0</v>
      </c>
      <c r="AU59" s="108">
        <v>0</v>
      </c>
      <c r="AV59" s="108">
        <v>0</v>
      </c>
      <c r="AW59" s="108">
        <v>0</v>
      </c>
      <c r="AX59" s="108">
        <v>0</v>
      </c>
    </row>
    <row r="60" spans="2:51" x14ac:dyDescent="0.2">
      <c r="B60" s="113" t="s">
        <v>106</v>
      </c>
      <c r="C60" s="108">
        <v>0</v>
      </c>
      <c r="D60" s="108">
        <v>0</v>
      </c>
      <c r="E60" s="108">
        <v>0</v>
      </c>
      <c r="F60" s="108">
        <v>0</v>
      </c>
      <c r="G60" s="108">
        <v>0</v>
      </c>
      <c r="H60" s="108">
        <v>0</v>
      </c>
      <c r="I60" s="108">
        <v>0</v>
      </c>
      <c r="J60" s="108">
        <v>0</v>
      </c>
      <c r="K60" s="108">
        <v>0</v>
      </c>
      <c r="L60" s="108">
        <v>0</v>
      </c>
      <c r="M60" s="108">
        <v>0</v>
      </c>
      <c r="N60" s="108">
        <v>0</v>
      </c>
      <c r="O60" s="108">
        <v>0</v>
      </c>
      <c r="P60" s="108">
        <v>0</v>
      </c>
      <c r="Q60" s="108">
        <v>0</v>
      </c>
      <c r="R60" s="108">
        <v>0</v>
      </c>
      <c r="S60" s="108">
        <v>0</v>
      </c>
      <c r="T60" s="108">
        <v>0</v>
      </c>
      <c r="U60" s="108">
        <v>0</v>
      </c>
      <c r="V60" s="108">
        <v>0</v>
      </c>
      <c r="W60" s="108">
        <v>0</v>
      </c>
      <c r="X60" s="108">
        <v>0</v>
      </c>
      <c r="Y60" s="108">
        <v>0</v>
      </c>
      <c r="Z60" s="108">
        <v>0</v>
      </c>
      <c r="AA60" s="108">
        <v>0</v>
      </c>
      <c r="AB60" s="108">
        <v>0</v>
      </c>
      <c r="AC60" s="108">
        <v>0</v>
      </c>
      <c r="AD60" s="108">
        <v>0</v>
      </c>
      <c r="AE60" s="108">
        <v>0</v>
      </c>
      <c r="AF60" s="108">
        <v>0</v>
      </c>
      <c r="AG60" s="108">
        <v>0</v>
      </c>
      <c r="AH60" s="108">
        <v>0</v>
      </c>
      <c r="AI60" s="108">
        <v>0</v>
      </c>
      <c r="AJ60" s="108">
        <v>0</v>
      </c>
      <c r="AK60" s="108">
        <v>0</v>
      </c>
      <c r="AL60" s="108">
        <v>0</v>
      </c>
      <c r="AM60" s="108">
        <v>0</v>
      </c>
      <c r="AN60" s="108">
        <v>0</v>
      </c>
      <c r="AO60" s="108">
        <v>0</v>
      </c>
      <c r="AP60" s="108">
        <v>0</v>
      </c>
      <c r="AQ60" s="108">
        <v>0</v>
      </c>
      <c r="AR60" s="108">
        <v>0</v>
      </c>
      <c r="AS60" s="108">
        <v>0</v>
      </c>
      <c r="AT60" s="108">
        <v>0</v>
      </c>
      <c r="AU60" s="108">
        <v>0</v>
      </c>
      <c r="AV60" s="108">
        <v>0</v>
      </c>
      <c r="AW60" s="108">
        <v>0</v>
      </c>
      <c r="AX60" s="108">
        <v>0</v>
      </c>
    </row>
    <row r="61" spans="2:51" x14ac:dyDescent="0.2">
      <c r="B61" s="113" t="s">
        <v>107</v>
      </c>
      <c r="C61" s="108">
        <v>0</v>
      </c>
      <c r="D61" s="108">
        <v>0</v>
      </c>
      <c r="E61" s="108">
        <v>0</v>
      </c>
      <c r="F61" s="108">
        <v>0</v>
      </c>
      <c r="G61" s="108">
        <v>0</v>
      </c>
      <c r="H61" s="108">
        <v>0</v>
      </c>
      <c r="I61" s="108">
        <v>0</v>
      </c>
      <c r="J61" s="108">
        <v>0</v>
      </c>
      <c r="K61" s="108">
        <v>0</v>
      </c>
      <c r="L61" s="108">
        <v>0</v>
      </c>
      <c r="M61" s="108">
        <v>0</v>
      </c>
      <c r="N61" s="108">
        <v>0</v>
      </c>
      <c r="O61" s="108">
        <v>0</v>
      </c>
      <c r="P61" s="108">
        <v>0</v>
      </c>
      <c r="Q61" s="108">
        <v>0</v>
      </c>
      <c r="R61" s="108">
        <v>0</v>
      </c>
      <c r="S61" s="108">
        <v>0</v>
      </c>
      <c r="T61" s="108">
        <v>0</v>
      </c>
      <c r="U61" s="108">
        <v>0</v>
      </c>
      <c r="V61" s="108">
        <v>0</v>
      </c>
      <c r="W61" s="108">
        <v>0</v>
      </c>
      <c r="X61" s="108">
        <v>0</v>
      </c>
      <c r="Y61" s="108">
        <v>0</v>
      </c>
      <c r="Z61" s="108">
        <v>0</v>
      </c>
      <c r="AA61" s="108">
        <v>0</v>
      </c>
      <c r="AB61" s="108">
        <v>0</v>
      </c>
      <c r="AC61" s="108">
        <v>0</v>
      </c>
      <c r="AD61" s="108">
        <v>0</v>
      </c>
      <c r="AE61" s="108">
        <v>0</v>
      </c>
      <c r="AF61" s="108">
        <v>0</v>
      </c>
      <c r="AG61" s="108">
        <v>0</v>
      </c>
      <c r="AH61" s="108">
        <v>0</v>
      </c>
      <c r="AI61" s="108">
        <v>0</v>
      </c>
      <c r="AJ61" s="108">
        <v>0</v>
      </c>
      <c r="AK61" s="108">
        <v>0</v>
      </c>
      <c r="AL61" s="108">
        <v>0</v>
      </c>
      <c r="AM61" s="108">
        <v>0</v>
      </c>
      <c r="AN61" s="108">
        <v>0</v>
      </c>
      <c r="AO61" s="108">
        <v>0</v>
      </c>
      <c r="AP61" s="108">
        <v>0</v>
      </c>
      <c r="AQ61" s="108">
        <v>0</v>
      </c>
      <c r="AR61" s="108">
        <v>0</v>
      </c>
      <c r="AS61" s="108">
        <v>0</v>
      </c>
      <c r="AT61" s="108">
        <v>0</v>
      </c>
      <c r="AU61" s="108">
        <v>0</v>
      </c>
      <c r="AV61" s="108">
        <v>0</v>
      </c>
      <c r="AW61" s="108">
        <v>0</v>
      </c>
      <c r="AX61" s="108">
        <v>0</v>
      </c>
    </row>
    <row r="62" spans="2:51" x14ac:dyDescent="0.2">
      <c r="B62" s="113" t="s">
        <v>108</v>
      </c>
      <c r="C62" s="108">
        <v>14175543.821361078</v>
      </c>
      <c r="D62" s="108">
        <v>14175543.821361078</v>
      </c>
      <c r="E62" s="108">
        <v>14175543.821361078</v>
      </c>
      <c r="F62" s="108">
        <v>14175543.821361078</v>
      </c>
      <c r="G62" s="108">
        <v>13760901.049162785</v>
      </c>
      <c r="H62" s="108">
        <v>13760901.049162785</v>
      </c>
      <c r="I62" s="108">
        <v>13760901.049162785</v>
      </c>
      <c r="J62" s="108">
        <v>13760901.049162785</v>
      </c>
      <c r="K62" s="108">
        <v>14369575.783066707</v>
      </c>
      <c r="L62" s="108">
        <v>14369575.783066707</v>
      </c>
      <c r="M62" s="108">
        <v>14369575.783066707</v>
      </c>
      <c r="N62" s="108">
        <v>14369575.783066707</v>
      </c>
      <c r="O62" s="108">
        <v>14057941.255628115</v>
      </c>
      <c r="P62" s="108">
        <v>14057941.255628115</v>
      </c>
      <c r="Q62" s="108">
        <v>14057941.255628115</v>
      </c>
      <c r="R62" s="108">
        <v>14057941.255628115</v>
      </c>
      <c r="S62" s="108">
        <v>14291795.630333543</v>
      </c>
      <c r="T62" s="108">
        <v>14291795.630333543</v>
      </c>
      <c r="U62" s="108">
        <v>14291795.630333543</v>
      </c>
      <c r="V62" s="108">
        <v>14291795.630333543</v>
      </c>
      <c r="W62" s="108">
        <v>14257144.230313139</v>
      </c>
      <c r="X62" s="108">
        <v>14257144.230313139</v>
      </c>
      <c r="Y62" s="108">
        <v>14257144.230313139</v>
      </c>
      <c r="Z62" s="108">
        <v>14257144.230313139</v>
      </c>
      <c r="AA62" s="108">
        <v>14502196.406011485</v>
      </c>
      <c r="AB62" s="108">
        <v>14502196.406011485</v>
      </c>
      <c r="AC62" s="108">
        <v>14502196.406011485</v>
      </c>
      <c r="AD62" s="108">
        <v>14502196.406011485</v>
      </c>
      <c r="AE62" s="108">
        <v>14280865.071828136</v>
      </c>
      <c r="AF62" s="108">
        <v>14280865.071828136</v>
      </c>
      <c r="AG62" s="108">
        <v>14280865.071828136</v>
      </c>
      <c r="AH62" s="108">
        <v>14280865.071828136</v>
      </c>
      <c r="AI62" s="108">
        <v>14494945.52397004</v>
      </c>
      <c r="AJ62" s="108">
        <v>14494945.52397004</v>
      </c>
      <c r="AK62" s="108">
        <v>14494945.52397004</v>
      </c>
      <c r="AL62" s="108">
        <v>14494945.52397004</v>
      </c>
      <c r="AM62" s="108">
        <v>14378916.502187256</v>
      </c>
      <c r="AN62" s="108">
        <v>14378916.502187256</v>
      </c>
      <c r="AO62" s="108">
        <v>14378916.502187256</v>
      </c>
      <c r="AP62" s="108">
        <v>14378916.502187256</v>
      </c>
      <c r="AQ62" s="108">
        <v>14555855.023857232</v>
      </c>
      <c r="AR62" s="108">
        <v>14555855.023857232</v>
      </c>
      <c r="AS62" s="108">
        <v>14555855.023857232</v>
      </c>
      <c r="AT62" s="108">
        <v>14555855.023857232</v>
      </c>
      <c r="AU62" s="108">
        <v>14713788.04696192</v>
      </c>
      <c r="AV62" s="108">
        <v>14713788.04696192</v>
      </c>
      <c r="AW62" s="108">
        <v>14713788.04696192</v>
      </c>
      <c r="AX62" s="108">
        <v>14713788.04696192</v>
      </c>
    </row>
    <row r="63" spans="2:51" x14ac:dyDescent="0.2">
      <c r="B63" s="113" t="s">
        <v>109</v>
      </c>
      <c r="C63" s="108">
        <v>0</v>
      </c>
      <c r="D63" s="108">
        <v>0</v>
      </c>
      <c r="E63" s="108">
        <v>0</v>
      </c>
      <c r="F63" s="108">
        <v>0</v>
      </c>
      <c r="G63" s="108">
        <v>0</v>
      </c>
      <c r="H63" s="108">
        <v>0</v>
      </c>
      <c r="I63" s="108">
        <v>0</v>
      </c>
      <c r="J63" s="108">
        <v>0</v>
      </c>
      <c r="K63" s="108">
        <v>0</v>
      </c>
      <c r="L63" s="108">
        <v>0</v>
      </c>
      <c r="M63" s="108">
        <v>0</v>
      </c>
      <c r="N63" s="108">
        <v>0</v>
      </c>
      <c r="O63" s="108">
        <v>0</v>
      </c>
      <c r="P63" s="108">
        <v>0</v>
      </c>
      <c r="Q63" s="108">
        <v>0</v>
      </c>
      <c r="R63" s="108">
        <v>0</v>
      </c>
      <c r="S63" s="108">
        <v>0</v>
      </c>
      <c r="T63" s="108">
        <v>0</v>
      </c>
      <c r="U63" s="108">
        <v>0</v>
      </c>
      <c r="V63" s="108">
        <v>0</v>
      </c>
      <c r="W63" s="108">
        <v>0</v>
      </c>
      <c r="X63" s="108">
        <v>0</v>
      </c>
      <c r="Y63" s="108">
        <v>0</v>
      </c>
      <c r="Z63" s="108">
        <v>0</v>
      </c>
      <c r="AA63" s="108">
        <v>0</v>
      </c>
      <c r="AB63" s="108">
        <v>0</v>
      </c>
      <c r="AC63" s="108">
        <v>0</v>
      </c>
      <c r="AD63" s="108">
        <v>0</v>
      </c>
      <c r="AE63" s="108">
        <v>0</v>
      </c>
      <c r="AF63" s="108">
        <v>0</v>
      </c>
      <c r="AG63" s="108">
        <v>0</v>
      </c>
      <c r="AH63" s="108">
        <v>0</v>
      </c>
      <c r="AI63" s="108">
        <v>0</v>
      </c>
      <c r="AJ63" s="108">
        <v>0</v>
      </c>
      <c r="AK63" s="108">
        <v>0</v>
      </c>
      <c r="AL63" s="108">
        <v>0</v>
      </c>
      <c r="AM63" s="108">
        <v>0</v>
      </c>
      <c r="AN63" s="108">
        <v>0</v>
      </c>
      <c r="AO63" s="108">
        <v>0</v>
      </c>
      <c r="AP63" s="108">
        <v>0</v>
      </c>
      <c r="AQ63" s="108">
        <v>0</v>
      </c>
      <c r="AR63" s="108">
        <v>0</v>
      </c>
      <c r="AS63" s="108">
        <v>0</v>
      </c>
      <c r="AT63" s="108">
        <v>0</v>
      </c>
      <c r="AU63" s="108">
        <v>0</v>
      </c>
      <c r="AV63" s="108">
        <v>0</v>
      </c>
      <c r="AW63" s="108">
        <v>0</v>
      </c>
      <c r="AX63" s="108">
        <v>0</v>
      </c>
    </row>
    <row r="64" spans="2:51" x14ac:dyDescent="0.2">
      <c r="B64" s="109"/>
    </row>
    <row r="65" spans="1:14" x14ac:dyDescent="0.2">
      <c r="B65" s="112" t="s">
        <v>326</v>
      </c>
    </row>
    <row r="66" spans="1:14" x14ac:dyDescent="0.2">
      <c r="B66" s="107" t="s">
        <v>327</v>
      </c>
      <c r="C66" s="107" t="s">
        <v>92</v>
      </c>
      <c r="D66" s="107" t="s">
        <v>93</v>
      </c>
      <c r="E66" s="107" t="s">
        <v>94</v>
      </c>
      <c r="F66" s="107" t="s">
        <v>95</v>
      </c>
      <c r="G66" s="107" t="s">
        <v>96</v>
      </c>
      <c r="H66" s="107" t="s">
        <v>97</v>
      </c>
      <c r="I66" s="107" t="s">
        <v>98</v>
      </c>
      <c r="J66" s="107" t="s">
        <v>99</v>
      </c>
      <c r="K66" s="107" t="s">
        <v>100</v>
      </c>
      <c r="L66" s="107" t="s">
        <v>101</v>
      </c>
      <c r="M66" s="107" t="s">
        <v>102</v>
      </c>
      <c r="N66" s="107" t="s">
        <v>103</v>
      </c>
    </row>
    <row r="67" spans="1:14" x14ac:dyDescent="0.2">
      <c r="B67" s="107" t="s">
        <v>328</v>
      </c>
      <c r="C67" s="108">
        <v>0</v>
      </c>
      <c r="D67" s="108">
        <v>0</v>
      </c>
      <c r="E67" s="108">
        <v>0</v>
      </c>
      <c r="F67" s="108">
        <v>0</v>
      </c>
      <c r="G67" s="108">
        <v>0</v>
      </c>
      <c r="H67" s="108">
        <v>0</v>
      </c>
      <c r="I67" s="108">
        <v>0</v>
      </c>
      <c r="J67" s="108">
        <v>0</v>
      </c>
      <c r="K67" s="108">
        <v>0</v>
      </c>
      <c r="L67" s="108">
        <v>0</v>
      </c>
      <c r="M67" s="108">
        <v>0</v>
      </c>
      <c r="N67" s="108">
        <v>0</v>
      </c>
    </row>
    <row r="68" spans="1:14" x14ac:dyDescent="0.2">
      <c r="B68" s="107" t="s">
        <v>329</v>
      </c>
      <c r="C68" s="108">
        <v>0</v>
      </c>
      <c r="D68" s="108">
        <v>0</v>
      </c>
      <c r="E68" s="108">
        <v>0</v>
      </c>
      <c r="F68" s="108">
        <v>0</v>
      </c>
      <c r="G68" s="108">
        <v>0</v>
      </c>
      <c r="H68" s="108">
        <v>0</v>
      </c>
      <c r="I68" s="108">
        <v>0</v>
      </c>
      <c r="J68" s="108">
        <v>0</v>
      </c>
      <c r="K68" s="108">
        <v>0</v>
      </c>
      <c r="L68" s="108">
        <v>0</v>
      </c>
      <c r="M68" s="108">
        <v>0</v>
      </c>
      <c r="N68" s="108">
        <v>0</v>
      </c>
    </row>
    <row r="70" spans="1:14" x14ac:dyDescent="0.2">
      <c r="B70" s="112" t="s">
        <v>330</v>
      </c>
    </row>
    <row r="71" spans="1:14" x14ac:dyDescent="0.2">
      <c r="A71" s="113" t="s">
        <v>121</v>
      </c>
      <c r="B71" s="113" t="s">
        <v>331</v>
      </c>
      <c r="C71" s="113" t="s">
        <v>22</v>
      </c>
      <c r="D71" s="113" t="s">
        <v>59</v>
      </c>
    </row>
    <row r="72" spans="1:14" x14ac:dyDescent="0.2">
      <c r="A72" s="113" t="s">
        <v>104</v>
      </c>
      <c r="B72" s="113" t="s">
        <v>92</v>
      </c>
      <c r="C72" s="108">
        <v>0</v>
      </c>
      <c r="D72" s="108">
        <v>0</v>
      </c>
    </row>
    <row r="73" spans="1:14" x14ac:dyDescent="0.2">
      <c r="B73" s="113" t="s">
        <v>93</v>
      </c>
      <c r="C73" s="108">
        <v>0</v>
      </c>
      <c r="D73" s="108">
        <v>0</v>
      </c>
    </row>
    <row r="74" spans="1:14" x14ac:dyDescent="0.2">
      <c r="B74" s="113" t="s">
        <v>94</v>
      </c>
      <c r="C74" s="108">
        <v>0</v>
      </c>
      <c r="D74" s="108">
        <v>0</v>
      </c>
    </row>
    <row r="75" spans="1:14" x14ac:dyDescent="0.2">
      <c r="B75" s="113" t="s">
        <v>95</v>
      </c>
      <c r="C75" s="108">
        <v>0</v>
      </c>
      <c r="D75" s="108">
        <v>0</v>
      </c>
    </row>
    <row r="76" spans="1:14" x14ac:dyDescent="0.2">
      <c r="B76" s="113" t="s">
        <v>96</v>
      </c>
      <c r="C76" s="108">
        <v>0</v>
      </c>
      <c r="D76" s="108">
        <v>0</v>
      </c>
    </row>
    <row r="77" spans="1:14" x14ac:dyDescent="0.2">
      <c r="B77" s="113" t="s">
        <v>97</v>
      </c>
      <c r="C77" s="108">
        <v>0</v>
      </c>
      <c r="D77" s="108">
        <v>0</v>
      </c>
    </row>
    <row r="78" spans="1:14" x14ac:dyDescent="0.2">
      <c r="B78" s="113" t="s">
        <v>98</v>
      </c>
      <c r="C78" s="108">
        <v>0</v>
      </c>
      <c r="D78" s="108">
        <v>0</v>
      </c>
    </row>
    <row r="79" spans="1:14" x14ac:dyDescent="0.2">
      <c r="B79" s="113" t="s">
        <v>99</v>
      </c>
      <c r="C79" s="108">
        <v>0</v>
      </c>
      <c r="D79" s="108">
        <v>0</v>
      </c>
    </row>
    <row r="80" spans="1:14" x14ac:dyDescent="0.2">
      <c r="B80" s="113" t="s">
        <v>100</v>
      </c>
      <c r="C80" s="108">
        <v>0</v>
      </c>
      <c r="D80" s="108">
        <v>0</v>
      </c>
    </row>
    <row r="81" spans="2:50" x14ac:dyDescent="0.2">
      <c r="B81" s="113" t="s">
        <v>101</v>
      </c>
      <c r="C81" s="108">
        <v>0</v>
      </c>
      <c r="D81" s="108">
        <v>0</v>
      </c>
    </row>
    <row r="82" spans="2:50" x14ac:dyDescent="0.2">
      <c r="B82" s="113" t="s">
        <v>102</v>
      </c>
      <c r="C82" s="108">
        <v>0</v>
      </c>
      <c r="D82" s="108">
        <v>0</v>
      </c>
    </row>
    <row r="83" spans="2:50" x14ac:dyDescent="0.2">
      <c r="B83" s="113" t="s">
        <v>103</v>
      </c>
      <c r="C83" s="108">
        <v>0</v>
      </c>
      <c r="D83" s="108">
        <v>0</v>
      </c>
    </row>
    <row r="85" spans="2:50" x14ac:dyDescent="0.2">
      <c r="B85" s="111" t="s">
        <v>332</v>
      </c>
    </row>
    <row r="86" spans="2:50" x14ac:dyDescent="0.2">
      <c r="B86" s="107" t="s">
        <v>273</v>
      </c>
      <c r="C86" s="107" t="s">
        <v>92</v>
      </c>
      <c r="D86" s="109"/>
      <c r="E86" s="109"/>
      <c r="F86" s="109"/>
      <c r="G86" s="107" t="s">
        <v>93</v>
      </c>
      <c r="H86" s="109"/>
      <c r="I86" s="109"/>
      <c r="J86" s="109"/>
      <c r="K86" s="107" t="s">
        <v>94</v>
      </c>
      <c r="L86" s="109"/>
      <c r="M86" s="109"/>
      <c r="N86" s="109"/>
      <c r="O86" s="107" t="s">
        <v>95</v>
      </c>
      <c r="P86" s="109"/>
      <c r="Q86" s="109"/>
      <c r="R86" s="109"/>
      <c r="S86" s="107" t="s">
        <v>96</v>
      </c>
      <c r="T86" s="109"/>
      <c r="U86" s="109"/>
      <c r="V86" s="109"/>
      <c r="W86" s="107" t="s">
        <v>97</v>
      </c>
      <c r="X86" s="109"/>
      <c r="Y86" s="109"/>
      <c r="Z86" s="109"/>
      <c r="AA86" s="107" t="s">
        <v>98</v>
      </c>
      <c r="AB86" s="109"/>
      <c r="AC86" s="109"/>
      <c r="AD86" s="109"/>
      <c r="AE86" s="107" t="s">
        <v>99</v>
      </c>
      <c r="AF86" s="109"/>
      <c r="AG86" s="109"/>
      <c r="AH86" s="109"/>
      <c r="AI86" s="107" t="s">
        <v>100</v>
      </c>
      <c r="AJ86" s="109"/>
      <c r="AK86" s="109"/>
      <c r="AL86" s="109"/>
      <c r="AM86" s="107" t="s">
        <v>101</v>
      </c>
      <c r="AN86" s="109"/>
      <c r="AO86" s="109"/>
      <c r="AP86" s="109"/>
      <c r="AQ86" s="107" t="s">
        <v>102</v>
      </c>
      <c r="AR86" s="109"/>
      <c r="AS86" s="109"/>
      <c r="AT86" s="109"/>
      <c r="AU86" s="107" t="s">
        <v>103</v>
      </c>
      <c r="AV86" s="109"/>
      <c r="AW86" s="109"/>
    </row>
    <row r="87" spans="2:50" x14ac:dyDescent="0.2">
      <c r="B87" s="107" t="s">
        <v>333</v>
      </c>
      <c r="C87" s="107">
        <v>1</v>
      </c>
      <c r="D87" s="107">
        <v>2</v>
      </c>
      <c r="E87" s="107">
        <v>3</v>
      </c>
      <c r="F87" s="107">
        <v>4</v>
      </c>
      <c r="G87" s="107">
        <v>1</v>
      </c>
      <c r="H87" s="107">
        <v>2</v>
      </c>
      <c r="I87" s="107">
        <v>3</v>
      </c>
      <c r="J87" s="107">
        <v>4</v>
      </c>
      <c r="K87" s="107">
        <v>1</v>
      </c>
      <c r="L87" s="107">
        <v>2</v>
      </c>
      <c r="M87" s="107">
        <v>3</v>
      </c>
      <c r="N87" s="107">
        <v>4</v>
      </c>
      <c r="O87" s="107">
        <v>1</v>
      </c>
      <c r="P87" s="107">
        <v>2</v>
      </c>
      <c r="Q87" s="107">
        <v>3</v>
      </c>
      <c r="R87" s="107">
        <v>4</v>
      </c>
      <c r="S87" s="107">
        <v>1</v>
      </c>
      <c r="T87" s="107">
        <v>2</v>
      </c>
      <c r="U87" s="107">
        <v>3</v>
      </c>
      <c r="V87" s="107">
        <v>4</v>
      </c>
      <c r="W87" s="107">
        <v>1</v>
      </c>
      <c r="X87" s="107">
        <v>2</v>
      </c>
      <c r="Y87" s="107">
        <v>3</v>
      </c>
      <c r="Z87" s="107">
        <v>4</v>
      </c>
      <c r="AA87" s="107">
        <v>1</v>
      </c>
      <c r="AB87" s="107">
        <v>2</v>
      </c>
      <c r="AC87" s="107">
        <v>3</v>
      </c>
      <c r="AD87" s="107">
        <v>4</v>
      </c>
      <c r="AE87" s="107">
        <v>1</v>
      </c>
      <c r="AF87" s="107">
        <v>2</v>
      </c>
      <c r="AG87" s="107">
        <v>3</v>
      </c>
      <c r="AH87" s="107">
        <v>4</v>
      </c>
      <c r="AI87" s="107">
        <v>1</v>
      </c>
      <c r="AJ87" s="107">
        <v>2</v>
      </c>
      <c r="AK87" s="107">
        <v>3</v>
      </c>
      <c r="AL87" s="107">
        <v>4</v>
      </c>
      <c r="AM87" s="107">
        <v>1</v>
      </c>
      <c r="AN87" s="107">
        <v>2</v>
      </c>
      <c r="AO87" s="107">
        <v>3</v>
      </c>
      <c r="AP87" s="107">
        <v>4</v>
      </c>
      <c r="AQ87" s="107">
        <v>1</v>
      </c>
      <c r="AR87" s="107">
        <v>2</v>
      </c>
      <c r="AS87" s="107">
        <v>3</v>
      </c>
      <c r="AT87" s="107">
        <v>4</v>
      </c>
      <c r="AU87" s="107">
        <v>1</v>
      </c>
      <c r="AV87" s="107">
        <v>2</v>
      </c>
      <c r="AW87" s="107">
        <v>3</v>
      </c>
      <c r="AX87" s="107">
        <v>4</v>
      </c>
    </row>
    <row r="88" spans="2:50" x14ac:dyDescent="0.2">
      <c r="B88" s="107" t="s">
        <v>104</v>
      </c>
      <c r="C88" s="108">
        <f>C48+$C$67/4</f>
        <v>0</v>
      </c>
      <c r="D88" s="108">
        <f>D48+$C$67/4</f>
        <v>0</v>
      </c>
      <c r="E88" s="108">
        <f>E48+$C$67/4</f>
        <v>0</v>
      </c>
      <c r="F88" s="108">
        <f>F48+$C$67/4</f>
        <v>0</v>
      </c>
      <c r="G88" s="108">
        <f>G48+$D$67/4</f>
        <v>0</v>
      </c>
      <c r="H88" s="108">
        <f>H48+$D$67/4</f>
        <v>0</v>
      </c>
      <c r="I88" s="108">
        <f>I48+$D$67/4</f>
        <v>0</v>
      </c>
      <c r="J88" s="108">
        <f>J48+$D$67/4</f>
        <v>0</v>
      </c>
      <c r="K88" s="108">
        <f>K48+$E$67/4</f>
        <v>0</v>
      </c>
      <c r="L88" s="108">
        <f>L48+$E$67/4</f>
        <v>0</v>
      </c>
      <c r="M88" s="108">
        <f>M48+$E$67/4</f>
        <v>0</v>
      </c>
      <c r="N88" s="108">
        <f>N48+$E$67/4</f>
        <v>0</v>
      </c>
      <c r="O88" s="108">
        <f>O48+$F$67/4</f>
        <v>0</v>
      </c>
      <c r="P88" s="108">
        <f>P48+$F$67/4</f>
        <v>0</v>
      </c>
      <c r="Q88" s="108">
        <f>Q48+$F$67/4</f>
        <v>0</v>
      </c>
      <c r="R88" s="108">
        <f>R48+$F$67/4</f>
        <v>0</v>
      </c>
      <c r="S88" s="108">
        <f>S48+$G$67/4</f>
        <v>0</v>
      </c>
      <c r="T88" s="108">
        <f>T48+$G$67/4</f>
        <v>0</v>
      </c>
      <c r="U88" s="108">
        <f>U48+$G$67/4</f>
        <v>0</v>
      </c>
      <c r="V88" s="108">
        <f>V48+$G$67/4</f>
        <v>0</v>
      </c>
      <c r="W88" s="108">
        <f>W48+$H$67/4</f>
        <v>0</v>
      </c>
      <c r="X88" s="108">
        <f>X48+$H$67/4</f>
        <v>0</v>
      </c>
      <c r="Y88" s="108">
        <f>Y48+$H$67/4</f>
        <v>0</v>
      </c>
      <c r="Z88" s="108">
        <f>Z48+$H$67/4</f>
        <v>0</v>
      </c>
      <c r="AA88" s="108">
        <f>AA48+$I$67/4</f>
        <v>0</v>
      </c>
      <c r="AB88" s="108">
        <f>AB48+$I$67/4</f>
        <v>0</v>
      </c>
      <c r="AC88" s="108">
        <f>AC48+$I$67/4</f>
        <v>0</v>
      </c>
      <c r="AD88" s="108">
        <f>AD48+$I$67/4</f>
        <v>0</v>
      </c>
      <c r="AE88" s="108">
        <f>AE48+$J$67/4</f>
        <v>0</v>
      </c>
      <c r="AF88" s="108">
        <f>AF48+$J$67/4</f>
        <v>0</v>
      </c>
      <c r="AG88" s="108">
        <f>AG48+$J$67/4</f>
        <v>0</v>
      </c>
      <c r="AH88" s="108">
        <f>AH48+$J$67/4</f>
        <v>0</v>
      </c>
      <c r="AI88" s="108">
        <f>AI48+$K$67/4</f>
        <v>0</v>
      </c>
      <c r="AJ88" s="108">
        <f>AJ48+$K$67/4</f>
        <v>0</v>
      </c>
      <c r="AK88" s="108">
        <f>AK48+$K$67/4</f>
        <v>0</v>
      </c>
      <c r="AL88" s="108">
        <f>AL48+$K$67/4</f>
        <v>0</v>
      </c>
      <c r="AM88" s="108">
        <f>AM48+$L$67/4</f>
        <v>0</v>
      </c>
      <c r="AN88" s="108">
        <f>AN48+$L$67/4</f>
        <v>0</v>
      </c>
      <c r="AO88" s="108">
        <f>AO48+$L$67/4</f>
        <v>0</v>
      </c>
      <c r="AP88" s="108">
        <f>AP48+$L$67/4</f>
        <v>0</v>
      </c>
      <c r="AQ88" s="108">
        <f>AQ48+$M$67/4</f>
        <v>0</v>
      </c>
      <c r="AR88" s="108">
        <f>AR48+$M$67/4</f>
        <v>0</v>
      </c>
      <c r="AS88" s="108">
        <f>AS48+$M$67/4</f>
        <v>0</v>
      </c>
      <c r="AT88" s="108">
        <f>AT48+$M$67/4</f>
        <v>0</v>
      </c>
      <c r="AU88" s="108">
        <f>AU48+$N$67/4</f>
        <v>0</v>
      </c>
      <c r="AV88" s="108">
        <f>AV48+$N$67/4</f>
        <v>0</v>
      </c>
      <c r="AW88" s="108">
        <f>AW48+$N$67/4</f>
        <v>0</v>
      </c>
      <c r="AX88" s="108">
        <f>AX48+$N$67/4</f>
        <v>0</v>
      </c>
    </row>
    <row r="89" spans="2:50" x14ac:dyDescent="0.2">
      <c r="B89" s="107" t="s">
        <v>105</v>
      </c>
      <c r="C89" s="108">
        <f>C49</f>
        <v>0</v>
      </c>
      <c r="D89" s="108">
        <f t="shared" ref="D89:AX93" si="3">D49</f>
        <v>0</v>
      </c>
      <c r="E89" s="108">
        <f t="shared" si="3"/>
        <v>0</v>
      </c>
      <c r="F89" s="108">
        <f t="shared" si="3"/>
        <v>0</v>
      </c>
      <c r="G89" s="108">
        <f t="shared" si="3"/>
        <v>0</v>
      </c>
      <c r="H89" s="108">
        <f t="shared" si="3"/>
        <v>0</v>
      </c>
      <c r="I89" s="108">
        <f t="shared" si="3"/>
        <v>0</v>
      </c>
      <c r="J89" s="108">
        <f t="shared" si="3"/>
        <v>0</v>
      </c>
      <c r="K89" s="108">
        <f t="shared" si="3"/>
        <v>0</v>
      </c>
      <c r="L89" s="108">
        <f t="shared" si="3"/>
        <v>0</v>
      </c>
      <c r="M89" s="108">
        <f t="shared" si="3"/>
        <v>0</v>
      </c>
      <c r="N89" s="108">
        <f t="shared" si="3"/>
        <v>0</v>
      </c>
      <c r="O89" s="108">
        <f t="shared" si="3"/>
        <v>0</v>
      </c>
      <c r="P89" s="108">
        <f t="shared" si="3"/>
        <v>0</v>
      </c>
      <c r="Q89" s="108">
        <f t="shared" si="3"/>
        <v>0</v>
      </c>
      <c r="R89" s="108">
        <f t="shared" si="3"/>
        <v>0</v>
      </c>
      <c r="S89" s="108">
        <f t="shared" si="3"/>
        <v>0</v>
      </c>
      <c r="T89" s="108">
        <f t="shared" si="3"/>
        <v>0</v>
      </c>
      <c r="U89" s="108">
        <f t="shared" si="3"/>
        <v>0</v>
      </c>
      <c r="V89" s="108">
        <f t="shared" si="3"/>
        <v>0</v>
      </c>
      <c r="W89" s="108">
        <f t="shared" si="3"/>
        <v>0</v>
      </c>
      <c r="X89" s="108">
        <f t="shared" si="3"/>
        <v>0</v>
      </c>
      <c r="Y89" s="108">
        <f t="shared" si="3"/>
        <v>0</v>
      </c>
      <c r="Z89" s="108">
        <f t="shared" si="3"/>
        <v>0</v>
      </c>
      <c r="AA89" s="108">
        <f t="shared" si="3"/>
        <v>0</v>
      </c>
      <c r="AB89" s="108">
        <f t="shared" si="3"/>
        <v>0</v>
      </c>
      <c r="AC89" s="108">
        <f t="shared" si="3"/>
        <v>0</v>
      </c>
      <c r="AD89" s="108">
        <f t="shared" si="3"/>
        <v>0</v>
      </c>
      <c r="AE89" s="108">
        <f t="shared" si="3"/>
        <v>0</v>
      </c>
      <c r="AF89" s="108">
        <f t="shared" si="3"/>
        <v>0</v>
      </c>
      <c r="AG89" s="108">
        <f t="shared" si="3"/>
        <v>0</v>
      </c>
      <c r="AH89" s="108">
        <f t="shared" si="3"/>
        <v>0</v>
      </c>
      <c r="AI89" s="108">
        <f t="shared" si="3"/>
        <v>0</v>
      </c>
      <c r="AJ89" s="108">
        <f t="shared" si="3"/>
        <v>0</v>
      </c>
      <c r="AK89" s="108">
        <f t="shared" si="3"/>
        <v>0</v>
      </c>
      <c r="AL89" s="108">
        <f t="shared" si="3"/>
        <v>0</v>
      </c>
      <c r="AM89" s="108">
        <f t="shared" si="3"/>
        <v>0</v>
      </c>
      <c r="AN89" s="108">
        <f t="shared" si="3"/>
        <v>0</v>
      </c>
      <c r="AO89" s="108">
        <f t="shared" si="3"/>
        <v>0</v>
      </c>
      <c r="AP89" s="108">
        <f t="shared" si="3"/>
        <v>0</v>
      </c>
      <c r="AQ89" s="108">
        <f t="shared" si="3"/>
        <v>0</v>
      </c>
      <c r="AR89" s="108">
        <f t="shared" si="3"/>
        <v>0</v>
      </c>
      <c r="AS89" s="108">
        <f t="shared" si="3"/>
        <v>0</v>
      </c>
      <c r="AT89" s="108">
        <f t="shared" si="3"/>
        <v>0</v>
      </c>
      <c r="AU89" s="108">
        <f t="shared" si="3"/>
        <v>0</v>
      </c>
      <c r="AV89" s="108">
        <f t="shared" si="3"/>
        <v>0</v>
      </c>
      <c r="AW89" s="108">
        <f t="shared" si="3"/>
        <v>0</v>
      </c>
      <c r="AX89" s="108">
        <f t="shared" si="3"/>
        <v>0</v>
      </c>
    </row>
    <row r="90" spans="2:50" x14ac:dyDescent="0.2">
      <c r="B90" s="107" t="s">
        <v>106</v>
      </c>
      <c r="C90" s="108">
        <f t="shared" ref="C90:R93" si="4">C50</f>
        <v>0</v>
      </c>
      <c r="D90" s="108">
        <f t="shared" si="4"/>
        <v>0</v>
      </c>
      <c r="E90" s="108">
        <f t="shared" si="4"/>
        <v>0</v>
      </c>
      <c r="F90" s="108">
        <f t="shared" si="4"/>
        <v>0</v>
      </c>
      <c r="G90" s="108">
        <f t="shared" si="4"/>
        <v>0</v>
      </c>
      <c r="H90" s="108">
        <f t="shared" si="4"/>
        <v>0</v>
      </c>
      <c r="I90" s="108">
        <f t="shared" si="4"/>
        <v>0</v>
      </c>
      <c r="J90" s="108">
        <f t="shared" si="4"/>
        <v>0</v>
      </c>
      <c r="K90" s="108">
        <f t="shared" si="4"/>
        <v>0</v>
      </c>
      <c r="L90" s="108">
        <f t="shared" si="4"/>
        <v>0</v>
      </c>
      <c r="M90" s="108">
        <f t="shared" si="4"/>
        <v>0</v>
      </c>
      <c r="N90" s="108">
        <f t="shared" si="4"/>
        <v>0</v>
      </c>
      <c r="O90" s="108">
        <f t="shared" si="4"/>
        <v>0</v>
      </c>
      <c r="P90" s="108">
        <f t="shared" si="4"/>
        <v>0</v>
      </c>
      <c r="Q90" s="108">
        <f t="shared" si="4"/>
        <v>0</v>
      </c>
      <c r="R90" s="108">
        <f t="shared" si="4"/>
        <v>0</v>
      </c>
      <c r="S90" s="108">
        <f t="shared" si="3"/>
        <v>0</v>
      </c>
      <c r="T90" s="108">
        <f t="shared" si="3"/>
        <v>0</v>
      </c>
      <c r="U90" s="108">
        <f t="shared" si="3"/>
        <v>0</v>
      </c>
      <c r="V90" s="108">
        <f t="shared" si="3"/>
        <v>0</v>
      </c>
      <c r="W90" s="108">
        <f t="shared" si="3"/>
        <v>0</v>
      </c>
      <c r="X90" s="108">
        <f t="shared" si="3"/>
        <v>0</v>
      </c>
      <c r="Y90" s="108">
        <f t="shared" si="3"/>
        <v>0</v>
      </c>
      <c r="Z90" s="108">
        <f t="shared" si="3"/>
        <v>0</v>
      </c>
      <c r="AA90" s="108">
        <f t="shared" si="3"/>
        <v>0</v>
      </c>
      <c r="AB90" s="108">
        <f t="shared" si="3"/>
        <v>0</v>
      </c>
      <c r="AC90" s="108">
        <f t="shared" si="3"/>
        <v>0</v>
      </c>
      <c r="AD90" s="108">
        <f t="shared" si="3"/>
        <v>0</v>
      </c>
      <c r="AE90" s="108">
        <f t="shared" si="3"/>
        <v>0</v>
      </c>
      <c r="AF90" s="108">
        <f t="shared" si="3"/>
        <v>0</v>
      </c>
      <c r="AG90" s="108">
        <f t="shared" si="3"/>
        <v>0</v>
      </c>
      <c r="AH90" s="108">
        <f t="shared" si="3"/>
        <v>0</v>
      </c>
      <c r="AI90" s="108">
        <f t="shared" si="3"/>
        <v>0</v>
      </c>
      <c r="AJ90" s="108">
        <f t="shared" si="3"/>
        <v>0</v>
      </c>
      <c r="AK90" s="108">
        <f t="shared" si="3"/>
        <v>0</v>
      </c>
      <c r="AL90" s="108">
        <f t="shared" si="3"/>
        <v>0</v>
      </c>
      <c r="AM90" s="108">
        <f t="shared" si="3"/>
        <v>0</v>
      </c>
      <c r="AN90" s="108">
        <f t="shared" si="3"/>
        <v>0</v>
      </c>
      <c r="AO90" s="108">
        <f t="shared" si="3"/>
        <v>0</v>
      </c>
      <c r="AP90" s="108">
        <f t="shared" si="3"/>
        <v>0</v>
      </c>
      <c r="AQ90" s="108">
        <f t="shared" si="3"/>
        <v>0</v>
      </c>
      <c r="AR90" s="108">
        <f t="shared" si="3"/>
        <v>0</v>
      </c>
      <c r="AS90" s="108">
        <f t="shared" si="3"/>
        <v>0</v>
      </c>
      <c r="AT90" s="108">
        <f t="shared" si="3"/>
        <v>0</v>
      </c>
      <c r="AU90" s="108">
        <f t="shared" si="3"/>
        <v>0</v>
      </c>
      <c r="AV90" s="108">
        <f t="shared" si="3"/>
        <v>0</v>
      </c>
      <c r="AW90" s="108">
        <f t="shared" si="3"/>
        <v>0</v>
      </c>
      <c r="AX90" s="108">
        <f t="shared" si="3"/>
        <v>0</v>
      </c>
    </row>
    <row r="91" spans="2:50" x14ac:dyDescent="0.2">
      <c r="B91" s="107" t="s">
        <v>107</v>
      </c>
      <c r="C91" s="108">
        <f t="shared" si="4"/>
        <v>0</v>
      </c>
      <c r="D91" s="108">
        <f t="shared" si="3"/>
        <v>0</v>
      </c>
      <c r="E91" s="108">
        <f t="shared" si="3"/>
        <v>0</v>
      </c>
      <c r="F91" s="108">
        <f t="shared" si="3"/>
        <v>0</v>
      </c>
      <c r="G91" s="108">
        <f t="shared" si="3"/>
        <v>0</v>
      </c>
      <c r="H91" s="108">
        <f t="shared" si="3"/>
        <v>0</v>
      </c>
      <c r="I91" s="108">
        <f t="shared" si="3"/>
        <v>0</v>
      </c>
      <c r="J91" s="108">
        <f t="shared" si="3"/>
        <v>0</v>
      </c>
      <c r="K91" s="108">
        <f t="shared" si="3"/>
        <v>0</v>
      </c>
      <c r="L91" s="108">
        <f t="shared" si="3"/>
        <v>0</v>
      </c>
      <c r="M91" s="108">
        <f t="shared" si="3"/>
        <v>0</v>
      </c>
      <c r="N91" s="108">
        <f t="shared" si="3"/>
        <v>0</v>
      </c>
      <c r="O91" s="108">
        <f t="shared" si="3"/>
        <v>0</v>
      </c>
      <c r="P91" s="108">
        <f t="shared" si="3"/>
        <v>0</v>
      </c>
      <c r="Q91" s="108">
        <f t="shared" si="3"/>
        <v>0</v>
      </c>
      <c r="R91" s="108">
        <f t="shared" si="3"/>
        <v>0</v>
      </c>
      <c r="S91" s="108">
        <f t="shared" si="3"/>
        <v>0</v>
      </c>
      <c r="T91" s="108">
        <f t="shared" si="3"/>
        <v>0</v>
      </c>
      <c r="U91" s="108">
        <f t="shared" si="3"/>
        <v>0</v>
      </c>
      <c r="V91" s="108">
        <f t="shared" si="3"/>
        <v>0</v>
      </c>
      <c r="W91" s="108">
        <f t="shared" si="3"/>
        <v>0</v>
      </c>
      <c r="X91" s="108">
        <f t="shared" si="3"/>
        <v>0</v>
      </c>
      <c r="Y91" s="108">
        <f t="shared" si="3"/>
        <v>0</v>
      </c>
      <c r="Z91" s="108">
        <f t="shared" si="3"/>
        <v>0</v>
      </c>
      <c r="AA91" s="108">
        <f t="shared" si="3"/>
        <v>0</v>
      </c>
      <c r="AB91" s="108">
        <f t="shared" si="3"/>
        <v>0</v>
      </c>
      <c r="AC91" s="108">
        <f t="shared" si="3"/>
        <v>0</v>
      </c>
      <c r="AD91" s="108">
        <f t="shared" si="3"/>
        <v>0</v>
      </c>
      <c r="AE91" s="108">
        <f t="shared" si="3"/>
        <v>0</v>
      </c>
      <c r="AF91" s="108">
        <f t="shared" si="3"/>
        <v>0</v>
      </c>
      <c r="AG91" s="108">
        <f t="shared" si="3"/>
        <v>0</v>
      </c>
      <c r="AH91" s="108">
        <f t="shared" si="3"/>
        <v>0</v>
      </c>
      <c r="AI91" s="108">
        <f t="shared" si="3"/>
        <v>0</v>
      </c>
      <c r="AJ91" s="108">
        <f t="shared" si="3"/>
        <v>0</v>
      </c>
      <c r="AK91" s="108">
        <f t="shared" si="3"/>
        <v>0</v>
      </c>
      <c r="AL91" s="108">
        <f t="shared" si="3"/>
        <v>0</v>
      </c>
      <c r="AM91" s="108">
        <f t="shared" si="3"/>
        <v>0</v>
      </c>
      <c r="AN91" s="108">
        <f t="shared" si="3"/>
        <v>0</v>
      </c>
      <c r="AO91" s="108">
        <f t="shared" si="3"/>
        <v>0</v>
      </c>
      <c r="AP91" s="108">
        <f t="shared" si="3"/>
        <v>0</v>
      </c>
      <c r="AQ91" s="108">
        <f t="shared" si="3"/>
        <v>0</v>
      </c>
      <c r="AR91" s="108">
        <f t="shared" si="3"/>
        <v>0</v>
      </c>
      <c r="AS91" s="108">
        <f t="shared" si="3"/>
        <v>0</v>
      </c>
      <c r="AT91" s="108">
        <f t="shared" si="3"/>
        <v>0</v>
      </c>
      <c r="AU91" s="108">
        <f t="shared" si="3"/>
        <v>0</v>
      </c>
      <c r="AV91" s="108">
        <f t="shared" si="3"/>
        <v>0</v>
      </c>
      <c r="AW91" s="108">
        <f t="shared" si="3"/>
        <v>0</v>
      </c>
      <c r="AX91" s="108">
        <f t="shared" si="3"/>
        <v>0</v>
      </c>
    </row>
    <row r="92" spans="2:50" x14ac:dyDescent="0.2">
      <c r="B92" s="107" t="s">
        <v>108</v>
      </c>
      <c r="C92" s="108">
        <f t="shared" si="4"/>
        <v>10000</v>
      </c>
      <c r="D92" s="108">
        <f t="shared" si="4"/>
        <v>10000</v>
      </c>
      <c r="E92" s="108">
        <f t="shared" si="4"/>
        <v>10000</v>
      </c>
      <c r="F92" s="108">
        <f t="shared" si="4"/>
        <v>10000</v>
      </c>
      <c r="G92" s="108">
        <f t="shared" si="4"/>
        <v>10000</v>
      </c>
      <c r="H92" s="108">
        <f t="shared" si="4"/>
        <v>10000</v>
      </c>
      <c r="I92" s="108">
        <f t="shared" si="4"/>
        <v>10000</v>
      </c>
      <c r="J92" s="108">
        <f t="shared" si="4"/>
        <v>10000</v>
      </c>
      <c r="K92" s="108">
        <f t="shared" si="4"/>
        <v>10000</v>
      </c>
      <c r="L92" s="108">
        <f t="shared" si="4"/>
        <v>10000</v>
      </c>
      <c r="M92" s="108">
        <f t="shared" si="4"/>
        <v>10000</v>
      </c>
      <c r="N92" s="108">
        <f t="shared" si="4"/>
        <v>10000</v>
      </c>
      <c r="O92" s="108">
        <f t="shared" si="4"/>
        <v>10000</v>
      </c>
      <c r="P92" s="108">
        <f t="shared" si="4"/>
        <v>10000</v>
      </c>
      <c r="Q92" s="108">
        <f t="shared" si="4"/>
        <v>10000</v>
      </c>
      <c r="R92" s="108">
        <f t="shared" si="4"/>
        <v>10000</v>
      </c>
      <c r="S92" s="108">
        <f t="shared" si="3"/>
        <v>10000</v>
      </c>
      <c r="T92" s="108">
        <f t="shared" si="3"/>
        <v>10000</v>
      </c>
      <c r="U92" s="108">
        <f t="shared" si="3"/>
        <v>10000</v>
      </c>
      <c r="V92" s="108">
        <f t="shared" si="3"/>
        <v>10000</v>
      </c>
      <c r="W92" s="108">
        <f t="shared" si="3"/>
        <v>10000</v>
      </c>
      <c r="X92" s="108">
        <f t="shared" si="3"/>
        <v>10000</v>
      </c>
      <c r="Y92" s="108">
        <f t="shared" si="3"/>
        <v>10000</v>
      </c>
      <c r="Z92" s="108">
        <f t="shared" si="3"/>
        <v>10000</v>
      </c>
      <c r="AA92" s="108">
        <f t="shared" si="3"/>
        <v>10000</v>
      </c>
      <c r="AB92" s="108">
        <f t="shared" si="3"/>
        <v>10000</v>
      </c>
      <c r="AC92" s="108">
        <f t="shared" si="3"/>
        <v>10000</v>
      </c>
      <c r="AD92" s="108">
        <f t="shared" si="3"/>
        <v>10000</v>
      </c>
      <c r="AE92" s="108">
        <f t="shared" si="3"/>
        <v>10000</v>
      </c>
      <c r="AF92" s="108">
        <f t="shared" si="3"/>
        <v>10000</v>
      </c>
      <c r="AG92" s="108">
        <f t="shared" si="3"/>
        <v>10000</v>
      </c>
      <c r="AH92" s="108">
        <f t="shared" si="3"/>
        <v>10000</v>
      </c>
      <c r="AI92" s="108">
        <f t="shared" si="3"/>
        <v>10000</v>
      </c>
      <c r="AJ92" s="108">
        <f t="shared" si="3"/>
        <v>10000</v>
      </c>
      <c r="AK92" s="108">
        <f t="shared" si="3"/>
        <v>10000</v>
      </c>
      <c r="AL92" s="108">
        <f t="shared" si="3"/>
        <v>10000</v>
      </c>
      <c r="AM92" s="108">
        <f t="shared" si="3"/>
        <v>10000</v>
      </c>
      <c r="AN92" s="108">
        <f t="shared" si="3"/>
        <v>10000</v>
      </c>
      <c r="AO92" s="108">
        <f t="shared" si="3"/>
        <v>10000</v>
      </c>
      <c r="AP92" s="108">
        <f t="shared" si="3"/>
        <v>10000</v>
      </c>
      <c r="AQ92" s="108">
        <f t="shared" si="3"/>
        <v>10000</v>
      </c>
      <c r="AR92" s="108">
        <f t="shared" si="3"/>
        <v>10000</v>
      </c>
      <c r="AS92" s="108">
        <f t="shared" si="3"/>
        <v>10000</v>
      </c>
      <c r="AT92" s="108">
        <f t="shared" si="3"/>
        <v>10000</v>
      </c>
      <c r="AU92" s="108">
        <f t="shared" si="3"/>
        <v>10000</v>
      </c>
      <c r="AV92" s="108">
        <f t="shared" si="3"/>
        <v>10000</v>
      </c>
      <c r="AW92" s="108">
        <f t="shared" si="3"/>
        <v>10000</v>
      </c>
      <c r="AX92" s="108">
        <f t="shared" si="3"/>
        <v>10000</v>
      </c>
    </row>
    <row r="93" spans="2:50" x14ac:dyDescent="0.2">
      <c r="B93" s="107" t="s">
        <v>109</v>
      </c>
      <c r="C93" s="108">
        <f t="shared" si="4"/>
        <v>0</v>
      </c>
      <c r="D93" s="108">
        <f t="shared" si="4"/>
        <v>0</v>
      </c>
      <c r="E93" s="108">
        <f t="shared" si="4"/>
        <v>0</v>
      </c>
      <c r="F93" s="108">
        <f t="shared" si="4"/>
        <v>0</v>
      </c>
      <c r="G93" s="108">
        <f t="shared" si="4"/>
        <v>0</v>
      </c>
      <c r="H93" s="108">
        <f t="shared" si="4"/>
        <v>0</v>
      </c>
      <c r="I93" s="108">
        <f t="shared" si="4"/>
        <v>0</v>
      </c>
      <c r="J93" s="108">
        <f t="shared" si="4"/>
        <v>0</v>
      </c>
      <c r="K93" s="108">
        <f t="shared" si="4"/>
        <v>0</v>
      </c>
      <c r="L93" s="108">
        <f t="shared" si="4"/>
        <v>0</v>
      </c>
      <c r="M93" s="108">
        <f t="shared" si="4"/>
        <v>0</v>
      </c>
      <c r="N93" s="108">
        <f t="shared" si="4"/>
        <v>0</v>
      </c>
      <c r="O93" s="108">
        <f t="shared" si="4"/>
        <v>0</v>
      </c>
      <c r="P93" s="108">
        <f t="shared" si="4"/>
        <v>0</v>
      </c>
      <c r="Q93" s="108">
        <f t="shared" si="4"/>
        <v>0</v>
      </c>
      <c r="R93" s="108">
        <f t="shared" si="4"/>
        <v>0</v>
      </c>
      <c r="S93" s="108">
        <f t="shared" si="3"/>
        <v>0</v>
      </c>
      <c r="T93" s="108">
        <f t="shared" si="3"/>
        <v>0</v>
      </c>
      <c r="U93" s="108">
        <f t="shared" si="3"/>
        <v>0</v>
      </c>
      <c r="V93" s="108">
        <f t="shared" si="3"/>
        <v>0</v>
      </c>
      <c r="W93" s="108">
        <f t="shared" si="3"/>
        <v>0</v>
      </c>
      <c r="X93" s="108">
        <f t="shared" si="3"/>
        <v>0</v>
      </c>
      <c r="Y93" s="108">
        <f t="shared" si="3"/>
        <v>0</v>
      </c>
      <c r="Z93" s="108">
        <f t="shared" si="3"/>
        <v>0</v>
      </c>
      <c r="AA93" s="108">
        <f t="shared" si="3"/>
        <v>0</v>
      </c>
      <c r="AB93" s="108">
        <f t="shared" si="3"/>
        <v>0</v>
      </c>
      <c r="AC93" s="108">
        <f t="shared" si="3"/>
        <v>0</v>
      </c>
      <c r="AD93" s="108">
        <f t="shared" si="3"/>
        <v>0</v>
      </c>
      <c r="AE93" s="108">
        <f t="shared" si="3"/>
        <v>0</v>
      </c>
      <c r="AF93" s="108">
        <f t="shared" si="3"/>
        <v>0</v>
      </c>
      <c r="AG93" s="108">
        <f t="shared" si="3"/>
        <v>0</v>
      </c>
      <c r="AH93" s="108">
        <f t="shared" si="3"/>
        <v>0</v>
      </c>
      <c r="AI93" s="108">
        <f t="shared" si="3"/>
        <v>0</v>
      </c>
      <c r="AJ93" s="108">
        <f t="shared" si="3"/>
        <v>0</v>
      </c>
      <c r="AK93" s="108">
        <f t="shared" si="3"/>
        <v>0</v>
      </c>
      <c r="AL93" s="108">
        <f t="shared" si="3"/>
        <v>0</v>
      </c>
      <c r="AM93" s="108">
        <f t="shared" si="3"/>
        <v>0</v>
      </c>
      <c r="AN93" s="108">
        <f t="shared" si="3"/>
        <v>0</v>
      </c>
      <c r="AO93" s="108">
        <f t="shared" si="3"/>
        <v>0</v>
      </c>
      <c r="AP93" s="108">
        <f t="shared" si="3"/>
        <v>0</v>
      </c>
      <c r="AQ93" s="108">
        <f t="shared" si="3"/>
        <v>0</v>
      </c>
      <c r="AR93" s="108">
        <f t="shared" si="3"/>
        <v>0</v>
      </c>
      <c r="AS93" s="108">
        <f t="shared" si="3"/>
        <v>0</v>
      </c>
      <c r="AT93" s="108">
        <f t="shared" si="3"/>
        <v>0</v>
      </c>
      <c r="AU93" s="108">
        <f t="shared" si="3"/>
        <v>0</v>
      </c>
      <c r="AV93" s="108">
        <f t="shared" si="3"/>
        <v>0</v>
      </c>
      <c r="AW93" s="108">
        <f t="shared" si="3"/>
        <v>0</v>
      </c>
      <c r="AX93" s="108">
        <f t="shared" si="3"/>
        <v>0</v>
      </c>
    </row>
    <row r="94" spans="2:50" x14ac:dyDescent="0.2">
      <c r="B94" s="109"/>
    </row>
    <row r="95" spans="2:50" x14ac:dyDescent="0.2">
      <c r="B95" s="182" t="s">
        <v>334</v>
      </c>
    </row>
    <row r="96" spans="2:50" x14ac:dyDescent="0.2">
      <c r="B96" s="183"/>
      <c r="C96" s="113" t="s">
        <v>92</v>
      </c>
      <c r="D96" s="109"/>
      <c r="E96" s="109"/>
      <c r="F96" s="109"/>
      <c r="G96" s="113" t="s">
        <v>93</v>
      </c>
      <c r="H96" s="109"/>
      <c r="I96" s="109"/>
      <c r="J96" s="109"/>
      <c r="K96" s="113" t="s">
        <v>94</v>
      </c>
      <c r="L96" s="109"/>
      <c r="M96" s="109"/>
      <c r="N96" s="109"/>
      <c r="O96" s="113" t="s">
        <v>95</v>
      </c>
      <c r="P96" s="109"/>
      <c r="Q96" s="109"/>
      <c r="R96" s="109"/>
      <c r="S96" s="113" t="s">
        <v>96</v>
      </c>
      <c r="T96" s="109"/>
      <c r="U96" s="109"/>
      <c r="V96" s="109"/>
      <c r="W96" s="113" t="s">
        <v>97</v>
      </c>
      <c r="X96" s="109"/>
      <c r="Y96" s="109"/>
      <c r="Z96" s="109"/>
      <c r="AA96" s="113" t="s">
        <v>98</v>
      </c>
      <c r="AB96" s="109"/>
      <c r="AC96" s="109"/>
      <c r="AD96" s="109"/>
      <c r="AE96" s="113" t="s">
        <v>99</v>
      </c>
      <c r="AF96" s="109"/>
      <c r="AG96" s="109"/>
      <c r="AH96" s="109"/>
      <c r="AI96" s="113" t="s">
        <v>100</v>
      </c>
      <c r="AJ96" s="109"/>
      <c r="AK96" s="109"/>
      <c r="AL96" s="109"/>
      <c r="AM96" s="113" t="s">
        <v>101</v>
      </c>
      <c r="AN96" s="109"/>
      <c r="AO96" s="109"/>
      <c r="AP96" s="109"/>
      <c r="AQ96" s="113" t="s">
        <v>102</v>
      </c>
      <c r="AR96" s="109"/>
      <c r="AS96" s="109"/>
      <c r="AT96" s="109"/>
      <c r="AU96" s="113" t="s">
        <v>103</v>
      </c>
      <c r="AV96" s="109"/>
      <c r="AW96" s="109"/>
    </row>
    <row r="97" spans="1:50" x14ac:dyDescent="0.2">
      <c r="A97" s="184" t="s">
        <v>121</v>
      </c>
      <c r="B97" s="184" t="s">
        <v>335</v>
      </c>
      <c r="C97" s="113">
        <v>1</v>
      </c>
      <c r="D97" s="113">
        <v>2</v>
      </c>
      <c r="E97" s="113">
        <v>3</v>
      </c>
      <c r="F97" s="113">
        <v>4</v>
      </c>
      <c r="G97" s="113">
        <v>1</v>
      </c>
      <c r="H97" s="113">
        <v>2</v>
      </c>
      <c r="I97" s="113">
        <v>3</v>
      </c>
      <c r="J97" s="113">
        <v>4</v>
      </c>
      <c r="K97" s="113">
        <v>1</v>
      </c>
      <c r="L97" s="113">
        <v>2</v>
      </c>
      <c r="M97" s="113">
        <v>3</v>
      </c>
      <c r="N97" s="113">
        <v>4</v>
      </c>
      <c r="O97" s="113">
        <v>1</v>
      </c>
      <c r="P97" s="113">
        <v>2</v>
      </c>
      <c r="Q97" s="113">
        <v>3</v>
      </c>
      <c r="R97" s="113">
        <v>4</v>
      </c>
      <c r="S97" s="113">
        <v>1</v>
      </c>
      <c r="T97" s="113">
        <v>2</v>
      </c>
      <c r="U97" s="113">
        <v>3</v>
      </c>
      <c r="V97" s="113">
        <v>4</v>
      </c>
      <c r="W97" s="113">
        <v>1</v>
      </c>
      <c r="X97" s="113">
        <v>2</v>
      </c>
      <c r="Y97" s="113">
        <v>3</v>
      </c>
      <c r="Z97" s="113">
        <v>4</v>
      </c>
      <c r="AA97" s="113">
        <v>1</v>
      </c>
      <c r="AB97" s="113">
        <v>2</v>
      </c>
      <c r="AC97" s="113">
        <v>3</v>
      </c>
      <c r="AD97" s="113">
        <v>4</v>
      </c>
      <c r="AE97" s="113">
        <v>1</v>
      </c>
      <c r="AF97" s="113">
        <v>2</v>
      </c>
      <c r="AG97" s="113">
        <v>3</v>
      </c>
      <c r="AH97" s="113">
        <v>4</v>
      </c>
      <c r="AI97" s="113">
        <v>1</v>
      </c>
      <c r="AJ97" s="113">
        <v>2</v>
      </c>
      <c r="AK97" s="113">
        <v>3</v>
      </c>
      <c r="AL97" s="113">
        <v>4</v>
      </c>
      <c r="AM97" s="113">
        <v>1</v>
      </c>
      <c r="AN97" s="113">
        <v>2</v>
      </c>
      <c r="AO97" s="113">
        <v>3</v>
      </c>
      <c r="AP97" s="113">
        <v>4</v>
      </c>
      <c r="AQ97" s="113">
        <v>1</v>
      </c>
      <c r="AR97" s="113">
        <v>2</v>
      </c>
      <c r="AS97" s="113">
        <v>3</v>
      </c>
      <c r="AT97" s="113">
        <v>4</v>
      </c>
      <c r="AU97" s="113">
        <v>1</v>
      </c>
      <c r="AV97" s="113">
        <v>2</v>
      </c>
      <c r="AW97" s="113">
        <v>3</v>
      </c>
      <c r="AX97" s="113">
        <v>4</v>
      </c>
    </row>
    <row r="98" spans="1:50" x14ac:dyDescent="0.2">
      <c r="A98" s="113" t="s">
        <v>104</v>
      </c>
      <c r="B98" s="113" t="s">
        <v>12</v>
      </c>
      <c r="C98" s="108">
        <v>0</v>
      </c>
      <c r="D98" s="108">
        <v>0</v>
      </c>
      <c r="E98" s="108">
        <v>0</v>
      </c>
      <c r="F98" s="108">
        <v>0</v>
      </c>
      <c r="G98" s="108">
        <v>0</v>
      </c>
      <c r="H98" s="108">
        <v>0</v>
      </c>
      <c r="I98" s="108">
        <v>0</v>
      </c>
      <c r="J98" s="108">
        <v>0</v>
      </c>
      <c r="K98" s="108">
        <v>0</v>
      </c>
      <c r="L98" s="108">
        <v>0</v>
      </c>
      <c r="M98" s="108">
        <v>0</v>
      </c>
      <c r="N98" s="108">
        <v>0</v>
      </c>
      <c r="O98" s="108">
        <v>0</v>
      </c>
      <c r="P98" s="108">
        <v>0</v>
      </c>
      <c r="Q98" s="108">
        <v>0</v>
      </c>
      <c r="R98" s="108">
        <v>0</v>
      </c>
      <c r="S98" s="108">
        <v>0</v>
      </c>
      <c r="T98" s="108">
        <v>0</v>
      </c>
      <c r="U98" s="108">
        <v>0</v>
      </c>
      <c r="V98" s="108">
        <v>0</v>
      </c>
      <c r="W98" s="108">
        <v>0</v>
      </c>
      <c r="X98" s="108">
        <v>0</v>
      </c>
      <c r="Y98" s="108">
        <v>0</v>
      </c>
      <c r="Z98" s="108">
        <v>0</v>
      </c>
      <c r="AA98" s="108">
        <v>0</v>
      </c>
      <c r="AB98" s="108">
        <v>0</v>
      </c>
      <c r="AC98" s="108">
        <v>0</v>
      </c>
      <c r="AD98" s="108">
        <v>0</v>
      </c>
      <c r="AE98" s="108">
        <v>0</v>
      </c>
      <c r="AF98" s="108">
        <v>0</v>
      </c>
      <c r="AG98" s="108">
        <v>0</v>
      </c>
      <c r="AH98" s="108">
        <v>0</v>
      </c>
      <c r="AI98" s="108">
        <v>0</v>
      </c>
      <c r="AJ98" s="108">
        <v>0</v>
      </c>
      <c r="AK98" s="108">
        <v>0</v>
      </c>
      <c r="AL98" s="108">
        <v>0</v>
      </c>
      <c r="AM98" s="108">
        <v>0</v>
      </c>
      <c r="AN98" s="108">
        <v>0</v>
      </c>
      <c r="AO98" s="108">
        <v>0</v>
      </c>
      <c r="AP98" s="108">
        <v>0</v>
      </c>
      <c r="AQ98" s="108">
        <v>0</v>
      </c>
      <c r="AR98" s="108">
        <v>0</v>
      </c>
      <c r="AS98" s="108">
        <v>0</v>
      </c>
      <c r="AT98" s="108">
        <v>0</v>
      </c>
      <c r="AU98" s="108">
        <v>0</v>
      </c>
      <c r="AV98" s="108">
        <v>0</v>
      </c>
      <c r="AW98" s="108">
        <v>0</v>
      </c>
      <c r="AX98" s="108">
        <v>0</v>
      </c>
    </row>
    <row r="99" spans="1:50" x14ac:dyDescent="0.2">
      <c r="B99" s="113" t="s">
        <v>22</v>
      </c>
      <c r="C99" s="108">
        <v>0</v>
      </c>
      <c r="D99" s="108">
        <v>0</v>
      </c>
      <c r="E99" s="108">
        <v>0</v>
      </c>
      <c r="F99" s="108">
        <v>0</v>
      </c>
      <c r="G99" s="108">
        <v>0</v>
      </c>
      <c r="H99" s="108">
        <v>0</v>
      </c>
      <c r="I99" s="108">
        <v>0</v>
      </c>
      <c r="J99" s="108">
        <v>0</v>
      </c>
      <c r="K99" s="108">
        <v>0</v>
      </c>
      <c r="L99" s="108">
        <v>0</v>
      </c>
      <c r="M99" s="108">
        <v>0</v>
      </c>
      <c r="N99" s="108">
        <v>0</v>
      </c>
      <c r="O99" s="108">
        <v>0</v>
      </c>
      <c r="P99" s="108">
        <v>0</v>
      </c>
      <c r="Q99" s="108">
        <v>0</v>
      </c>
      <c r="R99" s="108">
        <v>0</v>
      </c>
      <c r="S99" s="108">
        <v>0</v>
      </c>
      <c r="T99" s="108">
        <v>0</v>
      </c>
      <c r="U99" s="108">
        <v>0</v>
      </c>
      <c r="V99" s="108">
        <v>0</v>
      </c>
      <c r="W99" s="108">
        <v>0</v>
      </c>
      <c r="X99" s="108">
        <v>0</v>
      </c>
      <c r="Y99" s="108">
        <v>0</v>
      </c>
      <c r="Z99" s="108">
        <v>0</v>
      </c>
      <c r="AA99" s="108">
        <v>0</v>
      </c>
      <c r="AB99" s="108">
        <v>0</v>
      </c>
      <c r="AC99" s="108">
        <v>0</v>
      </c>
      <c r="AD99" s="108">
        <v>0</v>
      </c>
      <c r="AE99" s="108">
        <v>0</v>
      </c>
      <c r="AF99" s="108">
        <v>0</v>
      </c>
      <c r="AG99" s="108">
        <v>0</v>
      </c>
      <c r="AH99" s="108">
        <v>0</v>
      </c>
      <c r="AI99" s="108">
        <v>0</v>
      </c>
      <c r="AJ99" s="108">
        <v>0</v>
      </c>
      <c r="AK99" s="108">
        <v>0</v>
      </c>
      <c r="AL99" s="108">
        <v>0</v>
      </c>
      <c r="AM99" s="108">
        <v>0</v>
      </c>
      <c r="AN99" s="108">
        <v>0</v>
      </c>
      <c r="AO99" s="108">
        <v>0</v>
      </c>
      <c r="AP99" s="108">
        <v>0</v>
      </c>
      <c r="AQ99" s="108">
        <v>0</v>
      </c>
      <c r="AR99" s="108">
        <v>0</v>
      </c>
      <c r="AS99" s="108">
        <v>0</v>
      </c>
      <c r="AT99" s="108">
        <v>0</v>
      </c>
      <c r="AU99" s="108">
        <v>0</v>
      </c>
      <c r="AV99" s="108">
        <v>0</v>
      </c>
      <c r="AW99" s="108">
        <v>0</v>
      </c>
      <c r="AX99" s="108">
        <v>0</v>
      </c>
    </row>
    <row r="100" spans="1:50" x14ac:dyDescent="0.2">
      <c r="B100" s="113" t="s">
        <v>59</v>
      </c>
      <c r="C100" s="108">
        <v>0</v>
      </c>
      <c r="D100" s="108">
        <v>0</v>
      </c>
      <c r="E100" s="108">
        <v>0</v>
      </c>
      <c r="F100" s="108">
        <v>0</v>
      </c>
      <c r="G100" s="108">
        <v>0</v>
      </c>
      <c r="H100" s="108">
        <v>0</v>
      </c>
      <c r="I100" s="108">
        <v>0</v>
      </c>
      <c r="J100" s="108">
        <v>0</v>
      </c>
      <c r="K100" s="108">
        <v>0</v>
      </c>
      <c r="L100" s="108">
        <v>0</v>
      </c>
      <c r="M100" s="108">
        <v>0</v>
      </c>
      <c r="N100" s="108">
        <v>0</v>
      </c>
      <c r="O100" s="108">
        <v>0</v>
      </c>
      <c r="P100" s="108">
        <v>0</v>
      </c>
      <c r="Q100" s="108">
        <v>0</v>
      </c>
      <c r="R100" s="108">
        <v>0</v>
      </c>
      <c r="S100" s="108">
        <v>0</v>
      </c>
      <c r="T100" s="108">
        <v>0</v>
      </c>
      <c r="U100" s="108">
        <v>0</v>
      </c>
      <c r="V100" s="108">
        <v>0</v>
      </c>
      <c r="W100" s="108">
        <v>0</v>
      </c>
      <c r="X100" s="108">
        <v>0</v>
      </c>
      <c r="Y100" s="108">
        <v>0</v>
      </c>
      <c r="Z100" s="108">
        <v>0</v>
      </c>
      <c r="AA100" s="108">
        <v>0</v>
      </c>
      <c r="AB100" s="108">
        <v>0</v>
      </c>
      <c r="AC100" s="108">
        <v>0</v>
      </c>
      <c r="AD100" s="108">
        <v>0</v>
      </c>
      <c r="AE100" s="108">
        <v>0</v>
      </c>
      <c r="AF100" s="108">
        <v>0</v>
      </c>
      <c r="AG100" s="108">
        <v>0</v>
      </c>
      <c r="AH100" s="108">
        <v>0</v>
      </c>
      <c r="AI100" s="108">
        <v>0</v>
      </c>
      <c r="AJ100" s="108">
        <v>0</v>
      </c>
      <c r="AK100" s="108">
        <v>0</v>
      </c>
      <c r="AL100" s="108">
        <v>0</v>
      </c>
      <c r="AM100" s="108">
        <v>0</v>
      </c>
      <c r="AN100" s="108">
        <v>0</v>
      </c>
      <c r="AO100" s="108">
        <v>0</v>
      </c>
      <c r="AP100" s="108">
        <v>0</v>
      </c>
      <c r="AQ100" s="108">
        <v>0</v>
      </c>
      <c r="AR100" s="108">
        <v>0</v>
      </c>
      <c r="AS100" s="108">
        <v>0</v>
      </c>
      <c r="AT100" s="108">
        <v>0</v>
      </c>
      <c r="AU100" s="108">
        <v>0</v>
      </c>
      <c r="AV100" s="108">
        <v>0</v>
      </c>
      <c r="AW100" s="108">
        <v>0</v>
      </c>
      <c r="AX100" s="108">
        <v>0</v>
      </c>
    </row>
    <row r="101" spans="1:50" x14ac:dyDescent="0.2">
      <c r="B101" s="108" t="s">
        <v>277</v>
      </c>
      <c r="C101" s="113">
        <f>SUM(C$98:C$100)</f>
        <v>0</v>
      </c>
      <c r="D101" s="113">
        <f t="shared" ref="D101:AX101" si="5">SUM(D$98:D$100)</f>
        <v>0</v>
      </c>
      <c r="E101" s="113">
        <f t="shared" si="5"/>
        <v>0</v>
      </c>
      <c r="F101" s="113">
        <f t="shared" si="5"/>
        <v>0</v>
      </c>
      <c r="G101" s="113">
        <f t="shared" si="5"/>
        <v>0</v>
      </c>
      <c r="H101" s="113">
        <f t="shared" si="5"/>
        <v>0</v>
      </c>
      <c r="I101" s="113">
        <f t="shared" si="5"/>
        <v>0</v>
      </c>
      <c r="J101" s="113">
        <f t="shared" si="5"/>
        <v>0</v>
      </c>
      <c r="K101" s="113">
        <f t="shared" si="5"/>
        <v>0</v>
      </c>
      <c r="L101" s="113">
        <f t="shared" si="5"/>
        <v>0</v>
      </c>
      <c r="M101" s="113">
        <f t="shared" si="5"/>
        <v>0</v>
      </c>
      <c r="N101" s="113">
        <f t="shared" si="5"/>
        <v>0</v>
      </c>
      <c r="O101" s="113">
        <f t="shared" si="5"/>
        <v>0</v>
      </c>
      <c r="P101" s="113">
        <f t="shared" si="5"/>
        <v>0</v>
      </c>
      <c r="Q101" s="113">
        <f t="shared" si="5"/>
        <v>0</v>
      </c>
      <c r="R101" s="113">
        <f t="shared" si="5"/>
        <v>0</v>
      </c>
      <c r="S101" s="113">
        <f t="shared" si="5"/>
        <v>0</v>
      </c>
      <c r="T101" s="113">
        <f t="shared" si="5"/>
        <v>0</v>
      </c>
      <c r="U101" s="113">
        <f t="shared" si="5"/>
        <v>0</v>
      </c>
      <c r="V101" s="113">
        <f t="shared" si="5"/>
        <v>0</v>
      </c>
      <c r="W101" s="113">
        <f t="shared" si="5"/>
        <v>0</v>
      </c>
      <c r="X101" s="113">
        <f t="shared" si="5"/>
        <v>0</v>
      </c>
      <c r="Y101" s="113">
        <f t="shared" si="5"/>
        <v>0</v>
      </c>
      <c r="Z101" s="113">
        <f t="shared" si="5"/>
        <v>0</v>
      </c>
      <c r="AA101" s="113">
        <f t="shared" si="5"/>
        <v>0</v>
      </c>
      <c r="AB101" s="113">
        <f t="shared" si="5"/>
        <v>0</v>
      </c>
      <c r="AC101" s="113">
        <f t="shared" si="5"/>
        <v>0</v>
      </c>
      <c r="AD101" s="113">
        <f t="shared" si="5"/>
        <v>0</v>
      </c>
      <c r="AE101" s="113">
        <f t="shared" si="5"/>
        <v>0</v>
      </c>
      <c r="AF101" s="113">
        <f t="shared" si="5"/>
        <v>0</v>
      </c>
      <c r="AG101" s="113">
        <f t="shared" si="5"/>
        <v>0</v>
      </c>
      <c r="AH101" s="113">
        <f t="shared" si="5"/>
        <v>0</v>
      </c>
      <c r="AI101" s="113">
        <f t="shared" si="5"/>
        <v>0</v>
      </c>
      <c r="AJ101" s="113">
        <f t="shared" si="5"/>
        <v>0</v>
      </c>
      <c r="AK101" s="113">
        <f t="shared" si="5"/>
        <v>0</v>
      </c>
      <c r="AL101" s="113">
        <f t="shared" si="5"/>
        <v>0</v>
      </c>
      <c r="AM101" s="113">
        <f t="shared" si="5"/>
        <v>0</v>
      </c>
      <c r="AN101" s="113">
        <f t="shared" si="5"/>
        <v>0</v>
      </c>
      <c r="AO101" s="113">
        <f t="shared" si="5"/>
        <v>0</v>
      </c>
      <c r="AP101" s="113">
        <f t="shared" si="5"/>
        <v>0</v>
      </c>
      <c r="AQ101" s="113">
        <f t="shared" si="5"/>
        <v>0</v>
      </c>
      <c r="AR101" s="113">
        <f t="shared" si="5"/>
        <v>0</v>
      </c>
      <c r="AS101" s="113">
        <f t="shared" si="5"/>
        <v>0</v>
      </c>
      <c r="AT101" s="113">
        <f t="shared" si="5"/>
        <v>0</v>
      </c>
      <c r="AU101" s="113">
        <f t="shared" si="5"/>
        <v>0</v>
      </c>
      <c r="AV101" s="113">
        <f t="shared" si="5"/>
        <v>0</v>
      </c>
      <c r="AW101" s="113">
        <f t="shared" si="5"/>
        <v>0</v>
      </c>
      <c r="AX101" s="113">
        <f t="shared" si="5"/>
        <v>0</v>
      </c>
    </row>
    <row r="102" spans="1:50" x14ac:dyDescent="0.2">
      <c r="A102" s="113" t="s">
        <v>105</v>
      </c>
      <c r="B102" s="113" t="s">
        <v>12</v>
      </c>
      <c r="C102" s="108">
        <v>0</v>
      </c>
      <c r="D102" s="108">
        <v>0</v>
      </c>
      <c r="E102" s="108">
        <v>0</v>
      </c>
      <c r="F102" s="108">
        <v>0</v>
      </c>
      <c r="G102" s="108">
        <v>0</v>
      </c>
      <c r="H102" s="108">
        <v>0</v>
      </c>
      <c r="I102" s="108">
        <v>0</v>
      </c>
      <c r="J102" s="108">
        <v>0</v>
      </c>
      <c r="K102" s="108">
        <v>0</v>
      </c>
      <c r="L102" s="108">
        <v>0</v>
      </c>
      <c r="M102" s="108">
        <v>0</v>
      </c>
      <c r="N102" s="108">
        <v>0</v>
      </c>
      <c r="O102" s="108">
        <v>0</v>
      </c>
      <c r="P102" s="108">
        <v>0</v>
      </c>
      <c r="Q102" s="108">
        <v>0</v>
      </c>
      <c r="R102" s="108">
        <v>0</v>
      </c>
      <c r="S102" s="108">
        <v>0</v>
      </c>
      <c r="T102" s="108">
        <v>0</v>
      </c>
      <c r="U102" s="108">
        <v>0</v>
      </c>
      <c r="V102" s="108">
        <v>0</v>
      </c>
      <c r="W102" s="108">
        <v>0</v>
      </c>
      <c r="X102" s="108">
        <v>0</v>
      </c>
      <c r="Y102" s="108">
        <v>0</v>
      </c>
      <c r="Z102" s="108">
        <v>0</v>
      </c>
      <c r="AA102" s="108">
        <v>0</v>
      </c>
      <c r="AB102" s="108">
        <v>0</v>
      </c>
      <c r="AC102" s="108">
        <v>0</v>
      </c>
      <c r="AD102" s="108">
        <v>0</v>
      </c>
      <c r="AE102" s="108">
        <v>0</v>
      </c>
      <c r="AF102" s="108">
        <v>0</v>
      </c>
      <c r="AG102" s="108">
        <v>0</v>
      </c>
      <c r="AH102" s="108">
        <v>0</v>
      </c>
      <c r="AI102" s="108">
        <v>0</v>
      </c>
      <c r="AJ102" s="108">
        <v>0</v>
      </c>
      <c r="AK102" s="108">
        <v>0</v>
      </c>
      <c r="AL102" s="108">
        <v>0</v>
      </c>
      <c r="AM102" s="108">
        <v>0</v>
      </c>
      <c r="AN102" s="108">
        <v>0</v>
      </c>
      <c r="AO102" s="108">
        <v>0</v>
      </c>
      <c r="AP102" s="108">
        <v>0</v>
      </c>
      <c r="AQ102" s="108">
        <v>0</v>
      </c>
      <c r="AR102" s="108">
        <v>0</v>
      </c>
      <c r="AS102" s="108">
        <v>0</v>
      </c>
      <c r="AT102" s="108">
        <v>0</v>
      </c>
      <c r="AU102" s="108">
        <v>0</v>
      </c>
      <c r="AV102" s="108">
        <v>0</v>
      </c>
      <c r="AW102" s="108">
        <v>0</v>
      </c>
      <c r="AX102" s="108">
        <v>0</v>
      </c>
    </row>
    <row r="103" spans="1:50" x14ac:dyDescent="0.2">
      <c r="B103" s="113" t="s">
        <v>22</v>
      </c>
      <c r="C103" s="108">
        <v>0</v>
      </c>
      <c r="D103" s="108">
        <v>0</v>
      </c>
      <c r="E103" s="108">
        <v>0</v>
      </c>
      <c r="F103" s="108">
        <v>0</v>
      </c>
      <c r="G103" s="108">
        <v>0</v>
      </c>
      <c r="H103" s="108">
        <v>0</v>
      </c>
      <c r="I103" s="108">
        <v>0</v>
      </c>
      <c r="J103" s="108">
        <v>0</v>
      </c>
      <c r="K103" s="108">
        <v>0</v>
      </c>
      <c r="L103" s="108">
        <v>0</v>
      </c>
      <c r="M103" s="108">
        <v>0</v>
      </c>
      <c r="N103" s="108">
        <v>0</v>
      </c>
      <c r="O103" s="108">
        <v>0</v>
      </c>
      <c r="P103" s="108">
        <v>0</v>
      </c>
      <c r="Q103" s="108">
        <v>0</v>
      </c>
      <c r="R103" s="108">
        <v>0</v>
      </c>
      <c r="S103" s="108">
        <v>0</v>
      </c>
      <c r="T103" s="108">
        <v>0</v>
      </c>
      <c r="U103" s="108">
        <v>0</v>
      </c>
      <c r="V103" s="108">
        <v>0</v>
      </c>
      <c r="W103" s="108">
        <v>0</v>
      </c>
      <c r="X103" s="108">
        <v>0</v>
      </c>
      <c r="Y103" s="108">
        <v>0</v>
      </c>
      <c r="Z103" s="108">
        <v>0</v>
      </c>
      <c r="AA103" s="108">
        <v>0</v>
      </c>
      <c r="AB103" s="108">
        <v>0</v>
      </c>
      <c r="AC103" s="108">
        <v>0</v>
      </c>
      <c r="AD103" s="108">
        <v>0</v>
      </c>
      <c r="AE103" s="108">
        <v>0</v>
      </c>
      <c r="AF103" s="108">
        <v>0</v>
      </c>
      <c r="AG103" s="108">
        <v>0</v>
      </c>
      <c r="AH103" s="108">
        <v>0</v>
      </c>
      <c r="AI103" s="108">
        <v>0</v>
      </c>
      <c r="AJ103" s="108">
        <v>0</v>
      </c>
      <c r="AK103" s="108">
        <v>0</v>
      </c>
      <c r="AL103" s="108">
        <v>0</v>
      </c>
      <c r="AM103" s="108">
        <v>0</v>
      </c>
      <c r="AN103" s="108">
        <v>0</v>
      </c>
      <c r="AO103" s="108">
        <v>0</v>
      </c>
      <c r="AP103" s="108">
        <v>0</v>
      </c>
      <c r="AQ103" s="108">
        <v>0</v>
      </c>
      <c r="AR103" s="108">
        <v>0</v>
      </c>
      <c r="AS103" s="108">
        <v>0</v>
      </c>
      <c r="AT103" s="108">
        <v>0</v>
      </c>
      <c r="AU103" s="108">
        <v>0</v>
      </c>
      <c r="AV103" s="108">
        <v>0</v>
      </c>
      <c r="AW103" s="108">
        <v>0</v>
      </c>
      <c r="AX103" s="108">
        <v>0</v>
      </c>
    </row>
    <row r="104" spans="1:50" x14ac:dyDescent="0.2">
      <c r="B104" s="113" t="s">
        <v>59</v>
      </c>
      <c r="C104" s="108">
        <v>0</v>
      </c>
      <c r="D104" s="108">
        <v>0</v>
      </c>
      <c r="E104" s="108">
        <v>0</v>
      </c>
      <c r="F104" s="108">
        <v>0</v>
      </c>
      <c r="G104" s="108">
        <v>0</v>
      </c>
      <c r="H104" s="108">
        <v>0</v>
      </c>
      <c r="I104" s="108">
        <v>0</v>
      </c>
      <c r="J104" s="108">
        <v>0</v>
      </c>
      <c r="K104" s="108">
        <v>0</v>
      </c>
      <c r="L104" s="108">
        <v>0</v>
      </c>
      <c r="M104" s="108">
        <v>0</v>
      </c>
      <c r="N104" s="108">
        <v>0</v>
      </c>
      <c r="O104" s="108">
        <v>0</v>
      </c>
      <c r="P104" s="108">
        <v>0</v>
      </c>
      <c r="Q104" s="108">
        <v>0</v>
      </c>
      <c r="R104" s="108">
        <v>0</v>
      </c>
      <c r="S104" s="108">
        <v>0</v>
      </c>
      <c r="T104" s="108">
        <v>0</v>
      </c>
      <c r="U104" s="108">
        <v>0</v>
      </c>
      <c r="V104" s="108">
        <v>0</v>
      </c>
      <c r="W104" s="108">
        <v>0</v>
      </c>
      <c r="X104" s="108">
        <v>0</v>
      </c>
      <c r="Y104" s="108">
        <v>0</v>
      </c>
      <c r="Z104" s="108">
        <v>0</v>
      </c>
      <c r="AA104" s="108">
        <v>0</v>
      </c>
      <c r="AB104" s="108">
        <v>0</v>
      </c>
      <c r="AC104" s="108">
        <v>0</v>
      </c>
      <c r="AD104" s="108">
        <v>0</v>
      </c>
      <c r="AE104" s="108">
        <v>0</v>
      </c>
      <c r="AF104" s="108">
        <v>0</v>
      </c>
      <c r="AG104" s="108">
        <v>0</v>
      </c>
      <c r="AH104" s="108">
        <v>0</v>
      </c>
      <c r="AI104" s="108">
        <v>0</v>
      </c>
      <c r="AJ104" s="108">
        <v>0</v>
      </c>
      <c r="AK104" s="108">
        <v>0</v>
      </c>
      <c r="AL104" s="108">
        <v>0</v>
      </c>
      <c r="AM104" s="108">
        <v>0</v>
      </c>
      <c r="AN104" s="108">
        <v>0</v>
      </c>
      <c r="AO104" s="108">
        <v>0</v>
      </c>
      <c r="AP104" s="108">
        <v>0</v>
      </c>
      <c r="AQ104" s="108">
        <v>0</v>
      </c>
      <c r="AR104" s="108">
        <v>0</v>
      </c>
      <c r="AS104" s="108">
        <v>0</v>
      </c>
      <c r="AT104" s="108">
        <v>0</v>
      </c>
      <c r="AU104" s="108">
        <v>0</v>
      </c>
      <c r="AV104" s="108">
        <v>0</v>
      </c>
      <c r="AW104" s="108">
        <v>0</v>
      </c>
      <c r="AX104" s="108">
        <v>0</v>
      </c>
    </row>
    <row r="105" spans="1:50" x14ac:dyDescent="0.2">
      <c r="B105" s="108" t="s">
        <v>277</v>
      </c>
      <c r="C105" s="113">
        <f>SUM(C$102:C$104)</f>
        <v>0</v>
      </c>
      <c r="D105" s="113">
        <f t="shared" ref="D105:AX105" si="6">SUM(D$102:D$104)</f>
        <v>0</v>
      </c>
      <c r="E105" s="113">
        <f t="shared" si="6"/>
        <v>0</v>
      </c>
      <c r="F105" s="113">
        <f t="shared" si="6"/>
        <v>0</v>
      </c>
      <c r="G105" s="113">
        <f t="shared" si="6"/>
        <v>0</v>
      </c>
      <c r="H105" s="113">
        <f t="shared" si="6"/>
        <v>0</v>
      </c>
      <c r="I105" s="113">
        <f t="shared" si="6"/>
        <v>0</v>
      </c>
      <c r="J105" s="113">
        <f t="shared" si="6"/>
        <v>0</v>
      </c>
      <c r="K105" s="113">
        <f t="shared" si="6"/>
        <v>0</v>
      </c>
      <c r="L105" s="113">
        <f t="shared" si="6"/>
        <v>0</v>
      </c>
      <c r="M105" s="113">
        <f t="shared" si="6"/>
        <v>0</v>
      </c>
      <c r="N105" s="113">
        <f t="shared" si="6"/>
        <v>0</v>
      </c>
      <c r="O105" s="113">
        <f t="shared" si="6"/>
        <v>0</v>
      </c>
      <c r="P105" s="113">
        <f t="shared" si="6"/>
        <v>0</v>
      </c>
      <c r="Q105" s="113">
        <f t="shared" si="6"/>
        <v>0</v>
      </c>
      <c r="R105" s="113">
        <f t="shared" si="6"/>
        <v>0</v>
      </c>
      <c r="S105" s="113">
        <f t="shared" si="6"/>
        <v>0</v>
      </c>
      <c r="T105" s="113">
        <f t="shared" si="6"/>
        <v>0</v>
      </c>
      <c r="U105" s="113">
        <f t="shared" si="6"/>
        <v>0</v>
      </c>
      <c r="V105" s="113">
        <f t="shared" si="6"/>
        <v>0</v>
      </c>
      <c r="W105" s="113">
        <f t="shared" si="6"/>
        <v>0</v>
      </c>
      <c r="X105" s="113">
        <f t="shared" si="6"/>
        <v>0</v>
      </c>
      <c r="Y105" s="113">
        <f t="shared" si="6"/>
        <v>0</v>
      </c>
      <c r="Z105" s="113">
        <f t="shared" si="6"/>
        <v>0</v>
      </c>
      <c r="AA105" s="113">
        <f t="shared" si="6"/>
        <v>0</v>
      </c>
      <c r="AB105" s="113">
        <f t="shared" si="6"/>
        <v>0</v>
      </c>
      <c r="AC105" s="113">
        <f t="shared" si="6"/>
        <v>0</v>
      </c>
      <c r="AD105" s="113">
        <f t="shared" si="6"/>
        <v>0</v>
      </c>
      <c r="AE105" s="113">
        <f t="shared" si="6"/>
        <v>0</v>
      </c>
      <c r="AF105" s="113">
        <f t="shared" si="6"/>
        <v>0</v>
      </c>
      <c r="AG105" s="113">
        <f t="shared" si="6"/>
        <v>0</v>
      </c>
      <c r="AH105" s="113">
        <f t="shared" si="6"/>
        <v>0</v>
      </c>
      <c r="AI105" s="113">
        <f t="shared" si="6"/>
        <v>0</v>
      </c>
      <c r="AJ105" s="113">
        <f t="shared" si="6"/>
        <v>0</v>
      </c>
      <c r="AK105" s="113">
        <f t="shared" si="6"/>
        <v>0</v>
      </c>
      <c r="AL105" s="113">
        <f t="shared" si="6"/>
        <v>0</v>
      </c>
      <c r="AM105" s="113">
        <f t="shared" si="6"/>
        <v>0</v>
      </c>
      <c r="AN105" s="113">
        <f t="shared" si="6"/>
        <v>0</v>
      </c>
      <c r="AO105" s="113">
        <f t="shared" si="6"/>
        <v>0</v>
      </c>
      <c r="AP105" s="113">
        <f t="shared" si="6"/>
        <v>0</v>
      </c>
      <c r="AQ105" s="113">
        <f t="shared" si="6"/>
        <v>0</v>
      </c>
      <c r="AR105" s="113">
        <f t="shared" si="6"/>
        <v>0</v>
      </c>
      <c r="AS105" s="113">
        <f t="shared" si="6"/>
        <v>0</v>
      </c>
      <c r="AT105" s="113">
        <f t="shared" si="6"/>
        <v>0</v>
      </c>
      <c r="AU105" s="113">
        <f t="shared" si="6"/>
        <v>0</v>
      </c>
      <c r="AV105" s="113">
        <f t="shared" si="6"/>
        <v>0</v>
      </c>
      <c r="AW105" s="113">
        <f t="shared" si="6"/>
        <v>0</v>
      </c>
      <c r="AX105" s="113">
        <f t="shared" si="6"/>
        <v>0</v>
      </c>
    </row>
    <row r="106" spans="1:50" x14ac:dyDescent="0.2">
      <c r="A106" s="113" t="s">
        <v>106</v>
      </c>
      <c r="B106" s="113" t="s">
        <v>12</v>
      </c>
      <c r="C106" s="108">
        <v>0</v>
      </c>
      <c r="D106" s="108">
        <v>0</v>
      </c>
      <c r="E106" s="108">
        <v>0</v>
      </c>
      <c r="F106" s="108">
        <v>0</v>
      </c>
      <c r="G106" s="108">
        <v>0</v>
      </c>
      <c r="H106" s="108">
        <v>0</v>
      </c>
      <c r="I106" s="108">
        <v>0</v>
      </c>
      <c r="J106" s="108">
        <v>0</v>
      </c>
      <c r="K106" s="108">
        <v>0</v>
      </c>
      <c r="L106" s="108">
        <v>0</v>
      </c>
      <c r="M106" s="108">
        <v>0</v>
      </c>
      <c r="N106" s="108">
        <v>0</v>
      </c>
      <c r="O106" s="108">
        <v>0</v>
      </c>
      <c r="P106" s="108">
        <v>0</v>
      </c>
      <c r="Q106" s="108">
        <v>0</v>
      </c>
      <c r="R106" s="108">
        <v>0</v>
      </c>
      <c r="S106" s="108">
        <v>0</v>
      </c>
      <c r="T106" s="108">
        <v>0</v>
      </c>
      <c r="U106" s="108">
        <v>0</v>
      </c>
      <c r="V106" s="108">
        <v>0</v>
      </c>
      <c r="W106" s="108">
        <v>0</v>
      </c>
      <c r="X106" s="108">
        <v>0</v>
      </c>
      <c r="Y106" s="108">
        <v>0</v>
      </c>
      <c r="Z106" s="108">
        <v>0</v>
      </c>
      <c r="AA106" s="108">
        <v>0</v>
      </c>
      <c r="AB106" s="108">
        <v>0</v>
      </c>
      <c r="AC106" s="108">
        <v>0</v>
      </c>
      <c r="AD106" s="108">
        <v>0</v>
      </c>
      <c r="AE106" s="108">
        <v>0</v>
      </c>
      <c r="AF106" s="108">
        <v>0</v>
      </c>
      <c r="AG106" s="108">
        <v>0</v>
      </c>
      <c r="AH106" s="108">
        <v>0</v>
      </c>
      <c r="AI106" s="108">
        <v>0</v>
      </c>
      <c r="AJ106" s="108">
        <v>0</v>
      </c>
      <c r="AK106" s="108">
        <v>0</v>
      </c>
      <c r="AL106" s="108">
        <v>0</v>
      </c>
      <c r="AM106" s="108">
        <v>0</v>
      </c>
      <c r="AN106" s="108">
        <v>0</v>
      </c>
      <c r="AO106" s="108">
        <v>0</v>
      </c>
      <c r="AP106" s="108">
        <v>0</v>
      </c>
      <c r="AQ106" s="108">
        <v>0</v>
      </c>
      <c r="AR106" s="108">
        <v>0</v>
      </c>
      <c r="AS106" s="108">
        <v>0</v>
      </c>
      <c r="AT106" s="108">
        <v>0</v>
      </c>
      <c r="AU106" s="108">
        <v>0</v>
      </c>
      <c r="AV106" s="108">
        <v>0</v>
      </c>
      <c r="AW106" s="108">
        <v>0</v>
      </c>
      <c r="AX106" s="108">
        <v>0</v>
      </c>
    </row>
    <row r="107" spans="1:50" x14ac:dyDescent="0.2">
      <c r="B107" s="113" t="s">
        <v>22</v>
      </c>
      <c r="C107" s="108">
        <v>0</v>
      </c>
      <c r="D107" s="108">
        <v>0</v>
      </c>
      <c r="E107" s="108">
        <v>0</v>
      </c>
      <c r="F107" s="108">
        <v>0</v>
      </c>
      <c r="G107" s="108">
        <v>0</v>
      </c>
      <c r="H107" s="108">
        <v>0</v>
      </c>
      <c r="I107" s="108">
        <v>0</v>
      </c>
      <c r="J107" s="108">
        <v>0</v>
      </c>
      <c r="K107" s="108">
        <v>0</v>
      </c>
      <c r="L107" s="108">
        <v>0</v>
      </c>
      <c r="M107" s="108">
        <v>0</v>
      </c>
      <c r="N107" s="108">
        <v>0</v>
      </c>
      <c r="O107" s="108">
        <v>0</v>
      </c>
      <c r="P107" s="108">
        <v>0</v>
      </c>
      <c r="Q107" s="108">
        <v>0</v>
      </c>
      <c r="R107" s="108">
        <v>0</v>
      </c>
      <c r="S107" s="108">
        <v>0</v>
      </c>
      <c r="T107" s="108">
        <v>0</v>
      </c>
      <c r="U107" s="108">
        <v>0</v>
      </c>
      <c r="V107" s="108">
        <v>0</v>
      </c>
      <c r="W107" s="108">
        <v>0</v>
      </c>
      <c r="X107" s="108">
        <v>0</v>
      </c>
      <c r="Y107" s="108">
        <v>0</v>
      </c>
      <c r="Z107" s="108">
        <v>0</v>
      </c>
      <c r="AA107" s="108">
        <v>0</v>
      </c>
      <c r="AB107" s="108">
        <v>0</v>
      </c>
      <c r="AC107" s="108">
        <v>0</v>
      </c>
      <c r="AD107" s="108">
        <v>0</v>
      </c>
      <c r="AE107" s="108">
        <v>0</v>
      </c>
      <c r="AF107" s="108">
        <v>0</v>
      </c>
      <c r="AG107" s="108">
        <v>0</v>
      </c>
      <c r="AH107" s="108">
        <v>0</v>
      </c>
      <c r="AI107" s="108">
        <v>0</v>
      </c>
      <c r="AJ107" s="108">
        <v>0</v>
      </c>
      <c r="AK107" s="108">
        <v>0</v>
      </c>
      <c r="AL107" s="108">
        <v>0</v>
      </c>
      <c r="AM107" s="108">
        <v>0</v>
      </c>
      <c r="AN107" s="108">
        <v>0</v>
      </c>
      <c r="AO107" s="108">
        <v>0</v>
      </c>
      <c r="AP107" s="108">
        <v>0</v>
      </c>
      <c r="AQ107" s="108">
        <v>0</v>
      </c>
      <c r="AR107" s="108">
        <v>0</v>
      </c>
      <c r="AS107" s="108">
        <v>0</v>
      </c>
      <c r="AT107" s="108">
        <v>0</v>
      </c>
      <c r="AU107" s="108">
        <v>0</v>
      </c>
      <c r="AV107" s="108">
        <v>0</v>
      </c>
      <c r="AW107" s="108">
        <v>0</v>
      </c>
      <c r="AX107" s="108">
        <v>0</v>
      </c>
    </row>
    <row r="108" spans="1:50" x14ac:dyDescent="0.2">
      <c r="B108" s="113" t="s">
        <v>59</v>
      </c>
      <c r="C108" s="108">
        <v>0</v>
      </c>
      <c r="D108" s="108">
        <v>0</v>
      </c>
      <c r="E108" s="108">
        <v>0</v>
      </c>
      <c r="F108" s="108">
        <v>0</v>
      </c>
      <c r="G108" s="108">
        <v>0</v>
      </c>
      <c r="H108" s="108">
        <v>0</v>
      </c>
      <c r="I108" s="108">
        <v>0</v>
      </c>
      <c r="J108" s="108">
        <v>0</v>
      </c>
      <c r="K108" s="108">
        <v>0</v>
      </c>
      <c r="L108" s="108">
        <v>0</v>
      </c>
      <c r="M108" s="108">
        <v>0</v>
      </c>
      <c r="N108" s="108">
        <v>0</v>
      </c>
      <c r="O108" s="108">
        <v>0</v>
      </c>
      <c r="P108" s="108">
        <v>0</v>
      </c>
      <c r="Q108" s="108">
        <v>0</v>
      </c>
      <c r="R108" s="108">
        <v>0</v>
      </c>
      <c r="S108" s="108">
        <v>0</v>
      </c>
      <c r="T108" s="108">
        <v>0</v>
      </c>
      <c r="U108" s="108">
        <v>0</v>
      </c>
      <c r="V108" s="108">
        <v>0</v>
      </c>
      <c r="W108" s="108">
        <v>0</v>
      </c>
      <c r="X108" s="108">
        <v>0</v>
      </c>
      <c r="Y108" s="108">
        <v>0</v>
      </c>
      <c r="Z108" s="108">
        <v>0</v>
      </c>
      <c r="AA108" s="108">
        <v>0</v>
      </c>
      <c r="AB108" s="108">
        <v>0</v>
      </c>
      <c r="AC108" s="108">
        <v>0</v>
      </c>
      <c r="AD108" s="108">
        <v>0</v>
      </c>
      <c r="AE108" s="108">
        <v>0</v>
      </c>
      <c r="AF108" s="108">
        <v>0</v>
      </c>
      <c r="AG108" s="108">
        <v>0</v>
      </c>
      <c r="AH108" s="108">
        <v>0</v>
      </c>
      <c r="AI108" s="108">
        <v>0</v>
      </c>
      <c r="AJ108" s="108">
        <v>0</v>
      </c>
      <c r="AK108" s="108">
        <v>0</v>
      </c>
      <c r="AL108" s="108">
        <v>0</v>
      </c>
      <c r="AM108" s="108">
        <v>0</v>
      </c>
      <c r="AN108" s="108">
        <v>0</v>
      </c>
      <c r="AO108" s="108">
        <v>0</v>
      </c>
      <c r="AP108" s="108">
        <v>0</v>
      </c>
      <c r="AQ108" s="108">
        <v>0</v>
      </c>
      <c r="AR108" s="108">
        <v>0</v>
      </c>
      <c r="AS108" s="108">
        <v>0</v>
      </c>
      <c r="AT108" s="108">
        <v>0</v>
      </c>
      <c r="AU108" s="108">
        <v>0</v>
      </c>
      <c r="AV108" s="108">
        <v>0</v>
      </c>
      <c r="AW108" s="108">
        <v>0</v>
      </c>
      <c r="AX108" s="108">
        <v>0</v>
      </c>
    </row>
    <row r="109" spans="1:50" x14ac:dyDescent="0.2">
      <c r="B109" s="109" t="s">
        <v>277</v>
      </c>
      <c r="C109" s="113">
        <f>SUM(C$106:C$108)</f>
        <v>0</v>
      </c>
      <c r="D109" s="113">
        <f t="shared" ref="D109:AX109" si="7">SUM(D$106:D$108)</f>
        <v>0</v>
      </c>
      <c r="E109" s="113">
        <f t="shared" si="7"/>
        <v>0</v>
      </c>
      <c r="F109" s="113">
        <f t="shared" si="7"/>
        <v>0</v>
      </c>
      <c r="G109" s="113">
        <f t="shared" si="7"/>
        <v>0</v>
      </c>
      <c r="H109" s="113">
        <f t="shared" si="7"/>
        <v>0</v>
      </c>
      <c r="I109" s="113">
        <f t="shared" si="7"/>
        <v>0</v>
      </c>
      <c r="J109" s="113">
        <f t="shared" si="7"/>
        <v>0</v>
      </c>
      <c r="K109" s="113">
        <f t="shared" si="7"/>
        <v>0</v>
      </c>
      <c r="L109" s="113">
        <f t="shared" si="7"/>
        <v>0</v>
      </c>
      <c r="M109" s="113">
        <f t="shared" si="7"/>
        <v>0</v>
      </c>
      <c r="N109" s="113">
        <f t="shared" si="7"/>
        <v>0</v>
      </c>
      <c r="O109" s="113">
        <f t="shared" si="7"/>
        <v>0</v>
      </c>
      <c r="P109" s="113">
        <f t="shared" si="7"/>
        <v>0</v>
      </c>
      <c r="Q109" s="113">
        <f t="shared" si="7"/>
        <v>0</v>
      </c>
      <c r="R109" s="113">
        <f t="shared" si="7"/>
        <v>0</v>
      </c>
      <c r="S109" s="113">
        <f t="shared" si="7"/>
        <v>0</v>
      </c>
      <c r="T109" s="113">
        <f t="shared" si="7"/>
        <v>0</v>
      </c>
      <c r="U109" s="113">
        <f t="shared" si="7"/>
        <v>0</v>
      </c>
      <c r="V109" s="113">
        <f t="shared" si="7"/>
        <v>0</v>
      </c>
      <c r="W109" s="113">
        <f t="shared" si="7"/>
        <v>0</v>
      </c>
      <c r="X109" s="113">
        <f t="shared" si="7"/>
        <v>0</v>
      </c>
      <c r="Y109" s="113">
        <f t="shared" si="7"/>
        <v>0</v>
      </c>
      <c r="Z109" s="113">
        <f t="shared" si="7"/>
        <v>0</v>
      </c>
      <c r="AA109" s="113">
        <f t="shared" si="7"/>
        <v>0</v>
      </c>
      <c r="AB109" s="113">
        <f t="shared" si="7"/>
        <v>0</v>
      </c>
      <c r="AC109" s="113">
        <f t="shared" si="7"/>
        <v>0</v>
      </c>
      <c r="AD109" s="113">
        <f t="shared" si="7"/>
        <v>0</v>
      </c>
      <c r="AE109" s="113">
        <f t="shared" si="7"/>
        <v>0</v>
      </c>
      <c r="AF109" s="113">
        <f t="shared" si="7"/>
        <v>0</v>
      </c>
      <c r="AG109" s="113">
        <f t="shared" si="7"/>
        <v>0</v>
      </c>
      <c r="AH109" s="113">
        <f t="shared" si="7"/>
        <v>0</v>
      </c>
      <c r="AI109" s="113">
        <f t="shared" si="7"/>
        <v>0</v>
      </c>
      <c r="AJ109" s="113">
        <f t="shared" si="7"/>
        <v>0</v>
      </c>
      <c r="AK109" s="113">
        <f t="shared" si="7"/>
        <v>0</v>
      </c>
      <c r="AL109" s="113">
        <f t="shared" si="7"/>
        <v>0</v>
      </c>
      <c r="AM109" s="113">
        <f t="shared" si="7"/>
        <v>0</v>
      </c>
      <c r="AN109" s="113">
        <f t="shared" si="7"/>
        <v>0</v>
      </c>
      <c r="AO109" s="113">
        <f t="shared" si="7"/>
        <v>0</v>
      </c>
      <c r="AP109" s="113">
        <f t="shared" si="7"/>
        <v>0</v>
      </c>
      <c r="AQ109" s="113">
        <f t="shared" si="7"/>
        <v>0</v>
      </c>
      <c r="AR109" s="113">
        <f t="shared" si="7"/>
        <v>0</v>
      </c>
      <c r="AS109" s="113">
        <f t="shared" si="7"/>
        <v>0</v>
      </c>
      <c r="AT109" s="113">
        <f t="shared" si="7"/>
        <v>0</v>
      </c>
      <c r="AU109" s="113">
        <f t="shared" si="7"/>
        <v>0</v>
      </c>
      <c r="AV109" s="113">
        <f t="shared" si="7"/>
        <v>0</v>
      </c>
      <c r="AW109" s="113">
        <f t="shared" si="7"/>
        <v>0</v>
      </c>
      <c r="AX109" s="113">
        <f t="shared" si="7"/>
        <v>0</v>
      </c>
    </row>
    <row r="110" spans="1:50" x14ac:dyDescent="0.2">
      <c r="A110" s="113" t="s">
        <v>107</v>
      </c>
      <c r="B110" s="113" t="s">
        <v>12</v>
      </c>
      <c r="C110" s="108">
        <v>0</v>
      </c>
      <c r="D110" s="108">
        <v>0</v>
      </c>
      <c r="E110" s="108">
        <v>0</v>
      </c>
      <c r="F110" s="108">
        <v>0</v>
      </c>
      <c r="G110" s="108">
        <v>0</v>
      </c>
      <c r="H110" s="108">
        <v>0</v>
      </c>
      <c r="I110" s="108">
        <v>0</v>
      </c>
      <c r="J110" s="108">
        <v>0</v>
      </c>
      <c r="K110" s="108">
        <v>0</v>
      </c>
      <c r="L110" s="108">
        <v>0</v>
      </c>
      <c r="M110" s="108">
        <v>0</v>
      </c>
      <c r="N110" s="108">
        <v>0</v>
      </c>
      <c r="O110" s="108">
        <v>0</v>
      </c>
      <c r="P110" s="108">
        <v>0</v>
      </c>
      <c r="Q110" s="108">
        <v>0</v>
      </c>
      <c r="R110" s="108">
        <v>0</v>
      </c>
      <c r="S110" s="108">
        <v>0</v>
      </c>
      <c r="T110" s="108">
        <v>0</v>
      </c>
      <c r="U110" s="108">
        <v>0</v>
      </c>
      <c r="V110" s="108">
        <v>0</v>
      </c>
      <c r="W110" s="108">
        <v>0</v>
      </c>
      <c r="X110" s="108">
        <v>0</v>
      </c>
      <c r="Y110" s="108">
        <v>0</v>
      </c>
      <c r="Z110" s="108">
        <v>0</v>
      </c>
      <c r="AA110" s="108">
        <v>0</v>
      </c>
      <c r="AB110" s="108">
        <v>0</v>
      </c>
      <c r="AC110" s="108">
        <v>0</v>
      </c>
      <c r="AD110" s="108">
        <v>0</v>
      </c>
      <c r="AE110" s="108">
        <v>0</v>
      </c>
      <c r="AF110" s="108">
        <v>0</v>
      </c>
      <c r="AG110" s="108">
        <v>0</v>
      </c>
      <c r="AH110" s="108">
        <v>0</v>
      </c>
      <c r="AI110" s="108">
        <v>0</v>
      </c>
      <c r="AJ110" s="108">
        <v>0</v>
      </c>
      <c r="AK110" s="108">
        <v>0</v>
      </c>
      <c r="AL110" s="108">
        <v>0</v>
      </c>
      <c r="AM110" s="108">
        <v>0</v>
      </c>
      <c r="AN110" s="108">
        <v>0</v>
      </c>
      <c r="AO110" s="108">
        <v>0</v>
      </c>
      <c r="AP110" s="108">
        <v>0</v>
      </c>
      <c r="AQ110" s="108">
        <v>0</v>
      </c>
      <c r="AR110" s="108">
        <v>0</v>
      </c>
      <c r="AS110" s="108">
        <v>0</v>
      </c>
      <c r="AT110" s="108">
        <v>0</v>
      </c>
      <c r="AU110" s="108">
        <v>0</v>
      </c>
      <c r="AV110" s="108">
        <v>0</v>
      </c>
      <c r="AW110" s="108">
        <v>0</v>
      </c>
      <c r="AX110" s="108">
        <v>0</v>
      </c>
    </row>
    <row r="111" spans="1:50" x14ac:dyDescent="0.2">
      <c r="B111" s="113" t="s">
        <v>22</v>
      </c>
      <c r="C111" s="108">
        <v>0</v>
      </c>
      <c r="D111" s="108">
        <v>0</v>
      </c>
      <c r="E111" s="108">
        <v>0</v>
      </c>
      <c r="F111" s="108">
        <v>0</v>
      </c>
      <c r="G111" s="108">
        <v>0</v>
      </c>
      <c r="H111" s="108">
        <v>0</v>
      </c>
      <c r="I111" s="108">
        <v>0</v>
      </c>
      <c r="J111" s="108">
        <v>0</v>
      </c>
      <c r="K111" s="108">
        <v>0</v>
      </c>
      <c r="L111" s="108">
        <v>0</v>
      </c>
      <c r="M111" s="108">
        <v>0</v>
      </c>
      <c r="N111" s="108">
        <v>0</v>
      </c>
      <c r="O111" s="108">
        <v>0</v>
      </c>
      <c r="P111" s="108">
        <v>0</v>
      </c>
      <c r="Q111" s="108">
        <v>0</v>
      </c>
      <c r="R111" s="108">
        <v>0</v>
      </c>
      <c r="S111" s="108">
        <v>0</v>
      </c>
      <c r="T111" s="108">
        <v>0</v>
      </c>
      <c r="U111" s="108">
        <v>0</v>
      </c>
      <c r="V111" s="108">
        <v>0</v>
      </c>
      <c r="W111" s="108">
        <v>0</v>
      </c>
      <c r="X111" s="108">
        <v>0</v>
      </c>
      <c r="Y111" s="108">
        <v>0</v>
      </c>
      <c r="Z111" s="108">
        <v>0</v>
      </c>
      <c r="AA111" s="108">
        <v>0</v>
      </c>
      <c r="AB111" s="108">
        <v>0</v>
      </c>
      <c r="AC111" s="108">
        <v>0</v>
      </c>
      <c r="AD111" s="108">
        <v>0</v>
      </c>
      <c r="AE111" s="108">
        <v>0</v>
      </c>
      <c r="AF111" s="108">
        <v>0</v>
      </c>
      <c r="AG111" s="108">
        <v>0</v>
      </c>
      <c r="AH111" s="108">
        <v>0</v>
      </c>
      <c r="AI111" s="108">
        <v>0</v>
      </c>
      <c r="AJ111" s="108">
        <v>0</v>
      </c>
      <c r="AK111" s="108">
        <v>0</v>
      </c>
      <c r="AL111" s="108">
        <v>0</v>
      </c>
      <c r="AM111" s="108">
        <v>0</v>
      </c>
      <c r="AN111" s="108">
        <v>0</v>
      </c>
      <c r="AO111" s="108">
        <v>0</v>
      </c>
      <c r="AP111" s="108">
        <v>0</v>
      </c>
      <c r="AQ111" s="108">
        <v>0</v>
      </c>
      <c r="AR111" s="108">
        <v>0</v>
      </c>
      <c r="AS111" s="108">
        <v>0</v>
      </c>
      <c r="AT111" s="108">
        <v>0</v>
      </c>
      <c r="AU111" s="108">
        <v>0</v>
      </c>
      <c r="AV111" s="108">
        <v>0</v>
      </c>
      <c r="AW111" s="108">
        <v>0</v>
      </c>
      <c r="AX111" s="108">
        <v>0</v>
      </c>
    </row>
    <row r="112" spans="1:50" x14ac:dyDescent="0.2">
      <c r="B112" s="113" t="s">
        <v>59</v>
      </c>
      <c r="C112" s="108">
        <v>0</v>
      </c>
      <c r="D112" s="108">
        <v>0</v>
      </c>
      <c r="E112" s="108">
        <v>0</v>
      </c>
      <c r="F112" s="108">
        <v>0</v>
      </c>
      <c r="G112" s="108">
        <v>0</v>
      </c>
      <c r="H112" s="108">
        <v>0</v>
      </c>
      <c r="I112" s="108">
        <v>0</v>
      </c>
      <c r="J112" s="108">
        <v>0</v>
      </c>
      <c r="K112" s="108">
        <v>0</v>
      </c>
      <c r="L112" s="108">
        <v>0</v>
      </c>
      <c r="M112" s="108">
        <v>0</v>
      </c>
      <c r="N112" s="108">
        <v>0</v>
      </c>
      <c r="O112" s="108">
        <v>0</v>
      </c>
      <c r="P112" s="108">
        <v>0</v>
      </c>
      <c r="Q112" s="108">
        <v>0</v>
      </c>
      <c r="R112" s="108">
        <v>0</v>
      </c>
      <c r="S112" s="108">
        <v>0</v>
      </c>
      <c r="T112" s="108">
        <v>0</v>
      </c>
      <c r="U112" s="108">
        <v>0</v>
      </c>
      <c r="V112" s="108">
        <v>0</v>
      </c>
      <c r="W112" s="108">
        <v>0</v>
      </c>
      <c r="X112" s="108">
        <v>0</v>
      </c>
      <c r="Y112" s="108">
        <v>0</v>
      </c>
      <c r="Z112" s="108">
        <v>0</v>
      </c>
      <c r="AA112" s="108">
        <v>0</v>
      </c>
      <c r="AB112" s="108">
        <v>0</v>
      </c>
      <c r="AC112" s="108">
        <v>0</v>
      </c>
      <c r="AD112" s="108">
        <v>0</v>
      </c>
      <c r="AE112" s="108">
        <v>0</v>
      </c>
      <c r="AF112" s="108">
        <v>0</v>
      </c>
      <c r="AG112" s="108">
        <v>0</v>
      </c>
      <c r="AH112" s="108">
        <v>0</v>
      </c>
      <c r="AI112" s="108">
        <v>0</v>
      </c>
      <c r="AJ112" s="108">
        <v>0</v>
      </c>
      <c r="AK112" s="108">
        <v>0</v>
      </c>
      <c r="AL112" s="108">
        <v>0</v>
      </c>
      <c r="AM112" s="108">
        <v>0</v>
      </c>
      <c r="AN112" s="108">
        <v>0</v>
      </c>
      <c r="AO112" s="108">
        <v>0</v>
      </c>
      <c r="AP112" s="108">
        <v>0</v>
      </c>
      <c r="AQ112" s="108">
        <v>0</v>
      </c>
      <c r="AR112" s="108">
        <v>0</v>
      </c>
      <c r="AS112" s="108">
        <v>0</v>
      </c>
      <c r="AT112" s="108">
        <v>0</v>
      </c>
      <c r="AU112" s="108">
        <v>0</v>
      </c>
      <c r="AV112" s="108">
        <v>0</v>
      </c>
      <c r="AW112" s="108">
        <v>0</v>
      </c>
      <c r="AX112" s="108">
        <v>0</v>
      </c>
    </row>
    <row r="113" spans="1:50" x14ac:dyDescent="0.2">
      <c r="B113" s="109" t="s">
        <v>277</v>
      </c>
      <c r="C113" s="113">
        <f>SUM(C$110:C$112)</f>
        <v>0</v>
      </c>
      <c r="D113" s="113">
        <f t="shared" ref="D113:AX113" si="8">SUM(D$110:D$112)</f>
        <v>0</v>
      </c>
      <c r="E113" s="113">
        <f t="shared" si="8"/>
        <v>0</v>
      </c>
      <c r="F113" s="113">
        <f t="shared" si="8"/>
        <v>0</v>
      </c>
      <c r="G113" s="113">
        <f t="shared" si="8"/>
        <v>0</v>
      </c>
      <c r="H113" s="113">
        <f t="shared" si="8"/>
        <v>0</v>
      </c>
      <c r="I113" s="113">
        <f t="shared" si="8"/>
        <v>0</v>
      </c>
      <c r="J113" s="113">
        <f t="shared" si="8"/>
        <v>0</v>
      </c>
      <c r="K113" s="113">
        <f t="shared" si="8"/>
        <v>0</v>
      </c>
      <c r="L113" s="113">
        <f t="shared" si="8"/>
        <v>0</v>
      </c>
      <c r="M113" s="113">
        <f t="shared" si="8"/>
        <v>0</v>
      </c>
      <c r="N113" s="113">
        <f t="shared" si="8"/>
        <v>0</v>
      </c>
      <c r="O113" s="113">
        <f t="shared" si="8"/>
        <v>0</v>
      </c>
      <c r="P113" s="113">
        <f t="shared" si="8"/>
        <v>0</v>
      </c>
      <c r="Q113" s="113">
        <f t="shared" si="8"/>
        <v>0</v>
      </c>
      <c r="R113" s="113">
        <f t="shared" si="8"/>
        <v>0</v>
      </c>
      <c r="S113" s="113">
        <f t="shared" si="8"/>
        <v>0</v>
      </c>
      <c r="T113" s="113">
        <f t="shared" si="8"/>
        <v>0</v>
      </c>
      <c r="U113" s="113">
        <f t="shared" si="8"/>
        <v>0</v>
      </c>
      <c r="V113" s="113">
        <f t="shared" si="8"/>
        <v>0</v>
      </c>
      <c r="W113" s="113">
        <f t="shared" si="8"/>
        <v>0</v>
      </c>
      <c r="X113" s="113">
        <f t="shared" si="8"/>
        <v>0</v>
      </c>
      <c r="Y113" s="113">
        <f t="shared" si="8"/>
        <v>0</v>
      </c>
      <c r="Z113" s="113">
        <f t="shared" si="8"/>
        <v>0</v>
      </c>
      <c r="AA113" s="113">
        <f t="shared" si="8"/>
        <v>0</v>
      </c>
      <c r="AB113" s="113">
        <f t="shared" si="8"/>
        <v>0</v>
      </c>
      <c r="AC113" s="113">
        <f t="shared" si="8"/>
        <v>0</v>
      </c>
      <c r="AD113" s="113">
        <f t="shared" si="8"/>
        <v>0</v>
      </c>
      <c r="AE113" s="113">
        <f t="shared" si="8"/>
        <v>0</v>
      </c>
      <c r="AF113" s="113">
        <f t="shared" si="8"/>
        <v>0</v>
      </c>
      <c r="AG113" s="113">
        <f t="shared" si="8"/>
        <v>0</v>
      </c>
      <c r="AH113" s="113">
        <f t="shared" si="8"/>
        <v>0</v>
      </c>
      <c r="AI113" s="113">
        <f t="shared" si="8"/>
        <v>0</v>
      </c>
      <c r="AJ113" s="113">
        <f t="shared" si="8"/>
        <v>0</v>
      </c>
      <c r="AK113" s="113">
        <f t="shared" si="8"/>
        <v>0</v>
      </c>
      <c r="AL113" s="113">
        <f t="shared" si="8"/>
        <v>0</v>
      </c>
      <c r="AM113" s="113">
        <f t="shared" si="8"/>
        <v>0</v>
      </c>
      <c r="AN113" s="113">
        <f t="shared" si="8"/>
        <v>0</v>
      </c>
      <c r="AO113" s="113">
        <f t="shared" si="8"/>
        <v>0</v>
      </c>
      <c r="AP113" s="113">
        <f t="shared" si="8"/>
        <v>0</v>
      </c>
      <c r="AQ113" s="113">
        <f t="shared" si="8"/>
        <v>0</v>
      </c>
      <c r="AR113" s="113">
        <f t="shared" si="8"/>
        <v>0</v>
      </c>
      <c r="AS113" s="113">
        <f t="shared" si="8"/>
        <v>0</v>
      </c>
      <c r="AT113" s="113">
        <f t="shared" si="8"/>
        <v>0</v>
      </c>
      <c r="AU113" s="113">
        <f t="shared" si="8"/>
        <v>0</v>
      </c>
      <c r="AV113" s="113">
        <f t="shared" si="8"/>
        <v>0</v>
      </c>
      <c r="AW113" s="113">
        <f t="shared" si="8"/>
        <v>0</v>
      </c>
      <c r="AX113" s="113">
        <f t="shared" si="8"/>
        <v>0</v>
      </c>
    </row>
    <row r="114" spans="1:50" x14ac:dyDescent="0.2">
      <c r="A114" s="113" t="s">
        <v>108</v>
      </c>
      <c r="B114" s="113" t="s">
        <v>12</v>
      </c>
      <c r="C114" s="108">
        <v>851314.86</v>
      </c>
      <c r="D114" s="108">
        <v>851314.86</v>
      </c>
      <c r="E114" s="108">
        <v>851314.86</v>
      </c>
      <c r="F114" s="108">
        <v>851314.86</v>
      </c>
      <c r="G114" s="108">
        <v>851314.86</v>
      </c>
      <c r="H114" s="108">
        <v>851314.86</v>
      </c>
      <c r="I114" s="108">
        <v>851314.86</v>
      </c>
      <c r="J114" s="108">
        <v>851314.86</v>
      </c>
      <c r="K114" s="108">
        <v>851314.86</v>
      </c>
      <c r="L114" s="108">
        <v>851314.86</v>
      </c>
      <c r="M114" s="108">
        <v>851314.86</v>
      </c>
      <c r="N114" s="108">
        <v>851314.86</v>
      </c>
      <c r="O114" s="108">
        <v>851314.86</v>
      </c>
      <c r="P114" s="108">
        <v>851314.86</v>
      </c>
      <c r="Q114" s="108">
        <v>851314.86</v>
      </c>
      <c r="R114" s="108">
        <v>851314.86</v>
      </c>
      <c r="S114" s="108">
        <v>851314.86</v>
      </c>
      <c r="T114" s="108">
        <v>851314.86</v>
      </c>
      <c r="U114" s="108">
        <v>851314.86</v>
      </c>
      <c r="V114" s="108">
        <v>851314.86</v>
      </c>
      <c r="W114" s="108">
        <v>851314.86</v>
      </c>
      <c r="X114" s="108">
        <v>851314.86</v>
      </c>
      <c r="Y114" s="108">
        <v>851314.86</v>
      </c>
      <c r="Z114" s="108">
        <v>851314.86</v>
      </c>
      <c r="AA114" s="108">
        <v>851314.86</v>
      </c>
      <c r="AB114" s="108">
        <v>851314.86</v>
      </c>
      <c r="AC114" s="108">
        <v>851314.86</v>
      </c>
      <c r="AD114" s="108">
        <v>851314.86</v>
      </c>
      <c r="AE114" s="108">
        <v>851314.86</v>
      </c>
      <c r="AF114" s="108">
        <v>851314.86</v>
      </c>
      <c r="AG114" s="108">
        <v>851314.86</v>
      </c>
      <c r="AH114" s="108">
        <v>851314.86</v>
      </c>
      <c r="AI114" s="108">
        <v>851314.86</v>
      </c>
      <c r="AJ114" s="108">
        <v>851314.86</v>
      </c>
      <c r="AK114" s="108">
        <v>851314.86</v>
      </c>
      <c r="AL114" s="108">
        <v>851314.86</v>
      </c>
      <c r="AM114" s="108">
        <v>851314.86</v>
      </c>
      <c r="AN114" s="108">
        <v>851314.86</v>
      </c>
      <c r="AO114" s="108">
        <v>851314.86</v>
      </c>
      <c r="AP114" s="108">
        <v>851314.86</v>
      </c>
      <c r="AQ114" s="108">
        <v>851314.86</v>
      </c>
      <c r="AR114" s="108">
        <v>851314.86</v>
      </c>
      <c r="AS114" s="108">
        <v>851314.86</v>
      </c>
      <c r="AT114" s="108">
        <v>851314.86</v>
      </c>
      <c r="AU114" s="108">
        <v>851314.86</v>
      </c>
      <c r="AV114" s="108">
        <v>851314.86</v>
      </c>
      <c r="AW114" s="108">
        <v>851314.86</v>
      </c>
      <c r="AX114" s="108">
        <v>851314.86</v>
      </c>
    </row>
    <row r="115" spans="1:50" x14ac:dyDescent="0.2">
      <c r="B115" s="113" t="s">
        <v>22</v>
      </c>
      <c r="C115" s="108">
        <v>1077158.94</v>
      </c>
      <c r="D115" s="108">
        <v>1077158.94</v>
      </c>
      <c r="E115" s="108">
        <v>1077158.94</v>
      </c>
      <c r="F115" s="108">
        <v>1077158.94</v>
      </c>
      <c r="G115" s="108">
        <v>1077158.94</v>
      </c>
      <c r="H115" s="108">
        <v>1077158.94</v>
      </c>
      <c r="I115" s="108">
        <v>1077158.94</v>
      </c>
      <c r="J115" s="108">
        <v>1077158.94</v>
      </c>
      <c r="K115" s="108">
        <v>1077158.94</v>
      </c>
      <c r="L115" s="108">
        <v>1077158.94</v>
      </c>
      <c r="M115" s="108">
        <v>1077158.94</v>
      </c>
      <c r="N115" s="108">
        <v>1077158.94</v>
      </c>
      <c r="O115" s="108">
        <v>1077158.94</v>
      </c>
      <c r="P115" s="108">
        <v>1077158.94</v>
      </c>
      <c r="Q115" s="108">
        <v>1077158.94</v>
      </c>
      <c r="R115" s="108">
        <v>1077158.94</v>
      </c>
      <c r="S115" s="108">
        <v>1077158.94</v>
      </c>
      <c r="T115" s="108">
        <v>1077158.94</v>
      </c>
      <c r="U115" s="108">
        <v>1077158.94</v>
      </c>
      <c r="V115" s="108">
        <v>1077158.94</v>
      </c>
      <c r="W115" s="108">
        <v>1077158.94</v>
      </c>
      <c r="X115" s="108">
        <v>1077158.94</v>
      </c>
      <c r="Y115" s="108">
        <v>1077158.94</v>
      </c>
      <c r="Z115" s="108">
        <v>1077158.94</v>
      </c>
      <c r="AA115" s="108">
        <v>1077158.94</v>
      </c>
      <c r="AB115" s="108">
        <v>1077158.94</v>
      </c>
      <c r="AC115" s="108">
        <v>1077158.94</v>
      </c>
      <c r="AD115" s="108">
        <v>1077158.94</v>
      </c>
      <c r="AE115" s="108">
        <v>1077158.94</v>
      </c>
      <c r="AF115" s="108">
        <v>1077158.94</v>
      </c>
      <c r="AG115" s="108">
        <v>1077158.94</v>
      </c>
      <c r="AH115" s="108">
        <v>1077158.94</v>
      </c>
      <c r="AI115" s="108">
        <v>1077158.94</v>
      </c>
      <c r="AJ115" s="108">
        <v>1077158.94</v>
      </c>
      <c r="AK115" s="108">
        <v>1077158.94</v>
      </c>
      <c r="AL115" s="108">
        <v>1077158.94</v>
      </c>
      <c r="AM115" s="108">
        <v>1077158.94</v>
      </c>
      <c r="AN115" s="108">
        <v>1077158.94</v>
      </c>
      <c r="AO115" s="108">
        <v>1077158.94</v>
      </c>
      <c r="AP115" s="108">
        <v>1077158.94</v>
      </c>
      <c r="AQ115" s="108">
        <v>1077158.94</v>
      </c>
      <c r="AR115" s="108">
        <v>1077158.94</v>
      </c>
      <c r="AS115" s="108">
        <v>1077158.94</v>
      </c>
      <c r="AT115" s="108">
        <v>1077158.94</v>
      </c>
      <c r="AU115" s="108">
        <v>1077158.94</v>
      </c>
      <c r="AV115" s="108">
        <v>1077158.94</v>
      </c>
      <c r="AW115" s="108">
        <v>1077158.94</v>
      </c>
      <c r="AX115" s="108">
        <v>1077158.94</v>
      </c>
    </row>
    <row r="116" spans="1:50" x14ac:dyDescent="0.2">
      <c r="B116" s="113" t="s">
        <v>59</v>
      </c>
      <c r="C116" s="108">
        <v>838367.64000000013</v>
      </c>
      <c r="D116" s="108">
        <v>838367.64000000013</v>
      </c>
      <c r="E116" s="108">
        <v>838367.64000000013</v>
      </c>
      <c r="F116" s="108">
        <v>838367.64000000013</v>
      </c>
      <c r="G116" s="108">
        <v>838367.64000000013</v>
      </c>
      <c r="H116" s="108">
        <v>838367.64000000013</v>
      </c>
      <c r="I116" s="108">
        <v>838367.64000000013</v>
      </c>
      <c r="J116" s="108">
        <v>838367.64000000013</v>
      </c>
      <c r="K116" s="108">
        <v>838367.64000000013</v>
      </c>
      <c r="L116" s="108">
        <v>838367.64000000013</v>
      </c>
      <c r="M116" s="108">
        <v>838367.64000000013</v>
      </c>
      <c r="N116" s="108">
        <v>838367.64000000013</v>
      </c>
      <c r="O116" s="108">
        <v>838367.64000000013</v>
      </c>
      <c r="P116" s="108">
        <v>838367.64000000013</v>
      </c>
      <c r="Q116" s="108">
        <v>838367.64000000013</v>
      </c>
      <c r="R116" s="108">
        <v>838367.64000000013</v>
      </c>
      <c r="S116" s="108">
        <v>838367.64000000013</v>
      </c>
      <c r="T116" s="108">
        <v>838367.64000000013</v>
      </c>
      <c r="U116" s="108">
        <v>838367.64000000013</v>
      </c>
      <c r="V116" s="108">
        <v>838367.64000000013</v>
      </c>
      <c r="W116" s="108">
        <v>838367.64000000013</v>
      </c>
      <c r="X116" s="108">
        <v>838367.64000000013</v>
      </c>
      <c r="Y116" s="108">
        <v>838367.64000000013</v>
      </c>
      <c r="Z116" s="108">
        <v>838367.64000000013</v>
      </c>
      <c r="AA116" s="108">
        <v>838367.64000000013</v>
      </c>
      <c r="AB116" s="108">
        <v>838367.64000000013</v>
      </c>
      <c r="AC116" s="108">
        <v>838367.64000000013</v>
      </c>
      <c r="AD116" s="108">
        <v>838367.64000000013</v>
      </c>
      <c r="AE116" s="108">
        <v>838367.64000000013</v>
      </c>
      <c r="AF116" s="108">
        <v>838367.64000000013</v>
      </c>
      <c r="AG116" s="108">
        <v>838367.64000000013</v>
      </c>
      <c r="AH116" s="108">
        <v>838367.64000000013</v>
      </c>
      <c r="AI116" s="108">
        <v>838367.64000000013</v>
      </c>
      <c r="AJ116" s="108">
        <v>838367.64000000013</v>
      </c>
      <c r="AK116" s="108">
        <v>838367.64000000013</v>
      </c>
      <c r="AL116" s="108">
        <v>838367.64000000013</v>
      </c>
      <c r="AM116" s="108">
        <v>838367.64000000013</v>
      </c>
      <c r="AN116" s="108">
        <v>838367.64000000013</v>
      </c>
      <c r="AO116" s="108">
        <v>838367.64000000013</v>
      </c>
      <c r="AP116" s="108">
        <v>838367.64000000013</v>
      </c>
      <c r="AQ116" s="108">
        <v>838367.64000000013</v>
      </c>
      <c r="AR116" s="108">
        <v>838367.64000000013</v>
      </c>
      <c r="AS116" s="108">
        <v>838367.64000000013</v>
      </c>
      <c r="AT116" s="108">
        <v>838367.64000000013</v>
      </c>
      <c r="AU116" s="108">
        <v>838367.64000000013</v>
      </c>
      <c r="AV116" s="108">
        <v>838367.64000000013</v>
      </c>
      <c r="AW116" s="108">
        <v>838367.64000000013</v>
      </c>
      <c r="AX116" s="108">
        <v>838367.64000000013</v>
      </c>
    </row>
    <row r="117" spans="1:50" x14ac:dyDescent="0.2">
      <c r="B117" s="108" t="s">
        <v>277</v>
      </c>
      <c r="C117" s="113">
        <f>SUM(C$114:C$116)</f>
        <v>2766841.44</v>
      </c>
      <c r="D117" s="113">
        <f t="shared" ref="D117:AX117" si="9">SUM(D$114:D$116)</f>
        <v>2766841.44</v>
      </c>
      <c r="E117" s="113">
        <f t="shared" si="9"/>
        <v>2766841.44</v>
      </c>
      <c r="F117" s="113">
        <f t="shared" si="9"/>
        <v>2766841.44</v>
      </c>
      <c r="G117" s="113">
        <f t="shared" si="9"/>
        <v>2766841.44</v>
      </c>
      <c r="H117" s="113">
        <f t="shared" si="9"/>
        <v>2766841.44</v>
      </c>
      <c r="I117" s="113">
        <f t="shared" si="9"/>
        <v>2766841.44</v>
      </c>
      <c r="J117" s="113">
        <f t="shared" si="9"/>
        <v>2766841.44</v>
      </c>
      <c r="K117" s="113">
        <f t="shared" si="9"/>
        <v>2766841.44</v>
      </c>
      <c r="L117" s="113">
        <f t="shared" si="9"/>
        <v>2766841.44</v>
      </c>
      <c r="M117" s="113">
        <f t="shared" si="9"/>
        <v>2766841.44</v>
      </c>
      <c r="N117" s="113">
        <f t="shared" si="9"/>
        <v>2766841.44</v>
      </c>
      <c r="O117" s="113">
        <f t="shared" si="9"/>
        <v>2766841.44</v>
      </c>
      <c r="P117" s="113">
        <f t="shared" si="9"/>
        <v>2766841.44</v>
      </c>
      <c r="Q117" s="113">
        <f t="shared" si="9"/>
        <v>2766841.44</v>
      </c>
      <c r="R117" s="113">
        <f t="shared" si="9"/>
        <v>2766841.44</v>
      </c>
      <c r="S117" s="113">
        <f t="shared" si="9"/>
        <v>2766841.44</v>
      </c>
      <c r="T117" s="113">
        <f t="shared" si="9"/>
        <v>2766841.44</v>
      </c>
      <c r="U117" s="113">
        <f t="shared" si="9"/>
        <v>2766841.44</v>
      </c>
      <c r="V117" s="113">
        <f t="shared" si="9"/>
        <v>2766841.44</v>
      </c>
      <c r="W117" s="113">
        <f t="shared" si="9"/>
        <v>2766841.44</v>
      </c>
      <c r="X117" s="113">
        <f t="shared" si="9"/>
        <v>2766841.44</v>
      </c>
      <c r="Y117" s="113">
        <f t="shared" si="9"/>
        <v>2766841.44</v>
      </c>
      <c r="Z117" s="113">
        <f t="shared" si="9"/>
        <v>2766841.44</v>
      </c>
      <c r="AA117" s="113">
        <f t="shared" si="9"/>
        <v>2766841.44</v>
      </c>
      <c r="AB117" s="113">
        <f t="shared" si="9"/>
        <v>2766841.44</v>
      </c>
      <c r="AC117" s="113">
        <f t="shared" si="9"/>
        <v>2766841.44</v>
      </c>
      <c r="AD117" s="113">
        <f t="shared" si="9"/>
        <v>2766841.44</v>
      </c>
      <c r="AE117" s="113">
        <f t="shared" si="9"/>
        <v>2766841.44</v>
      </c>
      <c r="AF117" s="113">
        <f t="shared" si="9"/>
        <v>2766841.44</v>
      </c>
      <c r="AG117" s="113">
        <f t="shared" si="9"/>
        <v>2766841.44</v>
      </c>
      <c r="AH117" s="113">
        <f t="shared" si="9"/>
        <v>2766841.44</v>
      </c>
      <c r="AI117" s="113">
        <f t="shared" si="9"/>
        <v>2766841.44</v>
      </c>
      <c r="AJ117" s="113">
        <f t="shared" si="9"/>
        <v>2766841.44</v>
      </c>
      <c r="AK117" s="113">
        <f t="shared" si="9"/>
        <v>2766841.44</v>
      </c>
      <c r="AL117" s="113">
        <f t="shared" si="9"/>
        <v>2766841.44</v>
      </c>
      <c r="AM117" s="113">
        <f t="shared" si="9"/>
        <v>2766841.44</v>
      </c>
      <c r="AN117" s="113">
        <f t="shared" si="9"/>
        <v>2766841.44</v>
      </c>
      <c r="AO117" s="113">
        <f t="shared" si="9"/>
        <v>2766841.44</v>
      </c>
      <c r="AP117" s="113">
        <f t="shared" si="9"/>
        <v>2766841.44</v>
      </c>
      <c r="AQ117" s="113">
        <f t="shared" si="9"/>
        <v>2766841.44</v>
      </c>
      <c r="AR117" s="113">
        <f t="shared" si="9"/>
        <v>2766841.44</v>
      </c>
      <c r="AS117" s="113">
        <f t="shared" si="9"/>
        <v>2766841.44</v>
      </c>
      <c r="AT117" s="113">
        <f t="shared" si="9"/>
        <v>2766841.44</v>
      </c>
      <c r="AU117" s="113">
        <f t="shared" si="9"/>
        <v>2766841.44</v>
      </c>
      <c r="AV117" s="113">
        <f t="shared" si="9"/>
        <v>2766841.44</v>
      </c>
      <c r="AW117" s="113">
        <f t="shared" si="9"/>
        <v>2766841.44</v>
      </c>
      <c r="AX117" s="113">
        <f t="shared" si="9"/>
        <v>2766841.44</v>
      </c>
    </row>
    <row r="118" spans="1:50" x14ac:dyDescent="0.2">
      <c r="A118" s="113" t="s">
        <v>109</v>
      </c>
      <c r="B118" s="113" t="s">
        <v>12</v>
      </c>
      <c r="C118" s="108">
        <v>0</v>
      </c>
      <c r="D118" s="108">
        <v>0</v>
      </c>
      <c r="E118" s="108">
        <v>0</v>
      </c>
      <c r="F118" s="108">
        <v>0</v>
      </c>
      <c r="G118" s="108">
        <v>0</v>
      </c>
      <c r="H118" s="108">
        <v>0</v>
      </c>
      <c r="I118" s="108">
        <v>0</v>
      </c>
      <c r="J118" s="108">
        <v>0</v>
      </c>
      <c r="K118" s="108">
        <v>0</v>
      </c>
      <c r="L118" s="108">
        <v>0</v>
      </c>
      <c r="M118" s="108">
        <v>0</v>
      </c>
      <c r="N118" s="108">
        <v>0</v>
      </c>
      <c r="O118" s="108">
        <v>0</v>
      </c>
      <c r="P118" s="108">
        <v>0</v>
      </c>
      <c r="Q118" s="108">
        <v>0</v>
      </c>
      <c r="R118" s="108">
        <v>0</v>
      </c>
      <c r="S118" s="108">
        <v>0</v>
      </c>
      <c r="T118" s="108">
        <v>0</v>
      </c>
      <c r="U118" s="108">
        <v>0</v>
      </c>
      <c r="V118" s="108">
        <v>0</v>
      </c>
      <c r="W118" s="108">
        <v>0</v>
      </c>
      <c r="X118" s="108">
        <v>0</v>
      </c>
      <c r="Y118" s="108">
        <v>0</v>
      </c>
      <c r="Z118" s="108">
        <v>0</v>
      </c>
      <c r="AA118" s="108">
        <v>0</v>
      </c>
      <c r="AB118" s="108">
        <v>0</v>
      </c>
      <c r="AC118" s="108">
        <v>0</v>
      </c>
      <c r="AD118" s="108">
        <v>0</v>
      </c>
      <c r="AE118" s="108">
        <v>0</v>
      </c>
      <c r="AF118" s="108">
        <v>0</v>
      </c>
      <c r="AG118" s="108">
        <v>0</v>
      </c>
      <c r="AH118" s="108">
        <v>0</v>
      </c>
      <c r="AI118" s="108">
        <v>0</v>
      </c>
      <c r="AJ118" s="108">
        <v>0</v>
      </c>
      <c r="AK118" s="108">
        <v>0</v>
      </c>
      <c r="AL118" s="108">
        <v>0</v>
      </c>
      <c r="AM118" s="108">
        <v>0</v>
      </c>
      <c r="AN118" s="108">
        <v>0</v>
      </c>
      <c r="AO118" s="108">
        <v>0</v>
      </c>
      <c r="AP118" s="108">
        <v>0</v>
      </c>
      <c r="AQ118" s="108">
        <v>0</v>
      </c>
      <c r="AR118" s="108">
        <v>0</v>
      </c>
      <c r="AS118" s="108">
        <v>0</v>
      </c>
      <c r="AT118" s="108">
        <v>0</v>
      </c>
      <c r="AU118" s="108">
        <v>0</v>
      </c>
      <c r="AV118" s="108">
        <v>0</v>
      </c>
      <c r="AW118" s="108">
        <v>0</v>
      </c>
      <c r="AX118" s="108">
        <v>0</v>
      </c>
    </row>
    <row r="119" spans="1:50" x14ac:dyDescent="0.2">
      <c r="B119" s="113" t="s">
        <v>22</v>
      </c>
      <c r="C119" s="108">
        <v>0</v>
      </c>
      <c r="D119" s="108">
        <v>0</v>
      </c>
      <c r="E119" s="108">
        <v>0</v>
      </c>
      <c r="F119" s="108">
        <v>0</v>
      </c>
      <c r="G119" s="108">
        <v>0</v>
      </c>
      <c r="H119" s="108">
        <v>0</v>
      </c>
      <c r="I119" s="108">
        <v>0</v>
      </c>
      <c r="J119" s="108">
        <v>0</v>
      </c>
      <c r="K119" s="108">
        <v>0</v>
      </c>
      <c r="L119" s="108">
        <v>0</v>
      </c>
      <c r="M119" s="108">
        <v>0</v>
      </c>
      <c r="N119" s="108">
        <v>0</v>
      </c>
      <c r="O119" s="108">
        <v>0</v>
      </c>
      <c r="P119" s="108">
        <v>0</v>
      </c>
      <c r="Q119" s="108">
        <v>0</v>
      </c>
      <c r="R119" s="108">
        <v>0</v>
      </c>
      <c r="S119" s="108">
        <v>0</v>
      </c>
      <c r="T119" s="108">
        <v>0</v>
      </c>
      <c r="U119" s="108">
        <v>0</v>
      </c>
      <c r="V119" s="108">
        <v>0</v>
      </c>
      <c r="W119" s="108">
        <v>0</v>
      </c>
      <c r="X119" s="108">
        <v>0</v>
      </c>
      <c r="Y119" s="108">
        <v>0</v>
      </c>
      <c r="Z119" s="108">
        <v>0</v>
      </c>
      <c r="AA119" s="108">
        <v>0</v>
      </c>
      <c r="AB119" s="108">
        <v>0</v>
      </c>
      <c r="AC119" s="108">
        <v>0</v>
      </c>
      <c r="AD119" s="108">
        <v>0</v>
      </c>
      <c r="AE119" s="108">
        <v>0</v>
      </c>
      <c r="AF119" s="108">
        <v>0</v>
      </c>
      <c r="AG119" s="108">
        <v>0</v>
      </c>
      <c r="AH119" s="108">
        <v>0</v>
      </c>
      <c r="AI119" s="108">
        <v>0</v>
      </c>
      <c r="AJ119" s="108">
        <v>0</v>
      </c>
      <c r="AK119" s="108">
        <v>0</v>
      </c>
      <c r="AL119" s="108">
        <v>0</v>
      </c>
      <c r="AM119" s="108">
        <v>0</v>
      </c>
      <c r="AN119" s="108">
        <v>0</v>
      </c>
      <c r="AO119" s="108">
        <v>0</v>
      </c>
      <c r="AP119" s="108">
        <v>0</v>
      </c>
      <c r="AQ119" s="108">
        <v>0</v>
      </c>
      <c r="AR119" s="108">
        <v>0</v>
      </c>
      <c r="AS119" s="108">
        <v>0</v>
      </c>
      <c r="AT119" s="108">
        <v>0</v>
      </c>
      <c r="AU119" s="108">
        <v>0</v>
      </c>
      <c r="AV119" s="108">
        <v>0</v>
      </c>
      <c r="AW119" s="108">
        <v>0</v>
      </c>
      <c r="AX119" s="108">
        <v>0</v>
      </c>
    </row>
    <row r="120" spans="1:50" x14ac:dyDescent="0.2">
      <c r="B120" s="113" t="s">
        <v>59</v>
      </c>
      <c r="C120" s="108">
        <v>0</v>
      </c>
      <c r="D120" s="108">
        <v>0</v>
      </c>
      <c r="E120" s="108">
        <v>0</v>
      </c>
      <c r="F120" s="108">
        <v>0</v>
      </c>
      <c r="G120" s="108">
        <v>0</v>
      </c>
      <c r="H120" s="108">
        <v>0</v>
      </c>
      <c r="I120" s="108">
        <v>0</v>
      </c>
      <c r="J120" s="108">
        <v>0</v>
      </c>
      <c r="K120" s="108">
        <v>0</v>
      </c>
      <c r="L120" s="108">
        <v>0</v>
      </c>
      <c r="M120" s="108">
        <v>0</v>
      </c>
      <c r="N120" s="108">
        <v>0</v>
      </c>
      <c r="O120" s="108">
        <v>0</v>
      </c>
      <c r="P120" s="108">
        <v>0</v>
      </c>
      <c r="Q120" s="108">
        <v>0</v>
      </c>
      <c r="R120" s="108">
        <v>0</v>
      </c>
      <c r="S120" s="108">
        <v>0</v>
      </c>
      <c r="T120" s="108">
        <v>0</v>
      </c>
      <c r="U120" s="108">
        <v>0</v>
      </c>
      <c r="V120" s="108">
        <v>0</v>
      </c>
      <c r="W120" s="108">
        <v>0</v>
      </c>
      <c r="X120" s="108">
        <v>0</v>
      </c>
      <c r="Y120" s="108">
        <v>0</v>
      </c>
      <c r="Z120" s="108">
        <v>0</v>
      </c>
      <c r="AA120" s="108">
        <v>0</v>
      </c>
      <c r="AB120" s="108">
        <v>0</v>
      </c>
      <c r="AC120" s="108">
        <v>0</v>
      </c>
      <c r="AD120" s="108">
        <v>0</v>
      </c>
      <c r="AE120" s="108">
        <v>0</v>
      </c>
      <c r="AF120" s="108">
        <v>0</v>
      </c>
      <c r="AG120" s="108">
        <v>0</v>
      </c>
      <c r="AH120" s="108">
        <v>0</v>
      </c>
      <c r="AI120" s="108">
        <v>0</v>
      </c>
      <c r="AJ120" s="108">
        <v>0</v>
      </c>
      <c r="AK120" s="108">
        <v>0</v>
      </c>
      <c r="AL120" s="108">
        <v>0</v>
      </c>
      <c r="AM120" s="108">
        <v>0</v>
      </c>
      <c r="AN120" s="108">
        <v>0</v>
      </c>
      <c r="AO120" s="108">
        <v>0</v>
      </c>
      <c r="AP120" s="108">
        <v>0</v>
      </c>
      <c r="AQ120" s="108">
        <v>0</v>
      </c>
      <c r="AR120" s="108">
        <v>0</v>
      </c>
      <c r="AS120" s="108">
        <v>0</v>
      </c>
      <c r="AT120" s="108">
        <v>0</v>
      </c>
      <c r="AU120" s="108">
        <v>0</v>
      </c>
      <c r="AV120" s="108">
        <v>0</v>
      </c>
      <c r="AW120" s="108">
        <v>0</v>
      </c>
      <c r="AX120" s="108">
        <v>0</v>
      </c>
    </row>
    <row r="121" spans="1:50" x14ac:dyDescent="0.2">
      <c r="B121" s="108" t="s">
        <v>277</v>
      </c>
      <c r="C121" s="113">
        <f>SUM(C$118:C$120)</f>
        <v>0</v>
      </c>
      <c r="D121" s="113">
        <f t="shared" ref="D121:AX121" si="10">SUM(D$118:D$120)</f>
        <v>0</v>
      </c>
      <c r="E121" s="113">
        <f t="shared" si="10"/>
        <v>0</v>
      </c>
      <c r="F121" s="113">
        <f t="shared" si="10"/>
        <v>0</v>
      </c>
      <c r="G121" s="113">
        <f t="shared" si="10"/>
        <v>0</v>
      </c>
      <c r="H121" s="113">
        <f t="shared" si="10"/>
        <v>0</v>
      </c>
      <c r="I121" s="113">
        <f t="shared" si="10"/>
        <v>0</v>
      </c>
      <c r="J121" s="113">
        <f t="shared" si="10"/>
        <v>0</v>
      </c>
      <c r="K121" s="113">
        <f t="shared" si="10"/>
        <v>0</v>
      </c>
      <c r="L121" s="113">
        <f t="shared" si="10"/>
        <v>0</v>
      </c>
      <c r="M121" s="113">
        <f t="shared" si="10"/>
        <v>0</v>
      </c>
      <c r="N121" s="113">
        <f t="shared" si="10"/>
        <v>0</v>
      </c>
      <c r="O121" s="113">
        <f t="shared" si="10"/>
        <v>0</v>
      </c>
      <c r="P121" s="113">
        <f t="shared" si="10"/>
        <v>0</v>
      </c>
      <c r="Q121" s="113">
        <f t="shared" si="10"/>
        <v>0</v>
      </c>
      <c r="R121" s="113">
        <f t="shared" si="10"/>
        <v>0</v>
      </c>
      <c r="S121" s="113">
        <f t="shared" si="10"/>
        <v>0</v>
      </c>
      <c r="T121" s="113">
        <f t="shared" si="10"/>
        <v>0</v>
      </c>
      <c r="U121" s="113">
        <f t="shared" si="10"/>
        <v>0</v>
      </c>
      <c r="V121" s="113">
        <f t="shared" si="10"/>
        <v>0</v>
      </c>
      <c r="W121" s="113">
        <f t="shared" si="10"/>
        <v>0</v>
      </c>
      <c r="X121" s="113">
        <f t="shared" si="10"/>
        <v>0</v>
      </c>
      <c r="Y121" s="113">
        <f t="shared" si="10"/>
        <v>0</v>
      </c>
      <c r="Z121" s="113">
        <f t="shared" si="10"/>
        <v>0</v>
      </c>
      <c r="AA121" s="113">
        <f t="shared" si="10"/>
        <v>0</v>
      </c>
      <c r="AB121" s="113">
        <f t="shared" si="10"/>
        <v>0</v>
      </c>
      <c r="AC121" s="113">
        <f t="shared" si="10"/>
        <v>0</v>
      </c>
      <c r="AD121" s="113">
        <f t="shared" si="10"/>
        <v>0</v>
      </c>
      <c r="AE121" s="113">
        <f t="shared" si="10"/>
        <v>0</v>
      </c>
      <c r="AF121" s="113">
        <f t="shared" si="10"/>
        <v>0</v>
      </c>
      <c r="AG121" s="113">
        <f t="shared" si="10"/>
        <v>0</v>
      </c>
      <c r="AH121" s="113">
        <f t="shared" si="10"/>
        <v>0</v>
      </c>
      <c r="AI121" s="113">
        <f t="shared" si="10"/>
        <v>0</v>
      </c>
      <c r="AJ121" s="113">
        <f t="shared" si="10"/>
        <v>0</v>
      </c>
      <c r="AK121" s="113">
        <f t="shared" si="10"/>
        <v>0</v>
      </c>
      <c r="AL121" s="113">
        <f t="shared" si="10"/>
        <v>0</v>
      </c>
      <c r="AM121" s="113">
        <f t="shared" si="10"/>
        <v>0</v>
      </c>
      <c r="AN121" s="113">
        <f t="shared" si="10"/>
        <v>0</v>
      </c>
      <c r="AO121" s="113">
        <f t="shared" si="10"/>
        <v>0</v>
      </c>
      <c r="AP121" s="113">
        <f t="shared" si="10"/>
        <v>0</v>
      </c>
      <c r="AQ121" s="113">
        <f t="shared" si="10"/>
        <v>0</v>
      </c>
      <c r="AR121" s="113">
        <f t="shared" si="10"/>
        <v>0</v>
      </c>
      <c r="AS121" s="113">
        <f t="shared" si="10"/>
        <v>0</v>
      </c>
      <c r="AT121" s="113">
        <f t="shared" si="10"/>
        <v>0</v>
      </c>
      <c r="AU121" s="113">
        <f t="shared" si="10"/>
        <v>0</v>
      </c>
      <c r="AV121" s="113">
        <f t="shared" si="10"/>
        <v>0</v>
      </c>
      <c r="AW121" s="113">
        <f t="shared" si="10"/>
        <v>0</v>
      </c>
      <c r="AX121" s="113">
        <f t="shared" si="10"/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D14" sqref="D14"/>
    </sheetView>
  </sheetViews>
  <sheetFormatPr defaultRowHeight="12.75" x14ac:dyDescent="0.2"/>
  <cols>
    <col min="1" max="1" width="14.7109375" style="108" customWidth="1"/>
    <col min="2" max="2" width="17.7109375" style="108" customWidth="1"/>
    <col min="3" max="51" width="9.140625" style="108"/>
    <col min="52" max="52" width="10.7109375" style="108" customWidth="1"/>
    <col min="53" max="16384" width="9.140625" style="108"/>
  </cols>
  <sheetData>
    <row r="1" spans="1:52" x14ac:dyDescent="0.2">
      <c r="A1" s="110" t="s">
        <v>118</v>
      </c>
    </row>
    <row r="2" spans="1:52" x14ac:dyDescent="0.2">
      <c r="A2" s="108" t="s">
        <v>302</v>
      </c>
      <c r="B2" s="115" t="s">
        <v>12</v>
      </c>
      <c r="E2" s="118"/>
    </row>
    <row r="3" spans="1:52" x14ac:dyDescent="0.2">
      <c r="A3" s="108" t="s">
        <v>285</v>
      </c>
      <c r="B3" s="115">
        <v>3748</v>
      </c>
      <c r="E3" s="118"/>
    </row>
    <row r="4" spans="1:52" x14ac:dyDescent="0.2">
      <c r="A4" s="110"/>
      <c r="C4" s="119" t="s">
        <v>286</v>
      </c>
    </row>
    <row r="5" spans="1:52" x14ac:dyDescent="0.2">
      <c r="B5" s="114"/>
      <c r="C5" s="120">
        <v>0</v>
      </c>
      <c r="D5" s="120">
        <v>1</v>
      </c>
      <c r="E5" s="120">
        <v>2</v>
      </c>
      <c r="F5" s="120">
        <v>3</v>
      </c>
      <c r="G5" s="120">
        <v>4</v>
      </c>
      <c r="H5" s="120">
        <v>5</v>
      </c>
      <c r="I5" s="120">
        <v>6</v>
      </c>
      <c r="J5" s="120">
        <v>7</v>
      </c>
      <c r="K5" s="120">
        <v>8</v>
      </c>
      <c r="L5" s="120">
        <v>9</v>
      </c>
      <c r="M5" s="120">
        <v>10</v>
      </c>
      <c r="N5" s="120">
        <v>11</v>
      </c>
      <c r="O5" s="120">
        <v>12</v>
      </c>
      <c r="P5" s="120">
        <v>13</v>
      </c>
      <c r="Q5" s="120">
        <v>14</v>
      </c>
      <c r="R5" s="120">
        <v>15</v>
      </c>
      <c r="S5" s="120">
        <v>16</v>
      </c>
      <c r="T5" s="120">
        <v>17</v>
      </c>
      <c r="U5" s="120">
        <v>18</v>
      </c>
      <c r="V5" s="120">
        <v>19</v>
      </c>
      <c r="W5" s="120">
        <v>20</v>
      </c>
      <c r="X5" s="120">
        <v>21</v>
      </c>
      <c r="Y5" s="120">
        <v>22</v>
      </c>
      <c r="Z5" s="120">
        <v>23</v>
      </c>
      <c r="AA5" s="120">
        <v>24</v>
      </c>
      <c r="AB5" s="120">
        <v>25</v>
      </c>
      <c r="AC5" s="120">
        <v>26</v>
      </c>
      <c r="AD5" s="120">
        <v>27</v>
      </c>
      <c r="AE5" s="120">
        <v>28</v>
      </c>
      <c r="AF5" s="120">
        <v>29</v>
      </c>
      <c r="AG5" s="120">
        <v>30</v>
      </c>
      <c r="AH5" s="120">
        <v>31</v>
      </c>
      <c r="AI5" s="120">
        <v>32</v>
      </c>
      <c r="AJ5" s="120">
        <v>33</v>
      </c>
      <c r="AK5" s="120">
        <v>34</v>
      </c>
      <c r="AL5" s="120">
        <v>35</v>
      </c>
      <c r="AM5" s="120">
        <v>36</v>
      </c>
      <c r="AN5" s="120">
        <v>37</v>
      </c>
      <c r="AO5" s="120">
        <v>38</v>
      </c>
      <c r="AP5" s="120">
        <v>39</v>
      </c>
      <c r="AQ5" s="120">
        <v>40</v>
      </c>
      <c r="AR5" s="120">
        <v>41</v>
      </c>
      <c r="AS5" s="120">
        <v>42</v>
      </c>
      <c r="AT5" s="120">
        <v>43</v>
      </c>
      <c r="AU5" s="120">
        <v>44</v>
      </c>
      <c r="AV5" s="120">
        <v>45</v>
      </c>
      <c r="AW5" s="120">
        <v>46</v>
      </c>
      <c r="AX5" s="120">
        <v>47</v>
      </c>
      <c r="AY5" s="120">
        <v>48</v>
      </c>
    </row>
    <row r="6" spans="1:52" x14ac:dyDescent="0.2">
      <c r="A6" s="110" t="s">
        <v>303</v>
      </c>
      <c r="B6" s="122"/>
      <c r="C6" s="121" t="s">
        <v>287</v>
      </c>
      <c r="D6" s="120" t="s">
        <v>288</v>
      </c>
      <c r="E6" s="120" t="s">
        <v>288</v>
      </c>
      <c r="F6" s="120" t="s">
        <v>288</v>
      </c>
      <c r="G6" s="120" t="s">
        <v>288</v>
      </c>
      <c r="H6" s="120" t="s">
        <v>288</v>
      </c>
      <c r="I6" s="120" t="s">
        <v>288</v>
      </c>
      <c r="J6" s="120" t="s">
        <v>288</v>
      </c>
      <c r="K6" s="120" t="s">
        <v>288</v>
      </c>
      <c r="L6" s="120" t="s">
        <v>288</v>
      </c>
      <c r="M6" s="120" t="s">
        <v>288</v>
      </c>
      <c r="N6" s="120" t="s">
        <v>288</v>
      </c>
      <c r="O6" s="120" t="s">
        <v>288</v>
      </c>
      <c r="P6" s="120" t="s">
        <v>288</v>
      </c>
      <c r="Q6" s="120" t="s">
        <v>288</v>
      </c>
      <c r="R6" s="120" t="s">
        <v>288</v>
      </c>
      <c r="S6" s="120" t="s">
        <v>288</v>
      </c>
      <c r="T6" s="120" t="s">
        <v>288</v>
      </c>
      <c r="U6" s="120" t="s">
        <v>288</v>
      </c>
      <c r="V6" s="120" t="s">
        <v>288</v>
      </c>
      <c r="W6" s="120" t="s">
        <v>288</v>
      </c>
      <c r="X6" s="120" t="s">
        <v>288</v>
      </c>
      <c r="Y6" s="120" t="s">
        <v>288</v>
      </c>
      <c r="Z6" s="120" t="s">
        <v>288</v>
      </c>
      <c r="AA6" s="120" t="s">
        <v>288</v>
      </c>
      <c r="AB6" s="120" t="s">
        <v>288</v>
      </c>
      <c r="AC6" s="120" t="s">
        <v>288</v>
      </c>
      <c r="AD6" s="120" t="s">
        <v>288</v>
      </c>
      <c r="AE6" s="120" t="s">
        <v>288</v>
      </c>
      <c r="AF6" s="120" t="s">
        <v>288</v>
      </c>
      <c r="AG6" s="120" t="s">
        <v>288</v>
      </c>
      <c r="AH6" s="120" t="s">
        <v>288</v>
      </c>
      <c r="AI6" s="120" t="s">
        <v>288</v>
      </c>
      <c r="AJ6" s="120" t="s">
        <v>288</v>
      </c>
      <c r="AK6" s="120" t="s">
        <v>288</v>
      </c>
      <c r="AL6" s="120" t="s">
        <v>288</v>
      </c>
      <c r="AM6" s="120" t="s">
        <v>288</v>
      </c>
      <c r="AN6" s="120" t="s">
        <v>288</v>
      </c>
      <c r="AO6" s="120" t="s">
        <v>288</v>
      </c>
      <c r="AP6" s="120" t="s">
        <v>288</v>
      </c>
      <c r="AQ6" s="120" t="s">
        <v>288</v>
      </c>
      <c r="AR6" s="120" t="s">
        <v>288</v>
      </c>
      <c r="AS6" s="120" t="s">
        <v>288</v>
      </c>
      <c r="AT6" s="120" t="s">
        <v>288</v>
      </c>
      <c r="AU6" s="120" t="s">
        <v>288</v>
      </c>
      <c r="AV6" s="120" t="s">
        <v>288</v>
      </c>
      <c r="AW6" s="120" t="s">
        <v>288</v>
      </c>
      <c r="AX6" s="120" t="s">
        <v>288</v>
      </c>
      <c r="AY6" s="119" t="s">
        <v>289</v>
      </c>
      <c r="AZ6" s="150" t="s">
        <v>150</v>
      </c>
    </row>
    <row r="7" spans="1:52" x14ac:dyDescent="0.2">
      <c r="A7" s="123" t="s">
        <v>125</v>
      </c>
      <c r="B7" s="151">
        <v>1</v>
      </c>
      <c r="C7" s="152" t="s">
        <v>292</v>
      </c>
      <c r="D7" s="152">
        <v>3333</v>
      </c>
      <c r="E7" s="152">
        <v>3333</v>
      </c>
      <c r="F7" s="152">
        <v>3333</v>
      </c>
      <c r="G7" s="152">
        <v>3333</v>
      </c>
      <c r="H7" s="152">
        <v>3333</v>
      </c>
      <c r="I7" s="152">
        <v>3333</v>
      </c>
      <c r="J7" s="152">
        <v>3333</v>
      </c>
      <c r="K7" s="152">
        <v>3333</v>
      </c>
      <c r="L7" s="152">
        <v>3333</v>
      </c>
      <c r="M7" s="152">
        <v>3333</v>
      </c>
      <c r="N7" s="152">
        <v>3333</v>
      </c>
      <c r="O7" s="152">
        <v>3333</v>
      </c>
      <c r="P7" s="152">
        <v>3333</v>
      </c>
      <c r="Q7" s="152">
        <v>3333</v>
      </c>
      <c r="R7" s="152">
        <v>3333</v>
      </c>
      <c r="S7" s="152">
        <v>3333</v>
      </c>
      <c r="T7" s="152">
        <v>3333</v>
      </c>
      <c r="U7" s="152">
        <v>3333</v>
      </c>
      <c r="V7" s="152">
        <v>3333</v>
      </c>
      <c r="W7" s="152">
        <v>3333</v>
      </c>
      <c r="X7" s="152">
        <v>3333</v>
      </c>
      <c r="Y7" s="152">
        <v>3333</v>
      </c>
      <c r="Z7" s="152">
        <v>3333</v>
      </c>
      <c r="AA7" s="152">
        <v>3333</v>
      </c>
      <c r="AB7" s="152">
        <v>3333</v>
      </c>
      <c r="AC7" s="152">
        <v>3333</v>
      </c>
      <c r="AD7" s="152">
        <v>3333</v>
      </c>
      <c r="AE7" s="152">
        <v>3333</v>
      </c>
      <c r="AF7" s="152">
        <v>3333</v>
      </c>
      <c r="AG7" s="152">
        <v>3333</v>
      </c>
      <c r="AH7" s="152">
        <v>3333</v>
      </c>
      <c r="AI7" s="152">
        <v>3333</v>
      </c>
      <c r="AJ7" s="152">
        <v>3333</v>
      </c>
      <c r="AK7" s="152">
        <v>3333</v>
      </c>
      <c r="AL7" s="152">
        <v>3333</v>
      </c>
      <c r="AM7" s="152">
        <v>3333</v>
      </c>
      <c r="AN7" s="152">
        <v>3333</v>
      </c>
      <c r="AO7" s="152">
        <v>3333</v>
      </c>
      <c r="AP7" s="152">
        <v>3333</v>
      </c>
      <c r="AQ7" s="152">
        <v>3333</v>
      </c>
      <c r="AR7" s="152">
        <v>3333</v>
      </c>
      <c r="AS7" s="152">
        <v>3333</v>
      </c>
      <c r="AT7" s="152">
        <v>3333</v>
      </c>
      <c r="AU7" s="152">
        <v>3333</v>
      </c>
      <c r="AV7" s="152">
        <v>3333</v>
      </c>
      <c r="AW7" s="152">
        <v>3333</v>
      </c>
      <c r="AX7" s="152">
        <v>3333</v>
      </c>
      <c r="AY7" s="152">
        <v>3333</v>
      </c>
      <c r="AZ7" s="114"/>
    </row>
    <row r="8" spans="1:52" x14ac:dyDescent="0.2">
      <c r="A8" s="153"/>
      <c r="B8" s="154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  <c r="O8" s="153"/>
      <c r="P8" s="153"/>
      <c r="Q8" s="153"/>
      <c r="R8" s="153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  <c r="AH8" s="153"/>
      <c r="AI8" s="153"/>
      <c r="AJ8" s="153"/>
      <c r="AK8" s="153"/>
      <c r="AL8" s="153"/>
      <c r="AM8" s="153"/>
      <c r="AN8" s="153"/>
      <c r="AO8" s="153"/>
      <c r="AP8" s="153"/>
      <c r="AQ8" s="153"/>
      <c r="AR8" s="153"/>
      <c r="AS8" s="153"/>
      <c r="AT8" s="153"/>
      <c r="AU8" s="153"/>
      <c r="AV8" s="153"/>
      <c r="AW8" s="153"/>
      <c r="AX8" s="153"/>
      <c r="AY8" s="153"/>
      <c r="AZ8" s="155"/>
    </row>
    <row r="9" spans="1:52" x14ac:dyDescent="0.2">
      <c r="A9" s="110" t="s">
        <v>293</v>
      </c>
      <c r="B9" s="156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114"/>
      <c r="N9" s="114"/>
      <c r="O9" s="114"/>
      <c r="P9" s="114"/>
      <c r="Q9" s="114"/>
      <c r="R9" s="114"/>
      <c r="S9" s="114"/>
      <c r="T9" s="114"/>
      <c r="U9" s="114"/>
      <c r="V9" s="114"/>
      <c r="W9" s="114"/>
      <c r="X9" s="114"/>
      <c r="Y9" s="114"/>
      <c r="Z9" s="114"/>
      <c r="AA9" s="114"/>
      <c r="AB9" s="114"/>
      <c r="AC9" s="114"/>
      <c r="AD9" s="114"/>
      <c r="AE9" s="114"/>
      <c r="AF9" s="114"/>
      <c r="AG9" s="114"/>
      <c r="AH9" s="114"/>
      <c r="AI9" s="114"/>
      <c r="AJ9" s="114"/>
      <c r="AK9" s="114"/>
      <c r="AL9" s="114"/>
      <c r="AM9" s="114"/>
      <c r="AN9" s="114"/>
      <c r="AO9" s="114"/>
      <c r="AP9" s="114"/>
      <c r="AQ9" s="114"/>
      <c r="AR9" s="114"/>
      <c r="AS9" s="114"/>
      <c r="AT9" s="114"/>
      <c r="AU9" s="114"/>
      <c r="AV9" s="114"/>
      <c r="AW9" s="114"/>
      <c r="AX9" s="114"/>
      <c r="AY9" s="114"/>
      <c r="AZ9" s="114"/>
    </row>
    <row r="10" spans="1:52" x14ac:dyDescent="0.2">
      <c r="A10" s="157" t="s">
        <v>125</v>
      </c>
      <c r="B10" s="158">
        <v>1</v>
      </c>
      <c r="C10" s="152" t="s">
        <v>292</v>
      </c>
      <c r="D10" s="152">
        <f t="shared" ref="D10:AY10" si="0">MAX(SUM(D$14:D$16)+D$7-$B$3,0)</f>
        <v>0</v>
      </c>
      <c r="E10" s="152">
        <f t="shared" si="0"/>
        <v>0</v>
      </c>
      <c r="F10" s="152">
        <f t="shared" si="0"/>
        <v>0</v>
      </c>
      <c r="G10" s="152">
        <f t="shared" si="0"/>
        <v>0</v>
      </c>
      <c r="H10" s="152">
        <f t="shared" si="0"/>
        <v>0</v>
      </c>
      <c r="I10" s="152">
        <f t="shared" si="0"/>
        <v>0</v>
      </c>
      <c r="J10" s="152">
        <f t="shared" si="0"/>
        <v>0</v>
      </c>
      <c r="K10" s="152">
        <f t="shared" si="0"/>
        <v>0</v>
      </c>
      <c r="L10" s="152">
        <f t="shared" si="0"/>
        <v>0</v>
      </c>
      <c r="M10" s="152">
        <f t="shared" si="0"/>
        <v>0</v>
      </c>
      <c r="N10" s="152">
        <f t="shared" si="0"/>
        <v>0</v>
      </c>
      <c r="O10" s="152">
        <f t="shared" si="0"/>
        <v>0</v>
      </c>
      <c r="P10" s="152">
        <f t="shared" si="0"/>
        <v>0</v>
      </c>
      <c r="Q10" s="152">
        <f t="shared" si="0"/>
        <v>0</v>
      </c>
      <c r="R10" s="152">
        <f t="shared" si="0"/>
        <v>0</v>
      </c>
      <c r="S10" s="152">
        <f t="shared" si="0"/>
        <v>0</v>
      </c>
      <c r="T10" s="152">
        <f t="shared" si="0"/>
        <v>0</v>
      </c>
      <c r="U10" s="152">
        <f t="shared" si="0"/>
        <v>0</v>
      </c>
      <c r="V10" s="152">
        <f t="shared" si="0"/>
        <v>0</v>
      </c>
      <c r="W10" s="152">
        <f t="shared" si="0"/>
        <v>0</v>
      </c>
      <c r="X10" s="152">
        <f t="shared" si="0"/>
        <v>0</v>
      </c>
      <c r="Y10" s="152">
        <f t="shared" si="0"/>
        <v>0</v>
      </c>
      <c r="Z10" s="152">
        <f t="shared" si="0"/>
        <v>0</v>
      </c>
      <c r="AA10" s="152">
        <f t="shared" si="0"/>
        <v>0</v>
      </c>
      <c r="AB10" s="152">
        <f t="shared" si="0"/>
        <v>0</v>
      </c>
      <c r="AC10" s="152">
        <f t="shared" si="0"/>
        <v>0</v>
      </c>
      <c r="AD10" s="152">
        <f t="shared" si="0"/>
        <v>0</v>
      </c>
      <c r="AE10" s="152">
        <f t="shared" si="0"/>
        <v>0</v>
      </c>
      <c r="AF10" s="152">
        <f t="shared" si="0"/>
        <v>0</v>
      </c>
      <c r="AG10" s="152">
        <f t="shared" si="0"/>
        <v>0</v>
      </c>
      <c r="AH10" s="152">
        <f t="shared" si="0"/>
        <v>0</v>
      </c>
      <c r="AI10" s="152">
        <f t="shared" si="0"/>
        <v>0</v>
      </c>
      <c r="AJ10" s="152">
        <f t="shared" si="0"/>
        <v>0</v>
      </c>
      <c r="AK10" s="152">
        <f t="shared" si="0"/>
        <v>0</v>
      </c>
      <c r="AL10" s="152">
        <f t="shared" si="0"/>
        <v>0</v>
      </c>
      <c r="AM10" s="152">
        <f t="shared" si="0"/>
        <v>0</v>
      </c>
      <c r="AN10" s="152">
        <f t="shared" si="0"/>
        <v>0</v>
      </c>
      <c r="AO10" s="152">
        <f t="shared" si="0"/>
        <v>0</v>
      </c>
      <c r="AP10" s="152">
        <f t="shared" si="0"/>
        <v>0</v>
      </c>
      <c r="AQ10" s="152">
        <f t="shared" si="0"/>
        <v>0</v>
      </c>
      <c r="AR10" s="152">
        <f t="shared" si="0"/>
        <v>0</v>
      </c>
      <c r="AS10" s="152">
        <f t="shared" si="0"/>
        <v>0</v>
      </c>
      <c r="AT10" s="152">
        <f t="shared" si="0"/>
        <v>2918</v>
      </c>
      <c r="AU10" s="152">
        <f t="shared" si="0"/>
        <v>0</v>
      </c>
      <c r="AV10" s="152">
        <f t="shared" si="0"/>
        <v>0</v>
      </c>
      <c r="AW10" s="152">
        <f t="shared" si="0"/>
        <v>0</v>
      </c>
      <c r="AX10" s="152">
        <f t="shared" si="0"/>
        <v>0</v>
      </c>
      <c r="AY10" s="152">
        <f t="shared" si="0"/>
        <v>0</v>
      </c>
      <c r="AZ10" s="159">
        <f>SUM($D10:$AY10)</f>
        <v>2918</v>
      </c>
    </row>
    <row r="11" spans="1:52" x14ac:dyDescent="0.2">
      <c r="C11" s="118"/>
    </row>
    <row r="12" spans="1:52" x14ac:dyDescent="0.2">
      <c r="A12" s="160" t="s">
        <v>294</v>
      </c>
      <c r="B12" s="154"/>
      <c r="C12" s="118"/>
    </row>
    <row r="13" spans="1:52" x14ac:dyDescent="0.2">
      <c r="A13" s="130" t="s">
        <v>125</v>
      </c>
      <c r="B13" s="131">
        <v>1</v>
      </c>
      <c r="C13" s="132"/>
      <c r="D13" s="146">
        <f t="shared" ref="D13:AY13" si="1">D$7-D$10</f>
        <v>3333</v>
      </c>
      <c r="E13" s="146">
        <f t="shared" si="1"/>
        <v>3333</v>
      </c>
      <c r="F13" s="146">
        <f t="shared" si="1"/>
        <v>3333</v>
      </c>
      <c r="G13" s="146">
        <f t="shared" si="1"/>
        <v>3333</v>
      </c>
      <c r="H13" s="146">
        <f t="shared" si="1"/>
        <v>3333</v>
      </c>
      <c r="I13" s="146">
        <f t="shared" si="1"/>
        <v>3333</v>
      </c>
      <c r="J13" s="146">
        <f t="shared" si="1"/>
        <v>3333</v>
      </c>
      <c r="K13" s="146">
        <f t="shared" si="1"/>
        <v>3333</v>
      </c>
      <c r="L13" s="146">
        <f t="shared" si="1"/>
        <v>3333</v>
      </c>
      <c r="M13" s="146">
        <f t="shared" si="1"/>
        <v>3333</v>
      </c>
      <c r="N13" s="146">
        <f t="shared" si="1"/>
        <v>3333</v>
      </c>
      <c r="O13" s="146">
        <f t="shared" si="1"/>
        <v>3333</v>
      </c>
      <c r="P13" s="146">
        <f t="shared" si="1"/>
        <v>3333</v>
      </c>
      <c r="Q13" s="146">
        <f t="shared" si="1"/>
        <v>3333</v>
      </c>
      <c r="R13" s="146">
        <f t="shared" si="1"/>
        <v>3333</v>
      </c>
      <c r="S13" s="146">
        <f t="shared" si="1"/>
        <v>3333</v>
      </c>
      <c r="T13" s="146">
        <f t="shared" si="1"/>
        <v>3333</v>
      </c>
      <c r="U13" s="146">
        <f t="shared" si="1"/>
        <v>3333</v>
      </c>
      <c r="V13" s="146">
        <f t="shared" si="1"/>
        <v>3333</v>
      </c>
      <c r="W13" s="146">
        <f t="shared" si="1"/>
        <v>3333</v>
      </c>
      <c r="X13" s="146">
        <f t="shared" si="1"/>
        <v>3333</v>
      </c>
      <c r="Y13" s="146">
        <f t="shared" si="1"/>
        <v>3333</v>
      </c>
      <c r="Z13" s="146">
        <f t="shared" si="1"/>
        <v>3333</v>
      </c>
      <c r="AA13" s="146">
        <f t="shared" si="1"/>
        <v>3333</v>
      </c>
      <c r="AB13" s="146">
        <f t="shared" si="1"/>
        <v>3333</v>
      </c>
      <c r="AC13" s="146">
        <f t="shared" si="1"/>
        <v>3333</v>
      </c>
      <c r="AD13" s="146">
        <f t="shared" si="1"/>
        <v>3333</v>
      </c>
      <c r="AE13" s="146">
        <f t="shared" si="1"/>
        <v>3333</v>
      </c>
      <c r="AF13" s="146">
        <f t="shared" si="1"/>
        <v>3333</v>
      </c>
      <c r="AG13" s="146">
        <f t="shared" si="1"/>
        <v>3333</v>
      </c>
      <c r="AH13" s="146">
        <f t="shared" si="1"/>
        <v>3333</v>
      </c>
      <c r="AI13" s="146">
        <f t="shared" si="1"/>
        <v>3333</v>
      </c>
      <c r="AJ13" s="146">
        <f t="shared" si="1"/>
        <v>3333</v>
      </c>
      <c r="AK13" s="146">
        <f t="shared" si="1"/>
        <v>3333</v>
      </c>
      <c r="AL13" s="146">
        <f t="shared" si="1"/>
        <v>3333</v>
      </c>
      <c r="AM13" s="146">
        <f t="shared" si="1"/>
        <v>3333</v>
      </c>
      <c r="AN13" s="146">
        <f t="shared" si="1"/>
        <v>3333</v>
      </c>
      <c r="AO13" s="146">
        <f t="shared" si="1"/>
        <v>3333</v>
      </c>
      <c r="AP13" s="146">
        <f t="shared" si="1"/>
        <v>3333</v>
      </c>
      <c r="AQ13" s="146">
        <f t="shared" si="1"/>
        <v>3333</v>
      </c>
      <c r="AR13" s="146">
        <f t="shared" si="1"/>
        <v>3333</v>
      </c>
      <c r="AS13" s="146">
        <f t="shared" si="1"/>
        <v>3333</v>
      </c>
      <c r="AT13" s="146">
        <f t="shared" si="1"/>
        <v>415</v>
      </c>
      <c r="AU13" s="146">
        <f t="shared" si="1"/>
        <v>3333</v>
      </c>
      <c r="AV13" s="146">
        <f t="shared" si="1"/>
        <v>3333</v>
      </c>
      <c r="AW13" s="146">
        <f t="shared" si="1"/>
        <v>3333</v>
      </c>
      <c r="AX13" s="146">
        <f t="shared" si="1"/>
        <v>3333</v>
      </c>
      <c r="AY13" s="146">
        <f t="shared" si="1"/>
        <v>3333</v>
      </c>
      <c r="AZ13" s="117"/>
    </row>
    <row r="14" spans="1:52" x14ac:dyDescent="0.2">
      <c r="A14" s="118"/>
      <c r="B14" s="128">
        <v>2</v>
      </c>
      <c r="C14" s="118"/>
      <c r="D14" s="114">
        <f>IF(C$20="Yes",C13,0)</f>
        <v>0</v>
      </c>
      <c r="E14" s="114">
        <f t="shared" ref="E14:AY17" si="2">IF(D$20="Yes",D13,0)</f>
        <v>0</v>
      </c>
      <c r="F14" s="114">
        <f t="shared" si="2"/>
        <v>0</v>
      </c>
      <c r="G14" s="114">
        <f t="shared" si="2"/>
        <v>0</v>
      </c>
      <c r="H14" s="114">
        <f t="shared" si="2"/>
        <v>0</v>
      </c>
      <c r="I14" s="114">
        <f t="shared" si="2"/>
        <v>0</v>
      </c>
      <c r="J14" s="114">
        <f t="shared" si="2"/>
        <v>0</v>
      </c>
      <c r="K14" s="114">
        <f t="shared" si="2"/>
        <v>0</v>
      </c>
      <c r="L14" s="114">
        <f t="shared" si="2"/>
        <v>0</v>
      </c>
      <c r="M14" s="114">
        <f t="shared" si="2"/>
        <v>0</v>
      </c>
      <c r="N14" s="114">
        <f t="shared" si="2"/>
        <v>0</v>
      </c>
      <c r="O14" s="114">
        <f t="shared" si="2"/>
        <v>0</v>
      </c>
      <c r="P14" s="114">
        <f t="shared" si="2"/>
        <v>0</v>
      </c>
      <c r="Q14" s="114">
        <f t="shared" si="2"/>
        <v>0</v>
      </c>
      <c r="R14" s="114">
        <f t="shared" si="2"/>
        <v>0</v>
      </c>
      <c r="S14" s="114">
        <f t="shared" si="2"/>
        <v>0</v>
      </c>
      <c r="T14" s="114">
        <f t="shared" si="2"/>
        <v>0</v>
      </c>
      <c r="U14" s="114">
        <f t="shared" si="2"/>
        <v>0</v>
      </c>
      <c r="V14" s="114">
        <f t="shared" si="2"/>
        <v>0</v>
      </c>
      <c r="W14" s="114">
        <f t="shared" si="2"/>
        <v>0</v>
      </c>
      <c r="X14" s="114">
        <f t="shared" si="2"/>
        <v>0</v>
      </c>
      <c r="Y14" s="114">
        <f t="shared" si="2"/>
        <v>0</v>
      </c>
      <c r="Z14" s="114">
        <f t="shared" si="2"/>
        <v>0</v>
      </c>
      <c r="AA14" s="114">
        <f t="shared" si="2"/>
        <v>0</v>
      </c>
      <c r="AB14" s="114">
        <f t="shared" si="2"/>
        <v>0</v>
      </c>
      <c r="AC14" s="114">
        <f t="shared" si="2"/>
        <v>0</v>
      </c>
      <c r="AD14" s="114">
        <f t="shared" si="2"/>
        <v>0</v>
      </c>
      <c r="AE14" s="114">
        <f t="shared" si="2"/>
        <v>0</v>
      </c>
      <c r="AF14" s="114">
        <f t="shared" si="2"/>
        <v>0</v>
      </c>
      <c r="AG14" s="114">
        <f t="shared" si="2"/>
        <v>0</v>
      </c>
      <c r="AH14" s="114">
        <f t="shared" si="2"/>
        <v>0</v>
      </c>
      <c r="AI14" s="114">
        <f t="shared" si="2"/>
        <v>0</v>
      </c>
      <c r="AJ14" s="114">
        <f t="shared" si="2"/>
        <v>0</v>
      </c>
      <c r="AK14" s="114">
        <f t="shared" si="2"/>
        <v>0</v>
      </c>
      <c r="AL14" s="114">
        <f t="shared" si="2"/>
        <v>0</v>
      </c>
      <c r="AM14" s="114">
        <f t="shared" si="2"/>
        <v>0</v>
      </c>
      <c r="AN14" s="114">
        <f t="shared" si="2"/>
        <v>0</v>
      </c>
      <c r="AO14" s="114">
        <f t="shared" si="2"/>
        <v>0</v>
      </c>
      <c r="AP14" s="114">
        <f t="shared" si="2"/>
        <v>0</v>
      </c>
      <c r="AQ14" s="114">
        <f t="shared" si="2"/>
        <v>0</v>
      </c>
      <c r="AR14" s="114">
        <f t="shared" si="2"/>
        <v>0</v>
      </c>
      <c r="AS14" s="114">
        <f t="shared" si="2"/>
        <v>0</v>
      </c>
      <c r="AT14" s="114">
        <f t="shared" si="2"/>
        <v>3333</v>
      </c>
      <c r="AU14" s="114">
        <f t="shared" si="2"/>
        <v>0</v>
      </c>
      <c r="AV14" s="114">
        <f t="shared" si="2"/>
        <v>0</v>
      </c>
      <c r="AW14" s="114">
        <f t="shared" si="2"/>
        <v>0</v>
      </c>
      <c r="AX14" s="114">
        <f t="shared" si="2"/>
        <v>0</v>
      </c>
      <c r="AY14" s="114">
        <f t="shared" si="2"/>
        <v>0</v>
      </c>
      <c r="AZ14" s="117"/>
    </row>
    <row r="15" spans="1:52" x14ac:dyDescent="0.2">
      <c r="A15" s="118"/>
      <c r="B15" s="135">
        <v>3</v>
      </c>
      <c r="C15" s="118"/>
      <c r="D15" s="114">
        <f>IF(C$20="Yes",C14,0)</f>
        <v>0</v>
      </c>
      <c r="E15" s="114">
        <f t="shared" si="2"/>
        <v>0</v>
      </c>
      <c r="F15" s="114">
        <f t="shared" si="2"/>
        <v>0</v>
      </c>
      <c r="G15" s="114">
        <f t="shared" si="2"/>
        <v>0</v>
      </c>
      <c r="H15" s="114">
        <f t="shared" si="2"/>
        <v>0</v>
      </c>
      <c r="I15" s="114">
        <f t="shared" si="2"/>
        <v>0</v>
      </c>
      <c r="J15" s="114">
        <f t="shared" si="2"/>
        <v>0</v>
      </c>
      <c r="K15" s="114">
        <f t="shared" si="2"/>
        <v>0</v>
      </c>
      <c r="L15" s="114">
        <f t="shared" si="2"/>
        <v>0</v>
      </c>
      <c r="M15" s="114">
        <f t="shared" si="2"/>
        <v>0</v>
      </c>
      <c r="N15" s="114">
        <f t="shared" si="2"/>
        <v>0</v>
      </c>
      <c r="O15" s="114">
        <f t="shared" si="2"/>
        <v>0</v>
      </c>
      <c r="P15" s="114">
        <f t="shared" si="2"/>
        <v>0</v>
      </c>
      <c r="Q15" s="114">
        <f t="shared" si="2"/>
        <v>0</v>
      </c>
      <c r="R15" s="114">
        <f t="shared" si="2"/>
        <v>0</v>
      </c>
      <c r="S15" s="114">
        <f t="shared" si="2"/>
        <v>0</v>
      </c>
      <c r="T15" s="114">
        <f t="shared" si="2"/>
        <v>0</v>
      </c>
      <c r="U15" s="114">
        <f t="shared" si="2"/>
        <v>0</v>
      </c>
      <c r="V15" s="114">
        <f t="shared" si="2"/>
        <v>0</v>
      </c>
      <c r="W15" s="114">
        <f t="shared" si="2"/>
        <v>0</v>
      </c>
      <c r="X15" s="114">
        <f t="shared" si="2"/>
        <v>0</v>
      </c>
      <c r="Y15" s="114">
        <f t="shared" si="2"/>
        <v>0</v>
      </c>
      <c r="Z15" s="114">
        <f t="shared" si="2"/>
        <v>0</v>
      </c>
      <c r="AA15" s="114">
        <f t="shared" si="2"/>
        <v>0</v>
      </c>
      <c r="AB15" s="114">
        <f t="shared" si="2"/>
        <v>0</v>
      </c>
      <c r="AC15" s="114">
        <f t="shared" si="2"/>
        <v>0</v>
      </c>
      <c r="AD15" s="114">
        <f t="shared" si="2"/>
        <v>0</v>
      </c>
      <c r="AE15" s="114">
        <f t="shared" si="2"/>
        <v>0</v>
      </c>
      <c r="AF15" s="114">
        <f t="shared" si="2"/>
        <v>0</v>
      </c>
      <c r="AG15" s="114">
        <f t="shared" si="2"/>
        <v>0</v>
      </c>
      <c r="AH15" s="114">
        <f t="shared" si="2"/>
        <v>0</v>
      </c>
      <c r="AI15" s="114">
        <f t="shared" si="2"/>
        <v>0</v>
      </c>
      <c r="AJ15" s="114">
        <f t="shared" si="2"/>
        <v>0</v>
      </c>
      <c r="AK15" s="114">
        <f t="shared" si="2"/>
        <v>0</v>
      </c>
      <c r="AL15" s="114">
        <f t="shared" si="2"/>
        <v>0</v>
      </c>
      <c r="AM15" s="114">
        <f t="shared" si="2"/>
        <v>0</v>
      </c>
      <c r="AN15" s="114">
        <f t="shared" si="2"/>
        <v>0</v>
      </c>
      <c r="AO15" s="114">
        <f t="shared" si="2"/>
        <v>0</v>
      </c>
      <c r="AP15" s="114">
        <f t="shared" si="2"/>
        <v>0</v>
      </c>
      <c r="AQ15" s="114">
        <f t="shared" si="2"/>
        <v>0</v>
      </c>
      <c r="AR15" s="114">
        <f t="shared" si="2"/>
        <v>0</v>
      </c>
      <c r="AS15" s="114">
        <f t="shared" si="2"/>
        <v>0</v>
      </c>
      <c r="AT15" s="114">
        <f t="shared" si="2"/>
        <v>0</v>
      </c>
      <c r="AU15" s="114">
        <f t="shared" si="2"/>
        <v>0</v>
      </c>
      <c r="AV15" s="114">
        <f t="shared" si="2"/>
        <v>0</v>
      </c>
      <c r="AW15" s="114">
        <f t="shared" si="2"/>
        <v>0</v>
      </c>
      <c r="AX15" s="114">
        <f t="shared" si="2"/>
        <v>0</v>
      </c>
      <c r="AY15" s="114">
        <f t="shared" si="2"/>
        <v>0</v>
      </c>
      <c r="AZ15" s="117"/>
    </row>
    <row r="16" spans="1:52" x14ac:dyDescent="0.2">
      <c r="A16" s="118"/>
      <c r="B16" s="138">
        <v>4</v>
      </c>
      <c r="C16" s="118"/>
      <c r="D16" s="114">
        <f>IF(C$20="Yes",C15,0)</f>
        <v>0</v>
      </c>
      <c r="E16" s="114">
        <f t="shared" si="2"/>
        <v>0</v>
      </c>
      <c r="F16" s="114">
        <f t="shared" si="2"/>
        <v>0</v>
      </c>
      <c r="G16" s="114">
        <f t="shared" si="2"/>
        <v>0</v>
      </c>
      <c r="H16" s="114">
        <f t="shared" si="2"/>
        <v>0</v>
      </c>
      <c r="I16" s="114">
        <f t="shared" si="2"/>
        <v>0</v>
      </c>
      <c r="J16" s="114">
        <f t="shared" si="2"/>
        <v>0</v>
      </c>
      <c r="K16" s="114">
        <f t="shared" si="2"/>
        <v>0</v>
      </c>
      <c r="L16" s="114">
        <f t="shared" si="2"/>
        <v>0</v>
      </c>
      <c r="M16" s="114">
        <f t="shared" si="2"/>
        <v>0</v>
      </c>
      <c r="N16" s="114">
        <f t="shared" si="2"/>
        <v>0</v>
      </c>
      <c r="O16" s="114">
        <f t="shared" si="2"/>
        <v>0</v>
      </c>
      <c r="P16" s="114">
        <f t="shared" si="2"/>
        <v>0</v>
      </c>
      <c r="Q16" s="114">
        <f t="shared" si="2"/>
        <v>0</v>
      </c>
      <c r="R16" s="114">
        <f t="shared" si="2"/>
        <v>0</v>
      </c>
      <c r="S16" s="114">
        <f t="shared" si="2"/>
        <v>0</v>
      </c>
      <c r="T16" s="114">
        <f t="shared" si="2"/>
        <v>0</v>
      </c>
      <c r="U16" s="114">
        <f t="shared" si="2"/>
        <v>0</v>
      </c>
      <c r="V16" s="114">
        <f t="shared" si="2"/>
        <v>0</v>
      </c>
      <c r="W16" s="114">
        <f t="shared" si="2"/>
        <v>0</v>
      </c>
      <c r="X16" s="114">
        <f t="shared" si="2"/>
        <v>0</v>
      </c>
      <c r="Y16" s="114">
        <f t="shared" si="2"/>
        <v>0</v>
      </c>
      <c r="Z16" s="114">
        <f t="shared" si="2"/>
        <v>0</v>
      </c>
      <c r="AA16" s="114">
        <f t="shared" si="2"/>
        <v>0</v>
      </c>
      <c r="AB16" s="114">
        <f t="shared" si="2"/>
        <v>0</v>
      </c>
      <c r="AC16" s="114">
        <f t="shared" si="2"/>
        <v>0</v>
      </c>
      <c r="AD16" s="114">
        <f t="shared" si="2"/>
        <v>0</v>
      </c>
      <c r="AE16" s="114">
        <f t="shared" si="2"/>
        <v>0</v>
      </c>
      <c r="AF16" s="114">
        <f t="shared" si="2"/>
        <v>0</v>
      </c>
      <c r="AG16" s="114">
        <f t="shared" si="2"/>
        <v>0</v>
      </c>
      <c r="AH16" s="114">
        <f t="shared" si="2"/>
        <v>0</v>
      </c>
      <c r="AI16" s="114">
        <f t="shared" si="2"/>
        <v>0</v>
      </c>
      <c r="AJ16" s="114">
        <f t="shared" si="2"/>
        <v>0</v>
      </c>
      <c r="AK16" s="114">
        <f t="shared" si="2"/>
        <v>0</v>
      </c>
      <c r="AL16" s="114">
        <f t="shared" si="2"/>
        <v>0</v>
      </c>
      <c r="AM16" s="114">
        <f t="shared" si="2"/>
        <v>0</v>
      </c>
      <c r="AN16" s="114">
        <f t="shared" si="2"/>
        <v>0</v>
      </c>
      <c r="AO16" s="114">
        <f t="shared" si="2"/>
        <v>0</v>
      </c>
      <c r="AP16" s="114">
        <f t="shared" si="2"/>
        <v>0</v>
      </c>
      <c r="AQ16" s="114">
        <f t="shared" si="2"/>
        <v>0</v>
      </c>
      <c r="AR16" s="114">
        <f t="shared" si="2"/>
        <v>0</v>
      </c>
      <c r="AS16" s="114">
        <f t="shared" si="2"/>
        <v>0</v>
      </c>
      <c r="AT16" s="114">
        <f t="shared" si="2"/>
        <v>0</v>
      </c>
      <c r="AU16" s="114">
        <f t="shared" si="2"/>
        <v>0</v>
      </c>
      <c r="AV16" s="114">
        <f t="shared" si="2"/>
        <v>0</v>
      </c>
      <c r="AW16" s="114">
        <f t="shared" si="2"/>
        <v>0</v>
      </c>
      <c r="AX16" s="114">
        <f t="shared" si="2"/>
        <v>0</v>
      </c>
      <c r="AY16" s="114">
        <f t="shared" si="2"/>
        <v>0</v>
      </c>
      <c r="AZ16" s="136"/>
    </row>
    <row r="17" spans="1:52" x14ac:dyDescent="0.2">
      <c r="A17" s="133"/>
      <c r="B17" s="140" t="s">
        <v>295</v>
      </c>
      <c r="C17" s="133"/>
      <c r="D17" s="122">
        <f>IF(C$20="Yes",C16,0)</f>
        <v>0</v>
      </c>
      <c r="E17" s="122">
        <f t="shared" si="2"/>
        <v>0</v>
      </c>
      <c r="F17" s="122">
        <f t="shared" si="2"/>
        <v>0</v>
      </c>
      <c r="G17" s="122">
        <f t="shared" si="2"/>
        <v>0</v>
      </c>
      <c r="H17" s="122">
        <f t="shared" si="2"/>
        <v>0</v>
      </c>
      <c r="I17" s="122">
        <f t="shared" si="2"/>
        <v>0</v>
      </c>
      <c r="J17" s="122">
        <f t="shared" si="2"/>
        <v>0</v>
      </c>
      <c r="K17" s="122">
        <f t="shared" si="2"/>
        <v>0</v>
      </c>
      <c r="L17" s="122">
        <f t="shared" si="2"/>
        <v>0</v>
      </c>
      <c r="M17" s="122">
        <f t="shared" si="2"/>
        <v>0</v>
      </c>
      <c r="N17" s="122">
        <f t="shared" si="2"/>
        <v>0</v>
      </c>
      <c r="O17" s="122">
        <f t="shared" si="2"/>
        <v>0</v>
      </c>
      <c r="P17" s="122">
        <f t="shared" si="2"/>
        <v>0</v>
      </c>
      <c r="Q17" s="122">
        <f t="shared" si="2"/>
        <v>0</v>
      </c>
      <c r="R17" s="122">
        <f t="shared" si="2"/>
        <v>0</v>
      </c>
      <c r="S17" s="122">
        <f t="shared" si="2"/>
        <v>0</v>
      </c>
      <c r="T17" s="122">
        <f t="shared" si="2"/>
        <v>0</v>
      </c>
      <c r="U17" s="122">
        <f t="shared" si="2"/>
        <v>0</v>
      </c>
      <c r="V17" s="122">
        <f t="shared" si="2"/>
        <v>0</v>
      </c>
      <c r="W17" s="122">
        <f t="shared" si="2"/>
        <v>0</v>
      </c>
      <c r="X17" s="122">
        <f t="shared" si="2"/>
        <v>0</v>
      </c>
      <c r="Y17" s="122">
        <f t="shared" si="2"/>
        <v>0</v>
      </c>
      <c r="Z17" s="122">
        <f t="shared" si="2"/>
        <v>0</v>
      </c>
      <c r="AA17" s="122">
        <f t="shared" si="2"/>
        <v>0</v>
      </c>
      <c r="AB17" s="122">
        <f t="shared" si="2"/>
        <v>0</v>
      </c>
      <c r="AC17" s="122">
        <f t="shared" si="2"/>
        <v>0</v>
      </c>
      <c r="AD17" s="122">
        <f t="shared" si="2"/>
        <v>0</v>
      </c>
      <c r="AE17" s="122">
        <f t="shared" si="2"/>
        <v>0</v>
      </c>
      <c r="AF17" s="122">
        <f t="shared" si="2"/>
        <v>0</v>
      </c>
      <c r="AG17" s="122">
        <f t="shared" si="2"/>
        <v>0</v>
      </c>
      <c r="AH17" s="122">
        <f t="shared" si="2"/>
        <v>0</v>
      </c>
      <c r="AI17" s="122">
        <f t="shared" si="2"/>
        <v>0</v>
      </c>
      <c r="AJ17" s="122">
        <f t="shared" si="2"/>
        <v>0</v>
      </c>
      <c r="AK17" s="122">
        <f t="shared" si="2"/>
        <v>0</v>
      </c>
      <c r="AL17" s="122">
        <f t="shared" si="2"/>
        <v>0</v>
      </c>
      <c r="AM17" s="122">
        <f t="shared" si="2"/>
        <v>0</v>
      </c>
      <c r="AN17" s="122">
        <f t="shared" si="2"/>
        <v>0</v>
      </c>
      <c r="AO17" s="122">
        <f t="shared" si="2"/>
        <v>0</v>
      </c>
      <c r="AP17" s="122">
        <f t="shared" si="2"/>
        <v>0</v>
      </c>
      <c r="AQ17" s="122">
        <f t="shared" si="2"/>
        <v>0</v>
      </c>
      <c r="AR17" s="122">
        <f t="shared" si="2"/>
        <v>0</v>
      </c>
      <c r="AS17" s="122">
        <f t="shared" si="2"/>
        <v>0</v>
      </c>
      <c r="AT17" s="122">
        <f t="shared" si="2"/>
        <v>0</v>
      </c>
      <c r="AU17" s="122">
        <f t="shared" si="2"/>
        <v>0</v>
      </c>
      <c r="AV17" s="122">
        <f t="shared" si="2"/>
        <v>0</v>
      </c>
      <c r="AW17" s="122">
        <f t="shared" si="2"/>
        <v>0</v>
      </c>
      <c r="AX17" s="122">
        <f t="shared" si="2"/>
        <v>0</v>
      </c>
      <c r="AY17" s="122">
        <f t="shared" si="2"/>
        <v>0</v>
      </c>
      <c r="AZ17" s="159">
        <f>SUM($D$17:$AY$17)</f>
        <v>0</v>
      </c>
    </row>
    <row r="18" spans="1:52" x14ac:dyDescent="0.2">
      <c r="A18" s="114"/>
      <c r="B18" s="161"/>
      <c r="C18" s="146"/>
      <c r="D18" s="146"/>
      <c r="E18" s="146"/>
      <c r="F18" s="146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6"/>
      <c r="AE18" s="146"/>
      <c r="AF18" s="146"/>
      <c r="AG18" s="146"/>
      <c r="AH18" s="146"/>
      <c r="AI18" s="146"/>
      <c r="AJ18" s="146"/>
      <c r="AK18" s="146"/>
      <c r="AL18" s="146"/>
      <c r="AM18" s="146"/>
      <c r="AN18" s="146"/>
      <c r="AO18" s="146"/>
      <c r="AP18" s="146"/>
      <c r="AQ18" s="146"/>
      <c r="AR18" s="146"/>
      <c r="AS18" s="146"/>
      <c r="AT18" s="146"/>
      <c r="AU18" s="146"/>
      <c r="AV18" s="146"/>
      <c r="AW18" s="146"/>
      <c r="AX18" s="146"/>
      <c r="AY18" s="146"/>
      <c r="AZ18" s="114"/>
    </row>
    <row r="19" spans="1:52" x14ac:dyDescent="0.2">
      <c r="A19" s="110" t="s">
        <v>116</v>
      </c>
      <c r="B19" s="114"/>
      <c r="C19" s="114"/>
      <c r="D19" s="114"/>
      <c r="E19" s="114"/>
      <c r="F19" s="114"/>
      <c r="G19" s="114"/>
      <c r="H19" s="114"/>
      <c r="I19" s="114"/>
      <c r="J19" s="114"/>
      <c r="K19" s="114"/>
      <c r="L19" s="114"/>
      <c r="M19" s="114"/>
      <c r="N19" s="114"/>
      <c r="O19" s="114"/>
      <c r="P19" s="114"/>
      <c r="Q19" s="114"/>
      <c r="R19" s="114"/>
      <c r="S19" s="114"/>
      <c r="T19" s="114"/>
      <c r="U19" s="114"/>
      <c r="V19" s="114"/>
      <c r="W19" s="114"/>
      <c r="X19" s="114"/>
      <c r="Y19" s="114"/>
      <c r="Z19" s="114"/>
      <c r="AA19" s="114"/>
      <c r="AB19" s="114"/>
      <c r="AC19" s="114"/>
      <c r="AD19" s="114"/>
      <c r="AE19" s="114"/>
      <c r="AF19" s="114"/>
      <c r="AG19" s="114"/>
      <c r="AH19" s="114"/>
      <c r="AI19" s="114"/>
      <c r="AJ19" s="114"/>
      <c r="AK19" s="114"/>
      <c r="AL19" s="114"/>
      <c r="AM19" s="114"/>
      <c r="AN19" s="114"/>
      <c r="AO19" s="114"/>
      <c r="AP19" s="114"/>
      <c r="AQ19" s="114"/>
      <c r="AR19" s="114"/>
      <c r="AS19" s="114"/>
      <c r="AT19" s="114"/>
      <c r="AU19" s="114"/>
      <c r="AV19" s="114"/>
      <c r="AW19" s="114"/>
      <c r="AX19" s="114"/>
      <c r="AY19" s="114"/>
    </row>
    <row r="20" spans="1:52" s="118" customFormat="1" x14ac:dyDescent="0.2">
      <c r="A20" s="123" t="s">
        <v>304</v>
      </c>
      <c r="B20" s="162" t="s">
        <v>305</v>
      </c>
      <c r="C20" s="125"/>
      <c r="D20" s="125"/>
      <c r="E20" s="125"/>
      <c r="F20" s="125"/>
      <c r="G20" s="125"/>
      <c r="H20" s="125"/>
      <c r="I20" s="125"/>
      <c r="J20" s="125"/>
      <c r="K20" s="125"/>
      <c r="L20" s="125"/>
      <c r="M20" s="125"/>
      <c r="N20" s="125"/>
      <c r="O20" s="125"/>
      <c r="P20" s="125"/>
      <c r="Q20" s="125"/>
      <c r="R20" s="125"/>
      <c r="S20" s="125"/>
      <c r="T20" s="125"/>
      <c r="U20" s="125"/>
      <c r="V20" s="125"/>
      <c r="W20" s="125"/>
      <c r="X20" s="125"/>
      <c r="Y20" s="125"/>
      <c r="Z20" s="125"/>
      <c r="AA20" s="125"/>
      <c r="AB20" s="125"/>
      <c r="AC20" s="125"/>
      <c r="AD20" s="125"/>
      <c r="AE20" s="125"/>
      <c r="AF20" s="125"/>
      <c r="AG20" s="125"/>
      <c r="AH20" s="125"/>
      <c r="AI20" s="125"/>
      <c r="AJ20" s="125"/>
      <c r="AK20" s="125"/>
      <c r="AL20" s="125"/>
      <c r="AM20" s="125"/>
      <c r="AN20" s="125"/>
      <c r="AO20" s="125"/>
      <c r="AP20" s="125"/>
      <c r="AQ20" s="125"/>
      <c r="AR20" s="125"/>
      <c r="AS20" s="125" t="s">
        <v>338</v>
      </c>
      <c r="AT20" s="125"/>
      <c r="AU20" s="125"/>
      <c r="AV20" s="125"/>
      <c r="AW20" s="125"/>
      <c r="AX20" s="125"/>
      <c r="AY20" s="125"/>
      <c r="AZ20" s="115"/>
    </row>
    <row r="21" spans="1:52" s="118" customFormat="1" x14ac:dyDescent="0.2">
      <c r="A21" s="163" t="s">
        <v>133</v>
      </c>
      <c r="B21" s="164">
        <f>shipping_manufacturing!$C$19/100</f>
        <v>0.5</v>
      </c>
      <c r="C21" s="164" t="s">
        <v>292</v>
      </c>
      <c r="D21" s="114">
        <f>IF(C$20="Yes",0,SUM(C$13:C$16)*$B$21)</f>
        <v>0</v>
      </c>
      <c r="E21" s="114">
        <f t="shared" ref="E21:AY21" si="3">IF(D$20="Yes",0,SUM(D$13:D$16)*$B$21)</f>
        <v>1666.5</v>
      </c>
      <c r="F21" s="114">
        <f t="shared" si="3"/>
        <v>1666.5</v>
      </c>
      <c r="G21" s="114">
        <f t="shared" si="3"/>
        <v>1666.5</v>
      </c>
      <c r="H21" s="114">
        <f t="shared" si="3"/>
        <v>1666.5</v>
      </c>
      <c r="I21" s="114">
        <f t="shared" si="3"/>
        <v>1666.5</v>
      </c>
      <c r="J21" s="114">
        <f t="shared" si="3"/>
        <v>1666.5</v>
      </c>
      <c r="K21" s="114">
        <f t="shared" si="3"/>
        <v>1666.5</v>
      </c>
      <c r="L21" s="114">
        <f t="shared" si="3"/>
        <v>1666.5</v>
      </c>
      <c r="M21" s="114">
        <f t="shared" si="3"/>
        <v>1666.5</v>
      </c>
      <c r="N21" s="114">
        <f t="shared" si="3"/>
        <v>1666.5</v>
      </c>
      <c r="O21" s="114">
        <f t="shared" si="3"/>
        <v>1666.5</v>
      </c>
      <c r="P21" s="114">
        <f t="shared" si="3"/>
        <v>1666.5</v>
      </c>
      <c r="Q21" s="114">
        <f t="shared" si="3"/>
        <v>1666.5</v>
      </c>
      <c r="R21" s="114">
        <f t="shared" si="3"/>
        <v>1666.5</v>
      </c>
      <c r="S21" s="114">
        <f t="shared" si="3"/>
        <v>1666.5</v>
      </c>
      <c r="T21" s="114">
        <f t="shared" si="3"/>
        <v>1666.5</v>
      </c>
      <c r="U21" s="114">
        <f t="shared" si="3"/>
        <v>1666.5</v>
      </c>
      <c r="V21" s="114">
        <f t="shared" si="3"/>
        <v>1666.5</v>
      </c>
      <c r="W21" s="114">
        <f t="shared" si="3"/>
        <v>1666.5</v>
      </c>
      <c r="X21" s="114">
        <f t="shared" si="3"/>
        <v>1666.5</v>
      </c>
      <c r="Y21" s="114">
        <f t="shared" si="3"/>
        <v>1666.5</v>
      </c>
      <c r="Z21" s="114">
        <f t="shared" si="3"/>
        <v>1666.5</v>
      </c>
      <c r="AA21" s="114">
        <f t="shared" si="3"/>
        <v>1666.5</v>
      </c>
      <c r="AB21" s="114">
        <f t="shared" si="3"/>
        <v>1666.5</v>
      </c>
      <c r="AC21" s="114">
        <f t="shared" si="3"/>
        <v>1666.5</v>
      </c>
      <c r="AD21" s="114">
        <f t="shared" si="3"/>
        <v>1666.5</v>
      </c>
      <c r="AE21" s="114">
        <f t="shared" si="3"/>
        <v>1666.5</v>
      </c>
      <c r="AF21" s="114">
        <f t="shared" si="3"/>
        <v>1666.5</v>
      </c>
      <c r="AG21" s="114">
        <f t="shared" si="3"/>
        <v>1666.5</v>
      </c>
      <c r="AH21" s="114">
        <f t="shared" si="3"/>
        <v>1666.5</v>
      </c>
      <c r="AI21" s="114">
        <f t="shared" si="3"/>
        <v>1666.5</v>
      </c>
      <c r="AJ21" s="114">
        <f t="shared" si="3"/>
        <v>1666.5</v>
      </c>
      <c r="AK21" s="114">
        <f t="shared" si="3"/>
        <v>1666.5</v>
      </c>
      <c r="AL21" s="114">
        <f t="shared" si="3"/>
        <v>1666.5</v>
      </c>
      <c r="AM21" s="114">
        <f t="shared" si="3"/>
        <v>1666.5</v>
      </c>
      <c r="AN21" s="114">
        <f t="shared" si="3"/>
        <v>1666.5</v>
      </c>
      <c r="AO21" s="114">
        <f t="shared" si="3"/>
        <v>1666.5</v>
      </c>
      <c r="AP21" s="114">
        <f t="shared" si="3"/>
        <v>1666.5</v>
      </c>
      <c r="AQ21" s="114">
        <f t="shared" si="3"/>
        <v>1666.5</v>
      </c>
      <c r="AR21" s="114">
        <f t="shared" si="3"/>
        <v>1666.5</v>
      </c>
      <c r="AS21" s="114">
        <f t="shared" si="3"/>
        <v>1666.5</v>
      </c>
      <c r="AT21" s="114">
        <f t="shared" si="3"/>
        <v>0</v>
      </c>
      <c r="AU21" s="114">
        <f t="shared" si="3"/>
        <v>1874</v>
      </c>
      <c r="AV21" s="114">
        <f t="shared" si="3"/>
        <v>1666.5</v>
      </c>
      <c r="AW21" s="114">
        <f t="shared" si="3"/>
        <v>1666.5</v>
      </c>
      <c r="AX21" s="114">
        <f t="shared" si="3"/>
        <v>1666.5</v>
      </c>
      <c r="AY21" s="114">
        <f t="shared" si="3"/>
        <v>1666.5</v>
      </c>
      <c r="AZ21" s="165">
        <f>SUM($D21:$AY21)</f>
        <v>76866.5</v>
      </c>
    </row>
    <row r="22" spans="1:52" s="118" customFormat="1" x14ac:dyDescent="0.2">
      <c r="A22" s="166" t="s">
        <v>123</v>
      </c>
      <c r="B22" s="167">
        <f>1-$B$21</f>
        <v>0.5</v>
      </c>
      <c r="C22" s="167" t="s">
        <v>292</v>
      </c>
      <c r="D22" s="122">
        <f>IF(C$20="Yes",0,SUM(C$13:C$16)*$B$22)</f>
        <v>0</v>
      </c>
      <c r="E22" s="122">
        <f t="shared" ref="E22:AY22" si="4">IF(D$20="Yes",0,SUM(D$13:D$16)*$B$22)</f>
        <v>1666.5</v>
      </c>
      <c r="F22" s="122">
        <f t="shared" si="4"/>
        <v>1666.5</v>
      </c>
      <c r="G22" s="122">
        <f t="shared" si="4"/>
        <v>1666.5</v>
      </c>
      <c r="H22" s="122">
        <f t="shared" si="4"/>
        <v>1666.5</v>
      </c>
      <c r="I22" s="122">
        <f t="shared" si="4"/>
        <v>1666.5</v>
      </c>
      <c r="J22" s="122">
        <f t="shared" si="4"/>
        <v>1666.5</v>
      </c>
      <c r="K22" s="122">
        <f t="shared" si="4"/>
        <v>1666.5</v>
      </c>
      <c r="L22" s="122">
        <f t="shared" si="4"/>
        <v>1666.5</v>
      </c>
      <c r="M22" s="122">
        <f t="shared" si="4"/>
        <v>1666.5</v>
      </c>
      <c r="N22" s="122">
        <f t="shared" si="4"/>
        <v>1666.5</v>
      </c>
      <c r="O22" s="122">
        <f t="shared" si="4"/>
        <v>1666.5</v>
      </c>
      <c r="P22" s="122">
        <f t="shared" si="4"/>
        <v>1666.5</v>
      </c>
      <c r="Q22" s="122">
        <f t="shared" si="4"/>
        <v>1666.5</v>
      </c>
      <c r="R22" s="122">
        <f t="shared" si="4"/>
        <v>1666.5</v>
      </c>
      <c r="S22" s="122">
        <f t="shared" si="4"/>
        <v>1666.5</v>
      </c>
      <c r="T22" s="122">
        <f t="shared" si="4"/>
        <v>1666.5</v>
      </c>
      <c r="U22" s="122">
        <f t="shared" si="4"/>
        <v>1666.5</v>
      </c>
      <c r="V22" s="122">
        <f t="shared" si="4"/>
        <v>1666.5</v>
      </c>
      <c r="W22" s="122">
        <f t="shared" si="4"/>
        <v>1666.5</v>
      </c>
      <c r="X22" s="122">
        <f t="shared" si="4"/>
        <v>1666.5</v>
      </c>
      <c r="Y22" s="122">
        <f t="shared" si="4"/>
        <v>1666.5</v>
      </c>
      <c r="Z22" s="122">
        <f t="shared" si="4"/>
        <v>1666.5</v>
      </c>
      <c r="AA22" s="122">
        <f t="shared" si="4"/>
        <v>1666.5</v>
      </c>
      <c r="AB22" s="122">
        <f t="shared" si="4"/>
        <v>1666.5</v>
      </c>
      <c r="AC22" s="122">
        <f t="shared" si="4"/>
        <v>1666.5</v>
      </c>
      <c r="AD22" s="122">
        <f t="shared" si="4"/>
        <v>1666.5</v>
      </c>
      <c r="AE22" s="122">
        <f t="shared" si="4"/>
        <v>1666.5</v>
      </c>
      <c r="AF22" s="122">
        <f t="shared" si="4"/>
        <v>1666.5</v>
      </c>
      <c r="AG22" s="122">
        <f t="shared" si="4"/>
        <v>1666.5</v>
      </c>
      <c r="AH22" s="122">
        <f t="shared" si="4"/>
        <v>1666.5</v>
      </c>
      <c r="AI22" s="122">
        <f t="shared" si="4"/>
        <v>1666.5</v>
      </c>
      <c r="AJ22" s="122">
        <f t="shared" si="4"/>
        <v>1666.5</v>
      </c>
      <c r="AK22" s="122">
        <f t="shared" si="4"/>
        <v>1666.5</v>
      </c>
      <c r="AL22" s="122">
        <f t="shared" si="4"/>
        <v>1666.5</v>
      </c>
      <c r="AM22" s="122">
        <f t="shared" si="4"/>
        <v>1666.5</v>
      </c>
      <c r="AN22" s="122">
        <f t="shared" si="4"/>
        <v>1666.5</v>
      </c>
      <c r="AO22" s="122">
        <f t="shared" si="4"/>
        <v>1666.5</v>
      </c>
      <c r="AP22" s="122">
        <f t="shared" si="4"/>
        <v>1666.5</v>
      </c>
      <c r="AQ22" s="122">
        <f t="shared" si="4"/>
        <v>1666.5</v>
      </c>
      <c r="AR22" s="122">
        <f t="shared" si="4"/>
        <v>1666.5</v>
      </c>
      <c r="AS22" s="122">
        <f t="shared" si="4"/>
        <v>1666.5</v>
      </c>
      <c r="AT22" s="122">
        <f t="shared" si="4"/>
        <v>0</v>
      </c>
      <c r="AU22" s="122">
        <f t="shared" si="4"/>
        <v>1874</v>
      </c>
      <c r="AV22" s="122">
        <f t="shared" si="4"/>
        <v>1666.5</v>
      </c>
      <c r="AW22" s="122">
        <f t="shared" si="4"/>
        <v>1666.5</v>
      </c>
      <c r="AX22" s="122">
        <f t="shared" si="4"/>
        <v>1666.5</v>
      </c>
      <c r="AY22" s="122">
        <f t="shared" si="4"/>
        <v>1666.5</v>
      </c>
      <c r="AZ22" s="149">
        <f t="shared" ref="AZ22:AZ30" si="5">SUM($D22:$AY22)</f>
        <v>76866.5</v>
      </c>
    </row>
    <row r="23" spans="1:52" x14ac:dyDescent="0.2">
      <c r="A23" s="168" t="s">
        <v>306</v>
      </c>
      <c r="B23" s="132">
        <v>2000</v>
      </c>
      <c r="C23" s="108" t="s">
        <v>292</v>
      </c>
      <c r="D23" s="108">
        <f>D$21*$B$23</f>
        <v>0</v>
      </c>
      <c r="E23" s="108">
        <f t="shared" ref="E23:AY23" si="6">E$21*$B$23</f>
        <v>3333000</v>
      </c>
      <c r="F23" s="108">
        <f t="shared" si="6"/>
        <v>3333000</v>
      </c>
      <c r="G23" s="108">
        <f t="shared" si="6"/>
        <v>3333000</v>
      </c>
      <c r="H23" s="108">
        <f t="shared" si="6"/>
        <v>3333000</v>
      </c>
      <c r="I23" s="108">
        <f t="shared" si="6"/>
        <v>3333000</v>
      </c>
      <c r="J23" s="108">
        <f t="shared" si="6"/>
        <v>3333000</v>
      </c>
      <c r="K23" s="108">
        <f t="shared" si="6"/>
        <v>3333000</v>
      </c>
      <c r="L23" s="108">
        <f t="shared" si="6"/>
        <v>3333000</v>
      </c>
      <c r="M23" s="108">
        <f t="shared" si="6"/>
        <v>3333000</v>
      </c>
      <c r="N23" s="108">
        <f t="shared" si="6"/>
        <v>3333000</v>
      </c>
      <c r="O23" s="108">
        <f t="shared" si="6"/>
        <v>3333000</v>
      </c>
      <c r="P23" s="108">
        <f t="shared" si="6"/>
        <v>3333000</v>
      </c>
      <c r="Q23" s="108">
        <f t="shared" si="6"/>
        <v>3333000</v>
      </c>
      <c r="R23" s="108">
        <f t="shared" si="6"/>
        <v>3333000</v>
      </c>
      <c r="S23" s="108">
        <f t="shared" si="6"/>
        <v>3333000</v>
      </c>
      <c r="T23" s="108">
        <f t="shared" si="6"/>
        <v>3333000</v>
      </c>
      <c r="U23" s="108">
        <f t="shared" si="6"/>
        <v>3333000</v>
      </c>
      <c r="V23" s="108">
        <f t="shared" si="6"/>
        <v>3333000</v>
      </c>
      <c r="W23" s="108">
        <f t="shared" si="6"/>
        <v>3333000</v>
      </c>
      <c r="X23" s="108">
        <f t="shared" si="6"/>
        <v>3333000</v>
      </c>
      <c r="Y23" s="108">
        <f t="shared" si="6"/>
        <v>3333000</v>
      </c>
      <c r="Z23" s="108">
        <f t="shared" si="6"/>
        <v>3333000</v>
      </c>
      <c r="AA23" s="108">
        <f t="shared" si="6"/>
        <v>3333000</v>
      </c>
      <c r="AB23" s="108">
        <f t="shared" si="6"/>
        <v>3333000</v>
      </c>
      <c r="AC23" s="108">
        <f t="shared" si="6"/>
        <v>3333000</v>
      </c>
      <c r="AD23" s="108">
        <f t="shared" si="6"/>
        <v>3333000</v>
      </c>
      <c r="AE23" s="108">
        <f t="shared" si="6"/>
        <v>3333000</v>
      </c>
      <c r="AF23" s="108">
        <f t="shared" si="6"/>
        <v>3333000</v>
      </c>
      <c r="AG23" s="108">
        <f t="shared" si="6"/>
        <v>3333000</v>
      </c>
      <c r="AH23" s="108">
        <f t="shared" si="6"/>
        <v>3333000</v>
      </c>
      <c r="AI23" s="108">
        <f t="shared" si="6"/>
        <v>3333000</v>
      </c>
      <c r="AJ23" s="108">
        <f t="shared" si="6"/>
        <v>3333000</v>
      </c>
      <c r="AK23" s="108">
        <f t="shared" si="6"/>
        <v>3333000</v>
      </c>
      <c r="AL23" s="108">
        <f t="shared" si="6"/>
        <v>3333000</v>
      </c>
      <c r="AM23" s="108">
        <f t="shared" si="6"/>
        <v>3333000</v>
      </c>
      <c r="AN23" s="108">
        <f t="shared" si="6"/>
        <v>3333000</v>
      </c>
      <c r="AO23" s="108">
        <f t="shared" si="6"/>
        <v>3333000</v>
      </c>
      <c r="AP23" s="108">
        <f t="shared" si="6"/>
        <v>3333000</v>
      </c>
      <c r="AQ23" s="108">
        <f t="shared" si="6"/>
        <v>3333000</v>
      </c>
      <c r="AR23" s="108">
        <f t="shared" si="6"/>
        <v>3333000</v>
      </c>
      <c r="AS23" s="108">
        <f t="shared" si="6"/>
        <v>3333000</v>
      </c>
      <c r="AT23" s="108">
        <f t="shared" si="6"/>
        <v>0</v>
      </c>
      <c r="AU23" s="108">
        <f t="shared" si="6"/>
        <v>3748000</v>
      </c>
      <c r="AV23" s="108">
        <f t="shared" si="6"/>
        <v>3333000</v>
      </c>
      <c r="AW23" s="108">
        <f t="shared" si="6"/>
        <v>3333000</v>
      </c>
      <c r="AX23" s="108">
        <f t="shared" si="6"/>
        <v>3333000</v>
      </c>
      <c r="AY23" s="108">
        <f t="shared" si="6"/>
        <v>3333000</v>
      </c>
      <c r="AZ23" s="147">
        <f t="shared" si="5"/>
        <v>153733000</v>
      </c>
    </row>
    <row r="24" spans="1:52" s="118" customFormat="1" x14ac:dyDescent="0.2">
      <c r="A24" s="169" t="s">
        <v>307</v>
      </c>
      <c r="B24" s="170">
        <v>1000</v>
      </c>
      <c r="C24" s="164" t="s">
        <v>292</v>
      </c>
      <c r="D24" s="114">
        <f>D$22*$B$24</f>
        <v>0</v>
      </c>
      <c r="E24" s="114">
        <f t="shared" ref="E24:AY24" si="7">E$22*$B$24</f>
        <v>1666500</v>
      </c>
      <c r="F24" s="114">
        <f t="shared" si="7"/>
        <v>1666500</v>
      </c>
      <c r="G24" s="114">
        <f t="shared" si="7"/>
        <v>1666500</v>
      </c>
      <c r="H24" s="114">
        <f t="shared" si="7"/>
        <v>1666500</v>
      </c>
      <c r="I24" s="114">
        <f t="shared" si="7"/>
        <v>1666500</v>
      </c>
      <c r="J24" s="114">
        <f t="shared" si="7"/>
        <v>1666500</v>
      </c>
      <c r="K24" s="114">
        <f t="shared" si="7"/>
        <v>1666500</v>
      </c>
      <c r="L24" s="114">
        <f t="shared" si="7"/>
        <v>1666500</v>
      </c>
      <c r="M24" s="114">
        <f t="shared" si="7"/>
        <v>1666500</v>
      </c>
      <c r="N24" s="114">
        <f t="shared" si="7"/>
        <v>1666500</v>
      </c>
      <c r="O24" s="114">
        <f t="shared" si="7"/>
        <v>1666500</v>
      </c>
      <c r="P24" s="114">
        <f t="shared" si="7"/>
        <v>1666500</v>
      </c>
      <c r="Q24" s="114">
        <f t="shared" si="7"/>
        <v>1666500</v>
      </c>
      <c r="R24" s="114">
        <f t="shared" si="7"/>
        <v>1666500</v>
      </c>
      <c r="S24" s="114">
        <f t="shared" si="7"/>
        <v>1666500</v>
      </c>
      <c r="T24" s="114">
        <f t="shared" si="7"/>
        <v>1666500</v>
      </c>
      <c r="U24" s="114">
        <f t="shared" si="7"/>
        <v>1666500</v>
      </c>
      <c r="V24" s="114">
        <f t="shared" si="7"/>
        <v>1666500</v>
      </c>
      <c r="W24" s="114">
        <f t="shared" si="7"/>
        <v>1666500</v>
      </c>
      <c r="X24" s="114">
        <f t="shared" si="7"/>
        <v>1666500</v>
      </c>
      <c r="Y24" s="114">
        <f t="shared" si="7"/>
        <v>1666500</v>
      </c>
      <c r="Z24" s="114">
        <f t="shared" si="7"/>
        <v>1666500</v>
      </c>
      <c r="AA24" s="114">
        <f t="shared" si="7"/>
        <v>1666500</v>
      </c>
      <c r="AB24" s="114">
        <f t="shared" si="7"/>
        <v>1666500</v>
      </c>
      <c r="AC24" s="114">
        <f t="shared" si="7"/>
        <v>1666500</v>
      </c>
      <c r="AD24" s="114">
        <f t="shared" si="7"/>
        <v>1666500</v>
      </c>
      <c r="AE24" s="114">
        <f t="shared" si="7"/>
        <v>1666500</v>
      </c>
      <c r="AF24" s="114">
        <f t="shared" si="7"/>
        <v>1666500</v>
      </c>
      <c r="AG24" s="114">
        <f t="shared" si="7"/>
        <v>1666500</v>
      </c>
      <c r="AH24" s="114">
        <f t="shared" si="7"/>
        <v>1666500</v>
      </c>
      <c r="AI24" s="114">
        <f t="shared" si="7"/>
        <v>1666500</v>
      </c>
      <c r="AJ24" s="114">
        <f t="shared" si="7"/>
        <v>1666500</v>
      </c>
      <c r="AK24" s="114">
        <f t="shared" si="7"/>
        <v>1666500</v>
      </c>
      <c r="AL24" s="114">
        <f t="shared" si="7"/>
        <v>1666500</v>
      </c>
      <c r="AM24" s="114">
        <f t="shared" si="7"/>
        <v>1666500</v>
      </c>
      <c r="AN24" s="114">
        <f t="shared" si="7"/>
        <v>1666500</v>
      </c>
      <c r="AO24" s="114">
        <f t="shared" si="7"/>
        <v>1666500</v>
      </c>
      <c r="AP24" s="114">
        <f t="shared" si="7"/>
        <v>1666500</v>
      </c>
      <c r="AQ24" s="114">
        <f t="shared" si="7"/>
        <v>1666500</v>
      </c>
      <c r="AR24" s="114">
        <f t="shared" si="7"/>
        <v>1666500</v>
      </c>
      <c r="AS24" s="114">
        <f t="shared" si="7"/>
        <v>1666500</v>
      </c>
      <c r="AT24" s="114">
        <f t="shared" si="7"/>
        <v>0</v>
      </c>
      <c r="AU24" s="114">
        <f t="shared" si="7"/>
        <v>1874000</v>
      </c>
      <c r="AV24" s="114">
        <f t="shared" si="7"/>
        <v>1666500</v>
      </c>
      <c r="AW24" s="114">
        <f t="shared" si="7"/>
        <v>1666500</v>
      </c>
      <c r="AX24" s="114">
        <f t="shared" si="7"/>
        <v>1666500</v>
      </c>
      <c r="AY24" s="114">
        <f t="shared" si="7"/>
        <v>1666500</v>
      </c>
      <c r="AZ24" s="149">
        <f t="shared" si="5"/>
        <v>76866500</v>
      </c>
    </row>
    <row r="25" spans="1:52" x14ac:dyDescent="0.2">
      <c r="C25" s="146"/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  <c r="AH25" s="146"/>
      <c r="AI25" s="146"/>
      <c r="AJ25" s="146"/>
      <c r="AK25" s="146"/>
      <c r="AL25" s="146"/>
      <c r="AM25" s="146"/>
      <c r="AN25" s="146"/>
      <c r="AO25" s="146"/>
      <c r="AP25" s="146"/>
      <c r="AQ25" s="146"/>
      <c r="AR25" s="146"/>
      <c r="AS25" s="146"/>
      <c r="AT25" s="146"/>
      <c r="AU25" s="146"/>
      <c r="AV25" s="146"/>
      <c r="AW25" s="146"/>
      <c r="AX25" s="146"/>
      <c r="AY25" s="146"/>
      <c r="AZ25" s="114"/>
    </row>
    <row r="26" spans="1:52" x14ac:dyDescent="0.2">
      <c r="A26" s="171" t="s">
        <v>18</v>
      </c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114"/>
      <c r="S26" s="114"/>
      <c r="T26" s="114"/>
      <c r="U26" s="114"/>
      <c r="V26" s="114"/>
      <c r="W26" s="114"/>
      <c r="X26" s="114"/>
      <c r="Y26" s="114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</row>
    <row r="27" spans="1:52" x14ac:dyDescent="0.2">
      <c r="B27" s="143" t="s">
        <v>308</v>
      </c>
      <c r="C27" s="132">
        <v>0</v>
      </c>
      <c r="D27" s="132">
        <f>C$27-C$28+C$29</f>
        <v>0</v>
      </c>
      <c r="E27" s="132">
        <f t="shared" ref="E27:AY27" si="8">D27-D28+D29</f>
        <v>0</v>
      </c>
      <c r="F27" s="132">
        <f t="shared" si="8"/>
        <v>0</v>
      </c>
      <c r="G27" s="132">
        <f t="shared" si="8"/>
        <v>0</v>
      </c>
      <c r="H27" s="132">
        <f t="shared" si="8"/>
        <v>0</v>
      </c>
      <c r="I27" s="132">
        <f t="shared" si="8"/>
        <v>0</v>
      </c>
      <c r="J27" s="132">
        <f t="shared" si="8"/>
        <v>0</v>
      </c>
      <c r="K27" s="132">
        <f t="shared" si="8"/>
        <v>0</v>
      </c>
      <c r="L27" s="132">
        <f t="shared" si="8"/>
        <v>0</v>
      </c>
      <c r="M27" s="132">
        <f t="shared" si="8"/>
        <v>0</v>
      </c>
      <c r="N27" s="132">
        <f t="shared" si="8"/>
        <v>0</v>
      </c>
      <c r="O27" s="132">
        <f t="shared" si="8"/>
        <v>0</v>
      </c>
      <c r="P27" s="132">
        <f t="shared" si="8"/>
        <v>0</v>
      </c>
      <c r="Q27" s="132">
        <f t="shared" si="8"/>
        <v>0</v>
      </c>
      <c r="R27" s="132">
        <f t="shared" si="8"/>
        <v>0</v>
      </c>
      <c r="S27" s="132">
        <f t="shared" si="8"/>
        <v>0</v>
      </c>
      <c r="T27" s="132">
        <f t="shared" si="8"/>
        <v>0</v>
      </c>
      <c r="U27" s="132">
        <f t="shared" si="8"/>
        <v>0</v>
      </c>
      <c r="V27" s="132">
        <f t="shared" si="8"/>
        <v>0</v>
      </c>
      <c r="W27" s="132">
        <f t="shared" si="8"/>
        <v>0</v>
      </c>
      <c r="X27" s="132">
        <f t="shared" si="8"/>
        <v>0</v>
      </c>
      <c r="Y27" s="132">
        <f t="shared" si="8"/>
        <v>0</v>
      </c>
      <c r="Z27" s="132">
        <f t="shared" si="8"/>
        <v>0</v>
      </c>
      <c r="AA27" s="132">
        <f t="shared" si="8"/>
        <v>0</v>
      </c>
      <c r="AB27" s="132">
        <f t="shared" si="8"/>
        <v>0</v>
      </c>
      <c r="AC27" s="132">
        <f t="shared" si="8"/>
        <v>0</v>
      </c>
      <c r="AD27" s="132">
        <f t="shared" si="8"/>
        <v>0</v>
      </c>
      <c r="AE27" s="132">
        <f t="shared" si="8"/>
        <v>0</v>
      </c>
      <c r="AF27" s="132">
        <f t="shared" si="8"/>
        <v>0</v>
      </c>
      <c r="AG27" s="132">
        <f t="shared" si="8"/>
        <v>0</v>
      </c>
      <c r="AH27" s="132">
        <f t="shared" si="8"/>
        <v>0</v>
      </c>
      <c r="AI27" s="132">
        <f t="shared" si="8"/>
        <v>0</v>
      </c>
      <c r="AJ27" s="132">
        <f t="shared" si="8"/>
        <v>0</v>
      </c>
      <c r="AK27" s="132">
        <f t="shared" si="8"/>
        <v>0</v>
      </c>
      <c r="AL27" s="132">
        <f t="shared" si="8"/>
        <v>0</v>
      </c>
      <c r="AM27" s="132">
        <f t="shared" si="8"/>
        <v>0</v>
      </c>
      <c r="AN27" s="132">
        <f t="shared" si="8"/>
        <v>0</v>
      </c>
      <c r="AO27" s="132">
        <f t="shared" si="8"/>
        <v>0</v>
      </c>
      <c r="AP27" s="132">
        <f t="shared" si="8"/>
        <v>0</v>
      </c>
      <c r="AQ27" s="132">
        <f t="shared" si="8"/>
        <v>0</v>
      </c>
      <c r="AR27" s="132">
        <f t="shared" si="8"/>
        <v>0</v>
      </c>
      <c r="AS27" s="132">
        <f t="shared" si="8"/>
        <v>0</v>
      </c>
      <c r="AT27" s="132">
        <f t="shared" si="8"/>
        <v>0</v>
      </c>
      <c r="AU27" s="132">
        <f t="shared" si="8"/>
        <v>0</v>
      </c>
      <c r="AV27" s="132">
        <f t="shared" si="8"/>
        <v>0</v>
      </c>
      <c r="AW27" s="132">
        <f t="shared" si="8"/>
        <v>0</v>
      </c>
      <c r="AX27" s="132">
        <f t="shared" si="8"/>
        <v>0</v>
      </c>
      <c r="AY27" s="172">
        <f t="shared" si="8"/>
        <v>0</v>
      </c>
      <c r="AZ27" s="114"/>
    </row>
    <row r="28" spans="1:52" x14ac:dyDescent="0.2">
      <c r="B28" s="173" t="s">
        <v>309</v>
      </c>
      <c r="C28" s="118"/>
      <c r="D28" s="118">
        <v>0</v>
      </c>
      <c r="E28" s="118">
        <v>0</v>
      </c>
      <c r="F28" s="118">
        <v>0</v>
      </c>
      <c r="G28" s="118">
        <v>0</v>
      </c>
      <c r="H28" s="118">
        <v>0</v>
      </c>
      <c r="I28" s="118">
        <v>0</v>
      </c>
      <c r="J28" s="118">
        <v>0</v>
      </c>
      <c r="K28" s="118">
        <v>0</v>
      </c>
      <c r="L28" s="118">
        <v>0</v>
      </c>
      <c r="M28" s="118">
        <v>0</v>
      </c>
      <c r="N28" s="118">
        <v>0</v>
      </c>
      <c r="O28" s="118">
        <v>0</v>
      </c>
      <c r="P28" s="118">
        <v>0</v>
      </c>
      <c r="Q28" s="118">
        <v>0</v>
      </c>
      <c r="R28" s="118">
        <v>0</v>
      </c>
      <c r="S28" s="118">
        <v>0</v>
      </c>
      <c r="T28" s="118">
        <v>0</v>
      </c>
      <c r="U28" s="118">
        <v>0</v>
      </c>
      <c r="V28" s="118">
        <v>0</v>
      </c>
      <c r="W28" s="118">
        <v>0</v>
      </c>
      <c r="X28" s="118">
        <v>0</v>
      </c>
      <c r="Y28" s="118">
        <v>0</v>
      </c>
      <c r="Z28" s="118">
        <v>0</v>
      </c>
      <c r="AA28" s="118">
        <v>0</v>
      </c>
      <c r="AB28" s="118">
        <v>0</v>
      </c>
      <c r="AC28" s="118">
        <v>0</v>
      </c>
      <c r="AD28" s="118">
        <v>0</v>
      </c>
      <c r="AE28" s="118">
        <v>0</v>
      </c>
      <c r="AF28" s="118">
        <v>0</v>
      </c>
      <c r="AG28" s="118">
        <v>0</v>
      </c>
      <c r="AH28" s="118">
        <v>0</v>
      </c>
      <c r="AI28" s="118">
        <v>0</v>
      </c>
      <c r="AJ28" s="118">
        <v>0</v>
      </c>
      <c r="AK28" s="118">
        <v>0</v>
      </c>
      <c r="AL28" s="118">
        <v>0</v>
      </c>
      <c r="AM28" s="118">
        <v>0</v>
      </c>
      <c r="AN28" s="118">
        <v>0</v>
      </c>
      <c r="AO28" s="118">
        <v>0</v>
      </c>
      <c r="AP28" s="118">
        <v>0</v>
      </c>
      <c r="AQ28" s="118">
        <v>0</v>
      </c>
      <c r="AR28" s="118">
        <v>0</v>
      </c>
      <c r="AS28" s="118">
        <v>0</v>
      </c>
      <c r="AT28" s="118">
        <v>0</v>
      </c>
      <c r="AU28" s="118">
        <v>0</v>
      </c>
      <c r="AV28" s="118">
        <v>0</v>
      </c>
      <c r="AW28" s="118">
        <v>0</v>
      </c>
      <c r="AX28" s="118">
        <v>0</v>
      </c>
      <c r="AY28" s="174">
        <v>0</v>
      </c>
      <c r="AZ28" s="114"/>
    </row>
    <row r="29" spans="1:52" x14ac:dyDescent="0.2">
      <c r="B29" s="144" t="s">
        <v>310</v>
      </c>
      <c r="C29" s="133"/>
      <c r="D29" s="133">
        <f>C$28</f>
        <v>0</v>
      </c>
      <c r="E29" s="133">
        <f t="shared" ref="E29:AY29" si="9">D$28</f>
        <v>0</v>
      </c>
      <c r="F29" s="133">
        <f t="shared" si="9"/>
        <v>0</v>
      </c>
      <c r="G29" s="133">
        <f t="shared" si="9"/>
        <v>0</v>
      </c>
      <c r="H29" s="133">
        <f t="shared" si="9"/>
        <v>0</v>
      </c>
      <c r="I29" s="133">
        <f t="shared" si="9"/>
        <v>0</v>
      </c>
      <c r="J29" s="133">
        <f t="shared" si="9"/>
        <v>0</v>
      </c>
      <c r="K29" s="133">
        <f t="shared" si="9"/>
        <v>0</v>
      </c>
      <c r="L29" s="133">
        <f t="shared" si="9"/>
        <v>0</v>
      </c>
      <c r="M29" s="133">
        <f t="shared" si="9"/>
        <v>0</v>
      </c>
      <c r="N29" s="133">
        <f t="shared" si="9"/>
        <v>0</v>
      </c>
      <c r="O29" s="133">
        <f t="shared" si="9"/>
        <v>0</v>
      </c>
      <c r="P29" s="133">
        <f t="shared" si="9"/>
        <v>0</v>
      </c>
      <c r="Q29" s="133">
        <f t="shared" si="9"/>
        <v>0</v>
      </c>
      <c r="R29" s="133">
        <f t="shared" si="9"/>
        <v>0</v>
      </c>
      <c r="S29" s="133">
        <f t="shared" si="9"/>
        <v>0</v>
      </c>
      <c r="T29" s="133">
        <f t="shared" si="9"/>
        <v>0</v>
      </c>
      <c r="U29" s="133">
        <f t="shared" si="9"/>
        <v>0</v>
      </c>
      <c r="V29" s="133">
        <f t="shared" si="9"/>
        <v>0</v>
      </c>
      <c r="W29" s="133">
        <f t="shared" si="9"/>
        <v>0</v>
      </c>
      <c r="X29" s="133">
        <f t="shared" si="9"/>
        <v>0</v>
      </c>
      <c r="Y29" s="133">
        <f t="shared" si="9"/>
        <v>0</v>
      </c>
      <c r="Z29" s="133">
        <f t="shared" si="9"/>
        <v>0</v>
      </c>
      <c r="AA29" s="133">
        <f t="shared" si="9"/>
        <v>0</v>
      </c>
      <c r="AB29" s="133">
        <f t="shared" si="9"/>
        <v>0</v>
      </c>
      <c r="AC29" s="133">
        <f t="shared" si="9"/>
        <v>0</v>
      </c>
      <c r="AD29" s="133">
        <f t="shared" si="9"/>
        <v>0</v>
      </c>
      <c r="AE29" s="133">
        <f t="shared" si="9"/>
        <v>0</v>
      </c>
      <c r="AF29" s="133">
        <f t="shared" si="9"/>
        <v>0</v>
      </c>
      <c r="AG29" s="133">
        <f t="shared" si="9"/>
        <v>0</v>
      </c>
      <c r="AH29" s="133">
        <f t="shared" si="9"/>
        <v>0</v>
      </c>
      <c r="AI29" s="133">
        <f t="shared" si="9"/>
        <v>0</v>
      </c>
      <c r="AJ29" s="133">
        <f t="shared" si="9"/>
        <v>0</v>
      </c>
      <c r="AK29" s="133">
        <f t="shared" si="9"/>
        <v>0</v>
      </c>
      <c r="AL29" s="133">
        <f t="shared" si="9"/>
        <v>0</v>
      </c>
      <c r="AM29" s="133">
        <f t="shared" si="9"/>
        <v>0</v>
      </c>
      <c r="AN29" s="133">
        <f t="shared" si="9"/>
        <v>0</v>
      </c>
      <c r="AO29" s="133">
        <f t="shared" si="9"/>
        <v>0</v>
      </c>
      <c r="AP29" s="133">
        <f t="shared" si="9"/>
        <v>0</v>
      </c>
      <c r="AQ29" s="133">
        <f t="shared" si="9"/>
        <v>0</v>
      </c>
      <c r="AR29" s="133">
        <f t="shared" si="9"/>
        <v>0</v>
      </c>
      <c r="AS29" s="133">
        <f t="shared" si="9"/>
        <v>0</v>
      </c>
      <c r="AT29" s="133">
        <f t="shared" si="9"/>
        <v>0</v>
      </c>
      <c r="AU29" s="133">
        <f t="shared" si="9"/>
        <v>0</v>
      </c>
      <c r="AV29" s="133">
        <f t="shared" si="9"/>
        <v>0</v>
      </c>
      <c r="AW29" s="133">
        <f t="shared" si="9"/>
        <v>0</v>
      </c>
      <c r="AX29" s="133">
        <f t="shared" si="9"/>
        <v>0</v>
      </c>
      <c r="AY29" s="175">
        <f t="shared" si="9"/>
        <v>0</v>
      </c>
      <c r="AZ29" s="176"/>
    </row>
    <row r="30" spans="1:52" x14ac:dyDescent="0.2">
      <c r="A30" s="177" t="s">
        <v>311</v>
      </c>
      <c r="B30" s="152">
        <v>10</v>
      </c>
      <c r="C30" s="125" t="s">
        <v>292</v>
      </c>
      <c r="D30" s="125">
        <f>D$27*$B$30</f>
        <v>0</v>
      </c>
      <c r="E30" s="125">
        <f t="shared" ref="E30:AY30" si="10">E$27*$B$30</f>
        <v>0</v>
      </c>
      <c r="F30" s="125">
        <f t="shared" si="10"/>
        <v>0</v>
      </c>
      <c r="G30" s="125">
        <f t="shared" si="10"/>
        <v>0</v>
      </c>
      <c r="H30" s="125">
        <f t="shared" si="10"/>
        <v>0</v>
      </c>
      <c r="I30" s="125">
        <f t="shared" si="10"/>
        <v>0</v>
      </c>
      <c r="J30" s="125">
        <f t="shared" si="10"/>
        <v>0</v>
      </c>
      <c r="K30" s="125">
        <f t="shared" si="10"/>
        <v>0</v>
      </c>
      <c r="L30" s="125">
        <f t="shared" si="10"/>
        <v>0</v>
      </c>
      <c r="M30" s="125">
        <f t="shared" si="10"/>
        <v>0</v>
      </c>
      <c r="N30" s="125">
        <f t="shared" si="10"/>
        <v>0</v>
      </c>
      <c r="O30" s="125">
        <f t="shared" si="10"/>
        <v>0</v>
      </c>
      <c r="P30" s="125">
        <f t="shared" si="10"/>
        <v>0</v>
      </c>
      <c r="Q30" s="125">
        <f t="shared" si="10"/>
        <v>0</v>
      </c>
      <c r="R30" s="125">
        <f>R$27*$B$30</f>
        <v>0</v>
      </c>
      <c r="S30" s="125">
        <f t="shared" si="10"/>
        <v>0</v>
      </c>
      <c r="T30" s="125">
        <f t="shared" si="10"/>
        <v>0</v>
      </c>
      <c r="U30" s="125">
        <f t="shared" si="10"/>
        <v>0</v>
      </c>
      <c r="V30" s="125">
        <f t="shared" si="10"/>
        <v>0</v>
      </c>
      <c r="W30" s="125">
        <f t="shared" si="10"/>
        <v>0</v>
      </c>
      <c r="X30" s="125">
        <f t="shared" si="10"/>
        <v>0</v>
      </c>
      <c r="Y30" s="125">
        <f t="shared" si="10"/>
        <v>0</v>
      </c>
      <c r="Z30" s="125">
        <f t="shared" si="10"/>
        <v>0</v>
      </c>
      <c r="AA30" s="125">
        <f t="shared" si="10"/>
        <v>0</v>
      </c>
      <c r="AB30" s="125">
        <f t="shared" si="10"/>
        <v>0</v>
      </c>
      <c r="AC30" s="125">
        <f t="shared" si="10"/>
        <v>0</v>
      </c>
      <c r="AD30" s="125">
        <f t="shared" si="10"/>
        <v>0</v>
      </c>
      <c r="AE30" s="125">
        <f>AE$27*$B$30</f>
        <v>0</v>
      </c>
      <c r="AF30" s="125">
        <f t="shared" si="10"/>
        <v>0</v>
      </c>
      <c r="AG30" s="125">
        <f t="shared" si="10"/>
        <v>0</v>
      </c>
      <c r="AH30" s="125">
        <f t="shared" si="10"/>
        <v>0</v>
      </c>
      <c r="AI30" s="125">
        <f t="shared" si="10"/>
        <v>0</v>
      </c>
      <c r="AJ30" s="125">
        <f t="shared" si="10"/>
        <v>0</v>
      </c>
      <c r="AK30" s="125">
        <f t="shared" si="10"/>
        <v>0</v>
      </c>
      <c r="AL30" s="125">
        <f t="shared" si="10"/>
        <v>0</v>
      </c>
      <c r="AM30" s="125">
        <f t="shared" si="10"/>
        <v>0</v>
      </c>
      <c r="AN30" s="125">
        <f t="shared" si="10"/>
        <v>0</v>
      </c>
      <c r="AO30" s="125">
        <f t="shared" si="10"/>
        <v>0</v>
      </c>
      <c r="AP30" s="125">
        <f t="shared" si="10"/>
        <v>0</v>
      </c>
      <c r="AQ30" s="125">
        <f t="shared" si="10"/>
        <v>0</v>
      </c>
      <c r="AR30" s="125">
        <f t="shared" si="10"/>
        <v>0</v>
      </c>
      <c r="AS30" s="125">
        <f t="shared" si="10"/>
        <v>0</v>
      </c>
      <c r="AT30" s="125">
        <f t="shared" si="10"/>
        <v>0</v>
      </c>
      <c r="AU30" s="125">
        <f t="shared" si="10"/>
        <v>0</v>
      </c>
      <c r="AV30" s="125">
        <f t="shared" si="10"/>
        <v>0</v>
      </c>
      <c r="AW30" s="125">
        <f t="shared" si="10"/>
        <v>0</v>
      </c>
      <c r="AX30" s="125">
        <f t="shared" si="10"/>
        <v>0</v>
      </c>
      <c r="AY30" s="125">
        <f t="shared" si="10"/>
        <v>0</v>
      </c>
      <c r="AZ30" s="149">
        <f t="shared" si="5"/>
        <v>0</v>
      </c>
    </row>
    <row r="32" spans="1:52" x14ac:dyDescent="0.2">
      <c r="A32" s="110" t="s">
        <v>299</v>
      </c>
    </row>
    <row r="33" spans="1:52" x14ac:dyDescent="0.2">
      <c r="A33" s="143" t="s">
        <v>22</v>
      </c>
      <c r="B33" s="143" t="s">
        <v>340</v>
      </c>
      <c r="C33" s="132"/>
      <c r="D33" s="132">
        <f>D$21*shipping_manufacturing!$D$27/100</f>
        <v>0</v>
      </c>
      <c r="E33" s="132">
        <f>E$21*shipping_manufacturing!$D$27/100</f>
        <v>833.25</v>
      </c>
      <c r="F33" s="132">
        <f>F$21*shipping_manufacturing!$D$27/100</f>
        <v>833.25</v>
      </c>
      <c r="G33" s="132">
        <f>G$21*shipping_manufacturing!$D$27/100</f>
        <v>833.25</v>
      </c>
      <c r="H33" s="132">
        <f>H$21*shipping_manufacturing!$D$27/100</f>
        <v>833.25</v>
      </c>
      <c r="I33" s="132">
        <f>I$21*shipping_manufacturing!$D$27/100</f>
        <v>833.25</v>
      </c>
      <c r="J33" s="132">
        <f>J$21*shipping_manufacturing!$D$27/100</f>
        <v>833.25</v>
      </c>
      <c r="K33" s="132">
        <f>K$21*shipping_manufacturing!$D$27/100</f>
        <v>833.25</v>
      </c>
      <c r="L33" s="132">
        <f>L$21*shipping_manufacturing!$D$27/100</f>
        <v>833.25</v>
      </c>
      <c r="M33" s="132">
        <f>M$21*shipping_manufacturing!$D$27/100</f>
        <v>833.25</v>
      </c>
      <c r="N33" s="132">
        <f>N$21*shipping_manufacturing!$D$27/100</f>
        <v>833.25</v>
      </c>
      <c r="O33" s="132">
        <f>O$21*shipping_manufacturing!$D$27/100</f>
        <v>833.25</v>
      </c>
      <c r="P33" s="132">
        <f>P$21*shipping_manufacturing!$D$27/100</f>
        <v>833.25</v>
      </c>
      <c r="Q33" s="132">
        <f>Q$21*shipping_manufacturing!$D$27/100</f>
        <v>833.25</v>
      </c>
      <c r="R33" s="132">
        <f>R$21*shipping_manufacturing!$D$27/100</f>
        <v>833.25</v>
      </c>
      <c r="S33" s="132">
        <f>S$21*shipping_manufacturing!$D$27/100</f>
        <v>833.25</v>
      </c>
      <c r="T33" s="132">
        <f>T$21*shipping_manufacturing!$D$27/100</f>
        <v>833.25</v>
      </c>
      <c r="U33" s="132">
        <f>U$21*shipping_manufacturing!$D$27/100</f>
        <v>833.25</v>
      </c>
      <c r="V33" s="132">
        <f>V$21*shipping_manufacturing!$D$27/100</f>
        <v>833.25</v>
      </c>
      <c r="W33" s="132">
        <f>W$21*shipping_manufacturing!$D$27/100</f>
        <v>833.25</v>
      </c>
      <c r="X33" s="132">
        <f>X$21*shipping_manufacturing!$D$27/100</f>
        <v>833.25</v>
      </c>
      <c r="Y33" s="132">
        <f>Y$21*shipping_manufacturing!$D$27/100</f>
        <v>833.25</v>
      </c>
      <c r="Z33" s="132">
        <f>Z$21*shipping_manufacturing!$D$27/100</f>
        <v>833.25</v>
      </c>
      <c r="AA33" s="132">
        <f>AA$21*shipping_manufacturing!$D$27/100</f>
        <v>833.25</v>
      </c>
      <c r="AB33" s="132">
        <f>AB$21*shipping_manufacturing!$D$27/100</f>
        <v>833.25</v>
      </c>
      <c r="AC33" s="132">
        <f>AC$21*shipping_manufacturing!$D$27/100</f>
        <v>833.25</v>
      </c>
      <c r="AD33" s="132">
        <f>AD$21*shipping_manufacturing!$D$27/100</f>
        <v>833.25</v>
      </c>
      <c r="AE33" s="132">
        <f>AE$21*shipping_manufacturing!$D$27/100</f>
        <v>833.25</v>
      </c>
      <c r="AF33" s="132">
        <f>AF$21*shipping_manufacturing!$D$27/100</f>
        <v>833.25</v>
      </c>
      <c r="AG33" s="132">
        <f>AG$21*shipping_manufacturing!$D$27/100</f>
        <v>833.25</v>
      </c>
      <c r="AH33" s="132">
        <f>AH$21*shipping_manufacturing!$D$27/100</f>
        <v>833.25</v>
      </c>
      <c r="AI33" s="132">
        <f>AI$21*shipping_manufacturing!$D$27/100</f>
        <v>833.25</v>
      </c>
      <c r="AJ33" s="132">
        <f>AJ$21*shipping_manufacturing!$D$27/100</f>
        <v>833.25</v>
      </c>
      <c r="AK33" s="132">
        <f>AK$21*shipping_manufacturing!$D$27/100</f>
        <v>833.25</v>
      </c>
      <c r="AL33" s="132">
        <f>AL$21*shipping_manufacturing!$D$27/100</f>
        <v>833.25</v>
      </c>
      <c r="AM33" s="132">
        <f>AM$21*shipping_manufacturing!$D$27/100</f>
        <v>833.25</v>
      </c>
      <c r="AN33" s="132">
        <f>AN$21*shipping_manufacturing!$D$27/100</f>
        <v>833.25</v>
      </c>
      <c r="AO33" s="132">
        <f>AO$21*shipping_manufacturing!$D$27/100</f>
        <v>833.25</v>
      </c>
      <c r="AP33" s="132">
        <f>AP$21*shipping_manufacturing!$D$27/100</f>
        <v>833.25</v>
      </c>
      <c r="AQ33" s="132">
        <f>AQ$21*shipping_manufacturing!$D$27/100</f>
        <v>833.25</v>
      </c>
      <c r="AR33" s="132">
        <f>AR$21*shipping_manufacturing!$D$27/100</f>
        <v>833.25</v>
      </c>
      <c r="AS33" s="132">
        <f>AS$21*shipping_manufacturing!$D$27/100</f>
        <v>833.25</v>
      </c>
      <c r="AT33" s="132">
        <f>AT$21*shipping_manufacturing!$D$27/100</f>
        <v>0</v>
      </c>
      <c r="AU33" s="132">
        <f>AU$21*shipping_manufacturing!$D$27/100</f>
        <v>937</v>
      </c>
      <c r="AV33" s="132">
        <f>AV$21*shipping_manufacturing!$D$27/100</f>
        <v>833.25</v>
      </c>
      <c r="AW33" s="132">
        <f>AW$21*shipping_manufacturing!$D$27/100</f>
        <v>833.25</v>
      </c>
      <c r="AX33" s="132">
        <f>AX$21*shipping_manufacturing!$D$27/100</f>
        <v>833.25</v>
      </c>
      <c r="AY33" s="132">
        <f>AY$21*shipping_manufacturing!$D$27/100</f>
        <v>833.25</v>
      </c>
    </row>
    <row r="34" spans="1:52" x14ac:dyDescent="0.2">
      <c r="A34" s="121" t="s">
        <v>339</v>
      </c>
      <c r="B34" s="173" t="s">
        <v>341</v>
      </c>
      <c r="C34" s="118"/>
      <c r="D34" s="118">
        <f>D$22*shipping_manufacturing!$E$27/100</f>
        <v>0</v>
      </c>
      <c r="E34" s="118">
        <f>E$22*shipping_manufacturing!$E$27/100</f>
        <v>833.25</v>
      </c>
      <c r="F34" s="118">
        <f>F$22*shipping_manufacturing!$E$27/100</f>
        <v>833.25</v>
      </c>
      <c r="G34" s="118">
        <f>G$22*shipping_manufacturing!$E$27/100</f>
        <v>833.25</v>
      </c>
      <c r="H34" s="118">
        <f>H$22*shipping_manufacturing!$E$27/100</f>
        <v>833.25</v>
      </c>
      <c r="I34" s="118">
        <f>I$22*shipping_manufacturing!$E$27/100</f>
        <v>833.25</v>
      </c>
      <c r="J34" s="118">
        <f>J$22*shipping_manufacturing!$E$27/100</f>
        <v>833.25</v>
      </c>
      <c r="K34" s="118">
        <f>K$22*shipping_manufacturing!$E$27/100</f>
        <v>833.25</v>
      </c>
      <c r="L34" s="118">
        <f>L$22*shipping_manufacturing!$E$27/100</f>
        <v>833.25</v>
      </c>
      <c r="M34" s="118">
        <f>M$22*shipping_manufacturing!$E$27/100</f>
        <v>833.25</v>
      </c>
      <c r="N34" s="118">
        <f>N$22*shipping_manufacturing!$E$27/100</f>
        <v>833.25</v>
      </c>
      <c r="O34" s="118">
        <f>O$22*shipping_manufacturing!$E$27/100</f>
        <v>833.25</v>
      </c>
      <c r="P34" s="118">
        <f>P$22*shipping_manufacturing!$E$27/100</f>
        <v>833.25</v>
      </c>
      <c r="Q34" s="118">
        <f>Q$22*shipping_manufacturing!$E$27/100</f>
        <v>833.25</v>
      </c>
      <c r="R34" s="118">
        <f>R$22*shipping_manufacturing!$E$27/100</f>
        <v>833.25</v>
      </c>
      <c r="S34" s="118">
        <f>S$22*shipping_manufacturing!$E$27/100</f>
        <v>833.25</v>
      </c>
      <c r="T34" s="118">
        <f>T$22*shipping_manufacturing!$E$27/100</f>
        <v>833.25</v>
      </c>
      <c r="U34" s="118">
        <f>U$22*shipping_manufacturing!$E$27/100</f>
        <v>833.25</v>
      </c>
      <c r="V34" s="118">
        <f>V$22*shipping_manufacturing!$E$27/100</f>
        <v>833.25</v>
      </c>
      <c r="W34" s="118">
        <f>W$22*shipping_manufacturing!$E$27/100</f>
        <v>833.25</v>
      </c>
      <c r="X34" s="118">
        <f>X$22*shipping_manufacturing!$E$27/100</f>
        <v>833.25</v>
      </c>
      <c r="Y34" s="118">
        <f>Y$22*shipping_manufacturing!$E$27/100</f>
        <v>833.25</v>
      </c>
      <c r="Z34" s="118">
        <f>Z$22*shipping_manufacturing!$E$27/100</f>
        <v>833.25</v>
      </c>
      <c r="AA34" s="118">
        <f>AA$22*shipping_manufacturing!$E$27/100</f>
        <v>833.25</v>
      </c>
      <c r="AB34" s="118">
        <f>AB$22*shipping_manufacturing!$E$27/100</f>
        <v>833.25</v>
      </c>
      <c r="AC34" s="118">
        <f>AC$22*shipping_manufacturing!$E$27/100</f>
        <v>833.25</v>
      </c>
      <c r="AD34" s="118">
        <f>AD$22*shipping_manufacturing!$E$27/100</f>
        <v>833.25</v>
      </c>
      <c r="AE34" s="118">
        <f>AE$22*shipping_manufacturing!$E$27/100</f>
        <v>833.25</v>
      </c>
      <c r="AF34" s="118">
        <f>AF$22*shipping_manufacturing!$E$27/100</f>
        <v>833.25</v>
      </c>
      <c r="AG34" s="118">
        <f>AG$22*shipping_manufacturing!$E$27/100</f>
        <v>833.25</v>
      </c>
      <c r="AH34" s="118">
        <f>AH$22*shipping_manufacturing!$E$27/100</f>
        <v>833.25</v>
      </c>
      <c r="AI34" s="118">
        <f>AI$22*shipping_manufacturing!$E$27/100</f>
        <v>833.25</v>
      </c>
      <c r="AJ34" s="118">
        <f>AJ$22*shipping_manufacturing!$E$27/100</f>
        <v>833.25</v>
      </c>
      <c r="AK34" s="118">
        <f>AK$22*shipping_manufacturing!$E$27/100</f>
        <v>833.25</v>
      </c>
      <c r="AL34" s="118">
        <f>AL$22*shipping_manufacturing!$E$27/100</f>
        <v>833.25</v>
      </c>
      <c r="AM34" s="118">
        <f>AM$22*shipping_manufacturing!$E$27/100</f>
        <v>833.25</v>
      </c>
      <c r="AN34" s="118">
        <f>AN$22*shipping_manufacturing!$E$27/100</f>
        <v>833.25</v>
      </c>
      <c r="AO34" s="118">
        <f>AO$22*shipping_manufacturing!$E$27/100</f>
        <v>833.25</v>
      </c>
      <c r="AP34" s="118">
        <f>AP$22*shipping_manufacturing!$E$27/100</f>
        <v>833.25</v>
      </c>
      <c r="AQ34" s="118">
        <f>AQ$22*shipping_manufacturing!$E$27/100</f>
        <v>833.25</v>
      </c>
      <c r="AR34" s="118">
        <f>AR$22*shipping_manufacturing!$E$27/100</f>
        <v>833.25</v>
      </c>
      <c r="AS34" s="118">
        <f>AS$22*shipping_manufacturing!$E$27/100</f>
        <v>833.25</v>
      </c>
      <c r="AT34" s="118">
        <f>AT$22*shipping_manufacturing!$E$27/100</f>
        <v>0</v>
      </c>
      <c r="AU34" s="118">
        <f>AU$22*shipping_manufacturing!$E$27/100</f>
        <v>937</v>
      </c>
      <c r="AV34" s="118">
        <f>AV$22*shipping_manufacturing!$E$27/100</f>
        <v>833.25</v>
      </c>
      <c r="AW34" s="118">
        <f>AW$22*shipping_manufacturing!$E$27/100</f>
        <v>833.25</v>
      </c>
      <c r="AX34" s="118">
        <f>AX$22*shipping_manufacturing!$E$27/100</f>
        <v>833.25</v>
      </c>
      <c r="AY34" s="118">
        <f>AY$22*shipping_manufacturing!$E$27/100</f>
        <v>833.25</v>
      </c>
    </row>
    <row r="35" spans="1:52" x14ac:dyDescent="0.2">
      <c r="A35" s="118">
        <v>1245</v>
      </c>
      <c r="B35" s="173" t="s">
        <v>342</v>
      </c>
      <c r="C35" s="118"/>
      <c r="D35" s="118">
        <f>SUM(D33:D34)</f>
        <v>0</v>
      </c>
      <c r="E35" s="118">
        <f t="shared" ref="E35:AY35" si="11">SUM(E33:E34)</f>
        <v>1666.5</v>
      </c>
      <c r="F35" s="118">
        <f t="shared" si="11"/>
        <v>1666.5</v>
      </c>
      <c r="G35" s="118">
        <f t="shared" si="11"/>
        <v>1666.5</v>
      </c>
      <c r="H35" s="118">
        <f t="shared" si="11"/>
        <v>1666.5</v>
      </c>
      <c r="I35" s="118">
        <f t="shared" si="11"/>
        <v>1666.5</v>
      </c>
      <c r="J35" s="118">
        <f t="shared" si="11"/>
        <v>1666.5</v>
      </c>
      <c r="K35" s="118">
        <f t="shared" si="11"/>
        <v>1666.5</v>
      </c>
      <c r="L35" s="118">
        <f t="shared" si="11"/>
        <v>1666.5</v>
      </c>
      <c r="M35" s="118">
        <f t="shared" si="11"/>
        <v>1666.5</v>
      </c>
      <c r="N35" s="118">
        <f t="shared" si="11"/>
        <v>1666.5</v>
      </c>
      <c r="O35" s="118">
        <f t="shared" si="11"/>
        <v>1666.5</v>
      </c>
      <c r="P35" s="118">
        <f t="shared" si="11"/>
        <v>1666.5</v>
      </c>
      <c r="Q35" s="118">
        <f t="shared" si="11"/>
        <v>1666.5</v>
      </c>
      <c r="R35" s="118">
        <f t="shared" si="11"/>
        <v>1666.5</v>
      </c>
      <c r="S35" s="118">
        <f t="shared" si="11"/>
        <v>1666.5</v>
      </c>
      <c r="T35" s="118">
        <f t="shared" si="11"/>
        <v>1666.5</v>
      </c>
      <c r="U35" s="118">
        <f t="shared" si="11"/>
        <v>1666.5</v>
      </c>
      <c r="V35" s="118">
        <f t="shared" si="11"/>
        <v>1666.5</v>
      </c>
      <c r="W35" s="118">
        <f t="shared" si="11"/>
        <v>1666.5</v>
      </c>
      <c r="X35" s="118">
        <f t="shared" si="11"/>
        <v>1666.5</v>
      </c>
      <c r="Y35" s="118">
        <f t="shared" si="11"/>
        <v>1666.5</v>
      </c>
      <c r="Z35" s="118">
        <f t="shared" si="11"/>
        <v>1666.5</v>
      </c>
      <c r="AA35" s="118">
        <f t="shared" si="11"/>
        <v>1666.5</v>
      </c>
      <c r="AB35" s="118">
        <f t="shared" si="11"/>
        <v>1666.5</v>
      </c>
      <c r="AC35" s="118">
        <f t="shared" si="11"/>
        <v>1666.5</v>
      </c>
      <c r="AD35" s="118">
        <f t="shared" si="11"/>
        <v>1666.5</v>
      </c>
      <c r="AE35" s="118">
        <f t="shared" si="11"/>
        <v>1666.5</v>
      </c>
      <c r="AF35" s="118">
        <f t="shared" si="11"/>
        <v>1666.5</v>
      </c>
      <c r="AG35" s="118">
        <f t="shared" si="11"/>
        <v>1666.5</v>
      </c>
      <c r="AH35" s="118">
        <f t="shared" si="11"/>
        <v>1666.5</v>
      </c>
      <c r="AI35" s="118">
        <f t="shared" si="11"/>
        <v>1666.5</v>
      </c>
      <c r="AJ35" s="118">
        <f t="shared" si="11"/>
        <v>1666.5</v>
      </c>
      <c r="AK35" s="118">
        <f t="shared" si="11"/>
        <v>1666.5</v>
      </c>
      <c r="AL35" s="118">
        <f t="shared" si="11"/>
        <v>1666.5</v>
      </c>
      <c r="AM35" s="118">
        <f t="shared" si="11"/>
        <v>1666.5</v>
      </c>
      <c r="AN35" s="118">
        <f t="shared" si="11"/>
        <v>1666.5</v>
      </c>
      <c r="AO35" s="118">
        <f t="shared" si="11"/>
        <v>1666.5</v>
      </c>
      <c r="AP35" s="118">
        <f t="shared" si="11"/>
        <v>1666.5</v>
      </c>
      <c r="AQ35" s="118">
        <f t="shared" si="11"/>
        <v>1666.5</v>
      </c>
      <c r="AR35" s="118">
        <f t="shared" si="11"/>
        <v>1666.5</v>
      </c>
      <c r="AS35" s="118">
        <f t="shared" si="11"/>
        <v>1666.5</v>
      </c>
      <c r="AT35" s="118">
        <f t="shared" si="11"/>
        <v>0</v>
      </c>
      <c r="AU35" s="118">
        <f t="shared" si="11"/>
        <v>1874</v>
      </c>
      <c r="AV35" s="118">
        <f t="shared" si="11"/>
        <v>1666.5</v>
      </c>
      <c r="AW35" s="118">
        <f t="shared" si="11"/>
        <v>1666.5</v>
      </c>
      <c r="AX35" s="118">
        <f t="shared" si="11"/>
        <v>1666.5</v>
      </c>
      <c r="AY35" s="118">
        <f t="shared" si="11"/>
        <v>1666.5</v>
      </c>
    </row>
    <row r="36" spans="1:52" x14ac:dyDescent="0.2">
      <c r="A36" s="118"/>
      <c r="B36" s="173" t="s">
        <v>343</v>
      </c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8"/>
      <c r="AA36" s="118"/>
      <c r="AB36" s="118"/>
      <c r="AC36" s="118"/>
      <c r="AD36" s="118"/>
      <c r="AE36" s="118"/>
      <c r="AF36" s="118"/>
      <c r="AG36" s="118"/>
      <c r="AH36" s="118"/>
      <c r="AI36" s="118"/>
      <c r="AJ36" s="118"/>
      <c r="AK36" s="118"/>
      <c r="AL36" s="118"/>
      <c r="AM36" s="118"/>
      <c r="AN36" s="118"/>
      <c r="AO36" s="118"/>
      <c r="AP36" s="118"/>
      <c r="AQ36" s="118"/>
      <c r="AR36" s="118"/>
      <c r="AS36" s="118"/>
      <c r="AT36" s="118"/>
      <c r="AU36" s="118"/>
      <c r="AV36" s="118"/>
      <c r="AW36" s="118"/>
      <c r="AX36" s="118"/>
      <c r="AY36" s="118"/>
    </row>
    <row r="37" spans="1:52" x14ac:dyDescent="0.2">
      <c r="A37" s="118"/>
      <c r="B37" s="173" t="s">
        <v>344</v>
      </c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  <c r="AG37" s="118"/>
      <c r="AH37" s="118"/>
      <c r="AI37" s="118"/>
      <c r="AJ37" s="118"/>
      <c r="AK37" s="118"/>
      <c r="AL37" s="118"/>
      <c r="AM37" s="118"/>
      <c r="AN37" s="118"/>
      <c r="AO37" s="118"/>
      <c r="AP37" s="118"/>
      <c r="AQ37" s="118"/>
      <c r="AR37" s="118"/>
      <c r="AS37" s="118"/>
      <c r="AT37" s="118"/>
      <c r="AU37" s="118"/>
      <c r="AV37" s="118"/>
      <c r="AW37" s="118"/>
      <c r="AX37" s="118"/>
      <c r="AY37" s="118"/>
    </row>
    <row r="38" spans="1:52" x14ac:dyDescent="0.2">
      <c r="A38" s="118"/>
      <c r="B38" s="173" t="s">
        <v>345</v>
      </c>
      <c r="C38" s="118"/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  <c r="AG38" s="118"/>
      <c r="AH38" s="118"/>
      <c r="AI38" s="118"/>
      <c r="AJ38" s="118"/>
      <c r="AK38" s="118"/>
      <c r="AL38" s="118"/>
      <c r="AM38" s="118"/>
      <c r="AN38" s="118"/>
      <c r="AO38" s="118"/>
      <c r="AP38" s="118"/>
      <c r="AQ38" s="118"/>
      <c r="AR38" s="118"/>
      <c r="AS38" s="118"/>
      <c r="AT38" s="118"/>
      <c r="AU38" s="118"/>
      <c r="AV38" s="118"/>
      <c r="AW38" s="118"/>
      <c r="AX38" s="118"/>
      <c r="AY38" s="118"/>
    </row>
    <row r="39" spans="1:52" x14ac:dyDescent="0.2">
      <c r="A39" s="118"/>
      <c r="B39" s="173" t="s">
        <v>346</v>
      </c>
      <c r="C39" s="118"/>
      <c r="D39" s="118">
        <f>D33-D36</f>
        <v>0</v>
      </c>
      <c r="E39" s="118">
        <f t="shared" ref="E39:AY39" si="12">E33-E36</f>
        <v>833.25</v>
      </c>
      <c r="F39" s="118">
        <f t="shared" si="12"/>
        <v>833.25</v>
      </c>
      <c r="G39" s="118">
        <f t="shared" si="12"/>
        <v>833.25</v>
      </c>
      <c r="H39" s="118">
        <f t="shared" si="12"/>
        <v>833.25</v>
      </c>
      <c r="I39" s="118">
        <f t="shared" si="12"/>
        <v>833.25</v>
      </c>
      <c r="J39" s="118">
        <f t="shared" si="12"/>
        <v>833.25</v>
      </c>
      <c r="K39" s="118">
        <f t="shared" si="12"/>
        <v>833.25</v>
      </c>
      <c r="L39" s="118">
        <f t="shared" si="12"/>
        <v>833.25</v>
      </c>
      <c r="M39" s="118">
        <f t="shared" si="12"/>
        <v>833.25</v>
      </c>
      <c r="N39" s="118">
        <f t="shared" si="12"/>
        <v>833.25</v>
      </c>
      <c r="O39" s="118">
        <f t="shared" si="12"/>
        <v>833.25</v>
      </c>
      <c r="P39" s="118">
        <f t="shared" si="12"/>
        <v>833.25</v>
      </c>
      <c r="Q39" s="118">
        <f t="shared" si="12"/>
        <v>833.25</v>
      </c>
      <c r="R39" s="118">
        <f t="shared" si="12"/>
        <v>833.25</v>
      </c>
      <c r="S39" s="118">
        <f t="shared" si="12"/>
        <v>833.25</v>
      </c>
      <c r="T39" s="118">
        <f t="shared" si="12"/>
        <v>833.25</v>
      </c>
      <c r="U39" s="118">
        <f t="shared" si="12"/>
        <v>833.25</v>
      </c>
      <c r="V39" s="118">
        <f t="shared" si="12"/>
        <v>833.25</v>
      </c>
      <c r="W39" s="118">
        <f t="shared" si="12"/>
        <v>833.25</v>
      </c>
      <c r="X39" s="118">
        <f t="shared" si="12"/>
        <v>833.25</v>
      </c>
      <c r="Y39" s="118">
        <f t="shared" si="12"/>
        <v>833.25</v>
      </c>
      <c r="Z39" s="118">
        <f t="shared" si="12"/>
        <v>833.25</v>
      </c>
      <c r="AA39" s="118">
        <f t="shared" si="12"/>
        <v>833.25</v>
      </c>
      <c r="AB39" s="118">
        <f t="shared" si="12"/>
        <v>833.25</v>
      </c>
      <c r="AC39" s="118">
        <f t="shared" si="12"/>
        <v>833.25</v>
      </c>
      <c r="AD39" s="118">
        <f t="shared" si="12"/>
        <v>833.25</v>
      </c>
      <c r="AE39" s="118">
        <f t="shared" si="12"/>
        <v>833.25</v>
      </c>
      <c r="AF39" s="118">
        <f t="shared" si="12"/>
        <v>833.25</v>
      </c>
      <c r="AG39" s="118">
        <f t="shared" si="12"/>
        <v>833.25</v>
      </c>
      <c r="AH39" s="118">
        <f t="shared" si="12"/>
        <v>833.25</v>
      </c>
      <c r="AI39" s="118">
        <f t="shared" si="12"/>
        <v>833.25</v>
      </c>
      <c r="AJ39" s="118">
        <f t="shared" si="12"/>
        <v>833.25</v>
      </c>
      <c r="AK39" s="118">
        <f t="shared" si="12"/>
        <v>833.25</v>
      </c>
      <c r="AL39" s="118">
        <f t="shared" si="12"/>
        <v>833.25</v>
      </c>
      <c r="AM39" s="118">
        <f t="shared" si="12"/>
        <v>833.25</v>
      </c>
      <c r="AN39" s="118">
        <f t="shared" si="12"/>
        <v>833.25</v>
      </c>
      <c r="AO39" s="118">
        <f t="shared" si="12"/>
        <v>833.25</v>
      </c>
      <c r="AP39" s="118">
        <f t="shared" si="12"/>
        <v>833.25</v>
      </c>
      <c r="AQ39" s="118">
        <f t="shared" si="12"/>
        <v>833.25</v>
      </c>
      <c r="AR39" s="118">
        <f t="shared" si="12"/>
        <v>833.25</v>
      </c>
      <c r="AS39" s="118">
        <f t="shared" si="12"/>
        <v>833.25</v>
      </c>
      <c r="AT39" s="118">
        <f t="shared" si="12"/>
        <v>0</v>
      </c>
      <c r="AU39" s="118">
        <f t="shared" si="12"/>
        <v>937</v>
      </c>
      <c r="AV39" s="118">
        <f t="shared" si="12"/>
        <v>833.25</v>
      </c>
      <c r="AW39" s="118">
        <f t="shared" si="12"/>
        <v>833.25</v>
      </c>
      <c r="AX39" s="118">
        <f t="shared" si="12"/>
        <v>833.25</v>
      </c>
      <c r="AY39" s="118">
        <f t="shared" si="12"/>
        <v>833.25</v>
      </c>
    </row>
    <row r="40" spans="1:52" x14ac:dyDescent="0.2">
      <c r="A40" s="118"/>
      <c r="B40" s="173" t="s">
        <v>347</v>
      </c>
      <c r="C40" s="118"/>
      <c r="D40" s="118">
        <f>D34-D37</f>
        <v>0</v>
      </c>
      <c r="E40" s="118">
        <f t="shared" ref="E40:AY40" si="13">E34-E37</f>
        <v>833.25</v>
      </c>
      <c r="F40" s="118">
        <f t="shared" si="13"/>
        <v>833.25</v>
      </c>
      <c r="G40" s="118">
        <f t="shared" si="13"/>
        <v>833.25</v>
      </c>
      <c r="H40" s="118">
        <f t="shared" si="13"/>
        <v>833.25</v>
      </c>
      <c r="I40" s="118">
        <f t="shared" si="13"/>
        <v>833.25</v>
      </c>
      <c r="J40" s="118">
        <f t="shared" si="13"/>
        <v>833.25</v>
      </c>
      <c r="K40" s="118">
        <f t="shared" si="13"/>
        <v>833.25</v>
      </c>
      <c r="L40" s="118">
        <f t="shared" si="13"/>
        <v>833.25</v>
      </c>
      <c r="M40" s="118">
        <f t="shared" si="13"/>
        <v>833.25</v>
      </c>
      <c r="N40" s="118">
        <f t="shared" si="13"/>
        <v>833.25</v>
      </c>
      <c r="O40" s="118">
        <f t="shared" si="13"/>
        <v>833.25</v>
      </c>
      <c r="P40" s="118">
        <f t="shared" si="13"/>
        <v>833.25</v>
      </c>
      <c r="Q40" s="118">
        <f t="shared" si="13"/>
        <v>833.25</v>
      </c>
      <c r="R40" s="118">
        <f t="shared" si="13"/>
        <v>833.25</v>
      </c>
      <c r="S40" s="118">
        <f t="shared" si="13"/>
        <v>833.25</v>
      </c>
      <c r="T40" s="118">
        <f t="shared" si="13"/>
        <v>833.25</v>
      </c>
      <c r="U40" s="118">
        <f t="shared" si="13"/>
        <v>833.25</v>
      </c>
      <c r="V40" s="118">
        <f t="shared" si="13"/>
        <v>833.25</v>
      </c>
      <c r="W40" s="118">
        <f t="shared" si="13"/>
        <v>833.25</v>
      </c>
      <c r="X40" s="118">
        <f t="shared" si="13"/>
        <v>833.25</v>
      </c>
      <c r="Y40" s="118">
        <f t="shared" si="13"/>
        <v>833.25</v>
      </c>
      <c r="Z40" s="118">
        <f t="shared" si="13"/>
        <v>833.25</v>
      </c>
      <c r="AA40" s="118">
        <f t="shared" si="13"/>
        <v>833.25</v>
      </c>
      <c r="AB40" s="118">
        <f t="shared" si="13"/>
        <v>833.25</v>
      </c>
      <c r="AC40" s="118">
        <f t="shared" si="13"/>
        <v>833.25</v>
      </c>
      <c r="AD40" s="118">
        <f t="shared" si="13"/>
        <v>833.25</v>
      </c>
      <c r="AE40" s="118">
        <f t="shared" si="13"/>
        <v>833.25</v>
      </c>
      <c r="AF40" s="118">
        <f t="shared" si="13"/>
        <v>833.25</v>
      </c>
      <c r="AG40" s="118">
        <f t="shared" si="13"/>
        <v>833.25</v>
      </c>
      <c r="AH40" s="118">
        <f t="shared" si="13"/>
        <v>833.25</v>
      </c>
      <c r="AI40" s="118">
        <f t="shared" si="13"/>
        <v>833.25</v>
      </c>
      <c r="AJ40" s="118">
        <f t="shared" si="13"/>
        <v>833.25</v>
      </c>
      <c r="AK40" s="118">
        <f t="shared" si="13"/>
        <v>833.25</v>
      </c>
      <c r="AL40" s="118">
        <f t="shared" si="13"/>
        <v>833.25</v>
      </c>
      <c r="AM40" s="118">
        <f t="shared" si="13"/>
        <v>833.25</v>
      </c>
      <c r="AN40" s="118">
        <f t="shared" si="13"/>
        <v>833.25</v>
      </c>
      <c r="AO40" s="118">
        <f t="shared" si="13"/>
        <v>833.25</v>
      </c>
      <c r="AP40" s="118">
        <f t="shared" si="13"/>
        <v>833.25</v>
      </c>
      <c r="AQ40" s="118">
        <f t="shared" si="13"/>
        <v>833.25</v>
      </c>
      <c r="AR40" s="118">
        <f t="shared" si="13"/>
        <v>833.25</v>
      </c>
      <c r="AS40" s="118">
        <f t="shared" si="13"/>
        <v>833.25</v>
      </c>
      <c r="AT40" s="118">
        <f t="shared" si="13"/>
        <v>0</v>
      </c>
      <c r="AU40" s="118">
        <f t="shared" si="13"/>
        <v>937</v>
      </c>
      <c r="AV40" s="118">
        <f t="shared" si="13"/>
        <v>833.25</v>
      </c>
      <c r="AW40" s="118">
        <f t="shared" si="13"/>
        <v>833.25</v>
      </c>
      <c r="AX40" s="118">
        <f t="shared" si="13"/>
        <v>833.25</v>
      </c>
      <c r="AY40" s="118">
        <f t="shared" si="13"/>
        <v>833.25</v>
      </c>
    </row>
    <row r="41" spans="1:52" x14ac:dyDescent="0.2">
      <c r="A41" s="118"/>
      <c r="B41" s="173" t="s">
        <v>348</v>
      </c>
      <c r="C41" s="118"/>
      <c r="D41" s="118">
        <v>2</v>
      </c>
      <c r="E41" s="118">
        <v>1</v>
      </c>
      <c r="F41" s="118">
        <v>2</v>
      </c>
      <c r="G41" s="118">
        <v>1</v>
      </c>
      <c r="H41" s="118">
        <v>1</v>
      </c>
      <c r="I41" s="118">
        <v>2</v>
      </c>
      <c r="J41" s="118">
        <v>2</v>
      </c>
      <c r="K41" s="118">
        <v>2</v>
      </c>
      <c r="L41" s="118">
        <v>1</v>
      </c>
      <c r="M41" s="118">
        <v>3</v>
      </c>
      <c r="N41" s="118">
        <v>2</v>
      </c>
      <c r="O41" s="118">
        <v>1</v>
      </c>
      <c r="P41" s="118">
        <v>1</v>
      </c>
      <c r="Q41" s="118">
        <v>3</v>
      </c>
      <c r="R41" s="118">
        <v>3</v>
      </c>
      <c r="S41" s="118">
        <v>2</v>
      </c>
      <c r="T41" s="118">
        <v>3</v>
      </c>
      <c r="U41" s="118">
        <v>1</v>
      </c>
      <c r="V41" s="118">
        <v>1</v>
      </c>
      <c r="W41" s="118">
        <v>1</v>
      </c>
      <c r="X41" s="118">
        <v>1</v>
      </c>
      <c r="Y41" s="118">
        <v>2</v>
      </c>
      <c r="Z41" s="118">
        <v>1</v>
      </c>
      <c r="AA41" s="118">
        <v>2</v>
      </c>
      <c r="AB41" s="118">
        <v>2</v>
      </c>
      <c r="AC41" s="118">
        <v>3</v>
      </c>
      <c r="AD41" s="118">
        <v>2</v>
      </c>
      <c r="AE41" s="118">
        <v>2</v>
      </c>
      <c r="AF41" s="118">
        <v>1</v>
      </c>
      <c r="AG41" s="118">
        <v>1</v>
      </c>
      <c r="AH41" s="118">
        <v>1</v>
      </c>
      <c r="AI41" s="118">
        <v>1</v>
      </c>
      <c r="AJ41" s="118">
        <v>3</v>
      </c>
      <c r="AK41" s="118">
        <v>2</v>
      </c>
      <c r="AL41" s="118">
        <v>1</v>
      </c>
      <c r="AM41" s="118">
        <v>2</v>
      </c>
      <c r="AN41" s="118">
        <v>2</v>
      </c>
      <c r="AO41" s="118">
        <v>1</v>
      </c>
      <c r="AP41" s="118">
        <v>1</v>
      </c>
      <c r="AQ41" s="118">
        <v>3</v>
      </c>
      <c r="AR41" s="118">
        <v>1</v>
      </c>
      <c r="AS41" s="118">
        <v>1</v>
      </c>
      <c r="AT41" s="118">
        <v>1</v>
      </c>
      <c r="AU41" s="118">
        <v>1</v>
      </c>
      <c r="AV41" s="118">
        <v>1</v>
      </c>
      <c r="AW41" s="118">
        <v>1</v>
      </c>
      <c r="AX41" s="118">
        <v>1</v>
      </c>
      <c r="AY41" s="118">
        <v>1</v>
      </c>
    </row>
    <row r="42" spans="1:52" x14ac:dyDescent="0.2">
      <c r="A42" s="118"/>
      <c r="B42" s="186" t="s">
        <v>349</v>
      </c>
      <c r="C42" s="118"/>
      <c r="D42" s="118">
        <v>0</v>
      </c>
      <c r="E42" s="118">
        <v>0</v>
      </c>
      <c r="F42" s="118">
        <v>0</v>
      </c>
      <c r="G42" s="118">
        <v>0</v>
      </c>
      <c r="H42" s="118">
        <v>0</v>
      </c>
      <c r="I42" s="118">
        <v>0</v>
      </c>
      <c r="J42" s="118">
        <v>0</v>
      </c>
      <c r="K42" s="118">
        <v>0</v>
      </c>
      <c r="L42" s="118">
        <v>0</v>
      </c>
      <c r="M42" s="118">
        <v>0</v>
      </c>
      <c r="N42" s="118">
        <v>0</v>
      </c>
      <c r="O42" s="118">
        <v>0</v>
      </c>
      <c r="P42" s="118">
        <v>0</v>
      </c>
      <c r="Q42" s="118">
        <v>0</v>
      </c>
      <c r="R42" s="118">
        <v>0</v>
      </c>
      <c r="S42" s="118">
        <v>0</v>
      </c>
      <c r="T42" s="118">
        <v>0</v>
      </c>
      <c r="U42" s="118">
        <v>0</v>
      </c>
      <c r="V42" s="118">
        <v>0</v>
      </c>
      <c r="W42" s="118">
        <v>0</v>
      </c>
      <c r="X42" s="118">
        <v>0</v>
      </c>
      <c r="Y42" s="118">
        <v>0</v>
      </c>
      <c r="Z42" s="118">
        <v>0</v>
      </c>
      <c r="AA42" s="118">
        <v>0</v>
      </c>
      <c r="AB42" s="118">
        <v>0</v>
      </c>
      <c r="AC42" s="118">
        <v>0</v>
      </c>
      <c r="AD42" s="118">
        <v>0</v>
      </c>
      <c r="AE42" s="118">
        <v>0</v>
      </c>
      <c r="AF42" s="118">
        <v>0</v>
      </c>
      <c r="AG42" s="118">
        <v>0</v>
      </c>
      <c r="AH42" s="118">
        <v>0</v>
      </c>
      <c r="AI42" s="118">
        <v>0</v>
      </c>
      <c r="AJ42" s="118">
        <v>0</v>
      </c>
      <c r="AK42" s="118">
        <v>0</v>
      </c>
      <c r="AL42" s="118">
        <v>0</v>
      </c>
      <c r="AM42" s="118">
        <v>0</v>
      </c>
      <c r="AN42" s="118">
        <v>0</v>
      </c>
      <c r="AO42" s="118">
        <v>0</v>
      </c>
      <c r="AP42" s="118">
        <v>0</v>
      </c>
      <c r="AQ42" s="118">
        <v>0</v>
      </c>
      <c r="AR42" s="118">
        <v>0</v>
      </c>
      <c r="AS42" s="118">
        <v>0</v>
      </c>
      <c r="AT42" s="118">
        <v>0</v>
      </c>
      <c r="AU42" s="118">
        <v>0</v>
      </c>
      <c r="AV42" s="118">
        <v>0</v>
      </c>
      <c r="AW42" s="118">
        <v>0</v>
      </c>
      <c r="AX42" s="118">
        <v>0</v>
      </c>
      <c r="AY42" s="118">
        <v>0</v>
      </c>
      <c r="AZ42" s="108">
        <f>SUM($D$42:$AY$42)</f>
        <v>0</v>
      </c>
    </row>
    <row r="43" spans="1:52" x14ac:dyDescent="0.2">
      <c r="A43" s="118"/>
      <c r="B43" s="186" t="s">
        <v>350</v>
      </c>
      <c r="C43" s="118"/>
      <c r="D43" s="118">
        <v>0</v>
      </c>
      <c r="E43" s="118">
        <v>1348615.125</v>
      </c>
      <c r="F43" s="118">
        <v>1348615.125</v>
      </c>
      <c r="G43" s="118">
        <v>1348615.125</v>
      </c>
      <c r="H43" s="118">
        <v>1348615.125</v>
      </c>
      <c r="I43" s="118">
        <v>1348615.125</v>
      </c>
      <c r="J43" s="118">
        <v>1348615.125</v>
      </c>
      <c r="K43" s="118">
        <v>1348615.125</v>
      </c>
      <c r="L43" s="118">
        <v>1348615.125</v>
      </c>
      <c r="M43" s="118">
        <v>1348615.125</v>
      </c>
      <c r="N43" s="118">
        <v>1348615.125</v>
      </c>
      <c r="O43" s="118">
        <v>1348615.125</v>
      </c>
      <c r="P43" s="118">
        <v>1348615.125</v>
      </c>
      <c r="Q43" s="118">
        <v>1348615.125</v>
      </c>
      <c r="R43" s="118">
        <v>1348615.125</v>
      </c>
      <c r="S43" s="118">
        <v>1348615.125</v>
      </c>
      <c r="T43" s="118">
        <v>1348615.125</v>
      </c>
      <c r="U43" s="118">
        <v>1348615.125</v>
      </c>
      <c r="V43" s="118">
        <v>1348615.125</v>
      </c>
      <c r="W43" s="118">
        <v>1348615.125</v>
      </c>
      <c r="X43" s="118">
        <v>1348615.125</v>
      </c>
      <c r="Y43" s="118">
        <v>1348615.125</v>
      </c>
      <c r="Z43" s="118">
        <v>1348615.125</v>
      </c>
      <c r="AA43" s="118">
        <v>1348615.125</v>
      </c>
      <c r="AB43" s="118">
        <v>1348615.125</v>
      </c>
      <c r="AC43" s="118">
        <v>1348615.125</v>
      </c>
      <c r="AD43" s="118">
        <v>1348615.125</v>
      </c>
      <c r="AE43" s="118">
        <v>1348615.125</v>
      </c>
      <c r="AF43" s="118">
        <v>1348615.125</v>
      </c>
      <c r="AG43" s="118">
        <v>1348615.125</v>
      </c>
      <c r="AH43" s="118">
        <v>1348615.125</v>
      </c>
      <c r="AI43" s="118">
        <v>1348615.125</v>
      </c>
      <c r="AJ43" s="118">
        <v>1348615.125</v>
      </c>
      <c r="AK43" s="118">
        <v>1348615.125</v>
      </c>
      <c r="AL43" s="118">
        <v>1348615.125</v>
      </c>
      <c r="AM43" s="118">
        <v>1348615.125</v>
      </c>
      <c r="AN43" s="118">
        <v>1348615.125</v>
      </c>
      <c r="AO43" s="118">
        <v>1348615.125</v>
      </c>
      <c r="AP43" s="118">
        <v>1348615.125</v>
      </c>
      <c r="AQ43" s="118">
        <v>1348615.125</v>
      </c>
      <c r="AR43" s="118">
        <v>1348615.125</v>
      </c>
      <c r="AS43" s="118">
        <v>1348615.125</v>
      </c>
      <c r="AT43" s="118">
        <v>0</v>
      </c>
      <c r="AU43" s="118">
        <v>1516534.5</v>
      </c>
      <c r="AV43" s="118">
        <v>1348615.125</v>
      </c>
      <c r="AW43" s="118">
        <v>1348615.125</v>
      </c>
      <c r="AX43" s="118">
        <v>1348615.125</v>
      </c>
      <c r="AY43" s="118">
        <v>1348615.125</v>
      </c>
      <c r="AZ43" s="108">
        <f>SUM($D$43:$AY$43)</f>
        <v>62204215.125</v>
      </c>
    </row>
    <row r="44" spans="1:52" x14ac:dyDescent="0.2">
      <c r="A44" s="143" t="s">
        <v>59</v>
      </c>
      <c r="B44" s="143" t="s">
        <v>340</v>
      </c>
      <c r="C44" s="132"/>
      <c r="D44" s="132">
        <f>D$21*shipping_manufacturing!$D$28/100</f>
        <v>0</v>
      </c>
      <c r="E44" s="132">
        <f>E$21*shipping_manufacturing!$D$28/100</f>
        <v>833.25</v>
      </c>
      <c r="F44" s="132">
        <f>F$21*shipping_manufacturing!$D$28/100</f>
        <v>833.25</v>
      </c>
      <c r="G44" s="132">
        <f>G$21*shipping_manufacturing!$D$28/100</f>
        <v>833.25</v>
      </c>
      <c r="H44" s="132">
        <f>H$21*shipping_manufacturing!$D$28/100</f>
        <v>833.25</v>
      </c>
      <c r="I44" s="132">
        <f>I$21*shipping_manufacturing!$D$28/100</f>
        <v>833.25</v>
      </c>
      <c r="J44" s="132">
        <f>J$21*shipping_manufacturing!$D$28/100</f>
        <v>833.25</v>
      </c>
      <c r="K44" s="132">
        <f>K$21*shipping_manufacturing!$D$28/100</f>
        <v>833.25</v>
      </c>
      <c r="L44" s="132">
        <f>L$21*shipping_manufacturing!$D$28/100</f>
        <v>833.25</v>
      </c>
      <c r="M44" s="132">
        <f>M$21*shipping_manufacturing!$D$28/100</f>
        <v>833.25</v>
      </c>
      <c r="N44" s="132">
        <f>N$21*shipping_manufacturing!$D$28/100</f>
        <v>833.25</v>
      </c>
      <c r="O44" s="132">
        <f>O$21*shipping_manufacturing!$D$28/100</f>
        <v>833.25</v>
      </c>
      <c r="P44" s="132">
        <f>P$21*shipping_manufacturing!$D$28/100</f>
        <v>833.25</v>
      </c>
      <c r="Q44" s="132">
        <f>Q$21*shipping_manufacturing!$D$28/100</f>
        <v>833.25</v>
      </c>
      <c r="R44" s="132">
        <f>R$21*shipping_manufacturing!$D$28/100</f>
        <v>833.25</v>
      </c>
      <c r="S44" s="132">
        <f>S$21*shipping_manufacturing!$D$28/100</f>
        <v>833.25</v>
      </c>
      <c r="T44" s="132">
        <f>T$21*shipping_manufacturing!$D$28/100</f>
        <v>833.25</v>
      </c>
      <c r="U44" s="132">
        <f>U$21*shipping_manufacturing!$D$28/100</f>
        <v>833.25</v>
      </c>
      <c r="V44" s="132">
        <f>V$21*shipping_manufacturing!$D$28/100</f>
        <v>833.25</v>
      </c>
      <c r="W44" s="132">
        <f>W$21*shipping_manufacturing!$D$28/100</f>
        <v>833.25</v>
      </c>
      <c r="X44" s="132">
        <f>X$21*shipping_manufacturing!$D$28/100</f>
        <v>833.25</v>
      </c>
      <c r="Y44" s="132">
        <f>Y$21*shipping_manufacturing!$D$28/100</f>
        <v>833.25</v>
      </c>
      <c r="Z44" s="132">
        <f>Z$21*shipping_manufacturing!$D$28/100</f>
        <v>833.25</v>
      </c>
      <c r="AA44" s="132">
        <f>AA$21*shipping_manufacturing!$D$28/100</f>
        <v>833.25</v>
      </c>
      <c r="AB44" s="132">
        <f>AB$21*shipping_manufacturing!$D$28/100</f>
        <v>833.25</v>
      </c>
      <c r="AC44" s="132">
        <f>AC$21*shipping_manufacturing!$D$28/100</f>
        <v>833.25</v>
      </c>
      <c r="AD44" s="132">
        <f>AD$21*shipping_manufacturing!$D$28/100</f>
        <v>833.25</v>
      </c>
      <c r="AE44" s="132">
        <f>AE$21*shipping_manufacturing!$D$28/100</f>
        <v>833.25</v>
      </c>
      <c r="AF44" s="132">
        <f>AF$21*shipping_manufacturing!$D$28/100</f>
        <v>833.25</v>
      </c>
      <c r="AG44" s="132">
        <f>AG$21*shipping_manufacturing!$D$28/100</f>
        <v>833.25</v>
      </c>
      <c r="AH44" s="132">
        <f>AH$21*shipping_manufacturing!$D$28/100</f>
        <v>833.25</v>
      </c>
      <c r="AI44" s="132">
        <f>AI$21*shipping_manufacturing!$D$28/100</f>
        <v>833.25</v>
      </c>
      <c r="AJ44" s="132">
        <f>AJ$21*shipping_manufacturing!$D$28/100</f>
        <v>833.25</v>
      </c>
      <c r="AK44" s="132">
        <f>AK$21*shipping_manufacturing!$D$28/100</f>
        <v>833.25</v>
      </c>
      <c r="AL44" s="132">
        <f>AL$21*shipping_manufacturing!$D$28/100</f>
        <v>833.25</v>
      </c>
      <c r="AM44" s="132">
        <f>AM$21*shipping_manufacturing!$D$28/100</f>
        <v>833.25</v>
      </c>
      <c r="AN44" s="132">
        <f>AN$21*shipping_manufacturing!$D$28/100</f>
        <v>833.25</v>
      </c>
      <c r="AO44" s="132">
        <f>AO$21*shipping_manufacturing!$D$28/100</f>
        <v>833.25</v>
      </c>
      <c r="AP44" s="132">
        <f>AP$21*shipping_manufacturing!$D$28/100</f>
        <v>833.25</v>
      </c>
      <c r="AQ44" s="132">
        <f>AQ$21*shipping_manufacturing!$D$28/100</f>
        <v>833.25</v>
      </c>
      <c r="AR44" s="132">
        <f>AR$21*shipping_manufacturing!$D$28/100</f>
        <v>833.25</v>
      </c>
      <c r="AS44" s="132">
        <f>AS$21*shipping_manufacturing!$D$28/100</f>
        <v>833.25</v>
      </c>
      <c r="AT44" s="132">
        <f>AT$21*shipping_manufacturing!$D$28/100</f>
        <v>0</v>
      </c>
      <c r="AU44" s="132">
        <f>AU$21*shipping_manufacturing!$D$28/100</f>
        <v>937</v>
      </c>
      <c r="AV44" s="132">
        <f>AV$21*shipping_manufacturing!$D$28/100</f>
        <v>833.25</v>
      </c>
      <c r="AW44" s="132">
        <f>AW$21*shipping_manufacturing!$D$28/100</f>
        <v>833.25</v>
      </c>
      <c r="AX44" s="132">
        <f>AX$21*shipping_manufacturing!$D$28/100</f>
        <v>833.25</v>
      </c>
      <c r="AY44" s="132">
        <f>AY$21*shipping_manufacturing!$D$28/100</f>
        <v>833.25</v>
      </c>
    </row>
    <row r="45" spans="1:52" x14ac:dyDescent="0.2">
      <c r="A45" s="121" t="s">
        <v>339</v>
      </c>
      <c r="B45" s="173" t="s">
        <v>341</v>
      </c>
      <c r="C45" s="118"/>
      <c r="D45" s="118">
        <f>D$22*shipping_manufacturing!$E$28/100</f>
        <v>0</v>
      </c>
      <c r="E45" s="118">
        <f>E$22*shipping_manufacturing!$E$28/100</f>
        <v>833.25</v>
      </c>
      <c r="F45" s="118">
        <f>F$22*shipping_manufacturing!$E$28/100</f>
        <v>833.25</v>
      </c>
      <c r="G45" s="118">
        <f>G$22*shipping_manufacturing!$E$28/100</f>
        <v>833.25</v>
      </c>
      <c r="H45" s="118">
        <f>H$22*shipping_manufacturing!$E$28/100</f>
        <v>833.25</v>
      </c>
      <c r="I45" s="118">
        <f>I$22*shipping_manufacturing!$E$28/100</f>
        <v>833.25</v>
      </c>
      <c r="J45" s="118">
        <f>J$22*shipping_manufacturing!$E$28/100</f>
        <v>833.25</v>
      </c>
      <c r="K45" s="118">
        <f>K$22*shipping_manufacturing!$E$28/100</f>
        <v>833.25</v>
      </c>
      <c r="L45" s="118">
        <f>L$22*shipping_manufacturing!$E$28/100</f>
        <v>833.25</v>
      </c>
      <c r="M45" s="118">
        <f>M$22*shipping_manufacturing!$E$28/100</f>
        <v>833.25</v>
      </c>
      <c r="N45" s="118">
        <f>N$22*shipping_manufacturing!$E$28/100</f>
        <v>833.25</v>
      </c>
      <c r="O45" s="118">
        <f>O$22*shipping_manufacturing!$E$28/100</f>
        <v>833.25</v>
      </c>
      <c r="P45" s="118">
        <f>P$22*shipping_manufacturing!$E$28/100</f>
        <v>833.25</v>
      </c>
      <c r="Q45" s="118">
        <f>Q$22*shipping_manufacturing!$E$28/100</f>
        <v>833.25</v>
      </c>
      <c r="R45" s="118">
        <f>R$22*shipping_manufacturing!$E$28/100</f>
        <v>833.25</v>
      </c>
      <c r="S45" s="118">
        <f>S$22*shipping_manufacturing!$E$28/100</f>
        <v>833.25</v>
      </c>
      <c r="T45" s="118">
        <f>T$22*shipping_manufacturing!$E$28/100</f>
        <v>833.25</v>
      </c>
      <c r="U45" s="118">
        <f>U$22*shipping_manufacturing!$E$28/100</f>
        <v>833.25</v>
      </c>
      <c r="V45" s="118">
        <f>V$22*shipping_manufacturing!$E$28/100</f>
        <v>833.25</v>
      </c>
      <c r="W45" s="118">
        <f>W$22*shipping_manufacturing!$E$28/100</f>
        <v>833.25</v>
      </c>
      <c r="X45" s="118">
        <f>X$22*shipping_manufacturing!$E$28/100</f>
        <v>833.25</v>
      </c>
      <c r="Y45" s="118">
        <f>Y$22*shipping_manufacturing!$E$28/100</f>
        <v>833.25</v>
      </c>
      <c r="Z45" s="118">
        <f>Z$22*shipping_manufacturing!$E$28/100</f>
        <v>833.25</v>
      </c>
      <c r="AA45" s="118">
        <f>AA$22*shipping_manufacturing!$E$28/100</f>
        <v>833.25</v>
      </c>
      <c r="AB45" s="118">
        <f>AB$22*shipping_manufacturing!$E$28/100</f>
        <v>833.25</v>
      </c>
      <c r="AC45" s="118">
        <f>AC$22*shipping_manufacturing!$E$28/100</f>
        <v>833.25</v>
      </c>
      <c r="AD45" s="118">
        <f>AD$22*shipping_manufacturing!$E$28/100</f>
        <v>833.25</v>
      </c>
      <c r="AE45" s="118">
        <f>AE$22*shipping_manufacturing!$E$28/100</f>
        <v>833.25</v>
      </c>
      <c r="AF45" s="118">
        <f>AF$22*shipping_manufacturing!$E$28/100</f>
        <v>833.25</v>
      </c>
      <c r="AG45" s="118">
        <f>AG$22*shipping_manufacturing!$E$28/100</f>
        <v>833.25</v>
      </c>
      <c r="AH45" s="118">
        <f>AH$22*shipping_manufacturing!$E$28/100</f>
        <v>833.25</v>
      </c>
      <c r="AI45" s="118">
        <f>AI$22*shipping_manufacturing!$E$28/100</f>
        <v>833.25</v>
      </c>
      <c r="AJ45" s="118">
        <f>AJ$22*shipping_manufacturing!$E$28/100</f>
        <v>833.25</v>
      </c>
      <c r="AK45" s="118">
        <f>AK$22*shipping_manufacturing!$E$28/100</f>
        <v>833.25</v>
      </c>
      <c r="AL45" s="118">
        <f>AL$22*shipping_manufacturing!$E$28/100</f>
        <v>833.25</v>
      </c>
      <c r="AM45" s="118">
        <f>AM$22*shipping_manufacturing!$E$28/100</f>
        <v>833.25</v>
      </c>
      <c r="AN45" s="118">
        <f>AN$22*shipping_manufacturing!$E$28/100</f>
        <v>833.25</v>
      </c>
      <c r="AO45" s="118">
        <f>AO$22*shipping_manufacturing!$E$28/100</f>
        <v>833.25</v>
      </c>
      <c r="AP45" s="118">
        <f>AP$22*shipping_manufacturing!$E$28/100</f>
        <v>833.25</v>
      </c>
      <c r="AQ45" s="118">
        <f>AQ$22*shipping_manufacturing!$E$28/100</f>
        <v>833.25</v>
      </c>
      <c r="AR45" s="118">
        <f>AR$22*shipping_manufacturing!$E$28/100</f>
        <v>833.25</v>
      </c>
      <c r="AS45" s="118">
        <f>AS$22*shipping_manufacturing!$E$28/100</f>
        <v>833.25</v>
      </c>
      <c r="AT45" s="118">
        <f>AT$22*shipping_manufacturing!$E$28/100</f>
        <v>0</v>
      </c>
      <c r="AU45" s="118">
        <f>AU$22*shipping_manufacturing!$E$28/100</f>
        <v>937</v>
      </c>
      <c r="AV45" s="118">
        <f>AV$22*shipping_manufacturing!$E$28/100</f>
        <v>833.25</v>
      </c>
      <c r="AW45" s="118">
        <f>AW$22*shipping_manufacturing!$E$28/100</f>
        <v>833.25</v>
      </c>
      <c r="AX45" s="118">
        <f>AX$22*shipping_manufacturing!$E$28/100</f>
        <v>833.25</v>
      </c>
      <c r="AY45" s="118">
        <f>AY$22*shipping_manufacturing!$E$28/100</f>
        <v>833.25</v>
      </c>
    </row>
    <row r="46" spans="1:52" x14ac:dyDescent="0.2">
      <c r="A46" s="118">
        <v>495</v>
      </c>
      <c r="B46" s="173" t="s">
        <v>342</v>
      </c>
      <c r="C46" s="118"/>
      <c r="D46" s="118">
        <f>SUM(D44:D45)</f>
        <v>0</v>
      </c>
      <c r="E46" s="118">
        <f t="shared" ref="E46:AY46" si="14">SUM(E44:E45)</f>
        <v>1666.5</v>
      </c>
      <c r="F46" s="118">
        <f t="shared" si="14"/>
        <v>1666.5</v>
      </c>
      <c r="G46" s="118">
        <f t="shared" si="14"/>
        <v>1666.5</v>
      </c>
      <c r="H46" s="118">
        <f t="shared" si="14"/>
        <v>1666.5</v>
      </c>
      <c r="I46" s="118">
        <f t="shared" si="14"/>
        <v>1666.5</v>
      </c>
      <c r="J46" s="118">
        <f t="shared" si="14"/>
        <v>1666.5</v>
      </c>
      <c r="K46" s="118">
        <f t="shared" si="14"/>
        <v>1666.5</v>
      </c>
      <c r="L46" s="118">
        <f t="shared" si="14"/>
        <v>1666.5</v>
      </c>
      <c r="M46" s="118">
        <f t="shared" si="14"/>
        <v>1666.5</v>
      </c>
      <c r="N46" s="118">
        <f t="shared" si="14"/>
        <v>1666.5</v>
      </c>
      <c r="O46" s="118">
        <f t="shared" si="14"/>
        <v>1666.5</v>
      </c>
      <c r="P46" s="118">
        <f t="shared" si="14"/>
        <v>1666.5</v>
      </c>
      <c r="Q46" s="118">
        <f t="shared" si="14"/>
        <v>1666.5</v>
      </c>
      <c r="R46" s="118">
        <f t="shared" si="14"/>
        <v>1666.5</v>
      </c>
      <c r="S46" s="118">
        <f t="shared" si="14"/>
        <v>1666.5</v>
      </c>
      <c r="T46" s="118">
        <f t="shared" si="14"/>
        <v>1666.5</v>
      </c>
      <c r="U46" s="118">
        <f t="shared" si="14"/>
        <v>1666.5</v>
      </c>
      <c r="V46" s="118">
        <f t="shared" si="14"/>
        <v>1666.5</v>
      </c>
      <c r="W46" s="118">
        <f t="shared" si="14"/>
        <v>1666.5</v>
      </c>
      <c r="X46" s="118">
        <f t="shared" si="14"/>
        <v>1666.5</v>
      </c>
      <c r="Y46" s="118">
        <f t="shared" si="14"/>
        <v>1666.5</v>
      </c>
      <c r="Z46" s="118">
        <f t="shared" si="14"/>
        <v>1666.5</v>
      </c>
      <c r="AA46" s="118">
        <f t="shared" si="14"/>
        <v>1666.5</v>
      </c>
      <c r="AB46" s="118">
        <f t="shared" si="14"/>
        <v>1666.5</v>
      </c>
      <c r="AC46" s="118">
        <f t="shared" si="14"/>
        <v>1666.5</v>
      </c>
      <c r="AD46" s="118">
        <f t="shared" si="14"/>
        <v>1666.5</v>
      </c>
      <c r="AE46" s="118">
        <f t="shared" si="14"/>
        <v>1666.5</v>
      </c>
      <c r="AF46" s="118">
        <f t="shared" si="14"/>
        <v>1666.5</v>
      </c>
      <c r="AG46" s="118">
        <f t="shared" si="14"/>
        <v>1666.5</v>
      </c>
      <c r="AH46" s="118">
        <f t="shared" si="14"/>
        <v>1666.5</v>
      </c>
      <c r="AI46" s="118">
        <f t="shared" si="14"/>
        <v>1666.5</v>
      </c>
      <c r="AJ46" s="118">
        <f t="shared" si="14"/>
        <v>1666.5</v>
      </c>
      <c r="AK46" s="118">
        <f t="shared" si="14"/>
        <v>1666.5</v>
      </c>
      <c r="AL46" s="118">
        <f t="shared" si="14"/>
        <v>1666.5</v>
      </c>
      <c r="AM46" s="118">
        <f t="shared" si="14"/>
        <v>1666.5</v>
      </c>
      <c r="AN46" s="118">
        <f t="shared" si="14"/>
        <v>1666.5</v>
      </c>
      <c r="AO46" s="118">
        <f t="shared" si="14"/>
        <v>1666.5</v>
      </c>
      <c r="AP46" s="118">
        <f t="shared" si="14"/>
        <v>1666.5</v>
      </c>
      <c r="AQ46" s="118">
        <f t="shared" si="14"/>
        <v>1666.5</v>
      </c>
      <c r="AR46" s="118">
        <f t="shared" si="14"/>
        <v>1666.5</v>
      </c>
      <c r="AS46" s="118">
        <f t="shared" si="14"/>
        <v>1666.5</v>
      </c>
      <c r="AT46" s="118">
        <f t="shared" si="14"/>
        <v>0</v>
      </c>
      <c r="AU46" s="118">
        <f t="shared" si="14"/>
        <v>1874</v>
      </c>
      <c r="AV46" s="118">
        <f t="shared" si="14"/>
        <v>1666.5</v>
      </c>
      <c r="AW46" s="118">
        <f t="shared" si="14"/>
        <v>1666.5</v>
      </c>
      <c r="AX46" s="118">
        <f t="shared" si="14"/>
        <v>1666.5</v>
      </c>
      <c r="AY46" s="118">
        <f t="shared" si="14"/>
        <v>1666.5</v>
      </c>
    </row>
    <row r="47" spans="1:52" x14ac:dyDescent="0.2">
      <c r="A47" s="118"/>
      <c r="B47" s="173" t="s">
        <v>343</v>
      </c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118"/>
      <c r="N47" s="118"/>
      <c r="O47" s="118"/>
      <c r="P47" s="118"/>
      <c r="Q47" s="118"/>
      <c r="R47" s="118"/>
      <c r="S47" s="118"/>
      <c r="T47" s="118"/>
      <c r="U47" s="118"/>
      <c r="V47" s="118"/>
      <c r="W47" s="118"/>
      <c r="X47" s="118"/>
      <c r="Y47" s="118"/>
      <c r="Z47" s="118"/>
      <c r="AA47" s="118"/>
      <c r="AB47" s="118"/>
      <c r="AC47" s="118"/>
      <c r="AD47" s="118"/>
      <c r="AE47" s="118"/>
      <c r="AF47" s="118"/>
      <c r="AG47" s="118"/>
      <c r="AH47" s="118"/>
      <c r="AI47" s="118"/>
      <c r="AJ47" s="118"/>
      <c r="AK47" s="118"/>
      <c r="AL47" s="118"/>
      <c r="AM47" s="118"/>
      <c r="AN47" s="118"/>
      <c r="AO47" s="118"/>
      <c r="AP47" s="118"/>
      <c r="AQ47" s="118"/>
      <c r="AR47" s="118"/>
      <c r="AS47" s="118"/>
      <c r="AT47" s="118"/>
      <c r="AU47" s="118"/>
      <c r="AV47" s="118"/>
      <c r="AW47" s="118"/>
      <c r="AX47" s="118"/>
      <c r="AY47" s="118"/>
    </row>
    <row r="48" spans="1:52" x14ac:dyDescent="0.2">
      <c r="A48" s="118"/>
      <c r="B48" s="173" t="s">
        <v>344</v>
      </c>
      <c r="C48" s="118"/>
      <c r="D48" s="118"/>
      <c r="E48" s="118"/>
      <c r="F48" s="118"/>
      <c r="G48" s="118"/>
      <c r="H48" s="118"/>
      <c r="I48" s="118"/>
      <c r="J48" s="118"/>
      <c r="K48" s="118"/>
      <c r="L48" s="118"/>
      <c r="M48" s="118"/>
      <c r="N48" s="118"/>
      <c r="O48" s="118"/>
      <c r="P48" s="118"/>
      <c r="Q48" s="118"/>
      <c r="R48" s="118"/>
      <c r="S48" s="118"/>
      <c r="T48" s="118"/>
      <c r="U48" s="118"/>
      <c r="V48" s="118"/>
      <c r="W48" s="118"/>
      <c r="X48" s="118"/>
      <c r="Y48" s="118"/>
      <c r="Z48" s="118"/>
      <c r="AA48" s="118"/>
      <c r="AB48" s="118"/>
      <c r="AC48" s="118"/>
      <c r="AD48" s="118"/>
      <c r="AE48" s="118"/>
      <c r="AF48" s="118"/>
      <c r="AG48" s="118"/>
      <c r="AH48" s="118"/>
      <c r="AI48" s="118"/>
      <c r="AJ48" s="118"/>
      <c r="AK48" s="118"/>
      <c r="AL48" s="118"/>
      <c r="AM48" s="118"/>
      <c r="AN48" s="118"/>
      <c r="AO48" s="118"/>
      <c r="AP48" s="118"/>
      <c r="AQ48" s="118"/>
      <c r="AR48" s="118"/>
      <c r="AS48" s="118"/>
      <c r="AT48" s="118"/>
      <c r="AU48" s="118"/>
      <c r="AV48" s="118"/>
      <c r="AW48" s="118"/>
      <c r="AX48" s="118"/>
      <c r="AY48" s="118"/>
    </row>
    <row r="49" spans="1:52" x14ac:dyDescent="0.2">
      <c r="A49" s="118"/>
      <c r="B49" s="173" t="s">
        <v>345</v>
      </c>
      <c r="C49" s="118"/>
      <c r="D49" s="118"/>
      <c r="E49" s="118"/>
      <c r="F49" s="118"/>
      <c r="G49" s="118"/>
      <c r="H49" s="118"/>
      <c r="I49" s="118"/>
      <c r="J49" s="118"/>
      <c r="K49" s="118"/>
      <c r="L49" s="118"/>
      <c r="M49" s="118"/>
      <c r="N49" s="118"/>
      <c r="O49" s="118"/>
      <c r="P49" s="118"/>
      <c r="Q49" s="118"/>
      <c r="R49" s="118"/>
      <c r="S49" s="118"/>
      <c r="T49" s="118"/>
      <c r="U49" s="118"/>
      <c r="V49" s="118"/>
      <c r="W49" s="118"/>
      <c r="X49" s="118"/>
      <c r="Y49" s="118"/>
      <c r="Z49" s="118"/>
      <c r="AA49" s="118"/>
      <c r="AB49" s="118"/>
      <c r="AC49" s="118"/>
      <c r="AD49" s="118"/>
      <c r="AE49" s="118"/>
      <c r="AF49" s="118"/>
      <c r="AG49" s="118"/>
      <c r="AH49" s="118"/>
      <c r="AI49" s="118"/>
      <c r="AJ49" s="118"/>
      <c r="AK49" s="118"/>
      <c r="AL49" s="118"/>
      <c r="AM49" s="118"/>
      <c r="AN49" s="118"/>
      <c r="AO49" s="118"/>
      <c r="AP49" s="118"/>
      <c r="AQ49" s="118"/>
      <c r="AR49" s="118"/>
      <c r="AS49" s="118"/>
      <c r="AT49" s="118"/>
      <c r="AU49" s="118"/>
      <c r="AV49" s="118"/>
      <c r="AW49" s="118"/>
      <c r="AX49" s="118"/>
      <c r="AY49" s="118"/>
    </row>
    <row r="50" spans="1:52" x14ac:dyDescent="0.2">
      <c r="A50" s="118"/>
      <c r="B50" s="173" t="s">
        <v>346</v>
      </c>
      <c r="C50" s="118"/>
      <c r="D50" s="118">
        <f>D44-D47</f>
        <v>0</v>
      </c>
      <c r="E50" s="118">
        <f t="shared" ref="E50:AY50" si="15">E44-E47</f>
        <v>833.25</v>
      </c>
      <c r="F50" s="118">
        <f t="shared" si="15"/>
        <v>833.25</v>
      </c>
      <c r="G50" s="118">
        <f t="shared" si="15"/>
        <v>833.25</v>
      </c>
      <c r="H50" s="118">
        <f t="shared" si="15"/>
        <v>833.25</v>
      </c>
      <c r="I50" s="118">
        <f t="shared" si="15"/>
        <v>833.25</v>
      </c>
      <c r="J50" s="118">
        <f t="shared" si="15"/>
        <v>833.25</v>
      </c>
      <c r="K50" s="118">
        <f t="shared" si="15"/>
        <v>833.25</v>
      </c>
      <c r="L50" s="118">
        <f t="shared" si="15"/>
        <v>833.25</v>
      </c>
      <c r="M50" s="118">
        <f t="shared" si="15"/>
        <v>833.25</v>
      </c>
      <c r="N50" s="118">
        <f t="shared" si="15"/>
        <v>833.25</v>
      </c>
      <c r="O50" s="118">
        <f t="shared" si="15"/>
        <v>833.25</v>
      </c>
      <c r="P50" s="118">
        <f t="shared" si="15"/>
        <v>833.25</v>
      </c>
      <c r="Q50" s="118">
        <f t="shared" si="15"/>
        <v>833.25</v>
      </c>
      <c r="R50" s="118">
        <f t="shared" si="15"/>
        <v>833.25</v>
      </c>
      <c r="S50" s="118">
        <f t="shared" si="15"/>
        <v>833.25</v>
      </c>
      <c r="T50" s="118">
        <f t="shared" si="15"/>
        <v>833.25</v>
      </c>
      <c r="U50" s="118">
        <f t="shared" si="15"/>
        <v>833.25</v>
      </c>
      <c r="V50" s="118">
        <f t="shared" si="15"/>
        <v>833.25</v>
      </c>
      <c r="W50" s="118">
        <f t="shared" si="15"/>
        <v>833.25</v>
      </c>
      <c r="X50" s="118">
        <f t="shared" si="15"/>
        <v>833.25</v>
      </c>
      <c r="Y50" s="118">
        <f t="shared" si="15"/>
        <v>833.25</v>
      </c>
      <c r="Z50" s="118">
        <f t="shared" si="15"/>
        <v>833.25</v>
      </c>
      <c r="AA50" s="118">
        <f t="shared" si="15"/>
        <v>833.25</v>
      </c>
      <c r="AB50" s="118">
        <f t="shared" si="15"/>
        <v>833.25</v>
      </c>
      <c r="AC50" s="118">
        <f t="shared" si="15"/>
        <v>833.25</v>
      </c>
      <c r="AD50" s="118">
        <f t="shared" si="15"/>
        <v>833.25</v>
      </c>
      <c r="AE50" s="118">
        <f t="shared" si="15"/>
        <v>833.25</v>
      </c>
      <c r="AF50" s="118">
        <f t="shared" si="15"/>
        <v>833.25</v>
      </c>
      <c r="AG50" s="118">
        <f t="shared" si="15"/>
        <v>833.25</v>
      </c>
      <c r="AH50" s="118">
        <f t="shared" si="15"/>
        <v>833.25</v>
      </c>
      <c r="AI50" s="118">
        <f t="shared" si="15"/>
        <v>833.25</v>
      </c>
      <c r="AJ50" s="118">
        <f t="shared" si="15"/>
        <v>833.25</v>
      </c>
      <c r="AK50" s="118">
        <f t="shared" si="15"/>
        <v>833.25</v>
      </c>
      <c r="AL50" s="118">
        <f t="shared" si="15"/>
        <v>833.25</v>
      </c>
      <c r="AM50" s="118">
        <f t="shared" si="15"/>
        <v>833.25</v>
      </c>
      <c r="AN50" s="118">
        <f t="shared" si="15"/>
        <v>833.25</v>
      </c>
      <c r="AO50" s="118">
        <f t="shared" si="15"/>
        <v>833.25</v>
      </c>
      <c r="AP50" s="118">
        <f t="shared" si="15"/>
        <v>833.25</v>
      </c>
      <c r="AQ50" s="118">
        <f t="shared" si="15"/>
        <v>833.25</v>
      </c>
      <c r="AR50" s="118">
        <f t="shared" si="15"/>
        <v>833.25</v>
      </c>
      <c r="AS50" s="118">
        <f t="shared" si="15"/>
        <v>833.25</v>
      </c>
      <c r="AT50" s="118">
        <f t="shared" si="15"/>
        <v>0</v>
      </c>
      <c r="AU50" s="118">
        <f t="shared" si="15"/>
        <v>937</v>
      </c>
      <c r="AV50" s="118">
        <f t="shared" si="15"/>
        <v>833.25</v>
      </c>
      <c r="AW50" s="118">
        <f t="shared" si="15"/>
        <v>833.25</v>
      </c>
      <c r="AX50" s="118">
        <f t="shared" si="15"/>
        <v>833.25</v>
      </c>
      <c r="AY50" s="118">
        <f t="shared" si="15"/>
        <v>833.25</v>
      </c>
    </row>
    <row r="51" spans="1:52" x14ac:dyDescent="0.2">
      <c r="A51" s="118"/>
      <c r="B51" s="173" t="s">
        <v>347</v>
      </c>
      <c r="C51" s="118"/>
      <c r="D51" s="118">
        <f>D45-D48</f>
        <v>0</v>
      </c>
      <c r="E51" s="118">
        <f t="shared" ref="E51:AY51" si="16">E45-E48</f>
        <v>833.25</v>
      </c>
      <c r="F51" s="118">
        <f t="shared" si="16"/>
        <v>833.25</v>
      </c>
      <c r="G51" s="118">
        <f t="shared" si="16"/>
        <v>833.25</v>
      </c>
      <c r="H51" s="118">
        <f t="shared" si="16"/>
        <v>833.25</v>
      </c>
      <c r="I51" s="118">
        <f t="shared" si="16"/>
        <v>833.25</v>
      </c>
      <c r="J51" s="118">
        <f t="shared" si="16"/>
        <v>833.25</v>
      </c>
      <c r="K51" s="118">
        <f t="shared" si="16"/>
        <v>833.25</v>
      </c>
      <c r="L51" s="118">
        <f t="shared" si="16"/>
        <v>833.25</v>
      </c>
      <c r="M51" s="118">
        <f t="shared" si="16"/>
        <v>833.25</v>
      </c>
      <c r="N51" s="118">
        <f t="shared" si="16"/>
        <v>833.25</v>
      </c>
      <c r="O51" s="118">
        <f t="shared" si="16"/>
        <v>833.25</v>
      </c>
      <c r="P51" s="118">
        <f t="shared" si="16"/>
        <v>833.25</v>
      </c>
      <c r="Q51" s="118">
        <f t="shared" si="16"/>
        <v>833.25</v>
      </c>
      <c r="R51" s="118">
        <f t="shared" si="16"/>
        <v>833.25</v>
      </c>
      <c r="S51" s="118">
        <f t="shared" si="16"/>
        <v>833.25</v>
      </c>
      <c r="T51" s="118">
        <f t="shared" si="16"/>
        <v>833.25</v>
      </c>
      <c r="U51" s="118">
        <f t="shared" si="16"/>
        <v>833.25</v>
      </c>
      <c r="V51" s="118">
        <f t="shared" si="16"/>
        <v>833.25</v>
      </c>
      <c r="W51" s="118">
        <f t="shared" si="16"/>
        <v>833.25</v>
      </c>
      <c r="X51" s="118">
        <f t="shared" si="16"/>
        <v>833.25</v>
      </c>
      <c r="Y51" s="118">
        <f t="shared" si="16"/>
        <v>833.25</v>
      </c>
      <c r="Z51" s="118">
        <f t="shared" si="16"/>
        <v>833.25</v>
      </c>
      <c r="AA51" s="118">
        <f t="shared" si="16"/>
        <v>833.25</v>
      </c>
      <c r="AB51" s="118">
        <f t="shared" si="16"/>
        <v>833.25</v>
      </c>
      <c r="AC51" s="118">
        <f t="shared" si="16"/>
        <v>833.25</v>
      </c>
      <c r="AD51" s="118">
        <f t="shared" si="16"/>
        <v>833.25</v>
      </c>
      <c r="AE51" s="118">
        <f t="shared" si="16"/>
        <v>833.25</v>
      </c>
      <c r="AF51" s="118">
        <f t="shared" si="16"/>
        <v>833.25</v>
      </c>
      <c r="AG51" s="118">
        <f t="shared" si="16"/>
        <v>833.25</v>
      </c>
      <c r="AH51" s="118">
        <f t="shared" si="16"/>
        <v>833.25</v>
      </c>
      <c r="AI51" s="118">
        <f t="shared" si="16"/>
        <v>833.25</v>
      </c>
      <c r="AJ51" s="118">
        <f t="shared" si="16"/>
        <v>833.25</v>
      </c>
      <c r="AK51" s="118">
        <f t="shared" si="16"/>
        <v>833.25</v>
      </c>
      <c r="AL51" s="118">
        <f t="shared" si="16"/>
        <v>833.25</v>
      </c>
      <c r="AM51" s="118">
        <f t="shared" si="16"/>
        <v>833.25</v>
      </c>
      <c r="AN51" s="118">
        <f t="shared" si="16"/>
        <v>833.25</v>
      </c>
      <c r="AO51" s="118">
        <f t="shared" si="16"/>
        <v>833.25</v>
      </c>
      <c r="AP51" s="118">
        <f t="shared" si="16"/>
        <v>833.25</v>
      </c>
      <c r="AQ51" s="118">
        <f t="shared" si="16"/>
        <v>833.25</v>
      </c>
      <c r="AR51" s="118">
        <f t="shared" si="16"/>
        <v>833.25</v>
      </c>
      <c r="AS51" s="118">
        <f t="shared" si="16"/>
        <v>833.25</v>
      </c>
      <c r="AT51" s="118">
        <f t="shared" si="16"/>
        <v>0</v>
      </c>
      <c r="AU51" s="118">
        <f t="shared" si="16"/>
        <v>937</v>
      </c>
      <c r="AV51" s="118">
        <f t="shared" si="16"/>
        <v>833.25</v>
      </c>
      <c r="AW51" s="118">
        <f t="shared" si="16"/>
        <v>833.25</v>
      </c>
      <c r="AX51" s="118">
        <f t="shared" si="16"/>
        <v>833.25</v>
      </c>
      <c r="AY51" s="118">
        <f t="shared" si="16"/>
        <v>833.25</v>
      </c>
    </row>
    <row r="52" spans="1:52" x14ac:dyDescent="0.2">
      <c r="A52" s="118"/>
      <c r="B52" s="173" t="s">
        <v>348</v>
      </c>
      <c r="C52" s="118"/>
      <c r="D52" s="118">
        <v>2</v>
      </c>
      <c r="E52" s="118">
        <v>3</v>
      </c>
      <c r="F52" s="118">
        <v>2</v>
      </c>
      <c r="G52" s="118">
        <v>1</v>
      </c>
      <c r="H52" s="118">
        <v>1</v>
      </c>
      <c r="I52" s="118">
        <v>1</v>
      </c>
      <c r="J52" s="118">
        <v>1</v>
      </c>
      <c r="K52" s="118">
        <v>2</v>
      </c>
      <c r="L52" s="118">
        <v>1</v>
      </c>
      <c r="M52" s="118">
        <v>1</v>
      </c>
      <c r="N52" s="118">
        <v>1</v>
      </c>
      <c r="O52" s="118">
        <v>2</v>
      </c>
      <c r="P52" s="118">
        <v>3</v>
      </c>
      <c r="Q52" s="118">
        <v>1</v>
      </c>
      <c r="R52" s="118">
        <v>3</v>
      </c>
      <c r="S52" s="118">
        <v>2</v>
      </c>
      <c r="T52" s="118">
        <v>1</v>
      </c>
      <c r="U52" s="118">
        <v>1</v>
      </c>
      <c r="V52" s="118">
        <v>2</v>
      </c>
      <c r="W52" s="118">
        <v>1</v>
      </c>
      <c r="X52" s="118">
        <v>2</v>
      </c>
      <c r="Y52" s="118">
        <v>1</v>
      </c>
      <c r="Z52" s="118">
        <v>1</v>
      </c>
      <c r="AA52" s="118">
        <v>1</v>
      </c>
      <c r="AB52" s="118">
        <v>2</v>
      </c>
      <c r="AC52" s="118">
        <v>1</v>
      </c>
      <c r="AD52" s="118">
        <v>2</v>
      </c>
      <c r="AE52" s="118">
        <v>1</v>
      </c>
      <c r="AF52" s="118">
        <v>1</v>
      </c>
      <c r="AG52" s="118">
        <v>1</v>
      </c>
      <c r="AH52" s="118">
        <v>1</v>
      </c>
      <c r="AI52" s="118">
        <v>1</v>
      </c>
      <c r="AJ52" s="118">
        <v>1</v>
      </c>
      <c r="AK52" s="118">
        <v>1</v>
      </c>
      <c r="AL52" s="118">
        <v>2</v>
      </c>
      <c r="AM52" s="118">
        <v>1</v>
      </c>
      <c r="AN52" s="118">
        <v>1</v>
      </c>
      <c r="AO52" s="118">
        <v>2</v>
      </c>
      <c r="AP52" s="118">
        <v>1</v>
      </c>
      <c r="AQ52" s="118">
        <v>3</v>
      </c>
      <c r="AR52" s="118">
        <v>2</v>
      </c>
      <c r="AS52" s="118">
        <v>2</v>
      </c>
      <c r="AT52" s="118">
        <v>2</v>
      </c>
      <c r="AU52" s="118">
        <v>1</v>
      </c>
      <c r="AV52" s="118">
        <v>3</v>
      </c>
      <c r="AW52" s="118">
        <v>2</v>
      </c>
      <c r="AX52" s="118">
        <v>2</v>
      </c>
      <c r="AY52" s="118">
        <v>3</v>
      </c>
    </row>
    <row r="53" spans="1:52" x14ac:dyDescent="0.2">
      <c r="A53" s="118"/>
      <c r="B53" s="186" t="s">
        <v>349</v>
      </c>
      <c r="C53" s="118"/>
      <c r="D53" s="118">
        <v>0</v>
      </c>
      <c r="E53" s="118">
        <v>0</v>
      </c>
      <c r="F53" s="118">
        <v>0</v>
      </c>
      <c r="G53" s="118">
        <v>0</v>
      </c>
      <c r="H53" s="118">
        <v>0</v>
      </c>
      <c r="I53" s="118">
        <v>0</v>
      </c>
      <c r="J53" s="118">
        <v>0</v>
      </c>
      <c r="K53" s="118">
        <v>0</v>
      </c>
      <c r="L53" s="118">
        <v>0</v>
      </c>
      <c r="M53" s="118">
        <v>0</v>
      </c>
      <c r="N53" s="118">
        <v>0</v>
      </c>
      <c r="O53" s="118">
        <v>0</v>
      </c>
      <c r="P53" s="118">
        <v>0</v>
      </c>
      <c r="Q53" s="118">
        <v>0</v>
      </c>
      <c r="R53" s="118">
        <v>0</v>
      </c>
      <c r="S53" s="118">
        <v>0</v>
      </c>
      <c r="T53" s="118">
        <v>0</v>
      </c>
      <c r="U53" s="118">
        <v>0</v>
      </c>
      <c r="V53" s="118">
        <v>0</v>
      </c>
      <c r="W53" s="118">
        <v>0</v>
      </c>
      <c r="X53" s="118">
        <v>0</v>
      </c>
      <c r="Y53" s="118">
        <v>0</v>
      </c>
      <c r="Z53" s="118">
        <v>0</v>
      </c>
      <c r="AA53" s="118">
        <v>0</v>
      </c>
      <c r="AB53" s="118">
        <v>0</v>
      </c>
      <c r="AC53" s="118">
        <v>0</v>
      </c>
      <c r="AD53" s="118">
        <v>0</v>
      </c>
      <c r="AE53" s="118">
        <v>0</v>
      </c>
      <c r="AF53" s="118">
        <v>0</v>
      </c>
      <c r="AG53" s="118">
        <v>0</v>
      </c>
      <c r="AH53" s="118">
        <v>0</v>
      </c>
      <c r="AI53" s="118">
        <v>0</v>
      </c>
      <c r="AJ53" s="118">
        <v>0</v>
      </c>
      <c r="AK53" s="118">
        <v>0</v>
      </c>
      <c r="AL53" s="118">
        <v>0</v>
      </c>
      <c r="AM53" s="118">
        <v>0</v>
      </c>
      <c r="AN53" s="118">
        <v>0</v>
      </c>
      <c r="AO53" s="118">
        <v>0</v>
      </c>
      <c r="AP53" s="118">
        <v>0</v>
      </c>
      <c r="AQ53" s="118">
        <v>0</v>
      </c>
      <c r="AR53" s="118">
        <v>0</v>
      </c>
      <c r="AS53" s="118">
        <v>0</v>
      </c>
      <c r="AT53" s="118">
        <v>0</v>
      </c>
      <c r="AU53" s="118">
        <v>0</v>
      </c>
      <c r="AV53" s="118">
        <v>0</v>
      </c>
      <c r="AW53" s="118">
        <v>0</v>
      </c>
      <c r="AX53" s="118">
        <v>0</v>
      </c>
      <c r="AY53" s="118">
        <v>0</v>
      </c>
      <c r="AZ53" s="108">
        <f>SUM($D$53:$AY$53)</f>
        <v>0</v>
      </c>
    </row>
    <row r="54" spans="1:52" x14ac:dyDescent="0.2">
      <c r="A54" s="133"/>
      <c r="B54" s="148" t="s">
        <v>350</v>
      </c>
      <c r="C54" s="133"/>
      <c r="D54" s="133">
        <v>0</v>
      </c>
      <c r="E54" s="133">
        <v>536196.375</v>
      </c>
      <c r="F54" s="133">
        <v>536196.375</v>
      </c>
      <c r="G54" s="133">
        <v>536196.375</v>
      </c>
      <c r="H54" s="133">
        <v>536196.375</v>
      </c>
      <c r="I54" s="133">
        <v>536196.375</v>
      </c>
      <c r="J54" s="133">
        <v>536196.375</v>
      </c>
      <c r="K54" s="133">
        <v>536196.375</v>
      </c>
      <c r="L54" s="133">
        <v>536196.375</v>
      </c>
      <c r="M54" s="133">
        <v>536196.375</v>
      </c>
      <c r="N54" s="133">
        <v>536196.375</v>
      </c>
      <c r="O54" s="133">
        <v>536196.375</v>
      </c>
      <c r="P54" s="133">
        <v>536196.375</v>
      </c>
      <c r="Q54" s="133">
        <v>536196.375</v>
      </c>
      <c r="R54" s="133">
        <v>536196.375</v>
      </c>
      <c r="S54" s="133">
        <v>536196.375</v>
      </c>
      <c r="T54" s="133">
        <v>536196.375</v>
      </c>
      <c r="U54" s="133">
        <v>536196.375</v>
      </c>
      <c r="V54" s="133">
        <v>536196.375</v>
      </c>
      <c r="W54" s="133">
        <v>536196.375</v>
      </c>
      <c r="X54" s="133">
        <v>536196.375</v>
      </c>
      <c r="Y54" s="133">
        <v>536196.375</v>
      </c>
      <c r="Z54" s="133">
        <v>536196.375</v>
      </c>
      <c r="AA54" s="133">
        <v>536196.375</v>
      </c>
      <c r="AB54" s="133">
        <v>536196.375</v>
      </c>
      <c r="AC54" s="133">
        <v>536196.375</v>
      </c>
      <c r="AD54" s="133">
        <v>536196.375</v>
      </c>
      <c r="AE54" s="133">
        <v>536196.375</v>
      </c>
      <c r="AF54" s="133">
        <v>536196.375</v>
      </c>
      <c r="AG54" s="133">
        <v>536196.375</v>
      </c>
      <c r="AH54" s="133">
        <v>536196.375</v>
      </c>
      <c r="AI54" s="133">
        <v>536196.375</v>
      </c>
      <c r="AJ54" s="133">
        <v>536196.375</v>
      </c>
      <c r="AK54" s="133">
        <v>536196.375</v>
      </c>
      <c r="AL54" s="133">
        <v>536196.375</v>
      </c>
      <c r="AM54" s="133">
        <v>536196.375</v>
      </c>
      <c r="AN54" s="133">
        <v>536196.375</v>
      </c>
      <c r="AO54" s="133">
        <v>536196.375</v>
      </c>
      <c r="AP54" s="133">
        <v>536196.375</v>
      </c>
      <c r="AQ54" s="133">
        <v>536196.375</v>
      </c>
      <c r="AR54" s="133">
        <v>536196.375</v>
      </c>
      <c r="AS54" s="133">
        <v>536196.375</v>
      </c>
      <c r="AT54" s="133">
        <v>0</v>
      </c>
      <c r="AU54" s="133">
        <v>602959.5</v>
      </c>
      <c r="AV54" s="133">
        <v>536196.375</v>
      </c>
      <c r="AW54" s="133">
        <v>536196.375</v>
      </c>
      <c r="AX54" s="133">
        <v>536196.375</v>
      </c>
      <c r="AY54" s="133">
        <v>536196.375</v>
      </c>
      <c r="AZ54" s="108">
        <f>SUM($D$54:$AY$54)</f>
        <v>24731796.375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8" activePane="bottomRight" state="frozen"/>
      <selection pane="topRight"/>
      <selection pane="bottomLeft"/>
      <selection pane="bottomRight"/>
    </sheetView>
  </sheetViews>
  <sheetFormatPr defaultRowHeight="12.75" x14ac:dyDescent="0.2"/>
  <cols>
    <col min="1" max="1" width="14.7109375" style="108" customWidth="1"/>
    <col min="2" max="2" width="12.7109375" style="108" customWidth="1"/>
    <col min="3" max="16384" width="9.140625" style="108"/>
  </cols>
  <sheetData>
    <row r="1" spans="1:53" x14ac:dyDescent="0.2">
      <c r="A1" s="110" t="s">
        <v>283</v>
      </c>
    </row>
    <row r="2" spans="1:53" x14ac:dyDescent="0.2">
      <c r="A2" s="108" t="s">
        <v>284</v>
      </c>
      <c r="B2" s="115" t="s">
        <v>22</v>
      </c>
    </row>
    <row r="3" spans="1:53" x14ac:dyDescent="0.2">
      <c r="A3" s="108" t="s">
        <v>285</v>
      </c>
      <c r="B3" s="116">
        <v>50000</v>
      </c>
      <c r="C3" s="117"/>
    </row>
    <row r="4" spans="1:53" x14ac:dyDescent="0.2">
      <c r="B4" s="118"/>
      <c r="C4" s="118"/>
    </row>
    <row r="5" spans="1:53" x14ac:dyDescent="0.2">
      <c r="C5" s="119" t="s">
        <v>286</v>
      </c>
    </row>
    <row r="6" spans="1:53" x14ac:dyDescent="0.2">
      <c r="C6" s="120">
        <v>0</v>
      </c>
      <c r="D6" s="120">
        <v>1</v>
      </c>
      <c r="E6" s="120">
        <v>2</v>
      </c>
      <c r="F6" s="120">
        <v>3</v>
      </c>
      <c r="G6" s="120">
        <v>4</v>
      </c>
      <c r="H6" s="120">
        <v>5</v>
      </c>
      <c r="I6" s="120">
        <v>6</v>
      </c>
      <c r="J6" s="120">
        <v>7</v>
      </c>
      <c r="K6" s="120">
        <v>8</v>
      </c>
      <c r="L6" s="120">
        <v>9</v>
      </c>
      <c r="M6" s="120">
        <v>10</v>
      </c>
      <c r="N6" s="120">
        <v>11</v>
      </c>
      <c r="O6" s="120">
        <v>12</v>
      </c>
      <c r="P6" s="120">
        <v>13</v>
      </c>
      <c r="Q6" s="120">
        <v>14</v>
      </c>
      <c r="R6" s="120">
        <v>15</v>
      </c>
      <c r="S6" s="120">
        <v>16</v>
      </c>
      <c r="T6" s="120">
        <v>17</v>
      </c>
      <c r="U6" s="120">
        <v>18</v>
      </c>
      <c r="V6" s="120">
        <v>19</v>
      </c>
      <c r="W6" s="120">
        <v>20</v>
      </c>
      <c r="X6" s="120">
        <v>21</v>
      </c>
      <c r="Y6" s="120">
        <v>22</v>
      </c>
      <c r="Z6" s="120">
        <v>23</v>
      </c>
      <c r="AA6" s="120">
        <v>24</v>
      </c>
      <c r="AB6" s="120">
        <v>25</v>
      </c>
      <c r="AC6" s="120">
        <v>26</v>
      </c>
      <c r="AD6" s="120">
        <v>27</v>
      </c>
      <c r="AE6" s="120">
        <v>28</v>
      </c>
      <c r="AF6" s="120">
        <v>29</v>
      </c>
      <c r="AG6" s="120">
        <v>30</v>
      </c>
      <c r="AH6" s="120">
        <v>31</v>
      </c>
      <c r="AI6" s="120">
        <v>32</v>
      </c>
      <c r="AJ6" s="120">
        <v>33</v>
      </c>
      <c r="AK6" s="120">
        <v>34</v>
      </c>
      <c r="AL6" s="120">
        <v>35</v>
      </c>
      <c r="AM6" s="120">
        <v>36</v>
      </c>
      <c r="AN6" s="120">
        <v>37</v>
      </c>
      <c r="AO6" s="120">
        <v>38</v>
      </c>
      <c r="AP6" s="120">
        <v>39</v>
      </c>
      <c r="AQ6" s="120">
        <v>40</v>
      </c>
      <c r="AR6" s="120">
        <v>41</v>
      </c>
      <c r="AS6" s="120">
        <v>42</v>
      </c>
      <c r="AT6" s="120">
        <v>43</v>
      </c>
      <c r="AU6" s="120">
        <v>44</v>
      </c>
      <c r="AV6" s="120">
        <v>45</v>
      </c>
      <c r="AW6" s="120">
        <v>46</v>
      </c>
      <c r="AX6" s="120">
        <v>47</v>
      </c>
      <c r="AY6" s="120">
        <v>48</v>
      </c>
    </row>
    <row r="7" spans="1:53" x14ac:dyDescent="0.2">
      <c r="B7" s="118"/>
      <c r="C7" s="121" t="s">
        <v>287</v>
      </c>
      <c r="D7" s="120" t="s">
        <v>288</v>
      </c>
      <c r="E7" s="120" t="s">
        <v>288</v>
      </c>
      <c r="F7" s="120" t="s">
        <v>288</v>
      </c>
      <c r="G7" s="120" t="s">
        <v>288</v>
      </c>
      <c r="H7" s="120" t="s">
        <v>288</v>
      </c>
      <c r="I7" s="120" t="s">
        <v>288</v>
      </c>
      <c r="J7" s="120" t="s">
        <v>288</v>
      </c>
      <c r="K7" s="120" t="s">
        <v>288</v>
      </c>
      <c r="L7" s="120" t="s">
        <v>288</v>
      </c>
      <c r="M7" s="120" t="s">
        <v>288</v>
      </c>
      <c r="N7" s="120" t="s">
        <v>288</v>
      </c>
      <c r="O7" s="120" t="s">
        <v>288</v>
      </c>
      <c r="P7" s="120" t="s">
        <v>288</v>
      </c>
      <c r="Q7" s="120" t="s">
        <v>288</v>
      </c>
      <c r="R7" s="120" t="s">
        <v>288</v>
      </c>
      <c r="S7" s="120" t="s">
        <v>288</v>
      </c>
      <c r="T7" s="120" t="s">
        <v>288</v>
      </c>
      <c r="U7" s="120" t="s">
        <v>288</v>
      </c>
      <c r="V7" s="120" t="s">
        <v>288</v>
      </c>
      <c r="W7" s="120" t="s">
        <v>288</v>
      </c>
      <c r="X7" s="120" t="s">
        <v>288</v>
      </c>
      <c r="Y7" s="120" t="s">
        <v>288</v>
      </c>
      <c r="Z7" s="120" t="s">
        <v>288</v>
      </c>
      <c r="AA7" s="120" t="s">
        <v>288</v>
      </c>
      <c r="AB7" s="120" t="s">
        <v>288</v>
      </c>
      <c r="AC7" s="120" t="s">
        <v>288</v>
      </c>
      <c r="AD7" s="120" t="s">
        <v>288</v>
      </c>
      <c r="AE7" s="120" t="s">
        <v>288</v>
      </c>
      <c r="AF7" s="120" t="s">
        <v>288</v>
      </c>
      <c r="AG7" s="120" t="s">
        <v>288</v>
      </c>
      <c r="AH7" s="120" t="s">
        <v>288</v>
      </c>
      <c r="AI7" s="120" t="s">
        <v>288</v>
      </c>
      <c r="AJ7" s="120" t="s">
        <v>288</v>
      </c>
      <c r="AK7" s="120" t="s">
        <v>288</v>
      </c>
      <c r="AL7" s="120" t="s">
        <v>288</v>
      </c>
      <c r="AM7" s="120" t="s">
        <v>288</v>
      </c>
      <c r="AN7" s="120" t="s">
        <v>288</v>
      </c>
      <c r="AO7" s="120" t="s">
        <v>288</v>
      </c>
      <c r="AP7" s="120" t="s">
        <v>288</v>
      </c>
      <c r="AQ7" s="120" t="s">
        <v>288</v>
      </c>
      <c r="AR7" s="120" t="s">
        <v>288</v>
      </c>
      <c r="AS7" s="120" t="s">
        <v>288</v>
      </c>
      <c r="AT7" s="120" t="s">
        <v>288</v>
      </c>
      <c r="AU7" s="120" t="s">
        <v>288</v>
      </c>
      <c r="AV7" s="120" t="s">
        <v>288</v>
      </c>
      <c r="AW7" s="120" t="s">
        <v>288</v>
      </c>
      <c r="AX7" s="120" t="s">
        <v>288</v>
      </c>
      <c r="AY7" s="119" t="s">
        <v>289</v>
      </c>
      <c r="AZ7" s="119" t="s">
        <v>290</v>
      </c>
    </row>
    <row r="8" spans="1:53" x14ac:dyDescent="0.2">
      <c r="A8" s="110" t="s">
        <v>291</v>
      </c>
      <c r="B8" s="122"/>
      <c r="AY8" s="118"/>
    </row>
    <row r="9" spans="1:53" x14ac:dyDescent="0.2">
      <c r="A9" s="123" t="s">
        <v>125</v>
      </c>
      <c r="B9" s="124">
        <v>1</v>
      </c>
      <c r="C9" s="125" t="s">
        <v>292</v>
      </c>
      <c r="D9" s="125">
        <v>3333</v>
      </c>
      <c r="E9" s="125">
        <v>3333</v>
      </c>
      <c r="F9" s="125">
        <v>3333</v>
      </c>
      <c r="G9" s="125">
        <v>3333</v>
      </c>
      <c r="H9" s="125">
        <v>3333</v>
      </c>
      <c r="I9" s="125">
        <v>3333</v>
      </c>
      <c r="J9" s="125">
        <v>3333</v>
      </c>
      <c r="K9" s="125">
        <v>3333</v>
      </c>
      <c r="L9" s="125">
        <v>3333</v>
      </c>
      <c r="M9" s="125">
        <v>3333</v>
      </c>
      <c r="N9" s="125">
        <v>3333</v>
      </c>
      <c r="O9" s="125">
        <v>3333</v>
      </c>
      <c r="P9" s="125">
        <v>3333</v>
      </c>
      <c r="Q9" s="125">
        <v>3333</v>
      </c>
      <c r="R9" s="125">
        <v>3333</v>
      </c>
      <c r="S9" s="125">
        <v>3333</v>
      </c>
      <c r="T9" s="125">
        <v>3333</v>
      </c>
      <c r="U9" s="125">
        <v>3333</v>
      </c>
      <c r="V9" s="125">
        <v>3333</v>
      </c>
      <c r="W9" s="125">
        <v>3333</v>
      </c>
      <c r="X9" s="125">
        <v>3333</v>
      </c>
      <c r="Y9" s="125">
        <v>3333</v>
      </c>
      <c r="Z9" s="125">
        <v>3333</v>
      </c>
      <c r="AA9" s="125">
        <v>3333</v>
      </c>
      <c r="AB9" s="125">
        <v>3333</v>
      </c>
      <c r="AC9" s="125">
        <v>3333</v>
      </c>
      <c r="AD9" s="125">
        <v>3333</v>
      </c>
      <c r="AE9" s="125">
        <v>3333</v>
      </c>
      <c r="AF9" s="125">
        <v>3333</v>
      </c>
      <c r="AG9" s="125">
        <v>3333</v>
      </c>
      <c r="AH9" s="125">
        <v>3333</v>
      </c>
      <c r="AI9" s="125">
        <v>3333</v>
      </c>
      <c r="AJ9" s="125">
        <v>3333</v>
      </c>
      <c r="AK9" s="125">
        <v>3333</v>
      </c>
      <c r="AL9" s="125">
        <v>3333</v>
      </c>
      <c r="AM9" s="125">
        <v>3333</v>
      </c>
      <c r="AN9" s="125">
        <v>3333</v>
      </c>
      <c r="AO9" s="125">
        <v>3333</v>
      </c>
      <c r="AP9" s="125">
        <v>3333</v>
      </c>
      <c r="AQ9" s="125">
        <v>3333</v>
      </c>
      <c r="AR9" s="125">
        <v>3333</v>
      </c>
      <c r="AS9" s="125">
        <v>3333</v>
      </c>
      <c r="AT9" s="125">
        <v>3333</v>
      </c>
      <c r="AU9" s="125">
        <v>3333</v>
      </c>
      <c r="AV9" s="125">
        <v>3333</v>
      </c>
      <c r="AW9" s="125">
        <v>3333</v>
      </c>
      <c r="AX9" s="125">
        <v>3333</v>
      </c>
      <c r="AY9" s="125">
        <v>3333</v>
      </c>
    </row>
    <row r="10" spans="1:53" x14ac:dyDescent="0.2">
      <c r="A10" s="126" t="s">
        <v>133</v>
      </c>
      <c r="B10" s="127">
        <v>1</v>
      </c>
      <c r="C10" s="114" t="s">
        <v>292</v>
      </c>
      <c r="E10" s="108">
        <v>0</v>
      </c>
      <c r="F10" s="108">
        <v>833.25</v>
      </c>
      <c r="G10" s="108">
        <v>0</v>
      </c>
      <c r="H10" s="108">
        <v>833.25</v>
      </c>
      <c r="I10" s="108">
        <v>833.25</v>
      </c>
      <c r="J10" s="108">
        <v>0</v>
      </c>
      <c r="K10" s="108">
        <v>0</v>
      </c>
      <c r="L10" s="108">
        <v>0</v>
      </c>
      <c r="M10" s="108">
        <v>833.25</v>
      </c>
      <c r="N10" s="108">
        <v>0</v>
      </c>
      <c r="O10" s="108">
        <v>0</v>
      </c>
      <c r="P10" s="108">
        <v>833.25</v>
      </c>
      <c r="Q10" s="108">
        <v>833.25</v>
      </c>
      <c r="R10" s="108">
        <v>0</v>
      </c>
      <c r="S10" s="108">
        <v>0</v>
      </c>
      <c r="T10" s="108">
        <v>0</v>
      </c>
      <c r="U10" s="108">
        <v>0</v>
      </c>
      <c r="V10" s="108">
        <v>833.25</v>
      </c>
      <c r="W10" s="108">
        <v>833.25</v>
      </c>
      <c r="X10" s="108">
        <v>833.25</v>
      </c>
      <c r="Y10" s="108">
        <v>833.25</v>
      </c>
      <c r="Z10" s="108">
        <v>0</v>
      </c>
      <c r="AA10" s="108">
        <v>833.25</v>
      </c>
      <c r="AB10" s="108">
        <v>0</v>
      </c>
      <c r="AC10" s="108">
        <v>0</v>
      </c>
      <c r="AD10" s="108">
        <v>0</v>
      </c>
      <c r="AE10" s="108">
        <v>0</v>
      </c>
      <c r="AF10" s="108">
        <v>0</v>
      </c>
      <c r="AG10" s="108">
        <v>833.25</v>
      </c>
      <c r="AH10" s="108">
        <v>833.25</v>
      </c>
      <c r="AI10" s="108">
        <v>833.25</v>
      </c>
      <c r="AJ10" s="108">
        <v>833.25</v>
      </c>
      <c r="AK10" s="108">
        <v>0</v>
      </c>
      <c r="AL10" s="108">
        <v>0</v>
      </c>
      <c r="AM10" s="108">
        <v>833.25</v>
      </c>
      <c r="AN10" s="108">
        <v>0</v>
      </c>
      <c r="AO10" s="108">
        <v>0</v>
      </c>
      <c r="AP10" s="108">
        <v>833.25</v>
      </c>
      <c r="AQ10" s="108">
        <v>833.25</v>
      </c>
      <c r="AR10" s="108">
        <v>0</v>
      </c>
      <c r="AS10" s="108">
        <v>833.25</v>
      </c>
      <c r="AT10" s="108">
        <v>833.25</v>
      </c>
      <c r="AU10" s="108">
        <v>0</v>
      </c>
      <c r="AV10" s="108">
        <v>937</v>
      </c>
      <c r="AW10" s="108">
        <v>833.25</v>
      </c>
      <c r="AX10" s="108">
        <v>833.25</v>
      </c>
      <c r="AY10" s="108">
        <v>833.25</v>
      </c>
      <c r="AZ10" s="108">
        <v>833.25</v>
      </c>
    </row>
    <row r="11" spans="1:53" x14ac:dyDescent="0.2">
      <c r="B11" s="127">
        <v>2</v>
      </c>
      <c r="C11" s="114" t="s">
        <v>292</v>
      </c>
      <c r="F11" s="108">
        <v>0</v>
      </c>
      <c r="H11" s="108">
        <v>833.25</v>
      </c>
      <c r="K11" s="108">
        <v>833.25</v>
      </c>
      <c r="L11" s="108">
        <v>833.25</v>
      </c>
      <c r="M11" s="108">
        <v>833.25</v>
      </c>
      <c r="P11" s="108">
        <v>833.25</v>
      </c>
      <c r="U11" s="108">
        <v>833.25</v>
      </c>
      <c r="AA11" s="108">
        <v>833.25</v>
      </c>
      <c r="AC11" s="108">
        <v>833.25</v>
      </c>
      <c r="AD11" s="108">
        <v>833.25</v>
      </c>
      <c r="AF11" s="108">
        <v>833.25</v>
      </c>
      <c r="AG11" s="108">
        <v>833.25</v>
      </c>
      <c r="AM11" s="108">
        <v>833.25</v>
      </c>
      <c r="AO11" s="108">
        <v>833.25</v>
      </c>
      <c r="AP11" s="108">
        <v>833.25</v>
      </c>
    </row>
    <row r="12" spans="1:53" x14ac:dyDescent="0.2">
      <c r="B12" s="128">
        <v>3</v>
      </c>
      <c r="C12" s="114" t="s">
        <v>292</v>
      </c>
      <c r="P12" s="108">
        <v>833.25</v>
      </c>
      <c r="T12" s="108">
        <v>833.25</v>
      </c>
      <c r="U12" s="108">
        <v>833.25</v>
      </c>
      <c r="W12" s="108">
        <v>833.25</v>
      </c>
      <c r="AF12" s="108">
        <v>833.25</v>
      </c>
      <c r="AM12" s="108">
        <v>833.25</v>
      </c>
      <c r="AT12" s="108">
        <v>833.25</v>
      </c>
    </row>
    <row r="13" spans="1:53" x14ac:dyDescent="0.2">
      <c r="B13" s="128">
        <v>4</v>
      </c>
      <c r="C13" s="114" t="s">
        <v>292</v>
      </c>
    </row>
    <row r="14" spans="1:53" x14ac:dyDescent="0.2">
      <c r="A14" s="123" t="s">
        <v>134</v>
      </c>
      <c r="B14" s="129">
        <v>1</v>
      </c>
      <c r="C14" s="125" t="s">
        <v>292</v>
      </c>
      <c r="D14" s="125"/>
      <c r="E14" s="125">
        <f t="shared" ref="E14:AZ14" si="0">D$172*SUM(D$122:D$169)</f>
        <v>0</v>
      </c>
      <c r="F14" s="125">
        <f t="shared" si="0"/>
        <v>0</v>
      </c>
      <c r="G14" s="125">
        <f t="shared" si="0"/>
        <v>333.3</v>
      </c>
      <c r="H14" s="125">
        <f t="shared" si="0"/>
        <v>0</v>
      </c>
      <c r="I14" s="125">
        <f t="shared" si="0"/>
        <v>499.95</v>
      </c>
      <c r="J14" s="125">
        <f t="shared" si="0"/>
        <v>249.97499999999999</v>
      </c>
      <c r="K14" s="125">
        <f t="shared" si="0"/>
        <v>0</v>
      </c>
      <c r="L14" s="125">
        <f t="shared" si="0"/>
        <v>249.97499999999999</v>
      </c>
      <c r="M14" s="125">
        <f t="shared" si="0"/>
        <v>166.65</v>
      </c>
      <c r="N14" s="125">
        <f t="shared" si="0"/>
        <v>333.3</v>
      </c>
      <c r="O14" s="125">
        <f t="shared" si="0"/>
        <v>73.817733474237372</v>
      </c>
      <c r="P14" s="125">
        <f t="shared" si="0"/>
        <v>0</v>
      </c>
      <c r="Q14" s="125">
        <f t="shared" si="0"/>
        <v>999.90000000000009</v>
      </c>
      <c r="R14" s="125">
        <f t="shared" si="0"/>
        <v>503.64</v>
      </c>
      <c r="S14" s="125">
        <f t="shared" si="0"/>
        <v>2.2737367544323207E-14</v>
      </c>
      <c r="T14" s="125">
        <f t="shared" si="0"/>
        <v>0</v>
      </c>
      <c r="U14" s="125">
        <f t="shared" si="0"/>
        <v>249.97499999999999</v>
      </c>
      <c r="V14" s="125">
        <f t="shared" si="0"/>
        <v>499.95</v>
      </c>
      <c r="W14" s="125">
        <f t="shared" si="0"/>
        <v>249.97499999999999</v>
      </c>
      <c r="X14" s="125">
        <f t="shared" si="0"/>
        <v>499.95</v>
      </c>
      <c r="Y14" s="125">
        <f t="shared" si="0"/>
        <v>181.61677321670129</v>
      </c>
      <c r="Z14" s="125">
        <f t="shared" si="0"/>
        <v>166.65</v>
      </c>
      <c r="AA14" s="125">
        <f t="shared" si="0"/>
        <v>0</v>
      </c>
      <c r="AB14" s="125">
        <f t="shared" si="0"/>
        <v>333.3</v>
      </c>
      <c r="AC14" s="125">
        <f t="shared" si="0"/>
        <v>0</v>
      </c>
      <c r="AD14" s="125">
        <f t="shared" si="0"/>
        <v>333.3</v>
      </c>
      <c r="AE14" s="125">
        <f t="shared" si="0"/>
        <v>333.3</v>
      </c>
      <c r="AF14" s="125">
        <f t="shared" si="0"/>
        <v>0</v>
      </c>
      <c r="AG14" s="125">
        <f t="shared" si="0"/>
        <v>499.95</v>
      </c>
      <c r="AH14" s="125">
        <f t="shared" si="0"/>
        <v>681.36282719481551</v>
      </c>
      <c r="AI14" s="125">
        <f t="shared" si="0"/>
        <v>436.72139637460526</v>
      </c>
      <c r="AJ14" s="125">
        <f t="shared" si="0"/>
        <v>323.97614820811577</v>
      </c>
      <c r="AK14" s="125">
        <f t="shared" si="0"/>
        <v>166.65000000000003</v>
      </c>
      <c r="AL14" s="125">
        <f t="shared" si="0"/>
        <v>0</v>
      </c>
      <c r="AM14" s="125">
        <f t="shared" si="0"/>
        <v>0</v>
      </c>
      <c r="AN14" s="125">
        <f t="shared" si="0"/>
        <v>499.95000000000005</v>
      </c>
      <c r="AO14" s="125">
        <f t="shared" si="0"/>
        <v>512.32000000000005</v>
      </c>
      <c r="AP14" s="125">
        <f t="shared" si="0"/>
        <v>333.3</v>
      </c>
      <c r="AQ14" s="125">
        <f t="shared" si="0"/>
        <v>666.6</v>
      </c>
      <c r="AR14" s="125">
        <f t="shared" si="0"/>
        <v>333.3</v>
      </c>
      <c r="AS14" s="125">
        <f t="shared" si="0"/>
        <v>0</v>
      </c>
      <c r="AT14" s="125">
        <f t="shared" si="0"/>
        <v>249.97499999999999</v>
      </c>
      <c r="AU14" s="125">
        <f t="shared" si="0"/>
        <v>499.95</v>
      </c>
      <c r="AV14" s="125">
        <f t="shared" si="0"/>
        <v>0</v>
      </c>
      <c r="AW14" s="125">
        <f t="shared" si="0"/>
        <v>187.4</v>
      </c>
      <c r="AX14" s="125">
        <f t="shared" si="0"/>
        <v>175.12239060474016</v>
      </c>
      <c r="AY14" s="125">
        <f t="shared" si="0"/>
        <v>166.65</v>
      </c>
      <c r="AZ14" s="118">
        <f t="shared" si="0"/>
        <v>166.65</v>
      </c>
      <c r="BA14" s="115">
        <f>SUM($E14:$AZ14)</f>
        <v>12158.402269073214</v>
      </c>
    </row>
    <row r="15" spans="1:53" x14ac:dyDescent="0.2">
      <c r="A15" s="130" t="s">
        <v>123</v>
      </c>
      <c r="B15" s="131">
        <v>1</v>
      </c>
      <c r="C15" s="132" t="s">
        <v>292</v>
      </c>
      <c r="D15" s="132">
        <v>0</v>
      </c>
      <c r="E15" s="132">
        <v>0</v>
      </c>
      <c r="F15" s="132">
        <v>833.25</v>
      </c>
      <c r="G15" s="132">
        <v>0</v>
      </c>
      <c r="H15" s="132">
        <v>833.25</v>
      </c>
      <c r="I15" s="132">
        <v>833.25</v>
      </c>
      <c r="J15" s="132">
        <v>0</v>
      </c>
      <c r="K15" s="132">
        <v>0</v>
      </c>
      <c r="L15" s="132">
        <v>0</v>
      </c>
      <c r="M15" s="132">
        <v>833.25</v>
      </c>
      <c r="N15" s="132">
        <v>0</v>
      </c>
      <c r="O15" s="132">
        <v>0</v>
      </c>
      <c r="P15" s="132">
        <v>833.25</v>
      </c>
      <c r="Q15" s="132">
        <v>833.25</v>
      </c>
      <c r="R15" s="132">
        <v>0</v>
      </c>
      <c r="S15" s="132">
        <v>0</v>
      </c>
      <c r="T15" s="132">
        <v>0</v>
      </c>
      <c r="U15" s="132">
        <v>0</v>
      </c>
      <c r="V15" s="132">
        <v>833.25</v>
      </c>
      <c r="W15" s="132">
        <v>833.25</v>
      </c>
      <c r="X15" s="132">
        <v>833.25</v>
      </c>
      <c r="Y15" s="132">
        <v>833.25</v>
      </c>
      <c r="Z15" s="132">
        <v>0</v>
      </c>
      <c r="AA15" s="132">
        <v>833.25</v>
      </c>
      <c r="AB15" s="132">
        <v>0</v>
      </c>
      <c r="AC15" s="132">
        <v>0</v>
      </c>
      <c r="AD15" s="132">
        <v>0</v>
      </c>
      <c r="AE15" s="132">
        <v>0</v>
      </c>
      <c r="AF15" s="132">
        <v>0</v>
      </c>
      <c r="AG15" s="132">
        <v>833.25</v>
      </c>
      <c r="AH15" s="132">
        <v>833.25</v>
      </c>
      <c r="AI15" s="132">
        <v>833.25</v>
      </c>
      <c r="AJ15" s="132">
        <v>833.25</v>
      </c>
      <c r="AK15" s="132">
        <v>0</v>
      </c>
      <c r="AL15" s="132">
        <v>0</v>
      </c>
      <c r="AM15" s="132">
        <v>833.25</v>
      </c>
      <c r="AN15" s="132">
        <v>0</v>
      </c>
      <c r="AO15" s="132">
        <v>0</v>
      </c>
      <c r="AP15" s="132">
        <v>833.25</v>
      </c>
      <c r="AQ15" s="132">
        <v>833.25</v>
      </c>
      <c r="AR15" s="132">
        <v>0</v>
      </c>
      <c r="AS15" s="132">
        <v>833.25</v>
      </c>
      <c r="AT15" s="132">
        <v>833.25</v>
      </c>
      <c r="AU15" s="132">
        <v>0</v>
      </c>
      <c r="AV15" s="132">
        <v>937</v>
      </c>
      <c r="AW15" s="132">
        <v>833.25</v>
      </c>
      <c r="AX15" s="132">
        <v>833.25</v>
      </c>
      <c r="AY15" s="132">
        <v>833.25</v>
      </c>
      <c r="AZ15" s="108">
        <v>833.25</v>
      </c>
    </row>
    <row r="16" spans="1:53" x14ac:dyDescent="0.2">
      <c r="A16" s="118"/>
      <c r="B16" s="127">
        <v>2</v>
      </c>
      <c r="C16" s="117" t="s">
        <v>292</v>
      </c>
      <c r="D16" s="114"/>
      <c r="E16" s="118"/>
      <c r="F16" s="118">
        <v>0</v>
      </c>
      <c r="G16" s="118"/>
      <c r="H16" s="118">
        <v>833.25</v>
      </c>
      <c r="I16" s="118"/>
      <c r="J16" s="118"/>
      <c r="K16" s="118">
        <v>833.25</v>
      </c>
      <c r="L16" s="118">
        <v>833.25</v>
      </c>
      <c r="M16" s="118">
        <v>833.25</v>
      </c>
      <c r="N16" s="118"/>
      <c r="O16" s="118"/>
      <c r="P16" s="118">
        <v>833.25</v>
      </c>
      <c r="Q16" s="118"/>
      <c r="R16" s="118"/>
      <c r="S16" s="118"/>
      <c r="T16" s="118"/>
      <c r="U16" s="118">
        <v>833.25</v>
      </c>
      <c r="V16" s="118"/>
      <c r="W16" s="118"/>
      <c r="X16" s="118"/>
      <c r="Y16" s="118"/>
      <c r="Z16" s="118"/>
      <c r="AA16" s="118">
        <v>833.25</v>
      </c>
      <c r="AB16" s="118"/>
      <c r="AC16" s="118">
        <v>833.25</v>
      </c>
      <c r="AD16" s="118">
        <v>833.25</v>
      </c>
      <c r="AE16" s="118"/>
      <c r="AF16" s="118">
        <v>833.25</v>
      </c>
      <c r="AG16" s="118">
        <v>833.25</v>
      </c>
      <c r="AH16" s="118"/>
      <c r="AI16" s="118"/>
      <c r="AJ16" s="118"/>
      <c r="AK16" s="118"/>
      <c r="AL16" s="118"/>
      <c r="AM16" s="118">
        <v>833.25</v>
      </c>
      <c r="AN16" s="118"/>
      <c r="AO16" s="118">
        <v>833.25</v>
      </c>
      <c r="AP16" s="118">
        <v>833.25</v>
      </c>
      <c r="AQ16" s="118"/>
      <c r="AR16" s="118"/>
      <c r="AS16" s="118"/>
      <c r="AT16" s="118"/>
      <c r="AU16" s="118"/>
      <c r="AV16" s="118"/>
      <c r="AW16" s="118"/>
      <c r="AX16" s="118"/>
      <c r="AY16" s="118"/>
    </row>
    <row r="17" spans="1:51" x14ac:dyDescent="0.2">
      <c r="A17" s="118"/>
      <c r="B17" s="127">
        <v>3</v>
      </c>
      <c r="C17" s="117" t="s">
        <v>292</v>
      </c>
      <c r="D17" s="114"/>
      <c r="E17" s="118"/>
      <c r="F17" s="118"/>
      <c r="G17" s="118"/>
      <c r="H17" s="118"/>
      <c r="I17" s="118"/>
      <c r="J17" s="118"/>
      <c r="K17" s="118"/>
      <c r="L17" s="118"/>
      <c r="M17" s="118"/>
      <c r="N17" s="118"/>
      <c r="O17" s="118"/>
      <c r="P17" s="118">
        <v>833.25</v>
      </c>
      <c r="Q17" s="118"/>
      <c r="R17" s="118"/>
      <c r="S17" s="118"/>
      <c r="T17" s="118">
        <v>833.25</v>
      </c>
      <c r="U17" s="118">
        <v>833.25</v>
      </c>
      <c r="V17" s="118"/>
      <c r="W17" s="118">
        <v>833.25</v>
      </c>
      <c r="X17" s="118"/>
      <c r="Y17" s="118"/>
      <c r="Z17" s="118"/>
      <c r="AA17" s="118"/>
      <c r="AB17" s="118"/>
      <c r="AC17" s="118"/>
      <c r="AD17" s="118"/>
      <c r="AE17" s="118"/>
      <c r="AF17" s="118">
        <v>833.25</v>
      </c>
      <c r="AG17" s="118"/>
      <c r="AH17" s="118"/>
      <c r="AI17" s="118"/>
      <c r="AJ17" s="118"/>
      <c r="AK17" s="118"/>
      <c r="AL17" s="118"/>
      <c r="AM17" s="118">
        <v>833.25</v>
      </c>
      <c r="AN17" s="118"/>
      <c r="AO17" s="118"/>
      <c r="AP17" s="118"/>
      <c r="AQ17" s="118"/>
      <c r="AR17" s="118"/>
      <c r="AS17" s="118"/>
      <c r="AT17" s="118">
        <v>833.25</v>
      </c>
      <c r="AU17" s="118"/>
      <c r="AV17" s="118"/>
      <c r="AW17" s="118"/>
      <c r="AX17" s="118"/>
      <c r="AY17" s="118"/>
    </row>
    <row r="18" spans="1:51" x14ac:dyDescent="0.2">
      <c r="A18" s="133"/>
      <c r="B18" s="124">
        <v>4</v>
      </c>
      <c r="C18" s="133" t="s">
        <v>292</v>
      </c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3"/>
      <c r="Q18" s="133"/>
      <c r="R18" s="133"/>
      <c r="S18" s="133"/>
      <c r="T18" s="133"/>
      <c r="U18" s="133"/>
      <c r="V18" s="133"/>
      <c r="W18" s="133"/>
      <c r="X18" s="133"/>
      <c r="Y18" s="133"/>
      <c r="Z18" s="133"/>
      <c r="AA18" s="133"/>
      <c r="AB18" s="133"/>
      <c r="AC18" s="133"/>
      <c r="AD18" s="133"/>
      <c r="AE18" s="133"/>
      <c r="AF18" s="133"/>
      <c r="AG18" s="133"/>
      <c r="AH18" s="133"/>
      <c r="AI18" s="133"/>
      <c r="AJ18" s="133"/>
      <c r="AK18" s="133"/>
      <c r="AL18" s="133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</row>
    <row r="20" spans="1:51" x14ac:dyDescent="0.2">
      <c r="A20" s="110" t="s">
        <v>293</v>
      </c>
    </row>
    <row r="21" spans="1:51" x14ac:dyDescent="0.2">
      <c r="A21" s="134" t="s">
        <v>125</v>
      </c>
      <c r="B21" s="131">
        <v>1</v>
      </c>
      <c r="C21" s="132" t="s">
        <v>292</v>
      </c>
      <c r="D21" s="132"/>
      <c r="E21" s="132"/>
      <c r="F21" s="132"/>
      <c r="G21" s="132"/>
      <c r="H21" s="132"/>
      <c r="I21" s="132"/>
      <c r="J21" s="132"/>
      <c r="K21" s="132"/>
      <c r="L21" s="132"/>
      <c r="M21" s="132"/>
      <c r="N21" s="132"/>
      <c r="O21" s="132"/>
      <c r="P21" s="132"/>
      <c r="Q21" s="132"/>
      <c r="R21" s="132"/>
      <c r="S21" s="132"/>
      <c r="T21" s="132"/>
      <c r="U21" s="132"/>
      <c r="V21" s="132"/>
      <c r="W21" s="132"/>
      <c r="X21" s="132"/>
      <c r="Y21" s="132"/>
      <c r="Z21" s="132"/>
      <c r="AA21" s="132"/>
      <c r="AB21" s="132"/>
      <c r="AC21" s="132"/>
      <c r="AD21" s="132"/>
      <c r="AE21" s="132"/>
      <c r="AF21" s="132"/>
      <c r="AG21" s="132"/>
      <c r="AH21" s="132"/>
      <c r="AI21" s="132"/>
      <c r="AJ21" s="132"/>
      <c r="AK21" s="132"/>
      <c r="AL21" s="132"/>
      <c r="AM21" s="132"/>
      <c r="AN21" s="132"/>
      <c r="AO21" s="132"/>
      <c r="AP21" s="132"/>
      <c r="AQ21" s="132"/>
      <c r="AR21" s="132"/>
      <c r="AS21" s="132"/>
      <c r="AT21" s="132"/>
      <c r="AU21" s="132"/>
      <c r="AV21" s="132"/>
      <c r="AW21" s="132"/>
      <c r="AX21" s="132"/>
      <c r="AY21" s="132"/>
    </row>
    <row r="22" spans="1:51" x14ac:dyDescent="0.2">
      <c r="A22" s="117"/>
      <c r="B22" s="128">
        <v>2</v>
      </c>
      <c r="C22" s="118" t="s">
        <v>292</v>
      </c>
      <c r="D22" s="118"/>
      <c r="E22" s="118"/>
      <c r="F22" s="118"/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118"/>
      <c r="T22" s="118"/>
      <c r="U22" s="118"/>
      <c r="V22" s="118"/>
      <c r="W22" s="118"/>
      <c r="X22" s="118"/>
      <c r="Y22" s="118"/>
      <c r="Z22" s="118"/>
      <c r="AA22" s="118"/>
      <c r="AB22" s="118"/>
      <c r="AC22" s="118"/>
      <c r="AD22" s="118"/>
      <c r="AE22" s="118"/>
      <c r="AF22" s="118"/>
      <c r="AG22" s="118"/>
      <c r="AH22" s="118"/>
      <c r="AI22" s="118"/>
      <c r="AJ22" s="118"/>
      <c r="AK22" s="118"/>
      <c r="AL22" s="118"/>
      <c r="AM22" s="118"/>
      <c r="AN22" s="118"/>
      <c r="AO22" s="118"/>
      <c r="AP22" s="118"/>
      <c r="AQ22" s="118"/>
      <c r="AR22" s="118"/>
      <c r="AS22" s="118"/>
      <c r="AT22" s="118"/>
      <c r="AU22" s="118"/>
      <c r="AV22" s="118"/>
      <c r="AW22" s="118"/>
      <c r="AX22" s="118"/>
      <c r="AY22" s="118"/>
    </row>
    <row r="23" spans="1:51" x14ac:dyDescent="0.2">
      <c r="A23" s="117"/>
      <c r="B23" s="135">
        <v>3</v>
      </c>
      <c r="C23" s="118" t="s">
        <v>292</v>
      </c>
      <c r="D23" s="118"/>
      <c r="E23" s="118"/>
      <c r="F23" s="118"/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118"/>
      <c r="T23" s="118"/>
      <c r="U23" s="118"/>
      <c r="V23" s="118"/>
      <c r="W23" s="118"/>
      <c r="X23" s="118"/>
      <c r="Y23" s="118"/>
      <c r="Z23" s="118"/>
      <c r="AA23" s="118"/>
      <c r="AB23" s="118"/>
      <c r="AC23" s="118"/>
      <c r="AD23" s="118"/>
      <c r="AE23" s="118"/>
      <c r="AF23" s="118"/>
      <c r="AG23" s="118"/>
      <c r="AH23" s="118"/>
      <c r="AI23" s="118"/>
      <c r="AJ23" s="118"/>
      <c r="AK23" s="118"/>
      <c r="AL23" s="118"/>
      <c r="AM23" s="118"/>
      <c r="AN23" s="118"/>
      <c r="AO23" s="118"/>
      <c r="AP23" s="118"/>
      <c r="AQ23" s="118"/>
      <c r="AR23" s="118"/>
      <c r="AS23" s="118"/>
      <c r="AT23" s="118"/>
      <c r="AU23" s="118"/>
      <c r="AV23" s="118"/>
      <c r="AW23" s="118"/>
      <c r="AX23" s="118"/>
      <c r="AY23" s="118"/>
    </row>
    <row r="24" spans="1:51" x14ac:dyDescent="0.2">
      <c r="A24" s="136"/>
      <c r="B24" s="137">
        <v>4</v>
      </c>
      <c r="C24" s="136" t="s">
        <v>292</v>
      </c>
      <c r="D24" s="133">
        <v>0</v>
      </c>
      <c r="E24" s="133">
        <v>0</v>
      </c>
      <c r="F24" s="133">
        <v>0</v>
      </c>
      <c r="G24" s="133">
        <v>0</v>
      </c>
      <c r="H24" s="133">
        <v>0</v>
      </c>
      <c r="I24" s="133">
        <v>0</v>
      </c>
      <c r="J24" s="133">
        <v>0</v>
      </c>
      <c r="K24" s="133">
        <v>0</v>
      </c>
      <c r="L24" s="133">
        <v>0</v>
      </c>
      <c r="M24" s="133">
        <v>0</v>
      </c>
      <c r="N24" s="133">
        <v>0</v>
      </c>
      <c r="O24" s="133">
        <v>0</v>
      </c>
      <c r="P24" s="133">
        <v>0</v>
      </c>
      <c r="Q24" s="133">
        <v>0</v>
      </c>
      <c r="R24" s="133">
        <v>0</v>
      </c>
      <c r="S24" s="133">
        <v>0</v>
      </c>
      <c r="T24" s="133">
        <v>0</v>
      </c>
      <c r="U24" s="133">
        <v>0</v>
      </c>
      <c r="V24" s="133">
        <v>0</v>
      </c>
      <c r="W24" s="133">
        <v>0</v>
      </c>
      <c r="X24" s="133">
        <v>0</v>
      </c>
      <c r="Y24" s="133">
        <v>0</v>
      </c>
      <c r="Z24" s="133">
        <v>0</v>
      </c>
      <c r="AA24" s="133">
        <v>0</v>
      </c>
      <c r="AB24" s="133">
        <v>0</v>
      </c>
      <c r="AC24" s="133">
        <v>0</v>
      </c>
      <c r="AD24" s="133">
        <v>0</v>
      </c>
      <c r="AE24" s="133">
        <v>0</v>
      </c>
      <c r="AF24" s="133">
        <v>0</v>
      </c>
      <c r="AG24" s="133">
        <v>0</v>
      </c>
      <c r="AH24" s="133">
        <v>0</v>
      </c>
      <c r="AI24" s="133">
        <v>0</v>
      </c>
      <c r="AJ24" s="133">
        <v>0</v>
      </c>
      <c r="AK24" s="133">
        <v>0</v>
      </c>
      <c r="AL24" s="133">
        <v>0</v>
      </c>
      <c r="AM24" s="133">
        <v>0</v>
      </c>
      <c r="AN24" s="133">
        <v>0</v>
      </c>
      <c r="AO24" s="133">
        <v>0</v>
      </c>
      <c r="AP24" s="133">
        <v>0</v>
      </c>
      <c r="AQ24" s="133">
        <v>0</v>
      </c>
      <c r="AR24" s="133">
        <v>0</v>
      </c>
      <c r="AS24" s="133">
        <v>0</v>
      </c>
      <c r="AT24" s="133">
        <v>0</v>
      </c>
      <c r="AU24" s="133">
        <v>0</v>
      </c>
      <c r="AV24" s="133">
        <v>0</v>
      </c>
      <c r="AW24" s="133">
        <v>0</v>
      </c>
      <c r="AX24" s="133">
        <v>0</v>
      </c>
      <c r="AY24" s="133">
        <v>0</v>
      </c>
    </row>
    <row r="25" spans="1:51" x14ac:dyDescent="0.2">
      <c r="A25" s="134" t="s">
        <v>133</v>
      </c>
      <c r="B25" s="131">
        <v>1</v>
      </c>
      <c r="C25" s="117" t="s">
        <v>292</v>
      </c>
      <c r="D25" s="118"/>
      <c r="E25" s="118"/>
      <c r="F25" s="118"/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118"/>
      <c r="T25" s="118"/>
      <c r="U25" s="118"/>
      <c r="V25" s="118"/>
      <c r="W25" s="118"/>
      <c r="X25" s="118"/>
      <c r="Y25" s="118"/>
      <c r="Z25" s="118"/>
      <c r="AA25" s="118"/>
      <c r="AB25" s="118"/>
      <c r="AC25" s="118"/>
      <c r="AD25" s="118"/>
      <c r="AE25" s="118"/>
      <c r="AF25" s="118"/>
      <c r="AG25" s="118"/>
      <c r="AH25" s="118"/>
      <c r="AI25" s="118"/>
      <c r="AJ25" s="118"/>
      <c r="AK25" s="118"/>
      <c r="AL25" s="118"/>
      <c r="AM25" s="118"/>
      <c r="AN25" s="118"/>
      <c r="AO25" s="118"/>
      <c r="AP25" s="118"/>
      <c r="AQ25" s="118"/>
      <c r="AR25" s="118"/>
      <c r="AS25" s="118"/>
      <c r="AT25" s="118"/>
      <c r="AU25" s="118"/>
      <c r="AV25" s="118"/>
      <c r="AW25" s="118"/>
      <c r="AX25" s="118"/>
      <c r="AY25" s="118"/>
    </row>
    <row r="26" spans="1:51" x14ac:dyDescent="0.2">
      <c r="A26" s="117"/>
      <c r="B26" s="127">
        <v>2</v>
      </c>
      <c r="C26" s="117" t="s">
        <v>292</v>
      </c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118"/>
      <c r="T26" s="118"/>
      <c r="U26" s="118"/>
      <c r="V26" s="118"/>
      <c r="W26" s="118"/>
      <c r="X26" s="118"/>
      <c r="Y26" s="118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</row>
    <row r="27" spans="1:51" x14ac:dyDescent="0.2">
      <c r="A27" s="117"/>
      <c r="B27" s="128">
        <v>3</v>
      </c>
      <c r="C27" s="117" t="s">
        <v>292</v>
      </c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</row>
    <row r="28" spans="1:51" x14ac:dyDescent="0.2">
      <c r="A28" s="117"/>
      <c r="B28" s="128">
        <v>4</v>
      </c>
      <c r="C28" s="117" t="s">
        <v>292</v>
      </c>
      <c r="D28" s="118"/>
      <c r="E28" s="118"/>
      <c r="F28" s="118"/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118"/>
      <c r="T28" s="118"/>
      <c r="U28" s="118"/>
      <c r="V28" s="118"/>
      <c r="W28" s="118"/>
      <c r="X28" s="118"/>
      <c r="Y28" s="118"/>
      <c r="Z28" s="118"/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</row>
    <row r="29" spans="1:51" x14ac:dyDescent="0.2">
      <c r="A29" s="117"/>
      <c r="B29" s="135">
        <v>5</v>
      </c>
      <c r="C29" s="117" t="s">
        <v>292</v>
      </c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11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</row>
    <row r="30" spans="1:51" x14ac:dyDescent="0.2">
      <c r="A30" s="117"/>
      <c r="B30" s="135">
        <v>6</v>
      </c>
      <c r="C30" s="117" t="s">
        <v>292</v>
      </c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118"/>
      <c r="AE30" s="118"/>
      <c r="AF30" s="118"/>
      <c r="AG30" s="118"/>
      <c r="AH30" s="118"/>
      <c r="AI30" s="118"/>
      <c r="AJ30" s="118"/>
      <c r="AK30" s="118"/>
      <c r="AL30" s="118"/>
      <c r="AM30" s="118"/>
      <c r="AN30" s="118"/>
      <c r="AO30" s="118"/>
      <c r="AP30" s="118"/>
      <c r="AQ30" s="118"/>
      <c r="AR30" s="118"/>
      <c r="AS30" s="118"/>
      <c r="AT30" s="118"/>
      <c r="AU30" s="118"/>
      <c r="AV30" s="118"/>
      <c r="AW30" s="118"/>
      <c r="AX30" s="118"/>
      <c r="AY30" s="118"/>
    </row>
    <row r="31" spans="1:51" x14ac:dyDescent="0.2">
      <c r="A31" s="117"/>
      <c r="B31" s="138">
        <v>7</v>
      </c>
      <c r="C31" s="117" t="s">
        <v>292</v>
      </c>
      <c r="D31" s="118"/>
      <c r="E31" s="118"/>
      <c r="F31" s="118"/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118"/>
      <c r="T31" s="118"/>
      <c r="U31" s="118"/>
      <c r="V31" s="118"/>
      <c r="W31" s="118"/>
      <c r="X31" s="118"/>
      <c r="Y31" s="118"/>
      <c r="Z31" s="118"/>
      <c r="AA31" s="118"/>
      <c r="AB31" s="118"/>
      <c r="AC31" s="118"/>
      <c r="AD31" s="118"/>
      <c r="AE31" s="118"/>
      <c r="AF31" s="118"/>
      <c r="AG31" s="118"/>
      <c r="AH31" s="118"/>
      <c r="AI31" s="118"/>
      <c r="AJ31" s="118"/>
      <c r="AK31" s="118"/>
      <c r="AL31" s="118"/>
      <c r="AM31" s="118"/>
      <c r="AN31" s="118"/>
      <c r="AO31" s="118"/>
      <c r="AP31" s="118"/>
      <c r="AQ31" s="118"/>
      <c r="AR31" s="118"/>
      <c r="AS31" s="118"/>
      <c r="AT31" s="118"/>
      <c r="AU31" s="118"/>
      <c r="AV31" s="118"/>
      <c r="AW31" s="118"/>
      <c r="AX31" s="118"/>
      <c r="AY31" s="118"/>
    </row>
    <row r="32" spans="1:51" x14ac:dyDescent="0.2">
      <c r="A32" s="136"/>
      <c r="B32" s="137">
        <v>8</v>
      </c>
      <c r="C32" s="136" t="s">
        <v>292</v>
      </c>
      <c r="D32" s="133">
        <v>0</v>
      </c>
      <c r="E32" s="133">
        <v>0</v>
      </c>
      <c r="F32" s="133">
        <v>0</v>
      </c>
      <c r="G32" s="133">
        <v>0</v>
      </c>
      <c r="H32" s="133">
        <v>0</v>
      </c>
      <c r="I32" s="133">
        <v>0</v>
      </c>
      <c r="J32" s="133">
        <v>0</v>
      </c>
      <c r="K32" s="133">
        <v>0</v>
      </c>
      <c r="L32" s="133">
        <v>0</v>
      </c>
      <c r="M32" s="133">
        <v>0</v>
      </c>
      <c r="N32" s="133">
        <v>0</v>
      </c>
      <c r="O32" s="133">
        <v>0</v>
      </c>
      <c r="P32" s="133">
        <v>0</v>
      </c>
      <c r="Q32" s="133">
        <v>0</v>
      </c>
      <c r="R32" s="133">
        <v>0</v>
      </c>
      <c r="S32" s="133">
        <v>0</v>
      </c>
      <c r="T32" s="133">
        <v>0</v>
      </c>
      <c r="U32" s="133">
        <v>0</v>
      </c>
      <c r="V32" s="133">
        <v>0</v>
      </c>
      <c r="W32" s="133">
        <v>0</v>
      </c>
      <c r="X32" s="133">
        <v>0</v>
      </c>
      <c r="Y32" s="133">
        <v>0</v>
      </c>
      <c r="Z32" s="133">
        <v>0</v>
      </c>
      <c r="AA32" s="133">
        <v>0</v>
      </c>
      <c r="AB32" s="133">
        <v>0</v>
      </c>
      <c r="AC32" s="133">
        <v>0</v>
      </c>
      <c r="AD32" s="133">
        <v>0</v>
      </c>
      <c r="AE32" s="133">
        <v>0</v>
      </c>
      <c r="AF32" s="133">
        <v>0</v>
      </c>
      <c r="AG32" s="133">
        <v>0</v>
      </c>
      <c r="AH32" s="133">
        <v>0</v>
      </c>
      <c r="AI32" s="133">
        <v>0</v>
      </c>
      <c r="AJ32" s="133">
        <v>0</v>
      </c>
      <c r="AK32" s="133">
        <v>0</v>
      </c>
      <c r="AL32" s="133">
        <v>0</v>
      </c>
      <c r="AM32" s="133">
        <v>0</v>
      </c>
      <c r="AN32" s="133">
        <v>0</v>
      </c>
      <c r="AO32" s="133">
        <v>0</v>
      </c>
      <c r="AP32" s="133">
        <v>0</v>
      </c>
      <c r="AQ32" s="133">
        <v>0</v>
      </c>
      <c r="AR32" s="133">
        <v>0</v>
      </c>
      <c r="AS32" s="133">
        <v>0</v>
      </c>
      <c r="AT32" s="133">
        <v>0</v>
      </c>
      <c r="AU32" s="133">
        <v>0</v>
      </c>
      <c r="AV32" s="133">
        <v>0</v>
      </c>
      <c r="AW32" s="133">
        <v>0</v>
      </c>
      <c r="AX32" s="133">
        <v>0</v>
      </c>
      <c r="AY32" s="133">
        <v>0</v>
      </c>
    </row>
    <row r="33" spans="1:51" x14ac:dyDescent="0.2">
      <c r="A33" s="139" t="s">
        <v>134</v>
      </c>
      <c r="B33" s="127">
        <v>1</v>
      </c>
      <c r="C33" s="117" t="s">
        <v>292</v>
      </c>
      <c r="D33" s="114"/>
      <c r="E33" s="114"/>
      <c r="F33" s="114"/>
      <c r="G33" s="114"/>
      <c r="H33" s="114"/>
      <c r="I33" s="114"/>
      <c r="J33" s="114"/>
      <c r="K33" s="114"/>
      <c r="L33" s="114"/>
      <c r="M33" s="114"/>
      <c r="N33" s="114"/>
      <c r="O33" s="114"/>
      <c r="P33" s="114"/>
      <c r="Q33" s="114"/>
      <c r="R33" s="114"/>
      <c r="S33" s="114"/>
      <c r="T33" s="114"/>
      <c r="U33" s="114"/>
      <c r="V33" s="114"/>
      <c r="W33" s="114"/>
      <c r="X33" s="114"/>
      <c r="Y33" s="114"/>
      <c r="Z33" s="114"/>
      <c r="AA33" s="114"/>
      <c r="AB33" s="114"/>
      <c r="AC33" s="114"/>
      <c r="AD33" s="114"/>
      <c r="AE33" s="114"/>
      <c r="AF33" s="114"/>
      <c r="AG33" s="114"/>
      <c r="AH33" s="114"/>
      <c r="AI33" s="114"/>
      <c r="AJ33" s="114"/>
      <c r="AK33" s="114"/>
      <c r="AL33" s="114"/>
      <c r="AM33" s="114"/>
      <c r="AN33" s="114"/>
      <c r="AO33" s="114"/>
      <c r="AP33" s="114"/>
      <c r="AQ33" s="114"/>
      <c r="AR33" s="114"/>
      <c r="AS33" s="114"/>
      <c r="AT33" s="114"/>
      <c r="AU33" s="114"/>
      <c r="AV33" s="114"/>
      <c r="AW33" s="114"/>
      <c r="AX33" s="114"/>
      <c r="AY33" s="114"/>
    </row>
    <row r="34" spans="1:51" x14ac:dyDescent="0.2">
      <c r="A34" s="117"/>
      <c r="B34" s="127">
        <v>2</v>
      </c>
      <c r="C34" s="117" t="s">
        <v>292</v>
      </c>
      <c r="D34" s="114"/>
      <c r="E34" s="114"/>
      <c r="F34" s="114"/>
      <c r="G34" s="114"/>
      <c r="H34" s="114"/>
      <c r="I34" s="114"/>
      <c r="J34" s="114"/>
      <c r="K34" s="114"/>
      <c r="L34" s="114"/>
      <c r="M34" s="114"/>
      <c r="N34" s="114"/>
      <c r="O34" s="114"/>
      <c r="P34" s="114"/>
      <c r="Q34" s="114"/>
      <c r="R34" s="114"/>
      <c r="S34" s="114"/>
      <c r="T34" s="114"/>
      <c r="U34" s="114"/>
      <c r="V34" s="114"/>
      <c r="W34" s="114"/>
      <c r="X34" s="114"/>
      <c r="Y34" s="114"/>
      <c r="Z34" s="114"/>
      <c r="AA34" s="114"/>
      <c r="AB34" s="114"/>
      <c r="AC34" s="114"/>
      <c r="AD34" s="114"/>
      <c r="AE34" s="114"/>
      <c r="AF34" s="114"/>
      <c r="AG34" s="114"/>
      <c r="AH34" s="114"/>
      <c r="AI34" s="114"/>
      <c r="AJ34" s="114"/>
      <c r="AK34" s="114"/>
      <c r="AL34" s="114"/>
      <c r="AM34" s="114"/>
      <c r="AN34" s="114"/>
      <c r="AO34" s="114"/>
      <c r="AP34" s="114"/>
      <c r="AQ34" s="114"/>
      <c r="AR34" s="114"/>
      <c r="AS34" s="114"/>
      <c r="AT34" s="114"/>
      <c r="AU34" s="114"/>
      <c r="AV34" s="114"/>
      <c r="AW34" s="114"/>
      <c r="AX34" s="114"/>
      <c r="AY34" s="114"/>
    </row>
    <row r="35" spans="1:51" x14ac:dyDescent="0.2">
      <c r="A35" s="117"/>
      <c r="B35" s="127">
        <v>3</v>
      </c>
      <c r="C35" s="117" t="s">
        <v>292</v>
      </c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114"/>
      <c r="AA35" s="114"/>
      <c r="AB35" s="114"/>
      <c r="AC35" s="114"/>
      <c r="AD35" s="114"/>
      <c r="AE35" s="114"/>
      <c r="AF35" s="114"/>
      <c r="AG35" s="114"/>
      <c r="AH35" s="114"/>
      <c r="AI35" s="114"/>
      <c r="AJ35" s="114"/>
      <c r="AK35" s="114"/>
      <c r="AL35" s="114"/>
      <c r="AM35" s="114"/>
      <c r="AN35" s="114"/>
      <c r="AO35" s="114"/>
      <c r="AP35" s="114"/>
      <c r="AQ35" s="114"/>
      <c r="AR35" s="114"/>
      <c r="AS35" s="114"/>
      <c r="AT35" s="114"/>
      <c r="AU35" s="114"/>
      <c r="AV35" s="114"/>
      <c r="AW35" s="114"/>
      <c r="AX35" s="114"/>
      <c r="AY35" s="114"/>
    </row>
    <row r="36" spans="1:51" x14ac:dyDescent="0.2">
      <c r="A36" s="117"/>
      <c r="B36" s="128">
        <v>4</v>
      </c>
      <c r="C36" s="117" t="s">
        <v>292</v>
      </c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114"/>
      <c r="AA36" s="114"/>
      <c r="AB36" s="114"/>
      <c r="AC36" s="114"/>
      <c r="AD36" s="114"/>
      <c r="AE36" s="114"/>
      <c r="AF36" s="114"/>
      <c r="AG36" s="114"/>
      <c r="AH36" s="114"/>
      <c r="AI36" s="114"/>
      <c r="AJ36" s="114"/>
      <c r="AK36" s="114"/>
      <c r="AL36" s="114"/>
      <c r="AM36" s="114"/>
      <c r="AN36" s="114"/>
      <c r="AO36" s="114"/>
      <c r="AP36" s="114"/>
      <c r="AQ36" s="114"/>
      <c r="AR36" s="114"/>
      <c r="AS36" s="114"/>
      <c r="AT36" s="114"/>
      <c r="AU36" s="114"/>
      <c r="AV36" s="114"/>
      <c r="AW36" s="114"/>
      <c r="AX36" s="114"/>
      <c r="AY36" s="114"/>
    </row>
    <row r="37" spans="1:51" x14ac:dyDescent="0.2">
      <c r="A37" s="117"/>
      <c r="B37" s="128">
        <v>5</v>
      </c>
      <c r="C37" s="117" t="s">
        <v>292</v>
      </c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  <c r="Y37" s="114"/>
      <c r="Z37" s="114"/>
      <c r="AA37" s="114"/>
      <c r="AB37" s="114"/>
      <c r="AC37" s="114"/>
      <c r="AD37" s="114"/>
      <c r="AE37" s="114"/>
      <c r="AF37" s="114"/>
      <c r="AG37" s="114"/>
      <c r="AH37" s="114"/>
      <c r="AI37" s="114"/>
      <c r="AJ37" s="114"/>
      <c r="AK37" s="114"/>
      <c r="AL37" s="114"/>
      <c r="AM37" s="114"/>
      <c r="AN37" s="114"/>
      <c r="AO37" s="114"/>
      <c r="AP37" s="114"/>
      <c r="AQ37" s="114"/>
      <c r="AR37" s="114"/>
      <c r="AS37" s="114"/>
      <c r="AT37" s="114"/>
      <c r="AU37" s="114"/>
      <c r="AV37" s="114"/>
      <c r="AW37" s="114"/>
      <c r="AX37" s="114"/>
      <c r="AY37" s="114"/>
    </row>
    <row r="38" spans="1:51" x14ac:dyDescent="0.2">
      <c r="A38" s="117"/>
      <c r="B38" s="128">
        <v>6</v>
      </c>
      <c r="C38" s="117" t="s">
        <v>292</v>
      </c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114"/>
      <c r="AA38" s="114"/>
      <c r="AB38" s="114"/>
      <c r="AC38" s="114"/>
      <c r="AD38" s="114"/>
      <c r="AE38" s="114"/>
      <c r="AF38" s="114"/>
      <c r="AG38" s="114"/>
      <c r="AH38" s="114"/>
      <c r="AI38" s="114"/>
      <c r="AJ38" s="114"/>
      <c r="AK38" s="114"/>
      <c r="AL38" s="114"/>
      <c r="AM38" s="114"/>
      <c r="AN38" s="114"/>
      <c r="AO38" s="114"/>
      <c r="AP38" s="114"/>
      <c r="AQ38" s="114"/>
      <c r="AR38" s="114"/>
      <c r="AS38" s="114"/>
      <c r="AT38" s="114"/>
      <c r="AU38" s="114"/>
      <c r="AV38" s="114"/>
      <c r="AW38" s="114"/>
      <c r="AX38" s="114"/>
      <c r="AY38" s="114"/>
    </row>
    <row r="39" spans="1:51" x14ac:dyDescent="0.2">
      <c r="A39" s="117"/>
      <c r="B39" s="135">
        <v>7</v>
      </c>
      <c r="C39" s="117" t="s">
        <v>292</v>
      </c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/>
      <c r="X39" s="114"/>
      <c r="Y39" s="114"/>
      <c r="Z39" s="114"/>
      <c r="AA39" s="114"/>
      <c r="AB39" s="114"/>
      <c r="AC39" s="114"/>
      <c r="AD39" s="114"/>
      <c r="AE39" s="114"/>
      <c r="AF39" s="114"/>
      <c r="AG39" s="114"/>
      <c r="AH39" s="114"/>
      <c r="AI39" s="114"/>
      <c r="AJ39" s="114"/>
      <c r="AK39" s="114"/>
      <c r="AL39" s="114"/>
      <c r="AM39" s="114"/>
      <c r="AN39" s="114"/>
      <c r="AO39" s="114"/>
      <c r="AP39" s="114"/>
      <c r="AQ39" s="114"/>
      <c r="AR39" s="114"/>
      <c r="AS39" s="114"/>
      <c r="AT39" s="114"/>
      <c r="AU39" s="114"/>
      <c r="AV39" s="114"/>
      <c r="AW39" s="114"/>
      <c r="AX39" s="114"/>
      <c r="AY39" s="114"/>
    </row>
    <row r="40" spans="1:51" x14ac:dyDescent="0.2">
      <c r="A40" s="117"/>
      <c r="B40" s="135">
        <v>8</v>
      </c>
      <c r="C40" s="117" t="s">
        <v>292</v>
      </c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114"/>
      <c r="AA40" s="114"/>
      <c r="AB40" s="114"/>
      <c r="AC40" s="114"/>
      <c r="AD40" s="114"/>
      <c r="AE40" s="114"/>
      <c r="AF40" s="114"/>
      <c r="AG40" s="114"/>
      <c r="AH40" s="114"/>
      <c r="AI40" s="114"/>
      <c r="AJ40" s="114"/>
      <c r="AK40" s="114"/>
      <c r="AL40" s="114"/>
      <c r="AM40" s="114"/>
      <c r="AN40" s="114"/>
      <c r="AO40" s="114"/>
      <c r="AP40" s="114"/>
      <c r="AQ40" s="114"/>
      <c r="AR40" s="114"/>
      <c r="AS40" s="114"/>
      <c r="AT40" s="114"/>
      <c r="AU40" s="114"/>
      <c r="AV40" s="114"/>
      <c r="AW40" s="114"/>
      <c r="AX40" s="114"/>
      <c r="AY40" s="114"/>
    </row>
    <row r="41" spans="1:51" x14ac:dyDescent="0.2">
      <c r="A41" s="117"/>
      <c r="B41" s="135">
        <v>9</v>
      </c>
      <c r="C41" s="117" t="s">
        <v>292</v>
      </c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/>
      <c r="X41" s="114"/>
      <c r="Y41" s="114"/>
      <c r="Z41" s="114"/>
      <c r="AA41" s="114"/>
      <c r="AB41" s="114"/>
      <c r="AC41" s="114"/>
      <c r="AD41" s="114"/>
      <c r="AE41" s="114"/>
      <c r="AF41" s="114"/>
      <c r="AG41" s="114"/>
      <c r="AH41" s="114"/>
      <c r="AI41" s="114"/>
      <c r="AJ41" s="114"/>
      <c r="AK41" s="114"/>
      <c r="AL41" s="114"/>
      <c r="AM41" s="114"/>
      <c r="AN41" s="114"/>
      <c r="AO41" s="114"/>
      <c r="AP41" s="114"/>
      <c r="AQ41" s="114"/>
      <c r="AR41" s="114"/>
      <c r="AS41" s="114"/>
      <c r="AT41" s="114"/>
      <c r="AU41" s="114"/>
      <c r="AV41" s="114"/>
      <c r="AW41" s="114"/>
      <c r="AX41" s="114"/>
      <c r="AY41" s="114"/>
    </row>
    <row r="42" spans="1:51" x14ac:dyDescent="0.2">
      <c r="A42" s="117"/>
      <c r="B42" s="138">
        <v>10</v>
      </c>
      <c r="C42" s="117" t="s">
        <v>292</v>
      </c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  <c r="AJ42" s="114"/>
      <c r="AK42" s="114"/>
      <c r="AL42" s="114"/>
      <c r="AM42" s="114"/>
      <c r="AN42" s="114"/>
      <c r="AO42" s="114"/>
      <c r="AP42" s="114"/>
      <c r="AQ42" s="114"/>
      <c r="AR42" s="114"/>
      <c r="AS42" s="114"/>
      <c r="AT42" s="114"/>
      <c r="AU42" s="114"/>
      <c r="AV42" s="114"/>
      <c r="AW42" s="114"/>
      <c r="AX42" s="114"/>
      <c r="AY42" s="114"/>
    </row>
    <row r="43" spans="1:51" x14ac:dyDescent="0.2">
      <c r="A43" s="117"/>
      <c r="B43" s="138">
        <v>11</v>
      </c>
      <c r="C43" s="117" t="s">
        <v>292</v>
      </c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114"/>
      <c r="AA43" s="114"/>
      <c r="AB43" s="114"/>
      <c r="AC43" s="114"/>
      <c r="AD43" s="114"/>
      <c r="AE43" s="114"/>
      <c r="AF43" s="114"/>
      <c r="AG43" s="114"/>
      <c r="AH43" s="114"/>
      <c r="AI43" s="114"/>
      <c r="AJ43" s="114"/>
      <c r="AK43" s="114"/>
      <c r="AL43" s="114"/>
      <c r="AM43" s="114"/>
      <c r="AN43" s="114"/>
      <c r="AO43" s="114"/>
      <c r="AP43" s="114"/>
      <c r="AQ43" s="114"/>
      <c r="AR43" s="114"/>
      <c r="AS43" s="114"/>
      <c r="AT43" s="114"/>
      <c r="AU43" s="114"/>
      <c r="AV43" s="114"/>
      <c r="AW43" s="114"/>
      <c r="AX43" s="114"/>
      <c r="AY43" s="114"/>
    </row>
    <row r="44" spans="1:51" x14ac:dyDescent="0.2">
      <c r="A44" s="117"/>
      <c r="B44" s="138">
        <v>12</v>
      </c>
      <c r="C44" s="136" t="s">
        <v>292</v>
      </c>
      <c r="D44" s="114">
        <v>0</v>
      </c>
      <c r="E44" s="114">
        <v>0</v>
      </c>
      <c r="F44" s="114">
        <v>0</v>
      </c>
      <c r="G44" s="114">
        <v>0</v>
      </c>
      <c r="H44" s="114">
        <v>0</v>
      </c>
      <c r="I44" s="114">
        <v>0</v>
      </c>
      <c r="J44" s="114">
        <v>0</v>
      </c>
      <c r="K44" s="114">
        <v>0</v>
      </c>
      <c r="L44" s="114">
        <v>0</v>
      </c>
      <c r="M44" s="114">
        <v>0</v>
      </c>
      <c r="N44" s="114">
        <v>0</v>
      </c>
      <c r="O44" s="114">
        <v>0</v>
      </c>
      <c r="P44" s="114">
        <v>0</v>
      </c>
      <c r="Q44" s="114">
        <v>0</v>
      </c>
      <c r="R44" s="114">
        <v>0</v>
      </c>
      <c r="S44" s="114">
        <v>0</v>
      </c>
      <c r="T44" s="114">
        <v>0</v>
      </c>
      <c r="U44" s="114">
        <v>0</v>
      </c>
      <c r="V44" s="114">
        <v>0</v>
      </c>
      <c r="W44" s="114">
        <v>0</v>
      </c>
      <c r="X44" s="114">
        <v>0</v>
      </c>
      <c r="Y44" s="114">
        <v>0</v>
      </c>
      <c r="Z44" s="114">
        <v>0</v>
      </c>
      <c r="AA44" s="114">
        <v>0</v>
      </c>
      <c r="AB44" s="114">
        <v>0</v>
      </c>
      <c r="AC44" s="114">
        <v>0</v>
      </c>
      <c r="AD44" s="114">
        <v>0</v>
      </c>
      <c r="AE44" s="114">
        <v>0</v>
      </c>
      <c r="AF44" s="114">
        <v>0</v>
      </c>
      <c r="AG44" s="114">
        <v>0</v>
      </c>
      <c r="AH44" s="114">
        <v>0</v>
      </c>
      <c r="AI44" s="114">
        <v>0</v>
      </c>
      <c r="AJ44" s="114">
        <v>0</v>
      </c>
      <c r="AK44" s="114">
        <v>0</v>
      </c>
      <c r="AL44" s="114">
        <v>0</v>
      </c>
      <c r="AM44" s="114">
        <v>0</v>
      </c>
      <c r="AN44" s="114">
        <v>0</v>
      </c>
      <c r="AO44" s="114">
        <v>0</v>
      </c>
      <c r="AP44" s="114">
        <v>0</v>
      </c>
      <c r="AQ44" s="114">
        <v>0</v>
      </c>
      <c r="AR44" s="114">
        <v>0</v>
      </c>
      <c r="AS44" s="114">
        <v>0</v>
      </c>
      <c r="AT44" s="114">
        <v>0</v>
      </c>
      <c r="AU44" s="114">
        <v>0</v>
      </c>
      <c r="AV44" s="114">
        <v>0</v>
      </c>
      <c r="AW44" s="114">
        <v>0</v>
      </c>
      <c r="AX44" s="114">
        <v>0</v>
      </c>
      <c r="AY44" s="114">
        <v>0</v>
      </c>
    </row>
    <row r="45" spans="1:51" x14ac:dyDescent="0.2">
      <c r="A45" s="134" t="s">
        <v>123</v>
      </c>
      <c r="B45" s="131">
        <v>1</v>
      </c>
      <c r="C45" s="117" t="s">
        <v>292</v>
      </c>
      <c r="D45" s="132"/>
      <c r="E45" s="132"/>
      <c r="F45" s="132"/>
      <c r="G45" s="132"/>
      <c r="H45" s="132"/>
      <c r="I45" s="132"/>
      <c r="J45" s="132"/>
      <c r="K45" s="132"/>
      <c r="L45" s="132"/>
      <c r="M45" s="132"/>
      <c r="N45" s="132"/>
      <c r="O45" s="132"/>
      <c r="P45" s="132"/>
      <c r="Q45" s="132"/>
      <c r="R45" s="132"/>
      <c r="S45" s="132"/>
      <c r="T45" s="132"/>
      <c r="U45" s="132"/>
      <c r="V45" s="132"/>
      <c r="W45" s="132"/>
      <c r="X45" s="132"/>
      <c r="Y45" s="132"/>
      <c r="Z45" s="132"/>
      <c r="AA45" s="132"/>
      <c r="AB45" s="132"/>
      <c r="AC45" s="132"/>
      <c r="AD45" s="132"/>
      <c r="AE45" s="132"/>
      <c r="AF45" s="132"/>
      <c r="AG45" s="132"/>
      <c r="AH45" s="132"/>
      <c r="AI45" s="132"/>
      <c r="AJ45" s="132"/>
      <c r="AK45" s="132"/>
      <c r="AL45" s="132"/>
      <c r="AM45" s="132"/>
      <c r="AN45" s="132"/>
      <c r="AO45" s="132"/>
      <c r="AP45" s="132"/>
      <c r="AQ45" s="132"/>
      <c r="AR45" s="132"/>
      <c r="AS45" s="132"/>
      <c r="AT45" s="132"/>
      <c r="AU45" s="132"/>
      <c r="AV45" s="132"/>
      <c r="AW45" s="132"/>
      <c r="AX45" s="132"/>
      <c r="AY45" s="132"/>
    </row>
    <row r="46" spans="1:51" x14ac:dyDescent="0.2">
      <c r="A46" s="117"/>
      <c r="B46" s="127">
        <v>2</v>
      </c>
      <c r="C46" s="117" t="s">
        <v>292</v>
      </c>
      <c r="D46" s="118"/>
      <c r="E46" s="118"/>
      <c r="F46" s="118"/>
      <c r="G46" s="118"/>
      <c r="H46" s="118"/>
      <c r="I46" s="118"/>
      <c r="J46" s="118"/>
      <c r="K46" s="118"/>
      <c r="L46" s="118"/>
      <c r="M46" s="118"/>
      <c r="N46" s="118"/>
      <c r="O46" s="118"/>
      <c r="P46" s="118"/>
      <c r="Q46" s="118"/>
      <c r="R46" s="118"/>
      <c r="S46" s="118"/>
      <c r="T46" s="118"/>
      <c r="U46" s="118"/>
      <c r="V46" s="118"/>
      <c r="W46" s="118"/>
      <c r="X46" s="118"/>
      <c r="Y46" s="118"/>
      <c r="Z46" s="118"/>
      <c r="AA46" s="118"/>
      <c r="AB46" s="118"/>
      <c r="AC46" s="118"/>
      <c r="AD46" s="118"/>
      <c r="AE46" s="118"/>
      <c r="AF46" s="118"/>
      <c r="AG46" s="118"/>
      <c r="AH46" s="118"/>
      <c r="AI46" s="118"/>
      <c r="AJ46" s="118"/>
      <c r="AK46" s="118"/>
      <c r="AL46" s="118"/>
      <c r="AM46" s="118"/>
      <c r="AN46" s="118"/>
      <c r="AO46" s="118"/>
      <c r="AP46" s="118"/>
      <c r="AQ46" s="118"/>
      <c r="AR46" s="118"/>
      <c r="AS46" s="118"/>
      <c r="AT46" s="118"/>
      <c r="AU46" s="118"/>
      <c r="AV46" s="118"/>
      <c r="AW46" s="118"/>
      <c r="AX46" s="118"/>
      <c r="AY46" s="118"/>
    </row>
    <row r="47" spans="1:51" x14ac:dyDescent="0.2">
      <c r="A47" s="117"/>
      <c r="B47" s="127">
        <v>3</v>
      </c>
      <c r="C47" s="117" t="s">
        <v>292</v>
      </c>
      <c r="D47" s="118"/>
      <c r="E47" s="118"/>
      <c r="F47" s="118"/>
      <c r="G47" s="118"/>
      <c r="H47" s="118"/>
      <c r="I47" s="118"/>
      <c r="J47" s="118"/>
      <c r="K47" s="118"/>
      <c r="L47" s="118"/>
      <c r="M47" s="118"/>
      <c r="N47" s="118"/>
      <c r="O47" s="118"/>
      <c r="P47" s="118"/>
      <c r="Q47" s="118"/>
      <c r="R47" s="118"/>
      <c r="S47" s="118"/>
      <c r="T47" s="118"/>
      <c r="U47" s="118"/>
      <c r="V47" s="118"/>
      <c r="W47" s="118"/>
      <c r="X47" s="118"/>
      <c r="Y47" s="118"/>
      <c r="Z47" s="118"/>
      <c r="AA47" s="118"/>
      <c r="AB47" s="118"/>
      <c r="AC47" s="118"/>
      <c r="AD47" s="118"/>
      <c r="AE47" s="118"/>
      <c r="AF47" s="118"/>
      <c r="AG47" s="118"/>
      <c r="AH47" s="118"/>
      <c r="AI47" s="118"/>
      <c r="AJ47" s="118"/>
      <c r="AK47" s="118"/>
      <c r="AL47" s="118"/>
      <c r="AM47" s="118"/>
      <c r="AN47" s="118"/>
      <c r="AO47" s="118"/>
      <c r="AP47" s="118"/>
      <c r="AQ47" s="118"/>
      <c r="AR47" s="118"/>
      <c r="AS47" s="118"/>
      <c r="AT47" s="118"/>
      <c r="AU47" s="118"/>
      <c r="AV47" s="118"/>
      <c r="AW47" s="118"/>
      <c r="AX47" s="118"/>
      <c r="AY47" s="118"/>
    </row>
    <row r="48" spans="1:51" x14ac:dyDescent="0.2">
      <c r="A48" s="117"/>
      <c r="B48" s="127">
        <v>4</v>
      </c>
      <c r="C48" s="117" t="s">
        <v>292</v>
      </c>
      <c r="D48" s="118"/>
      <c r="E48" s="118"/>
      <c r="F48" s="118"/>
      <c r="G48" s="118"/>
      <c r="H48" s="118"/>
      <c r="I48" s="118"/>
      <c r="J48" s="118"/>
      <c r="K48" s="118"/>
      <c r="L48" s="118"/>
      <c r="M48" s="118"/>
      <c r="N48" s="118"/>
      <c r="O48" s="118"/>
      <c r="P48" s="118"/>
      <c r="Q48" s="118"/>
      <c r="R48" s="118"/>
      <c r="S48" s="118"/>
      <c r="T48" s="118"/>
      <c r="U48" s="118"/>
      <c r="V48" s="118"/>
      <c r="W48" s="118"/>
      <c r="X48" s="118"/>
      <c r="Y48" s="118"/>
      <c r="Z48" s="118"/>
      <c r="AA48" s="118"/>
      <c r="AB48" s="118"/>
      <c r="AC48" s="118"/>
      <c r="AD48" s="118"/>
      <c r="AE48" s="118"/>
      <c r="AF48" s="118"/>
      <c r="AG48" s="118"/>
      <c r="AH48" s="118"/>
      <c r="AI48" s="118"/>
      <c r="AJ48" s="118"/>
      <c r="AK48" s="118"/>
      <c r="AL48" s="118"/>
      <c r="AM48" s="118"/>
      <c r="AN48" s="118"/>
      <c r="AO48" s="118"/>
      <c r="AP48" s="118"/>
      <c r="AQ48" s="118"/>
      <c r="AR48" s="118"/>
      <c r="AS48" s="118"/>
      <c r="AT48" s="118"/>
      <c r="AU48" s="118"/>
      <c r="AV48" s="118"/>
      <c r="AW48" s="118"/>
      <c r="AX48" s="118"/>
      <c r="AY48" s="118"/>
    </row>
    <row r="49" spans="1:51" x14ac:dyDescent="0.2">
      <c r="A49" s="117"/>
      <c r="B49" s="127">
        <v>5</v>
      </c>
      <c r="C49" s="117" t="s">
        <v>292</v>
      </c>
      <c r="D49" s="118"/>
      <c r="E49" s="118"/>
      <c r="F49" s="118"/>
      <c r="G49" s="118"/>
      <c r="H49" s="118"/>
      <c r="I49" s="118"/>
      <c r="J49" s="118"/>
      <c r="K49" s="118"/>
      <c r="L49" s="118"/>
      <c r="M49" s="118"/>
      <c r="N49" s="118"/>
      <c r="O49" s="118"/>
      <c r="P49" s="118"/>
      <c r="Q49" s="118"/>
      <c r="R49" s="118"/>
      <c r="S49" s="118"/>
      <c r="T49" s="118"/>
      <c r="U49" s="118"/>
      <c r="V49" s="118"/>
      <c r="W49" s="118"/>
      <c r="X49" s="118"/>
      <c r="Y49" s="118"/>
      <c r="Z49" s="118"/>
      <c r="AA49" s="118"/>
      <c r="AB49" s="118"/>
      <c r="AC49" s="118"/>
      <c r="AD49" s="118"/>
      <c r="AE49" s="118"/>
      <c r="AF49" s="118"/>
      <c r="AG49" s="118"/>
      <c r="AH49" s="118"/>
      <c r="AI49" s="118"/>
      <c r="AJ49" s="118"/>
      <c r="AK49" s="118"/>
      <c r="AL49" s="118"/>
      <c r="AM49" s="118"/>
      <c r="AN49" s="118"/>
      <c r="AO49" s="118"/>
      <c r="AP49" s="118"/>
      <c r="AQ49" s="118"/>
      <c r="AR49" s="118"/>
      <c r="AS49" s="118"/>
      <c r="AT49" s="118"/>
      <c r="AU49" s="118"/>
      <c r="AV49" s="118"/>
      <c r="AW49" s="118"/>
      <c r="AX49" s="118"/>
      <c r="AY49" s="118"/>
    </row>
    <row r="50" spans="1:51" x14ac:dyDescent="0.2">
      <c r="A50" s="117"/>
      <c r="B50" s="127">
        <v>6</v>
      </c>
      <c r="C50" s="117" t="s">
        <v>292</v>
      </c>
      <c r="D50" s="118"/>
      <c r="E50" s="118"/>
      <c r="F50" s="118"/>
      <c r="G50" s="118"/>
      <c r="H50" s="118"/>
      <c r="I50" s="118"/>
      <c r="J50" s="118"/>
      <c r="K50" s="118"/>
      <c r="L50" s="118"/>
      <c r="M50" s="118"/>
      <c r="N50" s="118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  <c r="AG50" s="118"/>
      <c r="AH50" s="118"/>
      <c r="AI50" s="118"/>
      <c r="AJ50" s="118"/>
      <c r="AK50" s="118"/>
      <c r="AL50" s="118"/>
      <c r="AM50" s="118"/>
      <c r="AN50" s="118"/>
      <c r="AO50" s="118"/>
      <c r="AP50" s="118"/>
      <c r="AQ50" s="118"/>
      <c r="AR50" s="118"/>
      <c r="AS50" s="118"/>
      <c r="AT50" s="118"/>
      <c r="AU50" s="118"/>
      <c r="AV50" s="118"/>
      <c r="AW50" s="118"/>
      <c r="AX50" s="118"/>
      <c r="AY50" s="118"/>
    </row>
    <row r="51" spans="1:51" x14ac:dyDescent="0.2">
      <c r="A51" s="117"/>
      <c r="B51" s="127">
        <v>7</v>
      </c>
      <c r="C51" s="117" t="s">
        <v>292</v>
      </c>
      <c r="D51" s="118"/>
      <c r="E51" s="118"/>
      <c r="F51" s="118"/>
      <c r="G51" s="118"/>
      <c r="H51" s="118"/>
      <c r="I51" s="118"/>
      <c r="J51" s="118"/>
      <c r="K51" s="118"/>
      <c r="L51" s="118"/>
      <c r="M51" s="118"/>
      <c r="N51" s="118"/>
      <c r="O51" s="118"/>
      <c r="P51" s="118"/>
      <c r="Q51" s="118"/>
      <c r="R51" s="118"/>
      <c r="S51" s="118"/>
      <c r="T51" s="118"/>
      <c r="U51" s="118"/>
      <c r="V51" s="118"/>
      <c r="W51" s="118"/>
      <c r="X51" s="118"/>
      <c r="Y51" s="118"/>
      <c r="Z51" s="118"/>
      <c r="AA51" s="118"/>
      <c r="AB51" s="118"/>
      <c r="AC51" s="118"/>
      <c r="AD51" s="118"/>
      <c r="AE51" s="118"/>
      <c r="AF51" s="118"/>
      <c r="AG51" s="118"/>
      <c r="AH51" s="118"/>
      <c r="AI51" s="118"/>
      <c r="AJ51" s="118"/>
      <c r="AK51" s="118"/>
      <c r="AL51" s="118"/>
      <c r="AM51" s="118"/>
      <c r="AN51" s="118"/>
      <c r="AO51" s="118"/>
      <c r="AP51" s="118"/>
      <c r="AQ51" s="118"/>
      <c r="AR51" s="118"/>
      <c r="AS51" s="118"/>
      <c r="AT51" s="118"/>
      <c r="AU51" s="118"/>
      <c r="AV51" s="118"/>
      <c r="AW51" s="118"/>
      <c r="AX51" s="118"/>
      <c r="AY51" s="118"/>
    </row>
    <row r="52" spans="1:51" x14ac:dyDescent="0.2">
      <c r="A52" s="117"/>
      <c r="B52" s="127">
        <v>8</v>
      </c>
      <c r="C52" s="117" t="s">
        <v>292</v>
      </c>
      <c r="D52" s="118"/>
      <c r="E52" s="118"/>
      <c r="F52" s="118"/>
      <c r="G52" s="118"/>
      <c r="H52" s="118"/>
      <c r="I52" s="118"/>
      <c r="J52" s="118"/>
      <c r="K52" s="118"/>
      <c r="L52" s="118"/>
      <c r="M52" s="118"/>
      <c r="N52" s="118"/>
      <c r="O52" s="118"/>
      <c r="P52" s="118"/>
      <c r="Q52" s="118"/>
      <c r="R52" s="118"/>
      <c r="S52" s="118"/>
      <c r="T52" s="118"/>
      <c r="U52" s="118"/>
      <c r="V52" s="118"/>
      <c r="W52" s="118"/>
      <c r="X52" s="118"/>
      <c r="Y52" s="118"/>
      <c r="Z52" s="118"/>
      <c r="AA52" s="118"/>
      <c r="AB52" s="118"/>
      <c r="AC52" s="118"/>
      <c r="AD52" s="118"/>
      <c r="AE52" s="118"/>
      <c r="AF52" s="118"/>
      <c r="AG52" s="118"/>
      <c r="AH52" s="118"/>
      <c r="AI52" s="118"/>
      <c r="AJ52" s="118"/>
      <c r="AK52" s="118"/>
      <c r="AL52" s="118"/>
      <c r="AM52" s="118"/>
      <c r="AN52" s="118"/>
      <c r="AO52" s="118"/>
      <c r="AP52" s="118"/>
      <c r="AQ52" s="118"/>
      <c r="AR52" s="118"/>
      <c r="AS52" s="118"/>
      <c r="AT52" s="118"/>
      <c r="AU52" s="118"/>
      <c r="AV52" s="118"/>
      <c r="AW52" s="118"/>
      <c r="AX52" s="118"/>
      <c r="AY52" s="118"/>
    </row>
    <row r="53" spans="1:51" x14ac:dyDescent="0.2">
      <c r="A53" s="117"/>
      <c r="B53" s="127">
        <v>9</v>
      </c>
      <c r="C53" s="117" t="s">
        <v>292</v>
      </c>
      <c r="D53" s="118"/>
      <c r="E53" s="118"/>
      <c r="F53" s="118"/>
      <c r="G53" s="118"/>
      <c r="H53" s="118"/>
      <c r="I53" s="118"/>
      <c r="J53" s="118"/>
      <c r="K53" s="118"/>
      <c r="L53" s="118"/>
      <c r="M53" s="118"/>
      <c r="N53" s="118"/>
      <c r="O53" s="118"/>
      <c r="P53" s="118"/>
      <c r="Q53" s="118"/>
      <c r="R53" s="118"/>
      <c r="S53" s="118"/>
      <c r="T53" s="118"/>
      <c r="U53" s="118"/>
      <c r="V53" s="118"/>
      <c r="W53" s="118"/>
      <c r="X53" s="118"/>
      <c r="Y53" s="118"/>
      <c r="Z53" s="118"/>
      <c r="AA53" s="118"/>
      <c r="AB53" s="118"/>
      <c r="AC53" s="118"/>
      <c r="AD53" s="118"/>
      <c r="AE53" s="118"/>
      <c r="AF53" s="118"/>
      <c r="AG53" s="118"/>
      <c r="AH53" s="118"/>
      <c r="AI53" s="118"/>
      <c r="AJ53" s="118"/>
      <c r="AK53" s="118"/>
      <c r="AL53" s="118"/>
      <c r="AM53" s="118"/>
      <c r="AN53" s="118"/>
      <c r="AO53" s="118"/>
      <c r="AP53" s="118"/>
      <c r="AQ53" s="118"/>
      <c r="AR53" s="118"/>
      <c r="AS53" s="118"/>
      <c r="AT53" s="118"/>
      <c r="AU53" s="118"/>
      <c r="AV53" s="118"/>
      <c r="AW53" s="118"/>
      <c r="AX53" s="118"/>
      <c r="AY53" s="118"/>
    </row>
    <row r="54" spans="1:51" x14ac:dyDescent="0.2">
      <c r="A54" s="117"/>
      <c r="B54" s="127">
        <v>10</v>
      </c>
      <c r="C54" s="117" t="s">
        <v>292</v>
      </c>
      <c r="D54" s="118"/>
      <c r="E54" s="118"/>
      <c r="F54" s="118"/>
      <c r="G54" s="118"/>
      <c r="H54" s="118"/>
      <c r="I54" s="118"/>
      <c r="J54" s="118"/>
      <c r="K54" s="118"/>
      <c r="L54" s="118"/>
      <c r="M54" s="118"/>
      <c r="N54" s="118"/>
      <c r="O54" s="118"/>
      <c r="P54" s="118"/>
      <c r="Q54" s="118"/>
      <c r="R54" s="118"/>
      <c r="S54" s="118"/>
      <c r="T54" s="118"/>
      <c r="U54" s="118"/>
      <c r="V54" s="118"/>
      <c r="W54" s="118"/>
      <c r="X54" s="118"/>
      <c r="Y54" s="118"/>
      <c r="Z54" s="118"/>
      <c r="AA54" s="118"/>
      <c r="AB54" s="118"/>
      <c r="AC54" s="118"/>
      <c r="AD54" s="118"/>
      <c r="AE54" s="118"/>
      <c r="AF54" s="118"/>
      <c r="AG54" s="118"/>
      <c r="AH54" s="118"/>
      <c r="AI54" s="118"/>
      <c r="AJ54" s="118"/>
      <c r="AK54" s="118"/>
      <c r="AL54" s="118"/>
      <c r="AM54" s="118"/>
      <c r="AN54" s="118"/>
      <c r="AO54" s="118"/>
      <c r="AP54" s="118"/>
      <c r="AQ54" s="118"/>
      <c r="AR54" s="118"/>
      <c r="AS54" s="118"/>
      <c r="AT54" s="118"/>
      <c r="AU54" s="118"/>
      <c r="AV54" s="118"/>
      <c r="AW54" s="118"/>
      <c r="AX54" s="118"/>
      <c r="AY54" s="118"/>
    </row>
    <row r="55" spans="1:51" x14ac:dyDescent="0.2">
      <c r="A55" s="117"/>
      <c r="B55" s="127">
        <v>11</v>
      </c>
      <c r="C55" s="117" t="s">
        <v>292</v>
      </c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  <c r="P55" s="118"/>
      <c r="Q55" s="118"/>
      <c r="R55" s="118"/>
      <c r="S55" s="118"/>
      <c r="T55" s="118"/>
      <c r="U55" s="118"/>
      <c r="V55" s="118"/>
      <c r="W55" s="118"/>
      <c r="X55" s="118"/>
      <c r="Y55" s="118"/>
      <c r="Z55" s="118"/>
      <c r="AA55" s="118"/>
      <c r="AB55" s="118"/>
      <c r="AC55" s="118"/>
      <c r="AD55" s="118"/>
      <c r="AE55" s="118"/>
      <c r="AF55" s="118"/>
      <c r="AG55" s="118"/>
      <c r="AH55" s="118"/>
      <c r="AI55" s="118"/>
      <c r="AJ55" s="118"/>
      <c r="AK55" s="118"/>
      <c r="AL55" s="118"/>
      <c r="AM55" s="118"/>
      <c r="AN55" s="118"/>
      <c r="AO55" s="118"/>
      <c r="AP55" s="118"/>
      <c r="AQ55" s="118"/>
      <c r="AR55" s="118"/>
      <c r="AS55" s="118"/>
      <c r="AT55" s="118"/>
      <c r="AU55" s="118"/>
      <c r="AV55" s="118"/>
      <c r="AW55" s="118"/>
      <c r="AX55" s="118"/>
      <c r="AY55" s="118"/>
    </row>
    <row r="56" spans="1:51" x14ac:dyDescent="0.2">
      <c r="A56" s="117"/>
      <c r="B56" s="127">
        <v>12</v>
      </c>
      <c r="C56" s="117" t="s">
        <v>292</v>
      </c>
      <c r="D56" s="118"/>
      <c r="E56" s="118"/>
      <c r="F56" s="118"/>
      <c r="G56" s="118"/>
      <c r="H56" s="118"/>
      <c r="I56" s="118"/>
      <c r="J56" s="118"/>
      <c r="K56" s="118"/>
      <c r="L56" s="118"/>
      <c r="M56" s="118"/>
      <c r="N56" s="118"/>
      <c r="O56" s="118"/>
      <c r="P56" s="118"/>
      <c r="Q56" s="118"/>
      <c r="R56" s="118"/>
      <c r="S56" s="118"/>
      <c r="T56" s="118"/>
      <c r="U56" s="118"/>
      <c r="V56" s="118"/>
      <c r="W56" s="118"/>
      <c r="X56" s="118"/>
      <c r="Y56" s="118"/>
      <c r="Z56" s="118"/>
      <c r="AA56" s="118"/>
      <c r="AB56" s="118"/>
      <c r="AC56" s="118"/>
      <c r="AD56" s="118"/>
      <c r="AE56" s="118"/>
      <c r="AF56" s="118"/>
      <c r="AG56" s="118"/>
      <c r="AH56" s="118"/>
      <c r="AI56" s="118"/>
      <c r="AJ56" s="118"/>
      <c r="AK56" s="118"/>
      <c r="AL56" s="118"/>
      <c r="AM56" s="118"/>
      <c r="AN56" s="118"/>
      <c r="AO56" s="118"/>
      <c r="AP56" s="118"/>
      <c r="AQ56" s="118"/>
      <c r="AR56" s="118"/>
      <c r="AS56" s="118"/>
      <c r="AT56" s="118"/>
      <c r="AU56" s="118"/>
      <c r="AV56" s="118"/>
      <c r="AW56" s="118"/>
      <c r="AX56" s="118"/>
      <c r="AY56" s="118"/>
    </row>
    <row r="57" spans="1:51" x14ac:dyDescent="0.2">
      <c r="A57" s="117"/>
      <c r="B57" s="128">
        <v>13</v>
      </c>
      <c r="C57" s="117" t="s">
        <v>292</v>
      </c>
      <c r="D57" s="118"/>
      <c r="E57" s="118"/>
      <c r="F57" s="118"/>
      <c r="G57" s="118"/>
      <c r="H57" s="118"/>
      <c r="I57" s="118"/>
      <c r="J57" s="118"/>
      <c r="K57" s="118"/>
      <c r="L57" s="118"/>
      <c r="M57" s="118"/>
      <c r="N57" s="118"/>
      <c r="O57" s="118"/>
      <c r="P57" s="118"/>
      <c r="Q57" s="118"/>
      <c r="R57" s="118"/>
      <c r="S57" s="118"/>
      <c r="T57" s="118"/>
      <c r="U57" s="118"/>
      <c r="V57" s="118"/>
      <c r="W57" s="118"/>
      <c r="X57" s="118"/>
      <c r="Y57" s="118"/>
      <c r="Z57" s="118"/>
      <c r="AA57" s="118"/>
      <c r="AB57" s="118"/>
      <c r="AC57" s="118"/>
      <c r="AD57" s="118"/>
      <c r="AE57" s="118"/>
      <c r="AF57" s="118"/>
      <c r="AG57" s="118"/>
      <c r="AH57" s="118"/>
      <c r="AI57" s="118"/>
      <c r="AJ57" s="118"/>
      <c r="AK57" s="118"/>
      <c r="AL57" s="118"/>
      <c r="AM57" s="118"/>
      <c r="AN57" s="118"/>
      <c r="AO57" s="118"/>
      <c r="AP57" s="118"/>
      <c r="AQ57" s="118"/>
      <c r="AR57" s="118"/>
      <c r="AS57" s="118"/>
      <c r="AT57" s="118"/>
      <c r="AU57" s="118"/>
      <c r="AV57" s="118"/>
      <c r="AW57" s="118"/>
      <c r="AX57" s="118"/>
      <c r="AY57" s="118"/>
    </row>
    <row r="58" spans="1:51" x14ac:dyDescent="0.2">
      <c r="A58" s="117"/>
      <c r="B58" s="128">
        <v>14</v>
      </c>
      <c r="C58" s="117" t="s">
        <v>292</v>
      </c>
      <c r="D58" s="118"/>
      <c r="E58" s="118"/>
      <c r="F58" s="118"/>
      <c r="G58" s="118"/>
      <c r="H58" s="118"/>
      <c r="I58" s="118"/>
      <c r="J58" s="118"/>
      <c r="K58" s="118"/>
      <c r="L58" s="118"/>
      <c r="M58" s="118"/>
      <c r="N58" s="118"/>
      <c r="O58" s="118"/>
      <c r="P58" s="118"/>
      <c r="Q58" s="118"/>
      <c r="R58" s="118"/>
      <c r="S58" s="118"/>
      <c r="T58" s="118"/>
      <c r="U58" s="118"/>
      <c r="V58" s="118"/>
      <c r="W58" s="118"/>
      <c r="X58" s="118"/>
      <c r="Y58" s="118"/>
      <c r="Z58" s="118"/>
      <c r="AA58" s="118"/>
      <c r="AB58" s="118"/>
      <c r="AC58" s="118"/>
      <c r="AD58" s="118"/>
      <c r="AE58" s="118"/>
      <c r="AF58" s="118"/>
      <c r="AG58" s="118"/>
      <c r="AH58" s="118"/>
      <c r="AI58" s="118"/>
      <c r="AJ58" s="118"/>
      <c r="AK58" s="118"/>
      <c r="AL58" s="118"/>
      <c r="AM58" s="118"/>
      <c r="AN58" s="118"/>
      <c r="AO58" s="118"/>
      <c r="AP58" s="118"/>
      <c r="AQ58" s="118"/>
      <c r="AR58" s="118"/>
      <c r="AS58" s="118"/>
      <c r="AT58" s="118"/>
      <c r="AU58" s="118"/>
      <c r="AV58" s="118"/>
      <c r="AW58" s="118"/>
      <c r="AX58" s="118"/>
      <c r="AY58" s="118"/>
    </row>
    <row r="59" spans="1:51" x14ac:dyDescent="0.2">
      <c r="A59" s="117"/>
      <c r="B59" s="128">
        <v>15</v>
      </c>
      <c r="C59" s="117" t="s">
        <v>292</v>
      </c>
      <c r="D59" s="118"/>
      <c r="E59" s="118"/>
      <c r="F59" s="118"/>
      <c r="G59" s="118"/>
      <c r="H59" s="118"/>
      <c r="I59" s="118"/>
      <c r="J59" s="118"/>
      <c r="K59" s="118"/>
      <c r="L59" s="118"/>
      <c r="M59" s="118"/>
      <c r="N59" s="118"/>
      <c r="O59" s="118"/>
      <c r="P59" s="118"/>
      <c r="Q59" s="118"/>
      <c r="R59" s="118"/>
      <c r="S59" s="118"/>
      <c r="T59" s="118"/>
      <c r="U59" s="118"/>
      <c r="V59" s="118"/>
      <c r="W59" s="118"/>
      <c r="X59" s="118"/>
      <c r="Y59" s="118"/>
      <c r="Z59" s="118"/>
      <c r="AA59" s="118"/>
      <c r="AB59" s="118"/>
      <c r="AC59" s="118"/>
      <c r="AD59" s="118"/>
      <c r="AE59" s="118"/>
      <c r="AF59" s="118"/>
      <c r="AG59" s="118"/>
      <c r="AH59" s="118"/>
      <c r="AI59" s="118"/>
      <c r="AJ59" s="118"/>
      <c r="AK59" s="118"/>
      <c r="AL59" s="118"/>
      <c r="AM59" s="118"/>
      <c r="AN59" s="118"/>
      <c r="AO59" s="118"/>
      <c r="AP59" s="118"/>
      <c r="AQ59" s="118"/>
      <c r="AR59" s="118"/>
      <c r="AS59" s="118"/>
      <c r="AT59" s="118"/>
      <c r="AU59" s="118"/>
      <c r="AV59" s="118"/>
      <c r="AW59" s="118"/>
      <c r="AX59" s="118"/>
      <c r="AY59" s="118"/>
    </row>
    <row r="60" spans="1:51" x14ac:dyDescent="0.2">
      <c r="A60" s="117"/>
      <c r="B60" s="128">
        <v>16</v>
      </c>
      <c r="C60" s="117" t="s">
        <v>292</v>
      </c>
      <c r="D60" s="118"/>
      <c r="E60" s="118"/>
      <c r="F60" s="118"/>
      <c r="G60" s="118"/>
      <c r="H60" s="118"/>
      <c r="I60" s="118"/>
      <c r="J60" s="118"/>
      <c r="K60" s="118"/>
      <c r="L60" s="118"/>
      <c r="M60" s="118"/>
      <c r="N60" s="118"/>
      <c r="O60" s="118"/>
      <c r="P60" s="118"/>
      <c r="Q60" s="118"/>
      <c r="R60" s="118"/>
      <c r="S60" s="118"/>
      <c r="T60" s="118"/>
      <c r="U60" s="118"/>
      <c r="V60" s="118"/>
      <c r="W60" s="118"/>
      <c r="X60" s="118"/>
      <c r="Y60" s="118"/>
      <c r="Z60" s="118"/>
      <c r="AA60" s="118"/>
      <c r="AB60" s="118"/>
      <c r="AC60" s="118"/>
      <c r="AD60" s="118"/>
      <c r="AE60" s="118"/>
      <c r="AF60" s="118"/>
      <c r="AG60" s="118"/>
      <c r="AH60" s="118"/>
      <c r="AI60" s="118"/>
      <c r="AJ60" s="118"/>
      <c r="AK60" s="118"/>
      <c r="AL60" s="118"/>
      <c r="AM60" s="118"/>
      <c r="AN60" s="118"/>
      <c r="AO60" s="118"/>
      <c r="AP60" s="118"/>
      <c r="AQ60" s="118"/>
      <c r="AR60" s="118"/>
      <c r="AS60" s="118"/>
      <c r="AT60" s="118"/>
      <c r="AU60" s="118"/>
      <c r="AV60" s="118"/>
      <c r="AW60" s="118"/>
      <c r="AX60" s="118"/>
      <c r="AY60" s="118"/>
    </row>
    <row r="61" spans="1:51" x14ac:dyDescent="0.2">
      <c r="A61" s="117"/>
      <c r="B61" s="128">
        <v>17</v>
      </c>
      <c r="C61" s="117" t="s">
        <v>292</v>
      </c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118"/>
      <c r="T61" s="118"/>
      <c r="U61" s="118"/>
      <c r="V61" s="118"/>
      <c r="W61" s="118"/>
      <c r="X61" s="118"/>
      <c r="Y61" s="118"/>
      <c r="Z61" s="118"/>
      <c r="AA61" s="118"/>
      <c r="AB61" s="118"/>
      <c r="AC61" s="118"/>
      <c r="AD61" s="118"/>
      <c r="AE61" s="118"/>
      <c r="AF61" s="118"/>
      <c r="AG61" s="118"/>
      <c r="AH61" s="118"/>
      <c r="AI61" s="118"/>
      <c r="AJ61" s="118"/>
      <c r="AK61" s="118"/>
      <c r="AL61" s="118"/>
      <c r="AM61" s="118"/>
      <c r="AN61" s="118"/>
      <c r="AO61" s="118"/>
      <c r="AP61" s="118"/>
      <c r="AQ61" s="118"/>
      <c r="AR61" s="118"/>
      <c r="AS61" s="118"/>
      <c r="AT61" s="118"/>
      <c r="AU61" s="118"/>
      <c r="AV61" s="118"/>
      <c r="AW61" s="118"/>
      <c r="AX61" s="118"/>
      <c r="AY61" s="118"/>
    </row>
    <row r="62" spans="1:51" x14ac:dyDescent="0.2">
      <c r="A62" s="117"/>
      <c r="B62" s="128">
        <v>18</v>
      </c>
      <c r="C62" s="117" t="s">
        <v>292</v>
      </c>
      <c r="D62" s="118"/>
      <c r="E62" s="118"/>
      <c r="F62" s="118"/>
      <c r="G62" s="118"/>
      <c r="H62" s="118"/>
      <c r="I62" s="118"/>
      <c r="J62" s="118"/>
      <c r="K62" s="118"/>
      <c r="L62" s="118"/>
      <c r="M62" s="118"/>
      <c r="N62" s="118"/>
      <c r="O62" s="118"/>
      <c r="P62" s="118"/>
      <c r="Q62" s="118"/>
      <c r="R62" s="118"/>
      <c r="S62" s="118"/>
      <c r="T62" s="118"/>
      <c r="U62" s="118"/>
      <c r="V62" s="118"/>
      <c r="W62" s="118"/>
      <c r="X62" s="118"/>
      <c r="Y62" s="118"/>
      <c r="Z62" s="118"/>
      <c r="AA62" s="118"/>
      <c r="AB62" s="118"/>
      <c r="AC62" s="118"/>
      <c r="AD62" s="118"/>
      <c r="AE62" s="118"/>
      <c r="AF62" s="118"/>
      <c r="AG62" s="118"/>
      <c r="AH62" s="118"/>
      <c r="AI62" s="118"/>
      <c r="AJ62" s="118"/>
      <c r="AK62" s="118"/>
      <c r="AL62" s="118"/>
      <c r="AM62" s="118"/>
      <c r="AN62" s="118"/>
      <c r="AO62" s="118"/>
      <c r="AP62" s="118"/>
      <c r="AQ62" s="118"/>
      <c r="AR62" s="118"/>
      <c r="AS62" s="118"/>
      <c r="AT62" s="118"/>
      <c r="AU62" s="118"/>
      <c r="AV62" s="118"/>
      <c r="AW62" s="118"/>
      <c r="AX62" s="118"/>
      <c r="AY62" s="118"/>
    </row>
    <row r="63" spans="1:51" x14ac:dyDescent="0.2">
      <c r="A63" s="117"/>
      <c r="B63" s="128">
        <v>19</v>
      </c>
      <c r="C63" s="117" t="s">
        <v>292</v>
      </c>
      <c r="D63" s="118"/>
      <c r="E63" s="118"/>
      <c r="F63" s="118"/>
      <c r="G63" s="118"/>
      <c r="H63" s="118"/>
      <c r="I63" s="118"/>
      <c r="J63" s="118"/>
      <c r="K63" s="118"/>
      <c r="L63" s="118"/>
      <c r="M63" s="118"/>
      <c r="N63" s="118"/>
      <c r="O63" s="118"/>
      <c r="P63" s="118"/>
      <c r="Q63" s="118"/>
      <c r="R63" s="118"/>
      <c r="S63" s="118"/>
      <c r="T63" s="118"/>
      <c r="U63" s="118"/>
      <c r="V63" s="118"/>
      <c r="W63" s="118"/>
      <c r="X63" s="118"/>
      <c r="Y63" s="118"/>
      <c r="Z63" s="118"/>
      <c r="AA63" s="118"/>
      <c r="AB63" s="118"/>
      <c r="AC63" s="118"/>
      <c r="AD63" s="118"/>
      <c r="AE63" s="118"/>
      <c r="AF63" s="118"/>
      <c r="AG63" s="118"/>
      <c r="AH63" s="118"/>
      <c r="AI63" s="118"/>
      <c r="AJ63" s="118"/>
      <c r="AK63" s="118"/>
      <c r="AL63" s="118"/>
      <c r="AM63" s="118"/>
      <c r="AN63" s="118"/>
      <c r="AO63" s="118"/>
      <c r="AP63" s="118"/>
      <c r="AQ63" s="118"/>
      <c r="AR63" s="118"/>
      <c r="AS63" s="118"/>
      <c r="AT63" s="118"/>
      <c r="AU63" s="118"/>
      <c r="AV63" s="118"/>
      <c r="AW63" s="118"/>
      <c r="AX63" s="118"/>
      <c r="AY63" s="118"/>
    </row>
    <row r="64" spans="1:51" x14ac:dyDescent="0.2">
      <c r="A64" s="117"/>
      <c r="B64" s="128">
        <v>20</v>
      </c>
      <c r="C64" s="117" t="s">
        <v>292</v>
      </c>
      <c r="D64" s="118"/>
      <c r="E64" s="118"/>
      <c r="F64" s="118"/>
      <c r="G64" s="118"/>
      <c r="H64" s="118"/>
      <c r="I64" s="118"/>
      <c r="J64" s="118"/>
      <c r="K64" s="118"/>
      <c r="L64" s="118"/>
      <c r="M64" s="118"/>
      <c r="N64" s="118"/>
      <c r="O64" s="118"/>
      <c r="P64" s="118"/>
      <c r="Q64" s="118"/>
      <c r="R64" s="118"/>
      <c r="S64" s="118"/>
      <c r="T64" s="118"/>
      <c r="U64" s="118"/>
      <c r="V64" s="118"/>
      <c r="W64" s="118"/>
      <c r="X64" s="118"/>
      <c r="Y64" s="118"/>
      <c r="Z64" s="118"/>
      <c r="AA64" s="118"/>
      <c r="AB64" s="118"/>
      <c r="AC64" s="118"/>
      <c r="AD64" s="118"/>
      <c r="AE64" s="118"/>
      <c r="AF64" s="118"/>
      <c r="AG64" s="118"/>
      <c r="AH64" s="118"/>
      <c r="AI64" s="118"/>
      <c r="AJ64" s="118"/>
      <c r="AK64" s="118"/>
      <c r="AL64" s="118"/>
      <c r="AM64" s="118"/>
      <c r="AN64" s="118"/>
      <c r="AO64" s="118"/>
      <c r="AP64" s="118"/>
      <c r="AQ64" s="118"/>
      <c r="AR64" s="118"/>
      <c r="AS64" s="118"/>
      <c r="AT64" s="118"/>
      <c r="AU64" s="118"/>
      <c r="AV64" s="118"/>
      <c r="AW64" s="118"/>
      <c r="AX64" s="118"/>
      <c r="AY64" s="118"/>
    </row>
    <row r="65" spans="1:51" x14ac:dyDescent="0.2">
      <c r="A65" s="117"/>
      <c r="B65" s="128">
        <v>21</v>
      </c>
      <c r="C65" s="117" t="s">
        <v>292</v>
      </c>
      <c r="D65" s="118"/>
      <c r="E65" s="118"/>
      <c r="F65" s="118"/>
      <c r="G65" s="118"/>
      <c r="H65" s="118"/>
      <c r="I65" s="118"/>
      <c r="J65" s="118"/>
      <c r="K65" s="118"/>
      <c r="L65" s="118"/>
      <c r="M65" s="118"/>
      <c r="N65" s="118"/>
      <c r="O65" s="118"/>
      <c r="P65" s="118"/>
      <c r="Q65" s="118"/>
      <c r="R65" s="118"/>
      <c r="S65" s="118"/>
      <c r="T65" s="118"/>
      <c r="U65" s="118"/>
      <c r="V65" s="118"/>
      <c r="W65" s="118"/>
      <c r="X65" s="118"/>
      <c r="Y65" s="118"/>
      <c r="Z65" s="118"/>
      <c r="AA65" s="118"/>
      <c r="AB65" s="118"/>
      <c r="AC65" s="118"/>
      <c r="AD65" s="118"/>
      <c r="AE65" s="118"/>
      <c r="AF65" s="118"/>
      <c r="AG65" s="118"/>
      <c r="AH65" s="118"/>
      <c r="AI65" s="118"/>
      <c r="AJ65" s="118"/>
      <c r="AK65" s="118"/>
      <c r="AL65" s="118"/>
      <c r="AM65" s="118"/>
      <c r="AN65" s="118"/>
      <c r="AO65" s="118"/>
      <c r="AP65" s="118"/>
      <c r="AQ65" s="118"/>
      <c r="AR65" s="118"/>
      <c r="AS65" s="118"/>
      <c r="AT65" s="118"/>
      <c r="AU65" s="118"/>
      <c r="AV65" s="118"/>
      <c r="AW65" s="118"/>
      <c r="AX65" s="118"/>
      <c r="AY65" s="118"/>
    </row>
    <row r="66" spans="1:51" x14ac:dyDescent="0.2">
      <c r="A66" s="117"/>
      <c r="B66" s="128">
        <v>22</v>
      </c>
      <c r="C66" s="117" t="s">
        <v>292</v>
      </c>
      <c r="D66" s="118"/>
      <c r="E66" s="118"/>
      <c r="F66" s="118"/>
      <c r="G66" s="118"/>
      <c r="H66" s="118"/>
      <c r="I66" s="118"/>
      <c r="J66" s="118"/>
      <c r="K66" s="118"/>
      <c r="L66" s="118"/>
      <c r="M66" s="118"/>
      <c r="N66" s="118"/>
      <c r="O66" s="118"/>
      <c r="P66" s="118"/>
      <c r="Q66" s="118"/>
      <c r="R66" s="118"/>
      <c r="S66" s="118"/>
      <c r="T66" s="118"/>
      <c r="U66" s="118"/>
      <c r="V66" s="118"/>
      <c r="W66" s="118"/>
      <c r="X66" s="118"/>
      <c r="Y66" s="118"/>
      <c r="Z66" s="118"/>
      <c r="AA66" s="118"/>
      <c r="AB66" s="118"/>
      <c r="AC66" s="118"/>
      <c r="AD66" s="118"/>
      <c r="AE66" s="118"/>
      <c r="AF66" s="118"/>
      <c r="AG66" s="118"/>
      <c r="AH66" s="118"/>
      <c r="AI66" s="118"/>
      <c r="AJ66" s="118"/>
      <c r="AK66" s="118"/>
      <c r="AL66" s="118"/>
      <c r="AM66" s="118"/>
      <c r="AN66" s="118"/>
      <c r="AO66" s="118"/>
      <c r="AP66" s="118"/>
      <c r="AQ66" s="118"/>
      <c r="AR66" s="118"/>
      <c r="AS66" s="118"/>
      <c r="AT66" s="118"/>
      <c r="AU66" s="118"/>
      <c r="AV66" s="118"/>
      <c r="AW66" s="118"/>
      <c r="AX66" s="118"/>
      <c r="AY66" s="118"/>
    </row>
    <row r="67" spans="1:51" x14ac:dyDescent="0.2">
      <c r="A67" s="117"/>
      <c r="B67" s="128">
        <v>23</v>
      </c>
      <c r="C67" s="117" t="s">
        <v>292</v>
      </c>
      <c r="D67" s="118"/>
      <c r="E67" s="118"/>
      <c r="F67" s="118"/>
      <c r="G67" s="118"/>
      <c r="H67" s="118"/>
      <c r="I67" s="118"/>
      <c r="J67" s="118"/>
      <c r="K67" s="118"/>
      <c r="L67" s="118"/>
      <c r="M67" s="118"/>
      <c r="N67" s="118"/>
      <c r="O67" s="118"/>
      <c r="P67" s="118"/>
      <c r="Q67" s="118"/>
      <c r="R67" s="118"/>
      <c r="S67" s="118"/>
      <c r="T67" s="118"/>
      <c r="U67" s="118"/>
      <c r="V67" s="118"/>
      <c r="W67" s="118"/>
      <c r="X67" s="118"/>
      <c r="Y67" s="118"/>
      <c r="Z67" s="118"/>
      <c r="AA67" s="118"/>
      <c r="AB67" s="118"/>
      <c r="AC67" s="118"/>
      <c r="AD67" s="118"/>
      <c r="AE67" s="118"/>
      <c r="AF67" s="118"/>
      <c r="AG67" s="118"/>
      <c r="AH67" s="118"/>
      <c r="AI67" s="118"/>
      <c r="AJ67" s="118"/>
      <c r="AK67" s="118"/>
      <c r="AL67" s="118"/>
      <c r="AM67" s="118"/>
      <c r="AN67" s="118"/>
      <c r="AO67" s="118"/>
      <c r="AP67" s="118"/>
      <c r="AQ67" s="118"/>
      <c r="AR67" s="118"/>
      <c r="AS67" s="118"/>
      <c r="AT67" s="118"/>
      <c r="AU67" s="118"/>
      <c r="AV67" s="118"/>
      <c r="AW67" s="118"/>
      <c r="AX67" s="118"/>
      <c r="AY67" s="118"/>
    </row>
    <row r="68" spans="1:51" x14ac:dyDescent="0.2">
      <c r="A68" s="117"/>
      <c r="B68" s="128">
        <v>24</v>
      </c>
      <c r="C68" s="117" t="s">
        <v>292</v>
      </c>
      <c r="D68" s="118"/>
      <c r="E68" s="118"/>
      <c r="F68" s="118"/>
      <c r="G68" s="118"/>
      <c r="H68" s="118"/>
      <c r="I68" s="118"/>
      <c r="J68" s="118"/>
      <c r="K68" s="118"/>
      <c r="L68" s="118"/>
      <c r="M68" s="118"/>
      <c r="N68" s="118"/>
      <c r="O68" s="118"/>
      <c r="P68" s="118"/>
      <c r="Q68" s="118"/>
      <c r="R68" s="118"/>
      <c r="S68" s="118"/>
      <c r="T68" s="118"/>
      <c r="U68" s="118"/>
      <c r="V68" s="118"/>
      <c r="W68" s="118"/>
      <c r="X68" s="118"/>
      <c r="Y68" s="118"/>
      <c r="Z68" s="118"/>
      <c r="AA68" s="118"/>
      <c r="AB68" s="118"/>
      <c r="AC68" s="118"/>
      <c r="AD68" s="118"/>
      <c r="AE68" s="118"/>
      <c r="AF68" s="118"/>
      <c r="AG68" s="118"/>
      <c r="AH68" s="118"/>
      <c r="AI68" s="118"/>
      <c r="AJ68" s="118"/>
      <c r="AK68" s="118"/>
      <c r="AL68" s="118"/>
      <c r="AM68" s="118"/>
      <c r="AN68" s="118"/>
      <c r="AO68" s="118"/>
      <c r="AP68" s="118"/>
      <c r="AQ68" s="118"/>
      <c r="AR68" s="118"/>
      <c r="AS68" s="118"/>
      <c r="AT68" s="118"/>
      <c r="AU68" s="118"/>
      <c r="AV68" s="118"/>
      <c r="AW68" s="118"/>
      <c r="AX68" s="118"/>
      <c r="AY68" s="118"/>
    </row>
    <row r="69" spans="1:51" x14ac:dyDescent="0.2">
      <c r="A69" s="117"/>
      <c r="B69" s="135">
        <v>25</v>
      </c>
      <c r="C69" s="117" t="s">
        <v>292</v>
      </c>
      <c r="D69" s="118"/>
      <c r="E69" s="118"/>
      <c r="F69" s="118"/>
      <c r="G69" s="118"/>
      <c r="H69" s="118"/>
      <c r="I69" s="118"/>
      <c r="J69" s="118"/>
      <c r="K69" s="118"/>
      <c r="L69" s="118"/>
      <c r="M69" s="118"/>
      <c r="N69" s="118"/>
      <c r="O69" s="118"/>
      <c r="P69" s="118"/>
      <c r="Q69" s="118"/>
      <c r="R69" s="118"/>
      <c r="S69" s="118"/>
      <c r="T69" s="118"/>
      <c r="U69" s="118"/>
      <c r="V69" s="118"/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118"/>
      <c r="AI69" s="118"/>
      <c r="AJ69" s="118"/>
      <c r="AK69" s="118"/>
      <c r="AL69" s="118"/>
      <c r="AM69" s="118"/>
      <c r="AN69" s="118"/>
      <c r="AO69" s="118"/>
      <c r="AP69" s="118"/>
      <c r="AQ69" s="118"/>
      <c r="AR69" s="118"/>
      <c r="AS69" s="118"/>
      <c r="AT69" s="118"/>
      <c r="AU69" s="118"/>
      <c r="AV69" s="118"/>
      <c r="AW69" s="118"/>
      <c r="AX69" s="118"/>
      <c r="AY69" s="118"/>
    </row>
    <row r="70" spans="1:51" x14ac:dyDescent="0.2">
      <c r="A70" s="117"/>
      <c r="B70" s="135">
        <v>26</v>
      </c>
      <c r="C70" s="117" t="s">
        <v>292</v>
      </c>
      <c r="D70" s="118"/>
      <c r="E70" s="118"/>
      <c r="F70" s="118"/>
      <c r="G70" s="118"/>
      <c r="H70" s="118"/>
      <c r="I70" s="118"/>
      <c r="J70" s="118"/>
      <c r="K70" s="118"/>
      <c r="L70" s="118"/>
      <c r="M70" s="118"/>
      <c r="N70" s="118"/>
      <c r="O70" s="118"/>
      <c r="P70" s="118"/>
      <c r="Q70" s="118"/>
      <c r="R70" s="118"/>
      <c r="S70" s="118"/>
      <c r="T70" s="118"/>
      <c r="U70" s="118"/>
      <c r="V70" s="118"/>
      <c r="W70" s="118"/>
      <c r="X70" s="118"/>
      <c r="Y70" s="118"/>
      <c r="Z70" s="118"/>
      <c r="AA70" s="118"/>
      <c r="AB70" s="118"/>
      <c r="AC70" s="118"/>
      <c r="AD70" s="118"/>
      <c r="AE70" s="118"/>
      <c r="AF70" s="118"/>
      <c r="AG70" s="118"/>
      <c r="AH70" s="118"/>
      <c r="AI70" s="118"/>
      <c r="AJ70" s="118"/>
      <c r="AK70" s="118"/>
      <c r="AL70" s="118"/>
      <c r="AM70" s="118"/>
      <c r="AN70" s="118"/>
      <c r="AO70" s="118"/>
      <c r="AP70" s="118"/>
      <c r="AQ70" s="118"/>
      <c r="AR70" s="118"/>
      <c r="AS70" s="118"/>
      <c r="AT70" s="118"/>
      <c r="AU70" s="118"/>
      <c r="AV70" s="118"/>
      <c r="AW70" s="118"/>
      <c r="AX70" s="118"/>
      <c r="AY70" s="118"/>
    </row>
    <row r="71" spans="1:51" x14ac:dyDescent="0.2">
      <c r="A71" s="117"/>
      <c r="B71" s="135">
        <v>27</v>
      </c>
      <c r="C71" s="117" t="s">
        <v>292</v>
      </c>
      <c r="D71" s="118"/>
      <c r="E71" s="118"/>
      <c r="F71" s="118"/>
      <c r="G71" s="118"/>
      <c r="H71" s="118"/>
      <c r="I71" s="118"/>
      <c r="J71" s="118"/>
      <c r="K71" s="118"/>
      <c r="L71" s="118"/>
      <c r="M71" s="118"/>
      <c r="N71" s="118"/>
      <c r="O71" s="118"/>
      <c r="P71" s="118"/>
      <c r="Q71" s="118"/>
      <c r="R71" s="118"/>
      <c r="S71" s="118"/>
      <c r="T71" s="118"/>
      <c r="U71" s="118"/>
      <c r="V71" s="118"/>
      <c r="W71" s="118"/>
      <c r="X71" s="118"/>
      <c r="Y71" s="118"/>
      <c r="Z71" s="118"/>
      <c r="AA71" s="118"/>
      <c r="AB71" s="118"/>
      <c r="AC71" s="118"/>
      <c r="AD71" s="118"/>
      <c r="AE71" s="118"/>
      <c r="AF71" s="118"/>
      <c r="AG71" s="118"/>
      <c r="AH71" s="118"/>
      <c r="AI71" s="118"/>
      <c r="AJ71" s="118"/>
      <c r="AK71" s="118"/>
      <c r="AL71" s="118"/>
      <c r="AM71" s="118"/>
      <c r="AN71" s="118"/>
      <c r="AO71" s="118"/>
      <c r="AP71" s="118"/>
      <c r="AQ71" s="118"/>
      <c r="AR71" s="118"/>
      <c r="AS71" s="118"/>
      <c r="AT71" s="118"/>
      <c r="AU71" s="118"/>
      <c r="AV71" s="118"/>
      <c r="AW71" s="118"/>
      <c r="AX71" s="118"/>
      <c r="AY71" s="118"/>
    </row>
    <row r="72" spans="1:51" x14ac:dyDescent="0.2">
      <c r="A72" s="117"/>
      <c r="B72" s="135">
        <v>28</v>
      </c>
      <c r="C72" s="117" t="s">
        <v>292</v>
      </c>
      <c r="D72" s="118"/>
      <c r="E72" s="118"/>
      <c r="F72" s="118"/>
      <c r="G72" s="118"/>
      <c r="H72" s="118"/>
      <c r="I72" s="118"/>
      <c r="J72" s="118"/>
      <c r="K72" s="118"/>
      <c r="L72" s="118"/>
      <c r="M72" s="118"/>
      <c r="N72" s="118"/>
      <c r="O72" s="118"/>
      <c r="P72" s="118"/>
      <c r="Q72" s="118"/>
      <c r="R72" s="118"/>
      <c r="S72" s="118"/>
      <c r="T72" s="118"/>
      <c r="U72" s="118"/>
      <c r="V72" s="118"/>
      <c r="W72" s="118"/>
      <c r="X72" s="118"/>
      <c r="Y72" s="118"/>
      <c r="Z72" s="118"/>
      <c r="AA72" s="118"/>
      <c r="AB72" s="118"/>
      <c r="AC72" s="118"/>
      <c r="AD72" s="118"/>
      <c r="AE72" s="118"/>
      <c r="AF72" s="118"/>
      <c r="AG72" s="118"/>
      <c r="AH72" s="118"/>
      <c r="AI72" s="118"/>
      <c r="AJ72" s="118"/>
      <c r="AK72" s="118"/>
      <c r="AL72" s="118"/>
      <c r="AM72" s="118"/>
      <c r="AN72" s="118"/>
      <c r="AO72" s="118"/>
      <c r="AP72" s="118"/>
      <c r="AQ72" s="118"/>
      <c r="AR72" s="118"/>
      <c r="AS72" s="118"/>
      <c r="AT72" s="118"/>
      <c r="AU72" s="118"/>
      <c r="AV72" s="118"/>
      <c r="AW72" s="118"/>
      <c r="AX72" s="118"/>
      <c r="AY72" s="118"/>
    </row>
    <row r="73" spans="1:51" x14ac:dyDescent="0.2">
      <c r="A73" s="117"/>
      <c r="B73" s="135">
        <v>29</v>
      </c>
      <c r="C73" s="117" t="s">
        <v>292</v>
      </c>
      <c r="D73" s="118"/>
      <c r="E73" s="118"/>
      <c r="F73" s="118"/>
      <c r="G73" s="118"/>
      <c r="H73" s="118"/>
      <c r="I73" s="118"/>
      <c r="J73" s="118"/>
      <c r="K73" s="118"/>
      <c r="L73" s="118"/>
      <c r="M73" s="118"/>
      <c r="N73" s="118"/>
      <c r="O73" s="118"/>
      <c r="P73" s="118"/>
      <c r="Q73" s="118"/>
      <c r="R73" s="118"/>
      <c r="S73" s="118"/>
      <c r="T73" s="118"/>
      <c r="U73" s="118"/>
      <c r="V73" s="118"/>
      <c r="W73" s="118"/>
      <c r="X73" s="118"/>
      <c r="Y73" s="118"/>
      <c r="Z73" s="118"/>
      <c r="AA73" s="118"/>
      <c r="AB73" s="118"/>
      <c r="AC73" s="118"/>
      <c r="AD73" s="118"/>
      <c r="AE73" s="118"/>
      <c r="AF73" s="118"/>
      <c r="AG73" s="118"/>
      <c r="AH73" s="118"/>
      <c r="AI73" s="118"/>
      <c r="AJ73" s="118"/>
      <c r="AK73" s="118"/>
      <c r="AL73" s="118"/>
      <c r="AM73" s="118"/>
      <c r="AN73" s="118"/>
      <c r="AO73" s="118"/>
      <c r="AP73" s="118"/>
      <c r="AQ73" s="118"/>
      <c r="AR73" s="118"/>
      <c r="AS73" s="118"/>
      <c r="AT73" s="118"/>
      <c r="AU73" s="118"/>
      <c r="AV73" s="118"/>
      <c r="AW73" s="118"/>
      <c r="AX73" s="118"/>
      <c r="AY73" s="118"/>
    </row>
    <row r="74" spans="1:51" x14ac:dyDescent="0.2">
      <c r="A74" s="117"/>
      <c r="B74" s="135">
        <v>30</v>
      </c>
      <c r="C74" s="117" t="s">
        <v>292</v>
      </c>
      <c r="D74" s="118"/>
      <c r="E74" s="118"/>
      <c r="F74" s="118"/>
      <c r="G74" s="118"/>
      <c r="H74" s="118"/>
      <c r="I74" s="118"/>
      <c r="J74" s="118"/>
      <c r="K74" s="118"/>
      <c r="L74" s="118"/>
      <c r="M74" s="118"/>
      <c r="N74" s="118"/>
      <c r="O74" s="118"/>
      <c r="P74" s="118"/>
      <c r="Q74" s="118"/>
      <c r="R74" s="118"/>
      <c r="S74" s="118"/>
      <c r="T74" s="118"/>
      <c r="U74" s="118"/>
      <c r="V74" s="118"/>
      <c r="W74" s="118"/>
      <c r="X74" s="118"/>
      <c r="Y74" s="118"/>
      <c r="Z74" s="118"/>
      <c r="AA74" s="118"/>
      <c r="AB74" s="118"/>
      <c r="AC74" s="118"/>
      <c r="AD74" s="118"/>
      <c r="AE74" s="118"/>
      <c r="AF74" s="118"/>
      <c r="AG74" s="118"/>
      <c r="AH74" s="118"/>
      <c r="AI74" s="118"/>
      <c r="AJ74" s="118"/>
      <c r="AK74" s="118"/>
      <c r="AL74" s="118"/>
      <c r="AM74" s="118"/>
      <c r="AN74" s="118"/>
      <c r="AO74" s="118"/>
      <c r="AP74" s="118"/>
      <c r="AQ74" s="118"/>
      <c r="AR74" s="118"/>
      <c r="AS74" s="118"/>
      <c r="AT74" s="118"/>
      <c r="AU74" s="118"/>
      <c r="AV74" s="118"/>
      <c r="AW74" s="118"/>
      <c r="AX74" s="118"/>
      <c r="AY74" s="118"/>
    </row>
    <row r="75" spans="1:51" x14ac:dyDescent="0.2">
      <c r="A75" s="117"/>
      <c r="B75" s="135">
        <v>31</v>
      </c>
      <c r="C75" s="117" t="s">
        <v>292</v>
      </c>
      <c r="D75" s="118"/>
      <c r="E75" s="118"/>
      <c r="F75" s="118"/>
      <c r="G75" s="118"/>
      <c r="H75" s="118"/>
      <c r="I75" s="118"/>
      <c r="J75" s="118"/>
      <c r="K75" s="118"/>
      <c r="L75" s="118"/>
      <c r="M75" s="118"/>
      <c r="N75" s="118"/>
      <c r="O75" s="118"/>
      <c r="P75" s="118"/>
      <c r="Q75" s="118"/>
      <c r="R75" s="118"/>
      <c r="S75" s="118"/>
      <c r="T75" s="118"/>
      <c r="U75" s="118"/>
      <c r="V75" s="118"/>
      <c r="W75" s="118"/>
      <c r="X75" s="118"/>
      <c r="Y75" s="118"/>
      <c r="Z75" s="118"/>
      <c r="AA75" s="118"/>
      <c r="AB75" s="118"/>
      <c r="AC75" s="118"/>
      <c r="AD75" s="118"/>
      <c r="AE75" s="118"/>
      <c r="AF75" s="118"/>
      <c r="AG75" s="118"/>
      <c r="AH75" s="118"/>
      <c r="AI75" s="118"/>
      <c r="AJ75" s="118"/>
      <c r="AK75" s="118"/>
      <c r="AL75" s="118"/>
      <c r="AM75" s="118"/>
      <c r="AN75" s="118"/>
      <c r="AO75" s="118"/>
      <c r="AP75" s="118"/>
      <c r="AQ75" s="118"/>
      <c r="AR75" s="118"/>
      <c r="AS75" s="118"/>
      <c r="AT75" s="118"/>
      <c r="AU75" s="118"/>
      <c r="AV75" s="118"/>
      <c r="AW75" s="118"/>
      <c r="AX75" s="118"/>
      <c r="AY75" s="118"/>
    </row>
    <row r="76" spans="1:51" x14ac:dyDescent="0.2">
      <c r="A76" s="117"/>
      <c r="B76" s="135">
        <v>32</v>
      </c>
      <c r="C76" s="117" t="s">
        <v>292</v>
      </c>
      <c r="D76" s="118"/>
      <c r="E76" s="118"/>
      <c r="F76" s="118"/>
      <c r="G76" s="118"/>
      <c r="H76" s="118"/>
      <c r="I76" s="118"/>
      <c r="J76" s="118"/>
      <c r="K76" s="118"/>
      <c r="L76" s="118"/>
      <c r="M76" s="118"/>
      <c r="N76" s="118"/>
      <c r="O76" s="118"/>
      <c r="P76" s="118"/>
      <c r="Q76" s="118"/>
      <c r="R76" s="118"/>
      <c r="S76" s="118"/>
      <c r="T76" s="118"/>
      <c r="U76" s="118"/>
      <c r="V76" s="118"/>
      <c r="W76" s="118"/>
      <c r="X76" s="118"/>
      <c r="Y76" s="118"/>
      <c r="Z76" s="118"/>
      <c r="AA76" s="118"/>
      <c r="AB76" s="118"/>
      <c r="AC76" s="118"/>
      <c r="AD76" s="118"/>
      <c r="AE76" s="118"/>
      <c r="AF76" s="118"/>
      <c r="AG76" s="118"/>
      <c r="AH76" s="118"/>
      <c r="AI76" s="118"/>
      <c r="AJ76" s="118"/>
      <c r="AK76" s="118"/>
      <c r="AL76" s="118"/>
      <c r="AM76" s="118"/>
      <c r="AN76" s="118"/>
      <c r="AO76" s="118"/>
      <c r="AP76" s="118"/>
      <c r="AQ76" s="118"/>
      <c r="AR76" s="118"/>
      <c r="AS76" s="118"/>
      <c r="AT76" s="118"/>
      <c r="AU76" s="118"/>
      <c r="AV76" s="118"/>
      <c r="AW76" s="118"/>
      <c r="AX76" s="118"/>
      <c r="AY76" s="118"/>
    </row>
    <row r="77" spans="1:51" x14ac:dyDescent="0.2">
      <c r="A77" s="117"/>
      <c r="B77" s="135">
        <v>33</v>
      </c>
      <c r="C77" s="117" t="s">
        <v>292</v>
      </c>
      <c r="D77" s="118"/>
      <c r="E77" s="118"/>
      <c r="F77" s="118"/>
      <c r="G77" s="118"/>
      <c r="H77" s="118"/>
      <c r="I77" s="118"/>
      <c r="J77" s="118"/>
      <c r="K77" s="118"/>
      <c r="L77" s="118"/>
      <c r="M77" s="118"/>
      <c r="N77" s="118"/>
      <c r="O77" s="118"/>
      <c r="P77" s="118"/>
      <c r="Q77" s="118"/>
      <c r="R77" s="118"/>
      <c r="S77" s="118"/>
      <c r="T77" s="118"/>
      <c r="U77" s="118"/>
      <c r="V77" s="118"/>
      <c r="W77" s="118"/>
      <c r="X77" s="118"/>
      <c r="Y77" s="118"/>
      <c r="Z77" s="118"/>
      <c r="AA77" s="118"/>
      <c r="AB77" s="118"/>
      <c r="AC77" s="118"/>
      <c r="AD77" s="118"/>
      <c r="AE77" s="118"/>
      <c r="AF77" s="118"/>
      <c r="AG77" s="118"/>
      <c r="AH77" s="118"/>
      <c r="AI77" s="118"/>
      <c r="AJ77" s="118"/>
      <c r="AK77" s="118"/>
      <c r="AL77" s="118"/>
      <c r="AM77" s="118"/>
      <c r="AN77" s="118"/>
      <c r="AO77" s="118"/>
      <c r="AP77" s="118"/>
      <c r="AQ77" s="118"/>
      <c r="AR77" s="118"/>
      <c r="AS77" s="118"/>
      <c r="AT77" s="118"/>
      <c r="AU77" s="118"/>
      <c r="AV77" s="118"/>
      <c r="AW77" s="118"/>
      <c r="AX77" s="118"/>
      <c r="AY77" s="118"/>
    </row>
    <row r="78" spans="1:51" x14ac:dyDescent="0.2">
      <c r="A78" s="117"/>
      <c r="B78" s="135">
        <v>34</v>
      </c>
      <c r="C78" s="117" t="s">
        <v>292</v>
      </c>
      <c r="D78" s="118"/>
      <c r="E78" s="118"/>
      <c r="F78" s="118"/>
      <c r="G78" s="118"/>
      <c r="H78" s="118"/>
      <c r="I78" s="118"/>
      <c r="J78" s="118"/>
      <c r="K78" s="118"/>
      <c r="L78" s="118"/>
      <c r="M78" s="118"/>
      <c r="N78" s="118"/>
      <c r="O78" s="118"/>
      <c r="P78" s="118"/>
      <c r="Q78" s="118"/>
      <c r="R78" s="118"/>
      <c r="S78" s="118"/>
      <c r="T78" s="118"/>
      <c r="U78" s="118"/>
      <c r="V78" s="118"/>
      <c r="W78" s="118"/>
      <c r="X78" s="118"/>
      <c r="Y78" s="118"/>
      <c r="Z78" s="118"/>
      <c r="AA78" s="118"/>
      <c r="AB78" s="118"/>
      <c r="AC78" s="118"/>
      <c r="AD78" s="118"/>
      <c r="AE78" s="118"/>
      <c r="AF78" s="118"/>
      <c r="AG78" s="118"/>
      <c r="AH78" s="118"/>
      <c r="AI78" s="118"/>
      <c r="AJ78" s="118"/>
      <c r="AK78" s="118"/>
      <c r="AL78" s="118"/>
      <c r="AM78" s="118"/>
      <c r="AN78" s="118"/>
      <c r="AO78" s="118"/>
      <c r="AP78" s="118"/>
      <c r="AQ78" s="118"/>
      <c r="AR78" s="118"/>
      <c r="AS78" s="118"/>
      <c r="AT78" s="118"/>
      <c r="AU78" s="118"/>
      <c r="AV78" s="118"/>
      <c r="AW78" s="118"/>
      <c r="AX78" s="118"/>
      <c r="AY78" s="118"/>
    </row>
    <row r="79" spans="1:51" x14ac:dyDescent="0.2">
      <c r="A79" s="117"/>
      <c r="B79" s="135">
        <v>35</v>
      </c>
      <c r="C79" s="117" t="s">
        <v>292</v>
      </c>
      <c r="D79" s="118"/>
      <c r="E79" s="118"/>
      <c r="F79" s="118"/>
      <c r="G79" s="118"/>
      <c r="H79" s="118"/>
      <c r="I79" s="118"/>
      <c r="J79" s="118"/>
      <c r="K79" s="118"/>
      <c r="L79" s="118"/>
      <c r="M79" s="118"/>
      <c r="N79" s="118"/>
      <c r="O79" s="118"/>
      <c r="P79" s="118"/>
      <c r="Q79" s="118"/>
      <c r="R79" s="118"/>
      <c r="S79" s="118"/>
      <c r="T79" s="118"/>
      <c r="U79" s="118"/>
      <c r="V79" s="118"/>
      <c r="W79" s="118"/>
      <c r="X79" s="118"/>
      <c r="Y79" s="118"/>
      <c r="Z79" s="118"/>
      <c r="AA79" s="118"/>
      <c r="AB79" s="118"/>
      <c r="AC79" s="118"/>
      <c r="AD79" s="118"/>
      <c r="AE79" s="118"/>
      <c r="AF79" s="118"/>
      <c r="AG79" s="118"/>
      <c r="AH79" s="118"/>
      <c r="AI79" s="118"/>
      <c r="AJ79" s="118"/>
      <c r="AK79" s="118"/>
      <c r="AL79" s="118"/>
      <c r="AM79" s="118"/>
      <c r="AN79" s="118"/>
      <c r="AO79" s="118"/>
      <c r="AP79" s="118"/>
      <c r="AQ79" s="118"/>
      <c r="AR79" s="118"/>
      <c r="AS79" s="118"/>
      <c r="AT79" s="118"/>
      <c r="AU79" s="118"/>
      <c r="AV79" s="118"/>
      <c r="AW79" s="118"/>
      <c r="AX79" s="118"/>
      <c r="AY79" s="118"/>
    </row>
    <row r="80" spans="1:51" x14ac:dyDescent="0.2">
      <c r="A80" s="117"/>
      <c r="B80" s="135">
        <v>36</v>
      </c>
      <c r="C80" s="117" t="s">
        <v>292</v>
      </c>
      <c r="D80" s="118"/>
      <c r="E80" s="118"/>
      <c r="F80" s="118"/>
      <c r="G80" s="118"/>
      <c r="H80" s="118"/>
      <c r="I80" s="118"/>
      <c r="J80" s="118"/>
      <c r="K80" s="118"/>
      <c r="L80" s="118"/>
      <c r="M80" s="118"/>
      <c r="N80" s="118"/>
      <c r="O80" s="118"/>
      <c r="P80" s="118"/>
      <c r="Q80" s="118"/>
      <c r="R80" s="118"/>
      <c r="S80" s="118"/>
      <c r="T80" s="118"/>
      <c r="U80" s="118"/>
      <c r="V80" s="118"/>
      <c r="W80" s="118"/>
      <c r="X80" s="118"/>
      <c r="Y80" s="118"/>
      <c r="Z80" s="118"/>
      <c r="AA80" s="118"/>
      <c r="AB80" s="118"/>
      <c r="AC80" s="118"/>
      <c r="AD80" s="118"/>
      <c r="AE80" s="118"/>
      <c r="AF80" s="118"/>
      <c r="AG80" s="118"/>
      <c r="AH80" s="118"/>
      <c r="AI80" s="118"/>
      <c r="AJ80" s="118"/>
      <c r="AK80" s="118"/>
      <c r="AL80" s="118"/>
      <c r="AM80" s="118"/>
      <c r="AN80" s="118"/>
      <c r="AO80" s="118"/>
      <c r="AP80" s="118"/>
      <c r="AQ80" s="118"/>
      <c r="AR80" s="118"/>
      <c r="AS80" s="118"/>
      <c r="AT80" s="118"/>
      <c r="AU80" s="118"/>
      <c r="AV80" s="118"/>
      <c r="AW80" s="118"/>
      <c r="AX80" s="118"/>
      <c r="AY80" s="118"/>
    </row>
    <row r="81" spans="1:52" x14ac:dyDescent="0.2">
      <c r="A81" s="117"/>
      <c r="B81" s="138">
        <v>37</v>
      </c>
      <c r="C81" s="117" t="s">
        <v>292</v>
      </c>
      <c r="D81" s="118"/>
      <c r="E81" s="118"/>
      <c r="F81" s="118"/>
      <c r="G81" s="118"/>
      <c r="H81" s="118"/>
      <c r="I81" s="118"/>
      <c r="J81" s="118"/>
      <c r="K81" s="118"/>
      <c r="L81" s="118"/>
      <c r="M81" s="118"/>
      <c r="N81" s="118"/>
      <c r="O81" s="118"/>
      <c r="P81" s="118"/>
      <c r="Q81" s="118"/>
      <c r="R81" s="118"/>
      <c r="S81" s="118"/>
      <c r="T81" s="118"/>
      <c r="U81" s="118"/>
      <c r="V81" s="118"/>
      <c r="W81" s="118"/>
      <c r="X81" s="118"/>
      <c r="Y81" s="118"/>
      <c r="Z81" s="118"/>
      <c r="AA81" s="118"/>
      <c r="AB81" s="118"/>
      <c r="AC81" s="118"/>
      <c r="AD81" s="118"/>
      <c r="AE81" s="118"/>
      <c r="AF81" s="118"/>
      <c r="AG81" s="118"/>
      <c r="AH81" s="118"/>
      <c r="AI81" s="118"/>
      <c r="AJ81" s="118"/>
      <c r="AK81" s="118"/>
      <c r="AL81" s="118"/>
      <c r="AM81" s="118"/>
      <c r="AN81" s="118"/>
      <c r="AO81" s="118"/>
      <c r="AP81" s="118"/>
      <c r="AQ81" s="118"/>
      <c r="AR81" s="118"/>
      <c r="AS81" s="118"/>
      <c r="AT81" s="118"/>
      <c r="AU81" s="118"/>
      <c r="AV81" s="118"/>
      <c r="AW81" s="118"/>
      <c r="AX81" s="118"/>
      <c r="AY81" s="118"/>
    </row>
    <row r="82" spans="1:52" x14ac:dyDescent="0.2">
      <c r="A82" s="117"/>
      <c r="B82" s="138">
        <v>38</v>
      </c>
      <c r="C82" s="117" t="s">
        <v>292</v>
      </c>
      <c r="D82" s="118"/>
      <c r="E82" s="118"/>
      <c r="F82" s="118"/>
      <c r="G82" s="118"/>
      <c r="H82" s="118"/>
      <c r="I82" s="118"/>
      <c r="J82" s="118"/>
      <c r="K82" s="118"/>
      <c r="L82" s="118"/>
      <c r="M82" s="118"/>
      <c r="N82" s="118"/>
      <c r="O82" s="118"/>
      <c r="P82" s="118"/>
      <c r="Q82" s="118"/>
      <c r="R82" s="118"/>
      <c r="S82" s="118"/>
      <c r="T82" s="118"/>
      <c r="U82" s="118"/>
      <c r="V82" s="118"/>
      <c r="W82" s="118"/>
      <c r="X82" s="118"/>
      <c r="Y82" s="118"/>
      <c r="Z82" s="118"/>
      <c r="AA82" s="118"/>
      <c r="AB82" s="118"/>
      <c r="AC82" s="118"/>
      <c r="AD82" s="118"/>
      <c r="AE82" s="118"/>
      <c r="AF82" s="118"/>
      <c r="AG82" s="118"/>
      <c r="AH82" s="118"/>
      <c r="AI82" s="118"/>
      <c r="AJ82" s="118"/>
      <c r="AK82" s="118"/>
      <c r="AL82" s="118"/>
      <c r="AM82" s="118"/>
      <c r="AN82" s="118"/>
      <c r="AO82" s="118"/>
      <c r="AP82" s="118"/>
      <c r="AQ82" s="118"/>
      <c r="AR82" s="118"/>
      <c r="AS82" s="118"/>
      <c r="AT82" s="118"/>
      <c r="AU82" s="118"/>
      <c r="AV82" s="118"/>
      <c r="AW82" s="118"/>
      <c r="AX82" s="118"/>
      <c r="AY82" s="118"/>
    </row>
    <row r="83" spans="1:52" x14ac:dyDescent="0.2">
      <c r="A83" s="117"/>
      <c r="B83" s="138">
        <v>39</v>
      </c>
      <c r="C83" s="117" t="s">
        <v>292</v>
      </c>
      <c r="D83" s="118"/>
      <c r="E83" s="118"/>
      <c r="F83" s="118"/>
      <c r="G83" s="118"/>
      <c r="H83" s="118"/>
      <c r="I83" s="118"/>
      <c r="J83" s="118"/>
      <c r="K83" s="118"/>
      <c r="L83" s="118"/>
      <c r="M83" s="118"/>
      <c r="N83" s="118"/>
      <c r="O83" s="118"/>
      <c r="P83" s="118"/>
      <c r="Q83" s="118"/>
      <c r="R83" s="118"/>
      <c r="S83" s="118"/>
      <c r="T83" s="118"/>
      <c r="U83" s="118"/>
      <c r="V83" s="118"/>
      <c r="W83" s="118"/>
      <c r="X83" s="118"/>
      <c r="Y83" s="118"/>
      <c r="Z83" s="118"/>
      <c r="AA83" s="118"/>
      <c r="AB83" s="118"/>
      <c r="AC83" s="118"/>
      <c r="AD83" s="118"/>
      <c r="AE83" s="118"/>
      <c r="AF83" s="118"/>
      <c r="AG83" s="118"/>
      <c r="AH83" s="118"/>
      <c r="AI83" s="118"/>
      <c r="AJ83" s="118"/>
      <c r="AK83" s="118"/>
      <c r="AL83" s="118"/>
      <c r="AM83" s="118"/>
      <c r="AN83" s="118"/>
      <c r="AO83" s="118"/>
      <c r="AP83" s="118"/>
      <c r="AQ83" s="118"/>
      <c r="AR83" s="118"/>
      <c r="AS83" s="118"/>
      <c r="AT83" s="118"/>
      <c r="AU83" s="118"/>
      <c r="AV83" s="118"/>
      <c r="AW83" s="118"/>
      <c r="AX83" s="118"/>
      <c r="AY83" s="118"/>
    </row>
    <row r="84" spans="1:52" x14ac:dyDescent="0.2">
      <c r="A84" s="117"/>
      <c r="B84" s="138">
        <v>40</v>
      </c>
      <c r="C84" s="117" t="s">
        <v>292</v>
      </c>
      <c r="D84" s="118"/>
      <c r="E84" s="118"/>
      <c r="F84" s="118"/>
      <c r="G84" s="118"/>
      <c r="H84" s="118"/>
      <c r="I84" s="118"/>
      <c r="J84" s="118"/>
      <c r="K84" s="118"/>
      <c r="L84" s="118"/>
      <c r="M84" s="118"/>
      <c r="N84" s="118"/>
      <c r="O84" s="118"/>
      <c r="P84" s="118"/>
      <c r="Q84" s="118"/>
      <c r="R84" s="118"/>
      <c r="S84" s="118"/>
      <c r="T84" s="118"/>
      <c r="U84" s="118"/>
      <c r="V84" s="118"/>
      <c r="W84" s="118"/>
      <c r="X84" s="118"/>
      <c r="Y84" s="118"/>
      <c r="Z84" s="118"/>
      <c r="AA84" s="118"/>
      <c r="AB84" s="118"/>
      <c r="AC84" s="118"/>
      <c r="AD84" s="118"/>
      <c r="AE84" s="118"/>
      <c r="AF84" s="118"/>
      <c r="AG84" s="118"/>
      <c r="AH84" s="118"/>
      <c r="AI84" s="118"/>
      <c r="AJ84" s="118"/>
      <c r="AK84" s="118"/>
      <c r="AL84" s="118"/>
      <c r="AM84" s="118"/>
      <c r="AN84" s="118"/>
      <c r="AO84" s="118"/>
      <c r="AP84" s="118"/>
      <c r="AQ84" s="118"/>
      <c r="AR84" s="118"/>
      <c r="AS84" s="118"/>
      <c r="AT84" s="118"/>
      <c r="AU84" s="118"/>
      <c r="AV84" s="118"/>
      <c r="AW84" s="118"/>
      <c r="AX84" s="118"/>
      <c r="AY84" s="118"/>
    </row>
    <row r="85" spans="1:52" x14ac:dyDescent="0.2">
      <c r="A85" s="117"/>
      <c r="B85" s="138">
        <v>41</v>
      </c>
      <c r="C85" s="117" t="s">
        <v>292</v>
      </c>
      <c r="D85" s="118"/>
      <c r="E85" s="118"/>
      <c r="F85" s="118"/>
      <c r="G85" s="118"/>
      <c r="H85" s="118"/>
      <c r="I85" s="118"/>
      <c r="J85" s="118"/>
      <c r="K85" s="118"/>
      <c r="L85" s="118"/>
      <c r="M85" s="118"/>
      <c r="N85" s="118"/>
      <c r="O85" s="118"/>
      <c r="P85" s="118"/>
      <c r="Q85" s="118"/>
      <c r="R85" s="118"/>
      <c r="S85" s="118"/>
      <c r="T85" s="118"/>
      <c r="U85" s="118"/>
      <c r="V85" s="118"/>
      <c r="W85" s="118"/>
      <c r="X85" s="118"/>
      <c r="Y85" s="118"/>
      <c r="Z85" s="118"/>
      <c r="AA85" s="118"/>
      <c r="AB85" s="118"/>
      <c r="AC85" s="118"/>
      <c r="AD85" s="118"/>
      <c r="AE85" s="118"/>
      <c r="AF85" s="118"/>
      <c r="AG85" s="118"/>
      <c r="AH85" s="118"/>
      <c r="AI85" s="118"/>
      <c r="AJ85" s="118"/>
      <c r="AK85" s="118"/>
      <c r="AL85" s="118"/>
      <c r="AM85" s="118"/>
      <c r="AN85" s="118"/>
      <c r="AO85" s="118"/>
      <c r="AP85" s="118"/>
      <c r="AQ85" s="118"/>
      <c r="AR85" s="118"/>
      <c r="AS85" s="118"/>
      <c r="AT85" s="118"/>
      <c r="AU85" s="118"/>
      <c r="AV85" s="118"/>
      <c r="AW85" s="118"/>
      <c r="AX85" s="118"/>
      <c r="AY85" s="118"/>
    </row>
    <row r="86" spans="1:52" x14ac:dyDescent="0.2">
      <c r="A86" s="117"/>
      <c r="B86" s="138">
        <v>42</v>
      </c>
      <c r="C86" s="117" t="s">
        <v>292</v>
      </c>
      <c r="D86" s="118"/>
      <c r="E86" s="118"/>
      <c r="F86" s="118"/>
      <c r="G86" s="118"/>
      <c r="H86" s="118"/>
      <c r="I86" s="118"/>
      <c r="J86" s="118"/>
      <c r="K86" s="118"/>
      <c r="L86" s="118"/>
      <c r="M86" s="118"/>
      <c r="N86" s="118"/>
      <c r="O86" s="118"/>
      <c r="P86" s="118"/>
      <c r="Q86" s="118"/>
      <c r="R86" s="118"/>
      <c r="S86" s="118"/>
      <c r="T86" s="118"/>
      <c r="U86" s="118"/>
      <c r="V86" s="118"/>
      <c r="W86" s="118"/>
      <c r="X86" s="118"/>
      <c r="Y86" s="118"/>
      <c r="Z86" s="118"/>
      <c r="AA86" s="118"/>
      <c r="AB86" s="118"/>
      <c r="AC86" s="118"/>
      <c r="AD86" s="118"/>
      <c r="AE86" s="118"/>
      <c r="AF86" s="118"/>
      <c r="AG86" s="118"/>
      <c r="AH86" s="118"/>
      <c r="AI86" s="118"/>
      <c r="AJ86" s="118"/>
      <c r="AK86" s="118"/>
      <c r="AL86" s="118"/>
      <c r="AM86" s="118"/>
      <c r="AN86" s="118"/>
      <c r="AO86" s="118"/>
      <c r="AP86" s="118"/>
      <c r="AQ86" s="118"/>
      <c r="AR86" s="118"/>
      <c r="AS86" s="118"/>
      <c r="AT86" s="118"/>
      <c r="AU86" s="118"/>
      <c r="AV86" s="118"/>
      <c r="AW86" s="118"/>
      <c r="AX86" s="118"/>
      <c r="AY86" s="118"/>
    </row>
    <row r="87" spans="1:52" x14ac:dyDescent="0.2">
      <c r="A87" s="117"/>
      <c r="B87" s="138">
        <v>43</v>
      </c>
      <c r="C87" s="117" t="s">
        <v>292</v>
      </c>
      <c r="D87" s="118"/>
      <c r="E87" s="118"/>
      <c r="F87" s="118"/>
      <c r="G87" s="118"/>
      <c r="H87" s="118"/>
      <c r="I87" s="118"/>
      <c r="J87" s="118"/>
      <c r="K87" s="118"/>
      <c r="L87" s="118"/>
      <c r="M87" s="118"/>
      <c r="N87" s="118"/>
      <c r="O87" s="118"/>
      <c r="P87" s="118"/>
      <c r="Q87" s="118"/>
      <c r="R87" s="118"/>
      <c r="S87" s="118"/>
      <c r="T87" s="118"/>
      <c r="U87" s="118"/>
      <c r="V87" s="118"/>
      <c r="W87" s="118"/>
      <c r="X87" s="118"/>
      <c r="Y87" s="118"/>
      <c r="Z87" s="118"/>
      <c r="AA87" s="118"/>
      <c r="AB87" s="118"/>
      <c r="AC87" s="118"/>
      <c r="AD87" s="118"/>
      <c r="AE87" s="118"/>
      <c r="AF87" s="118"/>
      <c r="AG87" s="118"/>
      <c r="AH87" s="118"/>
      <c r="AI87" s="118"/>
      <c r="AJ87" s="118"/>
      <c r="AK87" s="118"/>
      <c r="AL87" s="118"/>
      <c r="AM87" s="118"/>
      <c r="AN87" s="118"/>
      <c r="AO87" s="118"/>
      <c r="AP87" s="118"/>
      <c r="AQ87" s="118"/>
      <c r="AR87" s="118"/>
      <c r="AS87" s="118"/>
      <c r="AT87" s="118"/>
      <c r="AU87" s="118"/>
      <c r="AV87" s="118"/>
      <c r="AW87" s="118"/>
      <c r="AX87" s="118"/>
      <c r="AY87" s="118"/>
    </row>
    <row r="88" spans="1:52" x14ac:dyDescent="0.2">
      <c r="A88" s="117"/>
      <c r="B88" s="138">
        <v>44</v>
      </c>
      <c r="C88" s="117" t="s">
        <v>292</v>
      </c>
      <c r="D88" s="118"/>
      <c r="E88" s="118"/>
      <c r="F88" s="118"/>
      <c r="G88" s="118"/>
      <c r="H88" s="118"/>
      <c r="I88" s="118"/>
      <c r="J88" s="118"/>
      <c r="K88" s="118"/>
      <c r="L88" s="118"/>
      <c r="M88" s="118"/>
      <c r="N88" s="118"/>
      <c r="O88" s="118"/>
      <c r="P88" s="118"/>
      <c r="Q88" s="118"/>
      <c r="R88" s="118"/>
      <c r="S88" s="118"/>
      <c r="T88" s="118"/>
      <c r="U88" s="118"/>
      <c r="V88" s="118"/>
      <c r="W88" s="118"/>
      <c r="X88" s="118"/>
      <c r="Y88" s="118"/>
      <c r="Z88" s="118"/>
      <c r="AA88" s="118"/>
      <c r="AB88" s="118"/>
      <c r="AC88" s="118"/>
      <c r="AD88" s="118"/>
      <c r="AE88" s="118"/>
      <c r="AF88" s="118"/>
      <c r="AG88" s="118"/>
      <c r="AH88" s="118"/>
      <c r="AI88" s="118"/>
      <c r="AJ88" s="118"/>
      <c r="AK88" s="118"/>
      <c r="AL88" s="118"/>
      <c r="AM88" s="118"/>
      <c r="AN88" s="118"/>
      <c r="AO88" s="118"/>
      <c r="AP88" s="118"/>
      <c r="AQ88" s="118"/>
      <c r="AR88" s="118"/>
      <c r="AS88" s="118"/>
      <c r="AT88" s="118"/>
      <c r="AU88" s="118"/>
      <c r="AV88" s="118"/>
      <c r="AW88" s="118"/>
      <c r="AX88" s="118"/>
      <c r="AY88" s="118"/>
    </row>
    <row r="89" spans="1:52" x14ac:dyDescent="0.2">
      <c r="A89" s="117"/>
      <c r="B89" s="138">
        <v>45</v>
      </c>
      <c r="C89" s="117" t="s">
        <v>292</v>
      </c>
      <c r="D89" s="118"/>
      <c r="E89" s="118"/>
      <c r="F89" s="118"/>
      <c r="G89" s="118"/>
      <c r="H89" s="118"/>
      <c r="I89" s="118"/>
      <c r="J89" s="118"/>
      <c r="K89" s="118"/>
      <c r="L89" s="118"/>
      <c r="M89" s="118"/>
      <c r="N89" s="118"/>
      <c r="O89" s="118"/>
      <c r="P89" s="118"/>
      <c r="Q89" s="118"/>
      <c r="R89" s="118"/>
      <c r="S89" s="118"/>
      <c r="T89" s="118"/>
      <c r="U89" s="118"/>
      <c r="V89" s="118"/>
      <c r="W89" s="118"/>
      <c r="X89" s="118"/>
      <c r="Y89" s="118"/>
      <c r="Z89" s="118"/>
      <c r="AA89" s="118"/>
      <c r="AB89" s="118"/>
      <c r="AC89" s="118"/>
      <c r="AD89" s="118"/>
      <c r="AE89" s="118"/>
      <c r="AF89" s="118"/>
      <c r="AG89" s="118"/>
      <c r="AH89" s="118"/>
      <c r="AI89" s="118"/>
      <c r="AJ89" s="118"/>
      <c r="AK89" s="118"/>
      <c r="AL89" s="118"/>
      <c r="AM89" s="118"/>
      <c r="AN89" s="118"/>
      <c r="AO89" s="118"/>
      <c r="AP89" s="118"/>
      <c r="AQ89" s="118"/>
      <c r="AR89" s="118"/>
      <c r="AS89" s="118"/>
      <c r="AT89" s="118"/>
      <c r="AU89" s="118"/>
      <c r="AV89" s="118"/>
      <c r="AW89" s="118"/>
      <c r="AX89" s="118"/>
      <c r="AY89" s="118"/>
    </row>
    <row r="90" spans="1:52" x14ac:dyDescent="0.2">
      <c r="A90" s="117"/>
      <c r="B90" s="138">
        <v>46</v>
      </c>
      <c r="C90" s="117" t="s">
        <v>292</v>
      </c>
      <c r="D90" s="118"/>
      <c r="E90" s="118"/>
      <c r="F90" s="118"/>
      <c r="G90" s="118"/>
      <c r="H90" s="118"/>
      <c r="I90" s="118"/>
      <c r="J90" s="118"/>
      <c r="K90" s="118"/>
      <c r="L90" s="118"/>
      <c r="M90" s="118"/>
      <c r="N90" s="118"/>
      <c r="O90" s="118"/>
      <c r="P90" s="118"/>
      <c r="Q90" s="118"/>
      <c r="R90" s="118"/>
      <c r="S90" s="118"/>
      <c r="T90" s="118"/>
      <c r="U90" s="118"/>
      <c r="V90" s="118"/>
      <c r="W90" s="118"/>
      <c r="X90" s="118"/>
      <c r="Y90" s="118"/>
      <c r="Z90" s="118"/>
      <c r="AA90" s="118"/>
      <c r="AB90" s="118"/>
      <c r="AC90" s="118"/>
      <c r="AD90" s="118"/>
      <c r="AE90" s="118"/>
      <c r="AF90" s="118"/>
      <c r="AG90" s="118"/>
      <c r="AH90" s="118"/>
      <c r="AI90" s="118"/>
      <c r="AJ90" s="118"/>
      <c r="AK90" s="118"/>
      <c r="AL90" s="118"/>
      <c r="AM90" s="118"/>
      <c r="AN90" s="118"/>
      <c r="AO90" s="118"/>
      <c r="AP90" s="118"/>
      <c r="AQ90" s="118"/>
      <c r="AR90" s="118"/>
      <c r="AS90" s="118"/>
      <c r="AT90" s="118"/>
      <c r="AU90" s="118"/>
      <c r="AV90" s="118"/>
      <c r="AW90" s="118"/>
      <c r="AX90" s="118"/>
      <c r="AY90" s="118"/>
    </row>
    <row r="91" spans="1:52" x14ac:dyDescent="0.2">
      <c r="A91" s="117"/>
      <c r="B91" s="138">
        <v>47</v>
      </c>
      <c r="C91" s="117" t="s">
        <v>292</v>
      </c>
      <c r="D91" s="118"/>
      <c r="E91" s="118"/>
      <c r="F91" s="118"/>
      <c r="G91" s="118"/>
      <c r="H91" s="118"/>
      <c r="I91" s="118"/>
      <c r="J91" s="118"/>
      <c r="K91" s="118"/>
      <c r="L91" s="118"/>
      <c r="M91" s="118"/>
      <c r="N91" s="118"/>
      <c r="O91" s="118"/>
      <c r="P91" s="118"/>
      <c r="Q91" s="118"/>
      <c r="R91" s="118"/>
      <c r="S91" s="118"/>
      <c r="T91" s="118"/>
      <c r="U91" s="118"/>
      <c r="V91" s="118"/>
      <c r="W91" s="118"/>
      <c r="X91" s="118"/>
      <c r="Y91" s="118"/>
      <c r="Z91" s="118"/>
      <c r="AA91" s="118"/>
      <c r="AB91" s="118"/>
      <c r="AC91" s="118"/>
      <c r="AD91" s="118"/>
      <c r="AE91" s="118"/>
      <c r="AF91" s="118"/>
      <c r="AG91" s="118"/>
      <c r="AH91" s="118"/>
      <c r="AI91" s="118"/>
      <c r="AJ91" s="118"/>
      <c r="AK91" s="118"/>
      <c r="AL91" s="118"/>
      <c r="AM91" s="118"/>
      <c r="AN91" s="118"/>
      <c r="AO91" s="118"/>
      <c r="AP91" s="118"/>
      <c r="AQ91" s="118"/>
      <c r="AR91" s="118"/>
      <c r="AS91" s="118"/>
      <c r="AT91" s="118"/>
      <c r="AU91" s="118"/>
      <c r="AV91" s="118"/>
      <c r="AW91" s="118"/>
      <c r="AX91" s="118"/>
      <c r="AY91" s="118"/>
    </row>
    <row r="92" spans="1:52" x14ac:dyDescent="0.2">
      <c r="A92" s="136"/>
      <c r="B92" s="137">
        <v>48</v>
      </c>
      <c r="C92" s="136" t="s">
        <v>292</v>
      </c>
      <c r="D92" s="133">
        <v>0</v>
      </c>
      <c r="E92" s="133">
        <v>0</v>
      </c>
      <c r="F92" s="133">
        <v>0</v>
      </c>
      <c r="G92" s="133">
        <v>0</v>
      </c>
      <c r="H92" s="133">
        <v>0</v>
      </c>
      <c r="I92" s="133">
        <v>0</v>
      </c>
      <c r="J92" s="133">
        <v>0</v>
      </c>
      <c r="K92" s="133">
        <v>0</v>
      </c>
      <c r="L92" s="133">
        <v>0</v>
      </c>
      <c r="M92" s="133">
        <v>0</v>
      </c>
      <c r="N92" s="133">
        <v>0</v>
      </c>
      <c r="O92" s="133">
        <v>0</v>
      </c>
      <c r="P92" s="133">
        <v>0</v>
      </c>
      <c r="Q92" s="133">
        <v>0</v>
      </c>
      <c r="R92" s="133">
        <v>0</v>
      </c>
      <c r="S92" s="133">
        <v>0</v>
      </c>
      <c r="T92" s="133">
        <v>0</v>
      </c>
      <c r="U92" s="133">
        <v>0</v>
      </c>
      <c r="V92" s="133">
        <v>0</v>
      </c>
      <c r="W92" s="133">
        <v>0</v>
      </c>
      <c r="X92" s="133">
        <v>0</v>
      </c>
      <c r="Y92" s="133">
        <v>0</v>
      </c>
      <c r="Z92" s="133">
        <v>0</v>
      </c>
      <c r="AA92" s="133">
        <v>0</v>
      </c>
      <c r="AB92" s="133">
        <v>0</v>
      </c>
      <c r="AC92" s="133">
        <v>0</v>
      </c>
      <c r="AD92" s="133">
        <v>0</v>
      </c>
      <c r="AE92" s="133">
        <v>0</v>
      </c>
      <c r="AF92" s="133">
        <v>0</v>
      </c>
      <c r="AG92" s="133">
        <v>0</v>
      </c>
      <c r="AH92" s="133">
        <v>0</v>
      </c>
      <c r="AI92" s="133">
        <v>0</v>
      </c>
      <c r="AJ92" s="133">
        <v>0</v>
      </c>
      <c r="AK92" s="133">
        <v>0</v>
      </c>
      <c r="AL92" s="133">
        <v>0</v>
      </c>
      <c r="AM92" s="133">
        <v>0</v>
      </c>
      <c r="AN92" s="133">
        <v>0</v>
      </c>
      <c r="AO92" s="133">
        <v>0</v>
      </c>
      <c r="AP92" s="133">
        <v>0</v>
      </c>
      <c r="AQ92" s="133">
        <v>0</v>
      </c>
      <c r="AR92" s="133">
        <v>0</v>
      </c>
      <c r="AS92" s="133">
        <v>0</v>
      </c>
      <c r="AT92" s="133">
        <v>0</v>
      </c>
      <c r="AU92" s="133">
        <v>0</v>
      </c>
      <c r="AV92" s="133">
        <v>0</v>
      </c>
      <c r="AW92" s="133">
        <v>0</v>
      </c>
      <c r="AX92" s="133">
        <v>0</v>
      </c>
      <c r="AY92" s="133">
        <v>0</v>
      </c>
      <c r="AZ92" s="115">
        <f>SUM(D21:AY92)</f>
        <v>0</v>
      </c>
    </row>
    <row r="94" spans="1:52" x14ac:dyDescent="0.2">
      <c r="A94" s="110" t="s">
        <v>294</v>
      </c>
      <c r="B94" s="114"/>
      <c r="C94" s="114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  <c r="AH94" s="122"/>
      <c r="AI94" s="122"/>
      <c r="AJ94" s="122"/>
      <c r="AK94" s="122"/>
      <c r="AL94" s="122"/>
      <c r="AM94" s="122"/>
      <c r="AN94" s="122"/>
      <c r="AO94" s="122"/>
      <c r="AP94" s="122"/>
      <c r="AQ94" s="122"/>
      <c r="AR94" s="122"/>
      <c r="AS94" s="122"/>
      <c r="AT94" s="122"/>
      <c r="AU94" s="122"/>
      <c r="AV94" s="122"/>
      <c r="AW94" s="122"/>
      <c r="AX94" s="122"/>
      <c r="AY94" s="122"/>
    </row>
    <row r="95" spans="1:52" x14ac:dyDescent="0.2">
      <c r="A95" s="134" t="s">
        <v>125</v>
      </c>
      <c r="B95" s="131">
        <v>1</v>
      </c>
      <c r="C95" s="132"/>
      <c r="D95" s="118">
        <v>3333</v>
      </c>
      <c r="E95" s="118">
        <v>3333</v>
      </c>
      <c r="F95" s="118">
        <v>3333</v>
      </c>
      <c r="G95" s="118">
        <v>3333</v>
      </c>
      <c r="H95" s="118">
        <v>3333</v>
      </c>
      <c r="I95" s="118">
        <v>3333</v>
      </c>
      <c r="J95" s="118">
        <v>3333</v>
      </c>
      <c r="K95" s="118">
        <v>3333</v>
      </c>
      <c r="L95" s="118">
        <v>3333</v>
      </c>
      <c r="M95" s="118">
        <v>3333</v>
      </c>
      <c r="N95" s="118">
        <v>3333</v>
      </c>
      <c r="O95" s="118">
        <v>3333</v>
      </c>
      <c r="P95" s="118">
        <v>3333</v>
      </c>
      <c r="Q95" s="118">
        <v>3333</v>
      </c>
      <c r="R95" s="118">
        <v>3333</v>
      </c>
      <c r="S95" s="118">
        <v>3333</v>
      </c>
      <c r="T95" s="118">
        <v>3333</v>
      </c>
      <c r="U95" s="118">
        <v>3333</v>
      </c>
      <c r="V95" s="118">
        <v>3333</v>
      </c>
      <c r="W95" s="118">
        <v>3333</v>
      </c>
      <c r="X95" s="118">
        <v>3333</v>
      </c>
      <c r="Y95" s="118">
        <v>3333</v>
      </c>
      <c r="Z95" s="118">
        <v>3333</v>
      </c>
      <c r="AA95" s="118">
        <v>3333</v>
      </c>
      <c r="AB95" s="118">
        <v>3333</v>
      </c>
      <c r="AC95" s="118">
        <v>3333</v>
      </c>
      <c r="AD95" s="118">
        <v>3333</v>
      </c>
      <c r="AE95" s="118">
        <v>3333</v>
      </c>
      <c r="AF95" s="118">
        <v>3333</v>
      </c>
      <c r="AG95" s="118">
        <v>3333</v>
      </c>
      <c r="AH95" s="118">
        <v>3333</v>
      </c>
      <c r="AI95" s="118">
        <v>3333</v>
      </c>
      <c r="AJ95" s="118">
        <v>3333</v>
      </c>
      <c r="AK95" s="118">
        <v>3333</v>
      </c>
      <c r="AL95" s="118">
        <v>3333</v>
      </c>
      <c r="AM95" s="118">
        <v>3333</v>
      </c>
      <c r="AN95" s="118">
        <v>3333</v>
      </c>
      <c r="AO95" s="118">
        <v>3333</v>
      </c>
      <c r="AP95" s="118">
        <v>3333</v>
      </c>
      <c r="AQ95" s="118">
        <v>3333</v>
      </c>
      <c r="AR95" s="118">
        <v>3333</v>
      </c>
      <c r="AS95" s="118">
        <v>3333</v>
      </c>
      <c r="AT95" s="118">
        <v>3333</v>
      </c>
      <c r="AU95" s="118">
        <v>3333</v>
      </c>
      <c r="AV95" s="118">
        <v>3333</v>
      </c>
      <c r="AW95" s="118">
        <v>3333</v>
      </c>
      <c r="AX95" s="118">
        <v>3333</v>
      </c>
      <c r="AY95" s="118">
        <v>3333</v>
      </c>
    </row>
    <row r="96" spans="1:52" x14ac:dyDescent="0.2">
      <c r="A96" s="117"/>
      <c r="B96" s="128">
        <v>2</v>
      </c>
      <c r="C96" s="118"/>
      <c r="D96" s="118">
        <v>0</v>
      </c>
      <c r="E96" s="118">
        <v>2003</v>
      </c>
      <c r="F96" s="118">
        <v>3333</v>
      </c>
      <c r="G96" s="118">
        <v>3333</v>
      </c>
      <c r="H96" s="118">
        <v>3333</v>
      </c>
      <c r="I96" s="118">
        <v>3333</v>
      </c>
      <c r="J96" s="118">
        <v>3333</v>
      </c>
      <c r="K96" s="118">
        <v>3333</v>
      </c>
      <c r="L96" s="118">
        <v>3333</v>
      </c>
      <c r="M96" s="118">
        <v>3333</v>
      </c>
      <c r="N96" s="118">
        <v>3333</v>
      </c>
      <c r="O96" s="118">
        <v>3333</v>
      </c>
      <c r="P96" s="118">
        <v>3333</v>
      </c>
      <c r="Q96" s="118">
        <v>3333</v>
      </c>
      <c r="R96" s="118">
        <v>3333</v>
      </c>
      <c r="S96" s="118">
        <v>3333</v>
      </c>
      <c r="T96" s="118">
        <v>3333</v>
      </c>
      <c r="U96" s="118">
        <v>3333</v>
      </c>
      <c r="V96" s="118">
        <v>3333</v>
      </c>
      <c r="W96" s="118">
        <v>3333</v>
      </c>
      <c r="X96" s="118">
        <v>3333</v>
      </c>
      <c r="Y96" s="118">
        <v>3333</v>
      </c>
      <c r="Z96" s="118">
        <v>3333</v>
      </c>
      <c r="AA96" s="118">
        <v>3333</v>
      </c>
      <c r="AB96" s="118">
        <v>3333</v>
      </c>
      <c r="AC96" s="118">
        <v>3333</v>
      </c>
      <c r="AD96" s="118">
        <v>3333</v>
      </c>
      <c r="AE96" s="118">
        <v>3333</v>
      </c>
      <c r="AF96" s="118">
        <v>3333</v>
      </c>
      <c r="AG96" s="118">
        <v>3333</v>
      </c>
      <c r="AH96" s="118">
        <v>3333</v>
      </c>
      <c r="AI96" s="118">
        <v>3333</v>
      </c>
      <c r="AJ96" s="118">
        <v>3333</v>
      </c>
      <c r="AK96" s="118">
        <v>3333</v>
      </c>
      <c r="AL96" s="118">
        <v>3333</v>
      </c>
      <c r="AM96" s="118">
        <v>3333</v>
      </c>
      <c r="AN96" s="118">
        <v>3333</v>
      </c>
      <c r="AO96" s="118">
        <v>3333</v>
      </c>
      <c r="AP96" s="118">
        <v>3333</v>
      </c>
      <c r="AQ96" s="118">
        <v>3333</v>
      </c>
      <c r="AR96" s="118">
        <v>3333</v>
      </c>
      <c r="AS96" s="118">
        <v>3333</v>
      </c>
      <c r="AT96" s="118">
        <v>3333</v>
      </c>
      <c r="AU96" s="118">
        <v>3333</v>
      </c>
      <c r="AV96" s="118">
        <v>3333</v>
      </c>
      <c r="AW96" s="118">
        <v>3333</v>
      </c>
      <c r="AX96" s="118">
        <v>3333</v>
      </c>
      <c r="AY96" s="118">
        <v>3333</v>
      </c>
    </row>
    <row r="97" spans="1:52" x14ac:dyDescent="0.2">
      <c r="A97" s="117"/>
      <c r="B97" s="135">
        <v>3</v>
      </c>
      <c r="C97" s="118"/>
      <c r="D97" s="118">
        <v>0</v>
      </c>
      <c r="E97" s="118">
        <v>0</v>
      </c>
      <c r="F97" s="118">
        <v>435</v>
      </c>
      <c r="G97" s="118">
        <v>2358</v>
      </c>
      <c r="H97" s="118">
        <v>3333</v>
      </c>
      <c r="I97" s="118">
        <v>3333</v>
      </c>
      <c r="J97" s="118">
        <v>3333</v>
      </c>
      <c r="K97" s="118">
        <v>3333</v>
      </c>
      <c r="L97" s="118">
        <v>3333</v>
      </c>
      <c r="M97" s="118">
        <v>3333</v>
      </c>
      <c r="N97" s="118">
        <v>3333</v>
      </c>
      <c r="O97" s="118">
        <v>3333</v>
      </c>
      <c r="P97" s="118">
        <v>3333</v>
      </c>
      <c r="Q97" s="118">
        <v>3333</v>
      </c>
      <c r="R97" s="118">
        <v>3333</v>
      </c>
      <c r="S97" s="118">
        <v>3333</v>
      </c>
      <c r="T97" s="118">
        <v>3333</v>
      </c>
      <c r="U97" s="118">
        <v>3333</v>
      </c>
      <c r="V97" s="118">
        <v>3333</v>
      </c>
      <c r="W97" s="118">
        <v>3333</v>
      </c>
      <c r="X97" s="118">
        <v>3333</v>
      </c>
      <c r="Y97" s="118">
        <v>3333</v>
      </c>
      <c r="Z97" s="118">
        <v>3333</v>
      </c>
      <c r="AA97" s="118">
        <v>3333</v>
      </c>
      <c r="AB97" s="118">
        <v>3333</v>
      </c>
      <c r="AC97" s="118">
        <v>3333</v>
      </c>
      <c r="AD97" s="118">
        <v>3333</v>
      </c>
      <c r="AE97" s="118">
        <v>3333</v>
      </c>
      <c r="AF97" s="118">
        <v>3333</v>
      </c>
      <c r="AG97" s="118">
        <v>3333</v>
      </c>
      <c r="AH97" s="118">
        <v>3333</v>
      </c>
      <c r="AI97" s="118">
        <v>3333</v>
      </c>
      <c r="AJ97" s="118">
        <v>3333</v>
      </c>
      <c r="AK97" s="118">
        <v>3333</v>
      </c>
      <c r="AL97" s="118">
        <v>3333</v>
      </c>
      <c r="AM97" s="118">
        <v>3333</v>
      </c>
      <c r="AN97" s="118">
        <v>3333</v>
      </c>
      <c r="AO97" s="118">
        <v>3333</v>
      </c>
      <c r="AP97" s="118">
        <v>3333</v>
      </c>
      <c r="AQ97" s="118">
        <v>3333</v>
      </c>
      <c r="AR97" s="118">
        <v>3333</v>
      </c>
      <c r="AS97" s="118">
        <v>3333</v>
      </c>
      <c r="AT97" s="118">
        <v>3333</v>
      </c>
      <c r="AU97" s="118">
        <v>3333</v>
      </c>
      <c r="AV97" s="118">
        <v>3333</v>
      </c>
      <c r="AW97" s="118">
        <v>3333</v>
      </c>
      <c r="AX97" s="118">
        <v>3333</v>
      </c>
      <c r="AY97" s="118">
        <v>3333</v>
      </c>
    </row>
    <row r="98" spans="1:52" x14ac:dyDescent="0.2">
      <c r="A98" s="117"/>
      <c r="B98" s="138">
        <v>4</v>
      </c>
      <c r="C98" s="114"/>
      <c r="D98" s="118">
        <v>0</v>
      </c>
      <c r="E98" s="118">
        <v>0</v>
      </c>
      <c r="F98" s="118">
        <v>0</v>
      </c>
      <c r="G98" s="118">
        <v>0</v>
      </c>
      <c r="H98" s="118">
        <v>727</v>
      </c>
      <c r="I98" s="118">
        <v>1964</v>
      </c>
      <c r="J98" s="118">
        <v>3333</v>
      </c>
      <c r="K98" s="118">
        <v>3333</v>
      </c>
      <c r="L98" s="118">
        <v>3333</v>
      </c>
      <c r="M98" s="118">
        <v>3333</v>
      </c>
      <c r="N98" s="118">
        <v>3333</v>
      </c>
      <c r="O98" s="118">
        <v>3333</v>
      </c>
      <c r="P98" s="118">
        <v>3333</v>
      </c>
      <c r="Q98" s="118">
        <v>3333</v>
      </c>
      <c r="R98" s="118">
        <v>3333</v>
      </c>
      <c r="S98" s="118">
        <v>3333</v>
      </c>
      <c r="T98" s="118">
        <v>3333</v>
      </c>
      <c r="U98" s="118">
        <v>3333</v>
      </c>
      <c r="V98" s="118">
        <v>3333</v>
      </c>
      <c r="W98" s="118">
        <v>3333</v>
      </c>
      <c r="X98" s="118">
        <v>3333</v>
      </c>
      <c r="Y98" s="118">
        <v>3333</v>
      </c>
      <c r="Z98" s="118">
        <v>3333</v>
      </c>
      <c r="AA98" s="118">
        <v>3333</v>
      </c>
      <c r="AB98" s="118">
        <v>3333</v>
      </c>
      <c r="AC98" s="118">
        <v>3333</v>
      </c>
      <c r="AD98" s="118">
        <v>3333</v>
      </c>
      <c r="AE98" s="118">
        <v>3333</v>
      </c>
      <c r="AF98" s="118">
        <v>3333</v>
      </c>
      <c r="AG98" s="118">
        <v>3333</v>
      </c>
      <c r="AH98" s="118">
        <v>3333</v>
      </c>
      <c r="AI98" s="118">
        <v>3333</v>
      </c>
      <c r="AJ98" s="118">
        <v>3333</v>
      </c>
      <c r="AK98" s="118">
        <v>3333</v>
      </c>
      <c r="AL98" s="118">
        <v>3333</v>
      </c>
      <c r="AM98" s="118">
        <v>3333</v>
      </c>
      <c r="AN98" s="118">
        <v>3333</v>
      </c>
      <c r="AO98" s="118">
        <v>3333</v>
      </c>
      <c r="AP98" s="118">
        <v>3333</v>
      </c>
      <c r="AQ98" s="118">
        <v>3333</v>
      </c>
      <c r="AR98" s="118">
        <v>3333</v>
      </c>
      <c r="AS98" s="118">
        <v>3333</v>
      </c>
      <c r="AT98" s="118">
        <v>3333</v>
      </c>
      <c r="AU98" s="118">
        <v>3333</v>
      </c>
      <c r="AV98" s="118">
        <v>3333</v>
      </c>
      <c r="AW98" s="118">
        <v>3333</v>
      </c>
      <c r="AX98" s="118">
        <v>3333</v>
      </c>
      <c r="AY98" s="118">
        <v>3333</v>
      </c>
    </row>
    <row r="99" spans="1:52" x14ac:dyDescent="0.2">
      <c r="A99" s="136"/>
      <c r="B99" s="140" t="s">
        <v>295</v>
      </c>
      <c r="C99" s="133"/>
      <c r="D99" s="133">
        <v>0</v>
      </c>
      <c r="E99" s="133">
        <v>0</v>
      </c>
      <c r="F99" s="133">
        <v>0</v>
      </c>
      <c r="G99" s="133">
        <v>0</v>
      </c>
      <c r="H99" s="133">
        <v>0</v>
      </c>
      <c r="I99" s="133">
        <v>0</v>
      </c>
      <c r="J99" s="133">
        <v>62</v>
      </c>
      <c r="K99" s="133">
        <v>1807</v>
      </c>
      <c r="L99" s="133">
        <v>1530</v>
      </c>
      <c r="M99" s="133">
        <v>1752</v>
      </c>
      <c r="N99" s="133">
        <v>2236</v>
      </c>
      <c r="O99" s="133">
        <v>2103</v>
      </c>
      <c r="P99" s="133">
        <v>2126</v>
      </c>
      <c r="Q99" s="133">
        <v>2494</v>
      </c>
      <c r="R99" s="133">
        <v>2445</v>
      </c>
      <c r="S99" s="133">
        <v>2480</v>
      </c>
      <c r="T99" s="133">
        <v>2272</v>
      </c>
      <c r="U99" s="133">
        <v>2127</v>
      </c>
      <c r="V99" s="133">
        <v>2171</v>
      </c>
      <c r="W99" s="133">
        <v>1908</v>
      </c>
      <c r="X99" s="133">
        <v>2157</v>
      </c>
      <c r="Y99" s="133">
        <v>1784</v>
      </c>
      <c r="Z99" s="133">
        <v>1856</v>
      </c>
      <c r="AA99" s="133">
        <v>1763</v>
      </c>
      <c r="AB99" s="133">
        <v>1434</v>
      </c>
      <c r="AC99" s="133">
        <v>2893</v>
      </c>
      <c r="AD99" s="133">
        <v>2911</v>
      </c>
      <c r="AE99" s="133">
        <v>2902</v>
      </c>
      <c r="AF99" s="133">
        <v>2769</v>
      </c>
      <c r="AG99" s="133">
        <v>2690</v>
      </c>
      <c r="AH99" s="133">
        <v>2691</v>
      </c>
      <c r="AI99" s="133">
        <v>2814</v>
      </c>
      <c r="AJ99" s="133">
        <v>2715</v>
      </c>
      <c r="AK99" s="133">
        <v>2734</v>
      </c>
      <c r="AL99" s="133">
        <v>2706</v>
      </c>
      <c r="AM99" s="133">
        <v>2731</v>
      </c>
      <c r="AN99" s="133">
        <v>2646</v>
      </c>
      <c r="AO99" s="133">
        <v>2279</v>
      </c>
      <c r="AP99" s="133">
        <v>2140</v>
      </c>
      <c r="AQ99" s="133">
        <v>1934</v>
      </c>
      <c r="AR99" s="133">
        <v>1946</v>
      </c>
      <c r="AS99" s="133">
        <v>2545</v>
      </c>
      <c r="AT99" s="133">
        <v>2558</v>
      </c>
      <c r="AU99" s="133">
        <v>2681</v>
      </c>
      <c r="AV99" s="133">
        <v>2690</v>
      </c>
      <c r="AW99" s="133">
        <v>2794</v>
      </c>
      <c r="AX99" s="133">
        <v>2808</v>
      </c>
      <c r="AY99" s="133">
        <v>2901</v>
      </c>
      <c r="AZ99" s="115">
        <f>SUM($D99:$AY99)</f>
        <v>96985</v>
      </c>
    </row>
    <row r="100" spans="1:52" x14ac:dyDescent="0.2">
      <c r="A100" s="139" t="s">
        <v>133</v>
      </c>
      <c r="B100" s="127">
        <v>1</v>
      </c>
      <c r="C100" s="114"/>
      <c r="D100" s="114">
        <v>0</v>
      </c>
      <c r="E100" s="114">
        <v>0</v>
      </c>
      <c r="F100" s="114">
        <v>833.25</v>
      </c>
      <c r="G100" s="114">
        <v>0</v>
      </c>
      <c r="H100" s="114">
        <v>833.25</v>
      </c>
      <c r="I100" s="114">
        <v>833.25</v>
      </c>
      <c r="J100" s="114">
        <v>0</v>
      </c>
      <c r="K100" s="114">
        <v>0</v>
      </c>
      <c r="L100" s="114">
        <v>0</v>
      </c>
      <c r="M100" s="114">
        <v>833.25</v>
      </c>
      <c r="N100" s="114">
        <v>0</v>
      </c>
      <c r="O100" s="114">
        <v>0</v>
      </c>
      <c r="P100" s="114">
        <v>833.25</v>
      </c>
      <c r="Q100" s="114">
        <v>833.25</v>
      </c>
      <c r="R100" s="114">
        <v>0</v>
      </c>
      <c r="S100" s="114">
        <v>0</v>
      </c>
      <c r="T100" s="114">
        <v>0</v>
      </c>
      <c r="U100" s="114">
        <v>0</v>
      </c>
      <c r="V100" s="114">
        <v>833.25</v>
      </c>
      <c r="W100" s="114">
        <v>833.25</v>
      </c>
      <c r="X100" s="114">
        <v>833.25</v>
      </c>
      <c r="Y100" s="114">
        <v>833.25</v>
      </c>
      <c r="Z100" s="114">
        <v>0</v>
      </c>
      <c r="AA100" s="114">
        <v>833.25</v>
      </c>
      <c r="AB100" s="114">
        <v>0</v>
      </c>
      <c r="AC100" s="114">
        <v>0</v>
      </c>
      <c r="AD100" s="114">
        <v>0</v>
      </c>
      <c r="AE100" s="114">
        <v>0</v>
      </c>
      <c r="AF100" s="114">
        <v>0</v>
      </c>
      <c r="AG100" s="114">
        <v>833.25</v>
      </c>
      <c r="AH100" s="114">
        <v>833.25</v>
      </c>
      <c r="AI100" s="114">
        <v>833.25</v>
      </c>
      <c r="AJ100" s="114">
        <v>833.25</v>
      </c>
      <c r="AK100" s="114">
        <v>0</v>
      </c>
      <c r="AL100" s="114">
        <v>0</v>
      </c>
      <c r="AM100" s="114">
        <v>833.25</v>
      </c>
      <c r="AN100" s="114">
        <v>0</v>
      </c>
      <c r="AO100" s="114">
        <v>0</v>
      </c>
      <c r="AP100" s="114">
        <v>833.25</v>
      </c>
      <c r="AQ100" s="114">
        <v>833.25</v>
      </c>
      <c r="AR100" s="114">
        <v>0</v>
      </c>
      <c r="AS100" s="114">
        <v>833.25</v>
      </c>
      <c r="AT100" s="114">
        <v>833.25</v>
      </c>
      <c r="AU100" s="114">
        <v>0</v>
      </c>
      <c r="AV100" s="114">
        <v>937</v>
      </c>
      <c r="AW100" s="114">
        <v>833.25</v>
      </c>
      <c r="AX100" s="114">
        <v>833.25</v>
      </c>
      <c r="AY100" s="114">
        <v>833.25</v>
      </c>
    </row>
    <row r="101" spans="1:52" x14ac:dyDescent="0.2">
      <c r="A101" s="117"/>
      <c r="B101" s="127">
        <v>2</v>
      </c>
      <c r="C101" s="114"/>
      <c r="D101" s="114">
        <v>0</v>
      </c>
      <c r="E101" s="114">
        <v>0</v>
      </c>
      <c r="F101" s="114">
        <v>0</v>
      </c>
      <c r="G101" s="114">
        <v>0</v>
      </c>
      <c r="H101" s="114">
        <v>833.25</v>
      </c>
      <c r="I101" s="114">
        <v>0</v>
      </c>
      <c r="J101" s="114">
        <v>0</v>
      </c>
      <c r="K101" s="114">
        <v>833.25</v>
      </c>
      <c r="L101" s="114">
        <v>833.25</v>
      </c>
      <c r="M101" s="114">
        <v>833.25</v>
      </c>
      <c r="N101" s="114">
        <v>0</v>
      </c>
      <c r="O101" s="114">
        <v>0</v>
      </c>
      <c r="P101" s="114">
        <v>833.25</v>
      </c>
      <c r="Q101" s="114">
        <v>833.25</v>
      </c>
      <c r="R101" s="114">
        <v>833.25</v>
      </c>
      <c r="S101" s="114">
        <v>0</v>
      </c>
      <c r="T101" s="114">
        <v>0</v>
      </c>
      <c r="U101" s="114">
        <v>833.25</v>
      </c>
      <c r="V101" s="114">
        <v>0</v>
      </c>
      <c r="W101" s="114">
        <v>0</v>
      </c>
      <c r="X101" s="114">
        <v>0</v>
      </c>
      <c r="Y101" s="114">
        <v>0</v>
      </c>
      <c r="Z101" s="114">
        <v>0</v>
      </c>
      <c r="AA101" s="114">
        <v>833.25</v>
      </c>
      <c r="AB101" s="114">
        <v>0</v>
      </c>
      <c r="AC101" s="114">
        <v>833.25</v>
      </c>
      <c r="AD101" s="114">
        <v>833.25</v>
      </c>
      <c r="AE101" s="114">
        <v>0</v>
      </c>
      <c r="AF101" s="114">
        <v>833.25</v>
      </c>
      <c r="AG101" s="114">
        <v>833.25</v>
      </c>
      <c r="AH101" s="114">
        <v>0</v>
      </c>
      <c r="AI101" s="114">
        <v>0</v>
      </c>
      <c r="AJ101" s="114">
        <v>0</v>
      </c>
      <c r="AK101" s="114">
        <v>0</v>
      </c>
      <c r="AL101" s="114">
        <v>0</v>
      </c>
      <c r="AM101" s="114">
        <v>833.25</v>
      </c>
      <c r="AN101" s="114">
        <v>833.25</v>
      </c>
      <c r="AO101" s="114">
        <v>833.25</v>
      </c>
      <c r="AP101" s="114">
        <v>833.25</v>
      </c>
      <c r="AQ101" s="114">
        <v>0</v>
      </c>
      <c r="AR101" s="114">
        <v>0</v>
      </c>
      <c r="AS101" s="114">
        <v>0</v>
      </c>
      <c r="AT101" s="114">
        <v>0</v>
      </c>
      <c r="AU101" s="114">
        <v>260.5</v>
      </c>
      <c r="AV101" s="114">
        <v>0</v>
      </c>
      <c r="AW101" s="114">
        <v>0</v>
      </c>
      <c r="AX101" s="114">
        <v>0</v>
      </c>
      <c r="AY101" s="114">
        <v>0</v>
      </c>
    </row>
    <row r="102" spans="1:52" x14ac:dyDescent="0.2">
      <c r="A102" s="117"/>
      <c r="B102" s="128">
        <v>3</v>
      </c>
      <c r="C102" s="114"/>
      <c r="D102" s="114">
        <v>0</v>
      </c>
      <c r="E102" s="114">
        <v>0</v>
      </c>
      <c r="F102" s="114">
        <v>0</v>
      </c>
      <c r="G102" s="114">
        <v>0</v>
      </c>
      <c r="H102" s="114">
        <v>0</v>
      </c>
      <c r="I102" s="114">
        <v>0</v>
      </c>
      <c r="J102" s="114">
        <v>0</v>
      </c>
      <c r="K102" s="114">
        <v>0</v>
      </c>
      <c r="L102" s="114">
        <v>0</v>
      </c>
      <c r="M102" s="114">
        <v>0</v>
      </c>
      <c r="N102" s="114">
        <v>0</v>
      </c>
      <c r="O102" s="114">
        <v>0</v>
      </c>
      <c r="P102" s="114">
        <v>833.25</v>
      </c>
      <c r="Q102" s="114">
        <v>498.5</v>
      </c>
      <c r="R102" s="114">
        <v>83.75</v>
      </c>
      <c r="S102" s="114">
        <v>0</v>
      </c>
      <c r="T102" s="114">
        <v>833.25</v>
      </c>
      <c r="U102" s="114">
        <v>833.25</v>
      </c>
      <c r="V102" s="114">
        <v>0</v>
      </c>
      <c r="W102" s="114">
        <v>833.25</v>
      </c>
      <c r="X102" s="114">
        <v>0</v>
      </c>
      <c r="Y102" s="114">
        <v>0</v>
      </c>
      <c r="Z102" s="114">
        <v>0</v>
      </c>
      <c r="AA102" s="114">
        <v>0</v>
      </c>
      <c r="AB102" s="114">
        <v>0</v>
      </c>
      <c r="AC102" s="114">
        <v>0</v>
      </c>
      <c r="AD102" s="114">
        <v>0</v>
      </c>
      <c r="AE102" s="114">
        <v>0</v>
      </c>
      <c r="AF102" s="114">
        <v>833.25</v>
      </c>
      <c r="AG102" s="114">
        <v>0</v>
      </c>
      <c r="AH102" s="114">
        <v>0</v>
      </c>
      <c r="AI102" s="114">
        <v>0</v>
      </c>
      <c r="AJ102" s="114">
        <v>0</v>
      </c>
      <c r="AK102" s="114">
        <v>0</v>
      </c>
      <c r="AL102" s="114">
        <v>0</v>
      </c>
      <c r="AM102" s="114">
        <v>833.25</v>
      </c>
      <c r="AN102" s="114">
        <v>10.5</v>
      </c>
      <c r="AO102" s="114">
        <v>0</v>
      </c>
      <c r="AP102" s="114">
        <v>0</v>
      </c>
      <c r="AQ102" s="114">
        <v>0</v>
      </c>
      <c r="AR102" s="114">
        <v>0</v>
      </c>
      <c r="AS102" s="114">
        <v>0</v>
      </c>
      <c r="AT102" s="114">
        <v>833.25</v>
      </c>
      <c r="AU102" s="114">
        <v>0</v>
      </c>
      <c r="AV102" s="114">
        <v>0</v>
      </c>
      <c r="AW102" s="114">
        <v>0</v>
      </c>
      <c r="AX102" s="114">
        <v>0</v>
      </c>
      <c r="AY102" s="114">
        <v>0</v>
      </c>
    </row>
    <row r="103" spans="1:52" x14ac:dyDescent="0.2">
      <c r="A103" s="117"/>
      <c r="B103" s="128">
        <v>4</v>
      </c>
      <c r="C103" s="114"/>
      <c r="D103" s="114">
        <v>0</v>
      </c>
      <c r="E103" s="114">
        <v>0</v>
      </c>
      <c r="F103" s="114">
        <v>0</v>
      </c>
      <c r="G103" s="114">
        <v>0</v>
      </c>
      <c r="H103" s="114">
        <v>0</v>
      </c>
      <c r="I103" s="114">
        <v>0</v>
      </c>
      <c r="J103" s="114">
        <v>0</v>
      </c>
      <c r="K103" s="114">
        <v>0</v>
      </c>
      <c r="L103" s="114">
        <v>0</v>
      </c>
      <c r="M103" s="114">
        <v>0</v>
      </c>
      <c r="N103" s="114">
        <v>0</v>
      </c>
      <c r="O103" s="114">
        <v>0</v>
      </c>
      <c r="P103" s="114">
        <v>0</v>
      </c>
      <c r="Q103" s="114">
        <v>0</v>
      </c>
      <c r="R103" s="114">
        <v>0</v>
      </c>
      <c r="S103" s="114">
        <v>0</v>
      </c>
      <c r="T103" s="114">
        <v>0</v>
      </c>
      <c r="U103" s="114">
        <v>0</v>
      </c>
      <c r="V103" s="114">
        <v>0</v>
      </c>
      <c r="W103" s="114">
        <v>0</v>
      </c>
      <c r="X103" s="114">
        <v>0</v>
      </c>
      <c r="Y103" s="114">
        <v>0</v>
      </c>
      <c r="Z103" s="114">
        <v>0</v>
      </c>
      <c r="AA103" s="114">
        <v>0</v>
      </c>
      <c r="AB103" s="114">
        <v>0</v>
      </c>
      <c r="AC103" s="114">
        <v>0</v>
      </c>
      <c r="AD103" s="114">
        <v>0</v>
      </c>
      <c r="AE103" s="114">
        <v>0</v>
      </c>
      <c r="AF103" s="114">
        <v>0</v>
      </c>
      <c r="AG103" s="114">
        <v>0</v>
      </c>
      <c r="AH103" s="114">
        <v>0</v>
      </c>
      <c r="AI103" s="114">
        <v>0</v>
      </c>
      <c r="AJ103" s="114">
        <v>0</v>
      </c>
      <c r="AK103" s="114">
        <v>0</v>
      </c>
      <c r="AL103" s="114">
        <v>0</v>
      </c>
      <c r="AM103" s="114">
        <v>0</v>
      </c>
      <c r="AN103" s="114">
        <v>0</v>
      </c>
      <c r="AO103" s="114">
        <v>0</v>
      </c>
      <c r="AP103" s="114">
        <v>0</v>
      </c>
      <c r="AQ103" s="114">
        <v>0</v>
      </c>
      <c r="AR103" s="114">
        <v>0</v>
      </c>
      <c r="AS103" s="114">
        <v>0</v>
      </c>
      <c r="AT103" s="114">
        <v>0</v>
      </c>
      <c r="AU103" s="114">
        <v>0</v>
      </c>
      <c r="AV103" s="114">
        <v>0</v>
      </c>
      <c r="AW103" s="114">
        <v>0</v>
      </c>
      <c r="AX103" s="114">
        <v>0</v>
      </c>
      <c r="AY103" s="114">
        <v>0</v>
      </c>
    </row>
    <row r="104" spans="1:52" x14ac:dyDescent="0.2">
      <c r="A104" s="117"/>
      <c r="B104" s="135">
        <v>5</v>
      </c>
      <c r="C104" s="114"/>
      <c r="D104" s="114">
        <v>0</v>
      </c>
      <c r="E104" s="114">
        <v>0</v>
      </c>
      <c r="F104" s="114">
        <v>0</v>
      </c>
      <c r="G104" s="114">
        <v>0</v>
      </c>
      <c r="H104" s="114">
        <v>0</v>
      </c>
      <c r="I104" s="114">
        <v>0</v>
      </c>
      <c r="J104" s="114">
        <v>0</v>
      </c>
      <c r="K104" s="114">
        <v>0</v>
      </c>
      <c r="L104" s="114">
        <v>0</v>
      </c>
      <c r="M104" s="114">
        <v>0</v>
      </c>
      <c r="N104" s="114">
        <v>0</v>
      </c>
      <c r="O104" s="114">
        <v>0</v>
      </c>
      <c r="P104" s="114">
        <v>0</v>
      </c>
      <c r="Q104" s="114">
        <v>0</v>
      </c>
      <c r="R104" s="114">
        <v>0</v>
      </c>
      <c r="S104" s="114">
        <v>0</v>
      </c>
      <c r="T104" s="114">
        <v>0</v>
      </c>
      <c r="U104" s="114">
        <v>0</v>
      </c>
      <c r="V104" s="114">
        <v>0</v>
      </c>
      <c r="W104" s="114">
        <v>0</v>
      </c>
      <c r="X104" s="114">
        <v>0</v>
      </c>
      <c r="Y104" s="114">
        <v>0</v>
      </c>
      <c r="Z104" s="114">
        <v>0</v>
      </c>
      <c r="AA104" s="114">
        <v>0</v>
      </c>
      <c r="AB104" s="114">
        <v>0</v>
      </c>
      <c r="AC104" s="114">
        <v>0</v>
      </c>
      <c r="AD104" s="114">
        <v>0</v>
      </c>
      <c r="AE104" s="114">
        <v>0</v>
      </c>
      <c r="AF104" s="114">
        <v>0</v>
      </c>
      <c r="AG104" s="114">
        <v>0</v>
      </c>
      <c r="AH104" s="114">
        <v>0</v>
      </c>
      <c r="AI104" s="114">
        <v>0</v>
      </c>
      <c r="AJ104" s="114">
        <v>0</v>
      </c>
      <c r="AK104" s="114">
        <v>0</v>
      </c>
      <c r="AL104" s="114">
        <v>0</v>
      </c>
      <c r="AM104" s="114">
        <v>0</v>
      </c>
      <c r="AN104" s="114">
        <v>0</v>
      </c>
      <c r="AO104" s="114">
        <v>0</v>
      </c>
      <c r="AP104" s="114">
        <v>0</v>
      </c>
      <c r="AQ104" s="114">
        <v>0</v>
      </c>
      <c r="AR104" s="114">
        <v>0</v>
      </c>
      <c r="AS104" s="114">
        <v>0</v>
      </c>
      <c r="AT104" s="114">
        <v>0</v>
      </c>
      <c r="AU104" s="114">
        <v>0</v>
      </c>
      <c r="AV104" s="114">
        <v>0</v>
      </c>
      <c r="AW104" s="114">
        <v>0</v>
      </c>
      <c r="AX104" s="114">
        <v>0</v>
      </c>
      <c r="AY104" s="114">
        <v>0</v>
      </c>
    </row>
    <row r="105" spans="1:52" x14ac:dyDescent="0.2">
      <c r="A105" s="117"/>
      <c r="B105" s="135">
        <v>6</v>
      </c>
      <c r="C105" s="114"/>
      <c r="D105" s="114">
        <v>0</v>
      </c>
      <c r="E105" s="114">
        <v>0</v>
      </c>
      <c r="F105" s="114">
        <v>0</v>
      </c>
      <c r="G105" s="114">
        <v>0</v>
      </c>
      <c r="H105" s="114">
        <v>0</v>
      </c>
      <c r="I105" s="114">
        <v>0</v>
      </c>
      <c r="J105" s="114">
        <v>0</v>
      </c>
      <c r="K105" s="114">
        <v>0</v>
      </c>
      <c r="L105" s="114">
        <v>0</v>
      </c>
      <c r="M105" s="114">
        <v>0</v>
      </c>
      <c r="N105" s="114">
        <v>0</v>
      </c>
      <c r="O105" s="114">
        <v>0</v>
      </c>
      <c r="P105" s="114">
        <v>0</v>
      </c>
      <c r="Q105" s="114">
        <v>0</v>
      </c>
      <c r="R105" s="114">
        <v>0</v>
      </c>
      <c r="S105" s="114">
        <v>0</v>
      </c>
      <c r="T105" s="114">
        <v>0</v>
      </c>
      <c r="U105" s="114">
        <v>0</v>
      </c>
      <c r="V105" s="114">
        <v>0</v>
      </c>
      <c r="W105" s="114">
        <v>0</v>
      </c>
      <c r="X105" s="114">
        <v>0</v>
      </c>
      <c r="Y105" s="114">
        <v>0</v>
      </c>
      <c r="Z105" s="114">
        <v>0</v>
      </c>
      <c r="AA105" s="114">
        <v>0</v>
      </c>
      <c r="AB105" s="114">
        <v>0</v>
      </c>
      <c r="AC105" s="114">
        <v>0</v>
      </c>
      <c r="AD105" s="114">
        <v>0</v>
      </c>
      <c r="AE105" s="114">
        <v>0</v>
      </c>
      <c r="AF105" s="114">
        <v>0</v>
      </c>
      <c r="AG105" s="114">
        <v>0</v>
      </c>
      <c r="AH105" s="114">
        <v>0</v>
      </c>
      <c r="AI105" s="114">
        <v>0</v>
      </c>
      <c r="AJ105" s="114">
        <v>0</v>
      </c>
      <c r="AK105" s="114">
        <v>0</v>
      </c>
      <c r="AL105" s="114">
        <v>0</v>
      </c>
      <c r="AM105" s="114">
        <v>0</v>
      </c>
      <c r="AN105" s="114">
        <v>0</v>
      </c>
      <c r="AO105" s="114">
        <v>0</v>
      </c>
      <c r="AP105" s="114">
        <v>0</v>
      </c>
      <c r="AQ105" s="114">
        <v>0</v>
      </c>
      <c r="AR105" s="114">
        <v>0</v>
      </c>
      <c r="AS105" s="114">
        <v>0</v>
      </c>
      <c r="AT105" s="114">
        <v>0</v>
      </c>
      <c r="AU105" s="114">
        <v>0</v>
      </c>
      <c r="AV105" s="114">
        <v>0</v>
      </c>
      <c r="AW105" s="114">
        <v>0</v>
      </c>
      <c r="AX105" s="114">
        <v>0</v>
      </c>
      <c r="AY105" s="114">
        <v>0</v>
      </c>
    </row>
    <row r="106" spans="1:52" x14ac:dyDescent="0.2">
      <c r="A106" s="117"/>
      <c r="B106" s="138">
        <v>7</v>
      </c>
      <c r="C106" s="114"/>
      <c r="D106" s="114">
        <v>0</v>
      </c>
      <c r="E106" s="114">
        <v>0</v>
      </c>
      <c r="F106" s="114">
        <v>0</v>
      </c>
      <c r="G106" s="114">
        <v>0</v>
      </c>
      <c r="H106" s="114">
        <v>0</v>
      </c>
      <c r="I106" s="114">
        <v>0</v>
      </c>
      <c r="J106" s="114">
        <v>0</v>
      </c>
      <c r="K106" s="114">
        <v>0</v>
      </c>
      <c r="L106" s="114">
        <v>0</v>
      </c>
      <c r="M106" s="114">
        <v>0</v>
      </c>
      <c r="N106" s="114">
        <v>0</v>
      </c>
      <c r="O106" s="114">
        <v>0</v>
      </c>
      <c r="P106" s="114">
        <v>0</v>
      </c>
      <c r="Q106" s="114">
        <v>0</v>
      </c>
      <c r="R106" s="114">
        <v>0</v>
      </c>
      <c r="S106" s="114">
        <v>0</v>
      </c>
      <c r="T106" s="114">
        <v>0</v>
      </c>
      <c r="U106" s="114">
        <v>0</v>
      </c>
      <c r="V106" s="114">
        <v>0</v>
      </c>
      <c r="W106" s="114">
        <v>0</v>
      </c>
      <c r="X106" s="114">
        <v>0</v>
      </c>
      <c r="Y106" s="114">
        <v>0</v>
      </c>
      <c r="Z106" s="114">
        <v>0</v>
      </c>
      <c r="AA106" s="114">
        <v>0</v>
      </c>
      <c r="AB106" s="114">
        <v>0</v>
      </c>
      <c r="AC106" s="114">
        <v>0</v>
      </c>
      <c r="AD106" s="114">
        <v>0</v>
      </c>
      <c r="AE106" s="114">
        <v>0</v>
      </c>
      <c r="AF106" s="114">
        <v>0</v>
      </c>
      <c r="AG106" s="114">
        <v>0</v>
      </c>
      <c r="AH106" s="114">
        <v>0</v>
      </c>
      <c r="AI106" s="114">
        <v>0</v>
      </c>
      <c r="AJ106" s="114">
        <v>0</v>
      </c>
      <c r="AK106" s="114">
        <v>0</v>
      </c>
      <c r="AL106" s="114">
        <v>0</v>
      </c>
      <c r="AM106" s="114">
        <v>0</v>
      </c>
      <c r="AN106" s="114">
        <v>0</v>
      </c>
      <c r="AO106" s="114">
        <v>0</v>
      </c>
      <c r="AP106" s="114">
        <v>0</v>
      </c>
      <c r="AQ106" s="114">
        <v>0</v>
      </c>
      <c r="AR106" s="114">
        <v>0</v>
      </c>
      <c r="AS106" s="114">
        <v>0</v>
      </c>
      <c r="AT106" s="114">
        <v>0</v>
      </c>
      <c r="AU106" s="114">
        <v>0</v>
      </c>
      <c r="AV106" s="114">
        <v>0</v>
      </c>
      <c r="AW106" s="114">
        <v>0</v>
      </c>
      <c r="AX106" s="114">
        <v>0</v>
      </c>
      <c r="AY106" s="114">
        <v>0</v>
      </c>
    </row>
    <row r="107" spans="1:52" x14ac:dyDescent="0.2">
      <c r="A107" s="117"/>
      <c r="B107" s="138">
        <v>8</v>
      </c>
      <c r="C107" s="114"/>
      <c r="D107" s="114">
        <v>0</v>
      </c>
      <c r="E107" s="114">
        <v>0</v>
      </c>
      <c r="F107" s="114">
        <v>0</v>
      </c>
      <c r="G107" s="114">
        <v>0</v>
      </c>
      <c r="H107" s="114">
        <v>0</v>
      </c>
      <c r="I107" s="114">
        <v>0</v>
      </c>
      <c r="J107" s="114">
        <v>0</v>
      </c>
      <c r="K107" s="114">
        <v>0</v>
      </c>
      <c r="L107" s="114">
        <v>0</v>
      </c>
      <c r="M107" s="114">
        <v>0</v>
      </c>
      <c r="N107" s="114">
        <v>0</v>
      </c>
      <c r="O107" s="114">
        <v>0</v>
      </c>
      <c r="P107" s="114">
        <v>0</v>
      </c>
      <c r="Q107" s="114">
        <v>0</v>
      </c>
      <c r="R107" s="114">
        <v>0</v>
      </c>
      <c r="S107" s="114">
        <v>0</v>
      </c>
      <c r="T107" s="114">
        <v>0</v>
      </c>
      <c r="U107" s="114">
        <v>0</v>
      </c>
      <c r="V107" s="114">
        <v>0</v>
      </c>
      <c r="W107" s="114">
        <v>0</v>
      </c>
      <c r="X107" s="114">
        <v>0</v>
      </c>
      <c r="Y107" s="114">
        <v>0</v>
      </c>
      <c r="Z107" s="114">
        <v>0</v>
      </c>
      <c r="AA107" s="114">
        <v>0</v>
      </c>
      <c r="AB107" s="114">
        <v>0</v>
      </c>
      <c r="AC107" s="114">
        <v>0</v>
      </c>
      <c r="AD107" s="114">
        <v>0</v>
      </c>
      <c r="AE107" s="114">
        <v>0</v>
      </c>
      <c r="AF107" s="114">
        <v>0</v>
      </c>
      <c r="AG107" s="114">
        <v>0</v>
      </c>
      <c r="AH107" s="114">
        <v>0</v>
      </c>
      <c r="AI107" s="114">
        <v>0</v>
      </c>
      <c r="AJ107" s="114">
        <v>0</v>
      </c>
      <c r="AK107" s="114">
        <v>0</v>
      </c>
      <c r="AL107" s="114">
        <v>0</v>
      </c>
      <c r="AM107" s="114">
        <v>0</v>
      </c>
      <c r="AN107" s="114">
        <v>0</v>
      </c>
      <c r="AO107" s="114">
        <v>0</v>
      </c>
      <c r="AP107" s="114">
        <v>0</v>
      </c>
      <c r="AQ107" s="114">
        <v>0</v>
      </c>
      <c r="AR107" s="114">
        <v>0</v>
      </c>
      <c r="AS107" s="114">
        <v>0</v>
      </c>
      <c r="AT107" s="114">
        <v>0</v>
      </c>
      <c r="AU107" s="114">
        <v>0</v>
      </c>
      <c r="AV107" s="114">
        <v>0</v>
      </c>
      <c r="AW107" s="114">
        <v>0</v>
      </c>
      <c r="AX107" s="114">
        <v>0</v>
      </c>
      <c r="AY107" s="114">
        <v>0</v>
      </c>
    </row>
    <row r="108" spans="1:52" x14ac:dyDescent="0.2">
      <c r="A108" s="136"/>
      <c r="B108" s="140" t="s">
        <v>295</v>
      </c>
      <c r="C108" s="122"/>
      <c r="D108" s="133">
        <v>0</v>
      </c>
      <c r="E108" s="133">
        <v>0</v>
      </c>
      <c r="F108" s="133">
        <v>0</v>
      </c>
      <c r="G108" s="133">
        <v>0</v>
      </c>
      <c r="H108" s="133">
        <v>0</v>
      </c>
      <c r="I108" s="133">
        <v>0</v>
      </c>
      <c r="J108" s="133">
        <v>0</v>
      </c>
      <c r="K108" s="133">
        <v>0</v>
      </c>
      <c r="L108" s="133">
        <v>0</v>
      </c>
      <c r="M108" s="133">
        <v>0</v>
      </c>
      <c r="N108" s="133">
        <v>0</v>
      </c>
      <c r="O108" s="133">
        <v>0</v>
      </c>
      <c r="P108" s="133">
        <v>0</v>
      </c>
      <c r="Q108" s="133">
        <v>0</v>
      </c>
      <c r="R108" s="133">
        <v>0</v>
      </c>
      <c r="S108" s="133">
        <v>0</v>
      </c>
      <c r="T108" s="133">
        <v>0</v>
      </c>
      <c r="U108" s="133">
        <v>0</v>
      </c>
      <c r="V108" s="133">
        <v>0</v>
      </c>
      <c r="W108" s="133">
        <v>0</v>
      </c>
      <c r="X108" s="133">
        <v>0</v>
      </c>
      <c r="Y108" s="133">
        <v>0</v>
      </c>
      <c r="Z108" s="133">
        <v>0</v>
      </c>
      <c r="AA108" s="133">
        <v>0</v>
      </c>
      <c r="AB108" s="133">
        <v>0</v>
      </c>
      <c r="AC108" s="133">
        <v>0</v>
      </c>
      <c r="AD108" s="133">
        <v>0</v>
      </c>
      <c r="AE108" s="133">
        <v>0</v>
      </c>
      <c r="AF108" s="133">
        <v>0</v>
      </c>
      <c r="AG108" s="133">
        <v>0</v>
      </c>
      <c r="AH108" s="133">
        <v>0</v>
      </c>
      <c r="AI108" s="133">
        <v>0</v>
      </c>
      <c r="AJ108" s="133">
        <v>0</v>
      </c>
      <c r="AK108" s="133">
        <v>0</v>
      </c>
      <c r="AL108" s="133">
        <v>0</v>
      </c>
      <c r="AM108" s="133">
        <v>0</v>
      </c>
      <c r="AN108" s="133">
        <v>0</v>
      </c>
      <c r="AO108" s="133">
        <v>0</v>
      </c>
      <c r="AP108" s="133">
        <v>0</v>
      </c>
      <c r="AQ108" s="133">
        <v>0</v>
      </c>
      <c r="AR108" s="133">
        <v>0</v>
      </c>
      <c r="AS108" s="133">
        <v>0</v>
      </c>
      <c r="AT108" s="133">
        <v>0</v>
      </c>
      <c r="AU108" s="133">
        <v>0</v>
      </c>
      <c r="AV108" s="133">
        <v>0</v>
      </c>
      <c r="AW108" s="133">
        <v>0</v>
      </c>
      <c r="AX108" s="133">
        <v>0</v>
      </c>
      <c r="AY108" s="133">
        <v>0</v>
      </c>
      <c r="AZ108" s="115">
        <f>SUM($D108:$AY108)</f>
        <v>0</v>
      </c>
    </row>
    <row r="109" spans="1:52" x14ac:dyDescent="0.2">
      <c r="A109" s="139" t="s">
        <v>134</v>
      </c>
      <c r="B109" s="127">
        <v>1</v>
      </c>
      <c r="C109" s="114"/>
      <c r="D109" s="114">
        <v>0</v>
      </c>
      <c r="E109" s="114">
        <v>0</v>
      </c>
      <c r="F109" s="114">
        <v>0</v>
      </c>
      <c r="G109" s="114">
        <v>333.3</v>
      </c>
      <c r="H109" s="114">
        <v>0</v>
      </c>
      <c r="I109" s="114">
        <v>499.95</v>
      </c>
      <c r="J109" s="114">
        <v>249.97499999999999</v>
      </c>
      <c r="K109" s="114">
        <v>0</v>
      </c>
      <c r="L109" s="114">
        <v>249.97499999999999</v>
      </c>
      <c r="M109" s="114">
        <v>166.65</v>
      </c>
      <c r="N109" s="114">
        <v>333.3</v>
      </c>
      <c r="O109" s="114">
        <v>73.817733474237372</v>
      </c>
      <c r="P109" s="114">
        <v>0</v>
      </c>
      <c r="Q109" s="114">
        <v>999.90000000000009</v>
      </c>
      <c r="R109" s="114">
        <v>503.64</v>
      </c>
      <c r="S109" s="114">
        <v>2.2737367544323207E-14</v>
      </c>
      <c r="T109" s="114">
        <v>0</v>
      </c>
      <c r="U109" s="114">
        <v>249.97499999999999</v>
      </c>
      <c r="V109" s="114">
        <v>499.95</v>
      </c>
      <c r="W109" s="114">
        <v>249.97499999999999</v>
      </c>
      <c r="X109" s="114">
        <v>499.95</v>
      </c>
      <c r="Y109" s="114">
        <v>181.61677321670129</v>
      </c>
      <c r="Z109" s="114">
        <v>166.65</v>
      </c>
      <c r="AA109" s="114">
        <v>0</v>
      </c>
      <c r="AB109" s="114">
        <v>333.3</v>
      </c>
      <c r="AC109" s="114">
        <v>0</v>
      </c>
      <c r="AD109" s="114">
        <v>333.3</v>
      </c>
      <c r="AE109" s="114">
        <v>333.3</v>
      </c>
      <c r="AF109" s="114">
        <v>0</v>
      </c>
      <c r="AG109" s="114">
        <v>499.95</v>
      </c>
      <c r="AH109" s="114">
        <v>681.36282719481551</v>
      </c>
      <c r="AI109" s="114">
        <v>436.72139637460526</v>
      </c>
      <c r="AJ109" s="114">
        <v>323.97614820811577</v>
      </c>
      <c r="AK109" s="114">
        <v>166.65000000000003</v>
      </c>
      <c r="AL109" s="114">
        <v>0</v>
      </c>
      <c r="AM109" s="114">
        <v>0</v>
      </c>
      <c r="AN109" s="114">
        <v>499.95000000000005</v>
      </c>
      <c r="AO109" s="114">
        <v>512.32000000000005</v>
      </c>
      <c r="AP109" s="114">
        <v>333.3</v>
      </c>
      <c r="AQ109" s="114">
        <v>666.6</v>
      </c>
      <c r="AR109" s="114">
        <v>333.3</v>
      </c>
      <c r="AS109" s="114">
        <v>0</v>
      </c>
      <c r="AT109" s="114">
        <v>249.97499999999999</v>
      </c>
      <c r="AU109" s="114">
        <v>499.95</v>
      </c>
      <c r="AV109" s="114">
        <v>0</v>
      </c>
      <c r="AW109" s="114">
        <v>187.4</v>
      </c>
      <c r="AX109" s="114">
        <v>175.12239060474016</v>
      </c>
      <c r="AY109" s="114">
        <v>166.65</v>
      </c>
    </row>
    <row r="110" spans="1:52" x14ac:dyDescent="0.2">
      <c r="A110" s="117"/>
      <c r="B110" s="127">
        <v>2</v>
      </c>
      <c r="C110" s="114"/>
      <c r="D110" s="114">
        <v>0</v>
      </c>
      <c r="E110" s="114">
        <v>0</v>
      </c>
      <c r="F110" s="114">
        <v>0</v>
      </c>
      <c r="G110" s="114">
        <v>0</v>
      </c>
      <c r="H110" s="114">
        <v>0</v>
      </c>
      <c r="I110" s="114">
        <v>0</v>
      </c>
      <c r="J110" s="114">
        <v>0</v>
      </c>
      <c r="K110" s="114">
        <v>0</v>
      </c>
      <c r="L110" s="114">
        <v>0</v>
      </c>
      <c r="M110" s="114">
        <v>0</v>
      </c>
      <c r="N110" s="114">
        <v>0</v>
      </c>
      <c r="O110" s="114">
        <v>0</v>
      </c>
      <c r="P110" s="114">
        <v>0</v>
      </c>
      <c r="Q110" s="114">
        <v>0</v>
      </c>
      <c r="R110" s="114">
        <v>0</v>
      </c>
      <c r="S110" s="114">
        <v>0</v>
      </c>
      <c r="T110" s="114">
        <v>0</v>
      </c>
      <c r="U110" s="114">
        <v>0</v>
      </c>
      <c r="V110" s="114">
        <v>0</v>
      </c>
      <c r="W110" s="114">
        <v>0</v>
      </c>
      <c r="X110" s="114">
        <v>0</v>
      </c>
      <c r="Y110" s="114">
        <v>0</v>
      </c>
      <c r="Z110" s="114">
        <v>0</v>
      </c>
      <c r="AA110" s="114">
        <v>0</v>
      </c>
      <c r="AB110" s="114">
        <v>0</v>
      </c>
      <c r="AC110" s="114">
        <v>0</v>
      </c>
      <c r="AD110" s="114">
        <v>0</v>
      </c>
      <c r="AE110" s="114">
        <v>0</v>
      </c>
      <c r="AF110" s="114">
        <v>0</v>
      </c>
      <c r="AG110" s="114">
        <v>0</v>
      </c>
      <c r="AH110" s="114">
        <v>0</v>
      </c>
      <c r="AI110" s="114">
        <v>0</v>
      </c>
      <c r="AJ110" s="114">
        <v>0</v>
      </c>
      <c r="AK110" s="114">
        <v>0</v>
      </c>
      <c r="AL110" s="114">
        <v>0</v>
      </c>
      <c r="AM110" s="114">
        <v>0</v>
      </c>
      <c r="AN110" s="114">
        <v>0</v>
      </c>
      <c r="AO110" s="114">
        <v>0</v>
      </c>
      <c r="AP110" s="114">
        <v>0</v>
      </c>
      <c r="AQ110" s="114">
        <v>0</v>
      </c>
      <c r="AR110" s="114">
        <v>0</v>
      </c>
      <c r="AS110" s="114">
        <v>0</v>
      </c>
      <c r="AT110" s="114">
        <v>0</v>
      </c>
      <c r="AU110" s="114">
        <v>0</v>
      </c>
      <c r="AV110" s="114">
        <v>0</v>
      </c>
      <c r="AW110" s="114">
        <v>0</v>
      </c>
      <c r="AX110" s="114">
        <v>0</v>
      </c>
      <c r="AY110" s="114">
        <v>0</v>
      </c>
    </row>
    <row r="111" spans="1:52" x14ac:dyDescent="0.2">
      <c r="A111" s="117"/>
      <c r="B111" s="127">
        <v>3</v>
      </c>
      <c r="C111" s="114"/>
      <c r="D111" s="114">
        <v>0</v>
      </c>
      <c r="E111" s="114">
        <v>0</v>
      </c>
      <c r="F111" s="114">
        <v>0</v>
      </c>
      <c r="G111" s="114">
        <v>0</v>
      </c>
      <c r="H111" s="114">
        <v>0</v>
      </c>
      <c r="I111" s="114">
        <v>0</v>
      </c>
      <c r="J111" s="114">
        <v>0</v>
      </c>
      <c r="K111" s="114">
        <v>0</v>
      </c>
      <c r="L111" s="114">
        <v>0</v>
      </c>
      <c r="M111" s="114">
        <v>0</v>
      </c>
      <c r="N111" s="114">
        <v>0</v>
      </c>
      <c r="O111" s="114">
        <v>0</v>
      </c>
      <c r="P111" s="114">
        <v>0</v>
      </c>
      <c r="Q111" s="114">
        <v>0</v>
      </c>
      <c r="R111" s="114">
        <v>0</v>
      </c>
      <c r="S111" s="114">
        <v>0</v>
      </c>
      <c r="T111" s="114">
        <v>0</v>
      </c>
      <c r="U111" s="114">
        <v>0</v>
      </c>
      <c r="V111" s="114">
        <v>0</v>
      </c>
      <c r="W111" s="114">
        <v>0</v>
      </c>
      <c r="X111" s="114">
        <v>0</v>
      </c>
      <c r="Y111" s="114">
        <v>0</v>
      </c>
      <c r="Z111" s="114">
        <v>0</v>
      </c>
      <c r="AA111" s="114">
        <v>0</v>
      </c>
      <c r="AB111" s="114">
        <v>0</v>
      </c>
      <c r="AC111" s="114">
        <v>0</v>
      </c>
      <c r="AD111" s="114">
        <v>0</v>
      </c>
      <c r="AE111" s="114">
        <v>0</v>
      </c>
      <c r="AF111" s="114">
        <v>0</v>
      </c>
      <c r="AG111" s="114">
        <v>0</v>
      </c>
      <c r="AH111" s="114">
        <v>0</v>
      </c>
      <c r="AI111" s="114">
        <v>0</v>
      </c>
      <c r="AJ111" s="114">
        <v>0</v>
      </c>
      <c r="AK111" s="114">
        <v>0</v>
      </c>
      <c r="AL111" s="114">
        <v>0</v>
      </c>
      <c r="AM111" s="114">
        <v>0</v>
      </c>
      <c r="AN111" s="114">
        <v>0</v>
      </c>
      <c r="AO111" s="114">
        <v>0</v>
      </c>
      <c r="AP111" s="114">
        <v>0</v>
      </c>
      <c r="AQ111" s="114">
        <v>0</v>
      </c>
      <c r="AR111" s="114">
        <v>0</v>
      </c>
      <c r="AS111" s="114">
        <v>0</v>
      </c>
      <c r="AT111" s="114">
        <v>0</v>
      </c>
      <c r="AU111" s="114">
        <v>0</v>
      </c>
      <c r="AV111" s="114">
        <v>0</v>
      </c>
      <c r="AW111" s="114">
        <v>0</v>
      </c>
      <c r="AX111" s="114">
        <v>0</v>
      </c>
      <c r="AY111" s="114">
        <v>0</v>
      </c>
    </row>
    <row r="112" spans="1:52" x14ac:dyDescent="0.2">
      <c r="A112" s="117"/>
      <c r="B112" s="128">
        <v>4</v>
      </c>
      <c r="C112" s="114"/>
      <c r="D112" s="114">
        <v>0</v>
      </c>
      <c r="E112" s="114">
        <v>0</v>
      </c>
      <c r="F112" s="114">
        <v>0</v>
      </c>
      <c r="G112" s="114">
        <v>0</v>
      </c>
      <c r="H112" s="114">
        <v>0</v>
      </c>
      <c r="I112" s="114">
        <v>0</v>
      </c>
      <c r="J112" s="114">
        <v>0</v>
      </c>
      <c r="K112" s="114">
        <v>0</v>
      </c>
      <c r="L112" s="114">
        <v>0</v>
      </c>
      <c r="M112" s="114">
        <v>0</v>
      </c>
      <c r="N112" s="114">
        <v>0</v>
      </c>
      <c r="O112" s="114">
        <v>0</v>
      </c>
      <c r="P112" s="114">
        <v>0</v>
      </c>
      <c r="Q112" s="114">
        <v>0</v>
      </c>
      <c r="R112" s="114">
        <v>0</v>
      </c>
      <c r="S112" s="114">
        <v>0</v>
      </c>
      <c r="T112" s="114">
        <v>0</v>
      </c>
      <c r="U112" s="114">
        <v>0</v>
      </c>
      <c r="V112" s="114">
        <v>0</v>
      </c>
      <c r="W112" s="114">
        <v>0</v>
      </c>
      <c r="X112" s="114">
        <v>0</v>
      </c>
      <c r="Y112" s="114">
        <v>0</v>
      </c>
      <c r="Z112" s="114">
        <v>0</v>
      </c>
      <c r="AA112" s="114">
        <v>0</v>
      </c>
      <c r="AB112" s="114">
        <v>0</v>
      </c>
      <c r="AC112" s="114">
        <v>0</v>
      </c>
      <c r="AD112" s="114">
        <v>0</v>
      </c>
      <c r="AE112" s="114">
        <v>0</v>
      </c>
      <c r="AF112" s="114">
        <v>0</v>
      </c>
      <c r="AG112" s="114">
        <v>0</v>
      </c>
      <c r="AH112" s="114">
        <v>0</v>
      </c>
      <c r="AI112" s="114">
        <v>0</v>
      </c>
      <c r="AJ112" s="114">
        <v>0</v>
      </c>
      <c r="AK112" s="114">
        <v>0</v>
      </c>
      <c r="AL112" s="114">
        <v>0</v>
      </c>
      <c r="AM112" s="114">
        <v>0</v>
      </c>
      <c r="AN112" s="114">
        <v>0</v>
      </c>
      <c r="AO112" s="114">
        <v>0</v>
      </c>
      <c r="AP112" s="114">
        <v>0</v>
      </c>
      <c r="AQ112" s="114">
        <v>0</v>
      </c>
      <c r="AR112" s="114">
        <v>0</v>
      </c>
      <c r="AS112" s="114">
        <v>0</v>
      </c>
      <c r="AT112" s="114">
        <v>0</v>
      </c>
      <c r="AU112" s="114">
        <v>0</v>
      </c>
      <c r="AV112" s="114">
        <v>0</v>
      </c>
      <c r="AW112" s="114">
        <v>0</v>
      </c>
      <c r="AX112" s="114">
        <v>0</v>
      </c>
      <c r="AY112" s="114">
        <v>0</v>
      </c>
    </row>
    <row r="113" spans="1:52" x14ac:dyDescent="0.2">
      <c r="A113" s="117"/>
      <c r="B113" s="128">
        <v>5</v>
      </c>
      <c r="C113" s="114"/>
      <c r="D113" s="114">
        <v>0</v>
      </c>
      <c r="E113" s="114">
        <v>0</v>
      </c>
      <c r="F113" s="114">
        <v>0</v>
      </c>
      <c r="G113" s="114">
        <v>0</v>
      </c>
      <c r="H113" s="114">
        <v>0</v>
      </c>
      <c r="I113" s="114">
        <v>0</v>
      </c>
      <c r="J113" s="114">
        <v>0</v>
      </c>
      <c r="K113" s="114">
        <v>0</v>
      </c>
      <c r="L113" s="114">
        <v>0</v>
      </c>
      <c r="M113" s="114">
        <v>0</v>
      </c>
      <c r="N113" s="114">
        <v>0</v>
      </c>
      <c r="O113" s="114">
        <v>0</v>
      </c>
      <c r="P113" s="114">
        <v>0</v>
      </c>
      <c r="Q113" s="114">
        <v>0</v>
      </c>
      <c r="R113" s="114">
        <v>0</v>
      </c>
      <c r="S113" s="114">
        <v>0</v>
      </c>
      <c r="T113" s="114">
        <v>0</v>
      </c>
      <c r="U113" s="114">
        <v>0</v>
      </c>
      <c r="V113" s="114">
        <v>0</v>
      </c>
      <c r="W113" s="114">
        <v>0</v>
      </c>
      <c r="X113" s="114">
        <v>0</v>
      </c>
      <c r="Y113" s="114">
        <v>0</v>
      </c>
      <c r="Z113" s="114">
        <v>0</v>
      </c>
      <c r="AA113" s="114">
        <v>0</v>
      </c>
      <c r="AB113" s="114">
        <v>0</v>
      </c>
      <c r="AC113" s="114">
        <v>0</v>
      </c>
      <c r="AD113" s="114">
        <v>0</v>
      </c>
      <c r="AE113" s="114">
        <v>0</v>
      </c>
      <c r="AF113" s="114">
        <v>0</v>
      </c>
      <c r="AG113" s="114">
        <v>0</v>
      </c>
      <c r="AH113" s="114">
        <v>0</v>
      </c>
      <c r="AI113" s="114">
        <v>0</v>
      </c>
      <c r="AJ113" s="114">
        <v>0</v>
      </c>
      <c r="AK113" s="114">
        <v>0</v>
      </c>
      <c r="AL113" s="114">
        <v>0</v>
      </c>
      <c r="AM113" s="114">
        <v>0</v>
      </c>
      <c r="AN113" s="114">
        <v>0</v>
      </c>
      <c r="AO113" s="114">
        <v>0</v>
      </c>
      <c r="AP113" s="114">
        <v>0</v>
      </c>
      <c r="AQ113" s="114">
        <v>0</v>
      </c>
      <c r="AR113" s="114">
        <v>0</v>
      </c>
      <c r="AS113" s="114">
        <v>0</v>
      </c>
      <c r="AT113" s="114">
        <v>0</v>
      </c>
      <c r="AU113" s="114">
        <v>0</v>
      </c>
      <c r="AV113" s="114">
        <v>0</v>
      </c>
      <c r="AW113" s="114">
        <v>0</v>
      </c>
      <c r="AX113" s="114">
        <v>0</v>
      </c>
      <c r="AY113" s="114">
        <v>0</v>
      </c>
    </row>
    <row r="114" spans="1:52" x14ac:dyDescent="0.2">
      <c r="A114" s="117"/>
      <c r="B114" s="128">
        <v>6</v>
      </c>
      <c r="C114" s="114"/>
      <c r="D114" s="114">
        <v>0</v>
      </c>
      <c r="E114" s="114">
        <v>0</v>
      </c>
      <c r="F114" s="114">
        <v>0</v>
      </c>
      <c r="G114" s="114">
        <v>0</v>
      </c>
      <c r="H114" s="114">
        <v>0</v>
      </c>
      <c r="I114" s="114">
        <v>0</v>
      </c>
      <c r="J114" s="114">
        <v>0</v>
      </c>
      <c r="K114" s="114">
        <v>0</v>
      </c>
      <c r="L114" s="114">
        <v>0</v>
      </c>
      <c r="M114" s="114">
        <v>0</v>
      </c>
      <c r="N114" s="114">
        <v>0</v>
      </c>
      <c r="O114" s="114">
        <v>0</v>
      </c>
      <c r="P114" s="114">
        <v>0</v>
      </c>
      <c r="Q114" s="114">
        <v>0</v>
      </c>
      <c r="R114" s="114">
        <v>0</v>
      </c>
      <c r="S114" s="114">
        <v>0</v>
      </c>
      <c r="T114" s="114">
        <v>0</v>
      </c>
      <c r="U114" s="114">
        <v>0</v>
      </c>
      <c r="V114" s="114">
        <v>0</v>
      </c>
      <c r="W114" s="114">
        <v>0</v>
      </c>
      <c r="X114" s="114">
        <v>0</v>
      </c>
      <c r="Y114" s="114">
        <v>0</v>
      </c>
      <c r="Z114" s="114">
        <v>0</v>
      </c>
      <c r="AA114" s="114">
        <v>0</v>
      </c>
      <c r="AB114" s="114">
        <v>0</v>
      </c>
      <c r="AC114" s="114">
        <v>0</v>
      </c>
      <c r="AD114" s="114">
        <v>0</v>
      </c>
      <c r="AE114" s="114">
        <v>0</v>
      </c>
      <c r="AF114" s="114">
        <v>0</v>
      </c>
      <c r="AG114" s="114">
        <v>0</v>
      </c>
      <c r="AH114" s="114">
        <v>0</v>
      </c>
      <c r="AI114" s="114">
        <v>0</v>
      </c>
      <c r="AJ114" s="114">
        <v>0</v>
      </c>
      <c r="AK114" s="114">
        <v>0</v>
      </c>
      <c r="AL114" s="114">
        <v>0</v>
      </c>
      <c r="AM114" s="114">
        <v>0</v>
      </c>
      <c r="AN114" s="114">
        <v>0</v>
      </c>
      <c r="AO114" s="114">
        <v>0</v>
      </c>
      <c r="AP114" s="114">
        <v>0</v>
      </c>
      <c r="AQ114" s="114">
        <v>0</v>
      </c>
      <c r="AR114" s="114">
        <v>0</v>
      </c>
      <c r="AS114" s="114">
        <v>0</v>
      </c>
      <c r="AT114" s="114">
        <v>0</v>
      </c>
      <c r="AU114" s="114">
        <v>0</v>
      </c>
      <c r="AV114" s="114">
        <v>0</v>
      </c>
      <c r="AW114" s="114">
        <v>0</v>
      </c>
      <c r="AX114" s="114">
        <v>0</v>
      </c>
      <c r="AY114" s="114">
        <v>0</v>
      </c>
    </row>
    <row r="115" spans="1:52" x14ac:dyDescent="0.2">
      <c r="A115" s="117"/>
      <c r="B115" s="135">
        <v>7</v>
      </c>
      <c r="C115" s="114"/>
      <c r="D115" s="114">
        <v>0</v>
      </c>
      <c r="E115" s="114">
        <v>0</v>
      </c>
      <c r="F115" s="114">
        <v>0</v>
      </c>
      <c r="G115" s="114">
        <v>0</v>
      </c>
      <c r="H115" s="114">
        <v>0</v>
      </c>
      <c r="I115" s="114">
        <v>0</v>
      </c>
      <c r="J115" s="114">
        <v>0</v>
      </c>
      <c r="K115" s="114">
        <v>0</v>
      </c>
      <c r="L115" s="114">
        <v>0</v>
      </c>
      <c r="M115" s="114">
        <v>0</v>
      </c>
      <c r="N115" s="114">
        <v>0</v>
      </c>
      <c r="O115" s="114">
        <v>0</v>
      </c>
      <c r="P115" s="114">
        <v>0</v>
      </c>
      <c r="Q115" s="114">
        <v>0</v>
      </c>
      <c r="R115" s="114">
        <v>0</v>
      </c>
      <c r="S115" s="114">
        <v>0</v>
      </c>
      <c r="T115" s="114">
        <v>0</v>
      </c>
      <c r="U115" s="114">
        <v>0</v>
      </c>
      <c r="V115" s="114">
        <v>0</v>
      </c>
      <c r="W115" s="114">
        <v>0</v>
      </c>
      <c r="X115" s="114">
        <v>0</v>
      </c>
      <c r="Y115" s="114">
        <v>0</v>
      </c>
      <c r="Z115" s="114">
        <v>0</v>
      </c>
      <c r="AA115" s="114">
        <v>0</v>
      </c>
      <c r="AB115" s="114">
        <v>0</v>
      </c>
      <c r="AC115" s="114">
        <v>0</v>
      </c>
      <c r="AD115" s="114">
        <v>0</v>
      </c>
      <c r="AE115" s="114">
        <v>0</v>
      </c>
      <c r="AF115" s="114">
        <v>0</v>
      </c>
      <c r="AG115" s="114">
        <v>0</v>
      </c>
      <c r="AH115" s="114">
        <v>0</v>
      </c>
      <c r="AI115" s="114">
        <v>0</v>
      </c>
      <c r="AJ115" s="114">
        <v>0</v>
      </c>
      <c r="AK115" s="114">
        <v>0</v>
      </c>
      <c r="AL115" s="114">
        <v>0</v>
      </c>
      <c r="AM115" s="114">
        <v>0</v>
      </c>
      <c r="AN115" s="114">
        <v>0</v>
      </c>
      <c r="AO115" s="114">
        <v>0</v>
      </c>
      <c r="AP115" s="114">
        <v>0</v>
      </c>
      <c r="AQ115" s="114">
        <v>0</v>
      </c>
      <c r="AR115" s="114">
        <v>0</v>
      </c>
      <c r="AS115" s="114">
        <v>0</v>
      </c>
      <c r="AT115" s="114">
        <v>0</v>
      </c>
      <c r="AU115" s="114">
        <v>0</v>
      </c>
      <c r="AV115" s="114">
        <v>0</v>
      </c>
      <c r="AW115" s="114">
        <v>0</v>
      </c>
      <c r="AX115" s="114">
        <v>0</v>
      </c>
      <c r="AY115" s="114">
        <v>0</v>
      </c>
    </row>
    <row r="116" spans="1:52" x14ac:dyDescent="0.2">
      <c r="A116" s="117"/>
      <c r="B116" s="135">
        <v>8</v>
      </c>
      <c r="C116" s="114"/>
      <c r="D116" s="114">
        <v>0</v>
      </c>
      <c r="E116" s="114">
        <v>0</v>
      </c>
      <c r="F116" s="114">
        <v>0</v>
      </c>
      <c r="G116" s="114">
        <v>0</v>
      </c>
      <c r="H116" s="114">
        <v>0</v>
      </c>
      <c r="I116" s="114">
        <v>0</v>
      </c>
      <c r="J116" s="114">
        <v>0</v>
      </c>
      <c r="K116" s="114">
        <v>0</v>
      </c>
      <c r="L116" s="114">
        <v>0</v>
      </c>
      <c r="M116" s="114">
        <v>0</v>
      </c>
      <c r="N116" s="114">
        <v>0</v>
      </c>
      <c r="O116" s="114">
        <v>0</v>
      </c>
      <c r="P116" s="114">
        <v>0</v>
      </c>
      <c r="Q116" s="114">
        <v>0</v>
      </c>
      <c r="R116" s="114">
        <v>0</v>
      </c>
      <c r="S116" s="114">
        <v>0</v>
      </c>
      <c r="T116" s="114">
        <v>0</v>
      </c>
      <c r="U116" s="114">
        <v>0</v>
      </c>
      <c r="V116" s="114">
        <v>0</v>
      </c>
      <c r="W116" s="114">
        <v>0</v>
      </c>
      <c r="X116" s="114">
        <v>0</v>
      </c>
      <c r="Y116" s="114">
        <v>0</v>
      </c>
      <c r="Z116" s="114">
        <v>0</v>
      </c>
      <c r="AA116" s="114">
        <v>0</v>
      </c>
      <c r="AB116" s="114">
        <v>0</v>
      </c>
      <c r="AC116" s="114">
        <v>0</v>
      </c>
      <c r="AD116" s="114">
        <v>0</v>
      </c>
      <c r="AE116" s="114">
        <v>0</v>
      </c>
      <c r="AF116" s="114">
        <v>0</v>
      </c>
      <c r="AG116" s="114">
        <v>0</v>
      </c>
      <c r="AH116" s="114">
        <v>0</v>
      </c>
      <c r="AI116" s="114">
        <v>0</v>
      </c>
      <c r="AJ116" s="114">
        <v>0</v>
      </c>
      <c r="AK116" s="114">
        <v>0</v>
      </c>
      <c r="AL116" s="114">
        <v>0</v>
      </c>
      <c r="AM116" s="114">
        <v>0</v>
      </c>
      <c r="AN116" s="114">
        <v>0</v>
      </c>
      <c r="AO116" s="114">
        <v>0</v>
      </c>
      <c r="AP116" s="114">
        <v>0</v>
      </c>
      <c r="AQ116" s="114">
        <v>0</v>
      </c>
      <c r="AR116" s="114">
        <v>0</v>
      </c>
      <c r="AS116" s="114">
        <v>0</v>
      </c>
      <c r="AT116" s="114">
        <v>0</v>
      </c>
      <c r="AU116" s="114">
        <v>0</v>
      </c>
      <c r="AV116" s="114">
        <v>0</v>
      </c>
      <c r="AW116" s="114">
        <v>0</v>
      </c>
      <c r="AX116" s="114">
        <v>0</v>
      </c>
      <c r="AY116" s="114">
        <v>0</v>
      </c>
    </row>
    <row r="117" spans="1:52" x14ac:dyDescent="0.2">
      <c r="A117" s="117"/>
      <c r="B117" s="135">
        <v>9</v>
      </c>
      <c r="C117" s="114"/>
      <c r="D117" s="114">
        <v>0</v>
      </c>
      <c r="E117" s="114">
        <v>0</v>
      </c>
      <c r="F117" s="114">
        <v>0</v>
      </c>
      <c r="G117" s="114">
        <v>0</v>
      </c>
      <c r="H117" s="114">
        <v>0</v>
      </c>
      <c r="I117" s="114">
        <v>0</v>
      </c>
      <c r="J117" s="114">
        <v>0</v>
      </c>
      <c r="K117" s="114">
        <v>0</v>
      </c>
      <c r="L117" s="114">
        <v>0</v>
      </c>
      <c r="M117" s="114">
        <v>0</v>
      </c>
      <c r="N117" s="114">
        <v>0</v>
      </c>
      <c r="O117" s="114">
        <v>0</v>
      </c>
      <c r="P117" s="114">
        <v>0</v>
      </c>
      <c r="Q117" s="114">
        <v>0</v>
      </c>
      <c r="R117" s="114">
        <v>0</v>
      </c>
      <c r="S117" s="114">
        <v>0</v>
      </c>
      <c r="T117" s="114">
        <v>0</v>
      </c>
      <c r="U117" s="114">
        <v>0</v>
      </c>
      <c r="V117" s="114">
        <v>0</v>
      </c>
      <c r="W117" s="114">
        <v>0</v>
      </c>
      <c r="X117" s="114">
        <v>0</v>
      </c>
      <c r="Y117" s="114">
        <v>0</v>
      </c>
      <c r="Z117" s="114">
        <v>0</v>
      </c>
      <c r="AA117" s="114">
        <v>0</v>
      </c>
      <c r="AB117" s="114">
        <v>0</v>
      </c>
      <c r="AC117" s="114">
        <v>0</v>
      </c>
      <c r="AD117" s="114">
        <v>0</v>
      </c>
      <c r="AE117" s="114">
        <v>0</v>
      </c>
      <c r="AF117" s="114">
        <v>0</v>
      </c>
      <c r="AG117" s="114">
        <v>0</v>
      </c>
      <c r="AH117" s="114">
        <v>0</v>
      </c>
      <c r="AI117" s="114">
        <v>0</v>
      </c>
      <c r="AJ117" s="114">
        <v>0</v>
      </c>
      <c r="AK117" s="114">
        <v>0</v>
      </c>
      <c r="AL117" s="114">
        <v>0</v>
      </c>
      <c r="AM117" s="114">
        <v>0</v>
      </c>
      <c r="AN117" s="114">
        <v>0</v>
      </c>
      <c r="AO117" s="114">
        <v>0</v>
      </c>
      <c r="AP117" s="114">
        <v>0</v>
      </c>
      <c r="AQ117" s="114">
        <v>0</v>
      </c>
      <c r="AR117" s="114">
        <v>0</v>
      </c>
      <c r="AS117" s="114">
        <v>0</v>
      </c>
      <c r="AT117" s="114">
        <v>0</v>
      </c>
      <c r="AU117" s="114">
        <v>0</v>
      </c>
      <c r="AV117" s="114">
        <v>0</v>
      </c>
      <c r="AW117" s="114">
        <v>0</v>
      </c>
      <c r="AX117" s="114">
        <v>0</v>
      </c>
      <c r="AY117" s="114">
        <v>0</v>
      </c>
    </row>
    <row r="118" spans="1:52" x14ac:dyDescent="0.2">
      <c r="A118" s="117"/>
      <c r="B118" s="138">
        <v>10</v>
      </c>
      <c r="C118" s="114"/>
      <c r="D118" s="114">
        <v>0</v>
      </c>
      <c r="E118" s="114">
        <v>0</v>
      </c>
      <c r="F118" s="114">
        <v>0</v>
      </c>
      <c r="G118" s="114">
        <v>0</v>
      </c>
      <c r="H118" s="114">
        <v>0</v>
      </c>
      <c r="I118" s="114">
        <v>0</v>
      </c>
      <c r="J118" s="114">
        <v>0</v>
      </c>
      <c r="K118" s="114">
        <v>0</v>
      </c>
      <c r="L118" s="114">
        <v>0</v>
      </c>
      <c r="M118" s="114">
        <v>0</v>
      </c>
      <c r="N118" s="114">
        <v>0</v>
      </c>
      <c r="O118" s="114">
        <v>0</v>
      </c>
      <c r="P118" s="114">
        <v>0</v>
      </c>
      <c r="Q118" s="114">
        <v>0</v>
      </c>
      <c r="R118" s="114">
        <v>0</v>
      </c>
      <c r="S118" s="114">
        <v>0</v>
      </c>
      <c r="T118" s="114">
        <v>0</v>
      </c>
      <c r="U118" s="114">
        <v>0</v>
      </c>
      <c r="V118" s="114">
        <v>0</v>
      </c>
      <c r="W118" s="114">
        <v>0</v>
      </c>
      <c r="X118" s="114">
        <v>0</v>
      </c>
      <c r="Y118" s="114">
        <v>0</v>
      </c>
      <c r="Z118" s="114">
        <v>0</v>
      </c>
      <c r="AA118" s="114">
        <v>0</v>
      </c>
      <c r="AB118" s="114">
        <v>0</v>
      </c>
      <c r="AC118" s="114">
        <v>0</v>
      </c>
      <c r="AD118" s="114">
        <v>0</v>
      </c>
      <c r="AE118" s="114">
        <v>0</v>
      </c>
      <c r="AF118" s="114">
        <v>0</v>
      </c>
      <c r="AG118" s="114">
        <v>0</v>
      </c>
      <c r="AH118" s="114">
        <v>0</v>
      </c>
      <c r="AI118" s="114">
        <v>0</v>
      </c>
      <c r="AJ118" s="114">
        <v>0</v>
      </c>
      <c r="AK118" s="114">
        <v>0</v>
      </c>
      <c r="AL118" s="114">
        <v>0</v>
      </c>
      <c r="AM118" s="114">
        <v>0</v>
      </c>
      <c r="AN118" s="114">
        <v>0</v>
      </c>
      <c r="AO118" s="114">
        <v>0</v>
      </c>
      <c r="AP118" s="114">
        <v>0</v>
      </c>
      <c r="AQ118" s="114">
        <v>0</v>
      </c>
      <c r="AR118" s="114">
        <v>0</v>
      </c>
      <c r="AS118" s="114">
        <v>0</v>
      </c>
      <c r="AT118" s="114">
        <v>0</v>
      </c>
      <c r="AU118" s="114">
        <v>0</v>
      </c>
      <c r="AV118" s="114">
        <v>0</v>
      </c>
      <c r="AW118" s="114">
        <v>0</v>
      </c>
      <c r="AX118" s="114">
        <v>0</v>
      </c>
      <c r="AY118" s="114">
        <v>0</v>
      </c>
    </row>
    <row r="119" spans="1:52" x14ac:dyDescent="0.2">
      <c r="A119" s="117"/>
      <c r="B119" s="138">
        <v>11</v>
      </c>
      <c r="C119" s="114"/>
      <c r="D119" s="114">
        <v>0</v>
      </c>
      <c r="E119" s="114">
        <v>0</v>
      </c>
      <c r="F119" s="114">
        <v>0</v>
      </c>
      <c r="G119" s="114">
        <v>0</v>
      </c>
      <c r="H119" s="114">
        <v>0</v>
      </c>
      <c r="I119" s="114">
        <v>0</v>
      </c>
      <c r="J119" s="114">
        <v>0</v>
      </c>
      <c r="K119" s="114">
        <v>0</v>
      </c>
      <c r="L119" s="114">
        <v>0</v>
      </c>
      <c r="M119" s="114">
        <v>0</v>
      </c>
      <c r="N119" s="114">
        <v>0</v>
      </c>
      <c r="O119" s="114">
        <v>0</v>
      </c>
      <c r="P119" s="114">
        <v>0</v>
      </c>
      <c r="Q119" s="114">
        <v>0</v>
      </c>
      <c r="R119" s="114">
        <v>0</v>
      </c>
      <c r="S119" s="114">
        <v>0</v>
      </c>
      <c r="T119" s="114">
        <v>0</v>
      </c>
      <c r="U119" s="114">
        <v>0</v>
      </c>
      <c r="V119" s="114">
        <v>0</v>
      </c>
      <c r="W119" s="114">
        <v>0</v>
      </c>
      <c r="X119" s="114">
        <v>0</v>
      </c>
      <c r="Y119" s="114">
        <v>0</v>
      </c>
      <c r="Z119" s="114">
        <v>0</v>
      </c>
      <c r="AA119" s="114">
        <v>0</v>
      </c>
      <c r="AB119" s="114">
        <v>0</v>
      </c>
      <c r="AC119" s="114">
        <v>0</v>
      </c>
      <c r="AD119" s="114">
        <v>0</v>
      </c>
      <c r="AE119" s="114">
        <v>0</v>
      </c>
      <c r="AF119" s="114">
        <v>0</v>
      </c>
      <c r="AG119" s="114">
        <v>0</v>
      </c>
      <c r="AH119" s="114">
        <v>0</v>
      </c>
      <c r="AI119" s="114">
        <v>0</v>
      </c>
      <c r="AJ119" s="114">
        <v>0</v>
      </c>
      <c r="AK119" s="114">
        <v>0</v>
      </c>
      <c r="AL119" s="114">
        <v>0</v>
      </c>
      <c r="AM119" s="114">
        <v>0</v>
      </c>
      <c r="AN119" s="114">
        <v>0</v>
      </c>
      <c r="AO119" s="114">
        <v>0</v>
      </c>
      <c r="AP119" s="114">
        <v>0</v>
      </c>
      <c r="AQ119" s="114">
        <v>0</v>
      </c>
      <c r="AR119" s="114">
        <v>0</v>
      </c>
      <c r="AS119" s="114">
        <v>0</v>
      </c>
      <c r="AT119" s="114">
        <v>0</v>
      </c>
      <c r="AU119" s="114">
        <v>0</v>
      </c>
      <c r="AV119" s="114">
        <v>0</v>
      </c>
      <c r="AW119" s="114">
        <v>0</v>
      </c>
      <c r="AX119" s="114">
        <v>0</v>
      </c>
      <c r="AY119" s="114">
        <v>0</v>
      </c>
    </row>
    <row r="120" spans="1:52" x14ac:dyDescent="0.2">
      <c r="A120" s="117"/>
      <c r="B120" s="138">
        <v>12</v>
      </c>
      <c r="C120" s="114"/>
      <c r="D120" s="114">
        <v>0</v>
      </c>
      <c r="E120" s="114">
        <v>0</v>
      </c>
      <c r="F120" s="114">
        <v>0</v>
      </c>
      <c r="G120" s="114">
        <v>0</v>
      </c>
      <c r="H120" s="114">
        <v>0</v>
      </c>
      <c r="I120" s="114">
        <v>0</v>
      </c>
      <c r="J120" s="114">
        <v>0</v>
      </c>
      <c r="K120" s="114">
        <v>0</v>
      </c>
      <c r="L120" s="114">
        <v>0</v>
      </c>
      <c r="M120" s="114">
        <v>0</v>
      </c>
      <c r="N120" s="114">
        <v>0</v>
      </c>
      <c r="O120" s="114">
        <v>0</v>
      </c>
      <c r="P120" s="114">
        <v>0</v>
      </c>
      <c r="Q120" s="114">
        <v>0</v>
      </c>
      <c r="R120" s="114">
        <v>0</v>
      </c>
      <c r="S120" s="114">
        <v>0</v>
      </c>
      <c r="T120" s="114">
        <v>0</v>
      </c>
      <c r="U120" s="114">
        <v>0</v>
      </c>
      <c r="V120" s="114">
        <v>0</v>
      </c>
      <c r="W120" s="114">
        <v>0</v>
      </c>
      <c r="X120" s="114">
        <v>0</v>
      </c>
      <c r="Y120" s="114">
        <v>0</v>
      </c>
      <c r="Z120" s="114">
        <v>0</v>
      </c>
      <c r="AA120" s="114">
        <v>0</v>
      </c>
      <c r="AB120" s="114">
        <v>0</v>
      </c>
      <c r="AC120" s="114">
        <v>0</v>
      </c>
      <c r="AD120" s="114">
        <v>0</v>
      </c>
      <c r="AE120" s="114">
        <v>0</v>
      </c>
      <c r="AF120" s="114">
        <v>0</v>
      </c>
      <c r="AG120" s="114">
        <v>0</v>
      </c>
      <c r="AH120" s="114">
        <v>0</v>
      </c>
      <c r="AI120" s="114">
        <v>0</v>
      </c>
      <c r="AJ120" s="114">
        <v>0</v>
      </c>
      <c r="AK120" s="114">
        <v>0</v>
      </c>
      <c r="AL120" s="114">
        <v>0</v>
      </c>
      <c r="AM120" s="114">
        <v>0</v>
      </c>
      <c r="AN120" s="114">
        <v>0</v>
      </c>
      <c r="AO120" s="114">
        <v>0</v>
      </c>
      <c r="AP120" s="114">
        <v>0</v>
      </c>
      <c r="AQ120" s="114">
        <v>0</v>
      </c>
      <c r="AR120" s="114">
        <v>0</v>
      </c>
      <c r="AS120" s="114">
        <v>0</v>
      </c>
      <c r="AT120" s="114">
        <v>0</v>
      </c>
      <c r="AU120" s="114">
        <v>0</v>
      </c>
      <c r="AV120" s="114">
        <v>0</v>
      </c>
      <c r="AW120" s="114">
        <v>0</v>
      </c>
      <c r="AX120" s="114">
        <v>0</v>
      </c>
      <c r="AY120" s="114">
        <v>0</v>
      </c>
    </row>
    <row r="121" spans="1:52" x14ac:dyDescent="0.2">
      <c r="A121" s="136"/>
      <c r="B121" s="140" t="s">
        <v>295</v>
      </c>
      <c r="C121" s="122"/>
      <c r="D121" s="133">
        <v>0</v>
      </c>
      <c r="E121" s="133">
        <v>0</v>
      </c>
      <c r="F121" s="133">
        <v>0</v>
      </c>
      <c r="G121" s="133">
        <v>0</v>
      </c>
      <c r="H121" s="133">
        <v>0</v>
      </c>
      <c r="I121" s="133">
        <v>0</v>
      </c>
      <c r="J121" s="133">
        <v>0</v>
      </c>
      <c r="K121" s="133">
        <v>0</v>
      </c>
      <c r="L121" s="133">
        <v>0</v>
      </c>
      <c r="M121" s="133">
        <v>0</v>
      </c>
      <c r="N121" s="133">
        <v>0</v>
      </c>
      <c r="O121" s="133">
        <v>0</v>
      </c>
      <c r="P121" s="133">
        <v>0</v>
      </c>
      <c r="Q121" s="133">
        <v>0</v>
      </c>
      <c r="R121" s="133">
        <v>0</v>
      </c>
      <c r="S121" s="133">
        <v>0</v>
      </c>
      <c r="T121" s="133">
        <v>0</v>
      </c>
      <c r="U121" s="133">
        <v>0</v>
      </c>
      <c r="V121" s="133">
        <v>0</v>
      </c>
      <c r="W121" s="133">
        <v>0</v>
      </c>
      <c r="X121" s="133">
        <v>0</v>
      </c>
      <c r="Y121" s="133">
        <v>0</v>
      </c>
      <c r="Z121" s="133">
        <v>0</v>
      </c>
      <c r="AA121" s="133">
        <v>0</v>
      </c>
      <c r="AB121" s="133">
        <v>0</v>
      </c>
      <c r="AC121" s="133">
        <v>0</v>
      </c>
      <c r="AD121" s="133">
        <v>0</v>
      </c>
      <c r="AE121" s="133">
        <v>0</v>
      </c>
      <c r="AF121" s="133">
        <v>0</v>
      </c>
      <c r="AG121" s="133">
        <v>0</v>
      </c>
      <c r="AH121" s="133">
        <v>0</v>
      </c>
      <c r="AI121" s="133">
        <v>0</v>
      </c>
      <c r="AJ121" s="133">
        <v>0</v>
      </c>
      <c r="AK121" s="133">
        <v>0</v>
      </c>
      <c r="AL121" s="133">
        <v>0</v>
      </c>
      <c r="AM121" s="133">
        <v>0</v>
      </c>
      <c r="AN121" s="133">
        <v>0</v>
      </c>
      <c r="AO121" s="133">
        <v>0</v>
      </c>
      <c r="AP121" s="133">
        <v>0</v>
      </c>
      <c r="AQ121" s="133">
        <v>0</v>
      </c>
      <c r="AR121" s="133">
        <v>0</v>
      </c>
      <c r="AS121" s="133">
        <v>0</v>
      </c>
      <c r="AT121" s="133">
        <v>0</v>
      </c>
      <c r="AU121" s="133">
        <v>0</v>
      </c>
      <c r="AV121" s="133">
        <v>0</v>
      </c>
      <c r="AW121" s="133">
        <v>0</v>
      </c>
      <c r="AX121" s="133">
        <v>0</v>
      </c>
      <c r="AY121" s="133">
        <v>0</v>
      </c>
      <c r="AZ121" s="115">
        <f>SUM($D121:$AY121)</f>
        <v>0</v>
      </c>
    </row>
    <row r="122" spans="1:52" x14ac:dyDescent="0.2">
      <c r="A122" s="139" t="s">
        <v>123</v>
      </c>
      <c r="B122" s="127">
        <v>1</v>
      </c>
      <c r="C122" s="114"/>
      <c r="D122" s="114">
        <v>0</v>
      </c>
      <c r="E122" s="114">
        <v>0</v>
      </c>
      <c r="F122" s="114">
        <v>833.25</v>
      </c>
      <c r="G122" s="114">
        <v>0</v>
      </c>
      <c r="H122" s="114">
        <v>833.25</v>
      </c>
      <c r="I122" s="114">
        <v>833.25</v>
      </c>
      <c r="J122" s="114">
        <v>0</v>
      </c>
      <c r="K122" s="114">
        <v>0</v>
      </c>
      <c r="L122" s="114">
        <v>0</v>
      </c>
      <c r="M122" s="114">
        <v>833.25</v>
      </c>
      <c r="N122" s="114">
        <v>0</v>
      </c>
      <c r="O122" s="114">
        <v>0</v>
      </c>
      <c r="P122" s="114">
        <v>833.25</v>
      </c>
      <c r="Q122" s="114">
        <v>833.25</v>
      </c>
      <c r="R122" s="114">
        <v>0</v>
      </c>
      <c r="S122" s="114">
        <v>0</v>
      </c>
      <c r="T122" s="114">
        <v>0</v>
      </c>
      <c r="U122" s="114">
        <v>0</v>
      </c>
      <c r="V122" s="114">
        <v>833.25</v>
      </c>
      <c r="W122" s="114">
        <v>833.25</v>
      </c>
      <c r="X122" s="114">
        <v>833.25</v>
      </c>
      <c r="Y122" s="114">
        <v>833.25</v>
      </c>
      <c r="Z122" s="114">
        <v>0</v>
      </c>
      <c r="AA122" s="114">
        <v>833.25</v>
      </c>
      <c r="AB122" s="114">
        <v>0</v>
      </c>
      <c r="AC122" s="114">
        <v>0</v>
      </c>
      <c r="AD122" s="114">
        <v>0</v>
      </c>
      <c r="AE122" s="114">
        <v>0</v>
      </c>
      <c r="AF122" s="114">
        <v>0</v>
      </c>
      <c r="AG122" s="114">
        <v>833.25</v>
      </c>
      <c r="AH122" s="114">
        <v>833.25</v>
      </c>
      <c r="AI122" s="114">
        <v>833.25</v>
      </c>
      <c r="AJ122" s="114">
        <v>833.25</v>
      </c>
      <c r="AK122" s="114">
        <v>0</v>
      </c>
      <c r="AL122" s="114">
        <v>0</v>
      </c>
      <c r="AM122" s="114">
        <v>833.25</v>
      </c>
      <c r="AN122" s="114">
        <v>0</v>
      </c>
      <c r="AO122" s="114">
        <v>0</v>
      </c>
      <c r="AP122" s="114">
        <v>833.25</v>
      </c>
      <c r="AQ122" s="114">
        <v>833.25</v>
      </c>
      <c r="AR122" s="114">
        <v>0</v>
      </c>
      <c r="AS122" s="114">
        <v>833.25</v>
      </c>
      <c r="AT122" s="114">
        <v>833.25</v>
      </c>
      <c r="AU122" s="114">
        <v>0</v>
      </c>
      <c r="AV122" s="114">
        <v>937</v>
      </c>
      <c r="AW122" s="114">
        <v>833.25</v>
      </c>
      <c r="AX122" s="114">
        <v>833.25</v>
      </c>
      <c r="AY122" s="114">
        <v>833.25</v>
      </c>
    </row>
    <row r="123" spans="1:52" x14ac:dyDescent="0.2">
      <c r="A123" s="117"/>
      <c r="B123" s="127">
        <v>2</v>
      </c>
      <c r="C123" s="114"/>
      <c r="D123" s="114">
        <v>0</v>
      </c>
      <c r="E123" s="114">
        <v>0</v>
      </c>
      <c r="F123" s="114">
        <v>0</v>
      </c>
      <c r="G123" s="114">
        <v>0</v>
      </c>
      <c r="H123" s="114">
        <v>833.25</v>
      </c>
      <c r="I123" s="114">
        <v>0</v>
      </c>
      <c r="J123" s="114">
        <v>0</v>
      </c>
      <c r="K123" s="114">
        <v>833.25</v>
      </c>
      <c r="L123" s="114">
        <v>833.25</v>
      </c>
      <c r="M123" s="114">
        <v>833.25</v>
      </c>
      <c r="N123" s="114">
        <v>369.08866737118683</v>
      </c>
      <c r="O123" s="114">
        <v>0</v>
      </c>
      <c r="P123" s="114">
        <v>833.25</v>
      </c>
      <c r="Q123" s="114">
        <v>425.85</v>
      </c>
      <c r="R123" s="114">
        <v>5.6843418860808015E-14</v>
      </c>
      <c r="S123" s="114">
        <v>0</v>
      </c>
      <c r="T123" s="114">
        <v>0</v>
      </c>
      <c r="U123" s="114">
        <v>833.25</v>
      </c>
      <c r="V123" s="114">
        <v>0</v>
      </c>
      <c r="W123" s="114">
        <v>0</v>
      </c>
      <c r="X123" s="114">
        <v>74.833866083506337</v>
      </c>
      <c r="Y123" s="114">
        <v>0</v>
      </c>
      <c r="Z123" s="114">
        <v>0</v>
      </c>
      <c r="AA123" s="114">
        <v>833.25</v>
      </c>
      <c r="AB123" s="114">
        <v>0</v>
      </c>
      <c r="AC123" s="114">
        <v>833.25</v>
      </c>
      <c r="AD123" s="114">
        <v>833.25</v>
      </c>
      <c r="AE123" s="114">
        <v>0</v>
      </c>
      <c r="AF123" s="114">
        <v>833.25</v>
      </c>
      <c r="AG123" s="114">
        <v>833.25</v>
      </c>
      <c r="AH123" s="114">
        <v>583.27499999999998</v>
      </c>
      <c r="AI123" s="114">
        <v>246.67049402705271</v>
      </c>
      <c r="AJ123" s="114">
        <v>1.1368683772161603E-13</v>
      </c>
      <c r="AK123" s="114">
        <v>0</v>
      </c>
      <c r="AL123" s="114">
        <v>0</v>
      </c>
      <c r="AM123" s="114">
        <v>833.25</v>
      </c>
      <c r="AN123" s="114">
        <v>666.6</v>
      </c>
      <c r="AO123" s="114">
        <v>833.25</v>
      </c>
      <c r="AP123" s="114">
        <v>833.25</v>
      </c>
      <c r="AQ123" s="114">
        <v>0</v>
      </c>
      <c r="AR123" s="114">
        <v>0</v>
      </c>
      <c r="AS123" s="114">
        <v>0</v>
      </c>
      <c r="AT123" s="114">
        <v>0</v>
      </c>
      <c r="AU123" s="114">
        <v>0</v>
      </c>
      <c r="AV123" s="114">
        <v>0</v>
      </c>
      <c r="AW123" s="114">
        <v>42.361953023700721</v>
      </c>
      <c r="AX123" s="114">
        <v>0</v>
      </c>
      <c r="AY123" s="114">
        <v>0</v>
      </c>
    </row>
    <row r="124" spans="1:52" x14ac:dyDescent="0.2">
      <c r="A124" s="117"/>
      <c r="B124" s="127">
        <v>3</v>
      </c>
      <c r="C124" s="114"/>
      <c r="D124" s="114">
        <v>0</v>
      </c>
      <c r="E124" s="114">
        <v>0</v>
      </c>
      <c r="F124" s="114">
        <v>0</v>
      </c>
      <c r="G124" s="114">
        <v>0</v>
      </c>
      <c r="H124" s="114">
        <v>0</v>
      </c>
      <c r="I124" s="114">
        <v>0</v>
      </c>
      <c r="J124" s="114">
        <v>0</v>
      </c>
      <c r="K124" s="114">
        <v>0</v>
      </c>
      <c r="L124" s="114">
        <v>0</v>
      </c>
      <c r="M124" s="114">
        <v>0</v>
      </c>
      <c r="N124" s="114">
        <v>0</v>
      </c>
      <c r="O124" s="114">
        <v>0</v>
      </c>
      <c r="P124" s="114">
        <v>833.25</v>
      </c>
      <c r="Q124" s="114">
        <v>0</v>
      </c>
      <c r="R124" s="114">
        <v>0</v>
      </c>
      <c r="S124" s="114">
        <v>0</v>
      </c>
      <c r="T124" s="114">
        <v>833.25</v>
      </c>
      <c r="U124" s="114">
        <v>833.25</v>
      </c>
      <c r="V124" s="114">
        <v>0</v>
      </c>
      <c r="W124" s="114">
        <v>833.25</v>
      </c>
      <c r="X124" s="114">
        <v>0</v>
      </c>
      <c r="Y124" s="114">
        <v>0</v>
      </c>
      <c r="Z124" s="114">
        <v>0</v>
      </c>
      <c r="AA124" s="114">
        <v>0</v>
      </c>
      <c r="AB124" s="114">
        <v>0</v>
      </c>
      <c r="AC124" s="114">
        <v>0</v>
      </c>
      <c r="AD124" s="114">
        <v>0</v>
      </c>
      <c r="AE124" s="114">
        <v>0</v>
      </c>
      <c r="AF124" s="114">
        <v>833.25</v>
      </c>
      <c r="AG124" s="114">
        <v>583.27499999999998</v>
      </c>
      <c r="AH124" s="114">
        <v>39.212987915350936</v>
      </c>
      <c r="AI124" s="114">
        <v>0</v>
      </c>
      <c r="AJ124" s="114">
        <v>0</v>
      </c>
      <c r="AK124" s="114">
        <v>0</v>
      </c>
      <c r="AL124" s="114">
        <v>0</v>
      </c>
      <c r="AM124" s="114">
        <v>833.25</v>
      </c>
      <c r="AN124" s="114">
        <v>614.20000000000005</v>
      </c>
      <c r="AO124" s="114">
        <v>0</v>
      </c>
      <c r="AP124" s="114">
        <v>0</v>
      </c>
      <c r="AQ124" s="114">
        <v>0</v>
      </c>
      <c r="AR124" s="114">
        <v>0</v>
      </c>
      <c r="AS124" s="114">
        <v>0</v>
      </c>
      <c r="AT124" s="114">
        <v>833.25</v>
      </c>
      <c r="AU124" s="114">
        <v>0</v>
      </c>
      <c r="AV124" s="114">
        <v>0</v>
      </c>
      <c r="AW124" s="114">
        <v>0</v>
      </c>
      <c r="AX124" s="114">
        <v>0</v>
      </c>
      <c r="AY124" s="114">
        <v>0</v>
      </c>
    </row>
    <row r="125" spans="1:52" x14ac:dyDescent="0.2">
      <c r="A125" s="117"/>
      <c r="B125" s="127">
        <v>4</v>
      </c>
      <c r="C125" s="114"/>
      <c r="D125" s="114">
        <v>0</v>
      </c>
      <c r="E125" s="114">
        <v>0</v>
      </c>
      <c r="F125" s="114">
        <v>0</v>
      </c>
      <c r="G125" s="114">
        <v>0</v>
      </c>
      <c r="H125" s="114">
        <v>0</v>
      </c>
      <c r="I125" s="114">
        <v>0</v>
      </c>
      <c r="J125" s="114">
        <v>0</v>
      </c>
      <c r="K125" s="114">
        <v>0</v>
      </c>
      <c r="L125" s="114">
        <v>0</v>
      </c>
      <c r="M125" s="114">
        <v>0</v>
      </c>
      <c r="N125" s="114">
        <v>0</v>
      </c>
      <c r="O125" s="114">
        <v>0</v>
      </c>
      <c r="P125" s="114">
        <v>0</v>
      </c>
      <c r="Q125" s="114">
        <v>0</v>
      </c>
      <c r="R125" s="114">
        <v>0</v>
      </c>
      <c r="S125" s="114">
        <v>0</v>
      </c>
      <c r="T125" s="114">
        <v>0</v>
      </c>
      <c r="U125" s="114">
        <v>0</v>
      </c>
      <c r="V125" s="114">
        <v>0</v>
      </c>
      <c r="W125" s="114">
        <v>0</v>
      </c>
      <c r="X125" s="114">
        <v>0</v>
      </c>
      <c r="Y125" s="114">
        <v>0</v>
      </c>
      <c r="Z125" s="114">
        <v>0</v>
      </c>
      <c r="AA125" s="114">
        <v>0</v>
      </c>
      <c r="AB125" s="114">
        <v>0</v>
      </c>
      <c r="AC125" s="114">
        <v>0</v>
      </c>
      <c r="AD125" s="114">
        <v>0</v>
      </c>
      <c r="AE125" s="114">
        <v>0</v>
      </c>
      <c r="AF125" s="114">
        <v>0</v>
      </c>
      <c r="AG125" s="114">
        <v>21.434423982718272</v>
      </c>
      <c r="AH125" s="114">
        <v>0</v>
      </c>
      <c r="AI125" s="114">
        <v>0</v>
      </c>
      <c r="AJ125" s="114">
        <v>0</v>
      </c>
      <c r="AK125" s="114">
        <v>0</v>
      </c>
      <c r="AL125" s="114">
        <v>0</v>
      </c>
      <c r="AM125" s="114">
        <v>0</v>
      </c>
      <c r="AN125" s="114">
        <v>0</v>
      </c>
      <c r="AO125" s="114">
        <v>0</v>
      </c>
      <c r="AP125" s="114">
        <v>0</v>
      </c>
      <c r="AQ125" s="114">
        <v>0</v>
      </c>
      <c r="AR125" s="114">
        <v>0</v>
      </c>
      <c r="AS125" s="114">
        <v>0</v>
      </c>
      <c r="AT125" s="114">
        <v>0</v>
      </c>
      <c r="AU125" s="114">
        <v>0</v>
      </c>
      <c r="AV125" s="114">
        <v>0</v>
      </c>
      <c r="AW125" s="114">
        <v>0</v>
      </c>
      <c r="AX125" s="114">
        <v>0</v>
      </c>
      <c r="AY125" s="114">
        <v>0</v>
      </c>
    </row>
    <row r="126" spans="1:52" x14ac:dyDescent="0.2">
      <c r="A126" s="117"/>
      <c r="B126" s="127">
        <v>5</v>
      </c>
      <c r="C126" s="114"/>
      <c r="D126" s="114">
        <v>0</v>
      </c>
      <c r="E126" s="114">
        <v>0</v>
      </c>
      <c r="F126" s="114">
        <v>0</v>
      </c>
      <c r="G126" s="114">
        <v>0</v>
      </c>
      <c r="H126" s="114">
        <v>0</v>
      </c>
      <c r="I126" s="114">
        <v>0</v>
      </c>
      <c r="J126" s="114">
        <v>0</v>
      </c>
      <c r="K126" s="114">
        <v>0</v>
      </c>
      <c r="L126" s="114">
        <v>0</v>
      </c>
      <c r="M126" s="114">
        <v>0</v>
      </c>
      <c r="N126" s="114">
        <v>0</v>
      </c>
      <c r="O126" s="114">
        <v>0</v>
      </c>
      <c r="P126" s="114">
        <v>0</v>
      </c>
      <c r="Q126" s="114">
        <v>0</v>
      </c>
      <c r="R126" s="114">
        <v>0</v>
      </c>
      <c r="S126" s="114">
        <v>0</v>
      </c>
      <c r="T126" s="114">
        <v>0</v>
      </c>
      <c r="U126" s="114">
        <v>0</v>
      </c>
      <c r="V126" s="114">
        <v>0</v>
      </c>
      <c r="W126" s="114">
        <v>0</v>
      </c>
      <c r="X126" s="114">
        <v>0</v>
      </c>
      <c r="Y126" s="114">
        <v>0</v>
      </c>
      <c r="Z126" s="114">
        <v>0</v>
      </c>
      <c r="AA126" s="114">
        <v>0</v>
      </c>
      <c r="AB126" s="114">
        <v>0</v>
      </c>
      <c r="AC126" s="114">
        <v>0</v>
      </c>
      <c r="AD126" s="114">
        <v>0</v>
      </c>
      <c r="AE126" s="114">
        <v>0</v>
      </c>
      <c r="AF126" s="114">
        <v>0</v>
      </c>
      <c r="AG126" s="114">
        <v>0</v>
      </c>
      <c r="AH126" s="114">
        <v>0</v>
      </c>
      <c r="AI126" s="114">
        <v>0</v>
      </c>
      <c r="AJ126" s="114">
        <v>0</v>
      </c>
      <c r="AK126" s="114">
        <v>0</v>
      </c>
      <c r="AL126" s="114">
        <v>0</v>
      </c>
      <c r="AM126" s="114">
        <v>0</v>
      </c>
      <c r="AN126" s="114">
        <v>0</v>
      </c>
      <c r="AO126" s="114">
        <v>0</v>
      </c>
      <c r="AP126" s="114">
        <v>0</v>
      </c>
      <c r="AQ126" s="114">
        <v>0</v>
      </c>
      <c r="AR126" s="114">
        <v>0</v>
      </c>
      <c r="AS126" s="114">
        <v>0</v>
      </c>
      <c r="AT126" s="114">
        <v>0</v>
      </c>
      <c r="AU126" s="114">
        <v>0</v>
      </c>
      <c r="AV126" s="114">
        <v>0</v>
      </c>
      <c r="AW126" s="114">
        <v>0</v>
      </c>
      <c r="AX126" s="114">
        <v>0</v>
      </c>
      <c r="AY126" s="114">
        <v>0</v>
      </c>
    </row>
    <row r="127" spans="1:52" x14ac:dyDescent="0.2">
      <c r="A127" s="117"/>
      <c r="B127" s="127">
        <v>6</v>
      </c>
      <c r="C127" s="114"/>
      <c r="D127" s="114">
        <v>0</v>
      </c>
      <c r="E127" s="114">
        <v>0</v>
      </c>
      <c r="F127" s="114">
        <v>0</v>
      </c>
      <c r="G127" s="114">
        <v>0</v>
      </c>
      <c r="H127" s="114">
        <v>0</v>
      </c>
      <c r="I127" s="114">
        <v>0</v>
      </c>
      <c r="J127" s="114">
        <v>0</v>
      </c>
      <c r="K127" s="114">
        <v>0</v>
      </c>
      <c r="L127" s="114">
        <v>0</v>
      </c>
      <c r="M127" s="114">
        <v>0</v>
      </c>
      <c r="N127" s="114">
        <v>0</v>
      </c>
      <c r="O127" s="114">
        <v>0</v>
      </c>
      <c r="P127" s="114">
        <v>0</v>
      </c>
      <c r="Q127" s="114">
        <v>0</v>
      </c>
      <c r="R127" s="114">
        <v>0</v>
      </c>
      <c r="S127" s="114">
        <v>0</v>
      </c>
      <c r="T127" s="114">
        <v>0</v>
      </c>
      <c r="U127" s="114">
        <v>0</v>
      </c>
      <c r="V127" s="114">
        <v>0</v>
      </c>
      <c r="W127" s="114">
        <v>0</v>
      </c>
      <c r="X127" s="114">
        <v>0</v>
      </c>
      <c r="Y127" s="114">
        <v>0</v>
      </c>
      <c r="Z127" s="114">
        <v>0</v>
      </c>
      <c r="AA127" s="114">
        <v>0</v>
      </c>
      <c r="AB127" s="114">
        <v>0</v>
      </c>
      <c r="AC127" s="114">
        <v>0</v>
      </c>
      <c r="AD127" s="114">
        <v>0</v>
      </c>
      <c r="AE127" s="114">
        <v>0</v>
      </c>
      <c r="AF127" s="114">
        <v>0</v>
      </c>
      <c r="AG127" s="114">
        <v>0</v>
      </c>
      <c r="AH127" s="114">
        <v>0</v>
      </c>
      <c r="AI127" s="114">
        <v>0</v>
      </c>
      <c r="AJ127" s="114">
        <v>0</v>
      </c>
      <c r="AK127" s="114">
        <v>0</v>
      </c>
      <c r="AL127" s="114">
        <v>0</v>
      </c>
      <c r="AM127" s="114">
        <v>0</v>
      </c>
      <c r="AN127" s="114">
        <v>0</v>
      </c>
      <c r="AO127" s="114">
        <v>0</v>
      </c>
      <c r="AP127" s="114">
        <v>0</v>
      </c>
      <c r="AQ127" s="114">
        <v>0</v>
      </c>
      <c r="AR127" s="114">
        <v>0</v>
      </c>
      <c r="AS127" s="114">
        <v>0</v>
      </c>
      <c r="AT127" s="114">
        <v>0</v>
      </c>
      <c r="AU127" s="114">
        <v>0</v>
      </c>
      <c r="AV127" s="114">
        <v>0</v>
      </c>
      <c r="AW127" s="114">
        <v>0</v>
      </c>
      <c r="AX127" s="114">
        <v>0</v>
      </c>
      <c r="AY127" s="114">
        <v>0</v>
      </c>
    </row>
    <row r="128" spans="1:52" x14ac:dyDescent="0.2">
      <c r="A128" s="117"/>
      <c r="B128" s="127">
        <v>7</v>
      </c>
      <c r="C128" s="114"/>
      <c r="D128" s="114">
        <v>0</v>
      </c>
      <c r="E128" s="114">
        <v>0</v>
      </c>
      <c r="F128" s="114">
        <v>0</v>
      </c>
      <c r="G128" s="114">
        <v>0</v>
      </c>
      <c r="H128" s="114">
        <v>0</v>
      </c>
      <c r="I128" s="114">
        <v>0</v>
      </c>
      <c r="J128" s="114">
        <v>0</v>
      </c>
      <c r="K128" s="114">
        <v>0</v>
      </c>
      <c r="L128" s="114">
        <v>0</v>
      </c>
      <c r="M128" s="114">
        <v>0</v>
      </c>
      <c r="N128" s="114">
        <v>0</v>
      </c>
      <c r="O128" s="114">
        <v>0</v>
      </c>
      <c r="P128" s="114">
        <v>0</v>
      </c>
      <c r="Q128" s="114">
        <v>0</v>
      </c>
      <c r="R128" s="114">
        <v>0</v>
      </c>
      <c r="S128" s="114">
        <v>0</v>
      </c>
      <c r="T128" s="114">
        <v>0</v>
      </c>
      <c r="U128" s="114">
        <v>0</v>
      </c>
      <c r="V128" s="114">
        <v>0</v>
      </c>
      <c r="W128" s="114">
        <v>0</v>
      </c>
      <c r="X128" s="114">
        <v>0</v>
      </c>
      <c r="Y128" s="114">
        <v>0</v>
      </c>
      <c r="Z128" s="114">
        <v>0</v>
      </c>
      <c r="AA128" s="114">
        <v>0</v>
      </c>
      <c r="AB128" s="114">
        <v>0</v>
      </c>
      <c r="AC128" s="114">
        <v>0</v>
      </c>
      <c r="AD128" s="114">
        <v>0</v>
      </c>
      <c r="AE128" s="114">
        <v>0</v>
      </c>
      <c r="AF128" s="114">
        <v>0</v>
      </c>
      <c r="AG128" s="114">
        <v>0</v>
      </c>
      <c r="AH128" s="114">
        <v>0</v>
      </c>
      <c r="AI128" s="114">
        <v>0</v>
      </c>
      <c r="AJ128" s="114">
        <v>0</v>
      </c>
      <c r="AK128" s="114">
        <v>0</v>
      </c>
      <c r="AL128" s="114">
        <v>0</v>
      </c>
      <c r="AM128" s="114">
        <v>0</v>
      </c>
      <c r="AN128" s="114">
        <v>0</v>
      </c>
      <c r="AO128" s="114">
        <v>0</v>
      </c>
      <c r="AP128" s="114">
        <v>0</v>
      </c>
      <c r="AQ128" s="114">
        <v>0</v>
      </c>
      <c r="AR128" s="114">
        <v>0</v>
      </c>
      <c r="AS128" s="114">
        <v>0</v>
      </c>
      <c r="AT128" s="114">
        <v>0</v>
      </c>
      <c r="AU128" s="114">
        <v>0</v>
      </c>
      <c r="AV128" s="114">
        <v>0</v>
      </c>
      <c r="AW128" s="114">
        <v>0</v>
      </c>
      <c r="AX128" s="114">
        <v>0</v>
      </c>
      <c r="AY128" s="114">
        <v>0</v>
      </c>
    </row>
    <row r="129" spans="1:51" x14ac:dyDescent="0.2">
      <c r="A129" s="117"/>
      <c r="B129" s="127">
        <v>8</v>
      </c>
      <c r="C129" s="114"/>
      <c r="D129" s="114">
        <v>0</v>
      </c>
      <c r="E129" s="114">
        <v>0</v>
      </c>
      <c r="F129" s="114">
        <v>0</v>
      </c>
      <c r="G129" s="114">
        <v>0</v>
      </c>
      <c r="H129" s="114">
        <v>0</v>
      </c>
      <c r="I129" s="114">
        <v>0</v>
      </c>
      <c r="J129" s="114">
        <v>0</v>
      </c>
      <c r="K129" s="114">
        <v>0</v>
      </c>
      <c r="L129" s="114">
        <v>0</v>
      </c>
      <c r="M129" s="114">
        <v>0</v>
      </c>
      <c r="N129" s="114">
        <v>0</v>
      </c>
      <c r="O129" s="114">
        <v>0</v>
      </c>
      <c r="P129" s="114">
        <v>0</v>
      </c>
      <c r="Q129" s="114">
        <v>0</v>
      </c>
      <c r="R129" s="114">
        <v>0</v>
      </c>
      <c r="S129" s="114">
        <v>0</v>
      </c>
      <c r="T129" s="114">
        <v>0</v>
      </c>
      <c r="U129" s="114">
        <v>0</v>
      </c>
      <c r="V129" s="114">
        <v>0</v>
      </c>
      <c r="W129" s="114">
        <v>0</v>
      </c>
      <c r="X129" s="114">
        <v>0</v>
      </c>
      <c r="Y129" s="114">
        <v>0</v>
      </c>
      <c r="Z129" s="114">
        <v>0</v>
      </c>
      <c r="AA129" s="114">
        <v>0</v>
      </c>
      <c r="AB129" s="114">
        <v>0</v>
      </c>
      <c r="AC129" s="114">
        <v>0</v>
      </c>
      <c r="AD129" s="114">
        <v>0</v>
      </c>
      <c r="AE129" s="114">
        <v>0</v>
      </c>
      <c r="AF129" s="114">
        <v>0</v>
      </c>
      <c r="AG129" s="114">
        <v>0</v>
      </c>
      <c r="AH129" s="114">
        <v>0</v>
      </c>
      <c r="AI129" s="114">
        <v>0</v>
      </c>
      <c r="AJ129" s="114">
        <v>0</v>
      </c>
      <c r="AK129" s="114">
        <v>0</v>
      </c>
      <c r="AL129" s="114">
        <v>0</v>
      </c>
      <c r="AM129" s="114">
        <v>0</v>
      </c>
      <c r="AN129" s="114">
        <v>0</v>
      </c>
      <c r="AO129" s="114">
        <v>0</v>
      </c>
      <c r="AP129" s="114">
        <v>0</v>
      </c>
      <c r="AQ129" s="114">
        <v>0</v>
      </c>
      <c r="AR129" s="114">
        <v>0</v>
      </c>
      <c r="AS129" s="114">
        <v>0</v>
      </c>
      <c r="AT129" s="114">
        <v>0</v>
      </c>
      <c r="AU129" s="114">
        <v>0</v>
      </c>
      <c r="AV129" s="114">
        <v>0</v>
      </c>
      <c r="AW129" s="114">
        <v>0</v>
      </c>
      <c r="AX129" s="114">
        <v>0</v>
      </c>
      <c r="AY129" s="114">
        <v>0</v>
      </c>
    </row>
    <row r="130" spans="1:51" x14ac:dyDescent="0.2">
      <c r="A130" s="117"/>
      <c r="B130" s="127">
        <v>9</v>
      </c>
      <c r="C130" s="114"/>
      <c r="D130" s="114">
        <v>0</v>
      </c>
      <c r="E130" s="114">
        <v>0</v>
      </c>
      <c r="F130" s="114">
        <v>0</v>
      </c>
      <c r="G130" s="114">
        <v>0</v>
      </c>
      <c r="H130" s="114">
        <v>0</v>
      </c>
      <c r="I130" s="114">
        <v>0</v>
      </c>
      <c r="J130" s="114">
        <v>0</v>
      </c>
      <c r="K130" s="114">
        <v>0</v>
      </c>
      <c r="L130" s="114">
        <v>0</v>
      </c>
      <c r="M130" s="114">
        <v>0</v>
      </c>
      <c r="N130" s="114">
        <v>0</v>
      </c>
      <c r="O130" s="114">
        <v>0</v>
      </c>
      <c r="P130" s="114">
        <v>0</v>
      </c>
      <c r="Q130" s="114">
        <v>0</v>
      </c>
      <c r="R130" s="114">
        <v>0</v>
      </c>
      <c r="S130" s="114">
        <v>0</v>
      </c>
      <c r="T130" s="114">
        <v>0</v>
      </c>
      <c r="U130" s="114">
        <v>0</v>
      </c>
      <c r="V130" s="114">
        <v>0</v>
      </c>
      <c r="W130" s="114">
        <v>0</v>
      </c>
      <c r="X130" s="114">
        <v>0</v>
      </c>
      <c r="Y130" s="114">
        <v>0</v>
      </c>
      <c r="Z130" s="114">
        <v>0</v>
      </c>
      <c r="AA130" s="114">
        <v>0</v>
      </c>
      <c r="AB130" s="114">
        <v>0</v>
      </c>
      <c r="AC130" s="114">
        <v>0</v>
      </c>
      <c r="AD130" s="114">
        <v>0</v>
      </c>
      <c r="AE130" s="114">
        <v>0</v>
      </c>
      <c r="AF130" s="114">
        <v>0</v>
      </c>
      <c r="AG130" s="114">
        <v>0</v>
      </c>
      <c r="AH130" s="114">
        <v>0</v>
      </c>
      <c r="AI130" s="114">
        <v>0</v>
      </c>
      <c r="AJ130" s="114">
        <v>0</v>
      </c>
      <c r="AK130" s="114">
        <v>0</v>
      </c>
      <c r="AL130" s="114">
        <v>0</v>
      </c>
      <c r="AM130" s="114">
        <v>0</v>
      </c>
      <c r="AN130" s="114">
        <v>0</v>
      </c>
      <c r="AO130" s="114">
        <v>0</v>
      </c>
      <c r="AP130" s="114">
        <v>0</v>
      </c>
      <c r="AQ130" s="114">
        <v>0</v>
      </c>
      <c r="AR130" s="114">
        <v>0</v>
      </c>
      <c r="AS130" s="114">
        <v>0</v>
      </c>
      <c r="AT130" s="114">
        <v>0</v>
      </c>
      <c r="AU130" s="114">
        <v>0</v>
      </c>
      <c r="AV130" s="114">
        <v>0</v>
      </c>
      <c r="AW130" s="114">
        <v>0</v>
      </c>
      <c r="AX130" s="114">
        <v>0</v>
      </c>
      <c r="AY130" s="114">
        <v>0</v>
      </c>
    </row>
    <row r="131" spans="1:51" x14ac:dyDescent="0.2">
      <c r="A131" s="117"/>
      <c r="B131" s="127">
        <v>10</v>
      </c>
      <c r="C131" s="114"/>
      <c r="D131" s="114">
        <v>0</v>
      </c>
      <c r="E131" s="114">
        <v>0</v>
      </c>
      <c r="F131" s="114">
        <v>0</v>
      </c>
      <c r="G131" s="114">
        <v>0</v>
      </c>
      <c r="H131" s="114">
        <v>0</v>
      </c>
      <c r="I131" s="114">
        <v>0</v>
      </c>
      <c r="J131" s="114">
        <v>0</v>
      </c>
      <c r="K131" s="114">
        <v>0</v>
      </c>
      <c r="L131" s="114">
        <v>0</v>
      </c>
      <c r="M131" s="114">
        <v>0</v>
      </c>
      <c r="N131" s="114">
        <v>0</v>
      </c>
      <c r="O131" s="114">
        <v>0</v>
      </c>
      <c r="P131" s="114">
        <v>0</v>
      </c>
      <c r="Q131" s="114">
        <v>0</v>
      </c>
      <c r="R131" s="114">
        <v>0</v>
      </c>
      <c r="S131" s="114">
        <v>0</v>
      </c>
      <c r="T131" s="114">
        <v>0</v>
      </c>
      <c r="U131" s="114">
        <v>0</v>
      </c>
      <c r="V131" s="114">
        <v>0</v>
      </c>
      <c r="W131" s="114">
        <v>0</v>
      </c>
      <c r="X131" s="114">
        <v>0</v>
      </c>
      <c r="Y131" s="114">
        <v>0</v>
      </c>
      <c r="Z131" s="114">
        <v>0</v>
      </c>
      <c r="AA131" s="114">
        <v>0</v>
      </c>
      <c r="AB131" s="114">
        <v>0</v>
      </c>
      <c r="AC131" s="114">
        <v>0</v>
      </c>
      <c r="AD131" s="114">
        <v>0</v>
      </c>
      <c r="AE131" s="114">
        <v>0</v>
      </c>
      <c r="AF131" s="114">
        <v>0</v>
      </c>
      <c r="AG131" s="114">
        <v>0</v>
      </c>
      <c r="AH131" s="114">
        <v>0</v>
      </c>
      <c r="AI131" s="114">
        <v>0</v>
      </c>
      <c r="AJ131" s="114">
        <v>0</v>
      </c>
      <c r="AK131" s="114">
        <v>0</v>
      </c>
      <c r="AL131" s="114">
        <v>0</v>
      </c>
      <c r="AM131" s="114">
        <v>0</v>
      </c>
      <c r="AN131" s="114">
        <v>0</v>
      </c>
      <c r="AO131" s="114">
        <v>0</v>
      </c>
      <c r="AP131" s="114">
        <v>0</v>
      </c>
      <c r="AQ131" s="114">
        <v>0</v>
      </c>
      <c r="AR131" s="114">
        <v>0</v>
      </c>
      <c r="AS131" s="114">
        <v>0</v>
      </c>
      <c r="AT131" s="114">
        <v>0</v>
      </c>
      <c r="AU131" s="114">
        <v>0</v>
      </c>
      <c r="AV131" s="114">
        <v>0</v>
      </c>
      <c r="AW131" s="114">
        <v>0</v>
      </c>
      <c r="AX131" s="114">
        <v>0</v>
      </c>
      <c r="AY131" s="114">
        <v>0</v>
      </c>
    </row>
    <row r="132" spans="1:51" x14ac:dyDescent="0.2">
      <c r="A132" s="117"/>
      <c r="B132" s="127">
        <v>11</v>
      </c>
      <c r="C132" s="114"/>
      <c r="D132" s="114">
        <v>0</v>
      </c>
      <c r="E132" s="114">
        <v>0</v>
      </c>
      <c r="F132" s="114">
        <v>0</v>
      </c>
      <c r="G132" s="114">
        <v>0</v>
      </c>
      <c r="H132" s="114">
        <v>0</v>
      </c>
      <c r="I132" s="114">
        <v>0</v>
      </c>
      <c r="J132" s="114">
        <v>0</v>
      </c>
      <c r="K132" s="114">
        <v>0</v>
      </c>
      <c r="L132" s="114">
        <v>0</v>
      </c>
      <c r="M132" s="114">
        <v>0</v>
      </c>
      <c r="N132" s="114">
        <v>0</v>
      </c>
      <c r="O132" s="114">
        <v>0</v>
      </c>
      <c r="P132" s="114">
        <v>0</v>
      </c>
      <c r="Q132" s="114">
        <v>0</v>
      </c>
      <c r="R132" s="114">
        <v>0</v>
      </c>
      <c r="S132" s="114">
        <v>0</v>
      </c>
      <c r="T132" s="114">
        <v>0</v>
      </c>
      <c r="U132" s="114">
        <v>0</v>
      </c>
      <c r="V132" s="114">
        <v>0</v>
      </c>
      <c r="W132" s="114">
        <v>0</v>
      </c>
      <c r="X132" s="114">
        <v>0</v>
      </c>
      <c r="Y132" s="114">
        <v>0</v>
      </c>
      <c r="Z132" s="114">
        <v>0</v>
      </c>
      <c r="AA132" s="114">
        <v>0</v>
      </c>
      <c r="AB132" s="114">
        <v>0</v>
      </c>
      <c r="AC132" s="114">
        <v>0</v>
      </c>
      <c r="AD132" s="114">
        <v>0</v>
      </c>
      <c r="AE132" s="114">
        <v>0</v>
      </c>
      <c r="AF132" s="114">
        <v>0</v>
      </c>
      <c r="AG132" s="114">
        <v>0</v>
      </c>
      <c r="AH132" s="114">
        <v>0</v>
      </c>
      <c r="AI132" s="114">
        <v>0</v>
      </c>
      <c r="AJ132" s="114">
        <v>0</v>
      </c>
      <c r="AK132" s="114">
        <v>0</v>
      </c>
      <c r="AL132" s="114">
        <v>0</v>
      </c>
      <c r="AM132" s="114">
        <v>0</v>
      </c>
      <c r="AN132" s="114">
        <v>0</v>
      </c>
      <c r="AO132" s="114">
        <v>0</v>
      </c>
      <c r="AP132" s="114">
        <v>0</v>
      </c>
      <c r="AQ132" s="114">
        <v>0</v>
      </c>
      <c r="AR132" s="114">
        <v>0</v>
      </c>
      <c r="AS132" s="114">
        <v>0</v>
      </c>
      <c r="AT132" s="114">
        <v>0</v>
      </c>
      <c r="AU132" s="114">
        <v>0</v>
      </c>
      <c r="AV132" s="114">
        <v>0</v>
      </c>
      <c r="AW132" s="114">
        <v>0</v>
      </c>
      <c r="AX132" s="114">
        <v>0</v>
      </c>
      <c r="AY132" s="114">
        <v>0</v>
      </c>
    </row>
    <row r="133" spans="1:51" x14ac:dyDescent="0.2">
      <c r="A133" s="117"/>
      <c r="B133" s="127">
        <v>12</v>
      </c>
      <c r="C133" s="114"/>
      <c r="D133" s="114">
        <v>0</v>
      </c>
      <c r="E133" s="114">
        <v>0</v>
      </c>
      <c r="F133" s="114">
        <v>0</v>
      </c>
      <c r="G133" s="114">
        <v>0</v>
      </c>
      <c r="H133" s="114">
        <v>0</v>
      </c>
      <c r="I133" s="114">
        <v>0</v>
      </c>
      <c r="J133" s="114">
        <v>0</v>
      </c>
      <c r="K133" s="114">
        <v>0</v>
      </c>
      <c r="L133" s="114">
        <v>0</v>
      </c>
      <c r="M133" s="114">
        <v>0</v>
      </c>
      <c r="N133" s="114">
        <v>0</v>
      </c>
      <c r="O133" s="114">
        <v>0</v>
      </c>
      <c r="P133" s="114">
        <v>0</v>
      </c>
      <c r="Q133" s="114">
        <v>0</v>
      </c>
      <c r="R133" s="114">
        <v>0</v>
      </c>
      <c r="S133" s="114">
        <v>0</v>
      </c>
      <c r="T133" s="114">
        <v>0</v>
      </c>
      <c r="U133" s="114">
        <v>0</v>
      </c>
      <c r="V133" s="114">
        <v>0</v>
      </c>
      <c r="W133" s="114">
        <v>0</v>
      </c>
      <c r="X133" s="114">
        <v>0</v>
      </c>
      <c r="Y133" s="114">
        <v>0</v>
      </c>
      <c r="Z133" s="114">
        <v>0</v>
      </c>
      <c r="AA133" s="114">
        <v>0</v>
      </c>
      <c r="AB133" s="114">
        <v>0</v>
      </c>
      <c r="AC133" s="114">
        <v>0</v>
      </c>
      <c r="AD133" s="114">
        <v>0</v>
      </c>
      <c r="AE133" s="114">
        <v>0</v>
      </c>
      <c r="AF133" s="114">
        <v>0</v>
      </c>
      <c r="AG133" s="114">
        <v>0</v>
      </c>
      <c r="AH133" s="114">
        <v>0</v>
      </c>
      <c r="AI133" s="114">
        <v>0</v>
      </c>
      <c r="AJ133" s="114">
        <v>0</v>
      </c>
      <c r="AK133" s="114">
        <v>0</v>
      </c>
      <c r="AL133" s="114">
        <v>0</v>
      </c>
      <c r="AM133" s="114">
        <v>0</v>
      </c>
      <c r="AN133" s="114">
        <v>0</v>
      </c>
      <c r="AO133" s="114">
        <v>0</v>
      </c>
      <c r="AP133" s="114">
        <v>0</v>
      </c>
      <c r="AQ133" s="114">
        <v>0</v>
      </c>
      <c r="AR133" s="114">
        <v>0</v>
      </c>
      <c r="AS133" s="114">
        <v>0</v>
      </c>
      <c r="AT133" s="114">
        <v>0</v>
      </c>
      <c r="AU133" s="114">
        <v>0</v>
      </c>
      <c r="AV133" s="114">
        <v>0</v>
      </c>
      <c r="AW133" s="114">
        <v>0</v>
      </c>
      <c r="AX133" s="114">
        <v>0</v>
      </c>
      <c r="AY133" s="114">
        <v>0</v>
      </c>
    </row>
    <row r="134" spans="1:51" x14ac:dyDescent="0.2">
      <c r="A134" s="117"/>
      <c r="B134" s="128">
        <v>13</v>
      </c>
      <c r="C134" s="114"/>
      <c r="D134" s="114">
        <v>0</v>
      </c>
      <c r="E134" s="114">
        <v>0</v>
      </c>
      <c r="F134" s="114">
        <v>0</v>
      </c>
      <c r="G134" s="114">
        <v>0</v>
      </c>
      <c r="H134" s="114">
        <v>0</v>
      </c>
      <c r="I134" s="114">
        <v>0</v>
      </c>
      <c r="J134" s="114">
        <v>0</v>
      </c>
      <c r="K134" s="114">
        <v>0</v>
      </c>
      <c r="L134" s="114">
        <v>0</v>
      </c>
      <c r="M134" s="114">
        <v>0</v>
      </c>
      <c r="N134" s="114">
        <v>0</v>
      </c>
      <c r="O134" s="114">
        <v>0</v>
      </c>
      <c r="P134" s="114">
        <v>0</v>
      </c>
      <c r="Q134" s="114">
        <v>0</v>
      </c>
      <c r="R134" s="114">
        <v>0</v>
      </c>
      <c r="S134" s="114">
        <v>0</v>
      </c>
      <c r="T134" s="114">
        <v>0</v>
      </c>
      <c r="U134" s="114">
        <v>0</v>
      </c>
      <c r="V134" s="114">
        <v>0</v>
      </c>
      <c r="W134" s="114">
        <v>0</v>
      </c>
      <c r="X134" s="114">
        <v>0</v>
      </c>
      <c r="Y134" s="114">
        <v>0</v>
      </c>
      <c r="Z134" s="114">
        <v>0</v>
      </c>
      <c r="AA134" s="114">
        <v>0</v>
      </c>
      <c r="AB134" s="114">
        <v>0</v>
      </c>
      <c r="AC134" s="114">
        <v>0</v>
      </c>
      <c r="AD134" s="114">
        <v>0</v>
      </c>
      <c r="AE134" s="114">
        <v>0</v>
      </c>
      <c r="AF134" s="114">
        <v>0</v>
      </c>
      <c r="AG134" s="114">
        <v>0</v>
      </c>
      <c r="AH134" s="114">
        <v>0</v>
      </c>
      <c r="AI134" s="114">
        <v>0</v>
      </c>
      <c r="AJ134" s="114">
        <v>0</v>
      </c>
      <c r="AK134" s="114">
        <v>0</v>
      </c>
      <c r="AL134" s="114">
        <v>0</v>
      </c>
      <c r="AM134" s="114">
        <v>0</v>
      </c>
      <c r="AN134" s="114">
        <v>0</v>
      </c>
      <c r="AO134" s="114">
        <v>0</v>
      </c>
      <c r="AP134" s="114">
        <v>0</v>
      </c>
      <c r="AQ134" s="114">
        <v>0</v>
      </c>
      <c r="AR134" s="114">
        <v>0</v>
      </c>
      <c r="AS134" s="114">
        <v>0</v>
      </c>
      <c r="AT134" s="114">
        <v>0</v>
      </c>
      <c r="AU134" s="114">
        <v>0</v>
      </c>
      <c r="AV134" s="114">
        <v>0</v>
      </c>
      <c r="AW134" s="114">
        <v>0</v>
      </c>
      <c r="AX134" s="114">
        <v>0</v>
      </c>
      <c r="AY134" s="114">
        <v>0</v>
      </c>
    </row>
    <row r="135" spans="1:51" x14ac:dyDescent="0.2">
      <c r="A135" s="117"/>
      <c r="B135" s="128">
        <v>14</v>
      </c>
      <c r="C135" s="114"/>
      <c r="D135" s="114">
        <v>0</v>
      </c>
      <c r="E135" s="114">
        <v>0</v>
      </c>
      <c r="F135" s="114">
        <v>0</v>
      </c>
      <c r="G135" s="114">
        <v>0</v>
      </c>
      <c r="H135" s="114">
        <v>0</v>
      </c>
      <c r="I135" s="114">
        <v>0</v>
      </c>
      <c r="J135" s="114">
        <v>0</v>
      </c>
      <c r="K135" s="114">
        <v>0</v>
      </c>
      <c r="L135" s="114">
        <v>0</v>
      </c>
      <c r="M135" s="114">
        <v>0</v>
      </c>
      <c r="N135" s="114">
        <v>0</v>
      </c>
      <c r="O135" s="114">
        <v>0</v>
      </c>
      <c r="P135" s="114">
        <v>0</v>
      </c>
      <c r="Q135" s="114">
        <v>0</v>
      </c>
      <c r="R135" s="114">
        <v>0</v>
      </c>
      <c r="S135" s="114">
        <v>0</v>
      </c>
      <c r="T135" s="114">
        <v>0</v>
      </c>
      <c r="U135" s="114">
        <v>0</v>
      </c>
      <c r="V135" s="114">
        <v>0</v>
      </c>
      <c r="W135" s="114">
        <v>0</v>
      </c>
      <c r="X135" s="114">
        <v>0</v>
      </c>
      <c r="Y135" s="114">
        <v>0</v>
      </c>
      <c r="Z135" s="114">
        <v>0</v>
      </c>
      <c r="AA135" s="114">
        <v>0</v>
      </c>
      <c r="AB135" s="114">
        <v>0</v>
      </c>
      <c r="AC135" s="114">
        <v>0</v>
      </c>
      <c r="AD135" s="114">
        <v>0</v>
      </c>
      <c r="AE135" s="114">
        <v>0</v>
      </c>
      <c r="AF135" s="114">
        <v>0</v>
      </c>
      <c r="AG135" s="114">
        <v>0</v>
      </c>
      <c r="AH135" s="114">
        <v>0</v>
      </c>
      <c r="AI135" s="114">
        <v>0</v>
      </c>
      <c r="AJ135" s="114">
        <v>0</v>
      </c>
      <c r="AK135" s="114">
        <v>0</v>
      </c>
      <c r="AL135" s="114">
        <v>0</v>
      </c>
      <c r="AM135" s="114">
        <v>0</v>
      </c>
      <c r="AN135" s="114">
        <v>0</v>
      </c>
      <c r="AO135" s="114">
        <v>0</v>
      </c>
      <c r="AP135" s="114">
        <v>0</v>
      </c>
      <c r="AQ135" s="114">
        <v>0</v>
      </c>
      <c r="AR135" s="114">
        <v>0</v>
      </c>
      <c r="AS135" s="114">
        <v>0</v>
      </c>
      <c r="AT135" s="114">
        <v>0</v>
      </c>
      <c r="AU135" s="114">
        <v>0</v>
      </c>
      <c r="AV135" s="114">
        <v>0</v>
      </c>
      <c r="AW135" s="114">
        <v>0</v>
      </c>
      <c r="AX135" s="114">
        <v>0</v>
      </c>
      <c r="AY135" s="114">
        <v>0</v>
      </c>
    </row>
    <row r="136" spans="1:51" x14ac:dyDescent="0.2">
      <c r="A136" s="117"/>
      <c r="B136" s="128">
        <v>15</v>
      </c>
      <c r="C136" s="114"/>
      <c r="D136" s="114">
        <v>0</v>
      </c>
      <c r="E136" s="114">
        <v>0</v>
      </c>
      <c r="F136" s="114">
        <v>0</v>
      </c>
      <c r="G136" s="114">
        <v>0</v>
      </c>
      <c r="H136" s="114">
        <v>0</v>
      </c>
      <c r="I136" s="114">
        <v>0</v>
      </c>
      <c r="J136" s="114">
        <v>0</v>
      </c>
      <c r="K136" s="114">
        <v>0</v>
      </c>
      <c r="L136" s="114">
        <v>0</v>
      </c>
      <c r="M136" s="114">
        <v>0</v>
      </c>
      <c r="N136" s="114">
        <v>0</v>
      </c>
      <c r="O136" s="114">
        <v>0</v>
      </c>
      <c r="P136" s="114">
        <v>0</v>
      </c>
      <c r="Q136" s="114">
        <v>0</v>
      </c>
      <c r="R136" s="114">
        <v>0</v>
      </c>
      <c r="S136" s="114">
        <v>0</v>
      </c>
      <c r="T136" s="114">
        <v>0</v>
      </c>
      <c r="U136" s="114">
        <v>0</v>
      </c>
      <c r="V136" s="114">
        <v>0</v>
      </c>
      <c r="W136" s="114">
        <v>0</v>
      </c>
      <c r="X136" s="114">
        <v>0</v>
      </c>
      <c r="Y136" s="114">
        <v>0</v>
      </c>
      <c r="Z136" s="114">
        <v>0</v>
      </c>
      <c r="AA136" s="114">
        <v>0</v>
      </c>
      <c r="AB136" s="114">
        <v>0</v>
      </c>
      <c r="AC136" s="114">
        <v>0</v>
      </c>
      <c r="AD136" s="114">
        <v>0</v>
      </c>
      <c r="AE136" s="114">
        <v>0</v>
      </c>
      <c r="AF136" s="114">
        <v>0</v>
      </c>
      <c r="AG136" s="114">
        <v>0</v>
      </c>
      <c r="AH136" s="114">
        <v>0</v>
      </c>
      <c r="AI136" s="114">
        <v>0</v>
      </c>
      <c r="AJ136" s="114">
        <v>0</v>
      </c>
      <c r="AK136" s="114">
        <v>0</v>
      </c>
      <c r="AL136" s="114">
        <v>0</v>
      </c>
      <c r="AM136" s="114">
        <v>0</v>
      </c>
      <c r="AN136" s="114">
        <v>0</v>
      </c>
      <c r="AO136" s="114">
        <v>0</v>
      </c>
      <c r="AP136" s="114">
        <v>0</v>
      </c>
      <c r="AQ136" s="114">
        <v>0</v>
      </c>
      <c r="AR136" s="114">
        <v>0</v>
      </c>
      <c r="AS136" s="114">
        <v>0</v>
      </c>
      <c r="AT136" s="114">
        <v>0</v>
      </c>
      <c r="AU136" s="114">
        <v>0</v>
      </c>
      <c r="AV136" s="114">
        <v>0</v>
      </c>
      <c r="AW136" s="114">
        <v>0</v>
      </c>
      <c r="AX136" s="114">
        <v>0</v>
      </c>
      <c r="AY136" s="114">
        <v>0</v>
      </c>
    </row>
    <row r="137" spans="1:51" x14ac:dyDescent="0.2">
      <c r="A137" s="117"/>
      <c r="B137" s="128">
        <v>16</v>
      </c>
      <c r="C137" s="114"/>
      <c r="D137" s="114">
        <v>0</v>
      </c>
      <c r="E137" s="114">
        <v>0</v>
      </c>
      <c r="F137" s="114">
        <v>0</v>
      </c>
      <c r="G137" s="114">
        <v>0</v>
      </c>
      <c r="H137" s="114">
        <v>0</v>
      </c>
      <c r="I137" s="114">
        <v>0</v>
      </c>
      <c r="J137" s="114">
        <v>0</v>
      </c>
      <c r="K137" s="114">
        <v>0</v>
      </c>
      <c r="L137" s="114">
        <v>0</v>
      </c>
      <c r="M137" s="114">
        <v>0</v>
      </c>
      <c r="N137" s="114">
        <v>0</v>
      </c>
      <c r="O137" s="114">
        <v>0</v>
      </c>
      <c r="P137" s="114">
        <v>0</v>
      </c>
      <c r="Q137" s="114">
        <v>0</v>
      </c>
      <c r="R137" s="114">
        <v>0</v>
      </c>
      <c r="S137" s="114">
        <v>0</v>
      </c>
      <c r="T137" s="114">
        <v>0</v>
      </c>
      <c r="U137" s="114">
        <v>0</v>
      </c>
      <c r="V137" s="114">
        <v>0</v>
      </c>
      <c r="W137" s="114">
        <v>0</v>
      </c>
      <c r="X137" s="114">
        <v>0</v>
      </c>
      <c r="Y137" s="114">
        <v>0</v>
      </c>
      <c r="Z137" s="114">
        <v>0</v>
      </c>
      <c r="AA137" s="114">
        <v>0</v>
      </c>
      <c r="AB137" s="114">
        <v>0</v>
      </c>
      <c r="AC137" s="114">
        <v>0</v>
      </c>
      <c r="AD137" s="114">
        <v>0</v>
      </c>
      <c r="AE137" s="114">
        <v>0</v>
      </c>
      <c r="AF137" s="114">
        <v>0</v>
      </c>
      <c r="AG137" s="114">
        <v>0</v>
      </c>
      <c r="AH137" s="114">
        <v>0</v>
      </c>
      <c r="AI137" s="114">
        <v>0</v>
      </c>
      <c r="AJ137" s="114">
        <v>0</v>
      </c>
      <c r="AK137" s="114">
        <v>0</v>
      </c>
      <c r="AL137" s="114">
        <v>0</v>
      </c>
      <c r="AM137" s="114">
        <v>0</v>
      </c>
      <c r="AN137" s="114">
        <v>0</v>
      </c>
      <c r="AO137" s="114">
        <v>0</v>
      </c>
      <c r="AP137" s="114">
        <v>0</v>
      </c>
      <c r="AQ137" s="114">
        <v>0</v>
      </c>
      <c r="AR137" s="114">
        <v>0</v>
      </c>
      <c r="AS137" s="114">
        <v>0</v>
      </c>
      <c r="AT137" s="114">
        <v>0</v>
      </c>
      <c r="AU137" s="114">
        <v>0</v>
      </c>
      <c r="AV137" s="114">
        <v>0</v>
      </c>
      <c r="AW137" s="114">
        <v>0</v>
      </c>
      <c r="AX137" s="114">
        <v>0</v>
      </c>
      <c r="AY137" s="114">
        <v>0</v>
      </c>
    </row>
    <row r="138" spans="1:51" x14ac:dyDescent="0.2">
      <c r="A138" s="117"/>
      <c r="B138" s="128">
        <v>17</v>
      </c>
      <c r="C138" s="114"/>
      <c r="D138" s="114">
        <v>0</v>
      </c>
      <c r="E138" s="114">
        <v>0</v>
      </c>
      <c r="F138" s="114">
        <v>0</v>
      </c>
      <c r="G138" s="114">
        <v>0</v>
      </c>
      <c r="H138" s="114">
        <v>0</v>
      </c>
      <c r="I138" s="114">
        <v>0</v>
      </c>
      <c r="J138" s="114">
        <v>0</v>
      </c>
      <c r="K138" s="114">
        <v>0</v>
      </c>
      <c r="L138" s="114">
        <v>0</v>
      </c>
      <c r="M138" s="114">
        <v>0</v>
      </c>
      <c r="N138" s="114">
        <v>0</v>
      </c>
      <c r="O138" s="114">
        <v>0</v>
      </c>
      <c r="P138" s="114">
        <v>0</v>
      </c>
      <c r="Q138" s="114">
        <v>0</v>
      </c>
      <c r="R138" s="114">
        <v>0</v>
      </c>
      <c r="S138" s="114">
        <v>0</v>
      </c>
      <c r="T138" s="114">
        <v>0</v>
      </c>
      <c r="U138" s="114">
        <v>0</v>
      </c>
      <c r="V138" s="114">
        <v>0</v>
      </c>
      <c r="W138" s="114">
        <v>0</v>
      </c>
      <c r="X138" s="114">
        <v>0</v>
      </c>
      <c r="Y138" s="114">
        <v>0</v>
      </c>
      <c r="Z138" s="114">
        <v>0</v>
      </c>
      <c r="AA138" s="114">
        <v>0</v>
      </c>
      <c r="AB138" s="114">
        <v>0</v>
      </c>
      <c r="AC138" s="114">
        <v>0</v>
      </c>
      <c r="AD138" s="114">
        <v>0</v>
      </c>
      <c r="AE138" s="114">
        <v>0</v>
      </c>
      <c r="AF138" s="114">
        <v>0</v>
      </c>
      <c r="AG138" s="114">
        <v>0</v>
      </c>
      <c r="AH138" s="114">
        <v>0</v>
      </c>
      <c r="AI138" s="114">
        <v>0</v>
      </c>
      <c r="AJ138" s="114">
        <v>0</v>
      </c>
      <c r="AK138" s="114">
        <v>0</v>
      </c>
      <c r="AL138" s="114">
        <v>0</v>
      </c>
      <c r="AM138" s="114">
        <v>0</v>
      </c>
      <c r="AN138" s="114">
        <v>0</v>
      </c>
      <c r="AO138" s="114">
        <v>0</v>
      </c>
      <c r="AP138" s="114">
        <v>0</v>
      </c>
      <c r="AQ138" s="114">
        <v>0</v>
      </c>
      <c r="AR138" s="114">
        <v>0</v>
      </c>
      <c r="AS138" s="114">
        <v>0</v>
      </c>
      <c r="AT138" s="114">
        <v>0</v>
      </c>
      <c r="AU138" s="114">
        <v>0</v>
      </c>
      <c r="AV138" s="114">
        <v>0</v>
      </c>
      <c r="AW138" s="114">
        <v>0</v>
      </c>
      <c r="AX138" s="114">
        <v>0</v>
      </c>
      <c r="AY138" s="114">
        <v>0</v>
      </c>
    </row>
    <row r="139" spans="1:51" x14ac:dyDescent="0.2">
      <c r="A139" s="117"/>
      <c r="B139" s="128">
        <v>18</v>
      </c>
      <c r="C139" s="114"/>
      <c r="D139" s="114">
        <v>0</v>
      </c>
      <c r="E139" s="114">
        <v>0</v>
      </c>
      <c r="F139" s="114">
        <v>0</v>
      </c>
      <c r="G139" s="114">
        <v>0</v>
      </c>
      <c r="H139" s="114">
        <v>0</v>
      </c>
      <c r="I139" s="114">
        <v>0</v>
      </c>
      <c r="J139" s="114">
        <v>0</v>
      </c>
      <c r="K139" s="114">
        <v>0</v>
      </c>
      <c r="L139" s="114">
        <v>0</v>
      </c>
      <c r="M139" s="114">
        <v>0</v>
      </c>
      <c r="N139" s="114">
        <v>0</v>
      </c>
      <c r="O139" s="114">
        <v>0</v>
      </c>
      <c r="P139" s="114">
        <v>0</v>
      </c>
      <c r="Q139" s="114">
        <v>0</v>
      </c>
      <c r="R139" s="114">
        <v>0</v>
      </c>
      <c r="S139" s="114">
        <v>0</v>
      </c>
      <c r="T139" s="114">
        <v>0</v>
      </c>
      <c r="U139" s="114">
        <v>0</v>
      </c>
      <c r="V139" s="114">
        <v>0</v>
      </c>
      <c r="W139" s="114">
        <v>0</v>
      </c>
      <c r="X139" s="114">
        <v>0</v>
      </c>
      <c r="Y139" s="114">
        <v>0</v>
      </c>
      <c r="Z139" s="114">
        <v>0</v>
      </c>
      <c r="AA139" s="114">
        <v>0</v>
      </c>
      <c r="AB139" s="114">
        <v>0</v>
      </c>
      <c r="AC139" s="114">
        <v>0</v>
      </c>
      <c r="AD139" s="114">
        <v>0</v>
      </c>
      <c r="AE139" s="114">
        <v>0</v>
      </c>
      <c r="AF139" s="114">
        <v>0</v>
      </c>
      <c r="AG139" s="114">
        <v>0</v>
      </c>
      <c r="AH139" s="114">
        <v>0</v>
      </c>
      <c r="AI139" s="114">
        <v>0</v>
      </c>
      <c r="AJ139" s="114">
        <v>0</v>
      </c>
      <c r="AK139" s="114">
        <v>0</v>
      </c>
      <c r="AL139" s="114">
        <v>0</v>
      </c>
      <c r="AM139" s="114">
        <v>0</v>
      </c>
      <c r="AN139" s="114">
        <v>0</v>
      </c>
      <c r="AO139" s="114">
        <v>0</v>
      </c>
      <c r="AP139" s="114">
        <v>0</v>
      </c>
      <c r="AQ139" s="114">
        <v>0</v>
      </c>
      <c r="AR139" s="114">
        <v>0</v>
      </c>
      <c r="AS139" s="114">
        <v>0</v>
      </c>
      <c r="AT139" s="114">
        <v>0</v>
      </c>
      <c r="AU139" s="114">
        <v>0</v>
      </c>
      <c r="AV139" s="114">
        <v>0</v>
      </c>
      <c r="AW139" s="114">
        <v>0</v>
      </c>
      <c r="AX139" s="114">
        <v>0</v>
      </c>
      <c r="AY139" s="114">
        <v>0</v>
      </c>
    </row>
    <row r="140" spans="1:51" x14ac:dyDescent="0.2">
      <c r="A140" s="117"/>
      <c r="B140" s="128">
        <v>19</v>
      </c>
      <c r="C140" s="114"/>
      <c r="D140" s="114">
        <v>0</v>
      </c>
      <c r="E140" s="114">
        <v>0</v>
      </c>
      <c r="F140" s="114">
        <v>0</v>
      </c>
      <c r="G140" s="114">
        <v>0</v>
      </c>
      <c r="H140" s="114">
        <v>0</v>
      </c>
      <c r="I140" s="114">
        <v>0</v>
      </c>
      <c r="J140" s="114">
        <v>0</v>
      </c>
      <c r="K140" s="114">
        <v>0</v>
      </c>
      <c r="L140" s="114">
        <v>0</v>
      </c>
      <c r="M140" s="114">
        <v>0</v>
      </c>
      <c r="N140" s="114">
        <v>0</v>
      </c>
      <c r="O140" s="114">
        <v>0</v>
      </c>
      <c r="P140" s="114">
        <v>0</v>
      </c>
      <c r="Q140" s="114">
        <v>0</v>
      </c>
      <c r="R140" s="114">
        <v>0</v>
      </c>
      <c r="S140" s="114">
        <v>0</v>
      </c>
      <c r="T140" s="114">
        <v>0</v>
      </c>
      <c r="U140" s="114">
        <v>0</v>
      </c>
      <c r="V140" s="114">
        <v>0</v>
      </c>
      <c r="W140" s="114">
        <v>0</v>
      </c>
      <c r="X140" s="114">
        <v>0</v>
      </c>
      <c r="Y140" s="114">
        <v>0</v>
      </c>
      <c r="Z140" s="114">
        <v>0</v>
      </c>
      <c r="AA140" s="114">
        <v>0</v>
      </c>
      <c r="AB140" s="114">
        <v>0</v>
      </c>
      <c r="AC140" s="114">
        <v>0</v>
      </c>
      <c r="AD140" s="114">
        <v>0</v>
      </c>
      <c r="AE140" s="114">
        <v>0</v>
      </c>
      <c r="AF140" s="114">
        <v>0</v>
      </c>
      <c r="AG140" s="114">
        <v>0</v>
      </c>
      <c r="AH140" s="114">
        <v>0</v>
      </c>
      <c r="AI140" s="114">
        <v>0</v>
      </c>
      <c r="AJ140" s="114">
        <v>0</v>
      </c>
      <c r="AK140" s="114">
        <v>0</v>
      </c>
      <c r="AL140" s="114">
        <v>0</v>
      </c>
      <c r="AM140" s="114">
        <v>0</v>
      </c>
      <c r="AN140" s="114">
        <v>0</v>
      </c>
      <c r="AO140" s="114">
        <v>0</v>
      </c>
      <c r="AP140" s="114">
        <v>0</v>
      </c>
      <c r="AQ140" s="114">
        <v>0</v>
      </c>
      <c r="AR140" s="114">
        <v>0</v>
      </c>
      <c r="AS140" s="114">
        <v>0</v>
      </c>
      <c r="AT140" s="114">
        <v>0</v>
      </c>
      <c r="AU140" s="114">
        <v>0</v>
      </c>
      <c r="AV140" s="114">
        <v>0</v>
      </c>
      <c r="AW140" s="114">
        <v>0</v>
      </c>
      <c r="AX140" s="114">
        <v>0</v>
      </c>
      <c r="AY140" s="114">
        <v>0</v>
      </c>
    </row>
    <row r="141" spans="1:51" x14ac:dyDescent="0.2">
      <c r="A141" s="117"/>
      <c r="B141" s="128">
        <v>20</v>
      </c>
      <c r="C141" s="114"/>
      <c r="D141" s="114">
        <v>0</v>
      </c>
      <c r="E141" s="114">
        <v>0</v>
      </c>
      <c r="F141" s="114">
        <v>0</v>
      </c>
      <c r="G141" s="114">
        <v>0</v>
      </c>
      <c r="H141" s="114">
        <v>0</v>
      </c>
      <c r="I141" s="114">
        <v>0</v>
      </c>
      <c r="J141" s="114">
        <v>0</v>
      </c>
      <c r="K141" s="114">
        <v>0</v>
      </c>
      <c r="L141" s="114">
        <v>0</v>
      </c>
      <c r="M141" s="114">
        <v>0</v>
      </c>
      <c r="N141" s="114">
        <v>0</v>
      </c>
      <c r="O141" s="114">
        <v>0</v>
      </c>
      <c r="P141" s="114">
        <v>0</v>
      </c>
      <c r="Q141" s="114">
        <v>0</v>
      </c>
      <c r="R141" s="114">
        <v>0</v>
      </c>
      <c r="S141" s="114">
        <v>0</v>
      </c>
      <c r="T141" s="114">
        <v>0</v>
      </c>
      <c r="U141" s="114">
        <v>0</v>
      </c>
      <c r="V141" s="114">
        <v>0</v>
      </c>
      <c r="W141" s="114">
        <v>0</v>
      </c>
      <c r="X141" s="114">
        <v>0</v>
      </c>
      <c r="Y141" s="114">
        <v>0</v>
      </c>
      <c r="Z141" s="114">
        <v>0</v>
      </c>
      <c r="AA141" s="114">
        <v>0</v>
      </c>
      <c r="AB141" s="114">
        <v>0</v>
      </c>
      <c r="AC141" s="114">
        <v>0</v>
      </c>
      <c r="AD141" s="114">
        <v>0</v>
      </c>
      <c r="AE141" s="114">
        <v>0</v>
      </c>
      <c r="AF141" s="114">
        <v>0</v>
      </c>
      <c r="AG141" s="114">
        <v>0</v>
      </c>
      <c r="AH141" s="114">
        <v>0</v>
      </c>
      <c r="AI141" s="114">
        <v>0</v>
      </c>
      <c r="AJ141" s="114">
        <v>0</v>
      </c>
      <c r="AK141" s="114">
        <v>0</v>
      </c>
      <c r="AL141" s="114">
        <v>0</v>
      </c>
      <c r="AM141" s="114">
        <v>0</v>
      </c>
      <c r="AN141" s="114">
        <v>0</v>
      </c>
      <c r="AO141" s="114">
        <v>0</v>
      </c>
      <c r="AP141" s="114">
        <v>0</v>
      </c>
      <c r="AQ141" s="114">
        <v>0</v>
      </c>
      <c r="AR141" s="114">
        <v>0</v>
      </c>
      <c r="AS141" s="114">
        <v>0</v>
      </c>
      <c r="AT141" s="114">
        <v>0</v>
      </c>
      <c r="AU141" s="114">
        <v>0</v>
      </c>
      <c r="AV141" s="114">
        <v>0</v>
      </c>
      <c r="AW141" s="114">
        <v>0</v>
      </c>
      <c r="AX141" s="114">
        <v>0</v>
      </c>
      <c r="AY141" s="114">
        <v>0</v>
      </c>
    </row>
    <row r="142" spans="1:51" x14ac:dyDescent="0.2">
      <c r="A142" s="117"/>
      <c r="B142" s="128">
        <v>21</v>
      </c>
      <c r="C142" s="114"/>
      <c r="D142" s="114">
        <v>0</v>
      </c>
      <c r="E142" s="114">
        <v>0</v>
      </c>
      <c r="F142" s="114">
        <v>0</v>
      </c>
      <c r="G142" s="114">
        <v>0</v>
      </c>
      <c r="H142" s="114">
        <v>0</v>
      </c>
      <c r="I142" s="114">
        <v>0</v>
      </c>
      <c r="J142" s="114">
        <v>0</v>
      </c>
      <c r="K142" s="114">
        <v>0</v>
      </c>
      <c r="L142" s="114">
        <v>0</v>
      </c>
      <c r="M142" s="114">
        <v>0</v>
      </c>
      <c r="N142" s="114">
        <v>0</v>
      </c>
      <c r="O142" s="114">
        <v>0</v>
      </c>
      <c r="P142" s="114">
        <v>0</v>
      </c>
      <c r="Q142" s="114">
        <v>0</v>
      </c>
      <c r="R142" s="114">
        <v>0</v>
      </c>
      <c r="S142" s="114">
        <v>0</v>
      </c>
      <c r="T142" s="114">
        <v>0</v>
      </c>
      <c r="U142" s="114">
        <v>0</v>
      </c>
      <c r="V142" s="114">
        <v>0</v>
      </c>
      <c r="W142" s="114">
        <v>0</v>
      </c>
      <c r="X142" s="114">
        <v>0</v>
      </c>
      <c r="Y142" s="114">
        <v>0</v>
      </c>
      <c r="Z142" s="114">
        <v>0</v>
      </c>
      <c r="AA142" s="114">
        <v>0</v>
      </c>
      <c r="AB142" s="114">
        <v>0</v>
      </c>
      <c r="AC142" s="114">
        <v>0</v>
      </c>
      <c r="AD142" s="114">
        <v>0</v>
      </c>
      <c r="AE142" s="114">
        <v>0</v>
      </c>
      <c r="AF142" s="114">
        <v>0</v>
      </c>
      <c r="AG142" s="114">
        <v>0</v>
      </c>
      <c r="AH142" s="114">
        <v>0</v>
      </c>
      <c r="AI142" s="114">
        <v>0</v>
      </c>
      <c r="AJ142" s="114">
        <v>0</v>
      </c>
      <c r="AK142" s="114">
        <v>0</v>
      </c>
      <c r="AL142" s="114">
        <v>0</v>
      </c>
      <c r="AM142" s="114">
        <v>0</v>
      </c>
      <c r="AN142" s="114">
        <v>0</v>
      </c>
      <c r="AO142" s="114">
        <v>0</v>
      </c>
      <c r="AP142" s="114">
        <v>0</v>
      </c>
      <c r="AQ142" s="114">
        <v>0</v>
      </c>
      <c r="AR142" s="114">
        <v>0</v>
      </c>
      <c r="AS142" s="114">
        <v>0</v>
      </c>
      <c r="AT142" s="114">
        <v>0</v>
      </c>
      <c r="AU142" s="114">
        <v>0</v>
      </c>
      <c r="AV142" s="114">
        <v>0</v>
      </c>
      <c r="AW142" s="114">
        <v>0</v>
      </c>
      <c r="AX142" s="114">
        <v>0</v>
      </c>
      <c r="AY142" s="114">
        <v>0</v>
      </c>
    </row>
    <row r="143" spans="1:51" x14ac:dyDescent="0.2">
      <c r="A143" s="117"/>
      <c r="B143" s="128">
        <v>22</v>
      </c>
      <c r="C143" s="114"/>
      <c r="D143" s="114">
        <v>0</v>
      </c>
      <c r="E143" s="114">
        <v>0</v>
      </c>
      <c r="F143" s="114">
        <v>0</v>
      </c>
      <c r="G143" s="114">
        <v>0</v>
      </c>
      <c r="H143" s="114">
        <v>0</v>
      </c>
      <c r="I143" s="114">
        <v>0</v>
      </c>
      <c r="J143" s="114">
        <v>0</v>
      </c>
      <c r="K143" s="114">
        <v>0</v>
      </c>
      <c r="L143" s="114">
        <v>0</v>
      </c>
      <c r="M143" s="114">
        <v>0</v>
      </c>
      <c r="N143" s="114">
        <v>0</v>
      </c>
      <c r="O143" s="114">
        <v>0</v>
      </c>
      <c r="P143" s="114">
        <v>0</v>
      </c>
      <c r="Q143" s="114">
        <v>0</v>
      </c>
      <c r="R143" s="114">
        <v>0</v>
      </c>
      <c r="S143" s="114">
        <v>0</v>
      </c>
      <c r="T143" s="114">
        <v>0</v>
      </c>
      <c r="U143" s="114">
        <v>0</v>
      </c>
      <c r="V143" s="114">
        <v>0</v>
      </c>
      <c r="W143" s="114">
        <v>0</v>
      </c>
      <c r="X143" s="114">
        <v>0</v>
      </c>
      <c r="Y143" s="114">
        <v>0</v>
      </c>
      <c r="Z143" s="114">
        <v>0</v>
      </c>
      <c r="AA143" s="114">
        <v>0</v>
      </c>
      <c r="AB143" s="114">
        <v>0</v>
      </c>
      <c r="AC143" s="114">
        <v>0</v>
      </c>
      <c r="AD143" s="114">
        <v>0</v>
      </c>
      <c r="AE143" s="114">
        <v>0</v>
      </c>
      <c r="AF143" s="114">
        <v>0</v>
      </c>
      <c r="AG143" s="114">
        <v>0</v>
      </c>
      <c r="AH143" s="114">
        <v>0</v>
      </c>
      <c r="AI143" s="114">
        <v>0</v>
      </c>
      <c r="AJ143" s="114">
        <v>0</v>
      </c>
      <c r="AK143" s="114">
        <v>0</v>
      </c>
      <c r="AL143" s="114">
        <v>0</v>
      </c>
      <c r="AM143" s="114">
        <v>0</v>
      </c>
      <c r="AN143" s="114">
        <v>0</v>
      </c>
      <c r="AO143" s="114">
        <v>0</v>
      </c>
      <c r="AP143" s="114">
        <v>0</v>
      </c>
      <c r="AQ143" s="114">
        <v>0</v>
      </c>
      <c r="AR143" s="114">
        <v>0</v>
      </c>
      <c r="AS143" s="114">
        <v>0</v>
      </c>
      <c r="AT143" s="114">
        <v>0</v>
      </c>
      <c r="AU143" s="114">
        <v>0</v>
      </c>
      <c r="AV143" s="114">
        <v>0</v>
      </c>
      <c r="AW143" s="114">
        <v>0</v>
      </c>
      <c r="AX143" s="114">
        <v>0</v>
      </c>
      <c r="AY143" s="114">
        <v>0</v>
      </c>
    </row>
    <row r="144" spans="1:51" x14ac:dyDescent="0.2">
      <c r="A144" s="117"/>
      <c r="B144" s="128">
        <v>23</v>
      </c>
      <c r="C144" s="114"/>
      <c r="D144" s="114">
        <v>0</v>
      </c>
      <c r="E144" s="114">
        <v>0</v>
      </c>
      <c r="F144" s="114">
        <v>0</v>
      </c>
      <c r="G144" s="114">
        <v>0</v>
      </c>
      <c r="H144" s="114">
        <v>0</v>
      </c>
      <c r="I144" s="114">
        <v>0</v>
      </c>
      <c r="J144" s="114">
        <v>0</v>
      </c>
      <c r="K144" s="114">
        <v>0</v>
      </c>
      <c r="L144" s="114">
        <v>0</v>
      </c>
      <c r="M144" s="114">
        <v>0</v>
      </c>
      <c r="N144" s="114">
        <v>0</v>
      </c>
      <c r="O144" s="114">
        <v>0</v>
      </c>
      <c r="P144" s="114">
        <v>0</v>
      </c>
      <c r="Q144" s="114">
        <v>0</v>
      </c>
      <c r="R144" s="114">
        <v>0</v>
      </c>
      <c r="S144" s="114">
        <v>0</v>
      </c>
      <c r="T144" s="114">
        <v>0</v>
      </c>
      <c r="U144" s="114">
        <v>0</v>
      </c>
      <c r="V144" s="114">
        <v>0</v>
      </c>
      <c r="W144" s="114">
        <v>0</v>
      </c>
      <c r="X144" s="114">
        <v>0</v>
      </c>
      <c r="Y144" s="114">
        <v>0</v>
      </c>
      <c r="Z144" s="114">
        <v>0</v>
      </c>
      <c r="AA144" s="114">
        <v>0</v>
      </c>
      <c r="AB144" s="114">
        <v>0</v>
      </c>
      <c r="AC144" s="114">
        <v>0</v>
      </c>
      <c r="AD144" s="114">
        <v>0</v>
      </c>
      <c r="AE144" s="114">
        <v>0</v>
      </c>
      <c r="AF144" s="114">
        <v>0</v>
      </c>
      <c r="AG144" s="114">
        <v>0</v>
      </c>
      <c r="AH144" s="114">
        <v>0</v>
      </c>
      <c r="AI144" s="114">
        <v>0</v>
      </c>
      <c r="AJ144" s="114">
        <v>0</v>
      </c>
      <c r="AK144" s="114">
        <v>0</v>
      </c>
      <c r="AL144" s="114">
        <v>0</v>
      </c>
      <c r="AM144" s="114">
        <v>0</v>
      </c>
      <c r="AN144" s="114">
        <v>0</v>
      </c>
      <c r="AO144" s="114">
        <v>0</v>
      </c>
      <c r="AP144" s="114">
        <v>0</v>
      </c>
      <c r="AQ144" s="114">
        <v>0</v>
      </c>
      <c r="AR144" s="114">
        <v>0</v>
      </c>
      <c r="AS144" s="114">
        <v>0</v>
      </c>
      <c r="AT144" s="114">
        <v>0</v>
      </c>
      <c r="AU144" s="114">
        <v>0</v>
      </c>
      <c r="AV144" s="114">
        <v>0</v>
      </c>
      <c r="AW144" s="114">
        <v>0</v>
      </c>
      <c r="AX144" s="114">
        <v>0</v>
      </c>
      <c r="AY144" s="114">
        <v>0</v>
      </c>
    </row>
    <row r="145" spans="1:51" x14ac:dyDescent="0.2">
      <c r="A145" s="117"/>
      <c r="B145" s="128">
        <v>24</v>
      </c>
      <c r="C145" s="114"/>
      <c r="D145" s="114">
        <v>0</v>
      </c>
      <c r="E145" s="114">
        <v>0</v>
      </c>
      <c r="F145" s="114">
        <v>0</v>
      </c>
      <c r="G145" s="114">
        <v>0</v>
      </c>
      <c r="H145" s="114">
        <v>0</v>
      </c>
      <c r="I145" s="114">
        <v>0</v>
      </c>
      <c r="J145" s="114">
        <v>0</v>
      </c>
      <c r="K145" s="114">
        <v>0</v>
      </c>
      <c r="L145" s="114">
        <v>0</v>
      </c>
      <c r="M145" s="114">
        <v>0</v>
      </c>
      <c r="N145" s="114">
        <v>0</v>
      </c>
      <c r="O145" s="114">
        <v>0</v>
      </c>
      <c r="P145" s="114">
        <v>0</v>
      </c>
      <c r="Q145" s="114">
        <v>0</v>
      </c>
      <c r="R145" s="114">
        <v>0</v>
      </c>
      <c r="S145" s="114">
        <v>0</v>
      </c>
      <c r="T145" s="114">
        <v>0</v>
      </c>
      <c r="U145" s="114">
        <v>0</v>
      </c>
      <c r="V145" s="114">
        <v>0</v>
      </c>
      <c r="W145" s="114">
        <v>0</v>
      </c>
      <c r="X145" s="114">
        <v>0</v>
      </c>
      <c r="Y145" s="114">
        <v>0</v>
      </c>
      <c r="Z145" s="114">
        <v>0</v>
      </c>
      <c r="AA145" s="114">
        <v>0</v>
      </c>
      <c r="AB145" s="114">
        <v>0</v>
      </c>
      <c r="AC145" s="114">
        <v>0</v>
      </c>
      <c r="AD145" s="114">
        <v>0</v>
      </c>
      <c r="AE145" s="114">
        <v>0</v>
      </c>
      <c r="AF145" s="114">
        <v>0</v>
      </c>
      <c r="AG145" s="114">
        <v>0</v>
      </c>
      <c r="AH145" s="114">
        <v>0</v>
      </c>
      <c r="AI145" s="114">
        <v>0</v>
      </c>
      <c r="AJ145" s="114">
        <v>0</v>
      </c>
      <c r="AK145" s="114">
        <v>0</v>
      </c>
      <c r="AL145" s="114">
        <v>0</v>
      </c>
      <c r="AM145" s="114">
        <v>0</v>
      </c>
      <c r="AN145" s="114">
        <v>0</v>
      </c>
      <c r="AO145" s="114">
        <v>0</v>
      </c>
      <c r="AP145" s="114">
        <v>0</v>
      </c>
      <c r="AQ145" s="114">
        <v>0</v>
      </c>
      <c r="AR145" s="114">
        <v>0</v>
      </c>
      <c r="AS145" s="114">
        <v>0</v>
      </c>
      <c r="AT145" s="114">
        <v>0</v>
      </c>
      <c r="AU145" s="114">
        <v>0</v>
      </c>
      <c r="AV145" s="114">
        <v>0</v>
      </c>
      <c r="AW145" s="114">
        <v>0</v>
      </c>
      <c r="AX145" s="114">
        <v>0</v>
      </c>
      <c r="AY145" s="114">
        <v>0</v>
      </c>
    </row>
    <row r="146" spans="1:51" x14ac:dyDescent="0.2">
      <c r="A146" s="117"/>
      <c r="B146" s="135">
        <v>25</v>
      </c>
      <c r="C146" s="114"/>
      <c r="D146" s="114">
        <v>0</v>
      </c>
      <c r="E146" s="114">
        <v>0</v>
      </c>
      <c r="F146" s="114">
        <v>0</v>
      </c>
      <c r="G146" s="114">
        <v>0</v>
      </c>
      <c r="H146" s="114">
        <v>0</v>
      </c>
      <c r="I146" s="114">
        <v>0</v>
      </c>
      <c r="J146" s="114">
        <v>0</v>
      </c>
      <c r="K146" s="114">
        <v>0</v>
      </c>
      <c r="L146" s="114">
        <v>0</v>
      </c>
      <c r="M146" s="114">
        <v>0</v>
      </c>
      <c r="N146" s="114">
        <v>0</v>
      </c>
      <c r="O146" s="114">
        <v>0</v>
      </c>
      <c r="P146" s="114">
        <v>0</v>
      </c>
      <c r="Q146" s="114">
        <v>0</v>
      </c>
      <c r="R146" s="114">
        <v>0</v>
      </c>
      <c r="S146" s="114">
        <v>0</v>
      </c>
      <c r="T146" s="114">
        <v>0</v>
      </c>
      <c r="U146" s="114">
        <v>0</v>
      </c>
      <c r="V146" s="114">
        <v>0</v>
      </c>
      <c r="W146" s="114">
        <v>0</v>
      </c>
      <c r="X146" s="114">
        <v>0</v>
      </c>
      <c r="Y146" s="114">
        <v>0</v>
      </c>
      <c r="Z146" s="114">
        <v>0</v>
      </c>
      <c r="AA146" s="114">
        <v>0</v>
      </c>
      <c r="AB146" s="114">
        <v>0</v>
      </c>
      <c r="AC146" s="114">
        <v>0</v>
      </c>
      <c r="AD146" s="114">
        <v>0</v>
      </c>
      <c r="AE146" s="114">
        <v>0</v>
      </c>
      <c r="AF146" s="114">
        <v>0</v>
      </c>
      <c r="AG146" s="114">
        <v>0</v>
      </c>
      <c r="AH146" s="114">
        <v>0</v>
      </c>
      <c r="AI146" s="114">
        <v>0</v>
      </c>
      <c r="AJ146" s="114">
        <v>0</v>
      </c>
      <c r="AK146" s="114">
        <v>0</v>
      </c>
      <c r="AL146" s="114">
        <v>0</v>
      </c>
      <c r="AM146" s="114">
        <v>0</v>
      </c>
      <c r="AN146" s="114">
        <v>0</v>
      </c>
      <c r="AO146" s="114">
        <v>0</v>
      </c>
      <c r="AP146" s="114">
        <v>0</v>
      </c>
      <c r="AQ146" s="114">
        <v>0</v>
      </c>
      <c r="AR146" s="114">
        <v>0</v>
      </c>
      <c r="AS146" s="114">
        <v>0</v>
      </c>
      <c r="AT146" s="114">
        <v>0</v>
      </c>
      <c r="AU146" s="114">
        <v>0</v>
      </c>
      <c r="AV146" s="114">
        <v>0</v>
      </c>
      <c r="AW146" s="114">
        <v>0</v>
      </c>
      <c r="AX146" s="114">
        <v>0</v>
      </c>
      <c r="AY146" s="114">
        <v>0</v>
      </c>
    </row>
    <row r="147" spans="1:51" x14ac:dyDescent="0.2">
      <c r="A147" s="117"/>
      <c r="B147" s="135">
        <v>26</v>
      </c>
      <c r="C147" s="114"/>
      <c r="D147" s="114">
        <v>0</v>
      </c>
      <c r="E147" s="114">
        <v>0</v>
      </c>
      <c r="F147" s="114">
        <v>0</v>
      </c>
      <c r="G147" s="114">
        <v>0</v>
      </c>
      <c r="H147" s="114">
        <v>0</v>
      </c>
      <c r="I147" s="114">
        <v>0</v>
      </c>
      <c r="J147" s="114">
        <v>0</v>
      </c>
      <c r="K147" s="114">
        <v>0</v>
      </c>
      <c r="L147" s="114">
        <v>0</v>
      </c>
      <c r="M147" s="114">
        <v>0</v>
      </c>
      <c r="N147" s="114">
        <v>0</v>
      </c>
      <c r="O147" s="114">
        <v>0</v>
      </c>
      <c r="P147" s="114">
        <v>0</v>
      </c>
      <c r="Q147" s="114">
        <v>0</v>
      </c>
      <c r="R147" s="114">
        <v>0</v>
      </c>
      <c r="S147" s="114">
        <v>0</v>
      </c>
      <c r="T147" s="114">
        <v>0</v>
      </c>
      <c r="U147" s="114">
        <v>0</v>
      </c>
      <c r="V147" s="114">
        <v>0</v>
      </c>
      <c r="W147" s="114">
        <v>0</v>
      </c>
      <c r="X147" s="114">
        <v>0</v>
      </c>
      <c r="Y147" s="114">
        <v>0</v>
      </c>
      <c r="Z147" s="114">
        <v>0</v>
      </c>
      <c r="AA147" s="114">
        <v>0</v>
      </c>
      <c r="AB147" s="114">
        <v>0</v>
      </c>
      <c r="AC147" s="114">
        <v>0</v>
      </c>
      <c r="AD147" s="114">
        <v>0</v>
      </c>
      <c r="AE147" s="114">
        <v>0</v>
      </c>
      <c r="AF147" s="114">
        <v>0</v>
      </c>
      <c r="AG147" s="114">
        <v>0</v>
      </c>
      <c r="AH147" s="114">
        <v>0</v>
      </c>
      <c r="AI147" s="114">
        <v>0</v>
      </c>
      <c r="AJ147" s="114">
        <v>0</v>
      </c>
      <c r="AK147" s="114">
        <v>0</v>
      </c>
      <c r="AL147" s="114">
        <v>0</v>
      </c>
      <c r="AM147" s="114">
        <v>0</v>
      </c>
      <c r="AN147" s="114">
        <v>0</v>
      </c>
      <c r="AO147" s="114">
        <v>0</v>
      </c>
      <c r="AP147" s="114">
        <v>0</v>
      </c>
      <c r="AQ147" s="114">
        <v>0</v>
      </c>
      <c r="AR147" s="114">
        <v>0</v>
      </c>
      <c r="AS147" s="114">
        <v>0</v>
      </c>
      <c r="AT147" s="114">
        <v>0</v>
      </c>
      <c r="AU147" s="114">
        <v>0</v>
      </c>
      <c r="AV147" s="114">
        <v>0</v>
      </c>
      <c r="AW147" s="114">
        <v>0</v>
      </c>
      <c r="AX147" s="114">
        <v>0</v>
      </c>
      <c r="AY147" s="114">
        <v>0</v>
      </c>
    </row>
    <row r="148" spans="1:51" x14ac:dyDescent="0.2">
      <c r="A148" s="117"/>
      <c r="B148" s="135">
        <v>27</v>
      </c>
      <c r="C148" s="114"/>
      <c r="D148" s="114">
        <v>0</v>
      </c>
      <c r="E148" s="114">
        <v>0</v>
      </c>
      <c r="F148" s="114">
        <v>0</v>
      </c>
      <c r="G148" s="114">
        <v>0</v>
      </c>
      <c r="H148" s="114">
        <v>0</v>
      </c>
      <c r="I148" s="114">
        <v>0</v>
      </c>
      <c r="J148" s="114">
        <v>0</v>
      </c>
      <c r="K148" s="114">
        <v>0</v>
      </c>
      <c r="L148" s="114">
        <v>0</v>
      </c>
      <c r="M148" s="114">
        <v>0</v>
      </c>
      <c r="N148" s="114">
        <v>0</v>
      </c>
      <c r="O148" s="114">
        <v>0</v>
      </c>
      <c r="P148" s="114">
        <v>0</v>
      </c>
      <c r="Q148" s="114">
        <v>0</v>
      </c>
      <c r="R148" s="114">
        <v>0</v>
      </c>
      <c r="S148" s="114">
        <v>0</v>
      </c>
      <c r="T148" s="114">
        <v>0</v>
      </c>
      <c r="U148" s="114">
        <v>0</v>
      </c>
      <c r="V148" s="114">
        <v>0</v>
      </c>
      <c r="W148" s="114">
        <v>0</v>
      </c>
      <c r="X148" s="114">
        <v>0</v>
      </c>
      <c r="Y148" s="114">
        <v>0</v>
      </c>
      <c r="Z148" s="114">
        <v>0</v>
      </c>
      <c r="AA148" s="114">
        <v>0</v>
      </c>
      <c r="AB148" s="114">
        <v>0</v>
      </c>
      <c r="AC148" s="114">
        <v>0</v>
      </c>
      <c r="AD148" s="114">
        <v>0</v>
      </c>
      <c r="AE148" s="114">
        <v>0</v>
      </c>
      <c r="AF148" s="114">
        <v>0</v>
      </c>
      <c r="AG148" s="114">
        <v>0</v>
      </c>
      <c r="AH148" s="114">
        <v>0</v>
      </c>
      <c r="AI148" s="114">
        <v>0</v>
      </c>
      <c r="AJ148" s="114">
        <v>0</v>
      </c>
      <c r="AK148" s="114">
        <v>0</v>
      </c>
      <c r="AL148" s="114">
        <v>0</v>
      </c>
      <c r="AM148" s="114">
        <v>0</v>
      </c>
      <c r="AN148" s="114">
        <v>0</v>
      </c>
      <c r="AO148" s="114">
        <v>0</v>
      </c>
      <c r="AP148" s="114">
        <v>0</v>
      </c>
      <c r="AQ148" s="114">
        <v>0</v>
      </c>
      <c r="AR148" s="114">
        <v>0</v>
      </c>
      <c r="AS148" s="114">
        <v>0</v>
      </c>
      <c r="AT148" s="114">
        <v>0</v>
      </c>
      <c r="AU148" s="114">
        <v>0</v>
      </c>
      <c r="AV148" s="114">
        <v>0</v>
      </c>
      <c r="AW148" s="114">
        <v>0</v>
      </c>
      <c r="AX148" s="114">
        <v>0</v>
      </c>
      <c r="AY148" s="114">
        <v>0</v>
      </c>
    </row>
    <row r="149" spans="1:51" x14ac:dyDescent="0.2">
      <c r="A149" s="117"/>
      <c r="B149" s="135">
        <v>28</v>
      </c>
      <c r="C149" s="114"/>
      <c r="D149" s="114">
        <v>0</v>
      </c>
      <c r="E149" s="114">
        <v>0</v>
      </c>
      <c r="F149" s="114">
        <v>0</v>
      </c>
      <c r="G149" s="114">
        <v>0</v>
      </c>
      <c r="H149" s="114">
        <v>0</v>
      </c>
      <c r="I149" s="114">
        <v>0</v>
      </c>
      <c r="J149" s="114">
        <v>0</v>
      </c>
      <c r="K149" s="114">
        <v>0</v>
      </c>
      <c r="L149" s="114">
        <v>0</v>
      </c>
      <c r="M149" s="114">
        <v>0</v>
      </c>
      <c r="N149" s="114">
        <v>0</v>
      </c>
      <c r="O149" s="114">
        <v>0</v>
      </c>
      <c r="P149" s="114">
        <v>0</v>
      </c>
      <c r="Q149" s="114">
        <v>0</v>
      </c>
      <c r="R149" s="114">
        <v>0</v>
      </c>
      <c r="S149" s="114">
        <v>0</v>
      </c>
      <c r="T149" s="114">
        <v>0</v>
      </c>
      <c r="U149" s="114">
        <v>0</v>
      </c>
      <c r="V149" s="114">
        <v>0</v>
      </c>
      <c r="W149" s="114">
        <v>0</v>
      </c>
      <c r="X149" s="114">
        <v>0</v>
      </c>
      <c r="Y149" s="114">
        <v>0</v>
      </c>
      <c r="Z149" s="114">
        <v>0</v>
      </c>
      <c r="AA149" s="114">
        <v>0</v>
      </c>
      <c r="AB149" s="114">
        <v>0</v>
      </c>
      <c r="AC149" s="114">
        <v>0</v>
      </c>
      <c r="AD149" s="114">
        <v>0</v>
      </c>
      <c r="AE149" s="114">
        <v>0</v>
      </c>
      <c r="AF149" s="114">
        <v>0</v>
      </c>
      <c r="AG149" s="114">
        <v>0</v>
      </c>
      <c r="AH149" s="114">
        <v>0</v>
      </c>
      <c r="AI149" s="114">
        <v>0</v>
      </c>
      <c r="AJ149" s="114">
        <v>0</v>
      </c>
      <c r="AK149" s="114">
        <v>0</v>
      </c>
      <c r="AL149" s="114">
        <v>0</v>
      </c>
      <c r="AM149" s="114">
        <v>0</v>
      </c>
      <c r="AN149" s="114">
        <v>0</v>
      </c>
      <c r="AO149" s="114">
        <v>0</v>
      </c>
      <c r="AP149" s="114">
        <v>0</v>
      </c>
      <c r="AQ149" s="114">
        <v>0</v>
      </c>
      <c r="AR149" s="114">
        <v>0</v>
      </c>
      <c r="AS149" s="114">
        <v>0</v>
      </c>
      <c r="AT149" s="114">
        <v>0</v>
      </c>
      <c r="AU149" s="114">
        <v>0</v>
      </c>
      <c r="AV149" s="114">
        <v>0</v>
      </c>
      <c r="AW149" s="114">
        <v>0</v>
      </c>
      <c r="AX149" s="114">
        <v>0</v>
      </c>
      <c r="AY149" s="114">
        <v>0</v>
      </c>
    </row>
    <row r="150" spans="1:51" x14ac:dyDescent="0.2">
      <c r="A150" s="117"/>
      <c r="B150" s="135">
        <v>29</v>
      </c>
      <c r="C150" s="114"/>
      <c r="D150" s="114">
        <v>0</v>
      </c>
      <c r="E150" s="114">
        <v>0</v>
      </c>
      <c r="F150" s="114">
        <v>0</v>
      </c>
      <c r="G150" s="114">
        <v>0</v>
      </c>
      <c r="H150" s="114">
        <v>0</v>
      </c>
      <c r="I150" s="114">
        <v>0</v>
      </c>
      <c r="J150" s="114">
        <v>0</v>
      </c>
      <c r="K150" s="114">
        <v>0</v>
      </c>
      <c r="L150" s="114">
        <v>0</v>
      </c>
      <c r="M150" s="114">
        <v>0</v>
      </c>
      <c r="N150" s="114">
        <v>0</v>
      </c>
      <c r="O150" s="114">
        <v>0</v>
      </c>
      <c r="P150" s="114">
        <v>0</v>
      </c>
      <c r="Q150" s="114">
        <v>0</v>
      </c>
      <c r="R150" s="114">
        <v>0</v>
      </c>
      <c r="S150" s="114">
        <v>0</v>
      </c>
      <c r="T150" s="114">
        <v>0</v>
      </c>
      <c r="U150" s="114">
        <v>0</v>
      </c>
      <c r="V150" s="114">
        <v>0</v>
      </c>
      <c r="W150" s="114">
        <v>0</v>
      </c>
      <c r="X150" s="114">
        <v>0</v>
      </c>
      <c r="Y150" s="114">
        <v>0</v>
      </c>
      <c r="Z150" s="114">
        <v>0</v>
      </c>
      <c r="AA150" s="114">
        <v>0</v>
      </c>
      <c r="AB150" s="114">
        <v>0</v>
      </c>
      <c r="AC150" s="114">
        <v>0</v>
      </c>
      <c r="AD150" s="114">
        <v>0</v>
      </c>
      <c r="AE150" s="114">
        <v>0</v>
      </c>
      <c r="AF150" s="114">
        <v>0</v>
      </c>
      <c r="AG150" s="114">
        <v>0</v>
      </c>
      <c r="AH150" s="114">
        <v>0</v>
      </c>
      <c r="AI150" s="114">
        <v>0</v>
      </c>
      <c r="AJ150" s="114">
        <v>0</v>
      </c>
      <c r="AK150" s="114">
        <v>0</v>
      </c>
      <c r="AL150" s="114">
        <v>0</v>
      </c>
      <c r="AM150" s="114">
        <v>0</v>
      </c>
      <c r="AN150" s="114">
        <v>0</v>
      </c>
      <c r="AO150" s="114">
        <v>0</v>
      </c>
      <c r="AP150" s="114">
        <v>0</v>
      </c>
      <c r="AQ150" s="114">
        <v>0</v>
      </c>
      <c r="AR150" s="114">
        <v>0</v>
      </c>
      <c r="AS150" s="114">
        <v>0</v>
      </c>
      <c r="AT150" s="114">
        <v>0</v>
      </c>
      <c r="AU150" s="114">
        <v>0</v>
      </c>
      <c r="AV150" s="114">
        <v>0</v>
      </c>
      <c r="AW150" s="114">
        <v>0</v>
      </c>
      <c r="AX150" s="114">
        <v>0</v>
      </c>
      <c r="AY150" s="114">
        <v>0</v>
      </c>
    </row>
    <row r="151" spans="1:51" x14ac:dyDescent="0.2">
      <c r="A151" s="117"/>
      <c r="B151" s="135">
        <v>30</v>
      </c>
      <c r="C151" s="114"/>
      <c r="D151" s="114">
        <v>0</v>
      </c>
      <c r="E151" s="114">
        <v>0</v>
      </c>
      <c r="F151" s="114">
        <v>0</v>
      </c>
      <c r="G151" s="114">
        <v>0</v>
      </c>
      <c r="H151" s="114">
        <v>0</v>
      </c>
      <c r="I151" s="114">
        <v>0</v>
      </c>
      <c r="J151" s="114">
        <v>0</v>
      </c>
      <c r="K151" s="114">
        <v>0</v>
      </c>
      <c r="L151" s="114">
        <v>0</v>
      </c>
      <c r="M151" s="114">
        <v>0</v>
      </c>
      <c r="N151" s="114">
        <v>0</v>
      </c>
      <c r="O151" s="114">
        <v>0</v>
      </c>
      <c r="P151" s="114">
        <v>0</v>
      </c>
      <c r="Q151" s="114">
        <v>0</v>
      </c>
      <c r="R151" s="114">
        <v>0</v>
      </c>
      <c r="S151" s="114">
        <v>0</v>
      </c>
      <c r="T151" s="114">
        <v>0</v>
      </c>
      <c r="U151" s="114">
        <v>0</v>
      </c>
      <c r="V151" s="114">
        <v>0</v>
      </c>
      <c r="W151" s="114">
        <v>0</v>
      </c>
      <c r="X151" s="114">
        <v>0</v>
      </c>
      <c r="Y151" s="114">
        <v>0</v>
      </c>
      <c r="Z151" s="114">
        <v>0</v>
      </c>
      <c r="AA151" s="114">
        <v>0</v>
      </c>
      <c r="AB151" s="114">
        <v>0</v>
      </c>
      <c r="AC151" s="114">
        <v>0</v>
      </c>
      <c r="AD151" s="114">
        <v>0</v>
      </c>
      <c r="AE151" s="114">
        <v>0</v>
      </c>
      <c r="AF151" s="114">
        <v>0</v>
      </c>
      <c r="AG151" s="114">
        <v>0</v>
      </c>
      <c r="AH151" s="114">
        <v>0</v>
      </c>
      <c r="AI151" s="114">
        <v>0</v>
      </c>
      <c r="AJ151" s="114">
        <v>0</v>
      </c>
      <c r="AK151" s="114">
        <v>0</v>
      </c>
      <c r="AL151" s="114">
        <v>0</v>
      </c>
      <c r="AM151" s="114">
        <v>0</v>
      </c>
      <c r="AN151" s="114">
        <v>0</v>
      </c>
      <c r="AO151" s="114">
        <v>0</v>
      </c>
      <c r="AP151" s="114">
        <v>0</v>
      </c>
      <c r="AQ151" s="114">
        <v>0</v>
      </c>
      <c r="AR151" s="114">
        <v>0</v>
      </c>
      <c r="AS151" s="114">
        <v>0</v>
      </c>
      <c r="AT151" s="114">
        <v>0</v>
      </c>
      <c r="AU151" s="114">
        <v>0</v>
      </c>
      <c r="AV151" s="114">
        <v>0</v>
      </c>
      <c r="AW151" s="114">
        <v>0</v>
      </c>
      <c r="AX151" s="114">
        <v>0</v>
      </c>
      <c r="AY151" s="114">
        <v>0</v>
      </c>
    </row>
    <row r="152" spans="1:51" x14ac:dyDescent="0.2">
      <c r="A152" s="117"/>
      <c r="B152" s="135">
        <v>31</v>
      </c>
      <c r="C152" s="114"/>
      <c r="D152" s="114">
        <v>0</v>
      </c>
      <c r="E152" s="114">
        <v>0</v>
      </c>
      <c r="F152" s="114">
        <v>0</v>
      </c>
      <c r="G152" s="114">
        <v>0</v>
      </c>
      <c r="H152" s="114">
        <v>0</v>
      </c>
      <c r="I152" s="114">
        <v>0</v>
      </c>
      <c r="J152" s="114">
        <v>0</v>
      </c>
      <c r="K152" s="114">
        <v>0</v>
      </c>
      <c r="L152" s="114">
        <v>0</v>
      </c>
      <c r="M152" s="114">
        <v>0</v>
      </c>
      <c r="N152" s="114">
        <v>0</v>
      </c>
      <c r="O152" s="114">
        <v>0</v>
      </c>
      <c r="P152" s="114">
        <v>0</v>
      </c>
      <c r="Q152" s="114">
        <v>0</v>
      </c>
      <c r="R152" s="114">
        <v>0</v>
      </c>
      <c r="S152" s="114">
        <v>0</v>
      </c>
      <c r="T152" s="114">
        <v>0</v>
      </c>
      <c r="U152" s="114">
        <v>0</v>
      </c>
      <c r="V152" s="114">
        <v>0</v>
      </c>
      <c r="W152" s="114">
        <v>0</v>
      </c>
      <c r="X152" s="114">
        <v>0</v>
      </c>
      <c r="Y152" s="114">
        <v>0</v>
      </c>
      <c r="Z152" s="114">
        <v>0</v>
      </c>
      <c r="AA152" s="114">
        <v>0</v>
      </c>
      <c r="AB152" s="114">
        <v>0</v>
      </c>
      <c r="AC152" s="114">
        <v>0</v>
      </c>
      <c r="AD152" s="114">
        <v>0</v>
      </c>
      <c r="AE152" s="114">
        <v>0</v>
      </c>
      <c r="AF152" s="114">
        <v>0</v>
      </c>
      <c r="AG152" s="114">
        <v>0</v>
      </c>
      <c r="AH152" s="114">
        <v>0</v>
      </c>
      <c r="AI152" s="114">
        <v>0</v>
      </c>
      <c r="AJ152" s="114">
        <v>0</v>
      </c>
      <c r="AK152" s="114">
        <v>0</v>
      </c>
      <c r="AL152" s="114">
        <v>0</v>
      </c>
      <c r="AM152" s="114">
        <v>0</v>
      </c>
      <c r="AN152" s="114">
        <v>0</v>
      </c>
      <c r="AO152" s="114">
        <v>0</v>
      </c>
      <c r="AP152" s="114">
        <v>0</v>
      </c>
      <c r="AQ152" s="114">
        <v>0</v>
      </c>
      <c r="AR152" s="114">
        <v>0</v>
      </c>
      <c r="AS152" s="114">
        <v>0</v>
      </c>
      <c r="AT152" s="114">
        <v>0</v>
      </c>
      <c r="AU152" s="114">
        <v>0</v>
      </c>
      <c r="AV152" s="114">
        <v>0</v>
      </c>
      <c r="AW152" s="114">
        <v>0</v>
      </c>
      <c r="AX152" s="114">
        <v>0</v>
      </c>
      <c r="AY152" s="114">
        <v>0</v>
      </c>
    </row>
    <row r="153" spans="1:51" x14ac:dyDescent="0.2">
      <c r="A153" s="117"/>
      <c r="B153" s="135">
        <v>32</v>
      </c>
      <c r="C153" s="114"/>
      <c r="D153" s="114">
        <v>0</v>
      </c>
      <c r="E153" s="114">
        <v>0</v>
      </c>
      <c r="F153" s="114">
        <v>0</v>
      </c>
      <c r="G153" s="114">
        <v>0</v>
      </c>
      <c r="H153" s="114">
        <v>0</v>
      </c>
      <c r="I153" s="114">
        <v>0</v>
      </c>
      <c r="J153" s="114">
        <v>0</v>
      </c>
      <c r="K153" s="114">
        <v>0</v>
      </c>
      <c r="L153" s="114">
        <v>0</v>
      </c>
      <c r="M153" s="114">
        <v>0</v>
      </c>
      <c r="N153" s="114">
        <v>0</v>
      </c>
      <c r="O153" s="114">
        <v>0</v>
      </c>
      <c r="P153" s="114">
        <v>0</v>
      </c>
      <c r="Q153" s="114">
        <v>0</v>
      </c>
      <c r="R153" s="114">
        <v>0</v>
      </c>
      <c r="S153" s="114">
        <v>0</v>
      </c>
      <c r="T153" s="114">
        <v>0</v>
      </c>
      <c r="U153" s="114">
        <v>0</v>
      </c>
      <c r="V153" s="114">
        <v>0</v>
      </c>
      <c r="W153" s="114">
        <v>0</v>
      </c>
      <c r="X153" s="114">
        <v>0</v>
      </c>
      <c r="Y153" s="114">
        <v>0</v>
      </c>
      <c r="Z153" s="114">
        <v>0</v>
      </c>
      <c r="AA153" s="114">
        <v>0</v>
      </c>
      <c r="AB153" s="114">
        <v>0</v>
      </c>
      <c r="AC153" s="114">
        <v>0</v>
      </c>
      <c r="AD153" s="114">
        <v>0</v>
      </c>
      <c r="AE153" s="114">
        <v>0</v>
      </c>
      <c r="AF153" s="114">
        <v>0</v>
      </c>
      <c r="AG153" s="114">
        <v>0</v>
      </c>
      <c r="AH153" s="114">
        <v>0</v>
      </c>
      <c r="AI153" s="114">
        <v>0</v>
      </c>
      <c r="AJ153" s="114">
        <v>0</v>
      </c>
      <c r="AK153" s="114">
        <v>0</v>
      </c>
      <c r="AL153" s="114">
        <v>0</v>
      </c>
      <c r="AM153" s="114">
        <v>0</v>
      </c>
      <c r="AN153" s="114">
        <v>0</v>
      </c>
      <c r="AO153" s="114">
        <v>0</v>
      </c>
      <c r="AP153" s="114">
        <v>0</v>
      </c>
      <c r="AQ153" s="114">
        <v>0</v>
      </c>
      <c r="AR153" s="114">
        <v>0</v>
      </c>
      <c r="AS153" s="114">
        <v>0</v>
      </c>
      <c r="AT153" s="114">
        <v>0</v>
      </c>
      <c r="AU153" s="114">
        <v>0</v>
      </c>
      <c r="AV153" s="114">
        <v>0</v>
      </c>
      <c r="AW153" s="114">
        <v>0</v>
      </c>
      <c r="AX153" s="114">
        <v>0</v>
      </c>
      <c r="AY153" s="114">
        <v>0</v>
      </c>
    </row>
    <row r="154" spans="1:51" x14ac:dyDescent="0.2">
      <c r="A154" s="117"/>
      <c r="B154" s="135">
        <v>33</v>
      </c>
      <c r="C154" s="114"/>
      <c r="D154" s="114">
        <v>0</v>
      </c>
      <c r="E154" s="114">
        <v>0</v>
      </c>
      <c r="F154" s="114">
        <v>0</v>
      </c>
      <c r="G154" s="114">
        <v>0</v>
      </c>
      <c r="H154" s="114">
        <v>0</v>
      </c>
      <c r="I154" s="114">
        <v>0</v>
      </c>
      <c r="J154" s="114">
        <v>0</v>
      </c>
      <c r="K154" s="114">
        <v>0</v>
      </c>
      <c r="L154" s="114">
        <v>0</v>
      </c>
      <c r="M154" s="114">
        <v>0</v>
      </c>
      <c r="N154" s="114">
        <v>0</v>
      </c>
      <c r="O154" s="114">
        <v>0</v>
      </c>
      <c r="P154" s="114">
        <v>0</v>
      </c>
      <c r="Q154" s="114">
        <v>0</v>
      </c>
      <c r="R154" s="114">
        <v>0</v>
      </c>
      <c r="S154" s="114">
        <v>0</v>
      </c>
      <c r="T154" s="114">
        <v>0</v>
      </c>
      <c r="U154" s="114">
        <v>0</v>
      </c>
      <c r="V154" s="114">
        <v>0</v>
      </c>
      <c r="W154" s="114">
        <v>0</v>
      </c>
      <c r="X154" s="114">
        <v>0</v>
      </c>
      <c r="Y154" s="114">
        <v>0</v>
      </c>
      <c r="Z154" s="114">
        <v>0</v>
      </c>
      <c r="AA154" s="114">
        <v>0</v>
      </c>
      <c r="AB154" s="114">
        <v>0</v>
      </c>
      <c r="AC154" s="114">
        <v>0</v>
      </c>
      <c r="AD154" s="114">
        <v>0</v>
      </c>
      <c r="AE154" s="114">
        <v>0</v>
      </c>
      <c r="AF154" s="114">
        <v>0</v>
      </c>
      <c r="AG154" s="114">
        <v>0</v>
      </c>
      <c r="AH154" s="114">
        <v>0</v>
      </c>
      <c r="AI154" s="114">
        <v>0</v>
      </c>
      <c r="AJ154" s="114">
        <v>0</v>
      </c>
      <c r="AK154" s="114">
        <v>0</v>
      </c>
      <c r="AL154" s="114">
        <v>0</v>
      </c>
      <c r="AM154" s="114">
        <v>0</v>
      </c>
      <c r="AN154" s="114">
        <v>0</v>
      </c>
      <c r="AO154" s="114">
        <v>0</v>
      </c>
      <c r="AP154" s="114">
        <v>0</v>
      </c>
      <c r="AQ154" s="114">
        <v>0</v>
      </c>
      <c r="AR154" s="114">
        <v>0</v>
      </c>
      <c r="AS154" s="114">
        <v>0</v>
      </c>
      <c r="AT154" s="114">
        <v>0</v>
      </c>
      <c r="AU154" s="114">
        <v>0</v>
      </c>
      <c r="AV154" s="114">
        <v>0</v>
      </c>
      <c r="AW154" s="114">
        <v>0</v>
      </c>
      <c r="AX154" s="114">
        <v>0</v>
      </c>
      <c r="AY154" s="114">
        <v>0</v>
      </c>
    </row>
    <row r="155" spans="1:51" x14ac:dyDescent="0.2">
      <c r="A155" s="117"/>
      <c r="B155" s="135">
        <v>34</v>
      </c>
      <c r="C155" s="114"/>
      <c r="D155" s="114">
        <v>0</v>
      </c>
      <c r="E155" s="114">
        <v>0</v>
      </c>
      <c r="F155" s="114">
        <v>0</v>
      </c>
      <c r="G155" s="114">
        <v>0</v>
      </c>
      <c r="H155" s="114">
        <v>0</v>
      </c>
      <c r="I155" s="114">
        <v>0</v>
      </c>
      <c r="J155" s="114">
        <v>0</v>
      </c>
      <c r="K155" s="114">
        <v>0</v>
      </c>
      <c r="L155" s="114">
        <v>0</v>
      </c>
      <c r="M155" s="114">
        <v>0</v>
      </c>
      <c r="N155" s="114">
        <v>0</v>
      </c>
      <c r="O155" s="114">
        <v>0</v>
      </c>
      <c r="P155" s="114">
        <v>0</v>
      </c>
      <c r="Q155" s="114">
        <v>0</v>
      </c>
      <c r="R155" s="114">
        <v>0</v>
      </c>
      <c r="S155" s="114">
        <v>0</v>
      </c>
      <c r="T155" s="114">
        <v>0</v>
      </c>
      <c r="U155" s="114">
        <v>0</v>
      </c>
      <c r="V155" s="114">
        <v>0</v>
      </c>
      <c r="W155" s="114">
        <v>0</v>
      </c>
      <c r="X155" s="114">
        <v>0</v>
      </c>
      <c r="Y155" s="114">
        <v>0</v>
      </c>
      <c r="Z155" s="114">
        <v>0</v>
      </c>
      <c r="AA155" s="114">
        <v>0</v>
      </c>
      <c r="AB155" s="114">
        <v>0</v>
      </c>
      <c r="AC155" s="114">
        <v>0</v>
      </c>
      <c r="AD155" s="114">
        <v>0</v>
      </c>
      <c r="AE155" s="114">
        <v>0</v>
      </c>
      <c r="AF155" s="114">
        <v>0</v>
      </c>
      <c r="AG155" s="114">
        <v>0</v>
      </c>
      <c r="AH155" s="114">
        <v>0</v>
      </c>
      <c r="AI155" s="114">
        <v>0</v>
      </c>
      <c r="AJ155" s="114">
        <v>0</v>
      </c>
      <c r="AK155" s="114">
        <v>0</v>
      </c>
      <c r="AL155" s="114">
        <v>0</v>
      </c>
      <c r="AM155" s="114">
        <v>0</v>
      </c>
      <c r="AN155" s="114">
        <v>0</v>
      </c>
      <c r="AO155" s="114">
        <v>0</v>
      </c>
      <c r="AP155" s="114">
        <v>0</v>
      </c>
      <c r="AQ155" s="114">
        <v>0</v>
      </c>
      <c r="AR155" s="114">
        <v>0</v>
      </c>
      <c r="AS155" s="114">
        <v>0</v>
      </c>
      <c r="AT155" s="114">
        <v>0</v>
      </c>
      <c r="AU155" s="114">
        <v>0</v>
      </c>
      <c r="AV155" s="114">
        <v>0</v>
      </c>
      <c r="AW155" s="114">
        <v>0</v>
      </c>
      <c r="AX155" s="114">
        <v>0</v>
      </c>
      <c r="AY155" s="114">
        <v>0</v>
      </c>
    </row>
    <row r="156" spans="1:51" x14ac:dyDescent="0.2">
      <c r="A156" s="117"/>
      <c r="B156" s="135">
        <v>35</v>
      </c>
      <c r="C156" s="114"/>
      <c r="D156" s="114">
        <v>0</v>
      </c>
      <c r="E156" s="114">
        <v>0</v>
      </c>
      <c r="F156" s="114">
        <v>0</v>
      </c>
      <c r="G156" s="114">
        <v>0</v>
      </c>
      <c r="H156" s="114">
        <v>0</v>
      </c>
      <c r="I156" s="114">
        <v>0</v>
      </c>
      <c r="J156" s="114">
        <v>0</v>
      </c>
      <c r="K156" s="114">
        <v>0</v>
      </c>
      <c r="L156" s="114">
        <v>0</v>
      </c>
      <c r="M156" s="114">
        <v>0</v>
      </c>
      <c r="N156" s="114">
        <v>0</v>
      </c>
      <c r="O156" s="114">
        <v>0</v>
      </c>
      <c r="P156" s="114">
        <v>0</v>
      </c>
      <c r="Q156" s="114">
        <v>0</v>
      </c>
      <c r="R156" s="114">
        <v>0</v>
      </c>
      <c r="S156" s="114">
        <v>0</v>
      </c>
      <c r="T156" s="114">
        <v>0</v>
      </c>
      <c r="U156" s="114">
        <v>0</v>
      </c>
      <c r="V156" s="114">
        <v>0</v>
      </c>
      <c r="W156" s="114">
        <v>0</v>
      </c>
      <c r="X156" s="114">
        <v>0</v>
      </c>
      <c r="Y156" s="114">
        <v>0</v>
      </c>
      <c r="Z156" s="114">
        <v>0</v>
      </c>
      <c r="AA156" s="114">
        <v>0</v>
      </c>
      <c r="AB156" s="114">
        <v>0</v>
      </c>
      <c r="AC156" s="114">
        <v>0</v>
      </c>
      <c r="AD156" s="114">
        <v>0</v>
      </c>
      <c r="AE156" s="114">
        <v>0</v>
      </c>
      <c r="AF156" s="114">
        <v>0</v>
      </c>
      <c r="AG156" s="114">
        <v>0</v>
      </c>
      <c r="AH156" s="114">
        <v>0</v>
      </c>
      <c r="AI156" s="114">
        <v>0</v>
      </c>
      <c r="AJ156" s="114">
        <v>0</v>
      </c>
      <c r="AK156" s="114">
        <v>0</v>
      </c>
      <c r="AL156" s="114">
        <v>0</v>
      </c>
      <c r="AM156" s="114">
        <v>0</v>
      </c>
      <c r="AN156" s="114">
        <v>0</v>
      </c>
      <c r="AO156" s="114">
        <v>0</v>
      </c>
      <c r="AP156" s="114">
        <v>0</v>
      </c>
      <c r="AQ156" s="114">
        <v>0</v>
      </c>
      <c r="AR156" s="114">
        <v>0</v>
      </c>
      <c r="AS156" s="114">
        <v>0</v>
      </c>
      <c r="AT156" s="114">
        <v>0</v>
      </c>
      <c r="AU156" s="114">
        <v>0</v>
      </c>
      <c r="AV156" s="114">
        <v>0</v>
      </c>
      <c r="AW156" s="114">
        <v>0</v>
      </c>
      <c r="AX156" s="114">
        <v>0</v>
      </c>
      <c r="AY156" s="114">
        <v>0</v>
      </c>
    </row>
    <row r="157" spans="1:51" x14ac:dyDescent="0.2">
      <c r="A157" s="117"/>
      <c r="B157" s="135">
        <v>36</v>
      </c>
      <c r="C157" s="114"/>
      <c r="D157" s="114">
        <v>0</v>
      </c>
      <c r="E157" s="114">
        <v>0</v>
      </c>
      <c r="F157" s="114">
        <v>0</v>
      </c>
      <c r="G157" s="114">
        <v>0</v>
      </c>
      <c r="H157" s="114">
        <v>0</v>
      </c>
      <c r="I157" s="114">
        <v>0</v>
      </c>
      <c r="J157" s="114">
        <v>0</v>
      </c>
      <c r="K157" s="114">
        <v>0</v>
      </c>
      <c r="L157" s="114">
        <v>0</v>
      </c>
      <c r="M157" s="114">
        <v>0</v>
      </c>
      <c r="N157" s="114">
        <v>0</v>
      </c>
      <c r="O157" s="114">
        <v>0</v>
      </c>
      <c r="P157" s="114">
        <v>0</v>
      </c>
      <c r="Q157" s="114">
        <v>0</v>
      </c>
      <c r="R157" s="114">
        <v>0</v>
      </c>
      <c r="S157" s="114">
        <v>0</v>
      </c>
      <c r="T157" s="114">
        <v>0</v>
      </c>
      <c r="U157" s="114">
        <v>0</v>
      </c>
      <c r="V157" s="114">
        <v>0</v>
      </c>
      <c r="W157" s="114">
        <v>0</v>
      </c>
      <c r="X157" s="114">
        <v>0</v>
      </c>
      <c r="Y157" s="114">
        <v>0</v>
      </c>
      <c r="Z157" s="114">
        <v>0</v>
      </c>
      <c r="AA157" s="114">
        <v>0</v>
      </c>
      <c r="AB157" s="114">
        <v>0</v>
      </c>
      <c r="AC157" s="114">
        <v>0</v>
      </c>
      <c r="AD157" s="114">
        <v>0</v>
      </c>
      <c r="AE157" s="114">
        <v>0</v>
      </c>
      <c r="AF157" s="114">
        <v>0</v>
      </c>
      <c r="AG157" s="114">
        <v>0</v>
      </c>
      <c r="AH157" s="114">
        <v>0</v>
      </c>
      <c r="AI157" s="114">
        <v>0</v>
      </c>
      <c r="AJ157" s="114">
        <v>0</v>
      </c>
      <c r="AK157" s="114">
        <v>0</v>
      </c>
      <c r="AL157" s="114">
        <v>0</v>
      </c>
      <c r="AM157" s="114">
        <v>0</v>
      </c>
      <c r="AN157" s="114">
        <v>0</v>
      </c>
      <c r="AO157" s="114">
        <v>0</v>
      </c>
      <c r="AP157" s="114">
        <v>0</v>
      </c>
      <c r="AQ157" s="114">
        <v>0</v>
      </c>
      <c r="AR157" s="114">
        <v>0</v>
      </c>
      <c r="AS157" s="114">
        <v>0</v>
      </c>
      <c r="AT157" s="114">
        <v>0</v>
      </c>
      <c r="AU157" s="114">
        <v>0</v>
      </c>
      <c r="AV157" s="114">
        <v>0</v>
      </c>
      <c r="AW157" s="114">
        <v>0</v>
      </c>
      <c r="AX157" s="114">
        <v>0</v>
      </c>
      <c r="AY157" s="114">
        <v>0</v>
      </c>
    </row>
    <row r="158" spans="1:51" x14ac:dyDescent="0.2">
      <c r="A158" s="117"/>
      <c r="B158" s="138">
        <v>37</v>
      </c>
      <c r="C158" s="114"/>
      <c r="D158" s="114">
        <v>0</v>
      </c>
      <c r="E158" s="114">
        <v>0</v>
      </c>
      <c r="F158" s="114">
        <v>0</v>
      </c>
      <c r="G158" s="114">
        <v>0</v>
      </c>
      <c r="H158" s="114">
        <v>0</v>
      </c>
      <c r="I158" s="114">
        <v>0</v>
      </c>
      <c r="J158" s="114">
        <v>0</v>
      </c>
      <c r="K158" s="114">
        <v>0</v>
      </c>
      <c r="L158" s="114">
        <v>0</v>
      </c>
      <c r="M158" s="114">
        <v>0</v>
      </c>
      <c r="N158" s="114">
        <v>0</v>
      </c>
      <c r="O158" s="114">
        <v>0</v>
      </c>
      <c r="P158" s="114">
        <v>0</v>
      </c>
      <c r="Q158" s="114">
        <v>0</v>
      </c>
      <c r="R158" s="114">
        <v>0</v>
      </c>
      <c r="S158" s="114">
        <v>0</v>
      </c>
      <c r="T158" s="114">
        <v>0</v>
      </c>
      <c r="U158" s="114">
        <v>0</v>
      </c>
      <c r="V158" s="114">
        <v>0</v>
      </c>
      <c r="W158" s="114">
        <v>0</v>
      </c>
      <c r="X158" s="114">
        <v>0</v>
      </c>
      <c r="Y158" s="114">
        <v>0</v>
      </c>
      <c r="Z158" s="114">
        <v>0</v>
      </c>
      <c r="AA158" s="114">
        <v>0</v>
      </c>
      <c r="AB158" s="114">
        <v>0</v>
      </c>
      <c r="AC158" s="114">
        <v>0</v>
      </c>
      <c r="AD158" s="114">
        <v>0</v>
      </c>
      <c r="AE158" s="114">
        <v>0</v>
      </c>
      <c r="AF158" s="114">
        <v>0</v>
      </c>
      <c r="AG158" s="114">
        <v>0</v>
      </c>
      <c r="AH158" s="114">
        <v>0</v>
      </c>
      <c r="AI158" s="114">
        <v>0</v>
      </c>
      <c r="AJ158" s="114">
        <v>0</v>
      </c>
      <c r="AK158" s="114">
        <v>0</v>
      </c>
      <c r="AL158" s="114">
        <v>0</v>
      </c>
      <c r="AM158" s="114">
        <v>0</v>
      </c>
      <c r="AN158" s="114">
        <v>0</v>
      </c>
      <c r="AO158" s="114">
        <v>0</v>
      </c>
      <c r="AP158" s="114">
        <v>0</v>
      </c>
      <c r="AQ158" s="114">
        <v>0</v>
      </c>
      <c r="AR158" s="114">
        <v>0</v>
      </c>
      <c r="AS158" s="114">
        <v>0</v>
      </c>
      <c r="AT158" s="114">
        <v>0</v>
      </c>
      <c r="AU158" s="114">
        <v>0</v>
      </c>
      <c r="AV158" s="114">
        <v>0</v>
      </c>
      <c r="AW158" s="114">
        <v>0</v>
      </c>
      <c r="AX158" s="114">
        <v>0</v>
      </c>
      <c r="AY158" s="114">
        <v>0</v>
      </c>
    </row>
    <row r="159" spans="1:51" x14ac:dyDescent="0.2">
      <c r="A159" s="117"/>
      <c r="B159" s="138">
        <v>38</v>
      </c>
      <c r="C159" s="114"/>
      <c r="D159" s="114">
        <v>0</v>
      </c>
      <c r="E159" s="114">
        <v>0</v>
      </c>
      <c r="F159" s="114">
        <v>0</v>
      </c>
      <c r="G159" s="114">
        <v>0</v>
      </c>
      <c r="H159" s="114">
        <v>0</v>
      </c>
      <c r="I159" s="114">
        <v>0</v>
      </c>
      <c r="J159" s="114">
        <v>0</v>
      </c>
      <c r="K159" s="114">
        <v>0</v>
      </c>
      <c r="L159" s="114">
        <v>0</v>
      </c>
      <c r="M159" s="114">
        <v>0</v>
      </c>
      <c r="N159" s="114">
        <v>0</v>
      </c>
      <c r="O159" s="114">
        <v>0</v>
      </c>
      <c r="P159" s="114">
        <v>0</v>
      </c>
      <c r="Q159" s="114">
        <v>0</v>
      </c>
      <c r="R159" s="114">
        <v>0</v>
      </c>
      <c r="S159" s="114">
        <v>0</v>
      </c>
      <c r="T159" s="114">
        <v>0</v>
      </c>
      <c r="U159" s="114">
        <v>0</v>
      </c>
      <c r="V159" s="114">
        <v>0</v>
      </c>
      <c r="W159" s="114">
        <v>0</v>
      </c>
      <c r="X159" s="114">
        <v>0</v>
      </c>
      <c r="Y159" s="114">
        <v>0</v>
      </c>
      <c r="Z159" s="114">
        <v>0</v>
      </c>
      <c r="AA159" s="114">
        <v>0</v>
      </c>
      <c r="AB159" s="114">
        <v>0</v>
      </c>
      <c r="AC159" s="114">
        <v>0</v>
      </c>
      <c r="AD159" s="114">
        <v>0</v>
      </c>
      <c r="AE159" s="114">
        <v>0</v>
      </c>
      <c r="AF159" s="114">
        <v>0</v>
      </c>
      <c r="AG159" s="114">
        <v>0</v>
      </c>
      <c r="AH159" s="114">
        <v>0</v>
      </c>
      <c r="AI159" s="114">
        <v>0</v>
      </c>
      <c r="AJ159" s="114">
        <v>0</v>
      </c>
      <c r="AK159" s="114">
        <v>0</v>
      </c>
      <c r="AL159" s="114">
        <v>0</v>
      </c>
      <c r="AM159" s="114">
        <v>0</v>
      </c>
      <c r="AN159" s="114">
        <v>0</v>
      </c>
      <c r="AO159" s="114">
        <v>0</v>
      </c>
      <c r="AP159" s="114">
        <v>0</v>
      </c>
      <c r="AQ159" s="114">
        <v>0</v>
      </c>
      <c r="AR159" s="114">
        <v>0</v>
      </c>
      <c r="AS159" s="114">
        <v>0</v>
      </c>
      <c r="AT159" s="114">
        <v>0</v>
      </c>
      <c r="AU159" s="114">
        <v>0</v>
      </c>
      <c r="AV159" s="114">
        <v>0</v>
      </c>
      <c r="AW159" s="114">
        <v>0</v>
      </c>
      <c r="AX159" s="114">
        <v>0</v>
      </c>
      <c r="AY159" s="114">
        <v>0</v>
      </c>
    </row>
    <row r="160" spans="1:51" x14ac:dyDescent="0.2">
      <c r="A160" s="117"/>
      <c r="B160" s="138">
        <v>39</v>
      </c>
      <c r="C160" s="114"/>
      <c r="D160" s="114">
        <v>0</v>
      </c>
      <c r="E160" s="114">
        <v>0</v>
      </c>
      <c r="F160" s="114">
        <v>0</v>
      </c>
      <c r="G160" s="114">
        <v>0</v>
      </c>
      <c r="H160" s="114">
        <v>0</v>
      </c>
      <c r="I160" s="114">
        <v>0</v>
      </c>
      <c r="J160" s="114">
        <v>0</v>
      </c>
      <c r="K160" s="114">
        <v>0</v>
      </c>
      <c r="L160" s="114">
        <v>0</v>
      </c>
      <c r="M160" s="114">
        <v>0</v>
      </c>
      <c r="N160" s="114">
        <v>0</v>
      </c>
      <c r="O160" s="114">
        <v>0</v>
      </c>
      <c r="P160" s="114">
        <v>0</v>
      </c>
      <c r="Q160" s="114">
        <v>0</v>
      </c>
      <c r="R160" s="114">
        <v>0</v>
      </c>
      <c r="S160" s="114">
        <v>0</v>
      </c>
      <c r="T160" s="114">
        <v>0</v>
      </c>
      <c r="U160" s="114">
        <v>0</v>
      </c>
      <c r="V160" s="114">
        <v>0</v>
      </c>
      <c r="W160" s="114">
        <v>0</v>
      </c>
      <c r="X160" s="114">
        <v>0</v>
      </c>
      <c r="Y160" s="114">
        <v>0</v>
      </c>
      <c r="Z160" s="114">
        <v>0</v>
      </c>
      <c r="AA160" s="114">
        <v>0</v>
      </c>
      <c r="AB160" s="114">
        <v>0</v>
      </c>
      <c r="AC160" s="114">
        <v>0</v>
      </c>
      <c r="AD160" s="114">
        <v>0</v>
      </c>
      <c r="AE160" s="114">
        <v>0</v>
      </c>
      <c r="AF160" s="114">
        <v>0</v>
      </c>
      <c r="AG160" s="114">
        <v>0</v>
      </c>
      <c r="AH160" s="114">
        <v>0</v>
      </c>
      <c r="AI160" s="114">
        <v>0</v>
      </c>
      <c r="AJ160" s="114">
        <v>0</v>
      </c>
      <c r="AK160" s="114">
        <v>0</v>
      </c>
      <c r="AL160" s="114">
        <v>0</v>
      </c>
      <c r="AM160" s="114">
        <v>0</v>
      </c>
      <c r="AN160" s="114">
        <v>0</v>
      </c>
      <c r="AO160" s="114">
        <v>0</v>
      </c>
      <c r="AP160" s="114">
        <v>0</v>
      </c>
      <c r="AQ160" s="114">
        <v>0</v>
      </c>
      <c r="AR160" s="114">
        <v>0</v>
      </c>
      <c r="AS160" s="114">
        <v>0</v>
      </c>
      <c r="AT160" s="114">
        <v>0</v>
      </c>
      <c r="AU160" s="114">
        <v>0</v>
      </c>
      <c r="AV160" s="114">
        <v>0</v>
      </c>
      <c r="AW160" s="114">
        <v>0</v>
      </c>
      <c r="AX160" s="114">
        <v>0</v>
      </c>
      <c r="AY160" s="114">
        <v>0</v>
      </c>
    </row>
    <row r="161" spans="1:52" x14ac:dyDescent="0.2">
      <c r="A161" s="117"/>
      <c r="B161" s="138">
        <v>40</v>
      </c>
      <c r="C161" s="114"/>
      <c r="D161" s="114">
        <v>0</v>
      </c>
      <c r="E161" s="114">
        <v>0</v>
      </c>
      <c r="F161" s="114">
        <v>0</v>
      </c>
      <c r="G161" s="114">
        <v>0</v>
      </c>
      <c r="H161" s="114">
        <v>0</v>
      </c>
      <c r="I161" s="114">
        <v>0</v>
      </c>
      <c r="J161" s="114">
        <v>0</v>
      </c>
      <c r="K161" s="114">
        <v>0</v>
      </c>
      <c r="L161" s="114">
        <v>0</v>
      </c>
      <c r="M161" s="114">
        <v>0</v>
      </c>
      <c r="N161" s="114">
        <v>0</v>
      </c>
      <c r="O161" s="114">
        <v>0</v>
      </c>
      <c r="P161" s="114">
        <v>0</v>
      </c>
      <c r="Q161" s="114">
        <v>0</v>
      </c>
      <c r="R161" s="114">
        <v>0</v>
      </c>
      <c r="S161" s="114">
        <v>0</v>
      </c>
      <c r="T161" s="114">
        <v>0</v>
      </c>
      <c r="U161" s="114">
        <v>0</v>
      </c>
      <c r="V161" s="114">
        <v>0</v>
      </c>
      <c r="W161" s="114">
        <v>0</v>
      </c>
      <c r="X161" s="114">
        <v>0</v>
      </c>
      <c r="Y161" s="114">
        <v>0</v>
      </c>
      <c r="Z161" s="114">
        <v>0</v>
      </c>
      <c r="AA161" s="114">
        <v>0</v>
      </c>
      <c r="AB161" s="114">
        <v>0</v>
      </c>
      <c r="AC161" s="114">
        <v>0</v>
      </c>
      <c r="AD161" s="114">
        <v>0</v>
      </c>
      <c r="AE161" s="114">
        <v>0</v>
      </c>
      <c r="AF161" s="114">
        <v>0</v>
      </c>
      <c r="AG161" s="114">
        <v>0</v>
      </c>
      <c r="AH161" s="114">
        <v>0</v>
      </c>
      <c r="AI161" s="114">
        <v>0</v>
      </c>
      <c r="AJ161" s="114">
        <v>0</v>
      </c>
      <c r="AK161" s="114">
        <v>0</v>
      </c>
      <c r="AL161" s="114">
        <v>0</v>
      </c>
      <c r="AM161" s="114">
        <v>0</v>
      </c>
      <c r="AN161" s="114">
        <v>0</v>
      </c>
      <c r="AO161" s="114">
        <v>0</v>
      </c>
      <c r="AP161" s="114">
        <v>0</v>
      </c>
      <c r="AQ161" s="114">
        <v>0</v>
      </c>
      <c r="AR161" s="114">
        <v>0</v>
      </c>
      <c r="AS161" s="114">
        <v>0</v>
      </c>
      <c r="AT161" s="114">
        <v>0</v>
      </c>
      <c r="AU161" s="114">
        <v>0</v>
      </c>
      <c r="AV161" s="114">
        <v>0</v>
      </c>
      <c r="AW161" s="114">
        <v>0</v>
      </c>
      <c r="AX161" s="114">
        <v>0</v>
      </c>
      <c r="AY161" s="114">
        <v>0</v>
      </c>
    </row>
    <row r="162" spans="1:52" x14ac:dyDescent="0.2">
      <c r="A162" s="117"/>
      <c r="B162" s="138">
        <v>41</v>
      </c>
      <c r="C162" s="114"/>
      <c r="D162" s="114">
        <v>0</v>
      </c>
      <c r="E162" s="114">
        <v>0</v>
      </c>
      <c r="F162" s="114">
        <v>0</v>
      </c>
      <c r="G162" s="114">
        <v>0</v>
      </c>
      <c r="H162" s="114">
        <v>0</v>
      </c>
      <c r="I162" s="114">
        <v>0</v>
      </c>
      <c r="J162" s="114">
        <v>0</v>
      </c>
      <c r="K162" s="114">
        <v>0</v>
      </c>
      <c r="L162" s="114">
        <v>0</v>
      </c>
      <c r="M162" s="114">
        <v>0</v>
      </c>
      <c r="N162" s="114">
        <v>0</v>
      </c>
      <c r="O162" s="114">
        <v>0</v>
      </c>
      <c r="P162" s="114">
        <v>0</v>
      </c>
      <c r="Q162" s="114">
        <v>0</v>
      </c>
      <c r="R162" s="114">
        <v>0</v>
      </c>
      <c r="S162" s="114">
        <v>0</v>
      </c>
      <c r="T162" s="114">
        <v>0</v>
      </c>
      <c r="U162" s="114">
        <v>0</v>
      </c>
      <c r="V162" s="114">
        <v>0</v>
      </c>
      <c r="W162" s="114">
        <v>0</v>
      </c>
      <c r="X162" s="114">
        <v>0</v>
      </c>
      <c r="Y162" s="114">
        <v>0</v>
      </c>
      <c r="Z162" s="114">
        <v>0</v>
      </c>
      <c r="AA162" s="114">
        <v>0</v>
      </c>
      <c r="AB162" s="114">
        <v>0</v>
      </c>
      <c r="AC162" s="114">
        <v>0</v>
      </c>
      <c r="AD162" s="114">
        <v>0</v>
      </c>
      <c r="AE162" s="114">
        <v>0</v>
      </c>
      <c r="AF162" s="114">
        <v>0</v>
      </c>
      <c r="AG162" s="114">
        <v>0</v>
      </c>
      <c r="AH162" s="114">
        <v>0</v>
      </c>
      <c r="AI162" s="114">
        <v>0</v>
      </c>
      <c r="AJ162" s="114">
        <v>0</v>
      </c>
      <c r="AK162" s="114">
        <v>0</v>
      </c>
      <c r="AL162" s="114">
        <v>0</v>
      </c>
      <c r="AM162" s="114">
        <v>0</v>
      </c>
      <c r="AN162" s="114">
        <v>0</v>
      </c>
      <c r="AO162" s="114">
        <v>0</v>
      </c>
      <c r="AP162" s="114">
        <v>0</v>
      </c>
      <c r="AQ162" s="114">
        <v>0</v>
      </c>
      <c r="AR162" s="114">
        <v>0</v>
      </c>
      <c r="AS162" s="114">
        <v>0</v>
      </c>
      <c r="AT162" s="114">
        <v>0</v>
      </c>
      <c r="AU162" s="114">
        <v>0</v>
      </c>
      <c r="AV162" s="114">
        <v>0</v>
      </c>
      <c r="AW162" s="114">
        <v>0</v>
      </c>
      <c r="AX162" s="114">
        <v>0</v>
      </c>
      <c r="AY162" s="114">
        <v>0</v>
      </c>
    </row>
    <row r="163" spans="1:52" x14ac:dyDescent="0.2">
      <c r="A163" s="117"/>
      <c r="B163" s="138">
        <v>42</v>
      </c>
      <c r="C163" s="114"/>
      <c r="D163" s="114">
        <v>0</v>
      </c>
      <c r="E163" s="114">
        <v>0</v>
      </c>
      <c r="F163" s="114">
        <v>0</v>
      </c>
      <c r="G163" s="114">
        <v>0</v>
      </c>
      <c r="H163" s="114">
        <v>0</v>
      </c>
      <c r="I163" s="114">
        <v>0</v>
      </c>
      <c r="J163" s="114">
        <v>0</v>
      </c>
      <c r="K163" s="114">
        <v>0</v>
      </c>
      <c r="L163" s="114">
        <v>0</v>
      </c>
      <c r="M163" s="114">
        <v>0</v>
      </c>
      <c r="N163" s="114">
        <v>0</v>
      </c>
      <c r="O163" s="114">
        <v>0</v>
      </c>
      <c r="P163" s="114">
        <v>0</v>
      </c>
      <c r="Q163" s="114">
        <v>0</v>
      </c>
      <c r="R163" s="114">
        <v>0</v>
      </c>
      <c r="S163" s="114">
        <v>0</v>
      </c>
      <c r="T163" s="114">
        <v>0</v>
      </c>
      <c r="U163" s="114">
        <v>0</v>
      </c>
      <c r="V163" s="114">
        <v>0</v>
      </c>
      <c r="W163" s="114">
        <v>0</v>
      </c>
      <c r="X163" s="114">
        <v>0</v>
      </c>
      <c r="Y163" s="114">
        <v>0</v>
      </c>
      <c r="Z163" s="114">
        <v>0</v>
      </c>
      <c r="AA163" s="114">
        <v>0</v>
      </c>
      <c r="AB163" s="114">
        <v>0</v>
      </c>
      <c r="AC163" s="114">
        <v>0</v>
      </c>
      <c r="AD163" s="114">
        <v>0</v>
      </c>
      <c r="AE163" s="114">
        <v>0</v>
      </c>
      <c r="AF163" s="114">
        <v>0</v>
      </c>
      <c r="AG163" s="114">
        <v>0</v>
      </c>
      <c r="AH163" s="114">
        <v>0</v>
      </c>
      <c r="AI163" s="114">
        <v>0</v>
      </c>
      <c r="AJ163" s="114">
        <v>0</v>
      </c>
      <c r="AK163" s="114">
        <v>0</v>
      </c>
      <c r="AL163" s="114">
        <v>0</v>
      </c>
      <c r="AM163" s="114">
        <v>0</v>
      </c>
      <c r="AN163" s="114">
        <v>0</v>
      </c>
      <c r="AO163" s="114">
        <v>0</v>
      </c>
      <c r="AP163" s="114">
        <v>0</v>
      </c>
      <c r="AQ163" s="114">
        <v>0</v>
      </c>
      <c r="AR163" s="114">
        <v>0</v>
      </c>
      <c r="AS163" s="114">
        <v>0</v>
      </c>
      <c r="AT163" s="114">
        <v>0</v>
      </c>
      <c r="AU163" s="114">
        <v>0</v>
      </c>
      <c r="AV163" s="114">
        <v>0</v>
      </c>
      <c r="AW163" s="114">
        <v>0</v>
      </c>
      <c r="AX163" s="114">
        <v>0</v>
      </c>
      <c r="AY163" s="114">
        <v>0</v>
      </c>
    </row>
    <row r="164" spans="1:52" x14ac:dyDescent="0.2">
      <c r="A164" s="117"/>
      <c r="B164" s="138">
        <v>43</v>
      </c>
      <c r="C164" s="114"/>
      <c r="D164" s="114">
        <v>0</v>
      </c>
      <c r="E164" s="114">
        <v>0</v>
      </c>
      <c r="F164" s="114">
        <v>0</v>
      </c>
      <c r="G164" s="114">
        <v>0</v>
      </c>
      <c r="H164" s="114">
        <v>0</v>
      </c>
      <c r="I164" s="114">
        <v>0</v>
      </c>
      <c r="J164" s="114">
        <v>0</v>
      </c>
      <c r="K164" s="114">
        <v>0</v>
      </c>
      <c r="L164" s="114">
        <v>0</v>
      </c>
      <c r="M164" s="114">
        <v>0</v>
      </c>
      <c r="N164" s="114">
        <v>0</v>
      </c>
      <c r="O164" s="114">
        <v>0</v>
      </c>
      <c r="P164" s="114">
        <v>0</v>
      </c>
      <c r="Q164" s="114">
        <v>0</v>
      </c>
      <c r="R164" s="114">
        <v>0</v>
      </c>
      <c r="S164" s="114">
        <v>0</v>
      </c>
      <c r="T164" s="114">
        <v>0</v>
      </c>
      <c r="U164" s="114">
        <v>0</v>
      </c>
      <c r="V164" s="114">
        <v>0</v>
      </c>
      <c r="W164" s="114">
        <v>0</v>
      </c>
      <c r="X164" s="114">
        <v>0</v>
      </c>
      <c r="Y164" s="114">
        <v>0</v>
      </c>
      <c r="Z164" s="114">
        <v>0</v>
      </c>
      <c r="AA164" s="114">
        <v>0</v>
      </c>
      <c r="AB164" s="114">
        <v>0</v>
      </c>
      <c r="AC164" s="114">
        <v>0</v>
      </c>
      <c r="AD164" s="114">
        <v>0</v>
      </c>
      <c r="AE164" s="114">
        <v>0</v>
      </c>
      <c r="AF164" s="114">
        <v>0</v>
      </c>
      <c r="AG164" s="114">
        <v>0</v>
      </c>
      <c r="AH164" s="114">
        <v>0</v>
      </c>
      <c r="AI164" s="114">
        <v>0</v>
      </c>
      <c r="AJ164" s="114">
        <v>0</v>
      </c>
      <c r="AK164" s="114">
        <v>0</v>
      </c>
      <c r="AL164" s="114">
        <v>0</v>
      </c>
      <c r="AM164" s="114">
        <v>0</v>
      </c>
      <c r="AN164" s="114">
        <v>0</v>
      </c>
      <c r="AO164" s="114">
        <v>0</v>
      </c>
      <c r="AP164" s="114">
        <v>0</v>
      </c>
      <c r="AQ164" s="114">
        <v>0</v>
      </c>
      <c r="AR164" s="114">
        <v>0</v>
      </c>
      <c r="AS164" s="114">
        <v>0</v>
      </c>
      <c r="AT164" s="114">
        <v>0</v>
      </c>
      <c r="AU164" s="114">
        <v>0</v>
      </c>
      <c r="AV164" s="114">
        <v>0</v>
      </c>
      <c r="AW164" s="114">
        <v>0</v>
      </c>
      <c r="AX164" s="114">
        <v>0</v>
      </c>
      <c r="AY164" s="114">
        <v>0</v>
      </c>
    </row>
    <row r="165" spans="1:52" x14ac:dyDescent="0.2">
      <c r="A165" s="117"/>
      <c r="B165" s="138">
        <v>44</v>
      </c>
      <c r="C165" s="114"/>
      <c r="D165" s="114">
        <v>0</v>
      </c>
      <c r="E165" s="114">
        <v>0</v>
      </c>
      <c r="F165" s="114">
        <v>0</v>
      </c>
      <c r="G165" s="114">
        <v>0</v>
      </c>
      <c r="H165" s="114">
        <v>0</v>
      </c>
      <c r="I165" s="114">
        <v>0</v>
      </c>
      <c r="J165" s="114">
        <v>0</v>
      </c>
      <c r="K165" s="114">
        <v>0</v>
      </c>
      <c r="L165" s="114">
        <v>0</v>
      </c>
      <c r="M165" s="114">
        <v>0</v>
      </c>
      <c r="N165" s="114">
        <v>0</v>
      </c>
      <c r="O165" s="114">
        <v>0</v>
      </c>
      <c r="P165" s="114">
        <v>0</v>
      </c>
      <c r="Q165" s="114">
        <v>0</v>
      </c>
      <c r="R165" s="114">
        <v>0</v>
      </c>
      <c r="S165" s="114">
        <v>0</v>
      </c>
      <c r="T165" s="114">
        <v>0</v>
      </c>
      <c r="U165" s="114">
        <v>0</v>
      </c>
      <c r="V165" s="114">
        <v>0</v>
      </c>
      <c r="W165" s="114">
        <v>0</v>
      </c>
      <c r="X165" s="114">
        <v>0</v>
      </c>
      <c r="Y165" s="114">
        <v>0</v>
      </c>
      <c r="Z165" s="114">
        <v>0</v>
      </c>
      <c r="AA165" s="114">
        <v>0</v>
      </c>
      <c r="AB165" s="114">
        <v>0</v>
      </c>
      <c r="AC165" s="114">
        <v>0</v>
      </c>
      <c r="AD165" s="114">
        <v>0</v>
      </c>
      <c r="AE165" s="114">
        <v>0</v>
      </c>
      <c r="AF165" s="114">
        <v>0</v>
      </c>
      <c r="AG165" s="114">
        <v>0</v>
      </c>
      <c r="AH165" s="114">
        <v>0</v>
      </c>
      <c r="AI165" s="114">
        <v>0</v>
      </c>
      <c r="AJ165" s="114">
        <v>0</v>
      </c>
      <c r="AK165" s="114">
        <v>0</v>
      </c>
      <c r="AL165" s="114">
        <v>0</v>
      </c>
      <c r="AM165" s="114">
        <v>0</v>
      </c>
      <c r="AN165" s="114">
        <v>0</v>
      </c>
      <c r="AO165" s="114">
        <v>0</v>
      </c>
      <c r="AP165" s="114">
        <v>0</v>
      </c>
      <c r="AQ165" s="114">
        <v>0</v>
      </c>
      <c r="AR165" s="114">
        <v>0</v>
      </c>
      <c r="AS165" s="114">
        <v>0</v>
      </c>
      <c r="AT165" s="114">
        <v>0</v>
      </c>
      <c r="AU165" s="114">
        <v>0</v>
      </c>
      <c r="AV165" s="114">
        <v>0</v>
      </c>
      <c r="AW165" s="114">
        <v>0</v>
      </c>
      <c r="AX165" s="114">
        <v>0</v>
      </c>
      <c r="AY165" s="114">
        <v>0</v>
      </c>
    </row>
    <row r="166" spans="1:52" x14ac:dyDescent="0.2">
      <c r="A166" s="117"/>
      <c r="B166" s="138">
        <v>45</v>
      </c>
      <c r="C166" s="114"/>
      <c r="D166" s="114">
        <v>0</v>
      </c>
      <c r="E166" s="114">
        <v>0</v>
      </c>
      <c r="F166" s="114">
        <v>0</v>
      </c>
      <c r="G166" s="114">
        <v>0</v>
      </c>
      <c r="H166" s="114">
        <v>0</v>
      </c>
      <c r="I166" s="114">
        <v>0</v>
      </c>
      <c r="J166" s="114">
        <v>0</v>
      </c>
      <c r="K166" s="114">
        <v>0</v>
      </c>
      <c r="L166" s="114">
        <v>0</v>
      </c>
      <c r="M166" s="114">
        <v>0</v>
      </c>
      <c r="N166" s="114">
        <v>0</v>
      </c>
      <c r="O166" s="114">
        <v>0</v>
      </c>
      <c r="P166" s="114">
        <v>0</v>
      </c>
      <c r="Q166" s="114">
        <v>0</v>
      </c>
      <c r="R166" s="114">
        <v>0</v>
      </c>
      <c r="S166" s="114">
        <v>0</v>
      </c>
      <c r="T166" s="114">
        <v>0</v>
      </c>
      <c r="U166" s="114">
        <v>0</v>
      </c>
      <c r="V166" s="114">
        <v>0</v>
      </c>
      <c r="W166" s="114">
        <v>0</v>
      </c>
      <c r="X166" s="114">
        <v>0</v>
      </c>
      <c r="Y166" s="114">
        <v>0</v>
      </c>
      <c r="Z166" s="114">
        <v>0</v>
      </c>
      <c r="AA166" s="114">
        <v>0</v>
      </c>
      <c r="AB166" s="114">
        <v>0</v>
      </c>
      <c r="AC166" s="114">
        <v>0</v>
      </c>
      <c r="AD166" s="114">
        <v>0</v>
      </c>
      <c r="AE166" s="114">
        <v>0</v>
      </c>
      <c r="AF166" s="114">
        <v>0</v>
      </c>
      <c r="AG166" s="114">
        <v>0</v>
      </c>
      <c r="AH166" s="114">
        <v>0</v>
      </c>
      <c r="AI166" s="114">
        <v>0</v>
      </c>
      <c r="AJ166" s="114">
        <v>0</v>
      </c>
      <c r="AK166" s="114">
        <v>0</v>
      </c>
      <c r="AL166" s="114">
        <v>0</v>
      </c>
      <c r="AM166" s="114">
        <v>0</v>
      </c>
      <c r="AN166" s="114">
        <v>0</v>
      </c>
      <c r="AO166" s="114">
        <v>0</v>
      </c>
      <c r="AP166" s="114">
        <v>0</v>
      </c>
      <c r="AQ166" s="114">
        <v>0</v>
      </c>
      <c r="AR166" s="114">
        <v>0</v>
      </c>
      <c r="AS166" s="114">
        <v>0</v>
      </c>
      <c r="AT166" s="114">
        <v>0</v>
      </c>
      <c r="AU166" s="114">
        <v>0</v>
      </c>
      <c r="AV166" s="114">
        <v>0</v>
      </c>
      <c r="AW166" s="114">
        <v>0</v>
      </c>
      <c r="AX166" s="114">
        <v>0</v>
      </c>
      <c r="AY166" s="114">
        <v>0</v>
      </c>
    </row>
    <row r="167" spans="1:52" x14ac:dyDescent="0.2">
      <c r="A167" s="117"/>
      <c r="B167" s="138">
        <v>46</v>
      </c>
      <c r="C167" s="114"/>
      <c r="D167" s="114">
        <v>0</v>
      </c>
      <c r="E167" s="114">
        <v>0</v>
      </c>
      <c r="F167" s="114">
        <v>0</v>
      </c>
      <c r="G167" s="114">
        <v>0</v>
      </c>
      <c r="H167" s="114">
        <v>0</v>
      </c>
      <c r="I167" s="114">
        <v>0</v>
      </c>
      <c r="J167" s="114">
        <v>0</v>
      </c>
      <c r="K167" s="114">
        <v>0</v>
      </c>
      <c r="L167" s="114">
        <v>0</v>
      </c>
      <c r="M167" s="114">
        <v>0</v>
      </c>
      <c r="N167" s="114">
        <v>0</v>
      </c>
      <c r="O167" s="114">
        <v>0</v>
      </c>
      <c r="P167" s="114">
        <v>0</v>
      </c>
      <c r="Q167" s="114">
        <v>0</v>
      </c>
      <c r="R167" s="114">
        <v>0</v>
      </c>
      <c r="S167" s="114">
        <v>0</v>
      </c>
      <c r="T167" s="114">
        <v>0</v>
      </c>
      <c r="U167" s="114">
        <v>0</v>
      </c>
      <c r="V167" s="114">
        <v>0</v>
      </c>
      <c r="W167" s="114">
        <v>0</v>
      </c>
      <c r="X167" s="114">
        <v>0</v>
      </c>
      <c r="Y167" s="114">
        <v>0</v>
      </c>
      <c r="Z167" s="114">
        <v>0</v>
      </c>
      <c r="AA167" s="114">
        <v>0</v>
      </c>
      <c r="AB167" s="114">
        <v>0</v>
      </c>
      <c r="AC167" s="114">
        <v>0</v>
      </c>
      <c r="AD167" s="114">
        <v>0</v>
      </c>
      <c r="AE167" s="114">
        <v>0</v>
      </c>
      <c r="AF167" s="114">
        <v>0</v>
      </c>
      <c r="AG167" s="114">
        <v>0</v>
      </c>
      <c r="AH167" s="114">
        <v>0</v>
      </c>
      <c r="AI167" s="114">
        <v>0</v>
      </c>
      <c r="AJ167" s="114">
        <v>0</v>
      </c>
      <c r="AK167" s="114">
        <v>0</v>
      </c>
      <c r="AL167" s="114">
        <v>0</v>
      </c>
      <c r="AM167" s="114">
        <v>0</v>
      </c>
      <c r="AN167" s="114">
        <v>0</v>
      </c>
      <c r="AO167" s="114">
        <v>0</v>
      </c>
      <c r="AP167" s="114">
        <v>0</v>
      </c>
      <c r="AQ167" s="114">
        <v>0</v>
      </c>
      <c r="AR167" s="114">
        <v>0</v>
      </c>
      <c r="AS167" s="114">
        <v>0</v>
      </c>
      <c r="AT167" s="114">
        <v>0</v>
      </c>
      <c r="AU167" s="114">
        <v>0</v>
      </c>
      <c r="AV167" s="114">
        <v>0</v>
      </c>
      <c r="AW167" s="114">
        <v>0</v>
      </c>
      <c r="AX167" s="114">
        <v>0</v>
      </c>
      <c r="AY167" s="114">
        <v>0</v>
      </c>
    </row>
    <row r="168" spans="1:52" x14ac:dyDescent="0.2">
      <c r="A168" s="117"/>
      <c r="B168" s="138">
        <v>47</v>
      </c>
      <c r="C168" s="114"/>
      <c r="D168" s="114">
        <v>0</v>
      </c>
      <c r="E168" s="114">
        <v>0</v>
      </c>
      <c r="F168" s="114">
        <v>0</v>
      </c>
      <c r="G168" s="114">
        <v>0</v>
      </c>
      <c r="H168" s="114">
        <v>0</v>
      </c>
      <c r="I168" s="114">
        <v>0</v>
      </c>
      <c r="J168" s="114">
        <v>0</v>
      </c>
      <c r="K168" s="114">
        <v>0</v>
      </c>
      <c r="L168" s="114">
        <v>0</v>
      </c>
      <c r="M168" s="114">
        <v>0</v>
      </c>
      <c r="N168" s="114">
        <v>0</v>
      </c>
      <c r="O168" s="114">
        <v>0</v>
      </c>
      <c r="P168" s="114">
        <v>0</v>
      </c>
      <c r="Q168" s="114">
        <v>0</v>
      </c>
      <c r="R168" s="114">
        <v>0</v>
      </c>
      <c r="S168" s="114">
        <v>0</v>
      </c>
      <c r="T168" s="114">
        <v>0</v>
      </c>
      <c r="U168" s="114">
        <v>0</v>
      </c>
      <c r="V168" s="114">
        <v>0</v>
      </c>
      <c r="W168" s="114">
        <v>0</v>
      </c>
      <c r="X168" s="114">
        <v>0</v>
      </c>
      <c r="Y168" s="114">
        <v>0</v>
      </c>
      <c r="Z168" s="114">
        <v>0</v>
      </c>
      <c r="AA168" s="114">
        <v>0</v>
      </c>
      <c r="AB168" s="114">
        <v>0</v>
      </c>
      <c r="AC168" s="114">
        <v>0</v>
      </c>
      <c r="AD168" s="114">
        <v>0</v>
      </c>
      <c r="AE168" s="114">
        <v>0</v>
      </c>
      <c r="AF168" s="114">
        <v>0</v>
      </c>
      <c r="AG168" s="114">
        <v>0</v>
      </c>
      <c r="AH168" s="114">
        <v>0</v>
      </c>
      <c r="AI168" s="114">
        <v>0</v>
      </c>
      <c r="AJ168" s="114">
        <v>0</v>
      </c>
      <c r="AK168" s="114">
        <v>0</v>
      </c>
      <c r="AL168" s="114">
        <v>0</v>
      </c>
      <c r="AM168" s="114">
        <v>0</v>
      </c>
      <c r="AN168" s="114">
        <v>0</v>
      </c>
      <c r="AO168" s="114">
        <v>0</v>
      </c>
      <c r="AP168" s="114">
        <v>0</v>
      </c>
      <c r="AQ168" s="114">
        <v>0</v>
      </c>
      <c r="AR168" s="114">
        <v>0</v>
      </c>
      <c r="AS168" s="114">
        <v>0</v>
      </c>
      <c r="AT168" s="114">
        <v>0</v>
      </c>
      <c r="AU168" s="114">
        <v>0</v>
      </c>
      <c r="AV168" s="114">
        <v>0</v>
      </c>
      <c r="AW168" s="114">
        <v>0</v>
      </c>
      <c r="AX168" s="114">
        <v>0</v>
      </c>
      <c r="AY168" s="114">
        <v>0</v>
      </c>
    </row>
    <row r="169" spans="1:52" x14ac:dyDescent="0.2">
      <c r="A169" s="117"/>
      <c r="B169" s="138">
        <v>48</v>
      </c>
      <c r="C169" s="114"/>
      <c r="D169" s="114">
        <v>0</v>
      </c>
      <c r="E169" s="114">
        <v>0</v>
      </c>
      <c r="F169" s="114">
        <v>0</v>
      </c>
      <c r="G169" s="114">
        <v>0</v>
      </c>
      <c r="H169" s="114">
        <v>0</v>
      </c>
      <c r="I169" s="114">
        <v>0</v>
      </c>
      <c r="J169" s="114">
        <v>0</v>
      </c>
      <c r="K169" s="114">
        <v>0</v>
      </c>
      <c r="L169" s="114">
        <v>0</v>
      </c>
      <c r="M169" s="114">
        <v>0</v>
      </c>
      <c r="N169" s="114">
        <v>0</v>
      </c>
      <c r="O169" s="114">
        <v>0</v>
      </c>
      <c r="P169" s="114">
        <v>0</v>
      </c>
      <c r="Q169" s="114">
        <v>0</v>
      </c>
      <c r="R169" s="114">
        <v>0</v>
      </c>
      <c r="S169" s="114">
        <v>0</v>
      </c>
      <c r="T169" s="114">
        <v>0</v>
      </c>
      <c r="U169" s="114">
        <v>0</v>
      </c>
      <c r="V169" s="114">
        <v>0</v>
      </c>
      <c r="W169" s="114">
        <v>0</v>
      </c>
      <c r="X169" s="114">
        <v>0</v>
      </c>
      <c r="Y169" s="114">
        <v>0</v>
      </c>
      <c r="Z169" s="114">
        <v>0</v>
      </c>
      <c r="AA169" s="114">
        <v>0</v>
      </c>
      <c r="AB169" s="114">
        <v>0</v>
      </c>
      <c r="AC169" s="114">
        <v>0</v>
      </c>
      <c r="AD169" s="114">
        <v>0</v>
      </c>
      <c r="AE169" s="114">
        <v>0</v>
      </c>
      <c r="AF169" s="114">
        <v>0</v>
      </c>
      <c r="AG169" s="114">
        <v>0</v>
      </c>
      <c r="AH169" s="114">
        <v>0</v>
      </c>
      <c r="AI169" s="114">
        <v>0</v>
      </c>
      <c r="AJ169" s="114">
        <v>0</v>
      </c>
      <c r="AK169" s="114">
        <v>0</v>
      </c>
      <c r="AL169" s="114">
        <v>0</v>
      </c>
      <c r="AM169" s="114">
        <v>0</v>
      </c>
      <c r="AN169" s="114">
        <v>0</v>
      </c>
      <c r="AO169" s="114">
        <v>0</v>
      </c>
      <c r="AP169" s="114">
        <v>0</v>
      </c>
      <c r="AQ169" s="114">
        <v>0</v>
      </c>
      <c r="AR169" s="114">
        <v>0</v>
      </c>
      <c r="AS169" s="114">
        <v>0</v>
      </c>
      <c r="AT169" s="114">
        <v>0</v>
      </c>
      <c r="AU169" s="114">
        <v>0</v>
      </c>
      <c r="AV169" s="114">
        <v>0</v>
      </c>
      <c r="AW169" s="114">
        <v>0</v>
      </c>
      <c r="AX169" s="114">
        <v>0</v>
      </c>
      <c r="AY169" s="114">
        <v>0</v>
      </c>
    </row>
    <row r="170" spans="1:52" x14ac:dyDescent="0.2">
      <c r="A170" s="136"/>
      <c r="B170" s="140" t="s">
        <v>295</v>
      </c>
      <c r="C170" s="122"/>
      <c r="D170" s="133">
        <v>0</v>
      </c>
      <c r="E170" s="133">
        <v>0</v>
      </c>
      <c r="F170" s="133">
        <v>0</v>
      </c>
      <c r="G170" s="133">
        <v>0</v>
      </c>
      <c r="H170" s="133">
        <v>0</v>
      </c>
      <c r="I170" s="133">
        <v>0</v>
      </c>
      <c r="J170" s="133">
        <v>0</v>
      </c>
      <c r="K170" s="133">
        <v>0</v>
      </c>
      <c r="L170" s="133">
        <v>0</v>
      </c>
      <c r="M170" s="133">
        <v>0</v>
      </c>
      <c r="N170" s="133">
        <v>0</v>
      </c>
      <c r="O170" s="133">
        <v>0</v>
      </c>
      <c r="P170" s="133">
        <v>0</v>
      </c>
      <c r="Q170" s="133">
        <v>0</v>
      </c>
      <c r="R170" s="133">
        <v>0</v>
      </c>
      <c r="S170" s="133">
        <v>0</v>
      </c>
      <c r="T170" s="133">
        <v>0</v>
      </c>
      <c r="U170" s="133">
        <v>0</v>
      </c>
      <c r="V170" s="133">
        <v>0</v>
      </c>
      <c r="W170" s="133">
        <v>0</v>
      </c>
      <c r="X170" s="133">
        <v>0</v>
      </c>
      <c r="Y170" s="133">
        <v>0</v>
      </c>
      <c r="Z170" s="133">
        <v>0</v>
      </c>
      <c r="AA170" s="133">
        <v>0</v>
      </c>
      <c r="AB170" s="133">
        <v>0</v>
      </c>
      <c r="AC170" s="133">
        <v>0</v>
      </c>
      <c r="AD170" s="133">
        <v>0</v>
      </c>
      <c r="AE170" s="133">
        <v>0</v>
      </c>
      <c r="AF170" s="133">
        <v>0</v>
      </c>
      <c r="AG170" s="133">
        <v>0</v>
      </c>
      <c r="AH170" s="133">
        <v>0</v>
      </c>
      <c r="AI170" s="133">
        <v>0</v>
      </c>
      <c r="AJ170" s="133">
        <v>0</v>
      </c>
      <c r="AK170" s="133">
        <v>0</v>
      </c>
      <c r="AL170" s="133">
        <v>0</v>
      </c>
      <c r="AM170" s="133">
        <v>0</v>
      </c>
      <c r="AN170" s="133">
        <v>0</v>
      </c>
      <c r="AO170" s="133">
        <v>0</v>
      </c>
      <c r="AP170" s="133">
        <v>0</v>
      </c>
      <c r="AQ170" s="133">
        <v>0</v>
      </c>
      <c r="AR170" s="133">
        <v>0</v>
      </c>
      <c r="AS170" s="133">
        <v>0</v>
      </c>
      <c r="AT170" s="133">
        <v>0</v>
      </c>
      <c r="AU170" s="133">
        <v>0</v>
      </c>
      <c r="AV170" s="133">
        <v>0</v>
      </c>
      <c r="AW170" s="133">
        <v>0</v>
      </c>
      <c r="AX170" s="133">
        <v>0</v>
      </c>
      <c r="AY170" s="133">
        <v>0</v>
      </c>
      <c r="AZ170" s="115">
        <f>SUM($D170:$AY170)</f>
        <v>0</v>
      </c>
    </row>
    <row r="172" spans="1:52" x14ac:dyDescent="0.2">
      <c r="A172" s="110" t="s">
        <v>124</v>
      </c>
      <c r="B172" s="141" t="s">
        <v>296</v>
      </c>
      <c r="C172" s="142"/>
      <c r="D172" s="142">
        <v>0.4</v>
      </c>
      <c r="E172" s="142">
        <v>0.4</v>
      </c>
      <c r="F172" s="142">
        <v>0.4</v>
      </c>
      <c r="G172" s="142">
        <v>0.4</v>
      </c>
      <c r="H172" s="142">
        <v>0.3</v>
      </c>
      <c r="I172" s="142">
        <v>0.3</v>
      </c>
      <c r="J172" s="142">
        <v>0.3</v>
      </c>
      <c r="K172" s="142">
        <v>0.3</v>
      </c>
      <c r="L172" s="142">
        <v>0.2</v>
      </c>
      <c r="M172" s="142">
        <v>0.2</v>
      </c>
      <c r="N172" s="142">
        <v>0.2</v>
      </c>
      <c r="O172" s="142">
        <v>0.2</v>
      </c>
      <c r="P172" s="142">
        <v>0.4</v>
      </c>
      <c r="Q172" s="142">
        <v>0.4</v>
      </c>
      <c r="R172" s="142">
        <v>0.4</v>
      </c>
      <c r="S172" s="142">
        <v>0.4</v>
      </c>
      <c r="T172" s="142">
        <v>0.3</v>
      </c>
      <c r="U172" s="142">
        <v>0.3</v>
      </c>
      <c r="V172" s="142">
        <v>0.3</v>
      </c>
      <c r="W172" s="142">
        <v>0.3</v>
      </c>
      <c r="X172" s="142">
        <v>0.2</v>
      </c>
      <c r="Y172" s="142">
        <v>0.2</v>
      </c>
      <c r="Z172" s="142">
        <v>0.2</v>
      </c>
      <c r="AA172" s="142">
        <v>0.2</v>
      </c>
      <c r="AB172" s="142">
        <v>0.4</v>
      </c>
      <c r="AC172" s="142">
        <v>0.4</v>
      </c>
      <c r="AD172" s="142">
        <v>0.4</v>
      </c>
      <c r="AE172" s="142">
        <v>0.4</v>
      </c>
      <c r="AF172" s="142">
        <v>0.3</v>
      </c>
      <c r="AG172" s="142">
        <v>0.3</v>
      </c>
      <c r="AH172" s="142">
        <v>0.3</v>
      </c>
      <c r="AI172" s="142">
        <v>0.3</v>
      </c>
      <c r="AJ172" s="142">
        <v>0.2</v>
      </c>
      <c r="AK172" s="142">
        <v>0.2</v>
      </c>
      <c r="AL172" s="142">
        <v>0.2</v>
      </c>
      <c r="AM172" s="142">
        <v>0.2</v>
      </c>
      <c r="AN172" s="142">
        <v>0.4</v>
      </c>
      <c r="AO172" s="142">
        <v>0.4</v>
      </c>
      <c r="AP172" s="142">
        <v>0.4</v>
      </c>
      <c r="AQ172" s="142">
        <v>0.4</v>
      </c>
      <c r="AR172" s="142">
        <v>0.3</v>
      </c>
      <c r="AS172" s="142">
        <v>0.3</v>
      </c>
      <c r="AT172" s="142">
        <v>0.3</v>
      </c>
      <c r="AU172" s="142">
        <v>0.3</v>
      </c>
      <c r="AV172" s="142">
        <v>0.2</v>
      </c>
      <c r="AW172" s="142">
        <v>0.2</v>
      </c>
      <c r="AX172" s="142">
        <v>0.2</v>
      </c>
      <c r="AY172" s="142">
        <v>0.2</v>
      </c>
    </row>
    <row r="174" spans="1:52" x14ac:dyDescent="0.2">
      <c r="A174" s="110" t="s">
        <v>271</v>
      </c>
    </row>
    <row r="175" spans="1:52" x14ac:dyDescent="0.2">
      <c r="A175" s="143" t="s">
        <v>125</v>
      </c>
      <c r="B175" s="143" t="s">
        <v>297</v>
      </c>
      <c r="C175" s="132" t="s">
        <v>292</v>
      </c>
      <c r="D175" s="132">
        <f t="shared" ref="D175:AY175" si="1">SUM(D95:D98)</f>
        <v>3333</v>
      </c>
      <c r="E175" s="132">
        <f t="shared" si="1"/>
        <v>5336</v>
      </c>
      <c r="F175" s="132">
        <f t="shared" si="1"/>
        <v>7101</v>
      </c>
      <c r="G175" s="132">
        <f t="shared" si="1"/>
        <v>9024</v>
      </c>
      <c r="H175" s="132">
        <f t="shared" si="1"/>
        <v>10726</v>
      </c>
      <c r="I175" s="132">
        <f t="shared" si="1"/>
        <v>11963</v>
      </c>
      <c r="J175" s="132">
        <f t="shared" si="1"/>
        <v>13332</v>
      </c>
      <c r="K175" s="132">
        <f t="shared" si="1"/>
        <v>13332</v>
      </c>
      <c r="L175" s="132">
        <f t="shared" si="1"/>
        <v>13332</v>
      </c>
      <c r="M175" s="132">
        <f t="shared" si="1"/>
        <v>13332</v>
      </c>
      <c r="N175" s="132">
        <f t="shared" si="1"/>
        <v>13332</v>
      </c>
      <c r="O175" s="132">
        <f t="shared" si="1"/>
        <v>13332</v>
      </c>
      <c r="P175" s="132">
        <f t="shared" si="1"/>
        <v>13332</v>
      </c>
      <c r="Q175" s="132">
        <f t="shared" si="1"/>
        <v>13332</v>
      </c>
      <c r="R175" s="132">
        <f t="shared" si="1"/>
        <v>13332</v>
      </c>
      <c r="S175" s="132">
        <f t="shared" si="1"/>
        <v>13332</v>
      </c>
      <c r="T175" s="132">
        <f t="shared" si="1"/>
        <v>13332</v>
      </c>
      <c r="U175" s="132">
        <f t="shared" si="1"/>
        <v>13332</v>
      </c>
      <c r="V175" s="132">
        <f t="shared" si="1"/>
        <v>13332</v>
      </c>
      <c r="W175" s="132">
        <f t="shared" si="1"/>
        <v>13332</v>
      </c>
      <c r="X175" s="132">
        <f t="shared" si="1"/>
        <v>13332</v>
      </c>
      <c r="Y175" s="132">
        <f t="shared" si="1"/>
        <v>13332</v>
      </c>
      <c r="Z175" s="132">
        <f t="shared" si="1"/>
        <v>13332</v>
      </c>
      <c r="AA175" s="132">
        <f t="shared" si="1"/>
        <v>13332</v>
      </c>
      <c r="AB175" s="132">
        <f t="shared" si="1"/>
        <v>13332</v>
      </c>
      <c r="AC175" s="132">
        <f t="shared" si="1"/>
        <v>13332</v>
      </c>
      <c r="AD175" s="132">
        <f t="shared" si="1"/>
        <v>13332</v>
      </c>
      <c r="AE175" s="132">
        <f t="shared" si="1"/>
        <v>13332</v>
      </c>
      <c r="AF175" s="132">
        <f t="shared" si="1"/>
        <v>13332</v>
      </c>
      <c r="AG175" s="132">
        <f t="shared" si="1"/>
        <v>13332</v>
      </c>
      <c r="AH175" s="132">
        <f t="shared" si="1"/>
        <v>13332</v>
      </c>
      <c r="AI175" s="132">
        <f t="shared" si="1"/>
        <v>13332</v>
      </c>
      <c r="AJ175" s="132">
        <f t="shared" si="1"/>
        <v>13332</v>
      </c>
      <c r="AK175" s="132">
        <f t="shared" si="1"/>
        <v>13332</v>
      </c>
      <c r="AL175" s="132">
        <f t="shared" si="1"/>
        <v>13332</v>
      </c>
      <c r="AM175" s="132">
        <f t="shared" si="1"/>
        <v>13332</v>
      </c>
      <c r="AN175" s="132">
        <f t="shared" si="1"/>
        <v>13332</v>
      </c>
      <c r="AO175" s="132">
        <f t="shared" si="1"/>
        <v>13332</v>
      </c>
      <c r="AP175" s="132">
        <f t="shared" si="1"/>
        <v>13332</v>
      </c>
      <c r="AQ175" s="132">
        <f t="shared" si="1"/>
        <v>13332</v>
      </c>
      <c r="AR175" s="132">
        <f t="shared" si="1"/>
        <v>13332</v>
      </c>
      <c r="AS175" s="132">
        <f t="shared" si="1"/>
        <v>13332</v>
      </c>
      <c r="AT175" s="132">
        <f t="shared" si="1"/>
        <v>13332</v>
      </c>
      <c r="AU175" s="132">
        <f t="shared" si="1"/>
        <v>13332</v>
      </c>
      <c r="AV175" s="132">
        <f t="shared" si="1"/>
        <v>13332</v>
      </c>
      <c r="AW175" s="132">
        <f t="shared" si="1"/>
        <v>13332</v>
      </c>
      <c r="AX175" s="132">
        <f t="shared" si="1"/>
        <v>13332</v>
      </c>
      <c r="AY175" s="132">
        <f t="shared" si="1"/>
        <v>13332</v>
      </c>
    </row>
    <row r="176" spans="1:52" x14ac:dyDescent="0.2">
      <c r="A176" s="133"/>
      <c r="B176" s="144" t="s">
        <v>298</v>
      </c>
      <c r="C176" s="133" t="s">
        <v>292</v>
      </c>
      <c r="D176" s="133">
        <v>1330</v>
      </c>
      <c r="E176" s="133">
        <v>1568</v>
      </c>
      <c r="F176" s="133">
        <v>1410</v>
      </c>
      <c r="G176" s="133">
        <v>1631</v>
      </c>
      <c r="H176" s="133">
        <v>2096</v>
      </c>
      <c r="I176" s="133">
        <v>1902</v>
      </c>
      <c r="J176" s="133">
        <v>1526</v>
      </c>
      <c r="K176" s="133">
        <v>1803</v>
      </c>
      <c r="L176" s="133">
        <v>1581</v>
      </c>
      <c r="M176" s="133">
        <v>1097</v>
      </c>
      <c r="N176" s="133">
        <v>1230</v>
      </c>
      <c r="O176" s="133">
        <v>1207</v>
      </c>
      <c r="P176" s="133">
        <v>839</v>
      </c>
      <c r="Q176" s="133">
        <v>888</v>
      </c>
      <c r="R176" s="133">
        <v>853</v>
      </c>
      <c r="S176" s="133">
        <v>1061</v>
      </c>
      <c r="T176" s="133">
        <v>1206</v>
      </c>
      <c r="U176" s="133">
        <v>1162</v>
      </c>
      <c r="V176" s="133">
        <v>1425</v>
      </c>
      <c r="W176" s="133">
        <v>1176</v>
      </c>
      <c r="X176" s="133">
        <v>1549</v>
      </c>
      <c r="Y176" s="133">
        <v>1477</v>
      </c>
      <c r="Z176" s="133">
        <v>1570</v>
      </c>
      <c r="AA176" s="133">
        <v>1899</v>
      </c>
      <c r="AB176" s="133">
        <v>440</v>
      </c>
      <c r="AC176" s="133">
        <v>422</v>
      </c>
      <c r="AD176" s="133">
        <v>431</v>
      </c>
      <c r="AE176" s="133">
        <v>564</v>
      </c>
      <c r="AF176" s="133">
        <v>643</v>
      </c>
      <c r="AG176" s="133">
        <v>642</v>
      </c>
      <c r="AH176" s="133">
        <v>519</v>
      </c>
      <c r="AI176" s="133">
        <v>618</v>
      </c>
      <c r="AJ176" s="133">
        <v>599</v>
      </c>
      <c r="AK176" s="133">
        <v>627</v>
      </c>
      <c r="AL176" s="133">
        <v>602</v>
      </c>
      <c r="AM176" s="133">
        <v>687</v>
      </c>
      <c r="AN176" s="133">
        <v>1054</v>
      </c>
      <c r="AO176" s="133">
        <v>1193</v>
      </c>
      <c r="AP176" s="133">
        <v>1399</v>
      </c>
      <c r="AQ176" s="133">
        <v>1387</v>
      </c>
      <c r="AR176" s="133">
        <v>788</v>
      </c>
      <c r="AS176" s="133">
        <v>775</v>
      </c>
      <c r="AT176" s="133">
        <v>652</v>
      </c>
      <c r="AU176" s="133">
        <v>643</v>
      </c>
      <c r="AV176" s="133">
        <v>539</v>
      </c>
      <c r="AW176" s="133">
        <v>525</v>
      </c>
      <c r="AX176" s="133">
        <v>432</v>
      </c>
      <c r="AY176" s="133">
        <v>564</v>
      </c>
    </row>
    <row r="177" spans="1:51" x14ac:dyDescent="0.2">
      <c r="A177" s="143" t="s">
        <v>133</v>
      </c>
      <c r="B177" s="143" t="s">
        <v>297</v>
      </c>
      <c r="C177" s="132" t="s">
        <v>292</v>
      </c>
      <c r="D177" s="132">
        <f t="shared" ref="D177:AY177" si="2">SUM(D100:D107)</f>
        <v>0</v>
      </c>
      <c r="E177" s="132">
        <f t="shared" si="2"/>
        <v>0</v>
      </c>
      <c r="F177" s="132">
        <f t="shared" si="2"/>
        <v>833.25</v>
      </c>
      <c r="G177" s="132">
        <f t="shared" si="2"/>
        <v>0</v>
      </c>
      <c r="H177" s="132">
        <f t="shared" si="2"/>
        <v>1666.5</v>
      </c>
      <c r="I177" s="132">
        <f t="shared" si="2"/>
        <v>833.25</v>
      </c>
      <c r="J177" s="132">
        <f t="shared" si="2"/>
        <v>0</v>
      </c>
      <c r="K177" s="132">
        <f t="shared" si="2"/>
        <v>833.25</v>
      </c>
      <c r="L177" s="132">
        <f t="shared" si="2"/>
        <v>833.25</v>
      </c>
      <c r="M177" s="132">
        <f t="shared" si="2"/>
        <v>1666.5</v>
      </c>
      <c r="N177" s="132">
        <f t="shared" si="2"/>
        <v>0</v>
      </c>
      <c r="O177" s="132">
        <f t="shared" si="2"/>
        <v>0</v>
      </c>
      <c r="P177" s="132">
        <f t="shared" si="2"/>
        <v>2499.75</v>
      </c>
      <c r="Q177" s="132">
        <f t="shared" si="2"/>
        <v>2165</v>
      </c>
      <c r="R177" s="132">
        <f t="shared" si="2"/>
        <v>917</v>
      </c>
      <c r="S177" s="132">
        <f t="shared" si="2"/>
        <v>0</v>
      </c>
      <c r="T177" s="132">
        <f t="shared" si="2"/>
        <v>833.25</v>
      </c>
      <c r="U177" s="132">
        <f t="shared" si="2"/>
        <v>1666.5</v>
      </c>
      <c r="V177" s="132">
        <f t="shared" si="2"/>
        <v>833.25</v>
      </c>
      <c r="W177" s="132">
        <f t="shared" si="2"/>
        <v>1666.5</v>
      </c>
      <c r="X177" s="132">
        <f t="shared" si="2"/>
        <v>833.25</v>
      </c>
      <c r="Y177" s="132">
        <f t="shared" si="2"/>
        <v>833.25</v>
      </c>
      <c r="Z177" s="132">
        <f t="shared" si="2"/>
        <v>0</v>
      </c>
      <c r="AA177" s="132">
        <f t="shared" si="2"/>
        <v>1666.5</v>
      </c>
      <c r="AB177" s="132">
        <f t="shared" si="2"/>
        <v>0</v>
      </c>
      <c r="AC177" s="132">
        <f t="shared" si="2"/>
        <v>833.25</v>
      </c>
      <c r="AD177" s="132">
        <f t="shared" si="2"/>
        <v>833.25</v>
      </c>
      <c r="AE177" s="132">
        <f t="shared" si="2"/>
        <v>0</v>
      </c>
      <c r="AF177" s="132">
        <f t="shared" si="2"/>
        <v>1666.5</v>
      </c>
      <c r="AG177" s="132">
        <f t="shared" si="2"/>
        <v>1666.5</v>
      </c>
      <c r="AH177" s="132">
        <f t="shared" si="2"/>
        <v>833.25</v>
      </c>
      <c r="AI177" s="132">
        <f t="shared" si="2"/>
        <v>833.25</v>
      </c>
      <c r="AJ177" s="132">
        <f t="shared" si="2"/>
        <v>833.25</v>
      </c>
      <c r="AK177" s="132">
        <f t="shared" si="2"/>
        <v>0</v>
      </c>
      <c r="AL177" s="132">
        <f t="shared" si="2"/>
        <v>0</v>
      </c>
      <c r="AM177" s="132">
        <f t="shared" si="2"/>
        <v>2499.75</v>
      </c>
      <c r="AN177" s="132">
        <f t="shared" si="2"/>
        <v>843.75</v>
      </c>
      <c r="AO177" s="132">
        <f t="shared" si="2"/>
        <v>833.25</v>
      </c>
      <c r="AP177" s="132">
        <f t="shared" si="2"/>
        <v>1666.5</v>
      </c>
      <c r="AQ177" s="132">
        <f t="shared" si="2"/>
        <v>833.25</v>
      </c>
      <c r="AR177" s="132">
        <f t="shared" si="2"/>
        <v>0</v>
      </c>
      <c r="AS177" s="132">
        <f t="shared" si="2"/>
        <v>833.25</v>
      </c>
      <c r="AT177" s="132">
        <f t="shared" si="2"/>
        <v>1666.5</v>
      </c>
      <c r="AU177" s="132">
        <f t="shared" si="2"/>
        <v>260.5</v>
      </c>
      <c r="AV177" s="132">
        <f t="shared" si="2"/>
        <v>937</v>
      </c>
      <c r="AW177" s="132">
        <f t="shared" si="2"/>
        <v>833.25</v>
      </c>
      <c r="AX177" s="132">
        <f t="shared" si="2"/>
        <v>833.25</v>
      </c>
      <c r="AY177" s="132">
        <f t="shared" si="2"/>
        <v>833.25</v>
      </c>
    </row>
    <row r="178" spans="1:51" x14ac:dyDescent="0.2">
      <c r="A178" s="133"/>
      <c r="B178" s="144" t="s">
        <v>298</v>
      </c>
      <c r="C178" s="133" t="s">
        <v>292</v>
      </c>
      <c r="D178" s="133">
        <v>0</v>
      </c>
      <c r="E178" s="133">
        <v>0</v>
      </c>
      <c r="F178" s="133">
        <v>833.25</v>
      </c>
      <c r="G178" s="133">
        <v>0</v>
      </c>
      <c r="H178" s="133">
        <v>1666.5</v>
      </c>
      <c r="I178" s="133">
        <v>833.25</v>
      </c>
      <c r="J178" s="133">
        <v>0</v>
      </c>
      <c r="K178" s="133">
        <v>833.25</v>
      </c>
      <c r="L178" s="133">
        <v>833.25</v>
      </c>
      <c r="M178" s="133">
        <v>1666.5</v>
      </c>
      <c r="N178" s="133">
        <v>0</v>
      </c>
      <c r="O178" s="133">
        <v>0</v>
      </c>
      <c r="P178" s="133">
        <v>1168</v>
      </c>
      <c r="Q178" s="133">
        <v>1248</v>
      </c>
      <c r="R178" s="133">
        <v>917</v>
      </c>
      <c r="S178" s="133">
        <v>0</v>
      </c>
      <c r="T178" s="133">
        <v>833.25</v>
      </c>
      <c r="U178" s="133">
        <v>1666.5</v>
      </c>
      <c r="V178" s="133">
        <v>833.25</v>
      </c>
      <c r="W178" s="133">
        <v>1666.5</v>
      </c>
      <c r="X178" s="133">
        <v>833.25</v>
      </c>
      <c r="Y178" s="133">
        <v>833.25</v>
      </c>
      <c r="Z178" s="133">
        <v>0</v>
      </c>
      <c r="AA178" s="133">
        <v>1666.5</v>
      </c>
      <c r="AB178" s="133">
        <v>0</v>
      </c>
      <c r="AC178" s="133">
        <v>833.25</v>
      </c>
      <c r="AD178" s="133">
        <v>833.25</v>
      </c>
      <c r="AE178" s="133">
        <v>0</v>
      </c>
      <c r="AF178" s="133">
        <v>1666.5</v>
      </c>
      <c r="AG178" s="133">
        <v>1666.5</v>
      </c>
      <c r="AH178" s="133">
        <v>833.25</v>
      </c>
      <c r="AI178" s="133">
        <v>833.25</v>
      </c>
      <c r="AJ178" s="133">
        <v>833.25</v>
      </c>
      <c r="AK178" s="133">
        <v>0</v>
      </c>
      <c r="AL178" s="133">
        <v>0</v>
      </c>
      <c r="AM178" s="133">
        <v>1656</v>
      </c>
      <c r="AN178" s="133">
        <v>843.75</v>
      </c>
      <c r="AO178" s="133">
        <v>833.25</v>
      </c>
      <c r="AP178" s="133">
        <v>1666.5</v>
      </c>
      <c r="AQ178" s="133">
        <v>833.25</v>
      </c>
      <c r="AR178" s="133">
        <v>0</v>
      </c>
      <c r="AS178" s="133">
        <v>833.25</v>
      </c>
      <c r="AT178" s="133">
        <v>1406</v>
      </c>
      <c r="AU178" s="133">
        <v>260.5</v>
      </c>
      <c r="AV178" s="133">
        <v>937</v>
      </c>
      <c r="AW178" s="133">
        <v>833.25</v>
      </c>
      <c r="AX178" s="133">
        <v>833.25</v>
      </c>
      <c r="AY178" s="133">
        <v>833.25</v>
      </c>
    </row>
    <row r="179" spans="1:51" x14ac:dyDescent="0.2">
      <c r="A179" s="143" t="s">
        <v>134</v>
      </c>
      <c r="B179" s="143" t="s">
        <v>297</v>
      </c>
      <c r="C179" s="132" t="s">
        <v>292</v>
      </c>
      <c r="D179" s="132">
        <f t="shared" ref="D179:AY179" si="3">SUM(D109:D120)</f>
        <v>0</v>
      </c>
      <c r="E179" s="132">
        <f t="shared" si="3"/>
        <v>0</v>
      </c>
      <c r="F179" s="132">
        <f t="shared" si="3"/>
        <v>0</v>
      </c>
      <c r="G179" s="132">
        <f t="shared" si="3"/>
        <v>333.3</v>
      </c>
      <c r="H179" s="132">
        <f t="shared" si="3"/>
        <v>0</v>
      </c>
      <c r="I179" s="132">
        <f t="shared" si="3"/>
        <v>499.95</v>
      </c>
      <c r="J179" s="132">
        <f t="shared" si="3"/>
        <v>249.97499999999999</v>
      </c>
      <c r="K179" s="132">
        <f t="shared" si="3"/>
        <v>0</v>
      </c>
      <c r="L179" s="132">
        <f t="shared" si="3"/>
        <v>249.97499999999999</v>
      </c>
      <c r="M179" s="132">
        <f t="shared" si="3"/>
        <v>166.65</v>
      </c>
      <c r="N179" s="132">
        <f t="shared" si="3"/>
        <v>333.3</v>
      </c>
      <c r="O179" s="132">
        <f t="shared" si="3"/>
        <v>73.817733474237372</v>
      </c>
      <c r="P179" s="132">
        <f t="shared" si="3"/>
        <v>0</v>
      </c>
      <c r="Q179" s="132">
        <f t="shared" si="3"/>
        <v>999.90000000000009</v>
      </c>
      <c r="R179" s="132">
        <f t="shared" si="3"/>
        <v>503.64</v>
      </c>
      <c r="S179" s="132">
        <f t="shared" si="3"/>
        <v>2.2737367544323207E-14</v>
      </c>
      <c r="T179" s="132">
        <f t="shared" si="3"/>
        <v>0</v>
      </c>
      <c r="U179" s="132">
        <f t="shared" si="3"/>
        <v>249.97499999999999</v>
      </c>
      <c r="V179" s="132">
        <f t="shared" si="3"/>
        <v>499.95</v>
      </c>
      <c r="W179" s="132">
        <f t="shared" si="3"/>
        <v>249.97499999999999</v>
      </c>
      <c r="X179" s="132">
        <f t="shared" si="3"/>
        <v>499.95</v>
      </c>
      <c r="Y179" s="132">
        <f t="shared" si="3"/>
        <v>181.61677321670129</v>
      </c>
      <c r="Z179" s="132">
        <f t="shared" si="3"/>
        <v>166.65</v>
      </c>
      <c r="AA179" s="132">
        <f t="shared" si="3"/>
        <v>0</v>
      </c>
      <c r="AB179" s="132">
        <f t="shared" si="3"/>
        <v>333.3</v>
      </c>
      <c r="AC179" s="132">
        <f t="shared" si="3"/>
        <v>0</v>
      </c>
      <c r="AD179" s="132">
        <f t="shared" si="3"/>
        <v>333.3</v>
      </c>
      <c r="AE179" s="132">
        <f t="shared" si="3"/>
        <v>333.3</v>
      </c>
      <c r="AF179" s="132">
        <f t="shared" si="3"/>
        <v>0</v>
      </c>
      <c r="AG179" s="132">
        <f t="shared" si="3"/>
        <v>499.95</v>
      </c>
      <c r="AH179" s="132">
        <f t="shared" si="3"/>
        <v>681.36282719481551</v>
      </c>
      <c r="AI179" s="132">
        <f t="shared" si="3"/>
        <v>436.72139637460526</v>
      </c>
      <c r="AJ179" s="132">
        <f t="shared" si="3"/>
        <v>323.97614820811577</v>
      </c>
      <c r="AK179" s="132">
        <f t="shared" si="3"/>
        <v>166.65000000000003</v>
      </c>
      <c r="AL179" s="132">
        <f t="shared" si="3"/>
        <v>0</v>
      </c>
      <c r="AM179" s="132">
        <f t="shared" si="3"/>
        <v>0</v>
      </c>
      <c r="AN179" s="132">
        <f t="shared" si="3"/>
        <v>499.95000000000005</v>
      </c>
      <c r="AO179" s="132">
        <f t="shared" si="3"/>
        <v>512.32000000000005</v>
      </c>
      <c r="AP179" s="132">
        <f t="shared" si="3"/>
        <v>333.3</v>
      </c>
      <c r="AQ179" s="132">
        <f t="shared" si="3"/>
        <v>666.6</v>
      </c>
      <c r="AR179" s="132">
        <f t="shared" si="3"/>
        <v>333.3</v>
      </c>
      <c r="AS179" s="132">
        <f t="shared" si="3"/>
        <v>0</v>
      </c>
      <c r="AT179" s="132">
        <f t="shared" si="3"/>
        <v>249.97499999999999</v>
      </c>
      <c r="AU179" s="132">
        <f t="shared" si="3"/>
        <v>499.95</v>
      </c>
      <c r="AV179" s="132">
        <f t="shared" si="3"/>
        <v>0</v>
      </c>
      <c r="AW179" s="132">
        <f t="shared" si="3"/>
        <v>187.4</v>
      </c>
      <c r="AX179" s="132">
        <f t="shared" si="3"/>
        <v>175.12239060474016</v>
      </c>
      <c r="AY179" s="132">
        <f t="shared" si="3"/>
        <v>166.65</v>
      </c>
    </row>
    <row r="180" spans="1:51" x14ac:dyDescent="0.2">
      <c r="A180" s="133"/>
      <c r="B180" s="144" t="s">
        <v>298</v>
      </c>
      <c r="C180" s="133" t="s">
        <v>292</v>
      </c>
      <c r="D180" s="133">
        <v>0</v>
      </c>
      <c r="E180" s="133">
        <v>0</v>
      </c>
      <c r="F180" s="133">
        <v>0</v>
      </c>
      <c r="G180" s="133">
        <v>333.3</v>
      </c>
      <c r="H180" s="133">
        <v>0</v>
      </c>
      <c r="I180" s="133">
        <v>499.95</v>
      </c>
      <c r="J180" s="133">
        <v>249.97499999999999</v>
      </c>
      <c r="K180" s="133">
        <v>0</v>
      </c>
      <c r="L180" s="133">
        <v>249.97499999999999</v>
      </c>
      <c r="M180" s="133">
        <v>166.65</v>
      </c>
      <c r="N180" s="133">
        <v>333.3</v>
      </c>
      <c r="O180" s="133">
        <v>73.817733474237372</v>
      </c>
      <c r="P180" s="133">
        <v>0</v>
      </c>
      <c r="Q180" s="133">
        <v>999.90000000000009</v>
      </c>
      <c r="R180" s="133">
        <v>503.64</v>
      </c>
      <c r="S180" s="133">
        <v>2.2737367544323207E-14</v>
      </c>
      <c r="T180" s="133">
        <v>0</v>
      </c>
      <c r="U180" s="133">
        <v>249.97499999999999</v>
      </c>
      <c r="V180" s="133">
        <v>499.95</v>
      </c>
      <c r="W180" s="133">
        <v>249.97499999999999</v>
      </c>
      <c r="X180" s="133">
        <v>499.95</v>
      </c>
      <c r="Y180" s="133">
        <v>181.61677321670129</v>
      </c>
      <c r="Z180" s="133">
        <v>166.65</v>
      </c>
      <c r="AA180" s="133">
        <v>0</v>
      </c>
      <c r="AB180" s="133">
        <v>333.3</v>
      </c>
      <c r="AC180" s="133">
        <v>0</v>
      </c>
      <c r="AD180" s="133">
        <v>333.3</v>
      </c>
      <c r="AE180" s="133">
        <v>333.3</v>
      </c>
      <c r="AF180" s="133">
        <v>0</v>
      </c>
      <c r="AG180" s="133">
        <v>499.95</v>
      </c>
      <c r="AH180" s="133">
        <v>681.36282719481551</v>
      </c>
      <c r="AI180" s="133">
        <v>436.72139637460526</v>
      </c>
      <c r="AJ180" s="133">
        <v>323.97614820811577</v>
      </c>
      <c r="AK180" s="133">
        <v>166.65000000000003</v>
      </c>
      <c r="AL180" s="133">
        <v>0</v>
      </c>
      <c r="AM180" s="133">
        <v>0</v>
      </c>
      <c r="AN180" s="133">
        <v>499.95000000000005</v>
      </c>
      <c r="AO180" s="133">
        <v>512.32000000000005</v>
      </c>
      <c r="AP180" s="133">
        <v>333.3</v>
      </c>
      <c r="AQ180" s="133">
        <v>666.6</v>
      </c>
      <c r="AR180" s="133">
        <v>333.3</v>
      </c>
      <c r="AS180" s="133">
        <v>0</v>
      </c>
      <c r="AT180" s="133">
        <v>249.97499999999999</v>
      </c>
      <c r="AU180" s="133">
        <v>499.95</v>
      </c>
      <c r="AV180" s="133">
        <v>0</v>
      </c>
      <c r="AW180" s="133">
        <v>187.4</v>
      </c>
      <c r="AX180" s="133">
        <v>175.12239060474016</v>
      </c>
      <c r="AY180" s="133">
        <v>166.65</v>
      </c>
    </row>
    <row r="181" spans="1:51" x14ac:dyDescent="0.2">
      <c r="A181" s="143" t="s">
        <v>123</v>
      </c>
      <c r="B181" s="143" t="s">
        <v>297</v>
      </c>
      <c r="C181" s="132" t="s">
        <v>292</v>
      </c>
      <c r="D181" s="132">
        <f t="shared" ref="D181:AY181" si="4">(1-D172)*SUM(D122:D169)</f>
        <v>0</v>
      </c>
      <c r="E181" s="132">
        <f t="shared" si="4"/>
        <v>0</v>
      </c>
      <c r="F181" s="132">
        <f t="shared" si="4"/>
        <v>499.95</v>
      </c>
      <c r="G181" s="132">
        <f t="shared" si="4"/>
        <v>0</v>
      </c>
      <c r="H181" s="132">
        <f t="shared" si="4"/>
        <v>1166.55</v>
      </c>
      <c r="I181" s="132">
        <f t="shared" si="4"/>
        <v>583.27499999999998</v>
      </c>
      <c r="J181" s="132">
        <f t="shared" si="4"/>
        <v>0</v>
      </c>
      <c r="K181" s="132">
        <f t="shared" si="4"/>
        <v>583.27499999999998</v>
      </c>
      <c r="L181" s="132">
        <f t="shared" si="4"/>
        <v>666.6</v>
      </c>
      <c r="M181" s="132">
        <f t="shared" si="4"/>
        <v>1333.2</v>
      </c>
      <c r="N181" s="132">
        <f t="shared" si="4"/>
        <v>295.27093389694949</v>
      </c>
      <c r="O181" s="132">
        <f t="shared" si="4"/>
        <v>0</v>
      </c>
      <c r="P181" s="132">
        <f t="shared" si="4"/>
        <v>1499.85</v>
      </c>
      <c r="Q181" s="132">
        <f t="shared" si="4"/>
        <v>755.45999999999992</v>
      </c>
      <c r="R181" s="132">
        <f t="shared" si="4"/>
        <v>3.4106051316484808E-14</v>
      </c>
      <c r="S181" s="132">
        <f t="shared" si="4"/>
        <v>0</v>
      </c>
      <c r="T181" s="132">
        <f t="shared" si="4"/>
        <v>583.27499999999998</v>
      </c>
      <c r="U181" s="132">
        <f t="shared" si="4"/>
        <v>1166.55</v>
      </c>
      <c r="V181" s="132">
        <f t="shared" si="4"/>
        <v>583.27499999999998</v>
      </c>
      <c r="W181" s="132">
        <f t="shared" si="4"/>
        <v>1166.55</v>
      </c>
      <c r="X181" s="132">
        <f t="shared" si="4"/>
        <v>726.46709286680516</v>
      </c>
      <c r="Y181" s="132">
        <f t="shared" si="4"/>
        <v>666.6</v>
      </c>
      <c r="Z181" s="132">
        <f t="shared" si="4"/>
        <v>0</v>
      </c>
      <c r="AA181" s="132">
        <f t="shared" si="4"/>
        <v>1333.2</v>
      </c>
      <c r="AB181" s="132">
        <f t="shared" si="4"/>
        <v>0</v>
      </c>
      <c r="AC181" s="132">
        <f t="shared" si="4"/>
        <v>499.95</v>
      </c>
      <c r="AD181" s="132">
        <f t="shared" si="4"/>
        <v>499.95</v>
      </c>
      <c r="AE181" s="132">
        <f t="shared" si="4"/>
        <v>0</v>
      </c>
      <c r="AF181" s="132">
        <f t="shared" si="4"/>
        <v>1166.55</v>
      </c>
      <c r="AG181" s="132">
        <f t="shared" si="4"/>
        <v>1589.8465967879029</v>
      </c>
      <c r="AH181" s="132">
        <f t="shared" si="4"/>
        <v>1019.0165915407456</v>
      </c>
      <c r="AI181" s="132">
        <f t="shared" si="4"/>
        <v>755.94434581893677</v>
      </c>
      <c r="AJ181" s="132">
        <f t="shared" si="4"/>
        <v>666.60000000000014</v>
      </c>
      <c r="AK181" s="132">
        <f t="shared" si="4"/>
        <v>0</v>
      </c>
      <c r="AL181" s="132">
        <f t="shared" si="4"/>
        <v>0</v>
      </c>
      <c r="AM181" s="132">
        <f t="shared" si="4"/>
        <v>1999.8000000000002</v>
      </c>
      <c r="AN181" s="132">
        <f t="shared" si="4"/>
        <v>768.48000000000013</v>
      </c>
      <c r="AO181" s="132">
        <f t="shared" si="4"/>
        <v>499.95</v>
      </c>
      <c r="AP181" s="132">
        <f t="shared" si="4"/>
        <v>999.9</v>
      </c>
      <c r="AQ181" s="132">
        <f t="shared" si="4"/>
        <v>499.95</v>
      </c>
      <c r="AR181" s="132">
        <f t="shared" si="4"/>
        <v>0</v>
      </c>
      <c r="AS181" s="132">
        <f t="shared" si="4"/>
        <v>583.27499999999998</v>
      </c>
      <c r="AT181" s="132">
        <f t="shared" si="4"/>
        <v>1166.55</v>
      </c>
      <c r="AU181" s="132">
        <f t="shared" si="4"/>
        <v>0</v>
      </c>
      <c r="AV181" s="132">
        <f t="shared" si="4"/>
        <v>749.6</v>
      </c>
      <c r="AW181" s="132">
        <f t="shared" si="4"/>
        <v>700.48956241896065</v>
      </c>
      <c r="AX181" s="132">
        <f t="shared" si="4"/>
        <v>666.6</v>
      </c>
      <c r="AY181" s="132">
        <f t="shared" si="4"/>
        <v>666.6</v>
      </c>
    </row>
    <row r="182" spans="1:51" x14ac:dyDescent="0.2">
      <c r="A182" s="133"/>
      <c r="B182" s="144" t="s">
        <v>298</v>
      </c>
      <c r="C182" s="133" t="s">
        <v>292</v>
      </c>
      <c r="D182" s="133">
        <v>0</v>
      </c>
      <c r="E182" s="133">
        <v>0</v>
      </c>
      <c r="F182" s="133">
        <v>499.95</v>
      </c>
      <c r="G182" s="133">
        <v>0</v>
      </c>
      <c r="H182" s="133">
        <v>1166.55</v>
      </c>
      <c r="I182" s="133">
        <v>583.27499999999998</v>
      </c>
      <c r="J182" s="133">
        <v>0</v>
      </c>
      <c r="K182" s="133">
        <v>583.27499999999998</v>
      </c>
      <c r="L182" s="133">
        <v>666.6</v>
      </c>
      <c r="M182" s="133">
        <v>964.11133262881322</v>
      </c>
      <c r="N182" s="133">
        <v>295.27093389694949</v>
      </c>
      <c r="O182" s="133">
        <v>0</v>
      </c>
      <c r="P182" s="133">
        <v>1074</v>
      </c>
      <c r="Q182" s="133">
        <v>755.45999999999992</v>
      </c>
      <c r="R182" s="133">
        <v>3.4106051316484808E-14</v>
      </c>
      <c r="S182" s="133">
        <v>0</v>
      </c>
      <c r="T182" s="133">
        <v>583.27499999999998</v>
      </c>
      <c r="U182" s="133">
        <v>1166.55</v>
      </c>
      <c r="V182" s="133">
        <v>583.27499999999998</v>
      </c>
      <c r="W182" s="133">
        <v>1091.7161339164936</v>
      </c>
      <c r="X182" s="133">
        <v>726.46709286680516</v>
      </c>
      <c r="Y182" s="133">
        <v>666.6</v>
      </c>
      <c r="Z182" s="133">
        <v>0</v>
      </c>
      <c r="AA182" s="133">
        <v>1333.2</v>
      </c>
      <c r="AB182" s="133">
        <v>0</v>
      </c>
      <c r="AC182" s="133">
        <v>499.95</v>
      </c>
      <c r="AD182" s="133">
        <v>499.95</v>
      </c>
      <c r="AE182" s="133">
        <v>0</v>
      </c>
      <c r="AF182" s="133">
        <v>561.84057601728171</v>
      </c>
      <c r="AG182" s="133">
        <v>967.35860887255183</v>
      </c>
      <c r="AH182" s="133">
        <v>772.34609751369294</v>
      </c>
      <c r="AI182" s="133">
        <v>755.94434581893677</v>
      </c>
      <c r="AJ182" s="133">
        <v>666.60000000000014</v>
      </c>
      <c r="AK182" s="133">
        <v>0</v>
      </c>
      <c r="AL182" s="133">
        <v>0</v>
      </c>
      <c r="AM182" s="133">
        <v>719</v>
      </c>
      <c r="AN182" s="133">
        <v>768.48000000000013</v>
      </c>
      <c r="AO182" s="133">
        <v>499.95</v>
      </c>
      <c r="AP182" s="133">
        <v>999.9</v>
      </c>
      <c r="AQ182" s="133">
        <v>499.95</v>
      </c>
      <c r="AR182" s="133">
        <v>0</v>
      </c>
      <c r="AS182" s="133">
        <v>583.27499999999998</v>
      </c>
      <c r="AT182" s="133">
        <v>1166.55</v>
      </c>
      <c r="AU182" s="133">
        <v>0</v>
      </c>
      <c r="AV182" s="133">
        <v>707.2380469762993</v>
      </c>
      <c r="AW182" s="133">
        <v>700.48956241896065</v>
      </c>
      <c r="AX182" s="133">
        <v>666.6</v>
      </c>
      <c r="AY182" s="133">
        <v>666.6</v>
      </c>
    </row>
    <row r="184" spans="1:51" x14ac:dyDescent="0.2">
      <c r="A184" s="110" t="s">
        <v>299</v>
      </c>
    </row>
    <row r="185" spans="1:51" x14ac:dyDescent="0.2">
      <c r="A185" s="134" t="s">
        <v>125</v>
      </c>
      <c r="B185" s="131">
        <v>1</v>
      </c>
      <c r="C185" s="132"/>
      <c r="D185" s="132">
        <v>1330</v>
      </c>
      <c r="E185" s="132">
        <v>0</v>
      </c>
      <c r="F185" s="132">
        <v>0</v>
      </c>
      <c r="G185" s="132">
        <v>0</v>
      </c>
      <c r="H185" s="132">
        <v>0</v>
      </c>
      <c r="I185" s="132">
        <v>0</v>
      </c>
      <c r="J185" s="132">
        <v>0</v>
      </c>
      <c r="K185" s="132">
        <v>0</v>
      </c>
      <c r="L185" s="132">
        <v>0</v>
      </c>
      <c r="M185" s="132">
        <v>0</v>
      </c>
      <c r="N185" s="132">
        <v>0</v>
      </c>
      <c r="O185" s="132">
        <v>0</v>
      </c>
      <c r="P185" s="132">
        <v>0</v>
      </c>
      <c r="Q185" s="132">
        <v>0</v>
      </c>
      <c r="R185" s="132">
        <v>0</v>
      </c>
      <c r="S185" s="132">
        <v>0</v>
      </c>
      <c r="T185" s="132">
        <v>0</v>
      </c>
      <c r="U185" s="132">
        <v>0</v>
      </c>
      <c r="V185" s="132">
        <v>0</v>
      </c>
      <c r="W185" s="132">
        <v>0</v>
      </c>
      <c r="X185" s="132">
        <v>0</v>
      </c>
      <c r="Y185" s="132">
        <v>0</v>
      </c>
      <c r="Z185" s="132">
        <v>0</v>
      </c>
      <c r="AA185" s="132">
        <v>0</v>
      </c>
      <c r="AB185" s="132">
        <v>0</v>
      </c>
      <c r="AC185" s="132">
        <v>0</v>
      </c>
      <c r="AD185" s="132">
        <v>0</v>
      </c>
      <c r="AE185" s="132">
        <v>0</v>
      </c>
      <c r="AF185" s="132">
        <v>0</v>
      </c>
      <c r="AG185" s="132">
        <v>0</v>
      </c>
      <c r="AH185" s="132">
        <v>0</v>
      </c>
      <c r="AI185" s="132">
        <v>0</v>
      </c>
      <c r="AJ185" s="132">
        <v>0</v>
      </c>
      <c r="AK185" s="132">
        <v>0</v>
      </c>
      <c r="AL185" s="132">
        <v>0</v>
      </c>
      <c r="AM185" s="132">
        <v>0</v>
      </c>
      <c r="AN185" s="132">
        <v>0</v>
      </c>
      <c r="AO185" s="132">
        <v>0</v>
      </c>
      <c r="AP185" s="132">
        <v>0</v>
      </c>
      <c r="AQ185" s="132">
        <v>0</v>
      </c>
      <c r="AR185" s="132">
        <v>0</v>
      </c>
      <c r="AS185" s="132">
        <v>0</v>
      </c>
      <c r="AT185" s="132">
        <v>0</v>
      </c>
      <c r="AU185" s="132">
        <v>0</v>
      </c>
      <c r="AV185" s="132">
        <v>0</v>
      </c>
      <c r="AW185" s="132">
        <v>0</v>
      </c>
      <c r="AX185" s="132">
        <v>0</v>
      </c>
      <c r="AY185" s="132">
        <v>0</v>
      </c>
    </row>
    <row r="186" spans="1:51" x14ac:dyDescent="0.2">
      <c r="A186" s="117"/>
      <c r="B186" s="128">
        <v>2</v>
      </c>
      <c r="C186" s="114"/>
      <c r="D186" s="114">
        <v>0</v>
      </c>
      <c r="E186" s="114">
        <v>1568</v>
      </c>
      <c r="F186" s="114">
        <v>975</v>
      </c>
      <c r="G186" s="114">
        <v>0</v>
      </c>
      <c r="H186" s="114">
        <v>0</v>
      </c>
      <c r="I186" s="114">
        <v>0</v>
      </c>
      <c r="J186" s="114">
        <v>0</v>
      </c>
      <c r="K186" s="114">
        <v>0</v>
      </c>
      <c r="L186" s="114">
        <v>0</v>
      </c>
      <c r="M186" s="114">
        <v>0</v>
      </c>
      <c r="N186" s="114">
        <v>0</v>
      </c>
      <c r="O186" s="114">
        <v>0</v>
      </c>
      <c r="P186" s="114">
        <v>0</v>
      </c>
      <c r="Q186" s="114">
        <v>0</v>
      </c>
      <c r="R186" s="114">
        <v>0</v>
      </c>
      <c r="S186" s="114">
        <v>0</v>
      </c>
      <c r="T186" s="114">
        <v>0</v>
      </c>
      <c r="U186" s="114">
        <v>0</v>
      </c>
      <c r="V186" s="114">
        <v>0</v>
      </c>
      <c r="W186" s="114">
        <v>0</v>
      </c>
      <c r="X186" s="114">
        <v>0</v>
      </c>
      <c r="Y186" s="114">
        <v>0</v>
      </c>
      <c r="Z186" s="114">
        <v>0</v>
      </c>
      <c r="AA186" s="114">
        <v>0</v>
      </c>
      <c r="AB186" s="114">
        <v>0</v>
      </c>
      <c r="AC186" s="114">
        <v>0</v>
      </c>
      <c r="AD186" s="114">
        <v>0</v>
      </c>
      <c r="AE186" s="114">
        <v>0</v>
      </c>
      <c r="AF186" s="114">
        <v>0</v>
      </c>
      <c r="AG186" s="114">
        <v>0</v>
      </c>
      <c r="AH186" s="114">
        <v>0</v>
      </c>
      <c r="AI186" s="114">
        <v>0</v>
      </c>
      <c r="AJ186" s="114">
        <v>0</v>
      </c>
      <c r="AK186" s="114">
        <v>0</v>
      </c>
      <c r="AL186" s="114">
        <v>0</v>
      </c>
      <c r="AM186" s="114">
        <v>0</v>
      </c>
      <c r="AN186" s="114">
        <v>0</v>
      </c>
      <c r="AO186" s="114">
        <v>0</v>
      </c>
      <c r="AP186" s="114">
        <v>0</v>
      </c>
      <c r="AQ186" s="114">
        <v>0</v>
      </c>
      <c r="AR186" s="114">
        <v>0</v>
      </c>
      <c r="AS186" s="114">
        <v>0</v>
      </c>
      <c r="AT186" s="114">
        <v>0</v>
      </c>
      <c r="AU186" s="114">
        <v>0</v>
      </c>
      <c r="AV186" s="114">
        <v>0</v>
      </c>
      <c r="AW186" s="114">
        <v>0</v>
      </c>
      <c r="AX186" s="114">
        <v>0</v>
      </c>
      <c r="AY186" s="114">
        <v>0</v>
      </c>
    </row>
    <row r="187" spans="1:51" x14ac:dyDescent="0.2">
      <c r="A187" s="117"/>
      <c r="B187" s="135">
        <v>3</v>
      </c>
      <c r="C187" s="114"/>
      <c r="D187" s="114">
        <v>0</v>
      </c>
      <c r="E187" s="114">
        <v>0</v>
      </c>
      <c r="F187" s="114">
        <v>435</v>
      </c>
      <c r="G187" s="114">
        <v>1631</v>
      </c>
      <c r="H187" s="114">
        <v>1369</v>
      </c>
      <c r="I187" s="114">
        <v>0</v>
      </c>
      <c r="J187" s="114">
        <v>0</v>
      </c>
      <c r="K187" s="114">
        <v>0</v>
      </c>
      <c r="L187" s="114">
        <v>0</v>
      </c>
      <c r="M187" s="114">
        <v>0</v>
      </c>
      <c r="N187" s="114">
        <v>0</v>
      </c>
      <c r="O187" s="114">
        <v>0</v>
      </c>
      <c r="P187" s="114">
        <v>0</v>
      </c>
      <c r="Q187" s="114">
        <v>0</v>
      </c>
      <c r="R187" s="114">
        <v>0</v>
      </c>
      <c r="S187" s="114">
        <v>0</v>
      </c>
      <c r="T187" s="114">
        <v>0</v>
      </c>
      <c r="U187" s="114">
        <v>0</v>
      </c>
      <c r="V187" s="114">
        <v>0</v>
      </c>
      <c r="W187" s="114">
        <v>0</v>
      </c>
      <c r="X187" s="114">
        <v>0</v>
      </c>
      <c r="Y187" s="114">
        <v>0</v>
      </c>
      <c r="Z187" s="114">
        <v>0</v>
      </c>
      <c r="AA187" s="114">
        <v>0</v>
      </c>
      <c r="AB187" s="114">
        <v>0</v>
      </c>
      <c r="AC187" s="114">
        <v>0</v>
      </c>
      <c r="AD187" s="114">
        <v>0</v>
      </c>
      <c r="AE187" s="114">
        <v>0</v>
      </c>
      <c r="AF187" s="114">
        <v>0</v>
      </c>
      <c r="AG187" s="114">
        <v>0</v>
      </c>
      <c r="AH187" s="114">
        <v>0</v>
      </c>
      <c r="AI187" s="114">
        <v>0</v>
      </c>
      <c r="AJ187" s="114">
        <v>0</v>
      </c>
      <c r="AK187" s="114">
        <v>0</v>
      </c>
      <c r="AL187" s="114">
        <v>0</v>
      </c>
      <c r="AM187" s="114">
        <v>0</v>
      </c>
      <c r="AN187" s="114">
        <v>0</v>
      </c>
      <c r="AO187" s="114">
        <v>0</v>
      </c>
      <c r="AP187" s="114">
        <v>0</v>
      </c>
      <c r="AQ187" s="114">
        <v>0</v>
      </c>
      <c r="AR187" s="114">
        <v>0</v>
      </c>
      <c r="AS187" s="114">
        <v>0</v>
      </c>
      <c r="AT187" s="114">
        <v>0</v>
      </c>
      <c r="AU187" s="114">
        <v>0</v>
      </c>
      <c r="AV187" s="114">
        <v>0</v>
      </c>
      <c r="AW187" s="114">
        <v>0</v>
      </c>
      <c r="AX187" s="114">
        <v>0</v>
      </c>
      <c r="AY187" s="114">
        <v>0</v>
      </c>
    </row>
    <row r="188" spans="1:51" x14ac:dyDescent="0.2">
      <c r="A188" s="136"/>
      <c r="B188" s="137">
        <v>4</v>
      </c>
      <c r="C188" s="114"/>
      <c r="D188" s="114">
        <v>0</v>
      </c>
      <c r="E188" s="114">
        <v>0</v>
      </c>
      <c r="F188" s="114">
        <v>0</v>
      </c>
      <c r="G188" s="114">
        <v>0</v>
      </c>
      <c r="H188" s="114">
        <v>727</v>
      </c>
      <c r="I188" s="114">
        <v>1902</v>
      </c>
      <c r="J188" s="114">
        <v>1526</v>
      </c>
      <c r="K188" s="114">
        <v>1803</v>
      </c>
      <c r="L188" s="114">
        <v>1581</v>
      </c>
      <c r="M188" s="114">
        <v>1097</v>
      </c>
      <c r="N188" s="114">
        <v>1230</v>
      </c>
      <c r="O188" s="114">
        <v>1207</v>
      </c>
      <c r="P188" s="114">
        <v>839</v>
      </c>
      <c r="Q188" s="114">
        <v>888</v>
      </c>
      <c r="R188" s="114">
        <v>853</v>
      </c>
      <c r="S188" s="114">
        <v>1061</v>
      </c>
      <c r="T188" s="114">
        <v>1206</v>
      </c>
      <c r="U188" s="114">
        <v>1162</v>
      </c>
      <c r="V188" s="114">
        <v>1425</v>
      </c>
      <c r="W188" s="114">
        <v>1176</v>
      </c>
      <c r="X188" s="114">
        <v>1549</v>
      </c>
      <c r="Y188" s="114">
        <v>1477</v>
      </c>
      <c r="Z188" s="114">
        <v>1570</v>
      </c>
      <c r="AA188" s="114">
        <v>1899</v>
      </c>
      <c r="AB188" s="114">
        <v>440</v>
      </c>
      <c r="AC188" s="114">
        <v>422</v>
      </c>
      <c r="AD188" s="114">
        <v>431</v>
      </c>
      <c r="AE188" s="114">
        <v>564</v>
      </c>
      <c r="AF188" s="114">
        <v>643</v>
      </c>
      <c r="AG188" s="114">
        <v>642</v>
      </c>
      <c r="AH188" s="114">
        <v>519</v>
      </c>
      <c r="AI188" s="114">
        <v>618</v>
      </c>
      <c r="AJ188" s="114">
        <v>599</v>
      </c>
      <c r="AK188" s="114">
        <v>627</v>
      </c>
      <c r="AL188" s="114">
        <v>602</v>
      </c>
      <c r="AM188" s="114">
        <v>687</v>
      </c>
      <c r="AN188" s="114">
        <v>1054</v>
      </c>
      <c r="AO188" s="114">
        <v>1193</v>
      </c>
      <c r="AP188" s="114">
        <v>1399</v>
      </c>
      <c r="AQ188" s="114">
        <v>1387</v>
      </c>
      <c r="AR188" s="114">
        <v>788</v>
      </c>
      <c r="AS188" s="114">
        <v>775</v>
      </c>
      <c r="AT188" s="114">
        <v>652</v>
      </c>
      <c r="AU188" s="114">
        <v>643</v>
      </c>
      <c r="AV188" s="114">
        <v>539</v>
      </c>
      <c r="AW188" s="114">
        <v>525</v>
      </c>
      <c r="AX188" s="114">
        <v>432</v>
      </c>
      <c r="AY188" s="114">
        <v>564</v>
      </c>
    </row>
    <row r="189" spans="1:51" x14ac:dyDescent="0.2">
      <c r="A189" s="134" t="s">
        <v>133</v>
      </c>
      <c r="B189" s="131">
        <v>1</v>
      </c>
      <c r="C189" s="132"/>
      <c r="D189" s="132">
        <v>0</v>
      </c>
      <c r="E189" s="132">
        <v>0</v>
      </c>
      <c r="F189" s="132">
        <v>833.25</v>
      </c>
      <c r="G189" s="132">
        <v>0</v>
      </c>
      <c r="H189" s="132">
        <v>833.25</v>
      </c>
      <c r="I189" s="132">
        <v>833.25</v>
      </c>
      <c r="J189" s="132">
        <v>0</v>
      </c>
      <c r="K189" s="132">
        <v>0</v>
      </c>
      <c r="L189" s="132">
        <v>0</v>
      </c>
      <c r="M189" s="132">
        <v>833.25</v>
      </c>
      <c r="N189" s="132">
        <v>0</v>
      </c>
      <c r="O189" s="132">
        <v>0</v>
      </c>
      <c r="P189" s="132">
        <v>0</v>
      </c>
      <c r="Q189" s="132">
        <v>0</v>
      </c>
      <c r="R189" s="132">
        <v>0</v>
      </c>
      <c r="S189" s="132">
        <v>0</v>
      </c>
      <c r="T189" s="132">
        <v>0</v>
      </c>
      <c r="U189" s="132">
        <v>0</v>
      </c>
      <c r="V189" s="132">
        <v>833.25</v>
      </c>
      <c r="W189" s="132">
        <v>833.25</v>
      </c>
      <c r="X189" s="132">
        <v>833.25</v>
      </c>
      <c r="Y189" s="132">
        <v>833.25</v>
      </c>
      <c r="Z189" s="132">
        <v>0</v>
      </c>
      <c r="AA189" s="132">
        <v>833.25</v>
      </c>
      <c r="AB189" s="132">
        <v>0</v>
      </c>
      <c r="AC189" s="132">
        <v>0</v>
      </c>
      <c r="AD189" s="132">
        <v>0</v>
      </c>
      <c r="AE189" s="132">
        <v>0</v>
      </c>
      <c r="AF189" s="132">
        <v>0</v>
      </c>
      <c r="AG189" s="132">
        <v>833.25</v>
      </c>
      <c r="AH189" s="132">
        <v>833.25</v>
      </c>
      <c r="AI189" s="132">
        <v>833.25</v>
      </c>
      <c r="AJ189" s="132">
        <v>833.25</v>
      </c>
      <c r="AK189" s="132">
        <v>0</v>
      </c>
      <c r="AL189" s="132">
        <v>0</v>
      </c>
      <c r="AM189" s="132">
        <v>0</v>
      </c>
      <c r="AN189" s="132">
        <v>0</v>
      </c>
      <c r="AO189" s="132">
        <v>0</v>
      </c>
      <c r="AP189" s="132">
        <v>833.25</v>
      </c>
      <c r="AQ189" s="132">
        <v>833.25</v>
      </c>
      <c r="AR189" s="132">
        <v>0</v>
      </c>
      <c r="AS189" s="132">
        <v>833.25</v>
      </c>
      <c r="AT189" s="132">
        <v>572.75</v>
      </c>
      <c r="AU189" s="132">
        <v>0</v>
      </c>
      <c r="AV189" s="132">
        <v>937</v>
      </c>
      <c r="AW189" s="132">
        <v>833.25</v>
      </c>
      <c r="AX189" s="132">
        <v>833.25</v>
      </c>
      <c r="AY189" s="132">
        <v>833.25</v>
      </c>
    </row>
    <row r="190" spans="1:51" x14ac:dyDescent="0.2">
      <c r="A190" s="117"/>
      <c r="B190" s="127">
        <v>2</v>
      </c>
      <c r="C190" s="114"/>
      <c r="D190" s="114">
        <v>0</v>
      </c>
      <c r="E190" s="114">
        <v>0</v>
      </c>
      <c r="F190" s="114">
        <v>0</v>
      </c>
      <c r="G190" s="114">
        <v>0</v>
      </c>
      <c r="H190" s="114">
        <v>833.25</v>
      </c>
      <c r="I190" s="114">
        <v>0</v>
      </c>
      <c r="J190" s="114">
        <v>0</v>
      </c>
      <c r="K190" s="114">
        <v>833.25</v>
      </c>
      <c r="L190" s="114">
        <v>833.25</v>
      </c>
      <c r="M190" s="114">
        <v>833.25</v>
      </c>
      <c r="N190" s="114">
        <v>0</v>
      </c>
      <c r="O190" s="114">
        <v>0</v>
      </c>
      <c r="P190" s="114">
        <v>334.75</v>
      </c>
      <c r="Q190" s="114">
        <v>749.5</v>
      </c>
      <c r="R190" s="114">
        <v>833.25</v>
      </c>
      <c r="S190" s="114">
        <v>0</v>
      </c>
      <c r="T190" s="114">
        <v>0</v>
      </c>
      <c r="U190" s="114">
        <v>833.25</v>
      </c>
      <c r="V190" s="114">
        <v>0</v>
      </c>
      <c r="W190" s="114">
        <v>0</v>
      </c>
      <c r="X190" s="114">
        <v>0</v>
      </c>
      <c r="Y190" s="114">
        <v>0</v>
      </c>
      <c r="Z190" s="114">
        <v>0</v>
      </c>
      <c r="AA190" s="114">
        <v>833.25</v>
      </c>
      <c r="AB190" s="114">
        <v>0</v>
      </c>
      <c r="AC190" s="114">
        <v>833.25</v>
      </c>
      <c r="AD190" s="114">
        <v>833.25</v>
      </c>
      <c r="AE190" s="114">
        <v>0</v>
      </c>
      <c r="AF190" s="114">
        <v>833.25</v>
      </c>
      <c r="AG190" s="114">
        <v>833.25</v>
      </c>
      <c r="AH190" s="114">
        <v>0</v>
      </c>
      <c r="AI190" s="114">
        <v>0</v>
      </c>
      <c r="AJ190" s="114">
        <v>0</v>
      </c>
      <c r="AK190" s="114">
        <v>0</v>
      </c>
      <c r="AL190" s="114">
        <v>0</v>
      </c>
      <c r="AM190" s="114">
        <v>822.75</v>
      </c>
      <c r="AN190" s="114">
        <v>833.25</v>
      </c>
      <c r="AO190" s="114">
        <v>833.25</v>
      </c>
      <c r="AP190" s="114">
        <v>833.25</v>
      </c>
      <c r="AQ190" s="114">
        <v>0</v>
      </c>
      <c r="AR190" s="114">
        <v>0</v>
      </c>
      <c r="AS190" s="114">
        <v>0</v>
      </c>
      <c r="AT190" s="114">
        <v>0</v>
      </c>
      <c r="AU190" s="114">
        <v>260.5</v>
      </c>
      <c r="AV190" s="114">
        <v>0</v>
      </c>
      <c r="AW190" s="114">
        <v>0</v>
      </c>
      <c r="AX190" s="114">
        <v>0</v>
      </c>
      <c r="AY190" s="114">
        <v>0</v>
      </c>
    </row>
    <row r="191" spans="1:51" x14ac:dyDescent="0.2">
      <c r="A191" s="117"/>
      <c r="B191" s="128">
        <v>3</v>
      </c>
      <c r="C191" s="114"/>
      <c r="D191" s="114">
        <v>0</v>
      </c>
      <c r="E191" s="114">
        <v>0</v>
      </c>
      <c r="F191" s="114">
        <v>0</v>
      </c>
      <c r="G191" s="114">
        <v>0</v>
      </c>
      <c r="H191" s="114">
        <v>0</v>
      </c>
      <c r="I191" s="114">
        <v>0</v>
      </c>
      <c r="J191" s="114">
        <v>0</v>
      </c>
      <c r="K191" s="114">
        <v>0</v>
      </c>
      <c r="L191" s="114">
        <v>0</v>
      </c>
      <c r="M191" s="114">
        <v>0</v>
      </c>
      <c r="N191" s="114">
        <v>0</v>
      </c>
      <c r="O191" s="114">
        <v>0</v>
      </c>
      <c r="P191" s="114">
        <v>833.25</v>
      </c>
      <c r="Q191" s="114">
        <v>498.5</v>
      </c>
      <c r="R191" s="114">
        <v>83.75</v>
      </c>
      <c r="S191" s="114">
        <v>0</v>
      </c>
      <c r="T191" s="114">
        <v>833.25</v>
      </c>
      <c r="U191" s="114">
        <v>833.25</v>
      </c>
      <c r="V191" s="114">
        <v>0</v>
      </c>
      <c r="W191" s="114">
        <v>833.25</v>
      </c>
      <c r="X191" s="114">
        <v>0</v>
      </c>
      <c r="Y191" s="114">
        <v>0</v>
      </c>
      <c r="Z191" s="114">
        <v>0</v>
      </c>
      <c r="AA191" s="114">
        <v>0</v>
      </c>
      <c r="AB191" s="114">
        <v>0</v>
      </c>
      <c r="AC191" s="114">
        <v>0</v>
      </c>
      <c r="AD191" s="114">
        <v>0</v>
      </c>
      <c r="AE191" s="114">
        <v>0</v>
      </c>
      <c r="AF191" s="114">
        <v>833.25</v>
      </c>
      <c r="AG191" s="114">
        <v>0</v>
      </c>
      <c r="AH191" s="114">
        <v>0</v>
      </c>
      <c r="AI191" s="114">
        <v>0</v>
      </c>
      <c r="AJ191" s="114">
        <v>0</v>
      </c>
      <c r="AK191" s="114">
        <v>0</v>
      </c>
      <c r="AL191" s="114">
        <v>0</v>
      </c>
      <c r="AM191" s="114">
        <v>833.25</v>
      </c>
      <c r="AN191" s="114">
        <v>10.5</v>
      </c>
      <c r="AO191" s="114">
        <v>0</v>
      </c>
      <c r="AP191" s="114">
        <v>0</v>
      </c>
      <c r="AQ191" s="114">
        <v>0</v>
      </c>
      <c r="AR191" s="114">
        <v>0</v>
      </c>
      <c r="AS191" s="114">
        <v>0</v>
      </c>
      <c r="AT191" s="114">
        <v>833.25</v>
      </c>
      <c r="AU191" s="114">
        <v>0</v>
      </c>
      <c r="AV191" s="114">
        <v>0</v>
      </c>
      <c r="AW191" s="114">
        <v>0</v>
      </c>
      <c r="AX191" s="114">
        <v>0</v>
      </c>
      <c r="AY191" s="114">
        <v>0</v>
      </c>
    </row>
    <row r="192" spans="1:51" x14ac:dyDescent="0.2">
      <c r="A192" s="117"/>
      <c r="B192" s="128">
        <v>4</v>
      </c>
      <c r="C192" s="114"/>
      <c r="D192" s="114">
        <v>0</v>
      </c>
      <c r="E192" s="114">
        <v>0</v>
      </c>
      <c r="F192" s="114">
        <v>0</v>
      </c>
      <c r="G192" s="114">
        <v>0</v>
      </c>
      <c r="H192" s="114">
        <v>0</v>
      </c>
      <c r="I192" s="114">
        <v>0</v>
      </c>
      <c r="J192" s="114">
        <v>0</v>
      </c>
      <c r="K192" s="114">
        <v>0</v>
      </c>
      <c r="L192" s="114">
        <v>0</v>
      </c>
      <c r="M192" s="114">
        <v>0</v>
      </c>
      <c r="N192" s="114">
        <v>0</v>
      </c>
      <c r="O192" s="114">
        <v>0</v>
      </c>
      <c r="P192" s="114">
        <v>0</v>
      </c>
      <c r="Q192" s="114">
        <v>0</v>
      </c>
      <c r="R192" s="114">
        <v>0</v>
      </c>
      <c r="S192" s="114">
        <v>0</v>
      </c>
      <c r="T192" s="114">
        <v>0</v>
      </c>
      <c r="U192" s="114">
        <v>0</v>
      </c>
      <c r="V192" s="114">
        <v>0</v>
      </c>
      <c r="W192" s="114">
        <v>0</v>
      </c>
      <c r="X192" s="114">
        <v>0</v>
      </c>
      <c r="Y192" s="114">
        <v>0</v>
      </c>
      <c r="Z192" s="114">
        <v>0</v>
      </c>
      <c r="AA192" s="114">
        <v>0</v>
      </c>
      <c r="AB192" s="114">
        <v>0</v>
      </c>
      <c r="AC192" s="114">
        <v>0</v>
      </c>
      <c r="AD192" s="114">
        <v>0</v>
      </c>
      <c r="AE192" s="114">
        <v>0</v>
      </c>
      <c r="AF192" s="114">
        <v>0</v>
      </c>
      <c r="AG192" s="114">
        <v>0</v>
      </c>
      <c r="AH192" s="114">
        <v>0</v>
      </c>
      <c r="AI192" s="114">
        <v>0</v>
      </c>
      <c r="AJ192" s="114">
        <v>0</v>
      </c>
      <c r="AK192" s="114">
        <v>0</v>
      </c>
      <c r="AL192" s="114">
        <v>0</v>
      </c>
      <c r="AM192" s="114">
        <v>0</v>
      </c>
      <c r="AN192" s="114">
        <v>0</v>
      </c>
      <c r="AO192" s="114">
        <v>0</v>
      </c>
      <c r="AP192" s="114">
        <v>0</v>
      </c>
      <c r="AQ192" s="114">
        <v>0</v>
      </c>
      <c r="AR192" s="114">
        <v>0</v>
      </c>
      <c r="AS192" s="114">
        <v>0</v>
      </c>
      <c r="AT192" s="114">
        <v>0</v>
      </c>
      <c r="AU192" s="114">
        <v>0</v>
      </c>
      <c r="AV192" s="114">
        <v>0</v>
      </c>
      <c r="AW192" s="114">
        <v>0</v>
      </c>
      <c r="AX192" s="114">
        <v>0</v>
      </c>
      <c r="AY192" s="114">
        <v>0</v>
      </c>
    </row>
    <row r="193" spans="1:51" x14ac:dyDescent="0.2">
      <c r="A193" s="117"/>
      <c r="B193" s="135">
        <v>5</v>
      </c>
      <c r="C193" s="114"/>
      <c r="D193" s="114">
        <v>0</v>
      </c>
      <c r="E193" s="114">
        <v>0</v>
      </c>
      <c r="F193" s="114">
        <v>0</v>
      </c>
      <c r="G193" s="114">
        <v>0</v>
      </c>
      <c r="H193" s="114">
        <v>0</v>
      </c>
      <c r="I193" s="114">
        <v>0</v>
      </c>
      <c r="J193" s="114">
        <v>0</v>
      </c>
      <c r="K193" s="114">
        <v>0</v>
      </c>
      <c r="L193" s="114">
        <v>0</v>
      </c>
      <c r="M193" s="114">
        <v>0</v>
      </c>
      <c r="N193" s="114">
        <v>0</v>
      </c>
      <c r="O193" s="114">
        <v>0</v>
      </c>
      <c r="P193" s="114">
        <v>0</v>
      </c>
      <c r="Q193" s="114">
        <v>0</v>
      </c>
      <c r="R193" s="114">
        <v>0</v>
      </c>
      <c r="S193" s="114">
        <v>0</v>
      </c>
      <c r="T193" s="114">
        <v>0</v>
      </c>
      <c r="U193" s="114">
        <v>0</v>
      </c>
      <c r="V193" s="114">
        <v>0</v>
      </c>
      <c r="W193" s="114">
        <v>0</v>
      </c>
      <c r="X193" s="114">
        <v>0</v>
      </c>
      <c r="Y193" s="114">
        <v>0</v>
      </c>
      <c r="Z193" s="114">
        <v>0</v>
      </c>
      <c r="AA193" s="114">
        <v>0</v>
      </c>
      <c r="AB193" s="114">
        <v>0</v>
      </c>
      <c r="AC193" s="114">
        <v>0</v>
      </c>
      <c r="AD193" s="114">
        <v>0</v>
      </c>
      <c r="AE193" s="114">
        <v>0</v>
      </c>
      <c r="AF193" s="114">
        <v>0</v>
      </c>
      <c r="AG193" s="114">
        <v>0</v>
      </c>
      <c r="AH193" s="114">
        <v>0</v>
      </c>
      <c r="AI193" s="114">
        <v>0</v>
      </c>
      <c r="AJ193" s="114">
        <v>0</v>
      </c>
      <c r="AK193" s="114">
        <v>0</v>
      </c>
      <c r="AL193" s="114">
        <v>0</v>
      </c>
      <c r="AM193" s="114">
        <v>0</v>
      </c>
      <c r="AN193" s="114">
        <v>0</v>
      </c>
      <c r="AO193" s="114">
        <v>0</v>
      </c>
      <c r="AP193" s="114">
        <v>0</v>
      </c>
      <c r="AQ193" s="114">
        <v>0</v>
      </c>
      <c r="AR193" s="114">
        <v>0</v>
      </c>
      <c r="AS193" s="114">
        <v>0</v>
      </c>
      <c r="AT193" s="114">
        <v>0</v>
      </c>
      <c r="AU193" s="114">
        <v>0</v>
      </c>
      <c r="AV193" s="114">
        <v>0</v>
      </c>
      <c r="AW193" s="114">
        <v>0</v>
      </c>
      <c r="AX193" s="114">
        <v>0</v>
      </c>
      <c r="AY193" s="114">
        <v>0</v>
      </c>
    </row>
    <row r="194" spans="1:51" x14ac:dyDescent="0.2">
      <c r="A194" s="117"/>
      <c r="B194" s="135">
        <v>6</v>
      </c>
      <c r="C194" s="114"/>
      <c r="D194" s="114">
        <v>0</v>
      </c>
      <c r="E194" s="114">
        <v>0</v>
      </c>
      <c r="F194" s="114">
        <v>0</v>
      </c>
      <c r="G194" s="114">
        <v>0</v>
      </c>
      <c r="H194" s="114">
        <v>0</v>
      </c>
      <c r="I194" s="114">
        <v>0</v>
      </c>
      <c r="J194" s="114">
        <v>0</v>
      </c>
      <c r="K194" s="114">
        <v>0</v>
      </c>
      <c r="L194" s="114">
        <v>0</v>
      </c>
      <c r="M194" s="114">
        <v>0</v>
      </c>
      <c r="N194" s="114">
        <v>0</v>
      </c>
      <c r="O194" s="114">
        <v>0</v>
      </c>
      <c r="P194" s="114">
        <v>0</v>
      </c>
      <c r="Q194" s="114">
        <v>0</v>
      </c>
      <c r="R194" s="114">
        <v>0</v>
      </c>
      <c r="S194" s="114">
        <v>0</v>
      </c>
      <c r="T194" s="114">
        <v>0</v>
      </c>
      <c r="U194" s="114">
        <v>0</v>
      </c>
      <c r="V194" s="114">
        <v>0</v>
      </c>
      <c r="W194" s="114">
        <v>0</v>
      </c>
      <c r="X194" s="114">
        <v>0</v>
      </c>
      <c r="Y194" s="114">
        <v>0</v>
      </c>
      <c r="Z194" s="114">
        <v>0</v>
      </c>
      <c r="AA194" s="114">
        <v>0</v>
      </c>
      <c r="AB194" s="114">
        <v>0</v>
      </c>
      <c r="AC194" s="114">
        <v>0</v>
      </c>
      <c r="AD194" s="114">
        <v>0</v>
      </c>
      <c r="AE194" s="114">
        <v>0</v>
      </c>
      <c r="AF194" s="114">
        <v>0</v>
      </c>
      <c r="AG194" s="114">
        <v>0</v>
      </c>
      <c r="AH194" s="114">
        <v>0</v>
      </c>
      <c r="AI194" s="114">
        <v>0</v>
      </c>
      <c r="AJ194" s="114">
        <v>0</v>
      </c>
      <c r="AK194" s="114">
        <v>0</v>
      </c>
      <c r="AL194" s="114">
        <v>0</v>
      </c>
      <c r="AM194" s="114">
        <v>0</v>
      </c>
      <c r="AN194" s="114">
        <v>0</v>
      </c>
      <c r="AO194" s="114">
        <v>0</v>
      </c>
      <c r="AP194" s="114">
        <v>0</v>
      </c>
      <c r="AQ194" s="114">
        <v>0</v>
      </c>
      <c r="AR194" s="114">
        <v>0</v>
      </c>
      <c r="AS194" s="114">
        <v>0</v>
      </c>
      <c r="AT194" s="114">
        <v>0</v>
      </c>
      <c r="AU194" s="114">
        <v>0</v>
      </c>
      <c r="AV194" s="114">
        <v>0</v>
      </c>
      <c r="AW194" s="114">
        <v>0</v>
      </c>
      <c r="AX194" s="114">
        <v>0</v>
      </c>
      <c r="AY194" s="114">
        <v>0</v>
      </c>
    </row>
    <row r="195" spans="1:51" x14ac:dyDescent="0.2">
      <c r="A195" s="117"/>
      <c r="B195" s="138">
        <v>7</v>
      </c>
      <c r="C195" s="114"/>
      <c r="D195" s="114">
        <v>0</v>
      </c>
      <c r="E195" s="114">
        <v>0</v>
      </c>
      <c r="F195" s="114">
        <v>0</v>
      </c>
      <c r="G195" s="114">
        <v>0</v>
      </c>
      <c r="H195" s="114">
        <v>0</v>
      </c>
      <c r="I195" s="114">
        <v>0</v>
      </c>
      <c r="J195" s="114">
        <v>0</v>
      </c>
      <c r="K195" s="114">
        <v>0</v>
      </c>
      <c r="L195" s="114">
        <v>0</v>
      </c>
      <c r="M195" s="114">
        <v>0</v>
      </c>
      <c r="N195" s="114">
        <v>0</v>
      </c>
      <c r="O195" s="114">
        <v>0</v>
      </c>
      <c r="P195" s="114">
        <v>0</v>
      </c>
      <c r="Q195" s="114">
        <v>0</v>
      </c>
      <c r="R195" s="114">
        <v>0</v>
      </c>
      <c r="S195" s="114">
        <v>0</v>
      </c>
      <c r="T195" s="114">
        <v>0</v>
      </c>
      <c r="U195" s="114">
        <v>0</v>
      </c>
      <c r="V195" s="114">
        <v>0</v>
      </c>
      <c r="W195" s="114">
        <v>0</v>
      </c>
      <c r="X195" s="114">
        <v>0</v>
      </c>
      <c r="Y195" s="114">
        <v>0</v>
      </c>
      <c r="Z195" s="114">
        <v>0</v>
      </c>
      <c r="AA195" s="114">
        <v>0</v>
      </c>
      <c r="AB195" s="114">
        <v>0</v>
      </c>
      <c r="AC195" s="114">
        <v>0</v>
      </c>
      <c r="AD195" s="114">
        <v>0</v>
      </c>
      <c r="AE195" s="114">
        <v>0</v>
      </c>
      <c r="AF195" s="114">
        <v>0</v>
      </c>
      <c r="AG195" s="114">
        <v>0</v>
      </c>
      <c r="AH195" s="114">
        <v>0</v>
      </c>
      <c r="AI195" s="114">
        <v>0</v>
      </c>
      <c r="AJ195" s="114">
        <v>0</v>
      </c>
      <c r="AK195" s="114">
        <v>0</v>
      </c>
      <c r="AL195" s="114">
        <v>0</v>
      </c>
      <c r="AM195" s="114">
        <v>0</v>
      </c>
      <c r="AN195" s="114">
        <v>0</v>
      </c>
      <c r="AO195" s="114">
        <v>0</v>
      </c>
      <c r="AP195" s="114">
        <v>0</v>
      </c>
      <c r="AQ195" s="114">
        <v>0</v>
      </c>
      <c r="AR195" s="114">
        <v>0</v>
      </c>
      <c r="AS195" s="114">
        <v>0</v>
      </c>
      <c r="AT195" s="114">
        <v>0</v>
      </c>
      <c r="AU195" s="114">
        <v>0</v>
      </c>
      <c r="AV195" s="114">
        <v>0</v>
      </c>
      <c r="AW195" s="114">
        <v>0</v>
      </c>
      <c r="AX195" s="114">
        <v>0</v>
      </c>
      <c r="AY195" s="114">
        <v>0</v>
      </c>
    </row>
    <row r="196" spans="1:51" x14ac:dyDescent="0.2">
      <c r="A196" s="136"/>
      <c r="B196" s="137">
        <v>8</v>
      </c>
      <c r="C196" s="122"/>
      <c r="D196" s="122">
        <v>0</v>
      </c>
      <c r="E196" s="122">
        <v>0</v>
      </c>
      <c r="F196" s="122">
        <v>0</v>
      </c>
      <c r="G196" s="122">
        <v>0</v>
      </c>
      <c r="H196" s="122">
        <v>0</v>
      </c>
      <c r="I196" s="122">
        <v>0</v>
      </c>
      <c r="J196" s="122">
        <v>0</v>
      </c>
      <c r="K196" s="122">
        <v>0</v>
      </c>
      <c r="L196" s="122">
        <v>0</v>
      </c>
      <c r="M196" s="122">
        <v>0</v>
      </c>
      <c r="N196" s="122">
        <v>0</v>
      </c>
      <c r="O196" s="122">
        <v>0</v>
      </c>
      <c r="P196" s="122">
        <v>0</v>
      </c>
      <c r="Q196" s="122">
        <v>0</v>
      </c>
      <c r="R196" s="122">
        <v>0</v>
      </c>
      <c r="S196" s="122">
        <v>0</v>
      </c>
      <c r="T196" s="122">
        <v>0</v>
      </c>
      <c r="U196" s="122">
        <v>0</v>
      </c>
      <c r="V196" s="122">
        <v>0</v>
      </c>
      <c r="W196" s="122">
        <v>0</v>
      </c>
      <c r="X196" s="122">
        <v>0</v>
      </c>
      <c r="Y196" s="122">
        <v>0</v>
      </c>
      <c r="Z196" s="122">
        <v>0</v>
      </c>
      <c r="AA196" s="122">
        <v>0</v>
      </c>
      <c r="AB196" s="122">
        <v>0</v>
      </c>
      <c r="AC196" s="122">
        <v>0</v>
      </c>
      <c r="AD196" s="122">
        <v>0</v>
      </c>
      <c r="AE196" s="122">
        <v>0</v>
      </c>
      <c r="AF196" s="122">
        <v>0</v>
      </c>
      <c r="AG196" s="122">
        <v>0</v>
      </c>
      <c r="AH196" s="122">
        <v>0</v>
      </c>
      <c r="AI196" s="122">
        <v>0</v>
      </c>
      <c r="AJ196" s="122">
        <v>0</v>
      </c>
      <c r="AK196" s="122">
        <v>0</v>
      </c>
      <c r="AL196" s="122">
        <v>0</v>
      </c>
      <c r="AM196" s="122">
        <v>0</v>
      </c>
      <c r="AN196" s="122">
        <v>0</v>
      </c>
      <c r="AO196" s="122">
        <v>0</v>
      </c>
      <c r="AP196" s="122">
        <v>0</v>
      </c>
      <c r="AQ196" s="122">
        <v>0</v>
      </c>
      <c r="AR196" s="122">
        <v>0</v>
      </c>
      <c r="AS196" s="122">
        <v>0</v>
      </c>
      <c r="AT196" s="122">
        <v>0</v>
      </c>
      <c r="AU196" s="122">
        <v>0</v>
      </c>
      <c r="AV196" s="122">
        <v>0</v>
      </c>
      <c r="AW196" s="122">
        <v>0</v>
      </c>
      <c r="AX196" s="122">
        <v>0</v>
      </c>
      <c r="AY196" s="122">
        <v>0</v>
      </c>
    </row>
    <row r="197" spans="1:51" x14ac:dyDescent="0.2">
      <c r="A197" s="139" t="s">
        <v>134</v>
      </c>
      <c r="B197" s="127">
        <v>1</v>
      </c>
      <c r="C197" s="114"/>
      <c r="D197" s="114">
        <v>0</v>
      </c>
      <c r="E197" s="114">
        <v>0</v>
      </c>
      <c r="F197" s="114">
        <v>0</v>
      </c>
      <c r="G197" s="114">
        <v>333.3</v>
      </c>
      <c r="H197" s="114">
        <v>0</v>
      </c>
      <c r="I197" s="114">
        <v>499.95</v>
      </c>
      <c r="J197" s="114">
        <v>249.97499999999999</v>
      </c>
      <c r="K197" s="114">
        <v>0</v>
      </c>
      <c r="L197" s="114">
        <v>249.97499999999999</v>
      </c>
      <c r="M197" s="114">
        <v>166.65</v>
      </c>
      <c r="N197" s="114">
        <v>333.3</v>
      </c>
      <c r="O197" s="114">
        <v>73.817733474237372</v>
      </c>
      <c r="P197" s="114">
        <v>0</v>
      </c>
      <c r="Q197" s="114">
        <v>999.90000000000009</v>
      </c>
      <c r="R197" s="114">
        <v>503.64</v>
      </c>
      <c r="S197" s="114">
        <v>2.2737367544323207E-14</v>
      </c>
      <c r="T197" s="114">
        <v>0</v>
      </c>
      <c r="U197" s="114">
        <v>249.97499999999999</v>
      </c>
      <c r="V197" s="114">
        <v>499.95</v>
      </c>
      <c r="W197" s="114">
        <v>249.97499999999999</v>
      </c>
      <c r="X197" s="114">
        <v>499.95</v>
      </c>
      <c r="Y197" s="114">
        <v>181.61677321670129</v>
      </c>
      <c r="Z197" s="114">
        <v>166.65</v>
      </c>
      <c r="AA197" s="114">
        <v>0</v>
      </c>
      <c r="AB197" s="114">
        <v>333.3</v>
      </c>
      <c r="AC197" s="114">
        <v>0</v>
      </c>
      <c r="AD197" s="114">
        <v>333.3</v>
      </c>
      <c r="AE197" s="114">
        <v>333.3</v>
      </c>
      <c r="AF197" s="114">
        <v>0</v>
      </c>
      <c r="AG197" s="114">
        <v>499.95</v>
      </c>
      <c r="AH197" s="114">
        <v>681.36282719481551</v>
      </c>
      <c r="AI197" s="114">
        <v>436.72139637460526</v>
      </c>
      <c r="AJ197" s="114">
        <v>323.97614820811577</v>
      </c>
      <c r="AK197" s="114">
        <v>166.65000000000003</v>
      </c>
      <c r="AL197" s="114">
        <v>0</v>
      </c>
      <c r="AM197" s="114">
        <v>0</v>
      </c>
      <c r="AN197" s="114">
        <v>499.95000000000005</v>
      </c>
      <c r="AO197" s="114">
        <v>512.32000000000005</v>
      </c>
      <c r="AP197" s="114">
        <v>333.3</v>
      </c>
      <c r="AQ197" s="114">
        <v>666.6</v>
      </c>
      <c r="AR197" s="114">
        <v>333.3</v>
      </c>
      <c r="AS197" s="114">
        <v>0</v>
      </c>
      <c r="AT197" s="114">
        <v>249.97499999999999</v>
      </c>
      <c r="AU197" s="114">
        <v>499.95</v>
      </c>
      <c r="AV197" s="114">
        <v>0</v>
      </c>
      <c r="AW197" s="114">
        <v>187.4</v>
      </c>
      <c r="AX197" s="114">
        <v>175.12239060474016</v>
      </c>
      <c r="AY197" s="114">
        <v>166.65</v>
      </c>
    </row>
    <row r="198" spans="1:51" x14ac:dyDescent="0.2">
      <c r="A198" s="117"/>
      <c r="B198" s="127">
        <v>2</v>
      </c>
      <c r="C198" s="114"/>
      <c r="D198" s="114">
        <v>0</v>
      </c>
      <c r="E198" s="114">
        <v>0</v>
      </c>
      <c r="F198" s="114">
        <v>0</v>
      </c>
      <c r="G198" s="114">
        <v>0</v>
      </c>
      <c r="H198" s="114">
        <v>0</v>
      </c>
      <c r="I198" s="114">
        <v>0</v>
      </c>
      <c r="J198" s="114">
        <v>0</v>
      </c>
      <c r="K198" s="114">
        <v>0</v>
      </c>
      <c r="L198" s="114">
        <v>0</v>
      </c>
      <c r="M198" s="114">
        <v>0</v>
      </c>
      <c r="N198" s="114">
        <v>0</v>
      </c>
      <c r="O198" s="114">
        <v>0</v>
      </c>
      <c r="P198" s="114">
        <v>0</v>
      </c>
      <c r="Q198" s="114">
        <v>0</v>
      </c>
      <c r="R198" s="114">
        <v>0</v>
      </c>
      <c r="S198" s="114">
        <v>0</v>
      </c>
      <c r="T198" s="114">
        <v>0</v>
      </c>
      <c r="U198" s="114">
        <v>0</v>
      </c>
      <c r="V198" s="114">
        <v>0</v>
      </c>
      <c r="W198" s="114">
        <v>0</v>
      </c>
      <c r="X198" s="114">
        <v>0</v>
      </c>
      <c r="Y198" s="114">
        <v>0</v>
      </c>
      <c r="Z198" s="114">
        <v>0</v>
      </c>
      <c r="AA198" s="114">
        <v>0</v>
      </c>
      <c r="AB198" s="114">
        <v>0</v>
      </c>
      <c r="AC198" s="114">
        <v>0</v>
      </c>
      <c r="AD198" s="114">
        <v>0</v>
      </c>
      <c r="AE198" s="114">
        <v>0</v>
      </c>
      <c r="AF198" s="114">
        <v>0</v>
      </c>
      <c r="AG198" s="114">
        <v>0</v>
      </c>
      <c r="AH198" s="114">
        <v>0</v>
      </c>
      <c r="AI198" s="114">
        <v>0</v>
      </c>
      <c r="AJ198" s="114">
        <v>0</v>
      </c>
      <c r="AK198" s="114">
        <v>0</v>
      </c>
      <c r="AL198" s="114">
        <v>0</v>
      </c>
      <c r="AM198" s="114">
        <v>0</v>
      </c>
      <c r="AN198" s="114">
        <v>0</v>
      </c>
      <c r="AO198" s="114">
        <v>0</v>
      </c>
      <c r="AP198" s="114">
        <v>0</v>
      </c>
      <c r="AQ198" s="114">
        <v>0</v>
      </c>
      <c r="AR198" s="114">
        <v>0</v>
      </c>
      <c r="AS198" s="114">
        <v>0</v>
      </c>
      <c r="AT198" s="114">
        <v>0</v>
      </c>
      <c r="AU198" s="114">
        <v>0</v>
      </c>
      <c r="AV198" s="114">
        <v>0</v>
      </c>
      <c r="AW198" s="114">
        <v>0</v>
      </c>
      <c r="AX198" s="114">
        <v>0</v>
      </c>
      <c r="AY198" s="114">
        <v>0</v>
      </c>
    </row>
    <row r="199" spans="1:51" x14ac:dyDescent="0.2">
      <c r="A199" s="117"/>
      <c r="B199" s="127">
        <v>3</v>
      </c>
      <c r="C199" s="114"/>
      <c r="D199" s="114">
        <v>0</v>
      </c>
      <c r="E199" s="114">
        <v>0</v>
      </c>
      <c r="F199" s="114">
        <v>0</v>
      </c>
      <c r="G199" s="114">
        <v>0</v>
      </c>
      <c r="H199" s="114">
        <v>0</v>
      </c>
      <c r="I199" s="114">
        <v>0</v>
      </c>
      <c r="J199" s="114">
        <v>0</v>
      </c>
      <c r="K199" s="114">
        <v>0</v>
      </c>
      <c r="L199" s="114">
        <v>0</v>
      </c>
      <c r="M199" s="114">
        <v>0</v>
      </c>
      <c r="N199" s="114">
        <v>0</v>
      </c>
      <c r="O199" s="114">
        <v>0</v>
      </c>
      <c r="P199" s="114">
        <v>0</v>
      </c>
      <c r="Q199" s="114">
        <v>0</v>
      </c>
      <c r="R199" s="114">
        <v>0</v>
      </c>
      <c r="S199" s="114">
        <v>0</v>
      </c>
      <c r="T199" s="114">
        <v>0</v>
      </c>
      <c r="U199" s="114">
        <v>0</v>
      </c>
      <c r="V199" s="114">
        <v>0</v>
      </c>
      <c r="W199" s="114">
        <v>0</v>
      </c>
      <c r="X199" s="114">
        <v>0</v>
      </c>
      <c r="Y199" s="114">
        <v>0</v>
      </c>
      <c r="Z199" s="114">
        <v>0</v>
      </c>
      <c r="AA199" s="114">
        <v>0</v>
      </c>
      <c r="AB199" s="114">
        <v>0</v>
      </c>
      <c r="AC199" s="114">
        <v>0</v>
      </c>
      <c r="AD199" s="114">
        <v>0</v>
      </c>
      <c r="AE199" s="114">
        <v>0</v>
      </c>
      <c r="AF199" s="114">
        <v>0</v>
      </c>
      <c r="AG199" s="114">
        <v>0</v>
      </c>
      <c r="AH199" s="114">
        <v>0</v>
      </c>
      <c r="AI199" s="114">
        <v>0</v>
      </c>
      <c r="AJ199" s="114">
        <v>0</v>
      </c>
      <c r="AK199" s="114">
        <v>0</v>
      </c>
      <c r="AL199" s="114">
        <v>0</v>
      </c>
      <c r="AM199" s="114">
        <v>0</v>
      </c>
      <c r="AN199" s="114">
        <v>0</v>
      </c>
      <c r="AO199" s="114">
        <v>0</v>
      </c>
      <c r="AP199" s="114">
        <v>0</v>
      </c>
      <c r="AQ199" s="114">
        <v>0</v>
      </c>
      <c r="AR199" s="114">
        <v>0</v>
      </c>
      <c r="AS199" s="114">
        <v>0</v>
      </c>
      <c r="AT199" s="114">
        <v>0</v>
      </c>
      <c r="AU199" s="114">
        <v>0</v>
      </c>
      <c r="AV199" s="114">
        <v>0</v>
      </c>
      <c r="AW199" s="114">
        <v>0</v>
      </c>
      <c r="AX199" s="114">
        <v>0</v>
      </c>
      <c r="AY199" s="114">
        <v>0</v>
      </c>
    </row>
    <row r="200" spans="1:51" x14ac:dyDescent="0.2">
      <c r="A200" s="117"/>
      <c r="B200" s="128">
        <v>4</v>
      </c>
      <c r="C200" s="114"/>
      <c r="D200" s="114">
        <v>0</v>
      </c>
      <c r="E200" s="114">
        <v>0</v>
      </c>
      <c r="F200" s="114">
        <v>0</v>
      </c>
      <c r="G200" s="114">
        <v>0</v>
      </c>
      <c r="H200" s="114">
        <v>0</v>
      </c>
      <c r="I200" s="114">
        <v>0</v>
      </c>
      <c r="J200" s="114">
        <v>0</v>
      </c>
      <c r="K200" s="114">
        <v>0</v>
      </c>
      <c r="L200" s="114">
        <v>0</v>
      </c>
      <c r="M200" s="114">
        <v>0</v>
      </c>
      <c r="N200" s="114">
        <v>0</v>
      </c>
      <c r="O200" s="114">
        <v>0</v>
      </c>
      <c r="P200" s="114">
        <v>0</v>
      </c>
      <c r="Q200" s="114">
        <v>0</v>
      </c>
      <c r="R200" s="114">
        <v>0</v>
      </c>
      <c r="S200" s="114">
        <v>0</v>
      </c>
      <c r="T200" s="114">
        <v>0</v>
      </c>
      <c r="U200" s="114">
        <v>0</v>
      </c>
      <c r="V200" s="114">
        <v>0</v>
      </c>
      <c r="W200" s="114">
        <v>0</v>
      </c>
      <c r="X200" s="114">
        <v>0</v>
      </c>
      <c r="Y200" s="114">
        <v>0</v>
      </c>
      <c r="Z200" s="114">
        <v>0</v>
      </c>
      <c r="AA200" s="114">
        <v>0</v>
      </c>
      <c r="AB200" s="114">
        <v>0</v>
      </c>
      <c r="AC200" s="114">
        <v>0</v>
      </c>
      <c r="AD200" s="114">
        <v>0</v>
      </c>
      <c r="AE200" s="114">
        <v>0</v>
      </c>
      <c r="AF200" s="114">
        <v>0</v>
      </c>
      <c r="AG200" s="114">
        <v>0</v>
      </c>
      <c r="AH200" s="114">
        <v>0</v>
      </c>
      <c r="AI200" s="114">
        <v>0</v>
      </c>
      <c r="AJ200" s="114">
        <v>0</v>
      </c>
      <c r="AK200" s="114">
        <v>0</v>
      </c>
      <c r="AL200" s="114">
        <v>0</v>
      </c>
      <c r="AM200" s="114">
        <v>0</v>
      </c>
      <c r="AN200" s="114">
        <v>0</v>
      </c>
      <c r="AO200" s="114">
        <v>0</v>
      </c>
      <c r="AP200" s="114">
        <v>0</v>
      </c>
      <c r="AQ200" s="114">
        <v>0</v>
      </c>
      <c r="AR200" s="114">
        <v>0</v>
      </c>
      <c r="AS200" s="114">
        <v>0</v>
      </c>
      <c r="AT200" s="114">
        <v>0</v>
      </c>
      <c r="AU200" s="114">
        <v>0</v>
      </c>
      <c r="AV200" s="114">
        <v>0</v>
      </c>
      <c r="AW200" s="114">
        <v>0</v>
      </c>
      <c r="AX200" s="114">
        <v>0</v>
      </c>
      <c r="AY200" s="114">
        <v>0</v>
      </c>
    </row>
    <row r="201" spans="1:51" x14ac:dyDescent="0.2">
      <c r="A201" s="117"/>
      <c r="B201" s="128">
        <v>5</v>
      </c>
      <c r="C201" s="114"/>
      <c r="D201" s="114">
        <v>0</v>
      </c>
      <c r="E201" s="114">
        <v>0</v>
      </c>
      <c r="F201" s="114">
        <v>0</v>
      </c>
      <c r="G201" s="114">
        <v>0</v>
      </c>
      <c r="H201" s="114">
        <v>0</v>
      </c>
      <c r="I201" s="114">
        <v>0</v>
      </c>
      <c r="J201" s="114">
        <v>0</v>
      </c>
      <c r="K201" s="114">
        <v>0</v>
      </c>
      <c r="L201" s="114">
        <v>0</v>
      </c>
      <c r="M201" s="114">
        <v>0</v>
      </c>
      <c r="N201" s="114">
        <v>0</v>
      </c>
      <c r="O201" s="114">
        <v>0</v>
      </c>
      <c r="P201" s="114">
        <v>0</v>
      </c>
      <c r="Q201" s="114">
        <v>0</v>
      </c>
      <c r="R201" s="114">
        <v>0</v>
      </c>
      <c r="S201" s="114">
        <v>0</v>
      </c>
      <c r="T201" s="114">
        <v>0</v>
      </c>
      <c r="U201" s="114">
        <v>0</v>
      </c>
      <c r="V201" s="114">
        <v>0</v>
      </c>
      <c r="W201" s="114">
        <v>0</v>
      </c>
      <c r="X201" s="114">
        <v>0</v>
      </c>
      <c r="Y201" s="114">
        <v>0</v>
      </c>
      <c r="Z201" s="114">
        <v>0</v>
      </c>
      <c r="AA201" s="114">
        <v>0</v>
      </c>
      <c r="AB201" s="114">
        <v>0</v>
      </c>
      <c r="AC201" s="114">
        <v>0</v>
      </c>
      <c r="AD201" s="114">
        <v>0</v>
      </c>
      <c r="AE201" s="114">
        <v>0</v>
      </c>
      <c r="AF201" s="114">
        <v>0</v>
      </c>
      <c r="AG201" s="114">
        <v>0</v>
      </c>
      <c r="AH201" s="114">
        <v>0</v>
      </c>
      <c r="AI201" s="114">
        <v>0</v>
      </c>
      <c r="AJ201" s="114">
        <v>0</v>
      </c>
      <c r="AK201" s="114">
        <v>0</v>
      </c>
      <c r="AL201" s="114">
        <v>0</v>
      </c>
      <c r="AM201" s="114">
        <v>0</v>
      </c>
      <c r="AN201" s="114">
        <v>0</v>
      </c>
      <c r="AO201" s="114">
        <v>0</v>
      </c>
      <c r="AP201" s="114">
        <v>0</v>
      </c>
      <c r="AQ201" s="114">
        <v>0</v>
      </c>
      <c r="AR201" s="114">
        <v>0</v>
      </c>
      <c r="AS201" s="114">
        <v>0</v>
      </c>
      <c r="AT201" s="114">
        <v>0</v>
      </c>
      <c r="AU201" s="114">
        <v>0</v>
      </c>
      <c r="AV201" s="114">
        <v>0</v>
      </c>
      <c r="AW201" s="114">
        <v>0</v>
      </c>
      <c r="AX201" s="114">
        <v>0</v>
      </c>
      <c r="AY201" s="114">
        <v>0</v>
      </c>
    </row>
    <row r="202" spans="1:51" x14ac:dyDescent="0.2">
      <c r="A202" s="117"/>
      <c r="B202" s="128">
        <v>6</v>
      </c>
      <c r="C202" s="114"/>
      <c r="D202" s="114">
        <v>0</v>
      </c>
      <c r="E202" s="114">
        <v>0</v>
      </c>
      <c r="F202" s="114">
        <v>0</v>
      </c>
      <c r="G202" s="114">
        <v>0</v>
      </c>
      <c r="H202" s="114">
        <v>0</v>
      </c>
      <c r="I202" s="114">
        <v>0</v>
      </c>
      <c r="J202" s="114">
        <v>0</v>
      </c>
      <c r="K202" s="114">
        <v>0</v>
      </c>
      <c r="L202" s="114">
        <v>0</v>
      </c>
      <c r="M202" s="114">
        <v>0</v>
      </c>
      <c r="N202" s="114">
        <v>0</v>
      </c>
      <c r="O202" s="114">
        <v>0</v>
      </c>
      <c r="P202" s="114">
        <v>0</v>
      </c>
      <c r="Q202" s="114">
        <v>0</v>
      </c>
      <c r="R202" s="114">
        <v>0</v>
      </c>
      <c r="S202" s="114">
        <v>0</v>
      </c>
      <c r="T202" s="114">
        <v>0</v>
      </c>
      <c r="U202" s="114">
        <v>0</v>
      </c>
      <c r="V202" s="114">
        <v>0</v>
      </c>
      <c r="W202" s="114">
        <v>0</v>
      </c>
      <c r="X202" s="114">
        <v>0</v>
      </c>
      <c r="Y202" s="114">
        <v>0</v>
      </c>
      <c r="Z202" s="114">
        <v>0</v>
      </c>
      <c r="AA202" s="114">
        <v>0</v>
      </c>
      <c r="AB202" s="114">
        <v>0</v>
      </c>
      <c r="AC202" s="114">
        <v>0</v>
      </c>
      <c r="AD202" s="114">
        <v>0</v>
      </c>
      <c r="AE202" s="114">
        <v>0</v>
      </c>
      <c r="AF202" s="114">
        <v>0</v>
      </c>
      <c r="AG202" s="114">
        <v>0</v>
      </c>
      <c r="AH202" s="114">
        <v>0</v>
      </c>
      <c r="AI202" s="114">
        <v>0</v>
      </c>
      <c r="AJ202" s="114">
        <v>0</v>
      </c>
      <c r="AK202" s="114">
        <v>0</v>
      </c>
      <c r="AL202" s="114">
        <v>0</v>
      </c>
      <c r="AM202" s="114">
        <v>0</v>
      </c>
      <c r="AN202" s="114">
        <v>0</v>
      </c>
      <c r="AO202" s="114">
        <v>0</v>
      </c>
      <c r="AP202" s="114">
        <v>0</v>
      </c>
      <c r="AQ202" s="114">
        <v>0</v>
      </c>
      <c r="AR202" s="114">
        <v>0</v>
      </c>
      <c r="AS202" s="114">
        <v>0</v>
      </c>
      <c r="AT202" s="114">
        <v>0</v>
      </c>
      <c r="AU202" s="114">
        <v>0</v>
      </c>
      <c r="AV202" s="114">
        <v>0</v>
      </c>
      <c r="AW202" s="114">
        <v>0</v>
      </c>
      <c r="AX202" s="114">
        <v>0</v>
      </c>
      <c r="AY202" s="114">
        <v>0</v>
      </c>
    </row>
    <row r="203" spans="1:51" x14ac:dyDescent="0.2">
      <c r="A203" s="117"/>
      <c r="B203" s="135">
        <v>7</v>
      </c>
      <c r="C203" s="114"/>
      <c r="D203" s="114">
        <v>0</v>
      </c>
      <c r="E203" s="114">
        <v>0</v>
      </c>
      <c r="F203" s="114">
        <v>0</v>
      </c>
      <c r="G203" s="114">
        <v>0</v>
      </c>
      <c r="H203" s="114">
        <v>0</v>
      </c>
      <c r="I203" s="114">
        <v>0</v>
      </c>
      <c r="J203" s="114">
        <v>0</v>
      </c>
      <c r="K203" s="114">
        <v>0</v>
      </c>
      <c r="L203" s="114">
        <v>0</v>
      </c>
      <c r="M203" s="114">
        <v>0</v>
      </c>
      <c r="N203" s="114">
        <v>0</v>
      </c>
      <c r="O203" s="114">
        <v>0</v>
      </c>
      <c r="P203" s="114">
        <v>0</v>
      </c>
      <c r="Q203" s="114">
        <v>0</v>
      </c>
      <c r="R203" s="114">
        <v>0</v>
      </c>
      <c r="S203" s="114">
        <v>0</v>
      </c>
      <c r="T203" s="114">
        <v>0</v>
      </c>
      <c r="U203" s="114">
        <v>0</v>
      </c>
      <c r="V203" s="114">
        <v>0</v>
      </c>
      <c r="W203" s="114">
        <v>0</v>
      </c>
      <c r="X203" s="114">
        <v>0</v>
      </c>
      <c r="Y203" s="114">
        <v>0</v>
      </c>
      <c r="Z203" s="114">
        <v>0</v>
      </c>
      <c r="AA203" s="114">
        <v>0</v>
      </c>
      <c r="AB203" s="114">
        <v>0</v>
      </c>
      <c r="AC203" s="114">
        <v>0</v>
      </c>
      <c r="AD203" s="114">
        <v>0</v>
      </c>
      <c r="AE203" s="114">
        <v>0</v>
      </c>
      <c r="AF203" s="114">
        <v>0</v>
      </c>
      <c r="AG203" s="114">
        <v>0</v>
      </c>
      <c r="AH203" s="114">
        <v>0</v>
      </c>
      <c r="AI203" s="114">
        <v>0</v>
      </c>
      <c r="AJ203" s="114">
        <v>0</v>
      </c>
      <c r="AK203" s="114">
        <v>0</v>
      </c>
      <c r="AL203" s="114">
        <v>0</v>
      </c>
      <c r="AM203" s="114">
        <v>0</v>
      </c>
      <c r="AN203" s="114">
        <v>0</v>
      </c>
      <c r="AO203" s="114">
        <v>0</v>
      </c>
      <c r="AP203" s="114">
        <v>0</v>
      </c>
      <c r="AQ203" s="114">
        <v>0</v>
      </c>
      <c r="AR203" s="114">
        <v>0</v>
      </c>
      <c r="AS203" s="114">
        <v>0</v>
      </c>
      <c r="AT203" s="114">
        <v>0</v>
      </c>
      <c r="AU203" s="114">
        <v>0</v>
      </c>
      <c r="AV203" s="114">
        <v>0</v>
      </c>
      <c r="AW203" s="114">
        <v>0</v>
      </c>
      <c r="AX203" s="114">
        <v>0</v>
      </c>
      <c r="AY203" s="114">
        <v>0</v>
      </c>
    </row>
    <row r="204" spans="1:51" x14ac:dyDescent="0.2">
      <c r="A204" s="117"/>
      <c r="B204" s="135">
        <v>8</v>
      </c>
      <c r="C204" s="114"/>
      <c r="D204" s="114">
        <v>0</v>
      </c>
      <c r="E204" s="114">
        <v>0</v>
      </c>
      <c r="F204" s="114">
        <v>0</v>
      </c>
      <c r="G204" s="114">
        <v>0</v>
      </c>
      <c r="H204" s="114">
        <v>0</v>
      </c>
      <c r="I204" s="114">
        <v>0</v>
      </c>
      <c r="J204" s="114">
        <v>0</v>
      </c>
      <c r="K204" s="114">
        <v>0</v>
      </c>
      <c r="L204" s="114">
        <v>0</v>
      </c>
      <c r="M204" s="114">
        <v>0</v>
      </c>
      <c r="N204" s="114">
        <v>0</v>
      </c>
      <c r="O204" s="114">
        <v>0</v>
      </c>
      <c r="P204" s="114">
        <v>0</v>
      </c>
      <c r="Q204" s="114">
        <v>0</v>
      </c>
      <c r="R204" s="114">
        <v>0</v>
      </c>
      <c r="S204" s="114">
        <v>0</v>
      </c>
      <c r="T204" s="114">
        <v>0</v>
      </c>
      <c r="U204" s="114">
        <v>0</v>
      </c>
      <c r="V204" s="114">
        <v>0</v>
      </c>
      <c r="W204" s="114">
        <v>0</v>
      </c>
      <c r="X204" s="114">
        <v>0</v>
      </c>
      <c r="Y204" s="114">
        <v>0</v>
      </c>
      <c r="Z204" s="114">
        <v>0</v>
      </c>
      <c r="AA204" s="114">
        <v>0</v>
      </c>
      <c r="AB204" s="114">
        <v>0</v>
      </c>
      <c r="AC204" s="114">
        <v>0</v>
      </c>
      <c r="AD204" s="114">
        <v>0</v>
      </c>
      <c r="AE204" s="114">
        <v>0</v>
      </c>
      <c r="AF204" s="114">
        <v>0</v>
      </c>
      <c r="AG204" s="114">
        <v>0</v>
      </c>
      <c r="AH204" s="114">
        <v>0</v>
      </c>
      <c r="AI204" s="114">
        <v>0</v>
      </c>
      <c r="AJ204" s="114">
        <v>0</v>
      </c>
      <c r="AK204" s="114">
        <v>0</v>
      </c>
      <c r="AL204" s="114">
        <v>0</v>
      </c>
      <c r="AM204" s="114">
        <v>0</v>
      </c>
      <c r="AN204" s="114">
        <v>0</v>
      </c>
      <c r="AO204" s="114">
        <v>0</v>
      </c>
      <c r="AP204" s="114">
        <v>0</v>
      </c>
      <c r="AQ204" s="114">
        <v>0</v>
      </c>
      <c r="AR204" s="114">
        <v>0</v>
      </c>
      <c r="AS204" s="114">
        <v>0</v>
      </c>
      <c r="AT204" s="114">
        <v>0</v>
      </c>
      <c r="AU204" s="114">
        <v>0</v>
      </c>
      <c r="AV204" s="114">
        <v>0</v>
      </c>
      <c r="AW204" s="114">
        <v>0</v>
      </c>
      <c r="AX204" s="114">
        <v>0</v>
      </c>
      <c r="AY204" s="114">
        <v>0</v>
      </c>
    </row>
    <row r="205" spans="1:51" x14ac:dyDescent="0.2">
      <c r="A205" s="117"/>
      <c r="B205" s="135">
        <v>9</v>
      </c>
      <c r="C205" s="114"/>
      <c r="D205" s="114">
        <v>0</v>
      </c>
      <c r="E205" s="114">
        <v>0</v>
      </c>
      <c r="F205" s="114">
        <v>0</v>
      </c>
      <c r="G205" s="114">
        <v>0</v>
      </c>
      <c r="H205" s="114">
        <v>0</v>
      </c>
      <c r="I205" s="114">
        <v>0</v>
      </c>
      <c r="J205" s="114">
        <v>0</v>
      </c>
      <c r="K205" s="114">
        <v>0</v>
      </c>
      <c r="L205" s="114">
        <v>0</v>
      </c>
      <c r="M205" s="114">
        <v>0</v>
      </c>
      <c r="N205" s="114">
        <v>0</v>
      </c>
      <c r="O205" s="114">
        <v>0</v>
      </c>
      <c r="P205" s="114">
        <v>0</v>
      </c>
      <c r="Q205" s="114">
        <v>0</v>
      </c>
      <c r="R205" s="114">
        <v>0</v>
      </c>
      <c r="S205" s="114">
        <v>0</v>
      </c>
      <c r="T205" s="114">
        <v>0</v>
      </c>
      <c r="U205" s="114">
        <v>0</v>
      </c>
      <c r="V205" s="114">
        <v>0</v>
      </c>
      <c r="W205" s="114">
        <v>0</v>
      </c>
      <c r="X205" s="114">
        <v>0</v>
      </c>
      <c r="Y205" s="114">
        <v>0</v>
      </c>
      <c r="Z205" s="114">
        <v>0</v>
      </c>
      <c r="AA205" s="114">
        <v>0</v>
      </c>
      <c r="AB205" s="114">
        <v>0</v>
      </c>
      <c r="AC205" s="114">
        <v>0</v>
      </c>
      <c r="AD205" s="114">
        <v>0</v>
      </c>
      <c r="AE205" s="114">
        <v>0</v>
      </c>
      <c r="AF205" s="114">
        <v>0</v>
      </c>
      <c r="AG205" s="114">
        <v>0</v>
      </c>
      <c r="AH205" s="114">
        <v>0</v>
      </c>
      <c r="AI205" s="114">
        <v>0</v>
      </c>
      <c r="AJ205" s="114">
        <v>0</v>
      </c>
      <c r="AK205" s="114">
        <v>0</v>
      </c>
      <c r="AL205" s="114">
        <v>0</v>
      </c>
      <c r="AM205" s="114">
        <v>0</v>
      </c>
      <c r="AN205" s="114">
        <v>0</v>
      </c>
      <c r="AO205" s="114">
        <v>0</v>
      </c>
      <c r="AP205" s="114">
        <v>0</v>
      </c>
      <c r="AQ205" s="114">
        <v>0</v>
      </c>
      <c r="AR205" s="114">
        <v>0</v>
      </c>
      <c r="AS205" s="114">
        <v>0</v>
      </c>
      <c r="AT205" s="114">
        <v>0</v>
      </c>
      <c r="AU205" s="114">
        <v>0</v>
      </c>
      <c r="AV205" s="114">
        <v>0</v>
      </c>
      <c r="AW205" s="114">
        <v>0</v>
      </c>
      <c r="AX205" s="114">
        <v>0</v>
      </c>
      <c r="AY205" s="114">
        <v>0</v>
      </c>
    </row>
    <row r="206" spans="1:51" x14ac:dyDescent="0.2">
      <c r="A206" s="117"/>
      <c r="B206" s="138">
        <v>10</v>
      </c>
      <c r="C206" s="114"/>
      <c r="D206" s="114">
        <v>0</v>
      </c>
      <c r="E206" s="114">
        <v>0</v>
      </c>
      <c r="F206" s="114">
        <v>0</v>
      </c>
      <c r="G206" s="114">
        <v>0</v>
      </c>
      <c r="H206" s="114">
        <v>0</v>
      </c>
      <c r="I206" s="114">
        <v>0</v>
      </c>
      <c r="J206" s="114">
        <v>0</v>
      </c>
      <c r="K206" s="114">
        <v>0</v>
      </c>
      <c r="L206" s="114">
        <v>0</v>
      </c>
      <c r="M206" s="114">
        <v>0</v>
      </c>
      <c r="N206" s="114">
        <v>0</v>
      </c>
      <c r="O206" s="114">
        <v>0</v>
      </c>
      <c r="P206" s="114">
        <v>0</v>
      </c>
      <c r="Q206" s="114">
        <v>0</v>
      </c>
      <c r="R206" s="114">
        <v>0</v>
      </c>
      <c r="S206" s="114">
        <v>0</v>
      </c>
      <c r="T206" s="114">
        <v>0</v>
      </c>
      <c r="U206" s="114">
        <v>0</v>
      </c>
      <c r="V206" s="114">
        <v>0</v>
      </c>
      <c r="W206" s="114">
        <v>0</v>
      </c>
      <c r="X206" s="114">
        <v>0</v>
      </c>
      <c r="Y206" s="114">
        <v>0</v>
      </c>
      <c r="Z206" s="114">
        <v>0</v>
      </c>
      <c r="AA206" s="114">
        <v>0</v>
      </c>
      <c r="AB206" s="114">
        <v>0</v>
      </c>
      <c r="AC206" s="114">
        <v>0</v>
      </c>
      <c r="AD206" s="114">
        <v>0</v>
      </c>
      <c r="AE206" s="114">
        <v>0</v>
      </c>
      <c r="AF206" s="114">
        <v>0</v>
      </c>
      <c r="AG206" s="114">
        <v>0</v>
      </c>
      <c r="AH206" s="114">
        <v>0</v>
      </c>
      <c r="AI206" s="114">
        <v>0</v>
      </c>
      <c r="AJ206" s="114">
        <v>0</v>
      </c>
      <c r="AK206" s="114">
        <v>0</v>
      </c>
      <c r="AL206" s="114">
        <v>0</v>
      </c>
      <c r="AM206" s="114">
        <v>0</v>
      </c>
      <c r="AN206" s="114">
        <v>0</v>
      </c>
      <c r="AO206" s="114">
        <v>0</v>
      </c>
      <c r="AP206" s="114">
        <v>0</v>
      </c>
      <c r="AQ206" s="114">
        <v>0</v>
      </c>
      <c r="AR206" s="114">
        <v>0</v>
      </c>
      <c r="AS206" s="114">
        <v>0</v>
      </c>
      <c r="AT206" s="114">
        <v>0</v>
      </c>
      <c r="AU206" s="114">
        <v>0</v>
      </c>
      <c r="AV206" s="114">
        <v>0</v>
      </c>
      <c r="AW206" s="114">
        <v>0</v>
      </c>
      <c r="AX206" s="114">
        <v>0</v>
      </c>
      <c r="AY206" s="114">
        <v>0</v>
      </c>
    </row>
    <row r="207" spans="1:51" x14ac:dyDescent="0.2">
      <c r="A207" s="117"/>
      <c r="B207" s="138">
        <v>11</v>
      </c>
      <c r="C207" s="114"/>
      <c r="D207" s="114">
        <v>0</v>
      </c>
      <c r="E207" s="114">
        <v>0</v>
      </c>
      <c r="F207" s="114">
        <v>0</v>
      </c>
      <c r="G207" s="114">
        <v>0</v>
      </c>
      <c r="H207" s="114">
        <v>0</v>
      </c>
      <c r="I207" s="114">
        <v>0</v>
      </c>
      <c r="J207" s="114">
        <v>0</v>
      </c>
      <c r="K207" s="114">
        <v>0</v>
      </c>
      <c r="L207" s="114">
        <v>0</v>
      </c>
      <c r="M207" s="114">
        <v>0</v>
      </c>
      <c r="N207" s="114">
        <v>0</v>
      </c>
      <c r="O207" s="114">
        <v>0</v>
      </c>
      <c r="P207" s="114">
        <v>0</v>
      </c>
      <c r="Q207" s="114">
        <v>0</v>
      </c>
      <c r="R207" s="114">
        <v>0</v>
      </c>
      <c r="S207" s="114">
        <v>0</v>
      </c>
      <c r="T207" s="114">
        <v>0</v>
      </c>
      <c r="U207" s="114">
        <v>0</v>
      </c>
      <c r="V207" s="114">
        <v>0</v>
      </c>
      <c r="W207" s="114">
        <v>0</v>
      </c>
      <c r="X207" s="114">
        <v>0</v>
      </c>
      <c r="Y207" s="114">
        <v>0</v>
      </c>
      <c r="Z207" s="114">
        <v>0</v>
      </c>
      <c r="AA207" s="114">
        <v>0</v>
      </c>
      <c r="AB207" s="114">
        <v>0</v>
      </c>
      <c r="AC207" s="114">
        <v>0</v>
      </c>
      <c r="AD207" s="114">
        <v>0</v>
      </c>
      <c r="AE207" s="114">
        <v>0</v>
      </c>
      <c r="AF207" s="114">
        <v>0</v>
      </c>
      <c r="AG207" s="114">
        <v>0</v>
      </c>
      <c r="AH207" s="114">
        <v>0</v>
      </c>
      <c r="AI207" s="114">
        <v>0</v>
      </c>
      <c r="AJ207" s="114">
        <v>0</v>
      </c>
      <c r="AK207" s="114">
        <v>0</v>
      </c>
      <c r="AL207" s="114">
        <v>0</v>
      </c>
      <c r="AM207" s="114">
        <v>0</v>
      </c>
      <c r="AN207" s="114">
        <v>0</v>
      </c>
      <c r="AO207" s="114">
        <v>0</v>
      </c>
      <c r="AP207" s="114">
        <v>0</v>
      </c>
      <c r="AQ207" s="114">
        <v>0</v>
      </c>
      <c r="AR207" s="114">
        <v>0</v>
      </c>
      <c r="AS207" s="114">
        <v>0</v>
      </c>
      <c r="AT207" s="114">
        <v>0</v>
      </c>
      <c r="AU207" s="114">
        <v>0</v>
      </c>
      <c r="AV207" s="114">
        <v>0</v>
      </c>
      <c r="AW207" s="114">
        <v>0</v>
      </c>
      <c r="AX207" s="114">
        <v>0</v>
      </c>
      <c r="AY207" s="114">
        <v>0</v>
      </c>
    </row>
    <row r="208" spans="1:51" x14ac:dyDescent="0.2">
      <c r="A208" s="117"/>
      <c r="B208" s="138">
        <v>12</v>
      </c>
      <c r="C208" s="114"/>
      <c r="D208" s="114">
        <v>0</v>
      </c>
      <c r="E208" s="114">
        <v>0</v>
      </c>
      <c r="F208" s="114">
        <v>0</v>
      </c>
      <c r="G208" s="114">
        <v>0</v>
      </c>
      <c r="H208" s="114">
        <v>0</v>
      </c>
      <c r="I208" s="114">
        <v>0</v>
      </c>
      <c r="J208" s="114">
        <v>0</v>
      </c>
      <c r="K208" s="114">
        <v>0</v>
      </c>
      <c r="L208" s="114">
        <v>0</v>
      </c>
      <c r="M208" s="114">
        <v>0</v>
      </c>
      <c r="N208" s="114">
        <v>0</v>
      </c>
      <c r="O208" s="114">
        <v>0</v>
      </c>
      <c r="P208" s="114">
        <v>0</v>
      </c>
      <c r="Q208" s="114">
        <v>0</v>
      </c>
      <c r="R208" s="114">
        <v>0</v>
      </c>
      <c r="S208" s="114">
        <v>0</v>
      </c>
      <c r="T208" s="114">
        <v>0</v>
      </c>
      <c r="U208" s="114">
        <v>0</v>
      </c>
      <c r="V208" s="114">
        <v>0</v>
      </c>
      <c r="W208" s="114">
        <v>0</v>
      </c>
      <c r="X208" s="114">
        <v>0</v>
      </c>
      <c r="Y208" s="114">
        <v>0</v>
      </c>
      <c r="Z208" s="114">
        <v>0</v>
      </c>
      <c r="AA208" s="114">
        <v>0</v>
      </c>
      <c r="AB208" s="114">
        <v>0</v>
      </c>
      <c r="AC208" s="114">
        <v>0</v>
      </c>
      <c r="AD208" s="114">
        <v>0</v>
      </c>
      <c r="AE208" s="114">
        <v>0</v>
      </c>
      <c r="AF208" s="114">
        <v>0</v>
      </c>
      <c r="AG208" s="114">
        <v>0</v>
      </c>
      <c r="AH208" s="114">
        <v>0</v>
      </c>
      <c r="AI208" s="114">
        <v>0</v>
      </c>
      <c r="AJ208" s="114">
        <v>0</v>
      </c>
      <c r="AK208" s="114">
        <v>0</v>
      </c>
      <c r="AL208" s="114">
        <v>0</v>
      </c>
      <c r="AM208" s="114">
        <v>0</v>
      </c>
      <c r="AN208" s="114">
        <v>0</v>
      </c>
      <c r="AO208" s="114">
        <v>0</v>
      </c>
      <c r="AP208" s="114">
        <v>0</v>
      </c>
      <c r="AQ208" s="114">
        <v>0</v>
      </c>
      <c r="AR208" s="114">
        <v>0</v>
      </c>
      <c r="AS208" s="114">
        <v>0</v>
      </c>
      <c r="AT208" s="114">
        <v>0</v>
      </c>
      <c r="AU208" s="114">
        <v>0</v>
      </c>
      <c r="AV208" s="114">
        <v>0</v>
      </c>
      <c r="AW208" s="114">
        <v>0</v>
      </c>
      <c r="AX208" s="114">
        <v>0</v>
      </c>
      <c r="AY208" s="114">
        <v>0</v>
      </c>
    </row>
    <row r="209" spans="1:51" x14ac:dyDescent="0.2">
      <c r="A209" s="134" t="s">
        <v>123</v>
      </c>
      <c r="B209" s="131">
        <v>1</v>
      </c>
      <c r="C209" s="132"/>
      <c r="D209" s="132">
        <v>0</v>
      </c>
      <c r="E209" s="132">
        <v>0</v>
      </c>
      <c r="F209" s="132">
        <v>499.95</v>
      </c>
      <c r="G209" s="132">
        <v>0</v>
      </c>
      <c r="H209" s="132">
        <v>583.27499999999998</v>
      </c>
      <c r="I209" s="132">
        <v>583.27499999999998</v>
      </c>
      <c r="J209" s="132">
        <v>0</v>
      </c>
      <c r="K209" s="132">
        <v>0</v>
      </c>
      <c r="L209" s="132">
        <v>0</v>
      </c>
      <c r="M209" s="132">
        <v>297.51133262881319</v>
      </c>
      <c r="N209" s="132">
        <v>0</v>
      </c>
      <c r="O209" s="132">
        <v>0</v>
      </c>
      <c r="P209" s="132">
        <v>74.099999999999966</v>
      </c>
      <c r="Q209" s="132">
        <v>499.94999999999993</v>
      </c>
      <c r="R209" s="132">
        <v>0</v>
      </c>
      <c r="S209" s="132">
        <v>0</v>
      </c>
      <c r="T209" s="132">
        <v>0</v>
      </c>
      <c r="U209" s="132">
        <v>0</v>
      </c>
      <c r="V209" s="132">
        <v>583.27499999999998</v>
      </c>
      <c r="W209" s="132">
        <v>508.44113391649364</v>
      </c>
      <c r="X209" s="132">
        <v>666.6</v>
      </c>
      <c r="Y209" s="132">
        <v>666.6</v>
      </c>
      <c r="Z209" s="132">
        <v>0</v>
      </c>
      <c r="AA209" s="132">
        <v>666.6</v>
      </c>
      <c r="AB209" s="132">
        <v>0</v>
      </c>
      <c r="AC209" s="132">
        <v>0</v>
      </c>
      <c r="AD209" s="132">
        <v>0</v>
      </c>
      <c r="AE209" s="132">
        <v>0</v>
      </c>
      <c r="AF209" s="132">
        <v>0</v>
      </c>
      <c r="AG209" s="132">
        <v>0</v>
      </c>
      <c r="AH209" s="132">
        <v>336.60450597294727</v>
      </c>
      <c r="AI209" s="132">
        <v>583.27499999999986</v>
      </c>
      <c r="AJ209" s="132">
        <v>666.6</v>
      </c>
      <c r="AK209" s="132">
        <v>0</v>
      </c>
      <c r="AL209" s="132">
        <v>0</v>
      </c>
      <c r="AM209" s="132">
        <v>0</v>
      </c>
      <c r="AN209" s="132">
        <v>0</v>
      </c>
      <c r="AO209" s="132">
        <v>0</v>
      </c>
      <c r="AP209" s="132">
        <v>499.95</v>
      </c>
      <c r="AQ209" s="132">
        <v>499.95</v>
      </c>
      <c r="AR209" s="132">
        <v>0</v>
      </c>
      <c r="AS209" s="132">
        <v>583.27499999999998</v>
      </c>
      <c r="AT209" s="132">
        <v>583.27499999999998</v>
      </c>
      <c r="AU209" s="132">
        <v>0</v>
      </c>
      <c r="AV209" s="132">
        <v>707.2380469762993</v>
      </c>
      <c r="AW209" s="132">
        <v>666.6</v>
      </c>
      <c r="AX209" s="132">
        <v>666.6</v>
      </c>
      <c r="AY209" s="132">
        <v>666.6</v>
      </c>
    </row>
    <row r="210" spans="1:51" x14ac:dyDescent="0.2">
      <c r="A210" s="117"/>
      <c r="B210" s="127">
        <v>2</v>
      </c>
      <c r="C210" s="114"/>
      <c r="D210" s="118">
        <v>0</v>
      </c>
      <c r="E210" s="118">
        <v>0</v>
      </c>
      <c r="F210" s="118">
        <v>0</v>
      </c>
      <c r="G210" s="118">
        <v>0</v>
      </c>
      <c r="H210" s="118">
        <v>583.27499999999998</v>
      </c>
      <c r="I210" s="118">
        <v>0</v>
      </c>
      <c r="J210" s="118">
        <v>0</v>
      </c>
      <c r="K210" s="118">
        <v>583.27499999999998</v>
      </c>
      <c r="L210" s="118">
        <v>666.6</v>
      </c>
      <c r="M210" s="118">
        <v>666.6</v>
      </c>
      <c r="N210" s="118">
        <v>295.27093389694949</v>
      </c>
      <c r="O210" s="118">
        <v>0</v>
      </c>
      <c r="P210" s="118">
        <v>499.95</v>
      </c>
      <c r="Q210" s="118">
        <v>255.51</v>
      </c>
      <c r="R210" s="118">
        <v>3.4106051316484808E-14</v>
      </c>
      <c r="S210" s="118">
        <v>0</v>
      </c>
      <c r="T210" s="118">
        <v>0</v>
      </c>
      <c r="U210" s="118">
        <v>583.27499999999998</v>
      </c>
      <c r="V210" s="118">
        <v>0</v>
      </c>
      <c r="W210" s="118">
        <v>0</v>
      </c>
      <c r="X210" s="118">
        <v>59.867092866805073</v>
      </c>
      <c r="Y210" s="118">
        <v>0</v>
      </c>
      <c r="Z210" s="118">
        <v>0</v>
      </c>
      <c r="AA210" s="118">
        <v>666.6</v>
      </c>
      <c r="AB210" s="118">
        <v>0</v>
      </c>
      <c r="AC210" s="118">
        <v>499.95</v>
      </c>
      <c r="AD210" s="118">
        <v>499.95</v>
      </c>
      <c r="AE210" s="118">
        <v>0</v>
      </c>
      <c r="AF210" s="118">
        <v>0</v>
      </c>
      <c r="AG210" s="118">
        <v>544.06201208464904</v>
      </c>
      <c r="AH210" s="118">
        <v>408.29249999999996</v>
      </c>
      <c r="AI210" s="118">
        <v>172.66934581893688</v>
      </c>
      <c r="AJ210" s="118">
        <v>9.0949470177292829E-14</v>
      </c>
      <c r="AK210" s="118">
        <v>0</v>
      </c>
      <c r="AL210" s="118">
        <v>0</v>
      </c>
      <c r="AM210" s="118">
        <v>52.399999999999977</v>
      </c>
      <c r="AN210" s="118">
        <v>399.96</v>
      </c>
      <c r="AO210" s="118">
        <v>499.95</v>
      </c>
      <c r="AP210" s="118">
        <v>499.95</v>
      </c>
      <c r="AQ210" s="118">
        <v>0</v>
      </c>
      <c r="AR210" s="118">
        <v>0</v>
      </c>
      <c r="AS210" s="118">
        <v>0</v>
      </c>
      <c r="AT210" s="118">
        <v>0</v>
      </c>
      <c r="AU210" s="118">
        <v>0</v>
      </c>
      <c r="AV210" s="118">
        <v>0</v>
      </c>
      <c r="AW210" s="118">
        <v>33.88956241896058</v>
      </c>
      <c r="AX210" s="118">
        <v>0</v>
      </c>
      <c r="AY210" s="118">
        <v>0</v>
      </c>
    </row>
    <row r="211" spans="1:51" x14ac:dyDescent="0.2">
      <c r="A211" s="117"/>
      <c r="B211" s="127">
        <v>3</v>
      </c>
      <c r="C211" s="114"/>
      <c r="D211" s="118">
        <v>0</v>
      </c>
      <c r="E211" s="118">
        <v>0</v>
      </c>
      <c r="F211" s="118">
        <v>0</v>
      </c>
      <c r="G211" s="118">
        <v>0</v>
      </c>
      <c r="H211" s="118">
        <v>0</v>
      </c>
      <c r="I211" s="118">
        <v>0</v>
      </c>
      <c r="J211" s="118">
        <v>0</v>
      </c>
      <c r="K211" s="118">
        <v>0</v>
      </c>
      <c r="L211" s="118">
        <v>0</v>
      </c>
      <c r="M211" s="118">
        <v>0</v>
      </c>
      <c r="N211" s="118">
        <v>0</v>
      </c>
      <c r="O211" s="118">
        <v>0</v>
      </c>
      <c r="P211" s="118">
        <v>499.95</v>
      </c>
      <c r="Q211" s="118">
        <v>0</v>
      </c>
      <c r="R211" s="118">
        <v>0</v>
      </c>
      <c r="S211" s="118">
        <v>0</v>
      </c>
      <c r="T211" s="118">
        <v>583.27499999999998</v>
      </c>
      <c r="U211" s="118">
        <v>583.27499999999998</v>
      </c>
      <c r="V211" s="118">
        <v>0</v>
      </c>
      <c r="W211" s="118">
        <v>583.27499999999998</v>
      </c>
      <c r="X211" s="118">
        <v>0</v>
      </c>
      <c r="Y211" s="118">
        <v>0</v>
      </c>
      <c r="Z211" s="118">
        <v>0</v>
      </c>
      <c r="AA211" s="118">
        <v>0</v>
      </c>
      <c r="AB211" s="118">
        <v>0</v>
      </c>
      <c r="AC211" s="118">
        <v>0</v>
      </c>
      <c r="AD211" s="118">
        <v>0</v>
      </c>
      <c r="AE211" s="118">
        <v>0</v>
      </c>
      <c r="AF211" s="118">
        <v>561.84057601728171</v>
      </c>
      <c r="AG211" s="118">
        <v>408.29249999999996</v>
      </c>
      <c r="AH211" s="118">
        <v>27.449091540745655</v>
      </c>
      <c r="AI211" s="118">
        <v>0</v>
      </c>
      <c r="AJ211" s="118">
        <v>0</v>
      </c>
      <c r="AK211" s="118">
        <v>0</v>
      </c>
      <c r="AL211" s="118">
        <v>0</v>
      </c>
      <c r="AM211" s="118">
        <v>666.6</v>
      </c>
      <c r="AN211" s="118">
        <v>368.52000000000004</v>
      </c>
      <c r="AO211" s="118">
        <v>0</v>
      </c>
      <c r="AP211" s="118">
        <v>0</v>
      </c>
      <c r="AQ211" s="118">
        <v>0</v>
      </c>
      <c r="AR211" s="118">
        <v>0</v>
      </c>
      <c r="AS211" s="118">
        <v>0</v>
      </c>
      <c r="AT211" s="118">
        <v>583.27499999999998</v>
      </c>
      <c r="AU211" s="118">
        <v>0</v>
      </c>
      <c r="AV211" s="118">
        <v>0</v>
      </c>
      <c r="AW211" s="118">
        <v>0</v>
      </c>
      <c r="AX211" s="118">
        <v>0</v>
      </c>
      <c r="AY211" s="118">
        <v>0</v>
      </c>
    </row>
    <row r="212" spans="1:51" x14ac:dyDescent="0.2">
      <c r="A212" s="117"/>
      <c r="B212" s="127">
        <v>4</v>
      </c>
      <c r="C212" s="114"/>
      <c r="D212" s="118">
        <v>0</v>
      </c>
      <c r="E212" s="118">
        <v>0</v>
      </c>
      <c r="F212" s="118">
        <v>0</v>
      </c>
      <c r="G212" s="118">
        <v>0</v>
      </c>
      <c r="H212" s="118">
        <v>0</v>
      </c>
      <c r="I212" s="118">
        <v>0</v>
      </c>
      <c r="J212" s="118">
        <v>0</v>
      </c>
      <c r="K212" s="118">
        <v>0</v>
      </c>
      <c r="L212" s="118">
        <v>0</v>
      </c>
      <c r="M212" s="118">
        <v>0</v>
      </c>
      <c r="N212" s="118">
        <v>0</v>
      </c>
      <c r="O212" s="118">
        <v>0</v>
      </c>
      <c r="P212" s="118">
        <v>0</v>
      </c>
      <c r="Q212" s="118">
        <v>0</v>
      </c>
      <c r="R212" s="118">
        <v>0</v>
      </c>
      <c r="S212" s="118">
        <v>0</v>
      </c>
      <c r="T212" s="118">
        <v>0</v>
      </c>
      <c r="U212" s="118">
        <v>0</v>
      </c>
      <c r="V212" s="118">
        <v>0</v>
      </c>
      <c r="W212" s="118">
        <v>0</v>
      </c>
      <c r="X212" s="118">
        <v>0</v>
      </c>
      <c r="Y212" s="118">
        <v>0</v>
      </c>
      <c r="Z212" s="118">
        <v>0</v>
      </c>
      <c r="AA212" s="118">
        <v>0</v>
      </c>
      <c r="AB212" s="118">
        <v>0</v>
      </c>
      <c r="AC212" s="118">
        <v>0</v>
      </c>
      <c r="AD212" s="118">
        <v>0</v>
      </c>
      <c r="AE212" s="118">
        <v>0</v>
      </c>
      <c r="AF212" s="118">
        <v>0</v>
      </c>
      <c r="AG212" s="118">
        <v>15.004096787902789</v>
      </c>
      <c r="AH212" s="118">
        <v>0</v>
      </c>
      <c r="AI212" s="118">
        <v>0</v>
      </c>
      <c r="AJ212" s="118">
        <v>0</v>
      </c>
      <c r="AK212" s="118">
        <v>0</v>
      </c>
      <c r="AL212" s="118">
        <v>0</v>
      </c>
      <c r="AM212" s="118">
        <v>0</v>
      </c>
      <c r="AN212" s="118">
        <v>0</v>
      </c>
      <c r="AO212" s="118">
        <v>0</v>
      </c>
      <c r="AP212" s="118">
        <v>0</v>
      </c>
      <c r="AQ212" s="118">
        <v>0</v>
      </c>
      <c r="AR212" s="118">
        <v>0</v>
      </c>
      <c r="AS212" s="118">
        <v>0</v>
      </c>
      <c r="AT212" s="118">
        <v>0</v>
      </c>
      <c r="AU212" s="118">
        <v>0</v>
      </c>
      <c r="AV212" s="118">
        <v>0</v>
      </c>
      <c r="AW212" s="118">
        <v>0</v>
      </c>
      <c r="AX212" s="118">
        <v>0</v>
      </c>
      <c r="AY212" s="118">
        <v>0</v>
      </c>
    </row>
    <row r="213" spans="1:51" x14ac:dyDescent="0.2">
      <c r="A213" s="117"/>
      <c r="B213" s="127">
        <v>5</v>
      </c>
      <c r="C213" s="114"/>
      <c r="D213" s="118">
        <v>0</v>
      </c>
      <c r="E213" s="118">
        <v>0</v>
      </c>
      <c r="F213" s="118">
        <v>0</v>
      </c>
      <c r="G213" s="118">
        <v>0</v>
      </c>
      <c r="H213" s="118">
        <v>0</v>
      </c>
      <c r="I213" s="118">
        <v>0</v>
      </c>
      <c r="J213" s="118">
        <v>0</v>
      </c>
      <c r="K213" s="118">
        <v>0</v>
      </c>
      <c r="L213" s="118">
        <v>0</v>
      </c>
      <c r="M213" s="118">
        <v>0</v>
      </c>
      <c r="N213" s="118">
        <v>0</v>
      </c>
      <c r="O213" s="118">
        <v>0</v>
      </c>
      <c r="P213" s="118">
        <v>0</v>
      </c>
      <c r="Q213" s="118">
        <v>0</v>
      </c>
      <c r="R213" s="118">
        <v>0</v>
      </c>
      <c r="S213" s="118">
        <v>0</v>
      </c>
      <c r="T213" s="118">
        <v>0</v>
      </c>
      <c r="U213" s="118">
        <v>0</v>
      </c>
      <c r="V213" s="118">
        <v>0</v>
      </c>
      <c r="W213" s="118">
        <v>0</v>
      </c>
      <c r="X213" s="118">
        <v>0</v>
      </c>
      <c r="Y213" s="118">
        <v>0</v>
      </c>
      <c r="Z213" s="118">
        <v>0</v>
      </c>
      <c r="AA213" s="118">
        <v>0</v>
      </c>
      <c r="AB213" s="118">
        <v>0</v>
      </c>
      <c r="AC213" s="118">
        <v>0</v>
      </c>
      <c r="AD213" s="118">
        <v>0</v>
      </c>
      <c r="AE213" s="118">
        <v>0</v>
      </c>
      <c r="AF213" s="118">
        <v>0</v>
      </c>
      <c r="AG213" s="118">
        <v>0</v>
      </c>
      <c r="AH213" s="118">
        <v>0</v>
      </c>
      <c r="AI213" s="118">
        <v>0</v>
      </c>
      <c r="AJ213" s="118">
        <v>0</v>
      </c>
      <c r="AK213" s="118">
        <v>0</v>
      </c>
      <c r="AL213" s="118">
        <v>0</v>
      </c>
      <c r="AM213" s="118">
        <v>0</v>
      </c>
      <c r="AN213" s="118">
        <v>0</v>
      </c>
      <c r="AO213" s="118">
        <v>0</v>
      </c>
      <c r="AP213" s="118">
        <v>0</v>
      </c>
      <c r="AQ213" s="118">
        <v>0</v>
      </c>
      <c r="AR213" s="118">
        <v>0</v>
      </c>
      <c r="AS213" s="118">
        <v>0</v>
      </c>
      <c r="AT213" s="118">
        <v>0</v>
      </c>
      <c r="AU213" s="118">
        <v>0</v>
      </c>
      <c r="AV213" s="118">
        <v>0</v>
      </c>
      <c r="AW213" s="118">
        <v>0</v>
      </c>
      <c r="AX213" s="118">
        <v>0</v>
      </c>
      <c r="AY213" s="118">
        <v>0</v>
      </c>
    </row>
    <row r="214" spans="1:51" x14ac:dyDescent="0.2">
      <c r="A214" s="117"/>
      <c r="B214" s="127">
        <v>6</v>
      </c>
      <c r="C214" s="114"/>
      <c r="D214" s="118">
        <v>0</v>
      </c>
      <c r="E214" s="118">
        <v>0</v>
      </c>
      <c r="F214" s="118">
        <v>0</v>
      </c>
      <c r="G214" s="118">
        <v>0</v>
      </c>
      <c r="H214" s="118">
        <v>0</v>
      </c>
      <c r="I214" s="118">
        <v>0</v>
      </c>
      <c r="J214" s="118">
        <v>0</v>
      </c>
      <c r="K214" s="118">
        <v>0</v>
      </c>
      <c r="L214" s="118">
        <v>0</v>
      </c>
      <c r="M214" s="118">
        <v>0</v>
      </c>
      <c r="N214" s="118">
        <v>0</v>
      </c>
      <c r="O214" s="118">
        <v>0</v>
      </c>
      <c r="P214" s="118">
        <v>0</v>
      </c>
      <c r="Q214" s="118">
        <v>0</v>
      </c>
      <c r="R214" s="118">
        <v>0</v>
      </c>
      <c r="S214" s="118">
        <v>0</v>
      </c>
      <c r="T214" s="118">
        <v>0</v>
      </c>
      <c r="U214" s="118">
        <v>0</v>
      </c>
      <c r="V214" s="118">
        <v>0</v>
      </c>
      <c r="W214" s="118">
        <v>0</v>
      </c>
      <c r="X214" s="118">
        <v>0</v>
      </c>
      <c r="Y214" s="118">
        <v>0</v>
      </c>
      <c r="Z214" s="118">
        <v>0</v>
      </c>
      <c r="AA214" s="118">
        <v>0</v>
      </c>
      <c r="AB214" s="118">
        <v>0</v>
      </c>
      <c r="AC214" s="118">
        <v>0</v>
      </c>
      <c r="AD214" s="118">
        <v>0</v>
      </c>
      <c r="AE214" s="118">
        <v>0</v>
      </c>
      <c r="AF214" s="118">
        <v>0</v>
      </c>
      <c r="AG214" s="118">
        <v>0</v>
      </c>
      <c r="AH214" s="118">
        <v>0</v>
      </c>
      <c r="AI214" s="118">
        <v>0</v>
      </c>
      <c r="AJ214" s="118">
        <v>0</v>
      </c>
      <c r="AK214" s="118">
        <v>0</v>
      </c>
      <c r="AL214" s="118">
        <v>0</v>
      </c>
      <c r="AM214" s="118">
        <v>0</v>
      </c>
      <c r="AN214" s="118">
        <v>0</v>
      </c>
      <c r="AO214" s="118">
        <v>0</v>
      </c>
      <c r="AP214" s="118">
        <v>0</v>
      </c>
      <c r="AQ214" s="118">
        <v>0</v>
      </c>
      <c r="AR214" s="118">
        <v>0</v>
      </c>
      <c r="AS214" s="118">
        <v>0</v>
      </c>
      <c r="AT214" s="118">
        <v>0</v>
      </c>
      <c r="AU214" s="118">
        <v>0</v>
      </c>
      <c r="AV214" s="118">
        <v>0</v>
      </c>
      <c r="AW214" s="118">
        <v>0</v>
      </c>
      <c r="AX214" s="118">
        <v>0</v>
      </c>
      <c r="AY214" s="118">
        <v>0</v>
      </c>
    </row>
    <row r="215" spans="1:51" x14ac:dyDescent="0.2">
      <c r="A215" s="117"/>
      <c r="B215" s="127">
        <v>7</v>
      </c>
      <c r="C215" s="114"/>
      <c r="D215" s="118">
        <v>0</v>
      </c>
      <c r="E215" s="118">
        <v>0</v>
      </c>
      <c r="F215" s="118">
        <v>0</v>
      </c>
      <c r="G215" s="118">
        <v>0</v>
      </c>
      <c r="H215" s="118">
        <v>0</v>
      </c>
      <c r="I215" s="118">
        <v>0</v>
      </c>
      <c r="J215" s="118">
        <v>0</v>
      </c>
      <c r="K215" s="118">
        <v>0</v>
      </c>
      <c r="L215" s="118">
        <v>0</v>
      </c>
      <c r="M215" s="118">
        <v>0</v>
      </c>
      <c r="N215" s="118">
        <v>0</v>
      </c>
      <c r="O215" s="118">
        <v>0</v>
      </c>
      <c r="P215" s="118">
        <v>0</v>
      </c>
      <c r="Q215" s="118">
        <v>0</v>
      </c>
      <c r="R215" s="118">
        <v>0</v>
      </c>
      <c r="S215" s="118">
        <v>0</v>
      </c>
      <c r="T215" s="118">
        <v>0</v>
      </c>
      <c r="U215" s="118">
        <v>0</v>
      </c>
      <c r="V215" s="118">
        <v>0</v>
      </c>
      <c r="W215" s="118">
        <v>0</v>
      </c>
      <c r="X215" s="118">
        <v>0</v>
      </c>
      <c r="Y215" s="118">
        <v>0</v>
      </c>
      <c r="Z215" s="118">
        <v>0</v>
      </c>
      <c r="AA215" s="118">
        <v>0</v>
      </c>
      <c r="AB215" s="118">
        <v>0</v>
      </c>
      <c r="AC215" s="118">
        <v>0</v>
      </c>
      <c r="AD215" s="118">
        <v>0</v>
      </c>
      <c r="AE215" s="118">
        <v>0</v>
      </c>
      <c r="AF215" s="118">
        <v>0</v>
      </c>
      <c r="AG215" s="118">
        <v>0</v>
      </c>
      <c r="AH215" s="118">
        <v>0</v>
      </c>
      <c r="AI215" s="118">
        <v>0</v>
      </c>
      <c r="AJ215" s="118">
        <v>0</v>
      </c>
      <c r="AK215" s="118">
        <v>0</v>
      </c>
      <c r="AL215" s="118">
        <v>0</v>
      </c>
      <c r="AM215" s="118">
        <v>0</v>
      </c>
      <c r="AN215" s="118">
        <v>0</v>
      </c>
      <c r="AO215" s="118">
        <v>0</v>
      </c>
      <c r="AP215" s="118">
        <v>0</v>
      </c>
      <c r="AQ215" s="118">
        <v>0</v>
      </c>
      <c r="AR215" s="118">
        <v>0</v>
      </c>
      <c r="AS215" s="118">
        <v>0</v>
      </c>
      <c r="AT215" s="118">
        <v>0</v>
      </c>
      <c r="AU215" s="118">
        <v>0</v>
      </c>
      <c r="AV215" s="118">
        <v>0</v>
      </c>
      <c r="AW215" s="118">
        <v>0</v>
      </c>
      <c r="AX215" s="118">
        <v>0</v>
      </c>
      <c r="AY215" s="118">
        <v>0</v>
      </c>
    </row>
    <row r="216" spans="1:51" x14ac:dyDescent="0.2">
      <c r="A216" s="117"/>
      <c r="B216" s="127">
        <v>8</v>
      </c>
      <c r="C216" s="114"/>
      <c r="D216" s="118">
        <v>0</v>
      </c>
      <c r="E216" s="118">
        <v>0</v>
      </c>
      <c r="F216" s="118">
        <v>0</v>
      </c>
      <c r="G216" s="118">
        <v>0</v>
      </c>
      <c r="H216" s="118">
        <v>0</v>
      </c>
      <c r="I216" s="118">
        <v>0</v>
      </c>
      <c r="J216" s="118">
        <v>0</v>
      </c>
      <c r="K216" s="118">
        <v>0</v>
      </c>
      <c r="L216" s="118">
        <v>0</v>
      </c>
      <c r="M216" s="118">
        <v>0</v>
      </c>
      <c r="N216" s="118">
        <v>0</v>
      </c>
      <c r="O216" s="118">
        <v>0</v>
      </c>
      <c r="P216" s="118">
        <v>0</v>
      </c>
      <c r="Q216" s="118">
        <v>0</v>
      </c>
      <c r="R216" s="118">
        <v>0</v>
      </c>
      <c r="S216" s="118">
        <v>0</v>
      </c>
      <c r="T216" s="118">
        <v>0</v>
      </c>
      <c r="U216" s="118">
        <v>0</v>
      </c>
      <c r="V216" s="118">
        <v>0</v>
      </c>
      <c r="W216" s="118">
        <v>0</v>
      </c>
      <c r="X216" s="118">
        <v>0</v>
      </c>
      <c r="Y216" s="118">
        <v>0</v>
      </c>
      <c r="Z216" s="118">
        <v>0</v>
      </c>
      <c r="AA216" s="118">
        <v>0</v>
      </c>
      <c r="AB216" s="118">
        <v>0</v>
      </c>
      <c r="AC216" s="118">
        <v>0</v>
      </c>
      <c r="AD216" s="118">
        <v>0</v>
      </c>
      <c r="AE216" s="118">
        <v>0</v>
      </c>
      <c r="AF216" s="118">
        <v>0</v>
      </c>
      <c r="AG216" s="118">
        <v>0</v>
      </c>
      <c r="AH216" s="118">
        <v>0</v>
      </c>
      <c r="AI216" s="118">
        <v>0</v>
      </c>
      <c r="AJ216" s="118">
        <v>0</v>
      </c>
      <c r="AK216" s="118">
        <v>0</v>
      </c>
      <c r="AL216" s="118">
        <v>0</v>
      </c>
      <c r="AM216" s="118">
        <v>0</v>
      </c>
      <c r="AN216" s="118">
        <v>0</v>
      </c>
      <c r="AO216" s="118">
        <v>0</v>
      </c>
      <c r="AP216" s="118">
        <v>0</v>
      </c>
      <c r="AQ216" s="118">
        <v>0</v>
      </c>
      <c r="AR216" s="118">
        <v>0</v>
      </c>
      <c r="AS216" s="118">
        <v>0</v>
      </c>
      <c r="AT216" s="118">
        <v>0</v>
      </c>
      <c r="AU216" s="118">
        <v>0</v>
      </c>
      <c r="AV216" s="118">
        <v>0</v>
      </c>
      <c r="AW216" s="118">
        <v>0</v>
      </c>
      <c r="AX216" s="118">
        <v>0</v>
      </c>
      <c r="AY216" s="118">
        <v>0</v>
      </c>
    </row>
    <row r="217" spans="1:51" x14ac:dyDescent="0.2">
      <c r="A217" s="117"/>
      <c r="B217" s="127">
        <v>9</v>
      </c>
      <c r="C217" s="114"/>
      <c r="D217" s="118">
        <v>0</v>
      </c>
      <c r="E217" s="118">
        <v>0</v>
      </c>
      <c r="F217" s="118">
        <v>0</v>
      </c>
      <c r="G217" s="118">
        <v>0</v>
      </c>
      <c r="H217" s="118">
        <v>0</v>
      </c>
      <c r="I217" s="118">
        <v>0</v>
      </c>
      <c r="J217" s="118">
        <v>0</v>
      </c>
      <c r="K217" s="118">
        <v>0</v>
      </c>
      <c r="L217" s="118">
        <v>0</v>
      </c>
      <c r="M217" s="118">
        <v>0</v>
      </c>
      <c r="N217" s="118">
        <v>0</v>
      </c>
      <c r="O217" s="118">
        <v>0</v>
      </c>
      <c r="P217" s="118">
        <v>0</v>
      </c>
      <c r="Q217" s="118">
        <v>0</v>
      </c>
      <c r="R217" s="118">
        <v>0</v>
      </c>
      <c r="S217" s="118">
        <v>0</v>
      </c>
      <c r="T217" s="118">
        <v>0</v>
      </c>
      <c r="U217" s="118">
        <v>0</v>
      </c>
      <c r="V217" s="118">
        <v>0</v>
      </c>
      <c r="W217" s="118">
        <v>0</v>
      </c>
      <c r="X217" s="118">
        <v>0</v>
      </c>
      <c r="Y217" s="118">
        <v>0</v>
      </c>
      <c r="Z217" s="118">
        <v>0</v>
      </c>
      <c r="AA217" s="118">
        <v>0</v>
      </c>
      <c r="AB217" s="118">
        <v>0</v>
      </c>
      <c r="AC217" s="118">
        <v>0</v>
      </c>
      <c r="AD217" s="118">
        <v>0</v>
      </c>
      <c r="AE217" s="118">
        <v>0</v>
      </c>
      <c r="AF217" s="118">
        <v>0</v>
      </c>
      <c r="AG217" s="118">
        <v>0</v>
      </c>
      <c r="AH217" s="118">
        <v>0</v>
      </c>
      <c r="AI217" s="118">
        <v>0</v>
      </c>
      <c r="AJ217" s="118">
        <v>0</v>
      </c>
      <c r="AK217" s="118">
        <v>0</v>
      </c>
      <c r="AL217" s="118">
        <v>0</v>
      </c>
      <c r="AM217" s="118">
        <v>0</v>
      </c>
      <c r="AN217" s="118">
        <v>0</v>
      </c>
      <c r="AO217" s="118">
        <v>0</v>
      </c>
      <c r="AP217" s="118">
        <v>0</v>
      </c>
      <c r="AQ217" s="118">
        <v>0</v>
      </c>
      <c r="AR217" s="118">
        <v>0</v>
      </c>
      <c r="AS217" s="118">
        <v>0</v>
      </c>
      <c r="AT217" s="118">
        <v>0</v>
      </c>
      <c r="AU217" s="118">
        <v>0</v>
      </c>
      <c r="AV217" s="118">
        <v>0</v>
      </c>
      <c r="AW217" s="118">
        <v>0</v>
      </c>
      <c r="AX217" s="118">
        <v>0</v>
      </c>
      <c r="AY217" s="118">
        <v>0</v>
      </c>
    </row>
    <row r="218" spans="1:51" x14ac:dyDescent="0.2">
      <c r="A218" s="117"/>
      <c r="B218" s="127">
        <v>10</v>
      </c>
      <c r="C218" s="114"/>
      <c r="D218" s="118">
        <v>0</v>
      </c>
      <c r="E218" s="118">
        <v>0</v>
      </c>
      <c r="F218" s="118">
        <v>0</v>
      </c>
      <c r="G218" s="118">
        <v>0</v>
      </c>
      <c r="H218" s="118">
        <v>0</v>
      </c>
      <c r="I218" s="118">
        <v>0</v>
      </c>
      <c r="J218" s="118">
        <v>0</v>
      </c>
      <c r="K218" s="118">
        <v>0</v>
      </c>
      <c r="L218" s="118">
        <v>0</v>
      </c>
      <c r="M218" s="118">
        <v>0</v>
      </c>
      <c r="N218" s="118">
        <v>0</v>
      </c>
      <c r="O218" s="118">
        <v>0</v>
      </c>
      <c r="P218" s="118">
        <v>0</v>
      </c>
      <c r="Q218" s="118">
        <v>0</v>
      </c>
      <c r="R218" s="118">
        <v>0</v>
      </c>
      <c r="S218" s="118">
        <v>0</v>
      </c>
      <c r="T218" s="118">
        <v>0</v>
      </c>
      <c r="U218" s="118">
        <v>0</v>
      </c>
      <c r="V218" s="118">
        <v>0</v>
      </c>
      <c r="W218" s="118">
        <v>0</v>
      </c>
      <c r="X218" s="118">
        <v>0</v>
      </c>
      <c r="Y218" s="118">
        <v>0</v>
      </c>
      <c r="Z218" s="118">
        <v>0</v>
      </c>
      <c r="AA218" s="118">
        <v>0</v>
      </c>
      <c r="AB218" s="118">
        <v>0</v>
      </c>
      <c r="AC218" s="118">
        <v>0</v>
      </c>
      <c r="AD218" s="118">
        <v>0</v>
      </c>
      <c r="AE218" s="118">
        <v>0</v>
      </c>
      <c r="AF218" s="118">
        <v>0</v>
      </c>
      <c r="AG218" s="118">
        <v>0</v>
      </c>
      <c r="AH218" s="118">
        <v>0</v>
      </c>
      <c r="AI218" s="118">
        <v>0</v>
      </c>
      <c r="AJ218" s="118">
        <v>0</v>
      </c>
      <c r="AK218" s="118">
        <v>0</v>
      </c>
      <c r="AL218" s="118">
        <v>0</v>
      </c>
      <c r="AM218" s="118">
        <v>0</v>
      </c>
      <c r="AN218" s="118">
        <v>0</v>
      </c>
      <c r="AO218" s="118">
        <v>0</v>
      </c>
      <c r="AP218" s="118">
        <v>0</v>
      </c>
      <c r="AQ218" s="118">
        <v>0</v>
      </c>
      <c r="AR218" s="118">
        <v>0</v>
      </c>
      <c r="AS218" s="118">
        <v>0</v>
      </c>
      <c r="AT218" s="118">
        <v>0</v>
      </c>
      <c r="AU218" s="118">
        <v>0</v>
      </c>
      <c r="AV218" s="118">
        <v>0</v>
      </c>
      <c r="AW218" s="118">
        <v>0</v>
      </c>
      <c r="AX218" s="118">
        <v>0</v>
      </c>
      <c r="AY218" s="118">
        <v>0</v>
      </c>
    </row>
    <row r="219" spans="1:51" x14ac:dyDescent="0.2">
      <c r="A219" s="117"/>
      <c r="B219" s="127">
        <v>11</v>
      </c>
      <c r="C219" s="114"/>
      <c r="D219" s="118">
        <v>0</v>
      </c>
      <c r="E219" s="118">
        <v>0</v>
      </c>
      <c r="F219" s="118">
        <v>0</v>
      </c>
      <c r="G219" s="118">
        <v>0</v>
      </c>
      <c r="H219" s="118">
        <v>0</v>
      </c>
      <c r="I219" s="118">
        <v>0</v>
      </c>
      <c r="J219" s="118">
        <v>0</v>
      </c>
      <c r="K219" s="118">
        <v>0</v>
      </c>
      <c r="L219" s="118">
        <v>0</v>
      </c>
      <c r="M219" s="118">
        <v>0</v>
      </c>
      <c r="N219" s="118">
        <v>0</v>
      </c>
      <c r="O219" s="118">
        <v>0</v>
      </c>
      <c r="P219" s="118">
        <v>0</v>
      </c>
      <c r="Q219" s="118">
        <v>0</v>
      </c>
      <c r="R219" s="118">
        <v>0</v>
      </c>
      <c r="S219" s="118">
        <v>0</v>
      </c>
      <c r="T219" s="118">
        <v>0</v>
      </c>
      <c r="U219" s="118">
        <v>0</v>
      </c>
      <c r="V219" s="118">
        <v>0</v>
      </c>
      <c r="W219" s="118">
        <v>0</v>
      </c>
      <c r="X219" s="118">
        <v>0</v>
      </c>
      <c r="Y219" s="118">
        <v>0</v>
      </c>
      <c r="Z219" s="118">
        <v>0</v>
      </c>
      <c r="AA219" s="118">
        <v>0</v>
      </c>
      <c r="AB219" s="118">
        <v>0</v>
      </c>
      <c r="AC219" s="118">
        <v>0</v>
      </c>
      <c r="AD219" s="118">
        <v>0</v>
      </c>
      <c r="AE219" s="118">
        <v>0</v>
      </c>
      <c r="AF219" s="118">
        <v>0</v>
      </c>
      <c r="AG219" s="118">
        <v>0</v>
      </c>
      <c r="AH219" s="118">
        <v>0</v>
      </c>
      <c r="AI219" s="118">
        <v>0</v>
      </c>
      <c r="AJ219" s="118">
        <v>0</v>
      </c>
      <c r="AK219" s="118">
        <v>0</v>
      </c>
      <c r="AL219" s="118">
        <v>0</v>
      </c>
      <c r="AM219" s="118">
        <v>0</v>
      </c>
      <c r="AN219" s="118">
        <v>0</v>
      </c>
      <c r="AO219" s="118">
        <v>0</v>
      </c>
      <c r="AP219" s="118">
        <v>0</v>
      </c>
      <c r="AQ219" s="118">
        <v>0</v>
      </c>
      <c r="AR219" s="118">
        <v>0</v>
      </c>
      <c r="AS219" s="118">
        <v>0</v>
      </c>
      <c r="AT219" s="118">
        <v>0</v>
      </c>
      <c r="AU219" s="118">
        <v>0</v>
      </c>
      <c r="AV219" s="118">
        <v>0</v>
      </c>
      <c r="AW219" s="118">
        <v>0</v>
      </c>
      <c r="AX219" s="118">
        <v>0</v>
      </c>
      <c r="AY219" s="118">
        <v>0</v>
      </c>
    </row>
    <row r="220" spans="1:51" x14ac:dyDescent="0.2">
      <c r="A220" s="117"/>
      <c r="B220" s="127">
        <v>12</v>
      </c>
      <c r="C220" s="114"/>
      <c r="D220" s="118">
        <v>0</v>
      </c>
      <c r="E220" s="118">
        <v>0</v>
      </c>
      <c r="F220" s="118">
        <v>0</v>
      </c>
      <c r="G220" s="118">
        <v>0</v>
      </c>
      <c r="H220" s="118">
        <v>0</v>
      </c>
      <c r="I220" s="118">
        <v>0</v>
      </c>
      <c r="J220" s="118">
        <v>0</v>
      </c>
      <c r="K220" s="118">
        <v>0</v>
      </c>
      <c r="L220" s="118">
        <v>0</v>
      </c>
      <c r="M220" s="118">
        <v>0</v>
      </c>
      <c r="N220" s="118">
        <v>0</v>
      </c>
      <c r="O220" s="118">
        <v>0</v>
      </c>
      <c r="P220" s="118">
        <v>0</v>
      </c>
      <c r="Q220" s="118">
        <v>0</v>
      </c>
      <c r="R220" s="118">
        <v>0</v>
      </c>
      <c r="S220" s="118">
        <v>0</v>
      </c>
      <c r="T220" s="118">
        <v>0</v>
      </c>
      <c r="U220" s="118">
        <v>0</v>
      </c>
      <c r="V220" s="118">
        <v>0</v>
      </c>
      <c r="W220" s="118">
        <v>0</v>
      </c>
      <c r="X220" s="118">
        <v>0</v>
      </c>
      <c r="Y220" s="118">
        <v>0</v>
      </c>
      <c r="Z220" s="118">
        <v>0</v>
      </c>
      <c r="AA220" s="118">
        <v>0</v>
      </c>
      <c r="AB220" s="118">
        <v>0</v>
      </c>
      <c r="AC220" s="118">
        <v>0</v>
      </c>
      <c r="AD220" s="118">
        <v>0</v>
      </c>
      <c r="AE220" s="118">
        <v>0</v>
      </c>
      <c r="AF220" s="118">
        <v>0</v>
      </c>
      <c r="AG220" s="118">
        <v>0</v>
      </c>
      <c r="AH220" s="118">
        <v>0</v>
      </c>
      <c r="AI220" s="118">
        <v>0</v>
      </c>
      <c r="AJ220" s="118">
        <v>0</v>
      </c>
      <c r="AK220" s="118">
        <v>0</v>
      </c>
      <c r="AL220" s="118">
        <v>0</v>
      </c>
      <c r="AM220" s="118">
        <v>0</v>
      </c>
      <c r="AN220" s="118">
        <v>0</v>
      </c>
      <c r="AO220" s="118">
        <v>0</v>
      </c>
      <c r="AP220" s="118">
        <v>0</v>
      </c>
      <c r="AQ220" s="118">
        <v>0</v>
      </c>
      <c r="AR220" s="118">
        <v>0</v>
      </c>
      <c r="AS220" s="118">
        <v>0</v>
      </c>
      <c r="AT220" s="118">
        <v>0</v>
      </c>
      <c r="AU220" s="118">
        <v>0</v>
      </c>
      <c r="AV220" s="118">
        <v>0</v>
      </c>
      <c r="AW220" s="118">
        <v>0</v>
      </c>
      <c r="AX220" s="118">
        <v>0</v>
      </c>
      <c r="AY220" s="118">
        <v>0</v>
      </c>
    </row>
    <row r="221" spans="1:51" x14ac:dyDescent="0.2">
      <c r="A221" s="117"/>
      <c r="B221" s="128">
        <v>13</v>
      </c>
      <c r="C221" s="114"/>
      <c r="D221" s="118">
        <v>0</v>
      </c>
      <c r="E221" s="118">
        <v>0</v>
      </c>
      <c r="F221" s="118">
        <v>0</v>
      </c>
      <c r="G221" s="118">
        <v>0</v>
      </c>
      <c r="H221" s="118">
        <v>0</v>
      </c>
      <c r="I221" s="118">
        <v>0</v>
      </c>
      <c r="J221" s="118">
        <v>0</v>
      </c>
      <c r="K221" s="118">
        <v>0</v>
      </c>
      <c r="L221" s="118">
        <v>0</v>
      </c>
      <c r="M221" s="118">
        <v>0</v>
      </c>
      <c r="N221" s="118">
        <v>0</v>
      </c>
      <c r="O221" s="118">
        <v>0</v>
      </c>
      <c r="P221" s="118">
        <v>0</v>
      </c>
      <c r="Q221" s="118">
        <v>0</v>
      </c>
      <c r="R221" s="118">
        <v>0</v>
      </c>
      <c r="S221" s="118">
        <v>0</v>
      </c>
      <c r="T221" s="118">
        <v>0</v>
      </c>
      <c r="U221" s="118">
        <v>0</v>
      </c>
      <c r="V221" s="118">
        <v>0</v>
      </c>
      <c r="W221" s="118">
        <v>0</v>
      </c>
      <c r="X221" s="118">
        <v>0</v>
      </c>
      <c r="Y221" s="118">
        <v>0</v>
      </c>
      <c r="Z221" s="118">
        <v>0</v>
      </c>
      <c r="AA221" s="118">
        <v>0</v>
      </c>
      <c r="AB221" s="118">
        <v>0</v>
      </c>
      <c r="AC221" s="118">
        <v>0</v>
      </c>
      <c r="AD221" s="118">
        <v>0</v>
      </c>
      <c r="AE221" s="118">
        <v>0</v>
      </c>
      <c r="AF221" s="118">
        <v>0</v>
      </c>
      <c r="AG221" s="118">
        <v>0</v>
      </c>
      <c r="AH221" s="118">
        <v>0</v>
      </c>
      <c r="AI221" s="118">
        <v>0</v>
      </c>
      <c r="AJ221" s="118">
        <v>0</v>
      </c>
      <c r="AK221" s="118">
        <v>0</v>
      </c>
      <c r="AL221" s="118">
        <v>0</v>
      </c>
      <c r="AM221" s="118">
        <v>0</v>
      </c>
      <c r="AN221" s="118">
        <v>0</v>
      </c>
      <c r="AO221" s="118">
        <v>0</v>
      </c>
      <c r="AP221" s="118">
        <v>0</v>
      </c>
      <c r="AQ221" s="118">
        <v>0</v>
      </c>
      <c r="AR221" s="118">
        <v>0</v>
      </c>
      <c r="AS221" s="118">
        <v>0</v>
      </c>
      <c r="AT221" s="118">
        <v>0</v>
      </c>
      <c r="AU221" s="118">
        <v>0</v>
      </c>
      <c r="AV221" s="118">
        <v>0</v>
      </c>
      <c r="AW221" s="118">
        <v>0</v>
      </c>
      <c r="AX221" s="118">
        <v>0</v>
      </c>
      <c r="AY221" s="118">
        <v>0</v>
      </c>
    </row>
    <row r="222" spans="1:51" x14ac:dyDescent="0.2">
      <c r="A222" s="117"/>
      <c r="B222" s="128">
        <v>14</v>
      </c>
      <c r="C222" s="114"/>
      <c r="D222" s="118">
        <v>0</v>
      </c>
      <c r="E222" s="118">
        <v>0</v>
      </c>
      <c r="F222" s="118">
        <v>0</v>
      </c>
      <c r="G222" s="118">
        <v>0</v>
      </c>
      <c r="H222" s="118">
        <v>0</v>
      </c>
      <c r="I222" s="118">
        <v>0</v>
      </c>
      <c r="J222" s="118">
        <v>0</v>
      </c>
      <c r="K222" s="118">
        <v>0</v>
      </c>
      <c r="L222" s="118">
        <v>0</v>
      </c>
      <c r="M222" s="118">
        <v>0</v>
      </c>
      <c r="N222" s="118">
        <v>0</v>
      </c>
      <c r="O222" s="118">
        <v>0</v>
      </c>
      <c r="P222" s="118">
        <v>0</v>
      </c>
      <c r="Q222" s="118">
        <v>0</v>
      </c>
      <c r="R222" s="118">
        <v>0</v>
      </c>
      <c r="S222" s="118">
        <v>0</v>
      </c>
      <c r="T222" s="118">
        <v>0</v>
      </c>
      <c r="U222" s="118">
        <v>0</v>
      </c>
      <c r="V222" s="118">
        <v>0</v>
      </c>
      <c r="W222" s="118">
        <v>0</v>
      </c>
      <c r="X222" s="118">
        <v>0</v>
      </c>
      <c r="Y222" s="118">
        <v>0</v>
      </c>
      <c r="Z222" s="118">
        <v>0</v>
      </c>
      <c r="AA222" s="118">
        <v>0</v>
      </c>
      <c r="AB222" s="118">
        <v>0</v>
      </c>
      <c r="AC222" s="118">
        <v>0</v>
      </c>
      <c r="AD222" s="118">
        <v>0</v>
      </c>
      <c r="AE222" s="118">
        <v>0</v>
      </c>
      <c r="AF222" s="118">
        <v>0</v>
      </c>
      <c r="AG222" s="118">
        <v>0</v>
      </c>
      <c r="AH222" s="118">
        <v>0</v>
      </c>
      <c r="AI222" s="118">
        <v>0</v>
      </c>
      <c r="AJ222" s="118">
        <v>0</v>
      </c>
      <c r="AK222" s="118">
        <v>0</v>
      </c>
      <c r="AL222" s="118">
        <v>0</v>
      </c>
      <c r="AM222" s="118">
        <v>0</v>
      </c>
      <c r="AN222" s="118">
        <v>0</v>
      </c>
      <c r="AO222" s="118">
        <v>0</v>
      </c>
      <c r="AP222" s="118">
        <v>0</v>
      </c>
      <c r="AQ222" s="118">
        <v>0</v>
      </c>
      <c r="AR222" s="118">
        <v>0</v>
      </c>
      <c r="AS222" s="118">
        <v>0</v>
      </c>
      <c r="AT222" s="118">
        <v>0</v>
      </c>
      <c r="AU222" s="118">
        <v>0</v>
      </c>
      <c r="AV222" s="118">
        <v>0</v>
      </c>
      <c r="AW222" s="118">
        <v>0</v>
      </c>
      <c r="AX222" s="118">
        <v>0</v>
      </c>
      <c r="AY222" s="118">
        <v>0</v>
      </c>
    </row>
    <row r="223" spans="1:51" x14ac:dyDescent="0.2">
      <c r="A223" s="117"/>
      <c r="B223" s="128">
        <v>15</v>
      </c>
      <c r="C223" s="114"/>
      <c r="D223" s="118">
        <v>0</v>
      </c>
      <c r="E223" s="118">
        <v>0</v>
      </c>
      <c r="F223" s="118">
        <v>0</v>
      </c>
      <c r="G223" s="118">
        <v>0</v>
      </c>
      <c r="H223" s="118">
        <v>0</v>
      </c>
      <c r="I223" s="118">
        <v>0</v>
      </c>
      <c r="J223" s="118">
        <v>0</v>
      </c>
      <c r="K223" s="118">
        <v>0</v>
      </c>
      <c r="L223" s="118">
        <v>0</v>
      </c>
      <c r="M223" s="118">
        <v>0</v>
      </c>
      <c r="N223" s="118">
        <v>0</v>
      </c>
      <c r="O223" s="118">
        <v>0</v>
      </c>
      <c r="P223" s="118">
        <v>0</v>
      </c>
      <c r="Q223" s="118">
        <v>0</v>
      </c>
      <c r="R223" s="118">
        <v>0</v>
      </c>
      <c r="S223" s="118">
        <v>0</v>
      </c>
      <c r="T223" s="118">
        <v>0</v>
      </c>
      <c r="U223" s="118">
        <v>0</v>
      </c>
      <c r="V223" s="118">
        <v>0</v>
      </c>
      <c r="W223" s="118">
        <v>0</v>
      </c>
      <c r="X223" s="118">
        <v>0</v>
      </c>
      <c r="Y223" s="118">
        <v>0</v>
      </c>
      <c r="Z223" s="118">
        <v>0</v>
      </c>
      <c r="AA223" s="118">
        <v>0</v>
      </c>
      <c r="AB223" s="118">
        <v>0</v>
      </c>
      <c r="AC223" s="118">
        <v>0</v>
      </c>
      <c r="AD223" s="118">
        <v>0</v>
      </c>
      <c r="AE223" s="118">
        <v>0</v>
      </c>
      <c r="AF223" s="118">
        <v>0</v>
      </c>
      <c r="AG223" s="118">
        <v>0</v>
      </c>
      <c r="AH223" s="118">
        <v>0</v>
      </c>
      <c r="AI223" s="118">
        <v>0</v>
      </c>
      <c r="AJ223" s="118">
        <v>0</v>
      </c>
      <c r="AK223" s="118">
        <v>0</v>
      </c>
      <c r="AL223" s="118">
        <v>0</v>
      </c>
      <c r="AM223" s="118">
        <v>0</v>
      </c>
      <c r="AN223" s="118">
        <v>0</v>
      </c>
      <c r="AO223" s="118">
        <v>0</v>
      </c>
      <c r="AP223" s="118">
        <v>0</v>
      </c>
      <c r="AQ223" s="118">
        <v>0</v>
      </c>
      <c r="AR223" s="118">
        <v>0</v>
      </c>
      <c r="AS223" s="118">
        <v>0</v>
      </c>
      <c r="AT223" s="118">
        <v>0</v>
      </c>
      <c r="AU223" s="118">
        <v>0</v>
      </c>
      <c r="AV223" s="118">
        <v>0</v>
      </c>
      <c r="AW223" s="118">
        <v>0</v>
      </c>
      <c r="AX223" s="118">
        <v>0</v>
      </c>
      <c r="AY223" s="118">
        <v>0</v>
      </c>
    </row>
    <row r="224" spans="1:51" x14ac:dyDescent="0.2">
      <c r="A224" s="117"/>
      <c r="B224" s="128">
        <v>16</v>
      </c>
      <c r="C224" s="114"/>
      <c r="D224" s="118">
        <v>0</v>
      </c>
      <c r="E224" s="118">
        <v>0</v>
      </c>
      <c r="F224" s="118">
        <v>0</v>
      </c>
      <c r="G224" s="118">
        <v>0</v>
      </c>
      <c r="H224" s="118">
        <v>0</v>
      </c>
      <c r="I224" s="118">
        <v>0</v>
      </c>
      <c r="J224" s="118">
        <v>0</v>
      </c>
      <c r="K224" s="118">
        <v>0</v>
      </c>
      <c r="L224" s="118">
        <v>0</v>
      </c>
      <c r="M224" s="118">
        <v>0</v>
      </c>
      <c r="N224" s="118">
        <v>0</v>
      </c>
      <c r="O224" s="118">
        <v>0</v>
      </c>
      <c r="P224" s="118">
        <v>0</v>
      </c>
      <c r="Q224" s="118">
        <v>0</v>
      </c>
      <c r="R224" s="118">
        <v>0</v>
      </c>
      <c r="S224" s="118">
        <v>0</v>
      </c>
      <c r="T224" s="118">
        <v>0</v>
      </c>
      <c r="U224" s="118">
        <v>0</v>
      </c>
      <c r="V224" s="118">
        <v>0</v>
      </c>
      <c r="W224" s="118">
        <v>0</v>
      </c>
      <c r="X224" s="118">
        <v>0</v>
      </c>
      <c r="Y224" s="118">
        <v>0</v>
      </c>
      <c r="Z224" s="118">
        <v>0</v>
      </c>
      <c r="AA224" s="118">
        <v>0</v>
      </c>
      <c r="AB224" s="118">
        <v>0</v>
      </c>
      <c r="AC224" s="118">
        <v>0</v>
      </c>
      <c r="AD224" s="118">
        <v>0</v>
      </c>
      <c r="AE224" s="118">
        <v>0</v>
      </c>
      <c r="AF224" s="118">
        <v>0</v>
      </c>
      <c r="AG224" s="118">
        <v>0</v>
      </c>
      <c r="AH224" s="118">
        <v>0</v>
      </c>
      <c r="AI224" s="118">
        <v>0</v>
      </c>
      <c r="AJ224" s="118">
        <v>0</v>
      </c>
      <c r="AK224" s="118">
        <v>0</v>
      </c>
      <c r="AL224" s="118">
        <v>0</v>
      </c>
      <c r="AM224" s="118">
        <v>0</v>
      </c>
      <c r="AN224" s="118">
        <v>0</v>
      </c>
      <c r="AO224" s="118">
        <v>0</v>
      </c>
      <c r="AP224" s="118">
        <v>0</v>
      </c>
      <c r="AQ224" s="118">
        <v>0</v>
      </c>
      <c r="AR224" s="118">
        <v>0</v>
      </c>
      <c r="AS224" s="118">
        <v>0</v>
      </c>
      <c r="AT224" s="118">
        <v>0</v>
      </c>
      <c r="AU224" s="118">
        <v>0</v>
      </c>
      <c r="AV224" s="118">
        <v>0</v>
      </c>
      <c r="AW224" s="118">
        <v>0</v>
      </c>
      <c r="AX224" s="118">
        <v>0</v>
      </c>
      <c r="AY224" s="118">
        <v>0</v>
      </c>
    </row>
    <row r="225" spans="1:51" x14ac:dyDescent="0.2">
      <c r="A225" s="117"/>
      <c r="B225" s="128">
        <v>17</v>
      </c>
      <c r="C225" s="114"/>
      <c r="D225" s="118">
        <v>0</v>
      </c>
      <c r="E225" s="118">
        <v>0</v>
      </c>
      <c r="F225" s="118">
        <v>0</v>
      </c>
      <c r="G225" s="118">
        <v>0</v>
      </c>
      <c r="H225" s="118">
        <v>0</v>
      </c>
      <c r="I225" s="118">
        <v>0</v>
      </c>
      <c r="J225" s="118">
        <v>0</v>
      </c>
      <c r="K225" s="118">
        <v>0</v>
      </c>
      <c r="L225" s="118">
        <v>0</v>
      </c>
      <c r="M225" s="118">
        <v>0</v>
      </c>
      <c r="N225" s="118">
        <v>0</v>
      </c>
      <c r="O225" s="118">
        <v>0</v>
      </c>
      <c r="P225" s="118">
        <v>0</v>
      </c>
      <c r="Q225" s="118">
        <v>0</v>
      </c>
      <c r="R225" s="118">
        <v>0</v>
      </c>
      <c r="S225" s="118">
        <v>0</v>
      </c>
      <c r="T225" s="118">
        <v>0</v>
      </c>
      <c r="U225" s="118">
        <v>0</v>
      </c>
      <c r="V225" s="118">
        <v>0</v>
      </c>
      <c r="W225" s="118">
        <v>0</v>
      </c>
      <c r="X225" s="118">
        <v>0</v>
      </c>
      <c r="Y225" s="118">
        <v>0</v>
      </c>
      <c r="Z225" s="118">
        <v>0</v>
      </c>
      <c r="AA225" s="118">
        <v>0</v>
      </c>
      <c r="AB225" s="118">
        <v>0</v>
      </c>
      <c r="AC225" s="118">
        <v>0</v>
      </c>
      <c r="AD225" s="118">
        <v>0</v>
      </c>
      <c r="AE225" s="118">
        <v>0</v>
      </c>
      <c r="AF225" s="118">
        <v>0</v>
      </c>
      <c r="AG225" s="118">
        <v>0</v>
      </c>
      <c r="AH225" s="118">
        <v>0</v>
      </c>
      <c r="AI225" s="118">
        <v>0</v>
      </c>
      <c r="AJ225" s="118">
        <v>0</v>
      </c>
      <c r="AK225" s="118">
        <v>0</v>
      </c>
      <c r="AL225" s="118">
        <v>0</v>
      </c>
      <c r="AM225" s="118">
        <v>0</v>
      </c>
      <c r="AN225" s="118">
        <v>0</v>
      </c>
      <c r="AO225" s="118">
        <v>0</v>
      </c>
      <c r="AP225" s="118">
        <v>0</v>
      </c>
      <c r="AQ225" s="118">
        <v>0</v>
      </c>
      <c r="AR225" s="118">
        <v>0</v>
      </c>
      <c r="AS225" s="118">
        <v>0</v>
      </c>
      <c r="AT225" s="118">
        <v>0</v>
      </c>
      <c r="AU225" s="118">
        <v>0</v>
      </c>
      <c r="AV225" s="118">
        <v>0</v>
      </c>
      <c r="AW225" s="118">
        <v>0</v>
      </c>
      <c r="AX225" s="118">
        <v>0</v>
      </c>
      <c r="AY225" s="118">
        <v>0</v>
      </c>
    </row>
    <row r="226" spans="1:51" x14ac:dyDescent="0.2">
      <c r="A226" s="117"/>
      <c r="B226" s="128">
        <v>18</v>
      </c>
      <c r="C226" s="114"/>
      <c r="D226" s="118">
        <v>0</v>
      </c>
      <c r="E226" s="118">
        <v>0</v>
      </c>
      <c r="F226" s="118">
        <v>0</v>
      </c>
      <c r="G226" s="118">
        <v>0</v>
      </c>
      <c r="H226" s="118">
        <v>0</v>
      </c>
      <c r="I226" s="118">
        <v>0</v>
      </c>
      <c r="J226" s="118">
        <v>0</v>
      </c>
      <c r="K226" s="118">
        <v>0</v>
      </c>
      <c r="L226" s="118">
        <v>0</v>
      </c>
      <c r="M226" s="118">
        <v>0</v>
      </c>
      <c r="N226" s="118">
        <v>0</v>
      </c>
      <c r="O226" s="118">
        <v>0</v>
      </c>
      <c r="P226" s="118">
        <v>0</v>
      </c>
      <c r="Q226" s="118">
        <v>0</v>
      </c>
      <c r="R226" s="118">
        <v>0</v>
      </c>
      <c r="S226" s="118">
        <v>0</v>
      </c>
      <c r="T226" s="118">
        <v>0</v>
      </c>
      <c r="U226" s="118">
        <v>0</v>
      </c>
      <c r="V226" s="118">
        <v>0</v>
      </c>
      <c r="W226" s="118">
        <v>0</v>
      </c>
      <c r="X226" s="118">
        <v>0</v>
      </c>
      <c r="Y226" s="118">
        <v>0</v>
      </c>
      <c r="Z226" s="118">
        <v>0</v>
      </c>
      <c r="AA226" s="118">
        <v>0</v>
      </c>
      <c r="AB226" s="118">
        <v>0</v>
      </c>
      <c r="AC226" s="118">
        <v>0</v>
      </c>
      <c r="AD226" s="118">
        <v>0</v>
      </c>
      <c r="AE226" s="118">
        <v>0</v>
      </c>
      <c r="AF226" s="118">
        <v>0</v>
      </c>
      <c r="AG226" s="118">
        <v>0</v>
      </c>
      <c r="AH226" s="118">
        <v>0</v>
      </c>
      <c r="AI226" s="118">
        <v>0</v>
      </c>
      <c r="AJ226" s="118">
        <v>0</v>
      </c>
      <c r="AK226" s="118">
        <v>0</v>
      </c>
      <c r="AL226" s="118">
        <v>0</v>
      </c>
      <c r="AM226" s="118">
        <v>0</v>
      </c>
      <c r="AN226" s="118">
        <v>0</v>
      </c>
      <c r="AO226" s="118">
        <v>0</v>
      </c>
      <c r="AP226" s="118">
        <v>0</v>
      </c>
      <c r="AQ226" s="118">
        <v>0</v>
      </c>
      <c r="AR226" s="118">
        <v>0</v>
      </c>
      <c r="AS226" s="118">
        <v>0</v>
      </c>
      <c r="AT226" s="118">
        <v>0</v>
      </c>
      <c r="AU226" s="118">
        <v>0</v>
      </c>
      <c r="AV226" s="118">
        <v>0</v>
      </c>
      <c r="AW226" s="118">
        <v>0</v>
      </c>
      <c r="AX226" s="118">
        <v>0</v>
      </c>
      <c r="AY226" s="118">
        <v>0</v>
      </c>
    </row>
    <row r="227" spans="1:51" x14ac:dyDescent="0.2">
      <c r="A227" s="117"/>
      <c r="B227" s="128">
        <v>19</v>
      </c>
      <c r="C227" s="114"/>
      <c r="D227" s="118">
        <v>0</v>
      </c>
      <c r="E227" s="118">
        <v>0</v>
      </c>
      <c r="F227" s="118">
        <v>0</v>
      </c>
      <c r="G227" s="118">
        <v>0</v>
      </c>
      <c r="H227" s="118">
        <v>0</v>
      </c>
      <c r="I227" s="118">
        <v>0</v>
      </c>
      <c r="J227" s="118">
        <v>0</v>
      </c>
      <c r="K227" s="118">
        <v>0</v>
      </c>
      <c r="L227" s="118">
        <v>0</v>
      </c>
      <c r="M227" s="118">
        <v>0</v>
      </c>
      <c r="N227" s="118">
        <v>0</v>
      </c>
      <c r="O227" s="118">
        <v>0</v>
      </c>
      <c r="P227" s="118">
        <v>0</v>
      </c>
      <c r="Q227" s="118">
        <v>0</v>
      </c>
      <c r="R227" s="118">
        <v>0</v>
      </c>
      <c r="S227" s="118">
        <v>0</v>
      </c>
      <c r="T227" s="118">
        <v>0</v>
      </c>
      <c r="U227" s="118">
        <v>0</v>
      </c>
      <c r="V227" s="118">
        <v>0</v>
      </c>
      <c r="W227" s="118">
        <v>0</v>
      </c>
      <c r="X227" s="118">
        <v>0</v>
      </c>
      <c r="Y227" s="118">
        <v>0</v>
      </c>
      <c r="Z227" s="118">
        <v>0</v>
      </c>
      <c r="AA227" s="118">
        <v>0</v>
      </c>
      <c r="AB227" s="118">
        <v>0</v>
      </c>
      <c r="AC227" s="118">
        <v>0</v>
      </c>
      <c r="AD227" s="118">
        <v>0</v>
      </c>
      <c r="AE227" s="118">
        <v>0</v>
      </c>
      <c r="AF227" s="118">
        <v>0</v>
      </c>
      <c r="AG227" s="118">
        <v>0</v>
      </c>
      <c r="AH227" s="118">
        <v>0</v>
      </c>
      <c r="AI227" s="118">
        <v>0</v>
      </c>
      <c r="AJ227" s="118">
        <v>0</v>
      </c>
      <c r="AK227" s="118">
        <v>0</v>
      </c>
      <c r="AL227" s="118">
        <v>0</v>
      </c>
      <c r="AM227" s="118">
        <v>0</v>
      </c>
      <c r="AN227" s="118">
        <v>0</v>
      </c>
      <c r="AO227" s="118">
        <v>0</v>
      </c>
      <c r="AP227" s="118">
        <v>0</v>
      </c>
      <c r="AQ227" s="118">
        <v>0</v>
      </c>
      <c r="AR227" s="118">
        <v>0</v>
      </c>
      <c r="AS227" s="118">
        <v>0</v>
      </c>
      <c r="AT227" s="118">
        <v>0</v>
      </c>
      <c r="AU227" s="118">
        <v>0</v>
      </c>
      <c r="AV227" s="118">
        <v>0</v>
      </c>
      <c r="AW227" s="118">
        <v>0</v>
      </c>
      <c r="AX227" s="118">
        <v>0</v>
      </c>
      <c r="AY227" s="118">
        <v>0</v>
      </c>
    </row>
    <row r="228" spans="1:51" x14ac:dyDescent="0.2">
      <c r="A228" s="117"/>
      <c r="B228" s="128">
        <v>20</v>
      </c>
      <c r="C228" s="114"/>
      <c r="D228" s="118">
        <v>0</v>
      </c>
      <c r="E228" s="118">
        <v>0</v>
      </c>
      <c r="F228" s="118">
        <v>0</v>
      </c>
      <c r="G228" s="118">
        <v>0</v>
      </c>
      <c r="H228" s="118">
        <v>0</v>
      </c>
      <c r="I228" s="118">
        <v>0</v>
      </c>
      <c r="J228" s="118">
        <v>0</v>
      </c>
      <c r="K228" s="118">
        <v>0</v>
      </c>
      <c r="L228" s="118">
        <v>0</v>
      </c>
      <c r="M228" s="118">
        <v>0</v>
      </c>
      <c r="N228" s="118">
        <v>0</v>
      </c>
      <c r="O228" s="118">
        <v>0</v>
      </c>
      <c r="P228" s="118">
        <v>0</v>
      </c>
      <c r="Q228" s="118">
        <v>0</v>
      </c>
      <c r="R228" s="118">
        <v>0</v>
      </c>
      <c r="S228" s="118">
        <v>0</v>
      </c>
      <c r="T228" s="118">
        <v>0</v>
      </c>
      <c r="U228" s="118">
        <v>0</v>
      </c>
      <c r="V228" s="118">
        <v>0</v>
      </c>
      <c r="W228" s="118">
        <v>0</v>
      </c>
      <c r="X228" s="118">
        <v>0</v>
      </c>
      <c r="Y228" s="118">
        <v>0</v>
      </c>
      <c r="Z228" s="118">
        <v>0</v>
      </c>
      <c r="AA228" s="118">
        <v>0</v>
      </c>
      <c r="AB228" s="118">
        <v>0</v>
      </c>
      <c r="AC228" s="118">
        <v>0</v>
      </c>
      <c r="AD228" s="118">
        <v>0</v>
      </c>
      <c r="AE228" s="118">
        <v>0</v>
      </c>
      <c r="AF228" s="118">
        <v>0</v>
      </c>
      <c r="AG228" s="118">
        <v>0</v>
      </c>
      <c r="AH228" s="118">
        <v>0</v>
      </c>
      <c r="AI228" s="118">
        <v>0</v>
      </c>
      <c r="AJ228" s="118">
        <v>0</v>
      </c>
      <c r="AK228" s="118">
        <v>0</v>
      </c>
      <c r="AL228" s="118">
        <v>0</v>
      </c>
      <c r="AM228" s="118">
        <v>0</v>
      </c>
      <c r="AN228" s="118">
        <v>0</v>
      </c>
      <c r="AO228" s="118">
        <v>0</v>
      </c>
      <c r="AP228" s="118">
        <v>0</v>
      </c>
      <c r="AQ228" s="118">
        <v>0</v>
      </c>
      <c r="AR228" s="118">
        <v>0</v>
      </c>
      <c r="AS228" s="118">
        <v>0</v>
      </c>
      <c r="AT228" s="118">
        <v>0</v>
      </c>
      <c r="AU228" s="118">
        <v>0</v>
      </c>
      <c r="AV228" s="118">
        <v>0</v>
      </c>
      <c r="AW228" s="118">
        <v>0</v>
      </c>
      <c r="AX228" s="118">
        <v>0</v>
      </c>
      <c r="AY228" s="118">
        <v>0</v>
      </c>
    </row>
    <row r="229" spans="1:51" x14ac:dyDescent="0.2">
      <c r="A229" s="117"/>
      <c r="B229" s="128">
        <v>21</v>
      </c>
      <c r="C229" s="114"/>
      <c r="D229" s="118">
        <v>0</v>
      </c>
      <c r="E229" s="118">
        <v>0</v>
      </c>
      <c r="F229" s="118">
        <v>0</v>
      </c>
      <c r="G229" s="118">
        <v>0</v>
      </c>
      <c r="H229" s="118">
        <v>0</v>
      </c>
      <c r="I229" s="118">
        <v>0</v>
      </c>
      <c r="J229" s="118">
        <v>0</v>
      </c>
      <c r="K229" s="118">
        <v>0</v>
      </c>
      <c r="L229" s="118">
        <v>0</v>
      </c>
      <c r="M229" s="118">
        <v>0</v>
      </c>
      <c r="N229" s="118">
        <v>0</v>
      </c>
      <c r="O229" s="118">
        <v>0</v>
      </c>
      <c r="P229" s="118">
        <v>0</v>
      </c>
      <c r="Q229" s="118">
        <v>0</v>
      </c>
      <c r="R229" s="118">
        <v>0</v>
      </c>
      <c r="S229" s="118">
        <v>0</v>
      </c>
      <c r="T229" s="118">
        <v>0</v>
      </c>
      <c r="U229" s="118">
        <v>0</v>
      </c>
      <c r="V229" s="118">
        <v>0</v>
      </c>
      <c r="W229" s="118">
        <v>0</v>
      </c>
      <c r="X229" s="118">
        <v>0</v>
      </c>
      <c r="Y229" s="118">
        <v>0</v>
      </c>
      <c r="Z229" s="118">
        <v>0</v>
      </c>
      <c r="AA229" s="118">
        <v>0</v>
      </c>
      <c r="AB229" s="118">
        <v>0</v>
      </c>
      <c r="AC229" s="118">
        <v>0</v>
      </c>
      <c r="AD229" s="118">
        <v>0</v>
      </c>
      <c r="AE229" s="118">
        <v>0</v>
      </c>
      <c r="AF229" s="118">
        <v>0</v>
      </c>
      <c r="AG229" s="118">
        <v>0</v>
      </c>
      <c r="AH229" s="118">
        <v>0</v>
      </c>
      <c r="AI229" s="118">
        <v>0</v>
      </c>
      <c r="AJ229" s="118">
        <v>0</v>
      </c>
      <c r="AK229" s="118">
        <v>0</v>
      </c>
      <c r="AL229" s="118">
        <v>0</v>
      </c>
      <c r="AM229" s="118">
        <v>0</v>
      </c>
      <c r="AN229" s="118">
        <v>0</v>
      </c>
      <c r="AO229" s="118">
        <v>0</v>
      </c>
      <c r="AP229" s="118">
        <v>0</v>
      </c>
      <c r="AQ229" s="118">
        <v>0</v>
      </c>
      <c r="AR229" s="118">
        <v>0</v>
      </c>
      <c r="AS229" s="118">
        <v>0</v>
      </c>
      <c r="AT229" s="118">
        <v>0</v>
      </c>
      <c r="AU229" s="118">
        <v>0</v>
      </c>
      <c r="AV229" s="118">
        <v>0</v>
      </c>
      <c r="AW229" s="118">
        <v>0</v>
      </c>
      <c r="AX229" s="118">
        <v>0</v>
      </c>
      <c r="AY229" s="118">
        <v>0</v>
      </c>
    </row>
    <row r="230" spans="1:51" x14ac:dyDescent="0.2">
      <c r="A230" s="117"/>
      <c r="B230" s="128">
        <v>22</v>
      </c>
      <c r="C230" s="114"/>
      <c r="D230" s="118">
        <v>0</v>
      </c>
      <c r="E230" s="118">
        <v>0</v>
      </c>
      <c r="F230" s="118">
        <v>0</v>
      </c>
      <c r="G230" s="118">
        <v>0</v>
      </c>
      <c r="H230" s="118">
        <v>0</v>
      </c>
      <c r="I230" s="118">
        <v>0</v>
      </c>
      <c r="J230" s="118">
        <v>0</v>
      </c>
      <c r="K230" s="118">
        <v>0</v>
      </c>
      <c r="L230" s="118">
        <v>0</v>
      </c>
      <c r="M230" s="118">
        <v>0</v>
      </c>
      <c r="N230" s="118">
        <v>0</v>
      </c>
      <c r="O230" s="118">
        <v>0</v>
      </c>
      <c r="P230" s="118">
        <v>0</v>
      </c>
      <c r="Q230" s="118">
        <v>0</v>
      </c>
      <c r="R230" s="118">
        <v>0</v>
      </c>
      <c r="S230" s="118">
        <v>0</v>
      </c>
      <c r="T230" s="118">
        <v>0</v>
      </c>
      <c r="U230" s="118">
        <v>0</v>
      </c>
      <c r="V230" s="118">
        <v>0</v>
      </c>
      <c r="W230" s="118">
        <v>0</v>
      </c>
      <c r="X230" s="118">
        <v>0</v>
      </c>
      <c r="Y230" s="118">
        <v>0</v>
      </c>
      <c r="Z230" s="118">
        <v>0</v>
      </c>
      <c r="AA230" s="118">
        <v>0</v>
      </c>
      <c r="AB230" s="118">
        <v>0</v>
      </c>
      <c r="AC230" s="118">
        <v>0</v>
      </c>
      <c r="AD230" s="118">
        <v>0</v>
      </c>
      <c r="AE230" s="118">
        <v>0</v>
      </c>
      <c r="AF230" s="118">
        <v>0</v>
      </c>
      <c r="AG230" s="118">
        <v>0</v>
      </c>
      <c r="AH230" s="118">
        <v>0</v>
      </c>
      <c r="AI230" s="118">
        <v>0</v>
      </c>
      <c r="AJ230" s="118">
        <v>0</v>
      </c>
      <c r="AK230" s="118">
        <v>0</v>
      </c>
      <c r="AL230" s="118">
        <v>0</v>
      </c>
      <c r="AM230" s="118">
        <v>0</v>
      </c>
      <c r="AN230" s="118">
        <v>0</v>
      </c>
      <c r="AO230" s="118">
        <v>0</v>
      </c>
      <c r="AP230" s="118">
        <v>0</v>
      </c>
      <c r="AQ230" s="118">
        <v>0</v>
      </c>
      <c r="AR230" s="118">
        <v>0</v>
      </c>
      <c r="AS230" s="118">
        <v>0</v>
      </c>
      <c r="AT230" s="118">
        <v>0</v>
      </c>
      <c r="AU230" s="118">
        <v>0</v>
      </c>
      <c r="AV230" s="118">
        <v>0</v>
      </c>
      <c r="AW230" s="118">
        <v>0</v>
      </c>
      <c r="AX230" s="118">
        <v>0</v>
      </c>
      <c r="AY230" s="118">
        <v>0</v>
      </c>
    </row>
    <row r="231" spans="1:51" x14ac:dyDescent="0.2">
      <c r="A231" s="117"/>
      <c r="B231" s="128">
        <v>23</v>
      </c>
      <c r="C231" s="114"/>
      <c r="D231" s="118">
        <v>0</v>
      </c>
      <c r="E231" s="118">
        <v>0</v>
      </c>
      <c r="F231" s="118">
        <v>0</v>
      </c>
      <c r="G231" s="118">
        <v>0</v>
      </c>
      <c r="H231" s="118">
        <v>0</v>
      </c>
      <c r="I231" s="118">
        <v>0</v>
      </c>
      <c r="J231" s="118">
        <v>0</v>
      </c>
      <c r="K231" s="118">
        <v>0</v>
      </c>
      <c r="L231" s="118">
        <v>0</v>
      </c>
      <c r="M231" s="118">
        <v>0</v>
      </c>
      <c r="N231" s="118">
        <v>0</v>
      </c>
      <c r="O231" s="118">
        <v>0</v>
      </c>
      <c r="P231" s="118">
        <v>0</v>
      </c>
      <c r="Q231" s="118">
        <v>0</v>
      </c>
      <c r="R231" s="118">
        <v>0</v>
      </c>
      <c r="S231" s="118">
        <v>0</v>
      </c>
      <c r="T231" s="118">
        <v>0</v>
      </c>
      <c r="U231" s="118">
        <v>0</v>
      </c>
      <c r="V231" s="118">
        <v>0</v>
      </c>
      <c r="W231" s="118">
        <v>0</v>
      </c>
      <c r="X231" s="118">
        <v>0</v>
      </c>
      <c r="Y231" s="118">
        <v>0</v>
      </c>
      <c r="Z231" s="118">
        <v>0</v>
      </c>
      <c r="AA231" s="118">
        <v>0</v>
      </c>
      <c r="AB231" s="118">
        <v>0</v>
      </c>
      <c r="AC231" s="118">
        <v>0</v>
      </c>
      <c r="AD231" s="118">
        <v>0</v>
      </c>
      <c r="AE231" s="118">
        <v>0</v>
      </c>
      <c r="AF231" s="118">
        <v>0</v>
      </c>
      <c r="AG231" s="118">
        <v>0</v>
      </c>
      <c r="AH231" s="118">
        <v>0</v>
      </c>
      <c r="AI231" s="118">
        <v>0</v>
      </c>
      <c r="AJ231" s="118">
        <v>0</v>
      </c>
      <c r="AK231" s="118">
        <v>0</v>
      </c>
      <c r="AL231" s="118">
        <v>0</v>
      </c>
      <c r="AM231" s="118">
        <v>0</v>
      </c>
      <c r="AN231" s="118">
        <v>0</v>
      </c>
      <c r="AO231" s="118">
        <v>0</v>
      </c>
      <c r="AP231" s="118">
        <v>0</v>
      </c>
      <c r="AQ231" s="118">
        <v>0</v>
      </c>
      <c r="AR231" s="118">
        <v>0</v>
      </c>
      <c r="AS231" s="118">
        <v>0</v>
      </c>
      <c r="AT231" s="118">
        <v>0</v>
      </c>
      <c r="AU231" s="118">
        <v>0</v>
      </c>
      <c r="AV231" s="118">
        <v>0</v>
      </c>
      <c r="AW231" s="118">
        <v>0</v>
      </c>
      <c r="AX231" s="118">
        <v>0</v>
      </c>
      <c r="AY231" s="118">
        <v>0</v>
      </c>
    </row>
    <row r="232" spans="1:51" x14ac:dyDescent="0.2">
      <c r="A232" s="117"/>
      <c r="B232" s="128">
        <v>24</v>
      </c>
      <c r="C232" s="114"/>
      <c r="D232" s="118">
        <v>0</v>
      </c>
      <c r="E232" s="118">
        <v>0</v>
      </c>
      <c r="F232" s="118">
        <v>0</v>
      </c>
      <c r="G232" s="118">
        <v>0</v>
      </c>
      <c r="H232" s="118">
        <v>0</v>
      </c>
      <c r="I232" s="118">
        <v>0</v>
      </c>
      <c r="J232" s="118">
        <v>0</v>
      </c>
      <c r="K232" s="118">
        <v>0</v>
      </c>
      <c r="L232" s="118">
        <v>0</v>
      </c>
      <c r="M232" s="118">
        <v>0</v>
      </c>
      <c r="N232" s="118">
        <v>0</v>
      </c>
      <c r="O232" s="118">
        <v>0</v>
      </c>
      <c r="P232" s="118">
        <v>0</v>
      </c>
      <c r="Q232" s="118">
        <v>0</v>
      </c>
      <c r="R232" s="118">
        <v>0</v>
      </c>
      <c r="S232" s="118">
        <v>0</v>
      </c>
      <c r="T232" s="118">
        <v>0</v>
      </c>
      <c r="U232" s="118">
        <v>0</v>
      </c>
      <c r="V232" s="118">
        <v>0</v>
      </c>
      <c r="W232" s="118">
        <v>0</v>
      </c>
      <c r="X232" s="118">
        <v>0</v>
      </c>
      <c r="Y232" s="118">
        <v>0</v>
      </c>
      <c r="Z232" s="118">
        <v>0</v>
      </c>
      <c r="AA232" s="118">
        <v>0</v>
      </c>
      <c r="AB232" s="118">
        <v>0</v>
      </c>
      <c r="AC232" s="118">
        <v>0</v>
      </c>
      <c r="AD232" s="118">
        <v>0</v>
      </c>
      <c r="AE232" s="118">
        <v>0</v>
      </c>
      <c r="AF232" s="118">
        <v>0</v>
      </c>
      <c r="AG232" s="118">
        <v>0</v>
      </c>
      <c r="AH232" s="118">
        <v>0</v>
      </c>
      <c r="AI232" s="118">
        <v>0</v>
      </c>
      <c r="AJ232" s="118">
        <v>0</v>
      </c>
      <c r="AK232" s="118">
        <v>0</v>
      </c>
      <c r="AL232" s="118">
        <v>0</v>
      </c>
      <c r="AM232" s="118">
        <v>0</v>
      </c>
      <c r="AN232" s="118">
        <v>0</v>
      </c>
      <c r="AO232" s="118">
        <v>0</v>
      </c>
      <c r="AP232" s="118">
        <v>0</v>
      </c>
      <c r="AQ232" s="118">
        <v>0</v>
      </c>
      <c r="AR232" s="118">
        <v>0</v>
      </c>
      <c r="AS232" s="118">
        <v>0</v>
      </c>
      <c r="AT232" s="118">
        <v>0</v>
      </c>
      <c r="AU232" s="118">
        <v>0</v>
      </c>
      <c r="AV232" s="118">
        <v>0</v>
      </c>
      <c r="AW232" s="118">
        <v>0</v>
      </c>
      <c r="AX232" s="118">
        <v>0</v>
      </c>
      <c r="AY232" s="118">
        <v>0</v>
      </c>
    </row>
    <row r="233" spans="1:51" x14ac:dyDescent="0.2">
      <c r="A233" s="117"/>
      <c r="B233" s="135">
        <v>25</v>
      </c>
      <c r="C233" s="114"/>
      <c r="D233" s="118">
        <v>0</v>
      </c>
      <c r="E233" s="118">
        <v>0</v>
      </c>
      <c r="F233" s="118">
        <v>0</v>
      </c>
      <c r="G233" s="118">
        <v>0</v>
      </c>
      <c r="H233" s="118">
        <v>0</v>
      </c>
      <c r="I233" s="118">
        <v>0</v>
      </c>
      <c r="J233" s="118">
        <v>0</v>
      </c>
      <c r="K233" s="118">
        <v>0</v>
      </c>
      <c r="L233" s="118">
        <v>0</v>
      </c>
      <c r="M233" s="118">
        <v>0</v>
      </c>
      <c r="N233" s="118">
        <v>0</v>
      </c>
      <c r="O233" s="118">
        <v>0</v>
      </c>
      <c r="P233" s="118">
        <v>0</v>
      </c>
      <c r="Q233" s="118">
        <v>0</v>
      </c>
      <c r="R233" s="118">
        <v>0</v>
      </c>
      <c r="S233" s="118">
        <v>0</v>
      </c>
      <c r="T233" s="118">
        <v>0</v>
      </c>
      <c r="U233" s="118">
        <v>0</v>
      </c>
      <c r="V233" s="118">
        <v>0</v>
      </c>
      <c r="W233" s="118">
        <v>0</v>
      </c>
      <c r="X233" s="118">
        <v>0</v>
      </c>
      <c r="Y233" s="118">
        <v>0</v>
      </c>
      <c r="Z233" s="118">
        <v>0</v>
      </c>
      <c r="AA233" s="118">
        <v>0</v>
      </c>
      <c r="AB233" s="118">
        <v>0</v>
      </c>
      <c r="AC233" s="118">
        <v>0</v>
      </c>
      <c r="AD233" s="118">
        <v>0</v>
      </c>
      <c r="AE233" s="118">
        <v>0</v>
      </c>
      <c r="AF233" s="118">
        <v>0</v>
      </c>
      <c r="AG233" s="118">
        <v>0</v>
      </c>
      <c r="AH233" s="118">
        <v>0</v>
      </c>
      <c r="AI233" s="118">
        <v>0</v>
      </c>
      <c r="AJ233" s="118">
        <v>0</v>
      </c>
      <c r="AK233" s="118">
        <v>0</v>
      </c>
      <c r="AL233" s="118">
        <v>0</v>
      </c>
      <c r="AM233" s="118">
        <v>0</v>
      </c>
      <c r="AN233" s="118">
        <v>0</v>
      </c>
      <c r="AO233" s="118">
        <v>0</v>
      </c>
      <c r="AP233" s="118">
        <v>0</v>
      </c>
      <c r="AQ233" s="118">
        <v>0</v>
      </c>
      <c r="AR233" s="118">
        <v>0</v>
      </c>
      <c r="AS233" s="118">
        <v>0</v>
      </c>
      <c r="AT233" s="118">
        <v>0</v>
      </c>
      <c r="AU233" s="118">
        <v>0</v>
      </c>
      <c r="AV233" s="118">
        <v>0</v>
      </c>
      <c r="AW233" s="118">
        <v>0</v>
      </c>
      <c r="AX233" s="118">
        <v>0</v>
      </c>
      <c r="AY233" s="118">
        <v>0</v>
      </c>
    </row>
    <row r="234" spans="1:51" x14ac:dyDescent="0.2">
      <c r="A234" s="117"/>
      <c r="B234" s="135">
        <v>26</v>
      </c>
      <c r="C234" s="114"/>
      <c r="D234" s="118">
        <v>0</v>
      </c>
      <c r="E234" s="118">
        <v>0</v>
      </c>
      <c r="F234" s="118">
        <v>0</v>
      </c>
      <c r="G234" s="118">
        <v>0</v>
      </c>
      <c r="H234" s="118">
        <v>0</v>
      </c>
      <c r="I234" s="118">
        <v>0</v>
      </c>
      <c r="J234" s="118">
        <v>0</v>
      </c>
      <c r="K234" s="118">
        <v>0</v>
      </c>
      <c r="L234" s="118">
        <v>0</v>
      </c>
      <c r="M234" s="118">
        <v>0</v>
      </c>
      <c r="N234" s="118">
        <v>0</v>
      </c>
      <c r="O234" s="118">
        <v>0</v>
      </c>
      <c r="P234" s="118">
        <v>0</v>
      </c>
      <c r="Q234" s="118">
        <v>0</v>
      </c>
      <c r="R234" s="118">
        <v>0</v>
      </c>
      <c r="S234" s="118">
        <v>0</v>
      </c>
      <c r="T234" s="118">
        <v>0</v>
      </c>
      <c r="U234" s="118">
        <v>0</v>
      </c>
      <c r="V234" s="118">
        <v>0</v>
      </c>
      <c r="W234" s="118">
        <v>0</v>
      </c>
      <c r="X234" s="118">
        <v>0</v>
      </c>
      <c r="Y234" s="118">
        <v>0</v>
      </c>
      <c r="Z234" s="118">
        <v>0</v>
      </c>
      <c r="AA234" s="118">
        <v>0</v>
      </c>
      <c r="AB234" s="118">
        <v>0</v>
      </c>
      <c r="AC234" s="118">
        <v>0</v>
      </c>
      <c r="AD234" s="118">
        <v>0</v>
      </c>
      <c r="AE234" s="118">
        <v>0</v>
      </c>
      <c r="AF234" s="118">
        <v>0</v>
      </c>
      <c r="AG234" s="118">
        <v>0</v>
      </c>
      <c r="AH234" s="118">
        <v>0</v>
      </c>
      <c r="AI234" s="118">
        <v>0</v>
      </c>
      <c r="AJ234" s="118">
        <v>0</v>
      </c>
      <c r="AK234" s="118">
        <v>0</v>
      </c>
      <c r="AL234" s="118">
        <v>0</v>
      </c>
      <c r="AM234" s="118">
        <v>0</v>
      </c>
      <c r="AN234" s="118">
        <v>0</v>
      </c>
      <c r="AO234" s="118">
        <v>0</v>
      </c>
      <c r="AP234" s="118">
        <v>0</v>
      </c>
      <c r="AQ234" s="118">
        <v>0</v>
      </c>
      <c r="AR234" s="118">
        <v>0</v>
      </c>
      <c r="AS234" s="118">
        <v>0</v>
      </c>
      <c r="AT234" s="118">
        <v>0</v>
      </c>
      <c r="AU234" s="118">
        <v>0</v>
      </c>
      <c r="AV234" s="118">
        <v>0</v>
      </c>
      <c r="AW234" s="118">
        <v>0</v>
      </c>
      <c r="AX234" s="118">
        <v>0</v>
      </c>
      <c r="AY234" s="118">
        <v>0</v>
      </c>
    </row>
    <row r="235" spans="1:51" x14ac:dyDescent="0.2">
      <c r="A235" s="117"/>
      <c r="B235" s="135">
        <v>27</v>
      </c>
      <c r="C235" s="114"/>
      <c r="D235" s="118">
        <v>0</v>
      </c>
      <c r="E235" s="118">
        <v>0</v>
      </c>
      <c r="F235" s="118">
        <v>0</v>
      </c>
      <c r="G235" s="118">
        <v>0</v>
      </c>
      <c r="H235" s="118">
        <v>0</v>
      </c>
      <c r="I235" s="118">
        <v>0</v>
      </c>
      <c r="J235" s="118">
        <v>0</v>
      </c>
      <c r="K235" s="118">
        <v>0</v>
      </c>
      <c r="L235" s="118">
        <v>0</v>
      </c>
      <c r="M235" s="118">
        <v>0</v>
      </c>
      <c r="N235" s="118">
        <v>0</v>
      </c>
      <c r="O235" s="118">
        <v>0</v>
      </c>
      <c r="P235" s="118">
        <v>0</v>
      </c>
      <c r="Q235" s="118">
        <v>0</v>
      </c>
      <c r="R235" s="118">
        <v>0</v>
      </c>
      <c r="S235" s="118">
        <v>0</v>
      </c>
      <c r="T235" s="118">
        <v>0</v>
      </c>
      <c r="U235" s="118">
        <v>0</v>
      </c>
      <c r="V235" s="118">
        <v>0</v>
      </c>
      <c r="W235" s="118">
        <v>0</v>
      </c>
      <c r="X235" s="118">
        <v>0</v>
      </c>
      <c r="Y235" s="118">
        <v>0</v>
      </c>
      <c r="Z235" s="118">
        <v>0</v>
      </c>
      <c r="AA235" s="118">
        <v>0</v>
      </c>
      <c r="AB235" s="118">
        <v>0</v>
      </c>
      <c r="AC235" s="118">
        <v>0</v>
      </c>
      <c r="AD235" s="118">
        <v>0</v>
      </c>
      <c r="AE235" s="118">
        <v>0</v>
      </c>
      <c r="AF235" s="118">
        <v>0</v>
      </c>
      <c r="AG235" s="118">
        <v>0</v>
      </c>
      <c r="AH235" s="118">
        <v>0</v>
      </c>
      <c r="AI235" s="118">
        <v>0</v>
      </c>
      <c r="AJ235" s="118">
        <v>0</v>
      </c>
      <c r="AK235" s="118">
        <v>0</v>
      </c>
      <c r="AL235" s="118">
        <v>0</v>
      </c>
      <c r="AM235" s="118">
        <v>0</v>
      </c>
      <c r="AN235" s="118">
        <v>0</v>
      </c>
      <c r="AO235" s="118">
        <v>0</v>
      </c>
      <c r="AP235" s="118">
        <v>0</v>
      </c>
      <c r="AQ235" s="118">
        <v>0</v>
      </c>
      <c r="AR235" s="118">
        <v>0</v>
      </c>
      <c r="AS235" s="118">
        <v>0</v>
      </c>
      <c r="AT235" s="118">
        <v>0</v>
      </c>
      <c r="AU235" s="118">
        <v>0</v>
      </c>
      <c r="AV235" s="118">
        <v>0</v>
      </c>
      <c r="AW235" s="118">
        <v>0</v>
      </c>
      <c r="AX235" s="118">
        <v>0</v>
      </c>
      <c r="AY235" s="118">
        <v>0</v>
      </c>
    </row>
    <row r="236" spans="1:51" x14ac:dyDescent="0.2">
      <c r="A236" s="117"/>
      <c r="B236" s="135">
        <v>28</v>
      </c>
      <c r="C236" s="114"/>
      <c r="D236" s="118">
        <v>0</v>
      </c>
      <c r="E236" s="118">
        <v>0</v>
      </c>
      <c r="F236" s="118">
        <v>0</v>
      </c>
      <c r="G236" s="118">
        <v>0</v>
      </c>
      <c r="H236" s="118">
        <v>0</v>
      </c>
      <c r="I236" s="118">
        <v>0</v>
      </c>
      <c r="J236" s="118">
        <v>0</v>
      </c>
      <c r="K236" s="118">
        <v>0</v>
      </c>
      <c r="L236" s="118">
        <v>0</v>
      </c>
      <c r="M236" s="118">
        <v>0</v>
      </c>
      <c r="N236" s="118">
        <v>0</v>
      </c>
      <c r="O236" s="118">
        <v>0</v>
      </c>
      <c r="P236" s="118">
        <v>0</v>
      </c>
      <c r="Q236" s="118">
        <v>0</v>
      </c>
      <c r="R236" s="118">
        <v>0</v>
      </c>
      <c r="S236" s="118">
        <v>0</v>
      </c>
      <c r="T236" s="118">
        <v>0</v>
      </c>
      <c r="U236" s="118">
        <v>0</v>
      </c>
      <c r="V236" s="118">
        <v>0</v>
      </c>
      <c r="W236" s="118">
        <v>0</v>
      </c>
      <c r="X236" s="118">
        <v>0</v>
      </c>
      <c r="Y236" s="118">
        <v>0</v>
      </c>
      <c r="Z236" s="118">
        <v>0</v>
      </c>
      <c r="AA236" s="118">
        <v>0</v>
      </c>
      <c r="AB236" s="118">
        <v>0</v>
      </c>
      <c r="AC236" s="118">
        <v>0</v>
      </c>
      <c r="AD236" s="118">
        <v>0</v>
      </c>
      <c r="AE236" s="118">
        <v>0</v>
      </c>
      <c r="AF236" s="118">
        <v>0</v>
      </c>
      <c r="AG236" s="118">
        <v>0</v>
      </c>
      <c r="AH236" s="118">
        <v>0</v>
      </c>
      <c r="AI236" s="118">
        <v>0</v>
      </c>
      <c r="AJ236" s="118">
        <v>0</v>
      </c>
      <c r="AK236" s="118">
        <v>0</v>
      </c>
      <c r="AL236" s="118">
        <v>0</v>
      </c>
      <c r="AM236" s="118">
        <v>0</v>
      </c>
      <c r="AN236" s="118">
        <v>0</v>
      </c>
      <c r="AO236" s="118">
        <v>0</v>
      </c>
      <c r="AP236" s="118">
        <v>0</v>
      </c>
      <c r="AQ236" s="118">
        <v>0</v>
      </c>
      <c r="AR236" s="118">
        <v>0</v>
      </c>
      <c r="AS236" s="118">
        <v>0</v>
      </c>
      <c r="AT236" s="118">
        <v>0</v>
      </c>
      <c r="AU236" s="118">
        <v>0</v>
      </c>
      <c r="AV236" s="118">
        <v>0</v>
      </c>
      <c r="AW236" s="118">
        <v>0</v>
      </c>
      <c r="AX236" s="118">
        <v>0</v>
      </c>
      <c r="AY236" s="118">
        <v>0</v>
      </c>
    </row>
    <row r="237" spans="1:51" x14ac:dyDescent="0.2">
      <c r="A237" s="117"/>
      <c r="B237" s="135">
        <v>29</v>
      </c>
      <c r="C237" s="114"/>
      <c r="D237" s="118">
        <v>0</v>
      </c>
      <c r="E237" s="118">
        <v>0</v>
      </c>
      <c r="F237" s="118">
        <v>0</v>
      </c>
      <c r="G237" s="118">
        <v>0</v>
      </c>
      <c r="H237" s="118">
        <v>0</v>
      </c>
      <c r="I237" s="118">
        <v>0</v>
      </c>
      <c r="J237" s="118">
        <v>0</v>
      </c>
      <c r="K237" s="118">
        <v>0</v>
      </c>
      <c r="L237" s="118">
        <v>0</v>
      </c>
      <c r="M237" s="118">
        <v>0</v>
      </c>
      <c r="N237" s="118">
        <v>0</v>
      </c>
      <c r="O237" s="118">
        <v>0</v>
      </c>
      <c r="P237" s="118">
        <v>0</v>
      </c>
      <c r="Q237" s="118">
        <v>0</v>
      </c>
      <c r="R237" s="118">
        <v>0</v>
      </c>
      <c r="S237" s="118">
        <v>0</v>
      </c>
      <c r="T237" s="118">
        <v>0</v>
      </c>
      <c r="U237" s="118">
        <v>0</v>
      </c>
      <c r="V237" s="118">
        <v>0</v>
      </c>
      <c r="W237" s="118">
        <v>0</v>
      </c>
      <c r="X237" s="118">
        <v>0</v>
      </c>
      <c r="Y237" s="118">
        <v>0</v>
      </c>
      <c r="Z237" s="118">
        <v>0</v>
      </c>
      <c r="AA237" s="118">
        <v>0</v>
      </c>
      <c r="AB237" s="118">
        <v>0</v>
      </c>
      <c r="AC237" s="118">
        <v>0</v>
      </c>
      <c r="AD237" s="118">
        <v>0</v>
      </c>
      <c r="AE237" s="118">
        <v>0</v>
      </c>
      <c r="AF237" s="118">
        <v>0</v>
      </c>
      <c r="AG237" s="118">
        <v>0</v>
      </c>
      <c r="AH237" s="118">
        <v>0</v>
      </c>
      <c r="AI237" s="118">
        <v>0</v>
      </c>
      <c r="AJ237" s="118">
        <v>0</v>
      </c>
      <c r="AK237" s="118">
        <v>0</v>
      </c>
      <c r="AL237" s="118">
        <v>0</v>
      </c>
      <c r="AM237" s="118">
        <v>0</v>
      </c>
      <c r="AN237" s="118">
        <v>0</v>
      </c>
      <c r="AO237" s="118">
        <v>0</v>
      </c>
      <c r="AP237" s="118">
        <v>0</v>
      </c>
      <c r="AQ237" s="118">
        <v>0</v>
      </c>
      <c r="AR237" s="118">
        <v>0</v>
      </c>
      <c r="AS237" s="118">
        <v>0</v>
      </c>
      <c r="AT237" s="118">
        <v>0</v>
      </c>
      <c r="AU237" s="118">
        <v>0</v>
      </c>
      <c r="AV237" s="118">
        <v>0</v>
      </c>
      <c r="AW237" s="118">
        <v>0</v>
      </c>
      <c r="AX237" s="118">
        <v>0</v>
      </c>
      <c r="AY237" s="118">
        <v>0</v>
      </c>
    </row>
    <row r="238" spans="1:51" x14ac:dyDescent="0.2">
      <c r="A238" s="117"/>
      <c r="B238" s="135">
        <v>30</v>
      </c>
      <c r="C238" s="114"/>
      <c r="D238" s="118">
        <v>0</v>
      </c>
      <c r="E238" s="118">
        <v>0</v>
      </c>
      <c r="F238" s="118">
        <v>0</v>
      </c>
      <c r="G238" s="118">
        <v>0</v>
      </c>
      <c r="H238" s="118">
        <v>0</v>
      </c>
      <c r="I238" s="118">
        <v>0</v>
      </c>
      <c r="J238" s="118">
        <v>0</v>
      </c>
      <c r="K238" s="118">
        <v>0</v>
      </c>
      <c r="L238" s="118">
        <v>0</v>
      </c>
      <c r="M238" s="118">
        <v>0</v>
      </c>
      <c r="N238" s="118">
        <v>0</v>
      </c>
      <c r="O238" s="118">
        <v>0</v>
      </c>
      <c r="P238" s="118">
        <v>0</v>
      </c>
      <c r="Q238" s="118">
        <v>0</v>
      </c>
      <c r="R238" s="118">
        <v>0</v>
      </c>
      <c r="S238" s="118">
        <v>0</v>
      </c>
      <c r="T238" s="118">
        <v>0</v>
      </c>
      <c r="U238" s="118">
        <v>0</v>
      </c>
      <c r="V238" s="118">
        <v>0</v>
      </c>
      <c r="W238" s="118">
        <v>0</v>
      </c>
      <c r="X238" s="118">
        <v>0</v>
      </c>
      <c r="Y238" s="118">
        <v>0</v>
      </c>
      <c r="Z238" s="118">
        <v>0</v>
      </c>
      <c r="AA238" s="118">
        <v>0</v>
      </c>
      <c r="AB238" s="118">
        <v>0</v>
      </c>
      <c r="AC238" s="118">
        <v>0</v>
      </c>
      <c r="AD238" s="118">
        <v>0</v>
      </c>
      <c r="AE238" s="118">
        <v>0</v>
      </c>
      <c r="AF238" s="118">
        <v>0</v>
      </c>
      <c r="AG238" s="118">
        <v>0</v>
      </c>
      <c r="AH238" s="118">
        <v>0</v>
      </c>
      <c r="AI238" s="118">
        <v>0</v>
      </c>
      <c r="AJ238" s="118">
        <v>0</v>
      </c>
      <c r="AK238" s="118">
        <v>0</v>
      </c>
      <c r="AL238" s="118">
        <v>0</v>
      </c>
      <c r="AM238" s="118">
        <v>0</v>
      </c>
      <c r="AN238" s="118">
        <v>0</v>
      </c>
      <c r="AO238" s="118">
        <v>0</v>
      </c>
      <c r="AP238" s="118">
        <v>0</v>
      </c>
      <c r="AQ238" s="118">
        <v>0</v>
      </c>
      <c r="AR238" s="118">
        <v>0</v>
      </c>
      <c r="AS238" s="118">
        <v>0</v>
      </c>
      <c r="AT238" s="118">
        <v>0</v>
      </c>
      <c r="AU238" s="118">
        <v>0</v>
      </c>
      <c r="AV238" s="118">
        <v>0</v>
      </c>
      <c r="AW238" s="118">
        <v>0</v>
      </c>
      <c r="AX238" s="118">
        <v>0</v>
      </c>
      <c r="AY238" s="118">
        <v>0</v>
      </c>
    </row>
    <row r="239" spans="1:51" x14ac:dyDescent="0.2">
      <c r="A239" s="117"/>
      <c r="B239" s="135">
        <v>31</v>
      </c>
      <c r="C239" s="114"/>
      <c r="D239" s="118">
        <v>0</v>
      </c>
      <c r="E239" s="118">
        <v>0</v>
      </c>
      <c r="F239" s="118">
        <v>0</v>
      </c>
      <c r="G239" s="118">
        <v>0</v>
      </c>
      <c r="H239" s="118">
        <v>0</v>
      </c>
      <c r="I239" s="118">
        <v>0</v>
      </c>
      <c r="J239" s="118">
        <v>0</v>
      </c>
      <c r="K239" s="118">
        <v>0</v>
      </c>
      <c r="L239" s="118">
        <v>0</v>
      </c>
      <c r="M239" s="118">
        <v>0</v>
      </c>
      <c r="N239" s="118">
        <v>0</v>
      </c>
      <c r="O239" s="118">
        <v>0</v>
      </c>
      <c r="P239" s="118">
        <v>0</v>
      </c>
      <c r="Q239" s="118">
        <v>0</v>
      </c>
      <c r="R239" s="118">
        <v>0</v>
      </c>
      <c r="S239" s="118">
        <v>0</v>
      </c>
      <c r="T239" s="118">
        <v>0</v>
      </c>
      <c r="U239" s="118">
        <v>0</v>
      </c>
      <c r="V239" s="118">
        <v>0</v>
      </c>
      <c r="W239" s="118">
        <v>0</v>
      </c>
      <c r="X239" s="118">
        <v>0</v>
      </c>
      <c r="Y239" s="118">
        <v>0</v>
      </c>
      <c r="Z239" s="118">
        <v>0</v>
      </c>
      <c r="AA239" s="118">
        <v>0</v>
      </c>
      <c r="AB239" s="118">
        <v>0</v>
      </c>
      <c r="AC239" s="118">
        <v>0</v>
      </c>
      <c r="AD239" s="118">
        <v>0</v>
      </c>
      <c r="AE239" s="118">
        <v>0</v>
      </c>
      <c r="AF239" s="118">
        <v>0</v>
      </c>
      <c r="AG239" s="118">
        <v>0</v>
      </c>
      <c r="AH239" s="118">
        <v>0</v>
      </c>
      <c r="AI239" s="118">
        <v>0</v>
      </c>
      <c r="AJ239" s="118">
        <v>0</v>
      </c>
      <c r="AK239" s="118">
        <v>0</v>
      </c>
      <c r="AL239" s="118">
        <v>0</v>
      </c>
      <c r="AM239" s="118">
        <v>0</v>
      </c>
      <c r="AN239" s="118">
        <v>0</v>
      </c>
      <c r="AO239" s="118">
        <v>0</v>
      </c>
      <c r="AP239" s="118">
        <v>0</v>
      </c>
      <c r="AQ239" s="118">
        <v>0</v>
      </c>
      <c r="AR239" s="118">
        <v>0</v>
      </c>
      <c r="AS239" s="118">
        <v>0</v>
      </c>
      <c r="AT239" s="118">
        <v>0</v>
      </c>
      <c r="AU239" s="118">
        <v>0</v>
      </c>
      <c r="AV239" s="118">
        <v>0</v>
      </c>
      <c r="AW239" s="118">
        <v>0</v>
      </c>
      <c r="AX239" s="118">
        <v>0</v>
      </c>
      <c r="AY239" s="118">
        <v>0</v>
      </c>
    </row>
    <row r="240" spans="1:51" x14ac:dyDescent="0.2">
      <c r="A240" s="117"/>
      <c r="B240" s="135">
        <v>32</v>
      </c>
      <c r="C240" s="114"/>
      <c r="D240" s="118">
        <v>0</v>
      </c>
      <c r="E240" s="118">
        <v>0</v>
      </c>
      <c r="F240" s="118">
        <v>0</v>
      </c>
      <c r="G240" s="118">
        <v>0</v>
      </c>
      <c r="H240" s="118">
        <v>0</v>
      </c>
      <c r="I240" s="118">
        <v>0</v>
      </c>
      <c r="J240" s="118">
        <v>0</v>
      </c>
      <c r="K240" s="118">
        <v>0</v>
      </c>
      <c r="L240" s="118">
        <v>0</v>
      </c>
      <c r="M240" s="118">
        <v>0</v>
      </c>
      <c r="N240" s="118">
        <v>0</v>
      </c>
      <c r="O240" s="118">
        <v>0</v>
      </c>
      <c r="P240" s="118">
        <v>0</v>
      </c>
      <c r="Q240" s="118">
        <v>0</v>
      </c>
      <c r="R240" s="118">
        <v>0</v>
      </c>
      <c r="S240" s="118">
        <v>0</v>
      </c>
      <c r="T240" s="118">
        <v>0</v>
      </c>
      <c r="U240" s="118">
        <v>0</v>
      </c>
      <c r="V240" s="118">
        <v>0</v>
      </c>
      <c r="W240" s="118">
        <v>0</v>
      </c>
      <c r="X240" s="118">
        <v>0</v>
      </c>
      <c r="Y240" s="118">
        <v>0</v>
      </c>
      <c r="Z240" s="118">
        <v>0</v>
      </c>
      <c r="AA240" s="118">
        <v>0</v>
      </c>
      <c r="AB240" s="118">
        <v>0</v>
      </c>
      <c r="AC240" s="118">
        <v>0</v>
      </c>
      <c r="AD240" s="118">
        <v>0</v>
      </c>
      <c r="AE240" s="118">
        <v>0</v>
      </c>
      <c r="AF240" s="118">
        <v>0</v>
      </c>
      <c r="AG240" s="118">
        <v>0</v>
      </c>
      <c r="AH240" s="118">
        <v>0</v>
      </c>
      <c r="AI240" s="118">
        <v>0</v>
      </c>
      <c r="AJ240" s="118">
        <v>0</v>
      </c>
      <c r="AK240" s="118">
        <v>0</v>
      </c>
      <c r="AL240" s="118">
        <v>0</v>
      </c>
      <c r="AM240" s="118">
        <v>0</v>
      </c>
      <c r="AN240" s="118">
        <v>0</v>
      </c>
      <c r="AO240" s="118">
        <v>0</v>
      </c>
      <c r="AP240" s="118">
        <v>0</v>
      </c>
      <c r="AQ240" s="118">
        <v>0</v>
      </c>
      <c r="AR240" s="118">
        <v>0</v>
      </c>
      <c r="AS240" s="118">
        <v>0</v>
      </c>
      <c r="AT240" s="118">
        <v>0</v>
      </c>
      <c r="AU240" s="118">
        <v>0</v>
      </c>
      <c r="AV240" s="118">
        <v>0</v>
      </c>
      <c r="AW240" s="118">
        <v>0</v>
      </c>
      <c r="AX240" s="118">
        <v>0</v>
      </c>
      <c r="AY240" s="118">
        <v>0</v>
      </c>
    </row>
    <row r="241" spans="1:51" x14ac:dyDescent="0.2">
      <c r="A241" s="117"/>
      <c r="B241" s="135">
        <v>33</v>
      </c>
      <c r="C241" s="114"/>
      <c r="D241" s="118">
        <v>0</v>
      </c>
      <c r="E241" s="118">
        <v>0</v>
      </c>
      <c r="F241" s="118">
        <v>0</v>
      </c>
      <c r="G241" s="118">
        <v>0</v>
      </c>
      <c r="H241" s="118">
        <v>0</v>
      </c>
      <c r="I241" s="118">
        <v>0</v>
      </c>
      <c r="J241" s="118">
        <v>0</v>
      </c>
      <c r="K241" s="118">
        <v>0</v>
      </c>
      <c r="L241" s="118">
        <v>0</v>
      </c>
      <c r="M241" s="118">
        <v>0</v>
      </c>
      <c r="N241" s="118">
        <v>0</v>
      </c>
      <c r="O241" s="118">
        <v>0</v>
      </c>
      <c r="P241" s="118">
        <v>0</v>
      </c>
      <c r="Q241" s="118">
        <v>0</v>
      </c>
      <c r="R241" s="118">
        <v>0</v>
      </c>
      <c r="S241" s="118">
        <v>0</v>
      </c>
      <c r="T241" s="118">
        <v>0</v>
      </c>
      <c r="U241" s="118">
        <v>0</v>
      </c>
      <c r="V241" s="118">
        <v>0</v>
      </c>
      <c r="W241" s="118">
        <v>0</v>
      </c>
      <c r="X241" s="118">
        <v>0</v>
      </c>
      <c r="Y241" s="118">
        <v>0</v>
      </c>
      <c r="Z241" s="118">
        <v>0</v>
      </c>
      <c r="AA241" s="118">
        <v>0</v>
      </c>
      <c r="AB241" s="118">
        <v>0</v>
      </c>
      <c r="AC241" s="118">
        <v>0</v>
      </c>
      <c r="AD241" s="118">
        <v>0</v>
      </c>
      <c r="AE241" s="118">
        <v>0</v>
      </c>
      <c r="AF241" s="118">
        <v>0</v>
      </c>
      <c r="AG241" s="118">
        <v>0</v>
      </c>
      <c r="AH241" s="118">
        <v>0</v>
      </c>
      <c r="AI241" s="118">
        <v>0</v>
      </c>
      <c r="AJ241" s="118">
        <v>0</v>
      </c>
      <c r="AK241" s="118">
        <v>0</v>
      </c>
      <c r="AL241" s="118">
        <v>0</v>
      </c>
      <c r="AM241" s="118">
        <v>0</v>
      </c>
      <c r="AN241" s="118">
        <v>0</v>
      </c>
      <c r="AO241" s="118">
        <v>0</v>
      </c>
      <c r="AP241" s="118">
        <v>0</v>
      </c>
      <c r="AQ241" s="118">
        <v>0</v>
      </c>
      <c r="AR241" s="118">
        <v>0</v>
      </c>
      <c r="AS241" s="118">
        <v>0</v>
      </c>
      <c r="AT241" s="118">
        <v>0</v>
      </c>
      <c r="AU241" s="118">
        <v>0</v>
      </c>
      <c r="AV241" s="118">
        <v>0</v>
      </c>
      <c r="AW241" s="118">
        <v>0</v>
      </c>
      <c r="AX241" s="118">
        <v>0</v>
      </c>
      <c r="AY241" s="118">
        <v>0</v>
      </c>
    </row>
    <row r="242" spans="1:51" x14ac:dyDescent="0.2">
      <c r="A242" s="117"/>
      <c r="B242" s="135">
        <v>34</v>
      </c>
      <c r="C242" s="114"/>
      <c r="D242" s="118">
        <v>0</v>
      </c>
      <c r="E242" s="118">
        <v>0</v>
      </c>
      <c r="F242" s="118">
        <v>0</v>
      </c>
      <c r="G242" s="118">
        <v>0</v>
      </c>
      <c r="H242" s="118">
        <v>0</v>
      </c>
      <c r="I242" s="118">
        <v>0</v>
      </c>
      <c r="J242" s="118">
        <v>0</v>
      </c>
      <c r="K242" s="118">
        <v>0</v>
      </c>
      <c r="L242" s="118">
        <v>0</v>
      </c>
      <c r="M242" s="118">
        <v>0</v>
      </c>
      <c r="N242" s="118">
        <v>0</v>
      </c>
      <c r="O242" s="118">
        <v>0</v>
      </c>
      <c r="P242" s="118">
        <v>0</v>
      </c>
      <c r="Q242" s="118">
        <v>0</v>
      </c>
      <c r="R242" s="118">
        <v>0</v>
      </c>
      <c r="S242" s="118">
        <v>0</v>
      </c>
      <c r="T242" s="118">
        <v>0</v>
      </c>
      <c r="U242" s="118">
        <v>0</v>
      </c>
      <c r="V242" s="118">
        <v>0</v>
      </c>
      <c r="W242" s="118">
        <v>0</v>
      </c>
      <c r="X242" s="118">
        <v>0</v>
      </c>
      <c r="Y242" s="118">
        <v>0</v>
      </c>
      <c r="Z242" s="118">
        <v>0</v>
      </c>
      <c r="AA242" s="118">
        <v>0</v>
      </c>
      <c r="AB242" s="118">
        <v>0</v>
      </c>
      <c r="AC242" s="118">
        <v>0</v>
      </c>
      <c r="AD242" s="118">
        <v>0</v>
      </c>
      <c r="AE242" s="118">
        <v>0</v>
      </c>
      <c r="AF242" s="118">
        <v>0</v>
      </c>
      <c r="AG242" s="118">
        <v>0</v>
      </c>
      <c r="AH242" s="118">
        <v>0</v>
      </c>
      <c r="AI242" s="118">
        <v>0</v>
      </c>
      <c r="AJ242" s="118">
        <v>0</v>
      </c>
      <c r="AK242" s="118">
        <v>0</v>
      </c>
      <c r="AL242" s="118">
        <v>0</v>
      </c>
      <c r="AM242" s="118">
        <v>0</v>
      </c>
      <c r="AN242" s="118">
        <v>0</v>
      </c>
      <c r="AO242" s="118">
        <v>0</v>
      </c>
      <c r="AP242" s="118">
        <v>0</v>
      </c>
      <c r="AQ242" s="118">
        <v>0</v>
      </c>
      <c r="AR242" s="118">
        <v>0</v>
      </c>
      <c r="AS242" s="118">
        <v>0</v>
      </c>
      <c r="AT242" s="118">
        <v>0</v>
      </c>
      <c r="AU242" s="118">
        <v>0</v>
      </c>
      <c r="AV242" s="118">
        <v>0</v>
      </c>
      <c r="AW242" s="118">
        <v>0</v>
      </c>
      <c r="AX242" s="118">
        <v>0</v>
      </c>
      <c r="AY242" s="118">
        <v>0</v>
      </c>
    </row>
    <row r="243" spans="1:51" x14ac:dyDescent="0.2">
      <c r="A243" s="117"/>
      <c r="B243" s="135">
        <v>35</v>
      </c>
      <c r="C243" s="114"/>
      <c r="D243" s="118">
        <v>0</v>
      </c>
      <c r="E243" s="118">
        <v>0</v>
      </c>
      <c r="F243" s="118">
        <v>0</v>
      </c>
      <c r="G243" s="118">
        <v>0</v>
      </c>
      <c r="H243" s="118">
        <v>0</v>
      </c>
      <c r="I243" s="118">
        <v>0</v>
      </c>
      <c r="J243" s="118">
        <v>0</v>
      </c>
      <c r="K243" s="118">
        <v>0</v>
      </c>
      <c r="L243" s="118">
        <v>0</v>
      </c>
      <c r="M243" s="118">
        <v>0</v>
      </c>
      <c r="N243" s="118">
        <v>0</v>
      </c>
      <c r="O243" s="118">
        <v>0</v>
      </c>
      <c r="P243" s="118">
        <v>0</v>
      </c>
      <c r="Q243" s="118">
        <v>0</v>
      </c>
      <c r="R243" s="118">
        <v>0</v>
      </c>
      <c r="S243" s="118">
        <v>0</v>
      </c>
      <c r="T243" s="118">
        <v>0</v>
      </c>
      <c r="U243" s="118">
        <v>0</v>
      </c>
      <c r="V243" s="118">
        <v>0</v>
      </c>
      <c r="W243" s="118">
        <v>0</v>
      </c>
      <c r="X243" s="118">
        <v>0</v>
      </c>
      <c r="Y243" s="118">
        <v>0</v>
      </c>
      <c r="Z243" s="118">
        <v>0</v>
      </c>
      <c r="AA243" s="118">
        <v>0</v>
      </c>
      <c r="AB243" s="118">
        <v>0</v>
      </c>
      <c r="AC243" s="118">
        <v>0</v>
      </c>
      <c r="AD243" s="118">
        <v>0</v>
      </c>
      <c r="AE243" s="118">
        <v>0</v>
      </c>
      <c r="AF243" s="118">
        <v>0</v>
      </c>
      <c r="AG243" s="118">
        <v>0</v>
      </c>
      <c r="AH243" s="118">
        <v>0</v>
      </c>
      <c r="AI243" s="118">
        <v>0</v>
      </c>
      <c r="AJ243" s="118">
        <v>0</v>
      </c>
      <c r="AK243" s="118">
        <v>0</v>
      </c>
      <c r="AL243" s="118">
        <v>0</v>
      </c>
      <c r="AM243" s="118">
        <v>0</v>
      </c>
      <c r="AN243" s="118">
        <v>0</v>
      </c>
      <c r="AO243" s="118">
        <v>0</v>
      </c>
      <c r="AP243" s="118">
        <v>0</v>
      </c>
      <c r="AQ243" s="118">
        <v>0</v>
      </c>
      <c r="AR243" s="118">
        <v>0</v>
      </c>
      <c r="AS243" s="118">
        <v>0</v>
      </c>
      <c r="AT243" s="118">
        <v>0</v>
      </c>
      <c r="AU243" s="118">
        <v>0</v>
      </c>
      <c r="AV243" s="118">
        <v>0</v>
      </c>
      <c r="AW243" s="118">
        <v>0</v>
      </c>
      <c r="AX243" s="118">
        <v>0</v>
      </c>
      <c r="AY243" s="118">
        <v>0</v>
      </c>
    </row>
    <row r="244" spans="1:51" x14ac:dyDescent="0.2">
      <c r="A244" s="117"/>
      <c r="B244" s="135">
        <v>36</v>
      </c>
      <c r="C244" s="114"/>
      <c r="D244" s="118">
        <v>0</v>
      </c>
      <c r="E244" s="118">
        <v>0</v>
      </c>
      <c r="F244" s="118">
        <v>0</v>
      </c>
      <c r="G244" s="118">
        <v>0</v>
      </c>
      <c r="H244" s="118">
        <v>0</v>
      </c>
      <c r="I244" s="118">
        <v>0</v>
      </c>
      <c r="J244" s="118">
        <v>0</v>
      </c>
      <c r="K244" s="118">
        <v>0</v>
      </c>
      <c r="L244" s="118">
        <v>0</v>
      </c>
      <c r="M244" s="118">
        <v>0</v>
      </c>
      <c r="N244" s="118">
        <v>0</v>
      </c>
      <c r="O244" s="118">
        <v>0</v>
      </c>
      <c r="P244" s="118">
        <v>0</v>
      </c>
      <c r="Q244" s="118">
        <v>0</v>
      </c>
      <c r="R244" s="118">
        <v>0</v>
      </c>
      <c r="S244" s="118">
        <v>0</v>
      </c>
      <c r="T244" s="118">
        <v>0</v>
      </c>
      <c r="U244" s="118">
        <v>0</v>
      </c>
      <c r="V244" s="118">
        <v>0</v>
      </c>
      <c r="W244" s="118">
        <v>0</v>
      </c>
      <c r="X244" s="118">
        <v>0</v>
      </c>
      <c r="Y244" s="118">
        <v>0</v>
      </c>
      <c r="Z244" s="118">
        <v>0</v>
      </c>
      <c r="AA244" s="118">
        <v>0</v>
      </c>
      <c r="AB244" s="118">
        <v>0</v>
      </c>
      <c r="AC244" s="118">
        <v>0</v>
      </c>
      <c r="AD244" s="118">
        <v>0</v>
      </c>
      <c r="AE244" s="118">
        <v>0</v>
      </c>
      <c r="AF244" s="118">
        <v>0</v>
      </c>
      <c r="AG244" s="118">
        <v>0</v>
      </c>
      <c r="AH244" s="118">
        <v>0</v>
      </c>
      <c r="AI244" s="118">
        <v>0</v>
      </c>
      <c r="AJ244" s="118">
        <v>0</v>
      </c>
      <c r="AK244" s="118">
        <v>0</v>
      </c>
      <c r="AL244" s="118">
        <v>0</v>
      </c>
      <c r="AM244" s="118">
        <v>0</v>
      </c>
      <c r="AN244" s="118">
        <v>0</v>
      </c>
      <c r="AO244" s="118">
        <v>0</v>
      </c>
      <c r="AP244" s="118">
        <v>0</v>
      </c>
      <c r="AQ244" s="118">
        <v>0</v>
      </c>
      <c r="AR244" s="118">
        <v>0</v>
      </c>
      <c r="AS244" s="118">
        <v>0</v>
      </c>
      <c r="AT244" s="118">
        <v>0</v>
      </c>
      <c r="AU244" s="118">
        <v>0</v>
      </c>
      <c r="AV244" s="118">
        <v>0</v>
      </c>
      <c r="AW244" s="118">
        <v>0</v>
      </c>
      <c r="AX244" s="118">
        <v>0</v>
      </c>
      <c r="AY244" s="118">
        <v>0</v>
      </c>
    </row>
    <row r="245" spans="1:51" x14ac:dyDescent="0.2">
      <c r="A245" s="117"/>
      <c r="B245" s="138">
        <v>37</v>
      </c>
      <c r="C245" s="114"/>
      <c r="D245" s="118">
        <v>0</v>
      </c>
      <c r="E245" s="118">
        <v>0</v>
      </c>
      <c r="F245" s="118">
        <v>0</v>
      </c>
      <c r="G245" s="118">
        <v>0</v>
      </c>
      <c r="H245" s="118">
        <v>0</v>
      </c>
      <c r="I245" s="118">
        <v>0</v>
      </c>
      <c r="J245" s="118">
        <v>0</v>
      </c>
      <c r="K245" s="118">
        <v>0</v>
      </c>
      <c r="L245" s="118">
        <v>0</v>
      </c>
      <c r="M245" s="118">
        <v>0</v>
      </c>
      <c r="N245" s="118">
        <v>0</v>
      </c>
      <c r="O245" s="118">
        <v>0</v>
      </c>
      <c r="P245" s="118">
        <v>0</v>
      </c>
      <c r="Q245" s="118">
        <v>0</v>
      </c>
      <c r="R245" s="118">
        <v>0</v>
      </c>
      <c r="S245" s="118">
        <v>0</v>
      </c>
      <c r="T245" s="118">
        <v>0</v>
      </c>
      <c r="U245" s="118">
        <v>0</v>
      </c>
      <c r="V245" s="118">
        <v>0</v>
      </c>
      <c r="W245" s="118">
        <v>0</v>
      </c>
      <c r="X245" s="118">
        <v>0</v>
      </c>
      <c r="Y245" s="118">
        <v>0</v>
      </c>
      <c r="Z245" s="118">
        <v>0</v>
      </c>
      <c r="AA245" s="118">
        <v>0</v>
      </c>
      <c r="AB245" s="118">
        <v>0</v>
      </c>
      <c r="AC245" s="118">
        <v>0</v>
      </c>
      <c r="AD245" s="118">
        <v>0</v>
      </c>
      <c r="AE245" s="118">
        <v>0</v>
      </c>
      <c r="AF245" s="118">
        <v>0</v>
      </c>
      <c r="AG245" s="118">
        <v>0</v>
      </c>
      <c r="AH245" s="118">
        <v>0</v>
      </c>
      <c r="AI245" s="118">
        <v>0</v>
      </c>
      <c r="AJ245" s="118">
        <v>0</v>
      </c>
      <c r="AK245" s="118">
        <v>0</v>
      </c>
      <c r="AL245" s="118">
        <v>0</v>
      </c>
      <c r="AM245" s="118">
        <v>0</v>
      </c>
      <c r="AN245" s="118">
        <v>0</v>
      </c>
      <c r="AO245" s="118">
        <v>0</v>
      </c>
      <c r="AP245" s="118">
        <v>0</v>
      </c>
      <c r="AQ245" s="118">
        <v>0</v>
      </c>
      <c r="AR245" s="118">
        <v>0</v>
      </c>
      <c r="AS245" s="118">
        <v>0</v>
      </c>
      <c r="AT245" s="118">
        <v>0</v>
      </c>
      <c r="AU245" s="118">
        <v>0</v>
      </c>
      <c r="AV245" s="118">
        <v>0</v>
      </c>
      <c r="AW245" s="118">
        <v>0</v>
      </c>
      <c r="AX245" s="118">
        <v>0</v>
      </c>
      <c r="AY245" s="118">
        <v>0</v>
      </c>
    </row>
    <row r="246" spans="1:51" x14ac:dyDescent="0.2">
      <c r="A246" s="117"/>
      <c r="B246" s="138">
        <v>38</v>
      </c>
      <c r="C246" s="114"/>
      <c r="D246" s="118">
        <v>0</v>
      </c>
      <c r="E246" s="118">
        <v>0</v>
      </c>
      <c r="F246" s="118">
        <v>0</v>
      </c>
      <c r="G246" s="118">
        <v>0</v>
      </c>
      <c r="H246" s="118">
        <v>0</v>
      </c>
      <c r="I246" s="118">
        <v>0</v>
      </c>
      <c r="J246" s="118">
        <v>0</v>
      </c>
      <c r="K246" s="118">
        <v>0</v>
      </c>
      <c r="L246" s="118">
        <v>0</v>
      </c>
      <c r="M246" s="118">
        <v>0</v>
      </c>
      <c r="N246" s="118">
        <v>0</v>
      </c>
      <c r="O246" s="118">
        <v>0</v>
      </c>
      <c r="P246" s="118">
        <v>0</v>
      </c>
      <c r="Q246" s="118">
        <v>0</v>
      </c>
      <c r="R246" s="118">
        <v>0</v>
      </c>
      <c r="S246" s="118">
        <v>0</v>
      </c>
      <c r="T246" s="118">
        <v>0</v>
      </c>
      <c r="U246" s="118">
        <v>0</v>
      </c>
      <c r="V246" s="118">
        <v>0</v>
      </c>
      <c r="W246" s="118">
        <v>0</v>
      </c>
      <c r="X246" s="118">
        <v>0</v>
      </c>
      <c r="Y246" s="118">
        <v>0</v>
      </c>
      <c r="Z246" s="118">
        <v>0</v>
      </c>
      <c r="AA246" s="118">
        <v>0</v>
      </c>
      <c r="AB246" s="118">
        <v>0</v>
      </c>
      <c r="AC246" s="118">
        <v>0</v>
      </c>
      <c r="AD246" s="118">
        <v>0</v>
      </c>
      <c r="AE246" s="118">
        <v>0</v>
      </c>
      <c r="AF246" s="118">
        <v>0</v>
      </c>
      <c r="AG246" s="118">
        <v>0</v>
      </c>
      <c r="AH246" s="118">
        <v>0</v>
      </c>
      <c r="AI246" s="118">
        <v>0</v>
      </c>
      <c r="AJ246" s="118">
        <v>0</v>
      </c>
      <c r="AK246" s="118">
        <v>0</v>
      </c>
      <c r="AL246" s="118">
        <v>0</v>
      </c>
      <c r="AM246" s="118">
        <v>0</v>
      </c>
      <c r="AN246" s="118">
        <v>0</v>
      </c>
      <c r="AO246" s="118">
        <v>0</v>
      </c>
      <c r="AP246" s="118">
        <v>0</v>
      </c>
      <c r="AQ246" s="118">
        <v>0</v>
      </c>
      <c r="AR246" s="118">
        <v>0</v>
      </c>
      <c r="AS246" s="118">
        <v>0</v>
      </c>
      <c r="AT246" s="118">
        <v>0</v>
      </c>
      <c r="AU246" s="118">
        <v>0</v>
      </c>
      <c r="AV246" s="118">
        <v>0</v>
      </c>
      <c r="AW246" s="118">
        <v>0</v>
      </c>
      <c r="AX246" s="118">
        <v>0</v>
      </c>
      <c r="AY246" s="118">
        <v>0</v>
      </c>
    </row>
    <row r="247" spans="1:51" x14ac:dyDescent="0.2">
      <c r="A247" s="117"/>
      <c r="B247" s="138">
        <v>39</v>
      </c>
      <c r="C247" s="114"/>
      <c r="D247" s="118">
        <v>0</v>
      </c>
      <c r="E247" s="118">
        <v>0</v>
      </c>
      <c r="F247" s="118">
        <v>0</v>
      </c>
      <c r="G247" s="118">
        <v>0</v>
      </c>
      <c r="H247" s="118">
        <v>0</v>
      </c>
      <c r="I247" s="118">
        <v>0</v>
      </c>
      <c r="J247" s="118">
        <v>0</v>
      </c>
      <c r="K247" s="118">
        <v>0</v>
      </c>
      <c r="L247" s="118">
        <v>0</v>
      </c>
      <c r="M247" s="118">
        <v>0</v>
      </c>
      <c r="N247" s="118">
        <v>0</v>
      </c>
      <c r="O247" s="118">
        <v>0</v>
      </c>
      <c r="P247" s="118">
        <v>0</v>
      </c>
      <c r="Q247" s="118">
        <v>0</v>
      </c>
      <c r="R247" s="118">
        <v>0</v>
      </c>
      <c r="S247" s="118">
        <v>0</v>
      </c>
      <c r="T247" s="118">
        <v>0</v>
      </c>
      <c r="U247" s="118">
        <v>0</v>
      </c>
      <c r="V247" s="118">
        <v>0</v>
      </c>
      <c r="W247" s="118">
        <v>0</v>
      </c>
      <c r="X247" s="118">
        <v>0</v>
      </c>
      <c r="Y247" s="118">
        <v>0</v>
      </c>
      <c r="Z247" s="118">
        <v>0</v>
      </c>
      <c r="AA247" s="118">
        <v>0</v>
      </c>
      <c r="AB247" s="118">
        <v>0</v>
      </c>
      <c r="AC247" s="118">
        <v>0</v>
      </c>
      <c r="AD247" s="118">
        <v>0</v>
      </c>
      <c r="AE247" s="118">
        <v>0</v>
      </c>
      <c r="AF247" s="118">
        <v>0</v>
      </c>
      <c r="AG247" s="118">
        <v>0</v>
      </c>
      <c r="AH247" s="118">
        <v>0</v>
      </c>
      <c r="AI247" s="118">
        <v>0</v>
      </c>
      <c r="AJ247" s="118">
        <v>0</v>
      </c>
      <c r="AK247" s="118">
        <v>0</v>
      </c>
      <c r="AL247" s="118">
        <v>0</v>
      </c>
      <c r="AM247" s="118">
        <v>0</v>
      </c>
      <c r="AN247" s="118">
        <v>0</v>
      </c>
      <c r="AO247" s="118">
        <v>0</v>
      </c>
      <c r="AP247" s="118">
        <v>0</v>
      </c>
      <c r="AQ247" s="118">
        <v>0</v>
      </c>
      <c r="AR247" s="118">
        <v>0</v>
      </c>
      <c r="AS247" s="118">
        <v>0</v>
      </c>
      <c r="AT247" s="118">
        <v>0</v>
      </c>
      <c r="AU247" s="118">
        <v>0</v>
      </c>
      <c r="AV247" s="118">
        <v>0</v>
      </c>
      <c r="AW247" s="118">
        <v>0</v>
      </c>
      <c r="AX247" s="118">
        <v>0</v>
      </c>
      <c r="AY247" s="118">
        <v>0</v>
      </c>
    </row>
    <row r="248" spans="1:51" x14ac:dyDescent="0.2">
      <c r="A248" s="117"/>
      <c r="B248" s="138">
        <v>40</v>
      </c>
      <c r="C248" s="114"/>
      <c r="D248" s="118">
        <v>0</v>
      </c>
      <c r="E248" s="118">
        <v>0</v>
      </c>
      <c r="F248" s="118">
        <v>0</v>
      </c>
      <c r="G248" s="118">
        <v>0</v>
      </c>
      <c r="H248" s="118">
        <v>0</v>
      </c>
      <c r="I248" s="118">
        <v>0</v>
      </c>
      <c r="J248" s="118">
        <v>0</v>
      </c>
      <c r="K248" s="118">
        <v>0</v>
      </c>
      <c r="L248" s="118">
        <v>0</v>
      </c>
      <c r="M248" s="118">
        <v>0</v>
      </c>
      <c r="N248" s="118">
        <v>0</v>
      </c>
      <c r="O248" s="118">
        <v>0</v>
      </c>
      <c r="P248" s="118">
        <v>0</v>
      </c>
      <c r="Q248" s="118">
        <v>0</v>
      </c>
      <c r="R248" s="118">
        <v>0</v>
      </c>
      <c r="S248" s="118">
        <v>0</v>
      </c>
      <c r="T248" s="118">
        <v>0</v>
      </c>
      <c r="U248" s="118">
        <v>0</v>
      </c>
      <c r="V248" s="118">
        <v>0</v>
      </c>
      <c r="W248" s="118">
        <v>0</v>
      </c>
      <c r="X248" s="118">
        <v>0</v>
      </c>
      <c r="Y248" s="118">
        <v>0</v>
      </c>
      <c r="Z248" s="118">
        <v>0</v>
      </c>
      <c r="AA248" s="118">
        <v>0</v>
      </c>
      <c r="AB248" s="118">
        <v>0</v>
      </c>
      <c r="AC248" s="118">
        <v>0</v>
      </c>
      <c r="AD248" s="118">
        <v>0</v>
      </c>
      <c r="AE248" s="118">
        <v>0</v>
      </c>
      <c r="AF248" s="118">
        <v>0</v>
      </c>
      <c r="AG248" s="118">
        <v>0</v>
      </c>
      <c r="AH248" s="118">
        <v>0</v>
      </c>
      <c r="AI248" s="118">
        <v>0</v>
      </c>
      <c r="AJ248" s="118">
        <v>0</v>
      </c>
      <c r="AK248" s="118">
        <v>0</v>
      </c>
      <c r="AL248" s="118">
        <v>0</v>
      </c>
      <c r="AM248" s="118">
        <v>0</v>
      </c>
      <c r="AN248" s="118">
        <v>0</v>
      </c>
      <c r="AO248" s="118">
        <v>0</v>
      </c>
      <c r="AP248" s="118">
        <v>0</v>
      </c>
      <c r="AQ248" s="118">
        <v>0</v>
      </c>
      <c r="AR248" s="118">
        <v>0</v>
      </c>
      <c r="AS248" s="118">
        <v>0</v>
      </c>
      <c r="AT248" s="118">
        <v>0</v>
      </c>
      <c r="AU248" s="118">
        <v>0</v>
      </c>
      <c r="AV248" s="118">
        <v>0</v>
      </c>
      <c r="AW248" s="118">
        <v>0</v>
      </c>
      <c r="AX248" s="118">
        <v>0</v>
      </c>
      <c r="AY248" s="118">
        <v>0</v>
      </c>
    </row>
    <row r="249" spans="1:51" x14ac:dyDescent="0.2">
      <c r="A249" s="117"/>
      <c r="B249" s="138">
        <v>41</v>
      </c>
      <c r="C249" s="114"/>
      <c r="D249" s="118">
        <v>0</v>
      </c>
      <c r="E249" s="118">
        <v>0</v>
      </c>
      <c r="F249" s="118">
        <v>0</v>
      </c>
      <c r="G249" s="118">
        <v>0</v>
      </c>
      <c r="H249" s="118">
        <v>0</v>
      </c>
      <c r="I249" s="118">
        <v>0</v>
      </c>
      <c r="J249" s="118">
        <v>0</v>
      </c>
      <c r="K249" s="118">
        <v>0</v>
      </c>
      <c r="L249" s="118">
        <v>0</v>
      </c>
      <c r="M249" s="118">
        <v>0</v>
      </c>
      <c r="N249" s="118">
        <v>0</v>
      </c>
      <c r="O249" s="118">
        <v>0</v>
      </c>
      <c r="P249" s="118">
        <v>0</v>
      </c>
      <c r="Q249" s="118">
        <v>0</v>
      </c>
      <c r="R249" s="118">
        <v>0</v>
      </c>
      <c r="S249" s="118">
        <v>0</v>
      </c>
      <c r="T249" s="118">
        <v>0</v>
      </c>
      <c r="U249" s="118">
        <v>0</v>
      </c>
      <c r="V249" s="118">
        <v>0</v>
      </c>
      <c r="W249" s="118">
        <v>0</v>
      </c>
      <c r="X249" s="118">
        <v>0</v>
      </c>
      <c r="Y249" s="118">
        <v>0</v>
      </c>
      <c r="Z249" s="118">
        <v>0</v>
      </c>
      <c r="AA249" s="118">
        <v>0</v>
      </c>
      <c r="AB249" s="118">
        <v>0</v>
      </c>
      <c r="AC249" s="118">
        <v>0</v>
      </c>
      <c r="AD249" s="118">
        <v>0</v>
      </c>
      <c r="AE249" s="118">
        <v>0</v>
      </c>
      <c r="AF249" s="118">
        <v>0</v>
      </c>
      <c r="AG249" s="118">
        <v>0</v>
      </c>
      <c r="AH249" s="118">
        <v>0</v>
      </c>
      <c r="AI249" s="118">
        <v>0</v>
      </c>
      <c r="AJ249" s="118">
        <v>0</v>
      </c>
      <c r="AK249" s="118">
        <v>0</v>
      </c>
      <c r="AL249" s="118">
        <v>0</v>
      </c>
      <c r="AM249" s="118">
        <v>0</v>
      </c>
      <c r="AN249" s="118">
        <v>0</v>
      </c>
      <c r="AO249" s="118">
        <v>0</v>
      </c>
      <c r="AP249" s="118">
        <v>0</v>
      </c>
      <c r="AQ249" s="118">
        <v>0</v>
      </c>
      <c r="AR249" s="118">
        <v>0</v>
      </c>
      <c r="AS249" s="118">
        <v>0</v>
      </c>
      <c r="AT249" s="118">
        <v>0</v>
      </c>
      <c r="AU249" s="118">
        <v>0</v>
      </c>
      <c r="AV249" s="118">
        <v>0</v>
      </c>
      <c r="AW249" s="118">
        <v>0</v>
      </c>
      <c r="AX249" s="118">
        <v>0</v>
      </c>
      <c r="AY249" s="118">
        <v>0</v>
      </c>
    </row>
    <row r="250" spans="1:51" x14ac:dyDescent="0.2">
      <c r="A250" s="117"/>
      <c r="B250" s="138">
        <v>42</v>
      </c>
      <c r="C250" s="114"/>
      <c r="D250" s="118">
        <v>0</v>
      </c>
      <c r="E250" s="118">
        <v>0</v>
      </c>
      <c r="F250" s="118">
        <v>0</v>
      </c>
      <c r="G250" s="118">
        <v>0</v>
      </c>
      <c r="H250" s="118">
        <v>0</v>
      </c>
      <c r="I250" s="118">
        <v>0</v>
      </c>
      <c r="J250" s="118">
        <v>0</v>
      </c>
      <c r="K250" s="118">
        <v>0</v>
      </c>
      <c r="L250" s="118">
        <v>0</v>
      </c>
      <c r="M250" s="118">
        <v>0</v>
      </c>
      <c r="N250" s="118">
        <v>0</v>
      </c>
      <c r="O250" s="118">
        <v>0</v>
      </c>
      <c r="P250" s="118">
        <v>0</v>
      </c>
      <c r="Q250" s="118">
        <v>0</v>
      </c>
      <c r="R250" s="118">
        <v>0</v>
      </c>
      <c r="S250" s="118">
        <v>0</v>
      </c>
      <c r="T250" s="118">
        <v>0</v>
      </c>
      <c r="U250" s="118">
        <v>0</v>
      </c>
      <c r="V250" s="118">
        <v>0</v>
      </c>
      <c r="W250" s="118">
        <v>0</v>
      </c>
      <c r="X250" s="118">
        <v>0</v>
      </c>
      <c r="Y250" s="118">
        <v>0</v>
      </c>
      <c r="Z250" s="118">
        <v>0</v>
      </c>
      <c r="AA250" s="118">
        <v>0</v>
      </c>
      <c r="AB250" s="118">
        <v>0</v>
      </c>
      <c r="AC250" s="118">
        <v>0</v>
      </c>
      <c r="AD250" s="118">
        <v>0</v>
      </c>
      <c r="AE250" s="118">
        <v>0</v>
      </c>
      <c r="AF250" s="118">
        <v>0</v>
      </c>
      <c r="AG250" s="118">
        <v>0</v>
      </c>
      <c r="AH250" s="118">
        <v>0</v>
      </c>
      <c r="AI250" s="118">
        <v>0</v>
      </c>
      <c r="AJ250" s="118">
        <v>0</v>
      </c>
      <c r="AK250" s="118">
        <v>0</v>
      </c>
      <c r="AL250" s="118">
        <v>0</v>
      </c>
      <c r="AM250" s="118">
        <v>0</v>
      </c>
      <c r="AN250" s="118">
        <v>0</v>
      </c>
      <c r="AO250" s="118">
        <v>0</v>
      </c>
      <c r="AP250" s="118">
        <v>0</v>
      </c>
      <c r="AQ250" s="118">
        <v>0</v>
      </c>
      <c r="AR250" s="118">
        <v>0</v>
      </c>
      <c r="AS250" s="118">
        <v>0</v>
      </c>
      <c r="AT250" s="118">
        <v>0</v>
      </c>
      <c r="AU250" s="118">
        <v>0</v>
      </c>
      <c r="AV250" s="118">
        <v>0</v>
      </c>
      <c r="AW250" s="118">
        <v>0</v>
      </c>
      <c r="AX250" s="118">
        <v>0</v>
      </c>
      <c r="AY250" s="118">
        <v>0</v>
      </c>
    </row>
    <row r="251" spans="1:51" x14ac:dyDescent="0.2">
      <c r="A251" s="117"/>
      <c r="B251" s="138">
        <v>43</v>
      </c>
      <c r="C251" s="114"/>
      <c r="D251" s="118">
        <v>0</v>
      </c>
      <c r="E251" s="118">
        <v>0</v>
      </c>
      <c r="F251" s="118">
        <v>0</v>
      </c>
      <c r="G251" s="118">
        <v>0</v>
      </c>
      <c r="H251" s="118">
        <v>0</v>
      </c>
      <c r="I251" s="118">
        <v>0</v>
      </c>
      <c r="J251" s="118">
        <v>0</v>
      </c>
      <c r="K251" s="118">
        <v>0</v>
      </c>
      <c r="L251" s="118">
        <v>0</v>
      </c>
      <c r="M251" s="118">
        <v>0</v>
      </c>
      <c r="N251" s="118">
        <v>0</v>
      </c>
      <c r="O251" s="118">
        <v>0</v>
      </c>
      <c r="P251" s="118">
        <v>0</v>
      </c>
      <c r="Q251" s="118">
        <v>0</v>
      </c>
      <c r="R251" s="118">
        <v>0</v>
      </c>
      <c r="S251" s="118">
        <v>0</v>
      </c>
      <c r="T251" s="118">
        <v>0</v>
      </c>
      <c r="U251" s="118">
        <v>0</v>
      </c>
      <c r="V251" s="118">
        <v>0</v>
      </c>
      <c r="W251" s="118">
        <v>0</v>
      </c>
      <c r="X251" s="118">
        <v>0</v>
      </c>
      <c r="Y251" s="118">
        <v>0</v>
      </c>
      <c r="Z251" s="118">
        <v>0</v>
      </c>
      <c r="AA251" s="118">
        <v>0</v>
      </c>
      <c r="AB251" s="118">
        <v>0</v>
      </c>
      <c r="AC251" s="118">
        <v>0</v>
      </c>
      <c r="AD251" s="118">
        <v>0</v>
      </c>
      <c r="AE251" s="118">
        <v>0</v>
      </c>
      <c r="AF251" s="118">
        <v>0</v>
      </c>
      <c r="AG251" s="118">
        <v>0</v>
      </c>
      <c r="AH251" s="118">
        <v>0</v>
      </c>
      <c r="AI251" s="118">
        <v>0</v>
      </c>
      <c r="AJ251" s="118">
        <v>0</v>
      </c>
      <c r="AK251" s="118">
        <v>0</v>
      </c>
      <c r="AL251" s="118">
        <v>0</v>
      </c>
      <c r="AM251" s="118">
        <v>0</v>
      </c>
      <c r="AN251" s="118">
        <v>0</v>
      </c>
      <c r="AO251" s="118">
        <v>0</v>
      </c>
      <c r="AP251" s="118">
        <v>0</v>
      </c>
      <c r="AQ251" s="118">
        <v>0</v>
      </c>
      <c r="AR251" s="118">
        <v>0</v>
      </c>
      <c r="AS251" s="118">
        <v>0</v>
      </c>
      <c r="AT251" s="118">
        <v>0</v>
      </c>
      <c r="AU251" s="118">
        <v>0</v>
      </c>
      <c r="AV251" s="118">
        <v>0</v>
      </c>
      <c r="AW251" s="118">
        <v>0</v>
      </c>
      <c r="AX251" s="118">
        <v>0</v>
      </c>
      <c r="AY251" s="118">
        <v>0</v>
      </c>
    </row>
    <row r="252" spans="1:51" x14ac:dyDescent="0.2">
      <c r="A252" s="117"/>
      <c r="B252" s="138">
        <v>44</v>
      </c>
      <c r="C252" s="114"/>
      <c r="D252" s="118">
        <v>0</v>
      </c>
      <c r="E252" s="118">
        <v>0</v>
      </c>
      <c r="F252" s="118">
        <v>0</v>
      </c>
      <c r="G252" s="118">
        <v>0</v>
      </c>
      <c r="H252" s="118">
        <v>0</v>
      </c>
      <c r="I252" s="118">
        <v>0</v>
      </c>
      <c r="J252" s="118">
        <v>0</v>
      </c>
      <c r="K252" s="118">
        <v>0</v>
      </c>
      <c r="L252" s="118">
        <v>0</v>
      </c>
      <c r="M252" s="118">
        <v>0</v>
      </c>
      <c r="N252" s="118">
        <v>0</v>
      </c>
      <c r="O252" s="118">
        <v>0</v>
      </c>
      <c r="P252" s="118">
        <v>0</v>
      </c>
      <c r="Q252" s="118">
        <v>0</v>
      </c>
      <c r="R252" s="118">
        <v>0</v>
      </c>
      <c r="S252" s="118">
        <v>0</v>
      </c>
      <c r="T252" s="118">
        <v>0</v>
      </c>
      <c r="U252" s="118">
        <v>0</v>
      </c>
      <c r="V252" s="118">
        <v>0</v>
      </c>
      <c r="W252" s="118">
        <v>0</v>
      </c>
      <c r="X252" s="118">
        <v>0</v>
      </c>
      <c r="Y252" s="118">
        <v>0</v>
      </c>
      <c r="Z252" s="118">
        <v>0</v>
      </c>
      <c r="AA252" s="118">
        <v>0</v>
      </c>
      <c r="AB252" s="118">
        <v>0</v>
      </c>
      <c r="AC252" s="118">
        <v>0</v>
      </c>
      <c r="AD252" s="118">
        <v>0</v>
      </c>
      <c r="AE252" s="118">
        <v>0</v>
      </c>
      <c r="AF252" s="118">
        <v>0</v>
      </c>
      <c r="AG252" s="118">
        <v>0</v>
      </c>
      <c r="AH252" s="118">
        <v>0</v>
      </c>
      <c r="AI252" s="118">
        <v>0</v>
      </c>
      <c r="AJ252" s="118">
        <v>0</v>
      </c>
      <c r="AK252" s="118">
        <v>0</v>
      </c>
      <c r="AL252" s="118">
        <v>0</v>
      </c>
      <c r="AM252" s="118">
        <v>0</v>
      </c>
      <c r="AN252" s="118">
        <v>0</v>
      </c>
      <c r="AO252" s="118">
        <v>0</v>
      </c>
      <c r="AP252" s="118">
        <v>0</v>
      </c>
      <c r="AQ252" s="118">
        <v>0</v>
      </c>
      <c r="AR252" s="118">
        <v>0</v>
      </c>
      <c r="AS252" s="118">
        <v>0</v>
      </c>
      <c r="AT252" s="118">
        <v>0</v>
      </c>
      <c r="AU252" s="118">
        <v>0</v>
      </c>
      <c r="AV252" s="118">
        <v>0</v>
      </c>
      <c r="AW252" s="118">
        <v>0</v>
      </c>
      <c r="AX252" s="118">
        <v>0</v>
      </c>
      <c r="AY252" s="118">
        <v>0</v>
      </c>
    </row>
    <row r="253" spans="1:51" x14ac:dyDescent="0.2">
      <c r="A253" s="117"/>
      <c r="B253" s="138">
        <v>45</v>
      </c>
      <c r="C253" s="114"/>
      <c r="D253" s="118">
        <v>0</v>
      </c>
      <c r="E253" s="118">
        <v>0</v>
      </c>
      <c r="F253" s="118">
        <v>0</v>
      </c>
      <c r="G253" s="118">
        <v>0</v>
      </c>
      <c r="H253" s="118">
        <v>0</v>
      </c>
      <c r="I253" s="118">
        <v>0</v>
      </c>
      <c r="J253" s="118">
        <v>0</v>
      </c>
      <c r="K253" s="118">
        <v>0</v>
      </c>
      <c r="L253" s="118">
        <v>0</v>
      </c>
      <c r="M253" s="118">
        <v>0</v>
      </c>
      <c r="N253" s="118">
        <v>0</v>
      </c>
      <c r="O253" s="118">
        <v>0</v>
      </c>
      <c r="P253" s="118">
        <v>0</v>
      </c>
      <c r="Q253" s="118">
        <v>0</v>
      </c>
      <c r="R253" s="118">
        <v>0</v>
      </c>
      <c r="S253" s="118">
        <v>0</v>
      </c>
      <c r="T253" s="118">
        <v>0</v>
      </c>
      <c r="U253" s="118">
        <v>0</v>
      </c>
      <c r="V253" s="118">
        <v>0</v>
      </c>
      <c r="W253" s="118">
        <v>0</v>
      </c>
      <c r="X253" s="118">
        <v>0</v>
      </c>
      <c r="Y253" s="118">
        <v>0</v>
      </c>
      <c r="Z253" s="118">
        <v>0</v>
      </c>
      <c r="AA253" s="118">
        <v>0</v>
      </c>
      <c r="AB253" s="118">
        <v>0</v>
      </c>
      <c r="AC253" s="118">
        <v>0</v>
      </c>
      <c r="AD253" s="118">
        <v>0</v>
      </c>
      <c r="AE253" s="118">
        <v>0</v>
      </c>
      <c r="AF253" s="118">
        <v>0</v>
      </c>
      <c r="AG253" s="118">
        <v>0</v>
      </c>
      <c r="AH253" s="118">
        <v>0</v>
      </c>
      <c r="AI253" s="118">
        <v>0</v>
      </c>
      <c r="AJ253" s="118">
        <v>0</v>
      </c>
      <c r="AK253" s="118">
        <v>0</v>
      </c>
      <c r="AL253" s="118">
        <v>0</v>
      </c>
      <c r="AM253" s="118">
        <v>0</v>
      </c>
      <c r="AN253" s="118">
        <v>0</v>
      </c>
      <c r="AO253" s="118">
        <v>0</v>
      </c>
      <c r="AP253" s="118">
        <v>0</v>
      </c>
      <c r="AQ253" s="118">
        <v>0</v>
      </c>
      <c r="AR253" s="118">
        <v>0</v>
      </c>
      <c r="AS253" s="118">
        <v>0</v>
      </c>
      <c r="AT253" s="118">
        <v>0</v>
      </c>
      <c r="AU253" s="118">
        <v>0</v>
      </c>
      <c r="AV253" s="118">
        <v>0</v>
      </c>
      <c r="AW253" s="118">
        <v>0</v>
      </c>
      <c r="AX253" s="118">
        <v>0</v>
      </c>
      <c r="AY253" s="118">
        <v>0</v>
      </c>
    </row>
    <row r="254" spans="1:51" x14ac:dyDescent="0.2">
      <c r="A254" s="117"/>
      <c r="B254" s="138">
        <v>46</v>
      </c>
      <c r="C254" s="114"/>
      <c r="D254" s="118">
        <v>0</v>
      </c>
      <c r="E254" s="118">
        <v>0</v>
      </c>
      <c r="F254" s="118">
        <v>0</v>
      </c>
      <c r="G254" s="118">
        <v>0</v>
      </c>
      <c r="H254" s="118">
        <v>0</v>
      </c>
      <c r="I254" s="118">
        <v>0</v>
      </c>
      <c r="J254" s="118">
        <v>0</v>
      </c>
      <c r="K254" s="118">
        <v>0</v>
      </c>
      <c r="L254" s="118">
        <v>0</v>
      </c>
      <c r="M254" s="118">
        <v>0</v>
      </c>
      <c r="N254" s="118">
        <v>0</v>
      </c>
      <c r="O254" s="118">
        <v>0</v>
      </c>
      <c r="P254" s="118">
        <v>0</v>
      </c>
      <c r="Q254" s="118">
        <v>0</v>
      </c>
      <c r="R254" s="118">
        <v>0</v>
      </c>
      <c r="S254" s="118">
        <v>0</v>
      </c>
      <c r="T254" s="118">
        <v>0</v>
      </c>
      <c r="U254" s="118">
        <v>0</v>
      </c>
      <c r="V254" s="118">
        <v>0</v>
      </c>
      <c r="W254" s="118">
        <v>0</v>
      </c>
      <c r="X254" s="118">
        <v>0</v>
      </c>
      <c r="Y254" s="118">
        <v>0</v>
      </c>
      <c r="Z254" s="118">
        <v>0</v>
      </c>
      <c r="AA254" s="118">
        <v>0</v>
      </c>
      <c r="AB254" s="118">
        <v>0</v>
      </c>
      <c r="AC254" s="118">
        <v>0</v>
      </c>
      <c r="AD254" s="118">
        <v>0</v>
      </c>
      <c r="AE254" s="118">
        <v>0</v>
      </c>
      <c r="AF254" s="118">
        <v>0</v>
      </c>
      <c r="AG254" s="118">
        <v>0</v>
      </c>
      <c r="AH254" s="118">
        <v>0</v>
      </c>
      <c r="AI254" s="118">
        <v>0</v>
      </c>
      <c r="AJ254" s="118">
        <v>0</v>
      </c>
      <c r="AK254" s="118">
        <v>0</v>
      </c>
      <c r="AL254" s="118">
        <v>0</v>
      </c>
      <c r="AM254" s="118">
        <v>0</v>
      </c>
      <c r="AN254" s="118">
        <v>0</v>
      </c>
      <c r="AO254" s="118">
        <v>0</v>
      </c>
      <c r="AP254" s="118">
        <v>0</v>
      </c>
      <c r="AQ254" s="118">
        <v>0</v>
      </c>
      <c r="AR254" s="118">
        <v>0</v>
      </c>
      <c r="AS254" s="118">
        <v>0</v>
      </c>
      <c r="AT254" s="118">
        <v>0</v>
      </c>
      <c r="AU254" s="118">
        <v>0</v>
      </c>
      <c r="AV254" s="118">
        <v>0</v>
      </c>
      <c r="AW254" s="118">
        <v>0</v>
      </c>
      <c r="AX254" s="118">
        <v>0</v>
      </c>
      <c r="AY254" s="118">
        <v>0</v>
      </c>
    </row>
    <row r="255" spans="1:51" x14ac:dyDescent="0.2">
      <c r="A255" s="117"/>
      <c r="B255" s="138">
        <v>47</v>
      </c>
      <c r="C255" s="114"/>
      <c r="D255" s="118">
        <v>0</v>
      </c>
      <c r="E255" s="118">
        <v>0</v>
      </c>
      <c r="F255" s="118">
        <v>0</v>
      </c>
      <c r="G255" s="118">
        <v>0</v>
      </c>
      <c r="H255" s="118">
        <v>0</v>
      </c>
      <c r="I255" s="118">
        <v>0</v>
      </c>
      <c r="J255" s="118">
        <v>0</v>
      </c>
      <c r="K255" s="118">
        <v>0</v>
      </c>
      <c r="L255" s="118">
        <v>0</v>
      </c>
      <c r="M255" s="118">
        <v>0</v>
      </c>
      <c r="N255" s="118">
        <v>0</v>
      </c>
      <c r="O255" s="118">
        <v>0</v>
      </c>
      <c r="P255" s="118">
        <v>0</v>
      </c>
      <c r="Q255" s="118">
        <v>0</v>
      </c>
      <c r="R255" s="118">
        <v>0</v>
      </c>
      <c r="S255" s="118">
        <v>0</v>
      </c>
      <c r="T255" s="118">
        <v>0</v>
      </c>
      <c r="U255" s="118">
        <v>0</v>
      </c>
      <c r="V255" s="118">
        <v>0</v>
      </c>
      <c r="W255" s="118">
        <v>0</v>
      </c>
      <c r="X255" s="118">
        <v>0</v>
      </c>
      <c r="Y255" s="118">
        <v>0</v>
      </c>
      <c r="Z255" s="118">
        <v>0</v>
      </c>
      <c r="AA255" s="118">
        <v>0</v>
      </c>
      <c r="AB255" s="118">
        <v>0</v>
      </c>
      <c r="AC255" s="118">
        <v>0</v>
      </c>
      <c r="AD255" s="118">
        <v>0</v>
      </c>
      <c r="AE255" s="118">
        <v>0</v>
      </c>
      <c r="AF255" s="118">
        <v>0</v>
      </c>
      <c r="AG255" s="118">
        <v>0</v>
      </c>
      <c r="AH255" s="118">
        <v>0</v>
      </c>
      <c r="AI255" s="118">
        <v>0</v>
      </c>
      <c r="AJ255" s="118">
        <v>0</v>
      </c>
      <c r="AK255" s="118">
        <v>0</v>
      </c>
      <c r="AL255" s="118">
        <v>0</v>
      </c>
      <c r="AM255" s="118">
        <v>0</v>
      </c>
      <c r="AN255" s="118">
        <v>0</v>
      </c>
      <c r="AO255" s="118">
        <v>0</v>
      </c>
      <c r="AP255" s="118">
        <v>0</v>
      </c>
      <c r="AQ255" s="118">
        <v>0</v>
      </c>
      <c r="AR255" s="118">
        <v>0</v>
      </c>
      <c r="AS255" s="118">
        <v>0</v>
      </c>
      <c r="AT255" s="118">
        <v>0</v>
      </c>
      <c r="AU255" s="118">
        <v>0</v>
      </c>
      <c r="AV255" s="118">
        <v>0</v>
      </c>
      <c r="AW255" s="118">
        <v>0</v>
      </c>
      <c r="AX255" s="118">
        <v>0</v>
      </c>
      <c r="AY255" s="118">
        <v>0</v>
      </c>
    </row>
    <row r="256" spans="1:51" x14ac:dyDescent="0.2">
      <c r="A256" s="136"/>
      <c r="B256" s="137">
        <v>48</v>
      </c>
      <c r="C256" s="122"/>
      <c r="D256" s="133">
        <v>0</v>
      </c>
      <c r="E256" s="133">
        <v>0</v>
      </c>
      <c r="F256" s="133">
        <v>0</v>
      </c>
      <c r="G256" s="133">
        <v>0</v>
      </c>
      <c r="H256" s="133">
        <v>0</v>
      </c>
      <c r="I256" s="133">
        <v>0</v>
      </c>
      <c r="J256" s="133">
        <v>0</v>
      </c>
      <c r="K256" s="133">
        <v>0</v>
      </c>
      <c r="L256" s="133">
        <v>0</v>
      </c>
      <c r="M256" s="133">
        <v>0</v>
      </c>
      <c r="N256" s="133">
        <v>0</v>
      </c>
      <c r="O256" s="133">
        <v>0</v>
      </c>
      <c r="P256" s="133">
        <v>0</v>
      </c>
      <c r="Q256" s="133">
        <v>0</v>
      </c>
      <c r="R256" s="133">
        <v>0</v>
      </c>
      <c r="S256" s="133">
        <v>0</v>
      </c>
      <c r="T256" s="133">
        <v>0</v>
      </c>
      <c r="U256" s="133">
        <v>0</v>
      </c>
      <c r="V256" s="133">
        <v>0</v>
      </c>
      <c r="W256" s="133">
        <v>0</v>
      </c>
      <c r="X256" s="133">
        <v>0</v>
      </c>
      <c r="Y256" s="133">
        <v>0</v>
      </c>
      <c r="Z256" s="133">
        <v>0</v>
      </c>
      <c r="AA256" s="133">
        <v>0</v>
      </c>
      <c r="AB256" s="133">
        <v>0</v>
      </c>
      <c r="AC256" s="133">
        <v>0</v>
      </c>
      <c r="AD256" s="133">
        <v>0</v>
      </c>
      <c r="AE256" s="133">
        <v>0</v>
      </c>
      <c r="AF256" s="133">
        <v>0</v>
      </c>
      <c r="AG256" s="133">
        <v>0</v>
      </c>
      <c r="AH256" s="133">
        <v>0</v>
      </c>
      <c r="AI256" s="133">
        <v>0</v>
      </c>
      <c r="AJ256" s="133">
        <v>0</v>
      </c>
      <c r="AK256" s="133">
        <v>0</v>
      </c>
      <c r="AL256" s="133">
        <v>0</v>
      </c>
      <c r="AM256" s="133">
        <v>0</v>
      </c>
      <c r="AN256" s="133">
        <v>0</v>
      </c>
      <c r="AO256" s="133">
        <v>0</v>
      </c>
      <c r="AP256" s="133">
        <v>0</v>
      </c>
      <c r="AQ256" s="133">
        <v>0</v>
      </c>
      <c r="AR256" s="133">
        <v>0</v>
      </c>
      <c r="AS256" s="133">
        <v>0</v>
      </c>
      <c r="AT256" s="133">
        <v>0</v>
      </c>
      <c r="AU256" s="133">
        <v>0</v>
      </c>
      <c r="AV256" s="133">
        <v>0</v>
      </c>
      <c r="AW256" s="133">
        <v>0</v>
      </c>
      <c r="AX256" s="133">
        <v>0</v>
      </c>
      <c r="AY256" s="133">
        <v>0</v>
      </c>
    </row>
    <row r="258" spans="1:52" x14ac:dyDescent="0.2">
      <c r="A258" s="110" t="s">
        <v>300</v>
      </c>
    </row>
    <row r="259" spans="1:52" x14ac:dyDescent="0.2">
      <c r="A259" s="145" t="s">
        <v>124</v>
      </c>
      <c r="B259" s="146">
        <v>650</v>
      </c>
      <c r="C259" s="132" t="s">
        <v>292</v>
      </c>
      <c r="D259" s="132">
        <f>E$14*$B$259</f>
        <v>0</v>
      </c>
      <c r="E259" s="132">
        <f t="shared" ref="E259:AX259" si="5">F$14*$B$259</f>
        <v>0</v>
      </c>
      <c r="F259" s="132">
        <f t="shared" si="5"/>
        <v>216645</v>
      </c>
      <c r="G259" s="132">
        <f t="shared" si="5"/>
        <v>0</v>
      </c>
      <c r="H259" s="132">
        <f t="shared" si="5"/>
        <v>324967.5</v>
      </c>
      <c r="I259" s="132">
        <f t="shared" si="5"/>
        <v>162483.75</v>
      </c>
      <c r="J259" s="132">
        <f t="shared" si="5"/>
        <v>0</v>
      </c>
      <c r="K259" s="132">
        <f t="shared" si="5"/>
        <v>162483.75</v>
      </c>
      <c r="L259" s="132">
        <f t="shared" si="5"/>
        <v>108322.5</v>
      </c>
      <c r="M259" s="132">
        <f t="shared" si="5"/>
        <v>216645</v>
      </c>
      <c r="N259" s="132">
        <f t="shared" si="5"/>
        <v>47981.526758254295</v>
      </c>
      <c r="O259" s="132">
        <f t="shared" si="5"/>
        <v>0</v>
      </c>
      <c r="P259" s="132">
        <f t="shared" si="5"/>
        <v>649935.00000000012</v>
      </c>
      <c r="Q259" s="132">
        <f t="shared" si="5"/>
        <v>327366</v>
      </c>
      <c r="R259" s="132">
        <f t="shared" si="5"/>
        <v>1.4779288903810084E-11</v>
      </c>
      <c r="S259" s="132">
        <f t="shared" si="5"/>
        <v>0</v>
      </c>
      <c r="T259" s="132">
        <f t="shared" si="5"/>
        <v>162483.75</v>
      </c>
      <c r="U259" s="132">
        <f t="shared" si="5"/>
        <v>324967.5</v>
      </c>
      <c r="V259" s="132">
        <f t="shared" si="5"/>
        <v>162483.75</v>
      </c>
      <c r="W259" s="132">
        <f t="shared" si="5"/>
        <v>324967.5</v>
      </c>
      <c r="X259" s="132">
        <f t="shared" si="5"/>
        <v>118050.90259085584</v>
      </c>
      <c r="Y259" s="132">
        <f t="shared" si="5"/>
        <v>108322.5</v>
      </c>
      <c r="Z259" s="132">
        <f t="shared" si="5"/>
        <v>0</v>
      </c>
      <c r="AA259" s="132">
        <f t="shared" si="5"/>
        <v>216645</v>
      </c>
      <c r="AB259" s="132">
        <f t="shared" si="5"/>
        <v>0</v>
      </c>
      <c r="AC259" s="132">
        <f t="shared" si="5"/>
        <v>216645</v>
      </c>
      <c r="AD259" s="132">
        <f t="shared" si="5"/>
        <v>216645</v>
      </c>
      <c r="AE259" s="132">
        <f t="shared" si="5"/>
        <v>0</v>
      </c>
      <c r="AF259" s="132">
        <f t="shared" si="5"/>
        <v>324967.5</v>
      </c>
      <c r="AG259" s="132">
        <f t="shared" si="5"/>
        <v>442885.83767663006</v>
      </c>
      <c r="AH259" s="132">
        <f t="shared" si="5"/>
        <v>283868.90764349344</v>
      </c>
      <c r="AI259" s="132">
        <f t="shared" si="5"/>
        <v>210584.49633527524</v>
      </c>
      <c r="AJ259" s="132">
        <f t="shared" si="5"/>
        <v>108322.50000000003</v>
      </c>
      <c r="AK259" s="132">
        <f t="shared" si="5"/>
        <v>0</v>
      </c>
      <c r="AL259" s="132">
        <f t="shared" si="5"/>
        <v>0</v>
      </c>
      <c r="AM259" s="132">
        <f t="shared" si="5"/>
        <v>324967.50000000006</v>
      </c>
      <c r="AN259" s="132">
        <f t="shared" si="5"/>
        <v>333008.00000000006</v>
      </c>
      <c r="AO259" s="132">
        <f t="shared" si="5"/>
        <v>216645</v>
      </c>
      <c r="AP259" s="132">
        <f t="shared" si="5"/>
        <v>433290</v>
      </c>
      <c r="AQ259" s="132">
        <f t="shared" si="5"/>
        <v>216645</v>
      </c>
      <c r="AR259" s="132">
        <f t="shared" si="5"/>
        <v>0</v>
      </c>
      <c r="AS259" s="132">
        <f t="shared" si="5"/>
        <v>162483.75</v>
      </c>
      <c r="AT259" s="132">
        <f t="shared" si="5"/>
        <v>324967.5</v>
      </c>
      <c r="AU259" s="132">
        <f t="shared" si="5"/>
        <v>0</v>
      </c>
      <c r="AV259" s="132">
        <f t="shared" si="5"/>
        <v>121810</v>
      </c>
      <c r="AW259" s="132">
        <f t="shared" si="5"/>
        <v>113829.5538930811</v>
      </c>
      <c r="AX259" s="132">
        <f t="shared" si="5"/>
        <v>108322.5</v>
      </c>
      <c r="AY259" s="132">
        <f>AZ$14*$B$259</f>
        <v>108322.5</v>
      </c>
      <c r="AZ259" s="147">
        <f>SUM($D259:$AY259)</f>
        <v>7902961.4748975905</v>
      </c>
    </row>
    <row r="260" spans="1:52" x14ac:dyDescent="0.2">
      <c r="A260" s="148" t="s">
        <v>301</v>
      </c>
      <c r="B260" s="122">
        <v>60</v>
      </c>
      <c r="C260" s="133" t="s">
        <v>292</v>
      </c>
      <c r="D260" s="133">
        <f>(D$175-D$176+D$177-D$178+D$179-D$180+D$181-D$182)*$B$260</f>
        <v>120180</v>
      </c>
      <c r="E260" s="133">
        <f t="shared" ref="E260:AY260" si="6">(E$175-E$176+E$177-E$178+E$179-E$180+E$181-E$182)*$B$260</f>
        <v>226080</v>
      </c>
      <c r="F260" s="133">
        <f t="shared" si="6"/>
        <v>341460</v>
      </c>
      <c r="G260" s="133">
        <f t="shared" si="6"/>
        <v>443580</v>
      </c>
      <c r="H260" s="133">
        <f t="shared" si="6"/>
        <v>517800</v>
      </c>
      <c r="I260" s="133">
        <f t="shared" si="6"/>
        <v>603660</v>
      </c>
      <c r="J260" s="133">
        <f t="shared" si="6"/>
        <v>708360</v>
      </c>
      <c r="K260" s="133">
        <f t="shared" si="6"/>
        <v>691740</v>
      </c>
      <c r="L260" s="133">
        <f t="shared" si="6"/>
        <v>705060</v>
      </c>
      <c r="M260" s="133">
        <f t="shared" si="6"/>
        <v>756245.32004227117</v>
      </c>
      <c r="N260" s="133">
        <f t="shared" si="6"/>
        <v>726120</v>
      </c>
      <c r="O260" s="133">
        <f t="shared" si="6"/>
        <v>727500</v>
      </c>
      <c r="P260" s="133">
        <f t="shared" si="6"/>
        <v>855036</v>
      </c>
      <c r="Q260" s="133">
        <f t="shared" si="6"/>
        <v>801660</v>
      </c>
      <c r="R260" s="133">
        <f t="shared" si="6"/>
        <v>748740</v>
      </c>
      <c r="S260" s="133">
        <f t="shared" si="6"/>
        <v>736260</v>
      </c>
      <c r="T260" s="133">
        <f t="shared" si="6"/>
        <v>727560</v>
      </c>
      <c r="U260" s="133">
        <f t="shared" si="6"/>
        <v>730200</v>
      </c>
      <c r="V260" s="133">
        <f t="shared" si="6"/>
        <v>714420</v>
      </c>
      <c r="W260" s="133">
        <f t="shared" si="6"/>
        <v>733850.03196501033</v>
      </c>
      <c r="X260" s="133">
        <f t="shared" si="6"/>
        <v>706980</v>
      </c>
      <c r="Y260" s="133">
        <f t="shared" si="6"/>
        <v>711300</v>
      </c>
      <c r="Z260" s="133">
        <f t="shared" si="6"/>
        <v>705720</v>
      </c>
      <c r="AA260" s="133">
        <f t="shared" si="6"/>
        <v>685980</v>
      </c>
      <c r="AB260" s="133">
        <f t="shared" si="6"/>
        <v>773520</v>
      </c>
      <c r="AC260" s="133">
        <f t="shared" si="6"/>
        <v>774600</v>
      </c>
      <c r="AD260" s="133">
        <f t="shared" si="6"/>
        <v>774060</v>
      </c>
      <c r="AE260" s="133">
        <f t="shared" si="6"/>
        <v>766080</v>
      </c>
      <c r="AF260" s="133">
        <f t="shared" si="6"/>
        <v>797622.56543896312</v>
      </c>
      <c r="AG260" s="133">
        <f t="shared" si="6"/>
        <v>798749.27927492105</v>
      </c>
      <c r="AH260" s="133">
        <f t="shared" si="6"/>
        <v>783580.2296416231</v>
      </c>
      <c r="AI260" s="133">
        <f t="shared" si="6"/>
        <v>762840</v>
      </c>
      <c r="AJ260" s="133">
        <f t="shared" si="6"/>
        <v>763980</v>
      </c>
      <c r="AK260" s="133">
        <f t="shared" si="6"/>
        <v>762300</v>
      </c>
      <c r="AL260" s="133">
        <f t="shared" si="6"/>
        <v>763800</v>
      </c>
      <c r="AM260" s="133">
        <f t="shared" si="6"/>
        <v>886173</v>
      </c>
      <c r="AN260" s="133">
        <f t="shared" si="6"/>
        <v>736680</v>
      </c>
      <c r="AO260" s="133">
        <f t="shared" si="6"/>
        <v>728340</v>
      </c>
      <c r="AP260" s="133">
        <f t="shared" si="6"/>
        <v>715980</v>
      </c>
      <c r="AQ260" s="133">
        <f t="shared" si="6"/>
        <v>716700</v>
      </c>
      <c r="AR260" s="133">
        <f t="shared" si="6"/>
        <v>752640</v>
      </c>
      <c r="AS260" s="133">
        <f t="shared" si="6"/>
        <v>753420</v>
      </c>
      <c r="AT260" s="133">
        <f t="shared" si="6"/>
        <v>776430</v>
      </c>
      <c r="AU260" s="133">
        <f t="shared" si="6"/>
        <v>761340</v>
      </c>
      <c r="AV260" s="133">
        <f t="shared" si="6"/>
        <v>770121.71718142205</v>
      </c>
      <c r="AW260" s="133">
        <f t="shared" si="6"/>
        <v>768420</v>
      </c>
      <c r="AX260" s="133">
        <f t="shared" si="6"/>
        <v>774000</v>
      </c>
      <c r="AY260" s="133">
        <f t="shared" si="6"/>
        <v>766080</v>
      </c>
      <c r="AZ260" s="149">
        <f>SUM($D260:$AY260)</f>
        <v>33852948.143544212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8" activePane="bottomRight" state="frozen"/>
      <selection pane="topRight"/>
      <selection pane="bottomLeft"/>
      <selection pane="bottomRight"/>
    </sheetView>
  </sheetViews>
  <sheetFormatPr defaultRowHeight="12.75" x14ac:dyDescent="0.2"/>
  <cols>
    <col min="1" max="1" width="14.7109375" style="108" customWidth="1"/>
    <col min="2" max="2" width="12.7109375" style="108" customWidth="1"/>
    <col min="3" max="16384" width="9.140625" style="108"/>
  </cols>
  <sheetData>
    <row r="1" spans="1:54" x14ac:dyDescent="0.2">
      <c r="A1" s="110" t="s">
        <v>283</v>
      </c>
    </row>
    <row r="2" spans="1:54" x14ac:dyDescent="0.2">
      <c r="A2" s="108" t="s">
        <v>284</v>
      </c>
      <c r="B2" s="115" t="s">
        <v>59</v>
      </c>
    </row>
    <row r="3" spans="1:54" x14ac:dyDescent="0.2">
      <c r="A3" s="108" t="s">
        <v>285</v>
      </c>
      <c r="B3" s="116">
        <v>51000</v>
      </c>
      <c r="C3" s="117"/>
    </row>
    <row r="4" spans="1:54" x14ac:dyDescent="0.2">
      <c r="B4" s="118"/>
      <c r="C4" s="118"/>
    </row>
    <row r="5" spans="1:54" x14ac:dyDescent="0.2">
      <c r="C5" s="119" t="s">
        <v>286</v>
      </c>
    </row>
    <row r="6" spans="1:54" x14ac:dyDescent="0.2">
      <c r="C6" s="120">
        <v>0</v>
      </c>
      <c r="D6" s="120">
        <v>1</v>
      </c>
      <c r="E6" s="120">
        <v>2</v>
      </c>
      <c r="F6" s="120">
        <v>3</v>
      </c>
      <c r="G6" s="120">
        <v>4</v>
      </c>
      <c r="H6" s="120">
        <v>5</v>
      </c>
      <c r="I6" s="120">
        <v>6</v>
      </c>
      <c r="J6" s="120">
        <v>7</v>
      </c>
      <c r="K6" s="120">
        <v>8</v>
      </c>
      <c r="L6" s="120">
        <v>9</v>
      </c>
      <c r="M6" s="120">
        <v>10</v>
      </c>
      <c r="N6" s="120">
        <v>11</v>
      </c>
      <c r="O6" s="120">
        <v>12</v>
      </c>
      <c r="P6" s="120">
        <v>13</v>
      </c>
      <c r="Q6" s="120">
        <v>14</v>
      </c>
      <c r="R6" s="120">
        <v>15</v>
      </c>
      <c r="S6" s="120">
        <v>16</v>
      </c>
      <c r="T6" s="120">
        <v>17</v>
      </c>
      <c r="U6" s="120">
        <v>18</v>
      </c>
      <c r="V6" s="120">
        <v>19</v>
      </c>
      <c r="W6" s="120">
        <v>20</v>
      </c>
      <c r="X6" s="120">
        <v>21</v>
      </c>
      <c r="Y6" s="120">
        <v>22</v>
      </c>
      <c r="Z6" s="120">
        <v>23</v>
      </c>
      <c r="AA6" s="120">
        <v>24</v>
      </c>
      <c r="AB6" s="120">
        <v>25</v>
      </c>
      <c r="AC6" s="120">
        <v>26</v>
      </c>
      <c r="AD6" s="120">
        <v>27</v>
      </c>
      <c r="AE6" s="120">
        <v>28</v>
      </c>
      <c r="AF6" s="120">
        <v>29</v>
      </c>
      <c r="AG6" s="120">
        <v>30</v>
      </c>
      <c r="AH6" s="120">
        <v>31</v>
      </c>
      <c r="AI6" s="120">
        <v>32</v>
      </c>
      <c r="AJ6" s="120">
        <v>33</v>
      </c>
      <c r="AK6" s="120">
        <v>34</v>
      </c>
      <c r="AL6" s="120">
        <v>35</v>
      </c>
      <c r="AM6" s="120">
        <v>36</v>
      </c>
      <c r="AN6" s="120">
        <v>37</v>
      </c>
      <c r="AO6" s="120">
        <v>38</v>
      </c>
      <c r="AP6" s="120">
        <v>39</v>
      </c>
      <c r="AQ6" s="120">
        <v>40</v>
      </c>
      <c r="AR6" s="120">
        <v>41</v>
      </c>
      <c r="AS6" s="120">
        <v>42</v>
      </c>
      <c r="AT6" s="120">
        <v>43</v>
      </c>
      <c r="AU6" s="120">
        <v>44</v>
      </c>
      <c r="AV6" s="120">
        <v>45</v>
      </c>
      <c r="AW6" s="120">
        <v>46</v>
      </c>
      <c r="AX6" s="120">
        <v>47</v>
      </c>
      <c r="AY6" s="120">
        <v>48</v>
      </c>
    </row>
    <row r="7" spans="1:54" x14ac:dyDescent="0.2">
      <c r="B7" s="118"/>
      <c r="C7" s="121" t="s">
        <v>287</v>
      </c>
      <c r="D7" s="120" t="s">
        <v>288</v>
      </c>
      <c r="E7" s="120" t="s">
        <v>288</v>
      </c>
      <c r="F7" s="120" t="s">
        <v>288</v>
      </c>
      <c r="G7" s="120" t="s">
        <v>288</v>
      </c>
      <c r="H7" s="120" t="s">
        <v>288</v>
      </c>
      <c r="I7" s="120" t="s">
        <v>288</v>
      </c>
      <c r="J7" s="120" t="s">
        <v>288</v>
      </c>
      <c r="K7" s="120" t="s">
        <v>288</v>
      </c>
      <c r="L7" s="120" t="s">
        <v>288</v>
      </c>
      <c r="M7" s="120" t="s">
        <v>288</v>
      </c>
      <c r="N7" s="120" t="s">
        <v>288</v>
      </c>
      <c r="O7" s="120" t="s">
        <v>288</v>
      </c>
      <c r="P7" s="120" t="s">
        <v>288</v>
      </c>
      <c r="Q7" s="120" t="s">
        <v>288</v>
      </c>
      <c r="R7" s="120" t="s">
        <v>288</v>
      </c>
      <c r="S7" s="120" t="s">
        <v>288</v>
      </c>
      <c r="T7" s="120" t="s">
        <v>288</v>
      </c>
      <c r="U7" s="120" t="s">
        <v>288</v>
      </c>
      <c r="V7" s="120" t="s">
        <v>288</v>
      </c>
      <c r="W7" s="120" t="s">
        <v>288</v>
      </c>
      <c r="X7" s="120" t="s">
        <v>288</v>
      </c>
      <c r="Y7" s="120" t="s">
        <v>288</v>
      </c>
      <c r="Z7" s="120" t="s">
        <v>288</v>
      </c>
      <c r="AA7" s="120" t="s">
        <v>288</v>
      </c>
      <c r="AB7" s="120" t="s">
        <v>288</v>
      </c>
      <c r="AC7" s="120" t="s">
        <v>288</v>
      </c>
      <c r="AD7" s="120" t="s">
        <v>288</v>
      </c>
      <c r="AE7" s="120" t="s">
        <v>288</v>
      </c>
      <c r="AF7" s="120" t="s">
        <v>288</v>
      </c>
      <c r="AG7" s="120" t="s">
        <v>288</v>
      </c>
      <c r="AH7" s="120" t="s">
        <v>288</v>
      </c>
      <c r="AI7" s="120" t="s">
        <v>288</v>
      </c>
      <c r="AJ7" s="120" t="s">
        <v>288</v>
      </c>
      <c r="AK7" s="120" t="s">
        <v>288</v>
      </c>
      <c r="AL7" s="120" t="s">
        <v>288</v>
      </c>
      <c r="AM7" s="120" t="s">
        <v>288</v>
      </c>
      <c r="AN7" s="120" t="s">
        <v>288</v>
      </c>
      <c r="AO7" s="120" t="s">
        <v>288</v>
      </c>
      <c r="AP7" s="120" t="s">
        <v>288</v>
      </c>
      <c r="AQ7" s="120" t="s">
        <v>288</v>
      </c>
      <c r="AR7" s="120" t="s">
        <v>288</v>
      </c>
      <c r="AS7" s="120" t="s">
        <v>288</v>
      </c>
      <c r="AT7" s="120" t="s">
        <v>288</v>
      </c>
      <c r="AU7" s="120" t="s">
        <v>288</v>
      </c>
      <c r="AV7" s="120" t="s">
        <v>288</v>
      </c>
      <c r="AW7" s="120" t="s">
        <v>288</v>
      </c>
      <c r="AX7" s="120" t="s">
        <v>288</v>
      </c>
      <c r="AY7" s="119" t="s">
        <v>289</v>
      </c>
      <c r="AZ7" s="119" t="s">
        <v>290</v>
      </c>
    </row>
    <row r="8" spans="1:54" x14ac:dyDescent="0.2">
      <c r="A8" s="110" t="s">
        <v>291</v>
      </c>
      <c r="B8" s="122"/>
      <c r="AY8" s="118"/>
    </row>
    <row r="9" spans="1:54" x14ac:dyDescent="0.2">
      <c r="A9" s="123" t="s">
        <v>125</v>
      </c>
      <c r="B9" s="124">
        <v>1</v>
      </c>
      <c r="C9" s="125" t="s">
        <v>292</v>
      </c>
      <c r="D9" s="125">
        <v>3334.0000000000005</v>
      </c>
      <c r="E9" s="125">
        <v>3334.0000000000005</v>
      </c>
      <c r="F9" s="125">
        <v>3334.0000000000005</v>
      </c>
      <c r="G9" s="125">
        <v>3334.0000000000005</v>
      </c>
      <c r="H9" s="125">
        <v>3334.0000000000005</v>
      </c>
      <c r="I9" s="125">
        <v>3334.0000000000005</v>
      </c>
      <c r="J9" s="125">
        <v>3334.0000000000005</v>
      </c>
      <c r="K9" s="125">
        <v>3334.0000000000005</v>
      </c>
      <c r="L9" s="125">
        <v>3334.0000000000005</v>
      </c>
      <c r="M9" s="125">
        <v>3334.0000000000005</v>
      </c>
      <c r="N9" s="125">
        <v>3334.0000000000005</v>
      </c>
      <c r="O9" s="125">
        <v>3334.0000000000005</v>
      </c>
      <c r="P9" s="125">
        <v>3334.0000000000005</v>
      </c>
      <c r="Q9" s="125">
        <v>3334.0000000000005</v>
      </c>
      <c r="R9" s="125">
        <v>3334.0000000000005</v>
      </c>
      <c r="S9" s="125">
        <v>3334.0000000000005</v>
      </c>
      <c r="T9" s="125">
        <v>3334.0000000000005</v>
      </c>
      <c r="U9" s="125">
        <v>3334.0000000000005</v>
      </c>
      <c r="V9" s="125">
        <v>3334.0000000000005</v>
      </c>
      <c r="W9" s="125">
        <v>3334.0000000000005</v>
      </c>
      <c r="X9" s="125">
        <v>3334.0000000000005</v>
      </c>
      <c r="Y9" s="125">
        <v>3334.0000000000005</v>
      </c>
      <c r="Z9" s="125">
        <v>3334.0000000000005</v>
      </c>
      <c r="AA9" s="125">
        <v>3334.0000000000005</v>
      </c>
      <c r="AB9" s="125">
        <v>3334.0000000000005</v>
      </c>
      <c r="AC9" s="125">
        <v>3334.0000000000005</v>
      </c>
      <c r="AD9" s="125">
        <v>3334.0000000000005</v>
      </c>
      <c r="AE9" s="125">
        <v>3334.0000000000005</v>
      </c>
      <c r="AF9" s="125">
        <v>3334.0000000000005</v>
      </c>
      <c r="AG9" s="125">
        <v>3334.0000000000005</v>
      </c>
      <c r="AH9" s="125">
        <v>3334.0000000000005</v>
      </c>
      <c r="AI9" s="125">
        <v>3334.0000000000005</v>
      </c>
      <c r="AJ9" s="125">
        <v>3334.0000000000005</v>
      </c>
      <c r="AK9" s="125">
        <v>3334.0000000000005</v>
      </c>
      <c r="AL9" s="125">
        <v>3334.0000000000005</v>
      </c>
      <c r="AM9" s="125">
        <v>3334.0000000000005</v>
      </c>
      <c r="AN9" s="125">
        <v>3334.0000000000005</v>
      </c>
      <c r="AO9" s="125">
        <v>3334.0000000000005</v>
      </c>
      <c r="AP9" s="125">
        <v>3334.0000000000005</v>
      </c>
      <c r="AQ9" s="125">
        <v>3334.0000000000005</v>
      </c>
      <c r="AR9" s="125">
        <v>3334.0000000000005</v>
      </c>
      <c r="AS9" s="125">
        <v>3334.0000000000005</v>
      </c>
      <c r="AT9" s="125">
        <v>3334.0000000000005</v>
      </c>
      <c r="AU9" s="125">
        <v>3334.0000000000005</v>
      </c>
      <c r="AV9" s="125">
        <v>3334.0000000000005</v>
      </c>
      <c r="AW9" s="125">
        <v>3334.0000000000005</v>
      </c>
      <c r="AX9" s="125">
        <v>3334.0000000000005</v>
      </c>
      <c r="AY9" s="125">
        <v>3334.0000000000005</v>
      </c>
    </row>
    <row r="10" spans="1:54" x14ac:dyDescent="0.2">
      <c r="A10" s="126" t="s">
        <v>133</v>
      </c>
      <c r="B10" s="127">
        <v>1</v>
      </c>
      <c r="C10" s="114" t="s">
        <v>292</v>
      </c>
      <c r="E10" s="108">
        <v>0</v>
      </c>
      <c r="F10" s="108">
        <v>0</v>
      </c>
      <c r="G10" s="108">
        <v>0</v>
      </c>
      <c r="H10" s="108">
        <v>833.25</v>
      </c>
      <c r="I10" s="108">
        <v>833.25</v>
      </c>
      <c r="J10" s="108">
        <v>833.25</v>
      </c>
      <c r="K10" s="108">
        <v>833.25</v>
      </c>
      <c r="L10" s="108">
        <v>0</v>
      </c>
      <c r="M10" s="108">
        <v>833.25</v>
      </c>
      <c r="N10" s="108">
        <v>833.25</v>
      </c>
      <c r="O10" s="108">
        <v>833.25</v>
      </c>
      <c r="P10" s="108">
        <v>0</v>
      </c>
      <c r="Q10" s="108">
        <v>0</v>
      </c>
      <c r="R10" s="108">
        <v>833.25</v>
      </c>
      <c r="S10" s="108">
        <v>0</v>
      </c>
      <c r="T10" s="108">
        <v>0</v>
      </c>
      <c r="U10" s="108">
        <v>833.25</v>
      </c>
      <c r="V10" s="108">
        <v>833.25</v>
      </c>
      <c r="W10" s="108">
        <v>0</v>
      </c>
      <c r="X10" s="108">
        <v>833.25</v>
      </c>
      <c r="Y10" s="108">
        <v>0</v>
      </c>
      <c r="Z10" s="108">
        <v>833.25</v>
      </c>
      <c r="AA10" s="108">
        <v>833.25</v>
      </c>
      <c r="AB10" s="108">
        <v>833.25</v>
      </c>
      <c r="AC10" s="108">
        <v>0</v>
      </c>
      <c r="AD10" s="108">
        <v>833.25</v>
      </c>
      <c r="AE10" s="108">
        <v>0</v>
      </c>
      <c r="AF10" s="108">
        <v>833.25</v>
      </c>
      <c r="AG10" s="108">
        <v>833.25</v>
      </c>
      <c r="AH10" s="108">
        <v>833.25</v>
      </c>
      <c r="AI10" s="108">
        <v>833.25</v>
      </c>
      <c r="AJ10" s="108">
        <v>833.25</v>
      </c>
      <c r="AK10" s="108">
        <v>833.25</v>
      </c>
      <c r="AL10" s="108">
        <v>833.25</v>
      </c>
      <c r="AM10" s="108">
        <v>0</v>
      </c>
      <c r="AN10" s="108">
        <v>833.25</v>
      </c>
      <c r="AO10" s="108">
        <v>833.25</v>
      </c>
      <c r="AP10" s="108">
        <v>0</v>
      </c>
      <c r="AQ10" s="108">
        <v>833.25</v>
      </c>
      <c r="AR10" s="108">
        <v>0</v>
      </c>
      <c r="AS10" s="108">
        <v>0</v>
      </c>
      <c r="AT10" s="108">
        <v>0</v>
      </c>
      <c r="AU10" s="108">
        <v>0</v>
      </c>
      <c r="AV10" s="108">
        <v>937</v>
      </c>
      <c r="AW10" s="108">
        <v>0</v>
      </c>
      <c r="AX10" s="108">
        <v>0</v>
      </c>
      <c r="AY10" s="108">
        <v>0</v>
      </c>
      <c r="AZ10" s="108">
        <v>0</v>
      </c>
    </row>
    <row r="11" spans="1:54" x14ac:dyDescent="0.2">
      <c r="B11" s="127">
        <v>2</v>
      </c>
      <c r="C11" s="114" t="s">
        <v>292</v>
      </c>
      <c r="F11" s="108">
        <v>0</v>
      </c>
      <c r="H11" s="108">
        <v>833.25</v>
      </c>
      <c r="M11" s="108">
        <v>833.25</v>
      </c>
      <c r="Q11" s="108">
        <v>833.25</v>
      </c>
      <c r="U11" s="108">
        <v>833.25</v>
      </c>
      <c r="X11" s="108">
        <v>833.25</v>
      </c>
      <c r="Z11" s="108">
        <v>833.25</v>
      </c>
      <c r="AD11" s="108">
        <v>833.25</v>
      </c>
      <c r="AF11" s="108">
        <v>833.25</v>
      </c>
      <c r="AN11" s="108">
        <v>833.25</v>
      </c>
      <c r="AQ11" s="108">
        <v>833.25</v>
      </c>
      <c r="AT11" s="108">
        <v>833.25</v>
      </c>
      <c r="AU11" s="108">
        <v>833.25</v>
      </c>
      <c r="AV11" s="108">
        <v>0</v>
      </c>
      <c r="AY11" s="108">
        <v>833.25</v>
      </c>
      <c r="AZ11" s="108">
        <v>833.25</v>
      </c>
    </row>
    <row r="12" spans="1:54" x14ac:dyDescent="0.2">
      <c r="B12" s="128">
        <v>3</v>
      </c>
      <c r="C12" s="114" t="s">
        <v>292</v>
      </c>
      <c r="H12" s="108">
        <v>833.25</v>
      </c>
      <c r="S12" s="108">
        <v>833.25</v>
      </c>
      <c r="U12" s="108">
        <v>833.25</v>
      </c>
      <c r="AT12" s="108">
        <v>833.25</v>
      </c>
      <c r="AY12" s="108">
        <v>833.25</v>
      </c>
      <c r="BB12" s="108">
        <v>833.25</v>
      </c>
    </row>
    <row r="13" spans="1:54" x14ac:dyDescent="0.2">
      <c r="B13" s="128">
        <v>4</v>
      </c>
      <c r="C13" s="114" t="s">
        <v>292</v>
      </c>
    </row>
    <row r="14" spans="1:54" x14ac:dyDescent="0.2">
      <c r="A14" s="123" t="s">
        <v>134</v>
      </c>
      <c r="B14" s="129">
        <v>1</v>
      </c>
      <c r="C14" s="125" t="s">
        <v>292</v>
      </c>
      <c r="D14" s="125"/>
      <c r="E14" s="125">
        <f t="shared" ref="E14:AZ14" si="0">D$172*SUM(D$122:D$169)</f>
        <v>0</v>
      </c>
      <c r="F14" s="125">
        <f t="shared" si="0"/>
        <v>0</v>
      </c>
      <c r="G14" s="125">
        <f t="shared" si="0"/>
        <v>0</v>
      </c>
      <c r="H14" s="125">
        <f t="shared" si="0"/>
        <v>0</v>
      </c>
      <c r="I14" s="125">
        <f t="shared" si="0"/>
        <v>749.92499999999995</v>
      </c>
      <c r="J14" s="125">
        <f t="shared" si="0"/>
        <v>249.97500000000005</v>
      </c>
      <c r="K14" s="125">
        <f t="shared" si="0"/>
        <v>249.97499999999999</v>
      </c>
      <c r="L14" s="125">
        <f t="shared" si="0"/>
        <v>249.97499999999999</v>
      </c>
      <c r="M14" s="125">
        <f t="shared" si="0"/>
        <v>0</v>
      </c>
      <c r="N14" s="125">
        <f t="shared" si="0"/>
        <v>666.6</v>
      </c>
      <c r="O14" s="125">
        <f t="shared" si="0"/>
        <v>385.9975</v>
      </c>
      <c r="P14" s="125">
        <f t="shared" si="0"/>
        <v>333.3</v>
      </c>
      <c r="Q14" s="125">
        <f t="shared" si="0"/>
        <v>1.1368683772161604E-14</v>
      </c>
      <c r="R14" s="125">
        <f t="shared" si="0"/>
        <v>166.65</v>
      </c>
      <c r="S14" s="125">
        <f t="shared" si="0"/>
        <v>166.65</v>
      </c>
      <c r="T14" s="125">
        <f t="shared" si="0"/>
        <v>166.65</v>
      </c>
      <c r="U14" s="125">
        <f t="shared" si="0"/>
        <v>0</v>
      </c>
      <c r="V14" s="125">
        <f t="shared" si="0"/>
        <v>749.92499999999995</v>
      </c>
      <c r="W14" s="125">
        <f t="shared" si="0"/>
        <v>249.97500000000005</v>
      </c>
      <c r="X14" s="125">
        <f t="shared" si="0"/>
        <v>0</v>
      </c>
      <c r="Y14" s="125">
        <f t="shared" si="0"/>
        <v>666.6</v>
      </c>
      <c r="Z14" s="125">
        <f t="shared" si="0"/>
        <v>0</v>
      </c>
      <c r="AA14" s="125">
        <f t="shared" si="0"/>
        <v>666.6</v>
      </c>
      <c r="AB14" s="125">
        <f t="shared" si="0"/>
        <v>333.3</v>
      </c>
      <c r="AC14" s="125">
        <f t="shared" si="0"/>
        <v>166.65</v>
      </c>
      <c r="AD14" s="125">
        <f t="shared" si="0"/>
        <v>0</v>
      </c>
      <c r="AE14" s="125">
        <f t="shared" si="0"/>
        <v>333.3</v>
      </c>
      <c r="AF14" s="125">
        <f t="shared" si="0"/>
        <v>81.864872971263097</v>
      </c>
      <c r="AG14" s="125">
        <f t="shared" si="0"/>
        <v>499.95</v>
      </c>
      <c r="AH14" s="125">
        <f t="shared" si="0"/>
        <v>249.97499999999999</v>
      </c>
      <c r="AI14" s="125">
        <f t="shared" si="0"/>
        <v>249.97499999999999</v>
      </c>
      <c r="AJ14" s="125">
        <f t="shared" si="0"/>
        <v>249.97499999999999</v>
      </c>
      <c r="AK14" s="125">
        <f t="shared" si="0"/>
        <v>333.3</v>
      </c>
      <c r="AL14" s="125">
        <f t="shared" si="0"/>
        <v>333.3</v>
      </c>
      <c r="AM14" s="125">
        <f t="shared" si="0"/>
        <v>333.3</v>
      </c>
      <c r="AN14" s="125">
        <f t="shared" si="0"/>
        <v>0</v>
      </c>
      <c r="AO14" s="125">
        <f t="shared" si="0"/>
        <v>333.3</v>
      </c>
      <c r="AP14" s="125">
        <f t="shared" si="0"/>
        <v>166.65</v>
      </c>
      <c r="AQ14" s="125">
        <f t="shared" si="0"/>
        <v>0</v>
      </c>
      <c r="AR14" s="125">
        <f t="shared" si="0"/>
        <v>333.3</v>
      </c>
      <c r="AS14" s="125">
        <f t="shared" si="0"/>
        <v>0</v>
      </c>
      <c r="AT14" s="125">
        <f t="shared" si="0"/>
        <v>0</v>
      </c>
      <c r="AU14" s="125">
        <f t="shared" si="0"/>
        <v>499.95</v>
      </c>
      <c r="AV14" s="125">
        <f t="shared" si="0"/>
        <v>249.97499999999999</v>
      </c>
      <c r="AW14" s="125">
        <f t="shared" si="0"/>
        <v>374.8</v>
      </c>
      <c r="AX14" s="125">
        <f t="shared" si="0"/>
        <v>0</v>
      </c>
      <c r="AY14" s="125">
        <f t="shared" si="0"/>
        <v>0</v>
      </c>
      <c r="AZ14" s="118">
        <f t="shared" si="0"/>
        <v>666.6</v>
      </c>
      <c r="BA14" s="115">
        <f>SUM($E14:$AZ14)</f>
        <v>11508.262372971263</v>
      </c>
    </row>
    <row r="15" spans="1:54" x14ac:dyDescent="0.2">
      <c r="A15" s="130" t="s">
        <v>123</v>
      </c>
      <c r="B15" s="131">
        <v>1</v>
      </c>
      <c r="C15" s="132" t="s">
        <v>292</v>
      </c>
      <c r="D15" s="132">
        <v>0</v>
      </c>
      <c r="E15" s="132">
        <v>0</v>
      </c>
      <c r="F15" s="132">
        <v>0</v>
      </c>
      <c r="G15" s="132">
        <v>0</v>
      </c>
      <c r="H15" s="132">
        <v>833.25</v>
      </c>
      <c r="I15" s="132">
        <v>833.25</v>
      </c>
      <c r="J15" s="132">
        <v>833.25</v>
      </c>
      <c r="K15" s="132">
        <v>833.25</v>
      </c>
      <c r="L15" s="132">
        <v>0</v>
      </c>
      <c r="M15" s="132">
        <v>833.25</v>
      </c>
      <c r="N15" s="132">
        <v>833.25</v>
      </c>
      <c r="O15" s="132">
        <v>833.25</v>
      </c>
      <c r="P15" s="132">
        <v>0</v>
      </c>
      <c r="Q15" s="132">
        <v>0</v>
      </c>
      <c r="R15" s="132">
        <v>833.25</v>
      </c>
      <c r="S15" s="132">
        <v>0</v>
      </c>
      <c r="T15" s="132">
        <v>0</v>
      </c>
      <c r="U15" s="132">
        <v>833.25</v>
      </c>
      <c r="V15" s="132">
        <v>833.25</v>
      </c>
      <c r="W15" s="132">
        <v>0</v>
      </c>
      <c r="X15" s="132">
        <v>833.25</v>
      </c>
      <c r="Y15" s="132">
        <v>0</v>
      </c>
      <c r="Z15" s="132">
        <v>833.25</v>
      </c>
      <c r="AA15" s="132">
        <v>833.25</v>
      </c>
      <c r="AB15" s="132">
        <v>833.25</v>
      </c>
      <c r="AC15" s="132">
        <v>0</v>
      </c>
      <c r="AD15" s="132">
        <v>833.25</v>
      </c>
      <c r="AE15" s="132">
        <v>0</v>
      </c>
      <c r="AF15" s="132">
        <v>833.25</v>
      </c>
      <c r="AG15" s="132">
        <v>833.25</v>
      </c>
      <c r="AH15" s="132">
        <v>833.25</v>
      </c>
      <c r="AI15" s="132">
        <v>833.25</v>
      </c>
      <c r="AJ15" s="132">
        <v>833.25</v>
      </c>
      <c r="AK15" s="132">
        <v>833.25</v>
      </c>
      <c r="AL15" s="132">
        <v>833.25</v>
      </c>
      <c r="AM15" s="132">
        <v>0</v>
      </c>
      <c r="AN15" s="132">
        <v>833.25</v>
      </c>
      <c r="AO15" s="132">
        <v>833.25</v>
      </c>
      <c r="AP15" s="132">
        <v>0</v>
      </c>
      <c r="AQ15" s="132">
        <v>833.25</v>
      </c>
      <c r="AR15" s="132">
        <v>0</v>
      </c>
      <c r="AS15" s="132">
        <v>0</v>
      </c>
      <c r="AT15" s="132">
        <v>0</v>
      </c>
      <c r="AU15" s="132">
        <v>0</v>
      </c>
      <c r="AV15" s="132">
        <v>937</v>
      </c>
      <c r="AW15" s="132">
        <v>0</v>
      </c>
      <c r="AX15" s="132">
        <v>0</v>
      </c>
      <c r="AY15" s="132">
        <v>0</v>
      </c>
      <c r="AZ15" s="108">
        <v>0</v>
      </c>
    </row>
    <row r="16" spans="1:54" x14ac:dyDescent="0.2">
      <c r="A16" s="118"/>
      <c r="B16" s="127">
        <v>2</v>
      </c>
      <c r="C16" s="117" t="s">
        <v>292</v>
      </c>
      <c r="D16" s="114"/>
      <c r="E16" s="118"/>
      <c r="F16" s="118">
        <v>0</v>
      </c>
      <c r="G16" s="118"/>
      <c r="H16" s="118">
        <v>833.25</v>
      </c>
      <c r="I16" s="118"/>
      <c r="J16" s="118"/>
      <c r="K16" s="118"/>
      <c r="L16" s="118"/>
      <c r="M16" s="118">
        <v>833.25</v>
      </c>
      <c r="N16" s="118"/>
      <c r="O16" s="118"/>
      <c r="P16" s="118"/>
      <c r="Q16" s="118">
        <v>833.25</v>
      </c>
      <c r="R16" s="118"/>
      <c r="S16" s="118"/>
      <c r="T16" s="118"/>
      <c r="U16" s="118">
        <v>833.25</v>
      </c>
      <c r="V16" s="118"/>
      <c r="W16" s="118"/>
      <c r="X16" s="118">
        <v>833.25</v>
      </c>
      <c r="Y16" s="118"/>
      <c r="Z16" s="118">
        <v>833.25</v>
      </c>
      <c r="AA16" s="118"/>
      <c r="AB16" s="118"/>
      <c r="AC16" s="118"/>
      <c r="AD16" s="118">
        <v>833.25</v>
      </c>
      <c r="AE16" s="118"/>
      <c r="AF16" s="118">
        <v>833.25</v>
      </c>
      <c r="AG16" s="118"/>
      <c r="AH16" s="118"/>
      <c r="AI16" s="118"/>
      <c r="AJ16" s="118"/>
      <c r="AK16" s="118"/>
      <c r="AL16" s="118"/>
      <c r="AM16" s="118"/>
      <c r="AN16" s="118">
        <v>833.25</v>
      </c>
      <c r="AO16" s="118"/>
      <c r="AP16" s="118"/>
      <c r="AQ16" s="118">
        <v>833.25</v>
      </c>
      <c r="AR16" s="118"/>
      <c r="AS16" s="118"/>
      <c r="AT16" s="118">
        <v>833.25</v>
      </c>
      <c r="AU16" s="118">
        <v>833.25</v>
      </c>
      <c r="AV16" s="118">
        <v>0</v>
      </c>
      <c r="AW16" s="118"/>
      <c r="AX16" s="118"/>
      <c r="AY16" s="118">
        <v>833.25</v>
      </c>
      <c r="AZ16" s="108">
        <v>833.25</v>
      </c>
    </row>
    <row r="17" spans="1:54" x14ac:dyDescent="0.2">
      <c r="A17" s="118"/>
      <c r="B17" s="127">
        <v>3</v>
      </c>
      <c r="C17" s="117" t="s">
        <v>292</v>
      </c>
      <c r="D17" s="114"/>
      <c r="E17" s="118"/>
      <c r="F17" s="118"/>
      <c r="G17" s="118"/>
      <c r="H17" s="118">
        <v>833.25</v>
      </c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>
        <v>833.25</v>
      </c>
      <c r="T17" s="118"/>
      <c r="U17" s="118">
        <v>833.25</v>
      </c>
      <c r="V17" s="118"/>
      <c r="W17" s="118"/>
      <c r="X17" s="118"/>
      <c r="Y17" s="118"/>
      <c r="Z17" s="118"/>
      <c r="AA17" s="118"/>
      <c r="AB17" s="118"/>
      <c r="AC17" s="118"/>
      <c r="AD17" s="118"/>
      <c r="AE17" s="118"/>
      <c r="AF17" s="118"/>
      <c r="AG17" s="118"/>
      <c r="AH17" s="118"/>
      <c r="AI17" s="118"/>
      <c r="AJ17" s="118"/>
      <c r="AK17" s="118"/>
      <c r="AL17" s="118"/>
      <c r="AM17" s="118"/>
      <c r="AN17" s="118"/>
      <c r="AO17" s="118"/>
      <c r="AP17" s="118"/>
      <c r="AQ17" s="118"/>
      <c r="AR17" s="118"/>
      <c r="AS17" s="118"/>
      <c r="AT17" s="118">
        <v>833.25</v>
      </c>
      <c r="AU17" s="118"/>
      <c r="AV17" s="118"/>
      <c r="AW17" s="118"/>
      <c r="AX17" s="118"/>
      <c r="AY17" s="118">
        <v>833.25</v>
      </c>
      <c r="BB17" s="108">
        <v>833.25</v>
      </c>
    </row>
    <row r="18" spans="1:54" x14ac:dyDescent="0.2">
      <c r="A18" s="133"/>
      <c r="B18" s="124">
        <v>4</v>
      </c>
      <c r="C18" s="133" t="s">
        <v>292</v>
      </c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3"/>
      <c r="Q18" s="133"/>
      <c r="R18" s="133"/>
      <c r="S18" s="133"/>
      <c r="T18" s="133"/>
      <c r="U18" s="133"/>
      <c r="V18" s="133"/>
      <c r="W18" s="133"/>
      <c r="X18" s="133"/>
      <c r="Y18" s="133"/>
      <c r="Z18" s="133"/>
      <c r="AA18" s="133"/>
      <c r="AB18" s="133"/>
      <c r="AC18" s="133"/>
      <c r="AD18" s="133"/>
      <c r="AE18" s="133"/>
      <c r="AF18" s="133"/>
      <c r="AG18" s="133"/>
      <c r="AH18" s="133"/>
      <c r="AI18" s="133"/>
      <c r="AJ18" s="133"/>
      <c r="AK18" s="133"/>
      <c r="AL18" s="133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</row>
    <row r="20" spans="1:54" x14ac:dyDescent="0.2">
      <c r="A20" s="110" t="s">
        <v>293</v>
      </c>
    </row>
    <row r="21" spans="1:54" x14ac:dyDescent="0.2">
      <c r="A21" s="134" t="s">
        <v>125</v>
      </c>
      <c r="B21" s="131">
        <v>1</v>
      </c>
      <c r="C21" s="132" t="s">
        <v>292</v>
      </c>
      <c r="D21" s="132"/>
      <c r="E21" s="132"/>
      <c r="F21" s="132"/>
      <c r="G21" s="132"/>
      <c r="H21" s="132"/>
      <c r="I21" s="132"/>
      <c r="J21" s="132"/>
      <c r="K21" s="132"/>
      <c r="L21" s="132"/>
      <c r="M21" s="132"/>
      <c r="N21" s="132"/>
      <c r="O21" s="132"/>
      <c r="P21" s="132"/>
      <c r="Q21" s="132"/>
      <c r="R21" s="132"/>
      <c r="S21" s="132"/>
      <c r="T21" s="132"/>
      <c r="U21" s="132"/>
      <c r="V21" s="132"/>
      <c r="W21" s="132"/>
      <c r="X21" s="132"/>
      <c r="Y21" s="132"/>
      <c r="Z21" s="132"/>
      <c r="AA21" s="132"/>
      <c r="AB21" s="132"/>
      <c r="AC21" s="132"/>
      <c r="AD21" s="132"/>
      <c r="AE21" s="132"/>
      <c r="AF21" s="132"/>
      <c r="AG21" s="132"/>
      <c r="AH21" s="132"/>
      <c r="AI21" s="132"/>
      <c r="AJ21" s="132"/>
      <c r="AK21" s="132"/>
      <c r="AL21" s="132"/>
      <c r="AM21" s="132"/>
      <c r="AN21" s="132"/>
      <c r="AO21" s="132"/>
      <c r="AP21" s="132"/>
      <c r="AQ21" s="132"/>
      <c r="AR21" s="132"/>
      <c r="AS21" s="132"/>
      <c r="AT21" s="132"/>
      <c r="AU21" s="132"/>
      <c r="AV21" s="132"/>
      <c r="AW21" s="132"/>
      <c r="AX21" s="132"/>
      <c r="AY21" s="132"/>
    </row>
    <row r="22" spans="1:54" x14ac:dyDescent="0.2">
      <c r="A22" s="117"/>
      <c r="B22" s="128">
        <v>2</v>
      </c>
      <c r="C22" s="118" t="s">
        <v>292</v>
      </c>
      <c r="D22" s="118"/>
      <c r="E22" s="118"/>
      <c r="F22" s="118"/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118"/>
      <c r="T22" s="118"/>
      <c r="U22" s="118"/>
      <c r="V22" s="118"/>
      <c r="W22" s="118"/>
      <c r="X22" s="118"/>
      <c r="Y22" s="118"/>
      <c r="Z22" s="118"/>
      <c r="AA22" s="118"/>
      <c r="AB22" s="118"/>
      <c r="AC22" s="118"/>
      <c r="AD22" s="118"/>
      <c r="AE22" s="118"/>
      <c r="AF22" s="118"/>
      <c r="AG22" s="118"/>
      <c r="AH22" s="118"/>
      <c r="AI22" s="118"/>
      <c r="AJ22" s="118"/>
      <c r="AK22" s="118"/>
      <c r="AL22" s="118"/>
      <c r="AM22" s="118"/>
      <c r="AN22" s="118"/>
      <c r="AO22" s="118"/>
      <c r="AP22" s="118"/>
      <c r="AQ22" s="118"/>
      <c r="AR22" s="118"/>
      <c r="AS22" s="118"/>
      <c r="AT22" s="118"/>
      <c r="AU22" s="118"/>
      <c r="AV22" s="118"/>
      <c r="AW22" s="118"/>
      <c r="AX22" s="118"/>
      <c r="AY22" s="118"/>
    </row>
    <row r="23" spans="1:54" x14ac:dyDescent="0.2">
      <c r="A23" s="117"/>
      <c r="B23" s="135">
        <v>3</v>
      </c>
      <c r="C23" s="118" t="s">
        <v>292</v>
      </c>
      <c r="D23" s="118"/>
      <c r="E23" s="118"/>
      <c r="F23" s="118"/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118"/>
      <c r="T23" s="118"/>
      <c r="U23" s="118"/>
      <c r="V23" s="118"/>
      <c r="W23" s="118"/>
      <c r="X23" s="118"/>
      <c r="Y23" s="118"/>
      <c r="Z23" s="118"/>
      <c r="AA23" s="118"/>
      <c r="AB23" s="118"/>
      <c r="AC23" s="118"/>
      <c r="AD23" s="118"/>
      <c r="AE23" s="118"/>
      <c r="AF23" s="118"/>
      <c r="AG23" s="118"/>
      <c r="AH23" s="118"/>
      <c r="AI23" s="118"/>
      <c r="AJ23" s="118"/>
      <c r="AK23" s="118"/>
      <c r="AL23" s="118"/>
      <c r="AM23" s="118"/>
      <c r="AN23" s="118"/>
      <c r="AO23" s="118"/>
      <c r="AP23" s="118"/>
      <c r="AQ23" s="118"/>
      <c r="AR23" s="118"/>
      <c r="AS23" s="118"/>
      <c r="AT23" s="118"/>
      <c r="AU23" s="118"/>
      <c r="AV23" s="118"/>
      <c r="AW23" s="118"/>
      <c r="AX23" s="118"/>
      <c r="AY23" s="118"/>
    </row>
    <row r="24" spans="1:54" x14ac:dyDescent="0.2">
      <c r="A24" s="136"/>
      <c r="B24" s="137">
        <v>4</v>
      </c>
      <c r="C24" s="136" t="s">
        <v>292</v>
      </c>
      <c r="D24" s="133">
        <v>0</v>
      </c>
      <c r="E24" s="133">
        <v>0</v>
      </c>
      <c r="F24" s="133">
        <v>0</v>
      </c>
      <c r="G24" s="133">
        <v>0</v>
      </c>
      <c r="H24" s="133">
        <v>0</v>
      </c>
      <c r="I24" s="133">
        <v>0</v>
      </c>
      <c r="J24" s="133">
        <v>0</v>
      </c>
      <c r="K24" s="133">
        <v>0</v>
      </c>
      <c r="L24" s="133">
        <v>0</v>
      </c>
      <c r="M24" s="133">
        <v>0</v>
      </c>
      <c r="N24" s="133">
        <v>0</v>
      </c>
      <c r="O24" s="133">
        <v>0</v>
      </c>
      <c r="P24" s="133">
        <v>0</v>
      </c>
      <c r="Q24" s="133">
        <v>0</v>
      </c>
      <c r="R24" s="133">
        <v>0</v>
      </c>
      <c r="S24" s="133">
        <v>0</v>
      </c>
      <c r="T24" s="133">
        <v>0</v>
      </c>
      <c r="U24" s="133">
        <v>0</v>
      </c>
      <c r="V24" s="133">
        <v>0</v>
      </c>
      <c r="W24" s="133">
        <v>0</v>
      </c>
      <c r="X24" s="133">
        <v>0</v>
      </c>
      <c r="Y24" s="133">
        <v>0</v>
      </c>
      <c r="Z24" s="133">
        <v>0</v>
      </c>
      <c r="AA24" s="133">
        <v>0</v>
      </c>
      <c r="AB24" s="133">
        <v>0</v>
      </c>
      <c r="AC24" s="133">
        <v>0</v>
      </c>
      <c r="AD24" s="133">
        <v>0</v>
      </c>
      <c r="AE24" s="133">
        <v>0</v>
      </c>
      <c r="AF24" s="133">
        <v>0</v>
      </c>
      <c r="AG24" s="133">
        <v>0</v>
      </c>
      <c r="AH24" s="133">
        <v>0</v>
      </c>
      <c r="AI24" s="133">
        <v>0</v>
      </c>
      <c r="AJ24" s="133">
        <v>0</v>
      </c>
      <c r="AK24" s="133">
        <v>0</v>
      </c>
      <c r="AL24" s="133">
        <v>0</v>
      </c>
      <c r="AM24" s="133">
        <v>0</v>
      </c>
      <c r="AN24" s="133">
        <v>0</v>
      </c>
      <c r="AO24" s="133">
        <v>0</v>
      </c>
      <c r="AP24" s="133">
        <v>0</v>
      </c>
      <c r="AQ24" s="133">
        <v>0</v>
      </c>
      <c r="AR24" s="133">
        <v>0</v>
      </c>
      <c r="AS24" s="133">
        <v>0</v>
      </c>
      <c r="AT24" s="133">
        <v>0</v>
      </c>
      <c r="AU24" s="133">
        <v>0</v>
      </c>
      <c r="AV24" s="133">
        <v>0</v>
      </c>
      <c r="AW24" s="133">
        <v>0</v>
      </c>
      <c r="AX24" s="133">
        <v>0</v>
      </c>
      <c r="AY24" s="133">
        <v>0</v>
      </c>
    </row>
    <row r="25" spans="1:54" x14ac:dyDescent="0.2">
      <c r="A25" s="134" t="s">
        <v>133</v>
      </c>
      <c r="B25" s="131">
        <v>1</v>
      </c>
      <c r="C25" s="117" t="s">
        <v>292</v>
      </c>
      <c r="D25" s="118"/>
      <c r="E25" s="118"/>
      <c r="F25" s="118"/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118"/>
      <c r="T25" s="118"/>
      <c r="U25" s="118"/>
      <c r="V25" s="118"/>
      <c r="W25" s="118"/>
      <c r="X25" s="118"/>
      <c r="Y25" s="118"/>
      <c r="Z25" s="118"/>
      <c r="AA25" s="118"/>
      <c r="AB25" s="118"/>
      <c r="AC25" s="118"/>
      <c r="AD25" s="118"/>
      <c r="AE25" s="118"/>
      <c r="AF25" s="118"/>
      <c r="AG25" s="118"/>
      <c r="AH25" s="118"/>
      <c r="AI25" s="118"/>
      <c r="AJ25" s="118"/>
      <c r="AK25" s="118"/>
      <c r="AL25" s="118"/>
      <c r="AM25" s="118"/>
      <c r="AN25" s="118"/>
      <c r="AO25" s="118"/>
      <c r="AP25" s="118"/>
      <c r="AQ25" s="118"/>
      <c r="AR25" s="118"/>
      <c r="AS25" s="118"/>
      <c r="AT25" s="118"/>
      <c r="AU25" s="118"/>
      <c r="AV25" s="118"/>
      <c r="AW25" s="118"/>
      <c r="AX25" s="118"/>
      <c r="AY25" s="118"/>
    </row>
    <row r="26" spans="1:54" x14ac:dyDescent="0.2">
      <c r="A26" s="117"/>
      <c r="B26" s="127">
        <v>2</v>
      </c>
      <c r="C26" s="117" t="s">
        <v>292</v>
      </c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118"/>
      <c r="T26" s="118"/>
      <c r="U26" s="118"/>
      <c r="V26" s="118"/>
      <c r="W26" s="118"/>
      <c r="X26" s="118"/>
      <c r="Y26" s="118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</row>
    <row r="27" spans="1:54" x14ac:dyDescent="0.2">
      <c r="A27" s="117"/>
      <c r="B27" s="128">
        <v>3</v>
      </c>
      <c r="C27" s="117" t="s">
        <v>292</v>
      </c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</row>
    <row r="28" spans="1:54" x14ac:dyDescent="0.2">
      <c r="A28" s="117"/>
      <c r="B28" s="128">
        <v>4</v>
      </c>
      <c r="C28" s="117" t="s">
        <v>292</v>
      </c>
      <c r="D28" s="118"/>
      <c r="E28" s="118"/>
      <c r="F28" s="118"/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118"/>
      <c r="T28" s="118"/>
      <c r="U28" s="118"/>
      <c r="V28" s="118"/>
      <c r="W28" s="118"/>
      <c r="X28" s="118"/>
      <c r="Y28" s="118"/>
      <c r="Z28" s="118"/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</row>
    <row r="29" spans="1:54" x14ac:dyDescent="0.2">
      <c r="A29" s="117"/>
      <c r="B29" s="135">
        <v>5</v>
      </c>
      <c r="C29" s="117" t="s">
        <v>292</v>
      </c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11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</row>
    <row r="30" spans="1:54" x14ac:dyDescent="0.2">
      <c r="A30" s="117"/>
      <c r="B30" s="135">
        <v>6</v>
      </c>
      <c r="C30" s="117" t="s">
        <v>292</v>
      </c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118"/>
      <c r="AE30" s="118"/>
      <c r="AF30" s="118"/>
      <c r="AG30" s="118"/>
      <c r="AH30" s="118"/>
      <c r="AI30" s="118"/>
      <c r="AJ30" s="118"/>
      <c r="AK30" s="118"/>
      <c r="AL30" s="118"/>
      <c r="AM30" s="118"/>
      <c r="AN30" s="118"/>
      <c r="AO30" s="118"/>
      <c r="AP30" s="118"/>
      <c r="AQ30" s="118"/>
      <c r="AR30" s="118"/>
      <c r="AS30" s="118"/>
      <c r="AT30" s="118"/>
      <c r="AU30" s="118"/>
      <c r="AV30" s="118"/>
      <c r="AW30" s="118"/>
      <c r="AX30" s="118"/>
      <c r="AY30" s="118"/>
    </row>
    <row r="31" spans="1:54" x14ac:dyDescent="0.2">
      <c r="A31" s="117"/>
      <c r="B31" s="138">
        <v>7</v>
      </c>
      <c r="C31" s="117" t="s">
        <v>292</v>
      </c>
      <c r="D31" s="118"/>
      <c r="E31" s="118"/>
      <c r="F31" s="118"/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118"/>
      <c r="T31" s="118"/>
      <c r="U31" s="118"/>
      <c r="V31" s="118"/>
      <c r="W31" s="118"/>
      <c r="X31" s="118"/>
      <c r="Y31" s="118"/>
      <c r="Z31" s="118"/>
      <c r="AA31" s="118"/>
      <c r="AB31" s="118"/>
      <c r="AC31" s="118"/>
      <c r="AD31" s="118"/>
      <c r="AE31" s="118"/>
      <c r="AF31" s="118"/>
      <c r="AG31" s="118"/>
      <c r="AH31" s="118"/>
      <c r="AI31" s="118"/>
      <c r="AJ31" s="118"/>
      <c r="AK31" s="118"/>
      <c r="AL31" s="118"/>
      <c r="AM31" s="118"/>
      <c r="AN31" s="118"/>
      <c r="AO31" s="118"/>
      <c r="AP31" s="118"/>
      <c r="AQ31" s="118"/>
      <c r="AR31" s="118"/>
      <c r="AS31" s="118"/>
      <c r="AT31" s="118"/>
      <c r="AU31" s="118"/>
      <c r="AV31" s="118"/>
      <c r="AW31" s="118"/>
      <c r="AX31" s="118"/>
      <c r="AY31" s="118"/>
    </row>
    <row r="32" spans="1:54" x14ac:dyDescent="0.2">
      <c r="A32" s="136"/>
      <c r="B32" s="137">
        <v>8</v>
      </c>
      <c r="C32" s="136" t="s">
        <v>292</v>
      </c>
      <c r="D32" s="133">
        <v>0</v>
      </c>
      <c r="E32" s="133">
        <v>0</v>
      </c>
      <c r="F32" s="133">
        <v>0</v>
      </c>
      <c r="G32" s="133">
        <v>0</v>
      </c>
      <c r="H32" s="133">
        <v>0</v>
      </c>
      <c r="I32" s="133">
        <v>0</v>
      </c>
      <c r="J32" s="133">
        <v>0</v>
      </c>
      <c r="K32" s="133">
        <v>0</v>
      </c>
      <c r="L32" s="133">
        <v>0</v>
      </c>
      <c r="M32" s="133">
        <v>0</v>
      </c>
      <c r="N32" s="133">
        <v>0</v>
      </c>
      <c r="O32" s="133">
        <v>0</v>
      </c>
      <c r="P32" s="133">
        <v>0</v>
      </c>
      <c r="Q32" s="133">
        <v>0</v>
      </c>
      <c r="R32" s="133">
        <v>0</v>
      </c>
      <c r="S32" s="133">
        <v>0</v>
      </c>
      <c r="T32" s="133">
        <v>0</v>
      </c>
      <c r="U32" s="133">
        <v>0</v>
      </c>
      <c r="V32" s="133">
        <v>0</v>
      </c>
      <c r="W32" s="133">
        <v>0</v>
      </c>
      <c r="X32" s="133">
        <v>0</v>
      </c>
      <c r="Y32" s="133">
        <v>0</v>
      </c>
      <c r="Z32" s="133">
        <v>0</v>
      </c>
      <c r="AA32" s="133">
        <v>0</v>
      </c>
      <c r="AB32" s="133">
        <v>0</v>
      </c>
      <c r="AC32" s="133">
        <v>0</v>
      </c>
      <c r="AD32" s="133">
        <v>0</v>
      </c>
      <c r="AE32" s="133">
        <v>0</v>
      </c>
      <c r="AF32" s="133">
        <v>0</v>
      </c>
      <c r="AG32" s="133">
        <v>0</v>
      </c>
      <c r="AH32" s="133">
        <v>0</v>
      </c>
      <c r="AI32" s="133">
        <v>0</v>
      </c>
      <c r="AJ32" s="133">
        <v>0</v>
      </c>
      <c r="AK32" s="133">
        <v>0</v>
      </c>
      <c r="AL32" s="133">
        <v>0</v>
      </c>
      <c r="AM32" s="133">
        <v>0</v>
      </c>
      <c r="AN32" s="133">
        <v>0</v>
      </c>
      <c r="AO32" s="133">
        <v>0</v>
      </c>
      <c r="AP32" s="133">
        <v>0</v>
      </c>
      <c r="AQ32" s="133">
        <v>0</v>
      </c>
      <c r="AR32" s="133">
        <v>0</v>
      </c>
      <c r="AS32" s="133">
        <v>0</v>
      </c>
      <c r="AT32" s="133">
        <v>0</v>
      </c>
      <c r="AU32" s="133">
        <v>0</v>
      </c>
      <c r="AV32" s="133">
        <v>0</v>
      </c>
      <c r="AW32" s="133">
        <v>0</v>
      </c>
      <c r="AX32" s="133">
        <v>0</v>
      </c>
      <c r="AY32" s="133">
        <v>0</v>
      </c>
    </row>
    <row r="33" spans="1:51" x14ac:dyDescent="0.2">
      <c r="A33" s="139" t="s">
        <v>134</v>
      </c>
      <c r="B33" s="127">
        <v>1</v>
      </c>
      <c r="C33" s="117" t="s">
        <v>292</v>
      </c>
      <c r="D33" s="114"/>
      <c r="E33" s="114"/>
      <c r="F33" s="114"/>
      <c r="G33" s="114"/>
      <c r="H33" s="114"/>
      <c r="I33" s="114"/>
      <c r="J33" s="114"/>
      <c r="K33" s="114"/>
      <c r="L33" s="114"/>
      <c r="M33" s="114"/>
      <c r="N33" s="114"/>
      <c r="O33" s="114"/>
      <c r="P33" s="114"/>
      <c r="Q33" s="114"/>
      <c r="R33" s="114"/>
      <c r="S33" s="114"/>
      <c r="T33" s="114"/>
      <c r="U33" s="114"/>
      <c r="V33" s="114"/>
      <c r="W33" s="114"/>
      <c r="X33" s="114"/>
      <c r="Y33" s="114"/>
      <c r="Z33" s="114"/>
      <c r="AA33" s="114"/>
      <c r="AB33" s="114"/>
      <c r="AC33" s="114"/>
      <c r="AD33" s="114"/>
      <c r="AE33" s="114"/>
      <c r="AF33" s="114"/>
      <c r="AG33" s="114"/>
      <c r="AH33" s="114"/>
      <c r="AI33" s="114"/>
      <c r="AJ33" s="114"/>
      <c r="AK33" s="114"/>
      <c r="AL33" s="114"/>
      <c r="AM33" s="114"/>
      <c r="AN33" s="114"/>
      <c r="AO33" s="114"/>
      <c r="AP33" s="114"/>
      <c r="AQ33" s="114"/>
      <c r="AR33" s="114"/>
      <c r="AS33" s="114"/>
      <c r="AT33" s="114"/>
      <c r="AU33" s="114"/>
      <c r="AV33" s="114"/>
      <c r="AW33" s="114"/>
      <c r="AX33" s="114"/>
      <c r="AY33" s="114"/>
    </row>
    <row r="34" spans="1:51" x14ac:dyDescent="0.2">
      <c r="A34" s="117"/>
      <c r="B34" s="127">
        <v>2</v>
      </c>
      <c r="C34" s="117" t="s">
        <v>292</v>
      </c>
      <c r="D34" s="114"/>
      <c r="E34" s="114"/>
      <c r="F34" s="114"/>
      <c r="G34" s="114"/>
      <c r="H34" s="114"/>
      <c r="I34" s="114"/>
      <c r="J34" s="114"/>
      <c r="K34" s="114"/>
      <c r="L34" s="114"/>
      <c r="M34" s="114"/>
      <c r="N34" s="114"/>
      <c r="O34" s="114"/>
      <c r="P34" s="114"/>
      <c r="Q34" s="114"/>
      <c r="R34" s="114"/>
      <c r="S34" s="114"/>
      <c r="T34" s="114"/>
      <c r="U34" s="114"/>
      <c r="V34" s="114"/>
      <c r="W34" s="114"/>
      <c r="X34" s="114"/>
      <c r="Y34" s="114"/>
      <c r="Z34" s="114"/>
      <c r="AA34" s="114"/>
      <c r="AB34" s="114"/>
      <c r="AC34" s="114"/>
      <c r="AD34" s="114"/>
      <c r="AE34" s="114"/>
      <c r="AF34" s="114"/>
      <c r="AG34" s="114"/>
      <c r="AH34" s="114"/>
      <c r="AI34" s="114"/>
      <c r="AJ34" s="114"/>
      <c r="AK34" s="114"/>
      <c r="AL34" s="114"/>
      <c r="AM34" s="114"/>
      <c r="AN34" s="114"/>
      <c r="AO34" s="114"/>
      <c r="AP34" s="114"/>
      <c r="AQ34" s="114"/>
      <c r="AR34" s="114"/>
      <c r="AS34" s="114"/>
      <c r="AT34" s="114"/>
      <c r="AU34" s="114"/>
      <c r="AV34" s="114"/>
      <c r="AW34" s="114"/>
      <c r="AX34" s="114"/>
      <c r="AY34" s="114"/>
    </row>
    <row r="35" spans="1:51" x14ac:dyDescent="0.2">
      <c r="A35" s="117"/>
      <c r="B35" s="127">
        <v>3</v>
      </c>
      <c r="C35" s="117" t="s">
        <v>292</v>
      </c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114"/>
      <c r="AA35" s="114"/>
      <c r="AB35" s="114"/>
      <c r="AC35" s="114"/>
      <c r="AD35" s="114"/>
      <c r="AE35" s="114"/>
      <c r="AF35" s="114"/>
      <c r="AG35" s="114"/>
      <c r="AH35" s="114"/>
      <c r="AI35" s="114"/>
      <c r="AJ35" s="114"/>
      <c r="AK35" s="114"/>
      <c r="AL35" s="114"/>
      <c r="AM35" s="114"/>
      <c r="AN35" s="114"/>
      <c r="AO35" s="114"/>
      <c r="AP35" s="114"/>
      <c r="AQ35" s="114"/>
      <c r="AR35" s="114"/>
      <c r="AS35" s="114"/>
      <c r="AT35" s="114"/>
      <c r="AU35" s="114"/>
      <c r="AV35" s="114"/>
      <c r="AW35" s="114"/>
      <c r="AX35" s="114"/>
      <c r="AY35" s="114"/>
    </row>
    <row r="36" spans="1:51" x14ac:dyDescent="0.2">
      <c r="A36" s="117"/>
      <c r="B36" s="128">
        <v>4</v>
      </c>
      <c r="C36" s="117" t="s">
        <v>292</v>
      </c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114"/>
      <c r="AA36" s="114"/>
      <c r="AB36" s="114"/>
      <c r="AC36" s="114"/>
      <c r="AD36" s="114"/>
      <c r="AE36" s="114"/>
      <c r="AF36" s="114"/>
      <c r="AG36" s="114"/>
      <c r="AH36" s="114"/>
      <c r="AI36" s="114"/>
      <c r="AJ36" s="114"/>
      <c r="AK36" s="114"/>
      <c r="AL36" s="114"/>
      <c r="AM36" s="114"/>
      <c r="AN36" s="114"/>
      <c r="AO36" s="114"/>
      <c r="AP36" s="114"/>
      <c r="AQ36" s="114"/>
      <c r="AR36" s="114"/>
      <c r="AS36" s="114"/>
      <c r="AT36" s="114"/>
      <c r="AU36" s="114"/>
      <c r="AV36" s="114"/>
      <c r="AW36" s="114"/>
      <c r="AX36" s="114"/>
      <c r="AY36" s="114"/>
    </row>
    <row r="37" spans="1:51" x14ac:dyDescent="0.2">
      <c r="A37" s="117"/>
      <c r="B37" s="128">
        <v>5</v>
      </c>
      <c r="C37" s="117" t="s">
        <v>292</v>
      </c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  <c r="Y37" s="114"/>
      <c r="Z37" s="114"/>
      <c r="AA37" s="114"/>
      <c r="AB37" s="114"/>
      <c r="AC37" s="114"/>
      <c r="AD37" s="114"/>
      <c r="AE37" s="114"/>
      <c r="AF37" s="114"/>
      <c r="AG37" s="114"/>
      <c r="AH37" s="114"/>
      <c r="AI37" s="114"/>
      <c r="AJ37" s="114"/>
      <c r="AK37" s="114"/>
      <c r="AL37" s="114"/>
      <c r="AM37" s="114"/>
      <c r="AN37" s="114"/>
      <c r="AO37" s="114"/>
      <c r="AP37" s="114"/>
      <c r="AQ37" s="114"/>
      <c r="AR37" s="114"/>
      <c r="AS37" s="114"/>
      <c r="AT37" s="114"/>
      <c r="AU37" s="114"/>
      <c r="AV37" s="114"/>
      <c r="AW37" s="114"/>
      <c r="AX37" s="114"/>
      <c r="AY37" s="114"/>
    </row>
    <row r="38" spans="1:51" x14ac:dyDescent="0.2">
      <c r="A38" s="117"/>
      <c r="B38" s="128">
        <v>6</v>
      </c>
      <c r="C38" s="117" t="s">
        <v>292</v>
      </c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114"/>
      <c r="AA38" s="114"/>
      <c r="AB38" s="114"/>
      <c r="AC38" s="114"/>
      <c r="AD38" s="114"/>
      <c r="AE38" s="114"/>
      <c r="AF38" s="114"/>
      <c r="AG38" s="114"/>
      <c r="AH38" s="114"/>
      <c r="AI38" s="114"/>
      <c r="AJ38" s="114"/>
      <c r="AK38" s="114"/>
      <c r="AL38" s="114"/>
      <c r="AM38" s="114"/>
      <c r="AN38" s="114"/>
      <c r="AO38" s="114"/>
      <c r="AP38" s="114"/>
      <c r="AQ38" s="114"/>
      <c r="AR38" s="114"/>
      <c r="AS38" s="114"/>
      <c r="AT38" s="114"/>
      <c r="AU38" s="114"/>
      <c r="AV38" s="114"/>
      <c r="AW38" s="114"/>
      <c r="AX38" s="114"/>
      <c r="AY38" s="114"/>
    </row>
    <row r="39" spans="1:51" x14ac:dyDescent="0.2">
      <c r="A39" s="117"/>
      <c r="B39" s="135">
        <v>7</v>
      </c>
      <c r="C39" s="117" t="s">
        <v>292</v>
      </c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/>
      <c r="X39" s="114"/>
      <c r="Y39" s="114"/>
      <c r="Z39" s="114"/>
      <c r="AA39" s="114"/>
      <c r="AB39" s="114"/>
      <c r="AC39" s="114"/>
      <c r="AD39" s="114"/>
      <c r="AE39" s="114"/>
      <c r="AF39" s="114"/>
      <c r="AG39" s="114"/>
      <c r="AH39" s="114"/>
      <c r="AI39" s="114"/>
      <c r="AJ39" s="114"/>
      <c r="AK39" s="114"/>
      <c r="AL39" s="114"/>
      <c r="AM39" s="114"/>
      <c r="AN39" s="114"/>
      <c r="AO39" s="114"/>
      <c r="AP39" s="114"/>
      <c r="AQ39" s="114"/>
      <c r="AR39" s="114"/>
      <c r="AS39" s="114"/>
      <c r="AT39" s="114"/>
      <c r="AU39" s="114"/>
      <c r="AV39" s="114"/>
      <c r="AW39" s="114"/>
      <c r="AX39" s="114"/>
      <c r="AY39" s="114"/>
    </row>
    <row r="40" spans="1:51" x14ac:dyDescent="0.2">
      <c r="A40" s="117"/>
      <c r="B40" s="135">
        <v>8</v>
      </c>
      <c r="C40" s="117" t="s">
        <v>292</v>
      </c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114"/>
      <c r="AA40" s="114"/>
      <c r="AB40" s="114"/>
      <c r="AC40" s="114"/>
      <c r="AD40" s="114"/>
      <c r="AE40" s="114"/>
      <c r="AF40" s="114"/>
      <c r="AG40" s="114"/>
      <c r="AH40" s="114"/>
      <c r="AI40" s="114"/>
      <c r="AJ40" s="114"/>
      <c r="AK40" s="114"/>
      <c r="AL40" s="114"/>
      <c r="AM40" s="114"/>
      <c r="AN40" s="114"/>
      <c r="AO40" s="114"/>
      <c r="AP40" s="114"/>
      <c r="AQ40" s="114"/>
      <c r="AR40" s="114"/>
      <c r="AS40" s="114"/>
      <c r="AT40" s="114"/>
      <c r="AU40" s="114"/>
      <c r="AV40" s="114"/>
      <c r="AW40" s="114"/>
      <c r="AX40" s="114"/>
      <c r="AY40" s="114"/>
    </row>
    <row r="41" spans="1:51" x14ac:dyDescent="0.2">
      <c r="A41" s="117"/>
      <c r="B41" s="135">
        <v>9</v>
      </c>
      <c r="C41" s="117" t="s">
        <v>292</v>
      </c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/>
      <c r="X41" s="114"/>
      <c r="Y41" s="114"/>
      <c r="Z41" s="114"/>
      <c r="AA41" s="114"/>
      <c r="AB41" s="114"/>
      <c r="AC41" s="114"/>
      <c r="AD41" s="114"/>
      <c r="AE41" s="114"/>
      <c r="AF41" s="114"/>
      <c r="AG41" s="114"/>
      <c r="AH41" s="114"/>
      <c r="AI41" s="114"/>
      <c r="AJ41" s="114"/>
      <c r="AK41" s="114"/>
      <c r="AL41" s="114"/>
      <c r="AM41" s="114"/>
      <c r="AN41" s="114"/>
      <c r="AO41" s="114"/>
      <c r="AP41" s="114"/>
      <c r="AQ41" s="114"/>
      <c r="AR41" s="114"/>
      <c r="AS41" s="114"/>
      <c r="AT41" s="114"/>
      <c r="AU41" s="114"/>
      <c r="AV41" s="114"/>
      <c r="AW41" s="114"/>
      <c r="AX41" s="114"/>
      <c r="AY41" s="114"/>
    </row>
    <row r="42" spans="1:51" x14ac:dyDescent="0.2">
      <c r="A42" s="117"/>
      <c r="B42" s="138">
        <v>10</v>
      </c>
      <c r="C42" s="117" t="s">
        <v>292</v>
      </c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  <c r="AJ42" s="114"/>
      <c r="AK42" s="114"/>
      <c r="AL42" s="114"/>
      <c r="AM42" s="114"/>
      <c r="AN42" s="114"/>
      <c r="AO42" s="114"/>
      <c r="AP42" s="114"/>
      <c r="AQ42" s="114"/>
      <c r="AR42" s="114"/>
      <c r="AS42" s="114"/>
      <c r="AT42" s="114"/>
      <c r="AU42" s="114"/>
      <c r="AV42" s="114"/>
      <c r="AW42" s="114"/>
      <c r="AX42" s="114"/>
      <c r="AY42" s="114"/>
    </row>
    <row r="43" spans="1:51" x14ac:dyDescent="0.2">
      <c r="A43" s="117"/>
      <c r="B43" s="138">
        <v>11</v>
      </c>
      <c r="C43" s="117" t="s">
        <v>292</v>
      </c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114"/>
      <c r="AA43" s="114"/>
      <c r="AB43" s="114"/>
      <c r="AC43" s="114"/>
      <c r="AD43" s="114"/>
      <c r="AE43" s="114"/>
      <c r="AF43" s="114"/>
      <c r="AG43" s="114"/>
      <c r="AH43" s="114"/>
      <c r="AI43" s="114"/>
      <c r="AJ43" s="114"/>
      <c r="AK43" s="114"/>
      <c r="AL43" s="114"/>
      <c r="AM43" s="114"/>
      <c r="AN43" s="114"/>
      <c r="AO43" s="114"/>
      <c r="AP43" s="114"/>
      <c r="AQ43" s="114"/>
      <c r="AR43" s="114"/>
      <c r="AS43" s="114"/>
      <c r="AT43" s="114"/>
      <c r="AU43" s="114"/>
      <c r="AV43" s="114"/>
      <c r="AW43" s="114"/>
      <c r="AX43" s="114"/>
      <c r="AY43" s="114"/>
    </row>
    <row r="44" spans="1:51" x14ac:dyDescent="0.2">
      <c r="A44" s="117"/>
      <c r="B44" s="138">
        <v>12</v>
      </c>
      <c r="C44" s="136" t="s">
        <v>292</v>
      </c>
      <c r="D44" s="114">
        <v>0</v>
      </c>
      <c r="E44" s="114">
        <v>0</v>
      </c>
      <c r="F44" s="114">
        <v>0</v>
      </c>
      <c r="G44" s="114">
        <v>0</v>
      </c>
      <c r="H44" s="114">
        <v>0</v>
      </c>
      <c r="I44" s="114">
        <v>0</v>
      </c>
      <c r="J44" s="114">
        <v>0</v>
      </c>
      <c r="K44" s="114">
        <v>0</v>
      </c>
      <c r="L44" s="114">
        <v>0</v>
      </c>
      <c r="M44" s="114">
        <v>0</v>
      </c>
      <c r="N44" s="114">
        <v>0</v>
      </c>
      <c r="O44" s="114">
        <v>0</v>
      </c>
      <c r="P44" s="114">
        <v>0</v>
      </c>
      <c r="Q44" s="114">
        <v>0</v>
      </c>
      <c r="R44" s="114">
        <v>0</v>
      </c>
      <c r="S44" s="114">
        <v>0</v>
      </c>
      <c r="T44" s="114">
        <v>0</v>
      </c>
      <c r="U44" s="114">
        <v>0</v>
      </c>
      <c r="V44" s="114">
        <v>0</v>
      </c>
      <c r="W44" s="114">
        <v>0</v>
      </c>
      <c r="X44" s="114">
        <v>0</v>
      </c>
      <c r="Y44" s="114">
        <v>0</v>
      </c>
      <c r="Z44" s="114">
        <v>0</v>
      </c>
      <c r="AA44" s="114">
        <v>0</v>
      </c>
      <c r="AB44" s="114">
        <v>0</v>
      </c>
      <c r="AC44" s="114">
        <v>0</v>
      </c>
      <c r="AD44" s="114">
        <v>0</v>
      </c>
      <c r="AE44" s="114">
        <v>0</v>
      </c>
      <c r="AF44" s="114">
        <v>0</v>
      </c>
      <c r="AG44" s="114">
        <v>0</v>
      </c>
      <c r="AH44" s="114">
        <v>0</v>
      </c>
      <c r="AI44" s="114">
        <v>0</v>
      </c>
      <c r="AJ44" s="114">
        <v>0</v>
      </c>
      <c r="AK44" s="114">
        <v>0</v>
      </c>
      <c r="AL44" s="114">
        <v>0</v>
      </c>
      <c r="AM44" s="114">
        <v>0</v>
      </c>
      <c r="AN44" s="114">
        <v>0</v>
      </c>
      <c r="AO44" s="114">
        <v>0</v>
      </c>
      <c r="AP44" s="114">
        <v>0</v>
      </c>
      <c r="AQ44" s="114">
        <v>0</v>
      </c>
      <c r="AR44" s="114">
        <v>0</v>
      </c>
      <c r="AS44" s="114">
        <v>0</v>
      </c>
      <c r="AT44" s="114">
        <v>0</v>
      </c>
      <c r="AU44" s="114">
        <v>0</v>
      </c>
      <c r="AV44" s="114">
        <v>0</v>
      </c>
      <c r="AW44" s="114">
        <v>0</v>
      </c>
      <c r="AX44" s="114">
        <v>0</v>
      </c>
      <c r="AY44" s="114">
        <v>0</v>
      </c>
    </row>
    <row r="45" spans="1:51" x14ac:dyDescent="0.2">
      <c r="A45" s="134" t="s">
        <v>123</v>
      </c>
      <c r="B45" s="131">
        <v>1</v>
      </c>
      <c r="C45" s="117" t="s">
        <v>292</v>
      </c>
      <c r="D45" s="132"/>
      <c r="E45" s="132"/>
      <c r="F45" s="132"/>
      <c r="G45" s="132"/>
      <c r="H45" s="132"/>
      <c r="I45" s="132"/>
      <c r="J45" s="132"/>
      <c r="K45" s="132"/>
      <c r="L45" s="132"/>
      <c r="M45" s="132"/>
      <c r="N45" s="132"/>
      <c r="O45" s="132"/>
      <c r="P45" s="132"/>
      <c r="Q45" s="132"/>
      <c r="R45" s="132"/>
      <c r="S45" s="132"/>
      <c r="T45" s="132"/>
      <c r="U45" s="132"/>
      <c r="V45" s="132"/>
      <c r="W45" s="132"/>
      <c r="X45" s="132"/>
      <c r="Y45" s="132"/>
      <c r="Z45" s="132"/>
      <c r="AA45" s="132"/>
      <c r="AB45" s="132"/>
      <c r="AC45" s="132"/>
      <c r="AD45" s="132"/>
      <c r="AE45" s="132"/>
      <c r="AF45" s="132"/>
      <c r="AG45" s="132"/>
      <c r="AH45" s="132"/>
      <c r="AI45" s="132"/>
      <c r="AJ45" s="132"/>
      <c r="AK45" s="132"/>
      <c r="AL45" s="132"/>
      <c r="AM45" s="132"/>
      <c r="AN45" s="132"/>
      <c r="AO45" s="132"/>
      <c r="AP45" s="132"/>
      <c r="AQ45" s="132"/>
      <c r="AR45" s="132"/>
      <c r="AS45" s="132"/>
      <c r="AT45" s="132"/>
      <c r="AU45" s="132"/>
      <c r="AV45" s="132"/>
      <c r="AW45" s="132"/>
      <c r="AX45" s="132"/>
      <c r="AY45" s="132"/>
    </row>
    <row r="46" spans="1:51" x14ac:dyDescent="0.2">
      <c r="A46" s="117"/>
      <c r="B46" s="127">
        <v>2</v>
      </c>
      <c r="C46" s="117" t="s">
        <v>292</v>
      </c>
      <c r="D46" s="118"/>
      <c r="E46" s="118"/>
      <c r="F46" s="118"/>
      <c r="G46" s="118"/>
      <c r="H46" s="118"/>
      <c r="I46" s="118"/>
      <c r="J46" s="118"/>
      <c r="K46" s="118"/>
      <c r="L46" s="118"/>
      <c r="M46" s="118"/>
      <c r="N46" s="118"/>
      <c r="O46" s="118"/>
      <c r="P46" s="118"/>
      <c r="Q46" s="118"/>
      <c r="R46" s="118"/>
      <c r="S46" s="118"/>
      <c r="T46" s="118"/>
      <c r="U46" s="118"/>
      <c r="V46" s="118"/>
      <c r="W46" s="118"/>
      <c r="X46" s="118"/>
      <c r="Y46" s="118"/>
      <c r="Z46" s="118"/>
      <c r="AA46" s="118"/>
      <c r="AB46" s="118"/>
      <c r="AC46" s="118"/>
      <c r="AD46" s="118"/>
      <c r="AE46" s="118"/>
      <c r="AF46" s="118"/>
      <c r="AG46" s="118"/>
      <c r="AH46" s="118"/>
      <c r="AI46" s="118"/>
      <c r="AJ46" s="118"/>
      <c r="AK46" s="118"/>
      <c r="AL46" s="118"/>
      <c r="AM46" s="118"/>
      <c r="AN46" s="118"/>
      <c r="AO46" s="118"/>
      <c r="AP46" s="118"/>
      <c r="AQ46" s="118"/>
      <c r="AR46" s="118"/>
      <c r="AS46" s="118"/>
      <c r="AT46" s="118"/>
      <c r="AU46" s="118"/>
      <c r="AV46" s="118"/>
      <c r="AW46" s="118"/>
      <c r="AX46" s="118"/>
      <c r="AY46" s="118"/>
    </row>
    <row r="47" spans="1:51" x14ac:dyDescent="0.2">
      <c r="A47" s="117"/>
      <c r="B47" s="127">
        <v>3</v>
      </c>
      <c r="C47" s="117" t="s">
        <v>292</v>
      </c>
      <c r="D47" s="118"/>
      <c r="E47" s="118"/>
      <c r="F47" s="118"/>
      <c r="G47" s="118"/>
      <c r="H47" s="118"/>
      <c r="I47" s="118"/>
      <c r="J47" s="118"/>
      <c r="K47" s="118"/>
      <c r="L47" s="118"/>
      <c r="M47" s="118"/>
      <c r="N47" s="118"/>
      <c r="O47" s="118"/>
      <c r="P47" s="118"/>
      <c r="Q47" s="118"/>
      <c r="R47" s="118"/>
      <c r="S47" s="118"/>
      <c r="T47" s="118"/>
      <c r="U47" s="118"/>
      <c r="V47" s="118"/>
      <c r="W47" s="118"/>
      <c r="X47" s="118"/>
      <c r="Y47" s="118"/>
      <c r="Z47" s="118"/>
      <c r="AA47" s="118"/>
      <c r="AB47" s="118"/>
      <c r="AC47" s="118"/>
      <c r="AD47" s="118"/>
      <c r="AE47" s="118"/>
      <c r="AF47" s="118"/>
      <c r="AG47" s="118"/>
      <c r="AH47" s="118"/>
      <c r="AI47" s="118"/>
      <c r="AJ47" s="118"/>
      <c r="AK47" s="118"/>
      <c r="AL47" s="118"/>
      <c r="AM47" s="118"/>
      <c r="AN47" s="118"/>
      <c r="AO47" s="118"/>
      <c r="AP47" s="118"/>
      <c r="AQ47" s="118"/>
      <c r="AR47" s="118"/>
      <c r="AS47" s="118"/>
      <c r="AT47" s="118"/>
      <c r="AU47" s="118"/>
      <c r="AV47" s="118"/>
      <c r="AW47" s="118"/>
      <c r="AX47" s="118"/>
      <c r="AY47" s="118"/>
    </row>
    <row r="48" spans="1:51" x14ac:dyDescent="0.2">
      <c r="A48" s="117"/>
      <c r="B48" s="127">
        <v>4</v>
      </c>
      <c r="C48" s="117" t="s">
        <v>292</v>
      </c>
      <c r="D48" s="118"/>
      <c r="E48" s="118"/>
      <c r="F48" s="118"/>
      <c r="G48" s="118"/>
      <c r="H48" s="118"/>
      <c r="I48" s="118"/>
      <c r="J48" s="118"/>
      <c r="K48" s="118"/>
      <c r="L48" s="118"/>
      <c r="M48" s="118"/>
      <c r="N48" s="118"/>
      <c r="O48" s="118"/>
      <c r="P48" s="118"/>
      <c r="Q48" s="118"/>
      <c r="R48" s="118"/>
      <c r="S48" s="118"/>
      <c r="T48" s="118"/>
      <c r="U48" s="118"/>
      <c r="V48" s="118"/>
      <c r="W48" s="118"/>
      <c r="X48" s="118"/>
      <c r="Y48" s="118"/>
      <c r="Z48" s="118"/>
      <c r="AA48" s="118"/>
      <c r="AB48" s="118"/>
      <c r="AC48" s="118"/>
      <c r="AD48" s="118"/>
      <c r="AE48" s="118"/>
      <c r="AF48" s="118"/>
      <c r="AG48" s="118"/>
      <c r="AH48" s="118"/>
      <c r="AI48" s="118"/>
      <c r="AJ48" s="118"/>
      <c r="AK48" s="118"/>
      <c r="AL48" s="118"/>
      <c r="AM48" s="118"/>
      <c r="AN48" s="118"/>
      <c r="AO48" s="118"/>
      <c r="AP48" s="118"/>
      <c r="AQ48" s="118"/>
      <c r="AR48" s="118"/>
      <c r="AS48" s="118"/>
      <c r="AT48" s="118"/>
      <c r="AU48" s="118"/>
      <c r="AV48" s="118"/>
      <c r="AW48" s="118"/>
      <c r="AX48" s="118"/>
      <c r="AY48" s="118"/>
    </row>
    <row r="49" spans="1:51" x14ac:dyDescent="0.2">
      <c r="A49" s="117"/>
      <c r="B49" s="127">
        <v>5</v>
      </c>
      <c r="C49" s="117" t="s">
        <v>292</v>
      </c>
      <c r="D49" s="118"/>
      <c r="E49" s="118"/>
      <c r="F49" s="118"/>
      <c r="G49" s="118"/>
      <c r="H49" s="118"/>
      <c r="I49" s="118"/>
      <c r="J49" s="118"/>
      <c r="K49" s="118"/>
      <c r="L49" s="118"/>
      <c r="M49" s="118"/>
      <c r="N49" s="118"/>
      <c r="O49" s="118"/>
      <c r="P49" s="118"/>
      <c r="Q49" s="118"/>
      <c r="R49" s="118"/>
      <c r="S49" s="118"/>
      <c r="T49" s="118"/>
      <c r="U49" s="118"/>
      <c r="V49" s="118"/>
      <c r="W49" s="118"/>
      <c r="X49" s="118"/>
      <c r="Y49" s="118"/>
      <c r="Z49" s="118"/>
      <c r="AA49" s="118"/>
      <c r="AB49" s="118"/>
      <c r="AC49" s="118"/>
      <c r="AD49" s="118"/>
      <c r="AE49" s="118"/>
      <c r="AF49" s="118"/>
      <c r="AG49" s="118"/>
      <c r="AH49" s="118"/>
      <c r="AI49" s="118"/>
      <c r="AJ49" s="118"/>
      <c r="AK49" s="118"/>
      <c r="AL49" s="118"/>
      <c r="AM49" s="118"/>
      <c r="AN49" s="118"/>
      <c r="AO49" s="118"/>
      <c r="AP49" s="118"/>
      <c r="AQ49" s="118"/>
      <c r="AR49" s="118"/>
      <c r="AS49" s="118"/>
      <c r="AT49" s="118"/>
      <c r="AU49" s="118"/>
      <c r="AV49" s="118"/>
      <c r="AW49" s="118"/>
      <c r="AX49" s="118"/>
      <c r="AY49" s="118"/>
    </row>
    <row r="50" spans="1:51" x14ac:dyDescent="0.2">
      <c r="A50" s="117"/>
      <c r="B50" s="127">
        <v>6</v>
      </c>
      <c r="C50" s="117" t="s">
        <v>292</v>
      </c>
      <c r="D50" s="118"/>
      <c r="E50" s="118"/>
      <c r="F50" s="118"/>
      <c r="G50" s="118"/>
      <c r="H50" s="118"/>
      <c r="I50" s="118"/>
      <c r="J50" s="118"/>
      <c r="K50" s="118"/>
      <c r="L50" s="118"/>
      <c r="M50" s="118"/>
      <c r="N50" s="118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  <c r="AG50" s="118"/>
      <c r="AH50" s="118"/>
      <c r="AI50" s="118"/>
      <c r="AJ50" s="118"/>
      <c r="AK50" s="118"/>
      <c r="AL50" s="118"/>
      <c r="AM50" s="118"/>
      <c r="AN50" s="118"/>
      <c r="AO50" s="118"/>
      <c r="AP50" s="118"/>
      <c r="AQ50" s="118"/>
      <c r="AR50" s="118"/>
      <c r="AS50" s="118"/>
      <c r="AT50" s="118"/>
      <c r="AU50" s="118"/>
      <c r="AV50" s="118"/>
      <c r="AW50" s="118"/>
      <c r="AX50" s="118"/>
      <c r="AY50" s="118"/>
    </row>
    <row r="51" spans="1:51" x14ac:dyDescent="0.2">
      <c r="A51" s="117"/>
      <c r="B51" s="127">
        <v>7</v>
      </c>
      <c r="C51" s="117" t="s">
        <v>292</v>
      </c>
      <c r="D51" s="118"/>
      <c r="E51" s="118"/>
      <c r="F51" s="118"/>
      <c r="G51" s="118"/>
      <c r="H51" s="118"/>
      <c r="I51" s="118"/>
      <c r="J51" s="118"/>
      <c r="K51" s="118"/>
      <c r="L51" s="118"/>
      <c r="M51" s="118"/>
      <c r="N51" s="118"/>
      <c r="O51" s="118"/>
      <c r="P51" s="118"/>
      <c r="Q51" s="118"/>
      <c r="R51" s="118"/>
      <c r="S51" s="118"/>
      <c r="T51" s="118"/>
      <c r="U51" s="118"/>
      <c r="V51" s="118"/>
      <c r="W51" s="118"/>
      <c r="X51" s="118"/>
      <c r="Y51" s="118"/>
      <c r="Z51" s="118"/>
      <c r="AA51" s="118"/>
      <c r="AB51" s="118"/>
      <c r="AC51" s="118"/>
      <c r="AD51" s="118"/>
      <c r="AE51" s="118"/>
      <c r="AF51" s="118"/>
      <c r="AG51" s="118"/>
      <c r="AH51" s="118"/>
      <c r="AI51" s="118"/>
      <c r="AJ51" s="118"/>
      <c r="AK51" s="118"/>
      <c r="AL51" s="118"/>
      <c r="AM51" s="118"/>
      <c r="AN51" s="118"/>
      <c r="AO51" s="118"/>
      <c r="AP51" s="118"/>
      <c r="AQ51" s="118"/>
      <c r="AR51" s="118"/>
      <c r="AS51" s="118"/>
      <c r="AT51" s="118"/>
      <c r="AU51" s="118"/>
      <c r="AV51" s="118"/>
      <c r="AW51" s="118"/>
      <c r="AX51" s="118"/>
      <c r="AY51" s="118"/>
    </row>
    <row r="52" spans="1:51" x14ac:dyDescent="0.2">
      <c r="A52" s="117"/>
      <c r="B52" s="127">
        <v>8</v>
      </c>
      <c r="C52" s="117" t="s">
        <v>292</v>
      </c>
      <c r="D52" s="118"/>
      <c r="E52" s="118"/>
      <c r="F52" s="118"/>
      <c r="G52" s="118"/>
      <c r="H52" s="118"/>
      <c r="I52" s="118"/>
      <c r="J52" s="118"/>
      <c r="K52" s="118"/>
      <c r="L52" s="118"/>
      <c r="M52" s="118"/>
      <c r="N52" s="118"/>
      <c r="O52" s="118"/>
      <c r="P52" s="118"/>
      <c r="Q52" s="118"/>
      <c r="R52" s="118"/>
      <c r="S52" s="118"/>
      <c r="T52" s="118"/>
      <c r="U52" s="118"/>
      <c r="V52" s="118"/>
      <c r="W52" s="118"/>
      <c r="X52" s="118"/>
      <c r="Y52" s="118"/>
      <c r="Z52" s="118"/>
      <c r="AA52" s="118"/>
      <c r="AB52" s="118"/>
      <c r="AC52" s="118"/>
      <c r="AD52" s="118"/>
      <c r="AE52" s="118"/>
      <c r="AF52" s="118"/>
      <c r="AG52" s="118"/>
      <c r="AH52" s="118"/>
      <c r="AI52" s="118"/>
      <c r="AJ52" s="118"/>
      <c r="AK52" s="118"/>
      <c r="AL52" s="118"/>
      <c r="AM52" s="118"/>
      <c r="AN52" s="118"/>
      <c r="AO52" s="118"/>
      <c r="AP52" s="118"/>
      <c r="AQ52" s="118"/>
      <c r="AR52" s="118"/>
      <c r="AS52" s="118"/>
      <c r="AT52" s="118"/>
      <c r="AU52" s="118"/>
      <c r="AV52" s="118"/>
      <c r="AW52" s="118"/>
      <c r="AX52" s="118"/>
      <c r="AY52" s="118"/>
    </row>
    <row r="53" spans="1:51" x14ac:dyDescent="0.2">
      <c r="A53" s="117"/>
      <c r="B53" s="127">
        <v>9</v>
      </c>
      <c r="C53" s="117" t="s">
        <v>292</v>
      </c>
      <c r="D53" s="118"/>
      <c r="E53" s="118"/>
      <c r="F53" s="118"/>
      <c r="G53" s="118"/>
      <c r="H53" s="118"/>
      <c r="I53" s="118"/>
      <c r="J53" s="118"/>
      <c r="K53" s="118"/>
      <c r="L53" s="118"/>
      <c r="M53" s="118"/>
      <c r="N53" s="118"/>
      <c r="O53" s="118"/>
      <c r="P53" s="118"/>
      <c r="Q53" s="118"/>
      <c r="R53" s="118"/>
      <c r="S53" s="118"/>
      <c r="T53" s="118"/>
      <c r="U53" s="118"/>
      <c r="V53" s="118"/>
      <c r="W53" s="118"/>
      <c r="X53" s="118"/>
      <c r="Y53" s="118"/>
      <c r="Z53" s="118"/>
      <c r="AA53" s="118"/>
      <c r="AB53" s="118"/>
      <c r="AC53" s="118"/>
      <c r="AD53" s="118"/>
      <c r="AE53" s="118"/>
      <c r="AF53" s="118"/>
      <c r="AG53" s="118"/>
      <c r="AH53" s="118"/>
      <c r="AI53" s="118"/>
      <c r="AJ53" s="118"/>
      <c r="AK53" s="118"/>
      <c r="AL53" s="118"/>
      <c r="AM53" s="118"/>
      <c r="AN53" s="118"/>
      <c r="AO53" s="118"/>
      <c r="AP53" s="118"/>
      <c r="AQ53" s="118"/>
      <c r="AR53" s="118"/>
      <c r="AS53" s="118"/>
      <c r="AT53" s="118"/>
      <c r="AU53" s="118"/>
      <c r="AV53" s="118"/>
      <c r="AW53" s="118"/>
      <c r="AX53" s="118"/>
      <c r="AY53" s="118"/>
    </row>
    <row r="54" spans="1:51" x14ac:dyDescent="0.2">
      <c r="A54" s="117"/>
      <c r="B54" s="127">
        <v>10</v>
      </c>
      <c r="C54" s="117" t="s">
        <v>292</v>
      </c>
      <c r="D54" s="118"/>
      <c r="E54" s="118"/>
      <c r="F54" s="118"/>
      <c r="G54" s="118"/>
      <c r="H54" s="118"/>
      <c r="I54" s="118"/>
      <c r="J54" s="118"/>
      <c r="K54" s="118"/>
      <c r="L54" s="118"/>
      <c r="M54" s="118"/>
      <c r="N54" s="118"/>
      <c r="O54" s="118"/>
      <c r="P54" s="118"/>
      <c r="Q54" s="118"/>
      <c r="R54" s="118"/>
      <c r="S54" s="118"/>
      <c r="T54" s="118"/>
      <c r="U54" s="118"/>
      <c r="V54" s="118"/>
      <c r="W54" s="118"/>
      <c r="X54" s="118"/>
      <c r="Y54" s="118"/>
      <c r="Z54" s="118"/>
      <c r="AA54" s="118"/>
      <c r="AB54" s="118"/>
      <c r="AC54" s="118"/>
      <c r="AD54" s="118"/>
      <c r="AE54" s="118"/>
      <c r="AF54" s="118"/>
      <c r="AG54" s="118"/>
      <c r="AH54" s="118"/>
      <c r="AI54" s="118"/>
      <c r="AJ54" s="118"/>
      <c r="AK54" s="118"/>
      <c r="AL54" s="118"/>
      <c r="AM54" s="118"/>
      <c r="AN54" s="118"/>
      <c r="AO54" s="118"/>
      <c r="AP54" s="118"/>
      <c r="AQ54" s="118"/>
      <c r="AR54" s="118"/>
      <c r="AS54" s="118"/>
      <c r="AT54" s="118"/>
      <c r="AU54" s="118"/>
      <c r="AV54" s="118"/>
      <c r="AW54" s="118"/>
      <c r="AX54" s="118"/>
      <c r="AY54" s="118"/>
    </row>
    <row r="55" spans="1:51" x14ac:dyDescent="0.2">
      <c r="A55" s="117"/>
      <c r="B55" s="127">
        <v>11</v>
      </c>
      <c r="C55" s="117" t="s">
        <v>292</v>
      </c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  <c r="P55" s="118"/>
      <c r="Q55" s="118"/>
      <c r="R55" s="118"/>
      <c r="S55" s="118"/>
      <c r="T55" s="118"/>
      <c r="U55" s="118"/>
      <c r="V55" s="118"/>
      <c r="W55" s="118"/>
      <c r="X55" s="118"/>
      <c r="Y55" s="118"/>
      <c r="Z55" s="118"/>
      <c r="AA55" s="118"/>
      <c r="AB55" s="118"/>
      <c r="AC55" s="118"/>
      <c r="AD55" s="118"/>
      <c r="AE55" s="118"/>
      <c r="AF55" s="118"/>
      <c r="AG55" s="118"/>
      <c r="AH55" s="118"/>
      <c r="AI55" s="118"/>
      <c r="AJ55" s="118"/>
      <c r="AK55" s="118"/>
      <c r="AL55" s="118"/>
      <c r="AM55" s="118"/>
      <c r="AN55" s="118"/>
      <c r="AO55" s="118"/>
      <c r="AP55" s="118"/>
      <c r="AQ55" s="118"/>
      <c r="AR55" s="118"/>
      <c r="AS55" s="118"/>
      <c r="AT55" s="118"/>
      <c r="AU55" s="118"/>
      <c r="AV55" s="118"/>
      <c r="AW55" s="118"/>
      <c r="AX55" s="118"/>
      <c r="AY55" s="118"/>
    </row>
    <row r="56" spans="1:51" x14ac:dyDescent="0.2">
      <c r="A56" s="117"/>
      <c r="B56" s="127">
        <v>12</v>
      </c>
      <c r="C56" s="117" t="s">
        <v>292</v>
      </c>
      <c r="D56" s="118"/>
      <c r="E56" s="118"/>
      <c r="F56" s="118"/>
      <c r="G56" s="118"/>
      <c r="H56" s="118"/>
      <c r="I56" s="118"/>
      <c r="J56" s="118"/>
      <c r="K56" s="118"/>
      <c r="L56" s="118"/>
      <c r="M56" s="118"/>
      <c r="N56" s="118"/>
      <c r="O56" s="118"/>
      <c r="P56" s="118"/>
      <c r="Q56" s="118"/>
      <c r="R56" s="118"/>
      <c r="S56" s="118"/>
      <c r="T56" s="118"/>
      <c r="U56" s="118"/>
      <c r="V56" s="118"/>
      <c r="W56" s="118"/>
      <c r="X56" s="118"/>
      <c r="Y56" s="118"/>
      <c r="Z56" s="118"/>
      <c r="AA56" s="118"/>
      <c r="AB56" s="118"/>
      <c r="AC56" s="118"/>
      <c r="AD56" s="118"/>
      <c r="AE56" s="118"/>
      <c r="AF56" s="118"/>
      <c r="AG56" s="118"/>
      <c r="AH56" s="118"/>
      <c r="AI56" s="118"/>
      <c r="AJ56" s="118"/>
      <c r="AK56" s="118"/>
      <c r="AL56" s="118"/>
      <c r="AM56" s="118"/>
      <c r="AN56" s="118"/>
      <c r="AO56" s="118"/>
      <c r="AP56" s="118"/>
      <c r="AQ56" s="118"/>
      <c r="AR56" s="118"/>
      <c r="AS56" s="118"/>
      <c r="AT56" s="118"/>
      <c r="AU56" s="118"/>
      <c r="AV56" s="118"/>
      <c r="AW56" s="118"/>
      <c r="AX56" s="118"/>
      <c r="AY56" s="118"/>
    </row>
    <row r="57" spans="1:51" x14ac:dyDescent="0.2">
      <c r="A57" s="117"/>
      <c r="B57" s="128">
        <v>13</v>
      </c>
      <c r="C57" s="117" t="s">
        <v>292</v>
      </c>
      <c r="D57" s="118"/>
      <c r="E57" s="118"/>
      <c r="F57" s="118"/>
      <c r="G57" s="118"/>
      <c r="H57" s="118"/>
      <c r="I57" s="118"/>
      <c r="J57" s="118"/>
      <c r="K57" s="118"/>
      <c r="L57" s="118"/>
      <c r="M57" s="118"/>
      <c r="N57" s="118"/>
      <c r="O57" s="118"/>
      <c r="P57" s="118"/>
      <c r="Q57" s="118"/>
      <c r="R57" s="118"/>
      <c r="S57" s="118"/>
      <c r="T57" s="118"/>
      <c r="U57" s="118"/>
      <c r="V57" s="118"/>
      <c r="W57" s="118"/>
      <c r="X57" s="118"/>
      <c r="Y57" s="118"/>
      <c r="Z57" s="118"/>
      <c r="AA57" s="118"/>
      <c r="AB57" s="118"/>
      <c r="AC57" s="118"/>
      <c r="AD57" s="118"/>
      <c r="AE57" s="118"/>
      <c r="AF57" s="118"/>
      <c r="AG57" s="118"/>
      <c r="AH57" s="118"/>
      <c r="AI57" s="118"/>
      <c r="AJ57" s="118"/>
      <c r="AK57" s="118"/>
      <c r="AL57" s="118"/>
      <c r="AM57" s="118"/>
      <c r="AN57" s="118"/>
      <c r="AO57" s="118"/>
      <c r="AP57" s="118"/>
      <c r="AQ57" s="118"/>
      <c r="AR57" s="118"/>
      <c r="AS57" s="118"/>
      <c r="AT57" s="118"/>
      <c r="AU57" s="118"/>
      <c r="AV57" s="118"/>
      <c r="AW57" s="118"/>
      <c r="AX57" s="118"/>
      <c r="AY57" s="118"/>
    </row>
    <row r="58" spans="1:51" x14ac:dyDescent="0.2">
      <c r="A58" s="117"/>
      <c r="B58" s="128">
        <v>14</v>
      </c>
      <c r="C58" s="117" t="s">
        <v>292</v>
      </c>
      <c r="D58" s="118"/>
      <c r="E58" s="118"/>
      <c r="F58" s="118"/>
      <c r="G58" s="118"/>
      <c r="H58" s="118"/>
      <c r="I58" s="118"/>
      <c r="J58" s="118"/>
      <c r="K58" s="118"/>
      <c r="L58" s="118"/>
      <c r="M58" s="118"/>
      <c r="N58" s="118"/>
      <c r="O58" s="118"/>
      <c r="P58" s="118"/>
      <c r="Q58" s="118"/>
      <c r="R58" s="118"/>
      <c r="S58" s="118"/>
      <c r="T58" s="118"/>
      <c r="U58" s="118"/>
      <c r="V58" s="118"/>
      <c r="W58" s="118"/>
      <c r="X58" s="118"/>
      <c r="Y58" s="118"/>
      <c r="Z58" s="118"/>
      <c r="AA58" s="118"/>
      <c r="AB58" s="118"/>
      <c r="AC58" s="118"/>
      <c r="AD58" s="118"/>
      <c r="AE58" s="118"/>
      <c r="AF58" s="118"/>
      <c r="AG58" s="118"/>
      <c r="AH58" s="118"/>
      <c r="AI58" s="118"/>
      <c r="AJ58" s="118"/>
      <c r="AK58" s="118"/>
      <c r="AL58" s="118"/>
      <c r="AM58" s="118"/>
      <c r="AN58" s="118"/>
      <c r="AO58" s="118"/>
      <c r="AP58" s="118"/>
      <c r="AQ58" s="118"/>
      <c r="AR58" s="118"/>
      <c r="AS58" s="118"/>
      <c r="AT58" s="118"/>
      <c r="AU58" s="118"/>
      <c r="AV58" s="118"/>
      <c r="AW58" s="118"/>
      <c r="AX58" s="118"/>
      <c r="AY58" s="118"/>
    </row>
    <row r="59" spans="1:51" x14ac:dyDescent="0.2">
      <c r="A59" s="117"/>
      <c r="B59" s="128">
        <v>15</v>
      </c>
      <c r="C59" s="117" t="s">
        <v>292</v>
      </c>
      <c r="D59" s="118"/>
      <c r="E59" s="118"/>
      <c r="F59" s="118"/>
      <c r="G59" s="118"/>
      <c r="H59" s="118"/>
      <c r="I59" s="118"/>
      <c r="J59" s="118"/>
      <c r="K59" s="118"/>
      <c r="L59" s="118"/>
      <c r="M59" s="118"/>
      <c r="N59" s="118"/>
      <c r="O59" s="118"/>
      <c r="P59" s="118"/>
      <c r="Q59" s="118"/>
      <c r="R59" s="118"/>
      <c r="S59" s="118"/>
      <c r="T59" s="118"/>
      <c r="U59" s="118"/>
      <c r="V59" s="118"/>
      <c r="W59" s="118"/>
      <c r="X59" s="118"/>
      <c r="Y59" s="118"/>
      <c r="Z59" s="118"/>
      <c r="AA59" s="118"/>
      <c r="AB59" s="118"/>
      <c r="AC59" s="118"/>
      <c r="AD59" s="118"/>
      <c r="AE59" s="118"/>
      <c r="AF59" s="118"/>
      <c r="AG59" s="118"/>
      <c r="AH59" s="118"/>
      <c r="AI59" s="118"/>
      <c r="AJ59" s="118"/>
      <c r="AK59" s="118"/>
      <c r="AL59" s="118"/>
      <c r="AM59" s="118"/>
      <c r="AN59" s="118"/>
      <c r="AO59" s="118"/>
      <c r="AP59" s="118"/>
      <c r="AQ59" s="118"/>
      <c r="AR59" s="118"/>
      <c r="AS59" s="118"/>
      <c r="AT59" s="118"/>
      <c r="AU59" s="118"/>
      <c r="AV59" s="118"/>
      <c r="AW59" s="118"/>
      <c r="AX59" s="118"/>
      <c r="AY59" s="118"/>
    </row>
    <row r="60" spans="1:51" x14ac:dyDescent="0.2">
      <c r="A60" s="117"/>
      <c r="B60" s="128">
        <v>16</v>
      </c>
      <c r="C60" s="117" t="s">
        <v>292</v>
      </c>
      <c r="D60" s="118"/>
      <c r="E60" s="118"/>
      <c r="F60" s="118"/>
      <c r="G60" s="118"/>
      <c r="H60" s="118"/>
      <c r="I60" s="118"/>
      <c r="J60" s="118"/>
      <c r="K60" s="118"/>
      <c r="L60" s="118"/>
      <c r="M60" s="118"/>
      <c r="N60" s="118"/>
      <c r="O60" s="118"/>
      <c r="P60" s="118"/>
      <c r="Q60" s="118"/>
      <c r="R60" s="118"/>
      <c r="S60" s="118"/>
      <c r="T60" s="118"/>
      <c r="U60" s="118"/>
      <c r="V60" s="118"/>
      <c r="W60" s="118"/>
      <c r="X60" s="118"/>
      <c r="Y60" s="118"/>
      <c r="Z60" s="118"/>
      <c r="AA60" s="118"/>
      <c r="AB60" s="118"/>
      <c r="AC60" s="118"/>
      <c r="AD60" s="118"/>
      <c r="AE60" s="118"/>
      <c r="AF60" s="118"/>
      <c r="AG60" s="118"/>
      <c r="AH60" s="118"/>
      <c r="AI60" s="118"/>
      <c r="AJ60" s="118"/>
      <c r="AK60" s="118"/>
      <c r="AL60" s="118"/>
      <c r="AM60" s="118"/>
      <c r="AN60" s="118"/>
      <c r="AO60" s="118"/>
      <c r="AP60" s="118"/>
      <c r="AQ60" s="118"/>
      <c r="AR60" s="118"/>
      <c r="AS60" s="118"/>
      <c r="AT60" s="118"/>
      <c r="AU60" s="118"/>
      <c r="AV60" s="118"/>
      <c r="AW60" s="118"/>
      <c r="AX60" s="118"/>
      <c r="AY60" s="118"/>
    </row>
    <row r="61" spans="1:51" x14ac:dyDescent="0.2">
      <c r="A61" s="117"/>
      <c r="B61" s="128">
        <v>17</v>
      </c>
      <c r="C61" s="117" t="s">
        <v>292</v>
      </c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118"/>
      <c r="T61" s="118"/>
      <c r="U61" s="118"/>
      <c r="V61" s="118"/>
      <c r="W61" s="118"/>
      <c r="X61" s="118"/>
      <c r="Y61" s="118"/>
      <c r="Z61" s="118"/>
      <c r="AA61" s="118"/>
      <c r="AB61" s="118"/>
      <c r="AC61" s="118"/>
      <c r="AD61" s="118"/>
      <c r="AE61" s="118"/>
      <c r="AF61" s="118"/>
      <c r="AG61" s="118"/>
      <c r="AH61" s="118"/>
      <c r="AI61" s="118"/>
      <c r="AJ61" s="118"/>
      <c r="AK61" s="118"/>
      <c r="AL61" s="118"/>
      <c r="AM61" s="118"/>
      <c r="AN61" s="118"/>
      <c r="AO61" s="118"/>
      <c r="AP61" s="118"/>
      <c r="AQ61" s="118"/>
      <c r="AR61" s="118"/>
      <c r="AS61" s="118"/>
      <c r="AT61" s="118"/>
      <c r="AU61" s="118"/>
      <c r="AV61" s="118"/>
      <c r="AW61" s="118"/>
      <c r="AX61" s="118"/>
      <c r="AY61" s="118"/>
    </row>
    <row r="62" spans="1:51" x14ac:dyDescent="0.2">
      <c r="A62" s="117"/>
      <c r="B62" s="128">
        <v>18</v>
      </c>
      <c r="C62" s="117" t="s">
        <v>292</v>
      </c>
      <c r="D62" s="118"/>
      <c r="E62" s="118"/>
      <c r="F62" s="118"/>
      <c r="G62" s="118"/>
      <c r="H62" s="118"/>
      <c r="I62" s="118"/>
      <c r="J62" s="118"/>
      <c r="K62" s="118"/>
      <c r="L62" s="118"/>
      <c r="M62" s="118"/>
      <c r="N62" s="118"/>
      <c r="O62" s="118"/>
      <c r="P62" s="118"/>
      <c r="Q62" s="118"/>
      <c r="R62" s="118"/>
      <c r="S62" s="118"/>
      <c r="T62" s="118"/>
      <c r="U62" s="118"/>
      <c r="V62" s="118"/>
      <c r="W62" s="118"/>
      <c r="X62" s="118"/>
      <c r="Y62" s="118"/>
      <c r="Z62" s="118"/>
      <c r="AA62" s="118"/>
      <c r="AB62" s="118"/>
      <c r="AC62" s="118"/>
      <c r="AD62" s="118"/>
      <c r="AE62" s="118"/>
      <c r="AF62" s="118"/>
      <c r="AG62" s="118"/>
      <c r="AH62" s="118"/>
      <c r="AI62" s="118"/>
      <c r="AJ62" s="118"/>
      <c r="AK62" s="118"/>
      <c r="AL62" s="118"/>
      <c r="AM62" s="118"/>
      <c r="AN62" s="118"/>
      <c r="AO62" s="118"/>
      <c r="AP62" s="118"/>
      <c r="AQ62" s="118"/>
      <c r="AR62" s="118"/>
      <c r="AS62" s="118"/>
      <c r="AT62" s="118"/>
      <c r="AU62" s="118"/>
      <c r="AV62" s="118"/>
      <c r="AW62" s="118"/>
      <c r="AX62" s="118"/>
      <c r="AY62" s="118"/>
    </row>
    <row r="63" spans="1:51" x14ac:dyDescent="0.2">
      <c r="A63" s="117"/>
      <c r="B63" s="128">
        <v>19</v>
      </c>
      <c r="C63" s="117" t="s">
        <v>292</v>
      </c>
      <c r="D63" s="118"/>
      <c r="E63" s="118"/>
      <c r="F63" s="118"/>
      <c r="G63" s="118"/>
      <c r="H63" s="118"/>
      <c r="I63" s="118"/>
      <c r="J63" s="118"/>
      <c r="K63" s="118"/>
      <c r="L63" s="118"/>
      <c r="M63" s="118"/>
      <c r="N63" s="118"/>
      <c r="O63" s="118"/>
      <c r="P63" s="118"/>
      <c r="Q63" s="118"/>
      <c r="R63" s="118"/>
      <c r="S63" s="118"/>
      <c r="T63" s="118"/>
      <c r="U63" s="118"/>
      <c r="V63" s="118"/>
      <c r="W63" s="118"/>
      <c r="X63" s="118"/>
      <c r="Y63" s="118"/>
      <c r="Z63" s="118"/>
      <c r="AA63" s="118"/>
      <c r="AB63" s="118"/>
      <c r="AC63" s="118"/>
      <c r="AD63" s="118"/>
      <c r="AE63" s="118"/>
      <c r="AF63" s="118"/>
      <c r="AG63" s="118"/>
      <c r="AH63" s="118"/>
      <c r="AI63" s="118"/>
      <c r="AJ63" s="118"/>
      <c r="AK63" s="118"/>
      <c r="AL63" s="118"/>
      <c r="AM63" s="118"/>
      <c r="AN63" s="118"/>
      <c r="AO63" s="118"/>
      <c r="AP63" s="118"/>
      <c r="AQ63" s="118"/>
      <c r="AR63" s="118"/>
      <c r="AS63" s="118"/>
      <c r="AT63" s="118"/>
      <c r="AU63" s="118"/>
      <c r="AV63" s="118"/>
      <c r="AW63" s="118"/>
      <c r="AX63" s="118"/>
      <c r="AY63" s="118"/>
    </row>
    <row r="64" spans="1:51" x14ac:dyDescent="0.2">
      <c r="A64" s="117"/>
      <c r="B64" s="128">
        <v>20</v>
      </c>
      <c r="C64" s="117" t="s">
        <v>292</v>
      </c>
      <c r="D64" s="118"/>
      <c r="E64" s="118"/>
      <c r="F64" s="118"/>
      <c r="G64" s="118"/>
      <c r="H64" s="118"/>
      <c r="I64" s="118"/>
      <c r="J64" s="118"/>
      <c r="K64" s="118"/>
      <c r="L64" s="118"/>
      <c r="M64" s="118"/>
      <c r="N64" s="118"/>
      <c r="O64" s="118"/>
      <c r="P64" s="118"/>
      <c r="Q64" s="118"/>
      <c r="R64" s="118"/>
      <c r="S64" s="118"/>
      <c r="T64" s="118"/>
      <c r="U64" s="118"/>
      <c r="V64" s="118"/>
      <c r="W64" s="118"/>
      <c r="X64" s="118"/>
      <c r="Y64" s="118"/>
      <c r="Z64" s="118"/>
      <c r="AA64" s="118"/>
      <c r="AB64" s="118"/>
      <c r="AC64" s="118"/>
      <c r="AD64" s="118"/>
      <c r="AE64" s="118"/>
      <c r="AF64" s="118"/>
      <c r="AG64" s="118"/>
      <c r="AH64" s="118"/>
      <c r="AI64" s="118"/>
      <c r="AJ64" s="118"/>
      <c r="AK64" s="118"/>
      <c r="AL64" s="118"/>
      <c r="AM64" s="118"/>
      <c r="AN64" s="118"/>
      <c r="AO64" s="118"/>
      <c r="AP64" s="118"/>
      <c r="AQ64" s="118"/>
      <c r="AR64" s="118"/>
      <c r="AS64" s="118"/>
      <c r="AT64" s="118"/>
      <c r="AU64" s="118"/>
      <c r="AV64" s="118"/>
      <c r="AW64" s="118"/>
      <c r="AX64" s="118"/>
      <c r="AY64" s="118"/>
    </row>
    <row r="65" spans="1:51" x14ac:dyDescent="0.2">
      <c r="A65" s="117"/>
      <c r="B65" s="128">
        <v>21</v>
      </c>
      <c r="C65" s="117" t="s">
        <v>292</v>
      </c>
      <c r="D65" s="118"/>
      <c r="E65" s="118"/>
      <c r="F65" s="118"/>
      <c r="G65" s="118"/>
      <c r="H65" s="118"/>
      <c r="I65" s="118"/>
      <c r="J65" s="118"/>
      <c r="K65" s="118"/>
      <c r="L65" s="118"/>
      <c r="M65" s="118"/>
      <c r="N65" s="118"/>
      <c r="O65" s="118"/>
      <c r="P65" s="118"/>
      <c r="Q65" s="118"/>
      <c r="R65" s="118"/>
      <c r="S65" s="118"/>
      <c r="T65" s="118"/>
      <c r="U65" s="118"/>
      <c r="V65" s="118"/>
      <c r="W65" s="118"/>
      <c r="X65" s="118"/>
      <c r="Y65" s="118"/>
      <c r="Z65" s="118"/>
      <c r="AA65" s="118"/>
      <c r="AB65" s="118"/>
      <c r="AC65" s="118"/>
      <c r="AD65" s="118"/>
      <c r="AE65" s="118"/>
      <c r="AF65" s="118"/>
      <c r="AG65" s="118"/>
      <c r="AH65" s="118"/>
      <c r="AI65" s="118"/>
      <c r="AJ65" s="118"/>
      <c r="AK65" s="118"/>
      <c r="AL65" s="118"/>
      <c r="AM65" s="118"/>
      <c r="AN65" s="118"/>
      <c r="AO65" s="118"/>
      <c r="AP65" s="118"/>
      <c r="AQ65" s="118"/>
      <c r="AR65" s="118"/>
      <c r="AS65" s="118"/>
      <c r="AT65" s="118"/>
      <c r="AU65" s="118"/>
      <c r="AV65" s="118"/>
      <c r="AW65" s="118"/>
      <c r="AX65" s="118"/>
      <c r="AY65" s="118"/>
    </row>
    <row r="66" spans="1:51" x14ac:dyDescent="0.2">
      <c r="A66" s="117"/>
      <c r="B66" s="128">
        <v>22</v>
      </c>
      <c r="C66" s="117" t="s">
        <v>292</v>
      </c>
      <c r="D66" s="118"/>
      <c r="E66" s="118"/>
      <c r="F66" s="118"/>
      <c r="G66" s="118"/>
      <c r="H66" s="118"/>
      <c r="I66" s="118"/>
      <c r="J66" s="118"/>
      <c r="K66" s="118"/>
      <c r="L66" s="118"/>
      <c r="M66" s="118"/>
      <c r="N66" s="118"/>
      <c r="O66" s="118"/>
      <c r="P66" s="118"/>
      <c r="Q66" s="118"/>
      <c r="R66" s="118"/>
      <c r="S66" s="118"/>
      <c r="T66" s="118"/>
      <c r="U66" s="118"/>
      <c r="V66" s="118"/>
      <c r="W66" s="118"/>
      <c r="X66" s="118"/>
      <c r="Y66" s="118"/>
      <c r="Z66" s="118"/>
      <c r="AA66" s="118"/>
      <c r="AB66" s="118"/>
      <c r="AC66" s="118"/>
      <c r="AD66" s="118"/>
      <c r="AE66" s="118"/>
      <c r="AF66" s="118"/>
      <c r="AG66" s="118"/>
      <c r="AH66" s="118"/>
      <c r="AI66" s="118"/>
      <c r="AJ66" s="118"/>
      <c r="AK66" s="118"/>
      <c r="AL66" s="118"/>
      <c r="AM66" s="118"/>
      <c r="AN66" s="118"/>
      <c r="AO66" s="118"/>
      <c r="AP66" s="118"/>
      <c r="AQ66" s="118"/>
      <c r="AR66" s="118"/>
      <c r="AS66" s="118"/>
      <c r="AT66" s="118"/>
      <c r="AU66" s="118"/>
      <c r="AV66" s="118"/>
      <c r="AW66" s="118"/>
      <c r="AX66" s="118"/>
      <c r="AY66" s="118"/>
    </row>
    <row r="67" spans="1:51" x14ac:dyDescent="0.2">
      <c r="A67" s="117"/>
      <c r="B67" s="128">
        <v>23</v>
      </c>
      <c r="C67" s="117" t="s">
        <v>292</v>
      </c>
      <c r="D67" s="118"/>
      <c r="E67" s="118"/>
      <c r="F67" s="118"/>
      <c r="G67" s="118"/>
      <c r="H67" s="118"/>
      <c r="I67" s="118"/>
      <c r="J67" s="118"/>
      <c r="K67" s="118"/>
      <c r="L67" s="118"/>
      <c r="M67" s="118"/>
      <c r="N67" s="118"/>
      <c r="O67" s="118"/>
      <c r="P67" s="118"/>
      <c r="Q67" s="118"/>
      <c r="R67" s="118"/>
      <c r="S67" s="118"/>
      <c r="T67" s="118"/>
      <c r="U67" s="118"/>
      <c r="V67" s="118"/>
      <c r="W67" s="118"/>
      <c r="X67" s="118"/>
      <c r="Y67" s="118"/>
      <c r="Z67" s="118"/>
      <c r="AA67" s="118"/>
      <c r="AB67" s="118"/>
      <c r="AC67" s="118"/>
      <c r="AD67" s="118"/>
      <c r="AE67" s="118"/>
      <c r="AF67" s="118"/>
      <c r="AG67" s="118"/>
      <c r="AH67" s="118"/>
      <c r="AI67" s="118"/>
      <c r="AJ67" s="118"/>
      <c r="AK67" s="118"/>
      <c r="AL67" s="118"/>
      <c r="AM67" s="118"/>
      <c r="AN67" s="118"/>
      <c r="AO67" s="118"/>
      <c r="AP67" s="118"/>
      <c r="AQ67" s="118"/>
      <c r="AR67" s="118"/>
      <c r="AS67" s="118"/>
      <c r="AT67" s="118"/>
      <c r="AU67" s="118"/>
      <c r="AV67" s="118"/>
      <c r="AW67" s="118"/>
      <c r="AX67" s="118"/>
      <c r="AY67" s="118"/>
    </row>
    <row r="68" spans="1:51" x14ac:dyDescent="0.2">
      <c r="A68" s="117"/>
      <c r="B68" s="128">
        <v>24</v>
      </c>
      <c r="C68" s="117" t="s">
        <v>292</v>
      </c>
      <c r="D68" s="118"/>
      <c r="E68" s="118"/>
      <c r="F68" s="118"/>
      <c r="G68" s="118"/>
      <c r="H68" s="118"/>
      <c r="I68" s="118"/>
      <c r="J68" s="118"/>
      <c r="K68" s="118"/>
      <c r="L68" s="118"/>
      <c r="M68" s="118"/>
      <c r="N68" s="118"/>
      <c r="O68" s="118"/>
      <c r="P68" s="118"/>
      <c r="Q68" s="118"/>
      <c r="R68" s="118"/>
      <c r="S68" s="118"/>
      <c r="T68" s="118"/>
      <c r="U68" s="118"/>
      <c r="V68" s="118"/>
      <c r="W68" s="118"/>
      <c r="X68" s="118"/>
      <c r="Y68" s="118"/>
      <c r="Z68" s="118"/>
      <c r="AA68" s="118"/>
      <c r="AB68" s="118"/>
      <c r="AC68" s="118"/>
      <c r="AD68" s="118"/>
      <c r="AE68" s="118"/>
      <c r="AF68" s="118"/>
      <c r="AG68" s="118"/>
      <c r="AH68" s="118"/>
      <c r="AI68" s="118"/>
      <c r="AJ68" s="118"/>
      <c r="AK68" s="118"/>
      <c r="AL68" s="118"/>
      <c r="AM68" s="118"/>
      <c r="AN68" s="118"/>
      <c r="AO68" s="118"/>
      <c r="AP68" s="118"/>
      <c r="AQ68" s="118"/>
      <c r="AR68" s="118"/>
      <c r="AS68" s="118"/>
      <c r="AT68" s="118"/>
      <c r="AU68" s="118"/>
      <c r="AV68" s="118"/>
      <c r="AW68" s="118"/>
      <c r="AX68" s="118"/>
      <c r="AY68" s="118"/>
    </row>
    <row r="69" spans="1:51" x14ac:dyDescent="0.2">
      <c r="A69" s="117"/>
      <c r="B69" s="135">
        <v>25</v>
      </c>
      <c r="C69" s="117" t="s">
        <v>292</v>
      </c>
      <c r="D69" s="118"/>
      <c r="E69" s="118"/>
      <c r="F69" s="118"/>
      <c r="G69" s="118"/>
      <c r="H69" s="118"/>
      <c r="I69" s="118"/>
      <c r="J69" s="118"/>
      <c r="K69" s="118"/>
      <c r="L69" s="118"/>
      <c r="M69" s="118"/>
      <c r="N69" s="118"/>
      <c r="O69" s="118"/>
      <c r="P69" s="118"/>
      <c r="Q69" s="118"/>
      <c r="R69" s="118"/>
      <c r="S69" s="118"/>
      <c r="T69" s="118"/>
      <c r="U69" s="118"/>
      <c r="V69" s="118"/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118"/>
      <c r="AI69" s="118"/>
      <c r="AJ69" s="118"/>
      <c r="AK69" s="118"/>
      <c r="AL69" s="118"/>
      <c r="AM69" s="118"/>
      <c r="AN69" s="118"/>
      <c r="AO69" s="118"/>
      <c r="AP69" s="118"/>
      <c r="AQ69" s="118"/>
      <c r="AR69" s="118"/>
      <c r="AS69" s="118"/>
      <c r="AT69" s="118"/>
      <c r="AU69" s="118"/>
      <c r="AV69" s="118"/>
      <c r="AW69" s="118"/>
      <c r="AX69" s="118"/>
      <c r="AY69" s="118"/>
    </row>
    <row r="70" spans="1:51" x14ac:dyDescent="0.2">
      <c r="A70" s="117"/>
      <c r="B70" s="135">
        <v>26</v>
      </c>
      <c r="C70" s="117" t="s">
        <v>292</v>
      </c>
      <c r="D70" s="118"/>
      <c r="E70" s="118"/>
      <c r="F70" s="118"/>
      <c r="G70" s="118"/>
      <c r="H70" s="118"/>
      <c r="I70" s="118"/>
      <c r="J70" s="118"/>
      <c r="K70" s="118"/>
      <c r="L70" s="118"/>
      <c r="M70" s="118"/>
      <c r="N70" s="118"/>
      <c r="O70" s="118"/>
      <c r="P70" s="118"/>
      <c r="Q70" s="118"/>
      <c r="R70" s="118"/>
      <c r="S70" s="118"/>
      <c r="T70" s="118"/>
      <c r="U70" s="118"/>
      <c r="V70" s="118"/>
      <c r="W70" s="118"/>
      <c r="X70" s="118"/>
      <c r="Y70" s="118"/>
      <c r="Z70" s="118"/>
      <c r="AA70" s="118"/>
      <c r="AB70" s="118"/>
      <c r="AC70" s="118"/>
      <c r="AD70" s="118"/>
      <c r="AE70" s="118"/>
      <c r="AF70" s="118"/>
      <c r="AG70" s="118"/>
      <c r="AH70" s="118"/>
      <c r="AI70" s="118"/>
      <c r="AJ70" s="118"/>
      <c r="AK70" s="118"/>
      <c r="AL70" s="118"/>
      <c r="AM70" s="118"/>
      <c r="AN70" s="118"/>
      <c r="AO70" s="118"/>
      <c r="AP70" s="118"/>
      <c r="AQ70" s="118"/>
      <c r="AR70" s="118"/>
      <c r="AS70" s="118"/>
      <c r="AT70" s="118"/>
      <c r="AU70" s="118"/>
      <c r="AV70" s="118"/>
      <c r="AW70" s="118"/>
      <c r="AX70" s="118"/>
      <c r="AY70" s="118"/>
    </row>
    <row r="71" spans="1:51" x14ac:dyDescent="0.2">
      <c r="A71" s="117"/>
      <c r="B71" s="135">
        <v>27</v>
      </c>
      <c r="C71" s="117" t="s">
        <v>292</v>
      </c>
      <c r="D71" s="118"/>
      <c r="E71" s="118"/>
      <c r="F71" s="118"/>
      <c r="G71" s="118"/>
      <c r="H71" s="118"/>
      <c r="I71" s="118"/>
      <c r="J71" s="118"/>
      <c r="K71" s="118"/>
      <c r="L71" s="118"/>
      <c r="M71" s="118"/>
      <c r="N71" s="118"/>
      <c r="O71" s="118"/>
      <c r="P71" s="118"/>
      <c r="Q71" s="118"/>
      <c r="R71" s="118"/>
      <c r="S71" s="118"/>
      <c r="T71" s="118"/>
      <c r="U71" s="118"/>
      <c r="V71" s="118"/>
      <c r="W71" s="118"/>
      <c r="X71" s="118"/>
      <c r="Y71" s="118"/>
      <c r="Z71" s="118"/>
      <c r="AA71" s="118"/>
      <c r="AB71" s="118"/>
      <c r="AC71" s="118"/>
      <c r="AD71" s="118"/>
      <c r="AE71" s="118"/>
      <c r="AF71" s="118"/>
      <c r="AG71" s="118"/>
      <c r="AH71" s="118"/>
      <c r="AI71" s="118"/>
      <c r="AJ71" s="118"/>
      <c r="AK71" s="118"/>
      <c r="AL71" s="118"/>
      <c r="AM71" s="118"/>
      <c r="AN71" s="118"/>
      <c r="AO71" s="118"/>
      <c r="AP71" s="118"/>
      <c r="AQ71" s="118"/>
      <c r="AR71" s="118"/>
      <c r="AS71" s="118"/>
      <c r="AT71" s="118"/>
      <c r="AU71" s="118"/>
      <c r="AV71" s="118"/>
      <c r="AW71" s="118"/>
      <c r="AX71" s="118"/>
      <c r="AY71" s="118"/>
    </row>
    <row r="72" spans="1:51" x14ac:dyDescent="0.2">
      <c r="A72" s="117"/>
      <c r="B72" s="135">
        <v>28</v>
      </c>
      <c r="C72" s="117" t="s">
        <v>292</v>
      </c>
      <c r="D72" s="118"/>
      <c r="E72" s="118"/>
      <c r="F72" s="118"/>
      <c r="G72" s="118"/>
      <c r="H72" s="118"/>
      <c r="I72" s="118"/>
      <c r="J72" s="118"/>
      <c r="K72" s="118"/>
      <c r="L72" s="118"/>
      <c r="M72" s="118"/>
      <c r="N72" s="118"/>
      <c r="O72" s="118"/>
      <c r="P72" s="118"/>
      <c r="Q72" s="118"/>
      <c r="R72" s="118"/>
      <c r="S72" s="118"/>
      <c r="T72" s="118"/>
      <c r="U72" s="118"/>
      <c r="V72" s="118"/>
      <c r="W72" s="118"/>
      <c r="X72" s="118"/>
      <c r="Y72" s="118"/>
      <c r="Z72" s="118"/>
      <c r="AA72" s="118"/>
      <c r="AB72" s="118"/>
      <c r="AC72" s="118"/>
      <c r="AD72" s="118"/>
      <c r="AE72" s="118"/>
      <c r="AF72" s="118"/>
      <c r="AG72" s="118"/>
      <c r="AH72" s="118"/>
      <c r="AI72" s="118"/>
      <c r="AJ72" s="118"/>
      <c r="AK72" s="118"/>
      <c r="AL72" s="118"/>
      <c r="AM72" s="118"/>
      <c r="AN72" s="118"/>
      <c r="AO72" s="118"/>
      <c r="AP72" s="118"/>
      <c r="AQ72" s="118"/>
      <c r="AR72" s="118"/>
      <c r="AS72" s="118"/>
      <c r="AT72" s="118"/>
      <c r="AU72" s="118"/>
      <c r="AV72" s="118"/>
      <c r="AW72" s="118"/>
      <c r="AX72" s="118"/>
      <c r="AY72" s="118"/>
    </row>
    <row r="73" spans="1:51" x14ac:dyDescent="0.2">
      <c r="A73" s="117"/>
      <c r="B73" s="135">
        <v>29</v>
      </c>
      <c r="C73" s="117" t="s">
        <v>292</v>
      </c>
      <c r="D73" s="118"/>
      <c r="E73" s="118"/>
      <c r="F73" s="118"/>
      <c r="G73" s="118"/>
      <c r="H73" s="118"/>
      <c r="I73" s="118"/>
      <c r="J73" s="118"/>
      <c r="K73" s="118"/>
      <c r="L73" s="118"/>
      <c r="M73" s="118"/>
      <c r="N73" s="118"/>
      <c r="O73" s="118"/>
      <c r="P73" s="118"/>
      <c r="Q73" s="118"/>
      <c r="R73" s="118"/>
      <c r="S73" s="118"/>
      <c r="T73" s="118"/>
      <c r="U73" s="118"/>
      <c r="V73" s="118"/>
      <c r="W73" s="118"/>
      <c r="X73" s="118"/>
      <c r="Y73" s="118"/>
      <c r="Z73" s="118"/>
      <c r="AA73" s="118"/>
      <c r="AB73" s="118"/>
      <c r="AC73" s="118"/>
      <c r="AD73" s="118"/>
      <c r="AE73" s="118"/>
      <c r="AF73" s="118"/>
      <c r="AG73" s="118"/>
      <c r="AH73" s="118"/>
      <c r="AI73" s="118"/>
      <c r="AJ73" s="118"/>
      <c r="AK73" s="118"/>
      <c r="AL73" s="118"/>
      <c r="AM73" s="118"/>
      <c r="AN73" s="118"/>
      <c r="AO73" s="118"/>
      <c r="AP73" s="118"/>
      <c r="AQ73" s="118"/>
      <c r="AR73" s="118"/>
      <c r="AS73" s="118"/>
      <c r="AT73" s="118"/>
      <c r="AU73" s="118"/>
      <c r="AV73" s="118"/>
      <c r="AW73" s="118"/>
      <c r="AX73" s="118"/>
      <c r="AY73" s="118"/>
    </row>
    <row r="74" spans="1:51" x14ac:dyDescent="0.2">
      <c r="A74" s="117"/>
      <c r="B74" s="135">
        <v>30</v>
      </c>
      <c r="C74" s="117" t="s">
        <v>292</v>
      </c>
      <c r="D74" s="118"/>
      <c r="E74" s="118"/>
      <c r="F74" s="118"/>
      <c r="G74" s="118"/>
      <c r="H74" s="118"/>
      <c r="I74" s="118"/>
      <c r="J74" s="118"/>
      <c r="K74" s="118"/>
      <c r="L74" s="118"/>
      <c r="M74" s="118"/>
      <c r="N74" s="118"/>
      <c r="O74" s="118"/>
      <c r="P74" s="118"/>
      <c r="Q74" s="118"/>
      <c r="R74" s="118"/>
      <c r="S74" s="118"/>
      <c r="T74" s="118"/>
      <c r="U74" s="118"/>
      <c r="V74" s="118"/>
      <c r="W74" s="118"/>
      <c r="X74" s="118"/>
      <c r="Y74" s="118"/>
      <c r="Z74" s="118"/>
      <c r="AA74" s="118"/>
      <c r="AB74" s="118"/>
      <c r="AC74" s="118"/>
      <c r="AD74" s="118"/>
      <c r="AE74" s="118"/>
      <c r="AF74" s="118"/>
      <c r="AG74" s="118"/>
      <c r="AH74" s="118"/>
      <c r="AI74" s="118"/>
      <c r="AJ74" s="118"/>
      <c r="AK74" s="118"/>
      <c r="AL74" s="118"/>
      <c r="AM74" s="118"/>
      <c r="AN74" s="118"/>
      <c r="AO74" s="118"/>
      <c r="AP74" s="118"/>
      <c r="AQ74" s="118"/>
      <c r="AR74" s="118"/>
      <c r="AS74" s="118"/>
      <c r="AT74" s="118"/>
      <c r="AU74" s="118"/>
      <c r="AV74" s="118"/>
      <c r="AW74" s="118"/>
      <c r="AX74" s="118"/>
      <c r="AY74" s="118"/>
    </row>
    <row r="75" spans="1:51" x14ac:dyDescent="0.2">
      <c r="A75" s="117"/>
      <c r="B75" s="135">
        <v>31</v>
      </c>
      <c r="C75" s="117" t="s">
        <v>292</v>
      </c>
      <c r="D75" s="118"/>
      <c r="E75" s="118"/>
      <c r="F75" s="118"/>
      <c r="G75" s="118"/>
      <c r="H75" s="118"/>
      <c r="I75" s="118"/>
      <c r="J75" s="118"/>
      <c r="K75" s="118"/>
      <c r="L75" s="118"/>
      <c r="M75" s="118"/>
      <c r="N75" s="118"/>
      <c r="O75" s="118"/>
      <c r="P75" s="118"/>
      <c r="Q75" s="118"/>
      <c r="R75" s="118"/>
      <c r="S75" s="118"/>
      <c r="T75" s="118"/>
      <c r="U75" s="118"/>
      <c r="V75" s="118"/>
      <c r="W75" s="118"/>
      <c r="X75" s="118"/>
      <c r="Y75" s="118"/>
      <c r="Z75" s="118"/>
      <c r="AA75" s="118"/>
      <c r="AB75" s="118"/>
      <c r="AC75" s="118"/>
      <c r="AD75" s="118"/>
      <c r="AE75" s="118"/>
      <c r="AF75" s="118"/>
      <c r="AG75" s="118"/>
      <c r="AH75" s="118"/>
      <c r="AI75" s="118"/>
      <c r="AJ75" s="118"/>
      <c r="AK75" s="118"/>
      <c r="AL75" s="118"/>
      <c r="AM75" s="118"/>
      <c r="AN75" s="118"/>
      <c r="AO75" s="118"/>
      <c r="AP75" s="118"/>
      <c r="AQ75" s="118"/>
      <c r="AR75" s="118"/>
      <c r="AS75" s="118"/>
      <c r="AT75" s="118"/>
      <c r="AU75" s="118"/>
      <c r="AV75" s="118"/>
      <c r="AW75" s="118"/>
      <c r="AX75" s="118"/>
      <c r="AY75" s="118"/>
    </row>
    <row r="76" spans="1:51" x14ac:dyDescent="0.2">
      <c r="A76" s="117"/>
      <c r="B76" s="135">
        <v>32</v>
      </c>
      <c r="C76" s="117" t="s">
        <v>292</v>
      </c>
      <c r="D76" s="118"/>
      <c r="E76" s="118"/>
      <c r="F76" s="118"/>
      <c r="G76" s="118"/>
      <c r="H76" s="118"/>
      <c r="I76" s="118"/>
      <c r="J76" s="118"/>
      <c r="K76" s="118"/>
      <c r="L76" s="118"/>
      <c r="M76" s="118"/>
      <c r="N76" s="118"/>
      <c r="O76" s="118"/>
      <c r="P76" s="118"/>
      <c r="Q76" s="118"/>
      <c r="R76" s="118"/>
      <c r="S76" s="118"/>
      <c r="T76" s="118"/>
      <c r="U76" s="118"/>
      <c r="V76" s="118"/>
      <c r="W76" s="118"/>
      <c r="X76" s="118"/>
      <c r="Y76" s="118"/>
      <c r="Z76" s="118"/>
      <c r="AA76" s="118"/>
      <c r="AB76" s="118"/>
      <c r="AC76" s="118"/>
      <c r="AD76" s="118"/>
      <c r="AE76" s="118"/>
      <c r="AF76" s="118"/>
      <c r="AG76" s="118"/>
      <c r="AH76" s="118"/>
      <c r="AI76" s="118"/>
      <c r="AJ76" s="118"/>
      <c r="AK76" s="118"/>
      <c r="AL76" s="118"/>
      <c r="AM76" s="118"/>
      <c r="AN76" s="118"/>
      <c r="AO76" s="118"/>
      <c r="AP76" s="118"/>
      <c r="AQ76" s="118"/>
      <c r="AR76" s="118"/>
      <c r="AS76" s="118"/>
      <c r="AT76" s="118"/>
      <c r="AU76" s="118"/>
      <c r="AV76" s="118"/>
      <c r="AW76" s="118"/>
      <c r="AX76" s="118"/>
      <c r="AY76" s="118"/>
    </row>
    <row r="77" spans="1:51" x14ac:dyDescent="0.2">
      <c r="A77" s="117"/>
      <c r="B77" s="135">
        <v>33</v>
      </c>
      <c r="C77" s="117" t="s">
        <v>292</v>
      </c>
      <c r="D77" s="118"/>
      <c r="E77" s="118"/>
      <c r="F77" s="118"/>
      <c r="G77" s="118"/>
      <c r="H77" s="118"/>
      <c r="I77" s="118"/>
      <c r="J77" s="118"/>
      <c r="K77" s="118"/>
      <c r="L77" s="118"/>
      <c r="M77" s="118"/>
      <c r="N77" s="118"/>
      <c r="O77" s="118"/>
      <c r="P77" s="118"/>
      <c r="Q77" s="118"/>
      <c r="R77" s="118"/>
      <c r="S77" s="118"/>
      <c r="T77" s="118"/>
      <c r="U77" s="118"/>
      <c r="V77" s="118"/>
      <c r="W77" s="118"/>
      <c r="X77" s="118"/>
      <c r="Y77" s="118"/>
      <c r="Z77" s="118"/>
      <c r="AA77" s="118"/>
      <c r="AB77" s="118"/>
      <c r="AC77" s="118"/>
      <c r="AD77" s="118"/>
      <c r="AE77" s="118"/>
      <c r="AF77" s="118"/>
      <c r="AG77" s="118"/>
      <c r="AH77" s="118"/>
      <c r="AI77" s="118"/>
      <c r="AJ77" s="118"/>
      <c r="AK77" s="118"/>
      <c r="AL77" s="118"/>
      <c r="AM77" s="118"/>
      <c r="AN77" s="118"/>
      <c r="AO77" s="118"/>
      <c r="AP77" s="118"/>
      <c r="AQ77" s="118"/>
      <c r="AR77" s="118"/>
      <c r="AS77" s="118"/>
      <c r="AT77" s="118"/>
      <c r="AU77" s="118"/>
      <c r="AV77" s="118"/>
      <c r="AW77" s="118"/>
      <c r="AX77" s="118"/>
      <c r="AY77" s="118"/>
    </row>
    <row r="78" spans="1:51" x14ac:dyDescent="0.2">
      <c r="A78" s="117"/>
      <c r="B78" s="135">
        <v>34</v>
      </c>
      <c r="C78" s="117" t="s">
        <v>292</v>
      </c>
      <c r="D78" s="118"/>
      <c r="E78" s="118"/>
      <c r="F78" s="118"/>
      <c r="G78" s="118"/>
      <c r="H78" s="118"/>
      <c r="I78" s="118"/>
      <c r="J78" s="118"/>
      <c r="K78" s="118"/>
      <c r="L78" s="118"/>
      <c r="M78" s="118"/>
      <c r="N78" s="118"/>
      <c r="O78" s="118"/>
      <c r="P78" s="118"/>
      <c r="Q78" s="118"/>
      <c r="R78" s="118"/>
      <c r="S78" s="118"/>
      <c r="T78" s="118"/>
      <c r="U78" s="118"/>
      <c r="V78" s="118"/>
      <c r="W78" s="118"/>
      <c r="X78" s="118"/>
      <c r="Y78" s="118"/>
      <c r="Z78" s="118"/>
      <c r="AA78" s="118"/>
      <c r="AB78" s="118"/>
      <c r="AC78" s="118"/>
      <c r="AD78" s="118"/>
      <c r="AE78" s="118"/>
      <c r="AF78" s="118"/>
      <c r="AG78" s="118"/>
      <c r="AH78" s="118"/>
      <c r="AI78" s="118"/>
      <c r="AJ78" s="118"/>
      <c r="AK78" s="118"/>
      <c r="AL78" s="118"/>
      <c r="AM78" s="118"/>
      <c r="AN78" s="118"/>
      <c r="AO78" s="118"/>
      <c r="AP78" s="118"/>
      <c r="AQ78" s="118"/>
      <c r="AR78" s="118"/>
      <c r="AS78" s="118"/>
      <c r="AT78" s="118"/>
      <c r="AU78" s="118"/>
      <c r="AV78" s="118"/>
      <c r="AW78" s="118"/>
      <c r="AX78" s="118"/>
      <c r="AY78" s="118"/>
    </row>
    <row r="79" spans="1:51" x14ac:dyDescent="0.2">
      <c r="A79" s="117"/>
      <c r="B79" s="135">
        <v>35</v>
      </c>
      <c r="C79" s="117" t="s">
        <v>292</v>
      </c>
      <c r="D79" s="118"/>
      <c r="E79" s="118"/>
      <c r="F79" s="118"/>
      <c r="G79" s="118"/>
      <c r="H79" s="118"/>
      <c r="I79" s="118"/>
      <c r="J79" s="118"/>
      <c r="K79" s="118"/>
      <c r="L79" s="118"/>
      <c r="M79" s="118"/>
      <c r="N79" s="118"/>
      <c r="O79" s="118"/>
      <c r="P79" s="118"/>
      <c r="Q79" s="118"/>
      <c r="R79" s="118"/>
      <c r="S79" s="118"/>
      <c r="T79" s="118"/>
      <c r="U79" s="118"/>
      <c r="V79" s="118"/>
      <c r="W79" s="118"/>
      <c r="X79" s="118"/>
      <c r="Y79" s="118"/>
      <c r="Z79" s="118"/>
      <c r="AA79" s="118"/>
      <c r="AB79" s="118"/>
      <c r="AC79" s="118"/>
      <c r="AD79" s="118"/>
      <c r="AE79" s="118"/>
      <c r="AF79" s="118"/>
      <c r="AG79" s="118"/>
      <c r="AH79" s="118"/>
      <c r="AI79" s="118"/>
      <c r="AJ79" s="118"/>
      <c r="AK79" s="118"/>
      <c r="AL79" s="118"/>
      <c r="AM79" s="118"/>
      <c r="AN79" s="118"/>
      <c r="AO79" s="118"/>
      <c r="AP79" s="118"/>
      <c r="AQ79" s="118"/>
      <c r="AR79" s="118"/>
      <c r="AS79" s="118"/>
      <c r="AT79" s="118"/>
      <c r="AU79" s="118"/>
      <c r="AV79" s="118"/>
      <c r="AW79" s="118"/>
      <c r="AX79" s="118"/>
      <c r="AY79" s="118"/>
    </row>
    <row r="80" spans="1:51" x14ac:dyDescent="0.2">
      <c r="A80" s="117"/>
      <c r="B80" s="135">
        <v>36</v>
      </c>
      <c r="C80" s="117" t="s">
        <v>292</v>
      </c>
      <c r="D80" s="118"/>
      <c r="E80" s="118"/>
      <c r="F80" s="118"/>
      <c r="G80" s="118"/>
      <c r="H80" s="118"/>
      <c r="I80" s="118"/>
      <c r="J80" s="118"/>
      <c r="K80" s="118"/>
      <c r="L80" s="118"/>
      <c r="M80" s="118"/>
      <c r="N80" s="118"/>
      <c r="O80" s="118"/>
      <c r="P80" s="118"/>
      <c r="Q80" s="118"/>
      <c r="R80" s="118"/>
      <c r="S80" s="118"/>
      <c r="T80" s="118"/>
      <c r="U80" s="118"/>
      <c r="V80" s="118"/>
      <c r="W80" s="118"/>
      <c r="X80" s="118"/>
      <c r="Y80" s="118"/>
      <c r="Z80" s="118"/>
      <c r="AA80" s="118"/>
      <c r="AB80" s="118"/>
      <c r="AC80" s="118"/>
      <c r="AD80" s="118"/>
      <c r="AE80" s="118"/>
      <c r="AF80" s="118"/>
      <c r="AG80" s="118"/>
      <c r="AH80" s="118"/>
      <c r="AI80" s="118"/>
      <c r="AJ80" s="118"/>
      <c r="AK80" s="118"/>
      <c r="AL80" s="118"/>
      <c r="AM80" s="118"/>
      <c r="AN80" s="118"/>
      <c r="AO80" s="118"/>
      <c r="AP80" s="118"/>
      <c r="AQ80" s="118"/>
      <c r="AR80" s="118"/>
      <c r="AS80" s="118"/>
      <c r="AT80" s="118"/>
      <c r="AU80" s="118"/>
      <c r="AV80" s="118"/>
      <c r="AW80" s="118"/>
      <c r="AX80" s="118"/>
      <c r="AY80" s="118"/>
    </row>
    <row r="81" spans="1:52" x14ac:dyDescent="0.2">
      <c r="A81" s="117"/>
      <c r="B81" s="138">
        <v>37</v>
      </c>
      <c r="C81" s="117" t="s">
        <v>292</v>
      </c>
      <c r="D81" s="118"/>
      <c r="E81" s="118"/>
      <c r="F81" s="118"/>
      <c r="G81" s="118"/>
      <c r="H81" s="118"/>
      <c r="I81" s="118"/>
      <c r="J81" s="118"/>
      <c r="K81" s="118"/>
      <c r="L81" s="118"/>
      <c r="M81" s="118"/>
      <c r="N81" s="118"/>
      <c r="O81" s="118"/>
      <c r="P81" s="118"/>
      <c r="Q81" s="118"/>
      <c r="R81" s="118"/>
      <c r="S81" s="118"/>
      <c r="T81" s="118"/>
      <c r="U81" s="118"/>
      <c r="V81" s="118"/>
      <c r="W81" s="118"/>
      <c r="X81" s="118"/>
      <c r="Y81" s="118"/>
      <c r="Z81" s="118"/>
      <c r="AA81" s="118"/>
      <c r="AB81" s="118"/>
      <c r="AC81" s="118"/>
      <c r="AD81" s="118"/>
      <c r="AE81" s="118"/>
      <c r="AF81" s="118"/>
      <c r="AG81" s="118"/>
      <c r="AH81" s="118"/>
      <c r="AI81" s="118"/>
      <c r="AJ81" s="118"/>
      <c r="AK81" s="118"/>
      <c r="AL81" s="118"/>
      <c r="AM81" s="118"/>
      <c r="AN81" s="118"/>
      <c r="AO81" s="118"/>
      <c r="AP81" s="118"/>
      <c r="AQ81" s="118"/>
      <c r="AR81" s="118"/>
      <c r="AS81" s="118"/>
      <c r="AT81" s="118"/>
      <c r="AU81" s="118"/>
      <c r="AV81" s="118"/>
      <c r="AW81" s="118"/>
      <c r="AX81" s="118"/>
      <c r="AY81" s="118"/>
    </row>
    <row r="82" spans="1:52" x14ac:dyDescent="0.2">
      <c r="A82" s="117"/>
      <c r="B82" s="138">
        <v>38</v>
      </c>
      <c r="C82" s="117" t="s">
        <v>292</v>
      </c>
      <c r="D82" s="118"/>
      <c r="E82" s="118"/>
      <c r="F82" s="118"/>
      <c r="G82" s="118"/>
      <c r="H82" s="118"/>
      <c r="I82" s="118"/>
      <c r="J82" s="118"/>
      <c r="K82" s="118"/>
      <c r="L82" s="118"/>
      <c r="M82" s="118"/>
      <c r="N82" s="118"/>
      <c r="O82" s="118"/>
      <c r="P82" s="118"/>
      <c r="Q82" s="118"/>
      <c r="R82" s="118"/>
      <c r="S82" s="118"/>
      <c r="T82" s="118"/>
      <c r="U82" s="118"/>
      <c r="V82" s="118"/>
      <c r="W82" s="118"/>
      <c r="X82" s="118"/>
      <c r="Y82" s="118"/>
      <c r="Z82" s="118"/>
      <c r="AA82" s="118"/>
      <c r="AB82" s="118"/>
      <c r="AC82" s="118"/>
      <c r="AD82" s="118"/>
      <c r="AE82" s="118"/>
      <c r="AF82" s="118"/>
      <c r="AG82" s="118"/>
      <c r="AH82" s="118"/>
      <c r="AI82" s="118"/>
      <c r="AJ82" s="118"/>
      <c r="AK82" s="118"/>
      <c r="AL82" s="118"/>
      <c r="AM82" s="118"/>
      <c r="AN82" s="118"/>
      <c r="AO82" s="118"/>
      <c r="AP82" s="118"/>
      <c r="AQ82" s="118"/>
      <c r="AR82" s="118"/>
      <c r="AS82" s="118"/>
      <c r="AT82" s="118"/>
      <c r="AU82" s="118"/>
      <c r="AV82" s="118"/>
      <c r="AW82" s="118"/>
      <c r="AX82" s="118"/>
      <c r="AY82" s="118"/>
    </row>
    <row r="83" spans="1:52" x14ac:dyDescent="0.2">
      <c r="A83" s="117"/>
      <c r="B83" s="138">
        <v>39</v>
      </c>
      <c r="C83" s="117" t="s">
        <v>292</v>
      </c>
      <c r="D83" s="118"/>
      <c r="E83" s="118"/>
      <c r="F83" s="118"/>
      <c r="G83" s="118"/>
      <c r="H83" s="118"/>
      <c r="I83" s="118"/>
      <c r="J83" s="118"/>
      <c r="K83" s="118"/>
      <c r="L83" s="118"/>
      <c r="M83" s="118"/>
      <c r="N83" s="118"/>
      <c r="O83" s="118"/>
      <c r="P83" s="118"/>
      <c r="Q83" s="118"/>
      <c r="R83" s="118"/>
      <c r="S83" s="118"/>
      <c r="T83" s="118"/>
      <c r="U83" s="118"/>
      <c r="V83" s="118"/>
      <c r="W83" s="118"/>
      <c r="X83" s="118"/>
      <c r="Y83" s="118"/>
      <c r="Z83" s="118"/>
      <c r="AA83" s="118"/>
      <c r="AB83" s="118"/>
      <c r="AC83" s="118"/>
      <c r="AD83" s="118"/>
      <c r="AE83" s="118"/>
      <c r="AF83" s="118"/>
      <c r="AG83" s="118"/>
      <c r="AH83" s="118"/>
      <c r="AI83" s="118"/>
      <c r="AJ83" s="118"/>
      <c r="AK83" s="118"/>
      <c r="AL83" s="118"/>
      <c r="AM83" s="118"/>
      <c r="AN83" s="118"/>
      <c r="AO83" s="118"/>
      <c r="AP83" s="118"/>
      <c r="AQ83" s="118"/>
      <c r="AR83" s="118"/>
      <c r="AS83" s="118"/>
      <c r="AT83" s="118"/>
      <c r="AU83" s="118"/>
      <c r="AV83" s="118"/>
      <c r="AW83" s="118"/>
      <c r="AX83" s="118"/>
      <c r="AY83" s="118"/>
    </row>
    <row r="84" spans="1:52" x14ac:dyDescent="0.2">
      <c r="A84" s="117"/>
      <c r="B84" s="138">
        <v>40</v>
      </c>
      <c r="C84" s="117" t="s">
        <v>292</v>
      </c>
      <c r="D84" s="118"/>
      <c r="E84" s="118"/>
      <c r="F84" s="118"/>
      <c r="G84" s="118"/>
      <c r="H84" s="118"/>
      <c r="I84" s="118"/>
      <c r="J84" s="118"/>
      <c r="K84" s="118"/>
      <c r="L84" s="118"/>
      <c r="M84" s="118"/>
      <c r="N84" s="118"/>
      <c r="O84" s="118"/>
      <c r="P84" s="118"/>
      <c r="Q84" s="118"/>
      <c r="R84" s="118"/>
      <c r="S84" s="118"/>
      <c r="T84" s="118"/>
      <c r="U84" s="118"/>
      <c r="V84" s="118"/>
      <c r="W84" s="118"/>
      <c r="X84" s="118"/>
      <c r="Y84" s="118"/>
      <c r="Z84" s="118"/>
      <c r="AA84" s="118"/>
      <c r="AB84" s="118"/>
      <c r="AC84" s="118"/>
      <c r="AD84" s="118"/>
      <c r="AE84" s="118"/>
      <c r="AF84" s="118"/>
      <c r="AG84" s="118"/>
      <c r="AH84" s="118"/>
      <c r="AI84" s="118"/>
      <c r="AJ84" s="118"/>
      <c r="AK84" s="118"/>
      <c r="AL84" s="118"/>
      <c r="AM84" s="118"/>
      <c r="AN84" s="118"/>
      <c r="AO84" s="118"/>
      <c r="AP84" s="118"/>
      <c r="AQ84" s="118"/>
      <c r="AR84" s="118"/>
      <c r="AS84" s="118"/>
      <c r="AT84" s="118"/>
      <c r="AU84" s="118"/>
      <c r="AV84" s="118"/>
      <c r="AW84" s="118"/>
      <c r="AX84" s="118"/>
      <c r="AY84" s="118"/>
    </row>
    <row r="85" spans="1:52" x14ac:dyDescent="0.2">
      <c r="A85" s="117"/>
      <c r="B85" s="138">
        <v>41</v>
      </c>
      <c r="C85" s="117" t="s">
        <v>292</v>
      </c>
      <c r="D85" s="118"/>
      <c r="E85" s="118"/>
      <c r="F85" s="118"/>
      <c r="G85" s="118"/>
      <c r="H85" s="118"/>
      <c r="I85" s="118"/>
      <c r="J85" s="118"/>
      <c r="K85" s="118"/>
      <c r="L85" s="118"/>
      <c r="M85" s="118"/>
      <c r="N85" s="118"/>
      <c r="O85" s="118"/>
      <c r="P85" s="118"/>
      <c r="Q85" s="118"/>
      <c r="R85" s="118"/>
      <c r="S85" s="118"/>
      <c r="T85" s="118"/>
      <c r="U85" s="118"/>
      <c r="V85" s="118"/>
      <c r="W85" s="118"/>
      <c r="X85" s="118"/>
      <c r="Y85" s="118"/>
      <c r="Z85" s="118"/>
      <c r="AA85" s="118"/>
      <c r="AB85" s="118"/>
      <c r="AC85" s="118"/>
      <c r="AD85" s="118"/>
      <c r="AE85" s="118"/>
      <c r="AF85" s="118"/>
      <c r="AG85" s="118"/>
      <c r="AH85" s="118"/>
      <c r="AI85" s="118"/>
      <c r="AJ85" s="118"/>
      <c r="AK85" s="118"/>
      <c r="AL85" s="118"/>
      <c r="AM85" s="118"/>
      <c r="AN85" s="118"/>
      <c r="AO85" s="118"/>
      <c r="AP85" s="118"/>
      <c r="AQ85" s="118"/>
      <c r="AR85" s="118"/>
      <c r="AS85" s="118"/>
      <c r="AT85" s="118"/>
      <c r="AU85" s="118"/>
      <c r="AV85" s="118"/>
      <c r="AW85" s="118"/>
      <c r="AX85" s="118"/>
      <c r="AY85" s="118"/>
    </row>
    <row r="86" spans="1:52" x14ac:dyDescent="0.2">
      <c r="A86" s="117"/>
      <c r="B86" s="138">
        <v>42</v>
      </c>
      <c r="C86" s="117" t="s">
        <v>292</v>
      </c>
      <c r="D86" s="118"/>
      <c r="E86" s="118"/>
      <c r="F86" s="118"/>
      <c r="G86" s="118"/>
      <c r="H86" s="118"/>
      <c r="I86" s="118"/>
      <c r="J86" s="118"/>
      <c r="K86" s="118"/>
      <c r="L86" s="118"/>
      <c r="M86" s="118"/>
      <c r="N86" s="118"/>
      <c r="O86" s="118"/>
      <c r="P86" s="118"/>
      <c r="Q86" s="118"/>
      <c r="R86" s="118"/>
      <c r="S86" s="118"/>
      <c r="T86" s="118"/>
      <c r="U86" s="118"/>
      <c r="V86" s="118"/>
      <c r="W86" s="118"/>
      <c r="X86" s="118"/>
      <c r="Y86" s="118"/>
      <c r="Z86" s="118"/>
      <c r="AA86" s="118"/>
      <c r="AB86" s="118"/>
      <c r="AC86" s="118"/>
      <c r="AD86" s="118"/>
      <c r="AE86" s="118"/>
      <c r="AF86" s="118"/>
      <c r="AG86" s="118"/>
      <c r="AH86" s="118"/>
      <c r="AI86" s="118"/>
      <c r="AJ86" s="118"/>
      <c r="AK86" s="118"/>
      <c r="AL86" s="118"/>
      <c r="AM86" s="118"/>
      <c r="AN86" s="118"/>
      <c r="AO86" s="118"/>
      <c r="AP86" s="118"/>
      <c r="AQ86" s="118"/>
      <c r="AR86" s="118"/>
      <c r="AS86" s="118"/>
      <c r="AT86" s="118"/>
      <c r="AU86" s="118"/>
      <c r="AV86" s="118"/>
      <c r="AW86" s="118"/>
      <c r="AX86" s="118"/>
      <c r="AY86" s="118"/>
    </row>
    <row r="87" spans="1:52" x14ac:dyDescent="0.2">
      <c r="A87" s="117"/>
      <c r="B87" s="138">
        <v>43</v>
      </c>
      <c r="C87" s="117" t="s">
        <v>292</v>
      </c>
      <c r="D87" s="118"/>
      <c r="E87" s="118"/>
      <c r="F87" s="118"/>
      <c r="G87" s="118"/>
      <c r="H87" s="118"/>
      <c r="I87" s="118"/>
      <c r="J87" s="118"/>
      <c r="K87" s="118"/>
      <c r="L87" s="118"/>
      <c r="M87" s="118"/>
      <c r="N87" s="118"/>
      <c r="O87" s="118"/>
      <c r="P87" s="118"/>
      <c r="Q87" s="118"/>
      <c r="R87" s="118"/>
      <c r="S87" s="118"/>
      <c r="T87" s="118"/>
      <c r="U87" s="118"/>
      <c r="V87" s="118"/>
      <c r="W87" s="118"/>
      <c r="X87" s="118"/>
      <c r="Y87" s="118"/>
      <c r="Z87" s="118"/>
      <c r="AA87" s="118"/>
      <c r="AB87" s="118"/>
      <c r="AC87" s="118"/>
      <c r="AD87" s="118"/>
      <c r="AE87" s="118"/>
      <c r="AF87" s="118"/>
      <c r="AG87" s="118"/>
      <c r="AH87" s="118"/>
      <c r="AI87" s="118"/>
      <c r="AJ87" s="118"/>
      <c r="AK87" s="118"/>
      <c r="AL87" s="118"/>
      <c r="AM87" s="118"/>
      <c r="AN87" s="118"/>
      <c r="AO87" s="118"/>
      <c r="AP87" s="118"/>
      <c r="AQ87" s="118"/>
      <c r="AR87" s="118"/>
      <c r="AS87" s="118"/>
      <c r="AT87" s="118"/>
      <c r="AU87" s="118"/>
      <c r="AV87" s="118"/>
      <c r="AW87" s="118"/>
      <c r="AX87" s="118"/>
      <c r="AY87" s="118"/>
    </row>
    <row r="88" spans="1:52" x14ac:dyDescent="0.2">
      <c r="A88" s="117"/>
      <c r="B88" s="138">
        <v>44</v>
      </c>
      <c r="C88" s="117" t="s">
        <v>292</v>
      </c>
      <c r="D88" s="118"/>
      <c r="E88" s="118"/>
      <c r="F88" s="118"/>
      <c r="G88" s="118"/>
      <c r="H88" s="118"/>
      <c r="I88" s="118"/>
      <c r="J88" s="118"/>
      <c r="K88" s="118"/>
      <c r="L88" s="118"/>
      <c r="M88" s="118"/>
      <c r="N88" s="118"/>
      <c r="O88" s="118"/>
      <c r="P88" s="118"/>
      <c r="Q88" s="118"/>
      <c r="R88" s="118"/>
      <c r="S88" s="118"/>
      <c r="T88" s="118"/>
      <c r="U88" s="118"/>
      <c r="V88" s="118"/>
      <c r="W88" s="118"/>
      <c r="X88" s="118"/>
      <c r="Y88" s="118"/>
      <c r="Z88" s="118"/>
      <c r="AA88" s="118"/>
      <c r="AB88" s="118"/>
      <c r="AC88" s="118"/>
      <c r="AD88" s="118"/>
      <c r="AE88" s="118"/>
      <c r="AF88" s="118"/>
      <c r="AG88" s="118"/>
      <c r="AH88" s="118"/>
      <c r="AI88" s="118"/>
      <c r="AJ88" s="118"/>
      <c r="AK88" s="118"/>
      <c r="AL88" s="118"/>
      <c r="AM88" s="118"/>
      <c r="AN88" s="118"/>
      <c r="AO88" s="118"/>
      <c r="AP88" s="118"/>
      <c r="AQ88" s="118"/>
      <c r="AR88" s="118"/>
      <c r="AS88" s="118"/>
      <c r="AT88" s="118"/>
      <c r="AU88" s="118"/>
      <c r="AV88" s="118"/>
      <c r="AW88" s="118"/>
      <c r="AX88" s="118"/>
      <c r="AY88" s="118"/>
    </row>
    <row r="89" spans="1:52" x14ac:dyDescent="0.2">
      <c r="A89" s="117"/>
      <c r="B89" s="138">
        <v>45</v>
      </c>
      <c r="C89" s="117" t="s">
        <v>292</v>
      </c>
      <c r="D89" s="118"/>
      <c r="E89" s="118"/>
      <c r="F89" s="118"/>
      <c r="G89" s="118"/>
      <c r="H89" s="118"/>
      <c r="I89" s="118"/>
      <c r="J89" s="118"/>
      <c r="K89" s="118"/>
      <c r="L89" s="118"/>
      <c r="M89" s="118"/>
      <c r="N89" s="118"/>
      <c r="O89" s="118"/>
      <c r="P89" s="118"/>
      <c r="Q89" s="118"/>
      <c r="R89" s="118"/>
      <c r="S89" s="118"/>
      <c r="T89" s="118"/>
      <c r="U89" s="118"/>
      <c r="V89" s="118"/>
      <c r="W89" s="118"/>
      <c r="X89" s="118"/>
      <c r="Y89" s="118"/>
      <c r="Z89" s="118"/>
      <c r="AA89" s="118"/>
      <c r="AB89" s="118"/>
      <c r="AC89" s="118"/>
      <c r="AD89" s="118"/>
      <c r="AE89" s="118"/>
      <c r="AF89" s="118"/>
      <c r="AG89" s="118"/>
      <c r="AH89" s="118"/>
      <c r="AI89" s="118"/>
      <c r="AJ89" s="118"/>
      <c r="AK89" s="118"/>
      <c r="AL89" s="118"/>
      <c r="AM89" s="118"/>
      <c r="AN89" s="118"/>
      <c r="AO89" s="118"/>
      <c r="AP89" s="118"/>
      <c r="AQ89" s="118"/>
      <c r="AR89" s="118"/>
      <c r="AS89" s="118"/>
      <c r="AT89" s="118"/>
      <c r="AU89" s="118"/>
      <c r="AV89" s="118"/>
      <c r="AW89" s="118"/>
      <c r="AX89" s="118"/>
      <c r="AY89" s="118"/>
    </row>
    <row r="90" spans="1:52" x14ac:dyDescent="0.2">
      <c r="A90" s="117"/>
      <c r="B90" s="138">
        <v>46</v>
      </c>
      <c r="C90" s="117" t="s">
        <v>292</v>
      </c>
      <c r="D90" s="118"/>
      <c r="E90" s="118"/>
      <c r="F90" s="118"/>
      <c r="G90" s="118"/>
      <c r="H90" s="118"/>
      <c r="I90" s="118"/>
      <c r="J90" s="118"/>
      <c r="K90" s="118"/>
      <c r="L90" s="118"/>
      <c r="M90" s="118"/>
      <c r="N90" s="118"/>
      <c r="O90" s="118"/>
      <c r="P90" s="118"/>
      <c r="Q90" s="118"/>
      <c r="R90" s="118"/>
      <c r="S90" s="118"/>
      <c r="T90" s="118"/>
      <c r="U90" s="118"/>
      <c r="V90" s="118"/>
      <c r="W90" s="118"/>
      <c r="X90" s="118"/>
      <c r="Y90" s="118"/>
      <c r="Z90" s="118"/>
      <c r="AA90" s="118"/>
      <c r="AB90" s="118"/>
      <c r="AC90" s="118"/>
      <c r="AD90" s="118"/>
      <c r="AE90" s="118"/>
      <c r="AF90" s="118"/>
      <c r="AG90" s="118"/>
      <c r="AH90" s="118"/>
      <c r="AI90" s="118"/>
      <c r="AJ90" s="118"/>
      <c r="AK90" s="118"/>
      <c r="AL90" s="118"/>
      <c r="AM90" s="118"/>
      <c r="AN90" s="118"/>
      <c r="AO90" s="118"/>
      <c r="AP90" s="118"/>
      <c r="AQ90" s="118"/>
      <c r="AR90" s="118"/>
      <c r="AS90" s="118"/>
      <c r="AT90" s="118"/>
      <c r="AU90" s="118"/>
      <c r="AV90" s="118"/>
      <c r="AW90" s="118"/>
      <c r="AX90" s="118"/>
      <c r="AY90" s="118"/>
    </row>
    <row r="91" spans="1:52" x14ac:dyDescent="0.2">
      <c r="A91" s="117"/>
      <c r="B91" s="138">
        <v>47</v>
      </c>
      <c r="C91" s="117" t="s">
        <v>292</v>
      </c>
      <c r="D91" s="118"/>
      <c r="E91" s="118"/>
      <c r="F91" s="118"/>
      <c r="G91" s="118"/>
      <c r="H91" s="118"/>
      <c r="I91" s="118"/>
      <c r="J91" s="118"/>
      <c r="K91" s="118"/>
      <c r="L91" s="118"/>
      <c r="M91" s="118"/>
      <c r="N91" s="118"/>
      <c r="O91" s="118"/>
      <c r="P91" s="118"/>
      <c r="Q91" s="118"/>
      <c r="R91" s="118"/>
      <c r="S91" s="118"/>
      <c r="T91" s="118"/>
      <c r="U91" s="118"/>
      <c r="V91" s="118"/>
      <c r="W91" s="118"/>
      <c r="X91" s="118"/>
      <c r="Y91" s="118"/>
      <c r="Z91" s="118"/>
      <c r="AA91" s="118"/>
      <c r="AB91" s="118"/>
      <c r="AC91" s="118"/>
      <c r="AD91" s="118"/>
      <c r="AE91" s="118"/>
      <c r="AF91" s="118"/>
      <c r="AG91" s="118"/>
      <c r="AH91" s="118"/>
      <c r="AI91" s="118"/>
      <c r="AJ91" s="118"/>
      <c r="AK91" s="118"/>
      <c r="AL91" s="118"/>
      <c r="AM91" s="118"/>
      <c r="AN91" s="118"/>
      <c r="AO91" s="118"/>
      <c r="AP91" s="118"/>
      <c r="AQ91" s="118"/>
      <c r="AR91" s="118"/>
      <c r="AS91" s="118"/>
      <c r="AT91" s="118"/>
      <c r="AU91" s="118"/>
      <c r="AV91" s="118"/>
      <c r="AW91" s="118"/>
      <c r="AX91" s="118"/>
      <c r="AY91" s="118"/>
    </row>
    <row r="92" spans="1:52" x14ac:dyDescent="0.2">
      <c r="A92" s="136"/>
      <c r="B92" s="137">
        <v>48</v>
      </c>
      <c r="C92" s="136" t="s">
        <v>292</v>
      </c>
      <c r="D92" s="133">
        <v>0</v>
      </c>
      <c r="E92" s="133">
        <v>0</v>
      </c>
      <c r="F92" s="133">
        <v>0</v>
      </c>
      <c r="G92" s="133">
        <v>0</v>
      </c>
      <c r="H92" s="133">
        <v>0</v>
      </c>
      <c r="I92" s="133">
        <v>0</v>
      </c>
      <c r="J92" s="133">
        <v>0</v>
      </c>
      <c r="K92" s="133">
        <v>0</v>
      </c>
      <c r="L92" s="133">
        <v>0</v>
      </c>
      <c r="M92" s="133">
        <v>0</v>
      </c>
      <c r="N92" s="133">
        <v>0</v>
      </c>
      <c r="O92" s="133">
        <v>0</v>
      </c>
      <c r="P92" s="133">
        <v>0</v>
      </c>
      <c r="Q92" s="133">
        <v>0</v>
      </c>
      <c r="R92" s="133">
        <v>0</v>
      </c>
      <c r="S92" s="133">
        <v>0</v>
      </c>
      <c r="T92" s="133">
        <v>0</v>
      </c>
      <c r="U92" s="133">
        <v>0</v>
      </c>
      <c r="V92" s="133">
        <v>0</v>
      </c>
      <c r="W92" s="133">
        <v>0</v>
      </c>
      <c r="X92" s="133">
        <v>0</v>
      </c>
      <c r="Y92" s="133">
        <v>0</v>
      </c>
      <c r="Z92" s="133">
        <v>0</v>
      </c>
      <c r="AA92" s="133">
        <v>0</v>
      </c>
      <c r="AB92" s="133">
        <v>0</v>
      </c>
      <c r="AC92" s="133">
        <v>0</v>
      </c>
      <c r="AD92" s="133">
        <v>0</v>
      </c>
      <c r="AE92" s="133">
        <v>0</v>
      </c>
      <c r="AF92" s="133">
        <v>0</v>
      </c>
      <c r="AG92" s="133">
        <v>0</v>
      </c>
      <c r="AH92" s="133">
        <v>0</v>
      </c>
      <c r="AI92" s="133">
        <v>0</v>
      </c>
      <c r="AJ92" s="133">
        <v>0</v>
      </c>
      <c r="AK92" s="133">
        <v>0</v>
      </c>
      <c r="AL92" s="133">
        <v>0</v>
      </c>
      <c r="AM92" s="133">
        <v>0</v>
      </c>
      <c r="AN92" s="133">
        <v>0</v>
      </c>
      <c r="AO92" s="133">
        <v>0</v>
      </c>
      <c r="AP92" s="133">
        <v>0</v>
      </c>
      <c r="AQ92" s="133">
        <v>0</v>
      </c>
      <c r="AR92" s="133">
        <v>0</v>
      </c>
      <c r="AS92" s="133">
        <v>0</v>
      </c>
      <c r="AT92" s="133">
        <v>0</v>
      </c>
      <c r="AU92" s="133">
        <v>0</v>
      </c>
      <c r="AV92" s="133">
        <v>0</v>
      </c>
      <c r="AW92" s="133">
        <v>0</v>
      </c>
      <c r="AX92" s="133">
        <v>0</v>
      </c>
      <c r="AY92" s="133">
        <v>0</v>
      </c>
      <c r="AZ92" s="115">
        <f>SUM(D21:AY92)</f>
        <v>0</v>
      </c>
    </row>
    <row r="94" spans="1:52" x14ac:dyDescent="0.2">
      <c r="A94" s="110" t="s">
        <v>294</v>
      </c>
      <c r="B94" s="114"/>
      <c r="C94" s="114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  <c r="AH94" s="122"/>
      <c r="AI94" s="122"/>
      <c r="AJ94" s="122"/>
      <c r="AK94" s="122"/>
      <c r="AL94" s="122"/>
      <c r="AM94" s="122"/>
      <c r="AN94" s="122"/>
      <c r="AO94" s="122"/>
      <c r="AP94" s="122"/>
      <c r="AQ94" s="122"/>
      <c r="AR94" s="122"/>
      <c r="AS94" s="122"/>
      <c r="AT94" s="122"/>
      <c r="AU94" s="122"/>
      <c r="AV94" s="122"/>
      <c r="AW94" s="122"/>
      <c r="AX94" s="122"/>
      <c r="AY94" s="122"/>
    </row>
    <row r="95" spans="1:52" x14ac:dyDescent="0.2">
      <c r="A95" s="134" t="s">
        <v>125</v>
      </c>
      <c r="B95" s="131">
        <v>1</v>
      </c>
      <c r="C95" s="132"/>
      <c r="D95" s="118">
        <v>3334.0000000000005</v>
      </c>
      <c r="E95" s="118">
        <v>3334.0000000000005</v>
      </c>
      <c r="F95" s="118">
        <v>3334.0000000000005</v>
      </c>
      <c r="G95" s="118">
        <v>3334.0000000000005</v>
      </c>
      <c r="H95" s="118">
        <v>3334.0000000000005</v>
      </c>
      <c r="I95" s="118">
        <v>3334.0000000000005</v>
      </c>
      <c r="J95" s="118">
        <v>3334.0000000000005</v>
      </c>
      <c r="K95" s="118">
        <v>3334.0000000000005</v>
      </c>
      <c r="L95" s="118">
        <v>3334.0000000000005</v>
      </c>
      <c r="M95" s="118">
        <v>3334.0000000000005</v>
      </c>
      <c r="N95" s="118">
        <v>3334.0000000000005</v>
      </c>
      <c r="O95" s="118">
        <v>3334.0000000000005</v>
      </c>
      <c r="P95" s="118">
        <v>3334.0000000000005</v>
      </c>
      <c r="Q95" s="118">
        <v>3334.0000000000005</v>
      </c>
      <c r="R95" s="118">
        <v>3334.0000000000005</v>
      </c>
      <c r="S95" s="118">
        <v>3334.0000000000005</v>
      </c>
      <c r="T95" s="118">
        <v>3334.0000000000005</v>
      </c>
      <c r="U95" s="118">
        <v>3334.0000000000005</v>
      </c>
      <c r="V95" s="118">
        <v>3334.0000000000005</v>
      </c>
      <c r="W95" s="118">
        <v>3334.0000000000005</v>
      </c>
      <c r="X95" s="118">
        <v>3334.0000000000005</v>
      </c>
      <c r="Y95" s="118">
        <v>3334.0000000000005</v>
      </c>
      <c r="Z95" s="118">
        <v>3334.0000000000005</v>
      </c>
      <c r="AA95" s="118">
        <v>3334.0000000000005</v>
      </c>
      <c r="AB95" s="118">
        <v>3334.0000000000005</v>
      </c>
      <c r="AC95" s="118">
        <v>3334.0000000000005</v>
      </c>
      <c r="AD95" s="118">
        <v>3334.0000000000005</v>
      </c>
      <c r="AE95" s="118">
        <v>3334.0000000000005</v>
      </c>
      <c r="AF95" s="118">
        <v>3334.0000000000005</v>
      </c>
      <c r="AG95" s="118">
        <v>3334.0000000000005</v>
      </c>
      <c r="AH95" s="118">
        <v>3334.0000000000005</v>
      </c>
      <c r="AI95" s="118">
        <v>3334.0000000000005</v>
      </c>
      <c r="AJ95" s="118">
        <v>3334.0000000000005</v>
      </c>
      <c r="AK95" s="118">
        <v>3334.0000000000005</v>
      </c>
      <c r="AL95" s="118">
        <v>3334.0000000000005</v>
      </c>
      <c r="AM95" s="118">
        <v>3334.0000000000005</v>
      </c>
      <c r="AN95" s="118">
        <v>3334.0000000000005</v>
      </c>
      <c r="AO95" s="118">
        <v>3334.0000000000005</v>
      </c>
      <c r="AP95" s="118">
        <v>3334.0000000000005</v>
      </c>
      <c r="AQ95" s="118">
        <v>3334.0000000000005</v>
      </c>
      <c r="AR95" s="118">
        <v>3334.0000000000005</v>
      </c>
      <c r="AS95" s="118">
        <v>3334.0000000000005</v>
      </c>
      <c r="AT95" s="118">
        <v>3334.0000000000005</v>
      </c>
      <c r="AU95" s="118">
        <v>3334.0000000000005</v>
      </c>
      <c r="AV95" s="118">
        <v>3334.0000000000005</v>
      </c>
      <c r="AW95" s="118">
        <v>3334.0000000000005</v>
      </c>
      <c r="AX95" s="118">
        <v>3334.0000000000005</v>
      </c>
      <c r="AY95" s="118">
        <v>3334.0000000000005</v>
      </c>
    </row>
    <row r="96" spans="1:52" x14ac:dyDescent="0.2">
      <c r="A96" s="117"/>
      <c r="B96" s="128">
        <v>2</v>
      </c>
      <c r="C96" s="118"/>
      <c r="D96" s="118">
        <v>0</v>
      </c>
      <c r="E96" s="118">
        <v>2501.0000000000005</v>
      </c>
      <c r="F96" s="118">
        <v>3334.0000000000005</v>
      </c>
      <c r="G96" s="118">
        <v>3334.0000000000005</v>
      </c>
      <c r="H96" s="118">
        <v>3334.0000000000005</v>
      </c>
      <c r="I96" s="118">
        <v>3334.0000000000005</v>
      </c>
      <c r="J96" s="118">
        <v>3334.0000000000005</v>
      </c>
      <c r="K96" s="118">
        <v>3334.0000000000005</v>
      </c>
      <c r="L96" s="118">
        <v>3334.0000000000005</v>
      </c>
      <c r="M96" s="118">
        <v>3334.0000000000005</v>
      </c>
      <c r="N96" s="118">
        <v>3334.0000000000005</v>
      </c>
      <c r="O96" s="118">
        <v>226.00000000000273</v>
      </c>
      <c r="P96" s="118">
        <v>0</v>
      </c>
      <c r="Q96" s="118">
        <v>405.00000000000045</v>
      </c>
      <c r="R96" s="118">
        <v>1451.0000000000009</v>
      </c>
      <c r="S96" s="118">
        <v>2414.0000000000014</v>
      </c>
      <c r="T96" s="118">
        <v>3334.0000000000005</v>
      </c>
      <c r="U96" s="118">
        <v>3334.0000000000005</v>
      </c>
      <c r="V96" s="118">
        <v>3334.0000000000005</v>
      </c>
      <c r="W96" s="118">
        <v>3334.0000000000005</v>
      </c>
      <c r="X96" s="118">
        <v>3334.0000000000005</v>
      </c>
      <c r="Y96" s="118">
        <v>3334.0000000000005</v>
      </c>
      <c r="Z96" s="118">
        <v>3334.0000000000005</v>
      </c>
      <c r="AA96" s="118">
        <v>3334.0000000000005</v>
      </c>
      <c r="AB96" s="118">
        <v>3334.0000000000005</v>
      </c>
      <c r="AC96" s="118">
        <v>3334.0000000000005</v>
      </c>
      <c r="AD96" s="118">
        <v>3334.0000000000005</v>
      </c>
      <c r="AE96" s="118">
        <v>3334.0000000000005</v>
      </c>
      <c r="AF96" s="118">
        <v>3334.0000000000005</v>
      </c>
      <c r="AG96" s="118">
        <v>3334.0000000000005</v>
      </c>
      <c r="AH96" s="118">
        <v>3334.0000000000005</v>
      </c>
      <c r="AI96" s="118">
        <v>3334.0000000000005</v>
      </c>
      <c r="AJ96" s="118">
        <v>3334.0000000000005</v>
      </c>
      <c r="AK96" s="118">
        <v>3334.0000000000005</v>
      </c>
      <c r="AL96" s="118">
        <v>3334.0000000000005</v>
      </c>
      <c r="AM96" s="118">
        <v>3334.0000000000005</v>
      </c>
      <c r="AN96" s="118">
        <v>3334.0000000000005</v>
      </c>
      <c r="AO96" s="118">
        <v>3334.0000000000005</v>
      </c>
      <c r="AP96" s="118">
        <v>3334.0000000000005</v>
      </c>
      <c r="AQ96" s="118">
        <v>3334.0000000000005</v>
      </c>
      <c r="AR96" s="118">
        <v>3334.0000000000005</v>
      </c>
      <c r="AS96" s="118">
        <v>767.00000000000364</v>
      </c>
      <c r="AT96" s="118">
        <v>4.5474735088646412E-13</v>
      </c>
      <c r="AU96" s="118">
        <v>0</v>
      </c>
      <c r="AV96" s="118">
        <v>0</v>
      </c>
      <c r="AW96" s="118">
        <v>2018.0000000000005</v>
      </c>
      <c r="AX96" s="118">
        <v>3334.0000000000005</v>
      </c>
      <c r="AY96" s="118">
        <v>3334.0000000000005</v>
      </c>
    </row>
    <row r="97" spans="1:52" x14ac:dyDescent="0.2">
      <c r="A97" s="117"/>
      <c r="B97" s="135">
        <v>3</v>
      </c>
      <c r="C97" s="118"/>
      <c r="D97" s="118">
        <v>0</v>
      </c>
      <c r="E97" s="118">
        <v>0</v>
      </c>
      <c r="F97" s="118">
        <v>1812.0000000000005</v>
      </c>
      <c r="G97" s="118">
        <v>3334.0000000000005</v>
      </c>
      <c r="H97" s="118">
        <v>3334.0000000000005</v>
      </c>
      <c r="I97" s="118">
        <v>3334.0000000000005</v>
      </c>
      <c r="J97" s="118">
        <v>3334.0000000000005</v>
      </c>
      <c r="K97" s="118">
        <v>3334.0000000000005</v>
      </c>
      <c r="L97" s="118">
        <v>3334.0000000000005</v>
      </c>
      <c r="M97" s="118">
        <v>3334.0000000000005</v>
      </c>
      <c r="N97" s="118">
        <v>2.000000000001819</v>
      </c>
      <c r="O97" s="118">
        <v>0</v>
      </c>
      <c r="P97" s="118">
        <v>0</v>
      </c>
      <c r="Q97" s="118">
        <v>0</v>
      </c>
      <c r="R97" s="118">
        <v>0</v>
      </c>
      <c r="S97" s="118">
        <v>0</v>
      </c>
      <c r="T97" s="118">
        <v>184.00000000000136</v>
      </c>
      <c r="U97" s="118">
        <v>1739.0000000000018</v>
      </c>
      <c r="V97" s="118">
        <v>3334.0000000000005</v>
      </c>
      <c r="W97" s="118">
        <v>3334.0000000000005</v>
      </c>
      <c r="X97" s="118">
        <v>3334.0000000000005</v>
      </c>
      <c r="Y97" s="118">
        <v>3334.0000000000005</v>
      </c>
      <c r="Z97" s="118">
        <v>3334.0000000000005</v>
      </c>
      <c r="AA97" s="118">
        <v>3334.0000000000005</v>
      </c>
      <c r="AB97" s="118">
        <v>3334.0000000000005</v>
      </c>
      <c r="AC97" s="118">
        <v>3334.0000000000005</v>
      </c>
      <c r="AD97" s="118">
        <v>3334.0000000000005</v>
      </c>
      <c r="AE97" s="118">
        <v>3334.0000000000005</v>
      </c>
      <c r="AF97" s="118">
        <v>3334.0000000000005</v>
      </c>
      <c r="AG97" s="118">
        <v>3334.0000000000005</v>
      </c>
      <c r="AH97" s="118">
        <v>3334.0000000000005</v>
      </c>
      <c r="AI97" s="118">
        <v>3334.0000000000005</v>
      </c>
      <c r="AJ97" s="118">
        <v>3334.0000000000005</v>
      </c>
      <c r="AK97" s="118">
        <v>3334.0000000000005</v>
      </c>
      <c r="AL97" s="118">
        <v>3334.0000000000005</v>
      </c>
      <c r="AM97" s="118">
        <v>3334.0000000000005</v>
      </c>
      <c r="AN97" s="118">
        <v>3334.0000000000005</v>
      </c>
      <c r="AO97" s="118">
        <v>3334.0000000000005</v>
      </c>
      <c r="AP97" s="118">
        <v>2766.0000000000018</v>
      </c>
      <c r="AQ97" s="118">
        <v>251.00000000000227</v>
      </c>
      <c r="AR97" s="118">
        <v>52.000000000002728</v>
      </c>
      <c r="AS97" s="118">
        <v>0</v>
      </c>
      <c r="AT97" s="118">
        <v>0</v>
      </c>
      <c r="AU97" s="118">
        <v>0</v>
      </c>
      <c r="AV97" s="118">
        <v>0</v>
      </c>
      <c r="AW97" s="118">
        <v>0</v>
      </c>
      <c r="AX97" s="118">
        <v>515.00000000000045</v>
      </c>
      <c r="AY97" s="118">
        <v>2254.0000000000009</v>
      </c>
    </row>
    <row r="98" spans="1:52" x14ac:dyDescent="0.2">
      <c r="A98" s="117"/>
      <c r="B98" s="138">
        <v>4</v>
      </c>
      <c r="C98" s="114"/>
      <c r="D98" s="118">
        <v>0</v>
      </c>
      <c r="E98" s="118">
        <v>0</v>
      </c>
      <c r="F98" s="118">
        <v>0</v>
      </c>
      <c r="G98" s="118">
        <v>940.00000000000045</v>
      </c>
      <c r="H98" s="118">
        <v>3334.0000000000005</v>
      </c>
      <c r="I98" s="118">
        <v>3334.0000000000005</v>
      </c>
      <c r="J98" s="118">
        <v>3334.0000000000005</v>
      </c>
      <c r="K98" s="118">
        <v>3334.0000000000005</v>
      </c>
      <c r="L98" s="118">
        <v>3334.0000000000005</v>
      </c>
      <c r="M98" s="118">
        <v>290.00000000000091</v>
      </c>
      <c r="N98" s="118">
        <v>0</v>
      </c>
      <c r="O98" s="118">
        <v>0</v>
      </c>
      <c r="P98" s="118">
        <v>0</v>
      </c>
      <c r="Q98" s="118">
        <v>0</v>
      </c>
      <c r="R98" s="118">
        <v>0</v>
      </c>
      <c r="S98" s="118">
        <v>0</v>
      </c>
      <c r="T98" s="118">
        <v>0</v>
      </c>
      <c r="U98" s="118">
        <v>0</v>
      </c>
      <c r="V98" s="118">
        <v>114.00000000000182</v>
      </c>
      <c r="W98" s="118">
        <v>1942.0000000000023</v>
      </c>
      <c r="X98" s="118">
        <v>3334.0000000000005</v>
      </c>
      <c r="Y98" s="118">
        <v>3334.0000000000005</v>
      </c>
      <c r="Z98" s="118">
        <v>3334.0000000000005</v>
      </c>
      <c r="AA98" s="118">
        <v>3334.0000000000005</v>
      </c>
      <c r="AB98" s="118">
        <v>3334.0000000000005</v>
      </c>
      <c r="AC98" s="118">
        <v>3334.0000000000005</v>
      </c>
      <c r="AD98" s="118">
        <v>3334.0000000000005</v>
      </c>
      <c r="AE98" s="118">
        <v>3334.0000000000005</v>
      </c>
      <c r="AF98" s="118">
        <v>3334.0000000000005</v>
      </c>
      <c r="AG98" s="118">
        <v>3334.0000000000005</v>
      </c>
      <c r="AH98" s="118">
        <v>3334.0000000000005</v>
      </c>
      <c r="AI98" s="118">
        <v>3334.0000000000005</v>
      </c>
      <c r="AJ98" s="118">
        <v>3334.0000000000005</v>
      </c>
      <c r="AK98" s="118">
        <v>3334.0000000000005</v>
      </c>
      <c r="AL98" s="118">
        <v>3334.0000000000005</v>
      </c>
      <c r="AM98" s="118">
        <v>3334.0000000000005</v>
      </c>
      <c r="AN98" s="118">
        <v>3334.0000000000005</v>
      </c>
      <c r="AO98" s="118">
        <v>1960.0000000000009</v>
      </c>
      <c r="AP98" s="118">
        <v>0</v>
      </c>
      <c r="AQ98" s="118">
        <v>0</v>
      </c>
      <c r="AR98" s="118">
        <v>0</v>
      </c>
      <c r="AS98" s="118">
        <v>0</v>
      </c>
      <c r="AT98" s="118">
        <v>0</v>
      </c>
      <c r="AU98" s="118">
        <v>0</v>
      </c>
      <c r="AV98" s="118">
        <v>0</v>
      </c>
      <c r="AW98" s="118">
        <v>0</v>
      </c>
      <c r="AX98" s="118">
        <v>0</v>
      </c>
      <c r="AY98" s="118">
        <v>0</v>
      </c>
    </row>
    <row r="99" spans="1:52" x14ac:dyDescent="0.2">
      <c r="A99" s="136"/>
      <c r="B99" s="140" t="s">
        <v>295</v>
      </c>
      <c r="C99" s="133"/>
      <c r="D99" s="133">
        <v>0</v>
      </c>
      <c r="E99" s="133">
        <v>0</v>
      </c>
      <c r="F99" s="133">
        <v>0</v>
      </c>
      <c r="G99" s="133">
        <v>0</v>
      </c>
      <c r="H99" s="133">
        <v>228.00000000000045</v>
      </c>
      <c r="I99" s="133">
        <v>2226.0000000000005</v>
      </c>
      <c r="J99" s="133">
        <v>1941.0000000000005</v>
      </c>
      <c r="K99" s="133">
        <v>2078.0000000000005</v>
      </c>
      <c r="L99" s="133">
        <v>2194.0000000000005</v>
      </c>
      <c r="M99" s="133">
        <v>0</v>
      </c>
      <c r="N99" s="133">
        <v>0</v>
      </c>
      <c r="O99" s="133">
        <v>0</v>
      </c>
      <c r="P99" s="133">
        <v>0</v>
      </c>
      <c r="Q99" s="133">
        <v>0</v>
      </c>
      <c r="R99" s="133">
        <v>0</v>
      </c>
      <c r="S99" s="133">
        <v>0</v>
      </c>
      <c r="T99" s="133">
        <v>0</v>
      </c>
      <c r="U99" s="133">
        <v>0</v>
      </c>
      <c r="V99" s="133">
        <v>0</v>
      </c>
      <c r="W99" s="133">
        <v>0</v>
      </c>
      <c r="X99" s="133">
        <v>218.00000000000227</v>
      </c>
      <c r="Y99" s="133">
        <v>1124.0000000000005</v>
      </c>
      <c r="Z99" s="133">
        <v>1651.0000000000005</v>
      </c>
      <c r="AA99" s="133">
        <v>1252.0000000000005</v>
      </c>
      <c r="AB99" s="133">
        <v>1222.0000000000005</v>
      </c>
      <c r="AC99" s="133">
        <v>2144.0000000000005</v>
      </c>
      <c r="AD99" s="133">
        <v>2101.0000000000005</v>
      </c>
      <c r="AE99" s="133">
        <v>2292.0000000000005</v>
      </c>
      <c r="AF99" s="133">
        <v>1863.0000000000005</v>
      </c>
      <c r="AG99" s="133">
        <v>1763.0000000000005</v>
      </c>
      <c r="AH99" s="133">
        <v>1412.0000000000005</v>
      </c>
      <c r="AI99" s="133">
        <v>1351.0000000000005</v>
      </c>
      <c r="AJ99" s="133">
        <v>1718.0000000000005</v>
      </c>
      <c r="AK99" s="133">
        <v>1177.0000000000005</v>
      </c>
      <c r="AL99" s="133">
        <v>1051.0000000000005</v>
      </c>
      <c r="AM99" s="133">
        <v>1218.0000000000005</v>
      </c>
      <c r="AN99" s="133">
        <v>1518.0000000000005</v>
      </c>
      <c r="AO99" s="133">
        <v>0</v>
      </c>
      <c r="AP99" s="133">
        <v>0</v>
      </c>
      <c r="AQ99" s="133">
        <v>0</v>
      </c>
      <c r="AR99" s="133">
        <v>0</v>
      </c>
      <c r="AS99" s="133">
        <v>0</v>
      </c>
      <c r="AT99" s="133">
        <v>0</v>
      </c>
      <c r="AU99" s="133">
        <v>0</v>
      </c>
      <c r="AV99" s="133">
        <v>0</v>
      </c>
      <c r="AW99" s="133">
        <v>0</v>
      </c>
      <c r="AX99" s="133">
        <v>0</v>
      </c>
      <c r="AY99" s="133">
        <v>0</v>
      </c>
      <c r="AZ99" s="115">
        <f>SUM($D99:$AY99)</f>
        <v>33742.000000000007</v>
      </c>
    </row>
    <row r="100" spans="1:52" x14ac:dyDescent="0.2">
      <c r="A100" s="139" t="s">
        <v>133</v>
      </c>
      <c r="B100" s="127">
        <v>1</v>
      </c>
      <c r="C100" s="114"/>
      <c r="D100" s="114">
        <v>0</v>
      </c>
      <c r="E100" s="114">
        <v>0</v>
      </c>
      <c r="F100" s="114">
        <v>0</v>
      </c>
      <c r="G100" s="114">
        <v>0</v>
      </c>
      <c r="H100" s="114">
        <v>833.25</v>
      </c>
      <c r="I100" s="114">
        <v>833.25</v>
      </c>
      <c r="J100" s="114">
        <v>833.25</v>
      </c>
      <c r="K100" s="114">
        <v>833.25</v>
      </c>
      <c r="L100" s="114">
        <v>0</v>
      </c>
      <c r="M100" s="114">
        <v>833.25</v>
      </c>
      <c r="N100" s="114">
        <v>833.25</v>
      </c>
      <c r="O100" s="114">
        <v>833.25</v>
      </c>
      <c r="P100" s="114">
        <v>0</v>
      </c>
      <c r="Q100" s="114">
        <v>0</v>
      </c>
      <c r="R100" s="114">
        <v>833.25</v>
      </c>
      <c r="S100" s="114">
        <v>0</v>
      </c>
      <c r="T100" s="114">
        <v>0</v>
      </c>
      <c r="U100" s="114">
        <v>833.25</v>
      </c>
      <c r="V100" s="114">
        <v>833.25</v>
      </c>
      <c r="W100" s="114">
        <v>0</v>
      </c>
      <c r="X100" s="114">
        <v>833.25</v>
      </c>
      <c r="Y100" s="114">
        <v>0</v>
      </c>
      <c r="Z100" s="114">
        <v>833.25</v>
      </c>
      <c r="AA100" s="114">
        <v>833.25</v>
      </c>
      <c r="AB100" s="114">
        <v>833.25</v>
      </c>
      <c r="AC100" s="114">
        <v>0</v>
      </c>
      <c r="AD100" s="114">
        <v>833.25</v>
      </c>
      <c r="AE100" s="114">
        <v>0</v>
      </c>
      <c r="AF100" s="114">
        <v>833.25</v>
      </c>
      <c r="AG100" s="114">
        <v>833.25</v>
      </c>
      <c r="AH100" s="114">
        <v>833.25</v>
      </c>
      <c r="AI100" s="114">
        <v>833.25</v>
      </c>
      <c r="AJ100" s="114">
        <v>833.25</v>
      </c>
      <c r="AK100" s="114">
        <v>833.25</v>
      </c>
      <c r="AL100" s="114">
        <v>833.25</v>
      </c>
      <c r="AM100" s="114">
        <v>0</v>
      </c>
      <c r="AN100" s="114">
        <v>833.25</v>
      </c>
      <c r="AO100" s="114">
        <v>833.25</v>
      </c>
      <c r="AP100" s="114">
        <v>0</v>
      </c>
      <c r="AQ100" s="114">
        <v>833.25</v>
      </c>
      <c r="AR100" s="114">
        <v>0</v>
      </c>
      <c r="AS100" s="114">
        <v>0</v>
      </c>
      <c r="AT100" s="114">
        <v>0</v>
      </c>
      <c r="AU100" s="114">
        <v>0</v>
      </c>
      <c r="AV100" s="114">
        <v>937</v>
      </c>
      <c r="AW100" s="114">
        <v>0</v>
      </c>
      <c r="AX100" s="114">
        <v>0</v>
      </c>
      <c r="AY100" s="114">
        <v>0</v>
      </c>
    </row>
    <row r="101" spans="1:52" x14ac:dyDescent="0.2">
      <c r="A101" s="117"/>
      <c r="B101" s="127">
        <v>2</v>
      </c>
      <c r="C101" s="114"/>
      <c r="D101" s="114">
        <v>0</v>
      </c>
      <c r="E101" s="114">
        <v>0</v>
      </c>
      <c r="F101" s="114">
        <v>0</v>
      </c>
      <c r="G101" s="114">
        <v>0</v>
      </c>
      <c r="H101" s="114">
        <v>833.25</v>
      </c>
      <c r="I101" s="114">
        <v>0</v>
      </c>
      <c r="J101" s="114">
        <v>0</v>
      </c>
      <c r="K101" s="114">
        <v>0</v>
      </c>
      <c r="L101" s="114">
        <v>0</v>
      </c>
      <c r="M101" s="114">
        <v>833.25</v>
      </c>
      <c r="N101" s="114">
        <v>0</v>
      </c>
      <c r="O101" s="114">
        <v>0</v>
      </c>
      <c r="P101" s="114">
        <v>0</v>
      </c>
      <c r="Q101" s="114">
        <v>833.25</v>
      </c>
      <c r="R101" s="114">
        <v>0</v>
      </c>
      <c r="S101" s="114">
        <v>0</v>
      </c>
      <c r="T101" s="114">
        <v>0</v>
      </c>
      <c r="U101" s="114">
        <v>833.25</v>
      </c>
      <c r="V101" s="114">
        <v>0</v>
      </c>
      <c r="W101" s="114">
        <v>0</v>
      </c>
      <c r="X101" s="114">
        <v>833.25</v>
      </c>
      <c r="Y101" s="114">
        <v>0</v>
      </c>
      <c r="Z101" s="114">
        <v>833.25</v>
      </c>
      <c r="AA101" s="114">
        <v>0</v>
      </c>
      <c r="AB101" s="114">
        <v>0</v>
      </c>
      <c r="AC101" s="114">
        <v>0</v>
      </c>
      <c r="AD101" s="114">
        <v>833.25</v>
      </c>
      <c r="AE101" s="114">
        <v>0</v>
      </c>
      <c r="AF101" s="114">
        <v>833.25</v>
      </c>
      <c r="AG101" s="114">
        <v>0</v>
      </c>
      <c r="AH101" s="114">
        <v>0</v>
      </c>
      <c r="AI101" s="114">
        <v>0</v>
      </c>
      <c r="AJ101" s="114">
        <v>0</v>
      </c>
      <c r="AK101" s="114">
        <v>0</v>
      </c>
      <c r="AL101" s="114">
        <v>0</v>
      </c>
      <c r="AM101" s="114">
        <v>0</v>
      </c>
      <c r="AN101" s="114">
        <v>833.25</v>
      </c>
      <c r="AO101" s="114">
        <v>0</v>
      </c>
      <c r="AP101" s="114">
        <v>0</v>
      </c>
      <c r="AQ101" s="114">
        <v>833.25</v>
      </c>
      <c r="AR101" s="114">
        <v>0</v>
      </c>
      <c r="AS101" s="114">
        <v>0</v>
      </c>
      <c r="AT101" s="114">
        <v>833.25</v>
      </c>
      <c r="AU101" s="114">
        <v>833.25</v>
      </c>
      <c r="AV101" s="114">
        <v>0</v>
      </c>
      <c r="AW101" s="114">
        <v>0</v>
      </c>
      <c r="AX101" s="114">
        <v>0</v>
      </c>
      <c r="AY101" s="114">
        <v>833.25</v>
      </c>
    </row>
    <row r="102" spans="1:52" x14ac:dyDescent="0.2">
      <c r="A102" s="117"/>
      <c r="B102" s="128">
        <v>3</v>
      </c>
      <c r="C102" s="114"/>
      <c r="D102" s="114">
        <v>0</v>
      </c>
      <c r="E102" s="114">
        <v>0</v>
      </c>
      <c r="F102" s="114">
        <v>0</v>
      </c>
      <c r="G102" s="114">
        <v>0</v>
      </c>
      <c r="H102" s="114">
        <v>833.25</v>
      </c>
      <c r="I102" s="114">
        <v>0</v>
      </c>
      <c r="J102" s="114">
        <v>0</v>
      </c>
      <c r="K102" s="114">
        <v>0</v>
      </c>
      <c r="L102" s="114">
        <v>0</v>
      </c>
      <c r="M102" s="114">
        <v>0</v>
      </c>
      <c r="N102" s="114">
        <v>0</v>
      </c>
      <c r="O102" s="114">
        <v>0</v>
      </c>
      <c r="P102" s="114">
        <v>0</v>
      </c>
      <c r="Q102" s="114">
        <v>0</v>
      </c>
      <c r="R102" s="114">
        <v>0</v>
      </c>
      <c r="S102" s="114">
        <v>833.25</v>
      </c>
      <c r="T102" s="114">
        <v>0</v>
      </c>
      <c r="U102" s="114">
        <v>833.25</v>
      </c>
      <c r="V102" s="114">
        <v>0</v>
      </c>
      <c r="W102" s="114">
        <v>0</v>
      </c>
      <c r="X102" s="114">
        <v>0</v>
      </c>
      <c r="Y102" s="114">
        <v>0</v>
      </c>
      <c r="Z102" s="114">
        <v>0</v>
      </c>
      <c r="AA102" s="114">
        <v>0</v>
      </c>
      <c r="AB102" s="114">
        <v>0</v>
      </c>
      <c r="AC102" s="114">
        <v>0</v>
      </c>
      <c r="AD102" s="114">
        <v>0</v>
      </c>
      <c r="AE102" s="114">
        <v>0</v>
      </c>
      <c r="AF102" s="114">
        <v>0</v>
      </c>
      <c r="AG102" s="114">
        <v>0</v>
      </c>
      <c r="AH102" s="114">
        <v>0</v>
      </c>
      <c r="AI102" s="114">
        <v>0</v>
      </c>
      <c r="AJ102" s="114">
        <v>0</v>
      </c>
      <c r="AK102" s="114">
        <v>0</v>
      </c>
      <c r="AL102" s="114">
        <v>0</v>
      </c>
      <c r="AM102" s="114">
        <v>0</v>
      </c>
      <c r="AN102" s="114">
        <v>0</v>
      </c>
      <c r="AO102" s="114">
        <v>0</v>
      </c>
      <c r="AP102" s="114">
        <v>0</v>
      </c>
      <c r="AQ102" s="114">
        <v>0</v>
      </c>
      <c r="AR102" s="114">
        <v>0</v>
      </c>
      <c r="AS102" s="114">
        <v>0</v>
      </c>
      <c r="AT102" s="114">
        <v>833.25</v>
      </c>
      <c r="AU102" s="114">
        <v>0</v>
      </c>
      <c r="AV102" s="114">
        <v>0</v>
      </c>
      <c r="AW102" s="114">
        <v>0</v>
      </c>
      <c r="AX102" s="114">
        <v>0</v>
      </c>
      <c r="AY102" s="114">
        <v>833.25</v>
      </c>
    </row>
    <row r="103" spans="1:52" x14ac:dyDescent="0.2">
      <c r="A103" s="117"/>
      <c r="B103" s="128">
        <v>4</v>
      </c>
      <c r="C103" s="114"/>
      <c r="D103" s="114">
        <v>0</v>
      </c>
      <c r="E103" s="114">
        <v>0</v>
      </c>
      <c r="F103" s="114">
        <v>0</v>
      </c>
      <c r="G103" s="114">
        <v>0</v>
      </c>
      <c r="H103" s="114">
        <v>0</v>
      </c>
      <c r="I103" s="114">
        <v>0</v>
      </c>
      <c r="J103" s="114">
        <v>0</v>
      </c>
      <c r="K103" s="114">
        <v>0</v>
      </c>
      <c r="L103" s="114">
        <v>0</v>
      </c>
      <c r="M103" s="114">
        <v>0</v>
      </c>
      <c r="N103" s="114">
        <v>0</v>
      </c>
      <c r="O103" s="114">
        <v>0</v>
      </c>
      <c r="P103" s="114">
        <v>0</v>
      </c>
      <c r="Q103" s="114">
        <v>0</v>
      </c>
      <c r="R103" s="114">
        <v>0</v>
      </c>
      <c r="S103" s="114">
        <v>0</v>
      </c>
      <c r="T103" s="114">
        <v>0</v>
      </c>
      <c r="U103" s="114">
        <v>0</v>
      </c>
      <c r="V103" s="114">
        <v>0</v>
      </c>
      <c r="W103" s="114">
        <v>0</v>
      </c>
      <c r="X103" s="114">
        <v>0</v>
      </c>
      <c r="Y103" s="114">
        <v>0</v>
      </c>
      <c r="Z103" s="114">
        <v>0</v>
      </c>
      <c r="AA103" s="114">
        <v>0</v>
      </c>
      <c r="AB103" s="114">
        <v>0</v>
      </c>
      <c r="AC103" s="114">
        <v>0</v>
      </c>
      <c r="AD103" s="114">
        <v>0</v>
      </c>
      <c r="AE103" s="114">
        <v>0</v>
      </c>
      <c r="AF103" s="114">
        <v>0</v>
      </c>
      <c r="AG103" s="114">
        <v>0</v>
      </c>
      <c r="AH103" s="114">
        <v>0</v>
      </c>
      <c r="AI103" s="114">
        <v>0</v>
      </c>
      <c r="AJ103" s="114">
        <v>0</v>
      </c>
      <c r="AK103" s="114">
        <v>0</v>
      </c>
      <c r="AL103" s="114">
        <v>0</v>
      </c>
      <c r="AM103" s="114">
        <v>0</v>
      </c>
      <c r="AN103" s="114">
        <v>0</v>
      </c>
      <c r="AO103" s="114">
        <v>0</v>
      </c>
      <c r="AP103" s="114">
        <v>0</v>
      </c>
      <c r="AQ103" s="114">
        <v>0</v>
      </c>
      <c r="AR103" s="114">
        <v>0</v>
      </c>
      <c r="AS103" s="114">
        <v>0</v>
      </c>
      <c r="AT103" s="114">
        <v>0</v>
      </c>
      <c r="AU103" s="114">
        <v>0</v>
      </c>
      <c r="AV103" s="114">
        <v>0</v>
      </c>
      <c r="AW103" s="114">
        <v>0</v>
      </c>
      <c r="AX103" s="114">
        <v>0</v>
      </c>
      <c r="AY103" s="114">
        <v>0</v>
      </c>
    </row>
    <row r="104" spans="1:52" x14ac:dyDescent="0.2">
      <c r="A104" s="117"/>
      <c r="B104" s="135">
        <v>5</v>
      </c>
      <c r="C104" s="114"/>
      <c r="D104" s="114">
        <v>0</v>
      </c>
      <c r="E104" s="114">
        <v>0</v>
      </c>
      <c r="F104" s="114">
        <v>0</v>
      </c>
      <c r="G104" s="114">
        <v>0</v>
      </c>
      <c r="H104" s="114">
        <v>0</v>
      </c>
      <c r="I104" s="114">
        <v>0</v>
      </c>
      <c r="J104" s="114">
        <v>0</v>
      </c>
      <c r="K104" s="114">
        <v>0</v>
      </c>
      <c r="L104" s="114">
        <v>0</v>
      </c>
      <c r="M104" s="114">
        <v>0</v>
      </c>
      <c r="N104" s="114">
        <v>0</v>
      </c>
      <c r="O104" s="114">
        <v>0</v>
      </c>
      <c r="P104" s="114">
        <v>0</v>
      </c>
      <c r="Q104" s="114">
        <v>0</v>
      </c>
      <c r="R104" s="114">
        <v>0</v>
      </c>
      <c r="S104" s="114">
        <v>0</v>
      </c>
      <c r="T104" s="114">
        <v>0</v>
      </c>
      <c r="U104" s="114">
        <v>0</v>
      </c>
      <c r="V104" s="114">
        <v>0</v>
      </c>
      <c r="W104" s="114">
        <v>0</v>
      </c>
      <c r="X104" s="114">
        <v>0</v>
      </c>
      <c r="Y104" s="114">
        <v>0</v>
      </c>
      <c r="Z104" s="114">
        <v>0</v>
      </c>
      <c r="AA104" s="114">
        <v>0</v>
      </c>
      <c r="AB104" s="114">
        <v>0</v>
      </c>
      <c r="AC104" s="114">
        <v>0</v>
      </c>
      <c r="AD104" s="114">
        <v>0</v>
      </c>
      <c r="AE104" s="114">
        <v>0</v>
      </c>
      <c r="AF104" s="114">
        <v>0</v>
      </c>
      <c r="AG104" s="114">
        <v>0</v>
      </c>
      <c r="AH104" s="114">
        <v>0</v>
      </c>
      <c r="AI104" s="114">
        <v>0</v>
      </c>
      <c r="AJ104" s="114">
        <v>0</v>
      </c>
      <c r="AK104" s="114">
        <v>0</v>
      </c>
      <c r="AL104" s="114">
        <v>0</v>
      </c>
      <c r="AM104" s="114">
        <v>0</v>
      </c>
      <c r="AN104" s="114">
        <v>0</v>
      </c>
      <c r="AO104" s="114">
        <v>0</v>
      </c>
      <c r="AP104" s="114">
        <v>0</v>
      </c>
      <c r="AQ104" s="114">
        <v>0</v>
      </c>
      <c r="AR104" s="114">
        <v>0</v>
      </c>
      <c r="AS104" s="114">
        <v>0</v>
      </c>
      <c r="AT104" s="114">
        <v>0</v>
      </c>
      <c r="AU104" s="114">
        <v>0</v>
      </c>
      <c r="AV104" s="114">
        <v>0</v>
      </c>
      <c r="AW104" s="114">
        <v>0</v>
      </c>
      <c r="AX104" s="114">
        <v>0</v>
      </c>
      <c r="AY104" s="114">
        <v>0</v>
      </c>
    </row>
    <row r="105" spans="1:52" x14ac:dyDescent="0.2">
      <c r="A105" s="117"/>
      <c r="B105" s="135">
        <v>6</v>
      </c>
      <c r="C105" s="114"/>
      <c r="D105" s="114">
        <v>0</v>
      </c>
      <c r="E105" s="114">
        <v>0</v>
      </c>
      <c r="F105" s="114">
        <v>0</v>
      </c>
      <c r="G105" s="114">
        <v>0</v>
      </c>
      <c r="H105" s="114">
        <v>0</v>
      </c>
      <c r="I105" s="114">
        <v>0</v>
      </c>
      <c r="J105" s="114">
        <v>0</v>
      </c>
      <c r="K105" s="114">
        <v>0</v>
      </c>
      <c r="L105" s="114">
        <v>0</v>
      </c>
      <c r="M105" s="114">
        <v>0</v>
      </c>
      <c r="N105" s="114">
        <v>0</v>
      </c>
      <c r="O105" s="114">
        <v>0</v>
      </c>
      <c r="P105" s="114">
        <v>0</v>
      </c>
      <c r="Q105" s="114">
        <v>0</v>
      </c>
      <c r="R105" s="114">
        <v>0</v>
      </c>
      <c r="S105" s="114">
        <v>0</v>
      </c>
      <c r="T105" s="114">
        <v>0</v>
      </c>
      <c r="U105" s="114">
        <v>0</v>
      </c>
      <c r="V105" s="114">
        <v>0</v>
      </c>
      <c r="W105" s="114">
        <v>0</v>
      </c>
      <c r="X105" s="114">
        <v>0</v>
      </c>
      <c r="Y105" s="114">
        <v>0</v>
      </c>
      <c r="Z105" s="114">
        <v>0</v>
      </c>
      <c r="AA105" s="114">
        <v>0</v>
      </c>
      <c r="AB105" s="114">
        <v>0</v>
      </c>
      <c r="AC105" s="114">
        <v>0</v>
      </c>
      <c r="AD105" s="114">
        <v>0</v>
      </c>
      <c r="AE105" s="114">
        <v>0</v>
      </c>
      <c r="AF105" s="114">
        <v>0</v>
      </c>
      <c r="AG105" s="114">
        <v>0</v>
      </c>
      <c r="AH105" s="114">
        <v>0</v>
      </c>
      <c r="AI105" s="114">
        <v>0</v>
      </c>
      <c r="AJ105" s="114">
        <v>0</v>
      </c>
      <c r="AK105" s="114">
        <v>0</v>
      </c>
      <c r="AL105" s="114">
        <v>0</v>
      </c>
      <c r="AM105" s="114">
        <v>0</v>
      </c>
      <c r="AN105" s="114">
        <v>0</v>
      </c>
      <c r="AO105" s="114">
        <v>0</v>
      </c>
      <c r="AP105" s="114">
        <v>0</v>
      </c>
      <c r="AQ105" s="114">
        <v>0</v>
      </c>
      <c r="AR105" s="114">
        <v>0</v>
      </c>
      <c r="AS105" s="114">
        <v>0</v>
      </c>
      <c r="AT105" s="114">
        <v>0</v>
      </c>
      <c r="AU105" s="114">
        <v>0</v>
      </c>
      <c r="AV105" s="114">
        <v>0</v>
      </c>
      <c r="AW105" s="114">
        <v>0</v>
      </c>
      <c r="AX105" s="114">
        <v>0</v>
      </c>
      <c r="AY105" s="114">
        <v>0</v>
      </c>
    </row>
    <row r="106" spans="1:52" x14ac:dyDescent="0.2">
      <c r="A106" s="117"/>
      <c r="B106" s="138">
        <v>7</v>
      </c>
      <c r="C106" s="114"/>
      <c r="D106" s="114">
        <v>0</v>
      </c>
      <c r="E106" s="114">
        <v>0</v>
      </c>
      <c r="F106" s="114">
        <v>0</v>
      </c>
      <c r="G106" s="114">
        <v>0</v>
      </c>
      <c r="H106" s="114">
        <v>0</v>
      </c>
      <c r="I106" s="114">
        <v>0</v>
      </c>
      <c r="J106" s="114">
        <v>0</v>
      </c>
      <c r="K106" s="114">
        <v>0</v>
      </c>
      <c r="L106" s="114">
        <v>0</v>
      </c>
      <c r="M106" s="114">
        <v>0</v>
      </c>
      <c r="N106" s="114">
        <v>0</v>
      </c>
      <c r="O106" s="114">
        <v>0</v>
      </c>
      <c r="P106" s="114">
        <v>0</v>
      </c>
      <c r="Q106" s="114">
        <v>0</v>
      </c>
      <c r="R106" s="114">
        <v>0</v>
      </c>
      <c r="S106" s="114">
        <v>0</v>
      </c>
      <c r="T106" s="114">
        <v>0</v>
      </c>
      <c r="U106" s="114">
        <v>0</v>
      </c>
      <c r="V106" s="114">
        <v>0</v>
      </c>
      <c r="W106" s="114">
        <v>0</v>
      </c>
      <c r="X106" s="114">
        <v>0</v>
      </c>
      <c r="Y106" s="114">
        <v>0</v>
      </c>
      <c r="Z106" s="114">
        <v>0</v>
      </c>
      <c r="AA106" s="114">
        <v>0</v>
      </c>
      <c r="AB106" s="114">
        <v>0</v>
      </c>
      <c r="AC106" s="114">
        <v>0</v>
      </c>
      <c r="AD106" s="114">
        <v>0</v>
      </c>
      <c r="AE106" s="114">
        <v>0</v>
      </c>
      <c r="AF106" s="114">
        <v>0</v>
      </c>
      <c r="AG106" s="114">
        <v>0</v>
      </c>
      <c r="AH106" s="114">
        <v>0</v>
      </c>
      <c r="AI106" s="114">
        <v>0</v>
      </c>
      <c r="AJ106" s="114">
        <v>0</v>
      </c>
      <c r="AK106" s="114">
        <v>0</v>
      </c>
      <c r="AL106" s="114">
        <v>0</v>
      </c>
      <c r="AM106" s="114">
        <v>0</v>
      </c>
      <c r="AN106" s="114">
        <v>0</v>
      </c>
      <c r="AO106" s="114">
        <v>0</v>
      </c>
      <c r="AP106" s="114">
        <v>0</v>
      </c>
      <c r="AQ106" s="114">
        <v>0</v>
      </c>
      <c r="AR106" s="114">
        <v>0</v>
      </c>
      <c r="AS106" s="114">
        <v>0</v>
      </c>
      <c r="AT106" s="114">
        <v>0</v>
      </c>
      <c r="AU106" s="114">
        <v>0</v>
      </c>
      <c r="AV106" s="114">
        <v>0</v>
      </c>
      <c r="AW106" s="114">
        <v>0</v>
      </c>
      <c r="AX106" s="114">
        <v>0</v>
      </c>
      <c r="AY106" s="114">
        <v>0</v>
      </c>
    </row>
    <row r="107" spans="1:52" x14ac:dyDescent="0.2">
      <c r="A107" s="117"/>
      <c r="B107" s="138">
        <v>8</v>
      </c>
      <c r="C107" s="114"/>
      <c r="D107" s="114">
        <v>0</v>
      </c>
      <c r="E107" s="114">
        <v>0</v>
      </c>
      <c r="F107" s="114">
        <v>0</v>
      </c>
      <c r="G107" s="114">
        <v>0</v>
      </c>
      <c r="H107" s="114">
        <v>0</v>
      </c>
      <c r="I107" s="114">
        <v>0</v>
      </c>
      <c r="J107" s="114">
        <v>0</v>
      </c>
      <c r="K107" s="114">
        <v>0</v>
      </c>
      <c r="L107" s="114">
        <v>0</v>
      </c>
      <c r="M107" s="114">
        <v>0</v>
      </c>
      <c r="N107" s="114">
        <v>0</v>
      </c>
      <c r="O107" s="114">
        <v>0</v>
      </c>
      <c r="P107" s="114">
        <v>0</v>
      </c>
      <c r="Q107" s="114">
        <v>0</v>
      </c>
      <c r="R107" s="114">
        <v>0</v>
      </c>
      <c r="S107" s="114">
        <v>0</v>
      </c>
      <c r="T107" s="114">
        <v>0</v>
      </c>
      <c r="U107" s="114">
        <v>0</v>
      </c>
      <c r="V107" s="114">
        <v>0</v>
      </c>
      <c r="W107" s="114">
        <v>0</v>
      </c>
      <c r="X107" s="114">
        <v>0</v>
      </c>
      <c r="Y107" s="114">
        <v>0</v>
      </c>
      <c r="Z107" s="114">
        <v>0</v>
      </c>
      <c r="AA107" s="114">
        <v>0</v>
      </c>
      <c r="AB107" s="114">
        <v>0</v>
      </c>
      <c r="AC107" s="114">
        <v>0</v>
      </c>
      <c r="AD107" s="114">
        <v>0</v>
      </c>
      <c r="AE107" s="114">
        <v>0</v>
      </c>
      <c r="AF107" s="114">
        <v>0</v>
      </c>
      <c r="AG107" s="114">
        <v>0</v>
      </c>
      <c r="AH107" s="114">
        <v>0</v>
      </c>
      <c r="AI107" s="114">
        <v>0</v>
      </c>
      <c r="AJ107" s="114">
        <v>0</v>
      </c>
      <c r="AK107" s="114">
        <v>0</v>
      </c>
      <c r="AL107" s="114">
        <v>0</v>
      </c>
      <c r="AM107" s="114">
        <v>0</v>
      </c>
      <c r="AN107" s="114">
        <v>0</v>
      </c>
      <c r="AO107" s="114">
        <v>0</v>
      </c>
      <c r="AP107" s="114">
        <v>0</v>
      </c>
      <c r="AQ107" s="114">
        <v>0</v>
      </c>
      <c r="AR107" s="114">
        <v>0</v>
      </c>
      <c r="AS107" s="114">
        <v>0</v>
      </c>
      <c r="AT107" s="114">
        <v>0</v>
      </c>
      <c r="AU107" s="114">
        <v>0</v>
      </c>
      <c r="AV107" s="114">
        <v>0</v>
      </c>
      <c r="AW107" s="114">
        <v>0</v>
      </c>
      <c r="AX107" s="114">
        <v>0</v>
      </c>
      <c r="AY107" s="114">
        <v>0</v>
      </c>
    </row>
    <row r="108" spans="1:52" x14ac:dyDescent="0.2">
      <c r="A108" s="136"/>
      <c r="B108" s="140" t="s">
        <v>295</v>
      </c>
      <c r="C108" s="122"/>
      <c r="D108" s="133">
        <v>0</v>
      </c>
      <c r="E108" s="133">
        <v>0</v>
      </c>
      <c r="F108" s="133">
        <v>0</v>
      </c>
      <c r="G108" s="133">
        <v>0</v>
      </c>
      <c r="H108" s="133">
        <v>0</v>
      </c>
      <c r="I108" s="133">
        <v>0</v>
      </c>
      <c r="J108" s="133">
        <v>0</v>
      </c>
      <c r="K108" s="133">
        <v>0</v>
      </c>
      <c r="L108" s="133">
        <v>0</v>
      </c>
      <c r="M108" s="133">
        <v>0</v>
      </c>
      <c r="N108" s="133">
        <v>0</v>
      </c>
      <c r="O108" s="133">
        <v>0</v>
      </c>
      <c r="P108" s="133">
        <v>0</v>
      </c>
      <c r="Q108" s="133">
        <v>0</v>
      </c>
      <c r="R108" s="133">
        <v>0</v>
      </c>
      <c r="S108" s="133">
        <v>0</v>
      </c>
      <c r="T108" s="133">
        <v>0</v>
      </c>
      <c r="U108" s="133">
        <v>0</v>
      </c>
      <c r="V108" s="133">
        <v>0</v>
      </c>
      <c r="W108" s="133">
        <v>0</v>
      </c>
      <c r="X108" s="133">
        <v>0</v>
      </c>
      <c r="Y108" s="133">
        <v>0</v>
      </c>
      <c r="Z108" s="133">
        <v>0</v>
      </c>
      <c r="AA108" s="133">
        <v>0</v>
      </c>
      <c r="AB108" s="133">
        <v>0</v>
      </c>
      <c r="AC108" s="133">
        <v>0</v>
      </c>
      <c r="AD108" s="133">
        <v>0</v>
      </c>
      <c r="AE108" s="133">
        <v>0</v>
      </c>
      <c r="AF108" s="133">
        <v>0</v>
      </c>
      <c r="AG108" s="133">
        <v>0</v>
      </c>
      <c r="AH108" s="133">
        <v>0</v>
      </c>
      <c r="AI108" s="133">
        <v>0</v>
      </c>
      <c r="AJ108" s="133">
        <v>0</v>
      </c>
      <c r="AK108" s="133">
        <v>0</v>
      </c>
      <c r="AL108" s="133">
        <v>0</v>
      </c>
      <c r="AM108" s="133">
        <v>0</v>
      </c>
      <c r="AN108" s="133">
        <v>0</v>
      </c>
      <c r="AO108" s="133">
        <v>0</v>
      </c>
      <c r="AP108" s="133">
        <v>0</v>
      </c>
      <c r="AQ108" s="133">
        <v>0</v>
      </c>
      <c r="AR108" s="133">
        <v>0</v>
      </c>
      <c r="AS108" s="133">
        <v>0</v>
      </c>
      <c r="AT108" s="133">
        <v>0</v>
      </c>
      <c r="AU108" s="133">
        <v>0</v>
      </c>
      <c r="AV108" s="133">
        <v>0</v>
      </c>
      <c r="AW108" s="133">
        <v>0</v>
      </c>
      <c r="AX108" s="133">
        <v>0</v>
      </c>
      <c r="AY108" s="133">
        <v>0</v>
      </c>
      <c r="AZ108" s="115">
        <f>SUM($D108:$AY108)</f>
        <v>0</v>
      </c>
    </row>
    <row r="109" spans="1:52" x14ac:dyDescent="0.2">
      <c r="A109" s="139" t="s">
        <v>134</v>
      </c>
      <c r="B109" s="127">
        <v>1</v>
      </c>
      <c r="C109" s="114"/>
      <c r="D109" s="114">
        <v>0</v>
      </c>
      <c r="E109" s="114">
        <v>0</v>
      </c>
      <c r="F109" s="114">
        <v>0</v>
      </c>
      <c r="G109" s="114">
        <v>0</v>
      </c>
      <c r="H109" s="114">
        <v>0</v>
      </c>
      <c r="I109" s="114">
        <v>749.92499999999995</v>
      </c>
      <c r="J109" s="114">
        <v>249.97500000000005</v>
      </c>
      <c r="K109" s="114">
        <v>249.97499999999999</v>
      </c>
      <c r="L109" s="114">
        <v>249.97499999999999</v>
      </c>
      <c r="M109" s="114">
        <v>0</v>
      </c>
      <c r="N109" s="114">
        <v>666.6</v>
      </c>
      <c r="O109" s="114">
        <v>385.9975</v>
      </c>
      <c r="P109" s="114">
        <v>333.3</v>
      </c>
      <c r="Q109" s="114">
        <v>1.1368683772161604E-14</v>
      </c>
      <c r="R109" s="114">
        <v>166.65</v>
      </c>
      <c r="S109" s="114">
        <v>166.65</v>
      </c>
      <c r="T109" s="114">
        <v>166.65</v>
      </c>
      <c r="U109" s="114">
        <v>0</v>
      </c>
      <c r="V109" s="114">
        <v>749.92499999999995</v>
      </c>
      <c r="W109" s="114">
        <v>249.97500000000005</v>
      </c>
      <c r="X109" s="114">
        <v>0</v>
      </c>
      <c r="Y109" s="114">
        <v>666.6</v>
      </c>
      <c r="Z109" s="114">
        <v>0</v>
      </c>
      <c r="AA109" s="114">
        <v>666.6</v>
      </c>
      <c r="AB109" s="114">
        <v>333.3</v>
      </c>
      <c r="AC109" s="114">
        <v>166.65</v>
      </c>
      <c r="AD109" s="114">
        <v>0</v>
      </c>
      <c r="AE109" s="114">
        <v>333.3</v>
      </c>
      <c r="AF109" s="114">
        <v>81.864872971263097</v>
      </c>
      <c r="AG109" s="114">
        <v>499.95</v>
      </c>
      <c r="AH109" s="114">
        <v>249.97499999999999</v>
      </c>
      <c r="AI109" s="114">
        <v>249.97499999999999</v>
      </c>
      <c r="AJ109" s="114">
        <v>249.97499999999999</v>
      </c>
      <c r="AK109" s="114">
        <v>333.3</v>
      </c>
      <c r="AL109" s="114">
        <v>333.3</v>
      </c>
      <c r="AM109" s="114">
        <v>333.3</v>
      </c>
      <c r="AN109" s="114">
        <v>0</v>
      </c>
      <c r="AO109" s="114">
        <v>333.3</v>
      </c>
      <c r="AP109" s="114">
        <v>166.65</v>
      </c>
      <c r="AQ109" s="114">
        <v>0</v>
      </c>
      <c r="AR109" s="114">
        <v>333.3</v>
      </c>
      <c r="AS109" s="114">
        <v>0</v>
      </c>
      <c r="AT109" s="114">
        <v>0</v>
      </c>
      <c r="AU109" s="114">
        <v>499.95</v>
      </c>
      <c r="AV109" s="114">
        <v>249.97499999999999</v>
      </c>
      <c r="AW109" s="114">
        <v>374.8</v>
      </c>
      <c r="AX109" s="114">
        <v>0</v>
      </c>
      <c r="AY109" s="114">
        <v>0</v>
      </c>
    </row>
    <row r="110" spans="1:52" x14ac:dyDescent="0.2">
      <c r="A110" s="117"/>
      <c r="B110" s="127">
        <v>2</v>
      </c>
      <c r="C110" s="114"/>
      <c r="D110" s="114">
        <v>0</v>
      </c>
      <c r="E110" s="114">
        <v>0</v>
      </c>
      <c r="F110" s="114">
        <v>0</v>
      </c>
      <c r="G110" s="114">
        <v>0</v>
      </c>
      <c r="H110" s="114">
        <v>0</v>
      </c>
      <c r="I110" s="114">
        <v>0</v>
      </c>
      <c r="J110" s="114">
        <v>0</v>
      </c>
      <c r="K110" s="114">
        <v>0</v>
      </c>
      <c r="L110" s="114">
        <v>0</v>
      </c>
      <c r="M110" s="114">
        <v>0</v>
      </c>
      <c r="N110" s="114">
        <v>0</v>
      </c>
      <c r="O110" s="114">
        <v>0</v>
      </c>
      <c r="P110" s="114">
        <v>0</v>
      </c>
      <c r="Q110" s="114">
        <v>0</v>
      </c>
      <c r="R110" s="114">
        <v>0</v>
      </c>
      <c r="S110" s="114">
        <v>0</v>
      </c>
      <c r="T110" s="114">
        <v>0</v>
      </c>
      <c r="U110" s="114">
        <v>0</v>
      </c>
      <c r="V110" s="114">
        <v>0</v>
      </c>
      <c r="W110" s="114">
        <v>0</v>
      </c>
      <c r="X110" s="114">
        <v>0</v>
      </c>
      <c r="Y110" s="114">
        <v>0</v>
      </c>
      <c r="Z110" s="114">
        <v>0</v>
      </c>
      <c r="AA110" s="114">
        <v>0</v>
      </c>
      <c r="AB110" s="114">
        <v>0</v>
      </c>
      <c r="AC110" s="114">
        <v>0</v>
      </c>
      <c r="AD110" s="114">
        <v>0</v>
      </c>
      <c r="AE110" s="114">
        <v>0</v>
      </c>
      <c r="AF110" s="114">
        <v>0</v>
      </c>
      <c r="AG110" s="114">
        <v>0</v>
      </c>
      <c r="AH110" s="114">
        <v>0</v>
      </c>
      <c r="AI110" s="114">
        <v>0</v>
      </c>
      <c r="AJ110" s="114">
        <v>0</v>
      </c>
      <c r="AK110" s="114">
        <v>0</v>
      </c>
      <c r="AL110" s="114">
        <v>0</v>
      </c>
      <c r="AM110" s="114">
        <v>0</v>
      </c>
      <c r="AN110" s="114">
        <v>0</v>
      </c>
      <c r="AO110" s="114">
        <v>0</v>
      </c>
      <c r="AP110" s="114">
        <v>0</v>
      </c>
      <c r="AQ110" s="114">
        <v>0</v>
      </c>
      <c r="AR110" s="114">
        <v>0</v>
      </c>
      <c r="AS110" s="114">
        <v>0</v>
      </c>
      <c r="AT110" s="114">
        <v>0</v>
      </c>
      <c r="AU110" s="114">
        <v>0</v>
      </c>
      <c r="AV110" s="114">
        <v>0</v>
      </c>
      <c r="AW110" s="114">
        <v>0</v>
      </c>
      <c r="AX110" s="114">
        <v>0</v>
      </c>
      <c r="AY110" s="114">
        <v>0</v>
      </c>
    </row>
    <row r="111" spans="1:52" x14ac:dyDescent="0.2">
      <c r="A111" s="117"/>
      <c r="B111" s="127">
        <v>3</v>
      </c>
      <c r="C111" s="114"/>
      <c r="D111" s="114">
        <v>0</v>
      </c>
      <c r="E111" s="114">
        <v>0</v>
      </c>
      <c r="F111" s="114">
        <v>0</v>
      </c>
      <c r="G111" s="114">
        <v>0</v>
      </c>
      <c r="H111" s="114">
        <v>0</v>
      </c>
      <c r="I111" s="114">
        <v>0</v>
      </c>
      <c r="J111" s="114">
        <v>0</v>
      </c>
      <c r="K111" s="114">
        <v>0</v>
      </c>
      <c r="L111" s="114">
        <v>0</v>
      </c>
      <c r="M111" s="114">
        <v>0</v>
      </c>
      <c r="N111" s="114">
        <v>0</v>
      </c>
      <c r="O111" s="114">
        <v>0</v>
      </c>
      <c r="P111" s="114">
        <v>0</v>
      </c>
      <c r="Q111" s="114">
        <v>0</v>
      </c>
      <c r="R111" s="114">
        <v>0</v>
      </c>
      <c r="S111" s="114">
        <v>0</v>
      </c>
      <c r="T111" s="114">
        <v>0</v>
      </c>
      <c r="U111" s="114">
        <v>0</v>
      </c>
      <c r="V111" s="114">
        <v>0</v>
      </c>
      <c r="W111" s="114">
        <v>0</v>
      </c>
      <c r="X111" s="114">
        <v>0</v>
      </c>
      <c r="Y111" s="114">
        <v>0</v>
      </c>
      <c r="Z111" s="114">
        <v>0</v>
      </c>
      <c r="AA111" s="114">
        <v>0</v>
      </c>
      <c r="AB111" s="114">
        <v>0</v>
      </c>
      <c r="AC111" s="114">
        <v>0</v>
      </c>
      <c r="AD111" s="114">
        <v>0</v>
      </c>
      <c r="AE111" s="114">
        <v>0</v>
      </c>
      <c r="AF111" s="114">
        <v>0</v>
      </c>
      <c r="AG111" s="114">
        <v>0</v>
      </c>
      <c r="AH111" s="114">
        <v>0</v>
      </c>
      <c r="AI111" s="114">
        <v>0</v>
      </c>
      <c r="AJ111" s="114">
        <v>0</v>
      </c>
      <c r="AK111" s="114">
        <v>0</v>
      </c>
      <c r="AL111" s="114">
        <v>0</v>
      </c>
      <c r="AM111" s="114">
        <v>0</v>
      </c>
      <c r="AN111" s="114">
        <v>0</v>
      </c>
      <c r="AO111" s="114">
        <v>0</v>
      </c>
      <c r="AP111" s="114">
        <v>0</v>
      </c>
      <c r="AQ111" s="114">
        <v>0</v>
      </c>
      <c r="AR111" s="114">
        <v>0</v>
      </c>
      <c r="AS111" s="114">
        <v>0</v>
      </c>
      <c r="AT111" s="114">
        <v>0</v>
      </c>
      <c r="AU111" s="114">
        <v>0</v>
      </c>
      <c r="AV111" s="114">
        <v>0</v>
      </c>
      <c r="AW111" s="114">
        <v>0</v>
      </c>
      <c r="AX111" s="114">
        <v>0</v>
      </c>
      <c r="AY111" s="114">
        <v>0</v>
      </c>
    </row>
    <row r="112" spans="1:52" x14ac:dyDescent="0.2">
      <c r="A112" s="117"/>
      <c r="B112" s="128">
        <v>4</v>
      </c>
      <c r="C112" s="114"/>
      <c r="D112" s="114">
        <v>0</v>
      </c>
      <c r="E112" s="114">
        <v>0</v>
      </c>
      <c r="F112" s="114">
        <v>0</v>
      </c>
      <c r="G112" s="114">
        <v>0</v>
      </c>
      <c r="H112" s="114">
        <v>0</v>
      </c>
      <c r="I112" s="114">
        <v>0</v>
      </c>
      <c r="J112" s="114">
        <v>0</v>
      </c>
      <c r="K112" s="114">
        <v>0</v>
      </c>
      <c r="L112" s="114">
        <v>0</v>
      </c>
      <c r="M112" s="114">
        <v>0</v>
      </c>
      <c r="N112" s="114">
        <v>0</v>
      </c>
      <c r="O112" s="114">
        <v>0</v>
      </c>
      <c r="P112" s="114">
        <v>0</v>
      </c>
      <c r="Q112" s="114">
        <v>0</v>
      </c>
      <c r="R112" s="114">
        <v>0</v>
      </c>
      <c r="S112" s="114">
        <v>0</v>
      </c>
      <c r="T112" s="114">
        <v>0</v>
      </c>
      <c r="U112" s="114">
        <v>0</v>
      </c>
      <c r="V112" s="114">
        <v>0</v>
      </c>
      <c r="W112" s="114">
        <v>0</v>
      </c>
      <c r="X112" s="114">
        <v>0</v>
      </c>
      <c r="Y112" s="114">
        <v>0</v>
      </c>
      <c r="Z112" s="114">
        <v>0</v>
      </c>
      <c r="AA112" s="114">
        <v>0</v>
      </c>
      <c r="AB112" s="114">
        <v>0</v>
      </c>
      <c r="AC112" s="114">
        <v>0</v>
      </c>
      <c r="AD112" s="114">
        <v>0</v>
      </c>
      <c r="AE112" s="114">
        <v>0</v>
      </c>
      <c r="AF112" s="114">
        <v>0</v>
      </c>
      <c r="AG112" s="114">
        <v>0</v>
      </c>
      <c r="AH112" s="114">
        <v>0</v>
      </c>
      <c r="AI112" s="114">
        <v>0</v>
      </c>
      <c r="AJ112" s="114">
        <v>0</v>
      </c>
      <c r="AK112" s="114">
        <v>0</v>
      </c>
      <c r="AL112" s="114">
        <v>0</v>
      </c>
      <c r="AM112" s="114">
        <v>0</v>
      </c>
      <c r="AN112" s="114">
        <v>0</v>
      </c>
      <c r="AO112" s="114">
        <v>0</v>
      </c>
      <c r="AP112" s="114">
        <v>0</v>
      </c>
      <c r="AQ112" s="114">
        <v>0</v>
      </c>
      <c r="AR112" s="114">
        <v>0</v>
      </c>
      <c r="AS112" s="114">
        <v>0</v>
      </c>
      <c r="AT112" s="114">
        <v>0</v>
      </c>
      <c r="AU112" s="114">
        <v>0</v>
      </c>
      <c r="AV112" s="114">
        <v>0</v>
      </c>
      <c r="AW112" s="114">
        <v>0</v>
      </c>
      <c r="AX112" s="114">
        <v>0</v>
      </c>
      <c r="AY112" s="114">
        <v>0</v>
      </c>
    </row>
    <row r="113" spans="1:52" x14ac:dyDescent="0.2">
      <c r="A113" s="117"/>
      <c r="B113" s="128">
        <v>5</v>
      </c>
      <c r="C113" s="114"/>
      <c r="D113" s="114">
        <v>0</v>
      </c>
      <c r="E113" s="114">
        <v>0</v>
      </c>
      <c r="F113" s="114">
        <v>0</v>
      </c>
      <c r="G113" s="114">
        <v>0</v>
      </c>
      <c r="H113" s="114">
        <v>0</v>
      </c>
      <c r="I113" s="114">
        <v>0</v>
      </c>
      <c r="J113" s="114">
        <v>0</v>
      </c>
      <c r="K113" s="114">
        <v>0</v>
      </c>
      <c r="L113" s="114">
        <v>0</v>
      </c>
      <c r="M113" s="114">
        <v>0</v>
      </c>
      <c r="N113" s="114">
        <v>0</v>
      </c>
      <c r="O113" s="114">
        <v>0</v>
      </c>
      <c r="P113" s="114">
        <v>0</v>
      </c>
      <c r="Q113" s="114">
        <v>0</v>
      </c>
      <c r="R113" s="114">
        <v>0</v>
      </c>
      <c r="S113" s="114">
        <v>0</v>
      </c>
      <c r="T113" s="114">
        <v>0</v>
      </c>
      <c r="U113" s="114">
        <v>0</v>
      </c>
      <c r="V113" s="114">
        <v>0</v>
      </c>
      <c r="W113" s="114">
        <v>0</v>
      </c>
      <c r="X113" s="114">
        <v>0</v>
      </c>
      <c r="Y113" s="114">
        <v>0</v>
      </c>
      <c r="Z113" s="114">
        <v>0</v>
      </c>
      <c r="AA113" s="114">
        <v>0</v>
      </c>
      <c r="AB113" s="114">
        <v>0</v>
      </c>
      <c r="AC113" s="114">
        <v>0</v>
      </c>
      <c r="AD113" s="114">
        <v>0</v>
      </c>
      <c r="AE113" s="114">
        <v>0</v>
      </c>
      <c r="AF113" s="114">
        <v>0</v>
      </c>
      <c r="AG113" s="114">
        <v>0</v>
      </c>
      <c r="AH113" s="114">
        <v>0</v>
      </c>
      <c r="AI113" s="114">
        <v>0</v>
      </c>
      <c r="AJ113" s="114">
        <v>0</v>
      </c>
      <c r="AK113" s="114">
        <v>0</v>
      </c>
      <c r="AL113" s="114">
        <v>0</v>
      </c>
      <c r="AM113" s="114">
        <v>0</v>
      </c>
      <c r="AN113" s="114">
        <v>0</v>
      </c>
      <c r="AO113" s="114">
        <v>0</v>
      </c>
      <c r="AP113" s="114">
        <v>0</v>
      </c>
      <c r="AQ113" s="114">
        <v>0</v>
      </c>
      <c r="AR113" s="114">
        <v>0</v>
      </c>
      <c r="AS113" s="114">
        <v>0</v>
      </c>
      <c r="AT113" s="114">
        <v>0</v>
      </c>
      <c r="AU113" s="114">
        <v>0</v>
      </c>
      <c r="AV113" s="114">
        <v>0</v>
      </c>
      <c r="AW113" s="114">
        <v>0</v>
      </c>
      <c r="AX113" s="114">
        <v>0</v>
      </c>
      <c r="AY113" s="114">
        <v>0</v>
      </c>
    </row>
    <row r="114" spans="1:52" x14ac:dyDescent="0.2">
      <c r="A114" s="117"/>
      <c r="B114" s="128">
        <v>6</v>
      </c>
      <c r="C114" s="114"/>
      <c r="D114" s="114">
        <v>0</v>
      </c>
      <c r="E114" s="114">
        <v>0</v>
      </c>
      <c r="F114" s="114">
        <v>0</v>
      </c>
      <c r="G114" s="114">
        <v>0</v>
      </c>
      <c r="H114" s="114">
        <v>0</v>
      </c>
      <c r="I114" s="114">
        <v>0</v>
      </c>
      <c r="J114" s="114">
        <v>0</v>
      </c>
      <c r="K114" s="114">
        <v>0</v>
      </c>
      <c r="L114" s="114">
        <v>0</v>
      </c>
      <c r="M114" s="114">
        <v>0</v>
      </c>
      <c r="N114" s="114">
        <v>0</v>
      </c>
      <c r="O114" s="114">
        <v>0</v>
      </c>
      <c r="P114" s="114">
        <v>0</v>
      </c>
      <c r="Q114" s="114">
        <v>0</v>
      </c>
      <c r="R114" s="114">
        <v>0</v>
      </c>
      <c r="S114" s="114">
        <v>0</v>
      </c>
      <c r="T114" s="114">
        <v>0</v>
      </c>
      <c r="U114" s="114">
        <v>0</v>
      </c>
      <c r="V114" s="114">
        <v>0</v>
      </c>
      <c r="W114" s="114">
        <v>0</v>
      </c>
      <c r="X114" s="114">
        <v>0</v>
      </c>
      <c r="Y114" s="114">
        <v>0</v>
      </c>
      <c r="Z114" s="114">
        <v>0</v>
      </c>
      <c r="AA114" s="114">
        <v>0</v>
      </c>
      <c r="AB114" s="114">
        <v>0</v>
      </c>
      <c r="AC114" s="114">
        <v>0</v>
      </c>
      <c r="AD114" s="114">
        <v>0</v>
      </c>
      <c r="AE114" s="114">
        <v>0</v>
      </c>
      <c r="AF114" s="114">
        <v>0</v>
      </c>
      <c r="AG114" s="114">
        <v>0</v>
      </c>
      <c r="AH114" s="114">
        <v>0</v>
      </c>
      <c r="AI114" s="114">
        <v>0</v>
      </c>
      <c r="AJ114" s="114">
        <v>0</v>
      </c>
      <c r="AK114" s="114">
        <v>0</v>
      </c>
      <c r="AL114" s="114">
        <v>0</v>
      </c>
      <c r="AM114" s="114">
        <v>0</v>
      </c>
      <c r="AN114" s="114">
        <v>0</v>
      </c>
      <c r="AO114" s="114">
        <v>0</v>
      </c>
      <c r="AP114" s="114">
        <v>0</v>
      </c>
      <c r="AQ114" s="114">
        <v>0</v>
      </c>
      <c r="AR114" s="114">
        <v>0</v>
      </c>
      <c r="AS114" s="114">
        <v>0</v>
      </c>
      <c r="AT114" s="114">
        <v>0</v>
      </c>
      <c r="AU114" s="114">
        <v>0</v>
      </c>
      <c r="AV114" s="114">
        <v>0</v>
      </c>
      <c r="AW114" s="114">
        <v>0</v>
      </c>
      <c r="AX114" s="114">
        <v>0</v>
      </c>
      <c r="AY114" s="114">
        <v>0</v>
      </c>
    </row>
    <row r="115" spans="1:52" x14ac:dyDescent="0.2">
      <c r="A115" s="117"/>
      <c r="B115" s="135">
        <v>7</v>
      </c>
      <c r="C115" s="114"/>
      <c r="D115" s="114">
        <v>0</v>
      </c>
      <c r="E115" s="114">
        <v>0</v>
      </c>
      <c r="F115" s="114">
        <v>0</v>
      </c>
      <c r="G115" s="114">
        <v>0</v>
      </c>
      <c r="H115" s="114">
        <v>0</v>
      </c>
      <c r="I115" s="114">
        <v>0</v>
      </c>
      <c r="J115" s="114">
        <v>0</v>
      </c>
      <c r="K115" s="114">
        <v>0</v>
      </c>
      <c r="L115" s="114">
        <v>0</v>
      </c>
      <c r="M115" s="114">
        <v>0</v>
      </c>
      <c r="N115" s="114">
        <v>0</v>
      </c>
      <c r="O115" s="114">
        <v>0</v>
      </c>
      <c r="P115" s="114">
        <v>0</v>
      </c>
      <c r="Q115" s="114">
        <v>0</v>
      </c>
      <c r="R115" s="114">
        <v>0</v>
      </c>
      <c r="S115" s="114">
        <v>0</v>
      </c>
      <c r="T115" s="114">
        <v>0</v>
      </c>
      <c r="U115" s="114">
        <v>0</v>
      </c>
      <c r="V115" s="114">
        <v>0</v>
      </c>
      <c r="W115" s="114">
        <v>0</v>
      </c>
      <c r="X115" s="114">
        <v>0</v>
      </c>
      <c r="Y115" s="114">
        <v>0</v>
      </c>
      <c r="Z115" s="114">
        <v>0</v>
      </c>
      <c r="AA115" s="114">
        <v>0</v>
      </c>
      <c r="AB115" s="114">
        <v>0</v>
      </c>
      <c r="AC115" s="114">
        <v>0</v>
      </c>
      <c r="AD115" s="114">
        <v>0</v>
      </c>
      <c r="AE115" s="114">
        <v>0</v>
      </c>
      <c r="AF115" s="114">
        <v>0</v>
      </c>
      <c r="AG115" s="114">
        <v>0</v>
      </c>
      <c r="AH115" s="114">
        <v>0</v>
      </c>
      <c r="AI115" s="114">
        <v>0</v>
      </c>
      <c r="AJ115" s="114">
        <v>0</v>
      </c>
      <c r="AK115" s="114">
        <v>0</v>
      </c>
      <c r="AL115" s="114">
        <v>0</v>
      </c>
      <c r="AM115" s="114">
        <v>0</v>
      </c>
      <c r="AN115" s="114">
        <v>0</v>
      </c>
      <c r="AO115" s="114">
        <v>0</v>
      </c>
      <c r="AP115" s="114">
        <v>0</v>
      </c>
      <c r="AQ115" s="114">
        <v>0</v>
      </c>
      <c r="AR115" s="114">
        <v>0</v>
      </c>
      <c r="AS115" s="114">
        <v>0</v>
      </c>
      <c r="AT115" s="114">
        <v>0</v>
      </c>
      <c r="AU115" s="114">
        <v>0</v>
      </c>
      <c r="AV115" s="114">
        <v>0</v>
      </c>
      <c r="AW115" s="114">
        <v>0</v>
      </c>
      <c r="AX115" s="114">
        <v>0</v>
      </c>
      <c r="AY115" s="114">
        <v>0</v>
      </c>
    </row>
    <row r="116" spans="1:52" x14ac:dyDescent="0.2">
      <c r="A116" s="117"/>
      <c r="B116" s="135">
        <v>8</v>
      </c>
      <c r="C116" s="114"/>
      <c r="D116" s="114">
        <v>0</v>
      </c>
      <c r="E116" s="114">
        <v>0</v>
      </c>
      <c r="F116" s="114">
        <v>0</v>
      </c>
      <c r="G116" s="114">
        <v>0</v>
      </c>
      <c r="H116" s="114">
        <v>0</v>
      </c>
      <c r="I116" s="114">
        <v>0</v>
      </c>
      <c r="J116" s="114">
        <v>0</v>
      </c>
      <c r="K116" s="114">
        <v>0</v>
      </c>
      <c r="L116" s="114">
        <v>0</v>
      </c>
      <c r="M116" s="114">
        <v>0</v>
      </c>
      <c r="N116" s="114">
        <v>0</v>
      </c>
      <c r="O116" s="114">
        <v>0</v>
      </c>
      <c r="P116" s="114">
        <v>0</v>
      </c>
      <c r="Q116" s="114">
        <v>0</v>
      </c>
      <c r="R116" s="114">
        <v>0</v>
      </c>
      <c r="S116" s="114">
        <v>0</v>
      </c>
      <c r="T116" s="114">
        <v>0</v>
      </c>
      <c r="U116" s="114">
        <v>0</v>
      </c>
      <c r="V116" s="114">
        <v>0</v>
      </c>
      <c r="W116" s="114">
        <v>0</v>
      </c>
      <c r="X116" s="114">
        <v>0</v>
      </c>
      <c r="Y116" s="114">
        <v>0</v>
      </c>
      <c r="Z116" s="114">
        <v>0</v>
      </c>
      <c r="AA116" s="114">
        <v>0</v>
      </c>
      <c r="AB116" s="114">
        <v>0</v>
      </c>
      <c r="AC116" s="114">
        <v>0</v>
      </c>
      <c r="AD116" s="114">
        <v>0</v>
      </c>
      <c r="AE116" s="114">
        <v>0</v>
      </c>
      <c r="AF116" s="114">
        <v>0</v>
      </c>
      <c r="AG116" s="114">
        <v>0</v>
      </c>
      <c r="AH116" s="114">
        <v>0</v>
      </c>
      <c r="AI116" s="114">
        <v>0</v>
      </c>
      <c r="AJ116" s="114">
        <v>0</v>
      </c>
      <c r="AK116" s="114">
        <v>0</v>
      </c>
      <c r="AL116" s="114">
        <v>0</v>
      </c>
      <c r="AM116" s="114">
        <v>0</v>
      </c>
      <c r="AN116" s="114">
        <v>0</v>
      </c>
      <c r="AO116" s="114">
        <v>0</v>
      </c>
      <c r="AP116" s="114">
        <v>0</v>
      </c>
      <c r="AQ116" s="114">
        <v>0</v>
      </c>
      <c r="AR116" s="114">
        <v>0</v>
      </c>
      <c r="AS116" s="114">
        <v>0</v>
      </c>
      <c r="AT116" s="114">
        <v>0</v>
      </c>
      <c r="AU116" s="114">
        <v>0</v>
      </c>
      <c r="AV116" s="114">
        <v>0</v>
      </c>
      <c r="AW116" s="114">
        <v>0</v>
      </c>
      <c r="AX116" s="114">
        <v>0</v>
      </c>
      <c r="AY116" s="114">
        <v>0</v>
      </c>
    </row>
    <row r="117" spans="1:52" x14ac:dyDescent="0.2">
      <c r="A117" s="117"/>
      <c r="B117" s="135">
        <v>9</v>
      </c>
      <c r="C117" s="114"/>
      <c r="D117" s="114">
        <v>0</v>
      </c>
      <c r="E117" s="114">
        <v>0</v>
      </c>
      <c r="F117" s="114">
        <v>0</v>
      </c>
      <c r="G117" s="114">
        <v>0</v>
      </c>
      <c r="H117" s="114">
        <v>0</v>
      </c>
      <c r="I117" s="114">
        <v>0</v>
      </c>
      <c r="J117" s="114">
        <v>0</v>
      </c>
      <c r="K117" s="114">
        <v>0</v>
      </c>
      <c r="L117" s="114">
        <v>0</v>
      </c>
      <c r="M117" s="114">
        <v>0</v>
      </c>
      <c r="N117" s="114">
        <v>0</v>
      </c>
      <c r="O117" s="114">
        <v>0</v>
      </c>
      <c r="P117" s="114">
        <v>0</v>
      </c>
      <c r="Q117" s="114">
        <v>0</v>
      </c>
      <c r="R117" s="114">
        <v>0</v>
      </c>
      <c r="S117" s="114">
        <v>0</v>
      </c>
      <c r="T117" s="114">
        <v>0</v>
      </c>
      <c r="U117" s="114">
        <v>0</v>
      </c>
      <c r="V117" s="114">
        <v>0</v>
      </c>
      <c r="W117" s="114">
        <v>0</v>
      </c>
      <c r="X117" s="114">
        <v>0</v>
      </c>
      <c r="Y117" s="114">
        <v>0</v>
      </c>
      <c r="Z117" s="114">
        <v>0</v>
      </c>
      <c r="AA117" s="114">
        <v>0</v>
      </c>
      <c r="AB117" s="114">
        <v>0</v>
      </c>
      <c r="AC117" s="114">
        <v>0</v>
      </c>
      <c r="AD117" s="114">
        <v>0</v>
      </c>
      <c r="AE117" s="114">
        <v>0</v>
      </c>
      <c r="AF117" s="114">
        <v>0</v>
      </c>
      <c r="AG117" s="114">
        <v>0</v>
      </c>
      <c r="AH117" s="114">
        <v>0</v>
      </c>
      <c r="AI117" s="114">
        <v>0</v>
      </c>
      <c r="AJ117" s="114">
        <v>0</v>
      </c>
      <c r="AK117" s="114">
        <v>0</v>
      </c>
      <c r="AL117" s="114">
        <v>0</v>
      </c>
      <c r="AM117" s="114">
        <v>0</v>
      </c>
      <c r="AN117" s="114">
        <v>0</v>
      </c>
      <c r="AO117" s="114">
        <v>0</v>
      </c>
      <c r="AP117" s="114">
        <v>0</v>
      </c>
      <c r="AQ117" s="114">
        <v>0</v>
      </c>
      <c r="AR117" s="114">
        <v>0</v>
      </c>
      <c r="AS117" s="114">
        <v>0</v>
      </c>
      <c r="AT117" s="114">
        <v>0</v>
      </c>
      <c r="AU117" s="114">
        <v>0</v>
      </c>
      <c r="AV117" s="114">
        <v>0</v>
      </c>
      <c r="AW117" s="114">
        <v>0</v>
      </c>
      <c r="AX117" s="114">
        <v>0</v>
      </c>
      <c r="AY117" s="114">
        <v>0</v>
      </c>
    </row>
    <row r="118" spans="1:52" x14ac:dyDescent="0.2">
      <c r="A118" s="117"/>
      <c r="B118" s="138">
        <v>10</v>
      </c>
      <c r="C118" s="114"/>
      <c r="D118" s="114">
        <v>0</v>
      </c>
      <c r="E118" s="114">
        <v>0</v>
      </c>
      <c r="F118" s="114">
        <v>0</v>
      </c>
      <c r="G118" s="114">
        <v>0</v>
      </c>
      <c r="H118" s="114">
        <v>0</v>
      </c>
      <c r="I118" s="114">
        <v>0</v>
      </c>
      <c r="J118" s="114">
        <v>0</v>
      </c>
      <c r="K118" s="114">
        <v>0</v>
      </c>
      <c r="L118" s="114">
        <v>0</v>
      </c>
      <c r="M118" s="114">
        <v>0</v>
      </c>
      <c r="N118" s="114">
        <v>0</v>
      </c>
      <c r="O118" s="114">
        <v>0</v>
      </c>
      <c r="P118" s="114">
        <v>0</v>
      </c>
      <c r="Q118" s="114">
        <v>0</v>
      </c>
      <c r="R118" s="114">
        <v>0</v>
      </c>
      <c r="S118" s="114">
        <v>0</v>
      </c>
      <c r="T118" s="114">
        <v>0</v>
      </c>
      <c r="U118" s="114">
        <v>0</v>
      </c>
      <c r="V118" s="114">
        <v>0</v>
      </c>
      <c r="W118" s="114">
        <v>0</v>
      </c>
      <c r="X118" s="114">
        <v>0</v>
      </c>
      <c r="Y118" s="114">
        <v>0</v>
      </c>
      <c r="Z118" s="114">
        <v>0</v>
      </c>
      <c r="AA118" s="114">
        <v>0</v>
      </c>
      <c r="AB118" s="114">
        <v>0</v>
      </c>
      <c r="AC118" s="114">
        <v>0</v>
      </c>
      <c r="AD118" s="114">
        <v>0</v>
      </c>
      <c r="AE118" s="114">
        <v>0</v>
      </c>
      <c r="AF118" s="114">
        <v>0</v>
      </c>
      <c r="AG118" s="114">
        <v>0</v>
      </c>
      <c r="AH118" s="114">
        <v>0</v>
      </c>
      <c r="AI118" s="114">
        <v>0</v>
      </c>
      <c r="AJ118" s="114">
        <v>0</v>
      </c>
      <c r="AK118" s="114">
        <v>0</v>
      </c>
      <c r="AL118" s="114">
        <v>0</v>
      </c>
      <c r="AM118" s="114">
        <v>0</v>
      </c>
      <c r="AN118" s="114">
        <v>0</v>
      </c>
      <c r="AO118" s="114">
        <v>0</v>
      </c>
      <c r="AP118" s="114">
        <v>0</v>
      </c>
      <c r="AQ118" s="114">
        <v>0</v>
      </c>
      <c r="AR118" s="114">
        <v>0</v>
      </c>
      <c r="AS118" s="114">
        <v>0</v>
      </c>
      <c r="AT118" s="114">
        <v>0</v>
      </c>
      <c r="AU118" s="114">
        <v>0</v>
      </c>
      <c r="AV118" s="114">
        <v>0</v>
      </c>
      <c r="AW118" s="114">
        <v>0</v>
      </c>
      <c r="AX118" s="114">
        <v>0</v>
      </c>
      <c r="AY118" s="114">
        <v>0</v>
      </c>
    </row>
    <row r="119" spans="1:52" x14ac:dyDescent="0.2">
      <c r="A119" s="117"/>
      <c r="B119" s="138">
        <v>11</v>
      </c>
      <c r="C119" s="114"/>
      <c r="D119" s="114">
        <v>0</v>
      </c>
      <c r="E119" s="114">
        <v>0</v>
      </c>
      <c r="F119" s="114">
        <v>0</v>
      </c>
      <c r="G119" s="114">
        <v>0</v>
      </c>
      <c r="H119" s="114">
        <v>0</v>
      </c>
      <c r="I119" s="114">
        <v>0</v>
      </c>
      <c r="J119" s="114">
        <v>0</v>
      </c>
      <c r="K119" s="114">
        <v>0</v>
      </c>
      <c r="L119" s="114">
        <v>0</v>
      </c>
      <c r="M119" s="114">
        <v>0</v>
      </c>
      <c r="N119" s="114">
        <v>0</v>
      </c>
      <c r="O119" s="114">
        <v>0</v>
      </c>
      <c r="P119" s="114">
        <v>0</v>
      </c>
      <c r="Q119" s="114">
        <v>0</v>
      </c>
      <c r="R119" s="114">
        <v>0</v>
      </c>
      <c r="S119" s="114">
        <v>0</v>
      </c>
      <c r="T119" s="114">
        <v>0</v>
      </c>
      <c r="U119" s="114">
        <v>0</v>
      </c>
      <c r="V119" s="114">
        <v>0</v>
      </c>
      <c r="W119" s="114">
        <v>0</v>
      </c>
      <c r="X119" s="114">
        <v>0</v>
      </c>
      <c r="Y119" s="114">
        <v>0</v>
      </c>
      <c r="Z119" s="114">
        <v>0</v>
      </c>
      <c r="AA119" s="114">
        <v>0</v>
      </c>
      <c r="AB119" s="114">
        <v>0</v>
      </c>
      <c r="AC119" s="114">
        <v>0</v>
      </c>
      <c r="AD119" s="114">
        <v>0</v>
      </c>
      <c r="AE119" s="114">
        <v>0</v>
      </c>
      <c r="AF119" s="114">
        <v>0</v>
      </c>
      <c r="AG119" s="114">
        <v>0</v>
      </c>
      <c r="AH119" s="114">
        <v>0</v>
      </c>
      <c r="AI119" s="114">
        <v>0</v>
      </c>
      <c r="AJ119" s="114">
        <v>0</v>
      </c>
      <c r="AK119" s="114">
        <v>0</v>
      </c>
      <c r="AL119" s="114">
        <v>0</v>
      </c>
      <c r="AM119" s="114">
        <v>0</v>
      </c>
      <c r="AN119" s="114">
        <v>0</v>
      </c>
      <c r="AO119" s="114">
        <v>0</v>
      </c>
      <c r="AP119" s="114">
        <v>0</v>
      </c>
      <c r="AQ119" s="114">
        <v>0</v>
      </c>
      <c r="AR119" s="114">
        <v>0</v>
      </c>
      <c r="AS119" s="114">
        <v>0</v>
      </c>
      <c r="AT119" s="114">
        <v>0</v>
      </c>
      <c r="AU119" s="114">
        <v>0</v>
      </c>
      <c r="AV119" s="114">
        <v>0</v>
      </c>
      <c r="AW119" s="114">
        <v>0</v>
      </c>
      <c r="AX119" s="114">
        <v>0</v>
      </c>
      <c r="AY119" s="114">
        <v>0</v>
      </c>
    </row>
    <row r="120" spans="1:52" x14ac:dyDescent="0.2">
      <c r="A120" s="117"/>
      <c r="B120" s="138">
        <v>12</v>
      </c>
      <c r="C120" s="114"/>
      <c r="D120" s="114">
        <v>0</v>
      </c>
      <c r="E120" s="114">
        <v>0</v>
      </c>
      <c r="F120" s="114">
        <v>0</v>
      </c>
      <c r="G120" s="114">
        <v>0</v>
      </c>
      <c r="H120" s="114">
        <v>0</v>
      </c>
      <c r="I120" s="114">
        <v>0</v>
      </c>
      <c r="J120" s="114">
        <v>0</v>
      </c>
      <c r="K120" s="114">
        <v>0</v>
      </c>
      <c r="L120" s="114">
        <v>0</v>
      </c>
      <c r="M120" s="114">
        <v>0</v>
      </c>
      <c r="N120" s="114">
        <v>0</v>
      </c>
      <c r="O120" s="114">
        <v>0</v>
      </c>
      <c r="P120" s="114">
        <v>0</v>
      </c>
      <c r="Q120" s="114">
        <v>0</v>
      </c>
      <c r="R120" s="114">
        <v>0</v>
      </c>
      <c r="S120" s="114">
        <v>0</v>
      </c>
      <c r="T120" s="114">
        <v>0</v>
      </c>
      <c r="U120" s="114">
        <v>0</v>
      </c>
      <c r="V120" s="114">
        <v>0</v>
      </c>
      <c r="W120" s="114">
        <v>0</v>
      </c>
      <c r="X120" s="114">
        <v>0</v>
      </c>
      <c r="Y120" s="114">
        <v>0</v>
      </c>
      <c r="Z120" s="114">
        <v>0</v>
      </c>
      <c r="AA120" s="114">
        <v>0</v>
      </c>
      <c r="AB120" s="114">
        <v>0</v>
      </c>
      <c r="AC120" s="114">
        <v>0</v>
      </c>
      <c r="AD120" s="114">
        <v>0</v>
      </c>
      <c r="AE120" s="114">
        <v>0</v>
      </c>
      <c r="AF120" s="114">
        <v>0</v>
      </c>
      <c r="AG120" s="114">
        <v>0</v>
      </c>
      <c r="AH120" s="114">
        <v>0</v>
      </c>
      <c r="AI120" s="114">
        <v>0</v>
      </c>
      <c r="AJ120" s="114">
        <v>0</v>
      </c>
      <c r="AK120" s="114">
        <v>0</v>
      </c>
      <c r="AL120" s="114">
        <v>0</v>
      </c>
      <c r="AM120" s="114">
        <v>0</v>
      </c>
      <c r="AN120" s="114">
        <v>0</v>
      </c>
      <c r="AO120" s="114">
        <v>0</v>
      </c>
      <c r="AP120" s="114">
        <v>0</v>
      </c>
      <c r="AQ120" s="114">
        <v>0</v>
      </c>
      <c r="AR120" s="114">
        <v>0</v>
      </c>
      <c r="AS120" s="114">
        <v>0</v>
      </c>
      <c r="AT120" s="114">
        <v>0</v>
      </c>
      <c r="AU120" s="114">
        <v>0</v>
      </c>
      <c r="AV120" s="114">
        <v>0</v>
      </c>
      <c r="AW120" s="114">
        <v>0</v>
      </c>
      <c r="AX120" s="114">
        <v>0</v>
      </c>
      <c r="AY120" s="114">
        <v>0</v>
      </c>
    </row>
    <row r="121" spans="1:52" x14ac:dyDescent="0.2">
      <c r="A121" s="136"/>
      <c r="B121" s="140" t="s">
        <v>295</v>
      </c>
      <c r="C121" s="122"/>
      <c r="D121" s="133">
        <v>0</v>
      </c>
      <c r="E121" s="133">
        <v>0</v>
      </c>
      <c r="F121" s="133">
        <v>0</v>
      </c>
      <c r="G121" s="133">
        <v>0</v>
      </c>
      <c r="H121" s="133">
        <v>0</v>
      </c>
      <c r="I121" s="133">
        <v>0</v>
      </c>
      <c r="J121" s="133">
        <v>0</v>
      </c>
      <c r="K121" s="133">
        <v>0</v>
      </c>
      <c r="L121" s="133">
        <v>0</v>
      </c>
      <c r="M121" s="133">
        <v>0</v>
      </c>
      <c r="N121" s="133">
        <v>0</v>
      </c>
      <c r="O121" s="133">
        <v>0</v>
      </c>
      <c r="P121" s="133">
        <v>0</v>
      </c>
      <c r="Q121" s="133">
        <v>0</v>
      </c>
      <c r="R121" s="133">
        <v>0</v>
      </c>
      <c r="S121" s="133">
        <v>0</v>
      </c>
      <c r="T121" s="133">
        <v>0</v>
      </c>
      <c r="U121" s="133">
        <v>0</v>
      </c>
      <c r="V121" s="133">
        <v>0</v>
      </c>
      <c r="W121" s="133">
        <v>0</v>
      </c>
      <c r="X121" s="133">
        <v>0</v>
      </c>
      <c r="Y121" s="133">
        <v>0</v>
      </c>
      <c r="Z121" s="133">
        <v>0</v>
      </c>
      <c r="AA121" s="133">
        <v>0</v>
      </c>
      <c r="AB121" s="133">
        <v>0</v>
      </c>
      <c r="AC121" s="133">
        <v>0</v>
      </c>
      <c r="AD121" s="133">
        <v>0</v>
      </c>
      <c r="AE121" s="133">
        <v>0</v>
      </c>
      <c r="AF121" s="133">
        <v>0</v>
      </c>
      <c r="AG121" s="133">
        <v>0</v>
      </c>
      <c r="AH121" s="133">
        <v>0</v>
      </c>
      <c r="AI121" s="133">
        <v>0</v>
      </c>
      <c r="AJ121" s="133">
        <v>0</v>
      </c>
      <c r="AK121" s="133">
        <v>0</v>
      </c>
      <c r="AL121" s="133">
        <v>0</v>
      </c>
      <c r="AM121" s="133">
        <v>0</v>
      </c>
      <c r="AN121" s="133">
        <v>0</v>
      </c>
      <c r="AO121" s="133">
        <v>0</v>
      </c>
      <c r="AP121" s="133">
        <v>0</v>
      </c>
      <c r="AQ121" s="133">
        <v>0</v>
      </c>
      <c r="AR121" s="133">
        <v>0</v>
      </c>
      <c r="AS121" s="133">
        <v>0</v>
      </c>
      <c r="AT121" s="133">
        <v>0</v>
      </c>
      <c r="AU121" s="133">
        <v>0</v>
      </c>
      <c r="AV121" s="133">
        <v>0</v>
      </c>
      <c r="AW121" s="133">
        <v>0</v>
      </c>
      <c r="AX121" s="133">
        <v>0</v>
      </c>
      <c r="AY121" s="133">
        <v>0</v>
      </c>
      <c r="AZ121" s="115">
        <f>SUM($D121:$AY121)</f>
        <v>0</v>
      </c>
    </row>
    <row r="122" spans="1:52" x14ac:dyDescent="0.2">
      <c r="A122" s="139" t="s">
        <v>123</v>
      </c>
      <c r="B122" s="127">
        <v>1</v>
      </c>
      <c r="C122" s="114"/>
      <c r="D122" s="114">
        <v>0</v>
      </c>
      <c r="E122" s="114">
        <v>0</v>
      </c>
      <c r="F122" s="114">
        <v>0</v>
      </c>
      <c r="G122" s="114">
        <v>0</v>
      </c>
      <c r="H122" s="114">
        <v>833.25</v>
      </c>
      <c r="I122" s="114">
        <v>833.25</v>
      </c>
      <c r="J122" s="114">
        <v>833.25</v>
      </c>
      <c r="K122" s="114">
        <v>833.25</v>
      </c>
      <c r="L122" s="114">
        <v>0</v>
      </c>
      <c r="M122" s="114">
        <v>833.25</v>
      </c>
      <c r="N122" s="114">
        <v>833.25</v>
      </c>
      <c r="O122" s="114">
        <v>833.25</v>
      </c>
      <c r="P122" s="114">
        <v>0</v>
      </c>
      <c r="Q122" s="114">
        <v>0</v>
      </c>
      <c r="R122" s="114">
        <v>833.25</v>
      </c>
      <c r="S122" s="114">
        <v>0</v>
      </c>
      <c r="T122" s="114">
        <v>0</v>
      </c>
      <c r="U122" s="114">
        <v>833.25</v>
      </c>
      <c r="V122" s="114">
        <v>833.25</v>
      </c>
      <c r="W122" s="114">
        <v>0</v>
      </c>
      <c r="X122" s="114">
        <v>833.25</v>
      </c>
      <c r="Y122" s="114">
        <v>0</v>
      </c>
      <c r="Z122" s="114">
        <v>833.25</v>
      </c>
      <c r="AA122" s="114">
        <v>833.25</v>
      </c>
      <c r="AB122" s="114">
        <v>833.25</v>
      </c>
      <c r="AC122" s="114">
        <v>0</v>
      </c>
      <c r="AD122" s="114">
        <v>833.25</v>
      </c>
      <c r="AE122" s="114">
        <v>0</v>
      </c>
      <c r="AF122" s="114">
        <v>833.25</v>
      </c>
      <c r="AG122" s="114">
        <v>833.25</v>
      </c>
      <c r="AH122" s="114">
        <v>833.25</v>
      </c>
      <c r="AI122" s="114">
        <v>833.25</v>
      </c>
      <c r="AJ122" s="114">
        <v>833.25</v>
      </c>
      <c r="AK122" s="114">
        <v>833.25</v>
      </c>
      <c r="AL122" s="114">
        <v>833.25</v>
      </c>
      <c r="AM122" s="114">
        <v>0</v>
      </c>
      <c r="AN122" s="114">
        <v>833.25</v>
      </c>
      <c r="AO122" s="114">
        <v>833.25</v>
      </c>
      <c r="AP122" s="114">
        <v>0</v>
      </c>
      <c r="AQ122" s="114">
        <v>833.25</v>
      </c>
      <c r="AR122" s="114">
        <v>0</v>
      </c>
      <c r="AS122" s="114">
        <v>0</v>
      </c>
      <c r="AT122" s="114">
        <v>0</v>
      </c>
      <c r="AU122" s="114">
        <v>0</v>
      </c>
      <c r="AV122" s="114">
        <v>937</v>
      </c>
      <c r="AW122" s="114">
        <v>0</v>
      </c>
      <c r="AX122" s="114">
        <v>0</v>
      </c>
      <c r="AY122" s="114">
        <v>0</v>
      </c>
    </row>
    <row r="123" spans="1:52" x14ac:dyDescent="0.2">
      <c r="A123" s="117"/>
      <c r="B123" s="127">
        <v>2</v>
      </c>
      <c r="C123" s="114"/>
      <c r="D123" s="114">
        <v>0</v>
      </c>
      <c r="E123" s="114">
        <v>0</v>
      </c>
      <c r="F123" s="114">
        <v>0</v>
      </c>
      <c r="G123" s="114">
        <v>0</v>
      </c>
      <c r="H123" s="114">
        <v>833.25</v>
      </c>
      <c r="I123" s="114">
        <v>2.2737367544323206E-13</v>
      </c>
      <c r="J123" s="114">
        <v>0</v>
      </c>
      <c r="K123" s="114">
        <v>0</v>
      </c>
      <c r="L123" s="114">
        <v>0</v>
      </c>
      <c r="M123" s="114">
        <v>833.25</v>
      </c>
      <c r="N123" s="114">
        <v>131.74374999999998</v>
      </c>
      <c r="O123" s="114">
        <v>5.6843418860808015E-14</v>
      </c>
      <c r="P123" s="114">
        <v>5.6843418860808015E-14</v>
      </c>
      <c r="Q123" s="114">
        <v>833.25</v>
      </c>
      <c r="R123" s="114">
        <v>0</v>
      </c>
      <c r="S123" s="114">
        <v>0</v>
      </c>
      <c r="T123" s="114">
        <v>0</v>
      </c>
      <c r="U123" s="114">
        <v>833.25</v>
      </c>
      <c r="V123" s="114">
        <v>2.2737367544323206E-13</v>
      </c>
      <c r="W123" s="114">
        <v>0</v>
      </c>
      <c r="X123" s="114">
        <v>833.25</v>
      </c>
      <c r="Y123" s="114">
        <v>0</v>
      </c>
      <c r="Z123" s="114">
        <v>833.25</v>
      </c>
      <c r="AA123" s="114">
        <v>0</v>
      </c>
      <c r="AB123" s="114">
        <v>0</v>
      </c>
      <c r="AC123" s="114">
        <v>0</v>
      </c>
      <c r="AD123" s="114">
        <v>833.25</v>
      </c>
      <c r="AE123" s="114">
        <v>409.32436485631547</v>
      </c>
      <c r="AF123" s="114">
        <v>833.25</v>
      </c>
      <c r="AG123" s="114">
        <v>0</v>
      </c>
      <c r="AH123" s="114">
        <v>0</v>
      </c>
      <c r="AI123" s="114">
        <v>0</v>
      </c>
      <c r="AJ123" s="114">
        <v>0</v>
      </c>
      <c r="AK123" s="114">
        <v>0</v>
      </c>
      <c r="AL123" s="114">
        <v>0</v>
      </c>
      <c r="AM123" s="114">
        <v>0</v>
      </c>
      <c r="AN123" s="114">
        <v>833.25</v>
      </c>
      <c r="AO123" s="114">
        <v>0</v>
      </c>
      <c r="AP123" s="114">
        <v>0</v>
      </c>
      <c r="AQ123" s="114">
        <v>833.25</v>
      </c>
      <c r="AR123" s="114">
        <v>0</v>
      </c>
      <c r="AS123" s="114">
        <v>0</v>
      </c>
      <c r="AT123" s="114">
        <v>833.25</v>
      </c>
      <c r="AU123" s="114">
        <v>833.25</v>
      </c>
      <c r="AV123" s="114">
        <v>0</v>
      </c>
      <c r="AW123" s="114">
        <v>0</v>
      </c>
      <c r="AX123" s="114">
        <v>0</v>
      </c>
      <c r="AY123" s="114">
        <v>833.25</v>
      </c>
    </row>
    <row r="124" spans="1:52" x14ac:dyDescent="0.2">
      <c r="A124" s="117"/>
      <c r="B124" s="127">
        <v>3</v>
      </c>
      <c r="C124" s="114"/>
      <c r="D124" s="114">
        <v>0</v>
      </c>
      <c r="E124" s="114">
        <v>0</v>
      </c>
      <c r="F124" s="114">
        <v>0</v>
      </c>
      <c r="G124" s="114">
        <v>0</v>
      </c>
      <c r="H124" s="114">
        <v>833.25</v>
      </c>
      <c r="I124" s="114">
        <v>0</v>
      </c>
      <c r="J124" s="114">
        <v>0</v>
      </c>
      <c r="K124" s="114">
        <v>0</v>
      </c>
      <c r="L124" s="114">
        <v>0</v>
      </c>
      <c r="M124" s="114">
        <v>0</v>
      </c>
      <c r="N124" s="114">
        <v>0</v>
      </c>
      <c r="O124" s="114">
        <v>0</v>
      </c>
      <c r="P124" s="114">
        <v>0</v>
      </c>
      <c r="Q124" s="114">
        <v>0</v>
      </c>
      <c r="R124" s="114">
        <v>0</v>
      </c>
      <c r="S124" s="114">
        <v>833.25</v>
      </c>
      <c r="T124" s="114">
        <v>0</v>
      </c>
      <c r="U124" s="114">
        <v>833.25</v>
      </c>
      <c r="V124" s="114">
        <v>0</v>
      </c>
      <c r="W124" s="114">
        <v>0</v>
      </c>
      <c r="X124" s="114">
        <v>0</v>
      </c>
      <c r="Y124" s="114">
        <v>0</v>
      </c>
      <c r="Z124" s="114">
        <v>0</v>
      </c>
      <c r="AA124" s="114">
        <v>0</v>
      </c>
      <c r="AB124" s="114">
        <v>0</v>
      </c>
      <c r="AC124" s="114">
        <v>0</v>
      </c>
      <c r="AD124" s="114">
        <v>0</v>
      </c>
      <c r="AE124" s="114">
        <v>0</v>
      </c>
      <c r="AF124" s="114">
        <v>0</v>
      </c>
      <c r="AG124" s="114">
        <v>0</v>
      </c>
      <c r="AH124" s="114">
        <v>0</v>
      </c>
      <c r="AI124" s="114">
        <v>0</v>
      </c>
      <c r="AJ124" s="114">
        <v>0</v>
      </c>
      <c r="AK124" s="114">
        <v>0</v>
      </c>
      <c r="AL124" s="114">
        <v>0</v>
      </c>
      <c r="AM124" s="114">
        <v>0</v>
      </c>
      <c r="AN124" s="114">
        <v>0</v>
      </c>
      <c r="AO124" s="114">
        <v>0</v>
      </c>
      <c r="AP124" s="114">
        <v>0</v>
      </c>
      <c r="AQ124" s="114">
        <v>0</v>
      </c>
      <c r="AR124" s="114">
        <v>0</v>
      </c>
      <c r="AS124" s="114">
        <v>0</v>
      </c>
      <c r="AT124" s="114">
        <v>833.25</v>
      </c>
      <c r="AU124" s="114">
        <v>0</v>
      </c>
      <c r="AV124" s="114">
        <v>0</v>
      </c>
      <c r="AW124" s="114">
        <v>0</v>
      </c>
      <c r="AX124" s="114">
        <v>0</v>
      </c>
      <c r="AY124" s="114">
        <v>833.25</v>
      </c>
    </row>
    <row r="125" spans="1:52" x14ac:dyDescent="0.2">
      <c r="A125" s="117"/>
      <c r="B125" s="127">
        <v>4</v>
      </c>
      <c r="C125" s="114"/>
      <c r="D125" s="114">
        <v>0</v>
      </c>
      <c r="E125" s="114">
        <v>0</v>
      </c>
      <c r="F125" s="114">
        <v>0</v>
      </c>
      <c r="G125" s="114">
        <v>0</v>
      </c>
      <c r="H125" s="114">
        <v>0</v>
      </c>
      <c r="I125" s="114">
        <v>0</v>
      </c>
      <c r="J125" s="114">
        <v>0</v>
      </c>
      <c r="K125" s="114">
        <v>0</v>
      </c>
      <c r="L125" s="114">
        <v>0</v>
      </c>
      <c r="M125" s="114">
        <v>0</v>
      </c>
      <c r="N125" s="114">
        <v>0</v>
      </c>
      <c r="O125" s="114">
        <v>0</v>
      </c>
      <c r="P125" s="114">
        <v>0</v>
      </c>
      <c r="Q125" s="114">
        <v>0</v>
      </c>
      <c r="R125" s="114">
        <v>0</v>
      </c>
      <c r="S125" s="114">
        <v>0</v>
      </c>
      <c r="T125" s="114">
        <v>0</v>
      </c>
      <c r="U125" s="114">
        <v>0</v>
      </c>
      <c r="V125" s="114">
        <v>0</v>
      </c>
      <c r="W125" s="114">
        <v>0</v>
      </c>
      <c r="X125" s="114">
        <v>0</v>
      </c>
      <c r="Y125" s="114">
        <v>0</v>
      </c>
      <c r="Z125" s="114">
        <v>0</v>
      </c>
      <c r="AA125" s="114">
        <v>0</v>
      </c>
      <c r="AB125" s="114">
        <v>0</v>
      </c>
      <c r="AC125" s="114">
        <v>0</v>
      </c>
      <c r="AD125" s="114">
        <v>0</v>
      </c>
      <c r="AE125" s="114">
        <v>0</v>
      </c>
      <c r="AF125" s="114">
        <v>0</v>
      </c>
      <c r="AG125" s="114">
        <v>0</v>
      </c>
      <c r="AH125" s="114">
        <v>0</v>
      </c>
      <c r="AI125" s="114">
        <v>0</v>
      </c>
      <c r="AJ125" s="114">
        <v>0</v>
      </c>
      <c r="AK125" s="114">
        <v>0</v>
      </c>
      <c r="AL125" s="114">
        <v>0</v>
      </c>
      <c r="AM125" s="114">
        <v>0</v>
      </c>
      <c r="AN125" s="114">
        <v>0</v>
      </c>
      <c r="AO125" s="114">
        <v>0</v>
      </c>
      <c r="AP125" s="114">
        <v>0</v>
      </c>
      <c r="AQ125" s="114">
        <v>0</v>
      </c>
      <c r="AR125" s="114">
        <v>0</v>
      </c>
      <c r="AS125" s="114">
        <v>0</v>
      </c>
      <c r="AT125" s="114">
        <v>0</v>
      </c>
      <c r="AU125" s="114">
        <v>0</v>
      </c>
      <c r="AV125" s="114">
        <v>0</v>
      </c>
      <c r="AW125" s="114">
        <v>0</v>
      </c>
      <c r="AX125" s="114">
        <v>0</v>
      </c>
      <c r="AY125" s="114">
        <v>0</v>
      </c>
    </row>
    <row r="126" spans="1:52" x14ac:dyDescent="0.2">
      <c r="A126" s="117"/>
      <c r="B126" s="127">
        <v>5</v>
      </c>
      <c r="C126" s="114"/>
      <c r="D126" s="114">
        <v>0</v>
      </c>
      <c r="E126" s="114">
        <v>0</v>
      </c>
      <c r="F126" s="114">
        <v>0</v>
      </c>
      <c r="G126" s="114">
        <v>0</v>
      </c>
      <c r="H126" s="114">
        <v>0</v>
      </c>
      <c r="I126" s="114">
        <v>0</v>
      </c>
      <c r="J126" s="114">
        <v>0</v>
      </c>
      <c r="K126" s="114">
        <v>0</v>
      </c>
      <c r="L126" s="114">
        <v>0</v>
      </c>
      <c r="M126" s="114">
        <v>0</v>
      </c>
      <c r="N126" s="114">
        <v>0</v>
      </c>
      <c r="O126" s="114">
        <v>0</v>
      </c>
      <c r="P126" s="114">
        <v>0</v>
      </c>
      <c r="Q126" s="114">
        <v>0</v>
      </c>
      <c r="R126" s="114">
        <v>0</v>
      </c>
      <c r="S126" s="114">
        <v>0</v>
      </c>
      <c r="T126" s="114">
        <v>0</v>
      </c>
      <c r="U126" s="114">
        <v>0</v>
      </c>
      <c r="V126" s="114">
        <v>0</v>
      </c>
      <c r="W126" s="114">
        <v>0</v>
      </c>
      <c r="X126" s="114">
        <v>0</v>
      </c>
      <c r="Y126" s="114">
        <v>0</v>
      </c>
      <c r="Z126" s="114">
        <v>0</v>
      </c>
      <c r="AA126" s="114">
        <v>0</v>
      </c>
      <c r="AB126" s="114">
        <v>0</v>
      </c>
      <c r="AC126" s="114">
        <v>0</v>
      </c>
      <c r="AD126" s="114">
        <v>0</v>
      </c>
      <c r="AE126" s="114">
        <v>0</v>
      </c>
      <c r="AF126" s="114">
        <v>0</v>
      </c>
      <c r="AG126" s="114">
        <v>0</v>
      </c>
      <c r="AH126" s="114">
        <v>0</v>
      </c>
      <c r="AI126" s="114">
        <v>0</v>
      </c>
      <c r="AJ126" s="114">
        <v>0</v>
      </c>
      <c r="AK126" s="114">
        <v>0</v>
      </c>
      <c r="AL126" s="114">
        <v>0</v>
      </c>
      <c r="AM126" s="114">
        <v>0</v>
      </c>
      <c r="AN126" s="114">
        <v>0</v>
      </c>
      <c r="AO126" s="114">
        <v>0</v>
      </c>
      <c r="AP126" s="114">
        <v>0</v>
      </c>
      <c r="AQ126" s="114">
        <v>0</v>
      </c>
      <c r="AR126" s="114">
        <v>0</v>
      </c>
      <c r="AS126" s="114">
        <v>0</v>
      </c>
      <c r="AT126" s="114">
        <v>0</v>
      </c>
      <c r="AU126" s="114">
        <v>0</v>
      </c>
      <c r="AV126" s="114">
        <v>0</v>
      </c>
      <c r="AW126" s="114">
        <v>0</v>
      </c>
      <c r="AX126" s="114">
        <v>0</v>
      </c>
      <c r="AY126" s="114">
        <v>0</v>
      </c>
    </row>
    <row r="127" spans="1:52" x14ac:dyDescent="0.2">
      <c r="A127" s="117"/>
      <c r="B127" s="127">
        <v>6</v>
      </c>
      <c r="C127" s="114"/>
      <c r="D127" s="114">
        <v>0</v>
      </c>
      <c r="E127" s="114">
        <v>0</v>
      </c>
      <c r="F127" s="114">
        <v>0</v>
      </c>
      <c r="G127" s="114">
        <v>0</v>
      </c>
      <c r="H127" s="114">
        <v>0</v>
      </c>
      <c r="I127" s="114">
        <v>0</v>
      </c>
      <c r="J127" s="114">
        <v>0</v>
      </c>
      <c r="K127" s="114">
        <v>0</v>
      </c>
      <c r="L127" s="114">
        <v>0</v>
      </c>
      <c r="M127" s="114">
        <v>0</v>
      </c>
      <c r="N127" s="114">
        <v>0</v>
      </c>
      <c r="O127" s="114">
        <v>0</v>
      </c>
      <c r="P127" s="114">
        <v>0</v>
      </c>
      <c r="Q127" s="114">
        <v>0</v>
      </c>
      <c r="R127" s="114">
        <v>0</v>
      </c>
      <c r="S127" s="114">
        <v>0</v>
      </c>
      <c r="T127" s="114">
        <v>0</v>
      </c>
      <c r="U127" s="114">
        <v>0</v>
      </c>
      <c r="V127" s="114">
        <v>0</v>
      </c>
      <c r="W127" s="114">
        <v>0</v>
      </c>
      <c r="X127" s="114">
        <v>0</v>
      </c>
      <c r="Y127" s="114">
        <v>0</v>
      </c>
      <c r="Z127" s="114">
        <v>0</v>
      </c>
      <c r="AA127" s="114">
        <v>0</v>
      </c>
      <c r="AB127" s="114">
        <v>0</v>
      </c>
      <c r="AC127" s="114">
        <v>0</v>
      </c>
      <c r="AD127" s="114">
        <v>0</v>
      </c>
      <c r="AE127" s="114">
        <v>0</v>
      </c>
      <c r="AF127" s="114">
        <v>0</v>
      </c>
      <c r="AG127" s="114">
        <v>0</v>
      </c>
      <c r="AH127" s="114">
        <v>0</v>
      </c>
      <c r="AI127" s="114">
        <v>0</v>
      </c>
      <c r="AJ127" s="114">
        <v>0</v>
      </c>
      <c r="AK127" s="114">
        <v>0</v>
      </c>
      <c r="AL127" s="114">
        <v>0</v>
      </c>
      <c r="AM127" s="114">
        <v>0</v>
      </c>
      <c r="AN127" s="114">
        <v>0</v>
      </c>
      <c r="AO127" s="114">
        <v>0</v>
      </c>
      <c r="AP127" s="114">
        <v>0</v>
      </c>
      <c r="AQ127" s="114">
        <v>0</v>
      </c>
      <c r="AR127" s="114">
        <v>0</v>
      </c>
      <c r="AS127" s="114">
        <v>0</v>
      </c>
      <c r="AT127" s="114">
        <v>0</v>
      </c>
      <c r="AU127" s="114">
        <v>0</v>
      </c>
      <c r="AV127" s="114">
        <v>0</v>
      </c>
      <c r="AW127" s="114">
        <v>0</v>
      </c>
      <c r="AX127" s="114">
        <v>0</v>
      </c>
      <c r="AY127" s="114">
        <v>0</v>
      </c>
    </row>
    <row r="128" spans="1:52" x14ac:dyDescent="0.2">
      <c r="A128" s="117"/>
      <c r="B128" s="127">
        <v>7</v>
      </c>
      <c r="C128" s="114"/>
      <c r="D128" s="114">
        <v>0</v>
      </c>
      <c r="E128" s="114">
        <v>0</v>
      </c>
      <c r="F128" s="114">
        <v>0</v>
      </c>
      <c r="G128" s="114">
        <v>0</v>
      </c>
      <c r="H128" s="114">
        <v>0</v>
      </c>
      <c r="I128" s="114">
        <v>0</v>
      </c>
      <c r="J128" s="114">
        <v>0</v>
      </c>
      <c r="K128" s="114">
        <v>0</v>
      </c>
      <c r="L128" s="114">
        <v>0</v>
      </c>
      <c r="M128" s="114">
        <v>0</v>
      </c>
      <c r="N128" s="114">
        <v>0</v>
      </c>
      <c r="O128" s="114">
        <v>0</v>
      </c>
      <c r="P128" s="114">
        <v>0</v>
      </c>
      <c r="Q128" s="114">
        <v>0</v>
      </c>
      <c r="R128" s="114">
        <v>0</v>
      </c>
      <c r="S128" s="114">
        <v>0</v>
      </c>
      <c r="T128" s="114">
        <v>0</v>
      </c>
      <c r="U128" s="114">
        <v>0</v>
      </c>
      <c r="V128" s="114">
        <v>0</v>
      </c>
      <c r="W128" s="114">
        <v>0</v>
      </c>
      <c r="X128" s="114">
        <v>0</v>
      </c>
      <c r="Y128" s="114">
        <v>0</v>
      </c>
      <c r="Z128" s="114">
        <v>0</v>
      </c>
      <c r="AA128" s="114">
        <v>0</v>
      </c>
      <c r="AB128" s="114">
        <v>0</v>
      </c>
      <c r="AC128" s="114">
        <v>0</v>
      </c>
      <c r="AD128" s="114">
        <v>0</v>
      </c>
      <c r="AE128" s="114">
        <v>0</v>
      </c>
      <c r="AF128" s="114">
        <v>0</v>
      </c>
      <c r="AG128" s="114">
        <v>0</v>
      </c>
      <c r="AH128" s="114">
        <v>0</v>
      </c>
      <c r="AI128" s="114">
        <v>0</v>
      </c>
      <c r="AJ128" s="114">
        <v>0</v>
      </c>
      <c r="AK128" s="114">
        <v>0</v>
      </c>
      <c r="AL128" s="114">
        <v>0</v>
      </c>
      <c r="AM128" s="114">
        <v>0</v>
      </c>
      <c r="AN128" s="114">
        <v>0</v>
      </c>
      <c r="AO128" s="114">
        <v>0</v>
      </c>
      <c r="AP128" s="114">
        <v>0</v>
      </c>
      <c r="AQ128" s="114">
        <v>0</v>
      </c>
      <c r="AR128" s="114">
        <v>0</v>
      </c>
      <c r="AS128" s="114">
        <v>0</v>
      </c>
      <c r="AT128" s="114">
        <v>0</v>
      </c>
      <c r="AU128" s="114">
        <v>0</v>
      </c>
      <c r="AV128" s="114">
        <v>0</v>
      </c>
      <c r="AW128" s="114">
        <v>0</v>
      </c>
      <c r="AX128" s="114">
        <v>0</v>
      </c>
      <c r="AY128" s="114">
        <v>0</v>
      </c>
    </row>
    <row r="129" spans="1:51" x14ac:dyDescent="0.2">
      <c r="A129" s="117"/>
      <c r="B129" s="127">
        <v>8</v>
      </c>
      <c r="C129" s="114"/>
      <c r="D129" s="114">
        <v>0</v>
      </c>
      <c r="E129" s="114">
        <v>0</v>
      </c>
      <c r="F129" s="114">
        <v>0</v>
      </c>
      <c r="G129" s="114">
        <v>0</v>
      </c>
      <c r="H129" s="114">
        <v>0</v>
      </c>
      <c r="I129" s="114">
        <v>0</v>
      </c>
      <c r="J129" s="114">
        <v>0</v>
      </c>
      <c r="K129" s="114">
        <v>0</v>
      </c>
      <c r="L129" s="114">
        <v>0</v>
      </c>
      <c r="M129" s="114">
        <v>0</v>
      </c>
      <c r="N129" s="114">
        <v>0</v>
      </c>
      <c r="O129" s="114">
        <v>0</v>
      </c>
      <c r="P129" s="114">
        <v>0</v>
      </c>
      <c r="Q129" s="114">
        <v>0</v>
      </c>
      <c r="R129" s="114">
        <v>0</v>
      </c>
      <c r="S129" s="114">
        <v>0</v>
      </c>
      <c r="T129" s="114">
        <v>0</v>
      </c>
      <c r="U129" s="114">
        <v>0</v>
      </c>
      <c r="V129" s="114">
        <v>0</v>
      </c>
      <c r="W129" s="114">
        <v>0</v>
      </c>
      <c r="X129" s="114">
        <v>0</v>
      </c>
      <c r="Y129" s="114">
        <v>0</v>
      </c>
      <c r="Z129" s="114">
        <v>0</v>
      </c>
      <c r="AA129" s="114">
        <v>0</v>
      </c>
      <c r="AB129" s="114">
        <v>0</v>
      </c>
      <c r="AC129" s="114">
        <v>0</v>
      </c>
      <c r="AD129" s="114">
        <v>0</v>
      </c>
      <c r="AE129" s="114">
        <v>0</v>
      </c>
      <c r="AF129" s="114">
        <v>0</v>
      </c>
      <c r="AG129" s="114">
        <v>0</v>
      </c>
      <c r="AH129" s="114">
        <v>0</v>
      </c>
      <c r="AI129" s="114">
        <v>0</v>
      </c>
      <c r="AJ129" s="114">
        <v>0</v>
      </c>
      <c r="AK129" s="114">
        <v>0</v>
      </c>
      <c r="AL129" s="114">
        <v>0</v>
      </c>
      <c r="AM129" s="114">
        <v>0</v>
      </c>
      <c r="AN129" s="114">
        <v>0</v>
      </c>
      <c r="AO129" s="114">
        <v>0</v>
      </c>
      <c r="AP129" s="114">
        <v>0</v>
      </c>
      <c r="AQ129" s="114">
        <v>0</v>
      </c>
      <c r="AR129" s="114">
        <v>0</v>
      </c>
      <c r="AS129" s="114">
        <v>0</v>
      </c>
      <c r="AT129" s="114">
        <v>0</v>
      </c>
      <c r="AU129" s="114">
        <v>0</v>
      </c>
      <c r="AV129" s="114">
        <v>0</v>
      </c>
      <c r="AW129" s="114">
        <v>0</v>
      </c>
      <c r="AX129" s="114">
        <v>0</v>
      </c>
      <c r="AY129" s="114">
        <v>0</v>
      </c>
    </row>
    <row r="130" spans="1:51" x14ac:dyDescent="0.2">
      <c r="A130" s="117"/>
      <c r="B130" s="127">
        <v>9</v>
      </c>
      <c r="C130" s="114"/>
      <c r="D130" s="114">
        <v>0</v>
      </c>
      <c r="E130" s="114">
        <v>0</v>
      </c>
      <c r="F130" s="114">
        <v>0</v>
      </c>
      <c r="G130" s="114">
        <v>0</v>
      </c>
      <c r="H130" s="114">
        <v>0</v>
      </c>
      <c r="I130" s="114">
        <v>0</v>
      </c>
      <c r="J130" s="114">
        <v>0</v>
      </c>
      <c r="K130" s="114">
        <v>0</v>
      </c>
      <c r="L130" s="114">
        <v>0</v>
      </c>
      <c r="M130" s="114">
        <v>0</v>
      </c>
      <c r="N130" s="114">
        <v>0</v>
      </c>
      <c r="O130" s="114">
        <v>0</v>
      </c>
      <c r="P130" s="114">
        <v>0</v>
      </c>
      <c r="Q130" s="114">
        <v>0</v>
      </c>
      <c r="R130" s="114">
        <v>0</v>
      </c>
      <c r="S130" s="114">
        <v>0</v>
      </c>
      <c r="T130" s="114">
        <v>0</v>
      </c>
      <c r="U130" s="114">
        <v>0</v>
      </c>
      <c r="V130" s="114">
        <v>0</v>
      </c>
      <c r="W130" s="114">
        <v>0</v>
      </c>
      <c r="X130" s="114">
        <v>0</v>
      </c>
      <c r="Y130" s="114">
        <v>0</v>
      </c>
      <c r="Z130" s="114">
        <v>0</v>
      </c>
      <c r="AA130" s="114">
        <v>0</v>
      </c>
      <c r="AB130" s="114">
        <v>0</v>
      </c>
      <c r="AC130" s="114">
        <v>0</v>
      </c>
      <c r="AD130" s="114">
        <v>0</v>
      </c>
      <c r="AE130" s="114">
        <v>0</v>
      </c>
      <c r="AF130" s="114">
        <v>0</v>
      </c>
      <c r="AG130" s="114">
        <v>0</v>
      </c>
      <c r="AH130" s="114">
        <v>0</v>
      </c>
      <c r="AI130" s="114">
        <v>0</v>
      </c>
      <c r="AJ130" s="114">
        <v>0</v>
      </c>
      <c r="AK130" s="114">
        <v>0</v>
      </c>
      <c r="AL130" s="114">
        <v>0</v>
      </c>
      <c r="AM130" s="114">
        <v>0</v>
      </c>
      <c r="AN130" s="114">
        <v>0</v>
      </c>
      <c r="AO130" s="114">
        <v>0</v>
      </c>
      <c r="AP130" s="114">
        <v>0</v>
      </c>
      <c r="AQ130" s="114">
        <v>0</v>
      </c>
      <c r="AR130" s="114">
        <v>0</v>
      </c>
      <c r="AS130" s="114">
        <v>0</v>
      </c>
      <c r="AT130" s="114">
        <v>0</v>
      </c>
      <c r="AU130" s="114">
        <v>0</v>
      </c>
      <c r="AV130" s="114">
        <v>0</v>
      </c>
      <c r="AW130" s="114">
        <v>0</v>
      </c>
      <c r="AX130" s="114">
        <v>0</v>
      </c>
      <c r="AY130" s="114">
        <v>0</v>
      </c>
    </row>
    <row r="131" spans="1:51" x14ac:dyDescent="0.2">
      <c r="A131" s="117"/>
      <c r="B131" s="127">
        <v>10</v>
      </c>
      <c r="C131" s="114"/>
      <c r="D131" s="114">
        <v>0</v>
      </c>
      <c r="E131" s="114">
        <v>0</v>
      </c>
      <c r="F131" s="114">
        <v>0</v>
      </c>
      <c r="G131" s="114">
        <v>0</v>
      </c>
      <c r="H131" s="114">
        <v>0</v>
      </c>
      <c r="I131" s="114">
        <v>0</v>
      </c>
      <c r="J131" s="114">
        <v>0</v>
      </c>
      <c r="K131" s="114">
        <v>0</v>
      </c>
      <c r="L131" s="114">
        <v>0</v>
      </c>
      <c r="M131" s="114">
        <v>0</v>
      </c>
      <c r="N131" s="114">
        <v>0</v>
      </c>
      <c r="O131" s="114">
        <v>0</v>
      </c>
      <c r="P131" s="114">
        <v>0</v>
      </c>
      <c r="Q131" s="114">
        <v>0</v>
      </c>
      <c r="R131" s="114">
        <v>0</v>
      </c>
      <c r="S131" s="114">
        <v>0</v>
      </c>
      <c r="T131" s="114">
        <v>0</v>
      </c>
      <c r="U131" s="114">
        <v>0</v>
      </c>
      <c r="V131" s="114">
        <v>0</v>
      </c>
      <c r="W131" s="114">
        <v>0</v>
      </c>
      <c r="X131" s="114">
        <v>0</v>
      </c>
      <c r="Y131" s="114">
        <v>0</v>
      </c>
      <c r="Z131" s="114">
        <v>0</v>
      </c>
      <c r="AA131" s="114">
        <v>0</v>
      </c>
      <c r="AB131" s="114">
        <v>0</v>
      </c>
      <c r="AC131" s="114">
        <v>0</v>
      </c>
      <c r="AD131" s="114">
        <v>0</v>
      </c>
      <c r="AE131" s="114">
        <v>0</v>
      </c>
      <c r="AF131" s="114">
        <v>0</v>
      </c>
      <c r="AG131" s="114">
        <v>0</v>
      </c>
      <c r="AH131" s="114">
        <v>0</v>
      </c>
      <c r="AI131" s="114">
        <v>0</v>
      </c>
      <c r="AJ131" s="114">
        <v>0</v>
      </c>
      <c r="AK131" s="114">
        <v>0</v>
      </c>
      <c r="AL131" s="114">
        <v>0</v>
      </c>
      <c r="AM131" s="114">
        <v>0</v>
      </c>
      <c r="AN131" s="114">
        <v>0</v>
      </c>
      <c r="AO131" s="114">
        <v>0</v>
      </c>
      <c r="AP131" s="114">
        <v>0</v>
      </c>
      <c r="AQ131" s="114">
        <v>0</v>
      </c>
      <c r="AR131" s="114">
        <v>0</v>
      </c>
      <c r="AS131" s="114">
        <v>0</v>
      </c>
      <c r="AT131" s="114">
        <v>0</v>
      </c>
      <c r="AU131" s="114">
        <v>0</v>
      </c>
      <c r="AV131" s="114">
        <v>0</v>
      </c>
      <c r="AW131" s="114">
        <v>0</v>
      </c>
      <c r="AX131" s="114">
        <v>0</v>
      </c>
      <c r="AY131" s="114">
        <v>0</v>
      </c>
    </row>
    <row r="132" spans="1:51" x14ac:dyDescent="0.2">
      <c r="A132" s="117"/>
      <c r="B132" s="127">
        <v>11</v>
      </c>
      <c r="C132" s="114"/>
      <c r="D132" s="114">
        <v>0</v>
      </c>
      <c r="E132" s="114">
        <v>0</v>
      </c>
      <c r="F132" s="114">
        <v>0</v>
      </c>
      <c r="G132" s="114">
        <v>0</v>
      </c>
      <c r="H132" s="114">
        <v>0</v>
      </c>
      <c r="I132" s="114">
        <v>0</v>
      </c>
      <c r="J132" s="114">
        <v>0</v>
      </c>
      <c r="K132" s="114">
        <v>0</v>
      </c>
      <c r="L132" s="114">
        <v>0</v>
      </c>
      <c r="M132" s="114">
        <v>0</v>
      </c>
      <c r="N132" s="114">
        <v>0</v>
      </c>
      <c r="O132" s="114">
        <v>0</v>
      </c>
      <c r="P132" s="114">
        <v>0</v>
      </c>
      <c r="Q132" s="114">
        <v>0</v>
      </c>
      <c r="R132" s="114">
        <v>0</v>
      </c>
      <c r="S132" s="114">
        <v>0</v>
      </c>
      <c r="T132" s="114">
        <v>0</v>
      </c>
      <c r="U132" s="114">
        <v>0</v>
      </c>
      <c r="V132" s="114">
        <v>0</v>
      </c>
      <c r="W132" s="114">
        <v>0</v>
      </c>
      <c r="X132" s="114">
        <v>0</v>
      </c>
      <c r="Y132" s="114">
        <v>0</v>
      </c>
      <c r="Z132" s="114">
        <v>0</v>
      </c>
      <c r="AA132" s="114">
        <v>0</v>
      </c>
      <c r="AB132" s="114">
        <v>0</v>
      </c>
      <c r="AC132" s="114">
        <v>0</v>
      </c>
      <c r="AD132" s="114">
        <v>0</v>
      </c>
      <c r="AE132" s="114">
        <v>0</v>
      </c>
      <c r="AF132" s="114">
        <v>0</v>
      </c>
      <c r="AG132" s="114">
        <v>0</v>
      </c>
      <c r="AH132" s="114">
        <v>0</v>
      </c>
      <c r="AI132" s="114">
        <v>0</v>
      </c>
      <c r="AJ132" s="114">
        <v>0</v>
      </c>
      <c r="AK132" s="114">
        <v>0</v>
      </c>
      <c r="AL132" s="114">
        <v>0</v>
      </c>
      <c r="AM132" s="114">
        <v>0</v>
      </c>
      <c r="AN132" s="114">
        <v>0</v>
      </c>
      <c r="AO132" s="114">
        <v>0</v>
      </c>
      <c r="AP132" s="114">
        <v>0</v>
      </c>
      <c r="AQ132" s="114">
        <v>0</v>
      </c>
      <c r="AR132" s="114">
        <v>0</v>
      </c>
      <c r="AS132" s="114">
        <v>0</v>
      </c>
      <c r="AT132" s="114">
        <v>0</v>
      </c>
      <c r="AU132" s="114">
        <v>0</v>
      </c>
      <c r="AV132" s="114">
        <v>0</v>
      </c>
      <c r="AW132" s="114">
        <v>0</v>
      </c>
      <c r="AX132" s="114">
        <v>0</v>
      </c>
      <c r="AY132" s="114">
        <v>0</v>
      </c>
    </row>
    <row r="133" spans="1:51" x14ac:dyDescent="0.2">
      <c r="A133" s="117"/>
      <c r="B133" s="127">
        <v>12</v>
      </c>
      <c r="C133" s="114"/>
      <c r="D133" s="114">
        <v>0</v>
      </c>
      <c r="E133" s="114">
        <v>0</v>
      </c>
      <c r="F133" s="114">
        <v>0</v>
      </c>
      <c r="G133" s="114">
        <v>0</v>
      </c>
      <c r="H133" s="114">
        <v>0</v>
      </c>
      <c r="I133" s="114">
        <v>0</v>
      </c>
      <c r="J133" s="114">
        <v>0</v>
      </c>
      <c r="K133" s="114">
        <v>0</v>
      </c>
      <c r="L133" s="114">
        <v>0</v>
      </c>
      <c r="M133" s="114">
        <v>0</v>
      </c>
      <c r="N133" s="114">
        <v>0</v>
      </c>
      <c r="O133" s="114">
        <v>0</v>
      </c>
      <c r="P133" s="114">
        <v>0</v>
      </c>
      <c r="Q133" s="114">
        <v>0</v>
      </c>
      <c r="R133" s="114">
        <v>0</v>
      </c>
      <c r="S133" s="114">
        <v>0</v>
      </c>
      <c r="T133" s="114">
        <v>0</v>
      </c>
      <c r="U133" s="114">
        <v>0</v>
      </c>
      <c r="V133" s="114">
        <v>0</v>
      </c>
      <c r="W133" s="114">
        <v>0</v>
      </c>
      <c r="X133" s="114">
        <v>0</v>
      </c>
      <c r="Y133" s="114">
        <v>0</v>
      </c>
      <c r="Z133" s="114">
        <v>0</v>
      </c>
      <c r="AA133" s="114">
        <v>0</v>
      </c>
      <c r="AB133" s="114">
        <v>0</v>
      </c>
      <c r="AC133" s="114">
        <v>0</v>
      </c>
      <c r="AD133" s="114">
        <v>0</v>
      </c>
      <c r="AE133" s="114">
        <v>0</v>
      </c>
      <c r="AF133" s="114">
        <v>0</v>
      </c>
      <c r="AG133" s="114">
        <v>0</v>
      </c>
      <c r="AH133" s="114">
        <v>0</v>
      </c>
      <c r="AI133" s="114">
        <v>0</v>
      </c>
      <c r="AJ133" s="114">
        <v>0</v>
      </c>
      <c r="AK133" s="114">
        <v>0</v>
      </c>
      <c r="AL133" s="114">
        <v>0</v>
      </c>
      <c r="AM133" s="114">
        <v>0</v>
      </c>
      <c r="AN133" s="114">
        <v>0</v>
      </c>
      <c r="AO133" s="114">
        <v>0</v>
      </c>
      <c r="AP133" s="114">
        <v>0</v>
      </c>
      <c r="AQ133" s="114">
        <v>0</v>
      </c>
      <c r="AR133" s="114">
        <v>0</v>
      </c>
      <c r="AS133" s="114">
        <v>0</v>
      </c>
      <c r="AT133" s="114">
        <v>0</v>
      </c>
      <c r="AU133" s="114">
        <v>0</v>
      </c>
      <c r="AV133" s="114">
        <v>0</v>
      </c>
      <c r="AW133" s="114">
        <v>0</v>
      </c>
      <c r="AX133" s="114">
        <v>0</v>
      </c>
      <c r="AY133" s="114">
        <v>0</v>
      </c>
    </row>
    <row r="134" spans="1:51" x14ac:dyDescent="0.2">
      <c r="A134" s="117"/>
      <c r="B134" s="128">
        <v>13</v>
      </c>
      <c r="C134" s="114"/>
      <c r="D134" s="114">
        <v>0</v>
      </c>
      <c r="E134" s="114">
        <v>0</v>
      </c>
      <c r="F134" s="114">
        <v>0</v>
      </c>
      <c r="G134" s="114">
        <v>0</v>
      </c>
      <c r="H134" s="114">
        <v>0</v>
      </c>
      <c r="I134" s="114">
        <v>0</v>
      </c>
      <c r="J134" s="114">
        <v>0</v>
      </c>
      <c r="K134" s="114">
        <v>0</v>
      </c>
      <c r="L134" s="114">
        <v>0</v>
      </c>
      <c r="M134" s="114">
        <v>0</v>
      </c>
      <c r="N134" s="114">
        <v>0</v>
      </c>
      <c r="O134" s="114">
        <v>0</v>
      </c>
      <c r="P134" s="114">
        <v>0</v>
      </c>
      <c r="Q134" s="114">
        <v>0</v>
      </c>
      <c r="R134" s="114">
        <v>0</v>
      </c>
      <c r="S134" s="114">
        <v>0</v>
      </c>
      <c r="T134" s="114">
        <v>0</v>
      </c>
      <c r="U134" s="114">
        <v>0</v>
      </c>
      <c r="V134" s="114">
        <v>0</v>
      </c>
      <c r="W134" s="114">
        <v>0</v>
      </c>
      <c r="X134" s="114">
        <v>0</v>
      </c>
      <c r="Y134" s="114">
        <v>0</v>
      </c>
      <c r="Z134" s="114">
        <v>0</v>
      </c>
      <c r="AA134" s="114">
        <v>0</v>
      </c>
      <c r="AB134" s="114">
        <v>0</v>
      </c>
      <c r="AC134" s="114">
        <v>0</v>
      </c>
      <c r="AD134" s="114">
        <v>0</v>
      </c>
      <c r="AE134" s="114">
        <v>0</v>
      </c>
      <c r="AF134" s="114">
        <v>0</v>
      </c>
      <c r="AG134" s="114">
        <v>0</v>
      </c>
      <c r="AH134" s="114">
        <v>0</v>
      </c>
      <c r="AI134" s="114">
        <v>0</v>
      </c>
      <c r="AJ134" s="114">
        <v>0</v>
      </c>
      <c r="AK134" s="114">
        <v>0</v>
      </c>
      <c r="AL134" s="114">
        <v>0</v>
      </c>
      <c r="AM134" s="114">
        <v>0</v>
      </c>
      <c r="AN134" s="114">
        <v>0</v>
      </c>
      <c r="AO134" s="114">
        <v>0</v>
      </c>
      <c r="AP134" s="114">
        <v>0</v>
      </c>
      <c r="AQ134" s="114">
        <v>0</v>
      </c>
      <c r="AR134" s="114">
        <v>0</v>
      </c>
      <c r="AS134" s="114">
        <v>0</v>
      </c>
      <c r="AT134" s="114">
        <v>0</v>
      </c>
      <c r="AU134" s="114">
        <v>0</v>
      </c>
      <c r="AV134" s="114">
        <v>0</v>
      </c>
      <c r="AW134" s="114">
        <v>0</v>
      </c>
      <c r="AX134" s="114">
        <v>0</v>
      </c>
      <c r="AY134" s="114">
        <v>0</v>
      </c>
    </row>
    <row r="135" spans="1:51" x14ac:dyDescent="0.2">
      <c r="A135" s="117"/>
      <c r="B135" s="128">
        <v>14</v>
      </c>
      <c r="C135" s="114"/>
      <c r="D135" s="114">
        <v>0</v>
      </c>
      <c r="E135" s="114">
        <v>0</v>
      </c>
      <c r="F135" s="114">
        <v>0</v>
      </c>
      <c r="G135" s="114">
        <v>0</v>
      </c>
      <c r="H135" s="114">
        <v>0</v>
      </c>
      <c r="I135" s="114">
        <v>0</v>
      </c>
      <c r="J135" s="114">
        <v>0</v>
      </c>
      <c r="K135" s="114">
        <v>0</v>
      </c>
      <c r="L135" s="114">
        <v>0</v>
      </c>
      <c r="M135" s="114">
        <v>0</v>
      </c>
      <c r="N135" s="114">
        <v>0</v>
      </c>
      <c r="O135" s="114">
        <v>0</v>
      </c>
      <c r="P135" s="114">
        <v>0</v>
      </c>
      <c r="Q135" s="114">
        <v>0</v>
      </c>
      <c r="R135" s="114">
        <v>0</v>
      </c>
      <c r="S135" s="114">
        <v>0</v>
      </c>
      <c r="T135" s="114">
        <v>0</v>
      </c>
      <c r="U135" s="114">
        <v>0</v>
      </c>
      <c r="V135" s="114">
        <v>0</v>
      </c>
      <c r="W135" s="114">
        <v>0</v>
      </c>
      <c r="X135" s="114">
        <v>0</v>
      </c>
      <c r="Y135" s="114">
        <v>0</v>
      </c>
      <c r="Z135" s="114">
        <v>0</v>
      </c>
      <c r="AA135" s="114">
        <v>0</v>
      </c>
      <c r="AB135" s="114">
        <v>0</v>
      </c>
      <c r="AC135" s="114">
        <v>0</v>
      </c>
      <c r="AD135" s="114">
        <v>0</v>
      </c>
      <c r="AE135" s="114">
        <v>0</v>
      </c>
      <c r="AF135" s="114">
        <v>0</v>
      </c>
      <c r="AG135" s="114">
        <v>0</v>
      </c>
      <c r="AH135" s="114">
        <v>0</v>
      </c>
      <c r="AI135" s="114">
        <v>0</v>
      </c>
      <c r="AJ135" s="114">
        <v>0</v>
      </c>
      <c r="AK135" s="114">
        <v>0</v>
      </c>
      <c r="AL135" s="114">
        <v>0</v>
      </c>
      <c r="AM135" s="114">
        <v>0</v>
      </c>
      <c r="AN135" s="114">
        <v>0</v>
      </c>
      <c r="AO135" s="114">
        <v>0</v>
      </c>
      <c r="AP135" s="114">
        <v>0</v>
      </c>
      <c r="AQ135" s="114">
        <v>0</v>
      </c>
      <c r="AR135" s="114">
        <v>0</v>
      </c>
      <c r="AS135" s="114">
        <v>0</v>
      </c>
      <c r="AT135" s="114">
        <v>0</v>
      </c>
      <c r="AU135" s="114">
        <v>0</v>
      </c>
      <c r="AV135" s="114">
        <v>0</v>
      </c>
      <c r="AW135" s="114">
        <v>0</v>
      </c>
      <c r="AX135" s="114">
        <v>0</v>
      </c>
      <c r="AY135" s="114">
        <v>0</v>
      </c>
    </row>
    <row r="136" spans="1:51" x14ac:dyDescent="0.2">
      <c r="A136" s="117"/>
      <c r="B136" s="128">
        <v>15</v>
      </c>
      <c r="C136" s="114"/>
      <c r="D136" s="114">
        <v>0</v>
      </c>
      <c r="E136" s="114">
        <v>0</v>
      </c>
      <c r="F136" s="114">
        <v>0</v>
      </c>
      <c r="G136" s="114">
        <v>0</v>
      </c>
      <c r="H136" s="114">
        <v>0</v>
      </c>
      <c r="I136" s="114">
        <v>0</v>
      </c>
      <c r="J136" s="114">
        <v>0</v>
      </c>
      <c r="K136" s="114">
        <v>0</v>
      </c>
      <c r="L136" s="114">
        <v>0</v>
      </c>
      <c r="M136" s="114">
        <v>0</v>
      </c>
      <c r="N136" s="114">
        <v>0</v>
      </c>
      <c r="O136" s="114">
        <v>0</v>
      </c>
      <c r="P136" s="114">
        <v>0</v>
      </c>
      <c r="Q136" s="114">
        <v>0</v>
      </c>
      <c r="R136" s="114">
        <v>0</v>
      </c>
      <c r="S136" s="114">
        <v>0</v>
      </c>
      <c r="T136" s="114">
        <v>0</v>
      </c>
      <c r="U136" s="114">
        <v>0</v>
      </c>
      <c r="V136" s="114">
        <v>0</v>
      </c>
      <c r="W136" s="114">
        <v>0</v>
      </c>
      <c r="X136" s="114">
        <v>0</v>
      </c>
      <c r="Y136" s="114">
        <v>0</v>
      </c>
      <c r="Z136" s="114">
        <v>0</v>
      </c>
      <c r="AA136" s="114">
        <v>0</v>
      </c>
      <c r="AB136" s="114">
        <v>0</v>
      </c>
      <c r="AC136" s="114">
        <v>0</v>
      </c>
      <c r="AD136" s="114">
        <v>0</v>
      </c>
      <c r="AE136" s="114">
        <v>0</v>
      </c>
      <c r="AF136" s="114">
        <v>0</v>
      </c>
      <c r="AG136" s="114">
        <v>0</v>
      </c>
      <c r="AH136" s="114">
        <v>0</v>
      </c>
      <c r="AI136" s="114">
        <v>0</v>
      </c>
      <c r="AJ136" s="114">
        <v>0</v>
      </c>
      <c r="AK136" s="114">
        <v>0</v>
      </c>
      <c r="AL136" s="114">
        <v>0</v>
      </c>
      <c r="AM136" s="114">
        <v>0</v>
      </c>
      <c r="AN136" s="114">
        <v>0</v>
      </c>
      <c r="AO136" s="114">
        <v>0</v>
      </c>
      <c r="AP136" s="114">
        <v>0</v>
      </c>
      <c r="AQ136" s="114">
        <v>0</v>
      </c>
      <c r="AR136" s="114">
        <v>0</v>
      </c>
      <c r="AS136" s="114">
        <v>0</v>
      </c>
      <c r="AT136" s="114">
        <v>0</v>
      </c>
      <c r="AU136" s="114">
        <v>0</v>
      </c>
      <c r="AV136" s="114">
        <v>0</v>
      </c>
      <c r="AW136" s="114">
        <v>0</v>
      </c>
      <c r="AX136" s="114">
        <v>0</v>
      </c>
      <c r="AY136" s="114">
        <v>0</v>
      </c>
    </row>
    <row r="137" spans="1:51" x14ac:dyDescent="0.2">
      <c r="A137" s="117"/>
      <c r="B137" s="128">
        <v>16</v>
      </c>
      <c r="C137" s="114"/>
      <c r="D137" s="114">
        <v>0</v>
      </c>
      <c r="E137" s="114">
        <v>0</v>
      </c>
      <c r="F137" s="114">
        <v>0</v>
      </c>
      <c r="G137" s="114">
        <v>0</v>
      </c>
      <c r="H137" s="114">
        <v>0</v>
      </c>
      <c r="I137" s="114">
        <v>0</v>
      </c>
      <c r="J137" s="114">
        <v>0</v>
      </c>
      <c r="K137" s="114">
        <v>0</v>
      </c>
      <c r="L137" s="114">
        <v>0</v>
      </c>
      <c r="M137" s="114">
        <v>0</v>
      </c>
      <c r="N137" s="114">
        <v>0</v>
      </c>
      <c r="O137" s="114">
        <v>0</v>
      </c>
      <c r="P137" s="114">
        <v>0</v>
      </c>
      <c r="Q137" s="114">
        <v>0</v>
      </c>
      <c r="R137" s="114">
        <v>0</v>
      </c>
      <c r="S137" s="114">
        <v>0</v>
      </c>
      <c r="T137" s="114">
        <v>0</v>
      </c>
      <c r="U137" s="114">
        <v>0</v>
      </c>
      <c r="V137" s="114">
        <v>0</v>
      </c>
      <c r="W137" s="114">
        <v>0</v>
      </c>
      <c r="X137" s="114">
        <v>0</v>
      </c>
      <c r="Y137" s="114">
        <v>0</v>
      </c>
      <c r="Z137" s="114">
        <v>0</v>
      </c>
      <c r="AA137" s="114">
        <v>0</v>
      </c>
      <c r="AB137" s="114">
        <v>0</v>
      </c>
      <c r="AC137" s="114">
        <v>0</v>
      </c>
      <c r="AD137" s="114">
        <v>0</v>
      </c>
      <c r="AE137" s="114">
        <v>0</v>
      </c>
      <c r="AF137" s="114">
        <v>0</v>
      </c>
      <c r="AG137" s="114">
        <v>0</v>
      </c>
      <c r="AH137" s="114">
        <v>0</v>
      </c>
      <c r="AI137" s="114">
        <v>0</v>
      </c>
      <c r="AJ137" s="114">
        <v>0</v>
      </c>
      <c r="AK137" s="114">
        <v>0</v>
      </c>
      <c r="AL137" s="114">
        <v>0</v>
      </c>
      <c r="AM137" s="114">
        <v>0</v>
      </c>
      <c r="AN137" s="114">
        <v>0</v>
      </c>
      <c r="AO137" s="114">
        <v>0</v>
      </c>
      <c r="AP137" s="114">
        <v>0</v>
      </c>
      <c r="AQ137" s="114">
        <v>0</v>
      </c>
      <c r="AR137" s="114">
        <v>0</v>
      </c>
      <c r="AS137" s="114">
        <v>0</v>
      </c>
      <c r="AT137" s="114">
        <v>0</v>
      </c>
      <c r="AU137" s="114">
        <v>0</v>
      </c>
      <c r="AV137" s="114">
        <v>0</v>
      </c>
      <c r="AW137" s="114">
        <v>0</v>
      </c>
      <c r="AX137" s="114">
        <v>0</v>
      </c>
      <c r="AY137" s="114">
        <v>0</v>
      </c>
    </row>
    <row r="138" spans="1:51" x14ac:dyDescent="0.2">
      <c r="A138" s="117"/>
      <c r="B138" s="128">
        <v>17</v>
      </c>
      <c r="C138" s="114"/>
      <c r="D138" s="114">
        <v>0</v>
      </c>
      <c r="E138" s="114">
        <v>0</v>
      </c>
      <c r="F138" s="114">
        <v>0</v>
      </c>
      <c r="G138" s="114">
        <v>0</v>
      </c>
      <c r="H138" s="114">
        <v>0</v>
      </c>
      <c r="I138" s="114">
        <v>0</v>
      </c>
      <c r="J138" s="114">
        <v>0</v>
      </c>
      <c r="K138" s="114">
        <v>0</v>
      </c>
      <c r="L138" s="114">
        <v>0</v>
      </c>
      <c r="M138" s="114">
        <v>0</v>
      </c>
      <c r="N138" s="114">
        <v>0</v>
      </c>
      <c r="O138" s="114">
        <v>0</v>
      </c>
      <c r="P138" s="114">
        <v>0</v>
      </c>
      <c r="Q138" s="114">
        <v>0</v>
      </c>
      <c r="R138" s="114">
        <v>0</v>
      </c>
      <c r="S138" s="114">
        <v>0</v>
      </c>
      <c r="T138" s="114">
        <v>0</v>
      </c>
      <c r="U138" s="114">
        <v>0</v>
      </c>
      <c r="V138" s="114">
        <v>0</v>
      </c>
      <c r="W138" s="114">
        <v>0</v>
      </c>
      <c r="X138" s="114">
        <v>0</v>
      </c>
      <c r="Y138" s="114">
        <v>0</v>
      </c>
      <c r="Z138" s="114">
        <v>0</v>
      </c>
      <c r="AA138" s="114">
        <v>0</v>
      </c>
      <c r="AB138" s="114">
        <v>0</v>
      </c>
      <c r="AC138" s="114">
        <v>0</v>
      </c>
      <c r="AD138" s="114">
        <v>0</v>
      </c>
      <c r="AE138" s="114">
        <v>0</v>
      </c>
      <c r="AF138" s="114">
        <v>0</v>
      </c>
      <c r="AG138" s="114">
        <v>0</v>
      </c>
      <c r="AH138" s="114">
        <v>0</v>
      </c>
      <c r="AI138" s="114">
        <v>0</v>
      </c>
      <c r="AJ138" s="114">
        <v>0</v>
      </c>
      <c r="AK138" s="114">
        <v>0</v>
      </c>
      <c r="AL138" s="114">
        <v>0</v>
      </c>
      <c r="AM138" s="114">
        <v>0</v>
      </c>
      <c r="AN138" s="114">
        <v>0</v>
      </c>
      <c r="AO138" s="114">
        <v>0</v>
      </c>
      <c r="AP138" s="114">
        <v>0</v>
      </c>
      <c r="AQ138" s="114">
        <v>0</v>
      </c>
      <c r="AR138" s="114">
        <v>0</v>
      </c>
      <c r="AS138" s="114">
        <v>0</v>
      </c>
      <c r="AT138" s="114">
        <v>0</v>
      </c>
      <c r="AU138" s="114">
        <v>0</v>
      </c>
      <c r="AV138" s="114">
        <v>0</v>
      </c>
      <c r="AW138" s="114">
        <v>0</v>
      </c>
      <c r="AX138" s="114">
        <v>0</v>
      </c>
      <c r="AY138" s="114">
        <v>0</v>
      </c>
    </row>
    <row r="139" spans="1:51" x14ac:dyDescent="0.2">
      <c r="A139" s="117"/>
      <c r="B139" s="128">
        <v>18</v>
      </c>
      <c r="C139" s="114"/>
      <c r="D139" s="114">
        <v>0</v>
      </c>
      <c r="E139" s="114">
        <v>0</v>
      </c>
      <c r="F139" s="114">
        <v>0</v>
      </c>
      <c r="G139" s="114">
        <v>0</v>
      </c>
      <c r="H139" s="114">
        <v>0</v>
      </c>
      <c r="I139" s="114">
        <v>0</v>
      </c>
      <c r="J139" s="114">
        <v>0</v>
      </c>
      <c r="K139" s="114">
        <v>0</v>
      </c>
      <c r="L139" s="114">
        <v>0</v>
      </c>
      <c r="M139" s="114">
        <v>0</v>
      </c>
      <c r="N139" s="114">
        <v>0</v>
      </c>
      <c r="O139" s="114">
        <v>0</v>
      </c>
      <c r="P139" s="114">
        <v>0</v>
      </c>
      <c r="Q139" s="114">
        <v>0</v>
      </c>
      <c r="R139" s="114">
        <v>0</v>
      </c>
      <c r="S139" s="114">
        <v>0</v>
      </c>
      <c r="T139" s="114">
        <v>0</v>
      </c>
      <c r="U139" s="114">
        <v>0</v>
      </c>
      <c r="V139" s="114">
        <v>0</v>
      </c>
      <c r="W139" s="114">
        <v>0</v>
      </c>
      <c r="X139" s="114">
        <v>0</v>
      </c>
      <c r="Y139" s="114">
        <v>0</v>
      </c>
      <c r="Z139" s="114">
        <v>0</v>
      </c>
      <c r="AA139" s="114">
        <v>0</v>
      </c>
      <c r="AB139" s="114">
        <v>0</v>
      </c>
      <c r="AC139" s="114">
        <v>0</v>
      </c>
      <c r="AD139" s="114">
        <v>0</v>
      </c>
      <c r="AE139" s="114">
        <v>0</v>
      </c>
      <c r="AF139" s="114">
        <v>0</v>
      </c>
      <c r="AG139" s="114">
        <v>0</v>
      </c>
      <c r="AH139" s="114">
        <v>0</v>
      </c>
      <c r="AI139" s="114">
        <v>0</v>
      </c>
      <c r="AJ139" s="114">
        <v>0</v>
      </c>
      <c r="AK139" s="114">
        <v>0</v>
      </c>
      <c r="AL139" s="114">
        <v>0</v>
      </c>
      <c r="AM139" s="114">
        <v>0</v>
      </c>
      <c r="AN139" s="114">
        <v>0</v>
      </c>
      <c r="AO139" s="114">
        <v>0</v>
      </c>
      <c r="AP139" s="114">
        <v>0</v>
      </c>
      <c r="AQ139" s="114">
        <v>0</v>
      </c>
      <c r="AR139" s="114">
        <v>0</v>
      </c>
      <c r="AS139" s="114">
        <v>0</v>
      </c>
      <c r="AT139" s="114">
        <v>0</v>
      </c>
      <c r="AU139" s="114">
        <v>0</v>
      </c>
      <c r="AV139" s="114">
        <v>0</v>
      </c>
      <c r="AW139" s="114">
        <v>0</v>
      </c>
      <c r="AX139" s="114">
        <v>0</v>
      </c>
      <c r="AY139" s="114">
        <v>0</v>
      </c>
    </row>
    <row r="140" spans="1:51" x14ac:dyDescent="0.2">
      <c r="A140" s="117"/>
      <c r="B140" s="128">
        <v>19</v>
      </c>
      <c r="C140" s="114"/>
      <c r="D140" s="114">
        <v>0</v>
      </c>
      <c r="E140" s="114">
        <v>0</v>
      </c>
      <c r="F140" s="114">
        <v>0</v>
      </c>
      <c r="G140" s="114">
        <v>0</v>
      </c>
      <c r="H140" s="114">
        <v>0</v>
      </c>
      <c r="I140" s="114">
        <v>0</v>
      </c>
      <c r="J140" s="114">
        <v>0</v>
      </c>
      <c r="K140" s="114">
        <v>0</v>
      </c>
      <c r="L140" s="114">
        <v>0</v>
      </c>
      <c r="M140" s="114">
        <v>0</v>
      </c>
      <c r="N140" s="114">
        <v>0</v>
      </c>
      <c r="O140" s="114">
        <v>0</v>
      </c>
      <c r="P140" s="114">
        <v>0</v>
      </c>
      <c r="Q140" s="114">
        <v>0</v>
      </c>
      <c r="R140" s="114">
        <v>0</v>
      </c>
      <c r="S140" s="114">
        <v>0</v>
      </c>
      <c r="T140" s="114">
        <v>0</v>
      </c>
      <c r="U140" s="114">
        <v>0</v>
      </c>
      <c r="V140" s="114">
        <v>0</v>
      </c>
      <c r="W140" s="114">
        <v>0</v>
      </c>
      <c r="X140" s="114">
        <v>0</v>
      </c>
      <c r="Y140" s="114">
        <v>0</v>
      </c>
      <c r="Z140" s="114">
        <v>0</v>
      </c>
      <c r="AA140" s="114">
        <v>0</v>
      </c>
      <c r="AB140" s="114">
        <v>0</v>
      </c>
      <c r="AC140" s="114">
        <v>0</v>
      </c>
      <c r="AD140" s="114">
        <v>0</v>
      </c>
      <c r="AE140" s="114">
        <v>0</v>
      </c>
      <c r="AF140" s="114">
        <v>0</v>
      </c>
      <c r="AG140" s="114">
        <v>0</v>
      </c>
      <c r="AH140" s="114">
        <v>0</v>
      </c>
      <c r="AI140" s="114">
        <v>0</v>
      </c>
      <c r="AJ140" s="114">
        <v>0</v>
      </c>
      <c r="AK140" s="114">
        <v>0</v>
      </c>
      <c r="AL140" s="114">
        <v>0</v>
      </c>
      <c r="AM140" s="114">
        <v>0</v>
      </c>
      <c r="AN140" s="114">
        <v>0</v>
      </c>
      <c r="AO140" s="114">
        <v>0</v>
      </c>
      <c r="AP140" s="114">
        <v>0</v>
      </c>
      <c r="AQ140" s="114">
        <v>0</v>
      </c>
      <c r="AR140" s="114">
        <v>0</v>
      </c>
      <c r="AS140" s="114">
        <v>0</v>
      </c>
      <c r="AT140" s="114">
        <v>0</v>
      </c>
      <c r="AU140" s="114">
        <v>0</v>
      </c>
      <c r="AV140" s="114">
        <v>0</v>
      </c>
      <c r="AW140" s="114">
        <v>0</v>
      </c>
      <c r="AX140" s="114">
        <v>0</v>
      </c>
      <c r="AY140" s="114">
        <v>0</v>
      </c>
    </row>
    <row r="141" spans="1:51" x14ac:dyDescent="0.2">
      <c r="A141" s="117"/>
      <c r="B141" s="128">
        <v>20</v>
      </c>
      <c r="C141" s="114"/>
      <c r="D141" s="114">
        <v>0</v>
      </c>
      <c r="E141" s="114">
        <v>0</v>
      </c>
      <c r="F141" s="114">
        <v>0</v>
      </c>
      <c r="G141" s="114">
        <v>0</v>
      </c>
      <c r="H141" s="114">
        <v>0</v>
      </c>
      <c r="I141" s="114">
        <v>0</v>
      </c>
      <c r="J141" s="114">
        <v>0</v>
      </c>
      <c r="K141" s="114">
        <v>0</v>
      </c>
      <c r="L141" s="114">
        <v>0</v>
      </c>
      <c r="M141" s="114">
        <v>0</v>
      </c>
      <c r="N141" s="114">
        <v>0</v>
      </c>
      <c r="O141" s="114">
        <v>0</v>
      </c>
      <c r="P141" s="114">
        <v>0</v>
      </c>
      <c r="Q141" s="114">
        <v>0</v>
      </c>
      <c r="R141" s="114">
        <v>0</v>
      </c>
      <c r="S141" s="114">
        <v>0</v>
      </c>
      <c r="T141" s="114">
        <v>0</v>
      </c>
      <c r="U141" s="114">
        <v>0</v>
      </c>
      <c r="V141" s="114">
        <v>0</v>
      </c>
      <c r="W141" s="114">
        <v>0</v>
      </c>
      <c r="X141" s="114">
        <v>0</v>
      </c>
      <c r="Y141" s="114">
        <v>0</v>
      </c>
      <c r="Z141" s="114">
        <v>0</v>
      </c>
      <c r="AA141" s="114">
        <v>0</v>
      </c>
      <c r="AB141" s="114">
        <v>0</v>
      </c>
      <c r="AC141" s="114">
        <v>0</v>
      </c>
      <c r="AD141" s="114">
        <v>0</v>
      </c>
      <c r="AE141" s="114">
        <v>0</v>
      </c>
      <c r="AF141" s="114">
        <v>0</v>
      </c>
      <c r="AG141" s="114">
        <v>0</v>
      </c>
      <c r="AH141" s="114">
        <v>0</v>
      </c>
      <c r="AI141" s="114">
        <v>0</v>
      </c>
      <c r="AJ141" s="114">
        <v>0</v>
      </c>
      <c r="AK141" s="114">
        <v>0</v>
      </c>
      <c r="AL141" s="114">
        <v>0</v>
      </c>
      <c r="AM141" s="114">
        <v>0</v>
      </c>
      <c r="AN141" s="114">
        <v>0</v>
      </c>
      <c r="AO141" s="114">
        <v>0</v>
      </c>
      <c r="AP141" s="114">
        <v>0</v>
      </c>
      <c r="AQ141" s="114">
        <v>0</v>
      </c>
      <c r="AR141" s="114">
        <v>0</v>
      </c>
      <c r="AS141" s="114">
        <v>0</v>
      </c>
      <c r="AT141" s="114">
        <v>0</v>
      </c>
      <c r="AU141" s="114">
        <v>0</v>
      </c>
      <c r="AV141" s="114">
        <v>0</v>
      </c>
      <c r="AW141" s="114">
        <v>0</v>
      </c>
      <c r="AX141" s="114">
        <v>0</v>
      </c>
      <c r="AY141" s="114">
        <v>0</v>
      </c>
    </row>
    <row r="142" spans="1:51" x14ac:dyDescent="0.2">
      <c r="A142" s="117"/>
      <c r="B142" s="128">
        <v>21</v>
      </c>
      <c r="C142" s="114"/>
      <c r="D142" s="114">
        <v>0</v>
      </c>
      <c r="E142" s="114">
        <v>0</v>
      </c>
      <c r="F142" s="114">
        <v>0</v>
      </c>
      <c r="G142" s="114">
        <v>0</v>
      </c>
      <c r="H142" s="114">
        <v>0</v>
      </c>
      <c r="I142" s="114">
        <v>0</v>
      </c>
      <c r="J142" s="114">
        <v>0</v>
      </c>
      <c r="K142" s="114">
        <v>0</v>
      </c>
      <c r="L142" s="114">
        <v>0</v>
      </c>
      <c r="M142" s="114">
        <v>0</v>
      </c>
      <c r="N142" s="114">
        <v>0</v>
      </c>
      <c r="O142" s="114">
        <v>0</v>
      </c>
      <c r="P142" s="114">
        <v>0</v>
      </c>
      <c r="Q142" s="114">
        <v>0</v>
      </c>
      <c r="R142" s="114">
        <v>0</v>
      </c>
      <c r="S142" s="114">
        <v>0</v>
      </c>
      <c r="T142" s="114">
        <v>0</v>
      </c>
      <c r="U142" s="114">
        <v>0</v>
      </c>
      <c r="V142" s="114">
        <v>0</v>
      </c>
      <c r="W142" s="114">
        <v>0</v>
      </c>
      <c r="X142" s="114">
        <v>0</v>
      </c>
      <c r="Y142" s="114">
        <v>0</v>
      </c>
      <c r="Z142" s="114">
        <v>0</v>
      </c>
      <c r="AA142" s="114">
        <v>0</v>
      </c>
      <c r="AB142" s="114">
        <v>0</v>
      </c>
      <c r="AC142" s="114">
        <v>0</v>
      </c>
      <c r="AD142" s="114">
        <v>0</v>
      </c>
      <c r="AE142" s="114">
        <v>0</v>
      </c>
      <c r="AF142" s="114">
        <v>0</v>
      </c>
      <c r="AG142" s="114">
        <v>0</v>
      </c>
      <c r="AH142" s="114">
        <v>0</v>
      </c>
      <c r="AI142" s="114">
        <v>0</v>
      </c>
      <c r="AJ142" s="114">
        <v>0</v>
      </c>
      <c r="AK142" s="114">
        <v>0</v>
      </c>
      <c r="AL142" s="114">
        <v>0</v>
      </c>
      <c r="AM142" s="114">
        <v>0</v>
      </c>
      <c r="AN142" s="114">
        <v>0</v>
      </c>
      <c r="AO142" s="114">
        <v>0</v>
      </c>
      <c r="AP142" s="114">
        <v>0</v>
      </c>
      <c r="AQ142" s="114">
        <v>0</v>
      </c>
      <c r="AR142" s="114">
        <v>0</v>
      </c>
      <c r="AS142" s="114">
        <v>0</v>
      </c>
      <c r="AT142" s="114">
        <v>0</v>
      </c>
      <c r="AU142" s="114">
        <v>0</v>
      </c>
      <c r="AV142" s="114">
        <v>0</v>
      </c>
      <c r="AW142" s="114">
        <v>0</v>
      </c>
      <c r="AX142" s="114">
        <v>0</v>
      </c>
      <c r="AY142" s="114">
        <v>0</v>
      </c>
    </row>
    <row r="143" spans="1:51" x14ac:dyDescent="0.2">
      <c r="A143" s="117"/>
      <c r="B143" s="128">
        <v>22</v>
      </c>
      <c r="C143" s="114"/>
      <c r="D143" s="114">
        <v>0</v>
      </c>
      <c r="E143" s="114">
        <v>0</v>
      </c>
      <c r="F143" s="114">
        <v>0</v>
      </c>
      <c r="G143" s="114">
        <v>0</v>
      </c>
      <c r="H143" s="114">
        <v>0</v>
      </c>
      <c r="I143" s="114">
        <v>0</v>
      </c>
      <c r="J143" s="114">
        <v>0</v>
      </c>
      <c r="K143" s="114">
        <v>0</v>
      </c>
      <c r="L143" s="114">
        <v>0</v>
      </c>
      <c r="M143" s="114">
        <v>0</v>
      </c>
      <c r="N143" s="114">
        <v>0</v>
      </c>
      <c r="O143" s="114">
        <v>0</v>
      </c>
      <c r="P143" s="114">
        <v>0</v>
      </c>
      <c r="Q143" s="114">
        <v>0</v>
      </c>
      <c r="R143" s="114">
        <v>0</v>
      </c>
      <c r="S143" s="114">
        <v>0</v>
      </c>
      <c r="T143" s="114">
        <v>0</v>
      </c>
      <c r="U143" s="114">
        <v>0</v>
      </c>
      <c r="V143" s="114">
        <v>0</v>
      </c>
      <c r="W143" s="114">
        <v>0</v>
      </c>
      <c r="X143" s="114">
        <v>0</v>
      </c>
      <c r="Y143" s="114">
        <v>0</v>
      </c>
      <c r="Z143" s="114">
        <v>0</v>
      </c>
      <c r="AA143" s="114">
        <v>0</v>
      </c>
      <c r="AB143" s="114">
        <v>0</v>
      </c>
      <c r="AC143" s="114">
        <v>0</v>
      </c>
      <c r="AD143" s="114">
        <v>0</v>
      </c>
      <c r="AE143" s="114">
        <v>0</v>
      </c>
      <c r="AF143" s="114">
        <v>0</v>
      </c>
      <c r="AG143" s="114">
        <v>0</v>
      </c>
      <c r="AH143" s="114">
        <v>0</v>
      </c>
      <c r="AI143" s="114">
        <v>0</v>
      </c>
      <c r="AJ143" s="114">
        <v>0</v>
      </c>
      <c r="AK143" s="114">
        <v>0</v>
      </c>
      <c r="AL143" s="114">
        <v>0</v>
      </c>
      <c r="AM143" s="114">
        <v>0</v>
      </c>
      <c r="AN143" s="114">
        <v>0</v>
      </c>
      <c r="AO143" s="114">
        <v>0</v>
      </c>
      <c r="AP143" s="114">
        <v>0</v>
      </c>
      <c r="AQ143" s="114">
        <v>0</v>
      </c>
      <c r="AR143" s="114">
        <v>0</v>
      </c>
      <c r="AS143" s="114">
        <v>0</v>
      </c>
      <c r="AT143" s="114">
        <v>0</v>
      </c>
      <c r="AU143" s="114">
        <v>0</v>
      </c>
      <c r="AV143" s="114">
        <v>0</v>
      </c>
      <c r="AW143" s="114">
        <v>0</v>
      </c>
      <c r="AX143" s="114">
        <v>0</v>
      </c>
      <c r="AY143" s="114">
        <v>0</v>
      </c>
    </row>
    <row r="144" spans="1:51" x14ac:dyDescent="0.2">
      <c r="A144" s="117"/>
      <c r="B144" s="128">
        <v>23</v>
      </c>
      <c r="C144" s="114"/>
      <c r="D144" s="114">
        <v>0</v>
      </c>
      <c r="E144" s="114">
        <v>0</v>
      </c>
      <c r="F144" s="114">
        <v>0</v>
      </c>
      <c r="G144" s="114">
        <v>0</v>
      </c>
      <c r="H144" s="114">
        <v>0</v>
      </c>
      <c r="I144" s="114">
        <v>0</v>
      </c>
      <c r="J144" s="114">
        <v>0</v>
      </c>
      <c r="K144" s="114">
        <v>0</v>
      </c>
      <c r="L144" s="114">
        <v>0</v>
      </c>
      <c r="M144" s="114">
        <v>0</v>
      </c>
      <c r="N144" s="114">
        <v>0</v>
      </c>
      <c r="O144" s="114">
        <v>0</v>
      </c>
      <c r="P144" s="114">
        <v>0</v>
      </c>
      <c r="Q144" s="114">
        <v>0</v>
      </c>
      <c r="R144" s="114">
        <v>0</v>
      </c>
      <c r="S144" s="114">
        <v>0</v>
      </c>
      <c r="T144" s="114">
        <v>0</v>
      </c>
      <c r="U144" s="114">
        <v>0</v>
      </c>
      <c r="V144" s="114">
        <v>0</v>
      </c>
      <c r="W144" s="114">
        <v>0</v>
      </c>
      <c r="X144" s="114">
        <v>0</v>
      </c>
      <c r="Y144" s="114">
        <v>0</v>
      </c>
      <c r="Z144" s="114">
        <v>0</v>
      </c>
      <c r="AA144" s="114">
        <v>0</v>
      </c>
      <c r="AB144" s="114">
        <v>0</v>
      </c>
      <c r="AC144" s="114">
        <v>0</v>
      </c>
      <c r="AD144" s="114">
        <v>0</v>
      </c>
      <c r="AE144" s="114">
        <v>0</v>
      </c>
      <c r="AF144" s="114">
        <v>0</v>
      </c>
      <c r="AG144" s="114">
        <v>0</v>
      </c>
      <c r="AH144" s="114">
        <v>0</v>
      </c>
      <c r="AI144" s="114">
        <v>0</v>
      </c>
      <c r="AJ144" s="114">
        <v>0</v>
      </c>
      <c r="AK144" s="114">
        <v>0</v>
      </c>
      <c r="AL144" s="114">
        <v>0</v>
      </c>
      <c r="AM144" s="114">
        <v>0</v>
      </c>
      <c r="AN144" s="114">
        <v>0</v>
      </c>
      <c r="AO144" s="114">
        <v>0</v>
      </c>
      <c r="AP144" s="114">
        <v>0</v>
      </c>
      <c r="AQ144" s="114">
        <v>0</v>
      </c>
      <c r="AR144" s="114">
        <v>0</v>
      </c>
      <c r="AS144" s="114">
        <v>0</v>
      </c>
      <c r="AT144" s="114">
        <v>0</v>
      </c>
      <c r="AU144" s="114">
        <v>0</v>
      </c>
      <c r="AV144" s="114">
        <v>0</v>
      </c>
      <c r="AW144" s="114">
        <v>0</v>
      </c>
      <c r="AX144" s="114">
        <v>0</v>
      </c>
      <c r="AY144" s="114">
        <v>0</v>
      </c>
    </row>
    <row r="145" spans="1:51" x14ac:dyDescent="0.2">
      <c r="A145" s="117"/>
      <c r="B145" s="128">
        <v>24</v>
      </c>
      <c r="C145" s="114"/>
      <c r="D145" s="114">
        <v>0</v>
      </c>
      <c r="E145" s="114">
        <v>0</v>
      </c>
      <c r="F145" s="114">
        <v>0</v>
      </c>
      <c r="G145" s="114">
        <v>0</v>
      </c>
      <c r="H145" s="114">
        <v>0</v>
      </c>
      <c r="I145" s="114">
        <v>0</v>
      </c>
      <c r="J145" s="114">
        <v>0</v>
      </c>
      <c r="K145" s="114">
        <v>0</v>
      </c>
      <c r="L145" s="114">
        <v>0</v>
      </c>
      <c r="M145" s="114">
        <v>0</v>
      </c>
      <c r="N145" s="114">
        <v>0</v>
      </c>
      <c r="O145" s="114">
        <v>0</v>
      </c>
      <c r="P145" s="114">
        <v>0</v>
      </c>
      <c r="Q145" s="114">
        <v>0</v>
      </c>
      <c r="R145" s="114">
        <v>0</v>
      </c>
      <c r="S145" s="114">
        <v>0</v>
      </c>
      <c r="T145" s="114">
        <v>0</v>
      </c>
      <c r="U145" s="114">
        <v>0</v>
      </c>
      <c r="V145" s="114">
        <v>0</v>
      </c>
      <c r="W145" s="114">
        <v>0</v>
      </c>
      <c r="X145" s="114">
        <v>0</v>
      </c>
      <c r="Y145" s="114">
        <v>0</v>
      </c>
      <c r="Z145" s="114">
        <v>0</v>
      </c>
      <c r="AA145" s="114">
        <v>0</v>
      </c>
      <c r="AB145" s="114">
        <v>0</v>
      </c>
      <c r="AC145" s="114">
        <v>0</v>
      </c>
      <c r="AD145" s="114">
        <v>0</v>
      </c>
      <c r="AE145" s="114">
        <v>0</v>
      </c>
      <c r="AF145" s="114">
        <v>0</v>
      </c>
      <c r="AG145" s="114">
        <v>0</v>
      </c>
      <c r="AH145" s="114">
        <v>0</v>
      </c>
      <c r="AI145" s="114">
        <v>0</v>
      </c>
      <c r="AJ145" s="114">
        <v>0</v>
      </c>
      <c r="AK145" s="114">
        <v>0</v>
      </c>
      <c r="AL145" s="114">
        <v>0</v>
      </c>
      <c r="AM145" s="114">
        <v>0</v>
      </c>
      <c r="AN145" s="114">
        <v>0</v>
      </c>
      <c r="AO145" s="114">
        <v>0</v>
      </c>
      <c r="AP145" s="114">
        <v>0</v>
      </c>
      <c r="AQ145" s="114">
        <v>0</v>
      </c>
      <c r="AR145" s="114">
        <v>0</v>
      </c>
      <c r="AS145" s="114">
        <v>0</v>
      </c>
      <c r="AT145" s="114">
        <v>0</v>
      </c>
      <c r="AU145" s="114">
        <v>0</v>
      </c>
      <c r="AV145" s="114">
        <v>0</v>
      </c>
      <c r="AW145" s="114">
        <v>0</v>
      </c>
      <c r="AX145" s="114">
        <v>0</v>
      </c>
      <c r="AY145" s="114">
        <v>0</v>
      </c>
    </row>
    <row r="146" spans="1:51" x14ac:dyDescent="0.2">
      <c r="A146" s="117"/>
      <c r="B146" s="135">
        <v>25</v>
      </c>
      <c r="C146" s="114"/>
      <c r="D146" s="114">
        <v>0</v>
      </c>
      <c r="E146" s="114">
        <v>0</v>
      </c>
      <c r="F146" s="114">
        <v>0</v>
      </c>
      <c r="G146" s="114">
        <v>0</v>
      </c>
      <c r="H146" s="114">
        <v>0</v>
      </c>
      <c r="I146" s="114">
        <v>0</v>
      </c>
      <c r="J146" s="114">
        <v>0</v>
      </c>
      <c r="K146" s="114">
        <v>0</v>
      </c>
      <c r="L146" s="114">
        <v>0</v>
      </c>
      <c r="M146" s="114">
        <v>0</v>
      </c>
      <c r="N146" s="114">
        <v>0</v>
      </c>
      <c r="O146" s="114">
        <v>0</v>
      </c>
      <c r="P146" s="114">
        <v>0</v>
      </c>
      <c r="Q146" s="114">
        <v>0</v>
      </c>
      <c r="R146" s="114">
        <v>0</v>
      </c>
      <c r="S146" s="114">
        <v>0</v>
      </c>
      <c r="T146" s="114">
        <v>0</v>
      </c>
      <c r="U146" s="114">
        <v>0</v>
      </c>
      <c r="V146" s="114">
        <v>0</v>
      </c>
      <c r="W146" s="114">
        <v>0</v>
      </c>
      <c r="X146" s="114">
        <v>0</v>
      </c>
      <c r="Y146" s="114">
        <v>0</v>
      </c>
      <c r="Z146" s="114">
        <v>0</v>
      </c>
      <c r="AA146" s="114">
        <v>0</v>
      </c>
      <c r="AB146" s="114">
        <v>0</v>
      </c>
      <c r="AC146" s="114">
        <v>0</v>
      </c>
      <c r="AD146" s="114">
        <v>0</v>
      </c>
      <c r="AE146" s="114">
        <v>0</v>
      </c>
      <c r="AF146" s="114">
        <v>0</v>
      </c>
      <c r="AG146" s="114">
        <v>0</v>
      </c>
      <c r="AH146" s="114">
        <v>0</v>
      </c>
      <c r="AI146" s="114">
        <v>0</v>
      </c>
      <c r="AJ146" s="114">
        <v>0</v>
      </c>
      <c r="AK146" s="114">
        <v>0</v>
      </c>
      <c r="AL146" s="114">
        <v>0</v>
      </c>
      <c r="AM146" s="114">
        <v>0</v>
      </c>
      <c r="AN146" s="114">
        <v>0</v>
      </c>
      <c r="AO146" s="114">
        <v>0</v>
      </c>
      <c r="AP146" s="114">
        <v>0</v>
      </c>
      <c r="AQ146" s="114">
        <v>0</v>
      </c>
      <c r="AR146" s="114">
        <v>0</v>
      </c>
      <c r="AS146" s="114">
        <v>0</v>
      </c>
      <c r="AT146" s="114">
        <v>0</v>
      </c>
      <c r="AU146" s="114">
        <v>0</v>
      </c>
      <c r="AV146" s="114">
        <v>0</v>
      </c>
      <c r="AW146" s="114">
        <v>0</v>
      </c>
      <c r="AX146" s="114">
        <v>0</v>
      </c>
      <c r="AY146" s="114">
        <v>0</v>
      </c>
    </row>
    <row r="147" spans="1:51" x14ac:dyDescent="0.2">
      <c r="A147" s="117"/>
      <c r="B147" s="135">
        <v>26</v>
      </c>
      <c r="C147" s="114"/>
      <c r="D147" s="114">
        <v>0</v>
      </c>
      <c r="E147" s="114">
        <v>0</v>
      </c>
      <c r="F147" s="114">
        <v>0</v>
      </c>
      <c r="G147" s="114">
        <v>0</v>
      </c>
      <c r="H147" s="114">
        <v>0</v>
      </c>
      <c r="I147" s="114">
        <v>0</v>
      </c>
      <c r="J147" s="114">
        <v>0</v>
      </c>
      <c r="K147" s="114">
        <v>0</v>
      </c>
      <c r="L147" s="114">
        <v>0</v>
      </c>
      <c r="M147" s="114">
        <v>0</v>
      </c>
      <c r="N147" s="114">
        <v>0</v>
      </c>
      <c r="O147" s="114">
        <v>0</v>
      </c>
      <c r="P147" s="114">
        <v>0</v>
      </c>
      <c r="Q147" s="114">
        <v>0</v>
      </c>
      <c r="R147" s="114">
        <v>0</v>
      </c>
      <c r="S147" s="114">
        <v>0</v>
      </c>
      <c r="T147" s="114">
        <v>0</v>
      </c>
      <c r="U147" s="114">
        <v>0</v>
      </c>
      <c r="V147" s="114">
        <v>0</v>
      </c>
      <c r="W147" s="114">
        <v>0</v>
      </c>
      <c r="X147" s="114">
        <v>0</v>
      </c>
      <c r="Y147" s="114">
        <v>0</v>
      </c>
      <c r="Z147" s="114">
        <v>0</v>
      </c>
      <c r="AA147" s="114">
        <v>0</v>
      </c>
      <c r="AB147" s="114">
        <v>0</v>
      </c>
      <c r="AC147" s="114">
        <v>0</v>
      </c>
      <c r="AD147" s="114">
        <v>0</v>
      </c>
      <c r="AE147" s="114">
        <v>0</v>
      </c>
      <c r="AF147" s="114">
        <v>0</v>
      </c>
      <c r="AG147" s="114">
        <v>0</v>
      </c>
      <c r="AH147" s="114">
        <v>0</v>
      </c>
      <c r="AI147" s="114">
        <v>0</v>
      </c>
      <c r="AJ147" s="114">
        <v>0</v>
      </c>
      <c r="AK147" s="114">
        <v>0</v>
      </c>
      <c r="AL147" s="114">
        <v>0</v>
      </c>
      <c r="AM147" s="114">
        <v>0</v>
      </c>
      <c r="AN147" s="114">
        <v>0</v>
      </c>
      <c r="AO147" s="114">
        <v>0</v>
      </c>
      <c r="AP147" s="114">
        <v>0</v>
      </c>
      <c r="AQ147" s="114">
        <v>0</v>
      </c>
      <c r="AR147" s="114">
        <v>0</v>
      </c>
      <c r="AS147" s="114">
        <v>0</v>
      </c>
      <c r="AT147" s="114">
        <v>0</v>
      </c>
      <c r="AU147" s="114">
        <v>0</v>
      </c>
      <c r="AV147" s="114">
        <v>0</v>
      </c>
      <c r="AW147" s="114">
        <v>0</v>
      </c>
      <c r="AX147" s="114">
        <v>0</v>
      </c>
      <c r="AY147" s="114">
        <v>0</v>
      </c>
    </row>
    <row r="148" spans="1:51" x14ac:dyDescent="0.2">
      <c r="A148" s="117"/>
      <c r="B148" s="135">
        <v>27</v>
      </c>
      <c r="C148" s="114"/>
      <c r="D148" s="114">
        <v>0</v>
      </c>
      <c r="E148" s="114">
        <v>0</v>
      </c>
      <c r="F148" s="114">
        <v>0</v>
      </c>
      <c r="G148" s="114">
        <v>0</v>
      </c>
      <c r="H148" s="114">
        <v>0</v>
      </c>
      <c r="I148" s="114">
        <v>0</v>
      </c>
      <c r="J148" s="114">
        <v>0</v>
      </c>
      <c r="K148" s="114">
        <v>0</v>
      </c>
      <c r="L148" s="114">
        <v>0</v>
      </c>
      <c r="M148" s="114">
        <v>0</v>
      </c>
      <c r="N148" s="114">
        <v>0</v>
      </c>
      <c r="O148" s="114">
        <v>0</v>
      </c>
      <c r="P148" s="114">
        <v>0</v>
      </c>
      <c r="Q148" s="114">
        <v>0</v>
      </c>
      <c r="R148" s="114">
        <v>0</v>
      </c>
      <c r="S148" s="114">
        <v>0</v>
      </c>
      <c r="T148" s="114">
        <v>0</v>
      </c>
      <c r="U148" s="114">
        <v>0</v>
      </c>
      <c r="V148" s="114">
        <v>0</v>
      </c>
      <c r="W148" s="114">
        <v>0</v>
      </c>
      <c r="X148" s="114">
        <v>0</v>
      </c>
      <c r="Y148" s="114">
        <v>0</v>
      </c>
      <c r="Z148" s="114">
        <v>0</v>
      </c>
      <c r="AA148" s="114">
        <v>0</v>
      </c>
      <c r="AB148" s="114">
        <v>0</v>
      </c>
      <c r="AC148" s="114">
        <v>0</v>
      </c>
      <c r="AD148" s="114">
        <v>0</v>
      </c>
      <c r="AE148" s="114">
        <v>0</v>
      </c>
      <c r="AF148" s="114">
        <v>0</v>
      </c>
      <c r="AG148" s="114">
        <v>0</v>
      </c>
      <c r="AH148" s="114">
        <v>0</v>
      </c>
      <c r="AI148" s="114">
        <v>0</v>
      </c>
      <c r="AJ148" s="114">
        <v>0</v>
      </c>
      <c r="AK148" s="114">
        <v>0</v>
      </c>
      <c r="AL148" s="114">
        <v>0</v>
      </c>
      <c r="AM148" s="114">
        <v>0</v>
      </c>
      <c r="AN148" s="114">
        <v>0</v>
      </c>
      <c r="AO148" s="114">
        <v>0</v>
      </c>
      <c r="AP148" s="114">
        <v>0</v>
      </c>
      <c r="AQ148" s="114">
        <v>0</v>
      </c>
      <c r="AR148" s="114">
        <v>0</v>
      </c>
      <c r="AS148" s="114">
        <v>0</v>
      </c>
      <c r="AT148" s="114">
        <v>0</v>
      </c>
      <c r="AU148" s="114">
        <v>0</v>
      </c>
      <c r="AV148" s="114">
        <v>0</v>
      </c>
      <c r="AW148" s="114">
        <v>0</v>
      </c>
      <c r="AX148" s="114">
        <v>0</v>
      </c>
      <c r="AY148" s="114">
        <v>0</v>
      </c>
    </row>
    <row r="149" spans="1:51" x14ac:dyDescent="0.2">
      <c r="A149" s="117"/>
      <c r="B149" s="135">
        <v>28</v>
      </c>
      <c r="C149" s="114"/>
      <c r="D149" s="114">
        <v>0</v>
      </c>
      <c r="E149" s="114">
        <v>0</v>
      </c>
      <c r="F149" s="114">
        <v>0</v>
      </c>
      <c r="G149" s="114">
        <v>0</v>
      </c>
      <c r="H149" s="114">
        <v>0</v>
      </c>
      <c r="I149" s="114">
        <v>0</v>
      </c>
      <c r="J149" s="114">
        <v>0</v>
      </c>
      <c r="K149" s="114">
        <v>0</v>
      </c>
      <c r="L149" s="114">
        <v>0</v>
      </c>
      <c r="M149" s="114">
        <v>0</v>
      </c>
      <c r="N149" s="114">
        <v>0</v>
      </c>
      <c r="O149" s="114">
        <v>0</v>
      </c>
      <c r="P149" s="114">
        <v>0</v>
      </c>
      <c r="Q149" s="114">
        <v>0</v>
      </c>
      <c r="R149" s="114">
        <v>0</v>
      </c>
      <c r="S149" s="114">
        <v>0</v>
      </c>
      <c r="T149" s="114">
        <v>0</v>
      </c>
      <c r="U149" s="114">
        <v>0</v>
      </c>
      <c r="V149" s="114">
        <v>0</v>
      </c>
      <c r="W149" s="114">
        <v>0</v>
      </c>
      <c r="X149" s="114">
        <v>0</v>
      </c>
      <c r="Y149" s="114">
        <v>0</v>
      </c>
      <c r="Z149" s="114">
        <v>0</v>
      </c>
      <c r="AA149" s="114">
        <v>0</v>
      </c>
      <c r="AB149" s="114">
        <v>0</v>
      </c>
      <c r="AC149" s="114">
        <v>0</v>
      </c>
      <c r="AD149" s="114">
        <v>0</v>
      </c>
      <c r="AE149" s="114">
        <v>0</v>
      </c>
      <c r="AF149" s="114">
        <v>0</v>
      </c>
      <c r="AG149" s="114">
        <v>0</v>
      </c>
      <c r="AH149" s="114">
        <v>0</v>
      </c>
      <c r="AI149" s="114">
        <v>0</v>
      </c>
      <c r="AJ149" s="114">
        <v>0</v>
      </c>
      <c r="AK149" s="114">
        <v>0</v>
      </c>
      <c r="AL149" s="114">
        <v>0</v>
      </c>
      <c r="AM149" s="114">
        <v>0</v>
      </c>
      <c r="AN149" s="114">
        <v>0</v>
      </c>
      <c r="AO149" s="114">
        <v>0</v>
      </c>
      <c r="AP149" s="114">
        <v>0</v>
      </c>
      <c r="AQ149" s="114">
        <v>0</v>
      </c>
      <c r="AR149" s="114">
        <v>0</v>
      </c>
      <c r="AS149" s="114">
        <v>0</v>
      </c>
      <c r="AT149" s="114">
        <v>0</v>
      </c>
      <c r="AU149" s="114">
        <v>0</v>
      </c>
      <c r="AV149" s="114">
        <v>0</v>
      </c>
      <c r="AW149" s="114">
        <v>0</v>
      </c>
      <c r="AX149" s="114">
        <v>0</v>
      </c>
      <c r="AY149" s="114">
        <v>0</v>
      </c>
    </row>
    <row r="150" spans="1:51" x14ac:dyDescent="0.2">
      <c r="A150" s="117"/>
      <c r="B150" s="135">
        <v>29</v>
      </c>
      <c r="C150" s="114"/>
      <c r="D150" s="114">
        <v>0</v>
      </c>
      <c r="E150" s="114">
        <v>0</v>
      </c>
      <c r="F150" s="114">
        <v>0</v>
      </c>
      <c r="G150" s="114">
        <v>0</v>
      </c>
      <c r="H150" s="114">
        <v>0</v>
      </c>
      <c r="I150" s="114">
        <v>0</v>
      </c>
      <c r="J150" s="114">
        <v>0</v>
      </c>
      <c r="K150" s="114">
        <v>0</v>
      </c>
      <c r="L150" s="114">
        <v>0</v>
      </c>
      <c r="M150" s="114">
        <v>0</v>
      </c>
      <c r="N150" s="114">
        <v>0</v>
      </c>
      <c r="O150" s="114">
        <v>0</v>
      </c>
      <c r="P150" s="114">
        <v>0</v>
      </c>
      <c r="Q150" s="114">
        <v>0</v>
      </c>
      <c r="R150" s="114">
        <v>0</v>
      </c>
      <c r="S150" s="114">
        <v>0</v>
      </c>
      <c r="T150" s="114">
        <v>0</v>
      </c>
      <c r="U150" s="114">
        <v>0</v>
      </c>
      <c r="V150" s="114">
        <v>0</v>
      </c>
      <c r="W150" s="114">
        <v>0</v>
      </c>
      <c r="X150" s="114">
        <v>0</v>
      </c>
      <c r="Y150" s="114">
        <v>0</v>
      </c>
      <c r="Z150" s="114">
        <v>0</v>
      </c>
      <c r="AA150" s="114">
        <v>0</v>
      </c>
      <c r="AB150" s="114">
        <v>0</v>
      </c>
      <c r="AC150" s="114">
        <v>0</v>
      </c>
      <c r="AD150" s="114">
        <v>0</v>
      </c>
      <c r="AE150" s="114">
        <v>0</v>
      </c>
      <c r="AF150" s="114">
        <v>0</v>
      </c>
      <c r="AG150" s="114">
        <v>0</v>
      </c>
      <c r="AH150" s="114">
        <v>0</v>
      </c>
      <c r="AI150" s="114">
        <v>0</v>
      </c>
      <c r="AJ150" s="114">
        <v>0</v>
      </c>
      <c r="AK150" s="114">
        <v>0</v>
      </c>
      <c r="AL150" s="114">
        <v>0</v>
      </c>
      <c r="AM150" s="114">
        <v>0</v>
      </c>
      <c r="AN150" s="114">
        <v>0</v>
      </c>
      <c r="AO150" s="114">
        <v>0</v>
      </c>
      <c r="AP150" s="114">
        <v>0</v>
      </c>
      <c r="AQ150" s="114">
        <v>0</v>
      </c>
      <c r="AR150" s="114">
        <v>0</v>
      </c>
      <c r="AS150" s="114">
        <v>0</v>
      </c>
      <c r="AT150" s="114">
        <v>0</v>
      </c>
      <c r="AU150" s="114">
        <v>0</v>
      </c>
      <c r="AV150" s="114">
        <v>0</v>
      </c>
      <c r="AW150" s="114">
        <v>0</v>
      </c>
      <c r="AX150" s="114">
        <v>0</v>
      </c>
      <c r="AY150" s="114">
        <v>0</v>
      </c>
    </row>
    <row r="151" spans="1:51" x14ac:dyDescent="0.2">
      <c r="A151" s="117"/>
      <c r="B151" s="135">
        <v>30</v>
      </c>
      <c r="C151" s="114"/>
      <c r="D151" s="114">
        <v>0</v>
      </c>
      <c r="E151" s="114">
        <v>0</v>
      </c>
      <c r="F151" s="114">
        <v>0</v>
      </c>
      <c r="G151" s="114">
        <v>0</v>
      </c>
      <c r="H151" s="114">
        <v>0</v>
      </c>
      <c r="I151" s="114">
        <v>0</v>
      </c>
      <c r="J151" s="114">
        <v>0</v>
      </c>
      <c r="K151" s="114">
        <v>0</v>
      </c>
      <c r="L151" s="114">
        <v>0</v>
      </c>
      <c r="M151" s="114">
        <v>0</v>
      </c>
      <c r="N151" s="114">
        <v>0</v>
      </c>
      <c r="O151" s="114">
        <v>0</v>
      </c>
      <c r="P151" s="114">
        <v>0</v>
      </c>
      <c r="Q151" s="114">
        <v>0</v>
      </c>
      <c r="R151" s="114">
        <v>0</v>
      </c>
      <c r="S151" s="114">
        <v>0</v>
      </c>
      <c r="T151" s="114">
        <v>0</v>
      </c>
      <c r="U151" s="114">
        <v>0</v>
      </c>
      <c r="V151" s="114">
        <v>0</v>
      </c>
      <c r="W151" s="114">
        <v>0</v>
      </c>
      <c r="X151" s="114">
        <v>0</v>
      </c>
      <c r="Y151" s="114">
        <v>0</v>
      </c>
      <c r="Z151" s="114">
        <v>0</v>
      </c>
      <c r="AA151" s="114">
        <v>0</v>
      </c>
      <c r="AB151" s="114">
        <v>0</v>
      </c>
      <c r="AC151" s="114">
        <v>0</v>
      </c>
      <c r="AD151" s="114">
        <v>0</v>
      </c>
      <c r="AE151" s="114">
        <v>0</v>
      </c>
      <c r="AF151" s="114">
        <v>0</v>
      </c>
      <c r="AG151" s="114">
        <v>0</v>
      </c>
      <c r="AH151" s="114">
        <v>0</v>
      </c>
      <c r="AI151" s="114">
        <v>0</v>
      </c>
      <c r="AJ151" s="114">
        <v>0</v>
      </c>
      <c r="AK151" s="114">
        <v>0</v>
      </c>
      <c r="AL151" s="114">
        <v>0</v>
      </c>
      <c r="AM151" s="114">
        <v>0</v>
      </c>
      <c r="AN151" s="114">
        <v>0</v>
      </c>
      <c r="AO151" s="114">
        <v>0</v>
      </c>
      <c r="AP151" s="114">
        <v>0</v>
      </c>
      <c r="AQ151" s="114">
        <v>0</v>
      </c>
      <c r="AR151" s="114">
        <v>0</v>
      </c>
      <c r="AS151" s="114">
        <v>0</v>
      </c>
      <c r="AT151" s="114">
        <v>0</v>
      </c>
      <c r="AU151" s="114">
        <v>0</v>
      </c>
      <c r="AV151" s="114">
        <v>0</v>
      </c>
      <c r="AW151" s="114">
        <v>0</v>
      </c>
      <c r="AX151" s="114">
        <v>0</v>
      </c>
      <c r="AY151" s="114">
        <v>0</v>
      </c>
    </row>
    <row r="152" spans="1:51" x14ac:dyDescent="0.2">
      <c r="A152" s="117"/>
      <c r="B152" s="135">
        <v>31</v>
      </c>
      <c r="C152" s="114"/>
      <c r="D152" s="114">
        <v>0</v>
      </c>
      <c r="E152" s="114">
        <v>0</v>
      </c>
      <c r="F152" s="114">
        <v>0</v>
      </c>
      <c r="G152" s="114">
        <v>0</v>
      </c>
      <c r="H152" s="114">
        <v>0</v>
      </c>
      <c r="I152" s="114">
        <v>0</v>
      </c>
      <c r="J152" s="114">
        <v>0</v>
      </c>
      <c r="K152" s="114">
        <v>0</v>
      </c>
      <c r="L152" s="114">
        <v>0</v>
      </c>
      <c r="M152" s="114">
        <v>0</v>
      </c>
      <c r="N152" s="114">
        <v>0</v>
      </c>
      <c r="O152" s="114">
        <v>0</v>
      </c>
      <c r="P152" s="114">
        <v>0</v>
      </c>
      <c r="Q152" s="114">
        <v>0</v>
      </c>
      <c r="R152" s="114">
        <v>0</v>
      </c>
      <c r="S152" s="114">
        <v>0</v>
      </c>
      <c r="T152" s="114">
        <v>0</v>
      </c>
      <c r="U152" s="114">
        <v>0</v>
      </c>
      <c r="V152" s="114">
        <v>0</v>
      </c>
      <c r="W152" s="114">
        <v>0</v>
      </c>
      <c r="X152" s="114">
        <v>0</v>
      </c>
      <c r="Y152" s="114">
        <v>0</v>
      </c>
      <c r="Z152" s="114">
        <v>0</v>
      </c>
      <c r="AA152" s="114">
        <v>0</v>
      </c>
      <c r="AB152" s="114">
        <v>0</v>
      </c>
      <c r="AC152" s="114">
        <v>0</v>
      </c>
      <c r="AD152" s="114">
        <v>0</v>
      </c>
      <c r="AE152" s="114">
        <v>0</v>
      </c>
      <c r="AF152" s="114">
        <v>0</v>
      </c>
      <c r="AG152" s="114">
        <v>0</v>
      </c>
      <c r="AH152" s="114">
        <v>0</v>
      </c>
      <c r="AI152" s="114">
        <v>0</v>
      </c>
      <c r="AJ152" s="114">
        <v>0</v>
      </c>
      <c r="AK152" s="114">
        <v>0</v>
      </c>
      <c r="AL152" s="114">
        <v>0</v>
      </c>
      <c r="AM152" s="114">
        <v>0</v>
      </c>
      <c r="AN152" s="114">
        <v>0</v>
      </c>
      <c r="AO152" s="114">
        <v>0</v>
      </c>
      <c r="AP152" s="114">
        <v>0</v>
      </c>
      <c r="AQ152" s="114">
        <v>0</v>
      </c>
      <c r="AR152" s="114">
        <v>0</v>
      </c>
      <c r="AS152" s="114">
        <v>0</v>
      </c>
      <c r="AT152" s="114">
        <v>0</v>
      </c>
      <c r="AU152" s="114">
        <v>0</v>
      </c>
      <c r="AV152" s="114">
        <v>0</v>
      </c>
      <c r="AW152" s="114">
        <v>0</v>
      </c>
      <c r="AX152" s="114">
        <v>0</v>
      </c>
      <c r="AY152" s="114">
        <v>0</v>
      </c>
    </row>
    <row r="153" spans="1:51" x14ac:dyDescent="0.2">
      <c r="A153" s="117"/>
      <c r="B153" s="135">
        <v>32</v>
      </c>
      <c r="C153" s="114"/>
      <c r="D153" s="114">
        <v>0</v>
      </c>
      <c r="E153" s="114">
        <v>0</v>
      </c>
      <c r="F153" s="114">
        <v>0</v>
      </c>
      <c r="G153" s="114">
        <v>0</v>
      </c>
      <c r="H153" s="114">
        <v>0</v>
      </c>
      <c r="I153" s="114">
        <v>0</v>
      </c>
      <c r="J153" s="114">
        <v>0</v>
      </c>
      <c r="K153" s="114">
        <v>0</v>
      </c>
      <c r="L153" s="114">
        <v>0</v>
      </c>
      <c r="M153" s="114">
        <v>0</v>
      </c>
      <c r="N153" s="114">
        <v>0</v>
      </c>
      <c r="O153" s="114">
        <v>0</v>
      </c>
      <c r="P153" s="114">
        <v>0</v>
      </c>
      <c r="Q153" s="114">
        <v>0</v>
      </c>
      <c r="R153" s="114">
        <v>0</v>
      </c>
      <c r="S153" s="114">
        <v>0</v>
      </c>
      <c r="T153" s="114">
        <v>0</v>
      </c>
      <c r="U153" s="114">
        <v>0</v>
      </c>
      <c r="V153" s="114">
        <v>0</v>
      </c>
      <c r="W153" s="114">
        <v>0</v>
      </c>
      <c r="X153" s="114">
        <v>0</v>
      </c>
      <c r="Y153" s="114">
        <v>0</v>
      </c>
      <c r="Z153" s="114">
        <v>0</v>
      </c>
      <c r="AA153" s="114">
        <v>0</v>
      </c>
      <c r="AB153" s="114">
        <v>0</v>
      </c>
      <c r="AC153" s="114">
        <v>0</v>
      </c>
      <c r="AD153" s="114">
        <v>0</v>
      </c>
      <c r="AE153" s="114">
        <v>0</v>
      </c>
      <c r="AF153" s="114">
        <v>0</v>
      </c>
      <c r="AG153" s="114">
        <v>0</v>
      </c>
      <c r="AH153" s="114">
        <v>0</v>
      </c>
      <c r="AI153" s="114">
        <v>0</v>
      </c>
      <c r="AJ153" s="114">
        <v>0</v>
      </c>
      <c r="AK153" s="114">
        <v>0</v>
      </c>
      <c r="AL153" s="114">
        <v>0</v>
      </c>
      <c r="AM153" s="114">
        <v>0</v>
      </c>
      <c r="AN153" s="114">
        <v>0</v>
      </c>
      <c r="AO153" s="114">
        <v>0</v>
      </c>
      <c r="AP153" s="114">
        <v>0</v>
      </c>
      <c r="AQ153" s="114">
        <v>0</v>
      </c>
      <c r="AR153" s="114">
        <v>0</v>
      </c>
      <c r="AS153" s="114">
        <v>0</v>
      </c>
      <c r="AT153" s="114">
        <v>0</v>
      </c>
      <c r="AU153" s="114">
        <v>0</v>
      </c>
      <c r="AV153" s="114">
        <v>0</v>
      </c>
      <c r="AW153" s="114">
        <v>0</v>
      </c>
      <c r="AX153" s="114">
        <v>0</v>
      </c>
      <c r="AY153" s="114">
        <v>0</v>
      </c>
    </row>
    <row r="154" spans="1:51" x14ac:dyDescent="0.2">
      <c r="A154" s="117"/>
      <c r="B154" s="135">
        <v>33</v>
      </c>
      <c r="C154" s="114"/>
      <c r="D154" s="114">
        <v>0</v>
      </c>
      <c r="E154" s="114">
        <v>0</v>
      </c>
      <c r="F154" s="114">
        <v>0</v>
      </c>
      <c r="G154" s="114">
        <v>0</v>
      </c>
      <c r="H154" s="114">
        <v>0</v>
      </c>
      <c r="I154" s="114">
        <v>0</v>
      </c>
      <c r="J154" s="114">
        <v>0</v>
      </c>
      <c r="K154" s="114">
        <v>0</v>
      </c>
      <c r="L154" s="114">
        <v>0</v>
      </c>
      <c r="M154" s="114">
        <v>0</v>
      </c>
      <c r="N154" s="114">
        <v>0</v>
      </c>
      <c r="O154" s="114">
        <v>0</v>
      </c>
      <c r="P154" s="114">
        <v>0</v>
      </c>
      <c r="Q154" s="114">
        <v>0</v>
      </c>
      <c r="R154" s="114">
        <v>0</v>
      </c>
      <c r="S154" s="114">
        <v>0</v>
      </c>
      <c r="T154" s="114">
        <v>0</v>
      </c>
      <c r="U154" s="114">
        <v>0</v>
      </c>
      <c r="V154" s="114">
        <v>0</v>
      </c>
      <c r="W154" s="114">
        <v>0</v>
      </c>
      <c r="X154" s="114">
        <v>0</v>
      </c>
      <c r="Y154" s="114">
        <v>0</v>
      </c>
      <c r="Z154" s="114">
        <v>0</v>
      </c>
      <c r="AA154" s="114">
        <v>0</v>
      </c>
      <c r="AB154" s="114">
        <v>0</v>
      </c>
      <c r="AC154" s="114">
        <v>0</v>
      </c>
      <c r="AD154" s="114">
        <v>0</v>
      </c>
      <c r="AE154" s="114">
        <v>0</v>
      </c>
      <c r="AF154" s="114">
        <v>0</v>
      </c>
      <c r="AG154" s="114">
        <v>0</v>
      </c>
      <c r="AH154" s="114">
        <v>0</v>
      </c>
      <c r="AI154" s="114">
        <v>0</v>
      </c>
      <c r="AJ154" s="114">
        <v>0</v>
      </c>
      <c r="AK154" s="114">
        <v>0</v>
      </c>
      <c r="AL154" s="114">
        <v>0</v>
      </c>
      <c r="AM154" s="114">
        <v>0</v>
      </c>
      <c r="AN154" s="114">
        <v>0</v>
      </c>
      <c r="AO154" s="114">
        <v>0</v>
      </c>
      <c r="AP154" s="114">
        <v>0</v>
      </c>
      <c r="AQ154" s="114">
        <v>0</v>
      </c>
      <c r="AR154" s="114">
        <v>0</v>
      </c>
      <c r="AS154" s="114">
        <v>0</v>
      </c>
      <c r="AT154" s="114">
        <v>0</v>
      </c>
      <c r="AU154" s="114">
        <v>0</v>
      </c>
      <c r="AV154" s="114">
        <v>0</v>
      </c>
      <c r="AW154" s="114">
        <v>0</v>
      </c>
      <c r="AX154" s="114">
        <v>0</v>
      </c>
      <c r="AY154" s="114">
        <v>0</v>
      </c>
    </row>
    <row r="155" spans="1:51" x14ac:dyDescent="0.2">
      <c r="A155" s="117"/>
      <c r="B155" s="135">
        <v>34</v>
      </c>
      <c r="C155" s="114"/>
      <c r="D155" s="114">
        <v>0</v>
      </c>
      <c r="E155" s="114">
        <v>0</v>
      </c>
      <c r="F155" s="114">
        <v>0</v>
      </c>
      <c r="G155" s="114">
        <v>0</v>
      </c>
      <c r="H155" s="114">
        <v>0</v>
      </c>
      <c r="I155" s="114">
        <v>0</v>
      </c>
      <c r="J155" s="114">
        <v>0</v>
      </c>
      <c r="K155" s="114">
        <v>0</v>
      </c>
      <c r="L155" s="114">
        <v>0</v>
      </c>
      <c r="M155" s="114">
        <v>0</v>
      </c>
      <c r="N155" s="114">
        <v>0</v>
      </c>
      <c r="O155" s="114">
        <v>0</v>
      </c>
      <c r="P155" s="114">
        <v>0</v>
      </c>
      <c r="Q155" s="114">
        <v>0</v>
      </c>
      <c r="R155" s="114">
        <v>0</v>
      </c>
      <c r="S155" s="114">
        <v>0</v>
      </c>
      <c r="T155" s="114">
        <v>0</v>
      </c>
      <c r="U155" s="114">
        <v>0</v>
      </c>
      <c r="V155" s="114">
        <v>0</v>
      </c>
      <c r="W155" s="114">
        <v>0</v>
      </c>
      <c r="X155" s="114">
        <v>0</v>
      </c>
      <c r="Y155" s="114">
        <v>0</v>
      </c>
      <c r="Z155" s="114">
        <v>0</v>
      </c>
      <c r="AA155" s="114">
        <v>0</v>
      </c>
      <c r="AB155" s="114">
        <v>0</v>
      </c>
      <c r="AC155" s="114">
        <v>0</v>
      </c>
      <c r="AD155" s="114">
        <v>0</v>
      </c>
      <c r="AE155" s="114">
        <v>0</v>
      </c>
      <c r="AF155" s="114">
        <v>0</v>
      </c>
      <c r="AG155" s="114">
        <v>0</v>
      </c>
      <c r="AH155" s="114">
        <v>0</v>
      </c>
      <c r="AI155" s="114">
        <v>0</v>
      </c>
      <c r="AJ155" s="114">
        <v>0</v>
      </c>
      <c r="AK155" s="114">
        <v>0</v>
      </c>
      <c r="AL155" s="114">
        <v>0</v>
      </c>
      <c r="AM155" s="114">
        <v>0</v>
      </c>
      <c r="AN155" s="114">
        <v>0</v>
      </c>
      <c r="AO155" s="114">
        <v>0</v>
      </c>
      <c r="AP155" s="114">
        <v>0</v>
      </c>
      <c r="AQ155" s="114">
        <v>0</v>
      </c>
      <c r="AR155" s="114">
        <v>0</v>
      </c>
      <c r="AS155" s="114">
        <v>0</v>
      </c>
      <c r="AT155" s="114">
        <v>0</v>
      </c>
      <c r="AU155" s="114">
        <v>0</v>
      </c>
      <c r="AV155" s="114">
        <v>0</v>
      </c>
      <c r="AW155" s="114">
        <v>0</v>
      </c>
      <c r="AX155" s="114">
        <v>0</v>
      </c>
      <c r="AY155" s="114">
        <v>0</v>
      </c>
    </row>
    <row r="156" spans="1:51" x14ac:dyDescent="0.2">
      <c r="A156" s="117"/>
      <c r="B156" s="135">
        <v>35</v>
      </c>
      <c r="C156" s="114"/>
      <c r="D156" s="114">
        <v>0</v>
      </c>
      <c r="E156" s="114">
        <v>0</v>
      </c>
      <c r="F156" s="114">
        <v>0</v>
      </c>
      <c r="G156" s="114">
        <v>0</v>
      </c>
      <c r="H156" s="114">
        <v>0</v>
      </c>
      <c r="I156" s="114">
        <v>0</v>
      </c>
      <c r="J156" s="114">
        <v>0</v>
      </c>
      <c r="K156" s="114">
        <v>0</v>
      </c>
      <c r="L156" s="114">
        <v>0</v>
      </c>
      <c r="M156" s="114">
        <v>0</v>
      </c>
      <c r="N156" s="114">
        <v>0</v>
      </c>
      <c r="O156" s="114">
        <v>0</v>
      </c>
      <c r="P156" s="114">
        <v>0</v>
      </c>
      <c r="Q156" s="114">
        <v>0</v>
      </c>
      <c r="R156" s="114">
        <v>0</v>
      </c>
      <c r="S156" s="114">
        <v>0</v>
      </c>
      <c r="T156" s="114">
        <v>0</v>
      </c>
      <c r="U156" s="114">
        <v>0</v>
      </c>
      <c r="V156" s="114">
        <v>0</v>
      </c>
      <c r="W156" s="114">
        <v>0</v>
      </c>
      <c r="X156" s="114">
        <v>0</v>
      </c>
      <c r="Y156" s="114">
        <v>0</v>
      </c>
      <c r="Z156" s="114">
        <v>0</v>
      </c>
      <c r="AA156" s="114">
        <v>0</v>
      </c>
      <c r="AB156" s="114">
        <v>0</v>
      </c>
      <c r="AC156" s="114">
        <v>0</v>
      </c>
      <c r="AD156" s="114">
        <v>0</v>
      </c>
      <c r="AE156" s="114">
        <v>0</v>
      </c>
      <c r="AF156" s="114">
        <v>0</v>
      </c>
      <c r="AG156" s="114">
        <v>0</v>
      </c>
      <c r="AH156" s="114">
        <v>0</v>
      </c>
      <c r="AI156" s="114">
        <v>0</v>
      </c>
      <c r="AJ156" s="114">
        <v>0</v>
      </c>
      <c r="AK156" s="114">
        <v>0</v>
      </c>
      <c r="AL156" s="114">
        <v>0</v>
      </c>
      <c r="AM156" s="114">
        <v>0</v>
      </c>
      <c r="AN156" s="114">
        <v>0</v>
      </c>
      <c r="AO156" s="114">
        <v>0</v>
      </c>
      <c r="AP156" s="114">
        <v>0</v>
      </c>
      <c r="AQ156" s="114">
        <v>0</v>
      </c>
      <c r="AR156" s="114">
        <v>0</v>
      </c>
      <c r="AS156" s="114">
        <v>0</v>
      </c>
      <c r="AT156" s="114">
        <v>0</v>
      </c>
      <c r="AU156" s="114">
        <v>0</v>
      </c>
      <c r="AV156" s="114">
        <v>0</v>
      </c>
      <c r="AW156" s="114">
        <v>0</v>
      </c>
      <c r="AX156" s="114">
        <v>0</v>
      </c>
      <c r="AY156" s="114">
        <v>0</v>
      </c>
    </row>
    <row r="157" spans="1:51" x14ac:dyDescent="0.2">
      <c r="A157" s="117"/>
      <c r="B157" s="135">
        <v>36</v>
      </c>
      <c r="C157" s="114"/>
      <c r="D157" s="114">
        <v>0</v>
      </c>
      <c r="E157" s="114">
        <v>0</v>
      </c>
      <c r="F157" s="114">
        <v>0</v>
      </c>
      <c r="G157" s="114">
        <v>0</v>
      </c>
      <c r="H157" s="114">
        <v>0</v>
      </c>
      <c r="I157" s="114">
        <v>0</v>
      </c>
      <c r="J157" s="114">
        <v>0</v>
      </c>
      <c r="K157" s="114">
        <v>0</v>
      </c>
      <c r="L157" s="114">
        <v>0</v>
      </c>
      <c r="M157" s="114">
        <v>0</v>
      </c>
      <c r="N157" s="114">
        <v>0</v>
      </c>
      <c r="O157" s="114">
        <v>0</v>
      </c>
      <c r="P157" s="114">
        <v>0</v>
      </c>
      <c r="Q157" s="114">
        <v>0</v>
      </c>
      <c r="R157" s="114">
        <v>0</v>
      </c>
      <c r="S157" s="114">
        <v>0</v>
      </c>
      <c r="T157" s="114">
        <v>0</v>
      </c>
      <c r="U157" s="114">
        <v>0</v>
      </c>
      <c r="V157" s="114">
        <v>0</v>
      </c>
      <c r="W157" s="114">
        <v>0</v>
      </c>
      <c r="X157" s="114">
        <v>0</v>
      </c>
      <c r="Y157" s="114">
        <v>0</v>
      </c>
      <c r="Z157" s="114">
        <v>0</v>
      </c>
      <c r="AA157" s="114">
        <v>0</v>
      </c>
      <c r="AB157" s="114">
        <v>0</v>
      </c>
      <c r="AC157" s="114">
        <v>0</v>
      </c>
      <c r="AD157" s="114">
        <v>0</v>
      </c>
      <c r="AE157" s="114">
        <v>0</v>
      </c>
      <c r="AF157" s="114">
        <v>0</v>
      </c>
      <c r="AG157" s="114">
        <v>0</v>
      </c>
      <c r="AH157" s="114">
        <v>0</v>
      </c>
      <c r="AI157" s="114">
        <v>0</v>
      </c>
      <c r="AJ157" s="114">
        <v>0</v>
      </c>
      <c r="AK157" s="114">
        <v>0</v>
      </c>
      <c r="AL157" s="114">
        <v>0</v>
      </c>
      <c r="AM157" s="114">
        <v>0</v>
      </c>
      <c r="AN157" s="114">
        <v>0</v>
      </c>
      <c r="AO157" s="114">
        <v>0</v>
      </c>
      <c r="AP157" s="114">
        <v>0</v>
      </c>
      <c r="AQ157" s="114">
        <v>0</v>
      </c>
      <c r="AR157" s="114">
        <v>0</v>
      </c>
      <c r="AS157" s="114">
        <v>0</v>
      </c>
      <c r="AT157" s="114">
        <v>0</v>
      </c>
      <c r="AU157" s="114">
        <v>0</v>
      </c>
      <c r="AV157" s="114">
        <v>0</v>
      </c>
      <c r="AW157" s="114">
        <v>0</v>
      </c>
      <c r="AX157" s="114">
        <v>0</v>
      </c>
      <c r="AY157" s="114">
        <v>0</v>
      </c>
    </row>
    <row r="158" spans="1:51" x14ac:dyDescent="0.2">
      <c r="A158" s="117"/>
      <c r="B158" s="138">
        <v>37</v>
      </c>
      <c r="C158" s="114"/>
      <c r="D158" s="114">
        <v>0</v>
      </c>
      <c r="E158" s="114">
        <v>0</v>
      </c>
      <c r="F158" s="114">
        <v>0</v>
      </c>
      <c r="G158" s="114">
        <v>0</v>
      </c>
      <c r="H158" s="114">
        <v>0</v>
      </c>
      <c r="I158" s="114">
        <v>0</v>
      </c>
      <c r="J158" s="114">
        <v>0</v>
      </c>
      <c r="K158" s="114">
        <v>0</v>
      </c>
      <c r="L158" s="114">
        <v>0</v>
      </c>
      <c r="M158" s="114">
        <v>0</v>
      </c>
      <c r="N158" s="114">
        <v>0</v>
      </c>
      <c r="O158" s="114">
        <v>0</v>
      </c>
      <c r="P158" s="114">
        <v>0</v>
      </c>
      <c r="Q158" s="114">
        <v>0</v>
      </c>
      <c r="R158" s="114">
        <v>0</v>
      </c>
      <c r="S158" s="114">
        <v>0</v>
      </c>
      <c r="T158" s="114">
        <v>0</v>
      </c>
      <c r="U158" s="114">
        <v>0</v>
      </c>
      <c r="V158" s="114">
        <v>0</v>
      </c>
      <c r="W158" s="114">
        <v>0</v>
      </c>
      <c r="X158" s="114">
        <v>0</v>
      </c>
      <c r="Y158" s="114">
        <v>0</v>
      </c>
      <c r="Z158" s="114">
        <v>0</v>
      </c>
      <c r="AA158" s="114">
        <v>0</v>
      </c>
      <c r="AB158" s="114">
        <v>0</v>
      </c>
      <c r="AC158" s="114">
        <v>0</v>
      </c>
      <c r="AD158" s="114">
        <v>0</v>
      </c>
      <c r="AE158" s="114">
        <v>0</v>
      </c>
      <c r="AF158" s="114">
        <v>0</v>
      </c>
      <c r="AG158" s="114">
        <v>0</v>
      </c>
      <c r="AH158" s="114">
        <v>0</v>
      </c>
      <c r="AI158" s="114">
        <v>0</v>
      </c>
      <c r="AJ158" s="114">
        <v>0</v>
      </c>
      <c r="AK158" s="114">
        <v>0</v>
      </c>
      <c r="AL158" s="114">
        <v>0</v>
      </c>
      <c r="AM158" s="114">
        <v>0</v>
      </c>
      <c r="AN158" s="114">
        <v>0</v>
      </c>
      <c r="AO158" s="114">
        <v>0</v>
      </c>
      <c r="AP158" s="114">
        <v>0</v>
      </c>
      <c r="AQ158" s="114">
        <v>0</v>
      </c>
      <c r="AR158" s="114">
        <v>0</v>
      </c>
      <c r="AS158" s="114">
        <v>0</v>
      </c>
      <c r="AT158" s="114">
        <v>0</v>
      </c>
      <c r="AU158" s="114">
        <v>0</v>
      </c>
      <c r="AV158" s="114">
        <v>0</v>
      </c>
      <c r="AW158" s="114">
        <v>0</v>
      </c>
      <c r="AX158" s="114">
        <v>0</v>
      </c>
      <c r="AY158" s="114">
        <v>0</v>
      </c>
    </row>
    <row r="159" spans="1:51" x14ac:dyDescent="0.2">
      <c r="A159" s="117"/>
      <c r="B159" s="138">
        <v>38</v>
      </c>
      <c r="C159" s="114"/>
      <c r="D159" s="114">
        <v>0</v>
      </c>
      <c r="E159" s="114">
        <v>0</v>
      </c>
      <c r="F159" s="114">
        <v>0</v>
      </c>
      <c r="G159" s="114">
        <v>0</v>
      </c>
      <c r="H159" s="114">
        <v>0</v>
      </c>
      <c r="I159" s="114">
        <v>0</v>
      </c>
      <c r="J159" s="114">
        <v>0</v>
      </c>
      <c r="K159" s="114">
        <v>0</v>
      </c>
      <c r="L159" s="114">
        <v>0</v>
      </c>
      <c r="M159" s="114">
        <v>0</v>
      </c>
      <c r="N159" s="114">
        <v>0</v>
      </c>
      <c r="O159" s="114">
        <v>0</v>
      </c>
      <c r="P159" s="114">
        <v>0</v>
      </c>
      <c r="Q159" s="114">
        <v>0</v>
      </c>
      <c r="R159" s="114">
        <v>0</v>
      </c>
      <c r="S159" s="114">
        <v>0</v>
      </c>
      <c r="T159" s="114">
        <v>0</v>
      </c>
      <c r="U159" s="114">
        <v>0</v>
      </c>
      <c r="V159" s="114">
        <v>0</v>
      </c>
      <c r="W159" s="114">
        <v>0</v>
      </c>
      <c r="X159" s="114">
        <v>0</v>
      </c>
      <c r="Y159" s="114">
        <v>0</v>
      </c>
      <c r="Z159" s="114">
        <v>0</v>
      </c>
      <c r="AA159" s="114">
        <v>0</v>
      </c>
      <c r="AB159" s="114">
        <v>0</v>
      </c>
      <c r="AC159" s="114">
        <v>0</v>
      </c>
      <c r="AD159" s="114">
        <v>0</v>
      </c>
      <c r="AE159" s="114">
        <v>0</v>
      </c>
      <c r="AF159" s="114">
        <v>0</v>
      </c>
      <c r="AG159" s="114">
        <v>0</v>
      </c>
      <c r="AH159" s="114">
        <v>0</v>
      </c>
      <c r="AI159" s="114">
        <v>0</v>
      </c>
      <c r="AJ159" s="114">
        <v>0</v>
      </c>
      <c r="AK159" s="114">
        <v>0</v>
      </c>
      <c r="AL159" s="114">
        <v>0</v>
      </c>
      <c r="AM159" s="114">
        <v>0</v>
      </c>
      <c r="AN159" s="114">
        <v>0</v>
      </c>
      <c r="AO159" s="114">
        <v>0</v>
      </c>
      <c r="AP159" s="114">
        <v>0</v>
      </c>
      <c r="AQ159" s="114">
        <v>0</v>
      </c>
      <c r="AR159" s="114">
        <v>0</v>
      </c>
      <c r="AS159" s="114">
        <v>0</v>
      </c>
      <c r="AT159" s="114">
        <v>0</v>
      </c>
      <c r="AU159" s="114">
        <v>0</v>
      </c>
      <c r="AV159" s="114">
        <v>0</v>
      </c>
      <c r="AW159" s="114">
        <v>0</v>
      </c>
      <c r="AX159" s="114">
        <v>0</v>
      </c>
      <c r="AY159" s="114">
        <v>0</v>
      </c>
    </row>
    <row r="160" spans="1:51" x14ac:dyDescent="0.2">
      <c r="A160" s="117"/>
      <c r="B160" s="138">
        <v>39</v>
      </c>
      <c r="C160" s="114"/>
      <c r="D160" s="114">
        <v>0</v>
      </c>
      <c r="E160" s="114">
        <v>0</v>
      </c>
      <c r="F160" s="114">
        <v>0</v>
      </c>
      <c r="G160" s="114">
        <v>0</v>
      </c>
      <c r="H160" s="114">
        <v>0</v>
      </c>
      <c r="I160" s="114">
        <v>0</v>
      </c>
      <c r="J160" s="114">
        <v>0</v>
      </c>
      <c r="K160" s="114">
        <v>0</v>
      </c>
      <c r="L160" s="114">
        <v>0</v>
      </c>
      <c r="M160" s="114">
        <v>0</v>
      </c>
      <c r="N160" s="114">
        <v>0</v>
      </c>
      <c r="O160" s="114">
        <v>0</v>
      </c>
      <c r="P160" s="114">
        <v>0</v>
      </c>
      <c r="Q160" s="114">
        <v>0</v>
      </c>
      <c r="R160" s="114">
        <v>0</v>
      </c>
      <c r="S160" s="114">
        <v>0</v>
      </c>
      <c r="T160" s="114">
        <v>0</v>
      </c>
      <c r="U160" s="114">
        <v>0</v>
      </c>
      <c r="V160" s="114">
        <v>0</v>
      </c>
      <c r="W160" s="114">
        <v>0</v>
      </c>
      <c r="X160" s="114">
        <v>0</v>
      </c>
      <c r="Y160" s="114">
        <v>0</v>
      </c>
      <c r="Z160" s="114">
        <v>0</v>
      </c>
      <c r="AA160" s="114">
        <v>0</v>
      </c>
      <c r="AB160" s="114">
        <v>0</v>
      </c>
      <c r="AC160" s="114">
        <v>0</v>
      </c>
      <c r="AD160" s="114">
        <v>0</v>
      </c>
      <c r="AE160" s="114">
        <v>0</v>
      </c>
      <c r="AF160" s="114">
        <v>0</v>
      </c>
      <c r="AG160" s="114">
        <v>0</v>
      </c>
      <c r="AH160" s="114">
        <v>0</v>
      </c>
      <c r="AI160" s="114">
        <v>0</v>
      </c>
      <c r="AJ160" s="114">
        <v>0</v>
      </c>
      <c r="AK160" s="114">
        <v>0</v>
      </c>
      <c r="AL160" s="114">
        <v>0</v>
      </c>
      <c r="AM160" s="114">
        <v>0</v>
      </c>
      <c r="AN160" s="114">
        <v>0</v>
      </c>
      <c r="AO160" s="114">
        <v>0</v>
      </c>
      <c r="AP160" s="114">
        <v>0</v>
      </c>
      <c r="AQ160" s="114">
        <v>0</v>
      </c>
      <c r="AR160" s="114">
        <v>0</v>
      </c>
      <c r="AS160" s="114">
        <v>0</v>
      </c>
      <c r="AT160" s="114">
        <v>0</v>
      </c>
      <c r="AU160" s="114">
        <v>0</v>
      </c>
      <c r="AV160" s="114">
        <v>0</v>
      </c>
      <c r="AW160" s="114">
        <v>0</v>
      </c>
      <c r="AX160" s="114">
        <v>0</v>
      </c>
      <c r="AY160" s="114">
        <v>0</v>
      </c>
    </row>
    <row r="161" spans="1:52" x14ac:dyDescent="0.2">
      <c r="A161" s="117"/>
      <c r="B161" s="138">
        <v>40</v>
      </c>
      <c r="C161" s="114"/>
      <c r="D161" s="114">
        <v>0</v>
      </c>
      <c r="E161" s="114">
        <v>0</v>
      </c>
      <c r="F161" s="114">
        <v>0</v>
      </c>
      <c r="G161" s="114">
        <v>0</v>
      </c>
      <c r="H161" s="114">
        <v>0</v>
      </c>
      <c r="I161" s="114">
        <v>0</v>
      </c>
      <c r="J161" s="114">
        <v>0</v>
      </c>
      <c r="K161" s="114">
        <v>0</v>
      </c>
      <c r="L161" s="114">
        <v>0</v>
      </c>
      <c r="M161" s="114">
        <v>0</v>
      </c>
      <c r="N161" s="114">
        <v>0</v>
      </c>
      <c r="O161" s="114">
        <v>0</v>
      </c>
      <c r="P161" s="114">
        <v>0</v>
      </c>
      <c r="Q161" s="114">
        <v>0</v>
      </c>
      <c r="R161" s="114">
        <v>0</v>
      </c>
      <c r="S161" s="114">
        <v>0</v>
      </c>
      <c r="T161" s="114">
        <v>0</v>
      </c>
      <c r="U161" s="114">
        <v>0</v>
      </c>
      <c r="V161" s="114">
        <v>0</v>
      </c>
      <c r="W161" s="114">
        <v>0</v>
      </c>
      <c r="X161" s="114">
        <v>0</v>
      </c>
      <c r="Y161" s="114">
        <v>0</v>
      </c>
      <c r="Z161" s="114">
        <v>0</v>
      </c>
      <c r="AA161" s="114">
        <v>0</v>
      </c>
      <c r="AB161" s="114">
        <v>0</v>
      </c>
      <c r="AC161" s="114">
        <v>0</v>
      </c>
      <c r="AD161" s="114">
        <v>0</v>
      </c>
      <c r="AE161" s="114">
        <v>0</v>
      </c>
      <c r="AF161" s="114">
        <v>0</v>
      </c>
      <c r="AG161" s="114">
        <v>0</v>
      </c>
      <c r="AH161" s="114">
        <v>0</v>
      </c>
      <c r="AI161" s="114">
        <v>0</v>
      </c>
      <c r="AJ161" s="114">
        <v>0</v>
      </c>
      <c r="AK161" s="114">
        <v>0</v>
      </c>
      <c r="AL161" s="114">
        <v>0</v>
      </c>
      <c r="AM161" s="114">
        <v>0</v>
      </c>
      <c r="AN161" s="114">
        <v>0</v>
      </c>
      <c r="AO161" s="114">
        <v>0</v>
      </c>
      <c r="AP161" s="114">
        <v>0</v>
      </c>
      <c r="AQ161" s="114">
        <v>0</v>
      </c>
      <c r="AR161" s="114">
        <v>0</v>
      </c>
      <c r="AS161" s="114">
        <v>0</v>
      </c>
      <c r="AT161" s="114">
        <v>0</v>
      </c>
      <c r="AU161" s="114">
        <v>0</v>
      </c>
      <c r="AV161" s="114">
        <v>0</v>
      </c>
      <c r="AW161" s="114">
        <v>0</v>
      </c>
      <c r="AX161" s="114">
        <v>0</v>
      </c>
      <c r="AY161" s="114">
        <v>0</v>
      </c>
    </row>
    <row r="162" spans="1:52" x14ac:dyDescent="0.2">
      <c r="A162" s="117"/>
      <c r="B162" s="138">
        <v>41</v>
      </c>
      <c r="C162" s="114"/>
      <c r="D162" s="114">
        <v>0</v>
      </c>
      <c r="E162" s="114">
        <v>0</v>
      </c>
      <c r="F162" s="114">
        <v>0</v>
      </c>
      <c r="G162" s="114">
        <v>0</v>
      </c>
      <c r="H162" s="114">
        <v>0</v>
      </c>
      <c r="I162" s="114">
        <v>0</v>
      </c>
      <c r="J162" s="114">
        <v>0</v>
      </c>
      <c r="K162" s="114">
        <v>0</v>
      </c>
      <c r="L162" s="114">
        <v>0</v>
      </c>
      <c r="M162" s="114">
        <v>0</v>
      </c>
      <c r="N162" s="114">
        <v>0</v>
      </c>
      <c r="O162" s="114">
        <v>0</v>
      </c>
      <c r="P162" s="114">
        <v>0</v>
      </c>
      <c r="Q162" s="114">
        <v>0</v>
      </c>
      <c r="R162" s="114">
        <v>0</v>
      </c>
      <c r="S162" s="114">
        <v>0</v>
      </c>
      <c r="T162" s="114">
        <v>0</v>
      </c>
      <c r="U162" s="114">
        <v>0</v>
      </c>
      <c r="V162" s="114">
        <v>0</v>
      </c>
      <c r="W162" s="114">
        <v>0</v>
      </c>
      <c r="X162" s="114">
        <v>0</v>
      </c>
      <c r="Y162" s="114">
        <v>0</v>
      </c>
      <c r="Z162" s="114">
        <v>0</v>
      </c>
      <c r="AA162" s="114">
        <v>0</v>
      </c>
      <c r="AB162" s="114">
        <v>0</v>
      </c>
      <c r="AC162" s="114">
        <v>0</v>
      </c>
      <c r="AD162" s="114">
        <v>0</v>
      </c>
      <c r="AE162" s="114">
        <v>0</v>
      </c>
      <c r="AF162" s="114">
        <v>0</v>
      </c>
      <c r="AG162" s="114">
        <v>0</v>
      </c>
      <c r="AH162" s="114">
        <v>0</v>
      </c>
      <c r="AI162" s="114">
        <v>0</v>
      </c>
      <c r="AJ162" s="114">
        <v>0</v>
      </c>
      <c r="AK162" s="114">
        <v>0</v>
      </c>
      <c r="AL162" s="114">
        <v>0</v>
      </c>
      <c r="AM162" s="114">
        <v>0</v>
      </c>
      <c r="AN162" s="114">
        <v>0</v>
      </c>
      <c r="AO162" s="114">
        <v>0</v>
      </c>
      <c r="AP162" s="114">
        <v>0</v>
      </c>
      <c r="AQ162" s="114">
        <v>0</v>
      </c>
      <c r="AR162" s="114">
        <v>0</v>
      </c>
      <c r="AS162" s="114">
        <v>0</v>
      </c>
      <c r="AT162" s="114">
        <v>0</v>
      </c>
      <c r="AU162" s="114">
        <v>0</v>
      </c>
      <c r="AV162" s="114">
        <v>0</v>
      </c>
      <c r="AW162" s="114">
        <v>0</v>
      </c>
      <c r="AX162" s="114">
        <v>0</v>
      </c>
      <c r="AY162" s="114">
        <v>0</v>
      </c>
    </row>
    <row r="163" spans="1:52" x14ac:dyDescent="0.2">
      <c r="A163" s="117"/>
      <c r="B163" s="138">
        <v>42</v>
      </c>
      <c r="C163" s="114"/>
      <c r="D163" s="114">
        <v>0</v>
      </c>
      <c r="E163" s="114">
        <v>0</v>
      </c>
      <c r="F163" s="114">
        <v>0</v>
      </c>
      <c r="G163" s="114">
        <v>0</v>
      </c>
      <c r="H163" s="114">
        <v>0</v>
      </c>
      <c r="I163" s="114">
        <v>0</v>
      </c>
      <c r="J163" s="114">
        <v>0</v>
      </c>
      <c r="K163" s="114">
        <v>0</v>
      </c>
      <c r="L163" s="114">
        <v>0</v>
      </c>
      <c r="M163" s="114">
        <v>0</v>
      </c>
      <c r="N163" s="114">
        <v>0</v>
      </c>
      <c r="O163" s="114">
        <v>0</v>
      </c>
      <c r="P163" s="114">
        <v>0</v>
      </c>
      <c r="Q163" s="114">
        <v>0</v>
      </c>
      <c r="R163" s="114">
        <v>0</v>
      </c>
      <c r="S163" s="114">
        <v>0</v>
      </c>
      <c r="T163" s="114">
        <v>0</v>
      </c>
      <c r="U163" s="114">
        <v>0</v>
      </c>
      <c r="V163" s="114">
        <v>0</v>
      </c>
      <c r="W163" s="114">
        <v>0</v>
      </c>
      <c r="X163" s="114">
        <v>0</v>
      </c>
      <c r="Y163" s="114">
        <v>0</v>
      </c>
      <c r="Z163" s="114">
        <v>0</v>
      </c>
      <c r="AA163" s="114">
        <v>0</v>
      </c>
      <c r="AB163" s="114">
        <v>0</v>
      </c>
      <c r="AC163" s="114">
        <v>0</v>
      </c>
      <c r="AD163" s="114">
        <v>0</v>
      </c>
      <c r="AE163" s="114">
        <v>0</v>
      </c>
      <c r="AF163" s="114">
        <v>0</v>
      </c>
      <c r="AG163" s="114">
        <v>0</v>
      </c>
      <c r="AH163" s="114">
        <v>0</v>
      </c>
      <c r="AI163" s="114">
        <v>0</v>
      </c>
      <c r="AJ163" s="114">
        <v>0</v>
      </c>
      <c r="AK163" s="114">
        <v>0</v>
      </c>
      <c r="AL163" s="114">
        <v>0</v>
      </c>
      <c r="AM163" s="114">
        <v>0</v>
      </c>
      <c r="AN163" s="114">
        <v>0</v>
      </c>
      <c r="AO163" s="114">
        <v>0</v>
      </c>
      <c r="AP163" s="114">
        <v>0</v>
      </c>
      <c r="AQ163" s="114">
        <v>0</v>
      </c>
      <c r="AR163" s="114">
        <v>0</v>
      </c>
      <c r="AS163" s="114">
        <v>0</v>
      </c>
      <c r="AT163" s="114">
        <v>0</v>
      </c>
      <c r="AU163" s="114">
        <v>0</v>
      </c>
      <c r="AV163" s="114">
        <v>0</v>
      </c>
      <c r="AW163" s="114">
        <v>0</v>
      </c>
      <c r="AX163" s="114">
        <v>0</v>
      </c>
      <c r="AY163" s="114">
        <v>0</v>
      </c>
    </row>
    <row r="164" spans="1:52" x14ac:dyDescent="0.2">
      <c r="A164" s="117"/>
      <c r="B164" s="138">
        <v>43</v>
      </c>
      <c r="C164" s="114"/>
      <c r="D164" s="114">
        <v>0</v>
      </c>
      <c r="E164" s="114">
        <v>0</v>
      </c>
      <c r="F164" s="114">
        <v>0</v>
      </c>
      <c r="G164" s="114">
        <v>0</v>
      </c>
      <c r="H164" s="114">
        <v>0</v>
      </c>
      <c r="I164" s="114">
        <v>0</v>
      </c>
      <c r="J164" s="114">
        <v>0</v>
      </c>
      <c r="K164" s="114">
        <v>0</v>
      </c>
      <c r="L164" s="114">
        <v>0</v>
      </c>
      <c r="M164" s="114">
        <v>0</v>
      </c>
      <c r="N164" s="114">
        <v>0</v>
      </c>
      <c r="O164" s="114">
        <v>0</v>
      </c>
      <c r="P164" s="114">
        <v>0</v>
      </c>
      <c r="Q164" s="114">
        <v>0</v>
      </c>
      <c r="R164" s="114">
        <v>0</v>
      </c>
      <c r="S164" s="114">
        <v>0</v>
      </c>
      <c r="T164" s="114">
        <v>0</v>
      </c>
      <c r="U164" s="114">
        <v>0</v>
      </c>
      <c r="V164" s="114">
        <v>0</v>
      </c>
      <c r="W164" s="114">
        <v>0</v>
      </c>
      <c r="X164" s="114">
        <v>0</v>
      </c>
      <c r="Y164" s="114">
        <v>0</v>
      </c>
      <c r="Z164" s="114">
        <v>0</v>
      </c>
      <c r="AA164" s="114">
        <v>0</v>
      </c>
      <c r="AB164" s="114">
        <v>0</v>
      </c>
      <c r="AC164" s="114">
        <v>0</v>
      </c>
      <c r="AD164" s="114">
        <v>0</v>
      </c>
      <c r="AE164" s="114">
        <v>0</v>
      </c>
      <c r="AF164" s="114">
        <v>0</v>
      </c>
      <c r="AG164" s="114">
        <v>0</v>
      </c>
      <c r="AH164" s="114">
        <v>0</v>
      </c>
      <c r="AI164" s="114">
        <v>0</v>
      </c>
      <c r="AJ164" s="114">
        <v>0</v>
      </c>
      <c r="AK164" s="114">
        <v>0</v>
      </c>
      <c r="AL164" s="114">
        <v>0</v>
      </c>
      <c r="AM164" s="114">
        <v>0</v>
      </c>
      <c r="AN164" s="114">
        <v>0</v>
      </c>
      <c r="AO164" s="114">
        <v>0</v>
      </c>
      <c r="AP164" s="114">
        <v>0</v>
      </c>
      <c r="AQ164" s="114">
        <v>0</v>
      </c>
      <c r="AR164" s="114">
        <v>0</v>
      </c>
      <c r="AS164" s="114">
        <v>0</v>
      </c>
      <c r="AT164" s="114">
        <v>0</v>
      </c>
      <c r="AU164" s="114">
        <v>0</v>
      </c>
      <c r="AV164" s="114">
        <v>0</v>
      </c>
      <c r="AW164" s="114">
        <v>0</v>
      </c>
      <c r="AX164" s="114">
        <v>0</v>
      </c>
      <c r="AY164" s="114">
        <v>0</v>
      </c>
    </row>
    <row r="165" spans="1:52" x14ac:dyDescent="0.2">
      <c r="A165" s="117"/>
      <c r="B165" s="138">
        <v>44</v>
      </c>
      <c r="C165" s="114"/>
      <c r="D165" s="114">
        <v>0</v>
      </c>
      <c r="E165" s="114">
        <v>0</v>
      </c>
      <c r="F165" s="114">
        <v>0</v>
      </c>
      <c r="G165" s="114">
        <v>0</v>
      </c>
      <c r="H165" s="114">
        <v>0</v>
      </c>
      <c r="I165" s="114">
        <v>0</v>
      </c>
      <c r="J165" s="114">
        <v>0</v>
      </c>
      <c r="K165" s="114">
        <v>0</v>
      </c>
      <c r="L165" s="114">
        <v>0</v>
      </c>
      <c r="M165" s="114">
        <v>0</v>
      </c>
      <c r="N165" s="114">
        <v>0</v>
      </c>
      <c r="O165" s="114">
        <v>0</v>
      </c>
      <c r="P165" s="114">
        <v>0</v>
      </c>
      <c r="Q165" s="114">
        <v>0</v>
      </c>
      <c r="R165" s="114">
        <v>0</v>
      </c>
      <c r="S165" s="114">
        <v>0</v>
      </c>
      <c r="T165" s="114">
        <v>0</v>
      </c>
      <c r="U165" s="114">
        <v>0</v>
      </c>
      <c r="V165" s="114">
        <v>0</v>
      </c>
      <c r="W165" s="114">
        <v>0</v>
      </c>
      <c r="X165" s="114">
        <v>0</v>
      </c>
      <c r="Y165" s="114">
        <v>0</v>
      </c>
      <c r="Z165" s="114">
        <v>0</v>
      </c>
      <c r="AA165" s="114">
        <v>0</v>
      </c>
      <c r="AB165" s="114">
        <v>0</v>
      </c>
      <c r="AC165" s="114">
        <v>0</v>
      </c>
      <c r="AD165" s="114">
        <v>0</v>
      </c>
      <c r="AE165" s="114">
        <v>0</v>
      </c>
      <c r="AF165" s="114">
        <v>0</v>
      </c>
      <c r="AG165" s="114">
        <v>0</v>
      </c>
      <c r="AH165" s="114">
        <v>0</v>
      </c>
      <c r="AI165" s="114">
        <v>0</v>
      </c>
      <c r="AJ165" s="114">
        <v>0</v>
      </c>
      <c r="AK165" s="114">
        <v>0</v>
      </c>
      <c r="AL165" s="114">
        <v>0</v>
      </c>
      <c r="AM165" s="114">
        <v>0</v>
      </c>
      <c r="AN165" s="114">
        <v>0</v>
      </c>
      <c r="AO165" s="114">
        <v>0</v>
      </c>
      <c r="AP165" s="114">
        <v>0</v>
      </c>
      <c r="AQ165" s="114">
        <v>0</v>
      </c>
      <c r="AR165" s="114">
        <v>0</v>
      </c>
      <c r="AS165" s="114">
        <v>0</v>
      </c>
      <c r="AT165" s="114">
        <v>0</v>
      </c>
      <c r="AU165" s="114">
        <v>0</v>
      </c>
      <c r="AV165" s="114">
        <v>0</v>
      </c>
      <c r="AW165" s="114">
        <v>0</v>
      </c>
      <c r="AX165" s="114">
        <v>0</v>
      </c>
      <c r="AY165" s="114">
        <v>0</v>
      </c>
    </row>
    <row r="166" spans="1:52" x14ac:dyDescent="0.2">
      <c r="A166" s="117"/>
      <c r="B166" s="138">
        <v>45</v>
      </c>
      <c r="C166" s="114"/>
      <c r="D166" s="114">
        <v>0</v>
      </c>
      <c r="E166" s="114">
        <v>0</v>
      </c>
      <c r="F166" s="114">
        <v>0</v>
      </c>
      <c r="G166" s="114">
        <v>0</v>
      </c>
      <c r="H166" s="114">
        <v>0</v>
      </c>
      <c r="I166" s="114">
        <v>0</v>
      </c>
      <c r="J166" s="114">
        <v>0</v>
      </c>
      <c r="K166" s="114">
        <v>0</v>
      </c>
      <c r="L166" s="114">
        <v>0</v>
      </c>
      <c r="M166" s="114">
        <v>0</v>
      </c>
      <c r="N166" s="114">
        <v>0</v>
      </c>
      <c r="O166" s="114">
        <v>0</v>
      </c>
      <c r="P166" s="114">
        <v>0</v>
      </c>
      <c r="Q166" s="114">
        <v>0</v>
      </c>
      <c r="R166" s="114">
        <v>0</v>
      </c>
      <c r="S166" s="114">
        <v>0</v>
      </c>
      <c r="T166" s="114">
        <v>0</v>
      </c>
      <c r="U166" s="114">
        <v>0</v>
      </c>
      <c r="V166" s="114">
        <v>0</v>
      </c>
      <c r="W166" s="114">
        <v>0</v>
      </c>
      <c r="X166" s="114">
        <v>0</v>
      </c>
      <c r="Y166" s="114">
        <v>0</v>
      </c>
      <c r="Z166" s="114">
        <v>0</v>
      </c>
      <c r="AA166" s="114">
        <v>0</v>
      </c>
      <c r="AB166" s="114">
        <v>0</v>
      </c>
      <c r="AC166" s="114">
        <v>0</v>
      </c>
      <c r="AD166" s="114">
        <v>0</v>
      </c>
      <c r="AE166" s="114">
        <v>0</v>
      </c>
      <c r="AF166" s="114">
        <v>0</v>
      </c>
      <c r="AG166" s="114">
        <v>0</v>
      </c>
      <c r="AH166" s="114">
        <v>0</v>
      </c>
      <c r="AI166" s="114">
        <v>0</v>
      </c>
      <c r="AJ166" s="114">
        <v>0</v>
      </c>
      <c r="AK166" s="114">
        <v>0</v>
      </c>
      <c r="AL166" s="114">
        <v>0</v>
      </c>
      <c r="AM166" s="114">
        <v>0</v>
      </c>
      <c r="AN166" s="114">
        <v>0</v>
      </c>
      <c r="AO166" s="114">
        <v>0</v>
      </c>
      <c r="AP166" s="114">
        <v>0</v>
      </c>
      <c r="AQ166" s="114">
        <v>0</v>
      </c>
      <c r="AR166" s="114">
        <v>0</v>
      </c>
      <c r="AS166" s="114">
        <v>0</v>
      </c>
      <c r="AT166" s="114">
        <v>0</v>
      </c>
      <c r="AU166" s="114">
        <v>0</v>
      </c>
      <c r="AV166" s="114">
        <v>0</v>
      </c>
      <c r="AW166" s="114">
        <v>0</v>
      </c>
      <c r="AX166" s="114">
        <v>0</v>
      </c>
      <c r="AY166" s="114">
        <v>0</v>
      </c>
    </row>
    <row r="167" spans="1:52" x14ac:dyDescent="0.2">
      <c r="A167" s="117"/>
      <c r="B167" s="138">
        <v>46</v>
      </c>
      <c r="C167" s="114"/>
      <c r="D167" s="114">
        <v>0</v>
      </c>
      <c r="E167" s="114">
        <v>0</v>
      </c>
      <c r="F167" s="114">
        <v>0</v>
      </c>
      <c r="G167" s="114">
        <v>0</v>
      </c>
      <c r="H167" s="114">
        <v>0</v>
      </c>
      <c r="I167" s="114">
        <v>0</v>
      </c>
      <c r="J167" s="114">
        <v>0</v>
      </c>
      <c r="K167" s="114">
        <v>0</v>
      </c>
      <c r="L167" s="114">
        <v>0</v>
      </c>
      <c r="M167" s="114">
        <v>0</v>
      </c>
      <c r="N167" s="114">
        <v>0</v>
      </c>
      <c r="O167" s="114">
        <v>0</v>
      </c>
      <c r="P167" s="114">
        <v>0</v>
      </c>
      <c r="Q167" s="114">
        <v>0</v>
      </c>
      <c r="R167" s="114">
        <v>0</v>
      </c>
      <c r="S167" s="114">
        <v>0</v>
      </c>
      <c r="T167" s="114">
        <v>0</v>
      </c>
      <c r="U167" s="114">
        <v>0</v>
      </c>
      <c r="V167" s="114">
        <v>0</v>
      </c>
      <c r="W167" s="114">
        <v>0</v>
      </c>
      <c r="X167" s="114">
        <v>0</v>
      </c>
      <c r="Y167" s="114">
        <v>0</v>
      </c>
      <c r="Z167" s="114">
        <v>0</v>
      </c>
      <c r="AA167" s="114">
        <v>0</v>
      </c>
      <c r="AB167" s="114">
        <v>0</v>
      </c>
      <c r="AC167" s="114">
        <v>0</v>
      </c>
      <c r="AD167" s="114">
        <v>0</v>
      </c>
      <c r="AE167" s="114">
        <v>0</v>
      </c>
      <c r="AF167" s="114">
        <v>0</v>
      </c>
      <c r="AG167" s="114">
        <v>0</v>
      </c>
      <c r="AH167" s="114">
        <v>0</v>
      </c>
      <c r="AI167" s="114">
        <v>0</v>
      </c>
      <c r="AJ167" s="114">
        <v>0</v>
      </c>
      <c r="AK167" s="114">
        <v>0</v>
      </c>
      <c r="AL167" s="114">
        <v>0</v>
      </c>
      <c r="AM167" s="114">
        <v>0</v>
      </c>
      <c r="AN167" s="114">
        <v>0</v>
      </c>
      <c r="AO167" s="114">
        <v>0</v>
      </c>
      <c r="AP167" s="114">
        <v>0</v>
      </c>
      <c r="AQ167" s="114">
        <v>0</v>
      </c>
      <c r="AR167" s="114">
        <v>0</v>
      </c>
      <c r="AS167" s="114">
        <v>0</v>
      </c>
      <c r="AT167" s="114">
        <v>0</v>
      </c>
      <c r="AU167" s="114">
        <v>0</v>
      </c>
      <c r="AV167" s="114">
        <v>0</v>
      </c>
      <c r="AW167" s="114">
        <v>0</v>
      </c>
      <c r="AX167" s="114">
        <v>0</v>
      </c>
      <c r="AY167" s="114">
        <v>0</v>
      </c>
    </row>
    <row r="168" spans="1:52" x14ac:dyDescent="0.2">
      <c r="A168" s="117"/>
      <c r="B168" s="138">
        <v>47</v>
      </c>
      <c r="C168" s="114"/>
      <c r="D168" s="114">
        <v>0</v>
      </c>
      <c r="E168" s="114">
        <v>0</v>
      </c>
      <c r="F168" s="114">
        <v>0</v>
      </c>
      <c r="G168" s="114">
        <v>0</v>
      </c>
      <c r="H168" s="114">
        <v>0</v>
      </c>
      <c r="I168" s="114">
        <v>0</v>
      </c>
      <c r="J168" s="114">
        <v>0</v>
      </c>
      <c r="K168" s="114">
        <v>0</v>
      </c>
      <c r="L168" s="114">
        <v>0</v>
      </c>
      <c r="M168" s="114">
        <v>0</v>
      </c>
      <c r="N168" s="114">
        <v>0</v>
      </c>
      <c r="O168" s="114">
        <v>0</v>
      </c>
      <c r="P168" s="114">
        <v>0</v>
      </c>
      <c r="Q168" s="114">
        <v>0</v>
      </c>
      <c r="R168" s="114">
        <v>0</v>
      </c>
      <c r="S168" s="114">
        <v>0</v>
      </c>
      <c r="T168" s="114">
        <v>0</v>
      </c>
      <c r="U168" s="114">
        <v>0</v>
      </c>
      <c r="V168" s="114">
        <v>0</v>
      </c>
      <c r="W168" s="114">
        <v>0</v>
      </c>
      <c r="X168" s="114">
        <v>0</v>
      </c>
      <c r="Y168" s="114">
        <v>0</v>
      </c>
      <c r="Z168" s="114">
        <v>0</v>
      </c>
      <c r="AA168" s="114">
        <v>0</v>
      </c>
      <c r="AB168" s="114">
        <v>0</v>
      </c>
      <c r="AC168" s="114">
        <v>0</v>
      </c>
      <c r="AD168" s="114">
        <v>0</v>
      </c>
      <c r="AE168" s="114">
        <v>0</v>
      </c>
      <c r="AF168" s="114">
        <v>0</v>
      </c>
      <c r="AG168" s="114">
        <v>0</v>
      </c>
      <c r="AH168" s="114">
        <v>0</v>
      </c>
      <c r="AI168" s="114">
        <v>0</v>
      </c>
      <c r="AJ168" s="114">
        <v>0</v>
      </c>
      <c r="AK168" s="114">
        <v>0</v>
      </c>
      <c r="AL168" s="114">
        <v>0</v>
      </c>
      <c r="AM168" s="114">
        <v>0</v>
      </c>
      <c r="AN168" s="114">
        <v>0</v>
      </c>
      <c r="AO168" s="114">
        <v>0</v>
      </c>
      <c r="AP168" s="114">
        <v>0</v>
      </c>
      <c r="AQ168" s="114">
        <v>0</v>
      </c>
      <c r="AR168" s="114">
        <v>0</v>
      </c>
      <c r="AS168" s="114">
        <v>0</v>
      </c>
      <c r="AT168" s="114">
        <v>0</v>
      </c>
      <c r="AU168" s="114">
        <v>0</v>
      </c>
      <c r="AV168" s="114">
        <v>0</v>
      </c>
      <c r="AW168" s="114">
        <v>0</v>
      </c>
      <c r="AX168" s="114">
        <v>0</v>
      </c>
      <c r="AY168" s="114">
        <v>0</v>
      </c>
    </row>
    <row r="169" spans="1:52" x14ac:dyDescent="0.2">
      <c r="A169" s="117"/>
      <c r="B169" s="138">
        <v>48</v>
      </c>
      <c r="C169" s="114"/>
      <c r="D169" s="114">
        <v>0</v>
      </c>
      <c r="E169" s="114">
        <v>0</v>
      </c>
      <c r="F169" s="114">
        <v>0</v>
      </c>
      <c r="G169" s="114">
        <v>0</v>
      </c>
      <c r="H169" s="114">
        <v>0</v>
      </c>
      <c r="I169" s="114">
        <v>0</v>
      </c>
      <c r="J169" s="114">
        <v>0</v>
      </c>
      <c r="K169" s="114">
        <v>0</v>
      </c>
      <c r="L169" s="114">
        <v>0</v>
      </c>
      <c r="M169" s="114">
        <v>0</v>
      </c>
      <c r="N169" s="114">
        <v>0</v>
      </c>
      <c r="O169" s="114">
        <v>0</v>
      </c>
      <c r="P169" s="114">
        <v>0</v>
      </c>
      <c r="Q169" s="114">
        <v>0</v>
      </c>
      <c r="R169" s="114">
        <v>0</v>
      </c>
      <c r="S169" s="114">
        <v>0</v>
      </c>
      <c r="T169" s="114">
        <v>0</v>
      </c>
      <c r="U169" s="114">
        <v>0</v>
      </c>
      <c r="V169" s="114">
        <v>0</v>
      </c>
      <c r="W169" s="114">
        <v>0</v>
      </c>
      <c r="X169" s="114">
        <v>0</v>
      </c>
      <c r="Y169" s="114">
        <v>0</v>
      </c>
      <c r="Z169" s="114">
        <v>0</v>
      </c>
      <c r="AA169" s="114">
        <v>0</v>
      </c>
      <c r="AB169" s="114">
        <v>0</v>
      </c>
      <c r="AC169" s="114">
        <v>0</v>
      </c>
      <c r="AD169" s="114">
        <v>0</v>
      </c>
      <c r="AE169" s="114">
        <v>0</v>
      </c>
      <c r="AF169" s="114">
        <v>0</v>
      </c>
      <c r="AG169" s="114">
        <v>0</v>
      </c>
      <c r="AH169" s="114">
        <v>0</v>
      </c>
      <c r="AI169" s="114">
        <v>0</v>
      </c>
      <c r="AJ169" s="114">
        <v>0</v>
      </c>
      <c r="AK169" s="114">
        <v>0</v>
      </c>
      <c r="AL169" s="114">
        <v>0</v>
      </c>
      <c r="AM169" s="114">
        <v>0</v>
      </c>
      <c r="AN169" s="114">
        <v>0</v>
      </c>
      <c r="AO169" s="114">
        <v>0</v>
      </c>
      <c r="AP169" s="114">
        <v>0</v>
      </c>
      <c r="AQ169" s="114">
        <v>0</v>
      </c>
      <c r="AR169" s="114">
        <v>0</v>
      </c>
      <c r="AS169" s="114">
        <v>0</v>
      </c>
      <c r="AT169" s="114">
        <v>0</v>
      </c>
      <c r="AU169" s="114">
        <v>0</v>
      </c>
      <c r="AV169" s="114">
        <v>0</v>
      </c>
      <c r="AW169" s="114">
        <v>0</v>
      </c>
      <c r="AX169" s="114">
        <v>0</v>
      </c>
      <c r="AY169" s="114">
        <v>0</v>
      </c>
    </row>
    <row r="170" spans="1:52" x14ac:dyDescent="0.2">
      <c r="A170" s="136"/>
      <c r="B170" s="140" t="s">
        <v>295</v>
      </c>
      <c r="C170" s="122"/>
      <c r="D170" s="133">
        <v>0</v>
      </c>
      <c r="E170" s="133">
        <v>0</v>
      </c>
      <c r="F170" s="133">
        <v>0</v>
      </c>
      <c r="G170" s="133">
        <v>0</v>
      </c>
      <c r="H170" s="133">
        <v>0</v>
      </c>
      <c r="I170" s="133">
        <v>0</v>
      </c>
      <c r="J170" s="133">
        <v>0</v>
      </c>
      <c r="K170" s="133">
        <v>0</v>
      </c>
      <c r="L170" s="133">
        <v>0</v>
      </c>
      <c r="M170" s="133">
        <v>0</v>
      </c>
      <c r="N170" s="133">
        <v>0</v>
      </c>
      <c r="O170" s="133">
        <v>0</v>
      </c>
      <c r="P170" s="133">
        <v>0</v>
      </c>
      <c r="Q170" s="133">
        <v>0</v>
      </c>
      <c r="R170" s="133">
        <v>0</v>
      </c>
      <c r="S170" s="133">
        <v>0</v>
      </c>
      <c r="T170" s="133">
        <v>0</v>
      </c>
      <c r="U170" s="133">
        <v>0</v>
      </c>
      <c r="V170" s="133">
        <v>0</v>
      </c>
      <c r="W170" s="133">
        <v>0</v>
      </c>
      <c r="X170" s="133">
        <v>0</v>
      </c>
      <c r="Y170" s="133">
        <v>0</v>
      </c>
      <c r="Z170" s="133">
        <v>0</v>
      </c>
      <c r="AA170" s="133">
        <v>0</v>
      </c>
      <c r="AB170" s="133">
        <v>0</v>
      </c>
      <c r="AC170" s="133">
        <v>0</v>
      </c>
      <c r="AD170" s="133">
        <v>0</v>
      </c>
      <c r="AE170" s="133">
        <v>0</v>
      </c>
      <c r="AF170" s="133">
        <v>0</v>
      </c>
      <c r="AG170" s="133">
        <v>0</v>
      </c>
      <c r="AH170" s="133">
        <v>0</v>
      </c>
      <c r="AI170" s="133">
        <v>0</v>
      </c>
      <c r="AJ170" s="133">
        <v>0</v>
      </c>
      <c r="AK170" s="133">
        <v>0</v>
      </c>
      <c r="AL170" s="133">
        <v>0</v>
      </c>
      <c r="AM170" s="133">
        <v>0</v>
      </c>
      <c r="AN170" s="133">
        <v>0</v>
      </c>
      <c r="AO170" s="133">
        <v>0</v>
      </c>
      <c r="AP170" s="133">
        <v>0</v>
      </c>
      <c r="AQ170" s="133">
        <v>0</v>
      </c>
      <c r="AR170" s="133">
        <v>0</v>
      </c>
      <c r="AS170" s="133">
        <v>0</v>
      </c>
      <c r="AT170" s="133">
        <v>0</v>
      </c>
      <c r="AU170" s="133">
        <v>0</v>
      </c>
      <c r="AV170" s="133">
        <v>0</v>
      </c>
      <c r="AW170" s="133">
        <v>0</v>
      </c>
      <c r="AX170" s="133">
        <v>0</v>
      </c>
      <c r="AY170" s="133">
        <v>0</v>
      </c>
      <c r="AZ170" s="115">
        <f>SUM($D170:$AY170)</f>
        <v>0</v>
      </c>
    </row>
    <row r="172" spans="1:52" x14ac:dyDescent="0.2">
      <c r="A172" s="110" t="s">
        <v>124</v>
      </c>
      <c r="B172" s="141" t="s">
        <v>296</v>
      </c>
      <c r="C172" s="142"/>
      <c r="D172" s="142">
        <v>0.2</v>
      </c>
      <c r="E172" s="142">
        <v>0.2</v>
      </c>
      <c r="F172" s="142">
        <v>0.2</v>
      </c>
      <c r="G172" s="142">
        <v>0.2</v>
      </c>
      <c r="H172" s="142">
        <v>0.3</v>
      </c>
      <c r="I172" s="142">
        <v>0.3</v>
      </c>
      <c r="J172" s="142">
        <v>0.3</v>
      </c>
      <c r="K172" s="142">
        <v>0.3</v>
      </c>
      <c r="L172" s="142">
        <v>0.4</v>
      </c>
      <c r="M172" s="142">
        <v>0.4</v>
      </c>
      <c r="N172" s="142">
        <v>0.4</v>
      </c>
      <c r="O172" s="142">
        <v>0.4</v>
      </c>
      <c r="P172" s="142">
        <v>0.2</v>
      </c>
      <c r="Q172" s="142">
        <v>0.2</v>
      </c>
      <c r="R172" s="142">
        <v>0.2</v>
      </c>
      <c r="S172" s="142">
        <v>0.2</v>
      </c>
      <c r="T172" s="142">
        <v>0.3</v>
      </c>
      <c r="U172" s="142">
        <v>0.3</v>
      </c>
      <c r="V172" s="142">
        <v>0.3</v>
      </c>
      <c r="W172" s="142">
        <v>0.3</v>
      </c>
      <c r="X172" s="142">
        <v>0.4</v>
      </c>
      <c r="Y172" s="142">
        <v>0.4</v>
      </c>
      <c r="Z172" s="142">
        <v>0.4</v>
      </c>
      <c r="AA172" s="142">
        <v>0.4</v>
      </c>
      <c r="AB172" s="142">
        <v>0.2</v>
      </c>
      <c r="AC172" s="142">
        <v>0.2</v>
      </c>
      <c r="AD172" s="142">
        <v>0.2</v>
      </c>
      <c r="AE172" s="142">
        <v>0.2</v>
      </c>
      <c r="AF172" s="142">
        <v>0.3</v>
      </c>
      <c r="AG172" s="142">
        <v>0.3</v>
      </c>
      <c r="AH172" s="142">
        <v>0.3</v>
      </c>
      <c r="AI172" s="142">
        <v>0.3</v>
      </c>
      <c r="AJ172" s="142">
        <v>0.4</v>
      </c>
      <c r="AK172" s="142">
        <v>0.4</v>
      </c>
      <c r="AL172" s="142">
        <v>0.4</v>
      </c>
      <c r="AM172" s="142">
        <v>0.4</v>
      </c>
      <c r="AN172" s="142">
        <v>0.2</v>
      </c>
      <c r="AO172" s="142">
        <v>0.2</v>
      </c>
      <c r="AP172" s="142">
        <v>0.2</v>
      </c>
      <c r="AQ172" s="142">
        <v>0.2</v>
      </c>
      <c r="AR172" s="142">
        <v>0.3</v>
      </c>
      <c r="AS172" s="142">
        <v>0.3</v>
      </c>
      <c r="AT172" s="142">
        <v>0.3</v>
      </c>
      <c r="AU172" s="142">
        <v>0.3</v>
      </c>
      <c r="AV172" s="142">
        <v>0.4</v>
      </c>
      <c r="AW172" s="142">
        <v>0.4</v>
      </c>
      <c r="AX172" s="142">
        <v>0.4</v>
      </c>
      <c r="AY172" s="142">
        <v>0.4</v>
      </c>
    </row>
    <row r="174" spans="1:52" x14ac:dyDescent="0.2">
      <c r="A174" s="110" t="s">
        <v>271</v>
      </c>
    </row>
    <row r="175" spans="1:52" x14ac:dyDescent="0.2">
      <c r="A175" s="143" t="s">
        <v>125</v>
      </c>
      <c r="B175" s="143" t="s">
        <v>297</v>
      </c>
      <c r="C175" s="132" t="s">
        <v>292</v>
      </c>
      <c r="D175" s="132">
        <f t="shared" ref="D175:AY175" si="1">SUM(D95:D98)</f>
        <v>3334.0000000000005</v>
      </c>
      <c r="E175" s="132">
        <f t="shared" si="1"/>
        <v>5835.0000000000009</v>
      </c>
      <c r="F175" s="132">
        <f t="shared" si="1"/>
        <v>8480.0000000000018</v>
      </c>
      <c r="G175" s="132">
        <f t="shared" si="1"/>
        <v>10942.000000000002</v>
      </c>
      <c r="H175" s="132">
        <f t="shared" si="1"/>
        <v>13336.000000000002</v>
      </c>
      <c r="I175" s="132">
        <f t="shared" si="1"/>
        <v>13336.000000000002</v>
      </c>
      <c r="J175" s="132">
        <f t="shared" si="1"/>
        <v>13336.000000000002</v>
      </c>
      <c r="K175" s="132">
        <f t="shared" si="1"/>
        <v>13336.000000000002</v>
      </c>
      <c r="L175" s="132">
        <f t="shared" si="1"/>
        <v>13336.000000000002</v>
      </c>
      <c r="M175" s="132">
        <f t="shared" si="1"/>
        <v>10292.000000000004</v>
      </c>
      <c r="N175" s="132">
        <f t="shared" si="1"/>
        <v>6670.0000000000027</v>
      </c>
      <c r="O175" s="132">
        <f t="shared" si="1"/>
        <v>3560.0000000000032</v>
      </c>
      <c r="P175" s="132">
        <f t="shared" si="1"/>
        <v>3334.0000000000005</v>
      </c>
      <c r="Q175" s="132">
        <f t="shared" si="1"/>
        <v>3739.0000000000009</v>
      </c>
      <c r="R175" s="132">
        <f t="shared" si="1"/>
        <v>4785.0000000000018</v>
      </c>
      <c r="S175" s="132">
        <f t="shared" si="1"/>
        <v>5748.0000000000018</v>
      </c>
      <c r="T175" s="132">
        <f t="shared" si="1"/>
        <v>6852.0000000000018</v>
      </c>
      <c r="U175" s="132">
        <f t="shared" si="1"/>
        <v>8407.0000000000036</v>
      </c>
      <c r="V175" s="132">
        <f t="shared" si="1"/>
        <v>10116.000000000004</v>
      </c>
      <c r="W175" s="132">
        <f t="shared" si="1"/>
        <v>11944.000000000004</v>
      </c>
      <c r="X175" s="132">
        <f t="shared" si="1"/>
        <v>13336.000000000002</v>
      </c>
      <c r="Y175" s="132">
        <f t="shared" si="1"/>
        <v>13336.000000000002</v>
      </c>
      <c r="Z175" s="132">
        <f t="shared" si="1"/>
        <v>13336.000000000002</v>
      </c>
      <c r="AA175" s="132">
        <f t="shared" si="1"/>
        <v>13336.000000000002</v>
      </c>
      <c r="AB175" s="132">
        <f t="shared" si="1"/>
        <v>13336.000000000002</v>
      </c>
      <c r="AC175" s="132">
        <f t="shared" si="1"/>
        <v>13336.000000000002</v>
      </c>
      <c r="AD175" s="132">
        <f t="shared" si="1"/>
        <v>13336.000000000002</v>
      </c>
      <c r="AE175" s="132">
        <f t="shared" si="1"/>
        <v>13336.000000000002</v>
      </c>
      <c r="AF175" s="132">
        <f t="shared" si="1"/>
        <v>13336.000000000002</v>
      </c>
      <c r="AG175" s="132">
        <f t="shared" si="1"/>
        <v>13336.000000000002</v>
      </c>
      <c r="AH175" s="132">
        <f t="shared" si="1"/>
        <v>13336.000000000002</v>
      </c>
      <c r="AI175" s="132">
        <f t="shared" si="1"/>
        <v>13336.000000000002</v>
      </c>
      <c r="AJ175" s="132">
        <f t="shared" si="1"/>
        <v>13336.000000000002</v>
      </c>
      <c r="AK175" s="132">
        <f t="shared" si="1"/>
        <v>13336.000000000002</v>
      </c>
      <c r="AL175" s="132">
        <f t="shared" si="1"/>
        <v>13336.000000000002</v>
      </c>
      <c r="AM175" s="132">
        <f t="shared" si="1"/>
        <v>13336.000000000002</v>
      </c>
      <c r="AN175" s="132">
        <f t="shared" si="1"/>
        <v>13336.000000000002</v>
      </c>
      <c r="AO175" s="132">
        <f t="shared" si="1"/>
        <v>11962.000000000004</v>
      </c>
      <c r="AP175" s="132">
        <f t="shared" si="1"/>
        <v>9434.0000000000036</v>
      </c>
      <c r="AQ175" s="132">
        <f t="shared" si="1"/>
        <v>6919.0000000000036</v>
      </c>
      <c r="AR175" s="132">
        <f t="shared" si="1"/>
        <v>6720.0000000000036</v>
      </c>
      <c r="AS175" s="132">
        <f t="shared" si="1"/>
        <v>4101.0000000000036</v>
      </c>
      <c r="AT175" s="132">
        <f t="shared" si="1"/>
        <v>3334.0000000000009</v>
      </c>
      <c r="AU175" s="132">
        <f t="shared" si="1"/>
        <v>3334.0000000000005</v>
      </c>
      <c r="AV175" s="132">
        <f t="shared" si="1"/>
        <v>3334.0000000000005</v>
      </c>
      <c r="AW175" s="132">
        <f t="shared" si="1"/>
        <v>5352.0000000000009</v>
      </c>
      <c r="AX175" s="132">
        <f t="shared" si="1"/>
        <v>7183.0000000000018</v>
      </c>
      <c r="AY175" s="132">
        <f t="shared" si="1"/>
        <v>8922.0000000000018</v>
      </c>
    </row>
    <row r="176" spans="1:52" x14ac:dyDescent="0.2">
      <c r="A176" s="133"/>
      <c r="B176" s="144" t="s">
        <v>298</v>
      </c>
      <c r="C176" s="133" t="s">
        <v>292</v>
      </c>
      <c r="D176" s="133">
        <v>833</v>
      </c>
      <c r="E176" s="133">
        <v>689</v>
      </c>
      <c r="F176" s="133">
        <v>872</v>
      </c>
      <c r="G176" s="133">
        <v>712</v>
      </c>
      <c r="H176" s="133">
        <v>1108</v>
      </c>
      <c r="I176" s="133">
        <v>1393</v>
      </c>
      <c r="J176" s="133">
        <v>1256</v>
      </c>
      <c r="K176" s="133">
        <v>1140</v>
      </c>
      <c r="L176" s="133">
        <v>6378</v>
      </c>
      <c r="M176" s="133">
        <v>6956</v>
      </c>
      <c r="N176" s="133">
        <v>6444</v>
      </c>
      <c r="O176" s="133">
        <v>3560.0000000000032</v>
      </c>
      <c r="P176" s="133">
        <v>2929</v>
      </c>
      <c r="Q176" s="133">
        <v>2288</v>
      </c>
      <c r="R176" s="133">
        <v>2371</v>
      </c>
      <c r="S176" s="133">
        <v>2230</v>
      </c>
      <c r="T176" s="133">
        <v>1779</v>
      </c>
      <c r="U176" s="133">
        <v>1625</v>
      </c>
      <c r="V176" s="133">
        <v>1506</v>
      </c>
      <c r="W176" s="133">
        <v>1724</v>
      </c>
      <c r="X176" s="133">
        <v>2210</v>
      </c>
      <c r="Y176" s="133">
        <v>1683</v>
      </c>
      <c r="Z176" s="133">
        <v>2082</v>
      </c>
      <c r="AA176" s="133">
        <v>2112</v>
      </c>
      <c r="AB176" s="133">
        <v>1190</v>
      </c>
      <c r="AC176" s="133">
        <v>1233</v>
      </c>
      <c r="AD176" s="133">
        <v>1042</v>
      </c>
      <c r="AE176" s="133">
        <v>1471</v>
      </c>
      <c r="AF176" s="133">
        <v>1571</v>
      </c>
      <c r="AG176" s="133">
        <v>1922</v>
      </c>
      <c r="AH176" s="133">
        <v>1983</v>
      </c>
      <c r="AI176" s="133">
        <v>1616</v>
      </c>
      <c r="AJ176" s="133">
        <v>2157</v>
      </c>
      <c r="AK176" s="133">
        <v>2283</v>
      </c>
      <c r="AL176" s="133">
        <v>2116</v>
      </c>
      <c r="AM176" s="133">
        <v>1816</v>
      </c>
      <c r="AN176" s="133">
        <v>4708</v>
      </c>
      <c r="AO176" s="133">
        <v>5862</v>
      </c>
      <c r="AP176" s="133">
        <v>5849</v>
      </c>
      <c r="AQ176" s="133">
        <v>3533</v>
      </c>
      <c r="AR176" s="133">
        <v>5953</v>
      </c>
      <c r="AS176" s="133">
        <v>4101.0000000000036</v>
      </c>
      <c r="AT176" s="133">
        <v>3334.0000000000009</v>
      </c>
      <c r="AU176" s="133">
        <v>3334.0000000000005</v>
      </c>
      <c r="AV176" s="133">
        <v>1316</v>
      </c>
      <c r="AW176" s="133">
        <v>1503</v>
      </c>
      <c r="AX176" s="133">
        <v>1595</v>
      </c>
      <c r="AY176" s="133">
        <v>1327</v>
      </c>
    </row>
    <row r="177" spans="1:51" x14ac:dyDescent="0.2">
      <c r="A177" s="143" t="s">
        <v>133</v>
      </c>
      <c r="B177" s="143" t="s">
        <v>297</v>
      </c>
      <c r="C177" s="132" t="s">
        <v>292</v>
      </c>
      <c r="D177" s="132">
        <f t="shared" ref="D177:AY177" si="2">SUM(D100:D107)</f>
        <v>0</v>
      </c>
      <c r="E177" s="132">
        <f t="shared" si="2"/>
        <v>0</v>
      </c>
      <c r="F177" s="132">
        <f t="shared" si="2"/>
        <v>0</v>
      </c>
      <c r="G177" s="132">
        <f t="shared" si="2"/>
        <v>0</v>
      </c>
      <c r="H177" s="132">
        <f t="shared" si="2"/>
        <v>2499.75</v>
      </c>
      <c r="I177" s="132">
        <f t="shared" si="2"/>
        <v>833.25</v>
      </c>
      <c r="J177" s="132">
        <f t="shared" si="2"/>
        <v>833.25</v>
      </c>
      <c r="K177" s="132">
        <f t="shared" si="2"/>
        <v>833.25</v>
      </c>
      <c r="L177" s="132">
        <f t="shared" si="2"/>
        <v>0</v>
      </c>
      <c r="M177" s="132">
        <f t="shared" si="2"/>
        <v>1666.5</v>
      </c>
      <c r="N177" s="132">
        <f t="shared" si="2"/>
        <v>833.25</v>
      </c>
      <c r="O177" s="132">
        <f t="shared" si="2"/>
        <v>833.25</v>
      </c>
      <c r="P177" s="132">
        <f t="shared" si="2"/>
        <v>0</v>
      </c>
      <c r="Q177" s="132">
        <f t="shared" si="2"/>
        <v>833.25</v>
      </c>
      <c r="R177" s="132">
        <f t="shared" si="2"/>
        <v>833.25</v>
      </c>
      <c r="S177" s="132">
        <f t="shared" si="2"/>
        <v>833.25</v>
      </c>
      <c r="T177" s="132">
        <f t="shared" si="2"/>
        <v>0</v>
      </c>
      <c r="U177" s="132">
        <f t="shared" si="2"/>
        <v>2499.75</v>
      </c>
      <c r="V177" s="132">
        <f t="shared" si="2"/>
        <v>833.25</v>
      </c>
      <c r="W177" s="132">
        <f t="shared" si="2"/>
        <v>0</v>
      </c>
      <c r="X177" s="132">
        <f t="shared" si="2"/>
        <v>1666.5</v>
      </c>
      <c r="Y177" s="132">
        <f t="shared" si="2"/>
        <v>0</v>
      </c>
      <c r="Z177" s="132">
        <f t="shared" si="2"/>
        <v>1666.5</v>
      </c>
      <c r="AA177" s="132">
        <f t="shared" si="2"/>
        <v>833.25</v>
      </c>
      <c r="AB177" s="132">
        <f t="shared" si="2"/>
        <v>833.25</v>
      </c>
      <c r="AC177" s="132">
        <f t="shared" si="2"/>
        <v>0</v>
      </c>
      <c r="AD177" s="132">
        <f t="shared" si="2"/>
        <v>1666.5</v>
      </c>
      <c r="AE177" s="132">
        <f t="shared" si="2"/>
        <v>0</v>
      </c>
      <c r="AF177" s="132">
        <f t="shared" si="2"/>
        <v>1666.5</v>
      </c>
      <c r="AG177" s="132">
        <f t="shared" si="2"/>
        <v>833.25</v>
      </c>
      <c r="AH177" s="132">
        <f t="shared" si="2"/>
        <v>833.25</v>
      </c>
      <c r="AI177" s="132">
        <f t="shared" si="2"/>
        <v>833.25</v>
      </c>
      <c r="AJ177" s="132">
        <f t="shared" si="2"/>
        <v>833.25</v>
      </c>
      <c r="AK177" s="132">
        <f t="shared" si="2"/>
        <v>833.25</v>
      </c>
      <c r="AL177" s="132">
        <f t="shared" si="2"/>
        <v>833.25</v>
      </c>
      <c r="AM177" s="132">
        <f t="shared" si="2"/>
        <v>0</v>
      </c>
      <c r="AN177" s="132">
        <f t="shared" si="2"/>
        <v>1666.5</v>
      </c>
      <c r="AO177" s="132">
        <f t="shared" si="2"/>
        <v>833.25</v>
      </c>
      <c r="AP177" s="132">
        <f t="shared" si="2"/>
        <v>0</v>
      </c>
      <c r="AQ177" s="132">
        <f t="shared" si="2"/>
        <v>1666.5</v>
      </c>
      <c r="AR177" s="132">
        <f t="shared" si="2"/>
        <v>0</v>
      </c>
      <c r="AS177" s="132">
        <f t="shared" si="2"/>
        <v>0</v>
      </c>
      <c r="AT177" s="132">
        <f t="shared" si="2"/>
        <v>1666.5</v>
      </c>
      <c r="AU177" s="132">
        <f t="shared" si="2"/>
        <v>833.25</v>
      </c>
      <c r="AV177" s="132">
        <f t="shared" si="2"/>
        <v>937</v>
      </c>
      <c r="AW177" s="132">
        <f t="shared" si="2"/>
        <v>0</v>
      </c>
      <c r="AX177" s="132">
        <f t="shared" si="2"/>
        <v>0</v>
      </c>
      <c r="AY177" s="132">
        <f t="shared" si="2"/>
        <v>1666.5</v>
      </c>
    </row>
    <row r="178" spans="1:51" x14ac:dyDescent="0.2">
      <c r="A178" s="133"/>
      <c r="B178" s="144" t="s">
        <v>298</v>
      </c>
      <c r="C178" s="133" t="s">
        <v>292</v>
      </c>
      <c r="D178" s="133">
        <v>0</v>
      </c>
      <c r="E178" s="133">
        <v>0</v>
      </c>
      <c r="F178" s="133">
        <v>0</v>
      </c>
      <c r="G178" s="133">
        <v>0</v>
      </c>
      <c r="H178" s="133">
        <v>2499.75</v>
      </c>
      <c r="I178" s="133">
        <v>833.25</v>
      </c>
      <c r="J178" s="133">
        <v>833.25</v>
      </c>
      <c r="K178" s="133">
        <v>833.25</v>
      </c>
      <c r="L178" s="133">
        <v>0</v>
      </c>
      <c r="M178" s="133">
        <v>1666.5</v>
      </c>
      <c r="N178" s="133">
        <v>833.25</v>
      </c>
      <c r="O178" s="133">
        <v>833.25</v>
      </c>
      <c r="P178" s="133">
        <v>0</v>
      </c>
      <c r="Q178" s="133">
        <v>833.25</v>
      </c>
      <c r="R178" s="133">
        <v>833.25</v>
      </c>
      <c r="S178" s="133">
        <v>833.25</v>
      </c>
      <c r="T178" s="133">
        <v>0</v>
      </c>
      <c r="U178" s="133">
        <v>2499.75</v>
      </c>
      <c r="V178" s="133">
        <v>833.25</v>
      </c>
      <c r="W178" s="133">
        <v>0</v>
      </c>
      <c r="X178" s="133">
        <v>1666.5</v>
      </c>
      <c r="Y178" s="133">
        <v>0</v>
      </c>
      <c r="Z178" s="133">
        <v>1666.5</v>
      </c>
      <c r="AA178" s="133">
        <v>833.25</v>
      </c>
      <c r="AB178" s="133">
        <v>833.25</v>
      </c>
      <c r="AC178" s="133">
        <v>0</v>
      </c>
      <c r="AD178" s="133">
        <v>1666.5</v>
      </c>
      <c r="AE178" s="133">
        <v>0</v>
      </c>
      <c r="AF178" s="133">
        <v>1666.5</v>
      </c>
      <c r="AG178" s="133">
        <v>833.25</v>
      </c>
      <c r="AH178" s="133">
        <v>833.25</v>
      </c>
      <c r="AI178" s="133">
        <v>833.25</v>
      </c>
      <c r="AJ178" s="133">
        <v>833.25</v>
      </c>
      <c r="AK178" s="133">
        <v>833.25</v>
      </c>
      <c r="AL178" s="133">
        <v>833.25</v>
      </c>
      <c r="AM178" s="133">
        <v>0</v>
      </c>
      <c r="AN178" s="133">
        <v>1666.5</v>
      </c>
      <c r="AO178" s="133">
        <v>833.25</v>
      </c>
      <c r="AP178" s="133">
        <v>0</v>
      </c>
      <c r="AQ178" s="133">
        <v>1666.5</v>
      </c>
      <c r="AR178" s="133">
        <v>0</v>
      </c>
      <c r="AS178" s="133">
        <v>0</v>
      </c>
      <c r="AT178" s="133">
        <v>1666.5</v>
      </c>
      <c r="AU178" s="133">
        <v>833.25</v>
      </c>
      <c r="AV178" s="133">
        <v>937</v>
      </c>
      <c r="AW178" s="133">
        <v>0</v>
      </c>
      <c r="AX178" s="133">
        <v>0</v>
      </c>
      <c r="AY178" s="133">
        <v>1666.5</v>
      </c>
    </row>
    <row r="179" spans="1:51" x14ac:dyDescent="0.2">
      <c r="A179" s="143" t="s">
        <v>134</v>
      </c>
      <c r="B179" s="143" t="s">
        <v>297</v>
      </c>
      <c r="C179" s="132" t="s">
        <v>292</v>
      </c>
      <c r="D179" s="132">
        <f t="shared" ref="D179:AY179" si="3">SUM(D109:D120)</f>
        <v>0</v>
      </c>
      <c r="E179" s="132">
        <f t="shared" si="3"/>
        <v>0</v>
      </c>
      <c r="F179" s="132">
        <f t="shared" si="3"/>
        <v>0</v>
      </c>
      <c r="G179" s="132">
        <f t="shared" si="3"/>
        <v>0</v>
      </c>
      <c r="H179" s="132">
        <f t="shared" si="3"/>
        <v>0</v>
      </c>
      <c r="I179" s="132">
        <f t="shared" si="3"/>
        <v>749.92499999999995</v>
      </c>
      <c r="J179" s="132">
        <f t="shared" si="3"/>
        <v>249.97500000000005</v>
      </c>
      <c r="K179" s="132">
        <f t="shared" si="3"/>
        <v>249.97499999999999</v>
      </c>
      <c r="L179" s="132">
        <f t="shared" si="3"/>
        <v>249.97499999999999</v>
      </c>
      <c r="M179" s="132">
        <f t="shared" si="3"/>
        <v>0</v>
      </c>
      <c r="N179" s="132">
        <f t="shared" si="3"/>
        <v>666.6</v>
      </c>
      <c r="O179" s="132">
        <f t="shared" si="3"/>
        <v>385.9975</v>
      </c>
      <c r="P179" s="132">
        <f t="shared" si="3"/>
        <v>333.3</v>
      </c>
      <c r="Q179" s="132">
        <f t="shared" si="3"/>
        <v>1.1368683772161604E-14</v>
      </c>
      <c r="R179" s="132">
        <f t="shared" si="3"/>
        <v>166.65</v>
      </c>
      <c r="S179" s="132">
        <f t="shared" si="3"/>
        <v>166.65</v>
      </c>
      <c r="T179" s="132">
        <f t="shared" si="3"/>
        <v>166.65</v>
      </c>
      <c r="U179" s="132">
        <f t="shared" si="3"/>
        <v>0</v>
      </c>
      <c r="V179" s="132">
        <f t="shared" si="3"/>
        <v>749.92499999999995</v>
      </c>
      <c r="W179" s="132">
        <f t="shared" si="3"/>
        <v>249.97500000000005</v>
      </c>
      <c r="X179" s="132">
        <f t="shared" si="3"/>
        <v>0</v>
      </c>
      <c r="Y179" s="132">
        <f t="shared" si="3"/>
        <v>666.6</v>
      </c>
      <c r="Z179" s="132">
        <f t="shared" si="3"/>
        <v>0</v>
      </c>
      <c r="AA179" s="132">
        <f t="shared" si="3"/>
        <v>666.6</v>
      </c>
      <c r="AB179" s="132">
        <f t="shared" si="3"/>
        <v>333.3</v>
      </c>
      <c r="AC179" s="132">
        <f t="shared" si="3"/>
        <v>166.65</v>
      </c>
      <c r="AD179" s="132">
        <f t="shared" si="3"/>
        <v>0</v>
      </c>
      <c r="AE179" s="132">
        <f t="shared" si="3"/>
        <v>333.3</v>
      </c>
      <c r="AF179" s="132">
        <f t="shared" si="3"/>
        <v>81.864872971263097</v>
      </c>
      <c r="AG179" s="132">
        <f t="shared" si="3"/>
        <v>499.95</v>
      </c>
      <c r="AH179" s="132">
        <f t="shared" si="3"/>
        <v>249.97499999999999</v>
      </c>
      <c r="AI179" s="132">
        <f t="shared" si="3"/>
        <v>249.97499999999999</v>
      </c>
      <c r="AJ179" s="132">
        <f t="shared" si="3"/>
        <v>249.97499999999999</v>
      </c>
      <c r="AK179" s="132">
        <f t="shared" si="3"/>
        <v>333.3</v>
      </c>
      <c r="AL179" s="132">
        <f t="shared" si="3"/>
        <v>333.3</v>
      </c>
      <c r="AM179" s="132">
        <f t="shared" si="3"/>
        <v>333.3</v>
      </c>
      <c r="AN179" s="132">
        <f t="shared" si="3"/>
        <v>0</v>
      </c>
      <c r="AO179" s="132">
        <f t="shared" si="3"/>
        <v>333.3</v>
      </c>
      <c r="AP179" s="132">
        <f t="shared" si="3"/>
        <v>166.65</v>
      </c>
      <c r="AQ179" s="132">
        <f t="shared" si="3"/>
        <v>0</v>
      </c>
      <c r="AR179" s="132">
        <f t="shared" si="3"/>
        <v>333.3</v>
      </c>
      <c r="AS179" s="132">
        <f t="shared" si="3"/>
        <v>0</v>
      </c>
      <c r="AT179" s="132">
        <f t="shared" si="3"/>
        <v>0</v>
      </c>
      <c r="AU179" s="132">
        <f t="shared" si="3"/>
        <v>499.95</v>
      </c>
      <c r="AV179" s="132">
        <f t="shared" si="3"/>
        <v>249.97499999999999</v>
      </c>
      <c r="AW179" s="132">
        <f t="shared" si="3"/>
        <v>374.8</v>
      </c>
      <c r="AX179" s="132">
        <f t="shared" si="3"/>
        <v>0</v>
      </c>
      <c r="AY179" s="132">
        <f t="shared" si="3"/>
        <v>0</v>
      </c>
    </row>
    <row r="180" spans="1:51" x14ac:dyDescent="0.2">
      <c r="A180" s="133"/>
      <c r="B180" s="144" t="s">
        <v>298</v>
      </c>
      <c r="C180" s="133" t="s">
        <v>292</v>
      </c>
      <c r="D180" s="133">
        <v>0</v>
      </c>
      <c r="E180" s="133">
        <v>0</v>
      </c>
      <c r="F180" s="133">
        <v>0</v>
      </c>
      <c r="G180" s="133">
        <v>0</v>
      </c>
      <c r="H180" s="133">
        <v>0</v>
      </c>
      <c r="I180" s="133">
        <v>749.92499999999995</v>
      </c>
      <c r="J180" s="133">
        <v>249.97500000000005</v>
      </c>
      <c r="K180" s="133">
        <v>249.97499999999999</v>
      </c>
      <c r="L180" s="133">
        <v>249.97499999999999</v>
      </c>
      <c r="M180" s="133">
        <v>0</v>
      </c>
      <c r="N180" s="133">
        <v>666.6</v>
      </c>
      <c r="O180" s="133">
        <v>385.9975</v>
      </c>
      <c r="P180" s="133">
        <v>333.3</v>
      </c>
      <c r="Q180" s="133">
        <v>1.1368683772161604E-14</v>
      </c>
      <c r="R180" s="133">
        <v>166.65</v>
      </c>
      <c r="S180" s="133">
        <v>166.65</v>
      </c>
      <c r="T180" s="133">
        <v>166.65</v>
      </c>
      <c r="U180" s="133">
        <v>0</v>
      </c>
      <c r="V180" s="133">
        <v>749.92499999999995</v>
      </c>
      <c r="W180" s="133">
        <v>249.97500000000005</v>
      </c>
      <c r="X180" s="133">
        <v>0</v>
      </c>
      <c r="Y180" s="133">
        <v>666.6</v>
      </c>
      <c r="Z180" s="133">
        <v>0</v>
      </c>
      <c r="AA180" s="133">
        <v>666.6</v>
      </c>
      <c r="AB180" s="133">
        <v>333.3</v>
      </c>
      <c r="AC180" s="133">
        <v>166.65</v>
      </c>
      <c r="AD180" s="133">
        <v>0</v>
      </c>
      <c r="AE180" s="133">
        <v>333.3</v>
      </c>
      <c r="AF180" s="133">
        <v>81.864872971263097</v>
      </c>
      <c r="AG180" s="133">
        <v>499.95</v>
      </c>
      <c r="AH180" s="133">
        <v>249.97499999999999</v>
      </c>
      <c r="AI180" s="133">
        <v>249.97499999999999</v>
      </c>
      <c r="AJ180" s="133">
        <v>249.97499999999999</v>
      </c>
      <c r="AK180" s="133">
        <v>333.3</v>
      </c>
      <c r="AL180" s="133">
        <v>333.3</v>
      </c>
      <c r="AM180" s="133">
        <v>333.3</v>
      </c>
      <c r="AN180" s="133">
        <v>0</v>
      </c>
      <c r="AO180" s="133">
        <v>333.3</v>
      </c>
      <c r="AP180" s="133">
        <v>166.65</v>
      </c>
      <c r="AQ180" s="133">
        <v>0</v>
      </c>
      <c r="AR180" s="133">
        <v>333.3</v>
      </c>
      <c r="AS180" s="133">
        <v>0</v>
      </c>
      <c r="AT180" s="133">
        <v>0</v>
      </c>
      <c r="AU180" s="133">
        <v>499.95</v>
      </c>
      <c r="AV180" s="133">
        <v>249.97499999999999</v>
      </c>
      <c r="AW180" s="133">
        <v>374.8</v>
      </c>
      <c r="AX180" s="133">
        <v>0</v>
      </c>
      <c r="AY180" s="133">
        <v>0</v>
      </c>
    </row>
    <row r="181" spans="1:51" x14ac:dyDescent="0.2">
      <c r="A181" s="143" t="s">
        <v>123</v>
      </c>
      <c r="B181" s="143" t="s">
        <v>297</v>
      </c>
      <c r="C181" s="132" t="s">
        <v>292</v>
      </c>
      <c r="D181" s="132">
        <f t="shared" ref="D181:AY181" si="4">(1-D172)*SUM(D122:D169)</f>
        <v>0</v>
      </c>
      <c r="E181" s="132">
        <f t="shared" si="4"/>
        <v>0</v>
      </c>
      <c r="F181" s="132">
        <f t="shared" si="4"/>
        <v>0</v>
      </c>
      <c r="G181" s="132">
        <f t="shared" si="4"/>
        <v>0</v>
      </c>
      <c r="H181" s="132">
        <f t="shared" si="4"/>
        <v>1749.8249999999998</v>
      </c>
      <c r="I181" s="132">
        <f t="shared" si="4"/>
        <v>583.27500000000009</v>
      </c>
      <c r="J181" s="132">
        <f t="shared" si="4"/>
        <v>583.27499999999998</v>
      </c>
      <c r="K181" s="132">
        <f t="shared" si="4"/>
        <v>583.27499999999998</v>
      </c>
      <c r="L181" s="132">
        <f t="shared" si="4"/>
        <v>0</v>
      </c>
      <c r="M181" s="132">
        <f t="shared" si="4"/>
        <v>999.9</v>
      </c>
      <c r="N181" s="132">
        <f t="shared" si="4"/>
        <v>578.99624999999992</v>
      </c>
      <c r="O181" s="132">
        <f t="shared" si="4"/>
        <v>499.95</v>
      </c>
      <c r="P181" s="132">
        <f t="shared" si="4"/>
        <v>4.5474735088646414E-14</v>
      </c>
      <c r="Q181" s="132">
        <f t="shared" si="4"/>
        <v>666.6</v>
      </c>
      <c r="R181" s="132">
        <f t="shared" si="4"/>
        <v>666.6</v>
      </c>
      <c r="S181" s="132">
        <f t="shared" si="4"/>
        <v>666.6</v>
      </c>
      <c r="T181" s="132">
        <f t="shared" si="4"/>
        <v>0</v>
      </c>
      <c r="U181" s="132">
        <f t="shared" si="4"/>
        <v>1749.8249999999998</v>
      </c>
      <c r="V181" s="132">
        <f t="shared" si="4"/>
        <v>583.27500000000009</v>
      </c>
      <c r="W181" s="132">
        <f t="shared" si="4"/>
        <v>0</v>
      </c>
      <c r="X181" s="132">
        <f t="shared" si="4"/>
        <v>999.9</v>
      </c>
      <c r="Y181" s="132">
        <f t="shared" si="4"/>
        <v>0</v>
      </c>
      <c r="Z181" s="132">
        <f t="shared" si="4"/>
        <v>999.9</v>
      </c>
      <c r="AA181" s="132">
        <f t="shared" si="4"/>
        <v>499.95</v>
      </c>
      <c r="AB181" s="132">
        <f t="shared" si="4"/>
        <v>666.6</v>
      </c>
      <c r="AC181" s="132">
        <f t="shared" si="4"/>
        <v>0</v>
      </c>
      <c r="AD181" s="132">
        <f t="shared" si="4"/>
        <v>1333.2</v>
      </c>
      <c r="AE181" s="132">
        <f t="shared" si="4"/>
        <v>327.45949188505239</v>
      </c>
      <c r="AF181" s="132">
        <f t="shared" si="4"/>
        <v>1166.55</v>
      </c>
      <c r="AG181" s="132">
        <f t="shared" si="4"/>
        <v>583.27499999999998</v>
      </c>
      <c r="AH181" s="132">
        <f t="shared" si="4"/>
        <v>583.27499999999998</v>
      </c>
      <c r="AI181" s="132">
        <f t="shared" si="4"/>
        <v>583.27499999999998</v>
      </c>
      <c r="AJ181" s="132">
        <f t="shared" si="4"/>
        <v>499.95</v>
      </c>
      <c r="AK181" s="132">
        <f t="shared" si="4"/>
        <v>499.95</v>
      </c>
      <c r="AL181" s="132">
        <f t="shared" si="4"/>
        <v>499.95</v>
      </c>
      <c r="AM181" s="132">
        <f t="shared" si="4"/>
        <v>0</v>
      </c>
      <c r="AN181" s="132">
        <f t="shared" si="4"/>
        <v>1333.2</v>
      </c>
      <c r="AO181" s="132">
        <f t="shared" si="4"/>
        <v>666.6</v>
      </c>
      <c r="AP181" s="132">
        <f t="shared" si="4"/>
        <v>0</v>
      </c>
      <c r="AQ181" s="132">
        <f t="shared" si="4"/>
        <v>1333.2</v>
      </c>
      <c r="AR181" s="132">
        <f t="shared" si="4"/>
        <v>0</v>
      </c>
      <c r="AS181" s="132">
        <f t="shared" si="4"/>
        <v>0</v>
      </c>
      <c r="AT181" s="132">
        <f t="shared" si="4"/>
        <v>1166.55</v>
      </c>
      <c r="AU181" s="132">
        <f t="shared" si="4"/>
        <v>583.27499999999998</v>
      </c>
      <c r="AV181" s="132">
        <f t="shared" si="4"/>
        <v>562.19999999999993</v>
      </c>
      <c r="AW181" s="132">
        <f t="shared" si="4"/>
        <v>0</v>
      </c>
      <c r="AX181" s="132">
        <f t="shared" si="4"/>
        <v>0</v>
      </c>
      <c r="AY181" s="132">
        <f t="shared" si="4"/>
        <v>999.9</v>
      </c>
    </row>
    <row r="182" spans="1:51" x14ac:dyDescent="0.2">
      <c r="A182" s="133"/>
      <c r="B182" s="144" t="s">
        <v>298</v>
      </c>
      <c r="C182" s="133" t="s">
        <v>292</v>
      </c>
      <c r="D182" s="133">
        <v>0</v>
      </c>
      <c r="E182" s="133">
        <v>0</v>
      </c>
      <c r="F182" s="133">
        <v>0</v>
      </c>
      <c r="G182" s="133">
        <v>0</v>
      </c>
      <c r="H182" s="133">
        <v>1749.8249999999998</v>
      </c>
      <c r="I182" s="133">
        <v>583.27500000000009</v>
      </c>
      <c r="J182" s="133">
        <v>583.27499999999998</v>
      </c>
      <c r="K182" s="133">
        <v>583.27499999999998</v>
      </c>
      <c r="L182" s="133">
        <v>0</v>
      </c>
      <c r="M182" s="133">
        <v>868.15625</v>
      </c>
      <c r="N182" s="133">
        <v>578.99624999999992</v>
      </c>
      <c r="O182" s="133">
        <v>499.95</v>
      </c>
      <c r="P182" s="133">
        <v>4.5474735088646414E-14</v>
      </c>
      <c r="Q182" s="133">
        <v>666.6</v>
      </c>
      <c r="R182" s="133">
        <v>666.6</v>
      </c>
      <c r="S182" s="133">
        <v>666.6</v>
      </c>
      <c r="T182" s="133">
        <v>0</v>
      </c>
      <c r="U182" s="133">
        <v>1749.8249999999998</v>
      </c>
      <c r="V182" s="133">
        <v>583.27500000000009</v>
      </c>
      <c r="W182" s="133">
        <v>0</v>
      </c>
      <c r="X182" s="133">
        <v>999.9</v>
      </c>
      <c r="Y182" s="133">
        <v>0</v>
      </c>
      <c r="Z182" s="133">
        <v>999.9</v>
      </c>
      <c r="AA182" s="133">
        <v>499.95</v>
      </c>
      <c r="AB182" s="133">
        <v>666.6</v>
      </c>
      <c r="AC182" s="133">
        <v>0</v>
      </c>
      <c r="AD182" s="133">
        <v>923.87563514368458</v>
      </c>
      <c r="AE182" s="133">
        <v>327.45949188505239</v>
      </c>
      <c r="AF182" s="133">
        <v>1166.55</v>
      </c>
      <c r="AG182" s="133">
        <v>583.27499999999998</v>
      </c>
      <c r="AH182" s="133">
        <v>583.27499999999998</v>
      </c>
      <c r="AI182" s="133">
        <v>583.27499999999998</v>
      </c>
      <c r="AJ182" s="133">
        <v>499.95</v>
      </c>
      <c r="AK182" s="133">
        <v>499.95</v>
      </c>
      <c r="AL182" s="133">
        <v>499.95</v>
      </c>
      <c r="AM182" s="133">
        <v>0</v>
      </c>
      <c r="AN182" s="133">
        <v>1333.2</v>
      </c>
      <c r="AO182" s="133">
        <v>666.6</v>
      </c>
      <c r="AP182" s="133">
        <v>0</v>
      </c>
      <c r="AQ182" s="133">
        <v>1333.2</v>
      </c>
      <c r="AR182" s="133">
        <v>0</v>
      </c>
      <c r="AS182" s="133">
        <v>0</v>
      </c>
      <c r="AT182" s="133">
        <v>1166.55</v>
      </c>
      <c r="AU182" s="133">
        <v>583.27499999999998</v>
      </c>
      <c r="AV182" s="133">
        <v>562.19999999999993</v>
      </c>
      <c r="AW182" s="133">
        <v>0</v>
      </c>
      <c r="AX182" s="133">
        <v>0</v>
      </c>
      <c r="AY182" s="133">
        <v>999.9</v>
      </c>
    </row>
    <row r="184" spans="1:51" x14ac:dyDescent="0.2">
      <c r="A184" s="110" t="s">
        <v>299</v>
      </c>
    </row>
    <row r="185" spans="1:51" x14ac:dyDescent="0.2">
      <c r="A185" s="134" t="s">
        <v>125</v>
      </c>
      <c r="B185" s="131">
        <v>1</v>
      </c>
      <c r="C185" s="132"/>
      <c r="D185" s="132">
        <v>833</v>
      </c>
      <c r="E185" s="132">
        <v>0</v>
      </c>
      <c r="F185" s="132">
        <v>0</v>
      </c>
      <c r="G185" s="132">
        <v>0</v>
      </c>
      <c r="H185" s="132">
        <v>0</v>
      </c>
      <c r="I185" s="132">
        <v>0</v>
      </c>
      <c r="J185" s="132">
        <v>0</v>
      </c>
      <c r="K185" s="132">
        <v>0</v>
      </c>
      <c r="L185" s="132">
        <v>0</v>
      </c>
      <c r="M185" s="132">
        <v>0</v>
      </c>
      <c r="N185" s="132">
        <v>3107.9999999999977</v>
      </c>
      <c r="O185" s="132">
        <v>3334.0000000000005</v>
      </c>
      <c r="P185" s="132">
        <v>2929</v>
      </c>
      <c r="Q185" s="132">
        <v>1882.9999999999995</v>
      </c>
      <c r="R185" s="132">
        <v>919.99999999999909</v>
      </c>
      <c r="S185" s="132">
        <v>0</v>
      </c>
      <c r="T185" s="132">
        <v>0</v>
      </c>
      <c r="U185" s="132">
        <v>0</v>
      </c>
      <c r="V185" s="132">
        <v>0</v>
      </c>
      <c r="W185" s="132">
        <v>0</v>
      </c>
      <c r="X185" s="132">
        <v>0</v>
      </c>
      <c r="Y185" s="132">
        <v>0</v>
      </c>
      <c r="Z185" s="132">
        <v>0</v>
      </c>
      <c r="AA185" s="132">
        <v>0</v>
      </c>
      <c r="AB185" s="132">
        <v>0</v>
      </c>
      <c r="AC185" s="132">
        <v>0</v>
      </c>
      <c r="AD185" s="132">
        <v>0</v>
      </c>
      <c r="AE185" s="132">
        <v>0</v>
      </c>
      <c r="AF185" s="132">
        <v>0</v>
      </c>
      <c r="AG185" s="132">
        <v>0</v>
      </c>
      <c r="AH185" s="132">
        <v>0</v>
      </c>
      <c r="AI185" s="132">
        <v>0</v>
      </c>
      <c r="AJ185" s="132">
        <v>0</v>
      </c>
      <c r="AK185" s="132">
        <v>0</v>
      </c>
      <c r="AL185" s="132">
        <v>0</v>
      </c>
      <c r="AM185" s="132">
        <v>0</v>
      </c>
      <c r="AN185" s="132">
        <v>0</v>
      </c>
      <c r="AO185" s="132">
        <v>0</v>
      </c>
      <c r="AP185" s="132">
        <v>0</v>
      </c>
      <c r="AQ185" s="132">
        <v>0</v>
      </c>
      <c r="AR185" s="132">
        <v>2566.9999999999968</v>
      </c>
      <c r="AS185" s="132">
        <v>3334</v>
      </c>
      <c r="AT185" s="132">
        <v>3334.0000000000005</v>
      </c>
      <c r="AU185" s="132">
        <v>3334.0000000000005</v>
      </c>
      <c r="AV185" s="132">
        <v>1316</v>
      </c>
      <c r="AW185" s="132">
        <v>0</v>
      </c>
      <c r="AX185" s="132">
        <v>0</v>
      </c>
      <c r="AY185" s="132">
        <v>0</v>
      </c>
    </row>
    <row r="186" spans="1:51" x14ac:dyDescent="0.2">
      <c r="A186" s="117"/>
      <c r="B186" s="128">
        <v>2</v>
      </c>
      <c r="C186" s="114"/>
      <c r="D186" s="114">
        <v>0</v>
      </c>
      <c r="E186" s="114">
        <v>689</v>
      </c>
      <c r="F186" s="114">
        <v>0</v>
      </c>
      <c r="G186" s="114">
        <v>0</v>
      </c>
      <c r="H186" s="114">
        <v>0</v>
      </c>
      <c r="I186" s="114">
        <v>0</v>
      </c>
      <c r="J186" s="114">
        <v>0</v>
      </c>
      <c r="K186" s="114">
        <v>0</v>
      </c>
      <c r="L186" s="114">
        <v>0</v>
      </c>
      <c r="M186" s="114">
        <v>3331.9999999999986</v>
      </c>
      <c r="N186" s="114">
        <v>3334.0000000000005</v>
      </c>
      <c r="O186" s="114">
        <v>226.00000000000273</v>
      </c>
      <c r="P186" s="114">
        <v>0</v>
      </c>
      <c r="Q186" s="114">
        <v>405.00000000000045</v>
      </c>
      <c r="R186" s="114">
        <v>1451.0000000000009</v>
      </c>
      <c r="S186" s="114">
        <v>2230</v>
      </c>
      <c r="T186" s="114">
        <v>1594.9999999999986</v>
      </c>
      <c r="U186" s="114">
        <v>0</v>
      </c>
      <c r="V186" s="114">
        <v>0</v>
      </c>
      <c r="W186" s="114">
        <v>0</v>
      </c>
      <c r="X186" s="114">
        <v>0</v>
      </c>
      <c r="Y186" s="114">
        <v>0</v>
      </c>
      <c r="Z186" s="114">
        <v>0</v>
      </c>
      <c r="AA186" s="114">
        <v>0</v>
      </c>
      <c r="AB186" s="114">
        <v>0</v>
      </c>
      <c r="AC186" s="114">
        <v>0</v>
      </c>
      <c r="AD186" s="114">
        <v>0</v>
      </c>
      <c r="AE186" s="114">
        <v>0</v>
      </c>
      <c r="AF186" s="114">
        <v>0</v>
      </c>
      <c r="AG186" s="114">
        <v>0</v>
      </c>
      <c r="AH186" s="114">
        <v>0</v>
      </c>
      <c r="AI186" s="114">
        <v>0</v>
      </c>
      <c r="AJ186" s="114">
        <v>0</v>
      </c>
      <c r="AK186" s="114">
        <v>0</v>
      </c>
      <c r="AL186" s="114">
        <v>0</v>
      </c>
      <c r="AM186" s="114">
        <v>0</v>
      </c>
      <c r="AN186" s="114">
        <v>0</v>
      </c>
      <c r="AO186" s="114">
        <v>567.99999999999864</v>
      </c>
      <c r="AP186" s="114">
        <v>3082.9999999999982</v>
      </c>
      <c r="AQ186" s="114">
        <v>3281.9999999999977</v>
      </c>
      <c r="AR186" s="114">
        <v>3334.0000000000005</v>
      </c>
      <c r="AS186" s="114">
        <v>767.00000000000364</v>
      </c>
      <c r="AT186" s="114">
        <v>4.5474735088646412E-13</v>
      </c>
      <c r="AU186" s="114">
        <v>0</v>
      </c>
      <c r="AV186" s="114">
        <v>0</v>
      </c>
      <c r="AW186" s="114">
        <v>1503</v>
      </c>
      <c r="AX186" s="114">
        <v>1079.9999999999995</v>
      </c>
      <c r="AY186" s="114">
        <v>0</v>
      </c>
    </row>
    <row r="187" spans="1:51" x14ac:dyDescent="0.2">
      <c r="A187" s="117"/>
      <c r="B187" s="135">
        <v>3</v>
      </c>
      <c r="C187" s="114"/>
      <c r="D187" s="114">
        <v>0</v>
      </c>
      <c r="E187" s="114">
        <v>0</v>
      </c>
      <c r="F187" s="114">
        <v>872</v>
      </c>
      <c r="G187" s="114">
        <v>0</v>
      </c>
      <c r="H187" s="114">
        <v>0</v>
      </c>
      <c r="I187" s="114">
        <v>0</v>
      </c>
      <c r="J187" s="114">
        <v>0</v>
      </c>
      <c r="K187" s="114">
        <v>0</v>
      </c>
      <c r="L187" s="114">
        <v>3043.9999999999995</v>
      </c>
      <c r="M187" s="114">
        <v>3334.0000000000005</v>
      </c>
      <c r="N187" s="114">
        <v>2.000000000001819</v>
      </c>
      <c r="O187" s="114">
        <v>0</v>
      </c>
      <c r="P187" s="114">
        <v>0</v>
      </c>
      <c r="Q187" s="114">
        <v>0</v>
      </c>
      <c r="R187" s="114">
        <v>0</v>
      </c>
      <c r="S187" s="114">
        <v>0</v>
      </c>
      <c r="T187" s="114">
        <v>184.00000000000136</v>
      </c>
      <c r="U187" s="114">
        <v>1625</v>
      </c>
      <c r="V187" s="114">
        <v>1391.9999999999982</v>
      </c>
      <c r="W187" s="114">
        <v>0</v>
      </c>
      <c r="X187" s="114">
        <v>0</v>
      </c>
      <c r="Y187" s="114">
        <v>0</v>
      </c>
      <c r="Z187" s="114">
        <v>0</v>
      </c>
      <c r="AA187" s="114">
        <v>0</v>
      </c>
      <c r="AB187" s="114">
        <v>0</v>
      </c>
      <c r="AC187" s="114">
        <v>0</v>
      </c>
      <c r="AD187" s="114">
        <v>0</v>
      </c>
      <c r="AE187" s="114">
        <v>0</v>
      </c>
      <c r="AF187" s="114">
        <v>0</v>
      </c>
      <c r="AG187" s="114">
        <v>0</v>
      </c>
      <c r="AH187" s="114">
        <v>0</v>
      </c>
      <c r="AI187" s="114">
        <v>0</v>
      </c>
      <c r="AJ187" s="114">
        <v>0</v>
      </c>
      <c r="AK187" s="114">
        <v>0</v>
      </c>
      <c r="AL187" s="114">
        <v>0</v>
      </c>
      <c r="AM187" s="114">
        <v>0</v>
      </c>
      <c r="AN187" s="114">
        <v>1373.9999999999995</v>
      </c>
      <c r="AO187" s="114">
        <v>3334.0000000000005</v>
      </c>
      <c r="AP187" s="114">
        <v>2766.0000000000018</v>
      </c>
      <c r="AQ187" s="114">
        <v>251.00000000000227</v>
      </c>
      <c r="AR187" s="114">
        <v>52.000000000002728</v>
      </c>
      <c r="AS187" s="114">
        <v>0</v>
      </c>
      <c r="AT187" s="114">
        <v>0</v>
      </c>
      <c r="AU187" s="114">
        <v>0</v>
      </c>
      <c r="AV187" s="114">
        <v>0</v>
      </c>
      <c r="AW187" s="114">
        <v>0</v>
      </c>
      <c r="AX187" s="114">
        <v>515.00000000000045</v>
      </c>
      <c r="AY187" s="114">
        <v>1327</v>
      </c>
    </row>
    <row r="188" spans="1:51" x14ac:dyDescent="0.2">
      <c r="A188" s="136"/>
      <c r="B188" s="137">
        <v>4</v>
      </c>
      <c r="C188" s="114"/>
      <c r="D188" s="114">
        <v>0</v>
      </c>
      <c r="E188" s="114">
        <v>0</v>
      </c>
      <c r="F188" s="114">
        <v>0</v>
      </c>
      <c r="G188" s="114">
        <v>712</v>
      </c>
      <c r="H188" s="114">
        <v>1108</v>
      </c>
      <c r="I188" s="114">
        <v>1393</v>
      </c>
      <c r="J188" s="114">
        <v>1256</v>
      </c>
      <c r="K188" s="114">
        <v>1140</v>
      </c>
      <c r="L188" s="114">
        <v>3334.0000000000005</v>
      </c>
      <c r="M188" s="114">
        <v>290.00000000000091</v>
      </c>
      <c r="N188" s="114">
        <v>0</v>
      </c>
      <c r="O188" s="114">
        <v>0</v>
      </c>
      <c r="P188" s="114">
        <v>0</v>
      </c>
      <c r="Q188" s="114">
        <v>0</v>
      </c>
      <c r="R188" s="114">
        <v>0</v>
      </c>
      <c r="S188" s="114">
        <v>0</v>
      </c>
      <c r="T188" s="114">
        <v>0</v>
      </c>
      <c r="U188" s="114">
        <v>0</v>
      </c>
      <c r="V188" s="114">
        <v>114.00000000000182</v>
      </c>
      <c r="W188" s="114">
        <v>1724</v>
      </c>
      <c r="X188" s="114">
        <v>2210</v>
      </c>
      <c r="Y188" s="114">
        <v>1683</v>
      </c>
      <c r="Z188" s="114">
        <v>2082</v>
      </c>
      <c r="AA188" s="114">
        <v>2112</v>
      </c>
      <c r="AB188" s="114">
        <v>1190</v>
      </c>
      <c r="AC188" s="114">
        <v>1233</v>
      </c>
      <c r="AD188" s="114">
        <v>1042</v>
      </c>
      <c r="AE188" s="114">
        <v>1471</v>
      </c>
      <c r="AF188" s="114">
        <v>1571</v>
      </c>
      <c r="AG188" s="114">
        <v>1922</v>
      </c>
      <c r="AH188" s="114">
        <v>1983</v>
      </c>
      <c r="AI188" s="114">
        <v>1616</v>
      </c>
      <c r="AJ188" s="114">
        <v>2157</v>
      </c>
      <c r="AK188" s="114">
        <v>2283</v>
      </c>
      <c r="AL188" s="114">
        <v>2116</v>
      </c>
      <c r="AM188" s="114">
        <v>1816</v>
      </c>
      <c r="AN188" s="114">
        <v>3334.0000000000005</v>
      </c>
      <c r="AO188" s="114">
        <v>1960.0000000000009</v>
      </c>
      <c r="AP188" s="114">
        <v>0</v>
      </c>
      <c r="AQ188" s="114">
        <v>0</v>
      </c>
      <c r="AR188" s="114">
        <v>0</v>
      </c>
      <c r="AS188" s="114">
        <v>0</v>
      </c>
      <c r="AT188" s="114">
        <v>0</v>
      </c>
      <c r="AU188" s="114">
        <v>0</v>
      </c>
      <c r="AV188" s="114">
        <v>0</v>
      </c>
      <c r="AW188" s="114">
        <v>0</v>
      </c>
      <c r="AX188" s="114">
        <v>0</v>
      </c>
      <c r="AY188" s="114">
        <v>0</v>
      </c>
    </row>
    <row r="189" spans="1:51" x14ac:dyDescent="0.2">
      <c r="A189" s="134" t="s">
        <v>133</v>
      </c>
      <c r="B189" s="131">
        <v>1</v>
      </c>
      <c r="C189" s="132"/>
      <c r="D189" s="132">
        <v>0</v>
      </c>
      <c r="E189" s="132">
        <v>0</v>
      </c>
      <c r="F189" s="132">
        <v>0</v>
      </c>
      <c r="G189" s="132">
        <v>0</v>
      </c>
      <c r="H189" s="132">
        <v>833.25</v>
      </c>
      <c r="I189" s="132">
        <v>833.25</v>
      </c>
      <c r="J189" s="132">
        <v>833.25</v>
      </c>
      <c r="K189" s="132">
        <v>833.25</v>
      </c>
      <c r="L189" s="132">
        <v>0</v>
      </c>
      <c r="M189" s="132">
        <v>833.25</v>
      </c>
      <c r="N189" s="132">
        <v>833.25</v>
      </c>
      <c r="O189" s="132">
        <v>833.25</v>
      </c>
      <c r="P189" s="132">
        <v>0</v>
      </c>
      <c r="Q189" s="132">
        <v>0</v>
      </c>
      <c r="R189" s="132">
        <v>833.25</v>
      </c>
      <c r="S189" s="132">
        <v>0</v>
      </c>
      <c r="T189" s="132">
        <v>0</v>
      </c>
      <c r="U189" s="132">
        <v>833.25</v>
      </c>
      <c r="V189" s="132">
        <v>833.25</v>
      </c>
      <c r="W189" s="132">
        <v>0</v>
      </c>
      <c r="X189" s="132">
        <v>833.25</v>
      </c>
      <c r="Y189" s="132">
        <v>0</v>
      </c>
      <c r="Z189" s="132">
        <v>833.25</v>
      </c>
      <c r="AA189" s="132">
        <v>833.25</v>
      </c>
      <c r="AB189" s="132">
        <v>833.25</v>
      </c>
      <c r="AC189" s="132">
        <v>0</v>
      </c>
      <c r="AD189" s="132">
        <v>833.25</v>
      </c>
      <c r="AE189" s="132">
        <v>0</v>
      </c>
      <c r="AF189" s="132">
        <v>833.25</v>
      </c>
      <c r="AG189" s="132">
        <v>833.25</v>
      </c>
      <c r="AH189" s="132">
        <v>833.25</v>
      </c>
      <c r="AI189" s="132">
        <v>833.25</v>
      </c>
      <c r="AJ189" s="132">
        <v>833.25</v>
      </c>
      <c r="AK189" s="132">
        <v>833.25</v>
      </c>
      <c r="AL189" s="132">
        <v>833.25</v>
      </c>
      <c r="AM189" s="132">
        <v>0</v>
      </c>
      <c r="AN189" s="132">
        <v>833.25</v>
      </c>
      <c r="AO189" s="132">
        <v>833.25</v>
      </c>
      <c r="AP189" s="132">
        <v>0</v>
      </c>
      <c r="AQ189" s="132">
        <v>833.25</v>
      </c>
      <c r="AR189" s="132">
        <v>0</v>
      </c>
      <c r="AS189" s="132">
        <v>0</v>
      </c>
      <c r="AT189" s="132">
        <v>0</v>
      </c>
      <c r="AU189" s="132">
        <v>0</v>
      </c>
      <c r="AV189" s="132">
        <v>937</v>
      </c>
      <c r="AW189" s="132">
        <v>0</v>
      </c>
      <c r="AX189" s="132">
        <v>0</v>
      </c>
      <c r="AY189" s="132">
        <v>0</v>
      </c>
    </row>
    <row r="190" spans="1:51" x14ac:dyDescent="0.2">
      <c r="A190" s="117"/>
      <c r="B190" s="127">
        <v>2</v>
      </c>
      <c r="C190" s="114"/>
      <c r="D190" s="114">
        <v>0</v>
      </c>
      <c r="E190" s="114">
        <v>0</v>
      </c>
      <c r="F190" s="114">
        <v>0</v>
      </c>
      <c r="G190" s="114">
        <v>0</v>
      </c>
      <c r="H190" s="114">
        <v>833.25</v>
      </c>
      <c r="I190" s="114">
        <v>0</v>
      </c>
      <c r="J190" s="114">
        <v>0</v>
      </c>
      <c r="K190" s="114">
        <v>0</v>
      </c>
      <c r="L190" s="114">
        <v>0</v>
      </c>
      <c r="M190" s="114">
        <v>833.25</v>
      </c>
      <c r="N190" s="114">
        <v>0</v>
      </c>
      <c r="O190" s="114">
        <v>0</v>
      </c>
      <c r="P190" s="114">
        <v>0</v>
      </c>
      <c r="Q190" s="114">
        <v>833.25</v>
      </c>
      <c r="R190" s="114">
        <v>0</v>
      </c>
      <c r="S190" s="114">
        <v>0</v>
      </c>
      <c r="T190" s="114">
        <v>0</v>
      </c>
      <c r="U190" s="114">
        <v>833.25</v>
      </c>
      <c r="V190" s="114">
        <v>0</v>
      </c>
      <c r="W190" s="114">
        <v>0</v>
      </c>
      <c r="X190" s="114">
        <v>833.25</v>
      </c>
      <c r="Y190" s="114">
        <v>0</v>
      </c>
      <c r="Z190" s="114">
        <v>833.25</v>
      </c>
      <c r="AA190" s="114">
        <v>0</v>
      </c>
      <c r="AB190" s="114">
        <v>0</v>
      </c>
      <c r="AC190" s="114">
        <v>0</v>
      </c>
      <c r="AD190" s="114">
        <v>833.25</v>
      </c>
      <c r="AE190" s="114">
        <v>0</v>
      </c>
      <c r="AF190" s="114">
        <v>833.25</v>
      </c>
      <c r="AG190" s="114">
        <v>0</v>
      </c>
      <c r="AH190" s="114">
        <v>0</v>
      </c>
      <c r="AI190" s="114">
        <v>0</v>
      </c>
      <c r="AJ190" s="114">
        <v>0</v>
      </c>
      <c r="AK190" s="114">
        <v>0</v>
      </c>
      <c r="AL190" s="114">
        <v>0</v>
      </c>
      <c r="AM190" s="114">
        <v>0</v>
      </c>
      <c r="AN190" s="114">
        <v>833.25</v>
      </c>
      <c r="AO190" s="114">
        <v>0</v>
      </c>
      <c r="AP190" s="114">
        <v>0</v>
      </c>
      <c r="AQ190" s="114">
        <v>833.25</v>
      </c>
      <c r="AR190" s="114">
        <v>0</v>
      </c>
      <c r="AS190" s="114">
        <v>0</v>
      </c>
      <c r="AT190" s="114">
        <v>833.25</v>
      </c>
      <c r="AU190" s="114">
        <v>833.25</v>
      </c>
      <c r="AV190" s="114">
        <v>0</v>
      </c>
      <c r="AW190" s="114">
        <v>0</v>
      </c>
      <c r="AX190" s="114">
        <v>0</v>
      </c>
      <c r="AY190" s="114">
        <v>833.25</v>
      </c>
    </row>
    <row r="191" spans="1:51" x14ac:dyDescent="0.2">
      <c r="A191" s="117"/>
      <c r="B191" s="128">
        <v>3</v>
      </c>
      <c r="C191" s="114"/>
      <c r="D191" s="114">
        <v>0</v>
      </c>
      <c r="E191" s="114">
        <v>0</v>
      </c>
      <c r="F191" s="114">
        <v>0</v>
      </c>
      <c r="G191" s="114">
        <v>0</v>
      </c>
      <c r="H191" s="114">
        <v>833.25</v>
      </c>
      <c r="I191" s="114">
        <v>0</v>
      </c>
      <c r="J191" s="114">
        <v>0</v>
      </c>
      <c r="K191" s="114">
        <v>0</v>
      </c>
      <c r="L191" s="114">
        <v>0</v>
      </c>
      <c r="M191" s="114">
        <v>0</v>
      </c>
      <c r="N191" s="114">
        <v>0</v>
      </c>
      <c r="O191" s="114">
        <v>0</v>
      </c>
      <c r="P191" s="114">
        <v>0</v>
      </c>
      <c r="Q191" s="114">
        <v>0</v>
      </c>
      <c r="R191" s="114">
        <v>0</v>
      </c>
      <c r="S191" s="114">
        <v>833.25</v>
      </c>
      <c r="T191" s="114">
        <v>0</v>
      </c>
      <c r="U191" s="114">
        <v>833.25</v>
      </c>
      <c r="V191" s="114">
        <v>0</v>
      </c>
      <c r="W191" s="114">
        <v>0</v>
      </c>
      <c r="X191" s="114">
        <v>0</v>
      </c>
      <c r="Y191" s="114">
        <v>0</v>
      </c>
      <c r="Z191" s="114">
        <v>0</v>
      </c>
      <c r="AA191" s="114">
        <v>0</v>
      </c>
      <c r="AB191" s="114">
        <v>0</v>
      </c>
      <c r="AC191" s="114">
        <v>0</v>
      </c>
      <c r="AD191" s="114">
        <v>0</v>
      </c>
      <c r="AE191" s="114">
        <v>0</v>
      </c>
      <c r="AF191" s="114">
        <v>0</v>
      </c>
      <c r="AG191" s="114">
        <v>0</v>
      </c>
      <c r="AH191" s="114">
        <v>0</v>
      </c>
      <c r="AI191" s="114">
        <v>0</v>
      </c>
      <c r="AJ191" s="114">
        <v>0</v>
      </c>
      <c r="AK191" s="114">
        <v>0</v>
      </c>
      <c r="AL191" s="114">
        <v>0</v>
      </c>
      <c r="AM191" s="114">
        <v>0</v>
      </c>
      <c r="AN191" s="114">
        <v>0</v>
      </c>
      <c r="AO191" s="114">
        <v>0</v>
      </c>
      <c r="AP191" s="114">
        <v>0</v>
      </c>
      <c r="AQ191" s="114">
        <v>0</v>
      </c>
      <c r="AR191" s="114">
        <v>0</v>
      </c>
      <c r="AS191" s="114">
        <v>0</v>
      </c>
      <c r="AT191" s="114">
        <v>833.25</v>
      </c>
      <c r="AU191" s="114">
        <v>0</v>
      </c>
      <c r="AV191" s="114">
        <v>0</v>
      </c>
      <c r="AW191" s="114">
        <v>0</v>
      </c>
      <c r="AX191" s="114">
        <v>0</v>
      </c>
      <c r="AY191" s="114">
        <v>833.25</v>
      </c>
    </row>
    <row r="192" spans="1:51" x14ac:dyDescent="0.2">
      <c r="A192" s="117"/>
      <c r="B192" s="128">
        <v>4</v>
      </c>
      <c r="C192" s="114"/>
      <c r="D192" s="114">
        <v>0</v>
      </c>
      <c r="E192" s="114">
        <v>0</v>
      </c>
      <c r="F192" s="114">
        <v>0</v>
      </c>
      <c r="G192" s="114">
        <v>0</v>
      </c>
      <c r="H192" s="114">
        <v>0</v>
      </c>
      <c r="I192" s="114">
        <v>0</v>
      </c>
      <c r="J192" s="114">
        <v>0</v>
      </c>
      <c r="K192" s="114">
        <v>0</v>
      </c>
      <c r="L192" s="114">
        <v>0</v>
      </c>
      <c r="M192" s="114">
        <v>0</v>
      </c>
      <c r="N192" s="114">
        <v>0</v>
      </c>
      <c r="O192" s="114">
        <v>0</v>
      </c>
      <c r="P192" s="114">
        <v>0</v>
      </c>
      <c r="Q192" s="114">
        <v>0</v>
      </c>
      <c r="R192" s="114">
        <v>0</v>
      </c>
      <c r="S192" s="114">
        <v>0</v>
      </c>
      <c r="T192" s="114">
        <v>0</v>
      </c>
      <c r="U192" s="114">
        <v>0</v>
      </c>
      <c r="V192" s="114">
        <v>0</v>
      </c>
      <c r="W192" s="114">
        <v>0</v>
      </c>
      <c r="X192" s="114">
        <v>0</v>
      </c>
      <c r="Y192" s="114">
        <v>0</v>
      </c>
      <c r="Z192" s="114">
        <v>0</v>
      </c>
      <c r="AA192" s="114">
        <v>0</v>
      </c>
      <c r="AB192" s="114">
        <v>0</v>
      </c>
      <c r="AC192" s="114">
        <v>0</v>
      </c>
      <c r="AD192" s="114">
        <v>0</v>
      </c>
      <c r="AE192" s="114">
        <v>0</v>
      </c>
      <c r="AF192" s="114">
        <v>0</v>
      </c>
      <c r="AG192" s="114">
        <v>0</v>
      </c>
      <c r="AH192" s="114">
        <v>0</v>
      </c>
      <c r="AI192" s="114">
        <v>0</v>
      </c>
      <c r="AJ192" s="114">
        <v>0</v>
      </c>
      <c r="AK192" s="114">
        <v>0</v>
      </c>
      <c r="AL192" s="114">
        <v>0</v>
      </c>
      <c r="AM192" s="114">
        <v>0</v>
      </c>
      <c r="AN192" s="114">
        <v>0</v>
      </c>
      <c r="AO192" s="114">
        <v>0</v>
      </c>
      <c r="AP192" s="114">
        <v>0</v>
      </c>
      <c r="AQ192" s="114">
        <v>0</v>
      </c>
      <c r="AR192" s="114">
        <v>0</v>
      </c>
      <c r="AS192" s="114">
        <v>0</v>
      </c>
      <c r="AT192" s="114">
        <v>0</v>
      </c>
      <c r="AU192" s="114">
        <v>0</v>
      </c>
      <c r="AV192" s="114">
        <v>0</v>
      </c>
      <c r="AW192" s="114">
        <v>0</v>
      </c>
      <c r="AX192" s="114">
        <v>0</v>
      </c>
      <c r="AY192" s="114">
        <v>0</v>
      </c>
    </row>
    <row r="193" spans="1:51" x14ac:dyDescent="0.2">
      <c r="A193" s="117"/>
      <c r="B193" s="135">
        <v>5</v>
      </c>
      <c r="C193" s="114"/>
      <c r="D193" s="114">
        <v>0</v>
      </c>
      <c r="E193" s="114">
        <v>0</v>
      </c>
      <c r="F193" s="114">
        <v>0</v>
      </c>
      <c r="G193" s="114">
        <v>0</v>
      </c>
      <c r="H193" s="114">
        <v>0</v>
      </c>
      <c r="I193" s="114">
        <v>0</v>
      </c>
      <c r="J193" s="114">
        <v>0</v>
      </c>
      <c r="K193" s="114">
        <v>0</v>
      </c>
      <c r="L193" s="114">
        <v>0</v>
      </c>
      <c r="M193" s="114">
        <v>0</v>
      </c>
      <c r="N193" s="114">
        <v>0</v>
      </c>
      <c r="O193" s="114">
        <v>0</v>
      </c>
      <c r="P193" s="114">
        <v>0</v>
      </c>
      <c r="Q193" s="114">
        <v>0</v>
      </c>
      <c r="R193" s="114">
        <v>0</v>
      </c>
      <c r="S193" s="114">
        <v>0</v>
      </c>
      <c r="T193" s="114">
        <v>0</v>
      </c>
      <c r="U193" s="114">
        <v>0</v>
      </c>
      <c r="V193" s="114">
        <v>0</v>
      </c>
      <c r="W193" s="114">
        <v>0</v>
      </c>
      <c r="X193" s="114">
        <v>0</v>
      </c>
      <c r="Y193" s="114">
        <v>0</v>
      </c>
      <c r="Z193" s="114">
        <v>0</v>
      </c>
      <c r="AA193" s="114">
        <v>0</v>
      </c>
      <c r="AB193" s="114">
        <v>0</v>
      </c>
      <c r="AC193" s="114">
        <v>0</v>
      </c>
      <c r="AD193" s="114">
        <v>0</v>
      </c>
      <c r="AE193" s="114">
        <v>0</v>
      </c>
      <c r="AF193" s="114">
        <v>0</v>
      </c>
      <c r="AG193" s="114">
        <v>0</v>
      </c>
      <c r="AH193" s="114">
        <v>0</v>
      </c>
      <c r="AI193" s="114">
        <v>0</v>
      </c>
      <c r="AJ193" s="114">
        <v>0</v>
      </c>
      <c r="AK193" s="114">
        <v>0</v>
      </c>
      <c r="AL193" s="114">
        <v>0</v>
      </c>
      <c r="AM193" s="114">
        <v>0</v>
      </c>
      <c r="AN193" s="114">
        <v>0</v>
      </c>
      <c r="AO193" s="114">
        <v>0</v>
      </c>
      <c r="AP193" s="114">
        <v>0</v>
      </c>
      <c r="AQ193" s="114">
        <v>0</v>
      </c>
      <c r="AR193" s="114">
        <v>0</v>
      </c>
      <c r="AS193" s="114">
        <v>0</v>
      </c>
      <c r="AT193" s="114">
        <v>0</v>
      </c>
      <c r="AU193" s="114">
        <v>0</v>
      </c>
      <c r="AV193" s="114">
        <v>0</v>
      </c>
      <c r="AW193" s="114">
        <v>0</v>
      </c>
      <c r="AX193" s="114">
        <v>0</v>
      </c>
      <c r="AY193" s="114">
        <v>0</v>
      </c>
    </row>
    <row r="194" spans="1:51" x14ac:dyDescent="0.2">
      <c r="A194" s="117"/>
      <c r="B194" s="135">
        <v>6</v>
      </c>
      <c r="C194" s="114"/>
      <c r="D194" s="114">
        <v>0</v>
      </c>
      <c r="E194" s="114">
        <v>0</v>
      </c>
      <c r="F194" s="114">
        <v>0</v>
      </c>
      <c r="G194" s="114">
        <v>0</v>
      </c>
      <c r="H194" s="114">
        <v>0</v>
      </c>
      <c r="I194" s="114">
        <v>0</v>
      </c>
      <c r="J194" s="114">
        <v>0</v>
      </c>
      <c r="K194" s="114">
        <v>0</v>
      </c>
      <c r="L194" s="114">
        <v>0</v>
      </c>
      <c r="M194" s="114">
        <v>0</v>
      </c>
      <c r="N194" s="114">
        <v>0</v>
      </c>
      <c r="O194" s="114">
        <v>0</v>
      </c>
      <c r="P194" s="114">
        <v>0</v>
      </c>
      <c r="Q194" s="114">
        <v>0</v>
      </c>
      <c r="R194" s="114">
        <v>0</v>
      </c>
      <c r="S194" s="114">
        <v>0</v>
      </c>
      <c r="T194" s="114">
        <v>0</v>
      </c>
      <c r="U194" s="114">
        <v>0</v>
      </c>
      <c r="V194" s="114">
        <v>0</v>
      </c>
      <c r="W194" s="114">
        <v>0</v>
      </c>
      <c r="X194" s="114">
        <v>0</v>
      </c>
      <c r="Y194" s="114">
        <v>0</v>
      </c>
      <c r="Z194" s="114">
        <v>0</v>
      </c>
      <c r="AA194" s="114">
        <v>0</v>
      </c>
      <c r="AB194" s="114">
        <v>0</v>
      </c>
      <c r="AC194" s="114">
        <v>0</v>
      </c>
      <c r="AD194" s="114">
        <v>0</v>
      </c>
      <c r="AE194" s="114">
        <v>0</v>
      </c>
      <c r="AF194" s="114">
        <v>0</v>
      </c>
      <c r="AG194" s="114">
        <v>0</v>
      </c>
      <c r="AH194" s="114">
        <v>0</v>
      </c>
      <c r="AI194" s="114">
        <v>0</v>
      </c>
      <c r="AJ194" s="114">
        <v>0</v>
      </c>
      <c r="AK194" s="114">
        <v>0</v>
      </c>
      <c r="AL194" s="114">
        <v>0</v>
      </c>
      <c r="AM194" s="114">
        <v>0</v>
      </c>
      <c r="AN194" s="114">
        <v>0</v>
      </c>
      <c r="AO194" s="114">
        <v>0</v>
      </c>
      <c r="AP194" s="114">
        <v>0</v>
      </c>
      <c r="AQ194" s="114">
        <v>0</v>
      </c>
      <c r="AR194" s="114">
        <v>0</v>
      </c>
      <c r="AS194" s="114">
        <v>0</v>
      </c>
      <c r="AT194" s="114">
        <v>0</v>
      </c>
      <c r="AU194" s="114">
        <v>0</v>
      </c>
      <c r="AV194" s="114">
        <v>0</v>
      </c>
      <c r="AW194" s="114">
        <v>0</v>
      </c>
      <c r="AX194" s="114">
        <v>0</v>
      </c>
      <c r="AY194" s="114">
        <v>0</v>
      </c>
    </row>
    <row r="195" spans="1:51" x14ac:dyDescent="0.2">
      <c r="A195" s="117"/>
      <c r="B195" s="138">
        <v>7</v>
      </c>
      <c r="C195" s="114"/>
      <c r="D195" s="114">
        <v>0</v>
      </c>
      <c r="E195" s="114">
        <v>0</v>
      </c>
      <c r="F195" s="114">
        <v>0</v>
      </c>
      <c r="G195" s="114">
        <v>0</v>
      </c>
      <c r="H195" s="114">
        <v>0</v>
      </c>
      <c r="I195" s="114">
        <v>0</v>
      </c>
      <c r="J195" s="114">
        <v>0</v>
      </c>
      <c r="K195" s="114">
        <v>0</v>
      </c>
      <c r="L195" s="114">
        <v>0</v>
      </c>
      <c r="M195" s="114">
        <v>0</v>
      </c>
      <c r="N195" s="114">
        <v>0</v>
      </c>
      <c r="O195" s="114">
        <v>0</v>
      </c>
      <c r="P195" s="114">
        <v>0</v>
      </c>
      <c r="Q195" s="114">
        <v>0</v>
      </c>
      <c r="R195" s="114">
        <v>0</v>
      </c>
      <c r="S195" s="114">
        <v>0</v>
      </c>
      <c r="T195" s="114">
        <v>0</v>
      </c>
      <c r="U195" s="114">
        <v>0</v>
      </c>
      <c r="V195" s="114">
        <v>0</v>
      </c>
      <c r="W195" s="114">
        <v>0</v>
      </c>
      <c r="X195" s="114">
        <v>0</v>
      </c>
      <c r="Y195" s="114">
        <v>0</v>
      </c>
      <c r="Z195" s="114">
        <v>0</v>
      </c>
      <c r="AA195" s="114">
        <v>0</v>
      </c>
      <c r="AB195" s="114">
        <v>0</v>
      </c>
      <c r="AC195" s="114">
        <v>0</v>
      </c>
      <c r="AD195" s="114">
        <v>0</v>
      </c>
      <c r="AE195" s="114">
        <v>0</v>
      </c>
      <c r="AF195" s="114">
        <v>0</v>
      </c>
      <c r="AG195" s="114">
        <v>0</v>
      </c>
      <c r="AH195" s="114">
        <v>0</v>
      </c>
      <c r="AI195" s="114">
        <v>0</v>
      </c>
      <c r="AJ195" s="114">
        <v>0</v>
      </c>
      <c r="AK195" s="114">
        <v>0</v>
      </c>
      <c r="AL195" s="114">
        <v>0</v>
      </c>
      <c r="AM195" s="114">
        <v>0</v>
      </c>
      <c r="AN195" s="114">
        <v>0</v>
      </c>
      <c r="AO195" s="114">
        <v>0</v>
      </c>
      <c r="AP195" s="114">
        <v>0</v>
      </c>
      <c r="AQ195" s="114">
        <v>0</v>
      </c>
      <c r="AR195" s="114">
        <v>0</v>
      </c>
      <c r="AS195" s="114">
        <v>0</v>
      </c>
      <c r="AT195" s="114">
        <v>0</v>
      </c>
      <c r="AU195" s="114">
        <v>0</v>
      </c>
      <c r="AV195" s="114">
        <v>0</v>
      </c>
      <c r="AW195" s="114">
        <v>0</v>
      </c>
      <c r="AX195" s="114">
        <v>0</v>
      </c>
      <c r="AY195" s="114">
        <v>0</v>
      </c>
    </row>
    <row r="196" spans="1:51" x14ac:dyDescent="0.2">
      <c r="A196" s="136"/>
      <c r="B196" s="137">
        <v>8</v>
      </c>
      <c r="C196" s="122"/>
      <c r="D196" s="122">
        <v>0</v>
      </c>
      <c r="E196" s="122">
        <v>0</v>
      </c>
      <c r="F196" s="122">
        <v>0</v>
      </c>
      <c r="G196" s="122">
        <v>0</v>
      </c>
      <c r="H196" s="122">
        <v>0</v>
      </c>
      <c r="I196" s="122">
        <v>0</v>
      </c>
      <c r="J196" s="122">
        <v>0</v>
      </c>
      <c r="K196" s="122">
        <v>0</v>
      </c>
      <c r="L196" s="122">
        <v>0</v>
      </c>
      <c r="M196" s="122">
        <v>0</v>
      </c>
      <c r="N196" s="122">
        <v>0</v>
      </c>
      <c r="O196" s="122">
        <v>0</v>
      </c>
      <c r="P196" s="122">
        <v>0</v>
      </c>
      <c r="Q196" s="122">
        <v>0</v>
      </c>
      <c r="R196" s="122">
        <v>0</v>
      </c>
      <c r="S196" s="122">
        <v>0</v>
      </c>
      <c r="T196" s="122">
        <v>0</v>
      </c>
      <c r="U196" s="122">
        <v>0</v>
      </c>
      <c r="V196" s="122">
        <v>0</v>
      </c>
      <c r="W196" s="122">
        <v>0</v>
      </c>
      <c r="X196" s="122">
        <v>0</v>
      </c>
      <c r="Y196" s="122">
        <v>0</v>
      </c>
      <c r="Z196" s="122">
        <v>0</v>
      </c>
      <c r="AA196" s="122">
        <v>0</v>
      </c>
      <c r="AB196" s="122">
        <v>0</v>
      </c>
      <c r="AC196" s="122">
        <v>0</v>
      </c>
      <c r="AD196" s="122">
        <v>0</v>
      </c>
      <c r="AE196" s="122">
        <v>0</v>
      </c>
      <c r="AF196" s="122">
        <v>0</v>
      </c>
      <c r="AG196" s="122">
        <v>0</v>
      </c>
      <c r="AH196" s="122">
        <v>0</v>
      </c>
      <c r="AI196" s="122">
        <v>0</v>
      </c>
      <c r="AJ196" s="122">
        <v>0</v>
      </c>
      <c r="AK196" s="122">
        <v>0</v>
      </c>
      <c r="AL196" s="122">
        <v>0</v>
      </c>
      <c r="AM196" s="122">
        <v>0</v>
      </c>
      <c r="AN196" s="122">
        <v>0</v>
      </c>
      <c r="AO196" s="122">
        <v>0</v>
      </c>
      <c r="AP196" s="122">
        <v>0</v>
      </c>
      <c r="AQ196" s="122">
        <v>0</v>
      </c>
      <c r="AR196" s="122">
        <v>0</v>
      </c>
      <c r="AS196" s="122">
        <v>0</v>
      </c>
      <c r="AT196" s="122">
        <v>0</v>
      </c>
      <c r="AU196" s="122">
        <v>0</v>
      </c>
      <c r="AV196" s="122">
        <v>0</v>
      </c>
      <c r="AW196" s="122">
        <v>0</v>
      </c>
      <c r="AX196" s="122">
        <v>0</v>
      </c>
      <c r="AY196" s="122">
        <v>0</v>
      </c>
    </row>
    <row r="197" spans="1:51" x14ac:dyDescent="0.2">
      <c r="A197" s="139" t="s">
        <v>134</v>
      </c>
      <c r="B197" s="127">
        <v>1</v>
      </c>
      <c r="C197" s="114"/>
      <c r="D197" s="114">
        <v>0</v>
      </c>
      <c r="E197" s="114">
        <v>0</v>
      </c>
      <c r="F197" s="114">
        <v>0</v>
      </c>
      <c r="G197" s="114">
        <v>0</v>
      </c>
      <c r="H197" s="114">
        <v>0</v>
      </c>
      <c r="I197" s="114">
        <v>749.92499999999995</v>
      </c>
      <c r="J197" s="114">
        <v>249.97500000000005</v>
      </c>
      <c r="K197" s="114">
        <v>249.97499999999999</v>
      </c>
      <c r="L197" s="114">
        <v>249.97499999999999</v>
      </c>
      <c r="M197" s="114">
        <v>0</v>
      </c>
      <c r="N197" s="114">
        <v>666.6</v>
      </c>
      <c r="O197" s="114">
        <v>385.9975</v>
      </c>
      <c r="P197" s="114">
        <v>333.3</v>
      </c>
      <c r="Q197" s="114">
        <v>1.1368683772161604E-14</v>
      </c>
      <c r="R197" s="114">
        <v>166.65</v>
      </c>
      <c r="S197" s="114">
        <v>166.65</v>
      </c>
      <c r="T197" s="114">
        <v>166.65</v>
      </c>
      <c r="U197" s="114">
        <v>0</v>
      </c>
      <c r="V197" s="114">
        <v>749.92499999999995</v>
      </c>
      <c r="W197" s="114">
        <v>249.97500000000005</v>
      </c>
      <c r="X197" s="114">
        <v>0</v>
      </c>
      <c r="Y197" s="114">
        <v>666.6</v>
      </c>
      <c r="Z197" s="114">
        <v>0</v>
      </c>
      <c r="AA197" s="114">
        <v>666.6</v>
      </c>
      <c r="AB197" s="114">
        <v>333.3</v>
      </c>
      <c r="AC197" s="114">
        <v>166.65</v>
      </c>
      <c r="AD197" s="114">
        <v>0</v>
      </c>
      <c r="AE197" s="114">
        <v>333.3</v>
      </c>
      <c r="AF197" s="114">
        <v>81.864872971263097</v>
      </c>
      <c r="AG197" s="114">
        <v>499.95</v>
      </c>
      <c r="AH197" s="114">
        <v>249.97499999999999</v>
      </c>
      <c r="AI197" s="114">
        <v>249.97499999999999</v>
      </c>
      <c r="AJ197" s="114">
        <v>249.97499999999999</v>
      </c>
      <c r="AK197" s="114">
        <v>333.3</v>
      </c>
      <c r="AL197" s="114">
        <v>333.3</v>
      </c>
      <c r="AM197" s="114">
        <v>333.3</v>
      </c>
      <c r="AN197" s="114">
        <v>0</v>
      </c>
      <c r="AO197" s="114">
        <v>333.3</v>
      </c>
      <c r="AP197" s="114">
        <v>166.65</v>
      </c>
      <c r="AQ197" s="114">
        <v>0</v>
      </c>
      <c r="AR197" s="114">
        <v>333.3</v>
      </c>
      <c r="AS197" s="114">
        <v>0</v>
      </c>
      <c r="AT197" s="114">
        <v>0</v>
      </c>
      <c r="AU197" s="114">
        <v>499.95</v>
      </c>
      <c r="AV197" s="114">
        <v>249.97499999999999</v>
      </c>
      <c r="AW197" s="114">
        <v>374.8</v>
      </c>
      <c r="AX197" s="114">
        <v>0</v>
      </c>
      <c r="AY197" s="114">
        <v>0</v>
      </c>
    </row>
    <row r="198" spans="1:51" x14ac:dyDescent="0.2">
      <c r="A198" s="117"/>
      <c r="B198" s="127">
        <v>2</v>
      </c>
      <c r="C198" s="114"/>
      <c r="D198" s="114">
        <v>0</v>
      </c>
      <c r="E198" s="114">
        <v>0</v>
      </c>
      <c r="F198" s="114">
        <v>0</v>
      </c>
      <c r="G198" s="114">
        <v>0</v>
      </c>
      <c r="H198" s="114">
        <v>0</v>
      </c>
      <c r="I198" s="114">
        <v>0</v>
      </c>
      <c r="J198" s="114">
        <v>0</v>
      </c>
      <c r="K198" s="114">
        <v>0</v>
      </c>
      <c r="L198" s="114">
        <v>0</v>
      </c>
      <c r="M198" s="114">
        <v>0</v>
      </c>
      <c r="N198" s="114">
        <v>0</v>
      </c>
      <c r="O198" s="114">
        <v>0</v>
      </c>
      <c r="P198" s="114">
        <v>0</v>
      </c>
      <c r="Q198" s="114">
        <v>0</v>
      </c>
      <c r="R198" s="114">
        <v>0</v>
      </c>
      <c r="S198" s="114">
        <v>0</v>
      </c>
      <c r="T198" s="114">
        <v>0</v>
      </c>
      <c r="U198" s="114">
        <v>0</v>
      </c>
      <c r="V198" s="114">
        <v>0</v>
      </c>
      <c r="W198" s="114">
        <v>0</v>
      </c>
      <c r="X198" s="114">
        <v>0</v>
      </c>
      <c r="Y198" s="114">
        <v>0</v>
      </c>
      <c r="Z198" s="114">
        <v>0</v>
      </c>
      <c r="AA198" s="114">
        <v>0</v>
      </c>
      <c r="AB198" s="114">
        <v>0</v>
      </c>
      <c r="AC198" s="114">
        <v>0</v>
      </c>
      <c r="AD198" s="114">
        <v>0</v>
      </c>
      <c r="AE198" s="114">
        <v>0</v>
      </c>
      <c r="AF198" s="114">
        <v>0</v>
      </c>
      <c r="AG198" s="114">
        <v>0</v>
      </c>
      <c r="AH198" s="114">
        <v>0</v>
      </c>
      <c r="AI198" s="114">
        <v>0</v>
      </c>
      <c r="AJ198" s="114">
        <v>0</v>
      </c>
      <c r="AK198" s="114">
        <v>0</v>
      </c>
      <c r="AL198" s="114">
        <v>0</v>
      </c>
      <c r="AM198" s="114">
        <v>0</v>
      </c>
      <c r="AN198" s="114">
        <v>0</v>
      </c>
      <c r="AO198" s="114">
        <v>0</v>
      </c>
      <c r="AP198" s="114">
        <v>0</v>
      </c>
      <c r="AQ198" s="114">
        <v>0</v>
      </c>
      <c r="AR198" s="114">
        <v>0</v>
      </c>
      <c r="AS198" s="114">
        <v>0</v>
      </c>
      <c r="AT198" s="114">
        <v>0</v>
      </c>
      <c r="AU198" s="114">
        <v>0</v>
      </c>
      <c r="AV198" s="114">
        <v>0</v>
      </c>
      <c r="AW198" s="114">
        <v>0</v>
      </c>
      <c r="AX198" s="114">
        <v>0</v>
      </c>
      <c r="AY198" s="114">
        <v>0</v>
      </c>
    </row>
    <row r="199" spans="1:51" x14ac:dyDescent="0.2">
      <c r="A199" s="117"/>
      <c r="B199" s="127">
        <v>3</v>
      </c>
      <c r="C199" s="114"/>
      <c r="D199" s="114">
        <v>0</v>
      </c>
      <c r="E199" s="114">
        <v>0</v>
      </c>
      <c r="F199" s="114">
        <v>0</v>
      </c>
      <c r="G199" s="114">
        <v>0</v>
      </c>
      <c r="H199" s="114">
        <v>0</v>
      </c>
      <c r="I199" s="114">
        <v>0</v>
      </c>
      <c r="J199" s="114">
        <v>0</v>
      </c>
      <c r="K199" s="114">
        <v>0</v>
      </c>
      <c r="L199" s="114">
        <v>0</v>
      </c>
      <c r="M199" s="114">
        <v>0</v>
      </c>
      <c r="N199" s="114">
        <v>0</v>
      </c>
      <c r="O199" s="114">
        <v>0</v>
      </c>
      <c r="P199" s="114">
        <v>0</v>
      </c>
      <c r="Q199" s="114">
        <v>0</v>
      </c>
      <c r="R199" s="114">
        <v>0</v>
      </c>
      <c r="S199" s="114">
        <v>0</v>
      </c>
      <c r="T199" s="114">
        <v>0</v>
      </c>
      <c r="U199" s="114">
        <v>0</v>
      </c>
      <c r="V199" s="114">
        <v>0</v>
      </c>
      <c r="W199" s="114">
        <v>0</v>
      </c>
      <c r="X199" s="114">
        <v>0</v>
      </c>
      <c r="Y199" s="114">
        <v>0</v>
      </c>
      <c r="Z199" s="114">
        <v>0</v>
      </c>
      <c r="AA199" s="114">
        <v>0</v>
      </c>
      <c r="AB199" s="114">
        <v>0</v>
      </c>
      <c r="AC199" s="114">
        <v>0</v>
      </c>
      <c r="AD199" s="114">
        <v>0</v>
      </c>
      <c r="AE199" s="114">
        <v>0</v>
      </c>
      <c r="AF199" s="114">
        <v>0</v>
      </c>
      <c r="AG199" s="114">
        <v>0</v>
      </c>
      <c r="AH199" s="114">
        <v>0</v>
      </c>
      <c r="AI199" s="114">
        <v>0</v>
      </c>
      <c r="AJ199" s="114">
        <v>0</v>
      </c>
      <c r="AK199" s="114">
        <v>0</v>
      </c>
      <c r="AL199" s="114">
        <v>0</v>
      </c>
      <c r="AM199" s="114">
        <v>0</v>
      </c>
      <c r="AN199" s="114">
        <v>0</v>
      </c>
      <c r="AO199" s="114">
        <v>0</v>
      </c>
      <c r="AP199" s="114">
        <v>0</v>
      </c>
      <c r="AQ199" s="114">
        <v>0</v>
      </c>
      <c r="AR199" s="114">
        <v>0</v>
      </c>
      <c r="AS199" s="114">
        <v>0</v>
      </c>
      <c r="AT199" s="114">
        <v>0</v>
      </c>
      <c r="AU199" s="114">
        <v>0</v>
      </c>
      <c r="AV199" s="114">
        <v>0</v>
      </c>
      <c r="AW199" s="114">
        <v>0</v>
      </c>
      <c r="AX199" s="114">
        <v>0</v>
      </c>
      <c r="AY199" s="114">
        <v>0</v>
      </c>
    </row>
    <row r="200" spans="1:51" x14ac:dyDescent="0.2">
      <c r="A200" s="117"/>
      <c r="B200" s="128">
        <v>4</v>
      </c>
      <c r="C200" s="114"/>
      <c r="D200" s="114">
        <v>0</v>
      </c>
      <c r="E200" s="114">
        <v>0</v>
      </c>
      <c r="F200" s="114">
        <v>0</v>
      </c>
      <c r="G200" s="114">
        <v>0</v>
      </c>
      <c r="H200" s="114">
        <v>0</v>
      </c>
      <c r="I200" s="114">
        <v>0</v>
      </c>
      <c r="J200" s="114">
        <v>0</v>
      </c>
      <c r="K200" s="114">
        <v>0</v>
      </c>
      <c r="L200" s="114">
        <v>0</v>
      </c>
      <c r="M200" s="114">
        <v>0</v>
      </c>
      <c r="N200" s="114">
        <v>0</v>
      </c>
      <c r="O200" s="114">
        <v>0</v>
      </c>
      <c r="P200" s="114">
        <v>0</v>
      </c>
      <c r="Q200" s="114">
        <v>0</v>
      </c>
      <c r="R200" s="114">
        <v>0</v>
      </c>
      <c r="S200" s="114">
        <v>0</v>
      </c>
      <c r="T200" s="114">
        <v>0</v>
      </c>
      <c r="U200" s="114">
        <v>0</v>
      </c>
      <c r="V200" s="114">
        <v>0</v>
      </c>
      <c r="W200" s="114">
        <v>0</v>
      </c>
      <c r="X200" s="114">
        <v>0</v>
      </c>
      <c r="Y200" s="114">
        <v>0</v>
      </c>
      <c r="Z200" s="114">
        <v>0</v>
      </c>
      <c r="AA200" s="114">
        <v>0</v>
      </c>
      <c r="AB200" s="114">
        <v>0</v>
      </c>
      <c r="AC200" s="114">
        <v>0</v>
      </c>
      <c r="AD200" s="114">
        <v>0</v>
      </c>
      <c r="AE200" s="114">
        <v>0</v>
      </c>
      <c r="AF200" s="114">
        <v>0</v>
      </c>
      <c r="AG200" s="114">
        <v>0</v>
      </c>
      <c r="AH200" s="114">
        <v>0</v>
      </c>
      <c r="AI200" s="114">
        <v>0</v>
      </c>
      <c r="AJ200" s="114">
        <v>0</v>
      </c>
      <c r="AK200" s="114">
        <v>0</v>
      </c>
      <c r="AL200" s="114">
        <v>0</v>
      </c>
      <c r="AM200" s="114">
        <v>0</v>
      </c>
      <c r="AN200" s="114">
        <v>0</v>
      </c>
      <c r="AO200" s="114">
        <v>0</v>
      </c>
      <c r="AP200" s="114">
        <v>0</v>
      </c>
      <c r="AQ200" s="114">
        <v>0</v>
      </c>
      <c r="AR200" s="114">
        <v>0</v>
      </c>
      <c r="AS200" s="114">
        <v>0</v>
      </c>
      <c r="AT200" s="114">
        <v>0</v>
      </c>
      <c r="AU200" s="114">
        <v>0</v>
      </c>
      <c r="AV200" s="114">
        <v>0</v>
      </c>
      <c r="AW200" s="114">
        <v>0</v>
      </c>
      <c r="AX200" s="114">
        <v>0</v>
      </c>
      <c r="AY200" s="114">
        <v>0</v>
      </c>
    </row>
    <row r="201" spans="1:51" x14ac:dyDescent="0.2">
      <c r="A201" s="117"/>
      <c r="B201" s="128">
        <v>5</v>
      </c>
      <c r="C201" s="114"/>
      <c r="D201" s="114">
        <v>0</v>
      </c>
      <c r="E201" s="114">
        <v>0</v>
      </c>
      <c r="F201" s="114">
        <v>0</v>
      </c>
      <c r="G201" s="114">
        <v>0</v>
      </c>
      <c r="H201" s="114">
        <v>0</v>
      </c>
      <c r="I201" s="114">
        <v>0</v>
      </c>
      <c r="J201" s="114">
        <v>0</v>
      </c>
      <c r="K201" s="114">
        <v>0</v>
      </c>
      <c r="L201" s="114">
        <v>0</v>
      </c>
      <c r="M201" s="114">
        <v>0</v>
      </c>
      <c r="N201" s="114">
        <v>0</v>
      </c>
      <c r="O201" s="114">
        <v>0</v>
      </c>
      <c r="P201" s="114">
        <v>0</v>
      </c>
      <c r="Q201" s="114">
        <v>0</v>
      </c>
      <c r="R201" s="114">
        <v>0</v>
      </c>
      <c r="S201" s="114">
        <v>0</v>
      </c>
      <c r="T201" s="114">
        <v>0</v>
      </c>
      <c r="U201" s="114">
        <v>0</v>
      </c>
      <c r="V201" s="114">
        <v>0</v>
      </c>
      <c r="W201" s="114">
        <v>0</v>
      </c>
      <c r="X201" s="114">
        <v>0</v>
      </c>
      <c r="Y201" s="114">
        <v>0</v>
      </c>
      <c r="Z201" s="114">
        <v>0</v>
      </c>
      <c r="AA201" s="114">
        <v>0</v>
      </c>
      <c r="AB201" s="114">
        <v>0</v>
      </c>
      <c r="AC201" s="114">
        <v>0</v>
      </c>
      <c r="AD201" s="114">
        <v>0</v>
      </c>
      <c r="AE201" s="114">
        <v>0</v>
      </c>
      <c r="AF201" s="114">
        <v>0</v>
      </c>
      <c r="AG201" s="114">
        <v>0</v>
      </c>
      <c r="AH201" s="114">
        <v>0</v>
      </c>
      <c r="AI201" s="114">
        <v>0</v>
      </c>
      <c r="AJ201" s="114">
        <v>0</v>
      </c>
      <c r="AK201" s="114">
        <v>0</v>
      </c>
      <c r="AL201" s="114">
        <v>0</v>
      </c>
      <c r="AM201" s="114">
        <v>0</v>
      </c>
      <c r="AN201" s="114">
        <v>0</v>
      </c>
      <c r="AO201" s="114">
        <v>0</v>
      </c>
      <c r="AP201" s="114">
        <v>0</v>
      </c>
      <c r="AQ201" s="114">
        <v>0</v>
      </c>
      <c r="AR201" s="114">
        <v>0</v>
      </c>
      <c r="AS201" s="114">
        <v>0</v>
      </c>
      <c r="AT201" s="114">
        <v>0</v>
      </c>
      <c r="AU201" s="114">
        <v>0</v>
      </c>
      <c r="AV201" s="114">
        <v>0</v>
      </c>
      <c r="AW201" s="114">
        <v>0</v>
      </c>
      <c r="AX201" s="114">
        <v>0</v>
      </c>
      <c r="AY201" s="114">
        <v>0</v>
      </c>
    </row>
    <row r="202" spans="1:51" x14ac:dyDescent="0.2">
      <c r="A202" s="117"/>
      <c r="B202" s="128">
        <v>6</v>
      </c>
      <c r="C202" s="114"/>
      <c r="D202" s="114">
        <v>0</v>
      </c>
      <c r="E202" s="114">
        <v>0</v>
      </c>
      <c r="F202" s="114">
        <v>0</v>
      </c>
      <c r="G202" s="114">
        <v>0</v>
      </c>
      <c r="H202" s="114">
        <v>0</v>
      </c>
      <c r="I202" s="114">
        <v>0</v>
      </c>
      <c r="J202" s="114">
        <v>0</v>
      </c>
      <c r="K202" s="114">
        <v>0</v>
      </c>
      <c r="L202" s="114">
        <v>0</v>
      </c>
      <c r="M202" s="114">
        <v>0</v>
      </c>
      <c r="N202" s="114">
        <v>0</v>
      </c>
      <c r="O202" s="114">
        <v>0</v>
      </c>
      <c r="P202" s="114">
        <v>0</v>
      </c>
      <c r="Q202" s="114">
        <v>0</v>
      </c>
      <c r="R202" s="114">
        <v>0</v>
      </c>
      <c r="S202" s="114">
        <v>0</v>
      </c>
      <c r="T202" s="114">
        <v>0</v>
      </c>
      <c r="U202" s="114">
        <v>0</v>
      </c>
      <c r="V202" s="114">
        <v>0</v>
      </c>
      <c r="W202" s="114">
        <v>0</v>
      </c>
      <c r="X202" s="114">
        <v>0</v>
      </c>
      <c r="Y202" s="114">
        <v>0</v>
      </c>
      <c r="Z202" s="114">
        <v>0</v>
      </c>
      <c r="AA202" s="114">
        <v>0</v>
      </c>
      <c r="AB202" s="114">
        <v>0</v>
      </c>
      <c r="AC202" s="114">
        <v>0</v>
      </c>
      <c r="AD202" s="114">
        <v>0</v>
      </c>
      <c r="AE202" s="114">
        <v>0</v>
      </c>
      <c r="AF202" s="114">
        <v>0</v>
      </c>
      <c r="AG202" s="114">
        <v>0</v>
      </c>
      <c r="AH202" s="114">
        <v>0</v>
      </c>
      <c r="AI202" s="114">
        <v>0</v>
      </c>
      <c r="AJ202" s="114">
        <v>0</v>
      </c>
      <c r="AK202" s="114">
        <v>0</v>
      </c>
      <c r="AL202" s="114">
        <v>0</v>
      </c>
      <c r="AM202" s="114">
        <v>0</v>
      </c>
      <c r="AN202" s="114">
        <v>0</v>
      </c>
      <c r="AO202" s="114">
        <v>0</v>
      </c>
      <c r="AP202" s="114">
        <v>0</v>
      </c>
      <c r="AQ202" s="114">
        <v>0</v>
      </c>
      <c r="AR202" s="114">
        <v>0</v>
      </c>
      <c r="AS202" s="114">
        <v>0</v>
      </c>
      <c r="AT202" s="114">
        <v>0</v>
      </c>
      <c r="AU202" s="114">
        <v>0</v>
      </c>
      <c r="AV202" s="114">
        <v>0</v>
      </c>
      <c r="AW202" s="114">
        <v>0</v>
      </c>
      <c r="AX202" s="114">
        <v>0</v>
      </c>
      <c r="AY202" s="114">
        <v>0</v>
      </c>
    </row>
    <row r="203" spans="1:51" x14ac:dyDescent="0.2">
      <c r="A203" s="117"/>
      <c r="B203" s="135">
        <v>7</v>
      </c>
      <c r="C203" s="114"/>
      <c r="D203" s="114">
        <v>0</v>
      </c>
      <c r="E203" s="114">
        <v>0</v>
      </c>
      <c r="F203" s="114">
        <v>0</v>
      </c>
      <c r="G203" s="114">
        <v>0</v>
      </c>
      <c r="H203" s="114">
        <v>0</v>
      </c>
      <c r="I203" s="114">
        <v>0</v>
      </c>
      <c r="J203" s="114">
        <v>0</v>
      </c>
      <c r="K203" s="114">
        <v>0</v>
      </c>
      <c r="L203" s="114">
        <v>0</v>
      </c>
      <c r="M203" s="114">
        <v>0</v>
      </c>
      <c r="N203" s="114">
        <v>0</v>
      </c>
      <c r="O203" s="114">
        <v>0</v>
      </c>
      <c r="P203" s="114">
        <v>0</v>
      </c>
      <c r="Q203" s="114">
        <v>0</v>
      </c>
      <c r="R203" s="114">
        <v>0</v>
      </c>
      <c r="S203" s="114">
        <v>0</v>
      </c>
      <c r="T203" s="114">
        <v>0</v>
      </c>
      <c r="U203" s="114">
        <v>0</v>
      </c>
      <c r="V203" s="114">
        <v>0</v>
      </c>
      <c r="W203" s="114">
        <v>0</v>
      </c>
      <c r="X203" s="114">
        <v>0</v>
      </c>
      <c r="Y203" s="114">
        <v>0</v>
      </c>
      <c r="Z203" s="114">
        <v>0</v>
      </c>
      <c r="AA203" s="114">
        <v>0</v>
      </c>
      <c r="AB203" s="114">
        <v>0</v>
      </c>
      <c r="AC203" s="114">
        <v>0</v>
      </c>
      <c r="AD203" s="114">
        <v>0</v>
      </c>
      <c r="AE203" s="114">
        <v>0</v>
      </c>
      <c r="AF203" s="114">
        <v>0</v>
      </c>
      <c r="AG203" s="114">
        <v>0</v>
      </c>
      <c r="AH203" s="114">
        <v>0</v>
      </c>
      <c r="AI203" s="114">
        <v>0</v>
      </c>
      <c r="AJ203" s="114">
        <v>0</v>
      </c>
      <c r="AK203" s="114">
        <v>0</v>
      </c>
      <c r="AL203" s="114">
        <v>0</v>
      </c>
      <c r="AM203" s="114">
        <v>0</v>
      </c>
      <c r="AN203" s="114">
        <v>0</v>
      </c>
      <c r="AO203" s="114">
        <v>0</v>
      </c>
      <c r="AP203" s="114">
        <v>0</v>
      </c>
      <c r="AQ203" s="114">
        <v>0</v>
      </c>
      <c r="AR203" s="114">
        <v>0</v>
      </c>
      <c r="AS203" s="114">
        <v>0</v>
      </c>
      <c r="AT203" s="114">
        <v>0</v>
      </c>
      <c r="AU203" s="114">
        <v>0</v>
      </c>
      <c r="AV203" s="114">
        <v>0</v>
      </c>
      <c r="AW203" s="114">
        <v>0</v>
      </c>
      <c r="AX203" s="114">
        <v>0</v>
      </c>
      <c r="AY203" s="114">
        <v>0</v>
      </c>
    </row>
    <row r="204" spans="1:51" x14ac:dyDescent="0.2">
      <c r="A204" s="117"/>
      <c r="B204" s="135">
        <v>8</v>
      </c>
      <c r="C204" s="114"/>
      <c r="D204" s="114">
        <v>0</v>
      </c>
      <c r="E204" s="114">
        <v>0</v>
      </c>
      <c r="F204" s="114">
        <v>0</v>
      </c>
      <c r="G204" s="114">
        <v>0</v>
      </c>
      <c r="H204" s="114">
        <v>0</v>
      </c>
      <c r="I204" s="114">
        <v>0</v>
      </c>
      <c r="J204" s="114">
        <v>0</v>
      </c>
      <c r="K204" s="114">
        <v>0</v>
      </c>
      <c r="L204" s="114">
        <v>0</v>
      </c>
      <c r="M204" s="114">
        <v>0</v>
      </c>
      <c r="N204" s="114">
        <v>0</v>
      </c>
      <c r="O204" s="114">
        <v>0</v>
      </c>
      <c r="P204" s="114">
        <v>0</v>
      </c>
      <c r="Q204" s="114">
        <v>0</v>
      </c>
      <c r="R204" s="114">
        <v>0</v>
      </c>
      <c r="S204" s="114">
        <v>0</v>
      </c>
      <c r="T204" s="114">
        <v>0</v>
      </c>
      <c r="U204" s="114">
        <v>0</v>
      </c>
      <c r="V204" s="114">
        <v>0</v>
      </c>
      <c r="W204" s="114">
        <v>0</v>
      </c>
      <c r="X204" s="114">
        <v>0</v>
      </c>
      <c r="Y204" s="114">
        <v>0</v>
      </c>
      <c r="Z204" s="114">
        <v>0</v>
      </c>
      <c r="AA204" s="114">
        <v>0</v>
      </c>
      <c r="AB204" s="114">
        <v>0</v>
      </c>
      <c r="AC204" s="114">
        <v>0</v>
      </c>
      <c r="AD204" s="114">
        <v>0</v>
      </c>
      <c r="AE204" s="114">
        <v>0</v>
      </c>
      <c r="AF204" s="114">
        <v>0</v>
      </c>
      <c r="AG204" s="114">
        <v>0</v>
      </c>
      <c r="AH204" s="114">
        <v>0</v>
      </c>
      <c r="AI204" s="114">
        <v>0</v>
      </c>
      <c r="AJ204" s="114">
        <v>0</v>
      </c>
      <c r="AK204" s="114">
        <v>0</v>
      </c>
      <c r="AL204" s="114">
        <v>0</v>
      </c>
      <c r="AM204" s="114">
        <v>0</v>
      </c>
      <c r="AN204" s="114">
        <v>0</v>
      </c>
      <c r="AO204" s="114">
        <v>0</v>
      </c>
      <c r="AP204" s="114">
        <v>0</v>
      </c>
      <c r="AQ204" s="114">
        <v>0</v>
      </c>
      <c r="AR204" s="114">
        <v>0</v>
      </c>
      <c r="AS204" s="114">
        <v>0</v>
      </c>
      <c r="AT204" s="114">
        <v>0</v>
      </c>
      <c r="AU204" s="114">
        <v>0</v>
      </c>
      <c r="AV204" s="114">
        <v>0</v>
      </c>
      <c r="AW204" s="114">
        <v>0</v>
      </c>
      <c r="AX204" s="114">
        <v>0</v>
      </c>
      <c r="AY204" s="114">
        <v>0</v>
      </c>
    </row>
    <row r="205" spans="1:51" x14ac:dyDescent="0.2">
      <c r="A205" s="117"/>
      <c r="B205" s="135">
        <v>9</v>
      </c>
      <c r="C205" s="114"/>
      <c r="D205" s="114">
        <v>0</v>
      </c>
      <c r="E205" s="114">
        <v>0</v>
      </c>
      <c r="F205" s="114">
        <v>0</v>
      </c>
      <c r="G205" s="114">
        <v>0</v>
      </c>
      <c r="H205" s="114">
        <v>0</v>
      </c>
      <c r="I205" s="114">
        <v>0</v>
      </c>
      <c r="J205" s="114">
        <v>0</v>
      </c>
      <c r="K205" s="114">
        <v>0</v>
      </c>
      <c r="L205" s="114">
        <v>0</v>
      </c>
      <c r="M205" s="114">
        <v>0</v>
      </c>
      <c r="N205" s="114">
        <v>0</v>
      </c>
      <c r="O205" s="114">
        <v>0</v>
      </c>
      <c r="P205" s="114">
        <v>0</v>
      </c>
      <c r="Q205" s="114">
        <v>0</v>
      </c>
      <c r="R205" s="114">
        <v>0</v>
      </c>
      <c r="S205" s="114">
        <v>0</v>
      </c>
      <c r="T205" s="114">
        <v>0</v>
      </c>
      <c r="U205" s="114">
        <v>0</v>
      </c>
      <c r="V205" s="114">
        <v>0</v>
      </c>
      <c r="W205" s="114">
        <v>0</v>
      </c>
      <c r="X205" s="114">
        <v>0</v>
      </c>
      <c r="Y205" s="114">
        <v>0</v>
      </c>
      <c r="Z205" s="114">
        <v>0</v>
      </c>
      <c r="AA205" s="114">
        <v>0</v>
      </c>
      <c r="AB205" s="114">
        <v>0</v>
      </c>
      <c r="AC205" s="114">
        <v>0</v>
      </c>
      <c r="AD205" s="114">
        <v>0</v>
      </c>
      <c r="AE205" s="114">
        <v>0</v>
      </c>
      <c r="AF205" s="114">
        <v>0</v>
      </c>
      <c r="AG205" s="114">
        <v>0</v>
      </c>
      <c r="AH205" s="114">
        <v>0</v>
      </c>
      <c r="AI205" s="114">
        <v>0</v>
      </c>
      <c r="AJ205" s="114">
        <v>0</v>
      </c>
      <c r="AK205" s="114">
        <v>0</v>
      </c>
      <c r="AL205" s="114">
        <v>0</v>
      </c>
      <c r="AM205" s="114">
        <v>0</v>
      </c>
      <c r="AN205" s="114">
        <v>0</v>
      </c>
      <c r="AO205" s="114">
        <v>0</v>
      </c>
      <c r="AP205" s="114">
        <v>0</v>
      </c>
      <c r="AQ205" s="114">
        <v>0</v>
      </c>
      <c r="AR205" s="114">
        <v>0</v>
      </c>
      <c r="AS205" s="114">
        <v>0</v>
      </c>
      <c r="AT205" s="114">
        <v>0</v>
      </c>
      <c r="AU205" s="114">
        <v>0</v>
      </c>
      <c r="AV205" s="114">
        <v>0</v>
      </c>
      <c r="AW205" s="114">
        <v>0</v>
      </c>
      <c r="AX205" s="114">
        <v>0</v>
      </c>
      <c r="AY205" s="114">
        <v>0</v>
      </c>
    </row>
    <row r="206" spans="1:51" x14ac:dyDescent="0.2">
      <c r="A206" s="117"/>
      <c r="B206" s="138">
        <v>10</v>
      </c>
      <c r="C206" s="114"/>
      <c r="D206" s="114">
        <v>0</v>
      </c>
      <c r="E206" s="114">
        <v>0</v>
      </c>
      <c r="F206" s="114">
        <v>0</v>
      </c>
      <c r="G206" s="114">
        <v>0</v>
      </c>
      <c r="H206" s="114">
        <v>0</v>
      </c>
      <c r="I206" s="114">
        <v>0</v>
      </c>
      <c r="J206" s="114">
        <v>0</v>
      </c>
      <c r="K206" s="114">
        <v>0</v>
      </c>
      <c r="L206" s="114">
        <v>0</v>
      </c>
      <c r="M206" s="114">
        <v>0</v>
      </c>
      <c r="N206" s="114">
        <v>0</v>
      </c>
      <c r="O206" s="114">
        <v>0</v>
      </c>
      <c r="P206" s="114">
        <v>0</v>
      </c>
      <c r="Q206" s="114">
        <v>0</v>
      </c>
      <c r="R206" s="114">
        <v>0</v>
      </c>
      <c r="S206" s="114">
        <v>0</v>
      </c>
      <c r="T206" s="114">
        <v>0</v>
      </c>
      <c r="U206" s="114">
        <v>0</v>
      </c>
      <c r="V206" s="114">
        <v>0</v>
      </c>
      <c r="W206" s="114">
        <v>0</v>
      </c>
      <c r="X206" s="114">
        <v>0</v>
      </c>
      <c r="Y206" s="114">
        <v>0</v>
      </c>
      <c r="Z206" s="114">
        <v>0</v>
      </c>
      <c r="AA206" s="114">
        <v>0</v>
      </c>
      <c r="AB206" s="114">
        <v>0</v>
      </c>
      <c r="AC206" s="114">
        <v>0</v>
      </c>
      <c r="AD206" s="114">
        <v>0</v>
      </c>
      <c r="AE206" s="114">
        <v>0</v>
      </c>
      <c r="AF206" s="114">
        <v>0</v>
      </c>
      <c r="AG206" s="114">
        <v>0</v>
      </c>
      <c r="AH206" s="114">
        <v>0</v>
      </c>
      <c r="AI206" s="114">
        <v>0</v>
      </c>
      <c r="AJ206" s="114">
        <v>0</v>
      </c>
      <c r="AK206" s="114">
        <v>0</v>
      </c>
      <c r="AL206" s="114">
        <v>0</v>
      </c>
      <c r="AM206" s="114">
        <v>0</v>
      </c>
      <c r="AN206" s="114">
        <v>0</v>
      </c>
      <c r="AO206" s="114">
        <v>0</v>
      </c>
      <c r="AP206" s="114">
        <v>0</v>
      </c>
      <c r="AQ206" s="114">
        <v>0</v>
      </c>
      <c r="AR206" s="114">
        <v>0</v>
      </c>
      <c r="AS206" s="114">
        <v>0</v>
      </c>
      <c r="AT206" s="114">
        <v>0</v>
      </c>
      <c r="AU206" s="114">
        <v>0</v>
      </c>
      <c r="AV206" s="114">
        <v>0</v>
      </c>
      <c r="AW206" s="114">
        <v>0</v>
      </c>
      <c r="AX206" s="114">
        <v>0</v>
      </c>
      <c r="AY206" s="114">
        <v>0</v>
      </c>
    </row>
    <row r="207" spans="1:51" x14ac:dyDescent="0.2">
      <c r="A207" s="117"/>
      <c r="B207" s="138">
        <v>11</v>
      </c>
      <c r="C207" s="114"/>
      <c r="D207" s="114">
        <v>0</v>
      </c>
      <c r="E207" s="114">
        <v>0</v>
      </c>
      <c r="F207" s="114">
        <v>0</v>
      </c>
      <c r="G207" s="114">
        <v>0</v>
      </c>
      <c r="H207" s="114">
        <v>0</v>
      </c>
      <c r="I207" s="114">
        <v>0</v>
      </c>
      <c r="J207" s="114">
        <v>0</v>
      </c>
      <c r="K207" s="114">
        <v>0</v>
      </c>
      <c r="L207" s="114">
        <v>0</v>
      </c>
      <c r="M207" s="114">
        <v>0</v>
      </c>
      <c r="N207" s="114">
        <v>0</v>
      </c>
      <c r="O207" s="114">
        <v>0</v>
      </c>
      <c r="P207" s="114">
        <v>0</v>
      </c>
      <c r="Q207" s="114">
        <v>0</v>
      </c>
      <c r="R207" s="114">
        <v>0</v>
      </c>
      <c r="S207" s="114">
        <v>0</v>
      </c>
      <c r="T207" s="114">
        <v>0</v>
      </c>
      <c r="U207" s="114">
        <v>0</v>
      </c>
      <c r="V207" s="114">
        <v>0</v>
      </c>
      <c r="W207" s="114">
        <v>0</v>
      </c>
      <c r="X207" s="114">
        <v>0</v>
      </c>
      <c r="Y207" s="114">
        <v>0</v>
      </c>
      <c r="Z207" s="114">
        <v>0</v>
      </c>
      <c r="AA207" s="114">
        <v>0</v>
      </c>
      <c r="AB207" s="114">
        <v>0</v>
      </c>
      <c r="AC207" s="114">
        <v>0</v>
      </c>
      <c r="AD207" s="114">
        <v>0</v>
      </c>
      <c r="AE207" s="114">
        <v>0</v>
      </c>
      <c r="AF207" s="114">
        <v>0</v>
      </c>
      <c r="AG207" s="114">
        <v>0</v>
      </c>
      <c r="AH207" s="114">
        <v>0</v>
      </c>
      <c r="AI207" s="114">
        <v>0</v>
      </c>
      <c r="AJ207" s="114">
        <v>0</v>
      </c>
      <c r="AK207" s="114">
        <v>0</v>
      </c>
      <c r="AL207" s="114">
        <v>0</v>
      </c>
      <c r="AM207" s="114">
        <v>0</v>
      </c>
      <c r="AN207" s="114">
        <v>0</v>
      </c>
      <c r="AO207" s="114">
        <v>0</v>
      </c>
      <c r="AP207" s="114">
        <v>0</v>
      </c>
      <c r="AQ207" s="114">
        <v>0</v>
      </c>
      <c r="AR207" s="114">
        <v>0</v>
      </c>
      <c r="AS207" s="114">
        <v>0</v>
      </c>
      <c r="AT207" s="114">
        <v>0</v>
      </c>
      <c r="AU207" s="114">
        <v>0</v>
      </c>
      <c r="AV207" s="114">
        <v>0</v>
      </c>
      <c r="AW207" s="114">
        <v>0</v>
      </c>
      <c r="AX207" s="114">
        <v>0</v>
      </c>
      <c r="AY207" s="114">
        <v>0</v>
      </c>
    </row>
    <row r="208" spans="1:51" x14ac:dyDescent="0.2">
      <c r="A208" s="117"/>
      <c r="B208" s="138">
        <v>12</v>
      </c>
      <c r="C208" s="114"/>
      <c r="D208" s="114">
        <v>0</v>
      </c>
      <c r="E208" s="114">
        <v>0</v>
      </c>
      <c r="F208" s="114">
        <v>0</v>
      </c>
      <c r="G208" s="114">
        <v>0</v>
      </c>
      <c r="H208" s="114">
        <v>0</v>
      </c>
      <c r="I208" s="114">
        <v>0</v>
      </c>
      <c r="J208" s="114">
        <v>0</v>
      </c>
      <c r="K208" s="114">
        <v>0</v>
      </c>
      <c r="L208" s="114">
        <v>0</v>
      </c>
      <c r="M208" s="114">
        <v>0</v>
      </c>
      <c r="N208" s="114">
        <v>0</v>
      </c>
      <c r="O208" s="114">
        <v>0</v>
      </c>
      <c r="P208" s="114">
        <v>0</v>
      </c>
      <c r="Q208" s="114">
        <v>0</v>
      </c>
      <c r="R208" s="114">
        <v>0</v>
      </c>
      <c r="S208" s="114">
        <v>0</v>
      </c>
      <c r="T208" s="114">
        <v>0</v>
      </c>
      <c r="U208" s="114">
        <v>0</v>
      </c>
      <c r="V208" s="114">
        <v>0</v>
      </c>
      <c r="W208" s="114">
        <v>0</v>
      </c>
      <c r="X208" s="114">
        <v>0</v>
      </c>
      <c r="Y208" s="114">
        <v>0</v>
      </c>
      <c r="Z208" s="114">
        <v>0</v>
      </c>
      <c r="AA208" s="114">
        <v>0</v>
      </c>
      <c r="AB208" s="114">
        <v>0</v>
      </c>
      <c r="AC208" s="114">
        <v>0</v>
      </c>
      <c r="AD208" s="114">
        <v>0</v>
      </c>
      <c r="AE208" s="114">
        <v>0</v>
      </c>
      <c r="AF208" s="114">
        <v>0</v>
      </c>
      <c r="AG208" s="114">
        <v>0</v>
      </c>
      <c r="AH208" s="114">
        <v>0</v>
      </c>
      <c r="AI208" s="114">
        <v>0</v>
      </c>
      <c r="AJ208" s="114">
        <v>0</v>
      </c>
      <c r="AK208" s="114">
        <v>0</v>
      </c>
      <c r="AL208" s="114">
        <v>0</v>
      </c>
      <c r="AM208" s="114">
        <v>0</v>
      </c>
      <c r="AN208" s="114">
        <v>0</v>
      </c>
      <c r="AO208" s="114">
        <v>0</v>
      </c>
      <c r="AP208" s="114">
        <v>0</v>
      </c>
      <c r="AQ208" s="114">
        <v>0</v>
      </c>
      <c r="AR208" s="114">
        <v>0</v>
      </c>
      <c r="AS208" s="114">
        <v>0</v>
      </c>
      <c r="AT208" s="114">
        <v>0</v>
      </c>
      <c r="AU208" s="114">
        <v>0</v>
      </c>
      <c r="AV208" s="114">
        <v>0</v>
      </c>
      <c r="AW208" s="114">
        <v>0</v>
      </c>
      <c r="AX208" s="114">
        <v>0</v>
      </c>
      <c r="AY208" s="114">
        <v>0</v>
      </c>
    </row>
    <row r="209" spans="1:51" x14ac:dyDescent="0.2">
      <c r="A209" s="134" t="s">
        <v>123</v>
      </c>
      <c r="B209" s="131">
        <v>1</v>
      </c>
      <c r="C209" s="132"/>
      <c r="D209" s="132">
        <v>0</v>
      </c>
      <c r="E209" s="132">
        <v>0</v>
      </c>
      <c r="F209" s="132">
        <v>0</v>
      </c>
      <c r="G209" s="132">
        <v>0</v>
      </c>
      <c r="H209" s="132">
        <v>583.27499999999975</v>
      </c>
      <c r="I209" s="132">
        <v>583.27499999999998</v>
      </c>
      <c r="J209" s="132">
        <v>583.27499999999998</v>
      </c>
      <c r="K209" s="132">
        <v>583.27499999999998</v>
      </c>
      <c r="L209" s="132">
        <v>0</v>
      </c>
      <c r="M209" s="132">
        <v>368.20625000000001</v>
      </c>
      <c r="N209" s="132">
        <v>499.94999999999993</v>
      </c>
      <c r="O209" s="132">
        <v>499.94999999999993</v>
      </c>
      <c r="P209" s="132">
        <v>0</v>
      </c>
      <c r="Q209" s="132">
        <v>0</v>
      </c>
      <c r="R209" s="132">
        <v>666.6</v>
      </c>
      <c r="S209" s="132">
        <v>0</v>
      </c>
      <c r="T209" s="132">
        <v>0</v>
      </c>
      <c r="U209" s="132">
        <v>583.27499999999975</v>
      </c>
      <c r="V209" s="132">
        <v>583.27499999999998</v>
      </c>
      <c r="W209" s="132">
        <v>0</v>
      </c>
      <c r="X209" s="132">
        <v>499.95</v>
      </c>
      <c r="Y209" s="132">
        <v>0</v>
      </c>
      <c r="Z209" s="132">
        <v>499.95</v>
      </c>
      <c r="AA209" s="132">
        <v>499.95</v>
      </c>
      <c r="AB209" s="132">
        <v>666.6</v>
      </c>
      <c r="AC209" s="132">
        <v>0</v>
      </c>
      <c r="AD209" s="132">
        <v>257.27563514368455</v>
      </c>
      <c r="AE209" s="132">
        <v>0</v>
      </c>
      <c r="AF209" s="132">
        <v>583.27499999999998</v>
      </c>
      <c r="AG209" s="132">
        <v>583.27499999999998</v>
      </c>
      <c r="AH209" s="132">
        <v>583.27499999999998</v>
      </c>
      <c r="AI209" s="132">
        <v>583.27499999999998</v>
      </c>
      <c r="AJ209" s="132">
        <v>499.95</v>
      </c>
      <c r="AK209" s="132">
        <v>499.95</v>
      </c>
      <c r="AL209" s="132">
        <v>499.95</v>
      </c>
      <c r="AM209" s="132">
        <v>0</v>
      </c>
      <c r="AN209" s="132">
        <v>666.6</v>
      </c>
      <c r="AO209" s="132">
        <v>666.6</v>
      </c>
      <c r="AP209" s="132">
        <v>0</v>
      </c>
      <c r="AQ209" s="132">
        <v>666.6</v>
      </c>
      <c r="AR209" s="132">
        <v>0</v>
      </c>
      <c r="AS209" s="132">
        <v>0</v>
      </c>
      <c r="AT209" s="132">
        <v>0</v>
      </c>
      <c r="AU209" s="132">
        <v>0</v>
      </c>
      <c r="AV209" s="132">
        <v>562.19999999999993</v>
      </c>
      <c r="AW209" s="132">
        <v>0</v>
      </c>
      <c r="AX209" s="132">
        <v>0</v>
      </c>
      <c r="AY209" s="132">
        <v>0</v>
      </c>
    </row>
    <row r="210" spans="1:51" x14ac:dyDescent="0.2">
      <c r="A210" s="117"/>
      <c r="B210" s="127">
        <v>2</v>
      </c>
      <c r="C210" s="114"/>
      <c r="D210" s="118">
        <v>0</v>
      </c>
      <c r="E210" s="118">
        <v>0</v>
      </c>
      <c r="F210" s="118">
        <v>0</v>
      </c>
      <c r="G210" s="118">
        <v>0</v>
      </c>
      <c r="H210" s="118">
        <v>583.27499999999998</v>
      </c>
      <c r="I210" s="118">
        <v>1.5916157281026243E-13</v>
      </c>
      <c r="J210" s="118">
        <v>0</v>
      </c>
      <c r="K210" s="118">
        <v>0</v>
      </c>
      <c r="L210" s="118">
        <v>0</v>
      </c>
      <c r="M210" s="118">
        <v>499.95</v>
      </c>
      <c r="N210" s="118">
        <v>79.046249999999986</v>
      </c>
      <c r="O210" s="118">
        <v>3.4106051316484808E-14</v>
      </c>
      <c r="P210" s="118">
        <v>4.5474735088646414E-14</v>
      </c>
      <c r="Q210" s="118">
        <v>666.6</v>
      </c>
      <c r="R210" s="118">
        <v>0</v>
      </c>
      <c r="S210" s="118">
        <v>0</v>
      </c>
      <c r="T210" s="118">
        <v>0</v>
      </c>
      <c r="U210" s="118">
        <v>583.27499999999998</v>
      </c>
      <c r="V210" s="118">
        <v>1.5916157281026243E-13</v>
      </c>
      <c r="W210" s="118">
        <v>0</v>
      </c>
      <c r="X210" s="118">
        <v>499.95</v>
      </c>
      <c r="Y210" s="118">
        <v>0</v>
      </c>
      <c r="Z210" s="118">
        <v>499.95</v>
      </c>
      <c r="AA210" s="118">
        <v>0</v>
      </c>
      <c r="AB210" s="118">
        <v>0</v>
      </c>
      <c r="AC210" s="118">
        <v>0</v>
      </c>
      <c r="AD210" s="118">
        <v>666.6</v>
      </c>
      <c r="AE210" s="118">
        <v>327.45949188505239</v>
      </c>
      <c r="AF210" s="118">
        <v>583.27499999999998</v>
      </c>
      <c r="AG210" s="118">
        <v>0</v>
      </c>
      <c r="AH210" s="118">
        <v>0</v>
      </c>
      <c r="AI210" s="118">
        <v>0</v>
      </c>
      <c r="AJ210" s="118">
        <v>0</v>
      </c>
      <c r="AK210" s="118">
        <v>0</v>
      </c>
      <c r="AL210" s="118">
        <v>0</v>
      </c>
      <c r="AM210" s="118">
        <v>0</v>
      </c>
      <c r="AN210" s="118">
        <v>666.6</v>
      </c>
      <c r="AO210" s="118">
        <v>0</v>
      </c>
      <c r="AP210" s="118">
        <v>0</v>
      </c>
      <c r="AQ210" s="118">
        <v>666.6</v>
      </c>
      <c r="AR210" s="118">
        <v>0</v>
      </c>
      <c r="AS210" s="118">
        <v>0</v>
      </c>
      <c r="AT210" s="118">
        <v>583.27499999999998</v>
      </c>
      <c r="AU210" s="118">
        <v>583.27499999999998</v>
      </c>
      <c r="AV210" s="118">
        <v>0</v>
      </c>
      <c r="AW210" s="118">
        <v>0</v>
      </c>
      <c r="AX210" s="118">
        <v>0</v>
      </c>
      <c r="AY210" s="118">
        <v>499.95</v>
      </c>
    </row>
    <row r="211" spans="1:51" x14ac:dyDescent="0.2">
      <c r="A211" s="117"/>
      <c r="B211" s="127">
        <v>3</v>
      </c>
      <c r="C211" s="114"/>
      <c r="D211" s="118">
        <v>0</v>
      </c>
      <c r="E211" s="118">
        <v>0</v>
      </c>
      <c r="F211" s="118">
        <v>0</v>
      </c>
      <c r="G211" s="118">
        <v>0</v>
      </c>
      <c r="H211" s="118">
        <v>583.27499999999998</v>
      </c>
      <c r="I211" s="118">
        <v>0</v>
      </c>
      <c r="J211" s="118">
        <v>0</v>
      </c>
      <c r="K211" s="118">
        <v>0</v>
      </c>
      <c r="L211" s="118">
        <v>0</v>
      </c>
      <c r="M211" s="118">
        <v>0</v>
      </c>
      <c r="N211" s="118">
        <v>0</v>
      </c>
      <c r="O211" s="118">
        <v>0</v>
      </c>
      <c r="P211" s="118">
        <v>0</v>
      </c>
      <c r="Q211" s="118">
        <v>0</v>
      </c>
      <c r="R211" s="118">
        <v>0</v>
      </c>
      <c r="S211" s="118">
        <v>666.6</v>
      </c>
      <c r="T211" s="118">
        <v>0</v>
      </c>
      <c r="U211" s="118">
        <v>583.27499999999998</v>
      </c>
      <c r="V211" s="118">
        <v>0</v>
      </c>
      <c r="W211" s="118">
        <v>0</v>
      </c>
      <c r="X211" s="118">
        <v>0</v>
      </c>
      <c r="Y211" s="118">
        <v>0</v>
      </c>
      <c r="Z211" s="118">
        <v>0</v>
      </c>
      <c r="AA211" s="118">
        <v>0</v>
      </c>
      <c r="AB211" s="118">
        <v>0</v>
      </c>
      <c r="AC211" s="118">
        <v>0</v>
      </c>
      <c r="AD211" s="118">
        <v>0</v>
      </c>
      <c r="AE211" s="118">
        <v>0</v>
      </c>
      <c r="AF211" s="118">
        <v>0</v>
      </c>
      <c r="AG211" s="118">
        <v>0</v>
      </c>
      <c r="AH211" s="118">
        <v>0</v>
      </c>
      <c r="AI211" s="118">
        <v>0</v>
      </c>
      <c r="AJ211" s="118">
        <v>0</v>
      </c>
      <c r="AK211" s="118">
        <v>0</v>
      </c>
      <c r="AL211" s="118">
        <v>0</v>
      </c>
      <c r="AM211" s="118">
        <v>0</v>
      </c>
      <c r="AN211" s="118">
        <v>0</v>
      </c>
      <c r="AO211" s="118">
        <v>0</v>
      </c>
      <c r="AP211" s="118">
        <v>0</v>
      </c>
      <c r="AQ211" s="118">
        <v>0</v>
      </c>
      <c r="AR211" s="118">
        <v>0</v>
      </c>
      <c r="AS211" s="118">
        <v>0</v>
      </c>
      <c r="AT211" s="118">
        <v>583.27499999999998</v>
      </c>
      <c r="AU211" s="118">
        <v>0</v>
      </c>
      <c r="AV211" s="118">
        <v>0</v>
      </c>
      <c r="AW211" s="118">
        <v>0</v>
      </c>
      <c r="AX211" s="118">
        <v>0</v>
      </c>
      <c r="AY211" s="118">
        <v>499.95</v>
      </c>
    </row>
    <row r="212" spans="1:51" x14ac:dyDescent="0.2">
      <c r="A212" s="117"/>
      <c r="B212" s="127">
        <v>4</v>
      </c>
      <c r="C212" s="114"/>
      <c r="D212" s="118">
        <v>0</v>
      </c>
      <c r="E212" s="118">
        <v>0</v>
      </c>
      <c r="F212" s="118">
        <v>0</v>
      </c>
      <c r="G212" s="118">
        <v>0</v>
      </c>
      <c r="H212" s="118">
        <v>0</v>
      </c>
      <c r="I212" s="118">
        <v>0</v>
      </c>
      <c r="J212" s="118">
        <v>0</v>
      </c>
      <c r="K212" s="118">
        <v>0</v>
      </c>
      <c r="L212" s="118">
        <v>0</v>
      </c>
      <c r="M212" s="118">
        <v>0</v>
      </c>
      <c r="N212" s="118">
        <v>0</v>
      </c>
      <c r="O212" s="118">
        <v>0</v>
      </c>
      <c r="P212" s="118">
        <v>0</v>
      </c>
      <c r="Q212" s="118">
        <v>0</v>
      </c>
      <c r="R212" s="118">
        <v>0</v>
      </c>
      <c r="S212" s="118">
        <v>0</v>
      </c>
      <c r="T212" s="118">
        <v>0</v>
      </c>
      <c r="U212" s="118">
        <v>0</v>
      </c>
      <c r="V212" s="118">
        <v>0</v>
      </c>
      <c r="W212" s="118">
        <v>0</v>
      </c>
      <c r="X212" s="118">
        <v>0</v>
      </c>
      <c r="Y212" s="118">
        <v>0</v>
      </c>
      <c r="Z212" s="118">
        <v>0</v>
      </c>
      <c r="AA212" s="118">
        <v>0</v>
      </c>
      <c r="AB212" s="118">
        <v>0</v>
      </c>
      <c r="AC212" s="118">
        <v>0</v>
      </c>
      <c r="AD212" s="118">
        <v>0</v>
      </c>
      <c r="AE212" s="118">
        <v>0</v>
      </c>
      <c r="AF212" s="118">
        <v>0</v>
      </c>
      <c r="AG212" s="118">
        <v>0</v>
      </c>
      <c r="AH212" s="118">
        <v>0</v>
      </c>
      <c r="AI212" s="118">
        <v>0</v>
      </c>
      <c r="AJ212" s="118">
        <v>0</v>
      </c>
      <c r="AK212" s="118">
        <v>0</v>
      </c>
      <c r="AL212" s="118">
        <v>0</v>
      </c>
      <c r="AM212" s="118">
        <v>0</v>
      </c>
      <c r="AN212" s="118">
        <v>0</v>
      </c>
      <c r="AO212" s="118">
        <v>0</v>
      </c>
      <c r="AP212" s="118">
        <v>0</v>
      </c>
      <c r="AQ212" s="118">
        <v>0</v>
      </c>
      <c r="AR212" s="118">
        <v>0</v>
      </c>
      <c r="AS212" s="118">
        <v>0</v>
      </c>
      <c r="AT212" s="118">
        <v>0</v>
      </c>
      <c r="AU212" s="118">
        <v>0</v>
      </c>
      <c r="AV212" s="118">
        <v>0</v>
      </c>
      <c r="AW212" s="118">
        <v>0</v>
      </c>
      <c r="AX212" s="118">
        <v>0</v>
      </c>
      <c r="AY212" s="118">
        <v>0</v>
      </c>
    </row>
    <row r="213" spans="1:51" x14ac:dyDescent="0.2">
      <c r="A213" s="117"/>
      <c r="B213" s="127">
        <v>5</v>
      </c>
      <c r="C213" s="114"/>
      <c r="D213" s="118">
        <v>0</v>
      </c>
      <c r="E213" s="118">
        <v>0</v>
      </c>
      <c r="F213" s="118">
        <v>0</v>
      </c>
      <c r="G213" s="118">
        <v>0</v>
      </c>
      <c r="H213" s="118">
        <v>0</v>
      </c>
      <c r="I213" s="118">
        <v>0</v>
      </c>
      <c r="J213" s="118">
        <v>0</v>
      </c>
      <c r="K213" s="118">
        <v>0</v>
      </c>
      <c r="L213" s="118">
        <v>0</v>
      </c>
      <c r="M213" s="118">
        <v>0</v>
      </c>
      <c r="N213" s="118">
        <v>0</v>
      </c>
      <c r="O213" s="118">
        <v>0</v>
      </c>
      <c r="P213" s="118">
        <v>0</v>
      </c>
      <c r="Q213" s="118">
        <v>0</v>
      </c>
      <c r="R213" s="118">
        <v>0</v>
      </c>
      <c r="S213" s="118">
        <v>0</v>
      </c>
      <c r="T213" s="118">
        <v>0</v>
      </c>
      <c r="U213" s="118">
        <v>0</v>
      </c>
      <c r="V213" s="118">
        <v>0</v>
      </c>
      <c r="W213" s="118">
        <v>0</v>
      </c>
      <c r="X213" s="118">
        <v>0</v>
      </c>
      <c r="Y213" s="118">
        <v>0</v>
      </c>
      <c r="Z213" s="118">
        <v>0</v>
      </c>
      <c r="AA213" s="118">
        <v>0</v>
      </c>
      <c r="AB213" s="118">
        <v>0</v>
      </c>
      <c r="AC213" s="118">
        <v>0</v>
      </c>
      <c r="AD213" s="118">
        <v>0</v>
      </c>
      <c r="AE213" s="118">
        <v>0</v>
      </c>
      <c r="AF213" s="118">
        <v>0</v>
      </c>
      <c r="AG213" s="118">
        <v>0</v>
      </c>
      <c r="AH213" s="118">
        <v>0</v>
      </c>
      <c r="AI213" s="118">
        <v>0</v>
      </c>
      <c r="AJ213" s="118">
        <v>0</v>
      </c>
      <c r="AK213" s="118">
        <v>0</v>
      </c>
      <c r="AL213" s="118">
        <v>0</v>
      </c>
      <c r="AM213" s="118">
        <v>0</v>
      </c>
      <c r="AN213" s="118">
        <v>0</v>
      </c>
      <c r="AO213" s="118">
        <v>0</v>
      </c>
      <c r="AP213" s="118">
        <v>0</v>
      </c>
      <c r="AQ213" s="118">
        <v>0</v>
      </c>
      <c r="AR213" s="118">
        <v>0</v>
      </c>
      <c r="AS213" s="118">
        <v>0</v>
      </c>
      <c r="AT213" s="118">
        <v>0</v>
      </c>
      <c r="AU213" s="118">
        <v>0</v>
      </c>
      <c r="AV213" s="118">
        <v>0</v>
      </c>
      <c r="AW213" s="118">
        <v>0</v>
      </c>
      <c r="AX213" s="118">
        <v>0</v>
      </c>
      <c r="AY213" s="118">
        <v>0</v>
      </c>
    </row>
    <row r="214" spans="1:51" x14ac:dyDescent="0.2">
      <c r="A214" s="117"/>
      <c r="B214" s="127">
        <v>6</v>
      </c>
      <c r="C214" s="114"/>
      <c r="D214" s="118">
        <v>0</v>
      </c>
      <c r="E214" s="118">
        <v>0</v>
      </c>
      <c r="F214" s="118">
        <v>0</v>
      </c>
      <c r="G214" s="118">
        <v>0</v>
      </c>
      <c r="H214" s="118">
        <v>0</v>
      </c>
      <c r="I214" s="118">
        <v>0</v>
      </c>
      <c r="J214" s="118">
        <v>0</v>
      </c>
      <c r="K214" s="118">
        <v>0</v>
      </c>
      <c r="L214" s="118">
        <v>0</v>
      </c>
      <c r="M214" s="118">
        <v>0</v>
      </c>
      <c r="N214" s="118">
        <v>0</v>
      </c>
      <c r="O214" s="118">
        <v>0</v>
      </c>
      <c r="P214" s="118">
        <v>0</v>
      </c>
      <c r="Q214" s="118">
        <v>0</v>
      </c>
      <c r="R214" s="118">
        <v>0</v>
      </c>
      <c r="S214" s="118">
        <v>0</v>
      </c>
      <c r="T214" s="118">
        <v>0</v>
      </c>
      <c r="U214" s="118">
        <v>0</v>
      </c>
      <c r="V214" s="118">
        <v>0</v>
      </c>
      <c r="W214" s="118">
        <v>0</v>
      </c>
      <c r="X214" s="118">
        <v>0</v>
      </c>
      <c r="Y214" s="118">
        <v>0</v>
      </c>
      <c r="Z214" s="118">
        <v>0</v>
      </c>
      <c r="AA214" s="118">
        <v>0</v>
      </c>
      <c r="AB214" s="118">
        <v>0</v>
      </c>
      <c r="AC214" s="118">
        <v>0</v>
      </c>
      <c r="AD214" s="118">
        <v>0</v>
      </c>
      <c r="AE214" s="118">
        <v>0</v>
      </c>
      <c r="AF214" s="118">
        <v>0</v>
      </c>
      <c r="AG214" s="118">
        <v>0</v>
      </c>
      <c r="AH214" s="118">
        <v>0</v>
      </c>
      <c r="AI214" s="118">
        <v>0</v>
      </c>
      <c r="AJ214" s="118">
        <v>0</v>
      </c>
      <c r="AK214" s="118">
        <v>0</v>
      </c>
      <c r="AL214" s="118">
        <v>0</v>
      </c>
      <c r="AM214" s="118">
        <v>0</v>
      </c>
      <c r="AN214" s="118">
        <v>0</v>
      </c>
      <c r="AO214" s="118">
        <v>0</v>
      </c>
      <c r="AP214" s="118">
        <v>0</v>
      </c>
      <c r="AQ214" s="118">
        <v>0</v>
      </c>
      <c r="AR214" s="118">
        <v>0</v>
      </c>
      <c r="AS214" s="118">
        <v>0</v>
      </c>
      <c r="AT214" s="118">
        <v>0</v>
      </c>
      <c r="AU214" s="118">
        <v>0</v>
      </c>
      <c r="AV214" s="118">
        <v>0</v>
      </c>
      <c r="AW214" s="118">
        <v>0</v>
      </c>
      <c r="AX214" s="118">
        <v>0</v>
      </c>
      <c r="AY214" s="118">
        <v>0</v>
      </c>
    </row>
    <row r="215" spans="1:51" x14ac:dyDescent="0.2">
      <c r="A215" s="117"/>
      <c r="B215" s="127">
        <v>7</v>
      </c>
      <c r="C215" s="114"/>
      <c r="D215" s="118">
        <v>0</v>
      </c>
      <c r="E215" s="118">
        <v>0</v>
      </c>
      <c r="F215" s="118">
        <v>0</v>
      </c>
      <c r="G215" s="118">
        <v>0</v>
      </c>
      <c r="H215" s="118">
        <v>0</v>
      </c>
      <c r="I215" s="118">
        <v>0</v>
      </c>
      <c r="J215" s="118">
        <v>0</v>
      </c>
      <c r="K215" s="118">
        <v>0</v>
      </c>
      <c r="L215" s="118">
        <v>0</v>
      </c>
      <c r="M215" s="118">
        <v>0</v>
      </c>
      <c r="N215" s="118">
        <v>0</v>
      </c>
      <c r="O215" s="118">
        <v>0</v>
      </c>
      <c r="P215" s="118">
        <v>0</v>
      </c>
      <c r="Q215" s="118">
        <v>0</v>
      </c>
      <c r="R215" s="118">
        <v>0</v>
      </c>
      <c r="S215" s="118">
        <v>0</v>
      </c>
      <c r="T215" s="118">
        <v>0</v>
      </c>
      <c r="U215" s="118">
        <v>0</v>
      </c>
      <c r="V215" s="118">
        <v>0</v>
      </c>
      <c r="W215" s="118">
        <v>0</v>
      </c>
      <c r="X215" s="118">
        <v>0</v>
      </c>
      <c r="Y215" s="118">
        <v>0</v>
      </c>
      <c r="Z215" s="118">
        <v>0</v>
      </c>
      <c r="AA215" s="118">
        <v>0</v>
      </c>
      <c r="AB215" s="118">
        <v>0</v>
      </c>
      <c r="AC215" s="118">
        <v>0</v>
      </c>
      <c r="AD215" s="118">
        <v>0</v>
      </c>
      <c r="AE215" s="118">
        <v>0</v>
      </c>
      <c r="AF215" s="118">
        <v>0</v>
      </c>
      <c r="AG215" s="118">
        <v>0</v>
      </c>
      <c r="AH215" s="118">
        <v>0</v>
      </c>
      <c r="AI215" s="118">
        <v>0</v>
      </c>
      <c r="AJ215" s="118">
        <v>0</v>
      </c>
      <c r="AK215" s="118">
        <v>0</v>
      </c>
      <c r="AL215" s="118">
        <v>0</v>
      </c>
      <c r="AM215" s="118">
        <v>0</v>
      </c>
      <c r="AN215" s="118">
        <v>0</v>
      </c>
      <c r="AO215" s="118">
        <v>0</v>
      </c>
      <c r="AP215" s="118">
        <v>0</v>
      </c>
      <c r="AQ215" s="118">
        <v>0</v>
      </c>
      <c r="AR215" s="118">
        <v>0</v>
      </c>
      <c r="AS215" s="118">
        <v>0</v>
      </c>
      <c r="AT215" s="118">
        <v>0</v>
      </c>
      <c r="AU215" s="118">
        <v>0</v>
      </c>
      <c r="AV215" s="118">
        <v>0</v>
      </c>
      <c r="AW215" s="118">
        <v>0</v>
      </c>
      <c r="AX215" s="118">
        <v>0</v>
      </c>
      <c r="AY215" s="118">
        <v>0</v>
      </c>
    </row>
    <row r="216" spans="1:51" x14ac:dyDescent="0.2">
      <c r="A216" s="117"/>
      <c r="B216" s="127">
        <v>8</v>
      </c>
      <c r="C216" s="114"/>
      <c r="D216" s="118">
        <v>0</v>
      </c>
      <c r="E216" s="118">
        <v>0</v>
      </c>
      <c r="F216" s="118">
        <v>0</v>
      </c>
      <c r="G216" s="118">
        <v>0</v>
      </c>
      <c r="H216" s="118">
        <v>0</v>
      </c>
      <c r="I216" s="118">
        <v>0</v>
      </c>
      <c r="J216" s="118">
        <v>0</v>
      </c>
      <c r="K216" s="118">
        <v>0</v>
      </c>
      <c r="L216" s="118">
        <v>0</v>
      </c>
      <c r="M216" s="118">
        <v>0</v>
      </c>
      <c r="N216" s="118">
        <v>0</v>
      </c>
      <c r="O216" s="118">
        <v>0</v>
      </c>
      <c r="P216" s="118">
        <v>0</v>
      </c>
      <c r="Q216" s="118">
        <v>0</v>
      </c>
      <c r="R216" s="118">
        <v>0</v>
      </c>
      <c r="S216" s="118">
        <v>0</v>
      </c>
      <c r="T216" s="118">
        <v>0</v>
      </c>
      <c r="U216" s="118">
        <v>0</v>
      </c>
      <c r="V216" s="118">
        <v>0</v>
      </c>
      <c r="W216" s="118">
        <v>0</v>
      </c>
      <c r="X216" s="118">
        <v>0</v>
      </c>
      <c r="Y216" s="118">
        <v>0</v>
      </c>
      <c r="Z216" s="118">
        <v>0</v>
      </c>
      <c r="AA216" s="118">
        <v>0</v>
      </c>
      <c r="AB216" s="118">
        <v>0</v>
      </c>
      <c r="AC216" s="118">
        <v>0</v>
      </c>
      <c r="AD216" s="118">
        <v>0</v>
      </c>
      <c r="AE216" s="118">
        <v>0</v>
      </c>
      <c r="AF216" s="118">
        <v>0</v>
      </c>
      <c r="AG216" s="118">
        <v>0</v>
      </c>
      <c r="AH216" s="118">
        <v>0</v>
      </c>
      <c r="AI216" s="118">
        <v>0</v>
      </c>
      <c r="AJ216" s="118">
        <v>0</v>
      </c>
      <c r="AK216" s="118">
        <v>0</v>
      </c>
      <c r="AL216" s="118">
        <v>0</v>
      </c>
      <c r="AM216" s="118">
        <v>0</v>
      </c>
      <c r="AN216" s="118">
        <v>0</v>
      </c>
      <c r="AO216" s="118">
        <v>0</v>
      </c>
      <c r="AP216" s="118">
        <v>0</v>
      </c>
      <c r="AQ216" s="118">
        <v>0</v>
      </c>
      <c r="AR216" s="118">
        <v>0</v>
      </c>
      <c r="AS216" s="118">
        <v>0</v>
      </c>
      <c r="AT216" s="118">
        <v>0</v>
      </c>
      <c r="AU216" s="118">
        <v>0</v>
      </c>
      <c r="AV216" s="118">
        <v>0</v>
      </c>
      <c r="AW216" s="118">
        <v>0</v>
      </c>
      <c r="AX216" s="118">
        <v>0</v>
      </c>
      <c r="AY216" s="118">
        <v>0</v>
      </c>
    </row>
    <row r="217" spans="1:51" x14ac:dyDescent="0.2">
      <c r="A217" s="117"/>
      <c r="B217" s="127">
        <v>9</v>
      </c>
      <c r="C217" s="114"/>
      <c r="D217" s="118">
        <v>0</v>
      </c>
      <c r="E217" s="118">
        <v>0</v>
      </c>
      <c r="F217" s="118">
        <v>0</v>
      </c>
      <c r="G217" s="118">
        <v>0</v>
      </c>
      <c r="H217" s="118">
        <v>0</v>
      </c>
      <c r="I217" s="118">
        <v>0</v>
      </c>
      <c r="J217" s="118">
        <v>0</v>
      </c>
      <c r="K217" s="118">
        <v>0</v>
      </c>
      <c r="L217" s="118">
        <v>0</v>
      </c>
      <c r="M217" s="118">
        <v>0</v>
      </c>
      <c r="N217" s="118">
        <v>0</v>
      </c>
      <c r="O217" s="118">
        <v>0</v>
      </c>
      <c r="P217" s="118">
        <v>0</v>
      </c>
      <c r="Q217" s="118">
        <v>0</v>
      </c>
      <c r="R217" s="118">
        <v>0</v>
      </c>
      <c r="S217" s="118">
        <v>0</v>
      </c>
      <c r="T217" s="118">
        <v>0</v>
      </c>
      <c r="U217" s="118">
        <v>0</v>
      </c>
      <c r="V217" s="118">
        <v>0</v>
      </c>
      <c r="W217" s="118">
        <v>0</v>
      </c>
      <c r="X217" s="118">
        <v>0</v>
      </c>
      <c r="Y217" s="118">
        <v>0</v>
      </c>
      <c r="Z217" s="118">
        <v>0</v>
      </c>
      <c r="AA217" s="118">
        <v>0</v>
      </c>
      <c r="AB217" s="118">
        <v>0</v>
      </c>
      <c r="AC217" s="118">
        <v>0</v>
      </c>
      <c r="AD217" s="118">
        <v>0</v>
      </c>
      <c r="AE217" s="118">
        <v>0</v>
      </c>
      <c r="AF217" s="118">
        <v>0</v>
      </c>
      <c r="AG217" s="118">
        <v>0</v>
      </c>
      <c r="AH217" s="118">
        <v>0</v>
      </c>
      <c r="AI217" s="118">
        <v>0</v>
      </c>
      <c r="AJ217" s="118">
        <v>0</v>
      </c>
      <c r="AK217" s="118">
        <v>0</v>
      </c>
      <c r="AL217" s="118">
        <v>0</v>
      </c>
      <c r="AM217" s="118">
        <v>0</v>
      </c>
      <c r="AN217" s="118">
        <v>0</v>
      </c>
      <c r="AO217" s="118">
        <v>0</v>
      </c>
      <c r="AP217" s="118">
        <v>0</v>
      </c>
      <c r="AQ217" s="118">
        <v>0</v>
      </c>
      <c r="AR217" s="118">
        <v>0</v>
      </c>
      <c r="AS217" s="118">
        <v>0</v>
      </c>
      <c r="AT217" s="118">
        <v>0</v>
      </c>
      <c r="AU217" s="118">
        <v>0</v>
      </c>
      <c r="AV217" s="118">
        <v>0</v>
      </c>
      <c r="AW217" s="118">
        <v>0</v>
      </c>
      <c r="AX217" s="118">
        <v>0</v>
      </c>
      <c r="AY217" s="118">
        <v>0</v>
      </c>
    </row>
    <row r="218" spans="1:51" x14ac:dyDescent="0.2">
      <c r="A218" s="117"/>
      <c r="B218" s="127">
        <v>10</v>
      </c>
      <c r="C218" s="114"/>
      <c r="D218" s="118">
        <v>0</v>
      </c>
      <c r="E218" s="118">
        <v>0</v>
      </c>
      <c r="F218" s="118">
        <v>0</v>
      </c>
      <c r="G218" s="118">
        <v>0</v>
      </c>
      <c r="H218" s="118">
        <v>0</v>
      </c>
      <c r="I218" s="118">
        <v>0</v>
      </c>
      <c r="J218" s="118">
        <v>0</v>
      </c>
      <c r="K218" s="118">
        <v>0</v>
      </c>
      <c r="L218" s="118">
        <v>0</v>
      </c>
      <c r="M218" s="118">
        <v>0</v>
      </c>
      <c r="N218" s="118">
        <v>0</v>
      </c>
      <c r="O218" s="118">
        <v>0</v>
      </c>
      <c r="P218" s="118">
        <v>0</v>
      </c>
      <c r="Q218" s="118">
        <v>0</v>
      </c>
      <c r="R218" s="118">
        <v>0</v>
      </c>
      <c r="S218" s="118">
        <v>0</v>
      </c>
      <c r="T218" s="118">
        <v>0</v>
      </c>
      <c r="U218" s="118">
        <v>0</v>
      </c>
      <c r="V218" s="118">
        <v>0</v>
      </c>
      <c r="W218" s="118">
        <v>0</v>
      </c>
      <c r="X218" s="118">
        <v>0</v>
      </c>
      <c r="Y218" s="118">
        <v>0</v>
      </c>
      <c r="Z218" s="118">
        <v>0</v>
      </c>
      <c r="AA218" s="118">
        <v>0</v>
      </c>
      <c r="AB218" s="118">
        <v>0</v>
      </c>
      <c r="AC218" s="118">
        <v>0</v>
      </c>
      <c r="AD218" s="118">
        <v>0</v>
      </c>
      <c r="AE218" s="118">
        <v>0</v>
      </c>
      <c r="AF218" s="118">
        <v>0</v>
      </c>
      <c r="AG218" s="118">
        <v>0</v>
      </c>
      <c r="AH218" s="118">
        <v>0</v>
      </c>
      <c r="AI218" s="118">
        <v>0</v>
      </c>
      <c r="AJ218" s="118">
        <v>0</v>
      </c>
      <c r="AK218" s="118">
        <v>0</v>
      </c>
      <c r="AL218" s="118">
        <v>0</v>
      </c>
      <c r="AM218" s="118">
        <v>0</v>
      </c>
      <c r="AN218" s="118">
        <v>0</v>
      </c>
      <c r="AO218" s="118">
        <v>0</v>
      </c>
      <c r="AP218" s="118">
        <v>0</v>
      </c>
      <c r="AQ218" s="118">
        <v>0</v>
      </c>
      <c r="AR218" s="118">
        <v>0</v>
      </c>
      <c r="AS218" s="118">
        <v>0</v>
      </c>
      <c r="AT218" s="118">
        <v>0</v>
      </c>
      <c r="AU218" s="118">
        <v>0</v>
      </c>
      <c r="AV218" s="118">
        <v>0</v>
      </c>
      <c r="AW218" s="118">
        <v>0</v>
      </c>
      <c r="AX218" s="118">
        <v>0</v>
      </c>
      <c r="AY218" s="118">
        <v>0</v>
      </c>
    </row>
    <row r="219" spans="1:51" x14ac:dyDescent="0.2">
      <c r="A219" s="117"/>
      <c r="B219" s="127">
        <v>11</v>
      </c>
      <c r="C219" s="114"/>
      <c r="D219" s="118">
        <v>0</v>
      </c>
      <c r="E219" s="118">
        <v>0</v>
      </c>
      <c r="F219" s="118">
        <v>0</v>
      </c>
      <c r="G219" s="118">
        <v>0</v>
      </c>
      <c r="H219" s="118">
        <v>0</v>
      </c>
      <c r="I219" s="118">
        <v>0</v>
      </c>
      <c r="J219" s="118">
        <v>0</v>
      </c>
      <c r="K219" s="118">
        <v>0</v>
      </c>
      <c r="L219" s="118">
        <v>0</v>
      </c>
      <c r="M219" s="118">
        <v>0</v>
      </c>
      <c r="N219" s="118">
        <v>0</v>
      </c>
      <c r="O219" s="118">
        <v>0</v>
      </c>
      <c r="P219" s="118">
        <v>0</v>
      </c>
      <c r="Q219" s="118">
        <v>0</v>
      </c>
      <c r="R219" s="118">
        <v>0</v>
      </c>
      <c r="S219" s="118">
        <v>0</v>
      </c>
      <c r="T219" s="118">
        <v>0</v>
      </c>
      <c r="U219" s="118">
        <v>0</v>
      </c>
      <c r="V219" s="118">
        <v>0</v>
      </c>
      <c r="W219" s="118">
        <v>0</v>
      </c>
      <c r="X219" s="118">
        <v>0</v>
      </c>
      <c r="Y219" s="118">
        <v>0</v>
      </c>
      <c r="Z219" s="118">
        <v>0</v>
      </c>
      <c r="AA219" s="118">
        <v>0</v>
      </c>
      <c r="AB219" s="118">
        <v>0</v>
      </c>
      <c r="AC219" s="118">
        <v>0</v>
      </c>
      <c r="AD219" s="118">
        <v>0</v>
      </c>
      <c r="AE219" s="118">
        <v>0</v>
      </c>
      <c r="AF219" s="118">
        <v>0</v>
      </c>
      <c r="AG219" s="118">
        <v>0</v>
      </c>
      <c r="AH219" s="118">
        <v>0</v>
      </c>
      <c r="AI219" s="118">
        <v>0</v>
      </c>
      <c r="AJ219" s="118">
        <v>0</v>
      </c>
      <c r="AK219" s="118">
        <v>0</v>
      </c>
      <c r="AL219" s="118">
        <v>0</v>
      </c>
      <c r="AM219" s="118">
        <v>0</v>
      </c>
      <c r="AN219" s="118">
        <v>0</v>
      </c>
      <c r="AO219" s="118">
        <v>0</v>
      </c>
      <c r="AP219" s="118">
        <v>0</v>
      </c>
      <c r="AQ219" s="118">
        <v>0</v>
      </c>
      <c r="AR219" s="118">
        <v>0</v>
      </c>
      <c r="AS219" s="118">
        <v>0</v>
      </c>
      <c r="AT219" s="118">
        <v>0</v>
      </c>
      <c r="AU219" s="118">
        <v>0</v>
      </c>
      <c r="AV219" s="118">
        <v>0</v>
      </c>
      <c r="AW219" s="118">
        <v>0</v>
      </c>
      <c r="AX219" s="118">
        <v>0</v>
      </c>
      <c r="AY219" s="118">
        <v>0</v>
      </c>
    </row>
    <row r="220" spans="1:51" x14ac:dyDescent="0.2">
      <c r="A220" s="117"/>
      <c r="B220" s="127">
        <v>12</v>
      </c>
      <c r="C220" s="114"/>
      <c r="D220" s="118">
        <v>0</v>
      </c>
      <c r="E220" s="118">
        <v>0</v>
      </c>
      <c r="F220" s="118">
        <v>0</v>
      </c>
      <c r="G220" s="118">
        <v>0</v>
      </c>
      <c r="H220" s="118">
        <v>0</v>
      </c>
      <c r="I220" s="118">
        <v>0</v>
      </c>
      <c r="J220" s="118">
        <v>0</v>
      </c>
      <c r="K220" s="118">
        <v>0</v>
      </c>
      <c r="L220" s="118">
        <v>0</v>
      </c>
      <c r="M220" s="118">
        <v>0</v>
      </c>
      <c r="N220" s="118">
        <v>0</v>
      </c>
      <c r="O220" s="118">
        <v>0</v>
      </c>
      <c r="P220" s="118">
        <v>0</v>
      </c>
      <c r="Q220" s="118">
        <v>0</v>
      </c>
      <c r="R220" s="118">
        <v>0</v>
      </c>
      <c r="S220" s="118">
        <v>0</v>
      </c>
      <c r="T220" s="118">
        <v>0</v>
      </c>
      <c r="U220" s="118">
        <v>0</v>
      </c>
      <c r="V220" s="118">
        <v>0</v>
      </c>
      <c r="W220" s="118">
        <v>0</v>
      </c>
      <c r="X220" s="118">
        <v>0</v>
      </c>
      <c r="Y220" s="118">
        <v>0</v>
      </c>
      <c r="Z220" s="118">
        <v>0</v>
      </c>
      <c r="AA220" s="118">
        <v>0</v>
      </c>
      <c r="AB220" s="118">
        <v>0</v>
      </c>
      <c r="AC220" s="118">
        <v>0</v>
      </c>
      <c r="AD220" s="118">
        <v>0</v>
      </c>
      <c r="AE220" s="118">
        <v>0</v>
      </c>
      <c r="AF220" s="118">
        <v>0</v>
      </c>
      <c r="AG220" s="118">
        <v>0</v>
      </c>
      <c r="AH220" s="118">
        <v>0</v>
      </c>
      <c r="AI220" s="118">
        <v>0</v>
      </c>
      <c r="AJ220" s="118">
        <v>0</v>
      </c>
      <c r="AK220" s="118">
        <v>0</v>
      </c>
      <c r="AL220" s="118">
        <v>0</v>
      </c>
      <c r="AM220" s="118">
        <v>0</v>
      </c>
      <c r="AN220" s="118">
        <v>0</v>
      </c>
      <c r="AO220" s="118">
        <v>0</v>
      </c>
      <c r="AP220" s="118">
        <v>0</v>
      </c>
      <c r="AQ220" s="118">
        <v>0</v>
      </c>
      <c r="AR220" s="118">
        <v>0</v>
      </c>
      <c r="AS220" s="118">
        <v>0</v>
      </c>
      <c r="AT220" s="118">
        <v>0</v>
      </c>
      <c r="AU220" s="118">
        <v>0</v>
      </c>
      <c r="AV220" s="118">
        <v>0</v>
      </c>
      <c r="AW220" s="118">
        <v>0</v>
      </c>
      <c r="AX220" s="118">
        <v>0</v>
      </c>
      <c r="AY220" s="118">
        <v>0</v>
      </c>
    </row>
    <row r="221" spans="1:51" x14ac:dyDescent="0.2">
      <c r="A221" s="117"/>
      <c r="B221" s="128">
        <v>13</v>
      </c>
      <c r="C221" s="114"/>
      <c r="D221" s="118">
        <v>0</v>
      </c>
      <c r="E221" s="118">
        <v>0</v>
      </c>
      <c r="F221" s="118">
        <v>0</v>
      </c>
      <c r="G221" s="118">
        <v>0</v>
      </c>
      <c r="H221" s="118">
        <v>0</v>
      </c>
      <c r="I221" s="118">
        <v>0</v>
      </c>
      <c r="J221" s="118">
        <v>0</v>
      </c>
      <c r="K221" s="118">
        <v>0</v>
      </c>
      <c r="L221" s="118">
        <v>0</v>
      </c>
      <c r="M221" s="118">
        <v>0</v>
      </c>
      <c r="N221" s="118">
        <v>0</v>
      </c>
      <c r="O221" s="118">
        <v>0</v>
      </c>
      <c r="P221" s="118">
        <v>0</v>
      </c>
      <c r="Q221" s="118">
        <v>0</v>
      </c>
      <c r="R221" s="118">
        <v>0</v>
      </c>
      <c r="S221" s="118">
        <v>0</v>
      </c>
      <c r="T221" s="118">
        <v>0</v>
      </c>
      <c r="U221" s="118">
        <v>0</v>
      </c>
      <c r="V221" s="118">
        <v>0</v>
      </c>
      <c r="W221" s="118">
        <v>0</v>
      </c>
      <c r="X221" s="118">
        <v>0</v>
      </c>
      <c r="Y221" s="118">
        <v>0</v>
      </c>
      <c r="Z221" s="118">
        <v>0</v>
      </c>
      <c r="AA221" s="118">
        <v>0</v>
      </c>
      <c r="AB221" s="118">
        <v>0</v>
      </c>
      <c r="AC221" s="118">
        <v>0</v>
      </c>
      <c r="AD221" s="118">
        <v>0</v>
      </c>
      <c r="AE221" s="118">
        <v>0</v>
      </c>
      <c r="AF221" s="118">
        <v>0</v>
      </c>
      <c r="AG221" s="118">
        <v>0</v>
      </c>
      <c r="AH221" s="118">
        <v>0</v>
      </c>
      <c r="AI221" s="118">
        <v>0</v>
      </c>
      <c r="AJ221" s="118">
        <v>0</v>
      </c>
      <c r="AK221" s="118">
        <v>0</v>
      </c>
      <c r="AL221" s="118">
        <v>0</v>
      </c>
      <c r="AM221" s="118">
        <v>0</v>
      </c>
      <c r="AN221" s="118">
        <v>0</v>
      </c>
      <c r="AO221" s="118">
        <v>0</v>
      </c>
      <c r="AP221" s="118">
        <v>0</v>
      </c>
      <c r="AQ221" s="118">
        <v>0</v>
      </c>
      <c r="AR221" s="118">
        <v>0</v>
      </c>
      <c r="AS221" s="118">
        <v>0</v>
      </c>
      <c r="AT221" s="118">
        <v>0</v>
      </c>
      <c r="AU221" s="118">
        <v>0</v>
      </c>
      <c r="AV221" s="118">
        <v>0</v>
      </c>
      <c r="AW221" s="118">
        <v>0</v>
      </c>
      <c r="AX221" s="118">
        <v>0</v>
      </c>
      <c r="AY221" s="118">
        <v>0</v>
      </c>
    </row>
    <row r="222" spans="1:51" x14ac:dyDescent="0.2">
      <c r="A222" s="117"/>
      <c r="B222" s="128">
        <v>14</v>
      </c>
      <c r="C222" s="114"/>
      <c r="D222" s="118">
        <v>0</v>
      </c>
      <c r="E222" s="118">
        <v>0</v>
      </c>
      <c r="F222" s="118">
        <v>0</v>
      </c>
      <c r="G222" s="118">
        <v>0</v>
      </c>
      <c r="H222" s="118">
        <v>0</v>
      </c>
      <c r="I222" s="118">
        <v>0</v>
      </c>
      <c r="J222" s="118">
        <v>0</v>
      </c>
      <c r="K222" s="118">
        <v>0</v>
      </c>
      <c r="L222" s="118">
        <v>0</v>
      </c>
      <c r="M222" s="118">
        <v>0</v>
      </c>
      <c r="N222" s="118">
        <v>0</v>
      </c>
      <c r="O222" s="118">
        <v>0</v>
      </c>
      <c r="P222" s="118">
        <v>0</v>
      </c>
      <c r="Q222" s="118">
        <v>0</v>
      </c>
      <c r="R222" s="118">
        <v>0</v>
      </c>
      <c r="S222" s="118">
        <v>0</v>
      </c>
      <c r="T222" s="118">
        <v>0</v>
      </c>
      <c r="U222" s="118">
        <v>0</v>
      </c>
      <c r="V222" s="118">
        <v>0</v>
      </c>
      <c r="W222" s="118">
        <v>0</v>
      </c>
      <c r="X222" s="118">
        <v>0</v>
      </c>
      <c r="Y222" s="118">
        <v>0</v>
      </c>
      <c r="Z222" s="118">
        <v>0</v>
      </c>
      <c r="AA222" s="118">
        <v>0</v>
      </c>
      <c r="AB222" s="118">
        <v>0</v>
      </c>
      <c r="AC222" s="118">
        <v>0</v>
      </c>
      <c r="AD222" s="118">
        <v>0</v>
      </c>
      <c r="AE222" s="118">
        <v>0</v>
      </c>
      <c r="AF222" s="118">
        <v>0</v>
      </c>
      <c r="AG222" s="118">
        <v>0</v>
      </c>
      <c r="AH222" s="118">
        <v>0</v>
      </c>
      <c r="AI222" s="118">
        <v>0</v>
      </c>
      <c r="AJ222" s="118">
        <v>0</v>
      </c>
      <c r="AK222" s="118">
        <v>0</v>
      </c>
      <c r="AL222" s="118">
        <v>0</v>
      </c>
      <c r="AM222" s="118">
        <v>0</v>
      </c>
      <c r="AN222" s="118">
        <v>0</v>
      </c>
      <c r="AO222" s="118">
        <v>0</v>
      </c>
      <c r="AP222" s="118">
        <v>0</v>
      </c>
      <c r="AQ222" s="118">
        <v>0</v>
      </c>
      <c r="AR222" s="118">
        <v>0</v>
      </c>
      <c r="AS222" s="118">
        <v>0</v>
      </c>
      <c r="AT222" s="118">
        <v>0</v>
      </c>
      <c r="AU222" s="118">
        <v>0</v>
      </c>
      <c r="AV222" s="118">
        <v>0</v>
      </c>
      <c r="AW222" s="118">
        <v>0</v>
      </c>
      <c r="AX222" s="118">
        <v>0</v>
      </c>
      <c r="AY222" s="118">
        <v>0</v>
      </c>
    </row>
    <row r="223" spans="1:51" x14ac:dyDescent="0.2">
      <c r="A223" s="117"/>
      <c r="B223" s="128">
        <v>15</v>
      </c>
      <c r="C223" s="114"/>
      <c r="D223" s="118">
        <v>0</v>
      </c>
      <c r="E223" s="118">
        <v>0</v>
      </c>
      <c r="F223" s="118">
        <v>0</v>
      </c>
      <c r="G223" s="118">
        <v>0</v>
      </c>
      <c r="H223" s="118">
        <v>0</v>
      </c>
      <c r="I223" s="118">
        <v>0</v>
      </c>
      <c r="J223" s="118">
        <v>0</v>
      </c>
      <c r="K223" s="118">
        <v>0</v>
      </c>
      <c r="L223" s="118">
        <v>0</v>
      </c>
      <c r="M223" s="118">
        <v>0</v>
      </c>
      <c r="N223" s="118">
        <v>0</v>
      </c>
      <c r="O223" s="118">
        <v>0</v>
      </c>
      <c r="P223" s="118">
        <v>0</v>
      </c>
      <c r="Q223" s="118">
        <v>0</v>
      </c>
      <c r="R223" s="118">
        <v>0</v>
      </c>
      <c r="S223" s="118">
        <v>0</v>
      </c>
      <c r="T223" s="118">
        <v>0</v>
      </c>
      <c r="U223" s="118">
        <v>0</v>
      </c>
      <c r="V223" s="118">
        <v>0</v>
      </c>
      <c r="W223" s="118">
        <v>0</v>
      </c>
      <c r="X223" s="118">
        <v>0</v>
      </c>
      <c r="Y223" s="118">
        <v>0</v>
      </c>
      <c r="Z223" s="118">
        <v>0</v>
      </c>
      <c r="AA223" s="118">
        <v>0</v>
      </c>
      <c r="AB223" s="118">
        <v>0</v>
      </c>
      <c r="AC223" s="118">
        <v>0</v>
      </c>
      <c r="AD223" s="118">
        <v>0</v>
      </c>
      <c r="AE223" s="118">
        <v>0</v>
      </c>
      <c r="AF223" s="118">
        <v>0</v>
      </c>
      <c r="AG223" s="118">
        <v>0</v>
      </c>
      <c r="AH223" s="118">
        <v>0</v>
      </c>
      <c r="AI223" s="118">
        <v>0</v>
      </c>
      <c r="AJ223" s="118">
        <v>0</v>
      </c>
      <c r="AK223" s="118">
        <v>0</v>
      </c>
      <c r="AL223" s="118">
        <v>0</v>
      </c>
      <c r="AM223" s="118">
        <v>0</v>
      </c>
      <c r="AN223" s="118">
        <v>0</v>
      </c>
      <c r="AO223" s="118">
        <v>0</v>
      </c>
      <c r="AP223" s="118">
        <v>0</v>
      </c>
      <c r="AQ223" s="118">
        <v>0</v>
      </c>
      <c r="AR223" s="118">
        <v>0</v>
      </c>
      <c r="AS223" s="118">
        <v>0</v>
      </c>
      <c r="AT223" s="118">
        <v>0</v>
      </c>
      <c r="AU223" s="118">
        <v>0</v>
      </c>
      <c r="AV223" s="118">
        <v>0</v>
      </c>
      <c r="AW223" s="118">
        <v>0</v>
      </c>
      <c r="AX223" s="118">
        <v>0</v>
      </c>
      <c r="AY223" s="118">
        <v>0</v>
      </c>
    </row>
    <row r="224" spans="1:51" x14ac:dyDescent="0.2">
      <c r="A224" s="117"/>
      <c r="B224" s="128">
        <v>16</v>
      </c>
      <c r="C224" s="114"/>
      <c r="D224" s="118">
        <v>0</v>
      </c>
      <c r="E224" s="118">
        <v>0</v>
      </c>
      <c r="F224" s="118">
        <v>0</v>
      </c>
      <c r="G224" s="118">
        <v>0</v>
      </c>
      <c r="H224" s="118">
        <v>0</v>
      </c>
      <c r="I224" s="118">
        <v>0</v>
      </c>
      <c r="J224" s="118">
        <v>0</v>
      </c>
      <c r="K224" s="118">
        <v>0</v>
      </c>
      <c r="L224" s="118">
        <v>0</v>
      </c>
      <c r="M224" s="118">
        <v>0</v>
      </c>
      <c r="N224" s="118">
        <v>0</v>
      </c>
      <c r="O224" s="118">
        <v>0</v>
      </c>
      <c r="P224" s="118">
        <v>0</v>
      </c>
      <c r="Q224" s="118">
        <v>0</v>
      </c>
      <c r="R224" s="118">
        <v>0</v>
      </c>
      <c r="S224" s="118">
        <v>0</v>
      </c>
      <c r="T224" s="118">
        <v>0</v>
      </c>
      <c r="U224" s="118">
        <v>0</v>
      </c>
      <c r="V224" s="118">
        <v>0</v>
      </c>
      <c r="W224" s="118">
        <v>0</v>
      </c>
      <c r="X224" s="118">
        <v>0</v>
      </c>
      <c r="Y224" s="118">
        <v>0</v>
      </c>
      <c r="Z224" s="118">
        <v>0</v>
      </c>
      <c r="AA224" s="118">
        <v>0</v>
      </c>
      <c r="AB224" s="118">
        <v>0</v>
      </c>
      <c r="AC224" s="118">
        <v>0</v>
      </c>
      <c r="AD224" s="118">
        <v>0</v>
      </c>
      <c r="AE224" s="118">
        <v>0</v>
      </c>
      <c r="AF224" s="118">
        <v>0</v>
      </c>
      <c r="AG224" s="118">
        <v>0</v>
      </c>
      <c r="AH224" s="118">
        <v>0</v>
      </c>
      <c r="AI224" s="118">
        <v>0</v>
      </c>
      <c r="AJ224" s="118">
        <v>0</v>
      </c>
      <c r="AK224" s="118">
        <v>0</v>
      </c>
      <c r="AL224" s="118">
        <v>0</v>
      </c>
      <c r="AM224" s="118">
        <v>0</v>
      </c>
      <c r="AN224" s="118">
        <v>0</v>
      </c>
      <c r="AO224" s="118">
        <v>0</v>
      </c>
      <c r="AP224" s="118">
        <v>0</v>
      </c>
      <c r="AQ224" s="118">
        <v>0</v>
      </c>
      <c r="AR224" s="118">
        <v>0</v>
      </c>
      <c r="AS224" s="118">
        <v>0</v>
      </c>
      <c r="AT224" s="118">
        <v>0</v>
      </c>
      <c r="AU224" s="118">
        <v>0</v>
      </c>
      <c r="AV224" s="118">
        <v>0</v>
      </c>
      <c r="AW224" s="118">
        <v>0</v>
      </c>
      <c r="AX224" s="118">
        <v>0</v>
      </c>
      <c r="AY224" s="118">
        <v>0</v>
      </c>
    </row>
    <row r="225" spans="1:51" x14ac:dyDescent="0.2">
      <c r="A225" s="117"/>
      <c r="B225" s="128">
        <v>17</v>
      </c>
      <c r="C225" s="114"/>
      <c r="D225" s="118">
        <v>0</v>
      </c>
      <c r="E225" s="118">
        <v>0</v>
      </c>
      <c r="F225" s="118">
        <v>0</v>
      </c>
      <c r="G225" s="118">
        <v>0</v>
      </c>
      <c r="H225" s="118">
        <v>0</v>
      </c>
      <c r="I225" s="118">
        <v>0</v>
      </c>
      <c r="J225" s="118">
        <v>0</v>
      </c>
      <c r="K225" s="118">
        <v>0</v>
      </c>
      <c r="L225" s="118">
        <v>0</v>
      </c>
      <c r="M225" s="118">
        <v>0</v>
      </c>
      <c r="N225" s="118">
        <v>0</v>
      </c>
      <c r="O225" s="118">
        <v>0</v>
      </c>
      <c r="P225" s="118">
        <v>0</v>
      </c>
      <c r="Q225" s="118">
        <v>0</v>
      </c>
      <c r="R225" s="118">
        <v>0</v>
      </c>
      <c r="S225" s="118">
        <v>0</v>
      </c>
      <c r="T225" s="118">
        <v>0</v>
      </c>
      <c r="U225" s="118">
        <v>0</v>
      </c>
      <c r="V225" s="118">
        <v>0</v>
      </c>
      <c r="W225" s="118">
        <v>0</v>
      </c>
      <c r="X225" s="118">
        <v>0</v>
      </c>
      <c r="Y225" s="118">
        <v>0</v>
      </c>
      <c r="Z225" s="118">
        <v>0</v>
      </c>
      <c r="AA225" s="118">
        <v>0</v>
      </c>
      <c r="AB225" s="118">
        <v>0</v>
      </c>
      <c r="AC225" s="118">
        <v>0</v>
      </c>
      <c r="AD225" s="118">
        <v>0</v>
      </c>
      <c r="AE225" s="118">
        <v>0</v>
      </c>
      <c r="AF225" s="118">
        <v>0</v>
      </c>
      <c r="AG225" s="118">
        <v>0</v>
      </c>
      <c r="AH225" s="118">
        <v>0</v>
      </c>
      <c r="AI225" s="118">
        <v>0</v>
      </c>
      <c r="AJ225" s="118">
        <v>0</v>
      </c>
      <c r="AK225" s="118">
        <v>0</v>
      </c>
      <c r="AL225" s="118">
        <v>0</v>
      </c>
      <c r="AM225" s="118">
        <v>0</v>
      </c>
      <c r="AN225" s="118">
        <v>0</v>
      </c>
      <c r="AO225" s="118">
        <v>0</v>
      </c>
      <c r="AP225" s="118">
        <v>0</v>
      </c>
      <c r="AQ225" s="118">
        <v>0</v>
      </c>
      <c r="AR225" s="118">
        <v>0</v>
      </c>
      <c r="AS225" s="118">
        <v>0</v>
      </c>
      <c r="AT225" s="118">
        <v>0</v>
      </c>
      <c r="AU225" s="118">
        <v>0</v>
      </c>
      <c r="AV225" s="118">
        <v>0</v>
      </c>
      <c r="AW225" s="118">
        <v>0</v>
      </c>
      <c r="AX225" s="118">
        <v>0</v>
      </c>
      <c r="AY225" s="118">
        <v>0</v>
      </c>
    </row>
    <row r="226" spans="1:51" x14ac:dyDescent="0.2">
      <c r="A226" s="117"/>
      <c r="B226" s="128">
        <v>18</v>
      </c>
      <c r="C226" s="114"/>
      <c r="D226" s="118">
        <v>0</v>
      </c>
      <c r="E226" s="118">
        <v>0</v>
      </c>
      <c r="F226" s="118">
        <v>0</v>
      </c>
      <c r="G226" s="118">
        <v>0</v>
      </c>
      <c r="H226" s="118">
        <v>0</v>
      </c>
      <c r="I226" s="118">
        <v>0</v>
      </c>
      <c r="J226" s="118">
        <v>0</v>
      </c>
      <c r="K226" s="118">
        <v>0</v>
      </c>
      <c r="L226" s="118">
        <v>0</v>
      </c>
      <c r="M226" s="118">
        <v>0</v>
      </c>
      <c r="N226" s="118">
        <v>0</v>
      </c>
      <c r="O226" s="118">
        <v>0</v>
      </c>
      <c r="P226" s="118">
        <v>0</v>
      </c>
      <c r="Q226" s="118">
        <v>0</v>
      </c>
      <c r="R226" s="118">
        <v>0</v>
      </c>
      <c r="S226" s="118">
        <v>0</v>
      </c>
      <c r="T226" s="118">
        <v>0</v>
      </c>
      <c r="U226" s="118">
        <v>0</v>
      </c>
      <c r="V226" s="118">
        <v>0</v>
      </c>
      <c r="W226" s="118">
        <v>0</v>
      </c>
      <c r="X226" s="118">
        <v>0</v>
      </c>
      <c r="Y226" s="118">
        <v>0</v>
      </c>
      <c r="Z226" s="118">
        <v>0</v>
      </c>
      <c r="AA226" s="118">
        <v>0</v>
      </c>
      <c r="AB226" s="118">
        <v>0</v>
      </c>
      <c r="AC226" s="118">
        <v>0</v>
      </c>
      <c r="AD226" s="118">
        <v>0</v>
      </c>
      <c r="AE226" s="118">
        <v>0</v>
      </c>
      <c r="AF226" s="118">
        <v>0</v>
      </c>
      <c r="AG226" s="118">
        <v>0</v>
      </c>
      <c r="AH226" s="118">
        <v>0</v>
      </c>
      <c r="AI226" s="118">
        <v>0</v>
      </c>
      <c r="AJ226" s="118">
        <v>0</v>
      </c>
      <c r="AK226" s="118">
        <v>0</v>
      </c>
      <c r="AL226" s="118">
        <v>0</v>
      </c>
      <c r="AM226" s="118">
        <v>0</v>
      </c>
      <c r="AN226" s="118">
        <v>0</v>
      </c>
      <c r="AO226" s="118">
        <v>0</v>
      </c>
      <c r="AP226" s="118">
        <v>0</v>
      </c>
      <c r="AQ226" s="118">
        <v>0</v>
      </c>
      <c r="AR226" s="118">
        <v>0</v>
      </c>
      <c r="AS226" s="118">
        <v>0</v>
      </c>
      <c r="AT226" s="118">
        <v>0</v>
      </c>
      <c r="AU226" s="118">
        <v>0</v>
      </c>
      <c r="AV226" s="118">
        <v>0</v>
      </c>
      <c r="AW226" s="118">
        <v>0</v>
      </c>
      <c r="AX226" s="118">
        <v>0</v>
      </c>
      <c r="AY226" s="118">
        <v>0</v>
      </c>
    </row>
    <row r="227" spans="1:51" x14ac:dyDescent="0.2">
      <c r="A227" s="117"/>
      <c r="B227" s="128">
        <v>19</v>
      </c>
      <c r="C227" s="114"/>
      <c r="D227" s="118">
        <v>0</v>
      </c>
      <c r="E227" s="118">
        <v>0</v>
      </c>
      <c r="F227" s="118">
        <v>0</v>
      </c>
      <c r="G227" s="118">
        <v>0</v>
      </c>
      <c r="H227" s="118">
        <v>0</v>
      </c>
      <c r="I227" s="118">
        <v>0</v>
      </c>
      <c r="J227" s="118">
        <v>0</v>
      </c>
      <c r="K227" s="118">
        <v>0</v>
      </c>
      <c r="L227" s="118">
        <v>0</v>
      </c>
      <c r="M227" s="118">
        <v>0</v>
      </c>
      <c r="N227" s="118">
        <v>0</v>
      </c>
      <c r="O227" s="118">
        <v>0</v>
      </c>
      <c r="P227" s="118">
        <v>0</v>
      </c>
      <c r="Q227" s="118">
        <v>0</v>
      </c>
      <c r="R227" s="118">
        <v>0</v>
      </c>
      <c r="S227" s="118">
        <v>0</v>
      </c>
      <c r="T227" s="118">
        <v>0</v>
      </c>
      <c r="U227" s="118">
        <v>0</v>
      </c>
      <c r="V227" s="118">
        <v>0</v>
      </c>
      <c r="W227" s="118">
        <v>0</v>
      </c>
      <c r="X227" s="118">
        <v>0</v>
      </c>
      <c r="Y227" s="118">
        <v>0</v>
      </c>
      <c r="Z227" s="118">
        <v>0</v>
      </c>
      <c r="AA227" s="118">
        <v>0</v>
      </c>
      <c r="AB227" s="118">
        <v>0</v>
      </c>
      <c r="AC227" s="118">
        <v>0</v>
      </c>
      <c r="AD227" s="118">
        <v>0</v>
      </c>
      <c r="AE227" s="118">
        <v>0</v>
      </c>
      <c r="AF227" s="118">
        <v>0</v>
      </c>
      <c r="AG227" s="118">
        <v>0</v>
      </c>
      <c r="AH227" s="118">
        <v>0</v>
      </c>
      <c r="AI227" s="118">
        <v>0</v>
      </c>
      <c r="AJ227" s="118">
        <v>0</v>
      </c>
      <c r="AK227" s="118">
        <v>0</v>
      </c>
      <c r="AL227" s="118">
        <v>0</v>
      </c>
      <c r="AM227" s="118">
        <v>0</v>
      </c>
      <c r="AN227" s="118">
        <v>0</v>
      </c>
      <c r="AO227" s="118">
        <v>0</v>
      </c>
      <c r="AP227" s="118">
        <v>0</v>
      </c>
      <c r="AQ227" s="118">
        <v>0</v>
      </c>
      <c r="AR227" s="118">
        <v>0</v>
      </c>
      <c r="AS227" s="118">
        <v>0</v>
      </c>
      <c r="AT227" s="118">
        <v>0</v>
      </c>
      <c r="AU227" s="118">
        <v>0</v>
      </c>
      <c r="AV227" s="118">
        <v>0</v>
      </c>
      <c r="AW227" s="118">
        <v>0</v>
      </c>
      <c r="AX227" s="118">
        <v>0</v>
      </c>
      <c r="AY227" s="118">
        <v>0</v>
      </c>
    </row>
    <row r="228" spans="1:51" x14ac:dyDescent="0.2">
      <c r="A228" s="117"/>
      <c r="B228" s="128">
        <v>20</v>
      </c>
      <c r="C228" s="114"/>
      <c r="D228" s="118">
        <v>0</v>
      </c>
      <c r="E228" s="118">
        <v>0</v>
      </c>
      <c r="F228" s="118">
        <v>0</v>
      </c>
      <c r="G228" s="118">
        <v>0</v>
      </c>
      <c r="H228" s="118">
        <v>0</v>
      </c>
      <c r="I228" s="118">
        <v>0</v>
      </c>
      <c r="J228" s="118">
        <v>0</v>
      </c>
      <c r="K228" s="118">
        <v>0</v>
      </c>
      <c r="L228" s="118">
        <v>0</v>
      </c>
      <c r="M228" s="118">
        <v>0</v>
      </c>
      <c r="N228" s="118">
        <v>0</v>
      </c>
      <c r="O228" s="118">
        <v>0</v>
      </c>
      <c r="P228" s="118">
        <v>0</v>
      </c>
      <c r="Q228" s="118">
        <v>0</v>
      </c>
      <c r="R228" s="118">
        <v>0</v>
      </c>
      <c r="S228" s="118">
        <v>0</v>
      </c>
      <c r="T228" s="118">
        <v>0</v>
      </c>
      <c r="U228" s="118">
        <v>0</v>
      </c>
      <c r="V228" s="118">
        <v>0</v>
      </c>
      <c r="W228" s="118">
        <v>0</v>
      </c>
      <c r="X228" s="118">
        <v>0</v>
      </c>
      <c r="Y228" s="118">
        <v>0</v>
      </c>
      <c r="Z228" s="118">
        <v>0</v>
      </c>
      <c r="AA228" s="118">
        <v>0</v>
      </c>
      <c r="AB228" s="118">
        <v>0</v>
      </c>
      <c r="AC228" s="118">
        <v>0</v>
      </c>
      <c r="AD228" s="118">
        <v>0</v>
      </c>
      <c r="AE228" s="118">
        <v>0</v>
      </c>
      <c r="AF228" s="118">
        <v>0</v>
      </c>
      <c r="AG228" s="118">
        <v>0</v>
      </c>
      <c r="AH228" s="118">
        <v>0</v>
      </c>
      <c r="AI228" s="118">
        <v>0</v>
      </c>
      <c r="AJ228" s="118">
        <v>0</v>
      </c>
      <c r="AK228" s="118">
        <v>0</v>
      </c>
      <c r="AL228" s="118">
        <v>0</v>
      </c>
      <c r="AM228" s="118">
        <v>0</v>
      </c>
      <c r="AN228" s="118">
        <v>0</v>
      </c>
      <c r="AO228" s="118">
        <v>0</v>
      </c>
      <c r="AP228" s="118">
        <v>0</v>
      </c>
      <c r="AQ228" s="118">
        <v>0</v>
      </c>
      <c r="AR228" s="118">
        <v>0</v>
      </c>
      <c r="AS228" s="118">
        <v>0</v>
      </c>
      <c r="AT228" s="118">
        <v>0</v>
      </c>
      <c r="AU228" s="118">
        <v>0</v>
      </c>
      <c r="AV228" s="118">
        <v>0</v>
      </c>
      <c r="AW228" s="118">
        <v>0</v>
      </c>
      <c r="AX228" s="118">
        <v>0</v>
      </c>
      <c r="AY228" s="118">
        <v>0</v>
      </c>
    </row>
    <row r="229" spans="1:51" x14ac:dyDescent="0.2">
      <c r="A229" s="117"/>
      <c r="B229" s="128">
        <v>21</v>
      </c>
      <c r="C229" s="114"/>
      <c r="D229" s="118">
        <v>0</v>
      </c>
      <c r="E229" s="118">
        <v>0</v>
      </c>
      <c r="F229" s="118">
        <v>0</v>
      </c>
      <c r="G229" s="118">
        <v>0</v>
      </c>
      <c r="H229" s="118">
        <v>0</v>
      </c>
      <c r="I229" s="118">
        <v>0</v>
      </c>
      <c r="J229" s="118">
        <v>0</v>
      </c>
      <c r="K229" s="118">
        <v>0</v>
      </c>
      <c r="L229" s="118">
        <v>0</v>
      </c>
      <c r="M229" s="118">
        <v>0</v>
      </c>
      <c r="N229" s="118">
        <v>0</v>
      </c>
      <c r="O229" s="118">
        <v>0</v>
      </c>
      <c r="P229" s="118">
        <v>0</v>
      </c>
      <c r="Q229" s="118">
        <v>0</v>
      </c>
      <c r="R229" s="118">
        <v>0</v>
      </c>
      <c r="S229" s="118">
        <v>0</v>
      </c>
      <c r="T229" s="118">
        <v>0</v>
      </c>
      <c r="U229" s="118">
        <v>0</v>
      </c>
      <c r="V229" s="118">
        <v>0</v>
      </c>
      <c r="W229" s="118">
        <v>0</v>
      </c>
      <c r="X229" s="118">
        <v>0</v>
      </c>
      <c r="Y229" s="118">
        <v>0</v>
      </c>
      <c r="Z229" s="118">
        <v>0</v>
      </c>
      <c r="AA229" s="118">
        <v>0</v>
      </c>
      <c r="AB229" s="118">
        <v>0</v>
      </c>
      <c r="AC229" s="118">
        <v>0</v>
      </c>
      <c r="AD229" s="118">
        <v>0</v>
      </c>
      <c r="AE229" s="118">
        <v>0</v>
      </c>
      <c r="AF229" s="118">
        <v>0</v>
      </c>
      <c r="AG229" s="118">
        <v>0</v>
      </c>
      <c r="AH229" s="118">
        <v>0</v>
      </c>
      <c r="AI229" s="118">
        <v>0</v>
      </c>
      <c r="AJ229" s="118">
        <v>0</v>
      </c>
      <c r="AK229" s="118">
        <v>0</v>
      </c>
      <c r="AL229" s="118">
        <v>0</v>
      </c>
      <c r="AM229" s="118">
        <v>0</v>
      </c>
      <c r="AN229" s="118">
        <v>0</v>
      </c>
      <c r="AO229" s="118">
        <v>0</v>
      </c>
      <c r="AP229" s="118">
        <v>0</v>
      </c>
      <c r="AQ229" s="118">
        <v>0</v>
      </c>
      <c r="AR229" s="118">
        <v>0</v>
      </c>
      <c r="AS229" s="118">
        <v>0</v>
      </c>
      <c r="AT229" s="118">
        <v>0</v>
      </c>
      <c r="AU229" s="118">
        <v>0</v>
      </c>
      <c r="AV229" s="118">
        <v>0</v>
      </c>
      <c r="AW229" s="118">
        <v>0</v>
      </c>
      <c r="AX229" s="118">
        <v>0</v>
      </c>
      <c r="AY229" s="118">
        <v>0</v>
      </c>
    </row>
    <row r="230" spans="1:51" x14ac:dyDescent="0.2">
      <c r="A230" s="117"/>
      <c r="B230" s="128">
        <v>22</v>
      </c>
      <c r="C230" s="114"/>
      <c r="D230" s="118">
        <v>0</v>
      </c>
      <c r="E230" s="118">
        <v>0</v>
      </c>
      <c r="F230" s="118">
        <v>0</v>
      </c>
      <c r="G230" s="118">
        <v>0</v>
      </c>
      <c r="H230" s="118">
        <v>0</v>
      </c>
      <c r="I230" s="118">
        <v>0</v>
      </c>
      <c r="J230" s="118">
        <v>0</v>
      </c>
      <c r="K230" s="118">
        <v>0</v>
      </c>
      <c r="L230" s="118">
        <v>0</v>
      </c>
      <c r="M230" s="118">
        <v>0</v>
      </c>
      <c r="N230" s="118">
        <v>0</v>
      </c>
      <c r="O230" s="118">
        <v>0</v>
      </c>
      <c r="P230" s="118">
        <v>0</v>
      </c>
      <c r="Q230" s="118">
        <v>0</v>
      </c>
      <c r="R230" s="118">
        <v>0</v>
      </c>
      <c r="S230" s="118">
        <v>0</v>
      </c>
      <c r="T230" s="118">
        <v>0</v>
      </c>
      <c r="U230" s="118">
        <v>0</v>
      </c>
      <c r="V230" s="118">
        <v>0</v>
      </c>
      <c r="W230" s="118">
        <v>0</v>
      </c>
      <c r="X230" s="118">
        <v>0</v>
      </c>
      <c r="Y230" s="118">
        <v>0</v>
      </c>
      <c r="Z230" s="118">
        <v>0</v>
      </c>
      <c r="AA230" s="118">
        <v>0</v>
      </c>
      <c r="AB230" s="118">
        <v>0</v>
      </c>
      <c r="AC230" s="118">
        <v>0</v>
      </c>
      <c r="AD230" s="118">
        <v>0</v>
      </c>
      <c r="AE230" s="118">
        <v>0</v>
      </c>
      <c r="AF230" s="118">
        <v>0</v>
      </c>
      <c r="AG230" s="118">
        <v>0</v>
      </c>
      <c r="AH230" s="118">
        <v>0</v>
      </c>
      <c r="AI230" s="118">
        <v>0</v>
      </c>
      <c r="AJ230" s="118">
        <v>0</v>
      </c>
      <c r="AK230" s="118">
        <v>0</v>
      </c>
      <c r="AL230" s="118">
        <v>0</v>
      </c>
      <c r="AM230" s="118">
        <v>0</v>
      </c>
      <c r="AN230" s="118">
        <v>0</v>
      </c>
      <c r="AO230" s="118">
        <v>0</v>
      </c>
      <c r="AP230" s="118">
        <v>0</v>
      </c>
      <c r="AQ230" s="118">
        <v>0</v>
      </c>
      <c r="AR230" s="118">
        <v>0</v>
      </c>
      <c r="AS230" s="118">
        <v>0</v>
      </c>
      <c r="AT230" s="118">
        <v>0</v>
      </c>
      <c r="AU230" s="118">
        <v>0</v>
      </c>
      <c r="AV230" s="118">
        <v>0</v>
      </c>
      <c r="AW230" s="118">
        <v>0</v>
      </c>
      <c r="AX230" s="118">
        <v>0</v>
      </c>
      <c r="AY230" s="118">
        <v>0</v>
      </c>
    </row>
    <row r="231" spans="1:51" x14ac:dyDescent="0.2">
      <c r="A231" s="117"/>
      <c r="B231" s="128">
        <v>23</v>
      </c>
      <c r="C231" s="114"/>
      <c r="D231" s="118">
        <v>0</v>
      </c>
      <c r="E231" s="118">
        <v>0</v>
      </c>
      <c r="F231" s="118">
        <v>0</v>
      </c>
      <c r="G231" s="118">
        <v>0</v>
      </c>
      <c r="H231" s="118">
        <v>0</v>
      </c>
      <c r="I231" s="118">
        <v>0</v>
      </c>
      <c r="J231" s="118">
        <v>0</v>
      </c>
      <c r="K231" s="118">
        <v>0</v>
      </c>
      <c r="L231" s="118">
        <v>0</v>
      </c>
      <c r="M231" s="118">
        <v>0</v>
      </c>
      <c r="N231" s="118">
        <v>0</v>
      </c>
      <c r="O231" s="118">
        <v>0</v>
      </c>
      <c r="P231" s="118">
        <v>0</v>
      </c>
      <c r="Q231" s="118">
        <v>0</v>
      </c>
      <c r="R231" s="118">
        <v>0</v>
      </c>
      <c r="S231" s="118">
        <v>0</v>
      </c>
      <c r="T231" s="118">
        <v>0</v>
      </c>
      <c r="U231" s="118">
        <v>0</v>
      </c>
      <c r="V231" s="118">
        <v>0</v>
      </c>
      <c r="W231" s="118">
        <v>0</v>
      </c>
      <c r="X231" s="118">
        <v>0</v>
      </c>
      <c r="Y231" s="118">
        <v>0</v>
      </c>
      <c r="Z231" s="118">
        <v>0</v>
      </c>
      <c r="AA231" s="118">
        <v>0</v>
      </c>
      <c r="AB231" s="118">
        <v>0</v>
      </c>
      <c r="AC231" s="118">
        <v>0</v>
      </c>
      <c r="AD231" s="118">
        <v>0</v>
      </c>
      <c r="AE231" s="118">
        <v>0</v>
      </c>
      <c r="AF231" s="118">
        <v>0</v>
      </c>
      <c r="AG231" s="118">
        <v>0</v>
      </c>
      <c r="AH231" s="118">
        <v>0</v>
      </c>
      <c r="AI231" s="118">
        <v>0</v>
      </c>
      <c r="AJ231" s="118">
        <v>0</v>
      </c>
      <c r="AK231" s="118">
        <v>0</v>
      </c>
      <c r="AL231" s="118">
        <v>0</v>
      </c>
      <c r="AM231" s="118">
        <v>0</v>
      </c>
      <c r="AN231" s="118">
        <v>0</v>
      </c>
      <c r="AO231" s="118">
        <v>0</v>
      </c>
      <c r="AP231" s="118">
        <v>0</v>
      </c>
      <c r="AQ231" s="118">
        <v>0</v>
      </c>
      <c r="AR231" s="118">
        <v>0</v>
      </c>
      <c r="AS231" s="118">
        <v>0</v>
      </c>
      <c r="AT231" s="118">
        <v>0</v>
      </c>
      <c r="AU231" s="118">
        <v>0</v>
      </c>
      <c r="AV231" s="118">
        <v>0</v>
      </c>
      <c r="AW231" s="118">
        <v>0</v>
      </c>
      <c r="AX231" s="118">
        <v>0</v>
      </c>
      <c r="AY231" s="118">
        <v>0</v>
      </c>
    </row>
    <row r="232" spans="1:51" x14ac:dyDescent="0.2">
      <c r="A232" s="117"/>
      <c r="B232" s="128">
        <v>24</v>
      </c>
      <c r="C232" s="114"/>
      <c r="D232" s="118">
        <v>0</v>
      </c>
      <c r="E232" s="118">
        <v>0</v>
      </c>
      <c r="F232" s="118">
        <v>0</v>
      </c>
      <c r="G232" s="118">
        <v>0</v>
      </c>
      <c r="H232" s="118">
        <v>0</v>
      </c>
      <c r="I232" s="118">
        <v>0</v>
      </c>
      <c r="J232" s="118">
        <v>0</v>
      </c>
      <c r="K232" s="118">
        <v>0</v>
      </c>
      <c r="L232" s="118">
        <v>0</v>
      </c>
      <c r="M232" s="118">
        <v>0</v>
      </c>
      <c r="N232" s="118">
        <v>0</v>
      </c>
      <c r="O232" s="118">
        <v>0</v>
      </c>
      <c r="P232" s="118">
        <v>0</v>
      </c>
      <c r="Q232" s="118">
        <v>0</v>
      </c>
      <c r="R232" s="118">
        <v>0</v>
      </c>
      <c r="S232" s="118">
        <v>0</v>
      </c>
      <c r="T232" s="118">
        <v>0</v>
      </c>
      <c r="U232" s="118">
        <v>0</v>
      </c>
      <c r="V232" s="118">
        <v>0</v>
      </c>
      <c r="W232" s="118">
        <v>0</v>
      </c>
      <c r="X232" s="118">
        <v>0</v>
      </c>
      <c r="Y232" s="118">
        <v>0</v>
      </c>
      <c r="Z232" s="118">
        <v>0</v>
      </c>
      <c r="AA232" s="118">
        <v>0</v>
      </c>
      <c r="AB232" s="118">
        <v>0</v>
      </c>
      <c r="AC232" s="118">
        <v>0</v>
      </c>
      <c r="AD232" s="118">
        <v>0</v>
      </c>
      <c r="AE232" s="118">
        <v>0</v>
      </c>
      <c r="AF232" s="118">
        <v>0</v>
      </c>
      <c r="AG232" s="118">
        <v>0</v>
      </c>
      <c r="AH232" s="118">
        <v>0</v>
      </c>
      <c r="AI232" s="118">
        <v>0</v>
      </c>
      <c r="AJ232" s="118">
        <v>0</v>
      </c>
      <c r="AK232" s="118">
        <v>0</v>
      </c>
      <c r="AL232" s="118">
        <v>0</v>
      </c>
      <c r="AM232" s="118">
        <v>0</v>
      </c>
      <c r="AN232" s="118">
        <v>0</v>
      </c>
      <c r="AO232" s="118">
        <v>0</v>
      </c>
      <c r="AP232" s="118">
        <v>0</v>
      </c>
      <c r="AQ232" s="118">
        <v>0</v>
      </c>
      <c r="AR232" s="118">
        <v>0</v>
      </c>
      <c r="AS232" s="118">
        <v>0</v>
      </c>
      <c r="AT232" s="118">
        <v>0</v>
      </c>
      <c r="AU232" s="118">
        <v>0</v>
      </c>
      <c r="AV232" s="118">
        <v>0</v>
      </c>
      <c r="AW232" s="118">
        <v>0</v>
      </c>
      <c r="AX232" s="118">
        <v>0</v>
      </c>
      <c r="AY232" s="118">
        <v>0</v>
      </c>
    </row>
    <row r="233" spans="1:51" x14ac:dyDescent="0.2">
      <c r="A233" s="117"/>
      <c r="B233" s="135">
        <v>25</v>
      </c>
      <c r="C233" s="114"/>
      <c r="D233" s="118">
        <v>0</v>
      </c>
      <c r="E233" s="118">
        <v>0</v>
      </c>
      <c r="F233" s="118">
        <v>0</v>
      </c>
      <c r="G233" s="118">
        <v>0</v>
      </c>
      <c r="H233" s="118">
        <v>0</v>
      </c>
      <c r="I233" s="118">
        <v>0</v>
      </c>
      <c r="J233" s="118">
        <v>0</v>
      </c>
      <c r="K233" s="118">
        <v>0</v>
      </c>
      <c r="L233" s="118">
        <v>0</v>
      </c>
      <c r="M233" s="118">
        <v>0</v>
      </c>
      <c r="N233" s="118">
        <v>0</v>
      </c>
      <c r="O233" s="118">
        <v>0</v>
      </c>
      <c r="P233" s="118">
        <v>0</v>
      </c>
      <c r="Q233" s="118">
        <v>0</v>
      </c>
      <c r="R233" s="118">
        <v>0</v>
      </c>
      <c r="S233" s="118">
        <v>0</v>
      </c>
      <c r="T233" s="118">
        <v>0</v>
      </c>
      <c r="U233" s="118">
        <v>0</v>
      </c>
      <c r="V233" s="118">
        <v>0</v>
      </c>
      <c r="W233" s="118">
        <v>0</v>
      </c>
      <c r="X233" s="118">
        <v>0</v>
      </c>
      <c r="Y233" s="118">
        <v>0</v>
      </c>
      <c r="Z233" s="118">
        <v>0</v>
      </c>
      <c r="AA233" s="118">
        <v>0</v>
      </c>
      <c r="AB233" s="118">
        <v>0</v>
      </c>
      <c r="AC233" s="118">
        <v>0</v>
      </c>
      <c r="AD233" s="118">
        <v>0</v>
      </c>
      <c r="AE233" s="118">
        <v>0</v>
      </c>
      <c r="AF233" s="118">
        <v>0</v>
      </c>
      <c r="AG233" s="118">
        <v>0</v>
      </c>
      <c r="AH233" s="118">
        <v>0</v>
      </c>
      <c r="AI233" s="118">
        <v>0</v>
      </c>
      <c r="AJ233" s="118">
        <v>0</v>
      </c>
      <c r="AK233" s="118">
        <v>0</v>
      </c>
      <c r="AL233" s="118">
        <v>0</v>
      </c>
      <c r="AM233" s="118">
        <v>0</v>
      </c>
      <c r="AN233" s="118">
        <v>0</v>
      </c>
      <c r="AO233" s="118">
        <v>0</v>
      </c>
      <c r="AP233" s="118">
        <v>0</v>
      </c>
      <c r="AQ233" s="118">
        <v>0</v>
      </c>
      <c r="AR233" s="118">
        <v>0</v>
      </c>
      <c r="AS233" s="118">
        <v>0</v>
      </c>
      <c r="AT233" s="118">
        <v>0</v>
      </c>
      <c r="AU233" s="118">
        <v>0</v>
      </c>
      <c r="AV233" s="118">
        <v>0</v>
      </c>
      <c r="AW233" s="118">
        <v>0</v>
      </c>
      <c r="AX233" s="118">
        <v>0</v>
      </c>
      <c r="AY233" s="118">
        <v>0</v>
      </c>
    </row>
    <row r="234" spans="1:51" x14ac:dyDescent="0.2">
      <c r="A234" s="117"/>
      <c r="B234" s="135">
        <v>26</v>
      </c>
      <c r="C234" s="114"/>
      <c r="D234" s="118">
        <v>0</v>
      </c>
      <c r="E234" s="118">
        <v>0</v>
      </c>
      <c r="F234" s="118">
        <v>0</v>
      </c>
      <c r="G234" s="118">
        <v>0</v>
      </c>
      <c r="H234" s="118">
        <v>0</v>
      </c>
      <c r="I234" s="118">
        <v>0</v>
      </c>
      <c r="J234" s="118">
        <v>0</v>
      </c>
      <c r="K234" s="118">
        <v>0</v>
      </c>
      <c r="L234" s="118">
        <v>0</v>
      </c>
      <c r="M234" s="118">
        <v>0</v>
      </c>
      <c r="N234" s="118">
        <v>0</v>
      </c>
      <c r="O234" s="118">
        <v>0</v>
      </c>
      <c r="P234" s="118">
        <v>0</v>
      </c>
      <c r="Q234" s="118">
        <v>0</v>
      </c>
      <c r="R234" s="118">
        <v>0</v>
      </c>
      <c r="S234" s="118">
        <v>0</v>
      </c>
      <c r="T234" s="118">
        <v>0</v>
      </c>
      <c r="U234" s="118">
        <v>0</v>
      </c>
      <c r="V234" s="118">
        <v>0</v>
      </c>
      <c r="W234" s="118">
        <v>0</v>
      </c>
      <c r="X234" s="118">
        <v>0</v>
      </c>
      <c r="Y234" s="118">
        <v>0</v>
      </c>
      <c r="Z234" s="118">
        <v>0</v>
      </c>
      <c r="AA234" s="118">
        <v>0</v>
      </c>
      <c r="AB234" s="118">
        <v>0</v>
      </c>
      <c r="AC234" s="118">
        <v>0</v>
      </c>
      <c r="AD234" s="118">
        <v>0</v>
      </c>
      <c r="AE234" s="118">
        <v>0</v>
      </c>
      <c r="AF234" s="118">
        <v>0</v>
      </c>
      <c r="AG234" s="118">
        <v>0</v>
      </c>
      <c r="AH234" s="118">
        <v>0</v>
      </c>
      <c r="AI234" s="118">
        <v>0</v>
      </c>
      <c r="AJ234" s="118">
        <v>0</v>
      </c>
      <c r="AK234" s="118">
        <v>0</v>
      </c>
      <c r="AL234" s="118">
        <v>0</v>
      </c>
      <c r="AM234" s="118">
        <v>0</v>
      </c>
      <c r="AN234" s="118">
        <v>0</v>
      </c>
      <c r="AO234" s="118">
        <v>0</v>
      </c>
      <c r="AP234" s="118">
        <v>0</v>
      </c>
      <c r="AQ234" s="118">
        <v>0</v>
      </c>
      <c r="AR234" s="118">
        <v>0</v>
      </c>
      <c r="AS234" s="118">
        <v>0</v>
      </c>
      <c r="AT234" s="118">
        <v>0</v>
      </c>
      <c r="AU234" s="118">
        <v>0</v>
      </c>
      <c r="AV234" s="118">
        <v>0</v>
      </c>
      <c r="AW234" s="118">
        <v>0</v>
      </c>
      <c r="AX234" s="118">
        <v>0</v>
      </c>
      <c r="AY234" s="118">
        <v>0</v>
      </c>
    </row>
    <row r="235" spans="1:51" x14ac:dyDescent="0.2">
      <c r="A235" s="117"/>
      <c r="B235" s="135">
        <v>27</v>
      </c>
      <c r="C235" s="114"/>
      <c r="D235" s="118">
        <v>0</v>
      </c>
      <c r="E235" s="118">
        <v>0</v>
      </c>
      <c r="F235" s="118">
        <v>0</v>
      </c>
      <c r="G235" s="118">
        <v>0</v>
      </c>
      <c r="H235" s="118">
        <v>0</v>
      </c>
      <c r="I235" s="118">
        <v>0</v>
      </c>
      <c r="J235" s="118">
        <v>0</v>
      </c>
      <c r="K235" s="118">
        <v>0</v>
      </c>
      <c r="L235" s="118">
        <v>0</v>
      </c>
      <c r="M235" s="118">
        <v>0</v>
      </c>
      <c r="N235" s="118">
        <v>0</v>
      </c>
      <c r="O235" s="118">
        <v>0</v>
      </c>
      <c r="P235" s="118">
        <v>0</v>
      </c>
      <c r="Q235" s="118">
        <v>0</v>
      </c>
      <c r="R235" s="118">
        <v>0</v>
      </c>
      <c r="S235" s="118">
        <v>0</v>
      </c>
      <c r="T235" s="118">
        <v>0</v>
      </c>
      <c r="U235" s="118">
        <v>0</v>
      </c>
      <c r="V235" s="118">
        <v>0</v>
      </c>
      <c r="W235" s="118">
        <v>0</v>
      </c>
      <c r="X235" s="118">
        <v>0</v>
      </c>
      <c r="Y235" s="118">
        <v>0</v>
      </c>
      <c r="Z235" s="118">
        <v>0</v>
      </c>
      <c r="AA235" s="118">
        <v>0</v>
      </c>
      <c r="AB235" s="118">
        <v>0</v>
      </c>
      <c r="AC235" s="118">
        <v>0</v>
      </c>
      <c r="AD235" s="118">
        <v>0</v>
      </c>
      <c r="AE235" s="118">
        <v>0</v>
      </c>
      <c r="AF235" s="118">
        <v>0</v>
      </c>
      <c r="AG235" s="118">
        <v>0</v>
      </c>
      <c r="AH235" s="118">
        <v>0</v>
      </c>
      <c r="AI235" s="118">
        <v>0</v>
      </c>
      <c r="AJ235" s="118">
        <v>0</v>
      </c>
      <c r="AK235" s="118">
        <v>0</v>
      </c>
      <c r="AL235" s="118">
        <v>0</v>
      </c>
      <c r="AM235" s="118">
        <v>0</v>
      </c>
      <c r="AN235" s="118">
        <v>0</v>
      </c>
      <c r="AO235" s="118">
        <v>0</v>
      </c>
      <c r="AP235" s="118">
        <v>0</v>
      </c>
      <c r="AQ235" s="118">
        <v>0</v>
      </c>
      <c r="AR235" s="118">
        <v>0</v>
      </c>
      <c r="AS235" s="118">
        <v>0</v>
      </c>
      <c r="AT235" s="118">
        <v>0</v>
      </c>
      <c r="AU235" s="118">
        <v>0</v>
      </c>
      <c r="AV235" s="118">
        <v>0</v>
      </c>
      <c r="AW235" s="118">
        <v>0</v>
      </c>
      <c r="AX235" s="118">
        <v>0</v>
      </c>
      <c r="AY235" s="118">
        <v>0</v>
      </c>
    </row>
    <row r="236" spans="1:51" x14ac:dyDescent="0.2">
      <c r="A236" s="117"/>
      <c r="B236" s="135">
        <v>28</v>
      </c>
      <c r="C236" s="114"/>
      <c r="D236" s="118">
        <v>0</v>
      </c>
      <c r="E236" s="118">
        <v>0</v>
      </c>
      <c r="F236" s="118">
        <v>0</v>
      </c>
      <c r="G236" s="118">
        <v>0</v>
      </c>
      <c r="H236" s="118">
        <v>0</v>
      </c>
      <c r="I236" s="118">
        <v>0</v>
      </c>
      <c r="J236" s="118">
        <v>0</v>
      </c>
      <c r="K236" s="118">
        <v>0</v>
      </c>
      <c r="L236" s="118">
        <v>0</v>
      </c>
      <c r="M236" s="118">
        <v>0</v>
      </c>
      <c r="N236" s="118">
        <v>0</v>
      </c>
      <c r="O236" s="118">
        <v>0</v>
      </c>
      <c r="P236" s="118">
        <v>0</v>
      </c>
      <c r="Q236" s="118">
        <v>0</v>
      </c>
      <c r="R236" s="118">
        <v>0</v>
      </c>
      <c r="S236" s="118">
        <v>0</v>
      </c>
      <c r="T236" s="118">
        <v>0</v>
      </c>
      <c r="U236" s="118">
        <v>0</v>
      </c>
      <c r="V236" s="118">
        <v>0</v>
      </c>
      <c r="W236" s="118">
        <v>0</v>
      </c>
      <c r="X236" s="118">
        <v>0</v>
      </c>
      <c r="Y236" s="118">
        <v>0</v>
      </c>
      <c r="Z236" s="118">
        <v>0</v>
      </c>
      <c r="AA236" s="118">
        <v>0</v>
      </c>
      <c r="AB236" s="118">
        <v>0</v>
      </c>
      <c r="AC236" s="118">
        <v>0</v>
      </c>
      <c r="AD236" s="118">
        <v>0</v>
      </c>
      <c r="AE236" s="118">
        <v>0</v>
      </c>
      <c r="AF236" s="118">
        <v>0</v>
      </c>
      <c r="AG236" s="118">
        <v>0</v>
      </c>
      <c r="AH236" s="118">
        <v>0</v>
      </c>
      <c r="AI236" s="118">
        <v>0</v>
      </c>
      <c r="AJ236" s="118">
        <v>0</v>
      </c>
      <c r="AK236" s="118">
        <v>0</v>
      </c>
      <c r="AL236" s="118">
        <v>0</v>
      </c>
      <c r="AM236" s="118">
        <v>0</v>
      </c>
      <c r="AN236" s="118">
        <v>0</v>
      </c>
      <c r="AO236" s="118">
        <v>0</v>
      </c>
      <c r="AP236" s="118">
        <v>0</v>
      </c>
      <c r="AQ236" s="118">
        <v>0</v>
      </c>
      <c r="AR236" s="118">
        <v>0</v>
      </c>
      <c r="AS236" s="118">
        <v>0</v>
      </c>
      <c r="AT236" s="118">
        <v>0</v>
      </c>
      <c r="AU236" s="118">
        <v>0</v>
      </c>
      <c r="AV236" s="118">
        <v>0</v>
      </c>
      <c r="AW236" s="118">
        <v>0</v>
      </c>
      <c r="AX236" s="118">
        <v>0</v>
      </c>
      <c r="AY236" s="118">
        <v>0</v>
      </c>
    </row>
    <row r="237" spans="1:51" x14ac:dyDescent="0.2">
      <c r="A237" s="117"/>
      <c r="B237" s="135">
        <v>29</v>
      </c>
      <c r="C237" s="114"/>
      <c r="D237" s="118">
        <v>0</v>
      </c>
      <c r="E237" s="118">
        <v>0</v>
      </c>
      <c r="F237" s="118">
        <v>0</v>
      </c>
      <c r="G237" s="118">
        <v>0</v>
      </c>
      <c r="H237" s="118">
        <v>0</v>
      </c>
      <c r="I237" s="118">
        <v>0</v>
      </c>
      <c r="J237" s="118">
        <v>0</v>
      </c>
      <c r="K237" s="118">
        <v>0</v>
      </c>
      <c r="L237" s="118">
        <v>0</v>
      </c>
      <c r="M237" s="118">
        <v>0</v>
      </c>
      <c r="N237" s="118">
        <v>0</v>
      </c>
      <c r="O237" s="118">
        <v>0</v>
      </c>
      <c r="P237" s="118">
        <v>0</v>
      </c>
      <c r="Q237" s="118">
        <v>0</v>
      </c>
      <c r="R237" s="118">
        <v>0</v>
      </c>
      <c r="S237" s="118">
        <v>0</v>
      </c>
      <c r="T237" s="118">
        <v>0</v>
      </c>
      <c r="U237" s="118">
        <v>0</v>
      </c>
      <c r="V237" s="118">
        <v>0</v>
      </c>
      <c r="W237" s="118">
        <v>0</v>
      </c>
      <c r="X237" s="118">
        <v>0</v>
      </c>
      <c r="Y237" s="118">
        <v>0</v>
      </c>
      <c r="Z237" s="118">
        <v>0</v>
      </c>
      <c r="AA237" s="118">
        <v>0</v>
      </c>
      <c r="AB237" s="118">
        <v>0</v>
      </c>
      <c r="AC237" s="118">
        <v>0</v>
      </c>
      <c r="AD237" s="118">
        <v>0</v>
      </c>
      <c r="AE237" s="118">
        <v>0</v>
      </c>
      <c r="AF237" s="118">
        <v>0</v>
      </c>
      <c r="AG237" s="118">
        <v>0</v>
      </c>
      <c r="AH237" s="118">
        <v>0</v>
      </c>
      <c r="AI237" s="118">
        <v>0</v>
      </c>
      <c r="AJ237" s="118">
        <v>0</v>
      </c>
      <c r="AK237" s="118">
        <v>0</v>
      </c>
      <c r="AL237" s="118">
        <v>0</v>
      </c>
      <c r="AM237" s="118">
        <v>0</v>
      </c>
      <c r="AN237" s="118">
        <v>0</v>
      </c>
      <c r="AO237" s="118">
        <v>0</v>
      </c>
      <c r="AP237" s="118">
        <v>0</v>
      </c>
      <c r="AQ237" s="118">
        <v>0</v>
      </c>
      <c r="AR237" s="118">
        <v>0</v>
      </c>
      <c r="AS237" s="118">
        <v>0</v>
      </c>
      <c r="AT237" s="118">
        <v>0</v>
      </c>
      <c r="AU237" s="118">
        <v>0</v>
      </c>
      <c r="AV237" s="118">
        <v>0</v>
      </c>
      <c r="AW237" s="118">
        <v>0</v>
      </c>
      <c r="AX237" s="118">
        <v>0</v>
      </c>
      <c r="AY237" s="118">
        <v>0</v>
      </c>
    </row>
    <row r="238" spans="1:51" x14ac:dyDescent="0.2">
      <c r="A238" s="117"/>
      <c r="B238" s="135">
        <v>30</v>
      </c>
      <c r="C238" s="114"/>
      <c r="D238" s="118">
        <v>0</v>
      </c>
      <c r="E238" s="118">
        <v>0</v>
      </c>
      <c r="F238" s="118">
        <v>0</v>
      </c>
      <c r="G238" s="118">
        <v>0</v>
      </c>
      <c r="H238" s="118">
        <v>0</v>
      </c>
      <c r="I238" s="118">
        <v>0</v>
      </c>
      <c r="J238" s="118">
        <v>0</v>
      </c>
      <c r="K238" s="118">
        <v>0</v>
      </c>
      <c r="L238" s="118">
        <v>0</v>
      </c>
      <c r="M238" s="118">
        <v>0</v>
      </c>
      <c r="N238" s="118">
        <v>0</v>
      </c>
      <c r="O238" s="118">
        <v>0</v>
      </c>
      <c r="P238" s="118">
        <v>0</v>
      </c>
      <c r="Q238" s="118">
        <v>0</v>
      </c>
      <c r="R238" s="118">
        <v>0</v>
      </c>
      <c r="S238" s="118">
        <v>0</v>
      </c>
      <c r="T238" s="118">
        <v>0</v>
      </c>
      <c r="U238" s="118">
        <v>0</v>
      </c>
      <c r="V238" s="118">
        <v>0</v>
      </c>
      <c r="W238" s="118">
        <v>0</v>
      </c>
      <c r="X238" s="118">
        <v>0</v>
      </c>
      <c r="Y238" s="118">
        <v>0</v>
      </c>
      <c r="Z238" s="118">
        <v>0</v>
      </c>
      <c r="AA238" s="118">
        <v>0</v>
      </c>
      <c r="AB238" s="118">
        <v>0</v>
      </c>
      <c r="AC238" s="118">
        <v>0</v>
      </c>
      <c r="AD238" s="118">
        <v>0</v>
      </c>
      <c r="AE238" s="118">
        <v>0</v>
      </c>
      <c r="AF238" s="118">
        <v>0</v>
      </c>
      <c r="AG238" s="118">
        <v>0</v>
      </c>
      <c r="AH238" s="118">
        <v>0</v>
      </c>
      <c r="AI238" s="118">
        <v>0</v>
      </c>
      <c r="AJ238" s="118">
        <v>0</v>
      </c>
      <c r="AK238" s="118">
        <v>0</v>
      </c>
      <c r="AL238" s="118">
        <v>0</v>
      </c>
      <c r="AM238" s="118">
        <v>0</v>
      </c>
      <c r="AN238" s="118">
        <v>0</v>
      </c>
      <c r="AO238" s="118">
        <v>0</v>
      </c>
      <c r="AP238" s="118">
        <v>0</v>
      </c>
      <c r="AQ238" s="118">
        <v>0</v>
      </c>
      <c r="AR238" s="118">
        <v>0</v>
      </c>
      <c r="AS238" s="118">
        <v>0</v>
      </c>
      <c r="AT238" s="118">
        <v>0</v>
      </c>
      <c r="AU238" s="118">
        <v>0</v>
      </c>
      <c r="AV238" s="118">
        <v>0</v>
      </c>
      <c r="AW238" s="118">
        <v>0</v>
      </c>
      <c r="AX238" s="118">
        <v>0</v>
      </c>
      <c r="AY238" s="118">
        <v>0</v>
      </c>
    </row>
    <row r="239" spans="1:51" x14ac:dyDescent="0.2">
      <c r="A239" s="117"/>
      <c r="B239" s="135">
        <v>31</v>
      </c>
      <c r="C239" s="114"/>
      <c r="D239" s="118">
        <v>0</v>
      </c>
      <c r="E239" s="118">
        <v>0</v>
      </c>
      <c r="F239" s="118">
        <v>0</v>
      </c>
      <c r="G239" s="118">
        <v>0</v>
      </c>
      <c r="H239" s="118">
        <v>0</v>
      </c>
      <c r="I239" s="118">
        <v>0</v>
      </c>
      <c r="J239" s="118">
        <v>0</v>
      </c>
      <c r="K239" s="118">
        <v>0</v>
      </c>
      <c r="L239" s="118">
        <v>0</v>
      </c>
      <c r="M239" s="118">
        <v>0</v>
      </c>
      <c r="N239" s="118">
        <v>0</v>
      </c>
      <c r="O239" s="118">
        <v>0</v>
      </c>
      <c r="P239" s="118">
        <v>0</v>
      </c>
      <c r="Q239" s="118">
        <v>0</v>
      </c>
      <c r="R239" s="118">
        <v>0</v>
      </c>
      <c r="S239" s="118">
        <v>0</v>
      </c>
      <c r="T239" s="118">
        <v>0</v>
      </c>
      <c r="U239" s="118">
        <v>0</v>
      </c>
      <c r="V239" s="118">
        <v>0</v>
      </c>
      <c r="W239" s="118">
        <v>0</v>
      </c>
      <c r="X239" s="118">
        <v>0</v>
      </c>
      <c r="Y239" s="118">
        <v>0</v>
      </c>
      <c r="Z239" s="118">
        <v>0</v>
      </c>
      <c r="AA239" s="118">
        <v>0</v>
      </c>
      <c r="AB239" s="118">
        <v>0</v>
      </c>
      <c r="AC239" s="118">
        <v>0</v>
      </c>
      <c r="AD239" s="118">
        <v>0</v>
      </c>
      <c r="AE239" s="118">
        <v>0</v>
      </c>
      <c r="AF239" s="118">
        <v>0</v>
      </c>
      <c r="AG239" s="118">
        <v>0</v>
      </c>
      <c r="AH239" s="118">
        <v>0</v>
      </c>
      <c r="AI239" s="118">
        <v>0</v>
      </c>
      <c r="AJ239" s="118">
        <v>0</v>
      </c>
      <c r="AK239" s="118">
        <v>0</v>
      </c>
      <c r="AL239" s="118">
        <v>0</v>
      </c>
      <c r="AM239" s="118">
        <v>0</v>
      </c>
      <c r="AN239" s="118">
        <v>0</v>
      </c>
      <c r="AO239" s="118">
        <v>0</v>
      </c>
      <c r="AP239" s="118">
        <v>0</v>
      </c>
      <c r="AQ239" s="118">
        <v>0</v>
      </c>
      <c r="AR239" s="118">
        <v>0</v>
      </c>
      <c r="AS239" s="118">
        <v>0</v>
      </c>
      <c r="AT239" s="118">
        <v>0</v>
      </c>
      <c r="AU239" s="118">
        <v>0</v>
      </c>
      <c r="AV239" s="118">
        <v>0</v>
      </c>
      <c r="AW239" s="118">
        <v>0</v>
      </c>
      <c r="AX239" s="118">
        <v>0</v>
      </c>
      <c r="AY239" s="118">
        <v>0</v>
      </c>
    </row>
    <row r="240" spans="1:51" x14ac:dyDescent="0.2">
      <c r="A240" s="117"/>
      <c r="B240" s="135">
        <v>32</v>
      </c>
      <c r="C240" s="114"/>
      <c r="D240" s="118">
        <v>0</v>
      </c>
      <c r="E240" s="118">
        <v>0</v>
      </c>
      <c r="F240" s="118">
        <v>0</v>
      </c>
      <c r="G240" s="118">
        <v>0</v>
      </c>
      <c r="H240" s="118">
        <v>0</v>
      </c>
      <c r="I240" s="118">
        <v>0</v>
      </c>
      <c r="J240" s="118">
        <v>0</v>
      </c>
      <c r="K240" s="118">
        <v>0</v>
      </c>
      <c r="L240" s="118">
        <v>0</v>
      </c>
      <c r="M240" s="118">
        <v>0</v>
      </c>
      <c r="N240" s="118">
        <v>0</v>
      </c>
      <c r="O240" s="118">
        <v>0</v>
      </c>
      <c r="P240" s="118">
        <v>0</v>
      </c>
      <c r="Q240" s="118">
        <v>0</v>
      </c>
      <c r="R240" s="118">
        <v>0</v>
      </c>
      <c r="S240" s="118">
        <v>0</v>
      </c>
      <c r="T240" s="118">
        <v>0</v>
      </c>
      <c r="U240" s="118">
        <v>0</v>
      </c>
      <c r="V240" s="118">
        <v>0</v>
      </c>
      <c r="W240" s="118">
        <v>0</v>
      </c>
      <c r="X240" s="118">
        <v>0</v>
      </c>
      <c r="Y240" s="118">
        <v>0</v>
      </c>
      <c r="Z240" s="118">
        <v>0</v>
      </c>
      <c r="AA240" s="118">
        <v>0</v>
      </c>
      <c r="AB240" s="118">
        <v>0</v>
      </c>
      <c r="AC240" s="118">
        <v>0</v>
      </c>
      <c r="AD240" s="118">
        <v>0</v>
      </c>
      <c r="AE240" s="118">
        <v>0</v>
      </c>
      <c r="AF240" s="118">
        <v>0</v>
      </c>
      <c r="AG240" s="118">
        <v>0</v>
      </c>
      <c r="AH240" s="118">
        <v>0</v>
      </c>
      <c r="AI240" s="118">
        <v>0</v>
      </c>
      <c r="AJ240" s="118">
        <v>0</v>
      </c>
      <c r="AK240" s="118">
        <v>0</v>
      </c>
      <c r="AL240" s="118">
        <v>0</v>
      </c>
      <c r="AM240" s="118">
        <v>0</v>
      </c>
      <c r="AN240" s="118">
        <v>0</v>
      </c>
      <c r="AO240" s="118">
        <v>0</v>
      </c>
      <c r="AP240" s="118">
        <v>0</v>
      </c>
      <c r="AQ240" s="118">
        <v>0</v>
      </c>
      <c r="AR240" s="118">
        <v>0</v>
      </c>
      <c r="AS240" s="118">
        <v>0</v>
      </c>
      <c r="AT240" s="118">
        <v>0</v>
      </c>
      <c r="AU240" s="118">
        <v>0</v>
      </c>
      <c r="AV240" s="118">
        <v>0</v>
      </c>
      <c r="AW240" s="118">
        <v>0</v>
      </c>
      <c r="AX240" s="118">
        <v>0</v>
      </c>
      <c r="AY240" s="118">
        <v>0</v>
      </c>
    </row>
    <row r="241" spans="1:51" x14ac:dyDescent="0.2">
      <c r="A241" s="117"/>
      <c r="B241" s="135">
        <v>33</v>
      </c>
      <c r="C241" s="114"/>
      <c r="D241" s="118">
        <v>0</v>
      </c>
      <c r="E241" s="118">
        <v>0</v>
      </c>
      <c r="F241" s="118">
        <v>0</v>
      </c>
      <c r="G241" s="118">
        <v>0</v>
      </c>
      <c r="H241" s="118">
        <v>0</v>
      </c>
      <c r="I241" s="118">
        <v>0</v>
      </c>
      <c r="J241" s="118">
        <v>0</v>
      </c>
      <c r="K241" s="118">
        <v>0</v>
      </c>
      <c r="L241" s="118">
        <v>0</v>
      </c>
      <c r="M241" s="118">
        <v>0</v>
      </c>
      <c r="N241" s="118">
        <v>0</v>
      </c>
      <c r="O241" s="118">
        <v>0</v>
      </c>
      <c r="P241" s="118">
        <v>0</v>
      </c>
      <c r="Q241" s="118">
        <v>0</v>
      </c>
      <c r="R241" s="118">
        <v>0</v>
      </c>
      <c r="S241" s="118">
        <v>0</v>
      </c>
      <c r="T241" s="118">
        <v>0</v>
      </c>
      <c r="U241" s="118">
        <v>0</v>
      </c>
      <c r="V241" s="118">
        <v>0</v>
      </c>
      <c r="W241" s="118">
        <v>0</v>
      </c>
      <c r="X241" s="118">
        <v>0</v>
      </c>
      <c r="Y241" s="118">
        <v>0</v>
      </c>
      <c r="Z241" s="118">
        <v>0</v>
      </c>
      <c r="AA241" s="118">
        <v>0</v>
      </c>
      <c r="AB241" s="118">
        <v>0</v>
      </c>
      <c r="AC241" s="118">
        <v>0</v>
      </c>
      <c r="AD241" s="118">
        <v>0</v>
      </c>
      <c r="AE241" s="118">
        <v>0</v>
      </c>
      <c r="AF241" s="118">
        <v>0</v>
      </c>
      <c r="AG241" s="118">
        <v>0</v>
      </c>
      <c r="AH241" s="118">
        <v>0</v>
      </c>
      <c r="AI241" s="118">
        <v>0</v>
      </c>
      <c r="AJ241" s="118">
        <v>0</v>
      </c>
      <c r="AK241" s="118">
        <v>0</v>
      </c>
      <c r="AL241" s="118">
        <v>0</v>
      </c>
      <c r="AM241" s="118">
        <v>0</v>
      </c>
      <c r="AN241" s="118">
        <v>0</v>
      </c>
      <c r="AO241" s="118">
        <v>0</v>
      </c>
      <c r="AP241" s="118">
        <v>0</v>
      </c>
      <c r="AQ241" s="118">
        <v>0</v>
      </c>
      <c r="AR241" s="118">
        <v>0</v>
      </c>
      <c r="AS241" s="118">
        <v>0</v>
      </c>
      <c r="AT241" s="118">
        <v>0</v>
      </c>
      <c r="AU241" s="118">
        <v>0</v>
      </c>
      <c r="AV241" s="118">
        <v>0</v>
      </c>
      <c r="AW241" s="118">
        <v>0</v>
      </c>
      <c r="AX241" s="118">
        <v>0</v>
      </c>
      <c r="AY241" s="118">
        <v>0</v>
      </c>
    </row>
    <row r="242" spans="1:51" x14ac:dyDescent="0.2">
      <c r="A242" s="117"/>
      <c r="B242" s="135">
        <v>34</v>
      </c>
      <c r="C242" s="114"/>
      <c r="D242" s="118">
        <v>0</v>
      </c>
      <c r="E242" s="118">
        <v>0</v>
      </c>
      <c r="F242" s="118">
        <v>0</v>
      </c>
      <c r="G242" s="118">
        <v>0</v>
      </c>
      <c r="H242" s="118">
        <v>0</v>
      </c>
      <c r="I242" s="118">
        <v>0</v>
      </c>
      <c r="J242" s="118">
        <v>0</v>
      </c>
      <c r="K242" s="118">
        <v>0</v>
      </c>
      <c r="L242" s="118">
        <v>0</v>
      </c>
      <c r="M242" s="118">
        <v>0</v>
      </c>
      <c r="N242" s="118">
        <v>0</v>
      </c>
      <c r="O242" s="118">
        <v>0</v>
      </c>
      <c r="P242" s="118">
        <v>0</v>
      </c>
      <c r="Q242" s="118">
        <v>0</v>
      </c>
      <c r="R242" s="118">
        <v>0</v>
      </c>
      <c r="S242" s="118">
        <v>0</v>
      </c>
      <c r="T242" s="118">
        <v>0</v>
      </c>
      <c r="U242" s="118">
        <v>0</v>
      </c>
      <c r="V242" s="118">
        <v>0</v>
      </c>
      <c r="W242" s="118">
        <v>0</v>
      </c>
      <c r="X242" s="118">
        <v>0</v>
      </c>
      <c r="Y242" s="118">
        <v>0</v>
      </c>
      <c r="Z242" s="118">
        <v>0</v>
      </c>
      <c r="AA242" s="118">
        <v>0</v>
      </c>
      <c r="AB242" s="118">
        <v>0</v>
      </c>
      <c r="AC242" s="118">
        <v>0</v>
      </c>
      <c r="AD242" s="118">
        <v>0</v>
      </c>
      <c r="AE242" s="118">
        <v>0</v>
      </c>
      <c r="AF242" s="118">
        <v>0</v>
      </c>
      <c r="AG242" s="118">
        <v>0</v>
      </c>
      <c r="AH242" s="118">
        <v>0</v>
      </c>
      <c r="AI242" s="118">
        <v>0</v>
      </c>
      <c r="AJ242" s="118">
        <v>0</v>
      </c>
      <c r="AK242" s="118">
        <v>0</v>
      </c>
      <c r="AL242" s="118">
        <v>0</v>
      </c>
      <c r="AM242" s="118">
        <v>0</v>
      </c>
      <c r="AN242" s="118">
        <v>0</v>
      </c>
      <c r="AO242" s="118">
        <v>0</v>
      </c>
      <c r="AP242" s="118">
        <v>0</v>
      </c>
      <c r="AQ242" s="118">
        <v>0</v>
      </c>
      <c r="AR242" s="118">
        <v>0</v>
      </c>
      <c r="AS242" s="118">
        <v>0</v>
      </c>
      <c r="AT242" s="118">
        <v>0</v>
      </c>
      <c r="AU242" s="118">
        <v>0</v>
      </c>
      <c r="AV242" s="118">
        <v>0</v>
      </c>
      <c r="AW242" s="118">
        <v>0</v>
      </c>
      <c r="AX242" s="118">
        <v>0</v>
      </c>
      <c r="AY242" s="118">
        <v>0</v>
      </c>
    </row>
    <row r="243" spans="1:51" x14ac:dyDescent="0.2">
      <c r="A243" s="117"/>
      <c r="B243" s="135">
        <v>35</v>
      </c>
      <c r="C243" s="114"/>
      <c r="D243" s="118">
        <v>0</v>
      </c>
      <c r="E243" s="118">
        <v>0</v>
      </c>
      <c r="F243" s="118">
        <v>0</v>
      </c>
      <c r="G243" s="118">
        <v>0</v>
      </c>
      <c r="H243" s="118">
        <v>0</v>
      </c>
      <c r="I243" s="118">
        <v>0</v>
      </c>
      <c r="J243" s="118">
        <v>0</v>
      </c>
      <c r="K243" s="118">
        <v>0</v>
      </c>
      <c r="L243" s="118">
        <v>0</v>
      </c>
      <c r="M243" s="118">
        <v>0</v>
      </c>
      <c r="N243" s="118">
        <v>0</v>
      </c>
      <c r="O243" s="118">
        <v>0</v>
      </c>
      <c r="P243" s="118">
        <v>0</v>
      </c>
      <c r="Q243" s="118">
        <v>0</v>
      </c>
      <c r="R243" s="118">
        <v>0</v>
      </c>
      <c r="S243" s="118">
        <v>0</v>
      </c>
      <c r="T243" s="118">
        <v>0</v>
      </c>
      <c r="U243" s="118">
        <v>0</v>
      </c>
      <c r="V243" s="118">
        <v>0</v>
      </c>
      <c r="W243" s="118">
        <v>0</v>
      </c>
      <c r="X243" s="118">
        <v>0</v>
      </c>
      <c r="Y243" s="118">
        <v>0</v>
      </c>
      <c r="Z243" s="118">
        <v>0</v>
      </c>
      <c r="AA243" s="118">
        <v>0</v>
      </c>
      <c r="AB243" s="118">
        <v>0</v>
      </c>
      <c r="AC243" s="118">
        <v>0</v>
      </c>
      <c r="AD243" s="118">
        <v>0</v>
      </c>
      <c r="AE243" s="118">
        <v>0</v>
      </c>
      <c r="AF243" s="118">
        <v>0</v>
      </c>
      <c r="AG243" s="118">
        <v>0</v>
      </c>
      <c r="AH243" s="118">
        <v>0</v>
      </c>
      <c r="AI243" s="118">
        <v>0</v>
      </c>
      <c r="AJ243" s="118">
        <v>0</v>
      </c>
      <c r="AK243" s="118">
        <v>0</v>
      </c>
      <c r="AL243" s="118">
        <v>0</v>
      </c>
      <c r="AM243" s="118">
        <v>0</v>
      </c>
      <c r="AN243" s="118">
        <v>0</v>
      </c>
      <c r="AO243" s="118">
        <v>0</v>
      </c>
      <c r="AP243" s="118">
        <v>0</v>
      </c>
      <c r="AQ243" s="118">
        <v>0</v>
      </c>
      <c r="AR243" s="118">
        <v>0</v>
      </c>
      <c r="AS243" s="118">
        <v>0</v>
      </c>
      <c r="AT243" s="118">
        <v>0</v>
      </c>
      <c r="AU243" s="118">
        <v>0</v>
      </c>
      <c r="AV243" s="118">
        <v>0</v>
      </c>
      <c r="AW243" s="118">
        <v>0</v>
      </c>
      <c r="AX243" s="118">
        <v>0</v>
      </c>
      <c r="AY243" s="118">
        <v>0</v>
      </c>
    </row>
    <row r="244" spans="1:51" x14ac:dyDescent="0.2">
      <c r="A244" s="117"/>
      <c r="B244" s="135">
        <v>36</v>
      </c>
      <c r="C244" s="114"/>
      <c r="D244" s="118">
        <v>0</v>
      </c>
      <c r="E244" s="118">
        <v>0</v>
      </c>
      <c r="F244" s="118">
        <v>0</v>
      </c>
      <c r="G244" s="118">
        <v>0</v>
      </c>
      <c r="H244" s="118">
        <v>0</v>
      </c>
      <c r="I244" s="118">
        <v>0</v>
      </c>
      <c r="J244" s="118">
        <v>0</v>
      </c>
      <c r="K244" s="118">
        <v>0</v>
      </c>
      <c r="L244" s="118">
        <v>0</v>
      </c>
      <c r="M244" s="118">
        <v>0</v>
      </c>
      <c r="N244" s="118">
        <v>0</v>
      </c>
      <c r="O244" s="118">
        <v>0</v>
      </c>
      <c r="P244" s="118">
        <v>0</v>
      </c>
      <c r="Q244" s="118">
        <v>0</v>
      </c>
      <c r="R244" s="118">
        <v>0</v>
      </c>
      <c r="S244" s="118">
        <v>0</v>
      </c>
      <c r="T244" s="118">
        <v>0</v>
      </c>
      <c r="U244" s="118">
        <v>0</v>
      </c>
      <c r="V244" s="118">
        <v>0</v>
      </c>
      <c r="W244" s="118">
        <v>0</v>
      </c>
      <c r="X244" s="118">
        <v>0</v>
      </c>
      <c r="Y244" s="118">
        <v>0</v>
      </c>
      <c r="Z244" s="118">
        <v>0</v>
      </c>
      <c r="AA244" s="118">
        <v>0</v>
      </c>
      <c r="AB244" s="118">
        <v>0</v>
      </c>
      <c r="AC244" s="118">
        <v>0</v>
      </c>
      <c r="AD244" s="118">
        <v>0</v>
      </c>
      <c r="AE244" s="118">
        <v>0</v>
      </c>
      <c r="AF244" s="118">
        <v>0</v>
      </c>
      <c r="AG244" s="118">
        <v>0</v>
      </c>
      <c r="AH244" s="118">
        <v>0</v>
      </c>
      <c r="AI244" s="118">
        <v>0</v>
      </c>
      <c r="AJ244" s="118">
        <v>0</v>
      </c>
      <c r="AK244" s="118">
        <v>0</v>
      </c>
      <c r="AL244" s="118">
        <v>0</v>
      </c>
      <c r="AM244" s="118">
        <v>0</v>
      </c>
      <c r="AN244" s="118">
        <v>0</v>
      </c>
      <c r="AO244" s="118">
        <v>0</v>
      </c>
      <c r="AP244" s="118">
        <v>0</v>
      </c>
      <c r="AQ244" s="118">
        <v>0</v>
      </c>
      <c r="AR244" s="118">
        <v>0</v>
      </c>
      <c r="AS244" s="118">
        <v>0</v>
      </c>
      <c r="AT244" s="118">
        <v>0</v>
      </c>
      <c r="AU244" s="118">
        <v>0</v>
      </c>
      <c r="AV244" s="118">
        <v>0</v>
      </c>
      <c r="AW244" s="118">
        <v>0</v>
      </c>
      <c r="AX244" s="118">
        <v>0</v>
      </c>
      <c r="AY244" s="118">
        <v>0</v>
      </c>
    </row>
    <row r="245" spans="1:51" x14ac:dyDescent="0.2">
      <c r="A245" s="117"/>
      <c r="B245" s="138">
        <v>37</v>
      </c>
      <c r="C245" s="114"/>
      <c r="D245" s="118">
        <v>0</v>
      </c>
      <c r="E245" s="118">
        <v>0</v>
      </c>
      <c r="F245" s="118">
        <v>0</v>
      </c>
      <c r="G245" s="118">
        <v>0</v>
      </c>
      <c r="H245" s="118">
        <v>0</v>
      </c>
      <c r="I245" s="118">
        <v>0</v>
      </c>
      <c r="J245" s="118">
        <v>0</v>
      </c>
      <c r="K245" s="118">
        <v>0</v>
      </c>
      <c r="L245" s="118">
        <v>0</v>
      </c>
      <c r="M245" s="118">
        <v>0</v>
      </c>
      <c r="N245" s="118">
        <v>0</v>
      </c>
      <c r="O245" s="118">
        <v>0</v>
      </c>
      <c r="P245" s="118">
        <v>0</v>
      </c>
      <c r="Q245" s="118">
        <v>0</v>
      </c>
      <c r="R245" s="118">
        <v>0</v>
      </c>
      <c r="S245" s="118">
        <v>0</v>
      </c>
      <c r="T245" s="118">
        <v>0</v>
      </c>
      <c r="U245" s="118">
        <v>0</v>
      </c>
      <c r="V245" s="118">
        <v>0</v>
      </c>
      <c r="W245" s="118">
        <v>0</v>
      </c>
      <c r="X245" s="118">
        <v>0</v>
      </c>
      <c r="Y245" s="118">
        <v>0</v>
      </c>
      <c r="Z245" s="118">
        <v>0</v>
      </c>
      <c r="AA245" s="118">
        <v>0</v>
      </c>
      <c r="AB245" s="118">
        <v>0</v>
      </c>
      <c r="AC245" s="118">
        <v>0</v>
      </c>
      <c r="AD245" s="118">
        <v>0</v>
      </c>
      <c r="AE245" s="118">
        <v>0</v>
      </c>
      <c r="AF245" s="118">
        <v>0</v>
      </c>
      <c r="AG245" s="118">
        <v>0</v>
      </c>
      <c r="AH245" s="118">
        <v>0</v>
      </c>
      <c r="AI245" s="118">
        <v>0</v>
      </c>
      <c r="AJ245" s="118">
        <v>0</v>
      </c>
      <c r="AK245" s="118">
        <v>0</v>
      </c>
      <c r="AL245" s="118">
        <v>0</v>
      </c>
      <c r="AM245" s="118">
        <v>0</v>
      </c>
      <c r="AN245" s="118">
        <v>0</v>
      </c>
      <c r="AO245" s="118">
        <v>0</v>
      </c>
      <c r="AP245" s="118">
        <v>0</v>
      </c>
      <c r="AQ245" s="118">
        <v>0</v>
      </c>
      <c r="AR245" s="118">
        <v>0</v>
      </c>
      <c r="AS245" s="118">
        <v>0</v>
      </c>
      <c r="AT245" s="118">
        <v>0</v>
      </c>
      <c r="AU245" s="118">
        <v>0</v>
      </c>
      <c r="AV245" s="118">
        <v>0</v>
      </c>
      <c r="AW245" s="118">
        <v>0</v>
      </c>
      <c r="AX245" s="118">
        <v>0</v>
      </c>
      <c r="AY245" s="118">
        <v>0</v>
      </c>
    </row>
    <row r="246" spans="1:51" x14ac:dyDescent="0.2">
      <c r="A246" s="117"/>
      <c r="B246" s="138">
        <v>38</v>
      </c>
      <c r="C246" s="114"/>
      <c r="D246" s="118">
        <v>0</v>
      </c>
      <c r="E246" s="118">
        <v>0</v>
      </c>
      <c r="F246" s="118">
        <v>0</v>
      </c>
      <c r="G246" s="118">
        <v>0</v>
      </c>
      <c r="H246" s="118">
        <v>0</v>
      </c>
      <c r="I246" s="118">
        <v>0</v>
      </c>
      <c r="J246" s="118">
        <v>0</v>
      </c>
      <c r="K246" s="118">
        <v>0</v>
      </c>
      <c r="L246" s="118">
        <v>0</v>
      </c>
      <c r="M246" s="118">
        <v>0</v>
      </c>
      <c r="N246" s="118">
        <v>0</v>
      </c>
      <c r="O246" s="118">
        <v>0</v>
      </c>
      <c r="P246" s="118">
        <v>0</v>
      </c>
      <c r="Q246" s="118">
        <v>0</v>
      </c>
      <c r="R246" s="118">
        <v>0</v>
      </c>
      <c r="S246" s="118">
        <v>0</v>
      </c>
      <c r="T246" s="118">
        <v>0</v>
      </c>
      <c r="U246" s="118">
        <v>0</v>
      </c>
      <c r="V246" s="118">
        <v>0</v>
      </c>
      <c r="W246" s="118">
        <v>0</v>
      </c>
      <c r="X246" s="118">
        <v>0</v>
      </c>
      <c r="Y246" s="118">
        <v>0</v>
      </c>
      <c r="Z246" s="118">
        <v>0</v>
      </c>
      <c r="AA246" s="118">
        <v>0</v>
      </c>
      <c r="AB246" s="118">
        <v>0</v>
      </c>
      <c r="AC246" s="118">
        <v>0</v>
      </c>
      <c r="AD246" s="118">
        <v>0</v>
      </c>
      <c r="AE246" s="118">
        <v>0</v>
      </c>
      <c r="AF246" s="118">
        <v>0</v>
      </c>
      <c r="AG246" s="118">
        <v>0</v>
      </c>
      <c r="AH246" s="118">
        <v>0</v>
      </c>
      <c r="AI246" s="118">
        <v>0</v>
      </c>
      <c r="AJ246" s="118">
        <v>0</v>
      </c>
      <c r="AK246" s="118">
        <v>0</v>
      </c>
      <c r="AL246" s="118">
        <v>0</v>
      </c>
      <c r="AM246" s="118">
        <v>0</v>
      </c>
      <c r="AN246" s="118">
        <v>0</v>
      </c>
      <c r="AO246" s="118">
        <v>0</v>
      </c>
      <c r="AP246" s="118">
        <v>0</v>
      </c>
      <c r="AQ246" s="118">
        <v>0</v>
      </c>
      <c r="AR246" s="118">
        <v>0</v>
      </c>
      <c r="AS246" s="118">
        <v>0</v>
      </c>
      <c r="AT246" s="118">
        <v>0</v>
      </c>
      <c r="AU246" s="118">
        <v>0</v>
      </c>
      <c r="AV246" s="118">
        <v>0</v>
      </c>
      <c r="AW246" s="118">
        <v>0</v>
      </c>
      <c r="AX246" s="118">
        <v>0</v>
      </c>
      <c r="AY246" s="118">
        <v>0</v>
      </c>
    </row>
    <row r="247" spans="1:51" x14ac:dyDescent="0.2">
      <c r="A247" s="117"/>
      <c r="B247" s="138">
        <v>39</v>
      </c>
      <c r="C247" s="114"/>
      <c r="D247" s="118">
        <v>0</v>
      </c>
      <c r="E247" s="118">
        <v>0</v>
      </c>
      <c r="F247" s="118">
        <v>0</v>
      </c>
      <c r="G247" s="118">
        <v>0</v>
      </c>
      <c r="H247" s="118">
        <v>0</v>
      </c>
      <c r="I247" s="118">
        <v>0</v>
      </c>
      <c r="J247" s="118">
        <v>0</v>
      </c>
      <c r="K247" s="118">
        <v>0</v>
      </c>
      <c r="L247" s="118">
        <v>0</v>
      </c>
      <c r="M247" s="118">
        <v>0</v>
      </c>
      <c r="N247" s="118">
        <v>0</v>
      </c>
      <c r="O247" s="118">
        <v>0</v>
      </c>
      <c r="P247" s="118">
        <v>0</v>
      </c>
      <c r="Q247" s="118">
        <v>0</v>
      </c>
      <c r="R247" s="118">
        <v>0</v>
      </c>
      <c r="S247" s="118">
        <v>0</v>
      </c>
      <c r="T247" s="118">
        <v>0</v>
      </c>
      <c r="U247" s="118">
        <v>0</v>
      </c>
      <c r="V247" s="118">
        <v>0</v>
      </c>
      <c r="W247" s="118">
        <v>0</v>
      </c>
      <c r="X247" s="118">
        <v>0</v>
      </c>
      <c r="Y247" s="118">
        <v>0</v>
      </c>
      <c r="Z247" s="118">
        <v>0</v>
      </c>
      <c r="AA247" s="118">
        <v>0</v>
      </c>
      <c r="AB247" s="118">
        <v>0</v>
      </c>
      <c r="AC247" s="118">
        <v>0</v>
      </c>
      <c r="AD247" s="118">
        <v>0</v>
      </c>
      <c r="AE247" s="118">
        <v>0</v>
      </c>
      <c r="AF247" s="118">
        <v>0</v>
      </c>
      <c r="AG247" s="118">
        <v>0</v>
      </c>
      <c r="AH247" s="118">
        <v>0</v>
      </c>
      <c r="AI247" s="118">
        <v>0</v>
      </c>
      <c r="AJ247" s="118">
        <v>0</v>
      </c>
      <c r="AK247" s="118">
        <v>0</v>
      </c>
      <c r="AL247" s="118">
        <v>0</v>
      </c>
      <c r="AM247" s="118">
        <v>0</v>
      </c>
      <c r="AN247" s="118">
        <v>0</v>
      </c>
      <c r="AO247" s="118">
        <v>0</v>
      </c>
      <c r="AP247" s="118">
        <v>0</v>
      </c>
      <c r="AQ247" s="118">
        <v>0</v>
      </c>
      <c r="AR247" s="118">
        <v>0</v>
      </c>
      <c r="AS247" s="118">
        <v>0</v>
      </c>
      <c r="AT247" s="118">
        <v>0</v>
      </c>
      <c r="AU247" s="118">
        <v>0</v>
      </c>
      <c r="AV247" s="118">
        <v>0</v>
      </c>
      <c r="AW247" s="118">
        <v>0</v>
      </c>
      <c r="AX247" s="118">
        <v>0</v>
      </c>
      <c r="AY247" s="118">
        <v>0</v>
      </c>
    </row>
    <row r="248" spans="1:51" x14ac:dyDescent="0.2">
      <c r="A248" s="117"/>
      <c r="B248" s="138">
        <v>40</v>
      </c>
      <c r="C248" s="114"/>
      <c r="D248" s="118">
        <v>0</v>
      </c>
      <c r="E248" s="118">
        <v>0</v>
      </c>
      <c r="F248" s="118">
        <v>0</v>
      </c>
      <c r="G248" s="118">
        <v>0</v>
      </c>
      <c r="H248" s="118">
        <v>0</v>
      </c>
      <c r="I248" s="118">
        <v>0</v>
      </c>
      <c r="J248" s="118">
        <v>0</v>
      </c>
      <c r="K248" s="118">
        <v>0</v>
      </c>
      <c r="L248" s="118">
        <v>0</v>
      </c>
      <c r="M248" s="118">
        <v>0</v>
      </c>
      <c r="N248" s="118">
        <v>0</v>
      </c>
      <c r="O248" s="118">
        <v>0</v>
      </c>
      <c r="P248" s="118">
        <v>0</v>
      </c>
      <c r="Q248" s="118">
        <v>0</v>
      </c>
      <c r="R248" s="118">
        <v>0</v>
      </c>
      <c r="S248" s="118">
        <v>0</v>
      </c>
      <c r="T248" s="118">
        <v>0</v>
      </c>
      <c r="U248" s="118">
        <v>0</v>
      </c>
      <c r="V248" s="118">
        <v>0</v>
      </c>
      <c r="W248" s="118">
        <v>0</v>
      </c>
      <c r="X248" s="118">
        <v>0</v>
      </c>
      <c r="Y248" s="118">
        <v>0</v>
      </c>
      <c r="Z248" s="118">
        <v>0</v>
      </c>
      <c r="AA248" s="118">
        <v>0</v>
      </c>
      <c r="AB248" s="118">
        <v>0</v>
      </c>
      <c r="AC248" s="118">
        <v>0</v>
      </c>
      <c r="AD248" s="118">
        <v>0</v>
      </c>
      <c r="AE248" s="118">
        <v>0</v>
      </c>
      <c r="AF248" s="118">
        <v>0</v>
      </c>
      <c r="AG248" s="118">
        <v>0</v>
      </c>
      <c r="AH248" s="118">
        <v>0</v>
      </c>
      <c r="AI248" s="118">
        <v>0</v>
      </c>
      <c r="AJ248" s="118">
        <v>0</v>
      </c>
      <c r="AK248" s="118">
        <v>0</v>
      </c>
      <c r="AL248" s="118">
        <v>0</v>
      </c>
      <c r="AM248" s="118">
        <v>0</v>
      </c>
      <c r="AN248" s="118">
        <v>0</v>
      </c>
      <c r="AO248" s="118">
        <v>0</v>
      </c>
      <c r="AP248" s="118">
        <v>0</v>
      </c>
      <c r="AQ248" s="118">
        <v>0</v>
      </c>
      <c r="AR248" s="118">
        <v>0</v>
      </c>
      <c r="AS248" s="118">
        <v>0</v>
      </c>
      <c r="AT248" s="118">
        <v>0</v>
      </c>
      <c r="AU248" s="118">
        <v>0</v>
      </c>
      <c r="AV248" s="118">
        <v>0</v>
      </c>
      <c r="AW248" s="118">
        <v>0</v>
      </c>
      <c r="AX248" s="118">
        <v>0</v>
      </c>
      <c r="AY248" s="118">
        <v>0</v>
      </c>
    </row>
    <row r="249" spans="1:51" x14ac:dyDescent="0.2">
      <c r="A249" s="117"/>
      <c r="B249" s="138">
        <v>41</v>
      </c>
      <c r="C249" s="114"/>
      <c r="D249" s="118">
        <v>0</v>
      </c>
      <c r="E249" s="118">
        <v>0</v>
      </c>
      <c r="F249" s="118">
        <v>0</v>
      </c>
      <c r="G249" s="118">
        <v>0</v>
      </c>
      <c r="H249" s="118">
        <v>0</v>
      </c>
      <c r="I249" s="118">
        <v>0</v>
      </c>
      <c r="J249" s="118">
        <v>0</v>
      </c>
      <c r="K249" s="118">
        <v>0</v>
      </c>
      <c r="L249" s="118">
        <v>0</v>
      </c>
      <c r="M249" s="118">
        <v>0</v>
      </c>
      <c r="N249" s="118">
        <v>0</v>
      </c>
      <c r="O249" s="118">
        <v>0</v>
      </c>
      <c r="P249" s="118">
        <v>0</v>
      </c>
      <c r="Q249" s="118">
        <v>0</v>
      </c>
      <c r="R249" s="118">
        <v>0</v>
      </c>
      <c r="S249" s="118">
        <v>0</v>
      </c>
      <c r="T249" s="118">
        <v>0</v>
      </c>
      <c r="U249" s="118">
        <v>0</v>
      </c>
      <c r="V249" s="118">
        <v>0</v>
      </c>
      <c r="W249" s="118">
        <v>0</v>
      </c>
      <c r="X249" s="118">
        <v>0</v>
      </c>
      <c r="Y249" s="118">
        <v>0</v>
      </c>
      <c r="Z249" s="118">
        <v>0</v>
      </c>
      <c r="AA249" s="118">
        <v>0</v>
      </c>
      <c r="AB249" s="118">
        <v>0</v>
      </c>
      <c r="AC249" s="118">
        <v>0</v>
      </c>
      <c r="AD249" s="118">
        <v>0</v>
      </c>
      <c r="AE249" s="118">
        <v>0</v>
      </c>
      <c r="AF249" s="118">
        <v>0</v>
      </c>
      <c r="AG249" s="118">
        <v>0</v>
      </c>
      <c r="AH249" s="118">
        <v>0</v>
      </c>
      <c r="AI249" s="118">
        <v>0</v>
      </c>
      <c r="AJ249" s="118">
        <v>0</v>
      </c>
      <c r="AK249" s="118">
        <v>0</v>
      </c>
      <c r="AL249" s="118">
        <v>0</v>
      </c>
      <c r="AM249" s="118">
        <v>0</v>
      </c>
      <c r="AN249" s="118">
        <v>0</v>
      </c>
      <c r="AO249" s="118">
        <v>0</v>
      </c>
      <c r="AP249" s="118">
        <v>0</v>
      </c>
      <c r="AQ249" s="118">
        <v>0</v>
      </c>
      <c r="AR249" s="118">
        <v>0</v>
      </c>
      <c r="AS249" s="118">
        <v>0</v>
      </c>
      <c r="AT249" s="118">
        <v>0</v>
      </c>
      <c r="AU249" s="118">
        <v>0</v>
      </c>
      <c r="AV249" s="118">
        <v>0</v>
      </c>
      <c r="AW249" s="118">
        <v>0</v>
      </c>
      <c r="AX249" s="118">
        <v>0</v>
      </c>
      <c r="AY249" s="118">
        <v>0</v>
      </c>
    </row>
    <row r="250" spans="1:51" x14ac:dyDescent="0.2">
      <c r="A250" s="117"/>
      <c r="B250" s="138">
        <v>42</v>
      </c>
      <c r="C250" s="114"/>
      <c r="D250" s="118">
        <v>0</v>
      </c>
      <c r="E250" s="118">
        <v>0</v>
      </c>
      <c r="F250" s="118">
        <v>0</v>
      </c>
      <c r="G250" s="118">
        <v>0</v>
      </c>
      <c r="H250" s="118">
        <v>0</v>
      </c>
      <c r="I250" s="118">
        <v>0</v>
      </c>
      <c r="J250" s="118">
        <v>0</v>
      </c>
      <c r="K250" s="118">
        <v>0</v>
      </c>
      <c r="L250" s="118">
        <v>0</v>
      </c>
      <c r="M250" s="118">
        <v>0</v>
      </c>
      <c r="N250" s="118">
        <v>0</v>
      </c>
      <c r="O250" s="118">
        <v>0</v>
      </c>
      <c r="P250" s="118">
        <v>0</v>
      </c>
      <c r="Q250" s="118">
        <v>0</v>
      </c>
      <c r="R250" s="118">
        <v>0</v>
      </c>
      <c r="S250" s="118">
        <v>0</v>
      </c>
      <c r="T250" s="118">
        <v>0</v>
      </c>
      <c r="U250" s="118">
        <v>0</v>
      </c>
      <c r="V250" s="118">
        <v>0</v>
      </c>
      <c r="W250" s="118">
        <v>0</v>
      </c>
      <c r="X250" s="118">
        <v>0</v>
      </c>
      <c r="Y250" s="118">
        <v>0</v>
      </c>
      <c r="Z250" s="118">
        <v>0</v>
      </c>
      <c r="AA250" s="118">
        <v>0</v>
      </c>
      <c r="AB250" s="118">
        <v>0</v>
      </c>
      <c r="AC250" s="118">
        <v>0</v>
      </c>
      <c r="AD250" s="118">
        <v>0</v>
      </c>
      <c r="AE250" s="118">
        <v>0</v>
      </c>
      <c r="AF250" s="118">
        <v>0</v>
      </c>
      <c r="AG250" s="118">
        <v>0</v>
      </c>
      <c r="AH250" s="118">
        <v>0</v>
      </c>
      <c r="AI250" s="118">
        <v>0</v>
      </c>
      <c r="AJ250" s="118">
        <v>0</v>
      </c>
      <c r="AK250" s="118">
        <v>0</v>
      </c>
      <c r="AL250" s="118">
        <v>0</v>
      </c>
      <c r="AM250" s="118">
        <v>0</v>
      </c>
      <c r="AN250" s="118">
        <v>0</v>
      </c>
      <c r="AO250" s="118">
        <v>0</v>
      </c>
      <c r="AP250" s="118">
        <v>0</v>
      </c>
      <c r="AQ250" s="118">
        <v>0</v>
      </c>
      <c r="AR250" s="118">
        <v>0</v>
      </c>
      <c r="AS250" s="118">
        <v>0</v>
      </c>
      <c r="AT250" s="118">
        <v>0</v>
      </c>
      <c r="AU250" s="118">
        <v>0</v>
      </c>
      <c r="AV250" s="118">
        <v>0</v>
      </c>
      <c r="AW250" s="118">
        <v>0</v>
      </c>
      <c r="AX250" s="118">
        <v>0</v>
      </c>
      <c r="AY250" s="118">
        <v>0</v>
      </c>
    </row>
    <row r="251" spans="1:51" x14ac:dyDescent="0.2">
      <c r="A251" s="117"/>
      <c r="B251" s="138">
        <v>43</v>
      </c>
      <c r="C251" s="114"/>
      <c r="D251" s="118">
        <v>0</v>
      </c>
      <c r="E251" s="118">
        <v>0</v>
      </c>
      <c r="F251" s="118">
        <v>0</v>
      </c>
      <c r="G251" s="118">
        <v>0</v>
      </c>
      <c r="H251" s="118">
        <v>0</v>
      </c>
      <c r="I251" s="118">
        <v>0</v>
      </c>
      <c r="J251" s="118">
        <v>0</v>
      </c>
      <c r="K251" s="118">
        <v>0</v>
      </c>
      <c r="L251" s="118">
        <v>0</v>
      </c>
      <c r="M251" s="118">
        <v>0</v>
      </c>
      <c r="N251" s="118">
        <v>0</v>
      </c>
      <c r="O251" s="118">
        <v>0</v>
      </c>
      <c r="P251" s="118">
        <v>0</v>
      </c>
      <c r="Q251" s="118">
        <v>0</v>
      </c>
      <c r="R251" s="118">
        <v>0</v>
      </c>
      <c r="S251" s="118">
        <v>0</v>
      </c>
      <c r="T251" s="118">
        <v>0</v>
      </c>
      <c r="U251" s="118">
        <v>0</v>
      </c>
      <c r="V251" s="118">
        <v>0</v>
      </c>
      <c r="W251" s="118">
        <v>0</v>
      </c>
      <c r="X251" s="118">
        <v>0</v>
      </c>
      <c r="Y251" s="118">
        <v>0</v>
      </c>
      <c r="Z251" s="118">
        <v>0</v>
      </c>
      <c r="AA251" s="118">
        <v>0</v>
      </c>
      <c r="AB251" s="118">
        <v>0</v>
      </c>
      <c r="AC251" s="118">
        <v>0</v>
      </c>
      <c r="AD251" s="118">
        <v>0</v>
      </c>
      <c r="AE251" s="118">
        <v>0</v>
      </c>
      <c r="AF251" s="118">
        <v>0</v>
      </c>
      <c r="AG251" s="118">
        <v>0</v>
      </c>
      <c r="AH251" s="118">
        <v>0</v>
      </c>
      <c r="AI251" s="118">
        <v>0</v>
      </c>
      <c r="AJ251" s="118">
        <v>0</v>
      </c>
      <c r="AK251" s="118">
        <v>0</v>
      </c>
      <c r="AL251" s="118">
        <v>0</v>
      </c>
      <c r="AM251" s="118">
        <v>0</v>
      </c>
      <c r="AN251" s="118">
        <v>0</v>
      </c>
      <c r="AO251" s="118">
        <v>0</v>
      </c>
      <c r="AP251" s="118">
        <v>0</v>
      </c>
      <c r="AQ251" s="118">
        <v>0</v>
      </c>
      <c r="AR251" s="118">
        <v>0</v>
      </c>
      <c r="AS251" s="118">
        <v>0</v>
      </c>
      <c r="AT251" s="118">
        <v>0</v>
      </c>
      <c r="AU251" s="118">
        <v>0</v>
      </c>
      <c r="AV251" s="118">
        <v>0</v>
      </c>
      <c r="AW251" s="118">
        <v>0</v>
      </c>
      <c r="AX251" s="118">
        <v>0</v>
      </c>
      <c r="AY251" s="118">
        <v>0</v>
      </c>
    </row>
    <row r="252" spans="1:51" x14ac:dyDescent="0.2">
      <c r="A252" s="117"/>
      <c r="B252" s="138">
        <v>44</v>
      </c>
      <c r="C252" s="114"/>
      <c r="D252" s="118">
        <v>0</v>
      </c>
      <c r="E252" s="118">
        <v>0</v>
      </c>
      <c r="F252" s="118">
        <v>0</v>
      </c>
      <c r="G252" s="118">
        <v>0</v>
      </c>
      <c r="H252" s="118">
        <v>0</v>
      </c>
      <c r="I252" s="118">
        <v>0</v>
      </c>
      <c r="J252" s="118">
        <v>0</v>
      </c>
      <c r="K252" s="118">
        <v>0</v>
      </c>
      <c r="L252" s="118">
        <v>0</v>
      </c>
      <c r="M252" s="118">
        <v>0</v>
      </c>
      <c r="N252" s="118">
        <v>0</v>
      </c>
      <c r="O252" s="118">
        <v>0</v>
      </c>
      <c r="P252" s="118">
        <v>0</v>
      </c>
      <c r="Q252" s="118">
        <v>0</v>
      </c>
      <c r="R252" s="118">
        <v>0</v>
      </c>
      <c r="S252" s="118">
        <v>0</v>
      </c>
      <c r="T252" s="118">
        <v>0</v>
      </c>
      <c r="U252" s="118">
        <v>0</v>
      </c>
      <c r="V252" s="118">
        <v>0</v>
      </c>
      <c r="W252" s="118">
        <v>0</v>
      </c>
      <c r="X252" s="118">
        <v>0</v>
      </c>
      <c r="Y252" s="118">
        <v>0</v>
      </c>
      <c r="Z252" s="118">
        <v>0</v>
      </c>
      <c r="AA252" s="118">
        <v>0</v>
      </c>
      <c r="AB252" s="118">
        <v>0</v>
      </c>
      <c r="AC252" s="118">
        <v>0</v>
      </c>
      <c r="AD252" s="118">
        <v>0</v>
      </c>
      <c r="AE252" s="118">
        <v>0</v>
      </c>
      <c r="AF252" s="118">
        <v>0</v>
      </c>
      <c r="AG252" s="118">
        <v>0</v>
      </c>
      <c r="AH252" s="118">
        <v>0</v>
      </c>
      <c r="AI252" s="118">
        <v>0</v>
      </c>
      <c r="AJ252" s="118">
        <v>0</v>
      </c>
      <c r="AK252" s="118">
        <v>0</v>
      </c>
      <c r="AL252" s="118">
        <v>0</v>
      </c>
      <c r="AM252" s="118">
        <v>0</v>
      </c>
      <c r="AN252" s="118">
        <v>0</v>
      </c>
      <c r="AO252" s="118">
        <v>0</v>
      </c>
      <c r="AP252" s="118">
        <v>0</v>
      </c>
      <c r="AQ252" s="118">
        <v>0</v>
      </c>
      <c r="AR252" s="118">
        <v>0</v>
      </c>
      <c r="AS252" s="118">
        <v>0</v>
      </c>
      <c r="AT252" s="118">
        <v>0</v>
      </c>
      <c r="AU252" s="118">
        <v>0</v>
      </c>
      <c r="AV252" s="118">
        <v>0</v>
      </c>
      <c r="AW252" s="118">
        <v>0</v>
      </c>
      <c r="AX252" s="118">
        <v>0</v>
      </c>
      <c r="AY252" s="118">
        <v>0</v>
      </c>
    </row>
    <row r="253" spans="1:51" x14ac:dyDescent="0.2">
      <c r="A253" s="117"/>
      <c r="B253" s="138">
        <v>45</v>
      </c>
      <c r="C253" s="114"/>
      <c r="D253" s="118">
        <v>0</v>
      </c>
      <c r="E253" s="118">
        <v>0</v>
      </c>
      <c r="F253" s="118">
        <v>0</v>
      </c>
      <c r="G253" s="118">
        <v>0</v>
      </c>
      <c r="H253" s="118">
        <v>0</v>
      </c>
      <c r="I253" s="118">
        <v>0</v>
      </c>
      <c r="J253" s="118">
        <v>0</v>
      </c>
      <c r="K253" s="118">
        <v>0</v>
      </c>
      <c r="L253" s="118">
        <v>0</v>
      </c>
      <c r="M253" s="118">
        <v>0</v>
      </c>
      <c r="N253" s="118">
        <v>0</v>
      </c>
      <c r="O253" s="118">
        <v>0</v>
      </c>
      <c r="P253" s="118">
        <v>0</v>
      </c>
      <c r="Q253" s="118">
        <v>0</v>
      </c>
      <c r="R253" s="118">
        <v>0</v>
      </c>
      <c r="S253" s="118">
        <v>0</v>
      </c>
      <c r="T253" s="118">
        <v>0</v>
      </c>
      <c r="U253" s="118">
        <v>0</v>
      </c>
      <c r="V253" s="118">
        <v>0</v>
      </c>
      <c r="W253" s="118">
        <v>0</v>
      </c>
      <c r="X253" s="118">
        <v>0</v>
      </c>
      <c r="Y253" s="118">
        <v>0</v>
      </c>
      <c r="Z253" s="118">
        <v>0</v>
      </c>
      <c r="AA253" s="118">
        <v>0</v>
      </c>
      <c r="AB253" s="118">
        <v>0</v>
      </c>
      <c r="AC253" s="118">
        <v>0</v>
      </c>
      <c r="AD253" s="118">
        <v>0</v>
      </c>
      <c r="AE253" s="118">
        <v>0</v>
      </c>
      <c r="AF253" s="118">
        <v>0</v>
      </c>
      <c r="AG253" s="118">
        <v>0</v>
      </c>
      <c r="AH253" s="118">
        <v>0</v>
      </c>
      <c r="AI253" s="118">
        <v>0</v>
      </c>
      <c r="AJ253" s="118">
        <v>0</v>
      </c>
      <c r="AK253" s="118">
        <v>0</v>
      </c>
      <c r="AL253" s="118">
        <v>0</v>
      </c>
      <c r="AM253" s="118">
        <v>0</v>
      </c>
      <c r="AN253" s="118">
        <v>0</v>
      </c>
      <c r="AO253" s="118">
        <v>0</v>
      </c>
      <c r="AP253" s="118">
        <v>0</v>
      </c>
      <c r="AQ253" s="118">
        <v>0</v>
      </c>
      <c r="AR253" s="118">
        <v>0</v>
      </c>
      <c r="AS253" s="118">
        <v>0</v>
      </c>
      <c r="AT253" s="118">
        <v>0</v>
      </c>
      <c r="AU253" s="118">
        <v>0</v>
      </c>
      <c r="AV253" s="118">
        <v>0</v>
      </c>
      <c r="AW253" s="118">
        <v>0</v>
      </c>
      <c r="AX253" s="118">
        <v>0</v>
      </c>
      <c r="AY253" s="118">
        <v>0</v>
      </c>
    </row>
    <row r="254" spans="1:51" x14ac:dyDescent="0.2">
      <c r="A254" s="117"/>
      <c r="B254" s="138">
        <v>46</v>
      </c>
      <c r="C254" s="114"/>
      <c r="D254" s="118">
        <v>0</v>
      </c>
      <c r="E254" s="118">
        <v>0</v>
      </c>
      <c r="F254" s="118">
        <v>0</v>
      </c>
      <c r="G254" s="118">
        <v>0</v>
      </c>
      <c r="H254" s="118">
        <v>0</v>
      </c>
      <c r="I254" s="118">
        <v>0</v>
      </c>
      <c r="J254" s="118">
        <v>0</v>
      </c>
      <c r="K254" s="118">
        <v>0</v>
      </c>
      <c r="L254" s="118">
        <v>0</v>
      </c>
      <c r="M254" s="118">
        <v>0</v>
      </c>
      <c r="N254" s="118">
        <v>0</v>
      </c>
      <c r="O254" s="118">
        <v>0</v>
      </c>
      <c r="P254" s="118">
        <v>0</v>
      </c>
      <c r="Q254" s="118">
        <v>0</v>
      </c>
      <c r="R254" s="118">
        <v>0</v>
      </c>
      <c r="S254" s="118">
        <v>0</v>
      </c>
      <c r="T254" s="118">
        <v>0</v>
      </c>
      <c r="U254" s="118">
        <v>0</v>
      </c>
      <c r="V254" s="118">
        <v>0</v>
      </c>
      <c r="W254" s="118">
        <v>0</v>
      </c>
      <c r="X254" s="118">
        <v>0</v>
      </c>
      <c r="Y254" s="118">
        <v>0</v>
      </c>
      <c r="Z254" s="118">
        <v>0</v>
      </c>
      <c r="AA254" s="118">
        <v>0</v>
      </c>
      <c r="AB254" s="118">
        <v>0</v>
      </c>
      <c r="AC254" s="118">
        <v>0</v>
      </c>
      <c r="AD254" s="118">
        <v>0</v>
      </c>
      <c r="AE254" s="118">
        <v>0</v>
      </c>
      <c r="AF254" s="118">
        <v>0</v>
      </c>
      <c r="AG254" s="118">
        <v>0</v>
      </c>
      <c r="AH254" s="118">
        <v>0</v>
      </c>
      <c r="AI254" s="118">
        <v>0</v>
      </c>
      <c r="AJ254" s="118">
        <v>0</v>
      </c>
      <c r="AK254" s="118">
        <v>0</v>
      </c>
      <c r="AL254" s="118">
        <v>0</v>
      </c>
      <c r="AM254" s="118">
        <v>0</v>
      </c>
      <c r="AN254" s="118">
        <v>0</v>
      </c>
      <c r="AO254" s="118">
        <v>0</v>
      </c>
      <c r="AP254" s="118">
        <v>0</v>
      </c>
      <c r="AQ254" s="118">
        <v>0</v>
      </c>
      <c r="AR254" s="118">
        <v>0</v>
      </c>
      <c r="AS254" s="118">
        <v>0</v>
      </c>
      <c r="AT254" s="118">
        <v>0</v>
      </c>
      <c r="AU254" s="118">
        <v>0</v>
      </c>
      <c r="AV254" s="118">
        <v>0</v>
      </c>
      <c r="AW254" s="118">
        <v>0</v>
      </c>
      <c r="AX254" s="118">
        <v>0</v>
      </c>
      <c r="AY254" s="118">
        <v>0</v>
      </c>
    </row>
    <row r="255" spans="1:51" x14ac:dyDescent="0.2">
      <c r="A255" s="117"/>
      <c r="B255" s="138">
        <v>47</v>
      </c>
      <c r="C255" s="114"/>
      <c r="D255" s="118">
        <v>0</v>
      </c>
      <c r="E255" s="118">
        <v>0</v>
      </c>
      <c r="F255" s="118">
        <v>0</v>
      </c>
      <c r="G255" s="118">
        <v>0</v>
      </c>
      <c r="H255" s="118">
        <v>0</v>
      </c>
      <c r="I255" s="118">
        <v>0</v>
      </c>
      <c r="J255" s="118">
        <v>0</v>
      </c>
      <c r="K255" s="118">
        <v>0</v>
      </c>
      <c r="L255" s="118">
        <v>0</v>
      </c>
      <c r="M255" s="118">
        <v>0</v>
      </c>
      <c r="N255" s="118">
        <v>0</v>
      </c>
      <c r="O255" s="118">
        <v>0</v>
      </c>
      <c r="P255" s="118">
        <v>0</v>
      </c>
      <c r="Q255" s="118">
        <v>0</v>
      </c>
      <c r="R255" s="118">
        <v>0</v>
      </c>
      <c r="S255" s="118">
        <v>0</v>
      </c>
      <c r="T255" s="118">
        <v>0</v>
      </c>
      <c r="U255" s="118">
        <v>0</v>
      </c>
      <c r="V255" s="118">
        <v>0</v>
      </c>
      <c r="W255" s="118">
        <v>0</v>
      </c>
      <c r="X255" s="118">
        <v>0</v>
      </c>
      <c r="Y255" s="118">
        <v>0</v>
      </c>
      <c r="Z255" s="118">
        <v>0</v>
      </c>
      <c r="AA255" s="118">
        <v>0</v>
      </c>
      <c r="AB255" s="118">
        <v>0</v>
      </c>
      <c r="AC255" s="118">
        <v>0</v>
      </c>
      <c r="AD255" s="118">
        <v>0</v>
      </c>
      <c r="AE255" s="118">
        <v>0</v>
      </c>
      <c r="AF255" s="118">
        <v>0</v>
      </c>
      <c r="AG255" s="118">
        <v>0</v>
      </c>
      <c r="AH255" s="118">
        <v>0</v>
      </c>
      <c r="AI255" s="118">
        <v>0</v>
      </c>
      <c r="AJ255" s="118">
        <v>0</v>
      </c>
      <c r="AK255" s="118">
        <v>0</v>
      </c>
      <c r="AL255" s="118">
        <v>0</v>
      </c>
      <c r="AM255" s="118">
        <v>0</v>
      </c>
      <c r="AN255" s="118">
        <v>0</v>
      </c>
      <c r="AO255" s="118">
        <v>0</v>
      </c>
      <c r="AP255" s="118">
        <v>0</v>
      </c>
      <c r="AQ255" s="118">
        <v>0</v>
      </c>
      <c r="AR255" s="118">
        <v>0</v>
      </c>
      <c r="AS255" s="118">
        <v>0</v>
      </c>
      <c r="AT255" s="118">
        <v>0</v>
      </c>
      <c r="AU255" s="118">
        <v>0</v>
      </c>
      <c r="AV255" s="118">
        <v>0</v>
      </c>
      <c r="AW255" s="118">
        <v>0</v>
      </c>
      <c r="AX255" s="118">
        <v>0</v>
      </c>
      <c r="AY255" s="118">
        <v>0</v>
      </c>
    </row>
    <row r="256" spans="1:51" x14ac:dyDescent="0.2">
      <c r="A256" s="136"/>
      <c r="B256" s="137">
        <v>48</v>
      </c>
      <c r="C256" s="122"/>
      <c r="D256" s="133">
        <v>0</v>
      </c>
      <c r="E256" s="133">
        <v>0</v>
      </c>
      <c r="F256" s="133">
        <v>0</v>
      </c>
      <c r="G256" s="133">
        <v>0</v>
      </c>
      <c r="H256" s="133">
        <v>0</v>
      </c>
      <c r="I256" s="133">
        <v>0</v>
      </c>
      <c r="J256" s="133">
        <v>0</v>
      </c>
      <c r="K256" s="133">
        <v>0</v>
      </c>
      <c r="L256" s="133">
        <v>0</v>
      </c>
      <c r="M256" s="133">
        <v>0</v>
      </c>
      <c r="N256" s="133">
        <v>0</v>
      </c>
      <c r="O256" s="133">
        <v>0</v>
      </c>
      <c r="P256" s="133">
        <v>0</v>
      </c>
      <c r="Q256" s="133">
        <v>0</v>
      </c>
      <c r="R256" s="133">
        <v>0</v>
      </c>
      <c r="S256" s="133">
        <v>0</v>
      </c>
      <c r="T256" s="133">
        <v>0</v>
      </c>
      <c r="U256" s="133">
        <v>0</v>
      </c>
      <c r="V256" s="133">
        <v>0</v>
      </c>
      <c r="W256" s="133">
        <v>0</v>
      </c>
      <c r="X256" s="133">
        <v>0</v>
      </c>
      <c r="Y256" s="133">
        <v>0</v>
      </c>
      <c r="Z256" s="133">
        <v>0</v>
      </c>
      <c r="AA256" s="133">
        <v>0</v>
      </c>
      <c r="AB256" s="133">
        <v>0</v>
      </c>
      <c r="AC256" s="133">
        <v>0</v>
      </c>
      <c r="AD256" s="133">
        <v>0</v>
      </c>
      <c r="AE256" s="133">
        <v>0</v>
      </c>
      <c r="AF256" s="133">
        <v>0</v>
      </c>
      <c r="AG256" s="133">
        <v>0</v>
      </c>
      <c r="AH256" s="133">
        <v>0</v>
      </c>
      <c r="AI256" s="133">
        <v>0</v>
      </c>
      <c r="AJ256" s="133">
        <v>0</v>
      </c>
      <c r="AK256" s="133">
        <v>0</v>
      </c>
      <c r="AL256" s="133">
        <v>0</v>
      </c>
      <c r="AM256" s="133">
        <v>0</v>
      </c>
      <c r="AN256" s="133">
        <v>0</v>
      </c>
      <c r="AO256" s="133">
        <v>0</v>
      </c>
      <c r="AP256" s="133">
        <v>0</v>
      </c>
      <c r="AQ256" s="133">
        <v>0</v>
      </c>
      <c r="AR256" s="133">
        <v>0</v>
      </c>
      <c r="AS256" s="133">
        <v>0</v>
      </c>
      <c r="AT256" s="133">
        <v>0</v>
      </c>
      <c r="AU256" s="133">
        <v>0</v>
      </c>
      <c r="AV256" s="133">
        <v>0</v>
      </c>
      <c r="AW256" s="133">
        <v>0</v>
      </c>
      <c r="AX256" s="133">
        <v>0</v>
      </c>
      <c r="AY256" s="133">
        <v>0</v>
      </c>
    </row>
    <row r="258" spans="1:52" x14ac:dyDescent="0.2">
      <c r="A258" s="110" t="s">
        <v>300</v>
      </c>
    </row>
    <row r="259" spans="1:52" x14ac:dyDescent="0.2">
      <c r="A259" s="145" t="s">
        <v>124</v>
      </c>
      <c r="B259" s="146">
        <v>650</v>
      </c>
      <c r="C259" s="132" t="s">
        <v>292</v>
      </c>
      <c r="D259" s="132">
        <f>E$14*$B$259</f>
        <v>0</v>
      </c>
      <c r="E259" s="132">
        <f t="shared" ref="E259:AX259" si="5">F$14*$B$259</f>
        <v>0</v>
      </c>
      <c r="F259" s="132">
        <f t="shared" si="5"/>
        <v>0</v>
      </c>
      <c r="G259" s="132">
        <f t="shared" si="5"/>
        <v>0</v>
      </c>
      <c r="H259" s="132">
        <f t="shared" si="5"/>
        <v>487451.24999999994</v>
      </c>
      <c r="I259" s="132">
        <f t="shared" si="5"/>
        <v>162483.75000000003</v>
      </c>
      <c r="J259" s="132">
        <f t="shared" si="5"/>
        <v>162483.75</v>
      </c>
      <c r="K259" s="132">
        <f t="shared" si="5"/>
        <v>162483.75</v>
      </c>
      <c r="L259" s="132">
        <f t="shared" si="5"/>
        <v>0</v>
      </c>
      <c r="M259" s="132">
        <f t="shared" si="5"/>
        <v>433290</v>
      </c>
      <c r="N259" s="132">
        <f t="shared" si="5"/>
        <v>250898.375</v>
      </c>
      <c r="O259" s="132">
        <f t="shared" si="5"/>
        <v>216645</v>
      </c>
      <c r="P259" s="132">
        <f t="shared" si="5"/>
        <v>7.3896444519050419E-12</v>
      </c>
      <c r="Q259" s="132">
        <f t="shared" si="5"/>
        <v>108322.5</v>
      </c>
      <c r="R259" s="132">
        <f t="shared" si="5"/>
        <v>108322.5</v>
      </c>
      <c r="S259" s="132">
        <f t="shared" si="5"/>
        <v>108322.5</v>
      </c>
      <c r="T259" s="132">
        <f t="shared" si="5"/>
        <v>0</v>
      </c>
      <c r="U259" s="132">
        <f t="shared" si="5"/>
        <v>487451.24999999994</v>
      </c>
      <c r="V259" s="132">
        <f t="shared" si="5"/>
        <v>162483.75000000003</v>
      </c>
      <c r="W259" s="132">
        <f t="shared" si="5"/>
        <v>0</v>
      </c>
      <c r="X259" s="132">
        <f t="shared" si="5"/>
        <v>433290</v>
      </c>
      <c r="Y259" s="132">
        <f t="shared" si="5"/>
        <v>0</v>
      </c>
      <c r="Z259" s="132">
        <f t="shared" si="5"/>
        <v>433290</v>
      </c>
      <c r="AA259" s="132">
        <f t="shared" si="5"/>
        <v>216645</v>
      </c>
      <c r="AB259" s="132">
        <f t="shared" si="5"/>
        <v>108322.5</v>
      </c>
      <c r="AC259" s="132">
        <f t="shared" si="5"/>
        <v>0</v>
      </c>
      <c r="AD259" s="132">
        <f t="shared" si="5"/>
        <v>216645</v>
      </c>
      <c r="AE259" s="132">
        <f t="shared" si="5"/>
        <v>53212.16743132101</v>
      </c>
      <c r="AF259" s="132">
        <f t="shared" si="5"/>
        <v>324967.5</v>
      </c>
      <c r="AG259" s="132">
        <f t="shared" si="5"/>
        <v>162483.75</v>
      </c>
      <c r="AH259" s="132">
        <f t="shared" si="5"/>
        <v>162483.75</v>
      </c>
      <c r="AI259" s="132">
        <f t="shared" si="5"/>
        <v>162483.75</v>
      </c>
      <c r="AJ259" s="132">
        <f t="shared" si="5"/>
        <v>216645</v>
      </c>
      <c r="AK259" s="132">
        <f t="shared" si="5"/>
        <v>216645</v>
      </c>
      <c r="AL259" s="132">
        <f t="shared" si="5"/>
        <v>216645</v>
      </c>
      <c r="AM259" s="132">
        <f t="shared" si="5"/>
        <v>0</v>
      </c>
      <c r="AN259" s="132">
        <f t="shared" si="5"/>
        <v>216645</v>
      </c>
      <c r="AO259" s="132">
        <f t="shared" si="5"/>
        <v>108322.5</v>
      </c>
      <c r="AP259" s="132">
        <f t="shared" si="5"/>
        <v>0</v>
      </c>
      <c r="AQ259" s="132">
        <f t="shared" si="5"/>
        <v>216645</v>
      </c>
      <c r="AR259" s="132">
        <f t="shared" si="5"/>
        <v>0</v>
      </c>
      <c r="AS259" s="132">
        <f t="shared" si="5"/>
        <v>0</v>
      </c>
      <c r="AT259" s="132">
        <f t="shared" si="5"/>
        <v>324967.5</v>
      </c>
      <c r="AU259" s="132">
        <f t="shared" si="5"/>
        <v>162483.75</v>
      </c>
      <c r="AV259" s="132">
        <f t="shared" si="5"/>
        <v>243620</v>
      </c>
      <c r="AW259" s="132">
        <f t="shared" si="5"/>
        <v>0</v>
      </c>
      <c r="AX259" s="132">
        <f t="shared" si="5"/>
        <v>0</v>
      </c>
      <c r="AY259" s="132">
        <f>AZ$14*$B$259</f>
        <v>433290</v>
      </c>
      <c r="AZ259" s="147">
        <f>SUM($D259:$AY259)</f>
        <v>7480370.542431321</v>
      </c>
    </row>
    <row r="260" spans="1:52" x14ac:dyDescent="0.2">
      <c r="A260" s="148" t="s">
        <v>301</v>
      </c>
      <c r="B260" s="122">
        <v>60</v>
      </c>
      <c r="C260" s="133" t="s">
        <v>292</v>
      </c>
      <c r="D260" s="133">
        <f>(D$175-D$176+D$177-D$178+D$179-D$180+D$181-D$182)*$B$260</f>
        <v>150060.00000000003</v>
      </c>
      <c r="E260" s="133">
        <f t="shared" ref="E260:AY260" si="6">(E$175-E$176+E$177-E$178+E$179-E$180+E$181-E$182)*$B$260</f>
        <v>308760.00000000006</v>
      </c>
      <c r="F260" s="133">
        <f t="shared" si="6"/>
        <v>456480.00000000012</v>
      </c>
      <c r="G260" s="133">
        <f t="shared" si="6"/>
        <v>613800.00000000012</v>
      </c>
      <c r="H260" s="133">
        <f t="shared" si="6"/>
        <v>733680</v>
      </c>
      <c r="I260" s="133">
        <f t="shared" si="6"/>
        <v>716580.00000000012</v>
      </c>
      <c r="J260" s="133">
        <f t="shared" si="6"/>
        <v>724800.00000000012</v>
      </c>
      <c r="K260" s="133">
        <f t="shared" si="6"/>
        <v>731760.00000000012</v>
      </c>
      <c r="L260" s="133">
        <f t="shared" si="6"/>
        <v>417480.00000000012</v>
      </c>
      <c r="M260" s="133">
        <f t="shared" si="6"/>
        <v>208064.6250000002</v>
      </c>
      <c r="N260" s="133">
        <f t="shared" si="6"/>
        <v>13560.000000000164</v>
      </c>
      <c r="O260" s="133">
        <f t="shared" si="6"/>
        <v>0</v>
      </c>
      <c r="P260" s="133">
        <f t="shared" si="6"/>
        <v>24300.000000000025</v>
      </c>
      <c r="Q260" s="133">
        <f t="shared" si="6"/>
        <v>87060.000000000058</v>
      </c>
      <c r="R260" s="133">
        <f t="shared" si="6"/>
        <v>144840.00000000012</v>
      </c>
      <c r="S260" s="133">
        <f t="shared" si="6"/>
        <v>211080.00000000015</v>
      </c>
      <c r="T260" s="133">
        <f t="shared" si="6"/>
        <v>304380.00000000012</v>
      </c>
      <c r="U260" s="133">
        <f t="shared" si="6"/>
        <v>406920.00000000029</v>
      </c>
      <c r="V260" s="133">
        <f t="shared" si="6"/>
        <v>516600.00000000023</v>
      </c>
      <c r="W260" s="133">
        <f t="shared" si="6"/>
        <v>613200.00000000023</v>
      </c>
      <c r="X260" s="133">
        <f t="shared" si="6"/>
        <v>667560.00000000012</v>
      </c>
      <c r="Y260" s="133">
        <f t="shared" si="6"/>
        <v>699180.00000000012</v>
      </c>
      <c r="Z260" s="133">
        <f t="shared" si="6"/>
        <v>675240.00000000012</v>
      </c>
      <c r="AA260" s="133">
        <f t="shared" si="6"/>
        <v>673440.00000000012</v>
      </c>
      <c r="AB260" s="133">
        <f t="shared" si="6"/>
        <v>728760.00000000012</v>
      </c>
      <c r="AC260" s="133">
        <f t="shared" si="6"/>
        <v>726180.00000000012</v>
      </c>
      <c r="AD260" s="133">
        <f t="shared" si="6"/>
        <v>762199.46189137909</v>
      </c>
      <c r="AE260" s="133">
        <f t="shared" si="6"/>
        <v>711900.00000000012</v>
      </c>
      <c r="AF260" s="133">
        <f t="shared" si="6"/>
        <v>705900.00000000012</v>
      </c>
      <c r="AG260" s="133">
        <f t="shared" si="6"/>
        <v>684840.00000000012</v>
      </c>
      <c r="AH260" s="133">
        <f t="shared" si="6"/>
        <v>681180.00000000012</v>
      </c>
      <c r="AI260" s="133">
        <f t="shared" si="6"/>
        <v>703200.00000000012</v>
      </c>
      <c r="AJ260" s="133">
        <f t="shared" si="6"/>
        <v>670740.00000000012</v>
      </c>
      <c r="AK260" s="133">
        <f t="shared" si="6"/>
        <v>663180.00000000012</v>
      </c>
      <c r="AL260" s="133">
        <f t="shared" si="6"/>
        <v>673200.00000000012</v>
      </c>
      <c r="AM260" s="133">
        <f t="shared" si="6"/>
        <v>691200.00000000012</v>
      </c>
      <c r="AN260" s="133">
        <f t="shared" si="6"/>
        <v>517680.00000000012</v>
      </c>
      <c r="AO260" s="133">
        <f t="shared" si="6"/>
        <v>366000.00000000023</v>
      </c>
      <c r="AP260" s="133">
        <f t="shared" si="6"/>
        <v>215100.00000000023</v>
      </c>
      <c r="AQ260" s="133">
        <f t="shared" si="6"/>
        <v>203160.00000000023</v>
      </c>
      <c r="AR260" s="133">
        <f t="shared" si="6"/>
        <v>46020.000000000218</v>
      </c>
      <c r="AS260" s="133">
        <f t="shared" si="6"/>
        <v>0</v>
      </c>
      <c r="AT260" s="133">
        <f t="shared" si="6"/>
        <v>0</v>
      </c>
      <c r="AU260" s="133">
        <f t="shared" si="6"/>
        <v>0</v>
      </c>
      <c r="AV260" s="133">
        <f t="shared" si="6"/>
        <v>121080.00000000003</v>
      </c>
      <c r="AW260" s="133">
        <f t="shared" si="6"/>
        <v>230940.00000000006</v>
      </c>
      <c r="AX260" s="133">
        <f t="shared" si="6"/>
        <v>335280.00000000012</v>
      </c>
      <c r="AY260" s="133">
        <f t="shared" si="6"/>
        <v>455700.00000000012</v>
      </c>
      <c r="AZ260" s="149">
        <f>SUM($D260:$AY260)</f>
        <v>20992264.086891383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8"/>
  </cols>
  <sheetData>
    <row r="2" spans="1:99" x14ac:dyDescent="0.2">
      <c r="B2" s="110" t="s">
        <v>271</v>
      </c>
    </row>
    <row r="3" spans="1:99" x14ac:dyDescent="0.2">
      <c r="B3" s="111" t="s">
        <v>282</v>
      </c>
    </row>
    <row r="4" spans="1:99" x14ac:dyDescent="0.2">
      <c r="A4" s="109"/>
      <c r="B4" s="109"/>
      <c r="C4" s="107" t="s">
        <v>273</v>
      </c>
      <c r="D4" s="107" t="s">
        <v>92</v>
      </c>
      <c r="E4" s="109"/>
      <c r="F4" s="109"/>
      <c r="G4" s="109"/>
      <c r="H4" s="109"/>
      <c r="I4" s="109"/>
      <c r="J4" s="109"/>
      <c r="K4" s="109"/>
      <c r="L4" s="107" t="s">
        <v>93</v>
      </c>
      <c r="M4" s="109"/>
      <c r="N4" s="109"/>
      <c r="O4" s="109"/>
      <c r="P4" s="109"/>
      <c r="Q4" s="109"/>
      <c r="R4" s="109"/>
      <c r="S4" s="109"/>
      <c r="T4" s="107" t="s">
        <v>94</v>
      </c>
      <c r="U4" s="109"/>
      <c r="V4" s="109"/>
      <c r="W4" s="109"/>
      <c r="X4" s="109"/>
      <c r="Y4" s="109"/>
      <c r="Z4" s="109"/>
      <c r="AA4" s="109"/>
      <c r="AB4" s="107" t="s">
        <v>95</v>
      </c>
      <c r="AC4" s="109"/>
      <c r="AD4" s="109"/>
      <c r="AE4" s="109"/>
      <c r="AF4" s="109"/>
      <c r="AG4" s="109"/>
      <c r="AH4" s="109"/>
      <c r="AI4" s="109"/>
      <c r="AJ4" s="107" t="s">
        <v>96</v>
      </c>
      <c r="AK4" s="109"/>
      <c r="AL4" s="109"/>
      <c r="AM4" s="109"/>
      <c r="AN4" s="109"/>
      <c r="AO4" s="109"/>
      <c r="AP4" s="109"/>
      <c r="AQ4" s="109"/>
      <c r="AR4" s="107" t="s">
        <v>97</v>
      </c>
      <c r="AS4" s="109"/>
      <c r="AT4" s="109"/>
      <c r="AU4" s="109"/>
      <c r="AV4" s="109"/>
      <c r="AW4" s="109"/>
      <c r="AX4" s="109"/>
      <c r="AY4" s="109"/>
      <c r="AZ4" s="107" t="s">
        <v>98</v>
      </c>
      <c r="BA4" s="109"/>
      <c r="BB4" s="109"/>
      <c r="BC4" s="109"/>
      <c r="BD4" s="109"/>
      <c r="BE4" s="109"/>
      <c r="BF4" s="109"/>
      <c r="BG4" s="109"/>
      <c r="BH4" s="107" t="s">
        <v>99</v>
      </c>
      <c r="BI4" s="109"/>
      <c r="BJ4" s="109"/>
      <c r="BK4" s="109"/>
      <c r="BL4" s="109"/>
      <c r="BM4" s="109"/>
      <c r="BN4" s="109"/>
      <c r="BO4" s="109"/>
      <c r="BP4" s="107" t="s">
        <v>100</v>
      </c>
      <c r="BQ4" s="109"/>
      <c r="BR4" s="109"/>
      <c r="BS4" s="109"/>
      <c r="BT4" s="109"/>
      <c r="BU4" s="109"/>
      <c r="BV4" s="109"/>
      <c r="BW4" s="109"/>
      <c r="BX4" s="107" t="s">
        <v>101</v>
      </c>
      <c r="BY4" s="109"/>
      <c r="BZ4" s="109"/>
      <c r="CA4" s="109"/>
      <c r="CB4" s="109"/>
      <c r="CC4" s="109"/>
      <c r="CD4" s="109"/>
      <c r="CE4" s="109"/>
      <c r="CF4" s="107" t="s">
        <v>102</v>
      </c>
      <c r="CG4" s="109"/>
      <c r="CH4" s="109"/>
      <c r="CI4" s="109"/>
      <c r="CJ4" s="109"/>
      <c r="CK4" s="109"/>
      <c r="CL4" s="109"/>
      <c r="CM4" s="109"/>
      <c r="CN4" s="107" t="s">
        <v>103</v>
      </c>
      <c r="CO4" s="109"/>
      <c r="CP4" s="109"/>
      <c r="CQ4" s="109"/>
      <c r="CR4" s="109"/>
      <c r="CS4" s="109"/>
      <c r="CT4" s="109"/>
      <c r="CU4" s="109"/>
    </row>
    <row r="5" spans="1:99" x14ac:dyDescent="0.2">
      <c r="B5" s="107" t="s">
        <v>166</v>
      </c>
      <c r="C5" s="107" t="s">
        <v>274</v>
      </c>
      <c r="D5" s="107">
        <v>1</v>
      </c>
      <c r="E5" s="107"/>
      <c r="F5" s="107">
        <v>2</v>
      </c>
      <c r="G5" s="107"/>
      <c r="H5" s="107">
        <v>3</v>
      </c>
      <c r="I5" s="107"/>
      <c r="J5" s="107">
        <v>4</v>
      </c>
      <c r="K5" s="107"/>
      <c r="L5" s="107">
        <v>1</v>
      </c>
      <c r="M5" s="107"/>
      <c r="N5" s="107">
        <v>2</v>
      </c>
      <c r="O5" s="107"/>
      <c r="P5" s="107">
        <v>3</v>
      </c>
      <c r="Q5" s="107"/>
      <c r="R5" s="107">
        <v>4</v>
      </c>
      <c r="S5" s="107"/>
      <c r="T5" s="107">
        <v>1</v>
      </c>
      <c r="U5" s="107"/>
      <c r="V5" s="107">
        <v>2</v>
      </c>
      <c r="W5" s="107"/>
      <c r="X5" s="107">
        <v>3</v>
      </c>
      <c r="Y5" s="107"/>
      <c r="Z5" s="107">
        <v>4</v>
      </c>
      <c r="AA5" s="107"/>
      <c r="AB5" s="107">
        <v>1</v>
      </c>
      <c r="AC5" s="107"/>
      <c r="AD5" s="107">
        <v>2</v>
      </c>
      <c r="AE5" s="107"/>
      <c r="AF5" s="107">
        <v>3</v>
      </c>
      <c r="AG5" s="107"/>
      <c r="AH5" s="107">
        <v>4</v>
      </c>
      <c r="AI5" s="107"/>
      <c r="AJ5" s="107">
        <v>1</v>
      </c>
      <c r="AK5" s="107"/>
      <c r="AL5" s="107">
        <v>2</v>
      </c>
      <c r="AM5" s="107"/>
      <c r="AN5" s="107">
        <v>3</v>
      </c>
      <c r="AO5" s="107"/>
      <c r="AP5" s="107">
        <v>4</v>
      </c>
      <c r="AQ5" s="107"/>
      <c r="AR5" s="107">
        <v>1</v>
      </c>
      <c r="AS5" s="107"/>
      <c r="AT5" s="107">
        <v>2</v>
      </c>
      <c r="AU5" s="107"/>
      <c r="AV5" s="107">
        <v>3</v>
      </c>
      <c r="AW5" s="107"/>
      <c r="AX5" s="107">
        <v>4</v>
      </c>
      <c r="AY5" s="107"/>
      <c r="AZ5" s="107">
        <v>1</v>
      </c>
      <c r="BA5" s="107"/>
      <c r="BB5" s="107">
        <v>2</v>
      </c>
      <c r="BC5" s="107"/>
      <c r="BD5" s="107">
        <v>3</v>
      </c>
      <c r="BE5" s="107"/>
      <c r="BF5" s="107">
        <v>4</v>
      </c>
      <c r="BG5" s="107"/>
      <c r="BH5" s="107">
        <v>1</v>
      </c>
      <c r="BI5" s="107"/>
      <c r="BJ5" s="107">
        <v>2</v>
      </c>
      <c r="BK5" s="107"/>
      <c r="BL5" s="107">
        <v>3</v>
      </c>
      <c r="BM5" s="107"/>
      <c r="BN5" s="107">
        <v>4</v>
      </c>
      <c r="BO5" s="107"/>
      <c r="BP5" s="107">
        <v>1</v>
      </c>
      <c r="BQ5" s="107"/>
      <c r="BR5" s="107">
        <v>2</v>
      </c>
      <c r="BS5" s="107"/>
      <c r="BT5" s="107">
        <v>3</v>
      </c>
      <c r="BU5" s="107"/>
      <c r="BV5" s="107">
        <v>4</v>
      </c>
      <c r="BW5" s="107"/>
      <c r="BX5" s="107">
        <v>1</v>
      </c>
      <c r="BY5" s="107"/>
      <c r="BZ5" s="107">
        <v>2</v>
      </c>
      <c r="CA5" s="107"/>
      <c r="CB5" s="107">
        <v>3</v>
      </c>
      <c r="CC5" s="107"/>
      <c r="CD5" s="107">
        <v>4</v>
      </c>
      <c r="CE5" s="107"/>
      <c r="CF5" s="107">
        <v>1</v>
      </c>
      <c r="CG5" s="107"/>
      <c r="CH5" s="107">
        <v>2</v>
      </c>
      <c r="CI5" s="107"/>
      <c r="CJ5" s="107">
        <v>3</v>
      </c>
      <c r="CK5" s="107"/>
      <c r="CL5" s="107">
        <v>4</v>
      </c>
      <c r="CM5" s="107"/>
      <c r="CN5" s="107">
        <v>1</v>
      </c>
      <c r="CO5" s="107"/>
      <c r="CP5" s="107">
        <v>2</v>
      </c>
      <c r="CQ5" s="107"/>
      <c r="CR5" s="107">
        <v>3</v>
      </c>
      <c r="CS5" s="107"/>
      <c r="CT5" s="107">
        <v>4</v>
      </c>
      <c r="CU5" s="107"/>
    </row>
    <row r="6" spans="1:99" x14ac:dyDescent="0.2">
      <c r="B6" s="107" t="s">
        <v>126</v>
      </c>
      <c r="C6" s="107" t="s">
        <v>171</v>
      </c>
      <c r="D6" s="108">
        <v>8</v>
      </c>
      <c r="E6" s="108">
        <v>4627.2</v>
      </c>
      <c r="F6" s="108">
        <v>6</v>
      </c>
      <c r="G6" s="108">
        <v>3470.3999999999996</v>
      </c>
      <c r="H6" s="108">
        <v>9</v>
      </c>
      <c r="I6" s="108">
        <v>5205.5999999999995</v>
      </c>
      <c r="J6" s="108">
        <v>7</v>
      </c>
      <c r="K6" s="108">
        <v>4048.7999999999997</v>
      </c>
      <c r="L6" s="108">
        <v>8</v>
      </c>
      <c r="M6" s="108">
        <v>4627.2</v>
      </c>
      <c r="N6" s="108">
        <v>10</v>
      </c>
      <c r="O6" s="108">
        <v>5784</v>
      </c>
      <c r="P6" s="108">
        <v>11</v>
      </c>
      <c r="Q6" s="108">
        <v>6362.4</v>
      </c>
      <c r="R6" s="108">
        <v>8</v>
      </c>
      <c r="S6" s="108">
        <v>4627.2</v>
      </c>
      <c r="T6" s="108">
        <v>31</v>
      </c>
      <c r="U6" s="108">
        <v>17930.399999999998</v>
      </c>
      <c r="V6" s="108">
        <v>28</v>
      </c>
      <c r="W6" s="108">
        <v>16195.199999999999</v>
      </c>
      <c r="X6" s="108">
        <v>28</v>
      </c>
      <c r="Y6" s="108">
        <v>16195.199999999999</v>
      </c>
      <c r="Z6" s="108">
        <v>14.821753838147295</v>
      </c>
      <c r="AA6" s="108">
        <v>8572.9024199843952</v>
      </c>
      <c r="AB6" s="108">
        <v>70</v>
      </c>
      <c r="AC6" s="108">
        <v>40488</v>
      </c>
      <c r="AD6" s="108">
        <v>59</v>
      </c>
      <c r="AE6" s="108">
        <v>34125.599999999999</v>
      </c>
      <c r="AF6" s="108">
        <v>54</v>
      </c>
      <c r="AG6" s="108">
        <v>31233.599999999999</v>
      </c>
      <c r="AH6" s="108">
        <v>56</v>
      </c>
      <c r="AI6" s="108">
        <v>32390.399999999998</v>
      </c>
      <c r="AJ6" s="108">
        <v>24</v>
      </c>
      <c r="AK6" s="108">
        <v>13881.599999999999</v>
      </c>
      <c r="AL6" s="108">
        <v>29</v>
      </c>
      <c r="AM6" s="108">
        <v>16773.599999999999</v>
      </c>
      <c r="AN6" s="108">
        <v>18</v>
      </c>
      <c r="AO6" s="108">
        <v>10411.199999999999</v>
      </c>
      <c r="AP6" s="108">
        <v>24</v>
      </c>
      <c r="AQ6" s="108">
        <v>13881.599999999999</v>
      </c>
      <c r="AR6" s="108">
        <v>36</v>
      </c>
      <c r="AS6" s="108">
        <v>20822.399999999998</v>
      </c>
      <c r="AT6" s="108">
        <v>26</v>
      </c>
      <c r="AU6" s="108">
        <v>15038.4</v>
      </c>
      <c r="AV6" s="108">
        <v>31</v>
      </c>
      <c r="AW6" s="108">
        <v>17930.399999999998</v>
      </c>
      <c r="AX6" s="108">
        <v>27</v>
      </c>
      <c r="AY6" s="108">
        <v>15616.8</v>
      </c>
      <c r="AZ6" s="108">
        <v>21</v>
      </c>
      <c r="BA6" s="108">
        <v>12146.4</v>
      </c>
      <c r="BB6" s="108">
        <v>30</v>
      </c>
      <c r="BC6" s="108">
        <v>17352</v>
      </c>
      <c r="BD6" s="108">
        <v>18</v>
      </c>
      <c r="BE6" s="108">
        <v>10411.199999999999</v>
      </c>
      <c r="BF6" s="108">
        <v>32</v>
      </c>
      <c r="BG6" s="108">
        <v>18508.8</v>
      </c>
      <c r="BH6" s="108">
        <v>52</v>
      </c>
      <c r="BI6" s="108">
        <v>30076.799999999999</v>
      </c>
      <c r="BJ6" s="108">
        <v>73</v>
      </c>
      <c r="BK6" s="108">
        <v>42223.199999999997</v>
      </c>
      <c r="BL6" s="108">
        <v>84</v>
      </c>
      <c r="BM6" s="108">
        <v>48585.599999999999</v>
      </c>
      <c r="BN6" s="108">
        <v>39</v>
      </c>
      <c r="BO6" s="108">
        <v>22557.599999999999</v>
      </c>
      <c r="BP6" s="108">
        <v>50</v>
      </c>
      <c r="BQ6" s="108">
        <v>28920</v>
      </c>
      <c r="BR6" s="108">
        <v>54</v>
      </c>
      <c r="BS6" s="108">
        <v>31233.599999999999</v>
      </c>
      <c r="BT6" s="108">
        <v>72</v>
      </c>
      <c r="BU6" s="108">
        <v>41644.799999999996</v>
      </c>
      <c r="BV6" s="108">
        <v>47</v>
      </c>
      <c r="BW6" s="108">
        <v>27184.799999999999</v>
      </c>
      <c r="BX6" s="108">
        <v>33</v>
      </c>
      <c r="BY6" s="108">
        <v>19087.2</v>
      </c>
      <c r="BZ6" s="108">
        <v>33</v>
      </c>
      <c r="CA6" s="108">
        <v>19087.2</v>
      </c>
      <c r="CB6" s="108">
        <v>30</v>
      </c>
      <c r="CC6" s="108">
        <v>17352</v>
      </c>
      <c r="CD6" s="108">
        <v>19</v>
      </c>
      <c r="CE6" s="108">
        <v>10989.6</v>
      </c>
      <c r="CF6" s="108">
        <v>16</v>
      </c>
      <c r="CG6" s="108">
        <v>9254.4</v>
      </c>
      <c r="CH6" s="108">
        <v>6.6038647342995231</v>
      </c>
      <c r="CI6" s="108">
        <v>3819.6753623188442</v>
      </c>
      <c r="CJ6" s="108">
        <v>6.5415304120340112</v>
      </c>
      <c r="CK6" s="108">
        <v>3783.6211903204721</v>
      </c>
      <c r="CL6" s="108">
        <v>7.5883596163225508</v>
      </c>
      <c r="CM6" s="108">
        <v>4389.1072020809634</v>
      </c>
      <c r="CN6" s="108">
        <v>15</v>
      </c>
      <c r="CO6" s="108">
        <v>8676</v>
      </c>
      <c r="CP6" s="108">
        <v>16</v>
      </c>
      <c r="CQ6" s="108">
        <v>9254.4</v>
      </c>
      <c r="CR6" s="108">
        <v>21</v>
      </c>
      <c r="CS6" s="108">
        <v>12146.4</v>
      </c>
      <c r="CT6" s="108">
        <v>18</v>
      </c>
      <c r="CU6" s="108">
        <v>10411.199999999999</v>
      </c>
    </row>
    <row r="7" spans="1:99" x14ac:dyDescent="0.2">
      <c r="C7" s="107" t="s">
        <v>172</v>
      </c>
      <c r="D7" s="108">
        <v>8</v>
      </c>
      <c r="E7" s="108">
        <v>6307.2</v>
      </c>
      <c r="F7" s="108">
        <v>6</v>
      </c>
      <c r="G7" s="108">
        <v>4730.3999999999996</v>
      </c>
      <c r="H7" s="108">
        <v>9</v>
      </c>
      <c r="I7" s="108">
        <v>7095.5999999999995</v>
      </c>
      <c r="J7" s="108">
        <v>7</v>
      </c>
      <c r="K7" s="108">
        <v>5518.8</v>
      </c>
      <c r="L7" s="108">
        <v>7</v>
      </c>
      <c r="M7" s="108">
        <v>5518.8</v>
      </c>
      <c r="N7" s="108">
        <v>9</v>
      </c>
      <c r="O7" s="108">
        <v>7095.5999999999995</v>
      </c>
      <c r="P7" s="108">
        <v>12</v>
      </c>
      <c r="Q7" s="108">
        <v>9460.7999999999993</v>
      </c>
      <c r="R7" s="108">
        <v>9</v>
      </c>
      <c r="S7" s="108">
        <v>7095.5999999999995</v>
      </c>
      <c r="T7" s="108">
        <v>27</v>
      </c>
      <c r="U7" s="108">
        <v>21286.799999999999</v>
      </c>
      <c r="V7" s="108">
        <v>29</v>
      </c>
      <c r="W7" s="108">
        <v>22863.599999999999</v>
      </c>
      <c r="X7" s="108">
        <v>32</v>
      </c>
      <c r="Y7" s="108">
        <v>25228.799999999999</v>
      </c>
      <c r="Z7" s="108">
        <v>15.284933645589399</v>
      </c>
      <c r="AA7" s="108">
        <v>12050.641686182682</v>
      </c>
      <c r="AB7" s="108">
        <v>72</v>
      </c>
      <c r="AC7" s="108">
        <v>56764.799999999996</v>
      </c>
      <c r="AD7" s="108">
        <v>52</v>
      </c>
      <c r="AE7" s="108">
        <v>40996.799999999996</v>
      </c>
      <c r="AF7" s="108">
        <v>59</v>
      </c>
      <c r="AG7" s="108">
        <v>46515.6</v>
      </c>
      <c r="AH7" s="108">
        <v>64</v>
      </c>
      <c r="AI7" s="108">
        <v>50457.599999999999</v>
      </c>
      <c r="AJ7" s="108">
        <v>21</v>
      </c>
      <c r="AK7" s="108">
        <v>16556.399999999998</v>
      </c>
      <c r="AL7" s="108">
        <v>28</v>
      </c>
      <c r="AM7" s="108">
        <v>22075.200000000001</v>
      </c>
      <c r="AN7" s="108">
        <v>16</v>
      </c>
      <c r="AO7" s="108">
        <v>12614.4</v>
      </c>
      <c r="AP7" s="108">
        <v>23</v>
      </c>
      <c r="AQ7" s="108">
        <v>18133.2</v>
      </c>
      <c r="AR7" s="108">
        <v>35</v>
      </c>
      <c r="AS7" s="108">
        <v>27594</v>
      </c>
      <c r="AT7" s="108">
        <v>25</v>
      </c>
      <c r="AU7" s="108">
        <v>19710</v>
      </c>
      <c r="AV7" s="108">
        <v>26</v>
      </c>
      <c r="AW7" s="108">
        <v>20498.399999999998</v>
      </c>
      <c r="AX7" s="108">
        <v>24</v>
      </c>
      <c r="AY7" s="108">
        <v>18921.599999999999</v>
      </c>
      <c r="AZ7" s="108">
        <v>21</v>
      </c>
      <c r="BA7" s="108">
        <v>16556.399999999998</v>
      </c>
      <c r="BB7" s="108">
        <v>30</v>
      </c>
      <c r="BC7" s="108">
        <v>23652</v>
      </c>
      <c r="BD7" s="108">
        <v>16</v>
      </c>
      <c r="BE7" s="108">
        <v>12614.4</v>
      </c>
      <c r="BF7" s="108">
        <v>29</v>
      </c>
      <c r="BG7" s="108">
        <v>22863.599999999999</v>
      </c>
      <c r="BH7" s="108">
        <v>53</v>
      </c>
      <c r="BI7" s="108">
        <v>41785.199999999997</v>
      </c>
      <c r="BJ7" s="108">
        <v>66</v>
      </c>
      <c r="BK7" s="108">
        <v>52034.400000000001</v>
      </c>
      <c r="BL7" s="108">
        <v>78</v>
      </c>
      <c r="BM7" s="108">
        <v>61495.199999999997</v>
      </c>
      <c r="BN7" s="108">
        <v>41</v>
      </c>
      <c r="BO7" s="108">
        <v>32324.399999999998</v>
      </c>
      <c r="BP7" s="108">
        <v>46</v>
      </c>
      <c r="BQ7" s="108">
        <v>36266.400000000001</v>
      </c>
      <c r="BR7" s="108">
        <v>50</v>
      </c>
      <c r="BS7" s="108">
        <v>39420</v>
      </c>
      <c r="BT7" s="108">
        <v>70</v>
      </c>
      <c r="BU7" s="108">
        <v>55188</v>
      </c>
      <c r="BV7" s="108">
        <v>42</v>
      </c>
      <c r="BW7" s="108">
        <v>33112.799999999996</v>
      </c>
      <c r="BX7" s="108">
        <v>28</v>
      </c>
      <c r="BY7" s="108">
        <v>22075.200000000001</v>
      </c>
      <c r="BZ7" s="108">
        <v>33</v>
      </c>
      <c r="CA7" s="108">
        <v>26017.200000000001</v>
      </c>
      <c r="CB7" s="108">
        <v>32</v>
      </c>
      <c r="CC7" s="108">
        <v>25228.799999999999</v>
      </c>
      <c r="CD7" s="108">
        <v>21</v>
      </c>
      <c r="CE7" s="108">
        <v>16556.399999999998</v>
      </c>
      <c r="CF7" s="108">
        <v>14</v>
      </c>
      <c r="CG7" s="108">
        <v>11037.6</v>
      </c>
      <c r="CH7" s="108">
        <v>5.5032206119162694</v>
      </c>
      <c r="CI7" s="108">
        <v>4338.7391304347866</v>
      </c>
      <c r="CJ7" s="108">
        <v>5.4512753433616759</v>
      </c>
      <c r="CK7" s="108">
        <v>4297.785480706345</v>
      </c>
      <c r="CL7" s="108">
        <v>6.5043082425621854</v>
      </c>
      <c r="CM7" s="108">
        <v>5127.9966184360264</v>
      </c>
      <c r="CN7" s="108">
        <v>14</v>
      </c>
      <c r="CO7" s="108">
        <v>11037.6</v>
      </c>
      <c r="CP7" s="108">
        <v>16</v>
      </c>
      <c r="CQ7" s="108">
        <v>12614.4</v>
      </c>
      <c r="CR7" s="108">
        <v>21</v>
      </c>
      <c r="CS7" s="108">
        <v>16556.399999999998</v>
      </c>
      <c r="CT7" s="108">
        <v>15</v>
      </c>
      <c r="CU7" s="108">
        <v>11826</v>
      </c>
    </row>
    <row r="8" spans="1:99" x14ac:dyDescent="0.2">
      <c r="C8" s="107" t="s">
        <v>173</v>
      </c>
      <c r="D8" s="108">
        <v>8</v>
      </c>
      <c r="E8" s="108">
        <v>2476.7999999999997</v>
      </c>
      <c r="F8" s="108">
        <v>6</v>
      </c>
      <c r="G8" s="108">
        <v>1857.6</v>
      </c>
      <c r="H8" s="108">
        <v>9</v>
      </c>
      <c r="I8" s="108">
        <v>2786.3999999999996</v>
      </c>
      <c r="J8" s="108">
        <v>7</v>
      </c>
      <c r="K8" s="108">
        <v>2167.1999999999998</v>
      </c>
      <c r="L8" s="108">
        <v>9</v>
      </c>
      <c r="M8" s="108">
        <v>2786.3999999999996</v>
      </c>
      <c r="N8" s="108">
        <v>9</v>
      </c>
      <c r="O8" s="108">
        <v>2786.3999999999996</v>
      </c>
      <c r="P8" s="108">
        <v>11</v>
      </c>
      <c r="Q8" s="108">
        <v>3405.5999999999995</v>
      </c>
      <c r="R8" s="108">
        <v>8</v>
      </c>
      <c r="S8" s="108">
        <v>2476.7999999999997</v>
      </c>
      <c r="T8" s="108">
        <v>31</v>
      </c>
      <c r="U8" s="108">
        <v>9597.5999999999985</v>
      </c>
      <c r="V8" s="108">
        <v>30</v>
      </c>
      <c r="W8" s="108">
        <v>9287.9999999999982</v>
      </c>
      <c r="X8" s="108">
        <v>31</v>
      </c>
      <c r="Y8" s="108">
        <v>9597.5999999999985</v>
      </c>
      <c r="Z8" s="108">
        <v>14.821753838147295</v>
      </c>
      <c r="AA8" s="108">
        <v>4588.8149882904017</v>
      </c>
      <c r="AB8" s="108">
        <v>80</v>
      </c>
      <c r="AC8" s="108">
        <v>24767.999999999996</v>
      </c>
      <c r="AD8" s="108">
        <v>64</v>
      </c>
      <c r="AE8" s="108">
        <v>19814.399999999998</v>
      </c>
      <c r="AF8" s="108">
        <v>61</v>
      </c>
      <c r="AG8" s="108">
        <v>18885.599999999999</v>
      </c>
      <c r="AH8" s="108">
        <v>71</v>
      </c>
      <c r="AI8" s="108">
        <v>21981.599999999999</v>
      </c>
      <c r="AJ8" s="108">
        <v>25</v>
      </c>
      <c r="AK8" s="108">
        <v>7739.9999999999991</v>
      </c>
      <c r="AL8" s="108">
        <v>32</v>
      </c>
      <c r="AM8" s="108">
        <v>9907.1999999999989</v>
      </c>
      <c r="AN8" s="108">
        <v>17</v>
      </c>
      <c r="AO8" s="108">
        <v>5263.2</v>
      </c>
      <c r="AP8" s="108">
        <v>22</v>
      </c>
      <c r="AQ8" s="108">
        <v>6811.1999999999989</v>
      </c>
      <c r="AR8" s="108">
        <v>35</v>
      </c>
      <c r="AS8" s="108">
        <v>10835.999999999998</v>
      </c>
      <c r="AT8" s="108">
        <v>25</v>
      </c>
      <c r="AU8" s="108">
        <v>7739.9999999999991</v>
      </c>
      <c r="AV8" s="108">
        <v>31</v>
      </c>
      <c r="AW8" s="108">
        <v>9597.5999999999985</v>
      </c>
      <c r="AX8" s="108">
        <v>28</v>
      </c>
      <c r="AY8" s="108">
        <v>8668.7999999999993</v>
      </c>
      <c r="AZ8" s="108">
        <v>23</v>
      </c>
      <c r="BA8" s="108">
        <v>7120.7999999999993</v>
      </c>
      <c r="BB8" s="108">
        <v>29</v>
      </c>
      <c r="BC8" s="108">
        <v>8978.4</v>
      </c>
      <c r="BD8" s="108">
        <v>19</v>
      </c>
      <c r="BE8" s="108">
        <v>5882.4</v>
      </c>
      <c r="BF8" s="108">
        <v>36</v>
      </c>
      <c r="BG8" s="108">
        <v>11145.599999999999</v>
      </c>
      <c r="BH8" s="108">
        <v>50</v>
      </c>
      <c r="BI8" s="108">
        <v>15479.999999999998</v>
      </c>
      <c r="BJ8" s="108">
        <v>76</v>
      </c>
      <c r="BK8" s="108">
        <v>23529.599999999999</v>
      </c>
      <c r="BL8" s="108">
        <v>79</v>
      </c>
      <c r="BM8" s="108">
        <v>24458.399999999998</v>
      </c>
      <c r="BN8" s="108">
        <v>44</v>
      </c>
      <c r="BO8" s="108">
        <v>13622.399999999998</v>
      </c>
      <c r="BP8" s="108">
        <v>56</v>
      </c>
      <c r="BQ8" s="108">
        <v>17337.599999999999</v>
      </c>
      <c r="BR8" s="108">
        <v>55</v>
      </c>
      <c r="BS8" s="108">
        <v>17027.999999999996</v>
      </c>
      <c r="BT8" s="108">
        <v>70</v>
      </c>
      <c r="BU8" s="108">
        <v>21671.999999999996</v>
      </c>
      <c r="BV8" s="108">
        <v>48</v>
      </c>
      <c r="BW8" s="108">
        <v>14860.8</v>
      </c>
      <c r="BX8" s="108">
        <v>32</v>
      </c>
      <c r="BY8" s="108">
        <v>9907.1999999999989</v>
      </c>
      <c r="BZ8" s="108">
        <v>35</v>
      </c>
      <c r="CA8" s="108">
        <v>10835.999999999998</v>
      </c>
      <c r="CB8" s="108">
        <v>33</v>
      </c>
      <c r="CC8" s="108">
        <v>10216.799999999999</v>
      </c>
      <c r="CD8" s="108">
        <v>20</v>
      </c>
      <c r="CE8" s="108">
        <v>6191.9999999999991</v>
      </c>
      <c r="CF8" s="108">
        <v>17</v>
      </c>
      <c r="CG8" s="108">
        <v>5263.2</v>
      </c>
      <c r="CH8" s="108">
        <v>6.0535426731078958</v>
      </c>
      <c r="CI8" s="108">
        <v>1874.1768115942043</v>
      </c>
      <c r="CJ8" s="108">
        <v>6.5415304120340112</v>
      </c>
      <c r="CK8" s="108">
        <v>2025.2578155657297</v>
      </c>
      <c r="CL8" s="108">
        <v>8.1303853032027327</v>
      </c>
      <c r="CM8" s="108">
        <v>2517.1672898715656</v>
      </c>
      <c r="CN8" s="108">
        <v>13</v>
      </c>
      <c r="CO8" s="108">
        <v>4024.7999999999997</v>
      </c>
      <c r="CP8" s="108">
        <v>15</v>
      </c>
      <c r="CQ8" s="108">
        <v>4643.9999999999991</v>
      </c>
      <c r="CR8" s="108">
        <v>22</v>
      </c>
      <c r="CS8" s="108">
        <v>6811.1999999999989</v>
      </c>
      <c r="CT8" s="108">
        <v>18</v>
      </c>
      <c r="CU8" s="108">
        <v>5572.7999999999993</v>
      </c>
    </row>
    <row r="9" spans="1:99" x14ac:dyDescent="0.2">
      <c r="C9" s="107" t="s">
        <v>174</v>
      </c>
      <c r="D9" s="108">
        <v>8</v>
      </c>
      <c r="E9" s="108">
        <v>5616</v>
      </c>
      <c r="F9" s="108">
        <v>6</v>
      </c>
      <c r="G9" s="108">
        <v>4212</v>
      </c>
      <c r="H9" s="108">
        <v>9</v>
      </c>
      <c r="I9" s="108">
        <v>6318</v>
      </c>
      <c r="J9" s="108">
        <v>7</v>
      </c>
      <c r="K9" s="108">
        <v>4914</v>
      </c>
      <c r="L9" s="108">
        <v>8</v>
      </c>
      <c r="M9" s="108">
        <v>5616</v>
      </c>
      <c r="N9" s="108">
        <v>9</v>
      </c>
      <c r="O9" s="108">
        <v>6318</v>
      </c>
      <c r="P9" s="108">
        <v>12</v>
      </c>
      <c r="Q9" s="108">
        <v>8424</v>
      </c>
      <c r="R9" s="108">
        <v>8</v>
      </c>
      <c r="S9" s="108">
        <v>5616</v>
      </c>
      <c r="T9" s="108">
        <v>27</v>
      </c>
      <c r="U9" s="108">
        <v>18954</v>
      </c>
      <c r="V9" s="108">
        <v>33</v>
      </c>
      <c r="W9" s="108">
        <v>23166</v>
      </c>
      <c r="X9" s="108">
        <v>29</v>
      </c>
      <c r="Y9" s="108">
        <v>20358</v>
      </c>
      <c r="Z9" s="108">
        <v>13.432214415820985</v>
      </c>
      <c r="AA9" s="108">
        <v>9429.4145199063314</v>
      </c>
      <c r="AB9" s="108">
        <v>63</v>
      </c>
      <c r="AC9" s="108">
        <v>44226</v>
      </c>
      <c r="AD9" s="108">
        <v>52</v>
      </c>
      <c r="AE9" s="108">
        <v>36504</v>
      </c>
      <c r="AF9" s="108">
        <v>62</v>
      </c>
      <c r="AG9" s="108">
        <v>43524</v>
      </c>
      <c r="AH9" s="108">
        <v>64</v>
      </c>
      <c r="AI9" s="108">
        <v>44928</v>
      </c>
      <c r="AJ9" s="108">
        <v>23</v>
      </c>
      <c r="AK9" s="108">
        <v>16146</v>
      </c>
      <c r="AL9" s="108">
        <v>33</v>
      </c>
      <c r="AM9" s="108">
        <v>23166</v>
      </c>
      <c r="AN9" s="108">
        <v>16</v>
      </c>
      <c r="AO9" s="108">
        <v>11232</v>
      </c>
      <c r="AP9" s="108">
        <v>21</v>
      </c>
      <c r="AQ9" s="108">
        <v>14742</v>
      </c>
      <c r="AR9" s="108">
        <v>35</v>
      </c>
      <c r="AS9" s="108">
        <v>24570</v>
      </c>
      <c r="AT9" s="108">
        <v>23</v>
      </c>
      <c r="AU9" s="108">
        <v>16146</v>
      </c>
      <c r="AV9" s="108">
        <v>25</v>
      </c>
      <c r="AW9" s="108">
        <v>17550</v>
      </c>
      <c r="AX9" s="108">
        <v>26</v>
      </c>
      <c r="AY9" s="108">
        <v>18252</v>
      </c>
      <c r="AZ9" s="108">
        <v>22</v>
      </c>
      <c r="BA9" s="108">
        <v>15444</v>
      </c>
      <c r="BB9" s="108">
        <v>25</v>
      </c>
      <c r="BC9" s="108">
        <v>17550</v>
      </c>
      <c r="BD9" s="108">
        <v>18</v>
      </c>
      <c r="BE9" s="108">
        <v>12636</v>
      </c>
      <c r="BF9" s="108">
        <v>28</v>
      </c>
      <c r="BG9" s="108">
        <v>19656</v>
      </c>
      <c r="BH9" s="108">
        <v>51</v>
      </c>
      <c r="BI9" s="108">
        <v>35802</v>
      </c>
      <c r="BJ9" s="108">
        <v>67</v>
      </c>
      <c r="BK9" s="108">
        <v>47034</v>
      </c>
      <c r="BL9" s="108">
        <v>86</v>
      </c>
      <c r="BM9" s="108">
        <v>60372</v>
      </c>
      <c r="BN9" s="108">
        <v>38</v>
      </c>
      <c r="BO9" s="108">
        <v>26676</v>
      </c>
      <c r="BP9" s="108">
        <v>52</v>
      </c>
      <c r="BQ9" s="108">
        <v>36504</v>
      </c>
      <c r="BR9" s="108">
        <v>49</v>
      </c>
      <c r="BS9" s="108">
        <v>34398</v>
      </c>
      <c r="BT9" s="108">
        <v>62</v>
      </c>
      <c r="BU9" s="108">
        <v>43524</v>
      </c>
      <c r="BV9" s="108">
        <v>45</v>
      </c>
      <c r="BW9" s="108">
        <v>31590</v>
      </c>
      <c r="BX9" s="108">
        <v>29</v>
      </c>
      <c r="BY9" s="108">
        <v>20358</v>
      </c>
      <c r="BZ9" s="108">
        <v>31</v>
      </c>
      <c r="CA9" s="108">
        <v>21762</v>
      </c>
      <c r="CB9" s="108">
        <v>32</v>
      </c>
      <c r="CC9" s="108">
        <v>22464</v>
      </c>
      <c r="CD9" s="108">
        <v>21</v>
      </c>
      <c r="CE9" s="108">
        <v>14742</v>
      </c>
      <c r="CF9" s="108">
        <v>16</v>
      </c>
      <c r="CG9" s="108">
        <v>11232</v>
      </c>
      <c r="CH9" s="108">
        <v>6.6038647342995231</v>
      </c>
      <c r="CI9" s="108">
        <v>4635.9130434782655</v>
      </c>
      <c r="CJ9" s="108">
        <v>5.996402877697844</v>
      </c>
      <c r="CK9" s="108">
        <v>4209.4748201438861</v>
      </c>
      <c r="CL9" s="108">
        <v>7.0463339294423681</v>
      </c>
      <c r="CM9" s="108">
        <v>4946.526418468542</v>
      </c>
      <c r="CN9" s="108">
        <v>14</v>
      </c>
      <c r="CO9" s="108">
        <v>9828</v>
      </c>
      <c r="CP9" s="108">
        <v>15</v>
      </c>
      <c r="CQ9" s="108">
        <v>10530</v>
      </c>
      <c r="CR9" s="108">
        <v>19</v>
      </c>
      <c r="CS9" s="108">
        <v>13338</v>
      </c>
      <c r="CT9" s="108">
        <v>15</v>
      </c>
      <c r="CU9" s="108">
        <v>10530</v>
      </c>
    </row>
    <row r="10" spans="1:99" x14ac:dyDescent="0.2">
      <c r="C10" s="107" t="s">
        <v>175</v>
      </c>
      <c r="D10" s="108">
        <v>9</v>
      </c>
      <c r="E10" s="108">
        <v>4903.2</v>
      </c>
      <c r="F10" s="108">
        <v>5</v>
      </c>
      <c r="G10" s="108">
        <v>2724</v>
      </c>
      <c r="H10" s="108">
        <v>10</v>
      </c>
      <c r="I10" s="108">
        <v>5448</v>
      </c>
      <c r="J10" s="108">
        <v>7</v>
      </c>
      <c r="K10" s="108">
        <v>3813.5999999999995</v>
      </c>
      <c r="L10" s="108">
        <v>8</v>
      </c>
      <c r="M10" s="108">
        <v>4358.3999999999996</v>
      </c>
      <c r="N10" s="108">
        <v>11</v>
      </c>
      <c r="O10" s="108">
        <v>5992.7999999999993</v>
      </c>
      <c r="P10" s="108">
        <v>11</v>
      </c>
      <c r="Q10" s="108">
        <v>5992.7999999999993</v>
      </c>
      <c r="R10" s="108">
        <v>9</v>
      </c>
      <c r="S10" s="108">
        <v>4903.2</v>
      </c>
      <c r="T10" s="108">
        <v>26</v>
      </c>
      <c r="U10" s="108">
        <v>14164.8</v>
      </c>
      <c r="V10" s="108">
        <v>29</v>
      </c>
      <c r="W10" s="108">
        <v>15799.199999999999</v>
      </c>
      <c r="X10" s="108">
        <v>27</v>
      </c>
      <c r="Y10" s="108">
        <v>14709.599999999999</v>
      </c>
      <c r="Z10" s="108">
        <v>16.211293260473603</v>
      </c>
      <c r="AA10" s="108">
        <v>8831.9125683060174</v>
      </c>
      <c r="AB10" s="108">
        <v>72</v>
      </c>
      <c r="AC10" s="108">
        <v>39225.599999999999</v>
      </c>
      <c r="AD10" s="108">
        <v>58</v>
      </c>
      <c r="AE10" s="108">
        <v>31598.399999999998</v>
      </c>
      <c r="AF10" s="108">
        <v>53</v>
      </c>
      <c r="AG10" s="108">
        <v>28874.399999999998</v>
      </c>
      <c r="AH10" s="108">
        <v>66</v>
      </c>
      <c r="AI10" s="108">
        <v>35956.799999999996</v>
      </c>
      <c r="AJ10" s="108">
        <v>23</v>
      </c>
      <c r="AK10" s="108">
        <v>12530.4</v>
      </c>
      <c r="AL10" s="108">
        <v>33</v>
      </c>
      <c r="AM10" s="108">
        <v>17978.399999999998</v>
      </c>
      <c r="AN10" s="108">
        <v>17</v>
      </c>
      <c r="AO10" s="108">
        <v>9261.5999999999985</v>
      </c>
      <c r="AP10" s="108">
        <v>24</v>
      </c>
      <c r="AQ10" s="108">
        <v>13075.199999999999</v>
      </c>
      <c r="AR10" s="108">
        <v>33</v>
      </c>
      <c r="AS10" s="108">
        <v>17978.399999999998</v>
      </c>
      <c r="AT10" s="108">
        <v>25</v>
      </c>
      <c r="AU10" s="108">
        <v>13619.999999999998</v>
      </c>
      <c r="AV10" s="108">
        <v>27</v>
      </c>
      <c r="AW10" s="108">
        <v>14709.599999999999</v>
      </c>
      <c r="AX10" s="108">
        <v>29</v>
      </c>
      <c r="AY10" s="108">
        <v>15799.199999999999</v>
      </c>
      <c r="AZ10" s="108">
        <v>25</v>
      </c>
      <c r="BA10" s="108">
        <v>13619.999999999998</v>
      </c>
      <c r="BB10" s="108">
        <v>28</v>
      </c>
      <c r="BC10" s="108">
        <v>15254.399999999998</v>
      </c>
      <c r="BD10" s="108">
        <v>17</v>
      </c>
      <c r="BE10" s="108">
        <v>9261.5999999999985</v>
      </c>
      <c r="BF10" s="108">
        <v>29</v>
      </c>
      <c r="BG10" s="108">
        <v>15799.199999999999</v>
      </c>
      <c r="BH10" s="108">
        <v>52</v>
      </c>
      <c r="BI10" s="108">
        <v>28329.599999999999</v>
      </c>
      <c r="BJ10" s="108">
        <v>73</v>
      </c>
      <c r="BK10" s="108">
        <v>39770.399999999994</v>
      </c>
      <c r="BL10" s="108">
        <v>82</v>
      </c>
      <c r="BM10" s="108">
        <v>44673.599999999999</v>
      </c>
      <c r="BN10" s="108">
        <v>46</v>
      </c>
      <c r="BO10" s="108">
        <v>25060.799999999999</v>
      </c>
      <c r="BP10" s="108">
        <v>50</v>
      </c>
      <c r="BQ10" s="108">
        <v>27239.999999999996</v>
      </c>
      <c r="BR10" s="108">
        <v>51</v>
      </c>
      <c r="BS10" s="108">
        <v>27784.799999999999</v>
      </c>
      <c r="BT10" s="108">
        <v>65</v>
      </c>
      <c r="BU10" s="108">
        <v>35412</v>
      </c>
      <c r="BV10" s="108">
        <v>48</v>
      </c>
      <c r="BW10" s="108">
        <v>26150.399999999998</v>
      </c>
      <c r="BX10" s="108">
        <v>30</v>
      </c>
      <c r="BY10" s="108">
        <v>16343.999999999998</v>
      </c>
      <c r="BZ10" s="108">
        <v>33</v>
      </c>
      <c r="CA10" s="108">
        <v>17978.399999999998</v>
      </c>
      <c r="CB10" s="108">
        <v>30</v>
      </c>
      <c r="CC10" s="108">
        <v>16343.999999999998</v>
      </c>
      <c r="CD10" s="108">
        <v>20</v>
      </c>
      <c r="CE10" s="108">
        <v>10896</v>
      </c>
      <c r="CF10" s="108">
        <v>14</v>
      </c>
      <c r="CG10" s="108">
        <v>7627.1999999999989</v>
      </c>
      <c r="CH10" s="108">
        <v>6.6038647342995231</v>
      </c>
      <c r="CI10" s="108">
        <v>3597.7855072463799</v>
      </c>
      <c r="CJ10" s="108">
        <v>5.996402877697844</v>
      </c>
      <c r="CK10" s="108">
        <v>3266.8402877697849</v>
      </c>
      <c r="CL10" s="108">
        <v>7.0463339294423681</v>
      </c>
      <c r="CM10" s="108">
        <v>3838.8427247602017</v>
      </c>
      <c r="CN10" s="108">
        <v>14</v>
      </c>
      <c r="CO10" s="108">
        <v>7627.1999999999989</v>
      </c>
      <c r="CP10" s="108">
        <v>15</v>
      </c>
      <c r="CQ10" s="108">
        <v>8171.9999999999991</v>
      </c>
      <c r="CR10" s="108">
        <v>18</v>
      </c>
      <c r="CS10" s="108">
        <v>9806.4</v>
      </c>
      <c r="CT10" s="108">
        <v>17</v>
      </c>
      <c r="CU10" s="108">
        <v>9261.5999999999985</v>
      </c>
    </row>
    <row r="11" spans="1:99" x14ac:dyDescent="0.2">
      <c r="C11" s="107" t="s">
        <v>176</v>
      </c>
      <c r="D11" s="108">
        <v>8</v>
      </c>
      <c r="E11" s="108">
        <v>4262.3999999999996</v>
      </c>
      <c r="F11" s="108">
        <v>6</v>
      </c>
      <c r="G11" s="108">
        <v>3196.7999999999997</v>
      </c>
      <c r="H11" s="108">
        <v>9</v>
      </c>
      <c r="I11" s="108">
        <v>4795.2</v>
      </c>
      <c r="J11" s="108">
        <v>7</v>
      </c>
      <c r="K11" s="108">
        <v>3729.5999999999995</v>
      </c>
      <c r="L11" s="108">
        <v>8</v>
      </c>
      <c r="M11" s="108">
        <v>4262.3999999999996</v>
      </c>
      <c r="N11" s="108">
        <v>11</v>
      </c>
      <c r="O11" s="108">
        <v>5860.7999999999993</v>
      </c>
      <c r="P11" s="108">
        <v>11</v>
      </c>
      <c r="Q11" s="108">
        <v>5860.7999999999993</v>
      </c>
      <c r="R11" s="108">
        <v>8</v>
      </c>
      <c r="S11" s="108">
        <v>4262.3999999999996</v>
      </c>
      <c r="T11" s="108">
        <v>27</v>
      </c>
      <c r="U11" s="108">
        <v>14385.599999999999</v>
      </c>
      <c r="V11" s="108">
        <v>28</v>
      </c>
      <c r="W11" s="108">
        <v>14918.399999999998</v>
      </c>
      <c r="X11" s="108">
        <v>33</v>
      </c>
      <c r="Y11" s="108">
        <v>17582.399999999998</v>
      </c>
      <c r="Z11" s="108">
        <v>14.821753838147295</v>
      </c>
      <c r="AA11" s="108">
        <v>7897.0304449648784</v>
      </c>
      <c r="AB11" s="108">
        <v>72</v>
      </c>
      <c r="AC11" s="108">
        <v>38361.599999999999</v>
      </c>
      <c r="AD11" s="108">
        <v>57</v>
      </c>
      <c r="AE11" s="108">
        <v>30369.599999999999</v>
      </c>
      <c r="AF11" s="108">
        <v>64</v>
      </c>
      <c r="AG11" s="108">
        <v>34099.199999999997</v>
      </c>
      <c r="AH11" s="108">
        <v>68</v>
      </c>
      <c r="AI11" s="108">
        <v>36230.399999999994</v>
      </c>
      <c r="AJ11" s="108">
        <v>22</v>
      </c>
      <c r="AK11" s="108">
        <v>11721.599999999999</v>
      </c>
      <c r="AL11" s="108">
        <v>32</v>
      </c>
      <c r="AM11" s="108">
        <v>17049.599999999999</v>
      </c>
      <c r="AN11" s="108">
        <v>17</v>
      </c>
      <c r="AO11" s="108">
        <v>9057.5999999999985</v>
      </c>
      <c r="AP11" s="108">
        <v>24</v>
      </c>
      <c r="AQ11" s="108">
        <v>12787.199999999999</v>
      </c>
      <c r="AR11" s="108">
        <v>35</v>
      </c>
      <c r="AS11" s="108">
        <v>18648</v>
      </c>
      <c r="AT11" s="108">
        <v>25</v>
      </c>
      <c r="AU11" s="108">
        <v>13319.999999999998</v>
      </c>
      <c r="AV11" s="108">
        <v>28</v>
      </c>
      <c r="AW11" s="108">
        <v>14918.399999999998</v>
      </c>
      <c r="AX11" s="108">
        <v>30</v>
      </c>
      <c r="AY11" s="108">
        <v>15983.999999999998</v>
      </c>
      <c r="AZ11" s="108">
        <v>23</v>
      </c>
      <c r="BA11" s="108">
        <v>12254.4</v>
      </c>
      <c r="BB11" s="108">
        <v>28</v>
      </c>
      <c r="BC11" s="108">
        <v>14918.399999999998</v>
      </c>
      <c r="BD11" s="108">
        <v>17</v>
      </c>
      <c r="BE11" s="108">
        <v>9057.5999999999985</v>
      </c>
      <c r="BF11" s="108">
        <v>31</v>
      </c>
      <c r="BG11" s="108">
        <v>16516.8</v>
      </c>
      <c r="BH11" s="108">
        <v>50</v>
      </c>
      <c r="BI11" s="108">
        <v>26639.999999999996</v>
      </c>
      <c r="BJ11" s="108">
        <v>76</v>
      </c>
      <c r="BK11" s="108">
        <v>40492.799999999996</v>
      </c>
      <c r="BL11" s="108">
        <v>79</v>
      </c>
      <c r="BM11" s="108">
        <v>42091.199999999997</v>
      </c>
      <c r="BN11" s="108">
        <v>40</v>
      </c>
      <c r="BO11" s="108">
        <v>21312</v>
      </c>
      <c r="BP11" s="108">
        <v>50</v>
      </c>
      <c r="BQ11" s="108">
        <v>26639.999999999996</v>
      </c>
      <c r="BR11" s="108">
        <v>56</v>
      </c>
      <c r="BS11" s="108">
        <v>29836.799999999996</v>
      </c>
      <c r="BT11" s="108">
        <v>73</v>
      </c>
      <c r="BU11" s="108">
        <v>38894.399999999994</v>
      </c>
      <c r="BV11" s="108">
        <v>43</v>
      </c>
      <c r="BW11" s="108">
        <v>22910.399999999998</v>
      </c>
      <c r="BX11" s="108">
        <v>33</v>
      </c>
      <c r="BY11" s="108">
        <v>17582.399999999998</v>
      </c>
      <c r="BZ11" s="108">
        <v>33</v>
      </c>
      <c r="CA11" s="108">
        <v>17582.399999999998</v>
      </c>
      <c r="CB11" s="108">
        <v>32</v>
      </c>
      <c r="CC11" s="108">
        <v>17049.599999999999</v>
      </c>
      <c r="CD11" s="108">
        <v>21</v>
      </c>
      <c r="CE11" s="108">
        <v>11188.8</v>
      </c>
      <c r="CF11" s="108">
        <v>16</v>
      </c>
      <c r="CG11" s="108">
        <v>8524.7999999999993</v>
      </c>
      <c r="CH11" s="108">
        <v>6.0535426731078958</v>
      </c>
      <c r="CI11" s="108">
        <v>3225.3275362318868</v>
      </c>
      <c r="CJ11" s="108">
        <v>6.5415304120340112</v>
      </c>
      <c r="CK11" s="108">
        <v>3485.3274035317208</v>
      </c>
      <c r="CL11" s="108">
        <v>8.1303853032027327</v>
      </c>
      <c r="CM11" s="108">
        <v>4331.8692895464155</v>
      </c>
      <c r="CN11" s="108">
        <v>14</v>
      </c>
      <c r="CO11" s="108">
        <v>7459.1999999999989</v>
      </c>
      <c r="CP11" s="108">
        <v>15</v>
      </c>
      <c r="CQ11" s="108">
        <v>7991.9999999999991</v>
      </c>
      <c r="CR11" s="108">
        <v>21</v>
      </c>
      <c r="CS11" s="108">
        <v>11188.8</v>
      </c>
      <c r="CT11" s="108">
        <v>16</v>
      </c>
      <c r="CU11" s="108">
        <v>8524.7999999999993</v>
      </c>
    </row>
    <row r="12" spans="1:99" x14ac:dyDescent="0.2">
      <c r="C12" s="107" t="s">
        <v>177</v>
      </c>
      <c r="D12" s="108">
        <v>9</v>
      </c>
      <c r="E12" s="108">
        <v>5065.2</v>
      </c>
      <c r="F12" s="108">
        <v>6</v>
      </c>
      <c r="G12" s="108">
        <v>3376.7999999999997</v>
      </c>
      <c r="H12" s="108">
        <v>10</v>
      </c>
      <c r="I12" s="108">
        <v>5628</v>
      </c>
      <c r="J12" s="108">
        <v>8</v>
      </c>
      <c r="K12" s="108">
        <v>4502.3999999999996</v>
      </c>
      <c r="L12" s="108">
        <v>8</v>
      </c>
      <c r="M12" s="108">
        <v>4502.3999999999996</v>
      </c>
      <c r="N12" s="108">
        <v>10</v>
      </c>
      <c r="O12" s="108">
        <v>5628</v>
      </c>
      <c r="P12" s="108">
        <v>10</v>
      </c>
      <c r="Q12" s="108">
        <v>5628</v>
      </c>
      <c r="R12" s="108">
        <v>8</v>
      </c>
      <c r="S12" s="108">
        <v>4502.3999999999996</v>
      </c>
      <c r="T12" s="108">
        <v>27</v>
      </c>
      <c r="U12" s="108">
        <v>15195.599999999999</v>
      </c>
      <c r="V12" s="108">
        <v>32</v>
      </c>
      <c r="W12" s="108">
        <v>18009.599999999999</v>
      </c>
      <c r="X12" s="108">
        <v>30</v>
      </c>
      <c r="Y12" s="108">
        <v>16884</v>
      </c>
      <c r="Z12" s="108">
        <v>15.7481134530315</v>
      </c>
      <c r="AA12" s="108">
        <v>8863.038251366128</v>
      </c>
      <c r="AB12" s="108">
        <v>75</v>
      </c>
      <c r="AC12" s="108">
        <v>42210</v>
      </c>
      <c r="AD12" s="108">
        <v>51</v>
      </c>
      <c r="AE12" s="108">
        <v>28702.799999999999</v>
      </c>
      <c r="AF12" s="108">
        <v>62</v>
      </c>
      <c r="AG12" s="108">
        <v>34893.599999999999</v>
      </c>
      <c r="AH12" s="108">
        <v>60</v>
      </c>
      <c r="AI12" s="108">
        <v>33768</v>
      </c>
      <c r="AJ12" s="108">
        <v>24</v>
      </c>
      <c r="AK12" s="108">
        <v>13507.199999999999</v>
      </c>
      <c r="AL12" s="108">
        <v>30</v>
      </c>
      <c r="AM12" s="108">
        <v>16884</v>
      </c>
      <c r="AN12" s="108">
        <v>18</v>
      </c>
      <c r="AO12" s="108">
        <v>10130.4</v>
      </c>
      <c r="AP12" s="108">
        <v>23</v>
      </c>
      <c r="AQ12" s="108">
        <v>12944.4</v>
      </c>
      <c r="AR12" s="108">
        <v>36</v>
      </c>
      <c r="AS12" s="108">
        <v>20260.8</v>
      </c>
      <c r="AT12" s="108">
        <v>25</v>
      </c>
      <c r="AU12" s="108">
        <v>14069.999999999998</v>
      </c>
      <c r="AV12" s="108">
        <v>29</v>
      </c>
      <c r="AW12" s="108">
        <v>16321.199999999999</v>
      </c>
      <c r="AX12" s="108">
        <v>28</v>
      </c>
      <c r="AY12" s="108">
        <v>15758.399999999998</v>
      </c>
      <c r="AZ12" s="108">
        <v>24</v>
      </c>
      <c r="BA12" s="108">
        <v>13507.199999999999</v>
      </c>
      <c r="BB12" s="108">
        <v>28</v>
      </c>
      <c r="BC12" s="108">
        <v>15758.399999999998</v>
      </c>
      <c r="BD12" s="108">
        <v>19</v>
      </c>
      <c r="BE12" s="108">
        <v>10693.199999999999</v>
      </c>
      <c r="BF12" s="108">
        <v>33</v>
      </c>
      <c r="BG12" s="108">
        <v>18572.399999999998</v>
      </c>
      <c r="BH12" s="108">
        <v>52</v>
      </c>
      <c r="BI12" s="108">
        <v>29265.599999999999</v>
      </c>
      <c r="BJ12" s="108">
        <v>72</v>
      </c>
      <c r="BK12" s="108">
        <v>40521.599999999999</v>
      </c>
      <c r="BL12" s="108">
        <v>78</v>
      </c>
      <c r="BM12" s="108">
        <v>43898.399999999994</v>
      </c>
      <c r="BN12" s="108">
        <v>46</v>
      </c>
      <c r="BO12" s="108">
        <v>25888.799999999999</v>
      </c>
      <c r="BP12" s="108">
        <v>56</v>
      </c>
      <c r="BQ12" s="108">
        <v>31516.799999999996</v>
      </c>
      <c r="BR12" s="108">
        <v>61</v>
      </c>
      <c r="BS12" s="108">
        <v>34330.799999999996</v>
      </c>
      <c r="BT12" s="108">
        <v>71</v>
      </c>
      <c r="BU12" s="108">
        <v>39958.799999999996</v>
      </c>
      <c r="BV12" s="108">
        <v>45</v>
      </c>
      <c r="BW12" s="108">
        <v>25325.999999999996</v>
      </c>
      <c r="BX12" s="108">
        <v>30</v>
      </c>
      <c r="BY12" s="108">
        <v>16884</v>
      </c>
      <c r="BZ12" s="108">
        <v>35</v>
      </c>
      <c r="CA12" s="108">
        <v>19698</v>
      </c>
      <c r="CB12" s="108">
        <v>34</v>
      </c>
      <c r="CC12" s="108">
        <v>19135.199999999997</v>
      </c>
      <c r="CD12" s="108">
        <v>22</v>
      </c>
      <c r="CE12" s="108">
        <v>12381.599999999999</v>
      </c>
      <c r="CF12" s="108">
        <v>14</v>
      </c>
      <c r="CG12" s="108">
        <v>7879.1999999999989</v>
      </c>
      <c r="CH12" s="108">
        <v>5.5032206119162694</v>
      </c>
      <c r="CI12" s="108">
        <v>3097.2125603864761</v>
      </c>
      <c r="CJ12" s="108">
        <v>5.996402877697844</v>
      </c>
      <c r="CK12" s="108">
        <v>3374.7755395683462</v>
      </c>
      <c r="CL12" s="108">
        <v>8.1303853032027327</v>
      </c>
      <c r="CM12" s="108">
        <v>4575.7808486424974</v>
      </c>
      <c r="CN12" s="108">
        <v>15</v>
      </c>
      <c r="CO12" s="108">
        <v>8442</v>
      </c>
      <c r="CP12" s="108">
        <v>16</v>
      </c>
      <c r="CQ12" s="108">
        <v>9004.7999999999993</v>
      </c>
      <c r="CR12" s="108">
        <v>21</v>
      </c>
      <c r="CS12" s="108">
        <v>11818.8</v>
      </c>
      <c r="CT12" s="108">
        <v>17</v>
      </c>
      <c r="CU12" s="108">
        <v>9567.5999999999985</v>
      </c>
    </row>
    <row r="13" spans="1:99" x14ac:dyDescent="0.2">
      <c r="C13" s="107" t="s">
        <v>178</v>
      </c>
      <c r="D13" s="108">
        <v>9</v>
      </c>
      <c r="E13" s="108">
        <v>766.80000000000007</v>
      </c>
      <c r="F13" s="108">
        <v>6</v>
      </c>
      <c r="G13" s="108">
        <v>511.20000000000005</v>
      </c>
      <c r="H13" s="108">
        <v>10</v>
      </c>
      <c r="I13" s="108">
        <v>852</v>
      </c>
      <c r="J13" s="108">
        <v>7</v>
      </c>
      <c r="K13" s="108">
        <v>596.4</v>
      </c>
      <c r="L13" s="108">
        <v>9</v>
      </c>
      <c r="M13" s="108">
        <v>766.80000000000007</v>
      </c>
      <c r="N13" s="108">
        <v>11</v>
      </c>
      <c r="O13" s="108">
        <v>937.2</v>
      </c>
      <c r="P13" s="108">
        <v>12</v>
      </c>
      <c r="Q13" s="108">
        <v>1022.4000000000001</v>
      </c>
      <c r="R13" s="108">
        <v>9</v>
      </c>
      <c r="S13" s="108">
        <v>766.80000000000007</v>
      </c>
      <c r="T13" s="108">
        <v>29</v>
      </c>
      <c r="U13" s="108">
        <v>2470.8000000000002</v>
      </c>
      <c r="V13" s="108">
        <v>34</v>
      </c>
      <c r="W13" s="108">
        <v>2896.8</v>
      </c>
      <c r="X13" s="108">
        <v>32</v>
      </c>
      <c r="Y13" s="108">
        <v>2726.4</v>
      </c>
      <c r="Z13" s="108">
        <v>16.674473067915706</v>
      </c>
      <c r="AA13" s="108">
        <v>1420.6651053864182</v>
      </c>
      <c r="AB13" s="108">
        <v>78</v>
      </c>
      <c r="AC13" s="108">
        <v>6645.6</v>
      </c>
      <c r="AD13" s="108">
        <v>57</v>
      </c>
      <c r="AE13" s="108">
        <v>4856.4000000000005</v>
      </c>
      <c r="AF13" s="108">
        <v>62</v>
      </c>
      <c r="AG13" s="108">
        <v>5282.4000000000005</v>
      </c>
      <c r="AH13" s="108">
        <v>74</v>
      </c>
      <c r="AI13" s="108">
        <v>6304.8</v>
      </c>
      <c r="AJ13" s="108">
        <v>24</v>
      </c>
      <c r="AK13" s="108">
        <v>2044.8000000000002</v>
      </c>
      <c r="AL13" s="108">
        <v>30</v>
      </c>
      <c r="AM13" s="108">
        <v>2556</v>
      </c>
      <c r="AN13" s="108">
        <v>20</v>
      </c>
      <c r="AO13" s="108">
        <v>1704</v>
      </c>
      <c r="AP13" s="108">
        <v>26</v>
      </c>
      <c r="AQ13" s="108">
        <v>2215.2000000000003</v>
      </c>
      <c r="AR13" s="108">
        <v>38</v>
      </c>
      <c r="AS13" s="108">
        <v>3237.6</v>
      </c>
      <c r="AT13" s="108">
        <v>25</v>
      </c>
      <c r="AU13" s="108">
        <v>2130</v>
      </c>
      <c r="AV13" s="108">
        <v>33</v>
      </c>
      <c r="AW13" s="108">
        <v>2811.6</v>
      </c>
      <c r="AX13" s="108">
        <v>33</v>
      </c>
      <c r="AY13" s="108">
        <v>2811.6</v>
      </c>
      <c r="AZ13" s="108">
        <v>23</v>
      </c>
      <c r="BA13" s="108">
        <v>1959.6000000000001</v>
      </c>
      <c r="BB13" s="108">
        <v>29</v>
      </c>
      <c r="BC13" s="108">
        <v>2470.8000000000002</v>
      </c>
      <c r="BD13" s="108">
        <v>19</v>
      </c>
      <c r="BE13" s="108">
        <v>1618.8</v>
      </c>
      <c r="BF13" s="108">
        <v>33</v>
      </c>
      <c r="BG13" s="108">
        <v>2811.6</v>
      </c>
      <c r="BH13" s="108">
        <v>56</v>
      </c>
      <c r="BI13" s="108">
        <v>4771.2</v>
      </c>
      <c r="BJ13" s="108">
        <v>81</v>
      </c>
      <c r="BK13" s="108">
        <v>6901.2</v>
      </c>
      <c r="BL13" s="108">
        <v>87</v>
      </c>
      <c r="BM13" s="108">
        <v>7412.4000000000005</v>
      </c>
      <c r="BN13" s="108">
        <v>52</v>
      </c>
      <c r="BO13" s="108">
        <v>4430.4000000000005</v>
      </c>
      <c r="BP13" s="108">
        <v>54</v>
      </c>
      <c r="BQ13" s="108">
        <v>4600.8</v>
      </c>
      <c r="BR13" s="108">
        <v>61</v>
      </c>
      <c r="BS13" s="108">
        <v>5197.2</v>
      </c>
      <c r="BT13" s="108">
        <v>83</v>
      </c>
      <c r="BU13" s="108">
        <v>7071.6</v>
      </c>
      <c r="BV13" s="108">
        <v>52</v>
      </c>
      <c r="BW13" s="108">
        <v>4430.4000000000005</v>
      </c>
      <c r="BX13" s="108">
        <v>31</v>
      </c>
      <c r="BY13" s="108">
        <v>2641.2000000000003</v>
      </c>
      <c r="BZ13" s="108">
        <v>41</v>
      </c>
      <c r="CA13" s="108">
        <v>3493.2000000000003</v>
      </c>
      <c r="CB13" s="108">
        <v>37</v>
      </c>
      <c r="CC13" s="108">
        <v>3152.4</v>
      </c>
      <c r="CD13" s="108">
        <v>20</v>
      </c>
      <c r="CE13" s="108">
        <v>1704</v>
      </c>
      <c r="CF13" s="108">
        <v>16</v>
      </c>
      <c r="CG13" s="108">
        <v>1363.2</v>
      </c>
      <c r="CH13" s="108">
        <v>7.1541867954911496</v>
      </c>
      <c r="CI13" s="108">
        <v>609.53671497584594</v>
      </c>
      <c r="CJ13" s="108">
        <v>6.5415304120340112</v>
      </c>
      <c r="CK13" s="108">
        <v>557.33839110529777</v>
      </c>
      <c r="CL13" s="108">
        <v>8.6724109900829145</v>
      </c>
      <c r="CM13" s="108">
        <v>738.88941635506433</v>
      </c>
      <c r="CN13" s="108">
        <v>13</v>
      </c>
      <c r="CO13" s="108">
        <v>1107.6000000000001</v>
      </c>
      <c r="CP13" s="108">
        <v>16</v>
      </c>
      <c r="CQ13" s="108">
        <v>1363.2</v>
      </c>
      <c r="CR13" s="108">
        <v>21</v>
      </c>
      <c r="CS13" s="108">
        <v>1789.2</v>
      </c>
      <c r="CT13" s="108">
        <v>19</v>
      </c>
      <c r="CU13" s="108">
        <v>1618.8</v>
      </c>
    </row>
    <row r="14" spans="1:99" x14ac:dyDescent="0.2">
      <c r="C14" s="107" t="s">
        <v>179</v>
      </c>
      <c r="D14" s="108">
        <v>9</v>
      </c>
      <c r="E14" s="108">
        <v>4395.5999999999995</v>
      </c>
      <c r="F14" s="108">
        <v>6</v>
      </c>
      <c r="G14" s="108">
        <v>2930.3999999999996</v>
      </c>
      <c r="H14" s="108">
        <v>10</v>
      </c>
      <c r="I14" s="108">
        <v>4884</v>
      </c>
      <c r="J14" s="108">
        <v>7</v>
      </c>
      <c r="K14" s="108">
        <v>3418.7999999999997</v>
      </c>
      <c r="L14" s="108">
        <v>9</v>
      </c>
      <c r="M14" s="108">
        <v>4395.5999999999995</v>
      </c>
      <c r="N14" s="108">
        <v>11</v>
      </c>
      <c r="O14" s="108">
        <v>5372.4</v>
      </c>
      <c r="P14" s="108">
        <v>11</v>
      </c>
      <c r="Q14" s="108">
        <v>5372.4</v>
      </c>
      <c r="R14" s="108">
        <v>8</v>
      </c>
      <c r="S14" s="108">
        <v>3907.2</v>
      </c>
      <c r="T14" s="108">
        <v>31</v>
      </c>
      <c r="U14" s="108">
        <v>15140.4</v>
      </c>
      <c r="V14" s="108">
        <v>29</v>
      </c>
      <c r="W14" s="108">
        <v>14163.599999999999</v>
      </c>
      <c r="X14" s="108">
        <v>33</v>
      </c>
      <c r="Y14" s="108">
        <v>16117.199999999999</v>
      </c>
      <c r="Z14" s="108">
        <v>14.358574030705192</v>
      </c>
      <c r="AA14" s="108">
        <v>7012.7275565964155</v>
      </c>
      <c r="AB14" s="108">
        <v>79</v>
      </c>
      <c r="AC14" s="108">
        <v>38583.599999999999</v>
      </c>
      <c r="AD14" s="108">
        <v>57</v>
      </c>
      <c r="AE14" s="108">
        <v>27838.799999999999</v>
      </c>
      <c r="AF14" s="108">
        <v>55</v>
      </c>
      <c r="AG14" s="108">
        <v>26862</v>
      </c>
      <c r="AH14" s="108">
        <v>61</v>
      </c>
      <c r="AI14" s="108">
        <v>29792.399999999998</v>
      </c>
      <c r="AJ14" s="108">
        <v>24</v>
      </c>
      <c r="AK14" s="108">
        <v>11721.599999999999</v>
      </c>
      <c r="AL14" s="108">
        <v>31</v>
      </c>
      <c r="AM14" s="108">
        <v>15140.4</v>
      </c>
      <c r="AN14" s="108">
        <v>18</v>
      </c>
      <c r="AO14" s="108">
        <v>8791.1999999999989</v>
      </c>
      <c r="AP14" s="108">
        <v>23</v>
      </c>
      <c r="AQ14" s="108">
        <v>11233.199999999999</v>
      </c>
      <c r="AR14" s="108">
        <v>35</v>
      </c>
      <c r="AS14" s="108">
        <v>17094</v>
      </c>
      <c r="AT14" s="108">
        <v>23</v>
      </c>
      <c r="AU14" s="108">
        <v>11233.199999999999</v>
      </c>
      <c r="AV14" s="108">
        <v>31</v>
      </c>
      <c r="AW14" s="108">
        <v>15140.4</v>
      </c>
      <c r="AX14" s="108">
        <v>26</v>
      </c>
      <c r="AY14" s="108">
        <v>12698.4</v>
      </c>
      <c r="AZ14" s="108">
        <v>23</v>
      </c>
      <c r="BA14" s="108">
        <v>11233.199999999999</v>
      </c>
      <c r="BB14" s="108">
        <v>27</v>
      </c>
      <c r="BC14" s="108">
        <v>13186.8</v>
      </c>
      <c r="BD14" s="108">
        <v>16</v>
      </c>
      <c r="BE14" s="108">
        <v>7814.4</v>
      </c>
      <c r="BF14" s="108">
        <v>33</v>
      </c>
      <c r="BG14" s="108">
        <v>16117.199999999999</v>
      </c>
      <c r="BH14" s="108">
        <v>54</v>
      </c>
      <c r="BI14" s="108">
        <v>26373.599999999999</v>
      </c>
      <c r="BJ14" s="108">
        <v>69</v>
      </c>
      <c r="BK14" s="108">
        <v>33699.599999999999</v>
      </c>
      <c r="BL14" s="108">
        <v>86</v>
      </c>
      <c r="BM14" s="108">
        <v>42002.400000000001</v>
      </c>
      <c r="BN14" s="108">
        <v>45</v>
      </c>
      <c r="BO14" s="108">
        <v>21978</v>
      </c>
      <c r="BP14" s="108">
        <v>55</v>
      </c>
      <c r="BQ14" s="108">
        <v>26862</v>
      </c>
      <c r="BR14" s="108">
        <v>55</v>
      </c>
      <c r="BS14" s="108">
        <v>26862</v>
      </c>
      <c r="BT14" s="108">
        <v>73</v>
      </c>
      <c r="BU14" s="108">
        <v>35653.199999999997</v>
      </c>
      <c r="BV14" s="108">
        <v>44</v>
      </c>
      <c r="BW14" s="108">
        <v>21489.599999999999</v>
      </c>
      <c r="BX14" s="108">
        <v>34</v>
      </c>
      <c r="BY14" s="108">
        <v>16605.599999999999</v>
      </c>
      <c r="BZ14" s="108">
        <v>34</v>
      </c>
      <c r="CA14" s="108">
        <v>16605.599999999999</v>
      </c>
      <c r="CB14" s="108">
        <v>30</v>
      </c>
      <c r="CC14" s="108">
        <v>14652</v>
      </c>
      <c r="CD14" s="108">
        <v>20</v>
      </c>
      <c r="CE14" s="108">
        <v>9768</v>
      </c>
      <c r="CF14" s="108">
        <v>15</v>
      </c>
      <c r="CG14" s="108">
        <v>7326</v>
      </c>
      <c r="CH14" s="108">
        <v>6.0535426731078958</v>
      </c>
      <c r="CI14" s="108">
        <v>2956.5502415458964</v>
      </c>
      <c r="CJ14" s="108">
        <v>5.4512753433616759</v>
      </c>
      <c r="CK14" s="108">
        <v>2662.4028776978425</v>
      </c>
      <c r="CL14" s="108">
        <v>7.0463339294423681</v>
      </c>
      <c r="CM14" s="108">
        <v>3441.4294911396523</v>
      </c>
      <c r="CN14" s="108">
        <v>13</v>
      </c>
      <c r="CO14" s="108">
        <v>6349.2</v>
      </c>
      <c r="CP14" s="108">
        <v>17</v>
      </c>
      <c r="CQ14" s="108">
        <v>8302.7999999999993</v>
      </c>
      <c r="CR14" s="108">
        <v>20</v>
      </c>
      <c r="CS14" s="108">
        <v>9768</v>
      </c>
      <c r="CT14" s="108">
        <v>17</v>
      </c>
      <c r="CU14" s="108">
        <v>8302.7999999999993</v>
      </c>
    </row>
    <row r="15" spans="1:99" x14ac:dyDescent="0.2">
      <c r="C15" s="107" t="s">
        <v>180</v>
      </c>
      <c r="D15" s="108">
        <v>8</v>
      </c>
      <c r="E15" s="108">
        <v>6105.5999999999995</v>
      </c>
      <c r="F15" s="108">
        <v>6</v>
      </c>
      <c r="G15" s="108">
        <v>4579.2</v>
      </c>
      <c r="H15" s="108">
        <v>9</v>
      </c>
      <c r="I15" s="108">
        <v>6868.7999999999993</v>
      </c>
      <c r="J15" s="108">
        <v>7</v>
      </c>
      <c r="K15" s="108">
        <v>5342.4</v>
      </c>
      <c r="L15" s="108">
        <v>8</v>
      </c>
      <c r="M15" s="108">
        <v>6105.5999999999995</v>
      </c>
      <c r="N15" s="108">
        <v>9</v>
      </c>
      <c r="O15" s="108">
        <v>6868.7999999999993</v>
      </c>
      <c r="P15" s="108">
        <v>11</v>
      </c>
      <c r="Q15" s="108">
        <v>8395.1999999999989</v>
      </c>
      <c r="R15" s="108">
        <v>8</v>
      </c>
      <c r="S15" s="108">
        <v>6105.5999999999995</v>
      </c>
      <c r="T15" s="108">
        <v>26</v>
      </c>
      <c r="U15" s="108">
        <v>19843.199999999997</v>
      </c>
      <c r="V15" s="108">
        <v>31</v>
      </c>
      <c r="W15" s="108">
        <v>23659.199999999997</v>
      </c>
      <c r="X15" s="108">
        <v>28</v>
      </c>
      <c r="Y15" s="108">
        <v>21369.599999999999</v>
      </c>
      <c r="Z15" s="108">
        <v>15.7481134530315</v>
      </c>
      <c r="AA15" s="108">
        <v>12018.960187353639</v>
      </c>
      <c r="AB15" s="108">
        <v>63</v>
      </c>
      <c r="AC15" s="108">
        <v>48081.599999999999</v>
      </c>
      <c r="AD15" s="108">
        <v>57</v>
      </c>
      <c r="AE15" s="108">
        <v>43502.399999999994</v>
      </c>
      <c r="AF15" s="108">
        <v>55</v>
      </c>
      <c r="AG15" s="108">
        <v>41975.999999999993</v>
      </c>
      <c r="AH15" s="108">
        <v>58</v>
      </c>
      <c r="AI15" s="108">
        <v>44265.599999999999</v>
      </c>
      <c r="AJ15" s="108">
        <v>24</v>
      </c>
      <c r="AK15" s="108">
        <v>18316.8</v>
      </c>
      <c r="AL15" s="108">
        <v>27</v>
      </c>
      <c r="AM15" s="108">
        <v>20606.399999999998</v>
      </c>
      <c r="AN15" s="108">
        <v>19</v>
      </c>
      <c r="AO15" s="108">
        <v>14500.8</v>
      </c>
      <c r="AP15" s="108">
        <v>22</v>
      </c>
      <c r="AQ15" s="108">
        <v>16790.399999999998</v>
      </c>
      <c r="AR15" s="108">
        <v>32</v>
      </c>
      <c r="AS15" s="108">
        <v>24422.399999999998</v>
      </c>
      <c r="AT15" s="108">
        <v>23</v>
      </c>
      <c r="AU15" s="108">
        <v>17553.599999999999</v>
      </c>
      <c r="AV15" s="108">
        <v>29</v>
      </c>
      <c r="AW15" s="108">
        <v>22132.799999999999</v>
      </c>
      <c r="AX15" s="108">
        <v>28</v>
      </c>
      <c r="AY15" s="108">
        <v>21369.599999999999</v>
      </c>
      <c r="AZ15" s="108">
        <v>24</v>
      </c>
      <c r="BA15" s="108">
        <v>18316.8</v>
      </c>
      <c r="BB15" s="108">
        <v>29</v>
      </c>
      <c r="BC15" s="108">
        <v>22132.799999999999</v>
      </c>
      <c r="BD15" s="108">
        <v>16</v>
      </c>
      <c r="BE15" s="108">
        <v>12211.199999999999</v>
      </c>
      <c r="BF15" s="108">
        <v>32</v>
      </c>
      <c r="BG15" s="108">
        <v>24422.399999999998</v>
      </c>
      <c r="BH15" s="108">
        <v>50</v>
      </c>
      <c r="BI15" s="108">
        <v>38160</v>
      </c>
      <c r="BJ15" s="108">
        <v>64</v>
      </c>
      <c r="BK15" s="108">
        <v>48844.799999999996</v>
      </c>
      <c r="BL15" s="108">
        <v>75</v>
      </c>
      <c r="BM15" s="108">
        <v>57239.999999999993</v>
      </c>
      <c r="BN15" s="108">
        <v>38</v>
      </c>
      <c r="BO15" s="108">
        <v>29001.599999999999</v>
      </c>
      <c r="BP15" s="108">
        <v>46</v>
      </c>
      <c r="BQ15" s="108">
        <v>35107.199999999997</v>
      </c>
      <c r="BR15" s="108">
        <v>48</v>
      </c>
      <c r="BS15" s="108">
        <v>36633.599999999999</v>
      </c>
      <c r="BT15" s="108">
        <v>61</v>
      </c>
      <c r="BU15" s="108">
        <v>46555.199999999997</v>
      </c>
      <c r="BV15" s="108">
        <v>39</v>
      </c>
      <c r="BW15" s="108">
        <v>29764.799999999996</v>
      </c>
      <c r="BX15" s="108">
        <v>32</v>
      </c>
      <c r="BY15" s="108">
        <v>24422.399999999998</v>
      </c>
      <c r="BZ15" s="108">
        <v>36</v>
      </c>
      <c r="CA15" s="108">
        <v>27475.199999999997</v>
      </c>
      <c r="CB15" s="108">
        <v>32</v>
      </c>
      <c r="CC15" s="108">
        <v>24422.399999999998</v>
      </c>
      <c r="CD15" s="108">
        <v>18</v>
      </c>
      <c r="CE15" s="108">
        <v>13737.599999999999</v>
      </c>
      <c r="CF15" s="108">
        <v>15</v>
      </c>
      <c r="CG15" s="108">
        <v>11447.999999999998</v>
      </c>
      <c r="CH15" s="108">
        <v>6.6038647342995231</v>
      </c>
      <c r="CI15" s="108">
        <v>5040.0695652173954</v>
      </c>
      <c r="CJ15" s="108">
        <v>5.996402877697844</v>
      </c>
      <c r="CK15" s="108">
        <v>4576.4546762589944</v>
      </c>
      <c r="CL15" s="108">
        <v>7.5883596163225508</v>
      </c>
      <c r="CM15" s="108">
        <v>5791.4360591773702</v>
      </c>
      <c r="CN15" s="108">
        <v>12</v>
      </c>
      <c r="CO15" s="108">
        <v>9158.4</v>
      </c>
      <c r="CP15" s="108">
        <v>17</v>
      </c>
      <c r="CQ15" s="108">
        <v>12974.4</v>
      </c>
      <c r="CR15" s="108">
        <v>21</v>
      </c>
      <c r="CS15" s="108">
        <v>16027.199999999999</v>
      </c>
      <c r="CT15" s="108">
        <v>15</v>
      </c>
      <c r="CU15" s="108">
        <v>11447.999999999998</v>
      </c>
    </row>
    <row r="16" spans="1:99" x14ac:dyDescent="0.2">
      <c r="C16" s="107" t="s">
        <v>181</v>
      </c>
      <c r="D16" s="108">
        <v>8</v>
      </c>
      <c r="E16" s="108">
        <v>2726.4</v>
      </c>
      <c r="F16" s="108">
        <v>5</v>
      </c>
      <c r="G16" s="108">
        <v>1704</v>
      </c>
      <c r="H16" s="108">
        <v>9</v>
      </c>
      <c r="I16" s="108">
        <v>3067.2000000000003</v>
      </c>
      <c r="J16" s="108">
        <v>7</v>
      </c>
      <c r="K16" s="108">
        <v>2385.6</v>
      </c>
      <c r="L16" s="108">
        <v>8</v>
      </c>
      <c r="M16" s="108">
        <v>2726.4</v>
      </c>
      <c r="N16" s="108">
        <v>11</v>
      </c>
      <c r="O16" s="108">
        <v>3748.8</v>
      </c>
      <c r="P16" s="108">
        <v>11</v>
      </c>
      <c r="Q16" s="108">
        <v>3748.8</v>
      </c>
      <c r="R16" s="108">
        <v>9</v>
      </c>
      <c r="S16" s="108">
        <v>3067.2000000000003</v>
      </c>
      <c r="T16" s="108">
        <v>28</v>
      </c>
      <c r="U16" s="108">
        <v>9542.4</v>
      </c>
      <c r="V16" s="108">
        <v>34</v>
      </c>
      <c r="W16" s="108">
        <v>11587.2</v>
      </c>
      <c r="X16" s="108">
        <v>32</v>
      </c>
      <c r="Y16" s="108">
        <v>10905.6</v>
      </c>
      <c r="Z16" s="108">
        <v>14.821753838147295</v>
      </c>
      <c r="AA16" s="108">
        <v>5051.2537080405982</v>
      </c>
      <c r="AB16" s="108">
        <v>77</v>
      </c>
      <c r="AC16" s="108">
        <v>26241.600000000002</v>
      </c>
      <c r="AD16" s="108">
        <v>61</v>
      </c>
      <c r="AE16" s="108">
        <v>20788.8</v>
      </c>
      <c r="AF16" s="108">
        <v>63</v>
      </c>
      <c r="AG16" s="108">
        <v>21470.400000000001</v>
      </c>
      <c r="AH16" s="108">
        <v>69</v>
      </c>
      <c r="AI16" s="108">
        <v>23515.200000000001</v>
      </c>
      <c r="AJ16" s="108">
        <v>23</v>
      </c>
      <c r="AK16" s="108">
        <v>7838.4000000000005</v>
      </c>
      <c r="AL16" s="108">
        <v>30</v>
      </c>
      <c r="AM16" s="108">
        <v>10224</v>
      </c>
      <c r="AN16" s="108">
        <v>20</v>
      </c>
      <c r="AO16" s="108">
        <v>6816</v>
      </c>
      <c r="AP16" s="108">
        <v>23</v>
      </c>
      <c r="AQ16" s="108">
        <v>7838.4000000000005</v>
      </c>
      <c r="AR16" s="108">
        <v>32</v>
      </c>
      <c r="AS16" s="108">
        <v>10905.6</v>
      </c>
      <c r="AT16" s="108">
        <v>25</v>
      </c>
      <c r="AU16" s="108">
        <v>8520</v>
      </c>
      <c r="AV16" s="108">
        <v>27</v>
      </c>
      <c r="AW16" s="108">
        <v>9201.6</v>
      </c>
      <c r="AX16" s="108">
        <v>30</v>
      </c>
      <c r="AY16" s="108">
        <v>10224</v>
      </c>
      <c r="AZ16" s="108">
        <v>23</v>
      </c>
      <c r="BA16" s="108">
        <v>7838.4000000000005</v>
      </c>
      <c r="BB16" s="108">
        <v>29</v>
      </c>
      <c r="BC16" s="108">
        <v>9883.2000000000007</v>
      </c>
      <c r="BD16" s="108">
        <v>20</v>
      </c>
      <c r="BE16" s="108">
        <v>6816</v>
      </c>
      <c r="BF16" s="108">
        <v>33</v>
      </c>
      <c r="BG16" s="108">
        <v>11246.4</v>
      </c>
      <c r="BH16" s="108">
        <v>50</v>
      </c>
      <c r="BI16" s="108">
        <v>17040</v>
      </c>
      <c r="BJ16" s="108">
        <v>67</v>
      </c>
      <c r="BK16" s="108">
        <v>22833.600000000002</v>
      </c>
      <c r="BL16" s="108">
        <v>78</v>
      </c>
      <c r="BM16" s="108">
        <v>26582.400000000001</v>
      </c>
      <c r="BN16" s="108">
        <v>45</v>
      </c>
      <c r="BO16" s="108">
        <v>15336</v>
      </c>
      <c r="BP16" s="108">
        <v>52</v>
      </c>
      <c r="BQ16" s="108">
        <v>17721.600000000002</v>
      </c>
      <c r="BR16" s="108">
        <v>63</v>
      </c>
      <c r="BS16" s="108">
        <v>21470.400000000001</v>
      </c>
      <c r="BT16" s="108">
        <v>72</v>
      </c>
      <c r="BU16" s="108">
        <v>24537.600000000002</v>
      </c>
      <c r="BV16" s="108">
        <v>44</v>
      </c>
      <c r="BW16" s="108">
        <v>14995.2</v>
      </c>
      <c r="BX16" s="108">
        <v>32</v>
      </c>
      <c r="BY16" s="108">
        <v>10905.6</v>
      </c>
      <c r="BZ16" s="108">
        <v>35</v>
      </c>
      <c r="CA16" s="108">
        <v>11928</v>
      </c>
      <c r="CB16" s="108">
        <v>31</v>
      </c>
      <c r="CC16" s="108">
        <v>10564.800000000001</v>
      </c>
      <c r="CD16" s="108">
        <v>21</v>
      </c>
      <c r="CE16" s="108">
        <v>7156.8</v>
      </c>
      <c r="CF16" s="108">
        <v>17</v>
      </c>
      <c r="CG16" s="108">
        <v>5793.6</v>
      </c>
      <c r="CH16" s="108">
        <v>6.0535426731078958</v>
      </c>
      <c r="CI16" s="108">
        <v>2063.0473429951708</v>
      </c>
      <c r="CJ16" s="108">
        <v>6.5415304120340112</v>
      </c>
      <c r="CK16" s="108">
        <v>2229.3535644211911</v>
      </c>
      <c r="CL16" s="108">
        <v>7.5883596163225508</v>
      </c>
      <c r="CM16" s="108">
        <v>2586.1129572427253</v>
      </c>
      <c r="CN16" s="108">
        <v>13</v>
      </c>
      <c r="CO16" s="108">
        <v>4430.4000000000005</v>
      </c>
      <c r="CP16" s="108">
        <v>18</v>
      </c>
      <c r="CQ16" s="108">
        <v>6134.4000000000005</v>
      </c>
      <c r="CR16" s="108">
        <v>20</v>
      </c>
      <c r="CS16" s="108">
        <v>6816</v>
      </c>
      <c r="CT16" s="108">
        <v>18</v>
      </c>
      <c r="CU16" s="108">
        <v>6134.4000000000005</v>
      </c>
    </row>
    <row r="17" spans="2:99" x14ac:dyDescent="0.2">
      <c r="C17" s="107" t="s">
        <v>182</v>
      </c>
      <c r="D17" s="108">
        <v>9</v>
      </c>
      <c r="E17" s="108">
        <v>3801.6</v>
      </c>
      <c r="F17" s="108">
        <v>5</v>
      </c>
      <c r="G17" s="108">
        <v>2112</v>
      </c>
      <c r="H17" s="108">
        <v>10</v>
      </c>
      <c r="I17" s="108">
        <v>4224</v>
      </c>
      <c r="J17" s="108">
        <v>7</v>
      </c>
      <c r="K17" s="108">
        <v>2956.7999999999997</v>
      </c>
      <c r="L17" s="108">
        <v>8</v>
      </c>
      <c r="M17" s="108">
        <v>3379.2</v>
      </c>
      <c r="N17" s="108">
        <v>10</v>
      </c>
      <c r="O17" s="108">
        <v>4224</v>
      </c>
      <c r="P17" s="108">
        <v>11</v>
      </c>
      <c r="Q17" s="108">
        <v>4646.3999999999996</v>
      </c>
      <c r="R17" s="108">
        <v>8</v>
      </c>
      <c r="S17" s="108">
        <v>3379.2</v>
      </c>
      <c r="T17" s="108">
        <v>27</v>
      </c>
      <c r="U17" s="108">
        <v>11404.8</v>
      </c>
      <c r="V17" s="108">
        <v>34</v>
      </c>
      <c r="W17" s="108">
        <v>14361.599999999999</v>
      </c>
      <c r="X17" s="108">
        <v>28</v>
      </c>
      <c r="Y17" s="108">
        <v>11827.199999999999</v>
      </c>
      <c r="Z17" s="108">
        <v>14.821753838147295</v>
      </c>
      <c r="AA17" s="108">
        <v>6260.7088212334174</v>
      </c>
      <c r="AB17" s="108">
        <v>76</v>
      </c>
      <c r="AC17" s="108">
        <v>32102.399999999998</v>
      </c>
      <c r="AD17" s="108">
        <v>57</v>
      </c>
      <c r="AE17" s="108">
        <v>24076.799999999999</v>
      </c>
      <c r="AF17" s="108">
        <v>57</v>
      </c>
      <c r="AG17" s="108">
        <v>24076.799999999999</v>
      </c>
      <c r="AH17" s="108">
        <v>68</v>
      </c>
      <c r="AI17" s="108">
        <v>28723.199999999997</v>
      </c>
      <c r="AJ17" s="108">
        <v>23</v>
      </c>
      <c r="AK17" s="108">
        <v>9715.1999999999989</v>
      </c>
      <c r="AL17" s="108">
        <v>30</v>
      </c>
      <c r="AM17" s="108">
        <v>12672</v>
      </c>
      <c r="AN17" s="108">
        <v>18</v>
      </c>
      <c r="AO17" s="108">
        <v>7603.2</v>
      </c>
      <c r="AP17" s="108">
        <v>23</v>
      </c>
      <c r="AQ17" s="108">
        <v>9715.1999999999989</v>
      </c>
      <c r="AR17" s="108">
        <v>33</v>
      </c>
      <c r="AS17" s="108">
        <v>13939.199999999999</v>
      </c>
      <c r="AT17" s="108">
        <v>24</v>
      </c>
      <c r="AU17" s="108">
        <v>10137.599999999999</v>
      </c>
      <c r="AV17" s="108">
        <v>31</v>
      </c>
      <c r="AW17" s="108">
        <v>13094.4</v>
      </c>
      <c r="AX17" s="108">
        <v>27</v>
      </c>
      <c r="AY17" s="108">
        <v>11404.8</v>
      </c>
      <c r="AZ17" s="108">
        <v>21</v>
      </c>
      <c r="BA17" s="108">
        <v>8870.4</v>
      </c>
      <c r="BB17" s="108">
        <v>28</v>
      </c>
      <c r="BC17" s="108">
        <v>11827.199999999999</v>
      </c>
      <c r="BD17" s="108">
        <v>17</v>
      </c>
      <c r="BE17" s="108">
        <v>7180.7999999999993</v>
      </c>
      <c r="BF17" s="108">
        <v>34</v>
      </c>
      <c r="BG17" s="108">
        <v>14361.599999999999</v>
      </c>
      <c r="BH17" s="108">
        <v>50</v>
      </c>
      <c r="BI17" s="108">
        <v>21120</v>
      </c>
      <c r="BJ17" s="108">
        <v>71</v>
      </c>
      <c r="BK17" s="108">
        <v>29990.399999999998</v>
      </c>
      <c r="BL17" s="108">
        <v>91</v>
      </c>
      <c r="BM17" s="108">
        <v>38438.400000000001</v>
      </c>
      <c r="BN17" s="108">
        <v>41</v>
      </c>
      <c r="BO17" s="108">
        <v>17318.399999999998</v>
      </c>
      <c r="BP17" s="108">
        <v>60</v>
      </c>
      <c r="BQ17" s="108">
        <v>25344</v>
      </c>
      <c r="BR17" s="108">
        <v>60</v>
      </c>
      <c r="BS17" s="108">
        <v>25344</v>
      </c>
      <c r="BT17" s="108">
        <v>73</v>
      </c>
      <c r="BU17" s="108">
        <v>30835.199999999997</v>
      </c>
      <c r="BV17" s="108">
        <v>40</v>
      </c>
      <c r="BW17" s="108">
        <v>16896</v>
      </c>
      <c r="BX17" s="108">
        <v>29</v>
      </c>
      <c r="BY17" s="108">
        <v>12249.599999999999</v>
      </c>
      <c r="BZ17" s="108">
        <v>36</v>
      </c>
      <c r="CA17" s="108">
        <v>15206.4</v>
      </c>
      <c r="CB17" s="108">
        <v>30</v>
      </c>
      <c r="CC17" s="108">
        <v>12672</v>
      </c>
      <c r="CD17" s="108">
        <v>22</v>
      </c>
      <c r="CE17" s="108">
        <v>9292.7999999999993</v>
      </c>
      <c r="CF17" s="108">
        <v>16</v>
      </c>
      <c r="CG17" s="108">
        <v>6758.4</v>
      </c>
      <c r="CH17" s="108">
        <v>6.6038647342995231</v>
      </c>
      <c r="CI17" s="108">
        <v>2789.4724637681184</v>
      </c>
      <c r="CJ17" s="108">
        <v>5.996402877697844</v>
      </c>
      <c r="CK17" s="108">
        <v>2532.8805755395692</v>
      </c>
      <c r="CL17" s="108">
        <v>7.5883596163225508</v>
      </c>
      <c r="CM17" s="108">
        <v>3205.3231019346454</v>
      </c>
      <c r="CN17" s="108">
        <v>14</v>
      </c>
      <c r="CO17" s="108">
        <v>5913.5999999999995</v>
      </c>
      <c r="CP17" s="108">
        <v>17</v>
      </c>
      <c r="CQ17" s="108">
        <v>7180.7999999999993</v>
      </c>
      <c r="CR17" s="108">
        <v>21</v>
      </c>
      <c r="CS17" s="108">
        <v>8870.4</v>
      </c>
      <c r="CT17" s="108">
        <v>16</v>
      </c>
      <c r="CU17" s="108">
        <v>6758.4</v>
      </c>
    </row>
    <row r="18" spans="2:99" x14ac:dyDescent="0.2">
      <c r="C18" s="107" t="s">
        <v>183</v>
      </c>
      <c r="D18" s="108">
        <v>9</v>
      </c>
      <c r="E18" s="108">
        <v>5875.2</v>
      </c>
      <c r="F18" s="108">
        <v>5</v>
      </c>
      <c r="G18" s="108">
        <v>3264</v>
      </c>
      <c r="H18" s="108">
        <v>10</v>
      </c>
      <c r="I18" s="108">
        <v>6528</v>
      </c>
      <c r="J18" s="108">
        <v>7</v>
      </c>
      <c r="K18" s="108">
        <v>4569.5999999999995</v>
      </c>
      <c r="L18" s="108">
        <v>8</v>
      </c>
      <c r="M18" s="108">
        <v>5222.3999999999996</v>
      </c>
      <c r="N18" s="108">
        <v>9</v>
      </c>
      <c r="O18" s="108">
        <v>5875.2</v>
      </c>
      <c r="P18" s="108">
        <v>10</v>
      </c>
      <c r="Q18" s="108">
        <v>6528</v>
      </c>
      <c r="R18" s="108">
        <v>8</v>
      </c>
      <c r="S18" s="108">
        <v>5222.3999999999996</v>
      </c>
      <c r="T18" s="108">
        <v>29</v>
      </c>
      <c r="U18" s="108">
        <v>18931.199999999997</v>
      </c>
      <c r="V18" s="108">
        <v>29</v>
      </c>
      <c r="W18" s="108">
        <v>18931.199999999997</v>
      </c>
      <c r="X18" s="108">
        <v>32</v>
      </c>
      <c r="Y18" s="108">
        <v>20889.599999999999</v>
      </c>
      <c r="Z18" s="108">
        <v>13.895394223263088</v>
      </c>
      <c r="AA18" s="108">
        <v>9070.9133489461437</v>
      </c>
      <c r="AB18" s="108">
        <v>73</v>
      </c>
      <c r="AC18" s="108">
        <v>47654.399999999994</v>
      </c>
      <c r="AD18" s="108">
        <v>52</v>
      </c>
      <c r="AE18" s="108">
        <v>33945.599999999999</v>
      </c>
      <c r="AF18" s="108">
        <v>62</v>
      </c>
      <c r="AG18" s="108">
        <v>40473.599999999999</v>
      </c>
      <c r="AH18" s="108">
        <v>62</v>
      </c>
      <c r="AI18" s="108">
        <v>40473.599999999999</v>
      </c>
      <c r="AJ18" s="108">
        <v>21</v>
      </c>
      <c r="AK18" s="108">
        <v>13708.8</v>
      </c>
      <c r="AL18" s="108">
        <v>33</v>
      </c>
      <c r="AM18" s="108">
        <v>21542.399999999998</v>
      </c>
      <c r="AN18" s="108">
        <v>17</v>
      </c>
      <c r="AO18" s="108">
        <v>11097.599999999999</v>
      </c>
      <c r="AP18" s="108">
        <v>24</v>
      </c>
      <c r="AQ18" s="108">
        <v>15667.199999999999</v>
      </c>
      <c r="AR18" s="108">
        <v>36</v>
      </c>
      <c r="AS18" s="108">
        <v>23500.799999999999</v>
      </c>
      <c r="AT18" s="108">
        <v>24</v>
      </c>
      <c r="AU18" s="108">
        <v>15667.199999999999</v>
      </c>
      <c r="AV18" s="108">
        <v>29</v>
      </c>
      <c r="AW18" s="108">
        <v>18931.199999999997</v>
      </c>
      <c r="AX18" s="108">
        <v>28</v>
      </c>
      <c r="AY18" s="108">
        <v>18278.399999999998</v>
      </c>
      <c r="AZ18" s="108">
        <v>24</v>
      </c>
      <c r="BA18" s="108">
        <v>15667.199999999999</v>
      </c>
      <c r="BB18" s="108">
        <v>26</v>
      </c>
      <c r="BC18" s="108">
        <v>16972.8</v>
      </c>
      <c r="BD18" s="108">
        <v>19</v>
      </c>
      <c r="BE18" s="108">
        <v>12403.199999999999</v>
      </c>
      <c r="BF18" s="108">
        <v>33</v>
      </c>
      <c r="BG18" s="108">
        <v>21542.399999999998</v>
      </c>
      <c r="BH18" s="108">
        <v>49</v>
      </c>
      <c r="BI18" s="108">
        <v>31987.199999999997</v>
      </c>
      <c r="BJ18" s="108">
        <v>63</v>
      </c>
      <c r="BK18" s="108">
        <v>41126.399999999994</v>
      </c>
      <c r="BL18" s="108">
        <v>80</v>
      </c>
      <c r="BM18" s="108">
        <v>52224</v>
      </c>
      <c r="BN18" s="108">
        <v>45</v>
      </c>
      <c r="BO18" s="108">
        <v>29375.999999999996</v>
      </c>
      <c r="BP18" s="108">
        <v>49</v>
      </c>
      <c r="BQ18" s="108">
        <v>31987.199999999997</v>
      </c>
      <c r="BR18" s="108">
        <v>60</v>
      </c>
      <c r="BS18" s="108">
        <v>39168</v>
      </c>
      <c r="BT18" s="108">
        <v>70</v>
      </c>
      <c r="BU18" s="108">
        <v>45696</v>
      </c>
      <c r="BV18" s="108">
        <v>39</v>
      </c>
      <c r="BW18" s="108">
        <v>25459.199999999997</v>
      </c>
      <c r="BX18" s="108">
        <v>29</v>
      </c>
      <c r="BY18" s="108">
        <v>18931.199999999997</v>
      </c>
      <c r="BZ18" s="108">
        <v>32</v>
      </c>
      <c r="CA18" s="108">
        <v>20889.599999999999</v>
      </c>
      <c r="CB18" s="108">
        <v>31</v>
      </c>
      <c r="CC18" s="108">
        <v>20236.8</v>
      </c>
      <c r="CD18" s="108">
        <v>19</v>
      </c>
      <c r="CE18" s="108">
        <v>12403.199999999999</v>
      </c>
      <c r="CF18" s="108">
        <v>16</v>
      </c>
      <c r="CG18" s="108">
        <v>10444.799999999999</v>
      </c>
      <c r="CH18" s="108">
        <v>5.5032206119162694</v>
      </c>
      <c r="CI18" s="108">
        <v>3592.5024154589405</v>
      </c>
      <c r="CJ18" s="108">
        <v>6.5415304120340112</v>
      </c>
      <c r="CK18" s="108">
        <v>4270.3110529758023</v>
      </c>
      <c r="CL18" s="108">
        <v>7.0463339294423681</v>
      </c>
      <c r="CM18" s="108">
        <v>4599.8467891399778</v>
      </c>
      <c r="CN18" s="108">
        <v>14</v>
      </c>
      <c r="CO18" s="108">
        <v>9139.1999999999989</v>
      </c>
      <c r="CP18" s="108">
        <v>17</v>
      </c>
      <c r="CQ18" s="108">
        <v>11097.599999999999</v>
      </c>
      <c r="CR18" s="108">
        <v>19</v>
      </c>
      <c r="CS18" s="108">
        <v>12403.199999999999</v>
      </c>
      <c r="CT18" s="108">
        <v>17</v>
      </c>
      <c r="CU18" s="108">
        <v>11097.599999999999</v>
      </c>
    </row>
    <row r="19" spans="2:99" x14ac:dyDescent="0.2">
      <c r="C19" s="107" t="s">
        <v>184</v>
      </c>
      <c r="D19" s="108">
        <v>8</v>
      </c>
      <c r="E19" s="108">
        <v>2640</v>
      </c>
      <c r="F19" s="108">
        <v>5</v>
      </c>
      <c r="G19" s="108">
        <v>1650</v>
      </c>
      <c r="H19" s="108">
        <v>10</v>
      </c>
      <c r="I19" s="108">
        <v>3300</v>
      </c>
      <c r="J19" s="108">
        <v>8</v>
      </c>
      <c r="K19" s="108">
        <v>2640</v>
      </c>
      <c r="L19" s="108">
        <v>8</v>
      </c>
      <c r="M19" s="108">
        <v>2640</v>
      </c>
      <c r="N19" s="108">
        <v>11</v>
      </c>
      <c r="O19" s="108">
        <v>3630</v>
      </c>
      <c r="P19" s="108">
        <v>11</v>
      </c>
      <c r="Q19" s="108">
        <v>3630</v>
      </c>
      <c r="R19" s="108">
        <v>9</v>
      </c>
      <c r="S19" s="108">
        <v>2970</v>
      </c>
      <c r="T19" s="108">
        <v>32</v>
      </c>
      <c r="U19" s="108">
        <v>10560</v>
      </c>
      <c r="V19" s="108">
        <v>31</v>
      </c>
      <c r="W19" s="108">
        <v>10230</v>
      </c>
      <c r="X19" s="108">
        <v>31</v>
      </c>
      <c r="Y19" s="108">
        <v>10230</v>
      </c>
      <c r="Z19" s="108">
        <v>16.211293260473603</v>
      </c>
      <c r="AA19" s="108">
        <v>5349.7267759562892</v>
      </c>
      <c r="AB19" s="108">
        <v>75</v>
      </c>
      <c r="AC19" s="108">
        <v>24750</v>
      </c>
      <c r="AD19" s="108">
        <v>55</v>
      </c>
      <c r="AE19" s="108">
        <v>18150</v>
      </c>
      <c r="AF19" s="108">
        <v>57</v>
      </c>
      <c r="AG19" s="108">
        <v>18810</v>
      </c>
      <c r="AH19" s="108">
        <v>64</v>
      </c>
      <c r="AI19" s="108">
        <v>21120</v>
      </c>
      <c r="AJ19" s="108">
        <v>26</v>
      </c>
      <c r="AK19" s="108">
        <v>8580</v>
      </c>
      <c r="AL19" s="108">
        <v>34</v>
      </c>
      <c r="AM19" s="108">
        <v>11220</v>
      </c>
      <c r="AN19" s="108">
        <v>18</v>
      </c>
      <c r="AO19" s="108">
        <v>5940</v>
      </c>
      <c r="AP19" s="108">
        <v>25</v>
      </c>
      <c r="AQ19" s="108">
        <v>8250</v>
      </c>
      <c r="AR19" s="108">
        <v>36</v>
      </c>
      <c r="AS19" s="108">
        <v>11880</v>
      </c>
      <c r="AT19" s="108">
        <v>24</v>
      </c>
      <c r="AU19" s="108">
        <v>7920</v>
      </c>
      <c r="AV19" s="108">
        <v>27</v>
      </c>
      <c r="AW19" s="108">
        <v>8910</v>
      </c>
      <c r="AX19" s="108">
        <v>28</v>
      </c>
      <c r="AY19" s="108">
        <v>9240</v>
      </c>
      <c r="AZ19" s="108">
        <v>23</v>
      </c>
      <c r="BA19" s="108">
        <v>7590</v>
      </c>
      <c r="BB19" s="108">
        <v>28</v>
      </c>
      <c r="BC19" s="108">
        <v>9240</v>
      </c>
      <c r="BD19" s="108">
        <v>19</v>
      </c>
      <c r="BE19" s="108">
        <v>6270</v>
      </c>
      <c r="BF19" s="108">
        <v>33</v>
      </c>
      <c r="BG19" s="108">
        <v>10890</v>
      </c>
      <c r="BH19" s="108">
        <v>55</v>
      </c>
      <c r="BI19" s="108">
        <v>18150</v>
      </c>
      <c r="BJ19" s="108">
        <v>73</v>
      </c>
      <c r="BK19" s="108">
        <v>24090</v>
      </c>
      <c r="BL19" s="108">
        <v>95</v>
      </c>
      <c r="BM19" s="108">
        <v>31350</v>
      </c>
      <c r="BN19" s="108">
        <v>48</v>
      </c>
      <c r="BO19" s="108">
        <v>15840</v>
      </c>
      <c r="BP19" s="108">
        <v>54</v>
      </c>
      <c r="BQ19" s="108">
        <v>17820</v>
      </c>
      <c r="BR19" s="108">
        <v>59</v>
      </c>
      <c r="BS19" s="108">
        <v>19470</v>
      </c>
      <c r="BT19" s="108">
        <v>78</v>
      </c>
      <c r="BU19" s="108">
        <v>25740</v>
      </c>
      <c r="BV19" s="108">
        <v>42</v>
      </c>
      <c r="BW19" s="108">
        <v>13860</v>
      </c>
      <c r="BX19" s="108">
        <v>33</v>
      </c>
      <c r="BY19" s="108">
        <v>10890</v>
      </c>
      <c r="BZ19" s="108">
        <v>34</v>
      </c>
      <c r="CA19" s="108">
        <v>11220</v>
      </c>
      <c r="CB19" s="108">
        <v>36</v>
      </c>
      <c r="CC19" s="108">
        <v>11880</v>
      </c>
      <c r="CD19" s="108">
        <v>20</v>
      </c>
      <c r="CE19" s="108">
        <v>6600</v>
      </c>
      <c r="CF19" s="108">
        <v>15</v>
      </c>
      <c r="CG19" s="108">
        <v>4950</v>
      </c>
      <c r="CH19" s="108">
        <v>6.0535426731078958</v>
      </c>
      <c r="CI19" s="108">
        <v>1997.6690821256057</v>
      </c>
      <c r="CJ19" s="108">
        <v>5.4512753433616759</v>
      </c>
      <c r="CK19" s="108">
        <v>1798.9208633093531</v>
      </c>
      <c r="CL19" s="108">
        <v>7.5883596163225508</v>
      </c>
      <c r="CM19" s="108">
        <v>2504.1586733864419</v>
      </c>
      <c r="CN19" s="108">
        <v>14</v>
      </c>
      <c r="CO19" s="108">
        <v>4620</v>
      </c>
      <c r="CP19" s="108">
        <v>18</v>
      </c>
      <c r="CQ19" s="108">
        <v>5940</v>
      </c>
      <c r="CR19" s="108">
        <v>22</v>
      </c>
      <c r="CS19" s="108">
        <v>7260</v>
      </c>
      <c r="CT19" s="108">
        <v>16</v>
      </c>
      <c r="CU19" s="108">
        <v>5280</v>
      </c>
    </row>
    <row r="20" spans="2:99" x14ac:dyDescent="0.2">
      <c r="B20" s="107" t="s">
        <v>127</v>
      </c>
      <c r="C20" s="107" t="s">
        <v>185</v>
      </c>
      <c r="D20" s="108">
        <v>24</v>
      </c>
      <c r="E20" s="108">
        <v>6883.2000000000007</v>
      </c>
      <c r="F20" s="108">
        <v>14</v>
      </c>
      <c r="G20" s="108">
        <v>4015.2000000000003</v>
      </c>
      <c r="H20" s="108">
        <v>19</v>
      </c>
      <c r="I20" s="108">
        <v>5449.2</v>
      </c>
      <c r="J20" s="108">
        <v>18</v>
      </c>
      <c r="K20" s="108">
        <v>5162.4000000000005</v>
      </c>
      <c r="L20" s="108">
        <v>23</v>
      </c>
      <c r="M20" s="108">
        <v>6596.4000000000005</v>
      </c>
      <c r="N20" s="108">
        <v>35</v>
      </c>
      <c r="O20" s="108">
        <v>10038</v>
      </c>
      <c r="P20" s="108">
        <v>31</v>
      </c>
      <c r="Q20" s="108">
        <v>8890.8000000000011</v>
      </c>
      <c r="R20" s="108">
        <v>23</v>
      </c>
      <c r="S20" s="108">
        <v>6596.4000000000005</v>
      </c>
      <c r="T20" s="108">
        <v>217</v>
      </c>
      <c r="U20" s="108">
        <v>62235.600000000006</v>
      </c>
      <c r="V20" s="108">
        <v>281</v>
      </c>
      <c r="W20" s="108">
        <v>80590.8</v>
      </c>
      <c r="X20" s="108">
        <v>205</v>
      </c>
      <c r="Y20" s="108">
        <v>58794</v>
      </c>
      <c r="Z20" s="108">
        <v>110.6999739786626</v>
      </c>
      <c r="AA20" s="108">
        <v>31748.752537080436</v>
      </c>
      <c r="AB20" s="108">
        <v>39</v>
      </c>
      <c r="AC20" s="108">
        <v>11185.2</v>
      </c>
      <c r="AD20" s="108">
        <v>31</v>
      </c>
      <c r="AE20" s="108">
        <v>8890.8000000000011</v>
      </c>
      <c r="AF20" s="108">
        <v>28</v>
      </c>
      <c r="AG20" s="108">
        <v>8030.4000000000005</v>
      </c>
      <c r="AH20" s="108">
        <v>22</v>
      </c>
      <c r="AI20" s="108">
        <v>6309.6</v>
      </c>
      <c r="AJ20" s="108">
        <v>28</v>
      </c>
      <c r="AK20" s="108">
        <v>8030.4000000000005</v>
      </c>
      <c r="AL20" s="108">
        <v>23</v>
      </c>
      <c r="AM20" s="108">
        <v>6596.4000000000005</v>
      </c>
      <c r="AN20" s="108">
        <v>32</v>
      </c>
      <c r="AO20" s="108">
        <v>9177.6</v>
      </c>
      <c r="AP20" s="108">
        <v>33</v>
      </c>
      <c r="AQ20" s="108">
        <v>9464.4</v>
      </c>
      <c r="AR20" s="108">
        <v>18</v>
      </c>
      <c r="AS20" s="108">
        <v>5162.4000000000005</v>
      </c>
      <c r="AT20" s="108">
        <v>15</v>
      </c>
      <c r="AU20" s="108">
        <v>4302</v>
      </c>
      <c r="AV20" s="108">
        <v>18</v>
      </c>
      <c r="AW20" s="108">
        <v>5162.4000000000005</v>
      </c>
      <c r="AX20" s="108">
        <v>21</v>
      </c>
      <c r="AY20" s="108">
        <v>6022.8</v>
      </c>
      <c r="AZ20" s="108">
        <v>24</v>
      </c>
      <c r="BA20" s="108">
        <v>6883.2000000000007</v>
      </c>
      <c r="BB20" s="108">
        <v>28</v>
      </c>
      <c r="BC20" s="108">
        <v>8030.4000000000005</v>
      </c>
      <c r="BD20" s="108">
        <v>20</v>
      </c>
      <c r="BE20" s="108">
        <v>5736</v>
      </c>
      <c r="BF20" s="108">
        <v>25</v>
      </c>
      <c r="BG20" s="108">
        <v>7170</v>
      </c>
      <c r="BH20" s="108">
        <v>17</v>
      </c>
      <c r="BI20" s="108">
        <v>4875.6000000000004</v>
      </c>
      <c r="BJ20" s="108">
        <v>15</v>
      </c>
      <c r="BK20" s="108">
        <v>4302</v>
      </c>
      <c r="BL20" s="108">
        <v>15</v>
      </c>
      <c r="BM20" s="108">
        <v>4302</v>
      </c>
      <c r="BN20" s="108">
        <v>15</v>
      </c>
      <c r="BO20" s="108">
        <v>4302</v>
      </c>
      <c r="BP20" s="108">
        <v>33</v>
      </c>
      <c r="BQ20" s="108">
        <v>9464.4</v>
      </c>
      <c r="BR20" s="108">
        <v>33</v>
      </c>
      <c r="BS20" s="108">
        <v>9464.4</v>
      </c>
      <c r="BT20" s="108">
        <v>24</v>
      </c>
      <c r="BU20" s="108">
        <v>6883.2000000000007</v>
      </c>
      <c r="BV20" s="108">
        <v>37</v>
      </c>
      <c r="BW20" s="108">
        <v>10611.6</v>
      </c>
      <c r="BX20" s="108">
        <v>252</v>
      </c>
      <c r="BY20" s="108">
        <v>72273.600000000006</v>
      </c>
      <c r="BZ20" s="108">
        <v>328</v>
      </c>
      <c r="CA20" s="108">
        <v>94070.400000000009</v>
      </c>
      <c r="CB20" s="108">
        <v>304</v>
      </c>
      <c r="CC20" s="108">
        <v>87187.199999999997</v>
      </c>
      <c r="CD20" s="108">
        <v>172</v>
      </c>
      <c r="CE20" s="108">
        <v>49329.599999999999</v>
      </c>
      <c r="CF20" s="108">
        <v>125</v>
      </c>
      <c r="CG20" s="108">
        <v>35850</v>
      </c>
      <c r="CH20" s="108">
        <v>112.26570048309189</v>
      </c>
      <c r="CI20" s="108">
        <v>32197.802898550755</v>
      </c>
      <c r="CJ20" s="108">
        <v>88.855788096795308</v>
      </c>
      <c r="CK20" s="108">
        <v>25483.840026160895</v>
      </c>
      <c r="CL20" s="108">
        <v>93.770443830271518</v>
      </c>
      <c r="CM20" s="108">
        <v>26893.363290521873</v>
      </c>
      <c r="CN20" s="108">
        <v>23</v>
      </c>
      <c r="CO20" s="108">
        <v>6596.4000000000005</v>
      </c>
      <c r="CP20" s="108">
        <v>30</v>
      </c>
      <c r="CQ20" s="108">
        <v>8604</v>
      </c>
      <c r="CR20" s="108">
        <v>25</v>
      </c>
      <c r="CS20" s="108">
        <v>7170</v>
      </c>
      <c r="CT20" s="108">
        <v>20</v>
      </c>
      <c r="CU20" s="108">
        <v>5736</v>
      </c>
    </row>
    <row r="21" spans="2:99" x14ac:dyDescent="0.2">
      <c r="C21" s="107" t="s">
        <v>186</v>
      </c>
      <c r="D21" s="108">
        <v>21</v>
      </c>
      <c r="E21" s="108">
        <v>1310.3999999999999</v>
      </c>
      <c r="F21" s="108">
        <v>14</v>
      </c>
      <c r="G21" s="108">
        <v>873.6</v>
      </c>
      <c r="H21" s="108">
        <v>23</v>
      </c>
      <c r="I21" s="108">
        <v>1435.2</v>
      </c>
      <c r="J21" s="108">
        <v>19</v>
      </c>
      <c r="K21" s="108">
        <v>1185.5999999999999</v>
      </c>
      <c r="L21" s="108">
        <v>23</v>
      </c>
      <c r="M21" s="108">
        <v>1435.2</v>
      </c>
      <c r="N21" s="108">
        <v>35</v>
      </c>
      <c r="O21" s="108">
        <v>2184</v>
      </c>
      <c r="P21" s="108">
        <v>34</v>
      </c>
      <c r="Q21" s="108">
        <v>2121.6</v>
      </c>
      <c r="R21" s="108">
        <v>22</v>
      </c>
      <c r="S21" s="108">
        <v>1372.8</v>
      </c>
      <c r="T21" s="108">
        <v>242</v>
      </c>
      <c r="U21" s="108">
        <v>15100.8</v>
      </c>
      <c r="V21" s="108">
        <v>280</v>
      </c>
      <c r="W21" s="108">
        <v>17472</v>
      </c>
      <c r="X21" s="108">
        <v>211</v>
      </c>
      <c r="Y21" s="108">
        <v>13166.4</v>
      </c>
      <c r="Z21" s="108">
        <v>139.417122040073</v>
      </c>
      <c r="AA21" s="108">
        <v>8699.6284153005545</v>
      </c>
      <c r="AB21" s="108">
        <v>35</v>
      </c>
      <c r="AC21" s="108">
        <v>2184</v>
      </c>
      <c r="AD21" s="108">
        <v>35</v>
      </c>
      <c r="AE21" s="108">
        <v>2184</v>
      </c>
      <c r="AF21" s="108">
        <v>34</v>
      </c>
      <c r="AG21" s="108">
        <v>2121.6</v>
      </c>
      <c r="AH21" s="108">
        <v>20</v>
      </c>
      <c r="AI21" s="108">
        <v>1248</v>
      </c>
      <c r="AJ21" s="108">
        <v>28</v>
      </c>
      <c r="AK21" s="108">
        <v>1747.2</v>
      </c>
      <c r="AL21" s="108">
        <v>25</v>
      </c>
      <c r="AM21" s="108">
        <v>1560</v>
      </c>
      <c r="AN21" s="108">
        <v>37</v>
      </c>
      <c r="AO21" s="108">
        <v>2308.7999999999997</v>
      </c>
      <c r="AP21" s="108">
        <v>32</v>
      </c>
      <c r="AQ21" s="108">
        <v>1996.8</v>
      </c>
      <c r="AR21" s="108">
        <v>22</v>
      </c>
      <c r="AS21" s="108">
        <v>1372.8</v>
      </c>
      <c r="AT21" s="108">
        <v>16</v>
      </c>
      <c r="AU21" s="108">
        <v>998.4</v>
      </c>
      <c r="AV21" s="108">
        <v>19</v>
      </c>
      <c r="AW21" s="108">
        <v>1185.5999999999999</v>
      </c>
      <c r="AX21" s="108">
        <v>22</v>
      </c>
      <c r="AY21" s="108">
        <v>1372.8</v>
      </c>
      <c r="AZ21" s="108">
        <v>27</v>
      </c>
      <c r="BA21" s="108">
        <v>1684.8</v>
      </c>
      <c r="BB21" s="108">
        <v>24</v>
      </c>
      <c r="BC21" s="108">
        <v>1497.6</v>
      </c>
      <c r="BD21" s="108">
        <v>19</v>
      </c>
      <c r="BE21" s="108">
        <v>1185.5999999999999</v>
      </c>
      <c r="BF21" s="108">
        <v>26</v>
      </c>
      <c r="BG21" s="108">
        <v>1622.3999999999999</v>
      </c>
      <c r="BH21" s="108">
        <v>19</v>
      </c>
      <c r="BI21" s="108">
        <v>1185.5999999999999</v>
      </c>
      <c r="BJ21" s="108">
        <v>14</v>
      </c>
      <c r="BK21" s="108">
        <v>873.6</v>
      </c>
      <c r="BL21" s="108">
        <v>16</v>
      </c>
      <c r="BM21" s="108">
        <v>998.4</v>
      </c>
      <c r="BN21" s="108">
        <v>17</v>
      </c>
      <c r="BO21" s="108">
        <v>1060.8</v>
      </c>
      <c r="BP21" s="108">
        <v>36</v>
      </c>
      <c r="BQ21" s="108">
        <v>2246.4</v>
      </c>
      <c r="BR21" s="108">
        <v>37</v>
      </c>
      <c r="BS21" s="108">
        <v>2308.7999999999997</v>
      </c>
      <c r="BT21" s="108">
        <v>24</v>
      </c>
      <c r="BU21" s="108">
        <v>1497.6</v>
      </c>
      <c r="BV21" s="108">
        <v>42</v>
      </c>
      <c r="BW21" s="108">
        <v>2620.7999999999997</v>
      </c>
      <c r="BX21" s="108">
        <v>258</v>
      </c>
      <c r="BY21" s="108">
        <v>16099.199999999999</v>
      </c>
      <c r="BZ21" s="108">
        <v>355</v>
      </c>
      <c r="CA21" s="108">
        <v>22152</v>
      </c>
      <c r="CB21" s="108">
        <v>342</v>
      </c>
      <c r="CC21" s="108">
        <v>21340.799999999999</v>
      </c>
      <c r="CD21" s="108">
        <v>200</v>
      </c>
      <c r="CE21" s="108">
        <v>12480</v>
      </c>
      <c r="CF21" s="108">
        <v>135</v>
      </c>
      <c r="CG21" s="108">
        <v>8424</v>
      </c>
      <c r="CH21" s="108">
        <v>135.37922705314023</v>
      </c>
      <c r="CI21" s="108">
        <v>8447.66376811595</v>
      </c>
      <c r="CJ21" s="108">
        <v>89.400915631131483</v>
      </c>
      <c r="CK21" s="108">
        <v>5578.6171353826048</v>
      </c>
      <c r="CL21" s="108">
        <v>107.86311168915626</v>
      </c>
      <c r="CM21" s="108">
        <v>6730.6581694033503</v>
      </c>
      <c r="CN21" s="108">
        <v>23</v>
      </c>
      <c r="CO21" s="108">
        <v>1435.2</v>
      </c>
      <c r="CP21" s="108">
        <v>28</v>
      </c>
      <c r="CQ21" s="108">
        <v>1747.2</v>
      </c>
      <c r="CR21" s="108">
        <v>25</v>
      </c>
      <c r="CS21" s="108">
        <v>1560</v>
      </c>
      <c r="CT21" s="108">
        <v>18</v>
      </c>
      <c r="CU21" s="108">
        <v>1123.2</v>
      </c>
    </row>
    <row r="22" spans="2:99" x14ac:dyDescent="0.2">
      <c r="C22" s="107" t="s">
        <v>187</v>
      </c>
      <c r="D22" s="108">
        <v>25</v>
      </c>
      <c r="E22" s="108">
        <v>4680</v>
      </c>
      <c r="F22" s="108">
        <v>16</v>
      </c>
      <c r="G22" s="108">
        <v>2995.2</v>
      </c>
      <c r="H22" s="108">
        <v>20</v>
      </c>
      <c r="I22" s="108">
        <v>3744</v>
      </c>
      <c r="J22" s="108">
        <v>20</v>
      </c>
      <c r="K22" s="108">
        <v>3744</v>
      </c>
      <c r="L22" s="108">
        <v>23</v>
      </c>
      <c r="M22" s="108">
        <v>4305.5999999999995</v>
      </c>
      <c r="N22" s="108">
        <v>30</v>
      </c>
      <c r="O22" s="108">
        <v>5616</v>
      </c>
      <c r="P22" s="108">
        <v>33</v>
      </c>
      <c r="Q22" s="108">
        <v>6177.5999999999995</v>
      </c>
      <c r="R22" s="108">
        <v>24</v>
      </c>
      <c r="S22" s="108">
        <v>4492.7999999999993</v>
      </c>
      <c r="T22" s="108">
        <v>213</v>
      </c>
      <c r="U22" s="108">
        <v>39873.599999999999</v>
      </c>
      <c r="V22" s="108">
        <v>289</v>
      </c>
      <c r="W22" s="108">
        <v>54100.799999999996</v>
      </c>
      <c r="X22" s="108">
        <v>228</v>
      </c>
      <c r="Y22" s="108">
        <v>42681.599999999999</v>
      </c>
      <c r="Z22" s="108">
        <v>126.91126723913621</v>
      </c>
      <c r="AA22" s="108">
        <v>23757.789227166297</v>
      </c>
      <c r="AB22" s="108">
        <v>38</v>
      </c>
      <c r="AC22" s="108">
        <v>7113.5999999999995</v>
      </c>
      <c r="AD22" s="108">
        <v>33</v>
      </c>
      <c r="AE22" s="108">
        <v>6177.5999999999995</v>
      </c>
      <c r="AF22" s="108">
        <v>28</v>
      </c>
      <c r="AG22" s="108">
        <v>5241.5999999999995</v>
      </c>
      <c r="AH22" s="108">
        <v>19</v>
      </c>
      <c r="AI22" s="108">
        <v>3556.7999999999997</v>
      </c>
      <c r="AJ22" s="108">
        <v>28</v>
      </c>
      <c r="AK22" s="108">
        <v>5241.5999999999995</v>
      </c>
      <c r="AL22" s="108">
        <v>27</v>
      </c>
      <c r="AM22" s="108">
        <v>5054.3999999999996</v>
      </c>
      <c r="AN22" s="108">
        <v>33</v>
      </c>
      <c r="AO22" s="108">
        <v>6177.5999999999995</v>
      </c>
      <c r="AP22" s="108">
        <v>33</v>
      </c>
      <c r="AQ22" s="108">
        <v>6177.5999999999995</v>
      </c>
      <c r="AR22" s="108">
        <v>18</v>
      </c>
      <c r="AS22" s="108">
        <v>3369.6</v>
      </c>
      <c r="AT22" s="108">
        <v>17</v>
      </c>
      <c r="AU22" s="108">
        <v>3182.3999999999996</v>
      </c>
      <c r="AV22" s="108">
        <v>19</v>
      </c>
      <c r="AW22" s="108">
        <v>3556.7999999999997</v>
      </c>
      <c r="AX22" s="108">
        <v>20</v>
      </c>
      <c r="AY22" s="108">
        <v>3744</v>
      </c>
      <c r="AZ22" s="108">
        <v>25</v>
      </c>
      <c r="BA22" s="108">
        <v>4680</v>
      </c>
      <c r="BB22" s="108">
        <v>25</v>
      </c>
      <c r="BC22" s="108">
        <v>4680</v>
      </c>
      <c r="BD22" s="108">
        <v>20</v>
      </c>
      <c r="BE22" s="108">
        <v>3744</v>
      </c>
      <c r="BF22" s="108">
        <v>24</v>
      </c>
      <c r="BG22" s="108">
        <v>4492.7999999999993</v>
      </c>
      <c r="BH22" s="108">
        <v>18</v>
      </c>
      <c r="BI22" s="108">
        <v>3369.6</v>
      </c>
      <c r="BJ22" s="108">
        <v>16</v>
      </c>
      <c r="BK22" s="108">
        <v>2995.2</v>
      </c>
      <c r="BL22" s="108">
        <v>14</v>
      </c>
      <c r="BM22" s="108">
        <v>2620.7999999999997</v>
      </c>
      <c r="BN22" s="108">
        <v>15</v>
      </c>
      <c r="BO22" s="108">
        <v>2808</v>
      </c>
      <c r="BP22" s="108">
        <v>34</v>
      </c>
      <c r="BQ22" s="108">
        <v>6364.7999999999993</v>
      </c>
      <c r="BR22" s="108">
        <v>36</v>
      </c>
      <c r="BS22" s="108">
        <v>6739.2</v>
      </c>
      <c r="BT22" s="108">
        <v>22</v>
      </c>
      <c r="BU22" s="108">
        <v>4118.3999999999996</v>
      </c>
      <c r="BV22" s="108">
        <v>37</v>
      </c>
      <c r="BW22" s="108">
        <v>6926.4</v>
      </c>
      <c r="BX22" s="108">
        <v>282</v>
      </c>
      <c r="BY22" s="108">
        <v>52790.399999999994</v>
      </c>
      <c r="BZ22" s="108">
        <v>327</v>
      </c>
      <c r="CA22" s="108">
        <v>61214.399999999994</v>
      </c>
      <c r="CB22" s="108">
        <v>328</v>
      </c>
      <c r="CC22" s="108">
        <v>61401.599999999999</v>
      </c>
      <c r="CD22" s="108">
        <v>202</v>
      </c>
      <c r="CE22" s="108">
        <v>37814.399999999994</v>
      </c>
      <c r="CF22" s="108">
        <v>128</v>
      </c>
      <c r="CG22" s="108">
        <v>23961.599999999999</v>
      </c>
      <c r="CH22" s="108">
        <v>132.07729468599044</v>
      </c>
      <c r="CI22" s="108">
        <v>24724.86956521741</v>
      </c>
      <c r="CJ22" s="108">
        <v>93.216808371484646</v>
      </c>
      <c r="CK22" s="108">
        <v>17450.186527141926</v>
      </c>
      <c r="CL22" s="108">
        <v>105.15298325475534</v>
      </c>
      <c r="CM22" s="108">
        <v>19684.638465290198</v>
      </c>
      <c r="CN22" s="108">
        <v>21</v>
      </c>
      <c r="CO22" s="108">
        <v>3931.2</v>
      </c>
      <c r="CP22" s="108">
        <v>27</v>
      </c>
      <c r="CQ22" s="108">
        <v>5054.3999999999996</v>
      </c>
      <c r="CR22" s="108">
        <v>26</v>
      </c>
      <c r="CS22" s="108">
        <v>4867.2</v>
      </c>
      <c r="CT22" s="108">
        <v>20</v>
      </c>
      <c r="CU22" s="108">
        <v>3744</v>
      </c>
    </row>
    <row r="23" spans="2:99" x14ac:dyDescent="0.2">
      <c r="C23" s="107" t="s">
        <v>188</v>
      </c>
      <c r="D23" s="108">
        <v>22</v>
      </c>
      <c r="E23" s="108">
        <v>6468</v>
      </c>
      <c r="F23" s="108">
        <v>16</v>
      </c>
      <c r="G23" s="108">
        <v>4704</v>
      </c>
      <c r="H23" s="108">
        <v>23</v>
      </c>
      <c r="I23" s="108">
        <v>6762</v>
      </c>
      <c r="J23" s="108">
        <v>19</v>
      </c>
      <c r="K23" s="108">
        <v>5586</v>
      </c>
      <c r="L23" s="108">
        <v>21</v>
      </c>
      <c r="M23" s="108">
        <v>6174</v>
      </c>
      <c r="N23" s="108">
        <v>34</v>
      </c>
      <c r="O23" s="108">
        <v>9996</v>
      </c>
      <c r="P23" s="108">
        <v>30</v>
      </c>
      <c r="Q23" s="108">
        <v>8820</v>
      </c>
      <c r="R23" s="108">
        <v>21</v>
      </c>
      <c r="S23" s="108">
        <v>6174</v>
      </c>
      <c r="T23" s="108">
        <v>187</v>
      </c>
      <c r="U23" s="108">
        <v>54978</v>
      </c>
      <c r="V23" s="108">
        <v>263</v>
      </c>
      <c r="W23" s="108">
        <v>77322</v>
      </c>
      <c r="X23" s="108">
        <v>198</v>
      </c>
      <c r="Y23" s="108">
        <v>58212</v>
      </c>
      <c r="Z23" s="108">
        <v>128.76398646890462</v>
      </c>
      <c r="AA23" s="108">
        <v>37856.61202185796</v>
      </c>
      <c r="AB23" s="108">
        <v>35</v>
      </c>
      <c r="AC23" s="108">
        <v>10290</v>
      </c>
      <c r="AD23" s="108">
        <v>30</v>
      </c>
      <c r="AE23" s="108">
        <v>8820</v>
      </c>
      <c r="AF23" s="108">
        <v>30</v>
      </c>
      <c r="AG23" s="108">
        <v>8820</v>
      </c>
      <c r="AH23" s="108">
        <v>20</v>
      </c>
      <c r="AI23" s="108">
        <v>5880</v>
      </c>
      <c r="AJ23" s="108">
        <v>30</v>
      </c>
      <c r="AK23" s="108">
        <v>8820</v>
      </c>
      <c r="AL23" s="108">
        <v>27</v>
      </c>
      <c r="AM23" s="108">
        <v>7938</v>
      </c>
      <c r="AN23" s="108">
        <v>34</v>
      </c>
      <c r="AO23" s="108">
        <v>9996</v>
      </c>
      <c r="AP23" s="108">
        <v>32</v>
      </c>
      <c r="AQ23" s="108">
        <v>9408</v>
      </c>
      <c r="AR23" s="108">
        <v>19</v>
      </c>
      <c r="AS23" s="108">
        <v>5586</v>
      </c>
      <c r="AT23" s="108">
        <v>16</v>
      </c>
      <c r="AU23" s="108">
        <v>4704</v>
      </c>
      <c r="AV23" s="108">
        <v>17</v>
      </c>
      <c r="AW23" s="108">
        <v>4998</v>
      </c>
      <c r="AX23" s="108">
        <v>20</v>
      </c>
      <c r="AY23" s="108">
        <v>5880</v>
      </c>
      <c r="AZ23" s="108">
        <v>26</v>
      </c>
      <c r="BA23" s="108">
        <v>7644</v>
      </c>
      <c r="BB23" s="108">
        <v>23</v>
      </c>
      <c r="BC23" s="108">
        <v>6762</v>
      </c>
      <c r="BD23" s="108">
        <v>19</v>
      </c>
      <c r="BE23" s="108">
        <v>5586</v>
      </c>
      <c r="BF23" s="108">
        <v>23</v>
      </c>
      <c r="BG23" s="108">
        <v>6762</v>
      </c>
      <c r="BH23" s="108">
        <v>18</v>
      </c>
      <c r="BI23" s="108">
        <v>5292</v>
      </c>
      <c r="BJ23" s="108">
        <v>14</v>
      </c>
      <c r="BK23" s="108">
        <v>4116</v>
      </c>
      <c r="BL23" s="108">
        <v>13</v>
      </c>
      <c r="BM23" s="108">
        <v>3822</v>
      </c>
      <c r="BN23" s="108">
        <v>15</v>
      </c>
      <c r="BO23" s="108">
        <v>4410</v>
      </c>
      <c r="BP23" s="108">
        <v>34</v>
      </c>
      <c r="BQ23" s="108">
        <v>9996</v>
      </c>
      <c r="BR23" s="108">
        <v>35</v>
      </c>
      <c r="BS23" s="108">
        <v>10290</v>
      </c>
      <c r="BT23" s="108">
        <v>23</v>
      </c>
      <c r="BU23" s="108">
        <v>6762</v>
      </c>
      <c r="BV23" s="108">
        <v>41</v>
      </c>
      <c r="BW23" s="108">
        <v>12054</v>
      </c>
      <c r="BX23" s="108">
        <v>258</v>
      </c>
      <c r="BY23" s="108">
        <v>75852</v>
      </c>
      <c r="BZ23" s="108">
        <v>334</v>
      </c>
      <c r="CA23" s="108">
        <v>98196</v>
      </c>
      <c r="CB23" s="108">
        <v>317</v>
      </c>
      <c r="CC23" s="108">
        <v>93198</v>
      </c>
      <c r="CD23" s="108">
        <v>184</v>
      </c>
      <c r="CE23" s="108">
        <v>54096</v>
      </c>
      <c r="CF23" s="108">
        <v>139</v>
      </c>
      <c r="CG23" s="108">
        <v>40866</v>
      </c>
      <c r="CH23" s="108">
        <v>115.56763285024165</v>
      </c>
      <c r="CI23" s="108">
        <v>33976.884057971045</v>
      </c>
      <c r="CJ23" s="108">
        <v>93.76193590582082</v>
      </c>
      <c r="CK23" s="108">
        <v>27566.00915631132</v>
      </c>
      <c r="CL23" s="108">
        <v>97.564623638432778</v>
      </c>
      <c r="CM23" s="108">
        <v>28683.999349699236</v>
      </c>
      <c r="CN23" s="108">
        <v>24</v>
      </c>
      <c r="CO23" s="108">
        <v>7056</v>
      </c>
      <c r="CP23" s="108">
        <v>27</v>
      </c>
      <c r="CQ23" s="108">
        <v>7938</v>
      </c>
      <c r="CR23" s="108">
        <v>25</v>
      </c>
      <c r="CS23" s="108">
        <v>7350</v>
      </c>
      <c r="CT23" s="108">
        <v>18</v>
      </c>
      <c r="CU23" s="108">
        <v>5292</v>
      </c>
    </row>
    <row r="24" spans="2:99" x14ac:dyDescent="0.2">
      <c r="C24" s="107" t="s">
        <v>189</v>
      </c>
      <c r="D24" s="108">
        <v>23</v>
      </c>
      <c r="E24" s="108">
        <v>8445.6</v>
      </c>
      <c r="F24" s="108">
        <v>15</v>
      </c>
      <c r="G24" s="108">
        <v>5508</v>
      </c>
      <c r="H24" s="108">
        <v>19</v>
      </c>
      <c r="I24" s="108">
        <v>6976.8</v>
      </c>
      <c r="J24" s="108">
        <v>20</v>
      </c>
      <c r="K24" s="108">
        <v>7344</v>
      </c>
      <c r="L24" s="108">
        <v>23</v>
      </c>
      <c r="M24" s="108">
        <v>8445.6</v>
      </c>
      <c r="N24" s="108">
        <v>35</v>
      </c>
      <c r="O24" s="108">
        <v>12852</v>
      </c>
      <c r="P24" s="108">
        <v>30</v>
      </c>
      <c r="Q24" s="108">
        <v>11016</v>
      </c>
      <c r="R24" s="108">
        <v>23</v>
      </c>
      <c r="S24" s="108">
        <v>8445.6</v>
      </c>
      <c r="T24" s="108">
        <v>205</v>
      </c>
      <c r="U24" s="108">
        <v>75276</v>
      </c>
      <c r="V24" s="108">
        <v>249</v>
      </c>
      <c r="W24" s="108">
        <v>91432.8</v>
      </c>
      <c r="X24" s="108">
        <v>193</v>
      </c>
      <c r="Y24" s="108">
        <v>70869.599999999991</v>
      </c>
      <c r="Z24" s="108">
        <v>122.74264897215728</v>
      </c>
      <c r="AA24" s="108">
        <v>45071.10070257615</v>
      </c>
      <c r="AB24" s="108">
        <v>39</v>
      </c>
      <c r="AC24" s="108">
        <v>14320.8</v>
      </c>
      <c r="AD24" s="108">
        <v>35</v>
      </c>
      <c r="AE24" s="108">
        <v>12852</v>
      </c>
      <c r="AF24" s="108">
        <v>30</v>
      </c>
      <c r="AG24" s="108">
        <v>11016</v>
      </c>
      <c r="AH24" s="108">
        <v>21</v>
      </c>
      <c r="AI24" s="108">
        <v>7711.2</v>
      </c>
      <c r="AJ24" s="108">
        <v>27</v>
      </c>
      <c r="AK24" s="108">
        <v>9914.4</v>
      </c>
      <c r="AL24" s="108">
        <v>26</v>
      </c>
      <c r="AM24" s="108">
        <v>9547.1999999999989</v>
      </c>
      <c r="AN24" s="108">
        <v>30</v>
      </c>
      <c r="AO24" s="108">
        <v>11016</v>
      </c>
      <c r="AP24" s="108">
        <v>35</v>
      </c>
      <c r="AQ24" s="108">
        <v>12852</v>
      </c>
      <c r="AR24" s="108">
        <v>19</v>
      </c>
      <c r="AS24" s="108">
        <v>6976.8</v>
      </c>
      <c r="AT24" s="108">
        <v>17</v>
      </c>
      <c r="AU24" s="108">
        <v>6242.4</v>
      </c>
      <c r="AV24" s="108">
        <v>17</v>
      </c>
      <c r="AW24" s="108">
        <v>6242.4</v>
      </c>
      <c r="AX24" s="108">
        <v>18</v>
      </c>
      <c r="AY24" s="108">
        <v>6609.5999999999995</v>
      </c>
      <c r="AZ24" s="108">
        <v>24</v>
      </c>
      <c r="BA24" s="108">
        <v>8812.7999999999993</v>
      </c>
      <c r="BB24" s="108">
        <v>24</v>
      </c>
      <c r="BC24" s="108">
        <v>8812.7999999999993</v>
      </c>
      <c r="BD24" s="108">
        <v>20</v>
      </c>
      <c r="BE24" s="108">
        <v>7344</v>
      </c>
      <c r="BF24" s="108">
        <v>24</v>
      </c>
      <c r="BG24" s="108">
        <v>8812.7999999999993</v>
      </c>
      <c r="BH24" s="108">
        <v>15</v>
      </c>
      <c r="BI24" s="108">
        <v>5508</v>
      </c>
      <c r="BJ24" s="108">
        <v>14</v>
      </c>
      <c r="BK24" s="108">
        <v>5140.8</v>
      </c>
      <c r="BL24" s="108">
        <v>14</v>
      </c>
      <c r="BM24" s="108">
        <v>5140.8</v>
      </c>
      <c r="BN24" s="108">
        <v>17</v>
      </c>
      <c r="BO24" s="108">
        <v>6242.4</v>
      </c>
      <c r="BP24" s="108">
        <v>34</v>
      </c>
      <c r="BQ24" s="108">
        <v>12484.8</v>
      </c>
      <c r="BR24" s="108">
        <v>35</v>
      </c>
      <c r="BS24" s="108">
        <v>12852</v>
      </c>
      <c r="BT24" s="108">
        <v>25</v>
      </c>
      <c r="BU24" s="108">
        <v>9180</v>
      </c>
      <c r="BV24" s="108">
        <v>38</v>
      </c>
      <c r="BW24" s="108">
        <v>13953.6</v>
      </c>
      <c r="BX24" s="108">
        <v>221</v>
      </c>
      <c r="BY24" s="108">
        <v>81151.199999999997</v>
      </c>
      <c r="BZ24" s="108">
        <v>297</v>
      </c>
      <c r="CA24" s="108">
        <v>109058.4</v>
      </c>
      <c r="CB24" s="108">
        <v>312</v>
      </c>
      <c r="CC24" s="108">
        <v>114566.39999999999</v>
      </c>
      <c r="CD24" s="108">
        <v>188</v>
      </c>
      <c r="CE24" s="108">
        <v>69033.599999999991</v>
      </c>
      <c r="CF24" s="108">
        <v>136</v>
      </c>
      <c r="CG24" s="108">
        <v>49939.199999999997</v>
      </c>
      <c r="CH24" s="108">
        <v>112.26570048309189</v>
      </c>
      <c r="CI24" s="108">
        <v>41223.965217391342</v>
      </c>
      <c r="CJ24" s="108">
        <v>83.94964028776981</v>
      </c>
      <c r="CK24" s="108">
        <v>30826.307913669072</v>
      </c>
      <c r="CL24" s="108">
        <v>92.686392456511157</v>
      </c>
      <c r="CM24" s="108">
        <v>34034.443310030896</v>
      </c>
      <c r="CN24" s="108">
        <v>22</v>
      </c>
      <c r="CO24" s="108">
        <v>8078.4</v>
      </c>
      <c r="CP24" s="108">
        <v>29</v>
      </c>
      <c r="CQ24" s="108">
        <v>10648.8</v>
      </c>
      <c r="CR24" s="108">
        <v>28</v>
      </c>
      <c r="CS24" s="108">
        <v>10281.6</v>
      </c>
      <c r="CT24" s="108">
        <v>18</v>
      </c>
      <c r="CU24" s="108">
        <v>6609.5999999999995</v>
      </c>
    </row>
    <row r="25" spans="2:99" x14ac:dyDescent="0.2">
      <c r="C25" s="107" t="s">
        <v>190</v>
      </c>
      <c r="D25" s="108">
        <v>23</v>
      </c>
      <c r="E25" s="108">
        <v>12199.199999999999</v>
      </c>
      <c r="F25" s="108">
        <v>16</v>
      </c>
      <c r="G25" s="108">
        <v>8486.4</v>
      </c>
      <c r="H25" s="108">
        <v>18</v>
      </c>
      <c r="I25" s="108">
        <v>9547.1999999999989</v>
      </c>
      <c r="J25" s="108">
        <v>18</v>
      </c>
      <c r="K25" s="108">
        <v>9547.1999999999989</v>
      </c>
      <c r="L25" s="108">
        <v>21</v>
      </c>
      <c r="M25" s="108">
        <v>11138.4</v>
      </c>
      <c r="N25" s="108">
        <v>28</v>
      </c>
      <c r="O25" s="108">
        <v>14851.199999999999</v>
      </c>
      <c r="P25" s="108">
        <v>27</v>
      </c>
      <c r="Q25" s="108">
        <v>14320.8</v>
      </c>
      <c r="R25" s="108">
        <v>20</v>
      </c>
      <c r="S25" s="108">
        <v>10608</v>
      </c>
      <c r="T25" s="108">
        <v>183</v>
      </c>
      <c r="U25" s="108">
        <v>97063.2</v>
      </c>
      <c r="V25" s="108">
        <v>255</v>
      </c>
      <c r="W25" s="108">
        <v>135252</v>
      </c>
      <c r="X25" s="108">
        <v>188</v>
      </c>
      <c r="Y25" s="108">
        <v>99715.199999999997</v>
      </c>
      <c r="Z25" s="108">
        <v>106.99453551912578</v>
      </c>
      <c r="AA25" s="108">
        <v>56749.901639344309</v>
      </c>
      <c r="AB25" s="108">
        <v>37</v>
      </c>
      <c r="AC25" s="108">
        <v>19624.8</v>
      </c>
      <c r="AD25" s="108">
        <v>33</v>
      </c>
      <c r="AE25" s="108">
        <v>17503.2</v>
      </c>
      <c r="AF25" s="108">
        <v>27</v>
      </c>
      <c r="AG25" s="108">
        <v>14320.8</v>
      </c>
      <c r="AH25" s="108">
        <v>20</v>
      </c>
      <c r="AI25" s="108">
        <v>10608</v>
      </c>
      <c r="AJ25" s="108">
        <v>26</v>
      </c>
      <c r="AK25" s="108">
        <v>13790.4</v>
      </c>
      <c r="AL25" s="108">
        <v>24</v>
      </c>
      <c r="AM25" s="108">
        <v>12729.599999999999</v>
      </c>
      <c r="AN25" s="108">
        <v>30</v>
      </c>
      <c r="AO25" s="108">
        <v>15912</v>
      </c>
      <c r="AP25" s="108">
        <v>32</v>
      </c>
      <c r="AQ25" s="108">
        <v>16972.8</v>
      </c>
      <c r="AR25" s="108">
        <v>18</v>
      </c>
      <c r="AS25" s="108">
        <v>9547.1999999999989</v>
      </c>
      <c r="AT25" s="108">
        <v>16</v>
      </c>
      <c r="AU25" s="108">
        <v>8486.4</v>
      </c>
      <c r="AV25" s="108">
        <v>17</v>
      </c>
      <c r="AW25" s="108">
        <v>9016.7999999999993</v>
      </c>
      <c r="AX25" s="108">
        <v>18</v>
      </c>
      <c r="AY25" s="108">
        <v>9547.1999999999989</v>
      </c>
      <c r="AZ25" s="108">
        <v>25</v>
      </c>
      <c r="BA25" s="108">
        <v>13260</v>
      </c>
      <c r="BB25" s="108">
        <v>24</v>
      </c>
      <c r="BC25" s="108">
        <v>12729.599999999999</v>
      </c>
      <c r="BD25" s="108">
        <v>20</v>
      </c>
      <c r="BE25" s="108">
        <v>10608</v>
      </c>
      <c r="BF25" s="108">
        <v>23</v>
      </c>
      <c r="BG25" s="108">
        <v>12199.199999999999</v>
      </c>
      <c r="BH25" s="108">
        <v>16</v>
      </c>
      <c r="BI25" s="108">
        <v>8486.4</v>
      </c>
      <c r="BJ25" s="108">
        <v>15</v>
      </c>
      <c r="BK25" s="108">
        <v>7956</v>
      </c>
      <c r="BL25" s="108">
        <v>15</v>
      </c>
      <c r="BM25" s="108">
        <v>7956</v>
      </c>
      <c r="BN25" s="108">
        <v>15</v>
      </c>
      <c r="BO25" s="108">
        <v>7956</v>
      </c>
      <c r="BP25" s="108">
        <v>28</v>
      </c>
      <c r="BQ25" s="108">
        <v>14851.199999999999</v>
      </c>
      <c r="BR25" s="108">
        <v>31</v>
      </c>
      <c r="BS25" s="108">
        <v>16442.399999999998</v>
      </c>
      <c r="BT25" s="108">
        <v>24</v>
      </c>
      <c r="BU25" s="108">
        <v>12729.599999999999</v>
      </c>
      <c r="BV25" s="108">
        <v>39</v>
      </c>
      <c r="BW25" s="108">
        <v>20685.599999999999</v>
      </c>
      <c r="BX25" s="108">
        <v>217</v>
      </c>
      <c r="BY25" s="108">
        <v>115096.79999999999</v>
      </c>
      <c r="BZ25" s="108">
        <v>277</v>
      </c>
      <c r="CA25" s="108">
        <v>146920.79999999999</v>
      </c>
      <c r="CB25" s="108">
        <v>304</v>
      </c>
      <c r="CC25" s="108">
        <v>161241.60000000001</v>
      </c>
      <c r="CD25" s="108">
        <v>162</v>
      </c>
      <c r="CE25" s="108">
        <v>85924.800000000003</v>
      </c>
      <c r="CF25" s="108">
        <v>126</v>
      </c>
      <c r="CG25" s="108">
        <v>66830.399999999994</v>
      </c>
      <c r="CH25" s="108">
        <v>117.76892109500815</v>
      </c>
      <c r="CI25" s="108">
        <v>62464.635748792323</v>
      </c>
      <c r="CJ25" s="108">
        <v>86.675277959450639</v>
      </c>
      <c r="CK25" s="108">
        <v>45972.567429692615</v>
      </c>
      <c r="CL25" s="108">
        <v>92.144366769630977</v>
      </c>
      <c r="CM25" s="108">
        <v>48873.372134612269</v>
      </c>
      <c r="CN25" s="108">
        <v>20</v>
      </c>
      <c r="CO25" s="108">
        <v>10608</v>
      </c>
      <c r="CP25" s="108">
        <v>30</v>
      </c>
      <c r="CQ25" s="108">
        <v>15912</v>
      </c>
      <c r="CR25" s="108">
        <v>27</v>
      </c>
      <c r="CS25" s="108">
        <v>14320.8</v>
      </c>
      <c r="CT25" s="108">
        <v>18</v>
      </c>
      <c r="CU25" s="108">
        <v>9547.1999999999989</v>
      </c>
    </row>
    <row r="26" spans="2:99" x14ac:dyDescent="0.2">
      <c r="C26" s="107" t="s">
        <v>191</v>
      </c>
      <c r="D26" s="108">
        <v>20</v>
      </c>
      <c r="E26" s="108">
        <v>9720</v>
      </c>
      <c r="F26" s="108">
        <v>14</v>
      </c>
      <c r="G26" s="108">
        <v>6804</v>
      </c>
      <c r="H26" s="108">
        <v>21</v>
      </c>
      <c r="I26" s="108">
        <v>10206</v>
      </c>
      <c r="J26" s="108">
        <v>18</v>
      </c>
      <c r="K26" s="108">
        <v>8748</v>
      </c>
      <c r="L26" s="108">
        <v>24</v>
      </c>
      <c r="M26" s="108">
        <v>11664</v>
      </c>
      <c r="N26" s="108">
        <v>35</v>
      </c>
      <c r="O26" s="108">
        <v>17010</v>
      </c>
      <c r="P26" s="108">
        <v>32</v>
      </c>
      <c r="Q26" s="108">
        <v>15552</v>
      </c>
      <c r="R26" s="108">
        <v>22</v>
      </c>
      <c r="S26" s="108">
        <v>10692</v>
      </c>
      <c r="T26" s="108">
        <v>184</v>
      </c>
      <c r="U26" s="108">
        <v>89424</v>
      </c>
      <c r="V26" s="108">
        <v>254</v>
      </c>
      <c r="W26" s="108">
        <v>123444</v>
      </c>
      <c r="X26" s="108">
        <v>194</v>
      </c>
      <c r="Y26" s="108">
        <v>94284</v>
      </c>
      <c r="Z26" s="108">
        <v>113.01587301587311</v>
      </c>
      <c r="AA26" s="108">
        <v>54925.714285714334</v>
      </c>
      <c r="AB26" s="108">
        <v>35</v>
      </c>
      <c r="AC26" s="108">
        <v>17010</v>
      </c>
      <c r="AD26" s="108">
        <v>32</v>
      </c>
      <c r="AE26" s="108">
        <v>15552</v>
      </c>
      <c r="AF26" s="108">
        <v>27</v>
      </c>
      <c r="AG26" s="108">
        <v>13122</v>
      </c>
      <c r="AH26" s="108">
        <v>21</v>
      </c>
      <c r="AI26" s="108">
        <v>10206</v>
      </c>
      <c r="AJ26" s="108">
        <v>25</v>
      </c>
      <c r="AK26" s="108">
        <v>12150</v>
      </c>
      <c r="AL26" s="108">
        <v>23</v>
      </c>
      <c r="AM26" s="108">
        <v>11178</v>
      </c>
      <c r="AN26" s="108">
        <v>35</v>
      </c>
      <c r="AO26" s="108">
        <v>17010</v>
      </c>
      <c r="AP26" s="108">
        <v>31</v>
      </c>
      <c r="AQ26" s="108">
        <v>15066</v>
      </c>
      <c r="AR26" s="108">
        <v>20</v>
      </c>
      <c r="AS26" s="108">
        <v>9720</v>
      </c>
      <c r="AT26" s="108">
        <v>17</v>
      </c>
      <c r="AU26" s="108">
        <v>8262</v>
      </c>
      <c r="AV26" s="108">
        <v>17</v>
      </c>
      <c r="AW26" s="108">
        <v>8262</v>
      </c>
      <c r="AX26" s="108">
        <v>21</v>
      </c>
      <c r="AY26" s="108">
        <v>10206</v>
      </c>
      <c r="AZ26" s="108">
        <v>22</v>
      </c>
      <c r="BA26" s="108">
        <v>10692</v>
      </c>
      <c r="BB26" s="108">
        <v>24</v>
      </c>
      <c r="BC26" s="108">
        <v>11664</v>
      </c>
      <c r="BD26" s="108">
        <v>18</v>
      </c>
      <c r="BE26" s="108">
        <v>8748</v>
      </c>
      <c r="BF26" s="108">
        <v>24</v>
      </c>
      <c r="BG26" s="108">
        <v>11664</v>
      </c>
      <c r="BH26" s="108">
        <v>18</v>
      </c>
      <c r="BI26" s="108">
        <v>8748</v>
      </c>
      <c r="BJ26" s="108">
        <v>14</v>
      </c>
      <c r="BK26" s="108">
        <v>6804</v>
      </c>
      <c r="BL26" s="108">
        <v>14</v>
      </c>
      <c r="BM26" s="108">
        <v>6804</v>
      </c>
      <c r="BN26" s="108">
        <v>14</v>
      </c>
      <c r="BO26" s="108">
        <v>6804</v>
      </c>
      <c r="BP26" s="108">
        <v>29</v>
      </c>
      <c r="BQ26" s="108">
        <v>14094</v>
      </c>
      <c r="BR26" s="108">
        <v>31</v>
      </c>
      <c r="BS26" s="108">
        <v>15066</v>
      </c>
      <c r="BT26" s="108">
        <v>22</v>
      </c>
      <c r="BU26" s="108">
        <v>10692</v>
      </c>
      <c r="BV26" s="108">
        <v>34</v>
      </c>
      <c r="BW26" s="108">
        <v>16524</v>
      </c>
      <c r="BX26" s="108">
        <v>218</v>
      </c>
      <c r="BY26" s="108">
        <v>105948</v>
      </c>
      <c r="BZ26" s="108">
        <v>267</v>
      </c>
      <c r="CA26" s="108">
        <v>129762</v>
      </c>
      <c r="CB26" s="108">
        <v>273</v>
      </c>
      <c r="CC26" s="108">
        <v>132678</v>
      </c>
      <c r="CD26" s="108">
        <v>167</v>
      </c>
      <c r="CE26" s="108">
        <v>81162</v>
      </c>
      <c r="CF26" s="108">
        <v>130</v>
      </c>
      <c r="CG26" s="108">
        <v>63180</v>
      </c>
      <c r="CH26" s="108">
        <v>108.41344605475049</v>
      </c>
      <c r="CI26" s="108">
        <v>52688.93478260874</v>
      </c>
      <c r="CJ26" s="108">
        <v>78.498364944408138</v>
      </c>
      <c r="CK26" s="108">
        <v>38150.205362982357</v>
      </c>
      <c r="CL26" s="108">
        <v>85.640058527068788</v>
      </c>
      <c r="CM26" s="108">
        <v>41621.068444155433</v>
      </c>
      <c r="CN26" s="108">
        <v>22</v>
      </c>
      <c r="CO26" s="108">
        <v>10692</v>
      </c>
      <c r="CP26" s="108">
        <v>27</v>
      </c>
      <c r="CQ26" s="108">
        <v>13122</v>
      </c>
      <c r="CR26" s="108">
        <v>28</v>
      </c>
      <c r="CS26" s="108">
        <v>13608</v>
      </c>
      <c r="CT26" s="108">
        <v>18</v>
      </c>
      <c r="CU26" s="108">
        <v>8748</v>
      </c>
    </row>
    <row r="27" spans="2:99" x14ac:dyDescent="0.2">
      <c r="C27" s="107" t="s">
        <v>192</v>
      </c>
      <c r="D27" s="108">
        <v>23</v>
      </c>
      <c r="E27" s="108">
        <v>9825.6</v>
      </c>
      <c r="F27" s="108">
        <v>14</v>
      </c>
      <c r="G27" s="108">
        <v>5980.8</v>
      </c>
      <c r="H27" s="108">
        <v>20</v>
      </c>
      <c r="I27" s="108">
        <v>8544</v>
      </c>
      <c r="J27" s="108">
        <v>20</v>
      </c>
      <c r="K27" s="108">
        <v>8544</v>
      </c>
      <c r="L27" s="108">
        <v>24</v>
      </c>
      <c r="M27" s="108">
        <v>10252.799999999999</v>
      </c>
      <c r="N27" s="108">
        <v>29</v>
      </c>
      <c r="O27" s="108">
        <v>12388.8</v>
      </c>
      <c r="P27" s="108">
        <v>28</v>
      </c>
      <c r="Q27" s="108">
        <v>11961.6</v>
      </c>
      <c r="R27" s="108">
        <v>23</v>
      </c>
      <c r="S27" s="108">
        <v>9825.6</v>
      </c>
      <c r="T27" s="108">
        <v>203</v>
      </c>
      <c r="U27" s="108">
        <v>86721.599999999991</v>
      </c>
      <c r="V27" s="108">
        <v>268</v>
      </c>
      <c r="W27" s="108">
        <v>114489.59999999999</v>
      </c>
      <c r="X27" s="108">
        <v>211</v>
      </c>
      <c r="Y27" s="108">
        <v>90139.199999999997</v>
      </c>
      <c r="Z27" s="108">
        <v>121.81628935727306</v>
      </c>
      <c r="AA27" s="108">
        <v>52039.918813427052</v>
      </c>
      <c r="AB27" s="108">
        <v>33</v>
      </c>
      <c r="AC27" s="108">
        <v>14097.6</v>
      </c>
      <c r="AD27" s="108">
        <v>29</v>
      </c>
      <c r="AE27" s="108">
        <v>12388.8</v>
      </c>
      <c r="AF27" s="108">
        <v>29</v>
      </c>
      <c r="AG27" s="108">
        <v>12388.8</v>
      </c>
      <c r="AH27" s="108">
        <v>21</v>
      </c>
      <c r="AI27" s="108">
        <v>8971.1999999999989</v>
      </c>
      <c r="AJ27" s="108">
        <v>26</v>
      </c>
      <c r="AK27" s="108">
        <v>11107.199999999999</v>
      </c>
      <c r="AL27" s="108">
        <v>23</v>
      </c>
      <c r="AM27" s="108">
        <v>9825.6</v>
      </c>
      <c r="AN27" s="108">
        <v>33</v>
      </c>
      <c r="AO27" s="108">
        <v>14097.6</v>
      </c>
      <c r="AP27" s="108">
        <v>34</v>
      </c>
      <c r="AQ27" s="108">
        <v>14524.8</v>
      </c>
      <c r="AR27" s="108">
        <v>21</v>
      </c>
      <c r="AS27" s="108">
        <v>8971.1999999999989</v>
      </c>
      <c r="AT27" s="108">
        <v>16</v>
      </c>
      <c r="AU27" s="108">
        <v>6835.2</v>
      </c>
      <c r="AV27" s="108">
        <v>18</v>
      </c>
      <c r="AW27" s="108">
        <v>7689.5999999999995</v>
      </c>
      <c r="AX27" s="108">
        <v>18</v>
      </c>
      <c r="AY27" s="108">
        <v>7689.5999999999995</v>
      </c>
      <c r="AZ27" s="108">
        <v>23</v>
      </c>
      <c r="BA27" s="108">
        <v>9825.6</v>
      </c>
      <c r="BB27" s="108">
        <v>26</v>
      </c>
      <c r="BC27" s="108">
        <v>11107.199999999999</v>
      </c>
      <c r="BD27" s="108">
        <v>20</v>
      </c>
      <c r="BE27" s="108">
        <v>8544</v>
      </c>
      <c r="BF27" s="108">
        <v>23</v>
      </c>
      <c r="BG27" s="108">
        <v>9825.6</v>
      </c>
      <c r="BH27" s="108">
        <v>18</v>
      </c>
      <c r="BI27" s="108">
        <v>7689.5999999999995</v>
      </c>
      <c r="BJ27" s="108">
        <v>13</v>
      </c>
      <c r="BK27" s="108">
        <v>5553.5999999999995</v>
      </c>
      <c r="BL27" s="108">
        <v>16</v>
      </c>
      <c r="BM27" s="108">
        <v>6835.2</v>
      </c>
      <c r="BN27" s="108">
        <v>14</v>
      </c>
      <c r="BO27" s="108">
        <v>5980.8</v>
      </c>
      <c r="BP27" s="108">
        <v>33</v>
      </c>
      <c r="BQ27" s="108">
        <v>14097.6</v>
      </c>
      <c r="BR27" s="108">
        <v>30</v>
      </c>
      <c r="BS27" s="108">
        <v>12816</v>
      </c>
      <c r="BT27" s="108">
        <v>25</v>
      </c>
      <c r="BU27" s="108">
        <v>10680</v>
      </c>
      <c r="BV27" s="108">
        <v>37</v>
      </c>
      <c r="BW27" s="108">
        <v>15806.4</v>
      </c>
      <c r="BX27" s="108">
        <v>235</v>
      </c>
      <c r="BY27" s="108">
        <v>100392</v>
      </c>
      <c r="BZ27" s="108">
        <v>287</v>
      </c>
      <c r="CA27" s="108">
        <v>122606.39999999999</v>
      </c>
      <c r="CB27" s="108">
        <v>292</v>
      </c>
      <c r="CC27" s="108">
        <v>124742.39999999999</v>
      </c>
      <c r="CD27" s="108">
        <v>162</v>
      </c>
      <c r="CE27" s="108">
        <v>69206.399999999994</v>
      </c>
      <c r="CF27" s="108">
        <v>114</v>
      </c>
      <c r="CG27" s="108">
        <v>48700.799999999996</v>
      </c>
      <c r="CH27" s="108">
        <v>105.66183574879237</v>
      </c>
      <c r="CI27" s="108">
        <v>45138.736231884097</v>
      </c>
      <c r="CJ27" s="108">
        <v>88.855788096795308</v>
      </c>
      <c r="CK27" s="108">
        <v>37959.192674950951</v>
      </c>
      <c r="CL27" s="108">
        <v>93.228418143391337</v>
      </c>
      <c r="CM27" s="108">
        <v>39827.180230856779</v>
      </c>
      <c r="CN27" s="108">
        <v>23</v>
      </c>
      <c r="CO27" s="108">
        <v>9825.6</v>
      </c>
      <c r="CP27" s="108">
        <v>29</v>
      </c>
      <c r="CQ27" s="108">
        <v>12388.8</v>
      </c>
      <c r="CR27" s="108">
        <v>25</v>
      </c>
      <c r="CS27" s="108">
        <v>10680</v>
      </c>
      <c r="CT27" s="108">
        <v>18</v>
      </c>
      <c r="CU27" s="108">
        <v>7689.5999999999995</v>
      </c>
    </row>
    <row r="28" spans="2:99" x14ac:dyDescent="0.2">
      <c r="C28" s="107" t="s">
        <v>193</v>
      </c>
      <c r="D28" s="108">
        <v>21</v>
      </c>
      <c r="E28" s="108">
        <v>15498</v>
      </c>
      <c r="F28" s="108">
        <v>15</v>
      </c>
      <c r="G28" s="108">
        <v>11070</v>
      </c>
      <c r="H28" s="108">
        <v>20</v>
      </c>
      <c r="I28" s="108">
        <v>14760</v>
      </c>
      <c r="J28" s="108">
        <v>17</v>
      </c>
      <c r="K28" s="108">
        <v>12546</v>
      </c>
      <c r="L28" s="108">
        <v>24</v>
      </c>
      <c r="M28" s="108">
        <v>17712</v>
      </c>
      <c r="N28" s="108">
        <v>29</v>
      </c>
      <c r="O28" s="108">
        <v>21402</v>
      </c>
      <c r="P28" s="108">
        <v>29</v>
      </c>
      <c r="Q28" s="108">
        <v>21402</v>
      </c>
      <c r="R28" s="108">
        <v>19</v>
      </c>
      <c r="S28" s="108">
        <v>14022</v>
      </c>
      <c r="T28" s="108">
        <v>174</v>
      </c>
      <c r="U28" s="108">
        <v>128412</v>
      </c>
      <c r="V28" s="108">
        <v>209</v>
      </c>
      <c r="W28" s="108">
        <v>154242</v>
      </c>
      <c r="X28" s="108">
        <v>168</v>
      </c>
      <c r="Y28" s="108">
        <v>123984</v>
      </c>
      <c r="Z28" s="108">
        <v>96.804579755399516</v>
      </c>
      <c r="AA28" s="108">
        <v>71441.779859484843</v>
      </c>
      <c r="AB28" s="108">
        <v>35</v>
      </c>
      <c r="AC28" s="108">
        <v>25830</v>
      </c>
      <c r="AD28" s="108">
        <v>30</v>
      </c>
      <c r="AE28" s="108">
        <v>22140</v>
      </c>
      <c r="AF28" s="108">
        <v>26</v>
      </c>
      <c r="AG28" s="108">
        <v>19188</v>
      </c>
      <c r="AH28" s="108">
        <v>19</v>
      </c>
      <c r="AI28" s="108">
        <v>14022</v>
      </c>
      <c r="AJ28" s="108">
        <v>29</v>
      </c>
      <c r="AK28" s="108">
        <v>21402</v>
      </c>
      <c r="AL28" s="108">
        <v>25</v>
      </c>
      <c r="AM28" s="108">
        <v>18450</v>
      </c>
      <c r="AN28" s="108">
        <v>33</v>
      </c>
      <c r="AO28" s="108">
        <v>24354</v>
      </c>
      <c r="AP28" s="108">
        <v>34</v>
      </c>
      <c r="AQ28" s="108">
        <v>25092</v>
      </c>
      <c r="AR28" s="108">
        <v>17</v>
      </c>
      <c r="AS28" s="108">
        <v>12546</v>
      </c>
      <c r="AT28" s="108">
        <v>16</v>
      </c>
      <c r="AU28" s="108">
        <v>11808</v>
      </c>
      <c r="AV28" s="108">
        <v>17</v>
      </c>
      <c r="AW28" s="108">
        <v>12546</v>
      </c>
      <c r="AX28" s="108">
        <v>19</v>
      </c>
      <c r="AY28" s="108">
        <v>14022</v>
      </c>
      <c r="AZ28" s="108">
        <v>22</v>
      </c>
      <c r="BA28" s="108">
        <v>16236</v>
      </c>
      <c r="BB28" s="108">
        <v>23</v>
      </c>
      <c r="BC28" s="108">
        <v>16974</v>
      </c>
      <c r="BD28" s="108">
        <v>19</v>
      </c>
      <c r="BE28" s="108">
        <v>14022</v>
      </c>
      <c r="BF28" s="108">
        <v>22</v>
      </c>
      <c r="BG28" s="108">
        <v>16236</v>
      </c>
      <c r="BH28" s="108">
        <v>17</v>
      </c>
      <c r="BI28" s="108">
        <v>12546</v>
      </c>
      <c r="BJ28" s="108">
        <v>15</v>
      </c>
      <c r="BK28" s="108">
        <v>11070</v>
      </c>
      <c r="BL28" s="108">
        <v>13</v>
      </c>
      <c r="BM28" s="108">
        <v>9594</v>
      </c>
      <c r="BN28" s="108">
        <v>14</v>
      </c>
      <c r="BO28" s="108">
        <v>10332</v>
      </c>
      <c r="BP28" s="108">
        <v>27</v>
      </c>
      <c r="BQ28" s="108">
        <v>19926</v>
      </c>
      <c r="BR28" s="108">
        <v>29</v>
      </c>
      <c r="BS28" s="108">
        <v>21402</v>
      </c>
      <c r="BT28" s="108">
        <v>23</v>
      </c>
      <c r="BU28" s="108">
        <v>16974</v>
      </c>
      <c r="BV28" s="108">
        <v>35</v>
      </c>
      <c r="BW28" s="108">
        <v>25830</v>
      </c>
      <c r="BX28" s="108">
        <v>231</v>
      </c>
      <c r="BY28" s="108">
        <v>170478</v>
      </c>
      <c r="BZ28" s="108">
        <v>267</v>
      </c>
      <c r="CA28" s="108">
        <v>197046</v>
      </c>
      <c r="CB28" s="108">
        <v>281</v>
      </c>
      <c r="CC28" s="108">
        <v>207378</v>
      </c>
      <c r="CD28" s="108">
        <v>139</v>
      </c>
      <c r="CE28" s="108">
        <v>102582</v>
      </c>
      <c r="CF28" s="108">
        <v>109</v>
      </c>
      <c r="CG28" s="108">
        <v>80442</v>
      </c>
      <c r="CH28" s="108">
        <v>97.40700483091797</v>
      </c>
      <c r="CI28" s="108">
        <v>71886.369565217465</v>
      </c>
      <c r="CJ28" s="108">
        <v>82.314257684761301</v>
      </c>
      <c r="CK28" s="108">
        <v>60747.922171353843</v>
      </c>
      <c r="CL28" s="108">
        <v>81.30385303202732</v>
      </c>
      <c r="CM28" s="108">
        <v>60002.243537636161</v>
      </c>
      <c r="CN28" s="108">
        <v>22</v>
      </c>
      <c r="CO28" s="108">
        <v>16236</v>
      </c>
      <c r="CP28" s="108">
        <v>26</v>
      </c>
      <c r="CQ28" s="108">
        <v>19188</v>
      </c>
      <c r="CR28" s="108">
        <v>26</v>
      </c>
      <c r="CS28" s="108">
        <v>19188</v>
      </c>
      <c r="CT28" s="108">
        <v>19</v>
      </c>
      <c r="CU28" s="108">
        <v>14022</v>
      </c>
    </row>
    <row r="29" spans="2:99" x14ac:dyDescent="0.2">
      <c r="C29" s="107" t="s">
        <v>194</v>
      </c>
      <c r="D29" s="108">
        <v>22</v>
      </c>
      <c r="E29" s="108">
        <v>7444.7999999999993</v>
      </c>
      <c r="F29" s="108">
        <v>15</v>
      </c>
      <c r="G29" s="108">
        <v>5076</v>
      </c>
      <c r="H29" s="108">
        <v>19</v>
      </c>
      <c r="I29" s="108">
        <v>6429.5999999999995</v>
      </c>
      <c r="J29" s="108">
        <v>18</v>
      </c>
      <c r="K29" s="108">
        <v>6091.2</v>
      </c>
      <c r="L29" s="108">
        <v>24</v>
      </c>
      <c r="M29" s="108">
        <v>8121.5999999999995</v>
      </c>
      <c r="N29" s="108">
        <v>33</v>
      </c>
      <c r="O29" s="108">
        <v>11167.199999999999</v>
      </c>
      <c r="P29" s="108">
        <v>30</v>
      </c>
      <c r="Q29" s="108">
        <v>10152</v>
      </c>
      <c r="R29" s="108">
        <v>24</v>
      </c>
      <c r="S29" s="108">
        <v>8121.5999999999995</v>
      </c>
      <c r="T29" s="108">
        <v>197</v>
      </c>
      <c r="U29" s="108">
        <v>66664.799999999988</v>
      </c>
      <c r="V29" s="108">
        <v>269</v>
      </c>
      <c r="W29" s="108">
        <v>91029.599999999991</v>
      </c>
      <c r="X29" s="108">
        <v>204</v>
      </c>
      <c r="Y29" s="108">
        <v>69033.599999999991</v>
      </c>
      <c r="Z29" s="108">
        <v>124.59536820192569</v>
      </c>
      <c r="AA29" s="108">
        <v>42163.072599531653</v>
      </c>
      <c r="AB29" s="108">
        <v>33</v>
      </c>
      <c r="AC29" s="108">
        <v>11167.199999999999</v>
      </c>
      <c r="AD29" s="108">
        <v>30</v>
      </c>
      <c r="AE29" s="108">
        <v>10152</v>
      </c>
      <c r="AF29" s="108">
        <v>33</v>
      </c>
      <c r="AG29" s="108">
        <v>11167.199999999999</v>
      </c>
      <c r="AH29" s="108">
        <v>20</v>
      </c>
      <c r="AI29" s="108">
        <v>6768</v>
      </c>
      <c r="AJ29" s="108">
        <v>25</v>
      </c>
      <c r="AK29" s="108">
        <v>8460</v>
      </c>
      <c r="AL29" s="108">
        <v>26</v>
      </c>
      <c r="AM29" s="108">
        <v>8798.4</v>
      </c>
      <c r="AN29" s="108">
        <v>33</v>
      </c>
      <c r="AO29" s="108">
        <v>11167.199999999999</v>
      </c>
      <c r="AP29" s="108">
        <v>33</v>
      </c>
      <c r="AQ29" s="108">
        <v>11167.199999999999</v>
      </c>
      <c r="AR29" s="108">
        <v>18</v>
      </c>
      <c r="AS29" s="108">
        <v>6091.2</v>
      </c>
      <c r="AT29" s="108">
        <v>15</v>
      </c>
      <c r="AU29" s="108">
        <v>5076</v>
      </c>
      <c r="AV29" s="108">
        <v>17</v>
      </c>
      <c r="AW29" s="108">
        <v>5752.7999999999993</v>
      </c>
      <c r="AX29" s="108">
        <v>19</v>
      </c>
      <c r="AY29" s="108">
        <v>6429.5999999999995</v>
      </c>
      <c r="AZ29" s="108">
        <v>24</v>
      </c>
      <c r="BA29" s="108">
        <v>8121.5999999999995</v>
      </c>
      <c r="BB29" s="108">
        <v>23</v>
      </c>
      <c r="BC29" s="108">
        <v>7783.2</v>
      </c>
      <c r="BD29" s="108">
        <v>19</v>
      </c>
      <c r="BE29" s="108">
        <v>6429.5999999999995</v>
      </c>
      <c r="BF29" s="108">
        <v>24</v>
      </c>
      <c r="BG29" s="108">
        <v>8121.5999999999995</v>
      </c>
      <c r="BH29" s="108">
        <v>17</v>
      </c>
      <c r="BI29" s="108">
        <v>5752.7999999999993</v>
      </c>
      <c r="BJ29" s="108">
        <v>16</v>
      </c>
      <c r="BK29" s="108">
        <v>5414.4</v>
      </c>
      <c r="BL29" s="108">
        <v>15</v>
      </c>
      <c r="BM29" s="108">
        <v>5076</v>
      </c>
      <c r="BN29" s="108">
        <v>16</v>
      </c>
      <c r="BO29" s="108">
        <v>5414.4</v>
      </c>
      <c r="BP29" s="108">
        <v>32</v>
      </c>
      <c r="BQ29" s="108">
        <v>10828.8</v>
      </c>
      <c r="BR29" s="108">
        <v>33</v>
      </c>
      <c r="BS29" s="108">
        <v>11167.199999999999</v>
      </c>
      <c r="BT29" s="108">
        <v>25</v>
      </c>
      <c r="BU29" s="108">
        <v>8460</v>
      </c>
      <c r="BV29" s="108">
        <v>36</v>
      </c>
      <c r="BW29" s="108">
        <v>12182.4</v>
      </c>
      <c r="BX29" s="108">
        <v>264</v>
      </c>
      <c r="BY29" s="108">
        <v>89337.599999999991</v>
      </c>
      <c r="BZ29" s="108">
        <v>284</v>
      </c>
      <c r="CA29" s="108">
        <v>96105.599999999991</v>
      </c>
      <c r="CB29" s="108">
        <v>294</v>
      </c>
      <c r="CC29" s="108">
        <v>99489.599999999991</v>
      </c>
      <c r="CD29" s="108">
        <v>185</v>
      </c>
      <c r="CE29" s="108">
        <v>62603.999999999993</v>
      </c>
      <c r="CF29" s="108">
        <v>126</v>
      </c>
      <c r="CG29" s="108">
        <v>42638.399999999994</v>
      </c>
      <c r="CH29" s="108">
        <v>115.56763285024165</v>
      </c>
      <c r="CI29" s="108">
        <v>39108.086956521773</v>
      </c>
      <c r="CJ29" s="108">
        <v>80.133747547416633</v>
      </c>
      <c r="CK29" s="108">
        <v>27117.260170045785</v>
      </c>
      <c r="CL29" s="108">
        <v>82.929930092667874</v>
      </c>
      <c r="CM29" s="108">
        <v>28063.488343358807</v>
      </c>
      <c r="CN29" s="108">
        <v>22</v>
      </c>
      <c r="CO29" s="108">
        <v>7444.7999999999993</v>
      </c>
      <c r="CP29" s="108">
        <v>30</v>
      </c>
      <c r="CQ29" s="108">
        <v>10152</v>
      </c>
      <c r="CR29" s="108">
        <v>28</v>
      </c>
      <c r="CS29" s="108">
        <v>9475.1999999999989</v>
      </c>
      <c r="CT29" s="108">
        <v>18</v>
      </c>
      <c r="CU29" s="108">
        <v>6091.2</v>
      </c>
    </row>
    <row r="30" spans="2:99" x14ac:dyDescent="0.2">
      <c r="C30" s="107" t="s">
        <v>195</v>
      </c>
      <c r="D30" s="108">
        <v>24</v>
      </c>
      <c r="E30" s="108">
        <v>3340.7999999999997</v>
      </c>
      <c r="F30" s="108">
        <v>15</v>
      </c>
      <c r="G30" s="108">
        <v>2088</v>
      </c>
      <c r="H30" s="108">
        <v>19</v>
      </c>
      <c r="I30" s="108">
        <v>2644.7999999999997</v>
      </c>
      <c r="J30" s="108">
        <v>18</v>
      </c>
      <c r="K30" s="108">
        <v>2505.6</v>
      </c>
      <c r="L30" s="108">
        <v>23</v>
      </c>
      <c r="M30" s="108">
        <v>3201.6</v>
      </c>
      <c r="N30" s="108">
        <v>35</v>
      </c>
      <c r="O30" s="108">
        <v>4872</v>
      </c>
      <c r="P30" s="108">
        <v>32</v>
      </c>
      <c r="Q30" s="108">
        <v>4454.3999999999996</v>
      </c>
      <c r="R30" s="108">
        <v>24</v>
      </c>
      <c r="S30" s="108">
        <v>3340.7999999999997</v>
      </c>
      <c r="T30" s="108">
        <v>203</v>
      </c>
      <c r="U30" s="108">
        <v>28257.599999999999</v>
      </c>
      <c r="V30" s="108">
        <v>282</v>
      </c>
      <c r="W30" s="108">
        <v>39254.399999999994</v>
      </c>
      <c r="X30" s="108">
        <v>235</v>
      </c>
      <c r="Y30" s="108">
        <v>32711.999999999996</v>
      </c>
      <c r="Z30" s="108">
        <v>124.13218839448359</v>
      </c>
      <c r="AA30" s="108">
        <v>17279.200624512116</v>
      </c>
      <c r="AB30" s="108">
        <v>38</v>
      </c>
      <c r="AC30" s="108">
        <v>5289.5999999999995</v>
      </c>
      <c r="AD30" s="108">
        <v>34</v>
      </c>
      <c r="AE30" s="108">
        <v>4732.7999999999993</v>
      </c>
      <c r="AF30" s="108">
        <v>34</v>
      </c>
      <c r="AG30" s="108">
        <v>4732.7999999999993</v>
      </c>
      <c r="AH30" s="108">
        <v>21</v>
      </c>
      <c r="AI30" s="108">
        <v>2923.2</v>
      </c>
      <c r="AJ30" s="108">
        <v>31</v>
      </c>
      <c r="AK30" s="108">
        <v>4315.2</v>
      </c>
      <c r="AL30" s="108">
        <v>24</v>
      </c>
      <c r="AM30" s="108">
        <v>3340.7999999999997</v>
      </c>
      <c r="AN30" s="108">
        <v>32</v>
      </c>
      <c r="AO30" s="108">
        <v>4454.3999999999996</v>
      </c>
      <c r="AP30" s="108">
        <v>36</v>
      </c>
      <c r="AQ30" s="108">
        <v>5011.2</v>
      </c>
      <c r="AR30" s="108">
        <v>20</v>
      </c>
      <c r="AS30" s="108">
        <v>2784</v>
      </c>
      <c r="AT30" s="108">
        <v>16</v>
      </c>
      <c r="AU30" s="108">
        <v>2227.1999999999998</v>
      </c>
      <c r="AV30" s="108">
        <v>18</v>
      </c>
      <c r="AW30" s="108">
        <v>2505.6</v>
      </c>
      <c r="AX30" s="108">
        <v>20</v>
      </c>
      <c r="AY30" s="108">
        <v>2784</v>
      </c>
      <c r="AZ30" s="108">
        <v>28</v>
      </c>
      <c r="BA30" s="108">
        <v>3897.5999999999995</v>
      </c>
      <c r="BB30" s="108">
        <v>26</v>
      </c>
      <c r="BC30" s="108">
        <v>3619.2</v>
      </c>
      <c r="BD30" s="108">
        <v>20</v>
      </c>
      <c r="BE30" s="108">
        <v>2784</v>
      </c>
      <c r="BF30" s="108">
        <v>26</v>
      </c>
      <c r="BG30" s="108">
        <v>3619.2</v>
      </c>
      <c r="BH30" s="108">
        <v>16</v>
      </c>
      <c r="BI30" s="108">
        <v>2227.1999999999998</v>
      </c>
      <c r="BJ30" s="108">
        <v>14</v>
      </c>
      <c r="BK30" s="108">
        <v>1948.7999999999997</v>
      </c>
      <c r="BL30" s="108">
        <v>14</v>
      </c>
      <c r="BM30" s="108">
        <v>1948.7999999999997</v>
      </c>
      <c r="BN30" s="108">
        <v>14</v>
      </c>
      <c r="BO30" s="108">
        <v>1948.7999999999997</v>
      </c>
      <c r="BP30" s="108">
        <v>31</v>
      </c>
      <c r="BQ30" s="108">
        <v>4315.2</v>
      </c>
      <c r="BR30" s="108">
        <v>36</v>
      </c>
      <c r="BS30" s="108">
        <v>5011.2</v>
      </c>
      <c r="BT30" s="108">
        <v>24</v>
      </c>
      <c r="BU30" s="108">
        <v>3340.7999999999997</v>
      </c>
      <c r="BV30" s="108">
        <v>44</v>
      </c>
      <c r="BW30" s="108">
        <v>6124.7999999999993</v>
      </c>
      <c r="BX30" s="108">
        <v>249</v>
      </c>
      <c r="BY30" s="108">
        <v>34660.799999999996</v>
      </c>
      <c r="BZ30" s="108">
        <v>348</v>
      </c>
      <c r="CA30" s="108">
        <v>48441.599999999999</v>
      </c>
      <c r="CB30" s="108">
        <v>341</v>
      </c>
      <c r="CC30" s="108">
        <v>47467.199999999997</v>
      </c>
      <c r="CD30" s="108">
        <v>199</v>
      </c>
      <c r="CE30" s="108">
        <v>27700.799999999999</v>
      </c>
      <c r="CF30" s="108">
        <v>146</v>
      </c>
      <c r="CG30" s="108">
        <v>20323.199999999997</v>
      </c>
      <c r="CH30" s="108">
        <v>119.97020933977467</v>
      </c>
      <c r="CI30" s="108">
        <v>16699.853140096631</v>
      </c>
      <c r="CJ30" s="108">
        <v>91.581425768476151</v>
      </c>
      <c r="CK30" s="108">
        <v>12748.13446697188</v>
      </c>
      <c r="CL30" s="108">
        <v>93.770443830271518</v>
      </c>
      <c r="CM30" s="108">
        <v>13052.845781173794</v>
      </c>
      <c r="CN30" s="108">
        <v>23</v>
      </c>
      <c r="CO30" s="108">
        <v>3201.6</v>
      </c>
      <c r="CP30" s="108">
        <v>28</v>
      </c>
      <c r="CQ30" s="108">
        <v>3897.5999999999995</v>
      </c>
      <c r="CR30" s="108">
        <v>29</v>
      </c>
      <c r="CS30" s="108">
        <v>4036.7999999999997</v>
      </c>
      <c r="CT30" s="108">
        <v>18</v>
      </c>
      <c r="CU30" s="108">
        <v>2505.6</v>
      </c>
    </row>
    <row r="31" spans="2:99" x14ac:dyDescent="0.2">
      <c r="C31" s="107" t="s">
        <v>196</v>
      </c>
      <c r="D31" s="108">
        <v>23</v>
      </c>
      <c r="E31" s="108">
        <v>7838.4000000000005</v>
      </c>
      <c r="F31" s="108">
        <v>14</v>
      </c>
      <c r="G31" s="108">
        <v>4771.2</v>
      </c>
      <c r="H31" s="108">
        <v>19</v>
      </c>
      <c r="I31" s="108">
        <v>6475.2</v>
      </c>
      <c r="J31" s="108">
        <v>18</v>
      </c>
      <c r="K31" s="108">
        <v>6134.4000000000005</v>
      </c>
      <c r="L31" s="108">
        <v>24</v>
      </c>
      <c r="M31" s="108">
        <v>8179.2000000000007</v>
      </c>
      <c r="N31" s="108">
        <v>29</v>
      </c>
      <c r="O31" s="108">
        <v>9883.2000000000007</v>
      </c>
      <c r="P31" s="108">
        <v>31</v>
      </c>
      <c r="Q31" s="108">
        <v>10564.800000000001</v>
      </c>
      <c r="R31" s="108">
        <v>23</v>
      </c>
      <c r="S31" s="108">
        <v>7838.4000000000005</v>
      </c>
      <c r="T31" s="108">
        <v>217</v>
      </c>
      <c r="U31" s="108">
        <v>73953.600000000006</v>
      </c>
      <c r="V31" s="108">
        <v>276</v>
      </c>
      <c r="W31" s="108">
        <v>94060.800000000003</v>
      </c>
      <c r="X31" s="108">
        <v>210</v>
      </c>
      <c r="Y31" s="108">
        <v>71568</v>
      </c>
      <c r="Z31" s="108">
        <v>118.57403070517836</v>
      </c>
      <c r="AA31" s="108">
        <v>40410.029664324786</v>
      </c>
      <c r="AB31" s="108">
        <v>35</v>
      </c>
      <c r="AC31" s="108">
        <v>11928</v>
      </c>
      <c r="AD31" s="108">
        <v>34</v>
      </c>
      <c r="AE31" s="108">
        <v>11587.2</v>
      </c>
      <c r="AF31" s="108">
        <v>31</v>
      </c>
      <c r="AG31" s="108">
        <v>10564.800000000001</v>
      </c>
      <c r="AH31" s="108">
        <v>21</v>
      </c>
      <c r="AI31" s="108">
        <v>7156.8</v>
      </c>
      <c r="AJ31" s="108">
        <v>26</v>
      </c>
      <c r="AK31" s="108">
        <v>8860.8000000000011</v>
      </c>
      <c r="AL31" s="108">
        <v>26</v>
      </c>
      <c r="AM31" s="108">
        <v>8860.8000000000011</v>
      </c>
      <c r="AN31" s="108">
        <v>32</v>
      </c>
      <c r="AO31" s="108">
        <v>10905.6</v>
      </c>
      <c r="AP31" s="108">
        <v>37</v>
      </c>
      <c r="AQ31" s="108">
        <v>12609.6</v>
      </c>
      <c r="AR31" s="108">
        <v>20</v>
      </c>
      <c r="AS31" s="108">
        <v>6816</v>
      </c>
      <c r="AT31" s="108">
        <v>17</v>
      </c>
      <c r="AU31" s="108">
        <v>5793.6</v>
      </c>
      <c r="AV31" s="108">
        <v>17</v>
      </c>
      <c r="AW31" s="108">
        <v>5793.6</v>
      </c>
      <c r="AX31" s="108">
        <v>20</v>
      </c>
      <c r="AY31" s="108">
        <v>6816</v>
      </c>
      <c r="AZ31" s="108">
        <v>25</v>
      </c>
      <c r="BA31" s="108">
        <v>8520</v>
      </c>
      <c r="BB31" s="108">
        <v>24</v>
      </c>
      <c r="BC31" s="108">
        <v>8179.2000000000007</v>
      </c>
      <c r="BD31" s="108">
        <v>19</v>
      </c>
      <c r="BE31" s="108">
        <v>6475.2</v>
      </c>
      <c r="BF31" s="108">
        <v>26</v>
      </c>
      <c r="BG31" s="108">
        <v>8860.8000000000011</v>
      </c>
      <c r="BH31" s="108">
        <v>17</v>
      </c>
      <c r="BI31" s="108">
        <v>5793.6</v>
      </c>
      <c r="BJ31" s="108">
        <v>15</v>
      </c>
      <c r="BK31" s="108">
        <v>5112</v>
      </c>
      <c r="BL31" s="108">
        <v>16</v>
      </c>
      <c r="BM31" s="108">
        <v>5452.8</v>
      </c>
      <c r="BN31" s="108">
        <v>16</v>
      </c>
      <c r="BO31" s="108">
        <v>5452.8</v>
      </c>
      <c r="BP31" s="108">
        <v>35</v>
      </c>
      <c r="BQ31" s="108">
        <v>11928</v>
      </c>
      <c r="BR31" s="108">
        <v>35</v>
      </c>
      <c r="BS31" s="108">
        <v>11928</v>
      </c>
      <c r="BT31" s="108">
        <v>25</v>
      </c>
      <c r="BU31" s="108">
        <v>8520</v>
      </c>
      <c r="BV31" s="108">
        <v>38</v>
      </c>
      <c r="BW31" s="108">
        <v>12950.4</v>
      </c>
      <c r="BX31" s="108">
        <v>234</v>
      </c>
      <c r="BY31" s="108">
        <v>79747.199999999997</v>
      </c>
      <c r="BZ31" s="108">
        <v>329</v>
      </c>
      <c r="CA31" s="108">
        <v>112123.2</v>
      </c>
      <c r="CB31" s="108">
        <v>334</v>
      </c>
      <c r="CC31" s="108">
        <v>113827.2</v>
      </c>
      <c r="CD31" s="108">
        <v>173</v>
      </c>
      <c r="CE31" s="108">
        <v>58958.400000000001</v>
      </c>
      <c r="CF31" s="108">
        <v>117</v>
      </c>
      <c r="CG31" s="108">
        <v>39873.599999999999</v>
      </c>
      <c r="CH31" s="108">
        <v>119.97020933977467</v>
      </c>
      <c r="CI31" s="108">
        <v>40885.847342995206</v>
      </c>
      <c r="CJ31" s="108">
        <v>88.855788096795308</v>
      </c>
      <c r="CK31" s="108">
        <v>30282.052583387842</v>
      </c>
      <c r="CL31" s="108">
        <v>87.266135587709329</v>
      </c>
      <c r="CM31" s="108">
        <v>29740.299008291338</v>
      </c>
      <c r="CN31" s="108">
        <v>23</v>
      </c>
      <c r="CO31" s="108">
        <v>7838.4000000000005</v>
      </c>
      <c r="CP31" s="108">
        <v>27</v>
      </c>
      <c r="CQ31" s="108">
        <v>9201.6</v>
      </c>
      <c r="CR31" s="108">
        <v>26</v>
      </c>
      <c r="CS31" s="108">
        <v>8860.8000000000011</v>
      </c>
      <c r="CT31" s="108">
        <v>18</v>
      </c>
      <c r="CU31" s="108">
        <v>6134.4000000000005</v>
      </c>
    </row>
    <row r="32" spans="2:99" x14ac:dyDescent="0.2">
      <c r="C32" s="107" t="s">
        <v>197</v>
      </c>
      <c r="D32" s="108">
        <v>20</v>
      </c>
      <c r="E32" s="108">
        <v>16800</v>
      </c>
      <c r="F32" s="108">
        <v>15</v>
      </c>
      <c r="G32" s="108">
        <v>12600</v>
      </c>
      <c r="H32" s="108">
        <v>18</v>
      </c>
      <c r="I32" s="108">
        <v>15120</v>
      </c>
      <c r="J32" s="108">
        <v>16</v>
      </c>
      <c r="K32" s="108">
        <v>13440</v>
      </c>
      <c r="L32" s="108">
        <v>23</v>
      </c>
      <c r="M32" s="108">
        <v>19320</v>
      </c>
      <c r="N32" s="108">
        <v>27</v>
      </c>
      <c r="O32" s="108">
        <v>22680</v>
      </c>
      <c r="P32" s="108">
        <v>29</v>
      </c>
      <c r="Q32" s="108">
        <v>24360</v>
      </c>
      <c r="R32" s="108">
        <v>20</v>
      </c>
      <c r="S32" s="108">
        <v>16800</v>
      </c>
      <c r="T32" s="108">
        <v>160</v>
      </c>
      <c r="U32" s="108">
        <v>134400</v>
      </c>
      <c r="V32" s="108">
        <v>232</v>
      </c>
      <c r="W32" s="108">
        <v>194880</v>
      </c>
      <c r="X32" s="108">
        <v>186</v>
      </c>
      <c r="Y32" s="108">
        <v>156240</v>
      </c>
      <c r="Z32" s="108">
        <v>92.172781680978474</v>
      </c>
      <c r="AA32" s="108">
        <v>77425.136612021917</v>
      </c>
      <c r="AB32" s="108">
        <v>31</v>
      </c>
      <c r="AC32" s="108">
        <v>26040</v>
      </c>
      <c r="AD32" s="108">
        <v>30</v>
      </c>
      <c r="AE32" s="108">
        <v>25200</v>
      </c>
      <c r="AF32" s="108">
        <v>25</v>
      </c>
      <c r="AG32" s="108">
        <v>21000</v>
      </c>
      <c r="AH32" s="108">
        <v>19</v>
      </c>
      <c r="AI32" s="108">
        <v>15960</v>
      </c>
      <c r="AJ32" s="108">
        <v>24</v>
      </c>
      <c r="AK32" s="108">
        <v>20160</v>
      </c>
      <c r="AL32" s="108">
        <v>22</v>
      </c>
      <c r="AM32" s="108">
        <v>18480</v>
      </c>
      <c r="AN32" s="108">
        <v>28</v>
      </c>
      <c r="AO32" s="108">
        <v>23520</v>
      </c>
      <c r="AP32" s="108">
        <v>29</v>
      </c>
      <c r="AQ32" s="108">
        <v>24360</v>
      </c>
      <c r="AR32" s="108">
        <v>20</v>
      </c>
      <c r="AS32" s="108">
        <v>16800</v>
      </c>
      <c r="AT32" s="108">
        <v>15</v>
      </c>
      <c r="AU32" s="108">
        <v>12600</v>
      </c>
      <c r="AV32" s="108">
        <v>17</v>
      </c>
      <c r="AW32" s="108">
        <v>14280</v>
      </c>
      <c r="AX32" s="108">
        <v>19</v>
      </c>
      <c r="AY32" s="108">
        <v>15960</v>
      </c>
      <c r="AZ32" s="108">
        <v>25</v>
      </c>
      <c r="BA32" s="108">
        <v>21000</v>
      </c>
      <c r="BB32" s="108">
        <v>26</v>
      </c>
      <c r="BC32" s="108">
        <v>21840</v>
      </c>
      <c r="BD32" s="108">
        <v>16</v>
      </c>
      <c r="BE32" s="108">
        <v>13440</v>
      </c>
      <c r="BF32" s="108">
        <v>25</v>
      </c>
      <c r="BG32" s="108">
        <v>21000</v>
      </c>
      <c r="BH32" s="108">
        <v>16</v>
      </c>
      <c r="BI32" s="108">
        <v>13440</v>
      </c>
      <c r="BJ32" s="108">
        <v>15</v>
      </c>
      <c r="BK32" s="108">
        <v>12600</v>
      </c>
      <c r="BL32" s="108">
        <v>13</v>
      </c>
      <c r="BM32" s="108">
        <v>10920</v>
      </c>
      <c r="BN32" s="108">
        <v>15</v>
      </c>
      <c r="BO32" s="108">
        <v>12600</v>
      </c>
      <c r="BP32" s="108">
        <v>29</v>
      </c>
      <c r="BQ32" s="108">
        <v>24360</v>
      </c>
      <c r="BR32" s="108">
        <v>28</v>
      </c>
      <c r="BS32" s="108">
        <v>23520</v>
      </c>
      <c r="BT32" s="108">
        <v>21</v>
      </c>
      <c r="BU32" s="108">
        <v>17640</v>
      </c>
      <c r="BV32" s="108">
        <v>34</v>
      </c>
      <c r="BW32" s="108">
        <v>28560</v>
      </c>
      <c r="BX32" s="108">
        <v>205</v>
      </c>
      <c r="BY32" s="108">
        <v>172200</v>
      </c>
      <c r="BZ32" s="108">
        <v>275</v>
      </c>
      <c r="CA32" s="108">
        <v>231000</v>
      </c>
      <c r="CB32" s="108">
        <v>238</v>
      </c>
      <c r="CC32" s="108">
        <v>199920</v>
      </c>
      <c r="CD32" s="108">
        <v>143</v>
      </c>
      <c r="CE32" s="108">
        <v>120120</v>
      </c>
      <c r="CF32" s="108">
        <v>112</v>
      </c>
      <c r="CG32" s="108">
        <v>94080</v>
      </c>
      <c r="CH32" s="108">
        <v>96.306360708534712</v>
      </c>
      <c r="CI32" s="108">
        <v>80897.342995169151</v>
      </c>
      <c r="CJ32" s="108">
        <v>76.862982341399629</v>
      </c>
      <c r="CK32" s="108">
        <v>64564.905166775687</v>
      </c>
      <c r="CL32" s="108">
        <v>72.63144204194441</v>
      </c>
      <c r="CM32" s="108">
        <v>61010.411315233301</v>
      </c>
      <c r="CN32" s="108">
        <v>21</v>
      </c>
      <c r="CO32" s="108">
        <v>17640</v>
      </c>
      <c r="CP32" s="108">
        <v>28</v>
      </c>
      <c r="CQ32" s="108">
        <v>23520</v>
      </c>
      <c r="CR32" s="108">
        <v>26</v>
      </c>
      <c r="CS32" s="108">
        <v>21840</v>
      </c>
      <c r="CT32" s="108">
        <v>17</v>
      </c>
      <c r="CU32" s="108">
        <v>14280</v>
      </c>
    </row>
    <row r="33" spans="2:99" x14ac:dyDescent="0.2">
      <c r="C33" s="107" t="s">
        <v>198</v>
      </c>
      <c r="D33" s="108">
        <v>21</v>
      </c>
      <c r="E33" s="108">
        <v>9954</v>
      </c>
      <c r="F33" s="108">
        <v>16</v>
      </c>
      <c r="G33" s="108">
        <v>7584</v>
      </c>
      <c r="H33" s="108">
        <v>21</v>
      </c>
      <c r="I33" s="108">
        <v>9954</v>
      </c>
      <c r="J33" s="108">
        <v>19</v>
      </c>
      <c r="K33" s="108">
        <v>9006</v>
      </c>
      <c r="L33" s="108">
        <v>21</v>
      </c>
      <c r="M33" s="108">
        <v>9954</v>
      </c>
      <c r="N33" s="108">
        <v>32</v>
      </c>
      <c r="O33" s="108">
        <v>15168</v>
      </c>
      <c r="P33" s="108">
        <v>31</v>
      </c>
      <c r="Q33" s="108">
        <v>14694</v>
      </c>
      <c r="R33" s="108">
        <v>22</v>
      </c>
      <c r="S33" s="108">
        <v>10428</v>
      </c>
      <c r="T33" s="108">
        <v>189</v>
      </c>
      <c r="U33" s="108">
        <v>89586</v>
      </c>
      <c r="V33" s="108">
        <v>258</v>
      </c>
      <c r="W33" s="108">
        <v>122292</v>
      </c>
      <c r="X33" s="108">
        <v>190</v>
      </c>
      <c r="Y33" s="108">
        <v>90060</v>
      </c>
      <c r="Z33" s="108">
        <v>102.82591725214685</v>
      </c>
      <c r="AA33" s="108">
        <v>48739.484777517609</v>
      </c>
      <c r="AB33" s="108">
        <v>36</v>
      </c>
      <c r="AC33" s="108">
        <v>17064</v>
      </c>
      <c r="AD33" s="108">
        <v>28</v>
      </c>
      <c r="AE33" s="108">
        <v>13272</v>
      </c>
      <c r="AF33" s="108">
        <v>30</v>
      </c>
      <c r="AG33" s="108">
        <v>14220</v>
      </c>
      <c r="AH33" s="108">
        <v>22</v>
      </c>
      <c r="AI33" s="108">
        <v>10428</v>
      </c>
      <c r="AJ33" s="108">
        <v>28</v>
      </c>
      <c r="AK33" s="108">
        <v>13272</v>
      </c>
      <c r="AL33" s="108">
        <v>23</v>
      </c>
      <c r="AM33" s="108">
        <v>10902</v>
      </c>
      <c r="AN33" s="108">
        <v>31</v>
      </c>
      <c r="AO33" s="108">
        <v>14694</v>
      </c>
      <c r="AP33" s="108">
        <v>33</v>
      </c>
      <c r="AQ33" s="108">
        <v>15642</v>
      </c>
      <c r="AR33" s="108">
        <v>20</v>
      </c>
      <c r="AS33" s="108">
        <v>9480</v>
      </c>
      <c r="AT33" s="108">
        <v>15</v>
      </c>
      <c r="AU33" s="108">
        <v>7110</v>
      </c>
      <c r="AV33" s="108">
        <v>19</v>
      </c>
      <c r="AW33" s="108">
        <v>9006</v>
      </c>
      <c r="AX33" s="108">
        <v>18</v>
      </c>
      <c r="AY33" s="108">
        <v>8532</v>
      </c>
      <c r="AZ33" s="108">
        <v>23</v>
      </c>
      <c r="BA33" s="108">
        <v>10902</v>
      </c>
      <c r="BB33" s="108">
        <v>27</v>
      </c>
      <c r="BC33" s="108">
        <v>12798</v>
      </c>
      <c r="BD33" s="108">
        <v>19</v>
      </c>
      <c r="BE33" s="108">
        <v>9006</v>
      </c>
      <c r="BF33" s="108">
        <v>24</v>
      </c>
      <c r="BG33" s="108">
        <v>11376</v>
      </c>
      <c r="BH33" s="108">
        <v>16</v>
      </c>
      <c r="BI33" s="108">
        <v>7584</v>
      </c>
      <c r="BJ33" s="108">
        <v>14</v>
      </c>
      <c r="BK33" s="108">
        <v>6636</v>
      </c>
      <c r="BL33" s="108">
        <v>13</v>
      </c>
      <c r="BM33" s="108">
        <v>6162</v>
      </c>
      <c r="BN33" s="108">
        <v>14</v>
      </c>
      <c r="BO33" s="108">
        <v>6636</v>
      </c>
      <c r="BP33" s="108">
        <v>33</v>
      </c>
      <c r="BQ33" s="108">
        <v>15642</v>
      </c>
      <c r="BR33" s="108">
        <v>35</v>
      </c>
      <c r="BS33" s="108">
        <v>16590</v>
      </c>
      <c r="BT33" s="108">
        <v>24</v>
      </c>
      <c r="BU33" s="108">
        <v>11376</v>
      </c>
      <c r="BV33" s="108">
        <v>40</v>
      </c>
      <c r="BW33" s="108">
        <v>18960</v>
      </c>
      <c r="BX33" s="108">
        <v>221</v>
      </c>
      <c r="BY33" s="108">
        <v>104754</v>
      </c>
      <c r="BZ33" s="108">
        <v>286</v>
      </c>
      <c r="CA33" s="108">
        <v>135564</v>
      </c>
      <c r="CB33" s="108">
        <v>293</v>
      </c>
      <c r="CC33" s="108">
        <v>138882</v>
      </c>
      <c r="CD33" s="108">
        <v>175</v>
      </c>
      <c r="CE33" s="108">
        <v>82950</v>
      </c>
      <c r="CF33" s="108">
        <v>134</v>
      </c>
      <c r="CG33" s="108">
        <v>63516</v>
      </c>
      <c r="CH33" s="108">
        <v>117.21859903381652</v>
      </c>
      <c r="CI33" s="108">
        <v>55561.615942029028</v>
      </c>
      <c r="CJ33" s="108">
        <v>91.036298234139977</v>
      </c>
      <c r="CK33" s="108">
        <v>43151.205362982349</v>
      </c>
      <c r="CL33" s="108">
        <v>79.677775971386779</v>
      </c>
      <c r="CM33" s="108">
        <v>37767.265810437333</v>
      </c>
      <c r="CN33" s="108">
        <v>20</v>
      </c>
      <c r="CO33" s="108">
        <v>9480</v>
      </c>
      <c r="CP33" s="108">
        <v>26</v>
      </c>
      <c r="CQ33" s="108">
        <v>12324</v>
      </c>
      <c r="CR33" s="108">
        <v>28</v>
      </c>
      <c r="CS33" s="108">
        <v>13272</v>
      </c>
      <c r="CT33" s="108">
        <v>20</v>
      </c>
      <c r="CU33" s="108">
        <v>9480</v>
      </c>
    </row>
    <row r="34" spans="2:99" x14ac:dyDescent="0.2">
      <c r="C34" s="107" t="s">
        <v>199</v>
      </c>
      <c r="D34" s="108">
        <v>23</v>
      </c>
      <c r="E34" s="108">
        <v>12613.199999999999</v>
      </c>
      <c r="F34" s="108">
        <v>15</v>
      </c>
      <c r="G34" s="108">
        <v>8226</v>
      </c>
      <c r="H34" s="108">
        <v>20</v>
      </c>
      <c r="I34" s="108">
        <v>10968</v>
      </c>
      <c r="J34" s="108">
        <v>19</v>
      </c>
      <c r="K34" s="108">
        <v>10419.6</v>
      </c>
      <c r="L34" s="108">
        <v>21</v>
      </c>
      <c r="M34" s="108">
        <v>11516.4</v>
      </c>
      <c r="N34" s="108">
        <v>30</v>
      </c>
      <c r="O34" s="108">
        <v>16452</v>
      </c>
      <c r="P34" s="108">
        <v>28</v>
      </c>
      <c r="Q34" s="108">
        <v>15355.199999999999</v>
      </c>
      <c r="R34" s="108">
        <v>21</v>
      </c>
      <c r="S34" s="108">
        <v>11516.4</v>
      </c>
      <c r="T34" s="108">
        <v>193</v>
      </c>
      <c r="U34" s="108">
        <v>105841.2</v>
      </c>
      <c r="V34" s="108">
        <v>252</v>
      </c>
      <c r="W34" s="108">
        <v>138196.79999999999</v>
      </c>
      <c r="X34" s="108">
        <v>177</v>
      </c>
      <c r="Y34" s="108">
        <v>97066.8</v>
      </c>
      <c r="Z34" s="108">
        <v>117.64767109029414</v>
      </c>
      <c r="AA34" s="108">
        <v>64517.982825917301</v>
      </c>
      <c r="AB34" s="108">
        <v>35</v>
      </c>
      <c r="AC34" s="108">
        <v>19194</v>
      </c>
      <c r="AD34" s="108">
        <v>31</v>
      </c>
      <c r="AE34" s="108">
        <v>17000.399999999998</v>
      </c>
      <c r="AF34" s="108">
        <v>31</v>
      </c>
      <c r="AG34" s="108">
        <v>17000.399999999998</v>
      </c>
      <c r="AH34" s="108">
        <v>20</v>
      </c>
      <c r="AI34" s="108">
        <v>10968</v>
      </c>
      <c r="AJ34" s="108">
        <v>25</v>
      </c>
      <c r="AK34" s="108">
        <v>13710</v>
      </c>
      <c r="AL34" s="108">
        <v>24</v>
      </c>
      <c r="AM34" s="108">
        <v>13161.599999999999</v>
      </c>
      <c r="AN34" s="108">
        <v>32</v>
      </c>
      <c r="AO34" s="108">
        <v>17548.8</v>
      </c>
      <c r="AP34" s="108">
        <v>31</v>
      </c>
      <c r="AQ34" s="108">
        <v>17000.399999999998</v>
      </c>
      <c r="AR34" s="108">
        <v>18</v>
      </c>
      <c r="AS34" s="108">
        <v>9871.1999999999989</v>
      </c>
      <c r="AT34" s="108">
        <v>17</v>
      </c>
      <c r="AU34" s="108">
        <v>9322.7999999999993</v>
      </c>
      <c r="AV34" s="108">
        <v>17</v>
      </c>
      <c r="AW34" s="108">
        <v>9322.7999999999993</v>
      </c>
      <c r="AX34" s="108">
        <v>20</v>
      </c>
      <c r="AY34" s="108">
        <v>10968</v>
      </c>
      <c r="AZ34" s="108">
        <v>23</v>
      </c>
      <c r="BA34" s="108">
        <v>12613.199999999999</v>
      </c>
      <c r="BB34" s="108">
        <v>25</v>
      </c>
      <c r="BC34" s="108">
        <v>13710</v>
      </c>
      <c r="BD34" s="108">
        <v>20</v>
      </c>
      <c r="BE34" s="108">
        <v>10968</v>
      </c>
      <c r="BF34" s="108">
        <v>22</v>
      </c>
      <c r="BG34" s="108">
        <v>12064.8</v>
      </c>
      <c r="BH34" s="108">
        <v>17</v>
      </c>
      <c r="BI34" s="108">
        <v>9322.7999999999993</v>
      </c>
      <c r="BJ34" s="108">
        <v>15</v>
      </c>
      <c r="BK34" s="108">
        <v>8226</v>
      </c>
      <c r="BL34" s="108">
        <v>13</v>
      </c>
      <c r="BM34" s="108">
        <v>7129.2</v>
      </c>
      <c r="BN34" s="108">
        <v>16</v>
      </c>
      <c r="BO34" s="108">
        <v>8774.4</v>
      </c>
      <c r="BP34" s="108">
        <v>29</v>
      </c>
      <c r="BQ34" s="108">
        <v>15903.599999999999</v>
      </c>
      <c r="BR34" s="108">
        <v>35</v>
      </c>
      <c r="BS34" s="108">
        <v>19194</v>
      </c>
      <c r="BT34" s="108">
        <v>25</v>
      </c>
      <c r="BU34" s="108">
        <v>13710</v>
      </c>
      <c r="BV34" s="108">
        <v>36</v>
      </c>
      <c r="BW34" s="108">
        <v>19742.399999999998</v>
      </c>
      <c r="BX34" s="108">
        <v>227</v>
      </c>
      <c r="BY34" s="108">
        <v>124486.79999999999</v>
      </c>
      <c r="BZ34" s="108">
        <v>293</v>
      </c>
      <c r="CA34" s="108">
        <v>160681.19999999998</v>
      </c>
      <c r="CB34" s="108">
        <v>289</v>
      </c>
      <c r="CC34" s="108">
        <v>158487.6</v>
      </c>
      <c r="CD34" s="108">
        <v>173</v>
      </c>
      <c r="CE34" s="108">
        <v>94873.2</v>
      </c>
      <c r="CF34" s="108">
        <v>122</v>
      </c>
      <c r="CG34" s="108">
        <v>66904.800000000003</v>
      </c>
      <c r="CH34" s="108">
        <v>104.56119162640911</v>
      </c>
      <c r="CI34" s="108">
        <v>57341.357487922753</v>
      </c>
      <c r="CJ34" s="108">
        <v>85.585022890778305</v>
      </c>
      <c r="CK34" s="108">
        <v>46934.826553302817</v>
      </c>
      <c r="CL34" s="108">
        <v>84.556007153308414</v>
      </c>
      <c r="CM34" s="108">
        <v>46370.514322874333</v>
      </c>
      <c r="CN34" s="108">
        <v>21</v>
      </c>
      <c r="CO34" s="108">
        <v>11516.4</v>
      </c>
      <c r="CP34" s="108">
        <v>29</v>
      </c>
      <c r="CQ34" s="108">
        <v>15903.599999999999</v>
      </c>
      <c r="CR34" s="108">
        <v>24</v>
      </c>
      <c r="CS34" s="108">
        <v>13161.599999999999</v>
      </c>
      <c r="CT34" s="108">
        <v>19</v>
      </c>
      <c r="CU34" s="108">
        <v>10419.6</v>
      </c>
    </row>
    <row r="35" spans="2:99" x14ac:dyDescent="0.2">
      <c r="C35" s="107" t="s">
        <v>200</v>
      </c>
      <c r="D35" s="108">
        <v>24</v>
      </c>
      <c r="E35" s="108">
        <v>12067.199999999997</v>
      </c>
      <c r="F35" s="108">
        <v>14</v>
      </c>
      <c r="G35" s="108">
        <v>7039.1999999999989</v>
      </c>
      <c r="H35" s="108">
        <v>20</v>
      </c>
      <c r="I35" s="108">
        <v>10055.999999999998</v>
      </c>
      <c r="J35" s="108">
        <v>18</v>
      </c>
      <c r="K35" s="108">
        <v>9050.3999999999978</v>
      </c>
      <c r="L35" s="108">
        <v>23</v>
      </c>
      <c r="M35" s="108">
        <v>11564.399999999998</v>
      </c>
      <c r="N35" s="108">
        <v>31</v>
      </c>
      <c r="O35" s="108">
        <v>15586.799999999997</v>
      </c>
      <c r="P35" s="108">
        <v>30</v>
      </c>
      <c r="Q35" s="108">
        <v>15083.999999999996</v>
      </c>
      <c r="R35" s="108">
        <v>20</v>
      </c>
      <c r="S35" s="108">
        <v>10055.999999999998</v>
      </c>
      <c r="T35" s="108">
        <v>193</v>
      </c>
      <c r="U35" s="108">
        <v>97040.39999999998</v>
      </c>
      <c r="V35" s="108">
        <v>241</v>
      </c>
      <c r="W35" s="108">
        <v>121174.79999999997</v>
      </c>
      <c r="X35" s="108">
        <v>201</v>
      </c>
      <c r="Y35" s="108">
        <v>101062.79999999997</v>
      </c>
      <c r="Z35" s="108">
        <v>122.74264897215728</v>
      </c>
      <c r="AA35" s="108">
        <v>61715.003903200668</v>
      </c>
      <c r="AB35" s="108">
        <v>36</v>
      </c>
      <c r="AC35" s="108">
        <v>18100.799999999996</v>
      </c>
      <c r="AD35" s="108">
        <v>32</v>
      </c>
      <c r="AE35" s="108">
        <v>16089.599999999997</v>
      </c>
      <c r="AF35" s="108">
        <v>29</v>
      </c>
      <c r="AG35" s="108">
        <v>14581.199999999997</v>
      </c>
      <c r="AH35" s="108">
        <v>20</v>
      </c>
      <c r="AI35" s="108">
        <v>10055.999999999998</v>
      </c>
      <c r="AJ35" s="108">
        <v>28</v>
      </c>
      <c r="AK35" s="108">
        <v>14078.399999999998</v>
      </c>
      <c r="AL35" s="108">
        <v>23</v>
      </c>
      <c r="AM35" s="108">
        <v>11564.399999999998</v>
      </c>
      <c r="AN35" s="108">
        <v>33</v>
      </c>
      <c r="AO35" s="108">
        <v>16592.399999999998</v>
      </c>
      <c r="AP35" s="108">
        <v>31</v>
      </c>
      <c r="AQ35" s="108">
        <v>15586.799999999997</v>
      </c>
      <c r="AR35" s="108">
        <v>19</v>
      </c>
      <c r="AS35" s="108">
        <v>9553.1999999999989</v>
      </c>
      <c r="AT35" s="108">
        <v>14</v>
      </c>
      <c r="AU35" s="108">
        <v>7039.1999999999989</v>
      </c>
      <c r="AV35" s="108">
        <v>16</v>
      </c>
      <c r="AW35" s="108">
        <v>8044.7999999999984</v>
      </c>
      <c r="AX35" s="108">
        <v>17</v>
      </c>
      <c r="AY35" s="108">
        <v>8547.5999999999985</v>
      </c>
      <c r="AZ35" s="108">
        <v>25</v>
      </c>
      <c r="BA35" s="108">
        <v>12569.999999999998</v>
      </c>
      <c r="BB35" s="108">
        <v>24</v>
      </c>
      <c r="BC35" s="108">
        <v>12067.199999999997</v>
      </c>
      <c r="BD35" s="108">
        <v>17</v>
      </c>
      <c r="BE35" s="108">
        <v>8547.5999999999985</v>
      </c>
      <c r="BF35" s="108">
        <v>23</v>
      </c>
      <c r="BG35" s="108">
        <v>11564.399999999998</v>
      </c>
      <c r="BH35" s="108">
        <v>16</v>
      </c>
      <c r="BI35" s="108">
        <v>8044.7999999999984</v>
      </c>
      <c r="BJ35" s="108">
        <v>14</v>
      </c>
      <c r="BK35" s="108">
        <v>7039.1999999999989</v>
      </c>
      <c r="BL35" s="108">
        <v>14</v>
      </c>
      <c r="BM35" s="108">
        <v>7039.1999999999989</v>
      </c>
      <c r="BN35" s="108">
        <v>15</v>
      </c>
      <c r="BO35" s="108">
        <v>7541.9999999999982</v>
      </c>
      <c r="BP35" s="108">
        <v>31</v>
      </c>
      <c r="BQ35" s="108">
        <v>15586.799999999997</v>
      </c>
      <c r="BR35" s="108">
        <v>31</v>
      </c>
      <c r="BS35" s="108">
        <v>15586.799999999997</v>
      </c>
      <c r="BT35" s="108">
        <v>22</v>
      </c>
      <c r="BU35" s="108">
        <v>11061.599999999999</v>
      </c>
      <c r="BV35" s="108">
        <v>41</v>
      </c>
      <c r="BW35" s="108">
        <v>20614.799999999996</v>
      </c>
      <c r="BX35" s="108">
        <v>217</v>
      </c>
      <c r="BY35" s="108">
        <v>109107.59999999998</v>
      </c>
      <c r="BZ35" s="108">
        <v>264</v>
      </c>
      <c r="CA35" s="108">
        <v>132739.19999999998</v>
      </c>
      <c r="CB35" s="108">
        <v>278</v>
      </c>
      <c r="CC35" s="108">
        <v>139778.39999999997</v>
      </c>
      <c r="CD35" s="108">
        <v>156</v>
      </c>
      <c r="CE35" s="108">
        <v>78436.799999999988</v>
      </c>
      <c r="CF35" s="108">
        <v>130</v>
      </c>
      <c r="CG35" s="108">
        <v>65363.999999999985</v>
      </c>
      <c r="CH35" s="108">
        <v>122.72181964573281</v>
      </c>
      <c r="CI35" s="108">
        <v>61704.530917874443</v>
      </c>
      <c r="CJ35" s="108">
        <v>86.130150425114479</v>
      </c>
      <c r="CK35" s="108">
        <v>43306.239633747551</v>
      </c>
      <c r="CL35" s="108">
        <v>80.76182734514714</v>
      </c>
      <c r="CM35" s="108">
        <v>40607.046789139975</v>
      </c>
      <c r="CN35" s="108">
        <v>22</v>
      </c>
      <c r="CO35" s="108">
        <v>11061.599999999999</v>
      </c>
      <c r="CP35" s="108">
        <v>27</v>
      </c>
      <c r="CQ35" s="108">
        <v>13575.599999999997</v>
      </c>
      <c r="CR35" s="108">
        <v>24</v>
      </c>
      <c r="CS35" s="108">
        <v>12067.199999999997</v>
      </c>
      <c r="CT35" s="108">
        <v>20</v>
      </c>
      <c r="CU35" s="108">
        <v>10055.999999999998</v>
      </c>
    </row>
    <row r="36" spans="2:99" x14ac:dyDescent="0.2">
      <c r="C36" s="107" t="s">
        <v>201</v>
      </c>
      <c r="D36" s="108">
        <v>22</v>
      </c>
      <c r="E36" s="108">
        <v>16737.599999999999</v>
      </c>
      <c r="F36" s="108">
        <v>15</v>
      </c>
      <c r="G36" s="108">
        <v>11412</v>
      </c>
      <c r="H36" s="108">
        <v>19</v>
      </c>
      <c r="I36" s="108">
        <v>14455.199999999999</v>
      </c>
      <c r="J36" s="108">
        <v>19</v>
      </c>
      <c r="K36" s="108">
        <v>14455.199999999999</v>
      </c>
      <c r="L36" s="108">
        <v>19</v>
      </c>
      <c r="M36" s="108">
        <v>14455.199999999999</v>
      </c>
      <c r="N36" s="108">
        <v>31</v>
      </c>
      <c r="O36" s="108">
        <v>23584.799999999999</v>
      </c>
      <c r="P36" s="108">
        <v>28</v>
      </c>
      <c r="Q36" s="108">
        <v>21302.399999999998</v>
      </c>
      <c r="R36" s="108">
        <v>21</v>
      </c>
      <c r="S36" s="108">
        <v>15976.8</v>
      </c>
      <c r="T36" s="108">
        <v>185</v>
      </c>
      <c r="U36" s="108">
        <v>140748</v>
      </c>
      <c r="V36" s="108">
        <v>234</v>
      </c>
      <c r="W36" s="108">
        <v>178027.19999999998</v>
      </c>
      <c r="X36" s="108">
        <v>181</v>
      </c>
      <c r="Y36" s="108">
        <v>137704.79999999999</v>
      </c>
      <c r="Z36" s="108">
        <v>93.099141295862694</v>
      </c>
      <c r="AA36" s="108">
        <v>70829.826697892335</v>
      </c>
      <c r="AB36" s="108">
        <v>36</v>
      </c>
      <c r="AC36" s="108">
        <v>27388.799999999999</v>
      </c>
      <c r="AD36" s="108">
        <v>32</v>
      </c>
      <c r="AE36" s="108">
        <v>24345.599999999999</v>
      </c>
      <c r="AF36" s="108">
        <v>29</v>
      </c>
      <c r="AG36" s="108">
        <v>22063.199999999997</v>
      </c>
      <c r="AH36" s="108">
        <v>21</v>
      </c>
      <c r="AI36" s="108">
        <v>15976.8</v>
      </c>
      <c r="AJ36" s="108">
        <v>26</v>
      </c>
      <c r="AK36" s="108">
        <v>19780.8</v>
      </c>
      <c r="AL36" s="108">
        <v>25</v>
      </c>
      <c r="AM36" s="108">
        <v>19020</v>
      </c>
      <c r="AN36" s="108">
        <v>33</v>
      </c>
      <c r="AO36" s="108">
        <v>25106.399999999998</v>
      </c>
      <c r="AP36" s="108">
        <v>33</v>
      </c>
      <c r="AQ36" s="108">
        <v>25106.399999999998</v>
      </c>
      <c r="AR36" s="108">
        <v>18</v>
      </c>
      <c r="AS36" s="108">
        <v>13694.4</v>
      </c>
      <c r="AT36" s="108">
        <v>16</v>
      </c>
      <c r="AU36" s="108">
        <v>12172.8</v>
      </c>
      <c r="AV36" s="108">
        <v>16</v>
      </c>
      <c r="AW36" s="108">
        <v>12172.8</v>
      </c>
      <c r="AX36" s="108">
        <v>18</v>
      </c>
      <c r="AY36" s="108">
        <v>13694.4</v>
      </c>
      <c r="AZ36" s="108">
        <v>23</v>
      </c>
      <c r="BA36" s="108">
        <v>17498.399999999998</v>
      </c>
      <c r="BB36" s="108">
        <v>23</v>
      </c>
      <c r="BC36" s="108">
        <v>17498.399999999998</v>
      </c>
      <c r="BD36" s="108">
        <v>16</v>
      </c>
      <c r="BE36" s="108">
        <v>12172.8</v>
      </c>
      <c r="BF36" s="108">
        <v>22</v>
      </c>
      <c r="BG36" s="108">
        <v>16737.599999999999</v>
      </c>
      <c r="BH36" s="108">
        <v>17</v>
      </c>
      <c r="BI36" s="108">
        <v>12933.599999999999</v>
      </c>
      <c r="BJ36" s="108">
        <v>14</v>
      </c>
      <c r="BK36" s="108">
        <v>10651.199999999999</v>
      </c>
      <c r="BL36" s="108">
        <v>13</v>
      </c>
      <c r="BM36" s="108">
        <v>9890.4</v>
      </c>
      <c r="BN36" s="108">
        <v>14</v>
      </c>
      <c r="BO36" s="108">
        <v>10651.199999999999</v>
      </c>
      <c r="BP36" s="108">
        <v>29</v>
      </c>
      <c r="BQ36" s="108">
        <v>22063.199999999997</v>
      </c>
      <c r="BR36" s="108">
        <v>32</v>
      </c>
      <c r="BS36" s="108">
        <v>24345.599999999999</v>
      </c>
      <c r="BT36" s="108">
        <v>23</v>
      </c>
      <c r="BU36" s="108">
        <v>17498.399999999998</v>
      </c>
      <c r="BV36" s="108">
        <v>34</v>
      </c>
      <c r="BW36" s="108">
        <v>25867.199999999997</v>
      </c>
      <c r="BX36" s="108">
        <v>210</v>
      </c>
      <c r="BY36" s="108">
        <v>159768</v>
      </c>
      <c r="BZ36" s="108">
        <v>277</v>
      </c>
      <c r="CA36" s="108">
        <v>210741.59999999998</v>
      </c>
      <c r="CB36" s="108">
        <v>274</v>
      </c>
      <c r="CC36" s="108">
        <v>208459.19999999998</v>
      </c>
      <c r="CD36" s="108">
        <v>139</v>
      </c>
      <c r="CE36" s="108">
        <v>105751.2</v>
      </c>
      <c r="CF36" s="108">
        <v>111</v>
      </c>
      <c r="CG36" s="108">
        <v>84448.799999999988</v>
      </c>
      <c r="CH36" s="108">
        <v>115.01731078905001</v>
      </c>
      <c r="CI36" s="108">
        <v>87505.170048309243</v>
      </c>
      <c r="CJ36" s="108">
        <v>83.404512753433636</v>
      </c>
      <c r="CK36" s="108">
        <v>63454.153302812309</v>
      </c>
      <c r="CL36" s="108">
        <v>78.593724597626405</v>
      </c>
      <c r="CM36" s="108">
        <v>59794.105673874168</v>
      </c>
      <c r="CN36" s="108">
        <v>20</v>
      </c>
      <c r="CO36" s="108">
        <v>15216</v>
      </c>
      <c r="CP36" s="108">
        <v>25</v>
      </c>
      <c r="CQ36" s="108">
        <v>19020</v>
      </c>
      <c r="CR36" s="108">
        <v>27</v>
      </c>
      <c r="CS36" s="108">
        <v>20541.599999999999</v>
      </c>
      <c r="CT36" s="108">
        <v>18</v>
      </c>
      <c r="CU36" s="108">
        <v>13694.4</v>
      </c>
    </row>
    <row r="37" spans="2:99" x14ac:dyDescent="0.2">
      <c r="B37" s="107" t="s">
        <v>128</v>
      </c>
      <c r="C37" s="107" t="s">
        <v>202</v>
      </c>
      <c r="D37" s="108">
        <v>17</v>
      </c>
      <c r="E37" s="108">
        <v>14626.8</v>
      </c>
      <c r="F37" s="108">
        <v>11</v>
      </c>
      <c r="G37" s="108">
        <v>9464.4</v>
      </c>
      <c r="H37" s="108">
        <v>12</v>
      </c>
      <c r="I37" s="108">
        <v>10324.799999999999</v>
      </c>
      <c r="J37" s="108">
        <v>12</v>
      </c>
      <c r="K37" s="108">
        <v>10324.799999999999</v>
      </c>
      <c r="L37" s="108">
        <v>33</v>
      </c>
      <c r="M37" s="108">
        <v>28393.200000000001</v>
      </c>
      <c r="N37" s="108">
        <v>41</v>
      </c>
      <c r="O37" s="108">
        <v>35276.400000000001</v>
      </c>
      <c r="P37" s="108">
        <v>36</v>
      </c>
      <c r="Q37" s="108">
        <v>30974.399999999998</v>
      </c>
      <c r="R37" s="108">
        <v>42</v>
      </c>
      <c r="S37" s="108">
        <v>36136.799999999996</v>
      </c>
      <c r="T37" s="108">
        <v>33</v>
      </c>
      <c r="U37" s="108">
        <v>28393.200000000001</v>
      </c>
      <c r="V37" s="108">
        <v>45</v>
      </c>
      <c r="W37" s="108">
        <v>38718</v>
      </c>
      <c r="X37" s="108">
        <v>50</v>
      </c>
      <c r="Y37" s="108">
        <v>43020</v>
      </c>
      <c r="Z37" s="108">
        <v>25.474889409315661</v>
      </c>
      <c r="AA37" s="108">
        <v>21918.594847775195</v>
      </c>
      <c r="AB37" s="108">
        <v>68</v>
      </c>
      <c r="AC37" s="108">
        <v>58507.199999999997</v>
      </c>
      <c r="AD37" s="108">
        <v>47</v>
      </c>
      <c r="AE37" s="108">
        <v>40438.799999999996</v>
      </c>
      <c r="AF37" s="108">
        <v>45</v>
      </c>
      <c r="AG37" s="108">
        <v>38718</v>
      </c>
      <c r="AH37" s="108">
        <v>46</v>
      </c>
      <c r="AI37" s="108">
        <v>39578.400000000001</v>
      </c>
      <c r="AJ37" s="108">
        <v>16</v>
      </c>
      <c r="AK37" s="108">
        <v>13766.4</v>
      </c>
      <c r="AL37" s="108">
        <v>23</v>
      </c>
      <c r="AM37" s="108">
        <v>19789.2</v>
      </c>
      <c r="AN37" s="108">
        <v>15</v>
      </c>
      <c r="AO37" s="108">
        <v>12906</v>
      </c>
      <c r="AP37" s="108">
        <v>24</v>
      </c>
      <c r="AQ37" s="108">
        <v>20649.599999999999</v>
      </c>
      <c r="AR37" s="108">
        <v>113</v>
      </c>
      <c r="AS37" s="108">
        <v>97225.2</v>
      </c>
      <c r="AT37" s="108">
        <v>72</v>
      </c>
      <c r="AU37" s="108">
        <v>61948.799999999996</v>
      </c>
      <c r="AV37" s="108">
        <v>111</v>
      </c>
      <c r="AW37" s="108">
        <v>95504.4</v>
      </c>
      <c r="AX37" s="108">
        <v>114</v>
      </c>
      <c r="AY37" s="108">
        <v>98085.599999999991</v>
      </c>
      <c r="AZ37" s="108">
        <v>17</v>
      </c>
      <c r="BA37" s="108">
        <v>14626.8</v>
      </c>
      <c r="BB37" s="108">
        <v>16</v>
      </c>
      <c r="BC37" s="108">
        <v>13766.4</v>
      </c>
      <c r="BD37" s="108">
        <v>23</v>
      </c>
      <c r="BE37" s="108">
        <v>19789.2</v>
      </c>
      <c r="BF37" s="108">
        <v>29</v>
      </c>
      <c r="BG37" s="108">
        <v>24951.599999999999</v>
      </c>
      <c r="BH37" s="108">
        <v>30</v>
      </c>
      <c r="BI37" s="108">
        <v>25812</v>
      </c>
      <c r="BJ37" s="108">
        <v>43</v>
      </c>
      <c r="BK37" s="108">
        <v>36997.199999999997</v>
      </c>
      <c r="BL37" s="108">
        <v>26</v>
      </c>
      <c r="BM37" s="108">
        <v>22370.399999999998</v>
      </c>
      <c r="BN37" s="108">
        <v>42</v>
      </c>
      <c r="BO37" s="108">
        <v>36136.799999999996</v>
      </c>
      <c r="BP37" s="108">
        <v>25</v>
      </c>
      <c r="BQ37" s="108">
        <v>21510</v>
      </c>
      <c r="BR37" s="108">
        <v>32</v>
      </c>
      <c r="BS37" s="108">
        <v>27532.799999999999</v>
      </c>
      <c r="BT37" s="108">
        <v>17</v>
      </c>
      <c r="BU37" s="108">
        <v>14626.8</v>
      </c>
      <c r="BV37" s="108">
        <v>17</v>
      </c>
      <c r="BW37" s="108">
        <v>14626.8</v>
      </c>
      <c r="BX37" s="108">
        <v>11</v>
      </c>
      <c r="BY37" s="108">
        <v>9464.4</v>
      </c>
      <c r="BZ37" s="108">
        <v>13</v>
      </c>
      <c r="CA37" s="108">
        <v>11185.199999999999</v>
      </c>
      <c r="CB37" s="108">
        <v>11</v>
      </c>
      <c r="CC37" s="108">
        <v>9464.4</v>
      </c>
      <c r="CD37" s="108">
        <v>13</v>
      </c>
      <c r="CE37" s="108">
        <v>11185.199999999999</v>
      </c>
      <c r="CF37" s="108">
        <v>49</v>
      </c>
      <c r="CG37" s="108">
        <v>42159.6</v>
      </c>
      <c r="CH37" s="108">
        <v>39.072866344605515</v>
      </c>
      <c r="CI37" s="108">
        <v>33618.294202898585</v>
      </c>
      <c r="CJ37" s="108">
        <v>28.346631785480714</v>
      </c>
      <c r="CK37" s="108">
        <v>24389.441988227605</v>
      </c>
      <c r="CL37" s="108">
        <v>35.773695334092018</v>
      </c>
      <c r="CM37" s="108">
        <v>30779.687465452771</v>
      </c>
      <c r="CN37" s="108">
        <v>39</v>
      </c>
      <c r="CO37" s="108">
        <v>33555.599999999999</v>
      </c>
      <c r="CP37" s="108">
        <v>34</v>
      </c>
      <c r="CQ37" s="108">
        <v>29253.599999999999</v>
      </c>
      <c r="CR37" s="108">
        <v>42</v>
      </c>
      <c r="CS37" s="108">
        <v>36136.799999999996</v>
      </c>
      <c r="CT37" s="108">
        <v>46</v>
      </c>
      <c r="CU37" s="108">
        <v>39578.400000000001</v>
      </c>
    </row>
    <row r="38" spans="2:99" x14ac:dyDescent="0.2">
      <c r="C38" s="107" t="s">
        <v>203</v>
      </c>
      <c r="D38" s="108">
        <v>15</v>
      </c>
      <c r="E38" s="108">
        <v>18630</v>
      </c>
      <c r="F38" s="108">
        <v>11</v>
      </c>
      <c r="G38" s="108">
        <v>13662</v>
      </c>
      <c r="H38" s="108">
        <v>12</v>
      </c>
      <c r="I38" s="108">
        <v>14904</v>
      </c>
      <c r="J38" s="108">
        <v>11</v>
      </c>
      <c r="K38" s="108">
        <v>13662</v>
      </c>
      <c r="L38" s="108">
        <v>28</v>
      </c>
      <c r="M38" s="108">
        <v>34776</v>
      </c>
      <c r="N38" s="108">
        <v>38</v>
      </c>
      <c r="O38" s="108">
        <v>47196</v>
      </c>
      <c r="P38" s="108">
        <v>35</v>
      </c>
      <c r="Q38" s="108">
        <v>43470</v>
      </c>
      <c r="R38" s="108">
        <v>35</v>
      </c>
      <c r="S38" s="108">
        <v>43470</v>
      </c>
      <c r="T38" s="108">
        <v>29</v>
      </c>
      <c r="U38" s="108">
        <v>36018</v>
      </c>
      <c r="V38" s="108">
        <v>43</v>
      </c>
      <c r="W38" s="108">
        <v>53406</v>
      </c>
      <c r="X38" s="108">
        <v>50</v>
      </c>
      <c r="Y38" s="108">
        <v>62100</v>
      </c>
      <c r="Z38" s="108">
        <v>20.379911527452528</v>
      </c>
      <c r="AA38" s="108">
        <v>25311.850117096041</v>
      </c>
      <c r="AB38" s="108">
        <v>62</v>
      </c>
      <c r="AC38" s="108">
        <v>77004</v>
      </c>
      <c r="AD38" s="108">
        <v>46</v>
      </c>
      <c r="AE38" s="108">
        <v>57132</v>
      </c>
      <c r="AF38" s="108">
        <v>38</v>
      </c>
      <c r="AG38" s="108">
        <v>47196</v>
      </c>
      <c r="AH38" s="108">
        <v>42</v>
      </c>
      <c r="AI38" s="108">
        <v>52164</v>
      </c>
      <c r="AJ38" s="108">
        <v>17</v>
      </c>
      <c r="AK38" s="108">
        <v>21114</v>
      </c>
      <c r="AL38" s="108">
        <v>23</v>
      </c>
      <c r="AM38" s="108">
        <v>28566</v>
      </c>
      <c r="AN38" s="108">
        <v>14</v>
      </c>
      <c r="AO38" s="108">
        <v>17388</v>
      </c>
      <c r="AP38" s="108">
        <v>24</v>
      </c>
      <c r="AQ38" s="108">
        <v>29808</v>
      </c>
      <c r="AR38" s="108">
        <v>104</v>
      </c>
      <c r="AS38" s="108">
        <v>129168</v>
      </c>
      <c r="AT38" s="108">
        <v>75</v>
      </c>
      <c r="AU38" s="108">
        <v>93150</v>
      </c>
      <c r="AV38" s="108">
        <v>96</v>
      </c>
      <c r="AW38" s="108">
        <v>119232</v>
      </c>
      <c r="AX38" s="108">
        <v>91</v>
      </c>
      <c r="AY38" s="108">
        <v>113022</v>
      </c>
      <c r="AZ38" s="108">
        <v>19</v>
      </c>
      <c r="BA38" s="108">
        <v>23598</v>
      </c>
      <c r="BB38" s="108">
        <v>16</v>
      </c>
      <c r="BC38" s="108">
        <v>19872</v>
      </c>
      <c r="BD38" s="108">
        <v>21</v>
      </c>
      <c r="BE38" s="108">
        <v>26082</v>
      </c>
      <c r="BF38" s="108">
        <v>27</v>
      </c>
      <c r="BG38" s="108">
        <v>33534</v>
      </c>
      <c r="BH38" s="108">
        <v>32</v>
      </c>
      <c r="BI38" s="108">
        <v>39744</v>
      </c>
      <c r="BJ38" s="108">
        <v>33</v>
      </c>
      <c r="BK38" s="108">
        <v>40986</v>
      </c>
      <c r="BL38" s="108">
        <v>23</v>
      </c>
      <c r="BM38" s="108">
        <v>28566</v>
      </c>
      <c r="BN38" s="108">
        <v>41</v>
      </c>
      <c r="BO38" s="108">
        <v>50922</v>
      </c>
      <c r="BP38" s="108">
        <v>22</v>
      </c>
      <c r="BQ38" s="108">
        <v>27324</v>
      </c>
      <c r="BR38" s="108">
        <v>28</v>
      </c>
      <c r="BS38" s="108">
        <v>34776</v>
      </c>
      <c r="BT38" s="108">
        <v>16</v>
      </c>
      <c r="BU38" s="108">
        <v>19872</v>
      </c>
      <c r="BV38" s="108">
        <v>15</v>
      </c>
      <c r="BW38" s="108">
        <v>18630</v>
      </c>
      <c r="BX38" s="108">
        <v>12</v>
      </c>
      <c r="BY38" s="108">
        <v>14904</v>
      </c>
      <c r="BZ38" s="108">
        <v>14</v>
      </c>
      <c r="CA38" s="108">
        <v>17388</v>
      </c>
      <c r="CB38" s="108">
        <v>11</v>
      </c>
      <c r="CC38" s="108">
        <v>13662</v>
      </c>
      <c r="CD38" s="108">
        <v>12</v>
      </c>
      <c r="CE38" s="108">
        <v>14904</v>
      </c>
      <c r="CF38" s="108">
        <v>55</v>
      </c>
      <c r="CG38" s="108">
        <v>68310</v>
      </c>
      <c r="CH38" s="108">
        <v>31.918679549114358</v>
      </c>
      <c r="CI38" s="108">
        <v>39643.000000000036</v>
      </c>
      <c r="CJ38" s="108">
        <v>27.256376716808379</v>
      </c>
      <c r="CK38" s="108">
        <v>33852.419882276008</v>
      </c>
      <c r="CL38" s="108">
        <v>38.483823768492933</v>
      </c>
      <c r="CM38" s="108">
        <v>47796.909120468219</v>
      </c>
      <c r="CN38" s="108">
        <v>36</v>
      </c>
      <c r="CO38" s="108">
        <v>44712</v>
      </c>
      <c r="CP38" s="108">
        <v>37</v>
      </c>
      <c r="CQ38" s="108">
        <v>45954</v>
      </c>
      <c r="CR38" s="108">
        <v>38</v>
      </c>
      <c r="CS38" s="108">
        <v>47196</v>
      </c>
      <c r="CT38" s="108">
        <v>45</v>
      </c>
      <c r="CU38" s="108">
        <v>55890</v>
      </c>
    </row>
    <row r="39" spans="2:99" x14ac:dyDescent="0.2">
      <c r="C39" s="107" t="s">
        <v>204</v>
      </c>
      <c r="D39" s="108">
        <v>16</v>
      </c>
      <c r="E39" s="108">
        <v>22771.200000000001</v>
      </c>
      <c r="F39" s="108">
        <v>10</v>
      </c>
      <c r="G39" s="108">
        <v>14232</v>
      </c>
      <c r="H39" s="108">
        <v>11</v>
      </c>
      <c r="I39" s="108">
        <v>15655.2</v>
      </c>
      <c r="J39" s="108">
        <v>11</v>
      </c>
      <c r="K39" s="108">
        <v>15655.2</v>
      </c>
      <c r="L39" s="108">
        <v>27</v>
      </c>
      <c r="M39" s="108">
        <v>38426.400000000001</v>
      </c>
      <c r="N39" s="108">
        <v>35</v>
      </c>
      <c r="O39" s="108">
        <v>49812</v>
      </c>
      <c r="P39" s="108">
        <v>33</v>
      </c>
      <c r="Q39" s="108">
        <v>46965.599999999999</v>
      </c>
      <c r="R39" s="108">
        <v>32</v>
      </c>
      <c r="S39" s="108">
        <v>45542.400000000001</v>
      </c>
      <c r="T39" s="108">
        <v>33</v>
      </c>
      <c r="U39" s="108">
        <v>46965.599999999999</v>
      </c>
      <c r="V39" s="108">
        <v>43</v>
      </c>
      <c r="W39" s="108">
        <v>61197.599999999999</v>
      </c>
      <c r="X39" s="108">
        <v>44</v>
      </c>
      <c r="Y39" s="108">
        <v>62620.800000000003</v>
      </c>
      <c r="Z39" s="108">
        <v>20.843091334894634</v>
      </c>
      <c r="AA39" s="108">
        <v>29663.887587822042</v>
      </c>
      <c r="AB39" s="108">
        <v>67</v>
      </c>
      <c r="AC39" s="108">
        <v>95354.400000000009</v>
      </c>
      <c r="AD39" s="108">
        <v>43</v>
      </c>
      <c r="AE39" s="108">
        <v>61197.599999999999</v>
      </c>
      <c r="AF39" s="108">
        <v>39</v>
      </c>
      <c r="AG39" s="108">
        <v>55504.800000000003</v>
      </c>
      <c r="AH39" s="108">
        <v>45</v>
      </c>
      <c r="AI39" s="108">
        <v>64044</v>
      </c>
      <c r="AJ39" s="108">
        <v>15</v>
      </c>
      <c r="AK39" s="108">
        <v>21348</v>
      </c>
      <c r="AL39" s="108">
        <v>20</v>
      </c>
      <c r="AM39" s="108">
        <v>28464</v>
      </c>
      <c r="AN39" s="108">
        <v>13</v>
      </c>
      <c r="AO39" s="108">
        <v>18501.600000000002</v>
      </c>
      <c r="AP39" s="108">
        <v>25</v>
      </c>
      <c r="AQ39" s="108">
        <v>35580</v>
      </c>
      <c r="AR39" s="108">
        <v>104</v>
      </c>
      <c r="AS39" s="108">
        <v>148012.80000000002</v>
      </c>
      <c r="AT39" s="108">
        <v>71</v>
      </c>
      <c r="AU39" s="108">
        <v>101047.2</v>
      </c>
      <c r="AV39" s="108">
        <v>93</v>
      </c>
      <c r="AW39" s="108">
        <v>132357.6</v>
      </c>
      <c r="AX39" s="108">
        <v>100</v>
      </c>
      <c r="AY39" s="108">
        <v>142320</v>
      </c>
      <c r="AZ39" s="108">
        <v>16</v>
      </c>
      <c r="BA39" s="108">
        <v>22771.200000000001</v>
      </c>
      <c r="BB39" s="108">
        <v>16</v>
      </c>
      <c r="BC39" s="108">
        <v>22771.200000000001</v>
      </c>
      <c r="BD39" s="108">
        <v>19</v>
      </c>
      <c r="BE39" s="108">
        <v>27040.799999999999</v>
      </c>
      <c r="BF39" s="108">
        <v>28</v>
      </c>
      <c r="BG39" s="108">
        <v>39849.599999999999</v>
      </c>
      <c r="BH39" s="108">
        <v>27</v>
      </c>
      <c r="BI39" s="108">
        <v>38426.400000000001</v>
      </c>
      <c r="BJ39" s="108">
        <v>36</v>
      </c>
      <c r="BK39" s="108">
        <v>51235.200000000004</v>
      </c>
      <c r="BL39" s="108">
        <v>24</v>
      </c>
      <c r="BM39" s="108">
        <v>34156.800000000003</v>
      </c>
      <c r="BN39" s="108">
        <v>35</v>
      </c>
      <c r="BO39" s="108">
        <v>49812</v>
      </c>
      <c r="BP39" s="108">
        <v>21</v>
      </c>
      <c r="BQ39" s="108">
        <v>29887.200000000001</v>
      </c>
      <c r="BR39" s="108">
        <v>29</v>
      </c>
      <c r="BS39" s="108">
        <v>41272.800000000003</v>
      </c>
      <c r="BT39" s="108">
        <v>16</v>
      </c>
      <c r="BU39" s="108">
        <v>22771.200000000001</v>
      </c>
      <c r="BV39" s="108">
        <v>16</v>
      </c>
      <c r="BW39" s="108">
        <v>22771.200000000001</v>
      </c>
      <c r="BX39" s="108">
        <v>12</v>
      </c>
      <c r="BY39" s="108">
        <v>17078.400000000001</v>
      </c>
      <c r="BZ39" s="108">
        <v>12</v>
      </c>
      <c r="CA39" s="108">
        <v>17078.400000000001</v>
      </c>
      <c r="CB39" s="108">
        <v>12</v>
      </c>
      <c r="CC39" s="108">
        <v>17078.400000000001</v>
      </c>
      <c r="CD39" s="108">
        <v>12</v>
      </c>
      <c r="CE39" s="108">
        <v>17078.400000000001</v>
      </c>
      <c r="CF39" s="108">
        <v>45</v>
      </c>
      <c r="CG39" s="108">
        <v>64044</v>
      </c>
      <c r="CH39" s="108">
        <v>34.67028985507249</v>
      </c>
      <c r="CI39" s="108">
        <v>49342.756521739168</v>
      </c>
      <c r="CJ39" s="108">
        <v>26.166121648136045</v>
      </c>
      <c r="CK39" s="108">
        <v>37239.624329627222</v>
      </c>
      <c r="CL39" s="108">
        <v>34.147618273451471</v>
      </c>
      <c r="CM39" s="108">
        <v>48598.890326776134</v>
      </c>
      <c r="CN39" s="108">
        <v>38</v>
      </c>
      <c r="CO39" s="108">
        <v>54081.599999999999</v>
      </c>
      <c r="CP39" s="108">
        <v>35</v>
      </c>
      <c r="CQ39" s="108">
        <v>49812</v>
      </c>
      <c r="CR39" s="108">
        <v>34</v>
      </c>
      <c r="CS39" s="108">
        <v>48388.800000000003</v>
      </c>
      <c r="CT39" s="108">
        <v>43</v>
      </c>
      <c r="CU39" s="108">
        <v>61197.599999999999</v>
      </c>
    </row>
    <row r="40" spans="2:99" x14ac:dyDescent="0.2">
      <c r="C40" s="107" t="s">
        <v>205</v>
      </c>
      <c r="D40" s="108">
        <v>18</v>
      </c>
      <c r="E40" s="108">
        <v>13046.4</v>
      </c>
      <c r="F40" s="108">
        <v>11</v>
      </c>
      <c r="G40" s="108">
        <v>7972.7999999999993</v>
      </c>
      <c r="H40" s="108">
        <v>13</v>
      </c>
      <c r="I40" s="108">
        <v>9422.4</v>
      </c>
      <c r="J40" s="108">
        <v>11</v>
      </c>
      <c r="K40" s="108">
        <v>7972.7999999999993</v>
      </c>
      <c r="L40" s="108">
        <v>31</v>
      </c>
      <c r="M40" s="108">
        <v>22468.799999999999</v>
      </c>
      <c r="N40" s="108">
        <v>42</v>
      </c>
      <c r="O40" s="108">
        <v>30441.599999999999</v>
      </c>
      <c r="P40" s="108">
        <v>42</v>
      </c>
      <c r="Q40" s="108">
        <v>30441.599999999999</v>
      </c>
      <c r="R40" s="108">
        <v>40</v>
      </c>
      <c r="S40" s="108">
        <v>28992</v>
      </c>
      <c r="T40" s="108">
        <v>38</v>
      </c>
      <c r="U40" s="108">
        <v>27542.399999999998</v>
      </c>
      <c r="V40" s="108">
        <v>53</v>
      </c>
      <c r="W40" s="108">
        <v>38414.399999999994</v>
      </c>
      <c r="X40" s="108">
        <v>57</v>
      </c>
      <c r="Y40" s="108">
        <v>41313.599999999999</v>
      </c>
      <c r="Z40" s="108">
        <v>24.085349986989353</v>
      </c>
      <c r="AA40" s="108">
        <v>17457.061670569881</v>
      </c>
      <c r="AB40" s="108">
        <v>78</v>
      </c>
      <c r="AC40" s="108">
        <v>56534.399999999994</v>
      </c>
      <c r="AD40" s="108">
        <v>51</v>
      </c>
      <c r="AE40" s="108">
        <v>36964.799999999996</v>
      </c>
      <c r="AF40" s="108">
        <v>48</v>
      </c>
      <c r="AG40" s="108">
        <v>34790.399999999994</v>
      </c>
      <c r="AH40" s="108">
        <v>50</v>
      </c>
      <c r="AI40" s="108">
        <v>36240</v>
      </c>
      <c r="AJ40" s="108">
        <v>16</v>
      </c>
      <c r="AK40" s="108">
        <v>11596.8</v>
      </c>
      <c r="AL40" s="108">
        <v>22</v>
      </c>
      <c r="AM40" s="108">
        <v>15945.599999999999</v>
      </c>
      <c r="AN40" s="108">
        <v>15</v>
      </c>
      <c r="AO40" s="108">
        <v>10872</v>
      </c>
      <c r="AP40" s="108">
        <v>26</v>
      </c>
      <c r="AQ40" s="108">
        <v>18844.8</v>
      </c>
      <c r="AR40" s="108">
        <v>122</v>
      </c>
      <c r="AS40" s="108">
        <v>88425.599999999991</v>
      </c>
      <c r="AT40" s="108">
        <v>89</v>
      </c>
      <c r="AU40" s="108">
        <v>64507.199999999997</v>
      </c>
      <c r="AV40" s="108">
        <v>108</v>
      </c>
      <c r="AW40" s="108">
        <v>78278.399999999994</v>
      </c>
      <c r="AX40" s="108">
        <v>119</v>
      </c>
      <c r="AY40" s="108">
        <v>86251.199999999997</v>
      </c>
      <c r="AZ40" s="108">
        <v>18</v>
      </c>
      <c r="BA40" s="108">
        <v>13046.4</v>
      </c>
      <c r="BB40" s="108">
        <v>17</v>
      </c>
      <c r="BC40" s="108">
        <v>12321.599999999999</v>
      </c>
      <c r="BD40" s="108">
        <v>23</v>
      </c>
      <c r="BE40" s="108">
        <v>16670.399999999998</v>
      </c>
      <c r="BF40" s="108">
        <v>29</v>
      </c>
      <c r="BG40" s="108">
        <v>21019.199999999997</v>
      </c>
      <c r="BH40" s="108">
        <v>30</v>
      </c>
      <c r="BI40" s="108">
        <v>21744</v>
      </c>
      <c r="BJ40" s="108">
        <v>43</v>
      </c>
      <c r="BK40" s="108">
        <v>31166.399999999998</v>
      </c>
      <c r="BL40" s="108">
        <v>25</v>
      </c>
      <c r="BM40" s="108">
        <v>18120</v>
      </c>
      <c r="BN40" s="108">
        <v>38</v>
      </c>
      <c r="BO40" s="108">
        <v>27542.399999999998</v>
      </c>
      <c r="BP40" s="108">
        <v>24</v>
      </c>
      <c r="BQ40" s="108">
        <v>17395.199999999997</v>
      </c>
      <c r="BR40" s="108">
        <v>34</v>
      </c>
      <c r="BS40" s="108">
        <v>24643.199999999997</v>
      </c>
      <c r="BT40" s="108">
        <v>19</v>
      </c>
      <c r="BU40" s="108">
        <v>13771.199999999999</v>
      </c>
      <c r="BV40" s="108">
        <v>16</v>
      </c>
      <c r="BW40" s="108">
        <v>11596.8</v>
      </c>
      <c r="BX40" s="108">
        <v>12</v>
      </c>
      <c r="BY40" s="108">
        <v>8697.5999999999985</v>
      </c>
      <c r="BZ40" s="108">
        <v>13</v>
      </c>
      <c r="CA40" s="108">
        <v>9422.4</v>
      </c>
      <c r="CB40" s="108">
        <v>12</v>
      </c>
      <c r="CC40" s="108">
        <v>8697.5999999999985</v>
      </c>
      <c r="CD40" s="108">
        <v>14</v>
      </c>
      <c r="CE40" s="108">
        <v>10147.199999999999</v>
      </c>
      <c r="CF40" s="108">
        <v>51</v>
      </c>
      <c r="CG40" s="108">
        <v>36964.799999999996</v>
      </c>
      <c r="CH40" s="108">
        <v>40.723832528180395</v>
      </c>
      <c r="CI40" s="108">
        <v>29516.63381642515</v>
      </c>
      <c r="CJ40" s="108">
        <v>29.982014388489215</v>
      </c>
      <c r="CK40" s="108">
        <v>21730.964028776983</v>
      </c>
      <c r="CL40" s="108">
        <v>40.65192651601366</v>
      </c>
      <c r="CM40" s="108">
        <v>29464.516338806698</v>
      </c>
      <c r="CN40" s="108">
        <v>44</v>
      </c>
      <c r="CO40" s="108">
        <v>31891.199999999997</v>
      </c>
      <c r="CP40" s="108">
        <v>35</v>
      </c>
      <c r="CQ40" s="108">
        <v>25368</v>
      </c>
      <c r="CR40" s="108">
        <v>42</v>
      </c>
      <c r="CS40" s="108">
        <v>30441.599999999999</v>
      </c>
      <c r="CT40" s="108">
        <v>43</v>
      </c>
      <c r="CU40" s="108">
        <v>31166.399999999998</v>
      </c>
    </row>
    <row r="41" spans="2:99" x14ac:dyDescent="0.2">
      <c r="C41" s="107" t="s">
        <v>206</v>
      </c>
      <c r="D41" s="108">
        <v>16</v>
      </c>
      <c r="E41" s="108">
        <v>10560</v>
      </c>
      <c r="F41" s="108">
        <v>11</v>
      </c>
      <c r="G41" s="108">
        <v>7260</v>
      </c>
      <c r="H41" s="108">
        <v>13</v>
      </c>
      <c r="I41" s="108">
        <v>8580</v>
      </c>
      <c r="J41" s="108">
        <v>11</v>
      </c>
      <c r="K41" s="108">
        <v>7260</v>
      </c>
      <c r="L41" s="108">
        <v>33</v>
      </c>
      <c r="M41" s="108">
        <v>21780</v>
      </c>
      <c r="N41" s="108">
        <v>44</v>
      </c>
      <c r="O41" s="108">
        <v>29040</v>
      </c>
      <c r="P41" s="108">
        <v>39</v>
      </c>
      <c r="Q41" s="108">
        <v>25740</v>
      </c>
      <c r="R41" s="108">
        <v>37</v>
      </c>
      <c r="S41" s="108">
        <v>24420</v>
      </c>
      <c r="T41" s="108">
        <v>34</v>
      </c>
      <c r="U41" s="108">
        <v>22440</v>
      </c>
      <c r="V41" s="108">
        <v>53</v>
      </c>
      <c r="W41" s="108">
        <v>34980</v>
      </c>
      <c r="X41" s="108">
        <v>52</v>
      </c>
      <c r="Y41" s="108">
        <v>34320</v>
      </c>
      <c r="Z41" s="108">
        <v>26.401249024199871</v>
      </c>
      <c r="AA41" s="108">
        <v>17424.824355971916</v>
      </c>
      <c r="AB41" s="108">
        <v>72</v>
      </c>
      <c r="AC41" s="108">
        <v>47520</v>
      </c>
      <c r="AD41" s="108">
        <v>52</v>
      </c>
      <c r="AE41" s="108">
        <v>34320</v>
      </c>
      <c r="AF41" s="108">
        <v>46</v>
      </c>
      <c r="AG41" s="108">
        <v>30360</v>
      </c>
      <c r="AH41" s="108">
        <v>55</v>
      </c>
      <c r="AI41" s="108">
        <v>36300</v>
      </c>
      <c r="AJ41" s="108">
        <v>16</v>
      </c>
      <c r="AK41" s="108">
        <v>10560</v>
      </c>
      <c r="AL41" s="108">
        <v>25</v>
      </c>
      <c r="AM41" s="108">
        <v>16500</v>
      </c>
      <c r="AN41" s="108">
        <v>16</v>
      </c>
      <c r="AO41" s="108">
        <v>10560</v>
      </c>
      <c r="AP41" s="108">
        <v>28</v>
      </c>
      <c r="AQ41" s="108">
        <v>18480</v>
      </c>
      <c r="AR41" s="108">
        <v>112</v>
      </c>
      <c r="AS41" s="108">
        <v>73920</v>
      </c>
      <c r="AT41" s="108">
        <v>80</v>
      </c>
      <c r="AU41" s="108">
        <v>52800</v>
      </c>
      <c r="AV41" s="108">
        <v>124</v>
      </c>
      <c r="AW41" s="108">
        <v>81840</v>
      </c>
      <c r="AX41" s="108">
        <v>113</v>
      </c>
      <c r="AY41" s="108">
        <v>74580</v>
      </c>
      <c r="AZ41" s="108">
        <v>19</v>
      </c>
      <c r="BA41" s="108">
        <v>12540</v>
      </c>
      <c r="BB41" s="108">
        <v>17</v>
      </c>
      <c r="BC41" s="108">
        <v>11220</v>
      </c>
      <c r="BD41" s="108">
        <v>21</v>
      </c>
      <c r="BE41" s="108">
        <v>13860</v>
      </c>
      <c r="BF41" s="108">
        <v>32</v>
      </c>
      <c r="BG41" s="108">
        <v>21120</v>
      </c>
      <c r="BH41" s="108">
        <v>34</v>
      </c>
      <c r="BI41" s="108">
        <v>22440</v>
      </c>
      <c r="BJ41" s="108">
        <v>37</v>
      </c>
      <c r="BK41" s="108">
        <v>24420</v>
      </c>
      <c r="BL41" s="108">
        <v>29</v>
      </c>
      <c r="BM41" s="108">
        <v>19140</v>
      </c>
      <c r="BN41" s="108">
        <v>42</v>
      </c>
      <c r="BO41" s="108">
        <v>27720</v>
      </c>
      <c r="BP41" s="108">
        <v>25</v>
      </c>
      <c r="BQ41" s="108">
        <v>16500</v>
      </c>
      <c r="BR41" s="108">
        <v>33</v>
      </c>
      <c r="BS41" s="108">
        <v>21780</v>
      </c>
      <c r="BT41" s="108">
        <v>20</v>
      </c>
      <c r="BU41" s="108">
        <v>13200</v>
      </c>
      <c r="BV41" s="108">
        <v>19</v>
      </c>
      <c r="BW41" s="108">
        <v>12540</v>
      </c>
      <c r="BX41" s="108">
        <v>12</v>
      </c>
      <c r="BY41" s="108">
        <v>7920</v>
      </c>
      <c r="BZ41" s="108">
        <v>14</v>
      </c>
      <c r="CA41" s="108">
        <v>9240</v>
      </c>
      <c r="CB41" s="108">
        <v>12</v>
      </c>
      <c r="CC41" s="108">
        <v>7920</v>
      </c>
      <c r="CD41" s="108">
        <v>12</v>
      </c>
      <c r="CE41" s="108">
        <v>7920</v>
      </c>
      <c r="CF41" s="108">
        <v>61</v>
      </c>
      <c r="CG41" s="108">
        <v>40260</v>
      </c>
      <c r="CH41" s="108">
        <v>41.824476650563646</v>
      </c>
      <c r="CI41" s="108">
        <v>27604.154589372007</v>
      </c>
      <c r="CJ41" s="108">
        <v>32.707652060170055</v>
      </c>
      <c r="CK41" s="108">
        <v>21587.050359712237</v>
      </c>
      <c r="CL41" s="108">
        <v>41.735977889774027</v>
      </c>
      <c r="CM41" s="108">
        <v>27545.745407250859</v>
      </c>
      <c r="CN41" s="108">
        <v>47</v>
      </c>
      <c r="CO41" s="108">
        <v>31020</v>
      </c>
      <c r="CP41" s="108">
        <v>37</v>
      </c>
      <c r="CQ41" s="108">
        <v>24420</v>
      </c>
      <c r="CR41" s="108">
        <v>39</v>
      </c>
      <c r="CS41" s="108">
        <v>25740</v>
      </c>
      <c r="CT41" s="108">
        <v>44</v>
      </c>
      <c r="CU41" s="108">
        <v>29040</v>
      </c>
    </row>
    <row r="42" spans="2:99" x14ac:dyDescent="0.2">
      <c r="C42" s="107" t="s">
        <v>207</v>
      </c>
      <c r="D42" s="108">
        <v>16</v>
      </c>
      <c r="E42" s="108">
        <v>13536</v>
      </c>
      <c r="F42" s="108">
        <v>12</v>
      </c>
      <c r="G42" s="108">
        <v>10152</v>
      </c>
      <c r="H42" s="108">
        <v>11</v>
      </c>
      <c r="I42" s="108">
        <v>9306</v>
      </c>
      <c r="J42" s="108">
        <v>11</v>
      </c>
      <c r="K42" s="108">
        <v>9306</v>
      </c>
      <c r="L42" s="108">
        <v>33</v>
      </c>
      <c r="M42" s="108">
        <v>27918</v>
      </c>
      <c r="N42" s="108">
        <v>44</v>
      </c>
      <c r="O42" s="108">
        <v>37224</v>
      </c>
      <c r="P42" s="108">
        <v>38</v>
      </c>
      <c r="Q42" s="108">
        <v>32148</v>
      </c>
      <c r="R42" s="108">
        <v>38</v>
      </c>
      <c r="S42" s="108">
        <v>32148</v>
      </c>
      <c r="T42" s="108">
        <v>33</v>
      </c>
      <c r="U42" s="108">
        <v>27918</v>
      </c>
      <c r="V42" s="108">
        <v>47</v>
      </c>
      <c r="W42" s="108">
        <v>39762</v>
      </c>
      <c r="X42" s="108">
        <v>55</v>
      </c>
      <c r="Y42" s="108">
        <v>46530</v>
      </c>
      <c r="Z42" s="108">
        <v>22.232630757220942</v>
      </c>
      <c r="AA42" s="108">
        <v>18808.805620608917</v>
      </c>
      <c r="AB42" s="108">
        <v>77</v>
      </c>
      <c r="AC42" s="108">
        <v>65142</v>
      </c>
      <c r="AD42" s="108">
        <v>51</v>
      </c>
      <c r="AE42" s="108">
        <v>43146</v>
      </c>
      <c r="AF42" s="108">
        <v>47</v>
      </c>
      <c r="AG42" s="108">
        <v>39762</v>
      </c>
      <c r="AH42" s="108">
        <v>48</v>
      </c>
      <c r="AI42" s="108">
        <v>40608</v>
      </c>
      <c r="AJ42" s="108">
        <v>16</v>
      </c>
      <c r="AK42" s="108">
        <v>13536</v>
      </c>
      <c r="AL42" s="108">
        <v>24</v>
      </c>
      <c r="AM42" s="108">
        <v>20304</v>
      </c>
      <c r="AN42" s="108">
        <v>15</v>
      </c>
      <c r="AO42" s="108">
        <v>12690</v>
      </c>
      <c r="AP42" s="108">
        <v>28</v>
      </c>
      <c r="AQ42" s="108">
        <v>23688</v>
      </c>
      <c r="AR42" s="108">
        <v>103</v>
      </c>
      <c r="AS42" s="108">
        <v>87138</v>
      </c>
      <c r="AT42" s="108">
        <v>79</v>
      </c>
      <c r="AU42" s="108">
        <v>66834</v>
      </c>
      <c r="AV42" s="108">
        <v>111</v>
      </c>
      <c r="AW42" s="108">
        <v>93906</v>
      </c>
      <c r="AX42" s="108">
        <v>98</v>
      </c>
      <c r="AY42" s="108">
        <v>82908</v>
      </c>
      <c r="AZ42" s="108">
        <v>18</v>
      </c>
      <c r="BA42" s="108">
        <v>15228</v>
      </c>
      <c r="BB42" s="108">
        <v>16</v>
      </c>
      <c r="BC42" s="108">
        <v>13536</v>
      </c>
      <c r="BD42" s="108">
        <v>20</v>
      </c>
      <c r="BE42" s="108">
        <v>16920</v>
      </c>
      <c r="BF42" s="108">
        <v>33</v>
      </c>
      <c r="BG42" s="108">
        <v>27918</v>
      </c>
      <c r="BH42" s="108">
        <v>30</v>
      </c>
      <c r="BI42" s="108">
        <v>25380</v>
      </c>
      <c r="BJ42" s="108">
        <v>37</v>
      </c>
      <c r="BK42" s="108">
        <v>31302</v>
      </c>
      <c r="BL42" s="108">
        <v>25</v>
      </c>
      <c r="BM42" s="108">
        <v>21150</v>
      </c>
      <c r="BN42" s="108">
        <v>41</v>
      </c>
      <c r="BO42" s="108">
        <v>34686</v>
      </c>
      <c r="BP42" s="108">
        <v>23</v>
      </c>
      <c r="BQ42" s="108">
        <v>19458</v>
      </c>
      <c r="BR42" s="108">
        <v>30</v>
      </c>
      <c r="BS42" s="108">
        <v>25380</v>
      </c>
      <c r="BT42" s="108">
        <v>19</v>
      </c>
      <c r="BU42" s="108">
        <v>16074</v>
      </c>
      <c r="BV42" s="108">
        <v>15</v>
      </c>
      <c r="BW42" s="108">
        <v>12690</v>
      </c>
      <c r="BX42" s="108">
        <v>12</v>
      </c>
      <c r="BY42" s="108">
        <v>10152</v>
      </c>
      <c r="BZ42" s="108">
        <v>15</v>
      </c>
      <c r="CA42" s="108">
        <v>12690</v>
      </c>
      <c r="CB42" s="108">
        <v>11</v>
      </c>
      <c r="CC42" s="108">
        <v>9306</v>
      </c>
      <c r="CD42" s="108">
        <v>13</v>
      </c>
      <c r="CE42" s="108">
        <v>10998</v>
      </c>
      <c r="CF42" s="108">
        <v>53</v>
      </c>
      <c r="CG42" s="108">
        <v>44838</v>
      </c>
      <c r="CH42" s="108">
        <v>41.274154589372017</v>
      </c>
      <c r="CI42" s="108">
        <v>34917.934782608725</v>
      </c>
      <c r="CJ42" s="108">
        <v>28.891759319816881</v>
      </c>
      <c r="CK42" s="108">
        <v>24442.428384565083</v>
      </c>
      <c r="CL42" s="108">
        <v>39.025849455373113</v>
      </c>
      <c r="CM42" s="108">
        <v>33015.868639245651</v>
      </c>
      <c r="CN42" s="108">
        <v>40</v>
      </c>
      <c r="CO42" s="108">
        <v>33840</v>
      </c>
      <c r="CP42" s="108">
        <v>34</v>
      </c>
      <c r="CQ42" s="108">
        <v>28764</v>
      </c>
      <c r="CR42" s="108">
        <v>39</v>
      </c>
      <c r="CS42" s="108">
        <v>32994</v>
      </c>
      <c r="CT42" s="108">
        <v>45</v>
      </c>
      <c r="CU42" s="108">
        <v>38070</v>
      </c>
    </row>
    <row r="43" spans="2:99" x14ac:dyDescent="0.2">
      <c r="C43" s="107" t="s">
        <v>208</v>
      </c>
      <c r="D43" s="108">
        <v>15</v>
      </c>
      <c r="E43" s="108">
        <v>15336</v>
      </c>
      <c r="F43" s="108">
        <v>10</v>
      </c>
      <c r="G43" s="108">
        <v>10224</v>
      </c>
      <c r="H43" s="108">
        <v>12</v>
      </c>
      <c r="I43" s="108">
        <v>12268.8</v>
      </c>
      <c r="J43" s="108">
        <v>12</v>
      </c>
      <c r="K43" s="108">
        <v>12268.8</v>
      </c>
      <c r="L43" s="108">
        <v>30</v>
      </c>
      <c r="M43" s="108">
        <v>30672</v>
      </c>
      <c r="N43" s="108">
        <v>41</v>
      </c>
      <c r="O43" s="108">
        <v>41918.400000000001</v>
      </c>
      <c r="P43" s="108">
        <v>36</v>
      </c>
      <c r="Q43" s="108">
        <v>36806.400000000001</v>
      </c>
      <c r="R43" s="108">
        <v>37</v>
      </c>
      <c r="S43" s="108">
        <v>37828.799999999996</v>
      </c>
      <c r="T43" s="108">
        <v>36</v>
      </c>
      <c r="U43" s="108">
        <v>36806.400000000001</v>
      </c>
      <c r="V43" s="108">
        <v>51</v>
      </c>
      <c r="W43" s="108">
        <v>52142.400000000001</v>
      </c>
      <c r="X43" s="108">
        <v>47</v>
      </c>
      <c r="Y43" s="108">
        <v>48052.799999999996</v>
      </c>
      <c r="Z43" s="108">
        <v>24.548529794431456</v>
      </c>
      <c r="AA43" s="108">
        <v>25098.416861826721</v>
      </c>
      <c r="AB43" s="108">
        <v>73</v>
      </c>
      <c r="AC43" s="108">
        <v>74635.199999999997</v>
      </c>
      <c r="AD43" s="108">
        <v>44</v>
      </c>
      <c r="AE43" s="108">
        <v>44985.599999999999</v>
      </c>
      <c r="AF43" s="108">
        <v>41</v>
      </c>
      <c r="AG43" s="108">
        <v>41918.400000000001</v>
      </c>
      <c r="AH43" s="108">
        <v>48</v>
      </c>
      <c r="AI43" s="108">
        <v>49075.199999999997</v>
      </c>
      <c r="AJ43" s="108">
        <v>16</v>
      </c>
      <c r="AK43" s="108">
        <v>16358.4</v>
      </c>
      <c r="AL43" s="108">
        <v>24</v>
      </c>
      <c r="AM43" s="108">
        <v>24537.599999999999</v>
      </c>
      <c r="AN43" s="108">
        <v>15</v>
      </c>
      <c r="AO43" s="108">
        <v>15336</v>
      </c>
      <c r="AP43" s="108">
        <v>26</v>
      </c>
      <c r="AQ43" s="108">
        <v>26582.399999999998</v>
      </c>
      <c r="AR43" s="108">
        <v>106</v>
      </c>
      <c r="AS43" s="108">
        <v>108374.39999999999</v>
      </c>
      <c r="AT43" s="108">
        <v>74</v>
      </c>
      <c r="AU43" s="108">
        <v>75657.599999999991</v>
      </c>
      <c r="AV43" s="108">
        <v>99</v>
      </c>
      <c r="AW43" s="108">
        <v>101217.59999999999</v>
      </c>
      <c r="AX43" s="108">
        <v>93</v>
      </c>
      <c r="AY43" s="108">
        <v>95083.199999999997</v>
      </c>
      <c r="AZ43" s="108">
        <v>17</v>
      </c>
      <c r="BA43" s="108">
        <v>17380.8</v>
      </c>
      <c r="BB43" s="108">
        <v>15</v>
      </c>
      <c r="BC43" s="108">
        <v>15336</v>
      </c>
      <c r="BD43" s="108">
        <v>23</v>
      </c>
      <c r="BE43" s="108">
        <v>23515.200000000001</v>
      </c>
      <c r="BF43" s="108">
        <v>30</v>
      </c>
      <c r="BG43" s="108">
        <v>30672</v>
      </c>
      <c r="BH43" s="108">
        <v>31</v>
      </c>
      <c r="BI43" s="108">
        <v>31694.399999999998</v>
      </c>
      <c r="BJ43" s="108">
        <v>38</v>
      </c>
      <c r="BK43" s="108">
        <v>38851.199999999997</v>
      </c>
      <c r="BL43" s="108">
        <v>23</v>
      </c>
      <c r="BM43" s="108">
        <v>23515.200000000001</v>
      </c>
      <c r="BN43" s="108">
        <v>42</v>
      </c>
      <c r="BO43" s="108">
        <v>42940.799999999996</v>
      </c>
      <c r="BP43" s="108">
        <v>23</v>
      </c>
      <c r="BQ43" s="108">
        <v>23515.200000000001</v>
      </c>
      <c r="BR43" s="108">
        <v>31</v>
      </c>
      <c r="BS43" s="108">
        <v>31694.399999999998</v>
      </c>
      <c r="BT43" s="108">
        <v>19</v>
      </c>
      <c r="BU43" s="108">
        <v>19425.599999999999</v>
      </c>
      <c r="BV43" s="108">
        <v>15</v>
      </c>
      <c r="BW43" s="108">
        <v>15336</v>
      </c>
      <c r="BX43" s="108">
        <v>10</v>
      </c>
      <c r="BY43" s="108">
        <v>10224</v>
      </c>
      <c r="BZ43" s="108">
        <v>14</v>
      </c>
      <c r="CA43" s="108">
        <v>14313.6</v>
      </c>
      <c r="CB43" s="108">
        <v>12</v>
      </c>
      <c r="CC43" s="108">
        <v>12268.8</v>
      </c>
      <c r="CD43" s="108">
        <v>12</v>
      </c>
      <c r="CE43" s="108">
        <v>12268.8</v>
      </c>
      <c r="CF43" s="108">
        <v>47</v>
      </c>
      <c r="CG43" s="108">
        <v>48052.799999999996</v>
      </c>
      <c r="CH43" s="108">
        <v>32.469001610305988</v>
      </c>
      <c r="CI43" s="108">
        <v>33196.30724637684</v>
      </c>
      <c r="CJ43" s="108">
        <v>26.711249182472212</v>
      </c>
      <c r="CK43" s="108">
        <v>27309.58116415959</v>
      </c>
      <c r="CL43" s="108">
        <v>37.941798081612752</v>
      </c>
      <c r="CM43" s="108">
        <v>38791.694358640874</v>
      </c>
      <c r="CN43" s="108">
        <v>40</v>
      </c>
      <c r="CO43" s="108">
        <v>40896</v>
      </c>
      <c r="CP43" s="108">
        <v>38</v>
      </c>
      <c r="CQ43" s="108">
        <v>38851.199999999997</v>
      </c>
      <c r="CR43" s="108">
        <v>37</v>
      </c>
      <c r="CS43" s="108">
        <v>37828.799999999996</v>
      </c>
      <c r="CT43" s="108">
        <v>46</v>
      </c>
      <c r="CU43" s="108">
        <v>47030.400000000001</v>
      </c>
    </row>
    <row r="44" spans="2:99" x14ac:dyDescent="0.2">
      <c r="C44" s="107" t="s">
        <v>209</v>
      </c>
      <c r="D44" s="108">
        <v>17</v>
      </c>
      <c r="E44" s="108">
        <v>17380.8</v>
      </c>
      <c r="F44" s="108">
        <v>12</v>
      </c>
      <c r="G44" s="108">
        <v>12268.8</v>
      </c>
      <c r="H44" s="108">
        <v>12</v>
      </c>
      <c r="I44" s="108">
        <v>12268.8</v>
      </c>
      <c r="J44" s="108">
        <v>11</v>
      </c>
      <c r="K44" s="108">
        <v>11246.4</v>
      </c>
      <c r="L44" s="108">
        <v>30</v>
      </c>
      <c r="M44" s="108">
        <v>30672</v>
      </c>
      <c r="N44" s="108">
        <v>42</v>
      </c>
      <c r="O44" s="108">
        <v>42940.799999999996</v>
      </c>
      <c r="P44" s="108">
        <v>33</v>
      </c>
      <c r="Q44" s="108">
        <v>33739.199999999997</v>
      </c>
      <c r="R44" s="108">
        <v>36</v>
      </c>
      <c r="S44" s="108">
        <v>36806.400000000001</v>
      </c>
      <c r="T44" s="108">
        <v>31</v>
      </c>
      <c r="U44" s="108">
        <v>31694.399999999998</v>
      </c>
      <c r="V44" s="108">
        <v>46</v>
      </c>
      <c r="W44" s="108">
        <v>47030.400000000001</v>
      </c>
      <c r="X44" s="108">
        <v>50</v>
      </c>
      <c r="Y44" s="108">
        <v>51120</v>
      </c>
      <c r="Z44" s="108">
        <v>23.622170179547251</v>
      </c>
      <c r="AA44" s="108">
        <v>24151.30679156911</v>
      </c>
      <c r="AB44" s="108">
        <v>68</v>
      </c>
      <c r="AC44" s="108">
        <v>69523.199999999997</v>
      </c>
      <c r="AD44" s="108">
        <v>49</v>
      </c>
      <c r="AE44" s="108">
        <v>50097.599999999999</v>
      </c>
      <c r="AF44" s="108">
        <v>43</v>
      </c>
      <c r="AG44" s="108">
        <v>43963.199999999997</v>
      </c>
      <c r="AH44" s="108">
        <v>45</v>
      </c>
      <c r="AI44" s="108">
        <v>46008</v>
      </c>
      <c r="AJ44" s="108">
        <v>16</v>
      </c>
      <c r="AK44" s="108">
        <v>16358.4</v>
      </c>
      <c r="AL44" s="108">
        <v>24</v>
      </c>
      <c r="AM44" s="108">
        <v>24537.599999999999</v>
      </c>
      <c r="AN44" s="108">
        <v>14</v>
      </c>
      <c r="AO44" s="108">
        <v>14313.6</v>
      </c>
      <c r="AP44" s="108">
        <v>27</v>
      </c>
      <c r="AQ44" s="108">
        <v>27604.799999999999</v>
      </c>
      <c r="AR44" s="108">
        <v>99</v>
      </c>
      <c r="AS44" s="108">
        <v>101217.59999999999</v>
      </c>
      <c r="AT44" s="108">
        <v>72</v>
      </c>
      <c r="AU44" s="108">
        <v>73612.800000000003</v>
      </c>
      <c r="AV44" s="108">
        <v>108</v>
      </c>
      <c r="AW44" s="108">
        <v>110419.2</v>
      </c>
      <c r="AX44" s="108">
        <v>107</v>
      </c>
      <c r="AY44" s="108">
        <v>109396.8</v>
      </c>
      <c r="AZ44" s="108">
        <v>19</v>
      </c>
      <c r="BA44" s="108">
        <v>19425.599999999999</v>
      </c>
      <c r="BB44" s="108">
        <v>15</v>
      </c>
      <c r="BC44" s="108">
        <v>15336</v>
      </c>
      <c r="BD44" s="108">
        <v>21</v>
      </c>
      <c r="BE44" s="108">
        <v>21470.399999999998</v>
      </c>
      <c r="BF44" s="108">
        <v>31</v>
      </c>
      <c r="BG44" s="108">
        <v>31694.399999999998</v>
      </c>
      <c r="BH44" s="108">
        <v>33</v>
      </c>
      <c r="BI44" s="108">
        <v>33739.199999999997</v>
      </c>
      <c r="BJ44" s="108">
        <v>39</v>
      </c>
      <c r="BK44" s="108">
        <v>39873.599999999999</v>
      </c>
      <c r="BL44" s="108">
        <v>26</v>
      </c>
      <c r="BM44" s="108">
        <v>26582.399999999998</v>
      </c>
      <c r="BN44" s="108">
        <v>41</v>
      </c>
      <c r="BO44" s="108">
        <v>41918.400000000001</v>
      </c>
      <c r="BP44" s="108">
        <v>24</v>
      </c>
      <c r="BQ44" s="108">
        <v>24537.599999999999</v>
      </c>
      <c r="BR44" s="108">
        <v>28</v>
      </c>
      <c r="BS44" s="108">
        <v>28627.200000000001</v>
      </c>
      <c r="BT44" s="108">
        <v>19</v>
      </c>
      <c r="BU44" s="108">
        <v>19425.599999999999</v>
      </c>
      <c r="BV44" s="108">
        <v>16</v>
      </c>
      <c r="BW44" s="108">
        <v>16358.4</v>
      </c>
      <c r="BX44" s="108">
        <v>12</v>
      </c>
      <c r="BY44" s="108">
        <v>12268.8</v>
      </c>
      <c r="BZ44" s="108">
        <v>13</v>
      </c>
      <c r="CA44" s="108">
        <v>13291.199999999999</v>
      </c>
      <c r="CB44" s="108">
        <v>11</v>
      </c>
      <c r="CC44" s="108">
        <v>11246.4</v>
      </c>
      <c r="CD44" s="108">
        <v>13</v>
      </c>
      <c r="CE44" s="108">
        <v>13291.199999999999</v>
      </c>
      <c r="CF44" s="108">
        <v>55</v>
      </c>
      <c r="CG44" s="108">
        <v>56232</v>
      </c>
      <c r="CH44" s="108">
        <v>37.972222222222257</v>
      </c>
      <c r="CI44" s="108">
        <v>38822.800000000032</v>
      </c>
      <c r="CJ44" s="108">
        <v>29.982014388489215</v>
      </c>
      <c r="CK44" s="108">
        <v>30653.611510791372</v>
      </c>
      <c r="CL44" s="108">
        <v>33.605592586571298</v>
      </c>
      <c r="CM44" s="108">
        <v>34358.357860510492</v>
      </c>
      <c r="CN44" s="108">
        <v>43</v>
      </c>
      <c r="CO44" s="108">
        <v>43963.199999999997</v>
      </c>
      <c r="CP44" s="108">
        <v>39</v>
      </c>
      <c r="CQ44" s="108">
        <v>39873.599999999999</v>
      </c>
      <c r="CR44" s="108">
        <v>34</v>
      </c>
      <c r="CS44" s="108">
        <v>34761.599999999999</v>
      </c>
      <c r="CT44" s="108">
        <v>45</v>
      </c>
      <c r="CU44" s="108">
        <v>46008</v>
      </c>
    </row>
    <row r="45" spans="2:99" x14ac:dyDescent="0.2">
      <c r="C45" s="107" t="s">
        <v>210</v>
      </c>
      <c r="D45" s="108">
        <v>16</v>
      </c>
      <c r="E45" s="108">
        <v>19987.2</v>
      </c>
      <c r="F45" s="108">
        <v>10</v>
      </c>
      <c r="G45" s="108">
        <v>12492</v>
      </c>
      <c r="H45" s="108">
        <v>10</v>
      </c>
      <c r="I45" s="108">
        <v>12492</v>
      </c>
      <c r="J45" s="108">
        <v>12</v>
      </c>
      <c r="K45" s="108">
        <v>14990.400000000001</v>
      </c>
      <c r="L45" s="108">
        <v>32</v>
      </c>
      <c r="M45" s="108">
        <v>39974.400000000001</v>
      </c>
      <c r="N45" s="108">
        <v>41</v>
      </c>
      <c r="O45" s="108">
        <v>51217.200000000004</v>
      </c>
      <c r="P45" s="108">
        <v>34</v>
      </c>
      <c r="Q45" s="108">
        <v>42472.800000000003</v>
      </c>
      <c r="R45" s="108">
        <v>40</v>
      </c>
      <c r="S45" s="108">
        <v>49968</v>
      </c>
      <c r="T45" s="108">
        <v>31</v>
      </c>
      <c r="U45" s="108">
        <v>38725.200000000004</v>
      </c>
      <c r="V45" s="108">
        <v>49</v>
      </c>
      <c r="W45" s="108">
        <v>61210.8</v>
      </c>
      <c r="X45" s="108">
        <v>44</v>
      </c>
      <c r="Y45" s="108">
        <v>54964.800000000003</v>
      </c>
      <c r="Z45" s="108">
        <v>20.843091334894634</v>
      </c>
      <c r="AA45" s="108">
        <v>26037.189695550376</v>
      </c>
      <c r="AB45" s="108">
        <v>68</v>
      </c>
      <c r="AC45" s="108">
        <v>84945.600000000006</v>
      </c>
      <c r="AD45" s="108">
        <v>49</v>
      </c>
      <c r="AE45" s="108">
        <v>61210.8</v>
      </c>
      <c r="AF45" s="108">
        <v>37</v>
      </c>
      <c r="AG45" s="108">
        <v>46220.4</v>
      </c>
      <c r="AH45" s="108">
        <v>42</v>
      </c>
      <c r="AI45" s="108">
        <v>52466.400000000001</v>
      </c>
      <c r="AJ45" s="108">
        <v>16</v>
      </c>
      <c r="AK45" s="108">
        <v>19987.2</v>
      </c>
      <c r="AL45" s="108">
        <v>23</v>
      </c>
      <c r="AM45" s="108">
        <v>28731.600000000002</v>
      </c>
      <c r="AN45" s="108">
        <v>13</v>
      </c>
      <c r="AO45" s="108">
        <v>16239.6</v>
      </c>
      <c r="AP45" s="108">
        <v>27</v>
      </c>
      <c r="AQ45" s="108">
        <v>33728.400000000001</v>
      </c>
      <c r="AR45" s="108">
        <v>94</v>
      </c>
      <c r="AS45" s="108">
        <v>117424.8</v>
      </c>
      <c r="AT45" s="108">
        <v>69</v>
      </c>
      <c r="AU45" s="108">
        <v>86194.8</v>
      </c>
      <c r="AV45" s="108">
        <v>106</v>
      </c>
      <c r="AW45" s="108">
        <v>132415.20000000001</v>
      </c>
      <c r="AX45" s="108">
        <v>93</v>
      </c>
      <c r="AY45" s="108">
        <v>116175.6</v>
      </c>
      <c r="AZ45" s="108">
        <v>18</v>
      </c>
      <c r="BA45" s="108">
        <v>22485.600000000002</v>
      </c>
      <c r="BB45" s="108">
        <v>15</v>
      </c>
      <c r="BC45" s="108">
        <v>18738</v>
      </c>
      <c r="BD45" s="108">
        <v>19</v>
      </c>
      <c r="BE45" s="108">
        <v>23734.799999999999</v>
      </c>
      <c r="BF45" s="108">
        <v>32</v>
      </c>
      <c r="BG45" s="108">
        <v>39974.400000000001</v>
      </c>
      <c r="BH45" s="108">
        <v>30</v>
      </c>
      <c r="BI45" s="108">
        <v>37476</v>
      </c>
      <c r="BJ45" s="108">
        <v>38</v>
      </c>
      <c r="BK45" s="108">
        <v>47469.599999999999</v>
      </c>
      <c r="BL45" s="108">
        <v>24</v>
      </c>
      <c r="BM45" s="108">
        <v>29980.800000000003</v>
      </c>
      <c r="BN45" s="108">
        <v>40</v>
      </c>
      <c r="BO45" s="108">
        <v>49968</v>
      </c>
      <c r="BP45" s="108">
        <v>22</v>
      </c>
      <c r="BQ45" s="108">
        <v>27482.400000000001</v>
      </c>
      <c r="BR45" s="108">
        <v>31</v>
      </c>
      <c r="BS45" s="108">
        <v>38725.200000000004</v>
      </c>
      <c r="BT45" s="108">
        <v>19</v>
      </c>
      <c r="BU45" s="108">
        <v>23734.799999999999</v>
      </c>
      <c r="BV45" s="108">
        <v>15</v>
      </c>
      <c r="BW45" s="108">
        <v>18738</v>
      </c>
      <c r="BX45" s="108">
        <v>12</v>
      </c>
      <c r="BY45" s="108">
        <v>14990.400000000001</v>
      </c>
      <c r="BZ45" s="108">
        <v>14</v>
      </c>
      <c r="CA45" s="108">
        <v>17488.8</v>
      </c>
      <c r="CB45" s="108">
        <v>10</v>
      </c>
      <c r="CC45" s="108">
        <v>12492</v>
      </c>
      <c r="CD45" s="108">
        <v>11</v>
      </c>
      <c r="CE45" s="108">
        <v>13741.2</v>
      </c>
      <c r="CF45" s="108">
        <v>47</v>
      </c>
      <c r="CG45" s="108">
        <v>58712.4</v>
      </c>
      <c r="CH45" s="108">
        <v>32.469001610305988</v>
      </c>
      <c r="CI45" s="108">
        <v>40560.276811594238</v>
      </c>
      <c r="CJ45" s="108">
        <v>29.982014388489215</v>
      </c>
      <c r="CK45" s="108">
        <v>37453.532374100731</v>
      </c>
      <c r="CL45" s="108">
        <v>36.857746707852385</v>
      </c>
      <c r="CM45" s="108">
        <v>46042.697187449201</v>
      </c>
      <c r="CN45" s="108">
        <v>36</v>
      </c>
      <c r="CO45" s="108">
        <v>44971.200000000004</v>
      </c>
      <c r="CP45" s="108">
        <v>32</v>
      </c>
      <c r="CQ45" s="108">
        <v>39974.400000000001</v>
      </c>
      <c r="CR45" s="108">
        <v>37</v>
      </c>
      <c r="CS45" s="108">
        <v>46220.4</v>
      </c>
      <c r="CT45" s="108">
        <v>40</v>
      </c>
      <c r="CU45" s="108">
        <v>49968</v>
      </c>
    </row>
    <row r="46" spans="2:99" x14ac:dyDescent="0.2">
      <c r="C46" s="107" t="s">
        <v>211</v>
      </c>
      <c r="D46" s="108">
        <v>14</v>
      </c>
      <c r="E46" s="108">
        <v>16968</v>
      </c>
      <c r="F46" s="108">
        <v>11</v>
      </c>
      <c r="G46" s="108">
        <v>13332</v>
      </c>
      <c r="H46" s="108">
        <v>11</v>
      </c>
      <c r="I46" s="108">
        <v>13332</v>
      </c>
      <c r="J46" s="108">
        <v>10</v>
      </c>
      <c r="K46" s="108">
        <v>12120</v>
      </c>
      <c r="L46" s="108">
        <v>29</v>
      </c>
      <c r="M46" s="108">
        <v>35148</v>
      </c>
      <c r="N46" s="108">
        <v>39</v>
      </c>
      <c r="O46" s="108">
        <v>47268</v>
      </c>
      <c r="P46" s="108">
        <v>33</v>
      </c>
      <c r="Q46" s="108">
        <v>39996</v>
      </c>
      <c r="R46" s="108">
        <v>33</v>
      </c>
      <c r="S46" s="108">
        <v>39996</v>
      </c>
      <c r="T46" s="108">
        <v>31</v>
      </c>
      <c r="U46" s="108">
        <v>37572</v>
      </c>
      <c r="V46" s="108">
        <v>44</v>
      </c>
      <c r="W46" s="108">
        <v>53328</v>
      </c>
      <c r="X46" s="108">
        <v>51</v>
      </c>
      <c r="Y46" s="108">
        <v>61812</v>
      </c>
      <c r="Z46" s="108">
        <v>19.916731720010429</v>
      </c>
      <c r="AA46" s="108">
        <v>24139.078844652639</v>
      </c>
      <c r="AB46" s="108">
        <v>65</v>
      </c>
      <c r="AC46" s="108">
        <v>78780</v>
      </c>
      <c r="AD46" s="108">
        <v>48</v>
      </c>
      <c r="AE46" s="108">
        <v>58176</v>
      </c>
      <c r="AF46" s="108">
        <v>42</v>
      </c>
      <c r="AG46" s="108">
        <v>50904</v>
      </c>
      <c r="AH46" s="108">
        <v>41</v>
      </c>
      <c r="AI46" s="108">
        <v>49692</v>
      </c>
      <c r="AJ46" s="108">
        <v>17</v>
      </c>
      <c r="AK46" s="108">
        <v>20604</v>
      </c>
      <c r="AL46" s="108">
        <v>22</v>
      </c>
      <c r="AM46" s="108">
        <v>26664</v>
      </c>
      <c r="AN46" s="108">
        <v>13</v>
      </c>
      <c r="AO46" s="108">
        <v>15756</v>
      </c>
      <c r="AP46" s="108">
        <v>25</v>
      </c>
      <c r="AQ46" s="108">
        <v>30300</v>
      </c>
      <c r="AR46" s="108">
        <v>102</v>
      </c>
      <c r="AS46" s="108">
        <v>123624</v>
      </c>
      <c r="AT46" s="108">
        <v>75</v>
      </c>
      <c r="AU46" s="108">
        <v>90900</v>
      </c>
      <c r="AV46" s="108">
        <v>91</v>
      </c>
      <c r="AW46" s="108">
        <v>110292</v>
      </c>
      <c r="AX46" s="108">
        <v>97</v>
      </c>
      <c r="AY46" s="108">
        <v>117564</v>
      </c>
      <c r="AZ46" s="108">
        <v>19</v>
      </c>
      <c r="BA46" s="108">
        <v>23028</v>
      </c>
      <c r="BB46" s="108">
        <v>17</v>
      </c>
      <c r="BC46" s="108">
        <v>20604</v>
      </c>
      <c r="BD46" s="108">
        <v>21</v>
      </c>
      <c r="BE46" s="108">
        <v>25452</v>
      </c>
      <c r="BF46" s="108">
        <v>32</v>
      </c>
      <c r="BG46" s="108">
        <v>38784</v>
      </c>
      <c r="BH46" s="108">
        <v>30</v>
      </c>
      <c r="BI46" s="108">
        <v>36360</v>
      </c>
      <c r="BJ46" s="108">
        <v>36</v>
      </c>
      <c r="BK46" s="108">
        <v>43632</v>
      </c>
      <c r="BL46" s="108">
        <v>25</v>
      </c>
      <c r="BM46" s="108">
        <v>30300</v>
      </c>
      <c r="BN46" s="108">
        <v>41</v>
      </c>
      <c r="BO46" s="108">
        <v>49692</v>
      </c>
      <c r="BP46" s="108">
        <v>21</v>
      </c>
      <c r="BQ46" s="108">
        <v>25452</v>
      </c>
      <c r="BR46" s="108">
        <v>30</v>
      </c>
      <c r="BS46" s="108">
        <v>36360</v>
      </c>
      <c r="BT46" s="108">
        <v>18</v>
      </c>
      <c r="BU46" s="108">
        <v>21816</v>
      </c>
      <c r="BV46" s="108">
        <v>15</v>
      </c>
      <c r="BW46" s="108">
        <v>18180</v>
      </c>
      <c r="BX46" s="108">
        <v>12</v>
      </c>
      <c r="BY46" s="108">
        <v>14544</v>
      </c>
      <c r="BZ46" s="108">
        <v>13</v>
      </c>
      <c r="CA46" s="108">
        <v>15756</v>
      </c>
      <c r="CB46" s="108">
        <v>11</v>
      </c>
      <c r="CC46" s="108">
        <v>13332</v>
      </c>
      <c r="CD46" s="108">
        <v>12</v>
      </c>
      <c r="CE46" s="108">
        <v>14544</v>
      </c>
      <c r="CF46" s="108">
        <v>50</v>
      </c>
      <c r="CG46" s="108">
        <v>60600</v>
      </c>
      <c r="CH46" s="108">
        <v>33.569645732689239</v>
      </c>
      <c r="CI46" s="108">
        <v>40686.410628019359</v>
      </c>
      <c r="CJ46" s="108">
        <v>26.711249182472212</v>
      </c>
      <c r="CK46" s="108">
        <v>32374.034009156319</v>
      </c>
      <c r="CL46" s="108">
        <v>35.773695334092018</v>
      </c>
      <c r="CM46" s="108">
        <v>43357.718744919526</v>
      </c>
      <c r="CN46" s="108">
        <v>42</v>
      </c>
      <c r="CO46" s="108">
        <v>50904</v>
      </c>
      <c r="CP46" s="108">
        <v>36</v>
      </c>
      <c r="CQ46" s="108">
        <v>43632</v>
      </c>
      <c r="CR46" s="108">
        <v>40</v>
      </c>
      <c r="CS46" s="108">
        <v>48480</v>
      </c>
      <c r="CT46" s="108">
        <v>46</v>
      </c>
      <c r="CU46" s="108">
        <v>55752</v>
      </c>
    </row>
    <row r="47" spans="2:99" x14ac:dyDescent="0.2">
      <c r="C47" s="107" t="s">
        <v>212</v>
      </c>
      <c r="D47" s="108">
        <v>15</v>
      </c>
      <c r="E47" s="108">
        <v>22914</v>
      </c>
      <c r="F47" s="108">
        <v>10</v>
      </c>
      <c r="G47" s="108">
        <v>15276</v>
      </c>
      <c r="H47" s="108">
        <v>11</v>
      </c>
      <c r="I47" s="108">
        <v>16803.599999999999</v>
      </c>
      <c r="J47" s="108">
        <v>11</v>
      </c>
      <c r="K47" s="108">
        <v>16803.599999999999</v>
      </c>
      <c r="L47" s="108">
        <v>28</v>
      </c>
      <c r="M47" s="108">
        <v>42772.799999999996</v>
      </c>
      <c r="N47" s="108">
        <v>40</v>
      </c>
      <c r="O47" s="108">
        <v>61104</v>
      </c>
      <c r="P47" s="108">
        <v>35</v>
      </c>
      <c r="Q47" s="108">
        <v>53466</v>
      </c>
      <c r="R47" s="108">
        <v>36</v>
      </c>
      <c r="S47" s="108">
        <v>54993.599999999999</v>
      </c>
      <c r="T47" s="108">
        <v>29</v>
      </c>
      <c r="U47" s="108">
        <v>44300.399999999994</v>
      </c>
      <c r="V47" s="108">
        <v>45</v>
      </c>
      <c r="W47" s="108">
        <v>68742</v>
      </c>
      <c r="X47" s="108">
        <v>49</v>
      </c>
      <c r="Y47" s="108">
        <v>74852.399999999994</v>
      </c>
      <c r="Z47" s="108">
        <v>22.695810564663045</v>
      </c>
      <c r="AA47" s="108">
        <v>34670.120218579264</v>
      </c>
      <c r="AB47" s="108">
        <v>63</v>
      </c>
      <c r="AC47" s="108">
        <v>96238.799999999988</v>
      </c>
      <c r="AD47" s="108">
        <v>47</v>
      </c>
      <c r="AE47" s="108">
        <v>71797.2</v>
      </c>
      <c r="AF47" s="108">
        <v>40</v>
      </c>
      <c r="AG47" s="108">
        <v>61104</v>
      </c>
      <c r="AH47" s="108">
        <v>45</v>
      </c>
      <c r="AI47" s="108">
        <v>68742</v>
      </c>
      <c r="AJ47" s="108">
        <v>15</v>
      </c>
      <c r="AK47" s="108">
        <v>22914</v>
      </c>
      <c r="AL47" s="108">
        <v>20</v>
      </c>
      <c r="AM47" s="108">
        <v>30552</v>
      </c>
      <c r="AN47" s="108">
        <v>14</v>
      </c>
      <c r="AO47" s="108">
        <v>21386.399999999998</v>
      </c>
      <c r="AP47" s="108">
        <v>25</v>
      </c>
      <c r="AQ47" s="108">
        <v>38190</v>
      </c>
      <c r="AR47" s="108">
        <v>102</v>
      </c>
      <c r="AS47" s="108">
        <v>155815.19999999998</v>
      </c>
      <c r="AT47" s="108">
        <v>63</v>
      </c>
      <c r="AU47" s="108">
        <v>96238.799999999988</v>
      </c>
      <c r="AV47" s="108">
        <v>94</v>
      </c>
      <c r="AW47" s="108">
        <v>143594.4</v>
      </c>
      <c r="AX47" s="108">
        <v>88</v>
      </c>
      <c r="AY47" s="108">
        <v>134428.79999999999</v>
      </c>
      <c r="AZ47" s="108">
        <v>16</v>
      </c>
      <c r="BA47" s="108">
        <v>24441.599999999999</v>
      </c>
      <c r="BB47" s="108">
        <v>15</v>
      </c>
      <c r="BC47" s="108">
        <v>22914</v>
      </c>
      <c r="BD47" s="108">
        <v>20</v>
      </c>
      <c r="BE47" s="108">
        <v>30552</v>
      </c>
      <c r="BF47" s="108">
        <v>28</v>
      </c>
      <c r="BG47" s="108">
        <v>42772.799999999996</v>
      </c>
      <c r="BH47" s="108">
        <v>31</v>
      </c>
      <c r="BI47" s="108">
        <v>47355.6</v>
      </c>
      <c r="BJ47" s="108">
        <v>37</v>
      </c>
      <c r="BK47" s="108">
        <v>56521.2</v>
      </c>
      <c r="BL47" s="108">
        <v>22</v>
      </c>
      <c r="BM47" s="108">
        <v>33607.199999999997</v>
      </c>
      <c r="BN47" s="108">
        <v>39</v>
      </c>
      <c r="BO47" s="108">
        <v>59576.399999999994</v>
      </c>
      <c r="BP47" s="108">
        <v>23</v>
      </c>
      <c r="BQ47" s="108">
        <v>35134.799999999996</v>
      </c>
      <c r="BR47" s="108">
        <v>28</v>
      </c>
      <c r="BS47" s="108">
        <v>42772.799999999996</v>
      </c>
      <c r="BT47" s="108">
        <v>17</v>
      </c>
      <c r="BU47" s="108">
        <v>25969.199999999997</v>
      </c>
      <c r="BV47" s="108">
        <v>15</v>
      </c>
      <c r="BW47" s="108">
        <v>22914</v>
      </c>
      <c r="BX47" s="108">
        <v>10</v>
      </c>
      <c r="BY47" s="108">
        <v>15276</v>
      </c>
      <c r="BZ47" s="108">
        <v>14</v>
      </c>
      <c r="CA47" s="108">
        <v>21386.399999999998</v>
      </c>
      <c r="CB47" s="108">
        <v>11</v>
      </c>
      <c r="CC47" s="108">
        <v>16803.599999999999</v>
      </c>
      <c r="CD47" s="108">
        <v>13</v>
      </c>
      <c r="CE47" s="108">
        <v>19858.8</v>
      </c>
      <c r="CF47" s="108">
        <v>49</v>
      </c>
      <c r="CG47" s="108">
        <v>74852.399999999994</v>
      </c>
      <c r="CH47" s="108">
        <v>36.32125603864737</v>
      </c>
      <c r="CI47" s="108">
        <v>55484.350724637719</v>
      </c>
      <c r="CJ47" s="108">
        <v>28.346631785480714</v>
      </c>
      <c r="CK47" s="108">
        <v>43302.314715500339</v>
      </c>
      <c r="CL47" s="108">
        <v>35.231669647211838</v>
      </c>
      <c r="CM47" s="108">
        <v>53819.898553080799</v>
      </c>
      <c r="CN47" s="108">
        <v>37</v>
      </c>
      <c r="CO47" s="108">
        <v>56521.2</v>
      </c>
      <c r="CP47" s="108">
        <v>33</v>
      </c>
      <c r="CQ47" s="108">
        <v>50410.799999999996</v>
      </c>
      <c r="CR47" s="108">
        <v>32</v>
      </c>
      <c r="CS47" s="108">
        <v>48883.199999999997</v>
      </c>
      <c r="CT47" s="108">
        <v>37</v>
      </c>
      <c r="CU47" s="108">
        <v>56521.2</v>
      </c>
    </row>
    <row r="48" spans="2:99" x14ac:dyDescent="0.2">
      <c r="C48" s="107" t="s">
        <v>213</v>
      </c>
      <c r="D48" s="108">
        <v>15</v>
      </c>
      <c r="E48" s="108">
        <v>13014</v>
      </c>
      <c r="F48" s="108">
        <v>12</v>
      </c>
      <c r="G48" s="108">
        <v>10411.200000000001</v>
      </c>
      <c r="H48" s="108">
        <v>11</v>
      </c>
      <c r="I48" s="108">
        <v>9543.6</v>
      </c>
      <c r="J48" s="108">
        <v>12</v>
      </c>
      <c r="K48" s="108">
        <v>10411.200000000001</v>
      </c>
      <c r="L48" s="108">
        <v>31</v>
      </c>
      <c r="M48" s="108">
        <v>26895.600000000002</v>
      </c>
      <c r="N48" s="108">
        <v>43</v>
      </c>
      <c r="O48" s="108">
        <v>37306.800000000003</v>
      </c>
      <c r="P48" s="108">
        <v>35</v>
      </c>
      <c r="Q48" s="108">
        <v>30366</v>
      </c>
      <c r="R48" s="108">
        <v>40</v>
      </c>
      <c r="S48" s="108">
        <v>34704</v>
      </c>
      <c r="T48" s="108">
        <v>38</v>
      </c>
      <c r="U48" s="108">
        <v>32968.800000000003</v>
      </c>
      <c r="V48" s="108">
        <v>46</v>
      </c>
      <c r="W48" s="108">
        <v>39909.599999999999</v>
      </c>
      <c r="X48" s="108">
        <v>50</v>
      </c>
      <c r="Y48" s="108">
        <v>43380</v>
      </c>
      <c r="Z48" s="108">
        <v>23.622170179547251</v>
      </c>
      <c r="AA48" s="108">
        <v>20494.594847775195</v>
      </c>
      <c r="AB48" s="108">
        <v>71</v>
      </c>
      <c r="AC48" s="108">
        <v>61599.6</v>
      </c>
      <c r="AD48" s="108">
        <v>45</v>
      </c>
      <c r="AE48" s="108">
        <v>39042</v>
      </c>
      <c r="AF48" s="108">
        <v>46</v>
      </c>
      <c r="AG48" s="108">
        <v>39909.599999999999</v>
      </c>
      <c r="AH48" s="108">
        <v>48</v>
      </c>
      <c r="AI48" s="108">
        <v>41644.800000000003</v>
      </c>
      <c r="AJ48" s="108">
        <v>16</v>
      </c>
      <c r="AK48" s="108">
        <v>13881.6</v>
      </c>
      <c r="AL48" s="108">
        <v>23</v>
      </c>
      <c r="AM48" s="108">
        <v>19954.8</v>
      </c>
      <c r="AN48" s="108">
        <v>15</v>
      </c>
      <c r="AO48" s="108">
        <v>13014</v>
      </c>
      <c r="AP48" s="108">
        <v>25</v>
      </c>
      <c r="AQ48" s="108">
        <v>21690</v>
      </c>
      <c r="AR48" s="108">
        <v>114</v>
      </c>
      <c r="AS48" s="108">
        <v>98906.400000000009</v>
      </c>
      <c r="AT48" s="108">
        <v>71</v>
      </c>
      <c r="AU48" s="108">
        <v>61599.6</v>
      </c>
      <c r="AV48" s="108">
        <v>117</v>
      </c>
      <c r="AW48" s="108">
        <v>101509.2</v>
      </c>
      <c r="AX48" s="108">
        <v>96</v>
      </c>
      <c r="AY48" s="108">
        <v>83289.600000000006</v>
      </c>
      <c r="AZ48" s="108">
        <v>20</v>
      </c>
      <c r="BA48" s="108">
        <v>17352</v>
      </c>
      <c r="BB48" s="108">
        <v>17</v>
      </c>
      <c r="BC48" s="108">
        <v>14749.2</v>
      </c>
      <c r="BD48" s="108">
        <v>23</v>
      </c>
      <c r="BE48" s="108">
        <v>19954.8</v>
      </c>
      <c r="BF48" s="108">
        <v>30</v>
      </c>
      <c r="BG48" s="108">
        <v>26028</v>
      </c>
      <c r="BH48" s="108">
        <v>34</v>
      </c>
      <c r="BI48" s="108">
        <v>29498.400000000001</v>
      </c>
      <c r="BJ48" s="108">
        <v>40</v>
      </c>
      <c r="BK48" s="108">
        <v>34704</v>
      </c>
      <c r="BL48" s="108">
        <v>28</v>
      </c>
      <c r="BM48" s="108">
        <v>24292.799999999999</v>
      </c>
      <c r="BN48" s="108">
        <v>37</v>
      </c>
      <c r="BO48" s="108">
        <v>32101.200000000001</v>
      </c>
      <c r="BP48" s="108">
        <v>25</v>
      </c>
      <c r="BQ48" s="108">
        <v>21690</v>
      </c>
      <c r="BR48" s="108">
        <v>29</v>
      </c>
      <c r="BS48" s="108">
        <v>25160.400000000001</v>
      </c>
      <c r="BT48" s="108">
        <v>19</v>
      </c>
      <c r="BU48" s="108">
        <v>16484.400000000001</v>
      </c>
      <c r="BV48" s="108">
        <v>18</v>
      </c>
      <c r="BW48" s="108">
        <v>15616.800000000001</v>
      </c>
      <c r="BX48" s="108">
        <v>12</v>
      </c>
      <c r="BY48" s="108">
        <v>10411.200000000001</v>
      </c>
      <c r="BZ48" s="108">
        <v>15</v>
      </c>
      <c r="CA48" s="108">
        <v>13014</v>
      </c>
      <c r="CB48" s="108">
        <v>12</v>
      </c>
      <c r="CC48" s="108">
        <v>10411.200000000001</v>
      </c>
      <c r="CD48" s="108">
        <v>14</v>
      </c>
      <c r="CE48" s="108">
        <v>12146.4</v>
      </c>
      <c r="CF48" s="108">
        <v>59</v>
      </c>
      <c r="CG48" s="108">
        <v>51188.4</v>
      </c>
      <c r="CH48" s="108">
        <v>37.421900161030635</v>
      </c>
      <c r="CI48" s="108">
        <v>32467.240579710178</v>
      </c>
      <c r="CJ48" s="108">
        <v>28.891759319816881</v>
      </c>
      <c r="CK48" s="108">
        <v>25066.490385873127</v>
      </c>
      <c r="CL48" s="108">
        <v>37.399772394732565</v>
      </c>
      <c r="CM48" s="108">
        <v>32448.042529669976</v>
      </c>
      <c r="CN48" s="108">
        <v>40</v>
      </c>
      <c r="CO48" s="108">
        <v>34704</v>
      </c>
      <c r="CP48" s="108">
        <v>39</v>
      </c>
      <c r="CQ48" s="108">
        <v>33836.400000000001</v>
      </c>
      <c r="CR48" s="108">
        <v>40</v>
      </c>
      <c r="CS48" s="108">
        <v>34704</v>
      </c>
      <c r="CT48" s="108">
        <v>44</v>
      </c>
      <c r="CU48" s="108">
        <v>38174.400000000001</v>
      </c>
    </row>
    <row r="49" spans="2:99" x14ac:dyDescent="0.2">
      <c r="B49" s="107" t="s">
        <v>129</v>
      </c>
      <c r="C49" s="107" t="s">
        <v>214</v>
      </c>
      <c r="D49" s="108">
        <v>8</v>
      </c>
      <c r="E49" s="108">
        <v>7881.5999999999995</v>
      </c>
      <c r="F49" s="108">
        <v>11</v>
      </c>
      <c r="G49" s="108">
        <v>10837.199999999999</v>
      </c>
      <c r="H49" s="108">
        <v>14</v>
      </c>
      <c r="I49" s="108">
        <v>13792.8</v>
      </c>
      <c r="J49" s="108">
        <v>9</v>
      </c>
      <c r="K49" s="108">
        <v>8866.7999999999993</v>
      </c>
      <c r="L49" s="108">
        <v>12</v>
      </c>
      <c r="M49" s="108">
        <v>11822.4</v>
      </c>
      <c r="N49" s="108">
        <v>12</v>
      </c>
      <c r="O49" s="108">
        <v>11822.4</v>
      </c>
      <c r="P49" s="108">
        <v>8</v>
      </c>
      <c r="Q49" s="108">
        <v>7881.5999999999995</v>
      </c>
      <c r="R49" s="108">
        <v>9</v>
      </c>
      <c r="S49" s="108">
        <v>8866.7999999999993</v>
      </c>
      <c r="T49" s="108">
        <v>114</v>
      </c>
      <c r="U49" s="108">
        <v>112312.79999999999</v>
      </c>
      <c r="V49" s="108">
        <v>84</v>
      </c>
      <c r="W49" s="108">
        <v>82756.799999999988</v>
      </c>
      <c r="X49" s="108">
        <v>103</v>
      </c>
      <c r="Y49" s="108">
        <v>101475.59999999999</v>
      </c>
      <c r="Z49" s="108">
        <v>110</v>
      </c>
      <c r="AA49" s="108">
        <v>108371.99999999999</v>
      </c>
      <c r="AB49" s="108">
        <v>25</v>
      </c>
      <c r="AC49" s="108">
        <v>24630</v>
      </c>
      <c r="AD49" s="108">
        <v>21</v>
      </c>
      <c r="AE49" s="108">
        <v>20689.199999999997</v>
      </c>
      <c r="AF49" s="108">
        <v>29</v>
      </c>
      <c r="AG49" s="108">
        <v>28570.799999999999</v>
      </c>
      <c r="AH49" s="108">
        <v>21</v>
      </c>
      <c r="AI49" s="108">
        <v>20689.199999999997</v>
      </c>
      <c r="AJ49" s="108">
        <v>44</v>
      </c>
      <c r="AK49" s="108">
        <v>43348.799999999996</v>
      </c>
      <c r="AL49" s="108">
        <v>24</v>
      </c>
      <c r="AM49" s="108">
        <v>23644.799999999999</v>
      </c>
      <c r="AN49" s="108">
        <v>27</v>
      </c>
      <c r="AO49" s="108">
        <v>26600.399999999998</v>
      </c>
      <c r="AP49" s="108">
        <v>28</v>
      </c>
      <c r="AQ49" s="108">
        <v>27585.599999999999</v>
      </c>
      <c r="AR49" s="108">
        <v>6</v>
      </c>
      <c r="AS49" s="108">
        <v>5911.2</v>
      </c>
      <c r="AT49" s="108">
        <v>9</v>
      </c>
      <c r="AU49" s="108">
        <v>8866.7999999999993</v>
      </c>
      <c r="AV49" s="108">
        <v>7</v>
      </c>
      <c r="AW49" s="108">
        <v>6896.4</v>
      </c>
      <c r="AX49" s="108">
        <v>9</v>
      </c>
      <c r="AY49" s="108">
        <v>8866.7999999999993</v>
      </c>
      <c r="AZ49" s="108">
        <v>11</v>
      </c>
      <c r="BA49" s="108">
        <v>10837.199999999999</v>
      </c>
      <c r="BB49" s="108">
        <v>11</v>
      </c>
      <c r="BC49" s="108">
        <v>10837.199999999999</v>
      </c>
      <c r="BD49" s="108">
        <v>12</v>
      </c>
      <c r="BE49" s="108">
        <v>11822.4</v>
      </c>
      <c r="BF49" s="108">
        <v>14</v>
      </c>
      <c r="BG49" s="108">
        <v>13792.8</v>
      </c>
      <c r="BH49" s="108">
        <v>9</v>
      </c>
      <c r="BI49" s="108">
        <v>8866.7999999999993</v>
      </c>
      <c r="BJ49" s="108">
        <v>12</v>
      </c>
      <c r="BK49" s="108">
        <v>11822.4</v>
      </c>
      <c r="BL49" s="108">
        <v>15</v>
      </c>
      <c r="BM49" s="108">
        <v>14777.999999999998</v>
      </c>
      <c r="BN49" s="108">
        <v>15</v>
      </c>
      <c r="BO49" s="108">
        <v>14777.999999999998</v>
      </c>
      <c r="BP49" s="108">
        <v>32</v>
      </c>
      <c r="BQ49" s="108">
        <v>31526.399999999998</v>
      </c>
      <c r="BR49" s="108">
        <v>29</v>
      </c>
      <c r="BS49" s="108">
        <v>28570.799999999999</v>
      </c>
      <c r="BT49" s="108">
        <v>28</v>
      </c>
      <c r="BU49" s="108">
        <v>27585.599999999999</v>
      </c>
      <c r="BV49" s="108">
        <v>17</v>
      </c>
      <c r="BW49" s="108">
        <v>16748.399999999998</v>
      </c>
      <c r="BX49" s="108">
        <v>7</v>
      </c>
      <c r="BY49" s="108">
        <v>6896.4</v>
      </c>
      <c r="BZ49" s="108">
        <v>6</v>
      </c>
      <c r="CA49" s="108">
        <v>5911.2</v>
      </c>
      <c r="CB49" s="108">
        <v>9</v>
      </c>
      <c r="CC49" s="108">
        <v>8866.7999999999993</v>
      </c>
      <c r="CD49" s="108">
        <v>10</v>
      </c>
      <c r="CE49" s="108">
        <v>9852</v>
      </c>
      <c r="CF49" s="108">
        <v>160</v>
      </c>
      <c r="CG49" s="108">
        <v>157632</v>
      </c>
      <c r="CH49" s="108">
        <v>137</v>
      </c>
      <c r="CI49" s="108">
        <v>134972.4</v>
      </c>
      <c r="CJ49" s="108">
        <v>125</v>
      </c>
      <c r="CK49" s="108">
        <v>123149.99999999999</v>
      </c>
      <c r="CL49" s="108">
        <v>112</v>
      </c>
      <c r="CM49" s="108">
        <v>110342.39999999999</v>
      </c>
      <c r="CN49" s="108">
        <v>14</v>
      </c>
      <c r="CO49" s="108">
        <v>13792.8</v>
      </c>
      <c r="CP49" s="108">
        <v>21</v>
      </c>
      <c r="CQ49" s="108">
        <v>20689.199999999997</v>
      </c>
      <c r="CR49" s="108">
        <v>21</v>
      </c>
      <c r="CS49" s="108">
        <v>20689.199999999997</v>
      </c>
      <c r="CT49" s="108">
        <v>12</v>
      </c>
      <c r="CU49" s="108">
        <v>11822.4</v>
      </c>
    </row>
    <row r="50" spans="2:99" x14ac:dyDescent="0.2">
      <c r="C50" s="107" t="s">
        <v>215</v>
      </c>
      <c r="D50" s="108">
        <v>8</v>
      </c>
      <c r="E50" s="108">
        <v>2256</v>
      </c>
      <c r="F50" s="108">
        <v>13</v>
      </c>
      <c r="G50" s="108">
        <v>3666</v>
      </c>
      <c r="H50" s="108">
        <v>15</v>
      </c>
      <c r="I50" s="108">
        <v>4230</v>
      </c>
      <c r="J50" s="108">
        <v>8</v>
      </c>
      <c r="K50" s="108">
        <v>2256</v>
      </c>
      <c r="L50" s="108">
        <v>14</v>
      </c>
      <c r="M50" s="108">
        <v>3948</v>
      </c>
      <c r="N50" s="108">
        <v>12</v>
      </c>
      <c r="O50" s="108">
        <v>3384</v>
      </c>
      <c r="P50" s="108">
        <v>8</v>
      </c>
      <c r="Q50" s="108">
        <v>2256</v>
      </c>
      <c r="R50" s="108">
        <v>12</v>
      </c>
      <c r="S50" s="108">
        <v>3384</v>
      </c>
      <c r="T50" s="108">
        <v>129</v>
      </c>
      <c r="U50" s="108">
        <v>36378</v>
      </c>
      <c r="V50" s="108">
        <v>97</v>
      </c>
      <c r="W50" s="108">
        <v>27354</v>
      </c>
      <c r="X50" s="108">
        <v>113</v>
      </c>
      <c r="Y50" s="108">
        <v>31866</v>
      </c>
      <c r="Z50" s="108">
        <v>61.602914389799686</v>
      </c>
      <c r="AA50" s="108">
        <v>17372.021857923512</v>
      </c>
      <c r="AB50" s="108">
        <v>26</v>
      </c>
      <c r="AC50" s="108">
        <v>7332</v>
      </c>
      <c r="AD50" s="108">
        <v>21</v>
      </c>
      <c r="AE50" s="108">
        <v>5922</v>
      </c>
      <c r="AF50" s="108">
        <v>29</v>
      </c>
      <c r="AG50" s="108">
        <v>8178</v>
      </c>
      <c r="AH50" s="108">
        <v>22</v>
      </c>
      <c r="AI50" s="108">
        <v>6204</v>
      </c>
      <c r="AJ50" s="108">
        <v>46</v>
      </c>
      <c r="AK50" s="108">
        <v>12972</v>
      </c>
      <c r="AL50" s="108">
        <v>31</v>
      </c>
      <c r="AM50" s="108">
        <v>8742</v>
      </c>
      <c r="AN50" s="108">
        <v>30</v>
      </c>
      <c r="AO50" s="108">
        <v>8460</v>
      </c>
      <c r="AP50" s="108">
        <v>27</v>
      </c>
      <c r="AQ50" s="108">
        <v>7614</v>
      </c>
      <c r="AR50" s="108">
        <v>7</v>
      </c>
      <c r="AS50" s="108">
        <v>1974</v>
      </c>
      <c r="AT50" s="108">
        <v>10</v>
      </c>
      <c r="AU50" s="108">
        <v>2820</v>
      </c>
      <c r="AV50" s="108">
        <v>7</v>
      </c>
      <c r="AW50" s="108">
        <v>1974</v>
      </c>
      <c r="AX50" s="108">
        <v>9</v>
      </c>
      <c r="AY50" s="108">
        <v>2538</v>
      </c>
      <c r="AZ50" s="108">
        <v>13</v>
      </c>
      <c r="BA50" s="108">
        <v>3666</v>
      </c>
      <c r="BB50" s="108">
        <v>12</v>
      </c>
      <c r="BC50" s="108">
        <v>3384</v>
      </c>
      <c r="BD50" s="108">
        <v>11</v>
      </c>
      <c r="BE50" s="108">
        <v>3102</v>
      </c>
      <c r="BF50" s="108">
        <v>14</v>
      </c>
      <c r="BG50" s="108">
        <v>3948</v>
      </c>
      <c r="BH50" s="108">
        <v>10</v>
      </c>
      <c r="BI50" s="108">
        <v>2820</v>
      </c>
      <c r="BJ50" s="108">
        <v>13</v>
      </c>
      <c r="BK50" s="108">
        <v>3666</v>
      </c>
      <c r="BL50" s="108">
        <v>17</v>
      </c>
      <c r="BM50" s="108">
        <v>4794</v>
      </c>
      <c r="BN50" s="108">
        <v>15</v>
      </c>
      <c r="BO50" s="108">
        <v>4230</v>
      </c>
      <c r="BP50" s="108">
        <v>34</v>
      </c>
      <c r="BQ50" s="108">
        <v>9588</v>
      </c>
      <c r="BR50" s="108">
        <v>35</v>
      </c>
      <c r="BS50" s="108">
        <v>9870</v>
      </c>
      <c r="BT50" s="108">
        <v>28</v>
      </c>
      <c r="BU50" s="108">
        <v>7896</v>
      </c>
      <c r="BV50" s="108">
        <v>22</v>
      </c>
      <c r="BW50" s="108">
        <v>6204</v>
      </c>
      <c r="BX50" s="108">
        <v>8</v>
      </c>
      <c r="BY50" s="108">
        <v>2256</v>
      </c>
      <c r="BZ50" s="108">
        <v>6</v>
      </c>
      <c r="CA50" s="108">
        <v>1692</v>
      </c>
      <c r="CB50" s="108">
        <v>10</v>
      </c>
      <c r="CC50" s="108">
        <v>2820</v>
      </c>
      <c r="CD50" s="108">
        <v>10</v>
      </c>
      <c r="CE50" s="108">
        <v>2820</v>
      </c>
      <c r="CF50" s="108">
        <v>188</v>
      </c>
      <c r="CG50" s="108">
        <v>53016</v>
      </c>
      <c r="CH50" s="108">
        <v>108.96376811594213</v>
      </c>
      <c r="CI50" s="108">
        <v>30727.782608695681</v>
      </c>
      <c r="CJ50" s="108">
        <v>80.678875081752807</v>
      </c>
      <c r="CK50" s="108">
        <v>22751.442773054292</v>
      </c>
      <c r="CL50" s="108">
        <v>76.967647536985865</v>
      </c>
      <c r="CM50" s="108">
        <v>21704.876605430014</v>
      </c>
      <c r="CN50" s="108">
        <v>15</v>
      </c>
      <c r="CO50" s="108">
        <v>4230</v>
      </c>
      <c r="CP50" s="108">
        <v>20</v>
      </c>
      <c r="CQ50" s="108">
        <v>5640</v>
      </c>
      <c r="CR50" s="108">
        <v>23</v>
      </c>
      <c r="CS50" s="108">
        <v>6486</v>
      </c>
      <c r="CT50" s="108">
        <v>15</v>
      </c>
      <c r="CU50" s="108">
        <v>4230</v>
      </c>
    </row>
    <row r="51" spans="2:99" x14ac:dyDescent="0.2">
      <c r="C51" s="107" t="s">
        <v>216</v>
      </c>
      <c r="D51" s="108">
        <v>7</v>
      </c>
      <c r="E51" s="108">
        <v>5980.8</v>
      </c>
      <c r="F51" s="108">
        <v>12</v>
      </c>
      <c r="G51" s="108">
        <v>10252.799999999999</v>
      </c>
      <c r="H51" s="108">
        <v>14</v>
      </c>
      <c r="I51" s="108">
        <v>11961.6</v>
      </c>
      <c r="J51" s="108">
        <v>9</v>
      </c>
      <c r="K51" s="108">
        <v>7689.5999999999995</v>
      </c>
      <c r="L51" s="108">
        <v>13</v>
      </c>
      <c r="M51" s="108">
        <v>11107.199999999999</v>
      </c>
      <c r="N51" s="108">
        <v>12</v>
      </c>
      <c r="O51" s="108">
        <v>10252.799999999999</v>
      </c>
      <c r="P51" s="108">
        <v>8</v>
      </c>
      <c r="Q51" s="108">
        <v>6835.2</v>
      </c>
      <c r="R51" s="108">
        <v>10</v>
      </c>
      <c r="S51" s="108">
        <v>8544</v>
      </c>
      <c r="T51" s="108">
        <v>127</v>
      </c>
      <c r="U51" s="108">
        <v>108508.8</v>
      </c>
      <c r="V51" s="108">
        <v>86</v>
      </c>
      <c r="W51" s="108">
        <v>73478.399999999994</v>
      </c>
      <c r="X51" s="108">
        <v>110</v>
      </c>
      <c r="Y51" s="108">
        <v>93984</v>
      </c>
      <c r="Z51" s="108">
        <v>62.992453812126001</v>
      </c>
      <c r="AA51" s="108">
        <v>53820.752537080451</v>
      </c>
      <c r="AB51" s="108">
        <v>23</v>
      </c>
      <c r="AC51" s="108">
        <v>19651.2</v>
      </c>
      <c r="AD51" s="108">
        <v>22</v>
      </c>
      <c r="AE51" s="108">
        <v>18796.8</v>
      </c>
      <c r="AF51" s="108">
        <v>28</v>
      </c>
      <c r="AG51" s="108">
        <v>23923.200000000001</v>
      </c>
      <c r="AH51" s="108">
        <v>25</v>
      </c>
      <c r="AI51" s="108">
        <v>21360</v>
      </c>
      <c r="AJ51" s="108">
        <v>39</v>
      </c>
      <c r="AK51" s="108">
        <v>33321.599999999999</v>
      </c>
      <c r="AL51" s="108">
        <v>24</v>
      </c>
      <c r="AM51" s="108">
        <v>20505.599999999999</v>
      </c>
      <c r="AN51" s="108">
        <v>26</v>
      </c>
      <c r="AO51" s="108">
        <v>22214.399999999998</v>
      </c>
      <c r="AP51" s="108">
        <v>29</v>
      </c>
      <c r="AQ51" s="108">
        <v>24777.599999999999</v>
      </c>
      <c r="AR51" s="108">
        <v>6</v>
      </c>
      <c r="AS51" s="108">
        <v>5126.3999999999996</v>
      </c>
      <c r="AT51" s="108">
        <v>10</v>
      </c>
      <c r="AU51" s="108">
        <v>8544</v>
      </c>
      <c r="AV51" s="108">
        <v>7</v>
      </c>
      <c r="AW51" s="108">
        <v>5980.8</v>
      </c>
      <c r="AX51" s="108">
        <v>10</v>
      </c>
      <c r="AY51" s="108">
        <v>8544</v>
      </c>
      <c r="AZ51" s="108">
        <v>13</v>
      </c>
      <c r="BA51" s="108">
        <v>11107.199999999999</v>
      </c>
      <c r="BB51" s="108">
        <v>11</v>
      </c>
      <c r="BC51" s="108">
        <v>9398.4</v>
      </c>
      <c r="BD51" s="108">
        <v>10</v>
      </c>
      <c r="BE51" s="108">
        <v>8544</v>
      </c>
      <c r="BF51" s="108">
        <v>13</v>
      </c>
      <c r="BG51" s="108">
        <v>11107.199999999999</v>
      </c>
      <c r="BH51" s="108">
        <v>9</v>
      </c>
      <c r="BI51" s="108">
        <v>7689.5999999999995</v>
      </c>
      <c r="BJ51" s="108">
        <v>12</v>
      </c>
      <c r="BK51" s="108">
        <v>10252.799999999999</v>
      </c>
      <c r="BL51" s="108">
        <v>15</v>
      </c>
      <c r="BM51" s="108">
        <v>12816</v>
      </c>
      <c r="BN51" s="108">
        <v>15</v>
      </c>
      <c r="BO51" s="108">
        <v>12816</v>
      </c>
      <c r="BP51" s="108">
        <v>35</v>
      </c>
      <c r="BQ51" s="108">
        <v>29904</v>
      </c>
      <c r="BR51" s="108">
        <v>31</v>
      </c>
      <c r="BS51" s="108">
        <v>26486.399999999998</v>
      </c>
      <c r="BT51" s="108">
        <v>27</v>
      </c>
      <c r="BU51" s="108">
        <v>23068.799999999999</v>
      </c>
      <c r="BV51" s="108">
        <v>18</v>
      </c>
      <c r="BW51" s="108">
        <v>15379.199999999999</v>
      </c>
      <c r="BX51" s="108">
        <v>7</v>
      </c>
      <c r="BY51" s="108">
        <v>5980.8</v>
      </c>
      <c r="BZ51" s="108">
        <v>6</v>
      </c>
      <c r="CA51" s="108">
        <v>5126.3999999999996</v>
      </c>
      <c r="CB51" s="108">
        <v>9</v>
      </c>
      <c r="CC51" s="108">
        <v>7689.5999999999995</v>
      </c>
      <c r="CD51" s="108">
        <v>9</v>
      </c>
      <c r="CE51" s="108">
        <v>7689.5999999999995</v>
      </c>
      <c r="CF51" s="108">
        <v>150</v>
      </c>
      <c r="CG51" s="108">
        <v>128160</v>
      </c>
      <c r="CH51" s="108">
        <v>88.601851851851919</v>
      </c>
      <c r="CI51" s="108">
        <v>75701.422222222274</v>
      </c>
      <c r="CJ51" s="108">
        <v>76.317854807063469</v>
      </c>
      <c r="CK51" s="108">
        <v>65205.975147155026</v>
      </c>
      <c r="CL51" s="108">
        <v>69.921313607543496</v>
      </c>
      <c r="CM51" s="108">
        <v>59740.770346285164</v>
      </c>
      <c r="CN51" s="108">
        <v>14</v>
      </c>
      <c r="CO51" s="108">
        <v>11961.6</v>
      </c>
      <c r="CP51" s="108">
        <v>18</v>
      </c>
      <c r="CQ51" s="108">
        <v>15379.199999999999</v>
      </c>
      <c r="CR51" s="108">
        <v>21</v>
      </c>
      <c r="CS51" s="108">
        <v>17942.399999999998</v>
      </c>
      <c r="CT51" s="108">
        <v>14</v>
      </c>
      <c r="CU51" s="108">
        <v>11961.6</v>
      </c>
    </row>
    <row r="52" spans="2:99" x14ac:dyDescent="0.2">
      <c r="C52" s="107" t="s">
        <v>217</v>
      </c>
      <c r="D52" s="108">
        <v>8</v>
      </c>
      <c r="E52" s="108">
        <v>4320</v>
      </c>
      <c r="F52" s="108">
        <v>12</v>
      </c>
      <c r="G52" s="108">
        <v>6480</v>
      </c>
      <c r="H52" s="108">
        <v>15</v>
      </c>
      <c r="I52" s="108">
        <v>8100</v>
      </c>
      <c r="J52" s="108">
        <v>9</v>
      </c>
      <c r="K52" s="108">
        <v>4860</v>
      </c>
      <c r="L52" s="108">
        <v>13</v>
      </c>
      <c r="M52" s="108">
        <v>7020</v>
      </c>
      <c r="N52" s="108">
        <v>11</v>
      </c>
      <c r="O52" s="108">
        <v>5940</v>
      </c>
      <c r="P52" s="108">
        <v>9</v>
      </c>
      <c r="Q52" s="108">
        <v>4860</v>
      </c>
      <c r="R52" s="108">
        <v>12</v>
      </c>
      <c r="S52" s="108">
        <v>6480</v>
      </c>
      <c r="T52" s="108">
        <v>117</v>
      </c>
      <c r="U52" s="108">
        <v>63180</v>
      </c>
      <c r="V52" s="108">
        <v>94</v>
      </c>
      <c r="W52" s="108">
        <v>50760</v>
      </c>
      <c r="X52" s="108">
        <v>127</v>
      </c>
      <c r="Y52" s="108">
        <v>68580</v>
      </c>
      <c r="Z52" s="108">
        <v>59.750195160031282</v>
      </c>
      <c r="AA52" s="108">
        <v>32265.105386416893</v>
      </c>
      <c r="AB52" s="108">
        <v>28</v>
      </c>
      <c r="AC52" s="108">
        <v>15120</v>
      </c>
      <c r="AD52" s="108">
        <v>23</v>
      </c>
      <c r="AE52" s="108">
        <v>12420</v>
      </c>
      <c r="AF52" s="108">
        <v>30</v>
      </c>
      <c r="AG52" s="108">
        <v>16200</v>
      </c>
      <c r="AH52" s="108">
        <v>24</v>
      </c>
      <c r="AI52" s="108">
        <v>12960</v>
      </c>
      <c r="AJ52" s="108">
        <v>46</v>
      </c>
      <c r="AK52" s="108">
        <v>24840</v>
      </c>
      <c r="AL52" s="108">
        <v>27</v>
      </c>
      <c r="AM52" s="108">
        <v>14580</v>
      </c>
      <c r="AN52" s="108">
        <v>31</v>
      </c>
      <c r="AO52" s="108">
        <v>16740</v>
      </c>
      <c r="AP52" s="108">
        <v>27</v>
      </c>
      <c r="AQ52" s="108">
        <v>14580</v>
      </c>
      <c r="AR52" s="108">
        <v>6</v>
      </c>
      <c r="AS52" s="108">
        <v>3240</v>
      </c>
      <c r="AT52" s="108">
        <v>9</v>
      </c>
      <c r="AU52" s="108">
        <v>4860</v>
      </c>
      <c r="AV52" s="108">
        <v>7</v>
      </c>
      <c r="AW52" s="108">
        <v>3780</v>
      </c>
      <c r="AX52" s="108">
        <v>10</v>
      </c>
      <c r="AY52" s="108">
        <v>5400</v>
      </c>
      <c r="AZ52" s="108">
        <v>13</v>
      </c>
      <c r="BA52" s="108">
        <v>7020</v>
      </c>
      <c r="BB52" s="108">
        <v>13</v>
      </c>
      <c r="BC52" s="108">
        <v>7020</v>
      </c>
      <c r="BD52" s="108">
        <v>11</v>
      </c>
      <c r="BE52" s="108">
        <v>5940</v>
      </c>
      <c r="BF52" s="108">
        <v>13</v>
      </c>
      <c r="BG52" s="108">
        <v>7020</v>
      </c>
      <c r="BH52" s="108">
        <v>10</v>
      </c>
      <c r="BI52" s="108">
        <v>5400</v>
      </c>
      <c r="BJ52" s="108">
        <v>12</v>
      </c>
      <c r="BK52" s="108">
        <v>6480</v>
      </c>
      <c r="BL52" s="108">
        <v>14</v>
      </c>
      <c r="BM52" s="108">
        <v>7560</v>
      </c>
      <c r="BN52" s="108">
        <v>15</v>
      </c>
      <c r="BO52" s="108">
        <v>8100</v>
      </c>
      <c r="BP52" s="108">
        <v>35</v>
      </c>
      <c r="BQ52" s="108">
        <v>18900</v>
      </c>
      <c r="BR52" s="108">
        <v>32</v>
      </c>
      <c r="BS52" s="108">
        <v>17280</v>
      </c>
      <c r="BT52" s="108">
        <v>25</v>
      </c>
      <c r="BU52" s="108">
        <v>13500</v>
      </c>
      <c r="BV52" s="108">
        <v>18</v>
      </c>
      <c r="BW52" s="108">
        <v>9720</v>
      </c>
      <c r="BX52" s="108">
        <v>7</v>
      </c>
      <c r="BY52" s="108">
        <v>3780</v>
      </c>
      <c r="BZ52" s="108">
        <v>7</v>
      </c>
      <c r="CA52" s="108">
        <v>3780</v>
      </c>
      <c r="CB52" s="108">
        <v>9</v>
      </c>
      <c r="CC52" s="108">
        <v>4860</v>
      </c>
      <c r="CD52" s="108">
        <v>10</v>
      </c>
      <c r="CE52" s="108">
        <v>5400</v>
      </c>
      <c r="CF52" s="108">
        <v>169</v>
      </c>
      <c r="CG52" s="108">
        <v>91260</v>
      </c>
      <c r="CH52" s="108">
        <v>97.957326892109577</v>
      </c>
      <c r="CI52" s="108">
        <v>52896.956521739172</v>
      </c>
      <c r="CJ52" s="108">
        <v>86.130150425114479</v>
      </c>
      <c r="CK52" s="108">
        <v>46510.281229561821</v>
      </c>
      <c r="CL52" s="108">
        <v>76.967647536985865</v>
      </c>
      <c r="CM52" s="108">
        <v>41562.529669972369</v>
      </c>
      <c r="CN52" s="108">
        <v>14</v>
      </c>
      <c r="CO52" s="108">
        <v>7560</v>
      </c>
      <c r="CP52" s="108">
        <v>20</v>
      </c>
      <c r="CQ52" s="108">
        <v>10800</v>
      </c>
      <c r="CR52" s="108">
        <v>23</v>
      </c>
      <c r="CS52" s="108">
        <v>12420</v>
      </c>
      <c r="CT52" s="108">
        <v>14</v>
      </c>
      <c r="CU52" s="108">
        <v>7560</v>
      </c>
    </row>
    <row r="53" spans="2:99" x14ac:dyDescent="0.2">
      <c r="C53" s="107" t="s">
        <v>218</v>
      </c>
      <c r="D53" s="108">
        <v>8</v>
      </c>
      <c r="E53" s="108">
        <v>3254.4</v>
      </c>
      <c r="F53" s="108">
        <v>12</v>
      </c>
      <c r="G53" s="108">
        <v>4881.6000000000004</v>
      </c>
      <c r="H53" s="108">
        <v>14</v>
      </c>
      <c r="I53" s="108">
        <v>5695.2</v>
      </c>
      <c r="J53" s="108">
        <v>9</v>
      </c>
      <c r="K53" s="108">
        <v>3661.2000000000003</v>
      </c>
      <c r="L53" s="108">
        <v>14</v>
      </c>
      <c r="M53" s="108">
        <v>5695.2</v>
      </c>
      <c r="N53" s="108">
        <v>12</v>
      </c>
      <c r="O53" s="108">
        <v>4881.6000000000004</v>
      </c>
      <c r="P53" s="108">
        <v>9</v>
      </c>
      <c r="Q53" s="108">
        <v>3661.2000000000003</v>
      </c>
      <c r="R53" s="108">
        <v>11</v>
      </c>
      <c r="S53" s="108">
        <v>4474.8</v>
      </c>
      <c r="T53" s="108">
        <v>142</v>
      </c>
      <c r="U53" s="108">
        <v>57765.599999999999</v>
      </c>
      <c r="V53" s="108">
        <v>97</v>
      </c>
      <c r="W53" s="108">
        <v>39459.599999999999</v>
      </c>
      <c r="X53" s="108">
        <v>111</v>
      </c>
      <c r="Y53" s="108">
        <v>45154.8</v>
      </c>
      <c r="Z53" s="108">
        <v>70.866510538641748</v>
      </c>
      <c r="AA53" s="108">
        <v>28828.496487119464</v>
      </c>
      <c r="AB53" s="108">
        <v>25</v>
      </c>
      <c r="AC53" s="108">
        <v>10170</v>
      </c>
      <c r="AD53" s="108">
        <v>23</v>
      </c>
      <c r="AE53" s="108">
        <v>9356.4</v>
      </c>
      <c r="AF53" s="108">
        <v>27</v>
      </c>
      <c r="AG53" s="108">
        <v>10983.6</v>
      </c>
      <c r="AH53" s="108">
        <v>23</v>
      </c>
      <c r="AI53" s="108">
        <v>9356.4</v>
      </c>
      <c r="AJ53" s="108">
        <v>42</v>
      </c>
      <c r="AK53" s="108">
        <v>17085.600000000002</v>
      </c>
      <c r="AL53" s="108">
        <v>26</v>
      </c>
      <c r="AM53" s="108">
        <v>10576.800000000001</v>
      </c>
      <c r="AN53" s="108">
        <v>27</v>
      </c>
      <c r="AO53" s="108">
        <v>10983.6</v>
      </c>
      <c r="AP53" s="108">
        <v>27</v>
      </c>
      <c r="AQ53" s="108">
        <v>10983.6</v>
      </c>
      <c r="AR53" s="108">
        <v>7</v>
      </c>
      <c r="AS53" s="108">
        <v>2847.6</v>
      </c>
      <c r="AT53" s="108">
        <v>10</v>
      </c>
      <c r="AU53" s="108">
        <v>4068</v>
      </c>
      <c r="AV53" s="108">
        <v>7</v>
      </c>
      <c r="AW53" s="108">
        <v>2847.6</v>
      </c>
      <c r="AX53" s="108">
        <v>9</v>
      </c>
      <c r="AY53" s="108">
        <v>3661.2000000000003</v>
      </c>
      <c r="AZ53" s="108">
        <v>14</v>
      </c>
      <c r="BA53" s="108">
        <v>5695.2</v>
      </c>
      <c r="BB53" s="108">
        <v>12</v>
      </c>
      <c r="BC53" s="108">
        <v>4881.6000000000004</v>
      </c>
      <c r="BD53" s="108">
        <v>13</v>
      </c>
      <c r="BE53" s="108">
        <v>5288.4000000000005</v>
      </c>
      <c r="BF53" s="108">
        <v>14</v>
      </c>
      <c r="BG53" s="108">
        <v>5695.2</v>
      </c>
      <c r="BH53" s="108">
        <v>10</v>
      </c>
      <c r="BI53" s="108">
        <v>4068</v>
      </c>
      <c r="BJ53" s="108">
        <v>12</v>
      </c>
      <c r="BK53" s="108">
        <v>4881.6000000000004</v>
      </c>
      <c r="BL53" s="108">
        <v>15</v>
      </c>
      <c r="BM53" s="108">
        <v>6102</v>
      </c>
      <c r="BN53" s="108">
        <v>16</v>
      </c>
      <c r="BO53" s="108">
        <v>6508.8</v>
      </c>
      <c r="BP53" s="108">
        <v>35</v>
      </c>
      <c r="BQ53" s="108">
        <v>14238</v>
      </c>
      <c r="BR53" s="108">
        <v>33</v>
      </c>
      <c r="BS53" s="108">
        <v>13424.4</v>
      </c>
      <c r="BT53" s="108">
        <v>29</v>
      </c>
      <c r="BU53" s="108">
        <v>11797.2</v>
      </c>
      <c r="BV53" s="108">
        <v>22</v>
      </c>
      <c r="BW53" s="108">
        <v>8949.6</v>
      </c>
      <c r="BX53" s="108">
        <v>7</v>
      </c>
      <c r="BY53" s="108">
        <v>2847.6</v>
      </c>
      <c r="BZ53" s="108">
        <v>7</v>
      </c>
      <c r="CA53" s="108">
        <v>2847.6</v>
      </c>
      <c r="CB53" s="108">
        <v>9</v>
      </c>
      <c r="CC53" s="108">
        <v>3661.2000000000003</v>
      </c>
      <c r="CD53" s="108">
        <v>10</v>
      </c>
      <c r="CE53" s="108">
        <v>4068</v>
      </c>
      <c r="CF53" s="108">
        <v>174</v>
      </c>
      <c r="CG53" s="108">
        <v>70783.199999999997</v>
      </c>
      <c r="CH53" s="108">
        <v>92.454106280193315</v>
      </c>
      <c r="CI53" s="108">
        <v>37610.330434782642</v>
      </c>
      <c r="CJ53" s="108">
        <v>86.130150425114479</v>
      </c>
      <c r="CK53" s="108">
        <v>35037.745192936571</v>
      </c>
      <c r="CL53" s="108">
        <v>79.135750284506599</v>
      </c>
      <c r="CM53" s="108">
        <v>32192.423215737286</v>
      </c>
      <c r="CN53" s="108">
        <v>16</v>
      </c>
      <c r="CO53" s="108">
        <v>6508.8</v>
      </c>
      <c r="CP53" s="108">
        <v>19</v>
      </c>
      <c r="CQ53" s="108">
        <v>7729.2</v>
      </c>
      <c r="CR53" s="108">
        <v>22</v>
      </c>
      <c r="CS53" s="108">
        <v>8949.6</v>
      </c>
      <c r="CT53" s="108">
        <v>14</v>
      </c>
      <c r="CU53" s="108">
        <v>5695.2</v>
      </c>
    </row>
    <row r="54" spans="2:99" x14ac:dyDescent="0.2">
      <c r="C54" s="107" t="s">
        <v>219</v>
      </c>
      <c r="D54" s="108">
        <v>8</v>
      </c>
      <c r="E54" s="108">
        <v>2678.4</v>
      </c>
      <c r="F54" s="108">
        <v>12</v>
      </c>
      <c r="G54" s="108">
        <v>4017.6000000000004</v>
      </c>
      <c r="H54" s="108">
        <v>14</v>
      </c>
      <c r="I54" s="108">
        <v>4687.2</v>
      </c>
      <c r="J54" s="108">
        <v>10</v>
      </c>
      <c r="K54" s="108">
        <v>3348</v>
      </c>
      <c r="L54" s="108">
        <v>14</v>
      </c>
      <c r="M54" s="108">
        <v>4687.2</v>
      </c>
      <c r="N54" s="108">
        <v>13</v>
      </c>
      <c r="O54" s="108">
        <v>4352.4000000000005</v>
      </c>
      <c r="P54" s="108">
        <v>9</v>
      </c>
      <c r="Q54" s="108">
        <v>3013.2000000000003</v>
      </c>
      <c r="R54" s="108">
        <v>11</v>
      </c>
      <c r="S54" s="108">
        <v>3682.8</v>
      </c>
      <c r="T54" s="108">
        <v>143</v>
      </c>
      <c r="U54" s="108">
        <v>47876.4</v>
      </c>
      <c r="V54" s="108">
        <v>102</v>
      </c>
      <c r="W54" s="108">
        <v>34149.599999999999</v>
      </c>
      <c r="X54" s="108">
        <v>130</v>
      </c>
      <c r="Y54" s="108">
        <v>43524</v>
      </c>
      <c r="Z54" s="108">
        <v>66.697892271662823</v>
      </c>
      <c r="AA54" s="108">
        <v>22330.454332552716</v>
      </c>
      <c r="AB54" s="108">
        <v>25</v>
      </c>
      <c r="AC54" s="108">
        <v>8370</v>
      </c>
      <c r="AD54" s="108">
        <v>23</v>
      </c>
      <c r="AE54" s="108">
        <v>7700.4000000000005</v>
      </c>
      <c r="AF54" s="108">
        <v>28</v>
      </c>
      <c r="AG54" s="108">
        <v>9374.4</v>
      </c>
      <c r="AH54" s="108">
        <v>24</v>
      </c>
      <c r="AI54" s="108">
        <v>8035.2000000000007</v>
      </c>
      <c r="AJ54" s="108">
        <v>42</v>
      </c>
      <c r="AK54" s="108">
        <v>14061.6</v>
      </c>
      <c r="AL54" s="108">
        <v>30</v>
      </c>
      <c r="AM54" s="108">
        <v>10044</v>
      </c>
      <c r="AN54" s="108">
        <v>32</v>
      </c>
      <c r="AO54" s="108">
        <v>10713.6</v>
      </c>
      <c r="AP54" s="108">
        <v>29</v>
      </c>
      <c r="AQ54" s="108">
        <v>9709.2000000000007</v>
      </c>
      <c r="AR54" s="108">
        <v>7</v>
      </c>
      <c r="AS54" s="108">
        <v>2343.6</v>
      </c>
      <c r="AT54" s="108">
        <v>10</v>
      </c>
      <c r="AU54" s="108">
        <v>3348</v>
      </c>
      <c r="AV54" s="108">
        <v>7</v>
      </c>
      <c r="AW54" s="108">
        <v>2343.6</v>
      </c>
      <c r="AX54" s="108">
        <v>11</v>
      </c>
      <c r="AY54" s="108">
        <v>3682.8</v>
      </c>
      <c r="AZ54" s="108">
        <v>12</v>
      </c>
      <c r="BA54" s="108">
        <v>4017.6000000000004</v>
      </c>
      <c r="BB54" s="108">
        <v>12</v>
      </c>
      <c r="BC54" s="108">
        <v>4017.6000000000004</v>
      </c>
      <c r="BD54" s="108">
        <v>13</v>
      </c>
      <c r="BE54" s="108">
        <v>4352.4000000000005</v>
      </c>
      <c r="BF54" s="108">
        <v>13</v>
      </c>
      <c r="BG54" s="108">
        <v>4352.4000000000005</v>
      </c>
      <c r="BH54" s="108">
        <v>10</v>
      </c>
      <c r="BI54" s="108">
        <v>3348</v>
      </c>
      <c r="BJ54" s="108">
        <v>13</v>
      </c>
      <c r="BK54" s="108">
        <v>4352.4000000000005</v>
      </c>
      <c r="BL54" s="108">
        <v>15</v>
      </c>
      <c r="BM54" s="108">
        <v>5022</v>
      </c>
      <c r="BN54" s="108">
        <v>16</v>
      </c>
      <c r="BO54" s="108">
        <v>5356.8</v>
      </c>
      <c r="BP54" s="108">
        <v>32</v>
      </c>
      <c r="BQ54" s="108">
        <v>10713.6</v>
      </c>
      <c r="BR54" s="108">
        <v>31</v>
      </c>
      <c r="BS54" s="108">
        <v>10378.800000000001</v>
      </c>
      <c r="BT54" s="108">
        <v>28</v>
      </c>
      <c r="BU54" s="108">
        <v>9374.4</v>
      </c>
      <c r="BV54" s="108">
        <v>20</v>
      </c>
      <c r="BW54" s="108">
        <v>6696</v>
      </c>
      <c r="BX54" s="108">
        <v>8</v>
      </c>
      <c r="BY54" s="108">
        <v>2678.4</v>
      </c>
      <c r="BZ54" s="108">
        <v>7</v>
      </c>
      <c r="CA54" s="108">
        <v>2343.6</v>
      </c>
      <c r="CB54" s="108">
        <v>10</v>
      </c>
      <c r="CC54" s="108">
        <v>3348</v>
      </c>
      <c r="CD54" s="108">
        <v>10</v>
      </c>
      <c r="CE54" s="108">
        <v>3348</v>
      </c>
      <c r="CF54" s="108">
        <v>173</v>
      </c>
      <c r="CG54" s="108">
        <v>57920.4</v>
      </c>
      <c r="CH54" s="108">
        <v>96.306360708534712</v>
      </c>
      <c r="CI54" s="108">
        <v>32243.369565217421</v>
      </c>
      <c r="CJ54" s="108">
        <v>93.216808371484646</v>
      </c>
      <c r="CK54" s="108">
        <v>31208.987442773061</v>
      </c>
      <c r="CL54" s="108">
        <v>69.921313607543496</v>
      </c>
      <c r="CM54" s="108">
        <v>23409.655795805564</v>
      </c>
      <c r="CN54" s="108">
        <v>15</v>
      </c>
      <c r="CO54" s="108">
        <v>5022</v>
      </c>
      <c r="CP54" s="108">
        <v>22</v>
      </c>
      <c r="CQ54" s="108">
        <v>7365.6</v>
      </c>
      <c r="CR54" s="108">
        <v>21</v>
      </c>
      <c r="CS54" s="108">
        <v>7030.8</v>
      </c>
      <c r="CT54" s="108">
        <v>14</v>
      </c>
      <c r="CU54" s="108">
        <v>4687.2</v>
      </c>
    </row>
    <row r="55" spans="2:99" x14ac:dyDescent="0.2">
      <c r="C55" s="107" t="s">
        <v>220</v>
      </c>
      <c r="D55" s="108">
        <v>8</v>
      </c>
      <c r="E55" s="108">
        <v>5308.8</v>
      </c>
      <c r="F55" s="108">
        <v>13</v>
      </c>
      <c r="G55" s="108">
        <v>8626.8000000000011</v>
      </c>
      <c r="H55" s="108">
        <v>14</v>
      </c>
      <c r="I55" s="108">
        <v>9290.4</v>
      </c>
      <c r="J55" s="108">
        <v>9</v>
      </c>
      <c r="K55" s="108">
        <v>5972.4000000000005</v>
      </c>
      <c r="L55" s="108">
        <v>13</v>
      </c>
      <c r="M55" s="108">
        <v>8626.8000000000011</v>
      </c>
      <c r="N55" s="108">
        <v>13</v>
      </c>
      <c r="O55" s="108">
        <v>8626.8000000000011</v>
      </c>
      <c r="P55" s="108">
        <v>8</v>
      </c>
      <c r="Q55" s="108">
        <v>5308.8</v>
      </c>
      <c r="R55" s="108">
        <v>10</v>
      </c>
      <c r="S55" s="108">
        <v>6636</v>
      </c>
      <c r="T55" s="108">
        <v>118</v>
      </c>
      <c r="U55" s="108">
        <v>78304.800000000003</v>
      </c>
      <c r="V55" s="108">
        <v>77</v>
      </c>
      <c r="W55" s="108">
        <v>51097.200000000004</v>
      </c>
      <c r="X55" s="108">
        <v>102</v>
      </c>
      <c r="Y55" s="108">
        <v>67687.199999999997</v>
      </c>
      <c r="Z55" s="108">
        <v>56.971116315378666</v>
      </c>
      <c r="AA55" s="108">
        <v>37806.032786885284</v>
      </c>
      <c r="AB55" s="108">
        <v>24</v>
      </c>
      <c r="AC55" s="108">
        <v>15926.400000000001</v>
      </c>
      <c r="AD55" s="108">
        <v>19</v>
      </c>
      <c r="AE55" s="108">
        <v>12608.4</v>
      </c>
      <c r="AF55" s="108">
        <v>32</v>
      </c>
      <c r="AG55" s="108">
        <v>21235.200000000001</v>
      </c>
      <c r="AH55" s="108">
        <v>22</v>
      </c>
      <c r="AI55" s="108">
        <v>14599.2</v>
      </c>
      <c r="AJ55" s="108">
        <v>44</v>
      </c>
      <c r="AK55" s="108">
        <v>29198.400000000001</v>
      </c>
      <c r="AL55" s="108">
        <v>27</v>
      </c>
      <c r="AM55" s="108">
        <v>17917.2</v>
      </c>
      <c r="AN55" s="108">
        <v>29</v>
      </c>
      <c r="AO55" s="108">
        <v>19244.400000000001</v>
      </c>
      <c r="AP55" s="108">
        <v>27</v>
      </c>
      <c r="AQ55" s="108">
        <v>17917.2</v>
      </c>
      <c r="AR55" s="108">
        <v>7</v>
      </c>
      <c r="AS55" s="108">
        <v>4645.2</v>
      </c>
      <c r="AT55" s="108">
        <v>9</v>
      </c>
      <c r="AU55" s="108">
        <v>5972.4000000000005</v>
      </c>
      <c r="AV55" s="108">
        <v>7</v>
      </c>
      <c r="AW55" s="108">
        <v>4645.2</v>
      </c>
      <c r="AX55" s="108">
        <v>10</v>
      </c>
      <c r="AY55" s="108">
        <v>6636</v>
      </c>
      <c r="AZ55" s="108">
        <v>12</v>
      </c>
      <c r="BA55" s="108">
        <v>7963.2000000000007</v>
      </c>
      <c r="BB55" s="108">
        <v>12</v>
      </c>
      <c r="BC55" s="108">
        <v>7963.2000000000007</v>
      </c>
      <c r="BD55" s="108">
        <v>12</v>
      </c>
      <c r="BE55" s="108">
        <v>7963.2000000000007</v>
      </c>
      <c r="BF55" s="108">
        <v>14</v>
      </c>
      <c r="BG55" s="108">
        <v>9290.4</v>
      </c>
      <c r="BH55" s="108">
        <v>11</v>
      </c>
      <c r="BI55" s="108">
        <v>7299.6</v>
      </c>
      <c r="BJ55" s="108">
        <v>13</v>
      </c>
      <c r="BK55" s="108">
        <v>8626.8000000000011</v>
      </c>
      <c r="BL55" s="108">
        <v>16</v>
      </c>
      <c r="BM55" s="108">
        <v>10617.6</v>
      </c>
      <c r="BN55" s="108">
        <v>14</v>
      </c>
      <c r="BO55" s="108">
        <v>9290.4</v>
      </c>
      <c r="BP55" s="108">
        <v>33</v>
      </c>
      <c r="BQ55" s="108">
        <v>21898.799999999999</v>
      </c>
      <c r="BR55" s="108">
        <v>29</v>
      </c>
      <c r="BS55" s="108">
        <v>19244.400000000001</v>
      </c>
      <c r="BT55" s="108">
        <v>24</v>
      </c>
      <c r="BU55" s="108">
        <v>15926.400000000001</v>
      </c>
      <c r="BV55" s="108">
        <v>18</v>
      </c>
      <c r="BW55" s="108">
        <v>11944.800000000001</v>
      </c>
      <c r="BX55" s="108">
        <v>7</v>
      </c>
      <c r="BY55" s="108">
        <v>4645.2</v>
      </c>
      <c r="BZ55" s="108">
        <v>7</v>
      </c>
      <c r="CA55" s="108">
        <v>4645.2</v>
      </c>
      <c r="CB55" s="108">
        <v>8</v>
      </c>
      <c r="CC55" s="108">
        <v>5308.8</v>
      </c>
      <c r="CD55" s="108">
        <v>9</v>
      </c>
      <c r="CE55" s="108">
        <v>5972.4000000000005</v>
      </c>
      <c r="CF55" s="108">
        <v>163</v>
      </c>
      <c r="CG55" s="108">
        <v>108166.8</v>
      </c>
      <c r="CH55" s="108">
        <v>81.44766505636079</v>
      </c>
      <c r="CI55" s="108">
        <v>54048.670531401025</v>
      </c>
      <c r="CJ55" s="108">
        <v>74.1373446697188</v>
      </c>
      <c r="CK55" s="108">
        <v>49197.541922825396</v>
      </c>
      <c r="CL55" s="108">
        <v>63.959031051861501</v>
      </c>
      <c r="CM55" s="108">
        <v>42443.213006015292</v>
      </c>
      <c r="CN55" s="108">
        <v>14</v>
      </c>
      <c r="CO55" s="108">
        <v>9290.4</v>
      </c>
      <c r="CP55" s="108">
        <v>21</v>
      </c>
      <c r="CQ55" s="108">
        <v>13935.6</v>
      </c>
      <c r="CR55" s="108">
        <v>22</v>
      </c>
      <c r="CS55" s="108">
        <v>14599.2</v>
      </c>
      <c r="CT55" s="108">
        <v>14</v>
      </c>
      <c r="CU55" s="108">
        <v>9290.4</v>
      </c>
    </row>
    <row r="56" spans="2:99" x14ac:dyDescent="0.2">
      <c r="C56" s="107" t="s">
        <v>221</v>
      </c>
      <c r="D56" s="108">
        <v>8</v>
      </c>
      <c r="E56" s="108">
        <v>9206.4</v>
      </c>
      <c r="F56" s="108">
        <v>11</v>
      </c>
      <c r="G56" s="108">
        <v>12658.8</v>
      </c>
      <c r="H56" s="108">
        <v>15</v>
      </c>
      <c r="I56" s="108">
        <v>17262</v>
      </c>
      <c r="J56" s="108">
        <v>8</v>
      </c>
      <c r="K56" s="108">
        <v>9206.4</v>
      </c>
      <c r="L56" s="108">
        <v>12</v>
      </c>
      <c r="M56" s="108">
        <v>13809.599999999999</v>
      </c>
      <c r="N56" s="108">
        <v>11</v>
      </c>
      <c r="O56" s="108">
        <v>12658.8</v>
      </c>
      <c r="P56" s="108">
        <v>8</v>
      </c>
      <c r="Q56" s="108">
        <v>9206.4</v>
      </c>
      <c r="R56" s="108">
        <v>10</v>
      </c>
      <c r="S56" s="108">
        <v>11508</v>
      </c>
      <c r="T56" s="108">
        <v>118</v>
      </c>
      <c r="U56" s="108">
        <v>135794.4</v>
      </c>
      <c r="V56" s="108">
        <v>79</v>
      </c>
      <c r="W56" s="108">
        <v>90913.2</v>
      </c>
      <c r="X56" s="108">
        <v>107</v>
      </c>
      <c r="Y56" s="108">
        <v>123135.59999999999</v>
      </c>
      <c r="Z56" s="108">
        <v>110</v>
      </c>
      <c r="AA56" s="108">
        <v>126588</v>
      </c>
      <c r="AB56" s="108">
        <v>22</v>
      </c>
      <c r="AC56" s="108">
        <v>25317.599999999999</v>
      </c>
      <c r="AD56" s="108">
        <v>21</v>
      </c>
      <c r="AE56" s="108">
        <v>24166.799999999999</v>
      </c>
      <c r="AF56" s="108">
        <v>26</v>
      </c>
      <c r="AG56" s="108">
        <v>29920.799999999999</v>
      </c>
      <c r="AH56" s="108">
        <v>23</v>
      </c>
      <c r="AI56" s="108">
        <v>26468.399999999998</v>
      </c>
      <c r="AJ56" s="108">
        <v>37</v>
      </c>
      <c r="AK56" s="108">
        <v>42579.6</v>
      </c>
      <c r="AL56" s="108">
        <v>26</v>
      </c>
      <c r="AM56" s="108">
        <v>29920.799999999999</v>
      </c>
      <c r="AN56" s="108">
        <v>29</v>
      </c>
      <c r="AO56" s="108">
        <v>33373.199999999997</v>
      </c>
      <c r="AP56" s="108">
        <v>24</v>
      </c>
      <c r="AQ56" s="108">
        <v>27619.199999999997</v>
      </c>
      <c r="AR56" s="108">
        <v>6</v>
      </c>
      <c r="AS56" s="108">
        <v>6904.7999999999993</v>
      </c>
      <c r="AT56" s="108">
        <v>9</v>
      </c>
      <c r="AU56" s="108">
        <v>10357.199999999999</v>
      </c>
      <c r="AV56" s="108">
        <v>6</v>
      </c>
      <c r="AW56" s="108">
        <v>6904.7999999999993</v>
      </c>
      <c r="AX56" s="108">
        <v>10</v>
      </c>
      <c r="AY56" s="108">
        <v>11508</v>
      </c>
      <c r="AZ56" s="108">
        <v>12</v>
      </c>
      <c r="BA56" s="108">
        <v>13809.599999999999</v>
      </c>
      <c r="BB56" s="108">
        <v>12</v>
      </c>
      <c r="BC56" s="108">
        <v>13809.599999999999</v>
      </c>
      <c r="BD56" s="108">
        <v>12</v>
      </c>
      <c r="BE56" s="108">
        <v>13809.599999999999</v>
      </c>
      <c r="BF56" s="108">
        <v>12</v>
      </c>
      <c r="BG56" s="108">
        <v>13809.599999999999</v>
      </c>
      <c r="BH56" s="108">
        <v>9</v>
      </c>
      <c r="BI56" s="108">
        <v>10357.199999999999</v>
      </c>
      <c r="BJ56" s="108">
        <v>11</v>
      </c>
      <c r="BK56" s="108">
        <v>12658.8</v>
      </c>
      <c r="BL56" s="108">
        <v>14</v>
      </c>
      <c r="BM56" s="108">
        <v>16111.199999999999</v>
      </c>
      <c r="BN56" s="108">
        <v>14</v>
      </c>
      <c r="BO56" s="108">
        <v>16111.199999999999</v>
      </c>
      <c r="BP56" s="108">
        <v>30</v>
      </c>
      <c r="BQ56" s="108">
        <v>34524</v>
      </c>
      <c r="BR56" s="108">
        <v>29</v>
      </c>
      <c r="BS56" s="108">
        <v>33373.199999999997</v>
      </c>
      <c r="BT56" s="108">
        <v>24</v>
      </c>
      <c r="BU56" s="108">
        <v>27619.199999999997</v>
      </c>
      <c r="BV56" s="108">
        <v>18</v>
      </c>
      <c r="BW56" s="108">
        <v>20714.399999999998</v>
      </c>
      <c r="BX56" s="108">
        <v>6</v>
      </c>
      <c r="BY56" s="108">
        <v>6904.7999999999993</v>
      </c>
      <c r="BZ56" s="108">
        <v>6</v>
      </c>
      <c r="CA56" s="108">
        <v>6904.7999999999993</v>
      </c>
      <c r="CB56" s="108">
        <v>8</v>
      </c>
      <c r="CC56" s="108">
        <v>9206.4</v>
      </c>
      <c r="CD56" s="108">
        <v>9</v>
      </c>
      <c r="CE56" s="108">
        <v>10357.199999999999</v>
      </c>
      <c r="CF56" s="108">
        <v>149</v>
      </c>
      <c r="CG56" s="108">
        <v>171469.19999999998</v>
      </c>
      <c r="CH56" s="108">
        <v>155</v>
      </c>
      <c r="CI56" s="108">
        <v>178374</v>
      </c>
      <c r="CJ56" s="108">
        <v>117</v>
      </c>
      <c r="CK56" s="108">
        <v>134643.6</v>
      </c>
      <c r="CL56" s="108">
        <v>112</v>
      </c>
      <c r="CM56" s="108">
        <v>128889.59999999999</v>
      </c>
      <c r="CN56" s="108">
        <v>14</v>
      </c>
      <c r="CO56" s="108">
        <v>16111.199999999999</v>
      </c>
      <c r="CP56" s="108">
        <v>21</v>
      </c>
      <c r="CQ56" s="108">
        <v>24166.799999999999</v>
      </c>
      <c r="CR56" s="108">
        <v>20</v>
      </c>
      <c r="CS56" s="108">
        <v>23016</v>
      </c>
      <c r="CT56" s="108">
        <v>12</v>
      </c>
      <c r="CU56" s="108">
        <v>13809.599999999999</v>
      </c>
    </row>
    <row r="57" spans="2:99" x14ac:dyDescent="0.2">
      <c r="C57" s="107" t="s">
        <v>222</v>
      </c>
      <c r="D57" s="108">
        <v>7</v>
      </c>
      <c r="E57" s="108">
        <v>9878.4</v>
      </c>
      <c r="F57" s="108">
        <v>11</v>
      </c>
      <c r="G57" s="108">
        <v>15523.2</v>
      </c>
      <c r="H57" s="108">
        <v>12</v>
      </c>
      <c r="I57" s="108">
        <v>16934.400000000001</v>
      </c>
      <c r="J57" s="108">
        <v>9</v>
      </c>
      <c r="K57" s="108">
        <v>12700.800000000001</v>
      </c>
      <c r="L57" s="108">
        <v>12</v>
      </c>
      <c r="M57" s="108">
        <v>16934.400000000001</v>
      </c>
      <c r="N57" s="108">
        <v>10</v>
      </c>
      <c r="O57" s="108">
        <v>14112</v>
      </c>
      <c r="P57" s="108">
        <v>7</v>
      </c>
      <c r="Q57" s="108">
        <v>9878.4</v>
      </c>
      <c r="R57" s="108">
        <v>9</v>
      </c>
      <c r="S57" s="108">
        <v>12700.800000000001</v>
      </c>
      <c r="T57" s="108">
        <v>101</v>
      </c>
      <c r="U57" s="108">
        <v>142531.20000000001</v>
      </c>
      <c r="V57" s="108">
        <v>65</v>
      </c>
      <c r="W57" s="108">
        <v>91728</v>
      </c>
      <c r="X57" s="108">
        <v>100</v>
      </c>
      <c r="Y57" s="108">
        <v>141120</v>
      </c>
      <c r="Z57" s="108">
        <v>52.339318240957631</v>
      </c>
      <c r="AA57" s="108">
        <v>73861.245901639413</v>
      </c>
      <c r="AB57" s="108">
        <v>21</v>
      </c>
      <c r="AC57" s="108">
        <v>29635.200000000001</v>
      </c>
      <c r="AD57" s="108">
        <v>17</v>
      </c>
      <c r="AE57" s="108">
        <v>23990.400000000001</v>
      </c>
      <c r="AF57" s="108">
        <v>28</v>
      </c>
      <c r="AG57" s="108">
        <v>39513.599999999999</v>
      </c>
      <c r="AH57" s="108">
        <v>22</v>
      </c>
      <c r="AI57" s="108">
        <v>31046.400000000001</v>
      </c>
      <c r="AJ57" s="108">
        <v>40</v>
      </c>
      <c r="AK57" s="108">
        <v>56448</v>
      </c>
      <c r="AL57" s="108">
        <v>24</v>
      </c>
      <c r="AM57" s="108">
        <v>33868.800000000003</v>
      </c>
      <c r="AN57" s="108">
        <v>28</v>
      </c>
      <c r="AO57" s="108">
        <v>39513.599999999999</v>
      </c>
      <c r="AP57" s="108">
        <v>26</v>
      </c>
      <c r="AQ57" s="108">
        <v>36691.200000000004</v>
      </c>
      <c r="AR57" s="108">
        <v>6</v>
      </c>
      <c r="AS57" s="108">
        <v>8467.2000000000007</v>
      </c>
      <c r="AT57" s="108">
        <v>8</v>
      </c>
      <c r="AU57" s="108">
        <v>11289.6</v>
      </c>
      <c r="AV57" s="108">
        <v>6</v>
      </c>
      <c r="AW57" s="108">
        <v>8467.2000000000007</v>
      </c>
      <c r="AX57" s="108">
        <v>9</v>
      </c>
      <c r="AY57" s="108">
        <v>12700.800000000001</v>
      </c>
      <c r="AZ57" s="108">
        <v>12</v>
      </c>
      <c r="BA57" s="108">
        <v>16934.400000000001</v>
      </c>
      <c r="BB57" s="108">
        <v>12</v>
      </c>
      <c r="BC57" s="108">
        <v>16934.400000000001</v>
      </c>
      <c r="BD57" s="108">
        <v>10</v>
      </c>
      <c r="BE57" s="108">
        <v>14112</v>
      </c>
      <c r="BF57" s="108">
        <v>12</v>
      </c>
      <c r="BG57" s="108">
        <v>16934.400000000001</v>
      </c>
      <c r="BH57" s="108">
        <v>9</v>
      </c>
      <c r="BI57" s="108">
        <v>12700.800000000001</v>
      </c>
      <c r="BJ57" s="108">
        <v>11</v>
      </c>
      <c r="BK57" s="108">
        <v>15523.2</v>
      </c>
      <c r="BL57" s="108">
        <v>14</v>
      </c>
      <c r="BM57" s="108">
        <v>19756.8</v>
      </c>
      <c r="BN57" s="108">
        <v>13</v>
      </c>
      <c r="BO57" s="108">
        <v>18345.600000000002</v>
      </c>
      <c r="BP57" s="108">
        <v>31</v>
      </c>
      <c r="BQ57" s="108">
        <v>43747.200000000004</v>
      </c>
      <c r="BR57" s="108">
        <v>28</v>
      </c>
      <c r="BS57" s="108">
        <v>39513.599999999999</v>
      </c>
      <c r="BT57" s="108">
        <v>24</v>
      </c>
      <c r="BU57" s="108">
        <v>33868.800000000003</v>
      </c>
      <c r="BV57" s="108">
        <v>16</v>
      </c>
      <c r="BW57" s="108">
        <v>22579.200000000001</v>
      </c>
      <c r="BX57" s="108">
        <v>7</v>
      </c>
      <c r="BY57" s="108">
        <v>9878.4</v>
      </c>
      <c r="BZ57" s="108">
        <v>6</v>
      </c>
      <c r="CA57" s="108">
        <v>8467.2000000000007</v>
      </c>
      <c r="CB57" s="108">
        <v>9</v>
      </c>
      <c r="CC57" s="108">
        <v>12700.800000000001</v>
      </c>
      <c r="CD57" s="108">
        <v>9</v>
      </c>
      <c r="CE57" s="108">
        <v>12700.800000000001</v>
      </c>
      <c r="CF57" s="108">
        <v>141</v>
      </c>
      <c r="CG57" s="108">
        <v>198979.20000000001</v>
      </c>
      <c r="CH57" s="108">
        <v>69.890901771336615</v>
      </c>
      <c r="CI57" s="108">
        <v>98630.040579710228</v>
      </c>
      <c r="CJ57" s="108">
        <v>61.054283845650765</v>
      </c>
      <c r="CK57" s="108">
        <v>86159.80536298237</v>
      </c>
      <c r="CL57" s="108">
        <v>53.118517314257851</v>
      </c>
      <c r="CM57" s="108">
        <v>74960.85163388068</v>
      </c>
      <c r="CN57" s="108">
        <v>13</v>
      </c>
      <c r="CO57" s="108">
        <v>18345.600000000002</v>
      </c>
      <c r="CP57" s="108">
        <v>19</v>
      </c>
      <c r="CQ57" s="108">
        <v>26812.799999999999</v>
      </c>
      <c r="CR57" s="108">
        <v>21</v>
      </c>
      <c r="CS57" s="108">
        <v>29635.200000000001</v>
      </c>
      <c r="CT57" s="108">
        <v>12</v>
      </c>
      <c r="CU57" s="108">
        <v>16934.400000000001</v>
      </c>
    </row>
    <row r="58" spans="2:99" x14ac:dyDescent="0.2">
      <c r="C58" s="107" t="s">
        <v>223</v>
      </c>
      <c r="D58" s="108">
        <v>7</v>
      </c>
      <c r="E58" s="108">
        <v>8240.4</v>
      </c>
      <c r="F58" s="108">
        <v>12</v>
      </c>
      <c r="G58" s="108">
        <v>14126.400000000001</v>
      </c>
      <c r="H58" s="108">
        <v>14</v>
      </c>
      <c r="I58" s="108">
        <v>16480.8</v>
      </c>
      <c r="J58" s="108">
        <v>8</v>
      </c>
      <c r="K58" s="108">
        <v>9417.6</v>
      </c>
      <c r="L58" s="108">
        <v>13</v>
      </c>
      <c r="M58" s="108">
        <v>15303.6</v>
      </c>
      <c r="N58" s="108">
        <v>11</v>
      </c>
      <c r="O58" s="108">
        <v>12949.2</v>
      </c>
      <c r="P58" s="108">
        <v>7</v>
      </c>
      <c r="Q58" s="108">
        <v>8240.4</v>
      </c>
      <c r="R58" s="108">
        <v>10</v>
      </c>
      <c r="S58" s="108">
        <v>11772</v>
      </c>
      <c r="T58" s="108">
        <v>113</v>
      </c>
      <c r="U58" s="108">
        <v>133023.6</v>
      </c>
      <c r="V58" s="108">
        <v>70</v>
      </c>
      <c r="W58" s="108">
        <v>82404</v>
      </c>
      <c r="X58" s="108">
        <v>101</v>
      </c>
      <c r="Y58" s="108">
        <v>118897.20000000001</v>
      </c>
      <c r="Z58" s="108">
        <v>122</v>
      </c>
      <c r="AA58" s="108">
        <v>143618.4</v>
      </c>
      <c r="AB58" s="108">
        <v>24</v>
      </c>
      <c r="AC58" s="108">
        <v>28252.800000000003</v>
      </c>
      <c r="AD58" s="108">
        <v>20</v>
      </c>
      <c r="AE58" s="108">
        <v>23544</v>
      </c>
      <c r="AF58" s="108">
        <v>27</v>
      </c>
      <c r="AG58" s="108">
        <v>31784.400000000001</v>
      </c>
      <c r="AH58" s="108">
        <v>23</v>
      </c>
      <c r="AI58" s="108">
        <v>27075.600000000002</v>
      </c>
      <c r="AJ58" s="108">
        <v>39</v>
      </c>
      <c r="AK58" s="108">
        <v>45910.8</v>
      </c>
      <c r="AL58" s="108">
        <v>24</v>
      </c>
      <c r="AM58" s="108">
        <v>28252.800000000003</v>
      </c>
      <c r="AN58" s="108">
        <v>27</v>
      </c>
      <c r="AO58" s="108">
        <v>31784.400000000001</v>
      </c>
      <c r="AP58" s="108">
        <v>28</v>
      </c>
      <c r="AQ58" s="108">
        <v>32961.599999999999</v>
      </c>
      <c r="AR58" s="108">
        <v>7</v>
      </c>
      <c r="AS58" s="108">
        <v>8240.4</v>
      </c>
      <c r="AT58" s="108">
        <v>8</v>
      </c>
      <c r="AU58" s="108">
        <v>9417.6</v>
      </c>
      <c r="AV58" s="108">
        <v>6</v>
      </c>
      <c r="AW58" s="108">
        <v>7063.2000000000007</v>
      </c>
      <c r="AX58" s="108">
        <v>9</v>
      </c>
      <c r="AY58" s="108">
        <v>10594.800000000001</v>
      </c>
      <c r="AZ58" s="108">
        <v>12</v>
      </c>
      <c r="BA58" s="108">
        <v>14126.400000000001</v>
      </c>
      <c r="BB58" s="108">
        <v>11</v>
      </c>
      <c r="BC58" s="108">
        <v>12949.2</v>
      </c>
      <c r="BD58" s="108">
        <v>10</v>
      </c>
      <c r="BE58" s="108">
        <v>11772</v>
      </c>
      <c r="BF58" s="108">
        <v>14</v>
      </c>
      <c r="BG58" s="108">
        <v>16480.8</v>
      </c>
      <c r="BH58" s="108">
        <v>8</v>
      </c>
      <c r="BI58" s="108">
        <v>9417.6</v>
      </c>
      <c r="BJ58" s="108">
        <v>11</v>
      </c>
      <c r="BK58" s="108">
        <v>12949.2</v>
      </c>
      <c r="BL58" s="108">
        <v>13</v>
      </c>
      <c r="BM58" s="108">
        <v>15303.6</v>
      </c>
      <c r="BN58" s="108">
        <v>14</v>
      </c>
      <c r="BO58" s="108">
        <v>16480.8</v>
      </c>
      <c r="BP58" s="108">
        <v>32</v>
      </c>
      <c r="BQ58" s="108">
        <v>37670.400000000001</v>
      </c>
      <c r="BR58" s="108">
        <v>28</v>
      </c>
      <c r="BS58" s="108">
        <v>32961.599999999999</v>
      </c>
      <c r="BT58" s="108">
        <v>25</v>
      </c>
      <c r="BU58" s="108">
        <v>29430</v>
      </c>
      <c r="BV58" s="108">
        <v>19</v>
      </c>
      <c r="BW58" s="108">
        <v>22366.799999999999</v>
      </c>
      <c r="BX58" s="108">
        <v>7</v>
      </c>
      <c r="BY58" s="108">
        <v>8240.4</v>
      </c>
      <c r="BZ58" s="108">
        <v>7</v>
      </c>
      <c r="CA58" s="108">
        <v>8240.4</v>
      </c>
      <c r="CB58" s="108">
        <v>9</v>
      </c>
      <c r="CC58" s="108">
        <v>10594.800000000001</v>
      </c>
      <c r="CD58" s="108">
        <v>10</v>
      </c>
      <c r="CE58" s="108">
        <v>11772</v>
      </c>
      <c r="CF58" s="108">
        <v>142</v>
      </c>
      <c r="CG58" s="108">
        <v>167162.4</v>
      </c>
      <c r="CH58" s="108">
        <v>134</v>
      </c>
      <c r="CI58" s="108">
        <v>157744.80000000002</v>
      </c>
      <c r="CJ58" s="108">
        <v>114</v>
      </c>
      <c r="CK58" s="108">
        <v>134200.80000000002</v>
      </c>
      <c r="CL58" s="108">
        <v>103</v>
      </c>
      <c r="CM58" s="108">
        <v>121251.6</v>
      </c>
      <c r="CN58" s="108">
        <v>13</v>
      </c>
      <c r="CO58" s="108">
        <v>15303.6</v>
      </c>
      <c r="CP58" s="108">
        <v>20</v>
      </c>
      <c r="CQ58" s="108">
        <v>23544</v>
      </c>
      <c r="CR58" s="108">
        <v>19</v>
      </c>
      <c r="CS58" s="108">
        <v>22366.799999999999</v>
      </c>
      <c r="CT58" s="108">
        <v>14</v>
      </c>
      <c r="CU58" s="108">
        <v>16480.8</v>
      </c>
    </row>
    <row r="59" spans="2:99" x14ac:dyDescent="0.2">
      <c r="C59" s="107" t="s">
        <v>224</v>
      </c>
      <c r="D59" s="108">
        <v>8</v>
      </c>
      <c r="E59" s="108">
        <v>2428.7999999999997</v>
      </c>
      <c r="F59" s="108">
        <v>12</v>
      </c>
      <c r="G59" s="108">
        <v>3643.2</v>
      </c>
      <c r="H59" s="108">
        <v>14</v>
      </c>
      <c r="I59" s="108">
        <v>4250.3999999999996</v>
      </c>
      <c r="J59" s="108">
        <v>9</v>
      </c>
      <c r="K59" s="108">
        <v>2732.3999999999996</v>
      </c>
      <c r="L59" s="108">
        <v>13</v>
      </c>
      <c r="M59" s="108">
        <v>3946.7999999999997</v>
      </c>
      <c r="N59" s="108">
        <v>13</v>
      </c>
      <c r="O59" s="108">
        <v>3946.7999999999997</v>
      </c>
      <c r="P59" s="108">
        <v>9</v>
      </c>
      <c r="Q59" s="108">
        <v>2732.3999999999996</v>
      </c>
      <c r="R59" s="108">
        <v>12</v>
      </c>
      <c r="S59" s="108">
        <v>3643.2</v>
      </c>
      <c r="T59" s="108">
        <v>136</v>
      </c>
      <c r="U59" s="108">
        <v>41289.599999999999</v>
      </c>
      <c r="V59" s="108">
        <v>86</v>
      </c>
      <c r="W59" s="108">
        <v>26109.599999999999</v>
      </c>
      <c r="X59" s="108">
        <v>129</v>
      </c>
      <c r="Y59" s="108">
        <v>39164.399999999994</v>
      </c>
      <c r="Z59" s="108">
        <v>64.38199323445231</v>
      </c>
      <c r="AA59" s="108">
        <v>19546.37314597972</v>
      </c>
      <c r="AB59" s="108">
        <v>29</v>
      </c>
      <c r="AC59" s="108">
        <v>8804.4</v>
      </c>
      <c r="AD59" s="108">
        <v>23</v>
      </c>
      <c r="AE59" s="108">
        <v>6982.7999999999993</v>
      </c>
      <c r="AF59" s="108">
        <v>29</v>
      </c>
      <c r="AG59" s="108">
        <v>8804.4</v>
      </c>
      <c r="AH59" s="108">
        <v>23</v>
      </c>
      <c r="AI59" s="108">
        <v>6982.7999999999993</v>
      </c>
      <c r="AJ59" s="108">
        <v>42</v>
      </c>
      <c r="AK59" s="108">
        <v>12751.199999999999</v>
      </c>
      <c r="AL59" s="108">
        <v>31</v>
      </c>
      <c r="AM59" s="108">
        <v>9411.5999999999985</v>
      </c>
      <c r="AN59" s="108">
        <v>34</v>
      </c>
      <c r="AO59" s="108">
        <v>10322.4</v>
      </c>
      <c r="AP59" s="108">
        <v>33</v>
      </c>
      <c r="AQ59" s="108">
        <v>10018.799999999999</v>
      </c>
      <c r="AR59" s="108">
        <v>7</v>
      </c>
      <c r="AS59" s="108">
        <v>2125.1999999999998</v>
      </c>
      <c r="AT59" s="108">
        <v>9</v>
      </c>
      <c r="AU59" s="108">
        <v>2732.3999999999996</v>
      </c>
      <c r="AV59" s="108">
        <v>7</v>
      </c>
      <c r="AW59" s="108">
        <v>2125.1999999999998</v>
      </c>
      <c r="AX59" s="108">
        <v>10</v>
      </c>
      <c r="AY59" s="108">
        <v>3035.9999999999995</v>
      </c>
      <c r="AZ59" s="108">
        <v>13</v>
      </c>
      <c r="BA59" s="108">
        <v>3946.7999999999997</v>
      </c>
      <c r="BB59" s="108">
        <v>14</v>
      </c>
      <c r="BC59" s="108">
        <v>4250.3999999999996</v>
      </c>
      <c r="BD59" s="108">
        <v>11</v>
      </c>
      <c r="BE59" s="108">
        <v>3339.5999999999995</v>
      </c>
      <c r="BF59" s="108">
        <v>15</v>
      </c>
      <c r="BG59" s="108">
        <v>4553.9999999999991</v>
      </c>
      <c r="BH59" s="108">
        <v>11</v>
      </c>
      <c r="BI59" s="108">
        <v>3339.5999999999995</v>
      </c>
      <c r="BJ59" s="108">
        <v>13</v>
      </c>
      <c r="BK59" s="108">
        <v>3946.7999999999997</v>
      </c>
      <c r="BL59" s="108">
        <v>17</v>
      </c>
      <c r="BM59" s="108">
        <v>5161.2</v>
      </c>
      <c r="BN59" s="108">
        <v>15</v>
      </c>
      <c r="BO59" s="108">
        <v>4553.9999999999991</v>
      </c>
      <c r="BP59" s="108">
        <v>33</v>
      </c>
      <c r="BQ59" s="108">
        <v>10018.799999999999</v>
      </c>
      <c r="BR59" s="108">
        <v>34</v>
      </c>
      <c r="BS59" s="108">
        <v>10322.4</v>
      </c>
      <c r="BT59" s="108">
        <v>31</v>
      </c>
      <c r="BU59" s="108">
        <v>9411.5999999999985</v>
      </c>
      <c r="BV59" s="108">
        <v>22</v>
      </c>
      <c r="BW59" s="108">
        <v>6679.1999999999989</v>
      </c>
      <c r="BX59" s="108">
        <v>8</v>
      </c>
      <c r="BY59" s="108">
        <v>2428.7999999999997</v>
      </c>
      <c r="BZ59" s="108">
        <v>7</v>
      </c>
      <c r="CA59" s="108">
        <v>2125.1999999999998</v>
      </c>
      <c r="CB59" s="108">
        <v>9</v>
      </c>
      <c r="CC59" s="108">
        <v>2732.3999999999996</v>
      </c>
      <c r="CD59" s="108">
        <v>9</v>
      </c>
      <c r="CE59" s="108">
        <v>2732.3999999999996</v>
      </c>
      <c r="CF59" s="108">
        <v>184</v>
      </c>
      <c r="CG59" s="108">
        <v>55862.399999999994</v>
      </c>
      <c r="CH59" s="108">
        <v>97.40700483091797</v>
      </c>
      <c r="CI59" s="108">
        <v>29572.766666666692</v>
      </c>
      <c r="CJ59" s="108">
        <v>93.216808371484646</v>
      </c>
      <c r="CK59" s="108">
        <v>28300.623021582735</v>
      </c>
      <c r="CL59" s="108">
        <v>74.257519102584951</v>
      </c>
      <c r="CM59" s="108">
        <v>22544.582799544787</v>
      </c>
      <c r="CN59" s="108">
        <v>17</v>
      </c>
      <c r="CO59" s="108">
        <v>5161.2</v>
      </c>
      <c r="CP59" s="108">
        <v>21</v>
      </c>
      <c r="CQ59" s="108">
        <v>6375.5999999999995</v>
      </c>
      <c r="CR59" s="108">
        <v>21</v>
      </c>
      <c r="CS59" s="108">
        <v>6375.5999999999995</v>
      </c>
      <c r="CT59" s="108">
        <v>14</v>
      </c>
      <c r="CU59" s="108">
        <v>4250.3999999999996</v>
      </c>
    </row>
    <row r="60" spans="2:99" x14ac:dyDescent="0.2">
      <c r="C60" s="107" t="s">
        <v>225</v>
      </c>
      <c r="D60" s="108">
        <v>7</v>
      </c>
      <c r="E60" s="108">
        <v>4561.2</v>
      </c>
      <c r="F60" s="108">
        <v>12</v>
      </c>
      <c r="G60" s="108">
        <v>7819.2000000000007</v>
      </c>
      <c r="H60" s="108">
        <v>13</v>
      </c>
      <c r="I60" s="108">
        <v>8470.8000000000011</v>
      </c>
      <c r="J60" s="108">
        <v>9</v>
      </c>
      <c r="K60" s="108">
        <v>5864.4000000000005</v>
      </c>
      <c r="L60" s="108">
        <v>14</v>
      </c>
      <c r="M60" s="108">
        <v>9122.4</v>
      </c>
      <c r="N60" s="108">
        <v>11</v>
      </c>
      <c r="O60" s="108">
        <v>7167.6</v>
      </c>
      <c r="P60" s="108">
        <v>8</v>
      </c>
      <c r="Q60" s="108">
        <v>5212.8</v>
      </c>
      <c r="R60" s="108">
        <v>10</v>
      </c>
      <c r="S60" s="108">
        <v>6516</v>
      </c>
      <c r="T60" s="108">
        <v>118</v>
      </c>
      <c r="U60" s="108">
        <v>76888.800000000003</v>
      </c>
      <c r="V60" s="108">
        <v>92</v>
      </c>
      <c r="W60" s="108">
        <v>59947.200000000004</v>
      </c>
      <c r="X60" s="108">
        <v>105</v>
      </c>
      <c r="Y60" s="108">
        <v>68418</v>
      </c>
      <c r="Z60" s="108">
        <v>59.287015352589179</v>
      </c>
      <c r="AA60" s="108">
        <v>38631.419203747108</v>
      </c>
      <c r="AB60" s="108">
        <v>25</v>
      </c>
      <c r="AC60" s="108">
        <v>16290</v>
      </c>
      <c r="AD60" s="108">
        <v>23</v>
      </c>
      <c r="AE60" s="108">
        <v>14986.800000000001</v>
      </c>
      <c r="AF60" s="108">
        <v>31</v>
      </c>
      <c r="AG60" s="108">
        <v>20199.600000000002</v>
      </c>
      <c r="AH60" s="108">
        <v>21</v>
      </c>
      <c r="AI60" s="108">
        <v>13683.6</v>
      </c>
      <c r="AJ60" s="108">
        <v>45</v>
      </c>
      <c r="AK60" s="108">
        <v>29322</v>
      </c>
      <c r="AL60" s="108">
        <v>29</v>
      </c>
      <c r="AM60" s="108">
        <v>18896.400000000001</v>
      </c>
      <c r="AN60" s="108">
        <v>27</v>
      </c>
      <c r="AO60" s="108">
        <v>17593.2</v>
      </c>
      <c r="AP60" s="108">
        <v>29</v>
      </c>
      <c r="AQ60" s="108">
        <v>18896.400000000001</v>
      </c>
      <c r="AR60" s="108">
        <v>6</v>
      </c>
      <c r="AS60" s="108">
        <v>3909.6000000000004</v>
      </c>
      <c r="AT60" s="108">
        <v>11</v>
      </c>
      <c r="AU60" s="108">
        <v>7167.6</v>
      </c>
      <c r="AV60" s="108">
        <v>7</v>
      </c>
      <c r="AW60" s="108">
        <v>4561.2</v>
      </c>
      <c r="AX60" s="108">
        <v>10</v>
      </c>
      <c r="AY60" s="108">
        <v>6516</v>
      </c>
      <c r="AZ60" s="108">
        <v>14</v>
      </c>
      <c r="BA60" s="108">
        <v>9122.4</v>
      </c>
      <c r="BB60" s="108">
        <v>12</v>
      </c>
      <c r="BC60" s="108">
        <v>7819.2000000000007</v>
      </c>
      <c r="BD60" s="108">
        <v>13</v>
      </c>
      <c r="BE60" s="108">
        <v>8470.8000000000011</v>
      </c>
      <c r="BF60" s="108">
        <v>14</v>
      </c>
      <c r="BG60" s="108">
        <v>9122.4</v>
      </c>
      <c r="BH60" s="108">
        <v>11</v>
      </c>
      <c r="BI60" s="108">
        <v>7167.6</v>
      </c>
      <c r="BJ60" s="108">
        <v>13</v>
      </c>
      <c r="BK60" s="108">
        <v>8470.8000000000011</v>
      </c>
      <c r="BL60" s="108">
        <v>16</v>
      </c>
      <c r="BM60" s="108">
        <v>10425.6</v>
      </c>
      <c r="BN60" s="108">
        <v>14</v>
      </c>
      <c r="BO60" s="108">
        <v>9122.4</v>
      </c>
      <c r="BP60" s="108">
        <v>30</v>
      </c>
      <c r="BQ60" s="108">
        <v>19548</v>
      </c>
      <c r="BR60" s="108">
        <v>30</v>
      </c>
      <c r="BS60" s="108">
        <v>19548</v>
      </c>
      <c r="BT60" s="108">
        <v>29</v>
      </c>
      <c r="BU60" s="108">
        <v>18896.400000000001</v>
      </c>
      <c r="BV60" s="108">
        <v>20</v>
      </c>
      <c r="BW60" s="108">
        <v>13032</v>
      </c>
      <c r="BX60" s="108">
        <v>7</v>
      </c>
      <c r="BY60" s="108">
        <v>4561.2</v>
      </c>
      <c r="BZ60" s="108">
        <v>6</v>
      </c>
      <c r="CA60" s="108">
        <v>3909.6000000000004</v>
      </c>
      <c r="CB60" s="108">
        <v>10</v>
      </c>
      <c r="CC60" s="108">
        <v>6516</v>
      </c>
      <c r="CD60" s="108">
        <v>9</v>
      </c>
      <c r="CE60" s="108">
        <v>5864.4000000000005</v>
      </c>
      <c r="CF60" s="108">
        <v>165</v>
      </c>
      <c r="CG60" s="108">
        <v>107514</v>
      </c>
      <c r="CH60" s="108">
        <v>84.199275362318915</v>
      </c>
      <c r="CI60" s="108">
        <v>54864.247826087005</v>
      </c>
      <c r="CJ60" s="108">
        <v>70.321451929365622</v>
      </c>
      <c r="CK60" s="108">
        <v>45821.45807717464</v>
      </c>
      <c r="CL60" s="108">
        <v>72.63144204194441</v>
      </c>
      <c r="CM60" s="108">
        <v>47326.647634530978</v>
      </c>
      <c r="CN60" s="108">
        <v>14</v>
      </c>
      <c r="CO60" s="108">
        <v>9122.4</v>
      </c>
      <c r="CP60" s="108">
        <v>22</v>
      </c>
      <c r="CQ60" s="108">
        <v>14335.2</v>
      </c>
      <c r="CR60" s="108">
        <v>23</v>
      </c>
      <c r="CS60" s="108">
        <v>14986.800000000001</v>
      </c>
      <c r="CT60" s="108">
        <v>13</v>
      </c>
      <c r="CU60" s="108">
        <v>8470.8000000000011</v>
      </c>
    </row>
    <row r="61" spans="2:99" x14ac:dyDescent="0.2">
      <c r="C61" s="107" t="s">
        <v>226</v>
      </c>
      <c r="D61" s="108">
        <v>8</v>
      </c>
      <c r="E61" s="108">
        <v>7612.7999999999993</v>
      </c>
      <c r="F61" s="108">
        <v>11</v>
      </c>
      <c r="G61" s="108">
        <v>10467.599999999999</v>
      </c>
      <c r="H61" s="108">
        <v>13</v>
      </c>
      <c r="I61" s="108">
        <v>12370.8</v>
      </c>
      <c r="J61" s="108">
        <v>8</v>
      </c>
      <c r="K61" s="108">
        <v>7612.7999999999993</v>
      </c>
      <c r="L61" s="108">
        <v>12</v>
      </c>
      <c r="M61" s="108">
        <v>11419.199999999999</v>
      </c>
      <c r="N61" s="108">
        <v>11</v>
      </c>
      <c r="O61" s="108">
        <v>10467.599999999999</v>
      </c>
      <c r="P61" s="108">
        <v>8</v>
      </c>
      <c r="Q61" s="108">
        <v>7612.7999999999993</v>
      </c>
      <c r="R61" s="108">
        <v>11</v>
      </c>
      <c r="S61" s="108">
        <v>10467.599999999999</v>
      </c>
      <c r="T61" s="108">
        <v>117</v>
      </c>
      <c r="U61" s="108">
        <v>111337.19999999998</v>
      </c>
      <c r="V61" s="108">
        <v>86</v>
      </c>
      <c r="W61" s="108">
        <v>81837.599999999991</v>
      </c>
      <c r="X61" s="108">
        <v>97</v>
      </c>
      <c r="Y61" s="108">
        <v>92305.2</v>
      </c>
      <c r="Z61" s="108">
        <v>60.213374967473378</v>
      </c>
      <c r="AA61" s="108">
        <v>57299.047619047662</v>
      </c>
      <c r="AB61" s="108">
        <v>23</v>
      </c>
      <c r="AC61" s="108">
        <v>21886.799999999999</v>
      </c>
      <c r="AD61" s="108">
        <v>20</v>
      </c>
      <c r="AE61" s="108">
        <v>19032</v>
      </c>
      <c r="AF61" s="108">
        <v>26</v>
      </c>
      <c r="AG61" s="108">
        <v>24741.599999999999</v>
      </c>
      <c r="AH61" s="108">
        <v>22</v>
      </c>
      <c r="AI61" s="108">
        <v>20935.199999999997</v>
      </c>
      <c r="AJ61" s="108">
        <v>43</v>
      </c>
      <c r="AK61" s="108">
        <v>40918.799999999996</v>
      </c>
      <c r="AL61" s="108">
        <v>26</v>
      </c>
      <c r="AM61" s="108">
        <v>24741.599999999999</v>
      </c>
      <c r="AN61" s="108">
        <v>26</v>
      </c>
      <c r="AO61" s="108">
        <v>24741.599999999999</v>
      </c>
      <c r="AP61" s="108">
        <v>28</v>
      </c>
      <c r="AQ61" s="108">
        <v>26644.799999999996</v>
      </c>
      <c r="AR61" s="108">
        <v>7</v>
      </c>
      <c r="AS61" s="108">
        <v>6661.1999999999989</v>
      </c>
      <c r="AT61" s="108">
        <v>9</v>
      </c>
      <c r="AU61" s="108">
        <v>8564.4</v>
      </c>
      <c r="AV61" s="108">
        <v>6</v>
      </c>
      <c r="AW61" s="108">
        <v>5709.5999999999995</v>
      </c>
      <c r="AX61" s="108">
        <v>10</v>
      </c>
      <c r="AY61" s="108">
        <v>9516</v>
      </c>
      <c r="AZ61" s="108">
        <v>13</v>
      </c>
      <c r="BA61" s="108">
        <v>12370.8</v>
      </c>
      <c r="BB61" s="108">
        <v>12</v>
      </c>
      <c r="BC61" s="108">
        <v>11419.199999999999</v>
      </c>
      <c r="BD61" s="108">
        <v>12</v>
      </c>
      <c r="BE61" s="108">
        <v>11419.199999999999</v>
      </c>
      <c r="BF61" s="108">
        <v>14</v>
      </c>
      <c r="BG61" s="108">
        <v>13322.399999999998</v>
      </c>
      <c r="BH61" s="108">
        <v>10</v>
      </c>
      <c r="BI61" s="108">
        <v>9516</v>
      </c>
      <c r="BJ61" s="108">
        <v>11</v>
      </c>
      <c r="BK61" s="108">
        <v>10467.599999999999</v>
      </c>
      <c r="BL61" s="108">
        <v>14</v>
      </c>
      <c r="BM61" s="108">
        <v>13322.399999999998</v>
      </c>
      <c r="BN61" s="108">
        <v>14</v>
      </c>
      <c r="BO61" s="108">
        <v>13322.399999999998</v>
      </c>
      <c r="BP61" s="108">
        <v>32</v>
      </c>
      <c r="BQ61" s="108">
        <v>30451.199999999997</v>
      </c>
      <c r="BR61" s="108">
        <v>31</v>
      </c>
      <c r="BS61" s="108">
        <v>29499.599999999999</v>
      </c>
      <c r="BT61" s="108">
        <v>28</v>
      </c>
      <c r="BU61" s="108">
        <v>26644.799999999996</v>
      </c>
      <c r="BV61" s="108">
        <v>19</v>
      </c>
      <c r="BW61" s="108">
        <v>18080.399999999998</v>
      </c>
      <c r="BX61" s="108">
        <v>7</v>
      </c>
      <c r="BY61" s="108">
        <v>6661.1999999999989</v>
      </c>
      <c r="BZ61" s="108">
        <v>6</v>
      </c>
      <c r="CA61" s="108">
        <v>5709.5999999999995</v>
      </c>
      <c r="CB61" s="108">
        <v>8</v>
      </c>
      <c r="CC61" s="108">
        <v>7612.7999999999993</v>
      </c>
      <c r="CD61" s="108">
        <v>10</v>
      </c>
      <c r="CE61" s="108">
        <v>9516</v>
      </c>
      <c r="CF61" s="108">
        <v>162</v>
      </c>
      <c r="CG61" s="108">
        <v>154159.19999999998</v>
      </c>
      <c r="CH61" s="108">
        <v>81.44766505636079</v>
      </c>
      <c r="CI61" s="108">
        <v>77505.59806763292</v>
      </c>
      <c r="CJ61" s="108">
        <v>70.321451929365622</v>
      </c>
      <c r="CK61" s="108">
        <v>66917.893655984313</v>
      </c>
      <c r="CL61" s="108">
        <v>69.379287920663316</v>
      </c>
      <c r="CM61" s="108">
        <v>66021.330385303212</v>
      </c>
      <c r="CN61" s="108">
        <v>14</v>
      </c>
      <c r="CO61" s="108">
        <v>13322.399999999998</v>
      </c>
      <c r="CP61" s="108">
        <v>19</v>
      </c>
      <c r="CQ61" s="108">
        <v>18080.399999999998</v>
      </c>
      <c r="CR61" s="108">
        <v>22</v>
      </c>
      <c r="CS61" s="108">
        <v>20935.199999999997</v>
      </c>
      <c r="CT61" s="108">
        <v>12</v>
      </c>
      <c r="CU61" s="108">
        <v>11419.199999999999</v>
      </c>
    </row>
    <row r="62" spans="2:99" x14ac:dyDescent="0.2">
      <c r="C62" s="107" t="s">
        <v>227</v>
      </c>
      <c r="D62" s="108">
        <v>7</v>
      </c>
      <c r="E62" s="108">
        <v>11936.4</v>
      </c>
      <c r="F62" s="108">
        <v>11</v>
      </c>
      <c r="G62" s="108">
        <v>18757.2</v>
      </c>
      <c r="H62" s="108">
        <v>12</v>
      </c>
      <c r="I62" s="108">
        <v>20462.400000000001</v>
      </c>
      <c r="J62" s="108">
        <v>8</v>
      </c>
      <c r="K62" s="108">
        <v>13641.6</v>
      </c>
      <c r="L62" s="108">
        <v>12</v>
      </c>
      <c r="M62" s="108">
        <v>20462.400000000001</v>
      </c>
      <c r="N62" s="108">
        <v>11</v>
      </c>
      <c r="O62" s="108">
        <v>18757.2</v>
      </c>
      <c r="P62" s="108">
        <v>8</v>
      </c>
      <c r="Q62" s="108">
        <v>13641.6</v>
      </c>
      <c r="R62" s="108">
        <v>10</v>
      </c>
      <c r="S62" s="108">
        <v>17052</v>
      </c>
      <c r="T62" s="108">
        <v>95</v>
      </c>
      <c r="U62" s="108">
        <v>161994</v>
      </c>
      <c r="V62" s="108">
        <v>61</v>
      </c>
      <c r="W62" s="108">
        <v>104017.2</v>
      </c>
      <c r="X62" s="108">
        <v>92</v>
      </c>
      <c r="Y62" s="108">
        <v>156878.39999999999</v>
      </c>
      <c r="Z62" s="108">
        <v>49.097059588862912</v>
      </c>
      <c r="AA62" s="108">
        <v>83720.306010929038</v>
      </c>
      <c r="AB62" s="108">
        <v>22</v>
      </c>
      <c r="AC62" s="108">
        <v>37514.400000000001</v>
      </c>
      <c r="AD62" s="108">
        <v>19</v>
      </c>
      <c r="AE62" s="108">
        <v>32398.799999999999</v>
      </c>
      <c r="AF62" s="108">
        <v>24</v>
      </c>
      <c r="AG62" s="108">
        <v>40924.800000000003</v>
      </c>
      <c r="AH62" s="108">
        <v>18</v>
      </c>
      <c r="AI62" s="108">
        <v>30693.600000000002</v>
      </c>
      <c r="AJ62" s="108">
        <v>35</v>
      </c>
      <c r="AK62" s="108">
        <v>59682</v>
      </c>
      <c r="AL62" s="108">
        <v>22</v>
      </c>
      <c r="AM62" s="108">
        <v>37514.400000000001</v>
      </c>
      <c r="AN62" s="108">
        <v>26</v>
      </c>
      <c r="AO62" s="108">
        <v>44335.200000000004</v>
      </c>
      <c r="AP62" s="108">
        <v>23</v>
      </c>
      <c r="AQ62" s="108">
        <v>39219.599999999999</v>
      </c>
      <c r="AR62" s="108">
        <v>6</v>
      </c>
      <c r="AS62" s="108">
        <v>10231.200000000001</v>
      </c>
      <c r="AT62" s="108">
        <v>10</v>
      </c>
      <c r="AU62" s="108">
        <v>17052</v>
      </c>
      <c r="AV62" s="108">
        <v>6</v>
      </c>
      <c r="AW62" s="108">
        <v>10231.200000000001</v>
      </c>
      <c r="AX62" s="108">
        <v>9</v>
      </c>
      <c r="AY62" s="108">
        <v>15346.800000000001</v>
      </c>
      <c r="AZ62" s="108">
        <v>12</v>
      </c>
      <c r="BA62" s="108">
        <v>20462.400000000001</v>
      </c>
      <c r="BB62" s="108">
        <v>11</v>
      </c>
      <c r="BC62" s="108">
        <v>18757.2</v>
      </c>
      <c r="BD62" s="108">
        <v>10</v>
      </c>
      <c r="BE62" s="108">
        <v>17052</v>
      </c>
      <c r="BF62" s="108">
        <v>13</v>
      </c>
      <c r="BG62" s="108">
        <v>22167.600000000002</v>
      </c>
      <c r="BH62" s="108">
        <v>9</v>
      </c>
      <c r="BI62" s="108">
        <v>15346.800000000001</v>
      </c>
      <c r="BJ62" s="108">
        <v>11</v>
      </c>
      <c r="BK62" s="108">
        <v>18757.2</v>
      </c>
      <c r="BL62" s="108">
        <v>13</v>
      </c>
      <c r="BM62" s="108">
        <v>22167.600000000002</v>
      </c>
      <c r="BN62" s="108">
        <v>13</v>
      </c>
      <c r="BO62" s="108">
        <v>22167.600000000002</v>
      </c>
      <c r="BP62" s="108">
        <v>27</v>
      </c>
      <c r="BQ62" s="108">
        <v>46040.4</v>
      </c>
      <c r="BR62" s="108">
        <v>24</v>
      </c>
      <c r="BS62" s="108">
        <v>40924.800000000003</v>
      </c>
      <c r="BT62" s="108">
        <v>22</v>
      </c>
      <c r="BU62" s="108">
        <v>37514.400000000001</v>
      </c>
      <c r="BV62" s="108">
        <v>16</v>
      </c>
      <c r="BW62" s="108">
        <v>27283.200000000001</v>
      </c>
      <c r="BX62" s="108">
        <v>7</v>
      </c>
      <c r="BY62" s="108">
        <v>11936.4</v>
      </c>
      <c r="BZ62" s="108">
        <v>5</v>
      </c>
      <c r="CA62" s="108">
        <v>8526</v>
      </c>
      <c r="CB62" s="108">
        <v>8</v>
      </c>
      <c r="CC62" s="108">
        <v>13641.6</v>
      </c>
      <c r="CD62" s="108">
        <v>9</v>
      </c>
      <c r="CE62" s="108">
        <v>15346.800000000001</v>
      </c>
      <c r="CF62" s="108">
        <v>126</v>
      </c>
      <c r="CG62" s="108">
        <v>214855.2</v>
      </c>
      <c r="CH62" s="108">
        <v>60.535426731078957</v>
      </c>
      <c r="CI62" s="108">
        <v>103225.00966183584</v>
      </c>
      <c r="CJ62" s="108">
        <v>63.234793982995434</v>
      </c>
      <c r="CK62" s="108">
        <v>107827.97069980382</v>
      </c>
      <c r="CL62" s="108">
        <v>52.034465940497483</v>
      </c>
      <c r="CM62" s="108">
        <v>88729.171321736314</v>
      </c>
      <c r="CN62" s="108">
        <v>12</v>
      </c>
      <c r="CO62" s="108">
        <v>20462.400000000001</v>
      </c>
      <c r="CP62" s="108">
        <v>19</v>
      </c>
      <c r="CQ62" s="108">
        <v>32398.799999999999</v>
      </c>
      <c r="CR62" s="108">
        <v>18</v>
      </c>
      <c r="CS62" s="108">
        <v>30693.600000000002</v>
      </c>
      <c r="CT62" s="108">
        <v>11</v>
      </c>
      <c r="CU62" s="108">
        <v>18757.2</v>
      </c>
    </row>
    <row r="63" spans="2:99" x14ac:dyDescent="0.2">
      <c r="C63" s="107" t="s">
        <v>228</v>
      </c>
      <c r="D63" s="108">
        <v>8</v>
      </c>
      <c r="E63" s="108">
        <v>6364.8</v>
      </c>
      <c r="F63" s="108">
        <v>11</v>
      </c>
      <c r="G63" s="108">
        <v>8751.6</v>
      </c>
      <c r="H63" s="108">
        <v>14</v>
      </c>
      <c r="I63" s="108">
        <v>11138.4</v>
      </c>
      <c r="J63" s="108">
        <v>8</v>
      </c>
      <c r="K63" s="108">
        <v>6364.8</v>
      </c>
      <c r="L63" s="108">
        <v>14</v>
      </c>
      <c r="M63" s="108">
        <v>11138.4</v>
      </c>
      <c r="N63" s="108">
        <v>12</v>
      </c>
      <c r="O63" s="108">
        <v>9547.2000000000007</v>
      </c>
      <c r="P63" s="108">
        <v>9</v>
      </c>
      <c r="Q63" s="108">
        <v>7160.4000000000005</v>
      </c>
      <c r="R63" s="108">
        <v>12</v>
      </c>
      <c r="S63" s="108">
        <v>9547.2000000000007</v>
      </c>
      <c r="T63" s="108">
        <v>119</v>
      </c>
      <c r="U63" s="108">
        <v>94676.400000000009</v>
      </c>
      <c r="V63" s="108">
        <v>83</v>
      </c>
      <c r="W63" s="108">
        <v>66034.8</v>
      </c>
      <c r="X63" s="108">
        <v>112</v>
      </c>
      <c r="Y63" s="108">
        <v>89107.199999999997</v>
      </c>
      <c r="Z63" s="108">
        <v>57.897475930262864</v>
      </c>
      <c r="AA63" s="108">
        <v>46063.231850117139</v>
      </c>
      <c r="AB63" s="108">
        <v>23</v>
      </c>
      <c r="AC63" s="108">
        <v>18298.8</v>
      </c>
      <c r="AD63" s="108">
        <v>19</v>
      </c>
      <c r="AE63" s="108">
        <v>15116.4</v>
      </c>
      <c r="AF63" s="108">
        <v>26</v>
      </c>
      <c r="AG63" s="108">
        <v>20685.600000000002</v>
      </c>
      <c r="AH63" s="108">
        <v>21</v>
      </c>
      <c r="AI63" s="108">
        <v>16707.600000000002</v>
      </c>
      <c r="AJ63" s="108">
        <v>39</v>
      </c>
      <c r="AK63" s="108">
        <v>31028.400000000001</v>
      </c>
      <c r="AL63" s="108">
        <v>24</v>
      </c>
      <c r="AM63" s="108">
        <v>19094.400000000001</v>
      </c>
      <c r="AN63" s="108">
        <v>31</v>
      </c>
      <c r="AO63" s="108">
        <v>24663.600000000002</v>
      </c>
      <c r="AP63" s="108">
        <v>27</v>
      </c>
      <c r="AQ63" s="108">
        <v>21481.200000000001</v>
      </c>
      <c r="AR63" s="108">
        <v>7</v>
      </c>
      <c r="AS63" s="108">
        <v>5569.2</v>
      </c>
      <c r="AT63" s="108">
        <v>9</v>
      </c>
      <c r="AU63" s="108">
        <v>7160.4000000000005</v>
      </c>
      <c r="AV63" s="108">
        <v>7</v>
      </c>
      <c r="AW63" s="108">
        <v>5569.2</v>
      </c>
      <c r="AX63" s="108">
        <v>10</v>
      </c>
      <c r="AY63" s="108">
        <v>7956</v>
      </c>
      <c r="AZ63" s="108">
        <v>13</v>
      </c>
      <c r="BA63" s="108">
        <v>10342.800000000001</v>
      </c>
      <c r="BB63" s="108">
        <v>11</v>
      </c>
      <c r="BC63" s="108">
        <v>8751.6</v>
      </c>
      <c r="BD63" s="108">
        <v>12</v>
      </c>
      <c r="BE63" s="108">
        <v>9547.2000000000007</v>
      </c>
      <c r="BF63" s="108">
        <v>15</v>
      </c>
      <c r="BG63" s="108">
        <v>11934</v>
      </c>
      <c r="BH63" s="108">
        <v>9</v>
      </c>
      <c r="BI63" s="108">
        <v>7160.4000000000005</v>
      </c>
      <c r="BJ63" s="108">
        <v>12</v>
      </c>
      <c r="BK63" s="108">
        <v>9547.2000000000007</v>
      </c>
      <c r="BL63" s="108">
        <v>14</v>
      </c>
      <c r="BM63" s="108">
        <v>11138.4</v>
      </c>
      <c r="BN63" s="108">
        <v>14</v>
      </c>
      <c r="BO63" s="108">
        <v>11138.4</v>
      </c>
      <c r="BP63" s="108">
        <v>34</v>
      </c>
      <c r="BQ63" s="108">
        <v>27050.400000000001</v>
      </c>
      <c r="BR63" s="108">
        <v>29</v>
      </c>
      <c r="BS63" s="108">
        <v>23072.400000000001</v>
      </c>
      <c r="BT63" s="108">
        <v>26</v>
      </c>
      <c r="BU63" s="108">
        <v>20685.600000000002</v>
      </c>
      <c r="BV63" s="108">
        <v>20</v>
      </c>
      <c r="BW63" s="108">
        <v>15912</v>
      </c>
      <c r="BX63" s="108">
        <v>7</v>
      </c>
      <c r="BY63" s="108">
        <v>5569.2</v>
      </c>
      <c r="BZ63" s="108">
        <v>6</v>
      </c>
      <c r="CA63" s="108">
        <v>4773.6000000000004</v>
      </c>
      <c r="CB63" s="108">
        <v>9</v>
      </c>
      <c r="CC63" s="108">
        <v>7160.4000000000005</v>
      </c>
      <c r="CD63" s="108">
        <v>9</v>
      </c>
      <c r="CE63" s="108">
        <v>7160.4000000000005</v>
      </c>
      <c r="CF63" s="108">
        <v>166</v>
      </c>
      <c r="CG63" s="108">
        <v>132069.6</v>
      </c>
      <c r="CH63" s="108">
        <v>94.105072463768209</v>
      </c>
      <c r="CI63" s="108">
        <v>74869.995652173995</v>
      </c>
      <c r="CJ63" s="108">
        <v>75.772727272727295</v>
      </c>
      <c r="CK63" s="108">
        <v>60284.781818181837</v>
      </c>
      <c r="CL63" s="108">
        <v>62.332953991220954</v>
      </c>
      <c r="CM63" s="108">
        <v>49592.09819541539</v>
      </c>
      <c r="CN63" s="108">
        <v>15</v>
      </c>
      <c r="CO63" s="108">
        <v>11934</v>
      </c>
      <c r="CP63" s="108">
        <v>19</v>
      </c>
      <c r="CQ63" s="108">
        <v>15116.4</v>
      </c>
      <c r="CR63" s="108">
        <v>20</v>
      </c>
      <c r="CS63" s="108">
        <v>15912</v>
      </c>
      <c r="CT63" s="108">
        <v>14</v>
      </c>
      <c r="CU63" s="108">
        <v>11138.4</v>
      </c>
    </row>
    <row r="64" spans="2:99" x14ac:dyDescent="0.2">
      <c r="C64" s="107" t="s">
        <v>229</v>
      </c>
      <c r="D64" s="108">
        <v>8</v>
      </c>
      <c r="E64" s="108">
        <v>8073.5999999999985</v>
      </c>
      <c r="F64" s="108">
        <v>13</v>
      </c>
      <c r="G64" s="108">
        <v>13119.599999999999</v>
      </c>
      <c r="H64" s="108">
        <v>15</v>
      </c>
      <c r="I64" s="108">
        <v>15137.999999999996</v>
      </c>
      <c r="J64" s="108">
        <v>9</v>
      </c>
      <c r="K64" s="108">
        <v>9082.7999999999993</v>
      </c>
      <c r="L64" s="108">
        <v>12</v>
      </c>
      <c r="M64" s="108">
        <v>12110.399999999998</v>
      </c>
      <c r="N64" s="108">
        <v>12</v>
      </c>
      <c r="O64" s="108">
        <v>12110.399999999998</v>
      </c>
      <c r="P64" s="108">
        <v>9</v>
      </c>
      <c r="Q64" s="108">
        <v>9082.7999999999993</v>
      </c>
      <c r="R64" s="108">
        <v>11</v>
      </c>
      <c r="S64" s="108">
        <v>11101.199999999997</v>
      </c>
      <c r="T64" s="108">
        <v>116</v>
      </c>
      <c r="U64" s="108">
        <v>117067.19999999998</v>
      </c>
      <c r="V64" s="108">
        <v>75</v>
      </c>
      <c r="W64" s="108">
        <v>75689.999999999985</v>
      </c>
      <c r="X64" s="108">
        <v>110</v>
      </c>
      <c r="Y64" s="108">
        <v>111011.99999999999</v>
      </c>
      <c r="Z64" s="108">
        <v>56.507936507936556</v>
      </c>
      <c r="AA64" s="108">
        <v>57027.809523809563</v>
      </c>
      <c r="AB64" s="108">
        <v>25</v>
      </c>
      <c r="AC64" s="108">
        <v>25229.999999999996</v>
      </c>
      <c r="AD64" s="108">
        <v>20</v>
      </c>
      <c r="AE64" s="108">
        <v>20183.999999999996</v>
      </c>
      <c r="AF64" s="108">
        <v>27</v>
      </c>
      <c r="AG64" s="108">
        <v>27248.399999999994</v>
      </c>
      <c r="AH64" s="108">
        <v>22</v>
      </c>
      <c r="AI64" s="108">
        <v>22202.399999999994</v>
      </c>
      <c r="AJ64" s="108">
        <v>42</v>
      </c>
      <c r="AK64" s="108">
        <v>42386.399999999994</v>
      </c>
      <c r="AL64" s="108">
        <v>26</v>
      </c>
      <c r="AM64" s="108">
        <v>26239.199999999997</v>
      </c>
      <c r="AN64" s="108">
        <v>29</v>
      </c>
      <c r="AO64" s="108">
        <v>29266.799999999996</v>
      </c>
      <c r="AP64" s="108">
        <v>27</v>
      </c>
      <c r="AQ64" s="108">
        <v>27248.399999999994</v>
      </c>
      <c r="AR64" s="108">
        <v>7</v>
      </c>
      <c r="AS64" s="108">
        <v>7064.3999999999987</v>
      </c>
      <c r="AT64" s="108">
        <v>9</v>
      </c>
      <c r="AU64" s="108">
        <v>9082.7999999999993</v>
      </c>
      <c r="AV64" s="108">
        <v>6</v>
      </c>
      <c r="AW64" s="108">
        <v>6055.1999999999989</v>
      </c>
      <c r="AX64" s="108">
        <v>9</v>
      </c>
      <c r="AY64" s="108">
        <v>9082.7999999999993</v>
      </c>
      <c r="AZ64" s="108">
        <v>13</v>
      </c>
      <c r="BA64" s="108">
        <v>13119.599999999999</v>
      </c>
      <c r="BB64" s="108">
        <v>12</v>
      </c>
      <c r="BC64" s="108">
        <v>12110.399999999998</v>
      </c>
      <c r="BD64" s="108">
        <v>12</v>
      </c>
      <c r="BE64" s="108">
        <v>12110.399999999998</v>
      </c>
      <c r="BF64" s="108">
        <v>12</v>
      </c>
      <c r="BG64" s="108">
        <v>12110.399999999998</v>
      </c>
      <c r="BH64" s="108">
        <v>10</v>
      </c>
      <c r="BI64" s="108">
        <v>10091.999999999998</v>
      </c>
      <c r="BJ64" s="108">
        <v>12</v>
      </c>
      <c r="BK64" s="108">
        <v>12110.399999999998</v>
      </c>
      <c r="BL64" s="108">
        <v>16</v>
      </c>
      <c r="BM64" s="108">
        <v>16147.199999999997</v>
      </c>
      <c r="BN64" s="108">
        <v>14</v>
      </c>
      <c r="BO64" s="108">
        <v>14128.799999999997</v>
      </c>
      <c r="BP64" s="108">
        <v>30</v>
      </c>
      <c r="BQ64" s="108">
        <v>30275.999999999993</v>
      </c>
      <c r="BR64" s="108">
        <v>30</v>
      </c>
      <c r="BS64" s="108">
        <v>30275.999999999993</v>
      </c>
      <c r="BT64" s="108">
        <v>26</v>
      </c>
      <c r="BU64" s="108">
        <v>26239.199999999997</v>
      </c>
      <c r="BV64" s="108">
        <v>18</v>
      </c>
      <c r="BW64" s="108">
        <v>18165.599999999999</v>
      </c>
      <c r="BX64" s="108">
        <v>7</v>
      </c>
      <c r="BY64" s="108">
        <v>7064.3999999999987</v>
      </c>
      <c r="BZ64" s="108">
        <v>7</v>
      </c>
      <c r="CA64" s="108">
        <v>7064.3999999999987</v>
      </c>
      <c r="CB64" s="108">
        <v>9</v>
      </c>
      <c r="CC64" s="108">
        <v>9082.7999999999993</v>
      </c>
      <c r="CD64" s="108">
        <v>9</v>
      </c>
      <c r="CE64" s="108">
        <v>9082.7999999999993</v>
      </c>
      <c r="CF64" s="108">
        <v>139</v>
      </c>
      <c r="CG64" s="108">
        <v>140278.79999999999</v>
      </c>
      <c r="CH64" s="108">
        <v>87.501207729468675</v>
      </c>
      <c r="CI64" s="108">
        <v>88306.218840579764</v>
      </c>
      <c r="CJ64" s="108">
        <v>72.501962066710291</v>
      </c>
      <c r="CK64" s="108">
        <v>73168.980117724015</v>
      </c>
      <c r="CL64" s="108">
        <v>65.043082425621861</v>
      </c>
      <c r="CM64" s="108">
        <v>65641.478783937564</v>
      </c>
      <c r="CN64" s="108">
        <v>15</v>
      </c>
      <c r="CO64" s="108">
        <v>15137.999999999996</v>
      </c>
      <c r="CP64" s="108">
        <v>18</v>
      </c>
      <c r="CQ64" s="108">
        <v>18165.599999999999</v>
      </c>
      <c r="CR64" s="108">
        <v>23</v>
      </c>
      <c r="CS64" s="108">
        <v>23211.599999999995</v>
      </c>
      <c r="CT64" s="108">
        <v>12</v>
      </c>
      <c r="CU64" s="108">
        <v>12110.399999999998</v>
      </c>
    </row>
    <row r="65" spans="2:99" x14ac:dyDescent="0.2">
      <c r="C65" s="107" t="s">
        <v>230</v>
      </c>
      <c r="D65" s="108">
        <v>7</v>
      </c>
      <c r="E65" s="108">
        <v>7182</v>
      </c>
      <c r="F65" s="108">
        <v>12</v>
      </c>
      <c r="G65" s="108">
        <v>12312</v>
      </c>
      <c r="H65" s="108">
        <v>14</v>
      </c>
      <c r="I65" s="108">
        <v>14364</v>
      </c>
      <c r="J65" s="108">
        <v>8</v>
      </c>
      <c r="K65" s="108">
        <v>8208</v>
      </c>
      <c r="L65" s="108">
        <v>12</v>
      </c>
      <c r="M65" s="108">
        <v>12312</v>
      </c>
      <c r="N65" s="108">
        <v>12</v>
      </c>
      <c r="O65" s="108">
        <v>12312</v>
      </c>
      <c r="P65" s="108">
        <v>8</v>
      </c>
      <c r="Q65" s="108">
        <v>8208</v>
      </c>
      <c r="R65" s="108">
        <v>10</v>
      </c>
      <c r="S65" s="108">
        <v>10260</v>
      </c>
      <c r="T65" s="108">
        <v>118</v>
      </c>
      <c r="U65" s="108">
        <v>121068</v>
      </c>
      <c r="V65" s="108">
        <v>72</v>
      </c>
      <c r="W65" s="108">
        <v>73872</v>
      </c>
      <c r="X65" s="108">
        <v>94</v>
      </c>
      <c r="Y65" s="108">
        <v>96444</v>
      </c>
      <c r="Z65" s="108">
        <v>51.876138433515528</v>
      </c>
      <c r="AA65" s="108">
        <v>53224.918032786933</v>
      </c>
      <c r="AB65" s="108">
        <v>23</v>
      </c>
      <c r="AC65" s="108">
        <v>23598</v>
      </c>
      <c r="AD65" s="108">
        <v>19</v>
      </c>
      <c r="AE65" s="108">
        <v>19494</v>
      </c>
      <c r="AF65" s="108">
        <v>27</v>
      </c>
      <c r="AG65" s="108">
        <v>27702</v>
      </c>
      <c r="AH65" s="108">
        <v>23</v>
      </c>
      <c r="AI65" s="108">
        <v>23598</v>
      </c>
      <c r="AJ65" s="108">
        <v>41</v>
      </c>
      <c r="AK65" s="108">
        <v>42066</v>
      </c>
      <c r="AL65" s="108">
        <v>25</v>
      </c>
      <c r="AM65" s="108">
        <v>25650</v>
      </c>
      <c r="AN65" s="108">
        <v>25</v>
      </c>
      <c r="AO65" s="108">
        <v>25650</v>
      </c>
      <c r="AP65" s="108">
        <v>28</v>
      </c>
      <c r="AQ65" s="108">
        <v>28728</v>
      </c>
      <c r="AR65" s="108">
        <v>6</v>
      </c>
      <c r="AS65" s="108">
        <v>6156</v>
      </c>
      <c r="AT65" s="108">
        <v>9</v>
      </c>
      <c r="AU65" s="108">
        <v>9234</v>
      </c>
      <c r="AV65" s="108">
        <v>6</v>
      </c>
      <c r="AW65" s="108">
        <v>6156</v>
      </c>
      <c r="AX65" s="108">
        <v>9</v>
      </c>
      <c r="AY65" s="108">
        <v>9234</v>
      </c>
      <c r="AZ65" s="108">
        <v>11</v>
      </c>
      <c r="BA65" s="108">
        <v>11286</v>
      </c>
      <c r="BB65" s="108">
        <v>11</v>
      </c>
      <c r="BC65" s="108">
        <v>11286</v>
      </c>
      <c r="BD65" s="108">
        <v>11</v>
      </c>
      <c r="BE65" s="108">
        <v>11286</v>
      </c>
      <c r="BF65" s="108">
        <v>13</v>
      </c>
      <c r="BG65" s="108">
        <v>13338</v>
      </c>
      <c r="BH65" s="108">
        <v>10</v>
      </c>
      <c r="BI65" s="108">
        <v>10260</v>
      </c>
      <c r="BJ65" s="108">
        <v>11</v>
      </c>
      <c r="BK65" s="108">
        <v>11286</v>
      </c>
      <c r="BL65" s="108">
        <v>16</v>
      </c>
      <c r="BM65" s="108">
        <v>16416</v>
      </c>
      <c r="BN65" s="108">
        <v>13</v>
      </c>
      <c r="BO65" s="108">
        <v>13338</v>
      </c>
      <c r="BP65" s="108">
        <v>28</v>
      </c>
      <c r="BQ65" s="108">
        <v>28728</v>
      </c>
      <c r="BR65" s="108">
        <v>29</v>
      </c>
      <c r="BS65" s="108">
        <v>29754</v>
      </c>
      <c r="BT65" s="108">
        <v>23</v>
      </c>
      <c r="BU65" s="108">
        <v>23598</v>
      </c>
      <c r="BV65" s="108">
        <v>20</v>
      </c>
      <c r="BW65" s="108">
        <v>20520</v>
      </c>
      <c r="BX65" s="108">
        <v>6</v>
      </c>
      <c r="BY65" s="108">
        <v>6156</v>
      </c>
      <c r="BZ65" s="108">
        <v>7</v>
      </c>
      <c r="CA65" s="108">
        <v>7182</v>
      </c>
      <c r="CB65" s="108">
        <v>8</v>
      </c>
      <c r="CC65" s="108">
        <v>8208</v>
      </c>
      <c r="CD65" s="108">
        <v>10</v>
      </c>
      <c r="CE65" s="108">
        <v>10260</v>
      </c>
      <c r="CF65" s="108">
        <v>135</v>
      </c>
      <c r="CG65" s="108">
        <v>138510</v>
      </c>
      <c r="CH65" s="108">
        <v>73.192834138486376</v>
      </c>
      <c r="CI65" s="108">
        <v>75095.847826087018</v>
      </c>
      <c r="CJ65" s="108">
        <v>72.501962066710291</v>
      </c>
      <c r="CK65" s="108">
        <v>74387.013080444754</v>
      </c>
      <c r="CL65" s="108">
        <v>64.501056738741681</v>
      </c>
      <c r="CM65" s="108">
        <v>66178.084213948969</v>
      </c>
      <c r="CN65" s="108">
        <v>14</v>
      </c>
      <c r="CO65" s="108">
        <v>14364</v>
      </c>
      <c r="CP65" s="108">
        <v>20</v>
      </c>
      <c r="CQ65" s="108">
        <v>20520</v>
      </c>
      <c r="CR65" s="108">
        <v>22</v>
      </c>
      <c r="CS65" s="108">
        <v>22572</v>
      </c>
      <c r="CT65" s="108">
        <v>13</v>
      </c>
      <c r="CU65" s="108">
        <v>13338</v>
      </c>
    </row>
    <row r="66" spans="2:99" x14ac:dyDescent="0.2">
      <c r="C66" s="107" t="s">
        <v>231</v>
      </c>
      <c r="D66" s="108">
        <v>8</v>
      </c>
      <c r="E66" s="108">
        <v>9523.1999999999989</v>
      </c>
      <c r="F66" s="108">
        <v>12</v>
      </c>
      <c r="G66" s="108">
        <v>14284.8</v>
      </c>
      <c r="H66" s="108">
        <v>13</v>
      </c>
      <c r="I66" s="108">
        <v>15475.199999999999</v>
      </c>
      <c r="J66" s="108">
        <v>8</v>
      </c>
      <c r="K66" s="108">
        <v>9523.1999999999989</v>
      </c>
      <c r="L66" s="108">
        <v>11</v>
      </c>
      <c r="M66" s="108">
        <v>13094.399999999998</v>
      </c>
      <c r="N66" s="108">
        <v>11</v>
      </c>
      <c r="O66" s="108">
        <v>13094.399999999998</v>
      </c>
      <c r="P66" s="108">
        <v>8</v>
      </c>
      <c r="Q66" s="108">
        <v>9523.1999999999989</v>
      </c>
      <c r="R66" s="108">
        <v>11</v>
      </c>
      <c r="S66" s="108">
        <v>13094.399999999998</v>
      </c>
      <c r="T66" s="108">
        <v>98</v>
      </c>
      <c r="U66" s="108">
        <v>116659.19999999998</v>
      </c>
      <c r="V66" s="108">
        <v>69</v>
      </c>
      <c r="W66" s="108">
        <v>82137.599999999991</v>
      </c>
      <c r="X66" s="108">
        <v>90</v>
      </c>
      <c r="Y66" s="108">
        <v>107135.99999999999</v>
      </c>
      <c r="Z66" s="108">
        <v>57.434296122820768</v>
      </c>
      <c r="AA66" s="108">
        <v>68369.786104605839</v>
      </c>
      <c r="AB66" s="108">
        <v>21</v>
      </c>
      <c r="AC66" s="108">
        <v>24998.399999999998</v>
      </c>
      <c r="AD66" s="108">
        <v>20</v>
      </c>
      <c r="AE66" s="108">
        <v>23807.999999999996</v>
      </c>
      <c r="AF66" s="108">
        <v>27</v>
      </c>
      <c r="AG66" s="108">
        <v>32140.799999999996</v>
      </c>
      <c r="AH66" s="108">
        <v>22</v>
      </c>
      <c r="AI66" s="108">
        <v>26188.799999999996</v>
      </c>
      <c r="AJ66" s="108">
        <v>42</v>
      </c>
      <c r="AK66" s="108">
        <v>49996.799999999996</v>
      </c>
      <c r="AL66" s="108">
        <v>24</v>
      </c>
      <c r="AM66" s="108">
        <v>28569.599999999999</v>
      </c>
      <c r="AN66" s="108">
        <v>26</v>
      </c>
      <c r="AO66" s="108">
        <v>30950.399999999998</v>
      </c>
      <c r="AP66" s="108">
        <v>28</v>
      </c>
      <c r="AQ66" s="108">
        <v>33331.199999999997</v>
      </c>
      <c r="AR66" s="108">
        <v>6</v>
      </c>
      <c r="AS66" s="108">
        <v>7142.4</v>
      </c>
      <c r="AT66" s="108">
        <v>9</v>
      </c>
      <c r="AU66" s="108">
        <v>10713.599999999999</v>
      </c>
      <c r="AV66" s="108">
        <v>6</v>
      </c>
      <c r="AW66" s="108">
        <v>7142.4</v>
      </c>
      <c r="AX66" s="108">
        <v>9</v>
      </c>
      <c r="AY66" s="108">
        <v>10713.599999999999</v>
      </c>
      <c r="AZ66" s="108">
        <v>12</v>
      </c>
      <c r="BA66" s="108">
        <v>14284.8</v>
      </c>
      <c r="BB66" s="108">
        <v>12</v>
      </c>
      <c r="BC66" s="108">
        <v>14284.8</v>
      </c>
      <c r="BD66" s="108">
        <v>10</v>
      </c>
      <c r="BE66" s="108">
        <v>11903.999999999998</v>
      </c>
      <c r="BF66" s="108">
        <v>14</v>
      </c>
      <c r="BG66" s="108">
        <v>16665.599999999999</v>
      </c>
      <c r="BH66" s="108">
        <v>10</v>
      </c>
      <c r="BI66" s="108">
        <v>11903.999999999998</v>
      </c>
      <c r="BJ66" s="108">
        <v>12</v>
      </c>
      <c r="BK66" s="108">
        <v>14284.8</v>
      </c>
      <c r="BL66" s="108">
        <v>14</v>
      </c>
      <c r="BM66" s="108">
        <v>16665.599999999999</v>
      </c>
      <c r="BN66" s="108">
        <v>14</v>
      </c>
      <c r="BO66" s="108">
        <v>16665.599999999999</v>
      </c>
      <c r="BP66" s="108">
        <v>32</v>
      </c>
      <c r="BQ66" s="108">
        <v>38092.799999999996</v>
      </c>
      <c r="BR66" s="108">
        <v>28</v>
      </c>
      <c r="BS66" s="108">
        <v>33331.199999999997</v>
      </c>
      <c r="BT66" s="108">
        <v>23</v>
      </c>
      <c r="BU66" s="108">
        <v>27379.199999999997</v>
      </c>
      <c r="BV66" s="108">
        <v>17</v>
      </c>
      <c r="BW66" s="108">
        <v>20236.8</v>
      </c>
      <c r="BX66" s="108">
        <v>6</v>
      </c>
      <c r="BY66" s="108">
        <v>7142.4</v>
      </c>
      <c r="BZ66" s="108">
        <v>6</v>
      </c>
      <c r="CA66" s="108">
        <v>7142.4</v>
      </c>
      <c r="CB66" s="108">
        <v>9</v>
      </c>
      <c r="CC66" s="108">
        <v>10713.599999999999</v>
      </c>
      <c r="CD66" s="108">
        <v>10</v>
      </c>
      <c r="CE66" s="108">
        <v>11903.999999999998</v>
      </c>
      <c r="CF66" s="108">
        <v>138</v>
      </c>
      <c r="CG66" s="108">
        <v>164275.19999999998</v>
      </c>
      <c r="CH66" s="108">
        <v>72.092190016103118</v>
      </c>
      <c r="CI66" s="108">
        <v>85818.542995169148</v>
      </c>
      <c r="CJ66" s="108">
        <v>71.411706998037957</v>
      </c>
      <c r="CK66" s="108">
        <v>85008.496010464369</v>
      </c>
      <c r="CL66" s="108">
        <v>54.202568688018218</v>
      </c>
      <c r="CM66" s="108">
        <v>64522.73776621688</v>
      </c>
      <c r="CN66" s="108">
        <v>14</v>
      </c>
      <c r="CO66" s="108">
        <v>16665.599999999999</v>
      </c>
      <c r="CP66" s="108">
        <v>18</v>
      </c>
      <c r="CQ66" s="108">
        <v>21427.199999999997</v>
      </c>
      <c r="CR66" s="108">
        <v>21</v>
      </c>
      <c r="CS66" s="108">
        <v>24998.399999999998</v>
      </c>
      <c r="CT66" s="108">
        <v>12</v>
      </c>
      <c r="CU66" s="108">
        <v>14284.8</v>
      </c>
    </row>
    <row r="67" spans="2:99" x14ac:dyDescent="0.2">
      <c r="C67" s="107" t="s">
        <v>232</v>
      </c>
      <c r="D67" s="108">
        <v>7</v>
      </c>
      <c r="E67" s="108">
        <v>7862.4000000000005</v>
      </c>
      <c r="F67" s="108">
        <v>13</v>
      </c>
      <c r="G67" s="108">
        <v>14601.6</v>
      </c>
      <c r="H67" s="108">
        <v>15</v>
      </c>
      <c r="I67" s="108">
        <v>16848</v>
      </c>
      <c r="J67" s="108">
        <v>8</v>
      </c>
      <c r="K67" s="108">
        <v>8985.6</v>
      </c>
      <c r="L67" s="108">
        <v>12</v>
      </c>
      <c r="M67" s="108">
        <v>13478.400000000001</v>
      </c>
      <c r="N67" s="108">
        <v>12</v>
      </c>
      <c r="O67" s="108">
        <v>13478.400000000001</v>
      </c>
      <c r="P67" s="108">
        <v>9</v>
      </c>
      <c r="Q67" s="108">
        <v>10108.800000000001</v>
      </c>
      <c r="R67" s="108">
        <v>11</v>
      </c>
      <c r="S67" s="108">
        <v>12355.2</v>
      </c>
      <c r="T67" s="108">
        <v>102</v>
      </c>
      <c r="U67" s="108">
        <v>114566.40000000001</v>
      </c>
      <c r="V67" s="108">
        <v>69</v>
      </c>
      <c r="W67" s="108">
        <v>77500.800000000003</v>
      </c>
      <c r="X67" s="108">
        <v>94</v>
      </c>
      <c r="Y67" s="108">
        <v>105580.8</v>
      </c>
      <c r="Z67" s="108">
        <v>50.949778818631323</v>
      </c>
      <c r="AA67" s="108">
        <v>57226.791569086701</v>
      </c>
      <c r="AB67" s="108">
        <v>26</v>
      </c>
      <c r="AC67" s="108">
        <v>29203.200000000001</v>
      </c>
      <c r="AD67" s="108">
        <v>18</v>
      </c>
      <c r="AE67" s="108">
        <v>20217.600000000002</v>
      </c>
      <c r="AF67" s="108">
        <v>26</v>
      </c>
      <c r="AG67" s="108">
        <v>29203.200000000001</v>
      </c>
      <c r="AH67" s="108">
        <v>23</v>
      </c>
      <c r="AI67" s="108">
        <v>25833.600000000002</v>
      </c>
      <c r="AJ67" s="108">
        <v>42</v>
      </c>
      <c r="AK67" s="108">
        <v>47174.400000000001</v>
      </c>
      <c r="AL67" s="108">
        <v>26</v>
      </c>
      <c r="AM67" s="108">
        <v>29203.200000000001</v>
      </c>
      <c r="AN67" s="108">
        <v>25</v>
      </c>
      <c r="AO67" s="108">
        <v>28080</v>
      </c>
      <c r="AP67" s="108">
        <v>27</v>
      </c>
      <c r="AQ67" s="108">
        <v>30326.400000000001</v>
      </c>
      <c r="AR67" s="108">
        <v>6</v>
      </c>
      <c r="AS67" s="108">
        <v>6739.2000000000007</v>
      </c>
      <c r="AT67" s="108">
        <v>10</v>
      </c>
      <c r="AU67" s="108">
        <v>11232</v>
      </c>
      <c r="AV67" s="108">
        <v>6</v>
      </c>
      <c r="AW67" s="108">
        <v>6739.2000000000007</v>
      </c>
      <c r="AX67" s="108">
        <v>10</v>
      </c>
      <c r="AY67" s="108">
        <v>11232</v>
      </c>
      <c r="AZ67" s="108">
        <v>13</v>
      </c>
      <c r="BA67" s="108">
        <v>14601.6</v>
      </c>
      <c r="BB67" s="108">
        <v>12</v>
      </c>
      <c r="BC67" s="108">
        <v>13478.400000000001</v>
      </c>
      <c r="BD67" s="108">
        <v>11</v>
      </c>
      <c r="BE67" s="108">
        <v>12355.2</v>
      </c>
      <c r="BF67" s="108">
        <v>13</v>
      </c>
      <c r="BG67" s="108">
        <v>14601.6</v>
      </c>
      <c r="BH67" s="108">
        <v>10</v>
      </c>
      <c r="BI67" s="108">
        <v>11232</v>
      </c>
      <c r="BJ67" s="108">
        <v>11</v>
      </c>
      <c r="BK67" s="108">
        <v>12355.2</v>
      </c>
      <c r="BL67" s="108">
        <v>13</v>
      </c>
      <c r="BM67" s="108">
        <v>14601.6</v>
      </c>
      <c r="BN67" s="108">
        <v>14</v>
      </c>
      <c r="BO67" s="108">
        <v>15724.800000000001</v>
      </c>
      <c r="BP67" s="108">
        <v>34</v>
      </c>
      <c r="BQ67" s="108">
        <v>38188.800000000003</v>
      </c>
      <c r="BR67" s="108">
        <v>28</v>
      </c>
      <c r="BS67" s="108">
        <v>31449.600000000002</v>
      </c>
      <c r="BT67" s="108">
        <v>27</v>
      </c>
      <c r="BU67" s="108">
        <v>30326.400000000001</v>
      </c>
      <c r="BV67" s="108">
        <v>19</v>
      </c>
      <c r="BW67" s="108">
        <v>21340.799999999999</v>
      </c>
      <c r="BX67" s="108">
        <v>8</v>
      </c>
      <c r="BY67" s="108">
        <v>8985.6</v>
      </c>
      <c r="BZ67" s="108">
        <v>7</v>
      </c>
      <c r="CA67" s="108">
        <v>7862.4000000000005</v>
      </c>
      <c r="CB67" s="108">
        <v>8</v>
      </c>
      <c r="CC67" s="108">
        <v>8985.6</v>
      </c>
      <c r="CD67" s="108">
        <v>10</v>
      </c>
      <c r="CE67" s="108">
        <v>11232</v>
      </c>
      <c r="CF67" s="108">
        <v>139</v>
      </c>
      <c r="CG67" s="108">
        <v>156124.80000000002</v>
      </c>
      <c r="CH67" s="108">
        <v>84.749597423510551</v>
      </c>
      <c r="CI67" s="108">
        <v>95190.747826087056</v>
      </c>
      <c r="CJ67" s="108">
        <v>72.501962066710291</v>
      </c>
      <c r="CK67" s="108">
        <v>81434.203793328998</v>
      </c>
      <c r="CL67" s="108">
        <v>65.585108112502041</v>
      </c>
      <c r="CM67" s="108">
        <v>73665.193431962296</v>
      </c>
      <c r="CN67" s="108">
        <v>13</v>
      </c>
      <c r="CO67" s="108">
        <v>14601.6</v>
      </c>
      <c r="CP67" s="108">
        <v>20</v>
      </c>
      <c r="CQ67" s="108">
        <v>22464</v>
      </c>
      <c r="CR67" s="108">
        <v>19</v>
      </c>
      <c r="CS67" s="108">
        <v>21340.799999999999</v>
      </c>
      <c r="CT67" s="108">
        <v>14</v>
      </c>
      <c r="CU67" s="108">
        <v>15724.800000000001</v>
      </c>
    </row>
    <row r="68" spans="2:99" x14ac:dyDescent="0.2">
      <c r="C68" s="107" t="s">
        <v>233</v>
      </c>
      <c r="D68" s="108">
        <v>7</v>
      </c>
      <c r="E68" s="108">
        <v>7232.4000000000005</v>
      </c>
      <c r="F68" s="108">
        <v>11</v>
      </c>
      <c r="G68" s="108">
        <v>11365.2</v>
      </c>
      <c r="H68" s="108">
        <v>13</v>
      </c>
      <c r="I68" s="108">
        <v>13431.6</v>
      </c>
      <c r="J68" s="108">
        <v>8</v>
      </c>
      <c r="K68" s="108">
        <v>8265.6</v>
      </c>
      <c r="L68" s="108">
        <v>14</v>
      </c>
      <c r="M68" s="108">
        <v>14464.800000000001</v>
      </c>
      <c r="N68" s="108">
        <v>12</v>
      </c>
      <c r="O68" s="108">
        <v>12398.400000000001</v>
      </c>
      <c r="P68" s="108">
        <v>9</v>
      </c>
      <c r="Q68" s="108">
        <v>9298.8000000000011</v>
      </c>
      <c r="R68" s="108">
        <v>10</v>
      </c>
      <c r="S68" s="108">
        <v>10332</v>
      </c>
      <c r="T68" s="108">
        <v>103</v>
      </c>
      <c r="U68" s="108">
        <v>106419.6</v>
      </c>
      <c r="V68" s="108">
        <v>78</v>
      </c>
      <c r="W68" s="108">
        <v>80589.600000000006</v>
      </c>
      <c r="X68" s="108">
        <v>92</v>
      </c>
      <c r="Y68" s="108">
        <v>95054.400000000009</v>
      </c>
      <c r="Z68" s="108">
        <v>49.560239396305015</v>
      </c>
      <c r="AA68" s="108">
        <v>51205.639344262345</v>
      </c>
      <c r="AB68" s="108">
        <v>23</v>
      </c>
      <c r="AC68" s="108">
        <v>23763.600000000002</v>
      </c>
      <c r="AD68" s="108">
        <v>19</v>
      </c>
      <c r="AE68" s="108">
        <v>19630.8</v>
      </c>
      <c r="AF68" s="108">
        <v>30</v>
      </c>
      <c r="AG68" s="108">
        <v>30996</v>
      </c>
      <c r="AH68" s="108">
        <v>20</v>
      </c>
      <c r="AI68" s="108">
        <v>20664</v>
      </c>
      <c r="AJ68" s="108">
        <v>38</v>
      </c>
      <c r="AK68" s="108">
        <v>39261.599999999999</v>
      </c>
      <c r="AL68" s="108">
        <v>26</v>
      </c>
      <c r="AM68" s="108">
        <v>26863.200000000001</v>
      </c>
      <c r="AN68" s="108">
        <v>25</v>
      </c>
      <c r="AO68" s="108">
        <v>25830</v>
      </c>
      <c r="AP68" s="108">
        <v>29</v>
      </c>
      <c r="AQ68" s="108">
        <v>29962.800000000003</v>
      </c>
      <c r="AR68" s="108">
        <v>6</v>
      </c>
      <c r="AS68" s="108">
        <v>6199.2000000000007</v>
      </c>
      <c r="AT68" s="108">
        <v>9</v>
      </c>
      <c r="AU68" s="108">
        <v>9298.8000000000011</v>
      </c>
      <c r="AV68" s="108">
        <v>6</v>
      </c>
      <c r="AW68" s="108">
        <v>6199.2000000000007</v>
      </c>
      <c r="AX68" s="108">
        <v>9</v>
      </c>
      <c r="AY68" s="108">
        <v>9298.8000000000011</v>
      </c>
      <c r="AZ68" s="108">
        <v>13</v>
      </c>
      <c r="BA68" s="108">
        <v>13431.6</v>
      </c>
      <c r="BB68" s="108">
        <v>13</v>
      </c>
      <c r="BC68" s="108">
        <v>13431.6</v>
      </c>
      <c r="BD68" s="108">
        <v>12</v>
      </c>
      <c r="BE68" s="108">
        <v>12398.400000000001</v>
      </c>
      <c r="BF68" s="108">
        <v>13</v>
      </c>
      <c r="BG68" s="108">
        <v>13431.6</v>
      </c>
      <c r="BH68" s="108">
        <v>9</v>
      </c>
      <c r="BI68" s="108">
        <v>9298.8000000000011</v>
      </c>
      <c r="BJ68" s="108">
        <v>11</v>
      </c>
      <c r="BK68" s="108">
        <v>11365.2</v>
      </c>
      <c r="BL68" s="108">
        <v>15</v>
      </c>
      <c r="BM68" s="108">
        <v>15498</v>
      </c>
      <c r="BN68" s="108">
        <v>14</v>
      </c>
      <c r="BO68" s="108">
        <v>14464.800000000001</v>
      </c>
      <c r="BP68" s="108">
        <v>34</v>
      </c>
      <c r="BQ68" s="108">
        <v>35128.800000000003</v>
      </c>
      <c r="BR68" s="108">
        <v>27</v>
      </c>
      <c r="BS68" s="108">
        <v>27896.400000000001</v>
      </c>
      <c r="BT68" s="108">
        <v>27</v>
      </c>
      <c r="BU68" s="108">
        <v>27896.400000000001</v>
      </c>
      <c r="BV68" s="108">
        <v>19</v>
      </c>
      <c r="BW68" s="108">
        <v>19630.8</v>
      </c>
      <c r="BX68" s="108">
        <v>7</v>
      </c>
      <c r="BY68" s="108">
        <v>7232.4000000000005</v>
      </c>
      <c r="BZ68" s="108">
        <v>6</v>
      </c>
      <c r="CA68" s="108">
        <v>6199.2000000000007</v>
      </c>
      <c r="CB68" s="108">
        <v>9</v>
      </c>
      <c r="CC68" s="108">
        <v>9298.8000000000011</v>
      </c>
      <c r="CD68" s="108">
        <v>9</v>
      </c>
      <c r="CE68" s="108">
        <v>9298.8000000000011</v>
      </c>
      <c r="CF68" s="108">
        <v>138</v>
      </c>
      <c r="CG68" s="108">
        <v>142581.6</v>
      </c>
      <c r="CH68" s="108">
        <v>75.944444444444514</v>
      </c>
      <c r="CI68" s="108">
        <v>78465.800000000076</v>
      </c>
      <c r="CJ68" s="108">
        <v>64.870176586003936</v>
      </c>
      <c r="CK68" s="108">
        <v>67023.866448659275</v>
      </c>
      <c r="CL68" s="108">
        <v>65.585108112502041</v>
      </c>
      <c r="CM68" s="108">
        <v>67762.533701837106</v>
      </c>
      <c r="CN68" s="108">
        <v>13</v>
      </c>
      <c r="CO68" s="108">
        <v>13431.6</v>
      </c>
      <c r="CP68" s="108">
        <v>19</v>
      </c>
      <c r="CQ68" s="108">
        <v>19630.8</v>
      </c>
      <c r="CR68" s="108">
        <v>20</v>
      </c>
      <c r="CS68" s="108">
        <v>20664</v>
      </c>
      <c r="CT68" s="108">
        <v>12</v>
      </c>
      <c r="CU68" s="108">
        <v>12398.400000000001</v>
      </c>
    </row>
    <row r="69" spans="2:99" x14ac:dyDescent="0.2">
      <c r="C69" s="107" t="s">
        <v>234</v>
      </c>
      <c r="D69" s="108">
        <v>8</v>
      </c>
      <c r="E69" s="108">
        <v>6067.2</v>
      </c>
      <c r="F69" s="108">
        <v>12</v>
      </c>
      <c r="G69" s="108">
        <v>9100.7999999999993</v>
      </c>
      <c r="H69" s="108">
        <v>14</v>
      </c>
      <c r="I69" s="108">
        <v>10617.6</v>
      </c>
      <c r="J69" s="108">
        <v>9</v>
      </c>
      <c r="K69" s="108">
        <v>6825.5999999999995</v>
      </c>
      <c r="L69" s="108">
        <v>13</v>
      </c>
      <c r="M69" s="108">
        <v>9859.1999999999989</v>
      </c>
      <c r="N69" s="108">
        <v>13</v>
      </c>
      <c r="O69" s="108">
        <v>9859.1999999999989</v>
      </c>
      <c r="P69" s="108">
        <v>8</v>
      </c>
      <c r="Q69" s="108">
        <v>6067.2</v>
      </c>
      <c r="R69" s="108">
        <v>11</v>
      </c>
      <c r="S69" s="108">
        <v>8342.4</v>
      </c>
      <c r="T69" s="108">
        <v>110</v>
      </c>
      <c r="U69" s="108">
        <v>83424</v>
      </c>
      <c r="V69" s="108">
        <v>84</v>
      </c>
      <c r="W69" s="108">
        <v>63705.599999999999</v>
      </c>
      <c r="X69" s="108">
        <v>105</v>
      </c>
      <c r="Y69" s="108">
        <v>79632</v>
      </c>
      <c r="Z69" s="108">
        <v>57.434296122820768</v>
      </c>
      <c r="AA69" s="108">
        <v>43558.170179547269</v>
      </c>
      <c r="AB69" s="108">
        <v>26</v>
      </c>
      <c r="AC69" s="108">
        <v>19718.399999999998</v>
      </c>
      <c r="AD69" s="108">
        <v>21</v>
      </c>
      <c r="AE69" s="108">
        <v>15926.4</v>
      </c>
      <c r="AF69" s="108">
        <v>30</v>
      </c>
      <c r="AG69" s="108">
        <v>22752</v>
      </c>
      <c r="AH69" s="108">
        <v>22</v>
      </c>
      <c r="AI69" s="108">
        <v>16684.8</v>
      </c>
      <c r="AJ69" s="108">
        <v>45</v>
      </c>
      <c r="AK69" s="108">
        <v>34128</v>
      </c>
      <c r="AL69" s="108">
        <v>27</v>
      </c>
      <c r="AM69" s="108">
        <v>20476.8</v>
      </c>
      <c r="AN69" s="108">
        <v>26</v>
      </c>
      <c r="AO69" s="108">
        <v>19718.399999999998</v>
      </c>
      <c r="AP69" s="108">
        <v>29</v>
      </c>
      <c r="AQ69" s="108">
        <v>21993.599999999999</v>
      </c>
      <c r="AR69" s="108">
        <v>7</v>
      </c>
      <c r="AS69" s="108">
        <v>5308.8</v>
      </c>
      <c r="AT69" s="108">
        <v>10</v>
      </c>
      <c r="AU69" s="108">
        <v>7584</v>
      </c>
      <c r="AV69" s="108">
        <v>7</v>
      </c>
      <c r="AW69" s="108">
        <v>5308.8</v>
      </c>
      <c r="AX69" s="108">
        <v>10</v>
      </c>
      <c r="AY69" s="108">
        <v>7584</v>
      </c>
      <c r="AZ69" s="108">
        <v>12</v>
      </c>
      <c r="BA69" s="108">
        <v>9100.7999999999993</v>
      </c>
      <c r="BB69" s="108">
        <v>12</v>
      </c>
      <c r="BC69" s="108">
        <v>9100.7999999999993</v>
      </c>
      <c r="BD69" s="108">
        <v>11</v>
      </c>
      <c r="BE69" s="108">
        <v>8342.4</v>
      </c>
      <c r="BF69" s="108">
        <v>13</v>
      </c>
      <c r="BG69" s="108">
        <v>9859.1999999999989</v>
      </c>
      <c r="BH69" s="108">
        <v>10</v>
      </c>
      <c r="BI69" s="108">
        <v>7584</v>
      </c>
      <c r="BJ69" s="108">
        <v>13</v>
      </c>
      <c r="BK69" s="108">
        <v>9859.1999999999989</v>
      </c>
      <c r="BL69" s="108">
        <v>14</v>
      </c>
      <c r="BM69" s="108">
        <v>10617.6</v>
      </c>
      <c r="BN69" s="108">
        <v>16</v>
      </c>
      <c r="BO69" s="108">
        <v>12134.4</v>
      </c>
      <c r="BP69" s="108">
        <v>31</v>
      </c>
      <c r="BQ69" s="108">
        <v>23510.399999999998</v>
      </c>
      <c r="BR69" s="108">
        <v>33</v>
      </c>
      <c r="BS69" s="108">
        <v>25027.200000000001</v>
      </c>
      <c r="BT69" s="108">
        <v>27</v>
      </c>
      <c r="BU69" s="108">
        <v>20476.8</v>
      </c>
      <c r="BV69" s="108">
        <v>19</v>
      </c>
      <c r="BW69" s="108">
        <v>14409.6</v>
      </c>
      <c r="BX69" s="108">
        <v>7</v>
      </c>
      <c r="BY69" s="108">
        <v>5308.8</v>
      </c>
      <c r="BZ69" s="108">
        <v>6</v>
      </c>
      <c r="CA69" s="108">
        <v>4550.3999999999996</v>
      </c>
      <c r="CB69" s="108">
        <v>9</v>
      </c>
      <c r="CC69" s="108">
        <v>6825.5999999999995</v>
      </c>
      <c r="CD69" s="108">
        <v>9</v>
      </c>
      <c r="CE69" s="108">
        <v>6825.5999999999995</v>
      </c>
      <c r="CF69" s="108">
        <v>146</v>
      </c>
      <c r="CG69" s="108">
        <v>110726.39999999999</v>
      </c>
      <c r="CH69" s="108">
        <v>95.205716586151453</v>
      </c>
      <c r="CI69" s="108">
        <v>72204.015458937254</v>
      </c>
      <c r="CJ69" s="108">
        <v>74.1373446697188</v>
      </c>
      <c r="CK69" s="108">
        <v>56225.762197514734</v>
      </c>
      <c r="CL69" s="108">
        <v>69.921313607543496</v>
      </c>
      <c r="CM69" s="108">
        <v>53028.324239960988</v>
      </c>
      <c r="CN69" s="108">
        <v>14</v>
      </c>
      <c r="CO69" s="108">
        <v>10617.6</v>
      </c>
      <c r="CP69" s="108">
        <v>19</v>
      </c>
      <c r="CQ69" s="108">
        <v>14409.6</v>
      </c>
      <c r="CR69" s="108">
        <v>22</v>
      </c>
      <c r="CS69" s="108">
        <v>16684.8</v>
      </c>
      <c r="CT69" s="108">
        <v>15</v>
      </c>
      <c r="CU69" s="108">
        <v>11376</v>
      </c>
    </row>
    <row r="70" spans="2:99" x14ac:dyDescent="0.2">
      <c r="C70" s="107" t="s">
        <v>235</v>
      </c>
      <c r="D70" s="108">
        <v>7</v>
      </c>
      <c r="E70" s="108">
        <v>3746.3999999999996</v>
      </c>
      <c r="F70" s="108">
        <v>11</v>
      </c>
      <c r="G70" s="108">
        <v>5887.1999999999989</v>
      </c>
      <c r="H70" s="108">
        <v>14</v>
      </c>
      <c r="I70" s="108">
        <v>7492.7999999999993</v>
      </c>
      <c r="J70" s="108">
        <v>8</v>
      </c>
      <c r="K70" s="108">
        <v>4281.5999999999995</v>
      </c>
      <c r="L70" s="108">
        <v>13</v>
      </c>
      <c r="M70" s="108">
        <v>6957.5999999999995</v>
      </c>
      <c r="N70" s="108">
        <v>11</v>
      </c>
      <c r="O70" s="108">
        <v>5887.1999999999989</v>
      </c>
      <c r="P70" s="108">
        <v>8</v>
      </c>
      <c r="Q70" s="108">
        <v>4281.5999999999995</v>
      </c>
      <c r="R70" s="108">
        <v>11</v>
      </c>
      <c r="S70" s="108">
        <v>5887.1999999999989</v>
      </c>
      <c r="T70" s="108">
        <v>130</v>
      </c>
      <c r="U70" s="108">
        <v>69575.999999999985</v>
      </c>
      <c r="V70" s="108">
        <v>95</v>
      </c>
      <c r="W70" s="108">
        <v>50843.999999999993</v>
      </c>
      <c r="X70" s="108">
        <v>126</v>
      </c>
      <c r="Y70" s="108">
        <v>67435.199999999997</v>
      </c>
      <c r="Z70" s="108">
        <v>64.845173041894412</v>
      </c>
      <c r="AA70" s="108">
        <v>34705.136612021888</v>
      </c>
      <c r="AB70" s="108">
        <v>28</v>
      </c>
      <c r="AC70" s="108">
        <v>14985.599999999999</v>
      </c>
      <c r="AD70" s="108">
        <v>19</v>
      </c>
      <c r="AE70" s="108">
        <v>10168.799999999999</v>
      </c>
      <c r="AF70" s="108">
        <v>27</v>
      </c>
      <c r="AG70" s="108">
        <v>14450.399999999998</v>
      </c>
      <c r="AH70" s="108">
        <v>24</v>
      </c>
      <c r="AI70" s="108">
        <v>12844.8</v>
      </c>
      <c r="AJ70" s="108">
        <v>47</v>
      </c>
      <c r="AK70" s="108">
        <v>25154.399999999998</v>
      </c>
      <c r="AL70" s="108">
        <v>29</v>
      </c>
      <c r="AM70" s="108">
        <v>15520.799999999997</v>
      </c>
      <c r="AN70" s="108">
        <v>31</v>
      </c>
      <c r="AO70" s="108">
        <v>16591.199999999997</v>
      </c>
      <c r="AP70" s="108">
        <v>28</v>
      </c>
      <c r="AQ70" s="108">
        <v>14985.599999999999</v>
      </c>
      <c r="AR70" s="108">
        <v>6</v>
      </c>
      <c r="AS70" s="108">
        <v>3211.2</v>
      </c>
      <c r="AT70" s="108">
        <v>10</v>
      </c>
      <c r="AU70" s="108">
        <v>5351.9999999999991</v>
      </c>
      <c r="AV70" s="108">
        <v>6</v>
      </c>
      <c r="AW70" s="108">
        <v>3211.2</v>
      </c>
      <c r="AX70" s="108">
        <v>10</v>
      </c>
      <c r="AY70" s="108">
        <v>5351.9999999999991</v>
      </c>
      <c r="AZ70" s="108">
        <v>12</v>
      </c>
      <c r="BA70" s="108">
        <v>6422.4</v>
      </c>
      <c r="BB70" s="108">
        <v>12</v>
      </c>
      <c r="BC70" s="108">
        <v>6422.4</v>
      </c>
      <c r="BD70" s="108">
        <v>12</v>
      </c>
      <c r="BE70" s="108">
        <v>6422.4</v>
      </c>
      <c r="BF70" s="108">
        <v>13</v>
      </c>
      <c r="BG70" s="108">
        <v>6957.5999999999995</v>
      </c>
      <c r="BH70" s="108">
        <v>9</v>
      </c>
      <c r="BI70" s="108">
        <v>4816.7999999999993</v>
      </c>
      <c r="BJ70" s="108">
        <v>11</v>
      </c>
      <c r="BK70" s="108">
        <v>5887.1999999999989</v>
      </c>
      <c r="BL70" s="108">
        <v>16</v>
      </c>
      <c r="BM70" s="108">
        <v>8563.1999999999989</v>
      </c>
      <c r="BN70" s="108">
        <v>14</v>
      </c>
      <c r="BO70" s="108">
        <v>7492.7999999999993</v>
      </c>
      <c r="BP70" s="108">
        <v>32</v>
      </c>
      <c r="BQ70" s="108">
        <v>17126.399999999998</v>
      </c>
      <c r="BR70" s="108">
        <v>34</v>
      </c>
      <c r="BS70" s="108">
        <v>18196.8</v>
      </c>
      <c r="BT70" s="108">
        <v>30</v>
      </c>
      <c r="BU70" s="108">
        <v>16055.999999999998</v>
      </c>
      <c r="BV70" s="108">
        <v>20</v>
      </c>
      <c r="BW70" s="108">
        <v>10703.999999999998</v>
      </c>
      <c r="BX70" s="108">
        <v>7</v>
      </c>
      <c r="BY70" s="108">
        <v>3746.3999999999996</v>
      </c>
      <c r="BZ70" s="108">
        <v>7</v>
      </c>
      <c r="CA70" s="108">
        <v>3746.3999999999996</v>
      </c>
      <c r="CB70" s="108">
        <v>9</v>
      </c>
      <c r="CC70" s="108">
        <v>4816.7999999999993</v>
      </c>
      <c r="CD70" s="108">
        <v>9</v>
      </c>
      <c r="CE70" s="108">
        <v>4816.7999999999993</v>
      </c>
      <c r="CF70" s="108">
        <v>179</v>
      </c>
      <c r="CG70" s="108">
        <v>95800.799999999988</v>
      </c>
      <c r="CH70" s="108">
        <v>84.199275362318915</v>
      </c>
      <c r="CI70" s="108">
        <v>45063.45217391308</v>
      </c>
      <c r="CJ70" s="108">
        <v>76.862982341399629</v>
      </c>
      <c r="CK70" s="108">
        <v>41137.068149117076</v>
      </c>
      <c r="CL70" s="108">
        <v>66.669159486262416</v>
      </c>
      <c r="CM70" s="108">
        <v>35681.33415704764</v>
      </c>
      <c r="CN70" s="108">
        <v>14</v>
      </c>
      <c r="CO70" s="108">
        <v>7492.7999999999993</v>
      </c>
      <c r="CP70" s="108">
        <v>20</v>
      </c>
      <c r="CQ70" s="108">
        <v>10703.999999999998</v>
      </c>
      <c r="CR70" s="108">
        <v>23</v>
      </c>
      <c r="CS70" s="108">
        <v>12309.599999999999</v>
      </c>
      <c r="CT70" s="108">
        <v>15</v>
      </c>
      <c r="CU70" s="108">
        <v>8027.9999999999991</v>
      </c>
    </row>
    <row r="71" spans="2:99" x14ac:dyDescent="0.2">
      <c r="B71" s="107" t="s">
        <v>130</v>
      </c>
      <c r="C71" s="107" t="s">
        <v>236</v>
      </c>
      <c r="D71" s="108">
        <v>66</v>
      </c>
      <c r="E71" s="108">
        <v>37224</v>
      </c>
      <c r="F71" s="108">
        <v>67</v>
      </c>
      <c r="G71" s="108">
        <v>37788</v>
      </c>
      <c r="H71" s="108">
        <v>54</v>
      </c>
      <c r="I71" s="108">
        <v>30456</v>
      </c>
      <c r="J71" s="108">
        <v>75</v>
      </c>
      <c r="K71" s="108">
        <v>42300</v>
      </c>
      <c r="L71" s="108">
        <v>65</v>
      </c>
      <c r="M71" s="108">
        <v>36660</v>
      </c>
      <c r="N71" s="108">
        <v>58</v>
      </c>
      <c r="O71" s="108">
        <v>32712</v>
      </c>
      <c r="P71" s="108">
        <v>55</v>
      </c>
      <c r="Q71" s="108">
        <v>31020</v>
      </c>
      <c r="R71" s="108">
        <v>59</v>
      </c>
      <c r="S71" s="108">
        <v>33276</v>
      </c>
      <c r="T71" s="108">
        <v>43</v>
      </c>
      <c r="U71" s="108">
        <v>24252</v>
      </c>
      <c r="V71" s="108">
        <v>24</v>
      </c>
      <c r="W71" s="108">
        <v>13536</v>
      </c>
      <c r="X71" s="108">
        <v>30</v>
      </c>
      <c r="Y71" s="108">
        <v>16920</v>
      </c>
      <c r="Z71" s="108">
        <v>33</v>
      </c>
      <c r="AA71" s="108">
        <v>18612</v>
      </c>
      <c r="AB71" s="108">
        <v>25</v>
      </c>
      <c r="AC71" s="108">
        <v>14100</v>
      </c>
      <c r="AD71" s="108">
        <v>21</v>
      </c>
      <c r="AE71" s="108">
        <v>11844</v>
      </c>
      <c r="AF71" s="108">
        <v>24</v>
      </c>
      <c r="AG71" s="108">
        <v>13536</v>
      </c>
      <c r="AH71" s="108">
        <v>39</v>
      </c>
      <c r="AI71" s="108">
        <v>21996</v>
      </c>
      <c r="AJ71" s="108">
        <v>40</v>
      </c>
      <c r="AK71" s="108">
        <v>22560</v>
      </c>
      <c r="AL71" s="108">
        <v>40</v>
      </c>
      <c r="AM71" s="108">
        <v>22560</v>
      </c>
      <c r="AN71" s="108">
        <v>70</v>
      </c>
      <c r="AO71" s="108">
        <v>39480</v>
      </c>
      <c r="AP71" s="108">
        <v>44</v>
      </c>
      <c r="AQ71" s="108">
        <v>24816</v>
      </c>
      <c r="AR71" s="108">
        <v>66</v>
      </c>
      <c r="AS71" s="108">
        <v>37224</v>
      </c>
      <c r="AT71" s="108">
        <v>58</v>
      </c>
      <c r="AU71" s="108">
        <v>32712</v>
      </c>
      <c r="AV71" s="108">
        <v>75</v>
      </c>
      <c r="AW71" s="108">
        <v>42300</v>
      </c>
      <c r="AX71" s="108">
        <v>79</v>
      </c>
      <c r="AY71" s="108">
        <v>44556</v>
      </c>
      <c r="AZ71" s="108">
        <v>10</v>
      </c>
      <c r="BA71" s="108">
        <v>5640</v>
      </c>
      <c r="BB71" s="108">
        <v>6</v>
      </c>
      <c r="BC71" s="108">
        <v>3384</v>
      </c>
      <c r="BD71" s="108">
        <v>6</v>
      </c>
      <c r="BE71" s="108">
        <v>3384</v>
      </c>
      <c r="BF71" s="108">
        <v>12</v>
      </c>
      <c r="BG71" s="108">
        <v>6768</v>
      </c>
      <c r="BH71" s="108">
        <v>10</v>
      </c>
      <c r="BI71" s="108">
        <v>5640</v>
      </c>
      <c r="BJ71" s="108">
        <v>10</v>
      </c>
      <c r="BK71" s="108">
        <v>5640</v>
      </c>
      <c r="BL71" s="108">
        <v>7</v>
      </c>
      <c r="BM71" s="108">
        <v>3948</v>
      </c>
      <c r="BN71" s="108">
        <v>10</v>
      </c>
      <c r="BO71" s="108">
        <v>5640</v>
      </c>
      <c r="BP71" s="108">
        <v>8</v>
      </c>
      <c r="BQ71" s="108">
        <v>4512</v>
      </c>
      <c r="BR71" s="108">
        <v>8</v>
      </c>
      <c r="BS71" s="108">
        <v>4512</v>
      </c>
      <c r="BT71" s="108">
        <v>13</v>
      </c>
      <c r="BU71" s="108">
        <v>7332</v>
      </c>
      <c r="BV71" s="108">
        <v>12</v>
      </c>
      <c r="BW71" s="108">
        <v>6768</v>
      </c>
      <c r="BX71" s="108">
        <v>40</v>
      </c>
      <c r="BY71" s="108">
        <v>22560</v>
      </c>
      <c r="BZ71" s="108">
        <v>43</v>
      </c>
      <c r="CA71" s="108">
        <v>24252</v>
      </c>
      <c r="CB71" s="108">
        <v>54</v>
      </c>
      <c r="CC71" s="108">
        <v>30456</v>
      </c>
      <c r="CD71" s="108">
        <v>57</v>
      </c>
      <c r="CE71" s="108">
        <v>32148</v>
      </c>
      <c r="CF71" s="108">
        <v>7</v>
      </c>
      <c r="CG71" s="108">
        <v>3948</v>
      </c>
      <c r="CH71" s="108">
        <v>9</v>
      </c>
      <c r="CI71" s="108">
        <v>5076</v>
      </c>
      <c r="CJ71" s="108">
        <v>6</v>
      </c>
      <c r="CK71" s="108">
        <v>3384</v>
      </c>
      <c r="CL71" s="108">
        <v>7</v>
      </c>
      <c r="CM71" s="108">
        <v>3948</v>
      </c>
      <c r="CN71" s="108">
        <v>13</v>
      </c>
      <c r="CO71" s="108">
        <v>7332</v>
      </c>
      <c r="CP71" s="108">
        <v>17</v>
      </c>
      <c r="CQ71" s="108">
        <v>9588</v>
      </c>
      <c r="CR71" s="108">
        <v>9</v>
      </c>
      <c r="CS71" s="108">
        <v>5076</v>
      </c>
      <c r="CT71" s="108">
        <v>13</v>
      </c>
      <c r="CU71" s="108">
        <v>7332</v>
      </c>
    </row>
    <row r="72" spans="2:99" x14ac:dyDescent="0.2">
      <c r="C72" s="107" t="s">
        <v>237</v>
      </c>
      <c r="D72" s="108">
        <v>66</v>
      </c>
      <c r="E72" s="108">
        <v>4910.3999999999996</v>
      </c>
      <c r="F72" s="108">
        <v>85</v>
      </c>
      <c r="G72" s="108">
        <v>6323.9999999999991</v>
      </c>
      <c r="H72" s="108">
        <v>57</v>
      </c>
      <c r="I72" s="108">
        <v>4240.7999999999993</v>
      </c>
      <c r="J72" s="108">
        <v>75</v>
      </c>
      <c r="K72" s="108">
        <v>5579.9999999999991</v>
      </c>
      <c r="L72" s="108">
        <v>78</v>
      </c>
      <c r="M72" s="108">
        <v>5803.1999999999989</v>
      </c>
      <c r="N72" s="108">
        <v>64</v>
      </c>
      <c r="O72" s="108">
        <v>4761.5999999999995</v>
      </c>
      <c r="P72" s="108">
        <v>69</v>
      </c>
      <c r="Q72" s="108">
        <v>5133.5999999999995</v>
      </c>
      <c r="R72" s="108">
        <v>80</v>
      </c>
      <c r="S72" s="108">
        <v>5951.9999999999991</v>
      </c>
      <c r="T72" s="108">
        <v>48</v>
      </c>
      <c r="U72" s="108">
        <v>3571.2</v>
      </c>
      <c r="V72" s="108">
        <v>28</v>
      </c>
      <c r="W72" s="108">
        <v>2083.1999999999998</v>
      </c>
      <c r="X72" s="108">
        <v>34</v>
      </c>
      <c r="Y72" s="108">
        <v>2529.6</v>
      </c>
      <c r="Z72" s="108">
        <v>37</v>
      </c>
      <c r="AA72" s="108">
        <v>2752.7999999999997</v>
      </c>
      <c r="AB72" s="108">
        <v>28</v>
      </c>
      <c r="AC72" s="108">
        <v>2083.1999999999998</v>
      </c>
      <c r="AD72" s="108">
        <v>27</v>
      </c>
      <c r="AE72" s="108">
        <v>2008.7999999999997</v>
      </c>
      <c r="AF72" s="108">
        <v>28</v>
      </c>
      <c r="AG72" s="108">
        <v>2083.1999999999998</v>
      </c>
      <c r="AH72" s="108">
        <v>38</v>
      </c>
      <c r="AI72" s="108">
        <v>2827.2</v>
      </c>
      <c r="AJ72" s="108">
        <v>45</v>
      </c>
      <c r="AK72" s="108">
        <v>3347.9999999999995</v>
      </c>
      <c r="AL72" s="108">
        <v>48</v>
      </c>
      <c r="AM72" s="108">
        <v>3571.2</v>
      </c>
      <c r="AN72" s="108">
        <v>68</v>
      </c>
      <c r="AO72" s="108">
        <v>5059.2</v>
      </c>
      <c r="AP72" s="108">
        <v>47</v>
      </c>
      <c r="AQ72" s="108">
        <v>3496.7999999999997</v>
      </c>
      <c r="AR72" s="108">
        <v>76</v>
      </c>
      <c r="AS72" s="108">
        <v>5654.4</v>
      </c>
      <c r="AT72" s="108">
        <v>78</v>
      </c>
      <c r="AU72" s="108">
        <v>5803.1999999999989</v>
      </c>
      <c r="AV72" s="108">
        <v>77</v>
      </c>
      <c r="AW72" s="108">
        <v>5728.7999999999993</v>
      </c>
      <c r="AX72" s="108">
        <v>98</v>
      </c>
      <c r="AY72" s="108">
        <v>7291.1999999999989</v>
      </c>
      <c r="AZ72" s="108">
        <v>11</v>
      </c>
      <c r="BA72" s="108">
        <v>818.39999999999986</v>
      </c>
      <c r="BB72" s="108">
        <v>8</v>
      </c>
      <c r="BC72" s="108">
        <v>595.19999999999993</v>
      </c>
      <c r="BD72" s="108">
        <v>7</v>
      </c>
      <c r="BE72" s="108">
        <v>520.79999999999995</v>
      </c>
      <c r="BF72" s="108">
        <v>12</v>
      </c>
      <c r="BG72" s="108">
        <v>892.8</v>
      </c>
      <c r="BH72" s="108">
        <v>10</v>
      </c>
      <c r="BI72" s="108">
        <v>743.99999999999989</v>
      </c>
      <c r="BJ72" s="108">
        <v>10</v>
      </c>
      <c r="BK72" s="108">
        <v>743.99999999999989</v>
      </c>
      <c r="BL72" s="108">
        <v>7</v>
      </c>
      <c r="BM72" s="108">
        <v>520.79999999999995</v>
      </c>
      <c r="BN72" s="108">
        <v>10</v>
      </c>
      <c r="BO72" s="108">
        <v>743.99999999999989</v>
      </c>
      <c r="BP72" s="108">
        <v>9</v>
      </c>
      <c r="BQ72" s="108">
        <v>669.59999999999991</v>
      </c>
      <c r="BR72" s="108">
        <v>9</v>
      </c>
      <c r="BS72" s="108">
        <v>669.59999999999991</v>
      </c>
      <c r="BT72" s="108">
        <v>12</v>
      </c>
      <c r="BU72" s="108">
        <v>892.8</v>
      </c>
      <c r="BV72" s="108">
        <v>13</v>
      </c>
      <c r="BW72" s="108">
        <v>967.19999999999993</v>
      </c>
      <c r="BX72" s="108">
        <v>47</v>
      </c>
      <c r="BY72" s="108">
        <v>3496.7999999999997</v>
      </c>
      <c r="BZ72" s="108">
        <v>49</v>
      </c>
      <c r="CA72" s="108">
        <v>3645.5999999999995</v>
      </c>
      <c r="CB72" s="108">
        <v>69</v>
      </c>
      <c r="CC72" s="108">
        <v>5133.5999999999995</v>
      </c>
      <c r="CD72" s="108">
        <v>72</v>
      </c>
      <c r="CE72" s="108">
        <v>5356.7999999999993</v>
      </c>
      <c r="CF72" s="108">
        <v>8</v>
      </c>
      <c r="CG72" s="108">
        <v>595.19999999999993</v>
      </c>
      <c r="CH72" s="108">
        <v>9</v>
      </c>
      <c r="CI72" s="108">
        <v>669.59999999999991</v>
      </c>
      <c r="CJ72" s="108">
        <v>6</v>
      </c>
      <c r="CK72" s="108">
        <v>446.4</v>
      </c>
      <c r="CL72" s="108">
        <v>6</v>
      </c>
      <c r="CM72" s="108">
        <v>446.4</v>
      </c>
      <c r="CN72" s="108">
        <v>14</v>
      </c>
      <c r="CO72" s="108">
        <v>1041.5999999999999</v>
      </c>
      <c r="CP72" s="108">
        <v>18</v>
      </c>
      <c r="CQ72" s="108">
        <v>1339.1999999999998</v>
      </c>
      <c r="CR72" s="108">
        <v>9</v>
      </c>
      <c r="CS72" s="108">
        <v>669.59999999999991</v>
      </c>
      <c r="CT72" s="108">
        <v>13</v>
      </c>
      <c r="CU72" s="108">
        <v>967.19999999999993</v>
      </c>
    </row>
    <row r="73" spans="2:99" x14ac:dyDescent="0.2">
      <c r="C73" s="107" t="s">
        <v>238</v>
      </c>
      <c r="D73" s="108">
        <v>64</v>
      </c>
      <c r="E73" s="108">
        <v>35788.799999999996</v>
      </c>
      <c r="F73" s="108">
        <v>63</v>
      </c>
      <c r="G73" s="108">
        <v>35229.599999999999</v>
      </c>
      <c r="H73" s="108">
        <v>54</v>
      </c>
      <c r="I73" s="108">
        <v>30196.799999999996</v>
      </c>
      <c r="J73" s="108">
        <v>76</v>
      </c>
      <c r="K73" s="108">
        <v>42499.199999999997</v>
      </c>
      <c r="L73" s="108">
        <v>72</v>
      </c>
      <c r="M73" s="108">
        <v>40262.399999999994</v>
      </c>
      <c r="N73" s="108">
        <v>54</v>
      </c>
      <c r="O73" s="108">
        <v>30196.799999999996</v>
      </c>
      <c r="P73" s="108">
        <v>58</v>
      </c>
      <c r="Q73" s="108">
        <v>32433.599999999995</v>
      </c>
      <c r="R73" s="108">
        <v>60</v>
      </c>
      <c r="S73" s="108">
        <v>33551.999999999993</v>
      </c>
      <c r="T73" s="108">
        <v>49</v>
      </c>
      <c r="U73" s="108">
        <v>27400.799999999996</v>
      </c>
      <c r="V73" s="108">
        <v>25</v>
      </c>
      <c r="W73" s="108">
        <v>13979.999999999998</v>
      </c>
      <c r="X73" s="108">
        <v>26</v>
      </c>
      <c r="Y73" s="108">
        <v>14539.199999999999</v>
      </c>
      <c r="Z73" s="108">
        <v>33</v>
      </c>
      <c r="AA73" s="108">
        <v>18453.599999999999</v>
      </c>
      <c r="AB73" s="108">
        <v>27</v>
      </c>
      <c r="AC73" s="108">
        <v>15098.399999999998</v>
      </c>
      <c r="AD73" s="108">
        <v>22</v>
      </c>
      <c r="AE73" s="108">
        <v>12302.399999999998</v>
      </c>
      <c r="AF73" s="108">
        <v>24</v>
      </c>
      <c r="AG73" s="108">
        <v>13420.8</v>
      </c>
      <c r="AH73" s="108">
        <v>38</v>
      </c>
      <c r="AI73" s="108">
        <v>21249.599999999999</v>
      </c>
      <c r="AJ73" s="108">
        <v>42</v>
      </c>
      <c r="AK73" s="108">
        <v>23486.399999999998</v>
      </c>
      <c r="AL73" s="108">
        <v>43</v>
      </c>
      <c r="AM73" s="108">
        <v>24045.599999999999</v>
      </c>
      <c r="AN73" s="108">
        <v>70</v>
      </c>
      <c r="AO73" s="108">
        <v>39143.999999999993</v>
      </c>
      <c r="AP73" s="108">
        <v>40</v>
      </c>
      <c r="AQ73" s="108">
        <v>22367.999999999996</v>
      </c>
      <c r="AR73" s="108">
        <v>67</v>
      </c>
      <c r="AS73" s="108">
        <v>37466.399999999994</v>
      </c>
      <c r="AT73" s="108">
        <v>60</v>
      </c>
      <c r="AU73" s="108">
        <v>33551.999999999993</v>
      </c>
      <c r="AV73" s="108">
        <v>70</v>
      </c>
      <c r="AW73" s="108">
        <v>39143.999999999993</v>
      </c>
      <c r="AX73" s="108">
        <v>81</v>
      </c>
      <c r="AY73" s="108">
        <v>45295.199999999997</v>
      </c>
      <c r="AZ73" s="108">
        <v>9</v>
      </c>
      <c r="BA73" s="108">
        <v>5032.7999999999993</v>
      </c>
      <c r="BB73" s="108">
        <v>6</v>
      </c>
      <c r="BC73" s="108">
        <v>3355.2</v>
      </c>
      <c r="BD73" s="108">
        <v>6</v>
      </c>
      <c r="BE73" s="108">
        <v>3355.2</v>
      </c>
      <c r="BF73" s="108">
        <v>12</v>
      </c>
      <c r="BG73" s="108">
        <v>6710.4</v>
      </c>
      <c r="BH73" s="108">
        <v>10</v>
      </c>
      <c r="BI73" s="108">
        <v>5591.9999999999991</v>
      </c>
      <c r="BJ73" s="108">
        <v>10</v>
      </c>
      <c r="BK73" s="108">
        <v>5591.9999999999991</v>
      </c>
      <c r="BL73" s="108">
        <v>7</v>
      </c>
      <c r="BM73" s="108">
        <v>3914.3999999999996</v>
      </c>
      <c r="BN73" s="108">
        <v>9</v>
      </c>
      <c r="BO73" s="108">
        <v>5032.7999999999993</v>
      </c>
      <c r="BP73" s="108">
        <v>9</v>
      </c>
      <c r="BQ73" s="108">
        <v>5032.7999999999993</v>
      </c>
      <c r="BR73" s="108">
        <v>9</v>
      </c>
      <c r="BS73" s="108">
        <v>5032.7999999999993</v>
      </c>
      <c r="BT73" s="108">
        <v>13</v>
      </c>
      <c r="BU73" s="108">
        <v>7269.5999999999995</v>
      </c>
      <c r="BV73" s="108">
        <v>11</v>
      </c>
      <c r="BW73" s="108">
        <v>6151.1999999999989</v>
      </c>
      <c r="BX73" s="108">
        <v>45</v>
      </c>
      <c r="BY73" s="108">
        <v>25163.999999999996</v>
      </c>
      <c r="BZ73" s="108">
        <v>42</v>
      </c>
      <c r="CA73" s="108">
        <v>23486.399999999998</v>
      </c>
      <c r="CB73" s="108">
        <v>55</v>
      </c>
      <c r="CC73" s="108">
        <v>30755.999999999996</v>
      </c>
      <c r="CD73" s="108">
        <v>60</v>
      </c>
      <c r="CE73" s="108">
        <v>33551.999999999993</v>
      </c>
      <c r="CF73" s="108">
        <v>7</v>
      </c>
      <c r="CG73" s="108">
        <v>3914.3999999999996</v>
      </c>
      <c r="CH73" s="108">
        <v>9</v>
      </c>
      <c r="CI73" s="108">
        <v>5032.7999999999993</v>
      </c>
      <c r="CJ73" s="108">
        <v>6</v>
      </c>
      <c r="CK73" s="108">
        <v>3355.2</v>
      </c>
      <c r="CL73" s="108">
        <v>7</v>
      </c>
      <c r="CM73" s="108">
        <v>3914.3999999999996</v>
      </c>
      <c r="CN73" s="108">
        <v>12</v>
      </c>
      <c r="CO73" s="108">
        <v>6710.4</v>
      </c>
      <c r="CP73" s="108">
        <v>15</v>
      </c>
      <c r="CQ73" s="108">
        <v>8387.9999999999982</v>
      </c>
      <c r="CR73" s="108">
        <v>8</v>
      </c>
      <c r="CS73" s="108">
        <v>4473.5999999999995</v>
      </c>
      <c r="CT73" s="108">
        <v>12</v>
      </c>
      <c r="CU73" s="108">
        <v>6710.4</v>
      </c>
    </row>
    <row r="74" spans="2:99" x14ac:dyDescent="0.2">
      <c r="C74" s="107" t="s">
        <v>239</v>
      </c>
      <c r="D74" s="108">
        <v>62</v>
      </c>
      <c r="E74" s="108">
        <v>24998.399999999998</v>
      </c>
      <c r="F74" s="108">
        <v>77</v>
      </c>
      <c r="G74" s="108">
        <v>31046.399999999998</v>
      </c>
      <c r="H74" s="108">
        <v>61</v>
      </c>
      <c r="I74" s="108">
        <v>24595.200000000001</v>
      </c>
      <c r="J74" s="108">
        <v>77</v>
      </c>
      <c r="K74" s="108">
        <v>31046.399999999998</v>
      </c>
      <c r="L74" s="108">
        <v>76</v>
      </c>
      <c r="M74" s="108">
        <v>30643.200000000001</v>
      </c>
      <c r="N74" s="108">
        <v>61</v>
      </c>
      <c r="O74" s="108">
        <v>24595.200000000001</v>
      </c>
      <c r="P74" s="108">
        <v>60</v>
      </c>
      <c r="Q74" s="108">
        <v>24192</v>
      </c>
      <c r="R74" s="108">
        <v>68</v>
      </c>
      <c r="S74" s="108">
        <v>27417.599999999999</v>
      </c>
      <c r="T74" s="108">
        <v>46</v>
      </c>
      <c r="U74" s="108">
        <v>18547.2</v>
      </c>
      <c r="V74" s="108">
        <v>25</v>
      </c>
      <c r="W74" s="108">
        <v>10080</v>
      </c>
      <c r="X74" s="108">
        <v>31</v>
      </c>
      <c r="Y74" s="108">
        <v>12499.199999999999</v>
      </c>
      <c r="Z74" s="108">
        <v>31</v>
      </c>
      <c r="AA74" s="108">
        <v>12499.199999999999</v>
      </c>
      <c r="AB74" s="108">
        <v>25</v>
      </c>
      <c r="AC74" s="108">
        <v>10080</v>
      </c>
      <c r="AD74" s="108">
        <v>25</v>
      </c>
      <c r="AE74" s="108">
        <v>10080</v>
      </c>
      <c r="AF74" s="108">
        <v>28</v>
      </c>
      <c r="AG74" s="108">
        <v>11289.6</v>
      </c>
      <c r="AH74" s="108">
        <v>39</v>
      </c>
      <c r="AI74" s="108">
        <v>15724.8</v>
      </c>
      <c r="AJ74" s="108">
        <v>43</v>
      </c>
      <c r="AK74" s="108">
        <v>17337.599999999999</v>
      </c>
      <c r="AL74" s="108">
        <v>46</v>
      </c>
      <c r="AM74" s="108">
        <v>18547.2</v>
      </c>
      <c r="AN74" s="108">
        <v>70</v>
      </c>
      <c r="AO74" s="108">
        <v>28224</v>
      </c>
      <c r="AP74" s="108">
        <v>41</v>
      </c>
      <c r="AQ74" s="108">
        <v>16531.2</v>
      </c>
      <c r="AR74" s="108">
        <v>67</v>
      </c>
      <c r="AS74" s="108">
        <v>27014.399999999998</v>
      </c>
      <c r="AT74" s="108">
        <v>66</v>
      </c>
      <c r="AU74" s="108">
        <v>26611.200000000001</v>
      </c>
      <c r="AV74" s="108">
        <v>78</v>
      </c>
      <c r="AW74" s="108">
        <v>31449.599999999999</v>
      </c>
      <c r="AX74" s="108">
        <v>98</v>
      </c>
      <c r="AY74" s="108">
        <v>39513.599999999999</v>
      </c>
      <c r="AZ74" s="108">
        <v>10</v>
      </c>
      <c r="BA74" s="108">
        <v>4032</v>
      </c>
      <c r="BB74" s="108">
        <v>7</v>
      </c>
      <c r="BC74" s="108">
        <v>2822.4</v>
      </c>
      <c r="BD74" s="108">
        <v>7</v>
      </c>
      <c r="BE74" s="108">
        <v>2822.4</v>
      </c>
      <c r="BF74" s="108">
        <v>10</v>
      </c>
      <c r="BG74" s="108">
        <v>4032</v>
      </c>
      <c r="BH74" s="108">
        <v>9</v>
      </c>
      <c r="BI74" s="108">
        <v>3628.7999999999997</v>
      </c>
      <c r="BJ74" s="108">
        <v>10</v>
      </c>
      <c r="BK74" s="108">
        <v>4032</v>
      </c>
      <c r="BL74" s="108">
        <v>8</v>
      </c>
      <c r="BM74" s="108">
        <v>3225.6</v>
      </c>
      <c r="BN74" s="108">
        <v>9</v>
      </c>
      <c r="BO74" s="108">
        <v>3628.7999999999997</v>
      </c>
      <c r="BP74" s="108">
        <v>9</v>
      </c>
      <c r="BQ74" s="108">
        <v>3628.7999999999997</v>
      </c>
      <c r="BR74" s="108">
        <v>9</v>
      </c>
      <c r="BS74" s="108">
        <v>3628.7999999999997</v>
      </c>
      <c r="BT74" s="108">
        <v>13</v>
      </c>
      <c r="BU74" s="108">
        <v>5241.5999999999995</v>
      </c>
      <c r="BV74" s="108">
        <v>12</v>
      </c>
      <c r="BW74" s="108">
        <v>4838.3999999999996</v>
      </c>
      <c r="BX74" s="108">
        <v>50</v>
      </c>
      <c r="BY74" s="108">
        <v>20160</v>
      </c>
      <c r="BZ74" s="108">
        <v>44</v>
      </c>
      <c r="CA74" s="108">
        <v>17740.8</v>
      </c>
      <c r="CB74" s="108">
        <v>58</v>
      </c>
      <c r="CC74" s="108">
        <v>23385.599999999999</v>
      </c>
      <c r="CD74" s="108">
        <v>62</v>
      </c>
      <c r="CE74" s="108">
        <v>24998.399999999998</v>
      </c>
      <c r="CF74" s="108">
        <v>7</v>
      </c>
      <c r="CG74" s="108">
        <v>2822.4</v>
      </c>
      <c r="CH74" s="108">
        <v>9</v>
      </c>
      <c r="CI74" s="108">
        <v>3628.7999999999997</v>
      </c>
      <c r="CJ74" s="108">
        <v>6</v>
      </c>
      <c r="CK74" s="108">
        <v>2419.1999999999998</v>
      </c>
      <c r="CL74" s="108">
        <v>7</v>
      </c>
      <c r="CM74" s="108">
        <v>2822.4</v>
      </c>
      <c r="CN74" s="108">
        <v>14</v>
      </c>
      <c r="CO74" s="108">
        <v>5644.8</v>
      </c>
      <c r="CP74" s="108">
        <v>17</v>
      </c>
      <c r="CQ74" s="108">
        <v>6854.4</v>
      </c>
      <c r="CR74" s="108">
        <v>10</v>
      </c>
      <c r="CS74" s="108">
        <v>4032</v>
      </c>
      <c r="CT74" s="108">
        <v>12</v>
      </c>
      <c r="CU74" s="108">
        <v>4838.3999999999996</v>
      </c>
    </row>
    <row r="75" spans="2:99" x14ac:dyDescent="0.2">
      <c r="C75" s="107" t="s">
        <v>240</v>
      </c>
      <c r="D75" s="108">
        <v>57</v>
      </c>
      <c r="E75" s="108">
        <v>36662.399999999994</v>
      </c>
      <c r="F75" s="108">
        <v>68</v>
      </c>
      <c r="G75" s="108">
        <v>43737.599999999999</v>
      </c>
      <c r="H75" s="108">
        <v>53</v>
      </c>
      <c r="I75" s="108">
        <v>34089.599999999999</v>
      </c>
      <c r="J75" s="108">
        <v>67</v>
      </c>
      <c r="K75" s="108">
        <v>43094.399999999994</v>
      </c>
      <c r="L75" s="108">
        <v>61</v>
      </c>
      <c r="M75" s="108">
        <v>39235.199999999997</v>
      </c>
      <c r="N75" s="108">
        <v>58</v>
      </c>
      <c r="O75" s="108">
        <v>37305.599999999999</v>
      </c>
      <c r="P75" s="108">
        <v>58</v>
      </c>
      <c r="Q75" s="108">
        <v>37305.599999999999</v>
      </c>
      <c r="R75" s="108">
        <v>65</v>
      </c>
      <c r="S75" s="108">
        <v>41807.999999999993</v>
      </c>
      <c r="T75" s="108">
        <v>42</v>
      </c>
      <c r="U75" s="108">
        <v>27014.399999999998</v>
      </c>
      <c r="V75" s="108">
        <v>26</v>
      </c>
      <c r="W75" s="108">
        <v>16723.199999999997</v>
      </c>
      <c r="X75" s="108">
        <v>30</v>
      </c>
      <c r="Y75" s="108">
        <v>19295.999999999996</v>
      </c>
      <c r="Z75" s="108">
        <v>29</v>
      </c>
      <c r="AA75" s="108">
        <v>18652.8</v>
      </c>
      <c r="AB75" s="108">
        <v>27</v>
      </c>
      <c r="AC75" s="108">
        <v>17366.399999999998</v>
      </c>
      <c r="AD75" s="108">
        <v>25</v>
      </c>
      <c r="AE75" s="108">
        <v>16079.999999999998</v>
      </c>
      <c r="AF75" s="108">
        <v>24</v>
      </c>
      <c r="AG75" s="108">
        <v>15436.8</v>
      </c>
      <c r="AH75" s="108">
        <v>40</v>
      </c>
      <c r="AI75" s="108">
        <v>25727.999999999996</v>
      </c>
      <c r="AJ75" s="108">
        <v>39</v>
      </c>
      <c r="AK75" s="108">
        <v>25084.799999999996</v>
      </c>
      <c r="AL75" s="108">
        <v>41</v>
      </c>
      <c r="AM75" s="108">
        <v>26371.199999999997</v>
      </c>
      <c r="AN75" s="108">
        <v>67</v>
      </c>
      <c r="AO75" s="108">
        <v>43094.399999999994</v>
      </c>
      <c r="AP75" s="108">
        <v>39</v>
      </c>
      <c r="AQ75" s="108">
        <v>25084.799999999996</v>
      </c>
      <c r="AR75" s="108">
        <v>64</v>
      </c>
      <c r="AS75" s="108">
        <v>41164.799999999996</v>
      </c>
      <c r="AT75" s="108">
        <v>62</v>
      </c>
      <c r="AU75" s="108">
        <v>39878.399999999994</v>
      </c>
      <c r="AV75" s="108">
        <v>75</v>
      </c>
      <c r="AW75" s="108">
        <v>48239.999999999993</v>
      </c>
      <c r="AX75" s="108">
        <v>92</v>
      </c>
      <c r="AY75" s="108">
        <v>59174.399999999994</v>
      </c>
      <c r="AZ75" s="108">
        <v>9</v>
      </c>
      <c r="BA75" s="108">
        <v>5788.7999999999993</v>
      </c>
      <c r="BB75" s="108">
        <v>6</v>
      </c>
      <c r="BC75" s="108">
        <v>3859.2</v>
      </c>
      <c r="BD75" s="108">
        <v>6</v>
      </c>
      <c r="BE75" s="108">
        <v>3859.2</v>
      </c>
      <c r="BF75" s="108">
        <v>11</v>
      </c>
      <c r="BG75" s="108">
        <v>7075.1999999999989</v>
      </c>
      <c r="BH75" s="108">
        <v>10</v>
      </c>
      <c r="BI75" s="108">
        <v>6431.9999999999991</v>
      </c>
      <c r="BJ75" s="108">
        <v>8</v>
      </c>
      <c r="BK75" s="108">
        <v>5145.5999999999995</v>
      </c>
      <c r="BL75" s="108">
        <v>7</v>
      </c>
      <c r="BM75" s="108">
        <v>4502.3999999999996</v>
      </c>
      <c r="BN75" s="108">
        <v>9</v>
      </c>
      <c r="BO75" s="108">
        <v>5788.7999999999993</v>
      </c>
      <c r="BP75" s="108">
        <v>9</v>
      </c>
      <c r="BQ75" s="108">
        <v>5788.7999999999993</v>
      </c>
      <c r="BR75" s="108">
        <v>9</v>
      </c>
      <c r="BS75" s="108">
        <v>5788.7999999999993</v>
      </c>
      <c r="BT75" s="108">
        <v>11</v>
      </c>
      <c r="BU75" s="108">
        <v>7075.1999999999989</v>
      </c>
      <c r="BV75" s="108">
        <v>11</v>
      </c>
      <c r="BW75" s="108">
        <v>7075.1999999999989</v>
      </c>
      <c r="BX75" s="108">
        <v>41</v>
      </c>
      <c r="BY75" s="108">
        <v>26371.199999999997</v>
      </c>
      <c r="BZ75" s="108">
        <v>43</v>
      </c>
      <c r="CA75" s="108">
        <v>27657.599999999999</v>
      </c>
      <c r="CB75" s="108">
        <v>60</v>
      </c>
      <c r="CC75" s="108">
        <v>38591.999999999993</v>
      </c>
      <c r="CD75" s="108">
        <v>57</v>
      </c>
      <c r="CE75" s="108">
        <v>36662.399999999994</v>
      </c>
      <c r="CF75" s="108">
        <v>8</v>
      </c>
      <c r="CG75" s="108">
        <v>5145.5999999999995</v>
      </c>
      <c r="CH75" s="108">
        <v>8</v>
      </c>
      <c r="CI75" s="108">
        <v>5145.5999999999995</v>
      </c>
      <c r="CJ75" s="108">
        <v>6</v>
      </c>
      <c r="CK75" s="108">
        <v>3859.2</v>
      </c>
      <c r="CL75" s="108">
        <v>7</v>
      </c>
      <c r="CM75" s="108">
        <v>4502.3999999999996</v>
      </c>
      <c r="CN75" s="108">
        <v>13</v>
      </c>
      <c r="CO75" s="108">
        <v>8361.5999999999985</v>
      </c>
      <c r="CP75" s="108">
        <v>14</v>
      </c>
      <c r="CQ75" s="108">
        <v>9004.7999999999993</v>
      </c>
      <c r="CR75" s="108">
        <v>8</v>
      </c>
      <c r="CS75" s="108">
        <v>5145.5999999999995</v>
      </c>
      <c r="CT75" s="108">
        <v>11</v>
      </c>
      <c r="CU75" s="108">
        <v>7075.1999999999989</v>
      </c>
    </row>
    <row r="76" spans="2:99" x14ac:dyDescent="0.2">
      <c r="C76" s="107" t="s">
        <v>241</v>
      </c>
      <c r="D76" s="108">
        <v>62</v>
      </c>
      <c r="E76" s="108">
        <v>48285.599999999999</v>
      </c>
      <c r="F76" s="108">
        <v>63</v>
      </c>
      <c r="G76" s="108">
        <v>49064.399999999994</v>
      </c>
      <c r="H76" s="108">
        <v>55</v>
      </c>
      <c r="I76" s="108">
        <v>42834</v>
      </c>
      <c r="J76" s="108">
        <v>66</v>
      </c>
      <c r="K76" s="108">
        <v>51400.799999999996</v>
      </c>
      <c r="L76" s="108">
        <v>65</v>
      </c>
      <c r="M76" s="108">
        <v>50622</v>
      </c>
      <c r="N76" s="108">
        <v>51</v>
      </c>
      <c r="O76" s="108">
        <v>39718.799999999996</v>
      </c>
      <c r="P76" s="108">
        <v>50</v>
      </c>
      <c r="Q76" s="108">
        <v>38940</v>
      </c>
      <c r="R76" s="108">
        <v>56</v>
      </c>
      <c r="S76" s="108">
        <v>43612.799999999996</v>
      </c>
      <c r="T76" s="108">
        <v>46</v>
      </c>
      <c r="U76" s="108">
        <v>35824.799999999996</v>
      </c>
      <c r="V76" s="108">
        <v>23</v>
      </c>
      <c r="W76" s="108">
        <v>17912.399999999998</v>
      </c>
      <c r="X76" s="108">
        <v>26</v>
      </c>
      <c r="Y76" s="108">
        <v>20248.8</v>
      </c>
      <c r="Z76" s="108">
        <v>29</v>
      </c>
      <c r="AA76" s="108">
        <v>22585.199999999997</v>
      </c>
      <c r="AB76" s="108">
        <v>26</v>
      </c>
      <c r="AC76" s="108">
        <v>20248.8</v>
      </c>
      <c r="AD76" s="108">
        <v>24</v>
      </c>
      <c r="AE76" s="108">
        <v>18691.199999999997</v>
      </c>
      <c r="AF76" s="108">
        <v>23</v>
      </c>
      <c r="AG76" s="108">
        <v>17912.399999999998</v>
      </c>
      <c r="AH76" s="108">
        <v>36</v>
      </c>
      <c r="AI76" s="108">
        <v>28036.799999999999</v>
      </c>
      <c r="AJ76" s="108">
        <v>42</v>
      </c>
      <c r="AK76" s="108">
        <v>32709.599999999999</v>
      </c>
      <c r="AL76" s="108">
        <v>36</v>
      </c>
      <c r="AM76" s="108">
        <v>28036.799999999999</v>
      </c>
      <c r="AN76" s="108">
        <v>59</v>
      </c>
      <c r="AO76" s="108">
        <v>45949.2</v>
      </c>
      <c r="AP76" s="108">
        <v>42</v>
      </c>
      <c r="AQ76" s="108">
        <v>32709.599999999999</v>
      </c>
      <c r="AR76" s="108">
        <v>58</v>
      </c>
      <c r="AS76" s="108">
        <v>45170.399999999994</v>
      </c>
      <c r="AT76" s="108">
        <v>55</v>
      </c>
      <c r="AU76" s="108">
        <v>42834</v>
      </c>
      <c r="AV76" s="108">
        <v>67</v>
      </c>
      <c r="AW76" s="108">
        <v>52179.6</v>
      </c>
      <c r="AX76" s="108">
        <v>89</v>
      </c>
      <c r="AY76" s="108">
        <v>69313.2</v>
      </c>
      <c r="AZ76" s="108">
        <v>9</v>
      </c>
      <c r="BA76" s="108">
        <v>7009.2</v>
      </c>
      <c r="BB76" s="108">
        <v>6</v>
      </c>
      <c r="BC76" s="108">
        <v>4672.7999999999993</v>
      </c>
      <c r="BD76" s="108">
        <v>6</v>
      </c>
      <c r="BE76" s="108">
        <v>4672.7999999999993</v>
      </c>
      <c r="BF76" s="108">
        <v>12</v>
      </c>
      <c r="BG76" s="108">
        <v>9345.5999999999985</v>
      </c>
      <c r="BH76" s="108">
        <v>9</v>
      </c>
      <c r="BI76" s="108">
        <v>7009.2</v>
      </c>
      <c r="BJ76" s="108">
        <v>9</v>
      </c>
      <c r="BK76" s="108">
        <v>7009.2</v>
      </c>
      <c r="BL76" s="108">
        <v>8</v>
      </c>
      <c r="BM76" s="108">
        <v>6230.4</v>
      </c>
      <c r="BN76" s="108">
        <v>9</v>
      </c>
      <c r="BO76" s="108">
        <v>7009.2</v>
      </c>
      <c r="BP76" s="108">
        <v>7</v>
      </c>
      <c r="BQ76" s="108">
        <v>5451.5999999999995</v>
      </c>
      <c r="BR76" s="108">
        <v>8</v>
      </c>
      <c r="BS76" s="108">
        <v>6230.4</v>
      </c>
      <c r="BT76" s="108">
        <v>12</v>
      </c>
      <c r="BU76" s="108">
        <v>9345.5999999999985</v>
      </c>
      <c r="BV76" s="108">
        <v>11</v>
      </c>
      <c r="BW76" s="108">
        <v>8566.7999999999993</v>
      </c>
      <c r="BX76" s="108">
        <v>39</v>
      </c>
      <c r="BY76" s="108">
        <v>30373.199999999997</v>
      </c>
      <c r="BZ76" s="108">
        <v>41</v>
      </c>
      <c r="CA76" s="108">
        <v>31930.799999999999</v>
      </c>
      <c r="CB76" s="108">
        <v>57</v>
      </c>
      <c r="CC76" s="108">
        <v>44391.6</v>
      </c>
      <c r="CD76" s="108">
        <v>61</v>
      </c>
      <c r="CE76" s="108">
        <v>47506.799999999996</v>
      </c>
      <c r="CF76" s="108">
        <v>7</v>
      </c>
      <c r="CG76" s="108">
        <v>5451.5999999999995</v>
      </c>
      <c r="CH76" s="108">
        <v>8</v>
      </c>
      <c r="CI76" s="108">
        <v>6230.4</v>
      </c>
      <c r="CJ76" s="108">
        <v>6</v>
      </c>
      <c r="CK76" s="108">
        <v>4672.7999999999993</v>
      </c>
      <c r="CL76" s="108">
        <v>6</v>
      </c>
      <c r="CM76" s="108">
        <v>4672.7999999999993</v>
      </c>
      <c r="CN76" s="108">
        <v>14</v>
      </c>
      <c r="CO76" s="108">
        <v>10903.199999999999</v>
      </c>
      <c r="CP76" s="108">
        <v>16</v>
      </c>
      <c r="CQ76" s="108">
        <v>12460.8</v>
      </c>
      <c r="CR76" s="108">
        <v>8</v>
      </c>
      <c r="CS76" s="108">
        <v>6230.4</v>
      </c>
      <c r="CT76" s="108">
        <v>11</v>
      </c>
      <c r="CU76" s="108">
        <v>8566.7999999999993</v>
      </c>
    </row>
    <row r="77" spans="2:99" x14ac:dyDescent="0.2">
      <c r="C77" s="107" t="s">
        <v>242</v>
      </c>
      <c r="D77" s="108">
        <v>67</v>
      </c>
      <c r="E77" s="108">
        <v>18652.8</v>
      </c>
      <c r="F77" s="108">
        <v>68</v>
      </c>
      <c r="G77" s="108">
        <v>18931.199999999997</v>
      </c>
      <c r="H77" s="108">
        <v>60</v>
      </c>
      <c r="I77" s="108">
        <v>16704</v>
      </c>
      <c r="J77" s="108">
        <v>79</v>
      </c>
      <c r="K77" s="108">
        <v>21993.599999999999</v>
      </c>
      <c r="L77" s="108">
        <v>72</v>
      </c>
      <c r="M77" s="108">
        <v>20044.8</v>
      </c>
      <c r="N77" s="108">
        <v>57</v>
      </c>
      <c r="O77" s="108">
        <v>15868.8</v>
      </c>
      <c r="P77" s="108">
        <v>65</v>
      </c>
      <c r="Q77" s="108">
        <v>18096</v>
      </c>
      <c r="R77" s="108">
        <v>71</v>
      </c>
      <c r="S77" s="108">
        <v>19766.399999999998</v>
      </c>
      <c r="T77" s="108">
        <v>44</v>
      </c>
      <c r="U77" s="108">
        <v>12249.599999999999</v>
      </c>
      <c r="V77" s="108">
        <v>29</v>
      </c>
      <c r="W77" s="108">
        <v>8073.5999999999995</v>
      </c>
      <c r="X77" s="108">
        <v>28</v>
      </c>
      <c r="Y77" s="108">
        <v>7795.1999999999989</v>
      </c>
      <c r="Z77" s="108">
        <v>32</v>
      </c>
      <c r="AA77" s="108">
        <v>8908.7999999999993</v>
      </c>
      <c r="AB77" s="108">
        <v>27</v>
      </c>
      <c r="AC77" s="108">
        <v>7516.7999999999993</v>
      </c>
      <c r="AD77" s="108">
        <v>24</v>
      </c>
      <c r="AE77" s="108">
        <v>6681.5999999999995</v>
      </c>
      <c r="AF77" s="108">
        <v>29</v>
      </c>
      <c r="AG77" s="108">
        <v>8073.5999999999995</v>
      </c>
      <c r="AH77" s="108">
        <v>39</v>
      </c>
      <c r="AI77" s="108">
        <v>10857.599999999999</v>
      </c>
      <c r="AJ77" s="108">
        <v>47</v>
      </c>
      <c r="AK77" s="108">
        <v>13084.8</v>
      </c>
      <c r="AL77" s="108">
        <v>46</v>
      </c>
      <c r="AM77" s="108">
        <v>12806.4</v>
      </c>
      <c r="AN77" s="108">
        <v>71</v>
      </c>
      <c r="AO77" s="108">
        <v>19766.399999999998</v>
      </c>
      <c r="AP77" s="108">
        <v>49</v>
      </c>
      <c r="AQ77" s="108">
        <v>13641.599999999999</v>
      </c>
      <c r="AR77" s="108">
        <v>74</v>
      </c>
      <c r="AS77" s="108">
        <v>20601.599999999999</v>
      </c>
      <c r="AT77" s="108">
        <v>72</v>
      </c>
      <c r="AU77" s="108">
        <v>20044.8</v>
      </c>
      <c r="AV77" s="108">
        <v>77</v>
      </c>
      <c r="AW77" s="108">
        <v>21436.799999999999</v>
      </c>
      <c r="AX77" s="108">
        <v>97</v>
      </c>
      <c r="AY77" s="108">
        <v>27004.799999999999</v>
      </c>
      <c r="AZ77" s="108">
        <v>10</v>
      </c>
      <c r="BA77" s="108">
        <v>2784</v>
      </c>
      <c r="BB77" s="108">
        <v>7</v>
      </c>
      <c r="BC77" s="108">
        <v>1948.7999999999997</v>
      </c>
      <c r="BD77" s="108">
        <v>7</v>
      </c>
      <c r="BE77" s="108">
        <v>1948.7999999999997</v>
      </c>
      <c r="BF77" s="108">
        <v>10</v>
      </c>
      <c r="BG77" s="108">
        <v>2784</v>
      </c>
      <c r="BH77" s="108">
        <v>11</v>
      </c>
      <c r="BI77" s="108">
        <v>3062.3999999999996</v>
      </c>
      <c r="BJ77" s="108">
        <v>10</v>
      </c>
      <c r="BK77" s="108">
        <v>2784</v>
      </c>
      <c r="BL77" s="108">
        <v>7</v>
      </c>
      <c r="BM77" s="108">
        <v>1948.7999999999997</v>
      </c>
      <c r="BN77" s="108">
        <v>10</v>
      </c>
      <c r="BO77" s="108">
        <v>2784</v>
      </c>
      <c r="BP77" s="108">
        <v>9</v>
      </c>
      <c r="BQ77" s="108">
        <v>2505.6</v>
      </c>
      <c r="BR77" s="108">
        <v>8</v>
      </c>
      <c r="BS77" s="108">
        <v>2227.1999999999998</v>
      </c>
      <c r="BT77" s="108">
        <v>14</v>
      </c>
      <c r="BU77" s="108">
        <v>3897.5999999999995</v>
      </c>
      <c r="BV77" s="108">
        <v>14</v>
      </c>
      <c r="BW77" s="108">
        <v>3897.5999999999995</v>
      </c>
      <c r="BX77" s="108">
        <v>51</v>
      </c>
      <c r="BY77" s="108">
        <v>14198.4</v>
      </c>
      <c r="BZ77" s="108">
        <v>44</v>
      </c>
      <c r="CA77" s="108">
        <v>12249.599999999999</v>
      </c>
      <c r="CB77" s="108">
        <v>63</v>
      </c>
      <c r="CC77" s="108">
        <v>17539.199999999997</v>
      </c>
      <c r="CD77" s="108">
        <v>58</v>
      </c>
      <c r="CE77" s="108">
        <v>16147.199999999999</v>
      </c>
      <c r="CF77" s="108">
        <v>7</v>
      </c>
      <c r="CG77" s="108">
        <v>1948.7999999999997</v>
      </c>
      <c r="CH77" s="108">
        <v>9</v>
      </c>
      <c r="CI77" s="108">
        <v>2505.6</v>
      </c>
      <c r="CJ77" s="108">
        <v>5</v>
      </c>
      <c r="CK77" s="108">
        <v>1392</v>
      </c>
      <c r="CL77" s="108">
        <v>7</v>
      </c>
      <c r="CM77" s="108">
        <v>1948.7999999999997</v>
      </c>
      <c r="CN77" s="108">
        <v>14</v>
      </c>
      <c r="CO77" s="108">
        <v>3897.5999999999995</v>
      </c>
      <c r="CP77" s="108">
        <v>17</v>
      </c>
      <c r="CQ77" s="108">
        <v>4732.7999999999993</v>
      </c>
      <c r="CR77" s="108">
        <v>9</v>
      </c>
      <c r="CS77" s="108">
        <v>2505.6</v>
      </c>
      <c r="CT77" s="108">
        <v>11</v>
      </c>
      <c r="CU77" s="108">
        <v>3062.3999999999996</v>
      </c>
    </row>
    <row r="78" spans="2:99" x14ac:dyDescent="0.2">
      <c r="C78" s="107" t="s">
        <v>243</v>
      </c>
      <c r="D78" s="108">
        <v>62</v>
      </c>
      <c r="E78" s="108">
        <v>34224</v>
      </c>
      <c r="F78" s="108">
        <v>68</v>
      </c>
      <c r="G78" s="108">
        <v>37536</v>
      </c>
      <c r="H78" s="108">
        <v>53</v>
      </c>
      <c r="I78" s="108">
        <v>29256</v>
      </c>
      <c r="J78" s="108">
        <v>74</v>
      </c>
      <c r="K78" s="108">
        <v>40848</v>
      </c>
      <c r="L78" s="108">
        <v>63</v>
      </c>
      <c r="M78" s="108">
        <v>34776</v>
      </c>
      <c r="N78" s="108">
        <v>59</v>
      </c>
      <c r="O78" s="108">
        <v>32568</v>
      </c>
      <c r="P78" s="108">
        <v>55</v>
      </c>
      <c r="Q78" s="108">
        <v>30360</v>
      </c>
      <c r="R78" s="108">
        <v>67</v>
      </c>
      <c r="S78" s="108">
        <v>36984</v>
      </c>
      <c r="T78" s="108">
        <v>42</v>
      </c>
      <c r="U78" s="108">
        <v>23184</v>
      </c>
      <c r="V78" s="108">
        <v>25</v>
      </c>
      <c r="W78" s="108">
        <v>13800</v>
      </c>
      <c r="X78" s="108">
        <v>29</v>
      </c>
      <c r="Y78" s="108">
        <v>16008</v>
      </c>
      <c r="Z78" s="108">
        <v>35</v>
      </c>
      <c r="AA78" s="108">
        <v>19320</v>
      </c>
      <c r="AB78" s="108">
        <v>24</v>
      </c>
      <c r="AC78" s="108">
        <v>13248</v>
      </c>
      <c r="AD78" s="108">
        <v>24</v>
      </c>
      <c r="AE78" s="108">
        <v>13248</v>
      </c>
      <c r="AF78" s="108">
        <v>26</v>
      </c>
      <c r="AG78" s="108">
        <v>14352</v>
      </c>
      <c r="AH78" s="108">
        <v>36</v>
      </c>
      <c r="AI78" s="108">
        <v>19872</v>
      </c>
      <c r="AJ78" s="108">
        <v>42</v>
      </c>
      <c r="AK78" s="108">
        <v>23184</v>
      </c>
      <c r="AL78" s="108">
        <v>45</v>
      </c>
      <c r="AM78" s="108">
        <v>24840</v>
      </c>
      <c r="AN78" s="108">
        <v>66</v>
      </c>
      <c r="AO78" s="108">
        <v>36432</v>
      </c>
      <c r="AP78" s="108">
        <v>40</v>
      </c>
      <c r="AQ78" s="108">
        <v>22080</v>
      </c>
      <c r="AR78" s="108">
        <v>65</v>
      </c>
      <c r="AS78" s="108">
        <v>35880</v>
      </c>
      <c r="AT78" s="108">
        <v>69</v>
      </c>
      <c r="AU78" s="108">
        <v>38088</v>
      </c>
      <c r="AV78" s="108">
        <v>68</v>
      </c>
      <c r="AW78" s="108">
        <v>37536</v>
      </c>
      <c r="AX78" s="108">
        <v>80</v>
      </c>
      <c r="AY78" s="108">
        <v>44160</v>
      </c>
      <c r="AZ78" s="108">
        <v>10</v>
      </c>
      <c r="BA78" s="108">
        <v>5520</v>
      </c>
      <c r="BB78" s="108">
        <v>7</v>
      </c>
      <c r="BC78" s="108">
        <v>3864</v>
      </c>
      <c r="BD78" s="108">
        <v>6</v>
      </c>
      <c r="BE78" s="108">
        <v>3312</v>
      </c>
      <c r="BF78" s="108">
        <v>10</v>
      </c>
      <c r="BG78" s="108">
        <v>5520</v>
      </c>
      <c r="BH78" s="108">
        <v>10</v>
      </c>
      <c r="BI78" s="108">
        <v>5520</v>
      </c>
      <c r="BJ78" s="108">
        <v>9</v>
      </c>
      <c r="BK78" s="108">
        <v>4968</v>
      </c>
      <c r="BL78" s="108">
        <v>8</v>
      </c>
      <c r="BM78" s="108">
        <v>4416</v>
      </c>
      <c r="BN78" s="108">
        <v>9</v>
      </c>
      <c r="BO78" s="108">
        <v>4968</v>
      </c>
      <c r="BP78" s="108">
        <v>8</v>
      </c>
      <c r="BQ78" s="108">
        <v>4416</v>
      </c>
      <c r="BR78" s="108">
        <v>9</v>
      </c>
      <c r="BS78" s="108">
        <v>4968</v>
      </c>
      <c r="BT78" s="108">
        <v>12</v>
      </c>
      <c r="BU78" s="108">
        <v>6624</v>
      </c>
      <c r="BV78" s="108">
        <v>12</v>
      </c>
      <c r="BW78" s="108">
        <v>6624</v>
      </c>
      <c r="BX78" s="108">
        <v>46</v>
      </c>
      <c r="BY78" s="108">
        <v>25392</v>
      </c>
      <c r="BZ78" s="108">
        <v>43</v>
      </c>
      <c r="CA78" s="108">
        <v>23736</v>
      </c>
      <c r="CB78" s="108">
        <v>58</v>
      </c>
      <c r="CC78" s="108">
        <v>32016</v>
      </c>
      <c r="CD78" s="108">
        <v>62</v>
      </c>
      <c r="CE78" s="108">
        <v>34224</v>
      </c>
      <c r="CF78" s="108">
        <v>8</v>
      </c>
      <c r="CG78" s="108">
        <v>4416</v>
      </c>
      <c r="CH78" s="108">
        <v>8</v>
      </c>
      <c r="CI78" s="108">
        <v>4416</v>
      </c>
      <c r="CJ78" s="108">
        <v>5</v>
      </c>
      <c r="CK78" s="108">
        <v>2760</v>
      </c>
      <c r="CL78" s="108">
        <v>7</v>
      </c>
      <c r="CM78" s="108">
        <v>3864</v>
      </c>
      <c r="CN78" s="108">
        <v>12</v>
      </c>
      <c r="CO78" s="108">
        <v>6624</v>
      </c>
      <c r="CP78" s="108">
        <v>16</v>
      </c>
      <c r="CQ78" s="108">
        <v>8832</v>
      </c>
      <c r="CR78" s="108">
        <v>9</v>
      </c>
      <c r="CS78" s="108">
        <v>4968</v>
      </c>
      <c r="CT78" s="108">
        <v>11</v>
      </c>
      <c r="CU78" s="108">
        <v>6072</v>
      </c>
    </row>
    <row r="79" spans="2:99" x14ac:dyDescent="0.2">
      <c r="C79" s="107" t="s">
        <v>244</v>
      </c>
      <c r="D79" s="108">
        <v>57</v>
      </c>
      <c r="E79" s="108">
        <v>43160.399999999994</v>
      </c>
      <c r="F79" s="108">
        <v>61</v>
      </c>
      <c r="G79" s="108">
        <v>46189.2</v>
      </c>
      <c r="H79" s="108">
        <v>53</v>
      </c>
      <c r="I79" s="108">
        <v>40131.599999999999</v>
      </c>
      <c r="J79" s="108">
        <v>64</v>
      </c>
      <c r="K79" s="108">
        <v>48460.799999999996</v>
      </c>
      <c r="L79" s="108">
        <v>64</v>
      </c>
      <c r="M79" s="108">
        <v>48460.799999999996</v>
      </c>
      <c r="N79" s="108">
        <v>59</v>
      </c>
      <c r="O79" s="108">
        <v>44674.799999999996</v>
      </c>
      <c r="P79" s="108">
        <v>50</v>
      </c>
      <c r="Q79" s="108">
        <v>37860</v>
      </c>
      <c r="R79" s="108">
        <v>64</v>
      </c>
      <c r="S79" s="108">
        <v>48460.799999999996</v>
      </c>
      <c r="T79" s="108">
        <v>47</v>
      </c>
      <c r="U79" s="108">
        <v>35588.399999999994</v>
      </c>
      <c r="V79" s="108">
        <v>26</v>
      </c>
      <c r="W79" s="108">
        <v>19687.199999999997</v>
      </c>
      <c r="X79" s="108">
        <v>25</v>
      </c>
      <c r="Y79" s="108">
        <v>18930</v>
      </c>
      <c r="Z79" s="108">
        <v>29</v>
      </c>
      <c r="AA79" s="108">
        <v>21958.799999999999</v>
      </c>
      <c r="AB79" s="108">
        <v>23</v>
      </c>
      <c r="AC79" s="108">
        <v>17415.599999999999</v>
      </c>
      <c r="AD79" s="108">
        <v>21</v>
      </c>
      <c r="AE79" s="108">
        <v>15901.199999999999</v>
      </c>
      <c r="AF79" s="108">
        <v>26</v>
      </c>
      <c r="AG79" s="108">
        <v>19687.199999999997</v>
      </c>
      <c r="AH79" s="108">
        <v>36</v>
      </c>
      <c r="AI79" s="108">
        <v>27259.199999999997</v>
      </c>
      <c r="AJ79" s="108">
        <v>43</v>
      </c>
      <c r="AK79" s="108">
        <v>32559.599999999999</v>
      </c>
      <c r="AL79" s="108">
        <v>43</v>
      </c>
      <c r="AM79" s="108">
        <v>32559.599999999999</v>
      </c>
      <c r="AN79" s="108">
        <v>57</v>
      </c>
      <c r="AO79" s="108">
        <v>43160.399999999994</v>
      </c>
      <c r="AP79" s="108">
        <v>38</v>
      </c>
      <c r="AQ79" s="108">
        <v>28773.599999999999</v>
      </c>
      <c r="AR79" s="108">
        <v>60</v>
      </c>
      <c r="AS79" s="108">
        <v>45431.999999999993</v>
      </c>
      <c r="AT79" s="108">
        <v>54</v>
      </c>
      <c r="AU79" s="108">
        <v>40888.799999999996</v>
      </c>
      <c r="AV79" s="108">
        <v>67</v>
      </c>
      <c r="AW79" s="108">
        <v>50732.399999999994</v>
      </c>
      <c r="AX79" s="108">
        <v>84</v>
      </c>
      <c r="AY79" s="108">
        <v>63604.799999999996</v>
      </c>
      <c r="AZ79" s="108">
        <v>10</v>
      </c>
      <c r="BA79" s="108">
        <v>7571.9999999999991</v>
      </c>
      <c r="BB79" s="108">
        <v>7</v>
      </c>
      <c r="BC79" s="108">
        <v>5300.4</v>
      </c>
      <c r="BD79" s="108">
        <v>6</v>
      </c>
      <c r="BE79" s="108">
        <v>4543.2</v>
      </c>
      <c r="BF79" s="108">
        <v>10</v>
      </c>
      <c r="BG79" s="108">
        <v>7571.9999999999991</v>
      </c>
      <c r="BH79" s="108">
        <v>9</v>
      </c>
      <c r="BI79" s="108">
        <v>6814.7999999999993</v>
      </c>
      <c r="BJ79" s="108">
        <v>10</v>
      </c>
      <c r="BK79" s="108">
        <v>7571.9999999999991</v>
      </c>
      <c r="BL79" s="108">
        <v>8</v>
      </c>
      <c r="BM79" s="108">
        <v>6057.5999999999995</v>
      </c>
      <c r="BN79" s="108">
        <v>8</v>
      </c>
      <c r="BO79" s="108">
        <v>6057.5999999999995</v>
      </c>
      <c r="BP79" s="108">
        <v>8</v>
      </c>
      <c r="BQ79" s="108">
        <v>6057.5999999999995</v>
      </c>
      <c r="BR79" s="108">
        <v>8</v>
      </c>
      <c r="BS79" s="108">
        <v>6057.5999999999995</v>
      </c>
      <c r="BT79" s="108">
        <v>12</v>
      </c>
      <c r="BU79" s="108">
        <v>9086.4</v>
      </c>
      <c r="BV79" s="108">
        <v>12</v>
      </c>
      <c r="BW79" s="108">
        <v>9086.4</v>
      </c>
      <c r="BX79" s="108">
        <v>40</v>
      </c>
      <c r="BY79" s="108">
        <v>30287.999999999996</v>
      </c>
      <c r="BZ79" s="108">
        <v>37</v>
      </c>
      <c r="CA79" s="108">
        <v>28016.399999999998</v>
      </c>
      <c r="CB79" s="108">
        <v>54</v>
      </c>
      <c r="CC79" s="108">
        <v>40888.799999999996</v>
      </c>
      <c r="CD79" s="108">
        <v>61</v>
      </c>
      <c r="CE79" s="108">
        <v>46189.2</v>
      </c>
      <c r="CF79" s="108">
        <v>8</v>
      </c>
      <c r="CG79" s="108">
        <v>6057.5999999999995</v>
      </c>
      <c r="CH79" s="108">
        <v>8</v>
      </c>
      <c r="CI79" s="108">
        <v>6057.5999999999995</v>
      </c>
      <c r="CJ79" s="108">
        <v>6</v>
      </c>
      <c r="CK79" s="108">
        <v>4543.2</v>
      </c>
      <c r="CL79" s="108">
        <v>7</v>
      </c>
      <c r="CM79" s="108">
        <v>5300.4</v>
      </c>
      <c r="CN79" s="108">
        <v>12</v>
      </c>
      <c r="CO79" s="108">
        <v>9086.4</v>
      </c>
      <c r="CP79" s="108">
        <v>16</v>
      </c>
      <c r="CQ79" s="108">
        <v>12115.199999999999</v>
      </c>
      <c r="CR79" s="108">
        <v>9</v>
      </c>
      <c r="CS79" s="108">
        <v>6814.7999999999993</v>
      </c>
      <c r="CT79" s="108">
        <v>11</v>
      </c>
      <c r="CU79" s="108">
        <v>8329.1999999999989</v>
      </c>
    </row>
    <row r="80" spans="2:99" x14ac:dyDescent="0.2">
      <c r="C80" s="107" t="s">
        <v>245</v>
      </c>
      <c r="D80" s="108">
        <v>53</v>
      </c>
      <c r="E80" s="108">
        <v>42675.6</v>
      </c>
      <c r="F80" s="108">
        <v>71</v>
      </c>
      <c r="G80" s="108">
        <v>57169.2</v>
      </c>
      <c r="H80" s="108">
        <v>46</v>
      </c>
      <c r="I80" s="108">
        <v>37039.199999999997</v>
      </c>
      <c r="J80" s="108">
        <v>61</v>
      </c>
      <c r="K80" s="108">
        <v>49117.2</v>
      </c>
      <c r="L80" s="108">
        <v>67</v>
      </c>
      <c r="M80" s="108">
        <v>53948.399999999994</v>
      </c>
      <c r="N80" s="108">
        <v>56</v>
      </c>
      <c r="O80" s="108">
        <v>45091.199999999997</v>
      </c>
      <c r="P80" s="108">
        <v>52</v>
      </c>
      <c r="Q80" s="108">
        <v>41870.399999999994</v>
      </c>
      <c r="R80" s="108">
        <v>59</v>
      </c>
      <c r="S80" s="108">
        <v>47506.799999999996</v>
      </c>
      <c r="T80" s="108">
        <v>46</v>
      </c>
      <c r="U80" s="108">
        <v>37039.199999999997</v>
      </c>
      <c r="V80" s="108">
        <v>25</v>
      </c>
      <c r="W80" s="108">
        <v>20130</v>
      </c>
      <c r="X80" s="108">
        <v>28</v>
      </c>
      <c r="Y80" s="108">
        <v>22545.599999999999</v>
      </c>
      <c r="Z80" s="108">
        <v>31</v>
      </c>
      <c r="AA80" s="108">
        <v>24961.199999999997</v>
      </c>
      <c r="AB80" s="108">
        <v>23</v>
      </c>
      <c r="AC80" s="108">
        <v>18519.599999999999</v>
      </c>
      <c r="AD80" s="108">
        <v>20</v>
      </c>
      <c r="AE80" s="108">
        <v>16103.999999999998</v>
      </c>
      <c r="AF80" s="108">
        <v>24</v>
      </c>
      <c r="AG80" s="108">
        <v>19324.8</v>
      </c>
      <c r="AH80" s="108">
        <v>38</v>
      </c>
      <c r="AI80" s="108">
        <v>30597.599999999999</v>
      </c>
      <c r="AJ80" s="108">
        <v>37</v>
      </c>
      <c r="AK80" s="108">
        <v>29792.399999999998</v>
      </c>
      <c r="AL80" s="108">
        <v>40</v>
      </c>
      <c r="AM80" s="108">
        <v>32207.999999999996</v>
      </c>
      <c r="AN80" s="108">
        <v>61</v>
      </c>
      <c r="AO80" s="108">
        <v>49117.2</v>
      </c>
      <c r="AP80" s="108">
        <v>36</v>
      </c>
      <c r="AQ80" s="108">
        <v>28987.199999999997</v>
      </c>
      <c r="AR80" s="108">
        <v>62</v>
      </c>
      <c r="AS80" s="108">
        <v>49922.399999999994</v>
      </c>
      <c r="AT80" s="108">
        <v>54</v>
      </c>
      <c r="AU80" s="108">
        <v>43480.799999999996</v>
      </c>
      <c r="AV80" s="108">
        <v>73</v>
      </c>
      <c r="AW80" s="108">
        <v>58779.6</v>
      </c>
      <c r="AX80" s="108">
        <v>79</v>
      </c>
      <c r="AY80" s="108">
        <v>63610.799999999996</v>
      </c>
      <c r="AZ80" s="108">
        <v>10</v>
      </c>
      <c r="BA80" s="108">
        <v>8051.9999999999991</v>
      </c>
      <c r="BB80" s="108">
        <v>7</v>
      </c>
      <c r="BC80" s="108">
        <v>5636.4</v>
      </c>
      <c r="BD80" s="108">
        <v>7</v>
      </c>
      <c r="BE80" s="108">
        <v>5636.4</v>
      </c>
      <c r="BF80" s="108">
        <v>12</v>
      </c>
      <c r="BG80" s="108">
        <v>9662.4</v>
      </c>
      <c r="BH80" s="108">
        <v>10</v>
      </c>
      <c r="BI80" s="108">
        <v>8051.9999999999991</v>
      </c>
      <c r="BJ80" s="108">
        <v>9</v>
      </c>
      <c r="BK80" s="108">
        <v>7246.7999999999993</v>
      </c>
      <c r="BL80" s="108">
        <v>8</v>
      </c>
      <c r="BM80" s="108">
        <v>6441.5999999999995</v>
      </c>
      <c r="BN80" s="108">
        <v>9</v>
      </c>
      <c r="BO80" s="108">
        <v>7246.7999999999993</v>
      </c>
      <c r="BP80" s="108">
        <v>8</v>
      </c>
      <c r="BQ80" s="108">
        <v>6441.5999999999995</v>
      </c>
      <c r="BR80" s="108">
        <v>8</v>
      </c>
      <c r="BS80" s="108">
        <v>6441.5999999999995</v>
      </c>
      <c r="BT80" s="108">
        <v>11</v>
      </c>
      <c r="BU80" s="108">
        <v>8857.1999999999989</v>
      </c>
      <c r="BV80" s="108">
        <v>13</v>
      </c>
      <c r="BW80" s="108">
        <v>10467.599999999999</v>
      </c>
      <c r="BX80" s="108">
        <v>43</v>
      </c>
      <c r="BY80" s="108">
        <v>34623.599999999999</v>
      </c>
      <c r="BZ80" s="108">
        <v>39</v>
      </c>
      <c r="CA80" s="108">
        <v>31402.799999999996</v>
      </c>
      <c r="CB80" s="108">
        <v>59</v>
      </c>
      <c r="CC80" s="108">
        <v>47506.799999999996</v>
      </c>
      <c r="CD80" s="108">
        <v>52</v>
      </c>
      <c r="CE80" s="108">
        <v>41870.399999999994</v>
      </c>
      <c r="CF80" s="108">
        <v>7</v>
      </c>
      <c r="CG80" s="108">
        <v>5636.4</v>
      </c>
      <c r="CH80" s="108">
        <v>8</v>
      </c>
      <c r="CI80" s="108">
        <v>6441.5999999999995</v>
      </c>
      <c r="CJ80" s="108">
        <v>6</v>
      </c>
      <c r="CK80" s="108">
        <v>4831.2</v>
      </c>
      <c r="CL80" s="108">
        <v>7</v>
      </c>
      <c r="CM80" s="108">
        <v>5636.4</v>
      </c>
      <c r="CN80" s="108">
        <v>13</v>
      </c>
      <c r="CO80" s="108">
        <v>10467.599999999999</v>
      </c>
      <c r="CP80" s="108">
        <v>17</v>
      </c>
      <c r="CQ80" s="108">
        <v>13688.4</v>
      </c>
      <c r="CR80" s="108">
        <v>9</v>
      </c>
      <c r="CS80" s="108">
        <v>7246.7999999999993</v>
      </c>
      <c r="CT80" s="108">
        <v>12</v>
      </c>
      <c r="CU80" s="108">
        <v>9662.4</v>
      </c>
    </row>
    <row r="81" spans="2:99" x14ac:dyDescent="0.2">
      <c r="C81" s="107" t="s">
        <v>246</v>
      </c>
      <c r="D81" s="108">
        <v>59</v>
      </c>
      <c r="E81" s="108">
        <v>44462.400000000001</v>
      </c>
      <c r="F81" s="108">
        <v>60</v>
      </c>
      <c r="G81" s="108">
        <v>45216</v>
      </c>
      <c r="H81" s="108">
        <v>54</v>
      </c>
      <c r="I81" s="108">
        <v>40694.400000000001</v>
      </c>
      <c r="J81" s="108">
        <v>64</v>
      </c>
      <c r="K81" s="108">
        <v>48230.400000000001</v>
      </c>
      <c r="L81" s="108">
        <v>65</v>
      </c>
      <c r="M81" s="108">
        <v>48984</v>
      </c>
      <c r="N81" s="108">
        <v>54</v>
      </c>
      <c r="O81" s="108">
        <v>40694.400000000001</v>
      </c>
      <c r="P81" s="108">
        <v>60</v>
      </c>
      <c r="Q81" s="108">
        <v>45216</v>
      </c>
      <c r="R81" s="108">
        <v>56</v>
      </c>
      <c r="S81" s="108">
        <v>42201.599999999999</v>
      </c>
      <c r="T81" s="108">
        <v>46</v>
      </c>
      <c r="U81" s="108">
        <v>34665.599999999999</v>
      </c>
      <c r="V81" s="108">
        <v>25</v>
      </c>
      <c r="W81" s="108">
        <v>18840</v>
      </c>
      <c r="X81" s="108">
        <v>27</v>
      </c>
      <c r="Y81" s="108">
        <v>20347.2</v>
      </c>
      <c r="Z81" s="108">
        <v>33</v>
      </c>
      <c r="AA81" s="108">
        <v>24868.799999999999</v>
      </c>
      <c r="AB81" s="108">
        <v>27</v>
      </c>
      <c r="AC81" s="108">
        <v>20347.2</v>
      </c>
      <c r="AD81" s="108">
        <v>22</v>
      </c>
      <c r="AE81" s="108">
        <v>16579.2</v>
      </c>
      <c r="AF81" s="108">
        <v>23</v>
      </c>
      <c r="AG81" s="108">
        <v>17332.8</v>
      </c>
      <c r="AH81" s="108">
        <v>39</v>
      </c>
      <c r="AI81" s="108">
        <v>29390.400000000001</v>
      </c>
      <c r="AJ81" s="108">
        <v>41</v>
      </c>
      <c r="AK81" s="108">
        <v>30897.600000000002</v>
      </c>
      <c r="AL81" s="108">
        <v>40</v>
      </c>
      <c r="AM81" s="108">
        <v>30144</v>
      </c>
      <c r="AN81" s="108">
        <v>66</v>
      </c>
      <c r="AO81" s="108">
        <v>49737.599999999999</v>
      </c>
      <c r="AP81" s="108">
        <v>40</v>
      </c>
      <c r="AQ81" s="108">
        <v>30144</v>
      </c>
      <c r="AR81" s="108">
        <v>56</v>
      </c>
      <c r="AS81" s="108">
        <v>42201.599999999999</v>
      </c>
      <c r="AT81" s="108">
        <v>64</v>
      </c>
      <c r="AU81" s="108">
        <v>48230.400000000001</v>
      </c>
      <c r="AV81" s="108">
        <v>67</v>
      </c>
      <c r="AW81" s="108">
        <v>50491.200000000004</v>
      </c>
      <c r="AX81" s="108">
        <v>89</v>
      </c>
      <c r="AY81" s="108">
        <v>67070.400000000009</v>
      </c>
      <c r="AZ81" s="108">
        <v>8</v>
      </c>
      <c r="BA81" s="108">
        <v>6028.8</v>
      </c>
      <c r="BB81" s="108">
        <v>6</v>
      </c>
      <c r="BC81" s="108">
        <v>4521.6000000000004</v>
      </c>
      <c r="BD81" s="108">
        <v>6</v>
      </c>
      <c r="BE81" s="108">
        <v>4521.6000000000004</v>
      </c>
      <c r="BF81" s="108">
        <v>10</v>
      </c>
      <c r="BG81" s="108">
        <v>7536</v>
      </c>
      <c r="BH81" s="108">
        <v>9</v>
      </c>
      <c r="BI81" s="108">
        <v>6782.4000000000005</v>
      </c>
      <c r="BJ81" s="108">
        <v>10</v>
      </c>
      <c r="BK81" s="108">
        <v>7536</v>
      </c>
      <c r="BL81" s="108">
        <v>7</v>
      </c>
      <c r="BM81" s="108">
        <v>5275.2</v>
      </c>
      <c r="BN81" s="108">
        <v>10</v>
      </c>
      <c r="BO81" s="108">
        <v>7536</v>
      </c>
      <c r="BP81" s="108">
        <v>8</v>
      </c>
      <c r="BQ81" s="108">
        <v>6028.8</v>
      </c>
      <c r="BR81" s="108">
        <v>8</v>
      </c>
      <c r="BS81" s="108">
        <v>6028.8</v>
      </c>
      <c r="BT81" s="108">
        <v>12</v>
      </c>
      <c r="BU81" s="108">
        <v>9043.2000000000007</v>
      </c>
      <c r="BV81" s="108">
        <v>12</v>
      </c>
      <c r="BW81" s="108">
        <v>9043.2000000000007</v>
      </c>
      <c r="BX81" s="108">
        <v>46</v>
      </c>
      <c r="BY81" s="108">
        <v>34665.599999999999</v>
      </c>
      <c r="BZ81" s="108">
        <v>41</v>
      </c>
      <c r="CA81" s="108">
        <v>30897.600000000002</v>
      </c>
      <c r="CB81" s="108">
        <v>49</v>
      </c>
      <c r="CC81" s="108">
        <v>36926.400000000001</v>
      </c>
      <c r="CD81" s="108">
        <v>61</v>
      </c>
      <c r="CE81" s="108">
        <v>45969.599999999999</v>
      </c>
      <c r="CF81" s="108">
        <v>7</v>
      </c>
      <c r="CG81" s="108">
        <v>5275.2</v>
      </c>
      <c r="CH81" s="108">
        <v>8</v>
      </c>
      <c r="CI81" s="108">
        <v>6028.8</v>
      </c>
      <c r="CJ81" s="108">
        <v>5</v>
      </c>
      <c r="CK81" s="108">
        <v>3768</v>
      </c>
      <c r="CL81" s="108">
        <v>7</v>
      </c>
      <c r="CM81" s="108">
        <v>5275.2</v>
      </c>
      <c r="CN81" s="108">
        <v>12</v>
      </c>
      <c r="CO81" s="108">
        <v>9043.2000000000007</v>
      </c>
      <c r="CP81" s="108">
        <v>15</v>
      </c>
      <c r="CQ81" s="108">
        <v>11304</v>
      </c>
      <c r="CR81" s="108">
        <v>9</v>
      </c>
      <c r="CS81" s="108">
        <v>6782.4000000000005</v>
      </c>
      <c r="CT81" s="108">
        <v>12</v>
      </c>
      <c r="CU81" s="108">
        <v>9043.2000000000007</v>
      </c>
    </row>
    <row r="82" spans="2:99" x14ac:dyDescent="0.2">
      <c r="C82" s="107" t="s">
        <v>247</v>
      </c>
      <c r="D82" s="108">
        <v>64</v>
      </c>
      <c r="E82" s="108">
        <v>32563.199999999993</v>
      </c>
      <c r="F82" s="108">
        <v>63</v>
      </c>
      <c r="G82" s="108">
        <v>32054.399999999994</v>
      </c>
      <c r="H82" s="108">
        <v>57</v>
      </c>
      <c r="I82" s="108">
        <v>29001.599999999995</v>
      </c>
      <c r="J82" s="108">
        <v>69</v>
      </c>
      <c r="K82" s="108">
        <v>35107.19999999999</v>
      </c>
      <c r="L82" s="108">
        <v>68</v>
      </c>
      <c r="M82" s="108">
        <v>34598.399999999994</v>
      </c>
      <c r="N82" s="108">
        <v>55</v>
      </c>
      <c r="O82" s="108">
        <v>27983.999999999993</v>
      </c>
      <c r="P82" s="108">
        <v>56</v>
      </c>
      <c r="Q82" s="108">
        <v>28492.799999999996</v>
      </c>
      <c r="R82" s="108">
        <v>65</v>
      </c>
      <c r="S82" s="108">
        <v>33071.999999999993</v>
      </c>
      <c r="T82" s="108">
        <v>50</v>
      </c>
      <c r="U82" s="108">
        <v>25439.999999999996</v>
      </c>
      <c r="V82" s="108">
        <v>25</v>
      </c>
      <c r="W82" s="108">
        <v>12719.999999999998</v>
      </c>
      <c r="X82" s="108">
        <v>32</v>
      </c>
      <c r="Y82" s="108">
        <v>16281.599999999997</v>
      </c>
      <c r="Z82" s="108">
        <v>31</v>
      </c>
      <c r="AA82" s="108">
        <v>15772.799999999997</v>
      </c>
      <c r="AB82" s="108">
        <v>23</v>
      </c>
      <c r="AC82" s="108">
        <v>11702.399999999998</v>
      </c>
      <c r="AD82" s="108">
        <v>22</v>
      </c>
      <c r="AE82" s="108">
        <v>11193.599999999999</v>
      </c>
      <c r="AF82" s="108">
        <v>27</v>
      </c>
      <c r="AG82" s="108">
        <v>13737.599999999997</v>
      </c>
      <c r="AH82" s="108">
        <v>38</v>
      </c>
      <c r="AI82" s="108">
        <v>19334.399999999998</v>
      </c>
      <c r="AJ82" s="108">
        <v>41</v>
      </c>
      <c r="AK82" s="108">
        <v>20860.799999999996</v>
      </c>
      <c r="AL82" s="108">
        <v>44</v>
      </c>
      <c r="AM82" s="108">
        <v>22387.199999999997</v>
      </c>
      <c r="AN82" s="108">
        <v>67</v>
      </c>
      <c r="AO82" s="108">
        <v>34089.599999999991</v>
      </c>
      <c r="AP82" s="108">
        <v>42</v>
      </c>
      <c r="AQ82" s="108">
        <v>21369.599999999995</v>
      </c>
      <c r="AR82" s="108">
        <v>64</v>
      </c>
      <c r="AS82" s="108">
        <v>32563.199999999993</v>
      </c>
      <c r="AT82" s="108">
        <v>67</v>
      </c>
      <c r="AU82" s="108">
        <v>34089.599999999991</v>
      </c>
      <c r="AV82" s="108">
        <v>67</v>
      </c>
      <c r="AW82" s="108">
        <v>34089.599999999991</v>
      </c>
      <c r="AX82" s="108">
        <v>83</v>
      </c>
      <c r="AY82" s="108">
        <v>42230.399999999994</v>
      </c>
      <c r="AZ82" s="108">
        <v>10</v>
      </c>
      <c r="BA82" s="108">
        <v>5087.9999999999991</v>
      </c>
      <c r="BB82" s="108">
        <v>6</v>
      </c>
      <c r="BC82" s="108">
        <v>3052.7999999999993</v>
      </c>
      <c r="BD82" s="108">
        <v>6</v>
      </c>
      <c r="BE82" s="108">
        <v>3052.7999999999993</v>
      </c>
      <c r="BF82" s="108">
        <v>10</v>
      </c>
      <c r="BG82" s="108">
        <v>5087.9999999999991</v>
      </c>
      <c r="BH82" s="108">
        <v>9</v>
      </c>
      <c r="BI82" s="108">
        <v>4579.1999999999989</v>
      </c>
      <c r="BJ82" s="108">
        <v>10</v>
      </c>
      <c r="BK82" s="108">
        <v>5087.9999999999991</v>
      </c>
      <c r="BL82" s="108">
        <v>8</v>
      </c>
      <c r="BM82" s="108">
        <v>4070.3999999999992</v>
      </c>
      <c r="BN82" s="108">
        <v>9</v>
      </c>
      <c r="BO82" s="108">
        <v>4579.1999999999989</v>
      </c>
      <c r="BP82" s="108">
        <v>8</v>
      </c>
      <c r="BQ82" s="108">
        <v>4070.3999999999992</v>
      </c>
      <c r="BR82" s="108">
        <v>8</v>
      </c>
      <c r="BS82" s="108">
        <v>4070.3999999999992</v>
      </c>
      <c r="BT82" s="108">
        <v>12</v>
      </c>
      <c r="BU82" s="108">
        <v>6105.5999999999985</v>
      </c>
      <c r="BV82" s="108">
        <v>13</v>
      </c>
      <c r="BW82" s="108">
        <v>6614.3999999999987</v>
      </c>
      <c r="BX82" s="108">
        <v>44</v>
      </c>
      <c r="BY82" s="108">
        <v>22387.199999999997</v>
      </c>
      <c r="BZ82" s="108">
        <v>41</v>
      </c>
      <c r="CA82" s="108">
        <v>20860.799999999996</v>
      </c>
      <c r="CB82" s="108">
        <v>58</v>
      </c>
      <c r="CC82" s="108">
        <v>29510.399999999994</v>
      </c>
      <c r="CD82" s="108">
        <v>55</v>
      </c>
      <c r="CE82" s="108">
        <v>27983.999999999993</v>
      </c>
      <c r="CF82" s="108">
        <v>8</v>
      </c>
      <c r="CG82" s="108">
        <v>4070.3999999999992</v>
      </c>
      <c r="CH82" s="108">
        <v>9</v>
      </c>
      <c r="CI82" s="108">
        <v>4579.1999999999989</v>
      </c>
      <c r="CJ82" s="108">
        <v>6</v>
      </c>
      <c r="CK82" s="108">
        <v>3052.7999999999993</v>
      </c>
      <c r="CL82" s="108">
        <v>6</v>
      </c>
      <c r="CM82" s="108">
        <v>3052.7999999999993</v>
      </c>
      <c r="CN82" s="108">
        <v>12</v>
      </c>
      <c r="CO82" s="108">
        <v>6105.5999999999985</v>
      </c>
      <c r="CP82" s="108">
        <v>16</v>
      </c>
      <c r="CQ82" s="108">
        <v>8140.7999999999984</v>
      </c>
      <c r="CR82" s="108">
        <v>9</v>
      </c>
      <c r="CS82" s="108">
        <v>4579.1999999999989</v>
      </c>
      <c r="CT82" s="108">
        <v>12</v>
      </c>
      <c r="CU82" s="108">
        <v>6105.5999999999985</v>
      </c>
    </row>
    <row r="83" spans="2:99" x14ac:dyDescent="0.2">
      <c r="C83" s="107" t="s">
        <v>248</v>
      </c>
      <c r="D83" s="108">
        <v>61</v>
      </c>
      <c r="E83" s="108">
        <v>52484.4</v>
      </c>
      <c r="F83" s="108">
        <v>61</v>
      </c>
      <c r="G83" s="108">
        <v>52484.4</v>
      </c>
      <c r="H83" s="108">
        <v>50</v>
      </c>
      <c r="I83" s="108">
        <v>43020</v>
      </c>
      <c r="J83" s="108">
        <v>60</v>
      </c>
      <c r="K83" s="108">
        <v>51624</v>
      </c>
      <c r="L83" s="108">
        <v>69</v>
      </c>
      <c r="M83" s="108">
        <v>59367.6</v>
      </c>
      <c r="N83" s="108">
        <v>53</v>
      </c>
      <c r="O83" s="108">
        <v>45601.2</v>
      </c>
      <c r="P83" s="108">
        <v>55</v>
      </c>
      <c r="Q83" s="108">
        <v>47322</v>
      </c>
      <c r="R83" s="108">
        <v>60</v>
      </c>
      <c r="S83" s="108">
        <v>51624</v>
      </c>
      <c r="T83" s="108">
        <v>40</v>
      </c>
      <c r="U83" s="108">
        <v>34416</v>
      </c>
      <c r="V83" s="108">
        <v>24</v>
      </c>
      <c r="W83" s="108">
        <v>20649.599999999999</v>
      </c>
      <c r="X83" s="108">
        <v>25</v>
      </c>
      <c r="Y83" s="108">
        <v>21510</v>
      </c>
      <c r="Z83" s="108">
        <v>29</v>
      </c>
      <c r="AA83" s="108">
        <v>24951.599999999999</v>
      </c>
      <c r="AB83" s="108">
        <v>23</v>
      </c>
      <c r="AC83" s="108">
        <v>19789.2</v>
      </c>
      <c r="AD83" s="108">
        <v>22</v>
      </c>
      <c r="AE83" s="108">
        <v>18928.8</v>
      </c>
      <c r="AF83" s="108">
        <v>22</v>
      </c>
      <c r="AG83" s="108">
        <v>18928.8</v>
      </c>
      <c r="AH83" s="108">
        <v>39</v>
      </c>
      <c r="AI83" s="108">
        <v>33555.599999999999</v>
      </c>
      <c r="AJ83" s="108">
        <v>41</v>
      </c>
      <c r="AK83" s="108">
        <v>35276.400000000001</v>
      </c>
      <c r="AL83" s="108">
        <v>36</v>
      </c>
      <c r="AM83" s="108">
        <v>30974.399999999998</v>
      </c>
      <c r="AN83" s="108">
        <v>65</v>
      </c>
      <c r="AO83" s="108">
        <v>55926</v>
      </c>
      <c r="AP83" s="108">
        <v>38</v>
      </c>
      <c r="AQ83" s="108">
        <v>32695.200000000001</v>
      </c>
      <c r="AR83" s="108">
        <v>57</v>
      </c>
      <c r="AS83" s="108">
        <v>49042.799999999996</v>
      </c>
      <c r="AT83" s="108">
        <v>56</v>
      </c>
      <c r="AU83" s="108">
        <v>48182.400000000001</v>
      </c>
      <c r="AV83" s="108">
        <v>73</v>
      </c>
      <c r="AW83" s="108">
        <v>62809.2</v>
      </c>
      <c r="AX83" s="108">
        <v>83</v>
      </c>
      <c r="AY83" s="108">
        <v>71413.2</v>
      </c>
      <c r="AZ83" s="108">
        <v>8</v>
      </c>
      <c r="BA83" s="108">
        <v>6883.2</v>
      </c>
      <c r="BB83" s="108">
        <v>6</v>
      </c>
      <c r="BC83" s="108">
        <v>5162.3999999999996</v>
      </c>
      <c r="BD83" s="108">
        <v>6</v>
      </c>
      <c r="BE83" s="108">
        <v>5162.3999999999996</v>
      </c>
      <c r="BF83" s="108">
        <v>11</v>
      </c>
      <c r="BG83" s="108">
        <v>9464.4</v>
      </c>
      <c r="BH83" s="108">
        <v>9</v>
      </c>
      <c r="BI83" s="108">
        <v>7743.5999999999995</v>
      </c>
      <c r="BJ83" s="108">
        <v>8</v>
      </c>
      <c r="BK83" s="108">
        <v>6883.2</v>
      </c>
      <c r="BL83" s="108">
        <v>7</v>
      </c>
      <c r="BM83" s="108">
        <v>6022.8</v>
      </c>
      <c r="BN83" s="108">
        <v>9</v>
      </c>
      <c r="BO83" s="108">
        <v>7743.5999999999995</v>
      </c>
      <c r="BP83" s="108">
        <v>7</v>
      </c>
      <c r="BQ83" s="108">
        <v>6022.8</v>
      </c>
      <c r="BR83" s="108">
        <v>8</v>
      </c>
      <c r="BS83" s="108">
        <v>6883.2</v>
      </c>
      <c r="BT83" s="108">
        <v>12</v>
      </c>
      <c r="BU83" s="108">
        <v>10324.799999999999</v>
      </c>
      <c r="BV83" s="108">
        <v>11</v>
      </c>
      <c r="BW83" s="108">
        <v>9464.4</v>
      </c>
      <c r="BX83" s="108">
        <v>38</v>
      </c>
      <c r="BY83" s="108">
        <v>32695.200000000001</v>
      </c>
      <c r="BZ83" s="108">
        <v>43</v>
      </c>
      <c r="CA83" s="108">
        <v>36997.199999999997</v>
      </c>
      <c r="CB83" s="108">
        <v>50</v>
      </c>
      <c r="CC83" s="108">
        <v>43020</v>
      </c>
      <c r="CD83" s="108">
        <v>57</v>
      </c>
      <c r="CE83" s="108">
        <v>49042.799999999996</v>
      </c>
      <c r="CF83" s="108">
        <v>7</v>
      </c>
      <c r="CG83" s="108">
        <v>6022.8</v>
      </c>
      <c r="CH83" s="108">
        <v>8</v>
      </c>
      <c r="CI83" s="108">
        <v>6883.2</v>
      </c>
      <c r="CJ83" s="108">
        <v>6</v>
      </c>
      <c r="CK83" s="108">
        <v>5162.3999999999996</v>
      </c>
      <c r="CL83" s="108">
        <v>7</v>
      </c>
      <c r="CM83" s="108">
        <v>6022.8</v>
      </c>
      <c r="CN83" s="108">
        <v>12</v>
      </c>
      <c r="CO83" s="108">
        <v>10324.799999999999</v>
      </c>
      <c r="CP83" s="108">
        <v>15</v>
      </c>
      <c r="CQ83" s="108">
        <v>12906</v>
      </c>
      <c r="CR83" s="108">
        <v>9</v>
      </c>
      <c r="CS83" s="108">
        <v>7743.5999999999995</v>
      </c>
      <c r="CT83" s="108">
        <v>11</v>
      </c>
      <c r="CU83" s="108">
        <v>9464.4</v>
      </c>
    </row>
    <row r="84" spans="2:99" x14ac:dyDescent="0.2">
      <c r="C84" s="107" t="s">
        <v>249</v>
      </c>
      <c r="D84" s="108">
        <v>61</v>
      </c>
      <c r="E84" s="108">
        <v>47653.2</v>
      </c>
      <c r="F84" s="108">
        <v>65</v>
      </c>
      <c r="G84" s="108">
        <v>50777.999999999993</v>
      </c>
      <c r="H84" s="108">
        <v>47</v>
      </c>
      <c r="I84" s="108">
        <v>36716.399999999994</v>
      </c>
      <c r="J84" s="108">
        <v>67</v>
      </c>
      <c r="K84" s="108">
        <v>52340.399999999994</v>
      </c>
      <c r="L84" s="108">
        <v>71</v>
      </c>
      <c r="M84" s="108">
        <v>55465.2</v>
      </c>
      <c r="N84" s="108">
        <v>60</v>
      </c>
      <c r="O84" s="108">
        <v>46871.999999999993</v>
      </c>
      <c r="P84" s="108">
        <v>53</v>
      </c>
      <c r="Q84" s="108">
        <v>41403.599999999999</v>
      </c>
      <c r="R84" s="108">
        <v>55</v>
      </c>
      <c r="S84" s="108">
        <v>42965.999999999993</v>
      </c>
      <c r="T84" s="108">
        <v>45</v>
      </c>
      <c r="U84" s="108">
        <v>35154</v>
      </c>
      <c r="V84" s="108">
        <v>25</v>
      </c>
      <c r="W84" s="108">
        <v>19530</v>
      </c>
      <c r="X84" s="108">
        <v>26</v>
      </c>
      <c r="Y84" s="108">
        <v>20311.199999999997</v>
      </c>
      <c r="Z84" s="108">
        <v>32</v>
      </c>
      <c r="AA84" s="108">
        <v>24998.399999999998</v>
      </c>
      <c r="AB84" s="108">
        <v>26</v>
      </c>
      <c r="AC84" s="108">
        <v>20311.199999999997</v>
      </c>
      <c r="AD84" s="108">
        <v>21</v>
      </c>
      <c r="AE84" s="108">
        <v>16405.199999999997</v>
      </c>
      <c r="AF84" s="108">
        <v>22</v>
      </c>
      <c r="AG84" s="108">
        <v>17186.399999999998</v>
      </c>
      <c r="AH84" s="108">
        <v>33</v>
      </c>
      <c r="AI84" s="108">
        <v>25779.599999999999</v>
      </c>
      <c r="AJ84" s="108">
        <v>42</v>
      </c>
      <c r="AK84" s="108">
        <v>32810.399999999994</v>
      </c>
      <c r="AL84" s="108">
        <v>40</v>
      </c>
      <c r="AM84" s="108">
        <v>31247.999999999996</v>
      </c>
      <c r="AN84" s="108">
        <v>66</v>
      </c>
      <c r="AO84" s="108">
        <v>51559.199999999997</v>
      </c>
      <c r="AP84" s="108">
        <v>36</v>
      </c>
      <c r="AQ84" s="108">
        <v>28123.199999999997</v>
      </c>
      <c r="AR84" s="108">
        <v>57</v>
      </c>
      <c r="AS84" s="108">
        <v>44528.399999999994</v>
      </c>
      <c r="AT84" s="108">
        <v>61</v>
      </c>
      <c r="AU84" s="108">
        <v>47653.2</v>
      </c>
      <c r="AV84" s="108">
        <v>68</v>
      </c>
      <c r="AW84" s="108">
        <v>53121.599999999999</v>
      </c>
      <c r="AX84" s="108">
        <v>88</v>
      </c>
      <c r="AY84" s="108">
        <v>68745.599999999991</v>
      </c>
      <c r="AZ84" s="108">
        <v>9</v>
      </c>
      <c r="BA84" s="108">
        <v>7030.7999999999993</v>
      </c>
      <c r="BB84" s="108">
        <v>7</v>
      </c>
      <c r="BC84" s="108">
        <v>5468.4</v>
      </c>
      <c r="BD84" s="108">
        <v>6</v>
      </c>
      <c r="BE84" s="108">
        <v>4687.2</v>
      </c>
      <c r="BF84" s="108">
        <v>11</v>
      </c>
      <c r="BG84" s="108">
        <v>8593.1999999999989</v>
      </c>
      <c r="BH84" s="108">
        <v>10</v>
      </c>
      <c r="BI84" s="108">
        <v>7811.9999999999991</v>
      </c>
      <c r="BJ84" s="108">
        <v>9</v>
      </c>
      <c r="BK84" s="108">
        <v>7030.7999999999993</v>
      </c>
      <c r="BL84" s="108">
        <v>7</v>
      </c>
      <c r="BM84" s="108">
        <v>5468.4</v>
      </c>
      <c r="BN84" s="108">
        <v>10</v>
      </c>
      <c r="BO84" s="108">
        <v>7811.9999999999991</v>
      </c>
      <c r="BP84" s="108">
        <v>7</v>
      </c>
      <c r="BQ84" s="108">
        <v>5468.4</v>
      </c>
      <c r="BR84" s="108">
        <v>8</v>
      </c>
      <c r="BS84" s="108">
        <v>6249.5999999999995</v>
      </c>
      <c r="BT84" s="108">
        <v>11</v>
      </c>
      <c r="BU84" s="108">
        <v>8593.1999999999989</v>
      </c>
      <c r="BV84" s="108">
        <v>11</v>
      </c>
      <c r="BW84" s="108">
        <v>8593.1999999999989</v>
      </c>
      <c r="BX84" s="108">
        <v>42</v>
      </c>
      <c r="BY84" s="108">
        <v>32810.399999999994</v>
      </c>
      <c r="BZ84" s="108">
        <v>39</v>
      </c>
      <c r="CA84" s="108">
        <v>30466.799999999996</v>
      </c>
      <c r="CB84" s="108">
        <v>56</v>
      </c>
      <c r="CC84" s="108">
        <v>43747.199999999997</v>
      </c>
      <c r="CD84" s="108">
        <v>54</v>
      </c>
      <c r="CE84" s="108">
        <v>42184.799999999996</v>
      </c>
      <c r="CF84" s="108">
        <v>7</v>
      </c>
      <c r="CG84" s="108">
        <v>5468.4</v>
      </c>
      <c r="CH84" s="108">
        <v>8</v>
      </c>
      <c r="CI84" s="108">
        <v>6249.5999999999995</v>
      </c>
      <c r="CJ84" s="108">
        <v>6</v>
      </c>
      <c r="CK84" s="108">
        <v>4687.2</v>
      </c>
      <c r="CL84" s="108">
        <v>7</v>
      </c>
      <c r="CM84" s="108">
        <v>5468.4</v>
      </c>
      <c r="CN84" s="108">
        <v>11</v>
      </c>
      <c r="CO84" s="108">
        <v>8593.1999999999989</v>
      </c>
      <c r="CP84" s="108">
        <v>17</v>
      </c>
      <c r="CQ84" s="108">
        <v>13280.4</v>
      </c>
      <c r="CR84" s="108">
        <v>8</v>
      </c>
      <c r="CS84" s="108">
        <v>6249.5999999999995</v>
      </c>
      <c r="CT84" s="108">
        <v>11</v>
      </c>
      <c r="CU84" s="108">
        <v>8593.1999999999989</v>
      </c>
    </row>
    <row r="85" spans="2:99" x14ac:dyDescent="0.2">
      <c r="C85" s="107" t="s">
        <v>250</v>
      </c>
      <c r="D85" s="108">
        <v>61</v>
      </c>
      <c r="E85" s="108">
        <v>9150</v>
      </c>
      <c r="F85" s="108">
        <v>82</v>
      </c>
      <c r="G85" s="108">
        <v>12300</v>
      </c>
      <c r="H85" s="108">
        <v>56</v>
      </c>
      <c r="I85" s="108">
        <v>8400</v>
      </c>
      <c r="J85" s="108">
        <v>71</v>
      </c>
      <c r="K85" s="108">
        <v>10650</v>
      </c>
      <c r="L85" s="108">
        <v>77</v>
      </c>
      <c r="M85" s="108">
        <v>11550</v>
      </c>
      <c r="N85" s="108">
        <v>68</v>
      </c>
      <c r="O85" s="108">
        <v>10200</v>
      </c>
      <c r="P85" s="108">
        <v>62</v>
      </c>
      <c r="Q85" s="108">
        <v>9300</v>
      </c>
      <c r="R85" s="108">
        <v>70</v>
      </c>
      <c r="S85" s="108">
        <v>10500</v>
      </c>
      <c r="T85" s="108">
        <v>50</v>
      </c>
      <c r="U85" s="108">
        <v>7500</v>
      </c>
      <c r="V85" s="108">
        <v>28</v>
      </c>
      <c r="W85" s="108">
        <v>4200</v>
      </c>
      <c r="X85" s="108">
        <v>32</v>
      </c>
      <c r="Y85" s="108">
        <v>4800</v>
      </c>
      <c r="Z85" s="108">
        <v>37</v>
      </c>
      <c r="AA85" s="108">
        <v>5550</v>
      </c>
      <c r="AB85" s="108">
        <v>26</v>
      </c>
      <c r="AC85" s="108">
        <v>3900</v>
      </c>
      <c r="AD85" s="108">
        <v>26</v>
      </c>
      <c r="AE85" s="108">
        <v>3900</v>
      </c>
      <c r="AF85" s="108">
        <v>28</v>
      </c>
      <c r="AG85" s="108">
        <v>4200</v>
      </c>
      <c r="AH85" s="108">
        <v>43</v>
      </c>
      <c r="AI85" s="108">
        <v>6450</v>
      </c>
      <c r="AJ85" s="108">
        <v>53</v>
      </c>
      <c r="AK85" s="108">
        <v>7950</v>
      </c>
      <c r="AL85" s="108">
        <v>46</v>
      </c>
      <c r="AM85" s="108">
        <v>6900</v>
      </c>
      <c r="AN85" s="108">
        <v>75</v>
      </c>
      <c r="AO85" s="108">
        <v>11250</v>
      </c>
      <c r="AP85" s="108">
        <v>45</v>
      </c>
      <c r="AQ85" s="108">
        <v>6750</v>
      </c>
      <c r="AR85" s="108">
        <v>68</v>
      </c>
      <c r="AS85" s="108">
        <v>10200</v>
      </c>
      <c r="AT85" s="108">
        <v>66</v>
      </c>
      <c r="AU85" s="108">
        <v>9900</v>
      </c>
      <c r="AV85" s="108">
        <v>85</v>
      </c>
      <c r="AW85" s="108">
        <v>12750</v>
      </c>
      <c r="AX85" s="108">
        <v>95</v>
      </c>
      <c r="AY85" s="108">
        <v>14250</v>
      </c>
      <c r="AZ85" s="108">
        <v>11</v>
      </c>
      <c r="BA85" s="108">
        <v>1650</v>
      </c>
      <c r="BB85" s="108">
        <v>7</v>
      </c>
      <c r="BC85" s="108">
        <v>1050</v>
      </c>
      <c r="BD85" s="108">
        <v>6</v>
      </c>
      <c r="BE85" s="108">
        <v>900</v>
      </c>
      <c r="BF85" s="108">
        <v>11</v>
      </c>
      <c r="BG85" s="108">
        <v>1650</v>
      </c>
      <c r="BH85" s="108">
        <v>10</v>
      </c>
      <c r="BI85" s="108">
        <v>1500</v>
      </c>
      <c r="BJ85" s="108">
        <v>11</v>
      </c>
      <c r="BK85" s="108">
        <v>1650</v>
      </c>
      <c r="BL85" s="108">
        <v>7</v>
      </c>
      <c r="BM85" s="108">
        <v>1050</v>
      </c>
      <c r="BN85" s="108">
        <v>9</v>
      </c>
      <c r="BO85" s="108">
        <v>1350</v>
      </c>
      <c r="BP85" s="108">
        <v>8</v>
      </c>
      <c r="BQ85" s="108">
        <v>1200</v>
      </c>
      <c r="BR85" s="108">
        <v>9</v>
      </c>
      <c r="BS85" s="108">
        <v>1350</v>
      </c>
      <c r="BT85" s="108">
        <v>13</v>
      </c>
      <c r="BU85" s="108">
        <v>1950</v>
      </c>
      <c r="BV85" s="108">
        <v>14</v>
      </c>
      <c r="BW85" s="108">
        <v>2100</v>
      </c>
      <c r="BX85" s="108">
        <v>50</v>
      </c>
      <c r="BY85" s="108">
        <v>7500</v>
      </c>
      <c r="BZ85" s="108">
        <v>45</v>
      </c>
      <c r="CA85" s="108">
        <v>6750</v>
      </c>
      <c r="CB85" s="108">
        <v>59</v>
      </c>
      <c r="CC85" s="108">
        <v>8850</v>
      </c>
      <c r="CD85" s="108">
        <v>60</v>
      </c>
      <c r="CE85" s="108">
        <v>9000</v>
      </c>
      <c r="CF85" s="108">
        <v>8</v>
      </c>
      <c r="CG85" s="108">
        <v>1200</v>
      </c>
      <c r="CH85" s="108">
        <v>9</v>
      </c>
      <c r="CI85" s="108">
        <v>1350</v>
      </c>
      <c r="CJ85" s="108">
        <v>7</v>
      </c>
      <c r="CK85" s="108">
        <v>1050</v>
      </c>
      <c r="CL85" s="108">
        <v>7</v>
      </c>
      <c r="CM85" s="108">
        <v>1050</v>
      </c>
      <c r="CN85" s="108">
        <v>14</v>
      </c>
      <c r="CO85" s="108">
        <v>2100</v>
      </c>
      <c r="CP85" s="108">
        <v>18</v>
      </c>
      <c r="CQ85" s="108">
        <v>2700</v>
      </c>
      <c r="CR85" s="108">
        <v>8</v>
      </c>
      <c r="CS85" s="108">
        <v>1200</v>
      </c>
      <c r="CT85" s="108">
        <v>11</v>
      </c>
      <c r="CU85" s="108">
        <v>1650</v>
      </c>
    </row>
    <row r="86" spans="2:99" x14ac:dyDescent="0.2">
      <c r="C86" s="107" t="s">
        <v>251</v>
      </c>
      <c r="D86" s="108">
        <v>62</v>
      </c>
      <c r="E86" s="108">
        <v>33480</v>
      </c>
      <c r="F86" s="108">
        <v>69</v>
      </c>
      <c r="G86" s="108">
        <v>37260</v>
      </c>
      <c r="H86" s="108">
        <v>52</v>
      </c>
      <c r="I86" s="108">
        <v>28080</v>
      </c>
      <c r="J86" s="108">
        <v>66</v>
      </c>
      <c r="K86" s="108">
        <v>35640</v>
      </c>
      <c r="L86" s="108">
        <v>69</v>
      </c>
      <c r="M86" s="108">
        <v>37260</v>
      </c>
      <c r="N86" s="108">
        <v>57</v>
      </c>
      <c r="O86" s="108">
        <v>30780</v>
      </c>
      <c r="P86" s="108">
        <v>56</v>
      </c>
      <c r="Q86" s="108">
        <v>30240</v>
      </c>
      <c r="R86" s="108">
        <v>59</v>
      </c>
      <c r="S86" s="108">
        <v>31860</v>
      </c>
      <c r="T86" s="108">
        <v>50</v>
      </c>
      <c r="U86" s="108">
        <v>27000</v>
      </c>
      <c r="V86" s="108">
        <v>23</v>
      </c>
      <c r="W86" s="108">
        <v>12420</v>
      </c>
      <c r="X86" s="108">
        <v>27</v>
      </c>
      <c r="Y86" s="108">
        <v>14580</v>
      </c>
      <c r="Z86" s="108">
        <v>31</v>
      </c>
      <c r="AA86" s="108">
        <v>16740</v>
      </c>
      <c r="AB86" s="108">
        <v>25</v>
      </c>
      <c r="AC86" s="108">
        <v>13500</v>
      </c>
      <c r="AD86" s="108">
        <v>23</v>
      </c>
      <c r="AE86" s="108">
        <v>12420</v>
      </c>
      <c r="AF86" s="108">
        <v>24</v>
      </c>
      <c r="AG86" s="108">
        <v>12960</v>
      </c>
      <c r="AH86" s="108">
        <v>41</v>
      </c>
      <c r="AI86" s="108">
        <v>22140</v>
      </c>
      <c r="AJ86" s="108">
        <v>44</v>
      </c>
      <c r="AK86" s="108">
        <v>23760</v>
      </c>
      <c r="AL86" s="108">
        <v>41</v>
      </c>
      <c r="AM86" s="108">
        <v>22140</v>
      </c>
      <c r="AN86" s="108">
        <v>66</v>
      </c>
      <c r="AO86" s="108">
        <v>35640</v>
      </c>
      <c r="AP86" s="108">
        <v>43</v>
      </c>
      <c r="AQ86" s="108">
        <v>23220</v>
      </c>
      <c r="AR86" s="108">
        <v>60</v>
      </c>
      <c r="AS86" s="108">
        <v>32400</v>
      </c>
      <c r="AT86" s="108">
        <v>70</v>
      </c>
      <c r="AU86" s="108">
        <v>37800</v>
      </c>
      <c r="AV86" s="108">
        <v>70</v>
      </c>
      <c r="AW86" s="108">
        <v>37800</v>
      </c>
      <c r="AX86" s="108">
        <v>80</v>
      </c>
      <c r="AY86" s="108">
        <v>43200</v>
      </c>
      <c r="AZ86" s="108">
        <v>9</v>
      </c>
      <c r="BA86" s="108">
        <v>4860</v>
      </c>
      <c r="BB86" s="108">
        <v>7</v>
      </c>
      <c r="BC86" s="108">
        <v>3780</v>
      </c>
      <c r="BD86" s="108">
        <v>6</v>
      </c>
      <c r="BE86" s="108">
        <v>3240</v>
      </c>
      <c r="BF86" s="108">
        <v>11</v>
      </c>
      <c r="BG86" s="108">
        <v>5940</v>
      </c>
      <c r="BH86" s="108">
        <v>10</v>
      </c>
      <c r="BI86" s="108">
        <v>5400</v>
      </c>
      <c r="BJ86" s="108">
        <v>10</v>
      </c>
      <c r="BK86" s="108">
        <v>5400</v>
      </c>
      <c r="BL86" s="108">
        <v>8</v>
      </c>
      <c r="BM86" s="108">
        <v>4320</v>
      </c>
      <c r="BN86" s="108">
        <v>9</v>
      </c>
      <c r="BO86" s="108">
        <v>4860</v>
      </c>
      <c r="BP86" s="108">
        <v>8</v>
      </c>
      <c r="BQ86" s="108">
        <v>4320</v>
      </c>
      <c r="BR86" s="108">
        <v>8</v>
      </c>
      <c r="BS86" s="108">
        <v>4320</v>
      </c>
      <c r="BT86" s="108">
        <v>11</v>
      </c>
      <c r="BU86" s="108">
        <v>5940</v>
      </c>
      <c r="BV86" s="108">
        <v>13</v>
      </c>
      <c r="BW86" s="108">
        <v>7020</v>
      </c>
      <c r="BX86" s="108">
        <v>42</v>
      </c>
      <c r="BY86" s="108">
        <v>22680</v>
      </c>
      <c r="BZ86" s="108">
        <v>46</v>
      </c>
      <c r="CA86" s="108">
        <v>24840</v>
      </c>
      <c r="CB86" s="108">
        <v>52</v>
      </c>
      <c r="CC86" s="108">
        <v>28080</v>
      </c>
      <c r="CD86" s="108">
        <v>56</v>
      </c>
      <c r="CE86" s="108">
        <v>30240</v>
      </c>
      <c r="CF86" s="108">
        <v>7</v>
      </c>
      <c r="CG86" s="108">
        <v>3780</v>
      </c>
      <c r="CH86" s="108">
        <v>9</v>
      </c>
      <c r="CI86" s="108">
        <v>4860</v>
      </c>
      <c r="CJ86" s="108">
        <v>6</v>
      </c>
      <c r="CK86" s="108">
        <v>3240</v>
      </c>
      <c r="CL86" s="108">
        <v>7</v>
      </c>
      <c r="CM86" s="108">
        <v>3780</v>
      </c>
      <c r="CN86" s="108">
        <v>13</v>
      </c>
      <c r="CO86" s="108">
        <v>7020</v>
      </c>
      <c r="CP86" s="108">
        <v>17</v>
      </c>
      <c r="CQ86" s="108">
        <v>9180</v>
      </c>
      <c r="CR86" s="108">
        <v>9</v>
      </c>
      <c r="CS86" s="108">
        <v>4860</v>
      </c>
      <c r="CT86" s="108">
        <v>12</v>
      </c>
      <c r="CU86" s="108">
        <v>6480</v>
      </c>
    </row>
    <row r="87" spans="2:99" x14ac:dyDescent="0.2">
      <c r="B87" s="107" t="s">
        <v>131</v>
      </c>
      <c r="C87" s="107" t="s">
        <v>252</v>
      </c>
      <c r="D87" s="108">
        <v>12</v>
      </c>
      <c r="E87" s="108">
        <v>23457.599999999999</v>
      </c>
      <c r="F87" s="108">
        <v>9</v>
      </c>
      <c r="G87" s="108">
        <v>17593.2</v>
      </c>
      <c r="H87" s="108">
        <v>10</v>
      </c>
      <c r="I87" s="108">
        <v>19548</v>
      </c>
      <c r="J87" s="108">
        <v>11</v>
      </c>
      <c r="K87" s="108">
        <v>21502.799999999999</v>
      </c>
      <c r="L87" s="108">
        <v>16</v>
      </c>
      <c r="M87" s="108">
        <v>31276.799999999999</v>
      </c>
      <c r="N87" s="108">
        <v>17</v>
      </c>
      <c r="O87" s="108">
        <v>33231.599999999999</v>
      </c>
      <c r="P87" s="108">
        <v>13</v>
      </c>
      <c r="Q87" s="108">
        <v>25412.399999999998</v>
      </c>
      <c r="R87" s="108">
        <v>12</v>
      </c>
      <c r="S87" s="108">
        <v>23457.599999999999</v>
      </c>
      <c r="T87" s="108">
        <v>15</v>
      </c>
      <c r="U87" s="108">
        <v>29322</v>
      </c>
      <c r="V87" s="108">
        <v>19</v>
      </c>
      <c r="W87" s="108">
        <v>37141.199999999997</v>
      </c>
      <c r="X87" s="108">
        <v>14</v>
      </c>
      <c r="Y87" s="108">
        <v>27367.200000000001</v>
      </c>
      <c r="Z87" s="108">
        <v>13</v>
      </c>
      <c r="AA87" s="108">
        <v>25412.399999999998</v>
      </c>
      <c r="AB87" s="108">
        <v>21</v>
      </c>
      <c r="AC87" s="108">
        <v>41050.799999999996</v>
      </c>
      <c r="AD87" s="108">
        <v>35</v>
      </c>
      <c r="AE87" s="108">
        <v>68418</v>
      </c>
      <c r="AF87" s="108">
        <v>28</v>
      </c>
      <c r="AG87" s="108">
        <v>54734.400000000001</v>
      </c>
      <c r="AH87" s="108">
        <v>29</v>
      </c>
      <c r="AI87" s="108">
        <v>56689.2</v>
      </c>
      <c r="AJ87" s="108">
        <v>22</v>
      </c>
      <c r="AK87" s="108">
        <v>43005.599999999999</v>
      </c>
      <c r="AL87" s="108">
        <v>21</v>
      </c>
      <c r="AM87" s="108">
        <v>41050.799999999996</v>
      </c>
      <c r="AN87" s="108">
        <v>16</v>
      </c>
      <c r="AO87" s="108">
        <v>31276.799999999999</v>
      </c>
      <c r="AP87" s="108">
        <v>28</v>
      </c>
      <c r="AQ87" s="108">
        <v>54734.400000000001</v>
      </c>
      <c r="AR87" s="108">
        <v>61</v>
      </c>
      <c r="AS87" s="108">
        <v>119242.8</v>
      </c>
      <c r="AT87" s="108">
        <v>36</v>
      </c>
      <c r="AU87" s="108">
        <v>70372.800000000003</v>
      </c>
      <c r="AV87" s="108">
        <v>37</v>
      </c>
      <c r="AW87" s="108">
        <v>72327.599999999991</v>
      </c>
      <c r="AX87" s="108">
        <v>49</v>
      </c>
      <c r="AY87" s="108">
        <v>95785.2</v>
      </c>
      <c r="AZ87" s="108">
        <v>9</v>
      </c>
      <c r="BA87" s="108">
        <v>17593.2</v>
      </c>
      <c r="BB87" s="108">
        <v>10</v>
      </c>
      <c r="BC87" s="108">
        <v>19548</v>
      </c>
      <c r="BD87" s="108">
        <v>11</v>
      </c>
      <c r="BE87" s="108">
        <v>21502.799999999999</v>
      </c>
      <c r="BF87" s="108">
        <v>12</v>
      </c>
      <c r="BG87" s="108">
        <v>23457.599999999999</v>
      </c>
      <c r="BH87" s="108">
        <v>23</v>
      </c>
      <c r="BI87" s="108">
        <v>44960.4</v>
      </c>
      <c r="BJ87" s="108">
        <v>26</v>
      </c>
      <c r="BK87" s="108">
        <v>50824.799999999996</v>
      </c>
      <c r="BL87" s="108">
        <v>16</v>
      </c>
      <c r="BM87" s="108">
        <v>31276.799999999999</v>
      </c>
      <c r="BN87" s="108">
        <v>24</v>
      </c>
      <c r="BO87" s="108">
        <v>46915.199999999997</v>
      </c>
      <c r="BP87" s="108">
        <v>34</v>
      </c>
      <c r="BQ87" s="108">
        <v>66463.199999999997</v>
      </c>
      <c r="BR87" s="108">
        <v>42</v>
      </c>
      <c r="BS87" s="108">
        <v>82101.599999999991</v>
      </c>
      <c r="BT87" s="108">
        <v>30</v>
      </c>
      <c r="BU87" s="108">
        <v>58644</v>
      </c>
      <c r="BV87" s="108">
        <v>47</v>
      </c>
      <c r="BW87" s="108">
        <v>91875.599999999991</v>
      </c>
      <c r="BX87" s="108">
        <v>17</v>
      </c>
      <c r="BY87" s="108">
        <v>33231.599999999999</v>
      </c>
      <c r="BZ87" s="108">
        <v>22</v>
      </c>
      <c r="CA87" s="108">
        <v>43005.599999999999</v>
      </c>
      <c r="CB87" s="108">
        <v>22</v>
      </c>
      <c r="CC87" s="108">
        <v>43005.599999999999</v>
      </c>
      <c r="CD87" s="108">
        <v>25</v>
      </c>
      <c r="CE87" s="108">
        <v>48870</v>
      </c>
      <c r="CF87" s="108">
        <v>8</v>
      </c>
      <c r="CG87" s="108">
        <v>15638.4</v>
      </c>
      <c r="CH87" s="108">
        <v>9</v>
      </c>
      <c r="CI87" s="108">
        <v>17593.2</v>
      </c>
      <c r="CJ87" s="108">
        <v>8</v>
      </c>
      <c r="CK87" s="108">
        <v>15638.4</v>
      </c>
      <c r="CL87" s="108">
        <v>11</v>
      </c>
      <c r="CM87" s="108">
        <v>21502.799999999999</v>
      </c>
      <c r="CN87" s="108">
        <v>9</v>
      </c>
      <c r="CO87" s="108">
        <v>17593.2</v>
      </c>
      <c r="CP87" s="108">
        <v>6</v>
      </c>
      <c r="CQ87" s="108">
        <v>11728.8</v>
      </c>
      <c r="CR87" s="108">
        <v>7</v>
      </c>
      <c r="CS87" s="108">
        <v>13683.6</v>
      </c>
      <c r="CT87" s="108">
        <v>7</v>
      </c>
      <c r="CU87" s="108">
        <v>13683.6</v>
      </c>
    </row>
    <row r="88" spans="2:99" x14ac:dyDescent="0.2">
      <c r="C88" s="107" t="s">
        <v>253</v>
      </c>
      <c r="D88" s="108">
        <v>13</v>
      </c>
      <c r="E88" s="108">
        <v>24601.199999999997</v>
      </c>
      <c r="F88" s="108">
        <v>9</v>
      </c>
      <c r="G88" s="108">
        <v>17031.599999999999</v>
      </c>
      <c r="H88" s="108">
        <v>11</v>
      </c>
      <c r="I88" s="108">
        <v>20816.399999999998</v>
      </c>
      <c r="J88" s="108">
        <v>10</v>
      </c>
      <c r="K88" s="108">
        <v>18924</v>
      </c>
      <c r="L88" s="108">
        <v>17</v>
      </c>
      <c r="M88" s="108">
        <v>32170.799999999999</v>
      </c>
      <c r="N88" s="108">
        <v>17</v>
      </c>
      <c r="O88" s="108">
        <v>32170.799999999999</v>
      </c>
      <c r="P88" s="108">
        <v>13</v>
      </c>
      <c r="Q88" s="108">
        <v>24601.199999999997</v>
      </c>
      <c r="R88" s="108">
        <v>14</v>
      </c>
      <c r="S88" s="108">
        <v>26493.599999999999</v>
      </c>
      <c r="T88" s="108">
        <v>17</v>
      </c>
      <c r="U88" s="108">
        <v>32170.799999999999</v>
      </c>
      <c r="V88" s="108">
        <v>20</v>
      </c>
      <c r="W88" s="108">
        <v>37848</v>
      </c>
      <c r="X88" s="108">
        <v>14</v>
      </c>
      <c r="Y88" s="108">
        <v>26493.599999999999</v>
      </c>
      <c r="Z88" s="108">
        <v>12</v>
      </c>
      <c r="AA88" s="108">
        <v>22708.799999999999</v>
      </c>
      <c r="AB88" s="108">
        <v>22</v>
      </c>
      <c r="AC88" s="108">
        <v>41632.799999999996</v>
      </c>
      <c r="AD88" s="108">
        <v>35</v>
      </c>
      <c r="AE88" s="108">
        <v>66234</v>
      </c>
      <c r="AF88" s="108">
        <v>25</v>
      </c>
      <c r="AG88" s="108">
        <v>47310</v>
      </c>
      <c r="AH88" s="108">
        <v>26</v>
      </c>
      <c r="AI88" s="108">
        <v>49202.399999999994</v>
      </c>
      <c r="AJ88" s="108">
        <v>19</v>
      </c>
      <c r="AK88" s="108">
        <v>35955.599999999999</v>
      </c>
      <c r="AL88" s="108">
        <v>21</v>
      </c>
      <c r="AM88" s="108">
        <v>39740.399999999994</v>
      </c>
      <c r="AN88" s="108">
        <v>18</v>
      </c>
      <c r="AO88" s="108">
        <v>34063.199999999997</v>
      </c>
      <c r="AP88" s="108">
        <v>27</v>
      </c>
      <c r="AQ88" s="108">
        <v>51094.799999999996</v>
      </c>
      <c r="AR88" s="108">
        <v>55</v>
      </c>
      <c r="AS88" s="108">
        <v>104081.99999999999</v>
      </c>
      <c r="AT88" s="108">
        <v>43</v>
      </c>
      <c r="AU88" s="108">
        <v>81373.2</v>
      </c>
      <c r="AV88" s="108">
        <v>40</v>
      </c>
      <c r="AW88" s="108">
        <v>75696</v>
      </c>
      <c r="AX88" s="108">
        <v>51</v>
      </c>
      <c r="AY88" s="108">
        <v>96512.4</v>
      </c>
      <c r="AZ88" s="108">
        <v>9</v>
      </c>
      <c r="BA88" s="108">
        <v>17031.599999999999</v>
      </c>
      <c r="BB88" s="108">
        <v>9</v>
      </c>
      <c r="BC88" s="108">
        <v>17031.599999999999</v>
      </c>
      <c r="BD88" s="108">
        <v>11</v>
      </c>
      <c r="BE88" s="108">
        <v>20816.399999999998</v>
      </c>
      <c r="BF88" s="108">
        <v>11</v>
      </c>
      <c r="BG88" s="108">
        <v>20816.399999999998</v>
      </c>
      <c r="BH88" s="108">
        <v>26</v>
      </c>
      <c r="BI88" s="108">
        <v>49202.399999999994</v>
      </c>
      <c r="BJ88" s="108">
        <v>26</v>
      </c>
      <c r="BK88" s="108">
        <v>49202.399999999994</v>
      </c>
      <c r="BL88" s="108">
        <v>17</v>
      </c>
      <c r="BM88" s="108">
        <v>32170.799999999999</v>
      </c>
      <c r="BN88" s="108">
        <v>25</v>
      </c>
      <c r="BO88" s="108">
        <v>47310</v>
      </c>
      <c r="BP88" s="108">
        <v>32</v>
      </c>
      <c r="BQ88" s="108">
        <v>60556.799999999996</v>
      </c>
      <c r="BR88" s="108">
        <v>40</v>
      </c>
      <c r="BS88" s="108">
        <v>75696</v>
      </c>
      <c r="BT88" s="108">
        <v>28</v>
      </c>
      <c r="BU88" s="108">
        <v>52987.199999999997</v>
      </c>
      <c r="BV88" s="108">
        <v>43</v>
      </c>
      <c r="BW88" s="108">
        <v>81373.2</v>
      </c>
      <c r="BX88" s="108">
        <v>16</v>
      </c>
      <c r="BY88" s="108">
        <v>30278.399999999998</v>
      </c>
      <c r="BZ88" s="108">
        <v>23</v>
      </c>
      <c r="CA88" s="108">
        <v>43525.2</v>
      </c>
      <c r="CB88" s="108">
        <v>22</v>
      </c>
      <c r="CC88" s="108">
        <v>41632.799999999996</v>
      </c>
      <c r="CD88" s="108">
        <v>27</v>
      </c>
      <c r="CE88" s="108">
        <v>51094.799999999996</v>
      </c>
      <c r="CF88" s="108">
        <v>9</v>
      </c>
      <c r="CG88" s="108">
        <v>17031.599999999999</v>
      </c>
      <c r="CH88" s="108">
        <v>9</v>
      </c>
      <c r="CI88" s="108">
        <v>17031.599999999999</v>
      </c>
      <c r="CJ88" s="108">
        <v>9</v>
      </c>
      <c r="CK88" s="108">
        <v>17031.599999999999</v>
      </c>
      <c r="CL88" s="108">
        <v>11</v>
      </c>
      <c r="CM88" s="108">
        <v>20816.399999999998</v>
      </c>
      <c r="CN88" s="108">
        <v>10</v>
      </c>
      <c r="CO88" s="108">
        <v>18924</v>
      </c>
      <c r="CP88" s="108">
        <v>6</v>
      </c>
      <c r="CQ88" s="108">
        <v>11354.4</v>
      </c>
      <c r="CR88" s="108">
        <v>6</v>
      </c>
      <c r="CS88" s="108">
        <v>11354.4</v>
      </c>
      <c r="CT88" s="108">
        <v>6</v>
      </c>
      <c r="CU88" s="108">
        <v>11354.4</v>
      </c>
    </row>
    <row r="89" spans="2:99" x14ac:dyDescent="0.2">
      <c r="C89" s="107" t="s">
        <v>254</v>
      </c>
      <c r="D89" s="108">
        <v>11</v>
      </c>
      <c r="E89" s="108">
        <v>26373.599999999999</v>
      </c>
      <c r="F89" s="108">
        <v>9</v>
      </c>
      <c r="G89" s="108">
        <v>21578.399999999998</v>
      </c>
      <c r="H89" s="108">
        <v>11</v>
      </c>
      <c r="I89" s="108">
        <v>26373.599999999999</v>
      </c>
      <c r="J89" s="108">
        <v>11</v>
      </c>
      <c r="K89" s="108">
        <v>26373.599999999999</v>
      </c>
      <c r="L89" s="108">
        <v>16</v>
      </c>
      <c r="M89" s="108">
        <v>38361.599999999999</v>
      </c>
      <c r="N89" s="108">
        <v>14</v>
      </c>
      <c r="O89" s="108">
        <v>33566.400000000001</v>
      </c>
      <c r="P89" s="108">
        <v>13</v>
      </c>
      <c r="Q89" s="108">
        <v>31168.799999999999</v>
      </c>
      <c r="R89" s="108">
        <v>12</v>
      </c>
      <c r="S89" s="108">
        <v>28771.199999999997</v>
      </c>
      <c r="T89" s="108">
        <v>14</v>
      </c>
      <c r="U89" s="108">
        <v>33566.400000000001</v>
      </c>
      <c r="V89" s="108">
        <v>19</v>
      </c>
      <c r="W89" s="108">
        <v>45554.400000000001</v>
      </c>
      <c r="X89" s="108">
        <v>15</v>
      </c>
      <c r="Y89" s="108">
        <v>35964</v>
      </c>
      <c r="Z89" s="108">
        <v>12</v>
      </c>
      <c r="AA89" s="108">
        <v>28771.199999999997</v>
      </c>
      <c r="AB89" s="108">
        <v>22</v>
      </c>
      <c r="AC89" s="108">
        <v>52747.199999999997</v>
      </c>
      <c r="AD89" s="108">
        <v>34</v>
      </c>
      <c r="AE89" s="108">
        <v>81518.399999999994</v>
      </c>
      <c r="AF89" s="108">
        <v>24</v>
      </c>
      <c r="AG89" s="108">
        <v>57542.399999999994</v>
      </c>
      <c r="AH89" s="108">
        <v>26</v>
      </c>
      <c r="AI89" s="108">
        <v>62337.599999999999</v>
      </c>
      <c r="AJ89" s="108">
        <v>18</v>
      </c>
      <c r="AK89" s="108">
        <v>43156.799999999996</v>
      </c>
      <c r="AL89" s="108">
        <v>20</v>
      </c>
      <c r="AM89" s="108">
        <v>47952</v>
      </c>
      <c r="AN89" s="108">
        <v>16</v>
      </c>
      <c r="AO89" s="108">
        <v>38361.599999999999</v>
      </c>
      <c r="AP89" s="108">
        <v>28</v>
      </c>
      <c r="AQ89" s="108">
        <v>67132.800000000003</v>
      </c>
      <c r="AR89" s="108">
        <v>54</v>
      </c>
      <c r="AS89" s="108">
        <v>129470.39999999999</v>
      </c>
      <c r="AT89" s="108">
        <v>39</v>
      </c>
      <c r="AU89" s="108">
        <v>93506.4</v>
      </c>
      <c r="AV89" s="108">
        <v>35</v>
      </c>
      <c r="AW89" s="108">
        <v>83916</v>
      </c>
      <c r="AX89" s="108">
        <v>43</v>
      </c>
      <c r="AY89" s="108">
        <v>103096.8</v>
      </c>
      <c r="AZ89" s="108">
        <v>8</v>
      </c>
      <c r="BA89" s="108">
        <v>19180.8</v>
      </c>
      <c r="BB89" s="108">
        <v>9</v>
      </c>
      <c r="BC89" s="108">
        <v>21578.399999999998</v>
      </c>
      <c r="BD89" s="108">
        <v>12</v>
      </c>
      <c r="BE89" s="108">
        <v>28771.199999999997</v>
      </c>
      <c r="BF89" s="108">
        <v>11</v>
      </c>
      <c r="BG89" s="108">
        <v>26373.599999999999</v>
      </c>
      <c r="BH89" s="108">
        <v>23</v>
      </c>
      <c r="BI89" s="108">
        <v>55144.799999999996</v>
      </c>
      <c r="BJ89" s="108">
        <v>20</v>
      </c>
      <c r="BK89" s="108">
        <v>47952</v>
      </c>
      <c r="BL89" s="108">
        <v>14</v>
      </c>
      <c r="BM89" s="108">
        <v>33566.400000000001</v>
      </c>
      <c r="BN89" s="108">
        <v>25</v>
      </c>
      <c r="BO89" s="108">
        <v>59940</v>
      </c>
      <c r="BP89" s="108">
        <v>31</v>
      </c>
      <c r="BQ89" s="108">
        <v>74325.599999999991</v>
      </c>
      <c r="BR89" s="108">
        <v>36</v>
      </c>
      <c r="BS89" s="108">
        <v>86313.599999999991</v>
      </c>
      <c r="BT89" s="108">
        <v>27</v>
      </c>
      <c r="BU89" s="108">
        <v>64735.199999999997</v>
      </c>
      <c r="BV89" s="108">
        <v>39</v>
      </c>
      <c r="BW89" s="108">
        <v>93506.4</v>
      </c>
      <c r="BX89" s="108">
        <v>15</v>
      </c>
      <c r="BY89" s="108">
        <v>35964</v>
      </c>
      <c r="BZ89" s="108">
        <v>20</v>
      </c>
      <c r="CA89" s="108">
        <v>47952</v>
      </c>
      <c r="CB89" s="108">
        <v>23</v>
      </c>
      <c r="CC89" s="108">
        <v>55144.799999999996</v>
      </c>
      <c r="CD89" s="108">
        <v>23</v>
      </c>
      <c r="CE89" s="108">
        <v>55144.799999999996</v>
      </c>
      <c r="CF89" s="108">
        <v>9</v>
      </c>
      <c r="CG89" s="108">
        <v>21578.399999999998</v>
      </c>
      <c r="CH89" s="108">
        <v>8</v>
      </c>
      <c r="CI89" s="108">
        <v>19180.8</v>
      </c>
      <c r="CJ89" s="108">
        <v>7</v>
      </c>
      <c r="CK89" s="108">
        <v>16783.2</v>
      </c>
      <c r="CL89" s="108">
        <v>11</v>
      </c>
      <c r="CM89" s="108">
        <v>26373.599999999999</v>
      </c>
      <c r="CN89" s="108">
        <v>10</v>
      </c>
      <c r="CO89" s="108">
        <v>23976</v>
      </c>
      <c r="CP89" s="108">
        <v>6</v>
      </c>
      <c r="CQ89" s="108">
        <v>14385.599999999999</v>
      </c>
      <c r="CR89" s="108">
        <v>7</v>
      </c>
      <c r="CS89" s="108">
        <v>16783.2</v>
      </c>
      <c r="CT89" s="108">
        <v>6</v>
      </c>
      <c r="CU89" s="108">
        <v>14385.599999999999</v>
      </c>
    </row>
    <row r="90" spans="2:99" x14ac:dyDescent="0.2">
      <c r="C90" s="107" t="s">
        <v>255</v>
      </c>
      <c r="D90" s="108">
        <v>12</v>
      </c>
      <c r="E90" s="108">
        <v>26366.399999999998</v>
      </c>
      <c r="F90" s="108">
        <v>9</v>
      </c>
      <c r="G90" s="108">
        <v>19774.8</v>
      </c>
      <c r="H90" s="108">
        <v>12</v>
      </c>
      <c r="I90" s="108">
        <v>26366.399999999998</v>
      </c>
      <c r="J90" s="108">
        <v>10</v>
      </c>
      <c r="K90" s="108">
        <v>21972</v>
      </c>
      <c r="L90" s="108">
        <v>16</v>
      </c>
      <c r="M90" s="108">
        <v>35155.199999999997</v>
      </c>
      <c r="N90" s="108">
        <v>16</v>
      </c>
      <c r="O90" s="108">
        <v>35155.199999999997</v>
      </c>
      <c r="P90" s="108">
        <v>12</v>
      </c>
      <c r="Q90" s="108">
        <v>26366.399999999998</v>
      </c>
      <c r="R90" s="108">
        <v>12</v>
      </c>
      <c r="S90" s="108">
        <v>26366.399999999998</v>
      </c>
      <c r="T90" s="108">
        <v>15</v>
      </c>
      <c r="U90" s="108">
        <v>32958</v>
      </c>
      <c r="V90" s="108">
        <v>20</v>
      </c>
      <c r="W90" s="108">
        <v>43944</v>
      </c>
      <c r="X90" s="108">
        <v>15</v>
      </c>
      <c r="Y90" s="108">
        <v>32958</v>
      </c>
      <c r="Z90" s="108">
        <v>14</v>
      </c>
      <c r="AA90" s="108">
        <v>30760.799999999996</v>
      </c>
      <c r="AB90" s="108">
        <v>19</v>
      </c>
      <c r="AC90" s="108">
        <v>41746.799999999996</v>
      </c>
      <c r="AD90" s="108">
        <v>35</v>
      </c>
      <c r="AE90" s="108">
        <v>76902</v>
      </c>
      <c r="AF90" s="108">
        <v>24</v>
      </c>
      <c r="AG90" s="108">
        <v>52732.799999999996</v>
      </c>
      <c r="AH90" s="108">
        <v>26</v>
      </c>
      <c r="AI90" s="108">
        <v>57127.199999999997</v>
      </c>
      <c r="AJ90" s="108">
        <v>21</v>
      </c>
      <c r="AK90" s="108">
        <v>46141.2</v>
      </c>
      <c r="AL90" s="108">
        <v>22</v>
      </c>
      <c r="AM90" s="108">
        <v>48338.399999999994</v>
      </c>
      <c r="AN90" s="108">
        <v>16</v>
      </c>
      <c r="AO90" s="108">
        <v>35155.199999999997</v>
      </c>
      <c r="AP90" s="108">
        <v>31</v>
      </c>
      <c r="AQ90" s="108">
        <v>68113.2</v>
      </c>
      <c r="AR90" s="108">
        <v>48</v>
      </c>
      <c r="AS90" s="108">
        <v>105465.59999999999</v>
      </c>
      <c r="AT90" s="108">
        <v>38</v>
      </c>
      <c r="AU90" s="108">
        <v>83493.599999999991</v>
      </c>
      <c r="AV90" s="108">
        <v>37</v>
      </c>
      <c r="AW90" s="108">
        <v>81296.399999999994</v>
      </c>
      <c r="AX90" s="108">
        <v>52</v>
      </c>
      <c r="AY90" s="108">
        <v>114254.39999999999</v>
      </c>
      <c r="AZ90" s="108">
        <v>8</v>
      </c>
      <c r="BA90" s="108">
        <v>17577.599999999999</v>
      </c>
      <c r="BB90" s="108">
        <v>9</v>
      </c>
      <c r="BC90" s="108">
        <v>19774.8</v>
      </c>
      <c r="BD90" s="108">
        <v>12</v>
      </c>
      <c r="BE90" s="108">
        <v>26366.399999999998</v>
      </c>
      <c r="BF90" s="108">
        <v>13</v>
      </c>
      <c r="BG90" s="108">
        <v>28563.599999999999</v>
      </c>
      <c r="BH90" s="108">
        <v>25</v>
      </c>
      <c r="BI90" s="108">
        <v>54929.999999999993</v>
      </c>
      <c r="BJ90" s="108">
        <v>22</v>
      </c>
      <c r="BK90" s="108">
        <v>48338.399999999994</v>
      </c>
      <c r="BL90" s="108">
        <v>14</v>
      </c>
      <c r="BM90" s="108">
        <v>30760.799999999996</v>
      </c>
      <c r="BN90" s="108">
        <v>23</v>
      </c>
      <c r="BO90" s="108">
        <v>50535.6</v>
      </c>
      <c r="BP90" s="108">
        <v>33</v>
      </c>
      <c r="BQ90" s="108">
        <v>72507.599999999991</v>
      </c>
      <c r="BR90" s="108">
        <v>36</v>
      </c>
      <c r="BS90" s="108">
        <v>79099.199999999997</v>
      </c>
      <c r="BT90" s="108">
        <v>30</v>
      </c>
      <c r="BU90" s="108">
        <v>65916</v>
      </c>
      <c r="BV90" s="108">
        <v>46</v>
      </c>
      <c r="BW90" s="108">
        <v>101071.2</v>
      </c>
      <c r="BX90" s="108">
        <v>15</v>
      </c>
      <c r="BY90" s="108">
        <v>32958</v>
      </c>
      <c r="BZ90" s="108">
        <v>21</v>
      </c>
      <c r="CA90" s="108">
        <v>46141.2</v>
      </c>
      <c r="CB90" s="108">
        <v>21</v>
      </c>
      <c r="CC90" s="108">
        <v>46141.2</v>
      </c>
      <c r="CD90" s="108">
        <v>24</v>
      </c>
      <c r="CE90" s="108">
        <v>52732.799999999996</v>
      </c>
      <c r="CF90" s="108">
        <v>8</v>
      </c>
      <c r="CG90" s="108">
        <v>17577.599999999999</v>
      </c>
      <c r="CH90" s="108">
        <v>9</v>
      </c>
      <c r="CI90" s="108">
        <v>19774.8</v>
      </c>
      <c r="CJ90" s="108">
        <v>7</v>
      </c>
      <c r="CK90" s="108">
        <v>15380.399999999998</v>
      </c>
      <c r="CL90" s="108">
        <v>11</v>
      </c>
      <c r="CM90" s="108">
        <v>24169.199999999997</v>
      </c>
      <c r="CN90" s="108">
        <v>10</v>
      </c>
      <c r="CO90" s="108">
        <v>21972</v>
      </c>
      <c r="CP90" s="108">
        <v>6</v>
      </c>
      <c r="CQ90" s="108">
        <v>13183.199999999999</v>
      </c>
      <c r="CR90" s="108">
        <v>7</v>
      </c>
      <c r="CS90" s="108">
        <v>15380.399999999998</v>
      </c>
      <c r="CT90" s="108">
        <v>7</v>
      </c>
      <c r="CU90" s="108">
        <v>15380.399999999998</v>
      </c>
    </row>
    <row r="91" spans="2:99" x14ac:dyDescent="0.2">
      <c r="C91" s="107" t="s">
        <v>256</v>
      </c>
      <c r="D91" s="108">
        <v>12</v>
      </c>
      <c r="E91" s="108">
        <v>27561.599999999999</v>
      </c>
      <c r="F91" s="108">
        <v>9</v>
      </c>
      <c r="G91" s="108">
        <v>20671.199999999997</v>
      </c>
      <c r="H91" s="108">
        <v>10</v>
      </c>
      <c r="I91" s="108">
        <v>22967.999999999996</v>
      </c>
      <c r="J91" s="108">
        <v>9</v>
      </c>
      <c r="K91" s="108">
        <v>20671.199999999997</v>
      </c>
      <c r="L91" s="108">
        <v>16</v>
      </c>
      <c r="M91" s="108">
        <v>36748.799999999996</v>
      </c>
      <c r="N91" s="108">
        <v>17</v>
      </c>
      <c r="O91" s="108">
        <v>39045.599999999999</v>
      </c>
      <c r="P91" s="108">
        <v>13</v>
      </c>
      <c r="Q91" s="108">
        <v>29858.399999999998</v>
      </c>
      <c r="R91" s="108">
        <v>12</v>
      </c>
      <c r="S91" s="108">
        <v>27561.599999999999</v>
      </c>
      <c r="T91" s="108">
        <v>16</v>
      </c>
      <c r="U91" s="108">
        <v>36748.799999999996</v>
      </c>
      <c r="V91" s="108">
        <v>20</v>
      </c>
      <c r="W91" s="108">
        <v>45935.999999999993</v>
      </c>
      <c r="X91" s="108">
        <v>14</v>
      </c>
      <c r="Y91" s="108">
        <v>32155.199999999997</v>
      </c>
      <c r="Z91" s="108">
        <v>13</v>
      </c>
      <c r="AA91" s="108">
        <v>29858.399999999998</v>
      </c>
      <c r="AB91" s="108">
        <v>22</v>
      </c>
      <c r="AC91" s="108">
        <v>50529.599999999991</v>
      </c>
      <c r="AD91" s="108">
        <v>37</v>
      </c>
      <c r="AE91" s="108">
        <v>84981.599999999991</v>
      </c>
      <c r="AF91" s="108">
        <v>25</v>
      </c>
      <c r="AG91" s="108">
        <v>57419.999999999993</v>
      </c>
      <c r="AH91" s="108">
        <v>25</v>
      </c>
      <c r="AI91" s="108">
        <v>57419.999999999993</v>
      </c>
      <c r="AJ91" s="108">
        <v>19</v>
      </c>
      <c r="AK91" s="108">
        <v>43639.199999999997</v>
      </c>
      <c r="AL91" s="108">
        <v>20</v>
      </c>
      <c r="AM91" s="108">
        <v>45935.999999999993</v>
      </c>
      <c r="AN91" s="108">
        <v>17</v>
      </c>
      <c r="AO91" s="108">
        <v>39045.599999999999</v>
      </c>
      <c r="AP91" s="108">
        <v>30</v>
      </c>
      <c r="AQ91" s="108">
        <v>68903.999999999985</v>
      </c>
      <c r="AR91" s="108">
        <v>55</v>
      </c>
      <c r="AS91" s="108">
        <v>126323.99999999999</v>
      </c>
      <c r="AT91" s="108">
        <v>38</v>
      </c>
      <c r="AU91" s="108">
        <v>87278.399999999994</v>
      </c>
      <c r="AV91" s="108">
        <v>34</v>
      </c>
      <c r="AW91" s="108">
        <v>78091.199999999997</v>
      </c>
      <c r="AX91" s="108">
        <v>45</v>
      </c>
      <c r="AY91" s="108">
        <v>103355.99999999999</v>
      </c>
      <c r="AZ91" s="108">
        <v>9</v>
      </c>
      <c r="BA91" s="108">
        <v>20671.199999999997</v>
      </c>
      <c r="BB91" s="108">
        <v>10</v>
      </c>
      <c r="BC91" s="108">
        <v>22967.999999999996</v>
      </c>
      <c r="BD91" s="108">
        <v>11</v>
      </c>
      <c r="BE91" s="108">
        <v>25264.799999999996</v>
      </c>
      <c r="BF91" s="108">
        <v>13</v>
      </c>
      <c r="BG91" s="108">
        <v>29858.399999999998</v>
      </c>
      <c r="BH91" s="108">
        <v>24</v>
      </c>
      <c r="BI91" s="108">
        <v>55123.199999999997</v>
      </c>
      <c r="BJ91" s="108">
        <v>22</v>
      </c>
      <c r="BK91" s="108">
        <v>50529.599999999991</v>
      </c>
      <c r="BL91" s="108">
        <v>16</v>
      </c>
      <c r="BM91" s="108">
        <v>36748.799999999996</v>
      </c>
      <c r="BN91" s="108">
        <v>25</v>
      </c>
      <c r="BO91" s="108">
        <v>57419.999999999993</v>
      </c>
      <c r="BP91" s="108">
        <v>29</v>
      </c>
      <c r="BQ91" s="108">
        <v>66607.199999999997</v>
      </c>
      <c r="BR91" s="108">
        <v>38</v>
      </c>
      <c r="BS91" s="108">
        <v>87278.399999999994</v>
      </c>
      <c r="BT91" s="108">
        <v>30</v>
      </c>
      <c r="BU91" s="108">
        <v>68903.999999999985</v>
      </c>
      <c r="BV91" s="108">
        <v>44</v>
      </c>
      <c r="BW91" s="108">
        <v>101059.19999999998</v>
      </c>
      <c r="BX91" s="108">
        <v>17</v>
      </c>
      <c r="BY91" s="108">
        <v>39045.599999999999</v>
      </c>
      <c r="BZ91" s="108">
        <v>22</v>
      </c>
      <c r="CA91" s="108">
        <v>50529.599999999991</v>
      </c>
      <c r="CB91" s="108">
        <v>22</v>
      </c>
      <c r="CC91" s="108">
        <v>50529.599999999991</v>
      </c>
      <c r="CD91" s="108">
        <v>25</v>
      </c>
      <c r="CE91" s="108">
        <v>57419.999999999993</v>
      </c>
      <c r="CF91" s="108">
        <v>8</v>
      </c>
      <c r="CG91" s="108">
        <v>18374.399999999998</v>
      </c>
      <c r="CH91" s="108">
        <v>9</v>
      </c>
      <c r="CI91" s="108">
        <v>20671.199999999997</v>
      </c>
      <c r="CJ91" s="108">
        <v>7</v>
      </c>
      <c r="CK91" s="108">
        <v>16077.599999999999</v>
      </c>
      <c r="CL91" s="108">
        <v>11</v>
      </c>
      <c r="CM91" s="108">
        <v>25264.799999999996</v>
      </c>
      <c r="CN91" s="108">
        <v>10</v>
      </c>
      <c r="CO91" s="108">
        <v>22967.999999999996</v>
      </c>
      <c r="CP91" s="108">
        <v>6</v>
      </c>
      <c r="CQ91" s="108">
        <v>13780.8</v>
      </c>
      <c r="CR91" s="108">
        <v>7</v>
      </c>
      <c r="CS91" s="108">
        <v>16077.599999999999</v>
      </c>
      <c r="CT91" s="108">
        <v>6</v>
      </c>
      <c r="CU91" s="108">
        <v>13780.8</v>
      </c>
    </row>
    <row r="92" spans="2:99" x14ac:dyDescent="0.2">
      <c r="C92" s="107" t="s">
        <v>257</v>
      </c>
      <c r="D92" s="108">
        <v>12</v>
      </c>
      <c r="E92" s="108">
        <v>17049.599999999999</v>
      </c>
      <c r="F92" s="108">
        <v>9</v>
      </c>
      <c r="G92" s="108">
        <v>12787.199999999999</v>
      </c>
      <c r="H92" s="108">
        <v>13</v>
      </c>
      <c r="I92" s="108">
        <v>18470.399999999998</v>
      </c>
      <c r="J92" s="108">
        <v>11</v>
      </c>
      <c r="K92" s="108">
        <v>15628.8</v>
      </c>
      <c r="L92" s="108">
        <v>19</v>
      </c>
      <c r="M92" s="108">
        <v>26995.200000000001</v>
      </c>
      <c r="N92" s="108">
        <v>17</v>
      </c>
      <c r="O92" s="108">
        <v>24153.599999999999</v>
      </c>
      <c r="P92" s="108">
        <v>15</v>
      </c>
      <c r="Q92" s="108">
        <v>21312</v>
      </c>
      <c r="R92" s="108">
        <v>14</v>
      </c>
      <c r="S92" s="108">
        <v>19891.2</v>
      </c>
      <c r="T92" s="108">
        <v>17</v>
      </c>
      <c r="U92" s="108">
        <v>24153.599999999999</v>
      </c>
      <c r="V92" s="108">
        <v>24</v>
      </c>
      <c r="W92" s="108">
        <v>34099.199999999997</v>
      </c>
      <c r="X92" s="108">
        <v>16</v>
      </c>
      <c r="Y92" s="108">
        <v>22732.799999999999</v>
      </c>
      <c r="Z92" s="108">
        <v>14</v>
      </c>
      <c r="AA92" s="108">
        <v>19891.2</v>
      </c>
      <c r="AB92" s="108">
        <v>22</v>
      </c>
      <c r="AC92" s="108">
        <v>31257.599999999999</v>
      </c>
      <c r="AD92" s="108">
        <v>35</v>
      </c>
      <c r="AE92" s="108">
        <v>49728</v>
      </c>
      <c r="AF92" s="108">
        <v>31</v>
      </c>
      <c r="AG92" s="108">
        <v>44044.799999999996</v>
      </c>
      <c r="AH92" s="108">
        <v>29</v>
      </c>
      <c r="AI92" s="108">
        <v>41203.199999999997</v>
      </c>
      <c r="AJ92" s="108">
        <v>23</v>
      </c>
      <c r="AK92" s="108">
        <v>32678.399999999998</v>
      </c>
      <c r="AL92" s="108">
        <v>22</v>
      </c>
      <c r="AM92" s="108">
        <v>31257.599999999999</v>
      </c>
      <c r="AN92" s="108">
        <v>19</v>
      </c>
      <c r="AO92" s="108">
        <v>26995.200000000001</v>
      </c>
      <c r="AP92" s="108">
        <v>35</v>
      </c>
      <c r="AQ92" s="108">
        <v>49728</v>
      </c>
      <c r="AR92" s="108">
        <v>65</v>
      </c>
      <c r="AS92" s="108">
        <v>92352</v>
      </c>
      <c r="AT92" s="108">
        <v>48</v>
      </c>
      <c r="AU92" s="108">
        <v>68198.399999999994</v>
      </c>
      <c r="AV92" s="108">
        <v>41</v>
      </c>
      <c r="AW92" s="108">
        <v>58252.799999999996</v>
      </c>
      <c r="AX92" s="108">
        <v>60</v>
      </c>
      <c r="AY92" s="108">
        <v>85248</v>
      </c>
      <c r="AZ92" s="108">
        <v>9</v>
      </c>
      <c r="BA92" s="108">
        <v>12787.199999999999</v>
      </c>
      <c r="BB92" s="108">
        <v>10</v>
      </c>
      <c r="BC92" s="108">
        <v>14208</v>
      </c>
      <c r="BD92" s="108">
        <v>11</v>
      </c>
      <c r="BE92" s="108">
        <v>15628.8</v>
      </c>
      <c r="BF92" s="108">
        <v>12</v>
      </c>
      <c r="BG92" s="108">
        <v>17049.599999999999</v>
      </c>
      <c r="BH92" s="108">
        <v>24</v>
      </c>
      <c r="BI92" s="108">
        <v>34099.199999999997</v>
      </c>
      <c r="BJ92" s="108">
        <v>25</v>
      </c>
      <c r="BK92" s="108">
        <v>35520</v>
      </c>
      <c r="BL92" s="108">
        <v>16</v>
      </c>
      <c r="BM92" s="108">
        <v>22732.799999999999</v>
      </c>
      <c r="BN92" s="108">
        <v>26</v>
      </c>
      <c r="BO92" s="108">
        <v>36940.799999999996</v>
      </c>
      <c r="BP92" s="108">
        <v>36</v>
      </c>
      <c r="BQ92" s="108">
        <v>51148.799999999996</v>
      </c>
      <c r="BR92" s="108">
        <v>47</v>
      </c>
      <c r="BS92" s="108">
        <v>66777.599999999991</v>
      </c>
      <c r="BT92" s="108">
        <v>34</v>
      </c>
      <c r="BU92" s="108">
        <v>48307.199999999997</v>
      </c>
      <c r="BV92" s="108">
        <v>47</v>
      </c>
      <c r="BW92" s="108">
        <v>66777.599999999991</v>
      </c>
      <c r="BX92" s="108">
        <v>19</v>
      </c>
      <c r="BY92" s="108">
        <v>26995.200000000001</v>
      </c>
      <c r="BZ92" s="108">
        <v>24</v>
      </c>
      <c r="CA92" s="108">
        <v>34099.199999999997</v>
      </c>
      <c r="CB92" s="108">
        <v>26</v>
      </c>
      <c r="CC92" s="108">
        <v>36940.799999999996</v>
      </c>
      <c r="CD92" s="108">
        <v>27</v>
      </c>
      <c r="CE92" s="108">
        <v>38361.599999999999</v>
      </c>
      <c r="CF92" s="108">
        <v>8</v>
      </c>
      <c r="CG92" s="108">
        <v>11366.4</v>
      </c>
      <c r="CH92" s="108">
        <v>10</v>
      </c>
      <c r="CI92" s="108">
        <v>14208</v>
      </c>
      <c r="CJ92" s="108">
        <v>9</v>
      </c>
      <c r="CK92" s="108">
        <v>12787.199999999999</v>
      </c>
      <c r="CL92" s="108">
        <v>14</v>
      </c>
      <c r="CM92" s="108">
        <v>19891.2</v>
      </c>
      <c r="CN92" s="108">
        <v>10</v>
      </c>
      <c r="CO92" s="108">
        <v>14208</v>
      </c>
      <c r="CP92" s="108">
        <v>6</v>
      </c>
      <c r="CQ92" s="108">
        <v>8524.7999999999993</v>
      </c>
      <c r="CR92" s="108">
        <v>7</v>
      </c>
      <c r="CS92" s="108">
        <v>9945.6</v>
      </c>
      <c r="CT92" s="108">
        <v>6</v>
      </c>
      <c r="CU92" s="108">
        <v>8524.7999999999993</v>
      </c>
    </row>
    <row r="93" spans="2:99" x14ac:dyDescent="0.2">
      <c r="C93" s="107" t="s">
        <v>258</v>
      </c>
      <c r="D93" s="108">
        <v>12</v>
      </c>
      <c r="E93" s="108">
        <v>21268.799999999999</v>
      </c>
      <c r="F93" s="108">
        <v>9</v>
      </c>
      <c r="G93" s="108">
        <v>15951.599999999999</v>
      </c>
      <c r="H93" s="108">
        <v>12</v>
      </c>
      <c r="I93" s="108">
        <v>21268.799999999999</v>
      </c>
      <c r="J93" s="108">
        <v>10</v>
      </c>
      <c r="K93" s="108">
        <v>17724</v>
      </c>
      <c r="L93" s="108">
        <v>18</v>
      </c>
      <c r="M93" s="108">
        <v>31903.199999999997</v>
      </c>
      <c r="N93" s="108">
        <v>15</v>
      </c>
      <c r="O93" s="108">
        <v>26585.999999999996</v>
      </c>
      <c r="P93" s="108">
        <v>14</v>
      </c>
      <c r="Q93" s="108">
        <v>24813.599999999999</v>
      </c>
      <c r="R93" s="108">
        <v>12</v>
      </c>
      <c r="S93" s="108">
        <v>21268.799999999999</v>
      </c>
      <c r="T93" s="108">
        <v>17</v>
      </c>
      <c r="U93" s="108">
        <v>30130.799999999999</v>
      </c>
      <c r="V93" s="108">
        <v>19</v>
      </c>
      <c r="W93" s="108">
        <v>33675.599999999999</v>
      </c>
      <c r="X93" s="108">
        <v>15</v>
      </c>
      <c r="Y93" s="108">
        <v>26585.999999999996</v>
      </c>
      <c r="Z93" s="108">
        <v>14</v>
      </c>
      <c r="AA93" s="108">
        <v>24813.599999999999</v>
      </c>
      <c r="AB93" s="108">
        <v>23</v>
      </c>
      <c r="AC93" s="108">
        <v>40765.199999999997</v>
      </c>
      <c r="AD93" s="108">
        <v>37</v>
      </c>
      <c r="AE93" s="108">
        <v>65578.799999999988</v>
      </c>
      <c r="AF93" s="108">
        <v>28</v>
      </c>
      <c r="AG93" s="108">
        <v>49627.199999999997</v>
      </c>
      <c r="AH93" s="108">
        <v>29</v>
      </c>
      <c r="AI93" s="108">
        <v>51399.6</v>
      </c>
      <c r="AJ93" s="108">
        <v>19</v>
      </c>
      <c r="AK93" s="108">
        <v>33675.599999999999</v>
      </c>
      <c r="AL93" s="108">
        <v>23</v>
      </c>
      <c r="AM93" s="108">
        <v>40765.199999999997</v>
      </c>
      <c r="AN93" s="108">
        <v>19</v>
      </c>
      <c r="AO93" s="108">
        <v>33675.599999999999</v>
      </c>
      <c r="AP93" s="108">
        <v>33</v>
      </c>
      <c r="AQ93" s="108">
        <v>58489.2</v>
      </c>
      <c r="AR93" s="108">
        <v>53</v>
      </c>
      <c r="AS93" s="108">
        <v>93937.2</v>
      </c>
      <c r="AT93" s="108">
        <v>39</v>
      </c>
      <c r="AU93" s="108">
        <v>69123.599999999991</v>
      </c>
      <c r="AV93" s="108">
        <v>38</v>
      </c>
      <c r="AW93" s="108">
        <v>67351.199999999997</v>
      </c>
      <c r="AX93" s="108">
        <v>56</v>
      </c>
      <c r="AY93" s="108">
        <v>99254.399999999994</v>
      </c>
      <c r="AZ93" s="108">
        <v>8</v>
      </c>
      <c r="BA93" s="108">
        <v>14179.199999999999</v>
      </c>
      <c r="BB93" s="108">
        <v>9</v>
      </c>
      <c r="BC93" s="108">
        <v>15951.599999999999</v>
      </c>
      <c r="BD93" s="108">
        <v>11</v>
      </c>
      <c r="BE93" s="108">
        <v>19496.399999999998</v>
      </c>
      <c r="BF93" s="108">
        <v>13</v>
      </c>
      <c r="BG93" s="108">
        <v>23041.199999999997</v>
      </c>
      <c r="BH93" s="108">
        <v>22</v>
      </c>
      <c r="BI93" s="108">
        <v>38992.799999999996</v>
      </c>
      <c r="BJ93" s="108">
        <v>27</v>
      </c>
      <c r="BK93" s="108">
        <v>47854.799999999996</v>
      </c>
      <c r="BL93" s="108">
        <v>17</v>
      </c>
      <c r="BM93" s="108">
        <v>30130.799999999999</v>
      </c>
      <c r="BN93" s="108">
        <v>25</v>
      </c>
      <c r="BO93" s="108">
        <v>44310</v>
      </c>
      <c r="BP93" s="108">
        <v>34</v>
      </c>
      <c r="BQ93" s="108">
        <v>60261.599999999999</v>
      </c>
      <c r="BR93" s="108">
        <v>38</v>
      </c>
      <c r="BS93" s="108">
        <v>67351.199999999997</v>
      </c>
      <c r="BT93" s="108">
        <v>30</v>
      </c>
      <c r="BU93" s="108">
        <v>53171.999999999993</v>
      </c>
      <c r="BV93" s="108">
        <v>49</v>
      </c>
      <c r="BW93" s="108">
        <v>86847.599999999991</v>
      </c>
      <c r="BX93" s="108">
        <v>18</v>
      </c>
      <c r="BY93" s="108">
        <v>31903.199999999997</v>
      </c>
      <c r="BZ93" s="108">
        <v>24</v>
      </c>
      <c r="CA93" s="108">
        <v>42537.599999999999</v>
      </c>
      <c r="CB93" s="108">
        <v>22</v>
      </c>
      <c r="CC93" s="108">
        <v>38992.799999999996</v>
      </c>
      <c r="CD93" s="108">
        <v>26</v>
      </c>
      <c r="CE93" s="108">
        <v>46082.399999999994</v>
      </c>
      <c r="CF93" s="108">
        <v>9</v>
      </c>
      <c r="CG93" s="108">
        <v>15951.599999999999</v>
      </c>
      <c r="CH93" s="108">
        <v>9</v>
      </c>
      <c r="CI93" s="108">
        <v>15951.599999999999</v>
      </c>
      <c r="CJ93" s="108">
        <v>9</v>
      </c>
      <c r="CK93" s="108">
        <v>15951.599999999999</v>
      </c>
      <c r="CL93" s="108">
        <v>13</v>
      </c>
      <c r="CM93" s="108">
        <v>23041.199999999997</v>
      </c>
      <c r="CN93" s="108">
        <v>11</v>
      </c>
      <c r="CO93" s="108">
        <v>19496.399999999998</v>
      </c>
      <c r="CP93" s="108">
        <v>6</v>
      </c>
      <c r="CQ93" s="108">
        <v>10634.4</v>
      </c>
      <c r="CR93" s="108">
        <v>7</v>
      </c>
      <c r="CS93" s="108">
        <v>12406.8</v>
      </c>
      <c r="CT93" s="108">
        <v>6</v>
      </c>
      <c r="CU93" s="108">
        <v>10634.4</v>
      </c>
    </row>
    <row r="94" spans="2:99" x14ac:dyDescent="0.2">
      <c r="C94" s="107" t="s">
        <v>259</v>
      </c>
      <c r="D94" s="108">
        <v>11</v>
      </c>
      <c r="E94" s="108">
        <v>26347.199999999997</v>
      </c>
      <c r="F94" s="108">
        <v>8</v>
      </c>
      <c r="G94" s="108">
        <v>19161.599999999999</v>
      </c>
      <c r="H94" s="108">
        <v>11</v>
      </c>
      <c r="I94" s="108">
        <v>26347.199999999997</v>
      </c>
      <c r="J94" s="108">
        <v>11</v>
      </c>
      <c r="K94" s="108">
        <v>26347.199999999997</v>
      </c>
      <c r="L94" s="108">
        <v>17</v>
      </c>
      <c r="M94" s="108">
        <v>40718.399999999994</v>
      </c>
      <c r="N94" s="108">
        <v>15</v>
      </c>
      <c r="O94" s="108">
        <v>35928</v>
      </c>
      <c r="P94" s="108">
        <v>12</v>
      </c>
      <c r="Q94" s="108">
        <v>28742.399999999998</v>
      </c>
      <c r="R94" s="108">
        <v>12</v>
      </c>
      <c r="S94" s="108">
        <v>28742.399999999998</v>
      </c>
      <c r="T94" s="108">
        <v>16</v>
      </c>
      <c r="U94" s="108">
        <v>38323.199999999997</v>
      </c>
      <c r="V94" s="108">
        <v>21</v>
      </c>
      <c r="W94" s="108">
        <v>50299.199999999997</v>
      </c>
      <c r="X94" s="108">
        <v>15</v>
      </c>
      <c r="Y94" s="108">
        <v>35928</v>
      </c>
      <c r="Z94" s="108">
        <v>12</v>
      </c>
      <c r="AA94" s="108">
        <v>28742.399999999998</v>
      </c>
      <c r="AB94" s="108">
        <v>21</v>
      </c>
      <c r="AC94" s="108">
        <v>50299.199999999997</v>
      </c>
      <c r="AD94" s="108">
        <v>30</v>
      </c>
      <c r="AE94" s="108">
        <v>71856</v>
      </c>
      <c r="AF94" s="108">
        <v>26</v>
      </c>
      <c r="AG94" s="108">
        <v>62275.199999999997</v>
      </c>
      <c r="AH94" s="108">
        <v>26</v>
      </c>
      <c r="AI94" s="108">
        <v>62275.199999999997</v>
      </c>
      <c r="AJ94" s="108">
        <v>18</v>
      </c>
      <c r="AK94" s="108">
        <v>43113.599999999999</v>
      </c>
      <c r="AL94" s="108">
        <v>21</v>
      </c>
      <c r="AM94" s="108">
        <v>50299.199999999997</v>
      </c>
      <c r="AN94" s="108">
        <v>16</v>
      </c>
      <c r="AO94" s="108">
        <v>38323.199999999997</v>
      </c>
      <c r="AP94" s="108">
        <v>28</v>
      </c>
      <c r="AQ94" s="108">
        <v>67065.599999999991</v>
      </c>
      <c r="AR94" s="108">
        <v>52</v>
      </c>
      <c r="AS94" s="108">
        <v>124550.39999999999</v>
      </c>
      <c r="AT94" s="108">
        <v>33</v>
      </c>
      <c r="AU94" s="108">
        <v>79041.599999999991</v>
      </c>
      <c r="AV94" s="108">
        <v>35</v>
      </c>
      <c r="AW94" s="108">
        <v>83832</v>
      </c>
      <c r="AX94" s="108">
        <v>49</v>
      </c>
      <c r="AY94" s="108">
        <v>117364.79999999999</v>
      </c>
      <c r="AZ94" s="108">
        <v>8</v>
      </c>
      <c r="BA94" s="108">
        <v>19161.599999999999</v>
      </c>
      <c r="BB94" s="108">
        <v>9</v>
      </c>
      <c r="BC94" s="108">
        <v>21556.799999999999</v>
      </c>
      <c r="BD94" s="108">
        <v>10</v>
      </c>
      <c r="BE94" s="108">
        <v>23952</v>
      </c>
      <c r="BF94" s="108">
        <v>12</v>
      </c>
      <c r="BG94" s="108">
        <v>28742.399999999998</v>
      </c>
      <c r="BH94" s="108">
        <v>21</v>
      </c>
      <c r="BI94" s="108">
        <v>50299.199999999997</v>
      </c>
      <c r="BJ94" s="108">
        <v>23</v>
      </c>
      <c r="BK94" s="108">
        <v>55089.599999999999</v>
      </c>
      <c r="BL94" s="108">
        <v>14</v>
      </c>
      <c r="BM94" s="108">
        <v>33532.799999999996</v>
      </c>
      <c r="BN94" s="108">
        <v>24</v>
      </c>
      <c r="BO94" s="108">
        <v>57484.799999999996</v>
      </c>
      <c r="BP94" s="108">
        <v>31</v>
      </c>
      <c r="BQ94" s="108">
        <v>74251.199999999997</v>
      </c>
      <c r="BR94" s="108">
        <v>33</v>
      </c>
      <c r="BS94" s="108">
        <v>79041.599999999991</v>
      </c>
      <c r="BT94" s="108">
        <v>28</v>
      </c>
      <c r="BU94" s="108">
        <v>67065.599999999991</v>
      </c>
      <c r="BV94" s="108">
        <v>38</v>
      </c>
      <c r="BW94" s="108">
        <v>91017.599999999991</v>
      </c>
      <c r="BX94" s="108">
        <v>16</v>
      </c>
      <c r="BY94" s="108">
        <v>38323.199999999997</v>
      </c>
      <c r="BZ94" s="108">
        <v>20</v>
      </c>
      <c r="CA94" s="108">
        <v>47904</v>
      </c>
      <c r="CB94" s="108">
        <v>22</v>
      </c>
      <c r="CC94" s="108">
        <v>52694.399999999994</v>
      </c>
      <c r="CD94" s="108">
        <v>26</v>
      </c>
      <c r="CE94" s="108">
        <v>62275.199999999997</v>
      </c>
      <c r="CF94" s="108">
        <v>8</v>
      </c>
      <c r="CG94" s="108">
        <v>19161.599999999999</v>
      </c>
      <c r="CH94" s="108">
        <v>8</v>
      </c>
      <c r="CI94" s="108">
        <v>19161.599999999999</v>
      </c>
      <c r="CJ94" s="108">
        <v>8</v>
      </c>
      <c r="CK94" s="108">
        <v>19161.599999999999</v>
      </c>
      <c r="CL94" s="108">
        <v>12</v>
      </c>
      <c r="CM94" s="108">
        <v>28742.399999999998</v>
      </c>
      <c r="CN94" s="108">
        <v>10</v>
      </c>
      <c r="CO94" s="108">
        <v>23952</v>
      </c>
      <c r="CP94" s="108">
        <v>6</v>
      </c>
      <c r="CQ94" s="108">
        <v>14371.199999999999</v>
      </c>
      <c r="CR94" s="108">
        <v>7</v>
      </c>
      <c r="CS94" s="108">
        <v>16766.399999999998</v>
      </c>
      <c r="CT94" s="108">
        <v>6</v>
      </c>
      <c r="CU94" s="108">
        <v>14371.199999999999</v>
      </c>
    </row>
    <row r="95" spans="2:99" x14ac:dyDescent="0.2">
      <c r="B95" s="107" t="s">
        <v>132</v>
      </c>
      <c r="C95" s="107" t="s">
        <v>260</v>
      </c>
      <c r="D95" s="108">
        <v>20</v>
      </c>
      <c r="E95" s="108">
        <v>34656</v>
      </c>
      <c r="F95" s="108">
        <v>32</v>
      </c>
      <c r="G95" s="108">
        <v>55449.599999999999</v>
      </c>
      <c r="H95" s="108">
        <v>42</v>
      </c>
      <c r="I95" s="108">
        <v>72777.599999999991</v>
      </c>
      <c r="J95" s="108">
        <v>41</v>
      </c>
      <c r="K95" s="108">
        <v>71044.800000000003</v>
      </c>
      <c r="L95" s="108">
        <v>70</v>
      </c>
      <c r="M95" s="108">
        <v>121296</v>
      </c>
      <c r="N95" s="108">
        <v>75</v>
      </c>
      <c r="O95" s="108">
        <v>129960</v>
      </c>
      <c r="P95" s="108">
        <v>42</v>
      </c>
      <c r="Q95" s="108">
        <v>72777.599999999991</v>
      </c>
      <c r="R95" s="108">
        <v>68</v>
      </c>
      <c r="S95" s="108">
        <v>117830.39999999999</v>
      </c>
      <c r="T95" s="108">
        <v>38</v>
      </c>
      <c r="U95" s="108">
        <v>65846.399999999994</v>
      </c>
      <c r="V95" s="108">
        <v>26</v>
      </c>
      <c r="W95" s="108">
        <v>45052.799999999996</v>
      </c>
      <c r="X95" s="108">
        <v>33</v>
      </c>
      <c r="Y95" s="108">
        <v>57182.400000000001</v>
      </c>
      <c r="Z95" s="108">
        <v>22</v>
      </c>
      <c r="AA95" s="108">
        <v>38121.599999999999</v>
      </c>
      <c r="AB95" s="108">
        <v>18</v>
      </c>
      <c r="AC95" s="108">
        <v>31190.399999999998</v>
      </c>
      <c r="AD95" s="108">
        <v>15</v>
      </c>
      <c r="AE95" s="108">
        <v>25992</v>
      </c>
      <c r="AF95" s="108">
        <v>14</v>
      </c>
      <c r="AG95" s="108">
        <v>24259.200000000001</v>
      </c>
      <c r="AH95" s="108">
        <v>14</v>
      </c>
      <c r="AI95" s="108">
        <v>24259.200000000001</v>
      </c>
      <c r="AJ95" s="108">
        <v>21</v>
      </c>
      <c r="AK95" s="108">
        <v>36388.799999999996</v>
      </c>
      <c r="AL95" s="108">
        <v>22</v>
      </c>
      <c r="AM95" s="108">
        <v>38121.599999999999</v>
      </c>
      <c r="AN95" s="108">
        <v>14</v>
      </c>
      <c r="AO95" s="108">
        <v>24259.200000000001</v>
      </c>
      <c r="AP95" s="108">
        <v>19</v>
      </c>
      <c r="AQ95" s="108">
        <v>32923.199999999997</v>
      </c>
      <c r="AR95" s="108">
        <v>6</v>
      </c>
      <c r="AS95" s="108">
        <v>10396.799999999999</v>
      </c>
      <c r="AT95" s="108">
        <v>12</v>
      </c>
      <c r="AU95" s="108">
        <v>20793.599999999999</v>
      </c>
      <c r="AV95" s="108">
        <v>8</v>
      </c>
      <c r="AW95" s="108">
        <v>13862.4</v>
      </c>
      <c r="AX95" s="108">
        <v>6</v>
      </c>
      <c r="AY95" s="108">
        <v>10396.799999999999</v>
      </c>
      <c r="AZ95" s="108">
        <v>17</v>
      </c>
      <c r="BA95" s="108">
        <v>29457.599999999999</v>
      </c>
      <c r="BB95" s="108">
        <v>19</v>
      </c>
      <c r="BC95" s="108">
        <v>32923.199999999997</v>
      </c>
      <c r="BD95" s="108">
        <v>19</v>
      </c>
      <c r="BE95" s="108">
        <v>32923.199999999997</v>
      </c>
      <c r="BF95" s="108">
        <v>24</v>
      </c>
      <c r="BG95" s="108">
        <v>41587.199999999997</v>
      </c>
      <c r="BH95" s="108">
        <v>26</v>
      </c>
      <c r="BI95" s="108">
        <v>45052.799999999996</v>
      </c>
      <c r="BJ95" s="108">
        <v>25</v>
      </c>
      <c r="BK95" s="108">
        <v>43320</v>
      </c>
      <c r="BL95" s="108">
        <v>21</v>
      </c>
      <c r="BM95" s="108">
        <v>36388.799999999996</v>
      </c>
      <c r="BN95" s="108">
        <v>23</v>
      </c>
      <c r="BO95" s="108">
        <v>39854.400000000001</v>
      </c>
      <c r="BP95" s="108">
        <v>10</v>
      </c>
      <c r="BQ95" s="108">
        <v>17328</v>
      </c>
      <c r="BR95" s="108">
        <v>8</v>
      </c>
      <c r="BS95" s="108">
        <v>13862.4</v>
      </c>
      <c r="BT95" s="108">
        <v>9</v>
      </c>
      <c r="BU95" s="108">
        <v>15595.199999999999</v>
      </c>
      <c r="BV95" s="108">
        <v>8</v>
      </c>
      <c r="BW95" s="108">
        <v>13862.4</v>
      </c>
      <c r="BX95" s="108">
        <v>19</v>
      </c>
      <c r="BY95" s="108">
        <v>32923.199999999997</v>
      </c>
      <c r="BZ95" s="108">
        <v>30</v>
      </c>
      <c r="CA95" s="108">
        <v>51984</v>
      </c>
      <c r="CB95" s="108">
        <v>27</v>
      </c>
      <c r="CC95" s="108">
        <v>46785.599999999999</v>
      </c>
      <c r="CD95" s="108">
        <v>19</v>
      </c>
      <c r="CE95" s="108">
        <v>32923.199999999997</v>
      </c>
      <c r="CF95" s="108">
        <v>14</v>
      </c>
      <c r="CG95" s="108">
        <v>24259.200000000001</v>
      </c>
      <c r="CH95" s="108">
        <v>13</v>
      </c>
      <c r="CI95" s="108">
        <v>22526.399999999998</v>
      </c>
      <c r="CJ95" s="108">
        <v>13</v>
      </c>
      <c r="CK95" s="108">
        <v>22526.399999999998</v>
      </c>
      <c r="CL95" s="108">
        <v>11</v>
      </c>
      <c r="CM95" s="108">
        <v>19060.8</v>
      </c>
      <c r="CN95" s="108">
        <v>19</v>
      </c>
      <c r="CO95" s="108">
        <v>32923.199999999997</v>
      </c>
      <c r="CP95" s="108">
        <v>15</v>
      </c>
      <c r="CQ95" s="108">
        <v>25992</v>
      </c>
      <c r="CR95" s="108">
        <v>16</v>
      </c>
      <c r="CS95" s="108">
        <v>27724.799999999999</v>
      </c>
      <c r="CT95" s="108">
        <v>27</v>
      </c>
      <c r="CU95" s="108">
        <v>46785.599999999999</v>
      </c>
    </row>
    <row r="96" spans="2:99" x14ac:dyDescent="0.2">
      <c r="C96" s="107" t="s">
        <v>261</v>
      </c>
      <c r="D96" s="108">
        <v>28</v>
      </c>
      <c r="E96" s="108">
        <v>23049.599999999999</v>
      </c>
      <c r="F96" s="108">
        <v>40</v>
      </c>
      <c r="G96" s="108">
        <v>32928</v>
      </c>
      <c r="H96" s="108">
        <v>45</v>
      </c>
      <c r="I96" s="108">
        <v>37044</v>
      </c>
      <c r="J96" s="108">
        <v>42</v>
      </c>
      <c r="K96" s="108">
        <v>34574.399999999994</v>
      </c>
      <c r="L96" s="108">
        <v>94</v>
      </c>
      <c r="M96" s="108">
        <v>77380.799999999988</v>
      </c>
      <c r="N96" s="108">
        <v>94</v>
      </c>
      <c r="O96" s="108">
        <v>77380.799999999988</v>
      </c>
      <c r="P96" s="108">
        <v>54</v>
      </c>
      <c r="Q96" s="108">
        <v>44452.799999999996</v>
      </c>
      <c r="R96" s="108">
        <v>74</v>
      </c>
      <c r="S96" s="108">
        <v>60916.799999999996</v>
      </c>
      <c r="T96" s="108">
        <v>44</v>
      </c>
      <c r="U96" s="108">
        <v>36220.799999999996</v>
      </c>
      <c r="V96" s="108">
        <v>35</v>
      </c>
      <c r="W96" s="108">
        <v>28811.999999999996</v>
      </c>
      <c r="X96" s="108">
        <v>37</v>
      </c>
      <c r="Y96" s="108">
        <v>30458.399999999998</v>
      </c>
      <c r="Z96" s="108">
        <v>30</v>
      </c>
      <c r="AA96" s="108">
        <v>24695.999999999996</v>
      </c>
      <c r="AB96" s="108">
        <v>21</v>
      </c>
      <c r="AC96" s="108">
        <v>17287.199999999997</v>
      </c>
      <c r="AD96" s="108">
        <v>18</v>
      </c>
      <c r="AE96" s="108">
        <v>14817.599999999999</v>
      </c>
      <c r="AF96" s="108">
        <v>18</v>
      </c>
      <c r="AG96" s="108">
        <v>14817.599999999999</v>
      </c>
      <c r="AH96" s="108">
        <v>18</v>
      </c>
      <c r="AI96" s="108">
        <v>14817.599999999999</v>
      </c>
      <c r="AJ96" s="108">
        <v>25</v>
      </c>
      <c r="AK96" s="108">
        <v>20580</v>
      </c>
      <c r="AL96" s="108">
        <v>23</v>
      </c>
      <c r="AM96" s="108">
        <v>18933.599999999999</v>
      </c>
      <c r="AN96" s="108">
        <v>16</v>
      </c>
      <c r="AO96" s="108">
        <v>13171.199999999999</v>
      </c>
      <c r="AP96" s="108">
        <v>21</v>
      </c>
      <c r="AQ96" s="108">
        <v>17287.199999999997</v>
      </c>
      <c r="AR96" s="108">
        <v>7</v>
      </c>
      <c r="AS96" s="108">
        <v>5762.4</v>
      </c>
      <c r="AT96" s="108">
        <v>12</v>
      </c>
      <c r="AU96" s="108">
        <v>9878.4</v>
      </c>
      <c r="AV96" s="108">
        <v>10</v>
      </c>
      <c r="AW96" s="108">
        <v>8232</v>
      </c>
      <c r="AX96" s="108">
        <v>7</v>
      </c>
      <c r="AY96" s="108">
        <v>5762.4</v>
      </c>
      <c r="AZ96" s="108">
        <v>18</v>
      </c>
      <c r="BA96" s="108">
        <v>14817.599999999999</v>
      </c>
      <c r="BB96" s="108">
        <v>24</v>
      </c>
      <c r="BC96" s="108">
        <v>19756.8</v>
      </c>
      <c r="BD96" s="108">
        <v>21</v>
      </c>
      <c r="BE96" s="108">
        <v>17287.199999999997</v>
      </c>
      <c r="BF96" s="108">
        <v>26</v>
      </c>
      <c r="BG96" s="108">
        <v>21403.199999999997</v>
      </c>
      <c r="BH96" s="108">
        <v>31</v>
      </c>
      <c r="BI96" s="108">
        <v>25519.199999999997</v>
      </c>
      <c r="BJ96" s="108">
        <v>29</v>
      </c>
      <c r="BK96" s="108">
        <v>23872.799999999999</v>
      </c>
      <c r="BL96" s="108">
        <v>24</v>
      </c>
      <c r="BM96" s="108">
        <v>19756.8</v>
      </c>
      <c r="BN96" s="108">
        <v>25</v>
      </c>
      <c r="BO96" s="108">
        <v>20580</v>
      </c>
      <c r="BP96" s="108">
        <v>12</v>
      </c>
      <c r="BQ96" s="108">
        <v>9878.4</v>
      </c>
      <c r="BR96" s="108">
        <v>11</v>
      </c>
      <c r="BS96" s="108">
        <v>9055.1999999999989</v>
      </c>
      <c r="BT96" s="108">
        <v>9</v>
      </c>
      <c r="BU96" s="108">
        <v>7408.7999999999993</v>
      </c>
      <c r="BV96" s="108">
        <v>10</v>
      </c>
      <c r="BW96" s="108">
        <v>8232</v>
      </c>
      <c r="BX96" s="108">
        <v>22</v>
      </c>
      <c r="BY96" s="108">
        <v>18110.399999999998</v>
      </c>
      <c r="BZ96" s="108">
        <v>35</v>
      </c>
      <c r="CA96" s="108">
        <v>28811.999999999996</v>
      </c>
      <c r="CB96" s="108">
        <v>27</v>
      </c>
      <c r="CC96" s="108">
        <v>22226.399999999998</v>
      </c>
      <c r="CD96" s="108">
        <v>20</v>
      </c>
      <c r="CE96" s="108">
        <v>16464</v>
      </c>
      <c r="CF96" s="108">
        <v>15</v>
      </c>
      <c r="CG96" s="108">
        <v>12347.999999999998</v>
      </c>
      <c r="CH96" s="108">
        <v>14</v>
      </c>
      <c r="CI96" s="108">
        <v>11524.8</v>
      </c>
      <c r="CJ96" s="108">
        <v>15</v>
      </c>
      <c r="CK96" s="108">
        <v>12347.999999999998</v>
      </c>
      <c r="CL96" s="108">
        <v>11</v>
      </c>
      <c r="CM96" s="108">
        <v>9055.1999999999989</v>
      </c>
      <c r="CN96" s="108">
        <v>21</v>
      </c>
      <c r="CO96" s="108">
        <v>17287.199999999997</v>
      </c>
      <c r="CP96" s="108">
        <v>16</v>
      </c>
      <c r="CQ96" s="108">
        <v>13171.199999999999</v>
      </c>
      <c r="CR96" s="108">
        <v>21</v>
      </c>
      <c r="CS96" s="108">
        <v>17287.199999999997</v>
      </c>
      <c r="CT96" s="108">
        <v>30</v>
      </c>
      <c r="CU96" s="108">
        <v>24695.999999999996</v>
      </c>
    </row>
    <row r="97" spans="2:99" x14ac:dyDescent="0.2">
      <c r="C97" s="107" t="s">
        <v>262</v>
      </c>
      <c r="D97" s="108">
        <v>19</v>
      </c>
      <c r="E97" s="108">
        <v>34747.199999999997</v>
      </c>
      <c r="F97" s="108">
        <v>34</v>
      </c>
      <c r="G97" s="108">
        <v>62179.199999999997</v>
      </c>
      <c r="H97" s="108">
        <v>35</v>
      </c>
      <c r="I97" s="108">
        <v>64008</v>
      </c>
      <c r="J97" s="108">
        <v>35</v>
      </c>
      <c r="K97" s="108">
        <v>64008</v>
      </c>
      <c r="L97" s="108">
        <v>69</v>
      </c>
      <c r="M97" s="108">
        <v>126187.2</v>
      </c>
      <c r="N97" s="108">
        <v>79</v>
      </c>
      <c r="O97" s="108">
        <v>144475.19999999998</v>
      </c>
      <c r="P97" s="108">
        <v>44</v>
      </c>
      <c r="Q97" s="108">
        <v>80467.199999999997</v>
      </c>
      <c r="R97" s="108">
        <v>57</v>
      </c>
      <c r="S97" s="108">
        <v>104241.59999999999</v>
      </c>
      <c r="T97" s="108">
        <v>34</v>
      </c>
      <c r="U97" s="108">
        <v>62179.199999999997</v>
      </c>
      <c r="V97" s="108">
        <v>25</v>
      </c>
      <c r="W97" s="108">
        <v>45720</v>
      </c>
      <c r="X97" s="108">
        <v>31</v>
      </c>
      <c r="Y97" s="108">
        <v>56692.799999999996</v>
      </c>
      <c r="Z97" s="108">
        <v>21</v>
      </c>
      <c r="AA97" s="108">
        <v>38404.799999999996</v>
      </c>
      <c r="AB97" s="108">
        <v>17</v>
      </c>
      <c r="AC97" s="108">
        <v>31089.599999999999</v>
      </c>
      <c r="AD97" s="108">
        <v>16</v>
      </c>
      <c r="AE97" s="108">
        <v>29260.799999999999</v>
      </c>
      <c r="AF97" s="108">
        <v>15</v>
      </c>
      <c r="AG97" s="108">
        <v>27432</v>
      </c>
      <c r="AH97" s="108">
        <v>16</v>
      </c>
      <c r="AI97" s="108">
        <v>29260.799999999999</v>
      </c>
      <c r="AJ97" s="108">
        <v>21</v>
      </c>
      <c r="AK97" s="108">
        <v>38404.799999999996</v>
      </c>
      <c r="AL97" s="108">
        <v>22</v>
      </c>
      <c r="AM97" s="108">
        <v>40233.599999999999</v>
      </c>
      <c r="AN97" s="108">
        <v>13</v>
      </c>
      <c r="AO97" s="108">
        <v>23774.399999999998</v>
      </c>
      <c r="AP97" s="108">
        <v>17</v>
      </c>
      <c r="AQ97" s="108">
        <v>31089.599999999999</v>
      </c>
      <c r="AR97" s="108">
        <v>6</v>
      </c>
      <c r="AS97" s="108">
        <v>10972.8</v>
      </c>
      <c r="AT97" s="108">
        <v>12</v>
      </c>
      <c r="AU97" s="108">
        <v>21945.599999999999</v>
      </c>
      <c r="AV97" s="108">
        <v>9</v>
      </c>
      <c r="AW97" s="108">
        <v>16459.2</v>
      </c>
      <c r="AX97" s="108">
        <v>7</v>
      </c>
      <c r="AY97" s="108">
        <v>12801.6</v>
      </c>
      <c r="AZ97" s="108">
        <v>16</v>
      </c>
      <c r="BA97" s="108">
        <v>29260.799999999999</v>
      </c>
      <c r="BB97" s="108">
        <v>18</v>
      </c>
      <c r="BC97" s="108">
        <v>32918.400000000001</v>
      </c>
      <c r="BD97" s="108">
        <v>20</v>
      </c>
      <c r="BE97" s="108">
        <v>36576</v>
      </c>
      <c r="BF97" s="108">
        <v>23</v>
      </c>
      <c r="BG97" s="108">
        <v>42062.400000000001</v>
      </c>
      <c r="BH97" s="108">
        <v>25</v>
      </c>
      <c r="BI97" s="108">
        <v>45720</v>
      </c>
      <c r="BJ97" s="108">
        <v>24</v>
      </c>
      <c r="BK97" s="108">
        <v>43891.199999999997</v>
      </c>
      <c r="BL97" s="108">
        <v>21</v>
      </c>
      <c r="BM97" s="108">
        <v>38404.799999999996</v>
      </c>
      <c r="BN97" s="108">
        <v>20</v>
      </c>
      <c r="BO97" s="108">
        <v>36576</v>
      </c>
      <c r="BP97" s="108">
        <v>11</v>
      </c>
      <c r="BQ97" s="108">
        <v>20116.8</v>
      </c>
      <c r="BR97" s="108">
        <v>8</v>
      </c>
      <c r="BS97" s="108">
        <v>14630.4</v>
      </c>
      <c r="BT97" s="108">
        <v>8</v>
      </c>
      <c r="BU97" s="108">
        <v>14630.4</v>
      </c>
      <c r="BV97" s="108">
        <v>7</v>
      </c>
      <c r="BW97" s="108">
        <v>12801.6</v>
      </c>
      <c r="BX97" s="108">
        <v>16</v>
      </c>
      <c r="BY97" s="108">
        <v>29260.799999999999</v>
      </c>
      <c r="BZ97" s="108">
        <v>30</v>
      </c>
      <c r="CA97" s="108">
        <v>54864</v>
      </c>
      <c r="CB97" s="108">
        <v>28</v>
      </c>
      <c r="CC97" s="108">
        <v>51206.400000000001</v>
      </c>
      <c r="CD97" s="108">
        <v>18</v>
      </c>
      <c r="CE97" s="108">
        <v>32918.400000000001</v>
      </c>
      <c r="CF97" s="108">
        <v>15</v>
      </c>
      <c r="CG97" s="108">
        <v>27432</v>
      </c>
      <c r="CH97" s="108">
        <v>14</v>
      </c>
      <c r="CI97" s="108">
        <v>25603.200000000001</v>
      </c>
      <c r="CJ97" s="108">
        <v>12</v>
      </c>
      <c r="CK97" s="108">
        <v>21945.599999999999</v>
      </c>
      <c r="CL97" s="108">
        <v>11</v>
      </c>
      <c r="CM97" s="108">
        <v>20116.8</v>
      </c>
      <c r="CN97" s="108">
        <v>20</v>
      </c>
      <c r="CO97" s="108">
        <v>36576</v>
      </c>
      <c r="CP97" s="108">
        <v>13</v>
      </c>
      <c r="CQ97" s="108">
        <v>23774.399999999998</v>
      </c>
      <c r="CR97" s="108">
        <v>15</v>
      </c>
      <c r="CS97" s="108">
        <v>27432</v>
      </c>
      <c r="CT97" s="108">
        <v>28</v>
      </c>
      <c r="CU97" s="108">
        <v>51206.400000000001</v>
      </c>
    </row>
    <row r="98" spans="2:99" x14ac:dyDescent="0.2">
      <c r="C98" s="107" t="s">
        <v>263</v>
      </c>
      <c r="D98" s="108">
        <v>23</v>
      </c>
      <c r="E98" s="108">
        <v>29062.799999999999</v>
      </c>
      <c r="F98" s="108">
        <v>40</v>
      </c>
      <c r="G98" s="108">
        <v>50544</v>
      </c>
      <c r="H98" s="108">
        <v>46</v>
      </c>
      <c r="I98" s="108">
        <v>58125.599999999999</v>
      </c>
      <c r="J98" s="108">
        <v>38</v>
      </c>
      <c r="K98" s="108">
        <v>48016.799999999996</v>
      </c>
      <c r="L98" s="108">
        <v>83</v>
      </c>
      <c r="M98" s="108">
        <v>104878.79999999999</v>
      </c>
      <c r="N98" s="108">
        <v>85</v>
      </c>
      <c r="O98" s="108">
        <v>107405.99999999999</v>
      </c>
      <c r="P98" s="108">
        <v>52</v>
      </c>
      <c r="Q98" s="108">
        <v>65707.199999999997</v>
      </c>
      <c r="R98" s="108">
        <v>70</v>
      </c>
      <c r="S98" s="108">
        <v>88452</v>
      </c>
      <c r="T98" s="108">
        <v>40</v>
      </c>
      <c r="U98" s="108">
        <v>50544</v>
      </c>
      <c r="V98" s="108">
        <v>28</v>
      </c>
      <c r="W98" s="108">
        <v>35380.799999999996</v>
      </c>
      <c r="X98" s="108">
        <v>33</v>
      </c>
      <c r="Y98" s="108">
        <v>41698.799999999996</v>
      </c>
      <c r="Z98" s="108">
        <v>27</v>
      </c>
      <c r="AA98" s="108">
        <v>34117.199999999997</v>
      </c>
      <c r="AB98" s="108">
        <v>21</v>
      </c>
      <c r="AC98" s="108">
        <v>26535.599999999999</v>
      </c>
      <c r="AD98" s="108">
        <v>19</v>
      </c>
      <c r="AE98" s="108">
        <v>24008.399999999998</v>
      </c>
      <c r="AF98" s="108">
        <v>15</v>
      </c>
      <c r="AG98" s="108">
        <v>18954</v>
      </c>
      <c r="AH98" s="108">
        <v>16</v>
      </c>
      <c r="AI98" s="108">
        <v>20217.599999999999</v>
      </c>
      <c r="AJ98" s="108">
        <v>23</v>
      </c>
      <c r="AK98" s="108">
        <v>29062.799999999999</v>
      </c>
      <c r="AL98" s="108">
        <v>26</v>
      </c>
      <c r="AM98" s="108">
        <v>32853.599999999999</v>
      </c>
      <c r="AN98" s="108">
        <v>13</v>
      </c>
      <c r="AO98" s="108">
        <v>16426.8</v>
      </c>
      <c r="AP98" s="108">
        <v>21</v>
      </c>
      <c r="AQ98" s="108">
        <v>26535.599999999999</v>
      </c>
      <c r="AR98" s="108">
        <v>6</v>
      </c>
      <c r="AS98" s="108">
        <v>7581.5999999999995</v>
      </c>
      <c r="AT98" s="108">
        <v>12</v>
      </c>
      <c r="AU98" s="108">
        <v>15163.199999999999</v>
      </c>
      <c r="AV98" s="108">
        <v>9</v>
      </c>
      <c r="AW98" s="108">
        <v>11372.4</v>
      </c>
      <c r="AX98" s="108">
        <v>7</v>
      </c>
      <c r="AY98" s="108">
        <v>8845.1999999999989</v>
      </c>
      <c r="AZ98" s="108">
        <v>18</v>
      </c>
      <c r="BA98" s="108">
        <v>22744.799999999999</v>
      </c>
      <c r="BB98" s="108">
        <v>22</v>
      </c>
      <c r="BC98" s="108">
        <v>27799.199999999997</v>
      </c>
      <c r="BD98" s="108">
        <v>20</v>
      </c>
      <c r="BE98" s="108">
        <v>25272</v>
      </c>
      <c r="BF98" s="108">
        <v>23</v>
      </c>
      <c r="BG98" s="108">
        <v>29062.799999999999</v>
      </c>
      <c r="BH98" s="108">
        <v>26</v>
      </c>
      <c r="BI98" s="108">
        <v>32853.599999999999</v>
      </c>
      <c r="BJ98" s="108">
        <v>25</v>
      </c>
      <c r="BK98" s="108">
        <v>31589.999999999996</v>
      </c>
      <c r="BL98" s="108">
        <v>22</v>
      </c>
      <c r="BM98" s="108">
        <v>27799.199999999997</v>
      </c>
      <c r="BN98" s="108">
        <v>24</v>
      </c>
      <c r="BO98" s="108">
        <v>30326.399999999998</v>
      </c>
      <c r="BP98" s="108">
        <v>12</v>
      </c>
      <c r="BQ98" s="108">
        <v>15163.199999999999</v>
      </c>
      <c r="BR98" s="108">
        <v>10</v>
      </c>
      <c r="BS98" s="108">
        <v>12636</v>
      </c>
      <c r="BT98" s="108">
        <v>10</v>
      </c>
      <c r="BU98" s="108">
        <v>12636</v>
      </c>
      <c r="BV98" s="108">
        <v>9</v>
      </c>
      <c r="BW98" s="108">
        <v>11372.4</v>
      </c>
      <c r="BX98" s="108">
        <v>21</v>
      </c>
      <c r="BY98" s="108">
        <v>26535.599999999999</v>
      </c>
      <c r="BZ98" s="108">
        <v>28</v>
      </c>
      <c r="CA98" s="108">
        <v>35380.799999999996</v>
      </c>
      <c r="CB98" s="108">
        <v>25</v>
      </c>
      <c r="CC98" s="108">
        <v>31589.999999999996</v>
      </c>
      <c r="CD98" s="108">
        <v>22</v>
      </c>
      <c r="CE98" s="108">
        <v>27799.199999999997</v>
      </c>
      <c r="CF98" s="108">
        <v>14</v>
      </c>
      <c r="CG98" s="108">
        <v>17690.399999999998</v>
      </c>
      <c r="CH98" s="108">
        <v>15</v>
      </c>
      <c r="CI98" s="108">
        <v>18954</v>
      </c>
      <c r="CJ98" s="108">
        <v>13</v>
      </c>
      <c r="CK98" s="108">
        <v>16426.8</v>
      </c>
      <c r="CL98" s="108">
        <v>11</v>
      </c>
      <c r="CM98" s="108">
        <v>13899.599999999999</v>
      </c>
      <c r="CN98" s="108">
        <v>22</v>
      </c>
      <c r="CO98" s="108">
        <v>27799.199999999997</v>
      </c>
      <c r="CP98" s="108">
        <v>17</v>
      </c>
      <c r="CQ98" s="108">
        <v>21481.199999999997</v>
      </c>
      <c r="CR98" s="108">
        <v>18</v>
      </c>
      <c r="CS98" s="108">
        <v>22744.799999999999</v>
      </c>
      <c r="CT98" s="108">
        <v>30</v>
      </c>
      <c r="CU98" s="108">
        <v>37908</v>
      </c>
    </row>
    <row r="99" spans="2:99" x14ac:dyDescent="0.2">
      <c r="C99" s="107" t="s">
        <v>264</v>
      </c>
      <c r="D99" s="108">
        <v>12</v>
      </c>
      <c r="E99" s="108">
        <v>65779.199999999997</v>
      </c>
      <c r="F99" s="108">
        <v>20</v>
      </c>
      <c r="G99" s="108">
        <v>109631.99999999999</v>
      </c>
      <c r="H99" s="108">
        <v>24</v>
      </c>
      <c r="I99" s="108">
        <v>131558.39999999999</v>
      </c>
      <c r="J99" s="108">
        <v>21</v>
      </c>
      <c r="K99" s="108">
        <v>115113.59999999999</v>
      </c>
      <c r="L99" s="108">
        <v>38</v>
      </c>
      <c r="M99" s="108">
        <v>208300.79999999999</v>
      </c>
      <c r="N99" s="108">
        <v>39</v>
      </c>
      <c r="O99" s="108">
        <v>213782.39999999997</v>
      </c>
      <c r="P99" s="108">
        <v>21</v>
      </c>
      <c r="Q99" s="108">
        <v>115113.59999999999</v>
      </c>
      <c r="R99" s="108">
        <v>29</v>
      </c>
      <c r="S99" s="108">
        <v>158966.39999999999</v>
      </c>
      <c r="T99" s="108">
        <v>20</v>
      </c>
      <c r="U99" s="108">
        <v>109631.99999999999</v>
      </c>
      <c r="V99" s="108">
        <v>16</v>
      </c>
      <c r="W99" s="108">
        <v>87705.599999999991</v>
      </c>
      <c r="X99" s="108">
        <v>17</v>
      </c>
      <c r="Y99" s="108">
        <v>93187.199999999997</v>
      </c>
      <c r="Z99" s="108">
        <v>12</v>
      </c>
      <c r="AA99" s="108">
        <v>65779.199999999997</v>
      </c>
      <c r="AB99" s="108">
        <v>11</v>
      </c>
      <c r="AC99" s="108">
        <v>60297.599999999991</v>
      </c>
      <c r="AD99" s="108">
        <v>11</v>
      </c>
      <c r="AE99" s="108">
        <v>60297.599999999991</v>
      </c>
      <c r="AF99" s="108">
        <v>10</v>
      </c>
      <c r="AG99" s="108">
        <v>54815.999999999993</v>
      </c>
      <c r="AH99" s="108">
        <v>10</v>
      </c>
      <c r="AI99" s="108">
        <v>54815.999999999993</v>
      </c>
      <c r="AJ99" s="108">
        <v>14</v>
      </c>
      <c r="AK99" s="108">
        <v>76742.399999999994</v>
      </c>
      <c r="AL99" s="108">
        <v>15</v>
      </c>
      <c r="AM99" s="108">
        <v>82223.999999999985</v>
      </c>
      <c r="AN99" s="108">
        <v>8</v>
      </c>
      <c r="AO99" s="108">
        <v>43852.799999999996</v>
      </c>
      <c r="AP99" s="108">
        <v>11</v>
      </c>
      <c r="AQ99" s="108">
        <v>60297.599999999991</v>
      </c>
      <c r="AR99" s="108">
        <v>4</v>
      </c>
      <c r="AS99" s="108">
        <v>21926.399999999998</v>
      </c>
      <c r="AT99" s="108">
        <v>8</v>
      </c>
      <c r="AU99" s="108">
        <v>43852.799999999996</v>
      </c>
      <c r="AV99" s="108">
        <v>6</v>
      </c>
      <c r="AW99" s="108">
        <v>32889.599999999999</v>
      </c>
      <c r="AX99" s="108">
        <v>5</v>
      </c>
      <c r="AY99" s="108">
        <v>27407.999999999996</v>
      </c>
      <c r="AZ99" s="108">
        <v>12</v>
      </c>
      <c r="BA99" s="108">
        <v>65779.199999999997</v>
      </c>
      <c r="BB99" s="108">
        <v>12</v>
      </c>
      <c r="BC99" s="108">
        <v>65779.199999999997</v>
      </c>
      <c r="BD99" s="108">
        <v>13</v>
      </c>
      <c r="BE99" s="108">
        <v>71260.799999999988</v>
      </c>
      <c r="BF99" s="108">
        <v>16</v>
      </c>
      <c r="BG99" s="108">
        <v>87705.599999999991</v>
      </c>
      <c r="BH99" s="108">
        <v>17</v>
      </c>
      <c r="BI99" s="108">
        <v>93187.199999999997</v>
      </c>
      <c r="BJ99" s="108">
        <v>14</v>
      </c>
      <c r="BK99" s="108">
        <v>76742.399999999994</v>
      </c>
      <c r="BL99" s="108">
        <v>15</v>
      </c>
      <c r="BM99" s="108">
        <v>82223.999999999985</v>
      </c>
      <c r="BN99" s="108">
        <v>12</v>
      </c>
      <c r="BO99" s="108">
        <v>65779.199999999997</v>
      </c>
      <c r="BP99" s="108">
        <v>7</v>
      </c>
      <c r="BQ99" s="108">
        <v>38371.199999999997</v>
      </c>
      <c r="BR99" s="108">
        <v>7</v>
      </c>
      <c r="BS99" s="108">
        <v>38371.199999999997</v>
      </c>
      <c r="BT99" s="108">
        <v>6</v>
      </c>
      <c r="BU99" s="108">
        <v>32889.599999999999</v>
      </c>
      <c r="BV99" s="108">
        <v>6</v>
      </c>
      <c r="BW99" s="108">
        <v>32889.599999999999</v>
      </c>
      <c r="BX99" s="108">
        <v>11</v>
      </c>
      <c r="BY99" s="108">
        <v>60297.599999999991</v>
      </c>
      <c r="BZ99" s="108">
        <v>17</v>
      </c>
      <c r="CA99" s="108">
        <v>93187.199999999997</v>
      </c>
      <c r="CB99" s="108">
        <v>15</v>
      </c>
      <c r="CC99" s="108">
        <v>82223.999999999985</v>
      </c>
      <c r="CD99" s="108">
        <v>12</v>
      </c>
      <c r="CE99" s="108">
        <v>65779.199999999997</v>
      </c>
      <c r="CF99" s="108">
        <v>10</v>
      </c>
      <c r="CG99" s="108">
        <v>54815.999999999993</v>
      </c>
      <c r="CH99" s="108">
        <v>10</v>
      </c>
      <c r="CI99" s="108">
        <v>54815.999999999993</v>
      </c>
      <c r="CJ99" s="108">
        <v>10</v>
      </c>
      <c r="CK99" s="108">
        <v>54815.999999999993</v>
      </c>
      <c r="CL99" s="108">
        <v>8</v>
      </c>
      <c r="CM99" s="108">
        <v>43852.799999999996</v>
      </c>
      <c r="CN99" s="108">
        <v>13</v>
      </c>
      <c r="CO99" s="108">
        <v>71260.799999999988</v>
      </c>
      <c r="CP99" s="108">
        <v>8</v>
      </c>
      <c r="CQ99" s="108">
        <v>43852.799999999996</v>
      </c>
      <c r="CR99" s="108">
        <v>11</v>
      </c>
      <c r="CS99" s="108">
        <v>60297.599999999991</v>
      </c>
      <c r="CT99" s="108">
        <v>17</v>
      </c>
      <c r="CU99" s="108">
        <v>93187.199999999997</v>
      </c>
    </row>
    <row r="100" spans="2:99" x14ac:dyDescent="0.2">
      <c r="C100" s="107" t="s">
        <v>265</v>
      </c>
      <c r="D100" s="108">
        <v>22</v>
      </c>
      <c r="E100" s="108">
        <v>35692.799999999996</v>
      </c>
      <c r="F100" s="108">
        <v>35</v>
      </c>
      <c r="G100" s="108">
        <v>56783.999999999993</v>
      </c>
      <c r="H100" s="108">
        <v>41</v>
      </c>
      <c r="I100" s="108">
        <v>66518.399999999994</v>
      </c>
      <c r="J100" s="108">
        <v>38</v>
      </c>
      <c r="K100" s="108">
        <v>61651.199999999997</v>
      </c>
      <c r="L100" s="108">
        <v>80</v>
      </c>
      <c r="M100" s="108">
        <v>129791.99999999999</v>
      </c>
      <c r="N100" s="108">
        <v>79</v>
      </c>
      <c r="O100" s="108">
        <v>128169.59999999999</v>
      </c>
      <c r="P100" s="108">
        <v>50</v>
      </c>
      <c r="Q100" s="108">
        <v>81120</v>
      </c>
      <c r="R100" s="108">
        <v>64</v>
      </c>
      <c r="S100" s="108">
        <v>103833.59999999999</v>
      </c>
      <c r="T100" s="108">
        <v>35</v>
      </c>
      <c r="U100" s="108">
        <v>56783.999999999993</v>
      </c>
      <c r="V100" s="108">
        <v>27</v>
      </c>
      <c r="W100" s="108">
        <v>43804.799999999996</v>
      </c>
      <c r="X100" s="108">
        <v>30</v>
      </c>
      <c r="Y100" s="108">
        <v>48671.999999999993</v>
      </c>
      <c r="Z100" s="108">
        <v>25</v>
      </c>
      <c r="AA100" s="108">
        <v>40560</v>
      </c>
      <c r="AB100" s="108">
        <v>17</v>
      </c>
      <c r="AC100" s="108">
        <v>27580.799999999999</v>
      </c>
      <c r="AD100" s="108">
        <v>17</v>
      </c>
      <c r="AE100" s="108">
        <v>27580.799999999999</v>
      </c>
      <c r="AF100" s="108">
        <v>14</v>
      </c>
      <c r="AG100" s="108">
        <v>22713.599999999999</v>
      </c>
      <c r="AH100" s="108">
        <v>17</v>
      </c>
      <c r="AI100" s="108">
        <v>27580.799999999999</v>
      </c>
      <c r="AJ100" s="108">
        <v>24</v>
      </c>
      <c r="AK100" s="108">
        <v>38937.599999999999</v>
      </c>
      <c r="AL100" s="108">
        <v>23</v>
      </c>
      <c r="AM100" s="108">
        <v>37315.199999999997</v>
      </c>
      <c r="AN100" s="108">
        <v>12</v>
      </c>
      <c r="AO100" s="108">
        <v>19468.8</v>
      </c>
      <c r="AP100" s="108">
        <v>19</v>
      </c>
      <c r="AQ100" s="108">
        <v>30825.599999999999</v>
      </c>
      <c r="AR100" s="108">
        <v>6</v>
      </c>
      <c r="AS100" s="108">
        <v>9734.4</v>
      </c>
      <c r="AT100" s="108">
        <v>10</v>
      </c>
      <c r="AU100" s="108">
        <v>16223.999999999998</v>
      </c>
      <c r="AV100" s="108">
        <v>10</v>
      </c>
      <c r="AW100" s="108">
        <v>16223.999999999998</v>
      </c>
      <c r="AX100" s="108">
        <v>6</v>
      </c>
      <c r="AY100" s="108">
        <v>9734.4</v>
      </c>
      <c r="AZ100" s="108">
        <v>19</v>
      </c>
      <c r="BA100" s="108">
        <v>30825.599999999999</v>
      </c>
      <c r="BB100" s="108">
        <v>20</v>
      </c>
      <c r="BC100" s="108">
        <v>32447.999999999996</v>
      </c>
      <c r="BD100" s="108">
        <v>20</v>
      </c>
      <c r="BE100" s="108">
        <v>32447.999999999996</v>
      </c>
      <c r="BF100" s="108">
        <v>24</v>
      </c>
      <c r="BG100" s="108">
        <v>38937.599999999999</v>
      </c>
      <c r="BH100" s="108">
        <v>26</v>
      </c>
      <c r="BI100" s="108">
        <v>42182.399999999994</v>
      </c>
      <c r="BJ100" s="108">
        <v>27</v>
      </c>
      <c r="BK100" s="108">
        <v>43804.799999999996</v>
      </c>
      <c r="BL100" s="108">
        <v>24</v>
      </c>
      <c r="BM100" s="108">
        <v>38937.599999999999</v>
      </c>
      <c r="BN100" s="108">
        <v>22</v>
      </c>
      <c r="BO100" s="108">
        <v>35692.799999999996</v>
      </c>
      <c r="BP100" s="108">
        <v>11</v>
      </c>
      <c r="BQ100" s="108">
        <v>17846.399999999998</v>
      </c>
      <c r="BR100" s="108">
        <v>9</v>
      </c>
      <c r="BS100" s="108">
        <v>14601.599999999999</v>
      </c>
      <c r="BT100" s="108">
        <v>9</v>
      </c>
      <c r="BU100" s="108">
        <v>14601.599999999999</v>
      </c>
      <c r="BV100" s="108">
        <v>8</v>
      </c>
      <c r="BW100" s="108">
        <v>12979.199999999999</v>
      </c>
      <c r="BX100" s="108">
        <v>17</v>
      </c>
      <c r="BY100" s="108">
        <v>27580.799999999999</v>
      </c>
      <c r="BZ100" s="108">
        <v>29</v>
      </c>
      <c r="CA100" s="108">
        <v>47049.599999999999</v>
      </c>
      <c r="CB100" s="108">
        <v>26</v>
      </c>
      <c r="CC100" s="108">
        <v>42182.399999999994</v>
      </c>
      <c r="CD100" s="108">
        <v>20</v>
      </c>
      <c r="CE100" s="108">
        <v>32447.999999999996</v>
      </c>
      <c r="CF100" s="108">
        <v>14</v>
      </c>
      <c r="CG100" s="108">
        <v>22713.599999999999</v>
      </c>
      <c r="CH100" s="108">
        <v>13</v>
      </c>
      <c r="CI100" s="108">
        <v>21091.199999999997</v>
      </c>
      <c r="CJ100" s="108">
        <v>14</v>
      </c>
      <c r="CK100" s="108">
        <v>22713.599999999999</v>
      </c>
      <c r="CL100" s="108">
        <v>10</v>
      </c>
      <c r="CM100" s="108">
        <v>16223.999999999998</v>
      </c>
      <c r="CN100" s="108">
        <v>19</v>
      </c>
      <c r="CO100" s="108">
        <v>30825.599999999999</v>
      </c>
      <c r="CP100" s="108">
        <v>15</v>
      </c>
      <c r="CQ100" s="108">
        <v>24335.999999999996</v>
      </c>
      <c r="CR100" s="108">
        <v>16</v>
      </c>
      <c r="CS100" s="108">
        <v>25958.399999999998</v>
      </c>
      <c r="CT100" s="108">
        <v>27</v>
      </c>
      <c r="CU100" s="108">
        <v>43804.799999999996</v>
      </c>
    </row>
    <row r="101" spans="2:99" x14ac:dyDescent="0.2">
      <c r="C101" s="107" t="s">
        <v>266</v>
      </c>
      <c r="D101" s="108">
        <v>22</v>
      </c>
      <c r="E101" s="108">
        <v>26188.799999999996</v>
      </c>
      <c r="F101" s="108">
        <v>38</v>
      </c>
      <c r="G101" s="108">
        <v>45235.199999999997</v>
      </c>
      <c r="H101" s="108">
        <v>42</v>
      </c>
      <c r="I101" s="108">
        <v>49996.799999999996</v>
      </c>
      <c r="J101" s="108">
        <v>40</v>
      </c>
      <c r="K101" s="108">
        <v>47615.999999999993</v>
      </c>
      <c r="L101" s="108">
        <v>89</v>
      </c>
      <c r="M101" s="108">
        <v>105945.59999999999</v>
      </c>
      <c r="N101" s="108">
        <v>82</v>
      </c>
      <c r="O101" s="108">
        <v>97612.799999999988</v>
      </c>
      <c r="P101" s="108">
        <v>56</v>
      </c>
      <c r="Q101" s="108">
        <v>66662.399999999994</v>
      </c>
      <c r="R101" s="108">
        <v>70</v>
      </c>
      <c r="S101" s="108">
        <v>83327.999999999985</v>
      </c>
      <c r="T101" s="108">
        <v>35</v>
      </c>
      <c r="U101" s="108">
        <v>41663.999999999993</v>
      </c>
      <c r="V101" s="108">
        <v>33</v>
      </c>
      <c r="W101" s="108">
        <v>39283.199999999997</v>
      </c>
      <c r="X101" s="108">
        <v>37</v>
      </c>
      <c r="Y101" s="108">
        <v>44044.799999999996</v>
      </c>
      <c r="Z101" s="108">
        <v>24</v>
      </c>
      <c r="AA101" s="108">
        <v>28569.599999999999</v>
      </c>
      <c r="AB101" s="108">
        <v>18</v>
      </c>
      <c r="AC101" s="108">
        <v>21427.199999999997</v>
      </c>
      <c r="AD101" s="108">
        <v>17</v>
      </c>
      <c r="AE101" s="108">
        <v>20236.8</v>
      </c>
      <c r="AF101" s="108">
        <v>17</v>
      </c>
      <c r="AG101" s="108">
        <v>20236.8</v>
      </c>
      <c r="AH101" s="108">
        <v>17</v>
      </c>
      <c r="AI101" s="108">
        <v>20236.8</v>
      </c>
      <c r="AJ101" s="108">
        <v>25</v>
      </c>
      <c r="AK101" s="108">
        <v>29759.999999999996</v>
      </c>
      <c r="AL101" s="108">
        <v>26</v>
      </c>
      <c r="AM101" s="108">
        <v>30950.399999999998</v>
      </c>
      <c r="AN101" s="108">
        <v>14</v>
      </c>
      <c r="AO101" s="108">
        <v>16665.599999999999</v>
      </c>
      <c r="AP101" s="108">
        <v>20</v>
      </c>
      <c r="AQ101" s="108">
        <v>23807.999999999996</v>
      </c>
      <c r="AR101" s="108">
        <v>7</v>
      </c>
      <c r="AS101" s="108">
        <v>8332.7999999999993</v>
      </c>
      <c r="AT101" s="108">
        <v>13</v>
      </c>
      <c r="AU101" s="108">
        <v>15475.199999999999</v>
      </c>
      <c r="AV101" s="108">
        <v>9</v>
      </c>
      <c r="AW101" s="108">
        <v>10713.599999999999</v>
      </c>
      <c r="AX101" s="108">
        <v>7</v>
      </c>
      <c r="AY101" s="108">
        <v>8332.7999999999993</v>
      </c>
      <c r="AZ101" s="108">
        <v>18</v>
      </c>
      <c r="BA101" s="108">
        <v>21427.199999999997</v>
      </c>
      <c r="BB101" s="108">
        <v>19</v>
      </c>
      <c r="BC101" s="108">
        <v>22617.599999999999</v>
      </c>
      <c r="BD101" s="108">
        <v>21</v>
      </c>
      <c r="BE101" s="108">
        <v>24998.399999999998</v>
      </c>
      <c r="BF101" s="108">
        <v>23</v>
      </c>
      <c r="BG101" s="108">
        <v>27379.199999999997</v>
      </c>
      <c r="BH101" s="108">
        <v>28</v>
      </c>
      <c r="BI101" s="108">
        <v>33331.199999999997</v>
      </c>
      <c r="BJ101" s="108">
        <v>26</v>
      </c>
      <c r="BK101" s="108">
        <v>30950.399999999998</v>
      </c>
      <c r="BL101" s="108">
        <v>22</v>
      </c>
      <c r="BM101" s="108">
        <v>26188.799999999996</v>
      </c>
      <c r="BN101" s="108">
        <v>22</v>
      </c>
      <c r="BO101" s="108">
        <v>26188.799999999996</v>
      </c>
      <c r="BP101" s="108">
        <v>11</v>
      </c>
      <c r="BQ101" s="108">
        <v>13094.399999999998</v>
      </c>
      <c r="BR101" s="108">
        <v>9</v>
      </c>
      <c r="BS101" s="108">
        <v>10713.599999999999</v>
      </c>
      <c r="BT101" s="108">
        <v>9</v>
      </c>
      <c r="BU101" s="108">
        <v>10713.599999999999</v>
      </c>
      <c r="BV101" s="108">
        <v>9</v>
      </c>
      <c r="BW101" s="108">
        <v>10713.599999999999</v>
      </c>
      <c r="BX101" s="108">
        <v>19</v>
      </c>
      <c r="BY101" s="108">
        <v>22617.599999999999</v>
      </c>
      <c r="BZ101" s="108">
        <v>33</v>
      </c>
      <c r="CA101" s="108">
        <v>39283.199999999997</v>
      </c>
      <c r="CB101" s="108">
        <v>28</v>
      </c>
      <c r="CC101" s="108">
        <v>33331.199999999997</v>
      </c>
      <c r="CD101" s="108">
        <v>22</v>
      </c>
      <c r="CE101" s="108">
        <v>26188.799999999996</v>
      </c>
      <c r="CF101" s="108">
        <v>15</v>
      </c>
      <c r="CG101" s="108">
        <v>17855.999999999996</v>
      </c>
      <c r="CH101" s="108">
        <v>14</v>
      </c>
      <c r="CI101" s="108">
        <v>16665.599999999999</v>
      </c>
      <c r="CJ101" s="108">
        <v>13</v>
      </c>
      <c r="CK101" s="108">
        <v>15475.199999999999</v>
      </c>
      <c r="CL101" s="108">
        <v>12</v>
      </c>
      <c r="CM101" s="108">
        <v>14284.8</v>
      </c>
      <c r="CN101" s="108">
        <v>22</v>
      </c>
      <c r="CO101" s="108">
        <v>26188.799999999996</v>
      </c>
      <c r="CP101" s="108">
        <v>16</v>
      </c>
      <c r="CQ101" s="108">
        <v>19046.399999999998</v>
      </c>
      <c r="CR101" s="108">
        <v>17</v>
      </c>
      <c r="CS101" s="108">
        <v>20236.8</v>
      </c>
      <c r="CT101" s="108">
        <v>27</v>
      </c>
      <c r="CU101" s="108">
        <v>32140.799999999996</v>
      </c>
    </row>
    <row r="102" spans="2:99" x14ac:dyDescent="0.2">
      <c r="C102" s="107" t="s">
        <v>267</v>
      </c>
      <c r="D102" s="108">
        <v>21</v>
      </c>
      <c r="E102" s="108">
        <v>40723.199999999997</v>
      </c>
      <c r="F102" s="108">
        <v>32</v>
      </c>
      <c r="G102" s="108">
        <v>62054.399999999994</v>
      </c>
      <c r="H102" s="108">
        <v>34</v>
      </c>
      <c r="I102" s="108">
        <v>65932.799999999988</v>
      </c>
      <c r="J102" s="108">
        <v>41</v>
      </c>
      <c r="K102" s="108">
        <v>79507.199999999997</v>
      </c>
      <c r="L102" s="108">
        <v>71</v>
      </c>
      <c r="M102" s="108">
        <v>137683.19999999998</v>
      </c>
      <c r="N102" s="108">
        <v>70</v>
      </c>
      <c r="O102" s="108">
        <v>135744</v>
      </c>
      <c r="P102" s="108">
        <v>44</v>
      </c>
      <c r="Q102" s="108">
        <v>85324.799999999988</v>
      </c>
      <c r="R102" s="108">
        <v>57</v>
      </c>
      <c r="S102" s="108">
        <v>110534.39999999999</v>
      </c>
      <c r="T102" s="108">
        <v>31</v>
      </c>
      <c r="U102" s="108">
        <v>60115.199999999997</v>
      </c>
      <c r="V102" s="108">
        <v>26</v>
      </c>
      <c r="W102" s="108">
        <v>50419.199999999997</v>
      </c>
      <c r="X102" s="108">
        <v>33</v>
      </c>
      <c r="Y102" s="108">
        <v>63993.599999999991</v>
      </c>
      <c r="Z102" s="108">
        <v>24</v>
      </c>
      <c r="AA102" s="108">
        <v>46540.799999999996</v>
      </c>
      <c r="AB102" s="108">
        <v>18</v>
      </c>
      <c r="AC102" s="108">
        <v>34905.599999999999</v>
      </c>
      <c r="AD102" s="108">
        <v>17</v>
      </c>
      <c r="AE102" s="108">
        <v>32966.399999999994</v>
      </c>
      <c r="AF102" s="108">
        <v>14</v>
      </c>
      <c r="AG102" s="108">
        <v>27148.799999999996</v>
      </c>
      <c r="AH102" s="108">
        <v>15</v>
      </c>
      <c r="AI102" s="108">
        <v>29087.999999999996</v>
      </c>
      <c r="AJ102" s="108">
        <v>24</v>
      </c>
      <c r="AK102" s="108">
        <v>46540.799999999996</v>
      </c>
      <c r="AL102" s="108">
        <v>22</v>
      </c>
      <c r="AM102" s="108">
        <v>42662.399999999994</v>
      </c>
      <c r="AN102" s="108">
        <v>13</v>
      </c>
      <c r="AO102" s="108">
        <v>25209.599999999999</v>
      </c>
      <c r="AP102" s="108">
        <v>18</v>
      </c>
      <c r="AQ102" s="108">
        <v>34905.599999999999</v>
      </c>
      <c r="AR102" s="108">
        <v>6</v>
      </c>
      <c r="AS102" s="108">
        <v>11635.199999999999</v>
      </c>
      <c r="AT102" s="108">
        <v>12</v>
      </c>
      <c r="AU102" s="108">
        <v>23270.399999999998</v>
      </c>
      <c r="AV102" s="108">
        <v>9</v>
      </c>
      <c r="AW102" s="108">
        <v>17452.8</v>
      </c>
      <c r="AX102" s="108">
        <v>6</v>
      </c>
      <c r="AY102" s="108">
        <v>11635.199999999999</v>
      </c>
      <c r="AZ102" s="108">
        <v>18</v>
      </c>
      <c r="BA102" s="108">
        <v>34905.599999999999</v>
      </c>
      <c r="BB102" s="108">
        <v>18</v>
      </c>
      <c r="BC102" s="108">
        <v>34905.599999999999</v>
      </c>
      <c r="BD102" s="108">
        <v>19</v>
      </c>
      <c r="BE102" s="108">
        <v>36844.799999999996</v>
      </c>
      <c r="BF102" s="108">
        <v>24</v>
      </c>
      <c r="BG102" s="108">
        <v>46540.799999999996</v>
      </c>
      <c r="BH102" s="108">
        <v>26</v>
      </c>
      <c r="BI102" s="108">
        <v>50419.199999999997</v>
      </c>
      <c r="BJ102" s="108">
        <v>24</v>
      </c>
      <c r="BK102" s="108">
        <v>46540.799999999996</v>
      </c>
      <c r="BL102" s="108">
        <v>22</v>
      </c>
      <c r="BM102" s="108">
        <v>42662.399999999994</v>
      </c>
      <c r="BN102" s="108">
        <v>21</v>
      </c>
      <c r="BO102" s="108">
        <v>40723.199999999997</v>
      </c>
      <c r="BP102" s="108">
        <v>10</v>
      </c>
      <c r="BQ102" s="108">
        <v>19392</v>
      </c>
      <c r="BR102" s="108">
        <v>8</v>
      </c>
      <c r="BS102" s="108">
        <v>15513.599999999999</v>
      </c>
      <c r="BT102" s="108">
        <v>9</v>
      </c>
      <c r="BU102" s="108">
        <v>17452.8</v>
      </c>
      <c r="BV102" s="108">
        <v>7</v>
      </c>
      <c r="BW102" s="108">
        <v>13574.399999999998</v>
      </c>
      <c r="BX102" s="108">
        <v>19</v>
      </c>
      <c r="BY102" s="108">
        <v>36844.799999999996</v>
      </c>
      <c r="BZ102" s="108">
        <v>30</v>
      </c>
      <c r="CA102" s="108">
        <v>58175.999999999993</v>
      </c>
      <c r="CB102" s="108">
        <v>26</v>
      </c>
      <c r="CC102" s="108">
        <v>50419.199999999997</v>
      </c>
      <c r="CD102" s="108">
        <v>20</v>
      </c>
      <c r="CE102" s="108">
        <v>38784</v>
      </c>
      <c r="CF102" s="108">
        <v>15</v>
      </c>
      <c r="CG102" s="108">
        <v>29087.999999999996</v>
      </c>
      <c r="CH102" s="108">
        <v>12</v>
      </c>
      <c r="CI102" s="108">
        <v>23270.399999999998</v>
      </c>
      <c r="CJ102" s="108">
        <v>12</v>
      </c>
      <c r="CK102" s="108">
        <v>23270.399999999998</v>
      </c>
      <c r="CL102" s="108">
        <v>10</v>
      </c>
      <c r="CM102" s="108">
        <v>19392</v>
      </c>
      <c r="CN102" s="108">
        <v>20</v>
      </c>
      <c r="CO102" s="108">
        <v>38784</v>
      </c>
      <c r="CP102" s="108">
        <v>14</v>
      </c>
      <c r="CQ102" s="108">
        <v>27148.799999999996</v>
      </c>
      <c r="CR102" s="108">
        <v>15</v>
      </c>
      <c r="CS102" s="108">
        <v>29087.999999999996</v>
      </c>
      <c r="CT102" s="108">
        <v>26</v>
      </c>
      <c r="CU102" s="108">
        <v>50419.199999999997</v>
      </c>
    </row>
    <row r="103" spans="2:99" x14ac:dyDescent="0.2">
      <c r="C103" s="107" t="s">
        <v>268</v>
      </c>
      <c r="D103" s="108">
        <v>19</v>
      </c>
      <c r="E103" s="108">
        <v>38532</v>
      </c>
      <c r="F103" s="108">
        <v>34</v>
      </c>
      <c r="G103" s="108">
        <v>68952</v>
      </c>
      <c r="H103" s="108">
        <v>35</v>
      </c>
      <c r="I103" s="108">
        <v>70980</v>
      </c>
      <c r="J103" s="108">
        <v>40</v>
      </c>
      <c r="K103" s="108">
        <v>81120</v>
      </c>
      <c r="L103" s="108">
        <v>78</v>
      </c>
      <c r="M103" s="108">
        <v>158184</v>
      </c>
      <c r="N103" s="108">
        <v>66</v>
      </c>
      <c r="O103" s="108">
        <v>133848</v>
      </c>
      <c r="P103" s="108">
        <v>42</v>
      </c>
      <c r="Q103" s="108">
        <v>85176</v>
      </c>
      <c r="R103" s="108">
        <v>54</v>
      </c>
      <c r="S103" s="108">
        <v>109512</v>
      </c>
      <c r="T103" s="108">
        <v>32</v>
      </c>
      <c r="U103" s="108">
        <v>64896</v>
      </c>
      <c r="V103" s="108">
        <v>25</v>
      </c>
      <c r="W103" s="108">
        <v>50700</v>
      </c>
      <c r="X103" s="108">
        <v>30</v>
      </c>
      <c r="Y103" s="108">
        <v>60840</v>
      </c>
      <c r="Z103" s="108">
        <v>20</v>
      </c>
      <c r="AA103" s="108">
        <v>40560</v>
      </c>
      <c r="AB103" s="108">
        <v>16</v>
      </c>
      <c r="AC103" s="108">
        <v>32448</v>
      </c>
      <c r="AD103" s="108">
        <v>17</v>
      </c>
      <c r="AE103" s="108">
        <v>34476</v>
      </c>
      <c r="AF103" s="108">
        <v>15</v>
      </c>
      <c r="AG103" s="108">
        <v>30420</v>
      </c>
      <c r="AH103" s="108">
        <v>14</v>
      </c>
      <c r="AI103" s="108">
        <v>28392</v>
      </c>
      <c r="AJ103" s="108">
        <v>23</v>
      </c>
      <c r="AK103" s="108">
        <v>46644</v>
      </c>
      <c r="AL103" s="108">
        <v>23</v>
      </c>
      <c r="AM103" s="108">
        <v>46644</v>
      </c>
      <c r="AN103" s="108">
        <v>11</v>
      </c>
      <c r="AO103" s="108">
        <v>22308</v>
      </c>
      <c r="AP103" s="108">
        <v>16</v>
      </c>
      <c r="AQ103" s="108">
        <v>32448</v>
      </c>
      <c r="AR103" s="108">
        <v>6</v>
      </c>
      <c r="AS103" s="108">
        <v>12168</v>
      </c>
      <c r="AT103" s="108">
        <v>11</v>
      </c>
      <c r="AU103" s="108">
        <v>22308</v>
      </c>
      <c r="AV103" s="108">
        <v>9</v>
      </c>
      <c r="AW103" s="108">
        <v>18252</v>
      </c>
      <c r="AX103" s="108">
        <v>6</v>
      </c>
      <c r="AY103" s="108">
        <v>12168</v>
      </c>
      <c r="AZ103" s="108">
        <v>16</v>
      </c>
      <c r="BA103" s="108">
        <v>32448</v>
      </c>
      <c r="BB103" s="108">
        <v>17</v>
      </c>
      <c r="BC103" s="108">
        <v>34476</v>
      </c>
      <c r="BD103" s="108">
        <v>19</v>
      </c>
      <c r="BE103" s="108">
        <v>38532</v>
      </c>
      <c r="BF103" s="108">
        <v>24</v>
      </c>
      <c r="BG103" s="108">
        <v>48672</v>
      </c>
      <c r="BH103" s="108">
        <v>22</v>
      </c>
      <c r="BI103" s="108">
        <v>44616</v>
      </c>
      <c r="BJ103" s="108">
        <v>22</v>
      </c>
      <c r="BK103" s="108">
        <v>44616</v>
      </c>
      <c r="BL103" s="108">
        <v>20</v>
      </c>
      <c r="BM103" s="108">
        <v>40560</v>
      </c>
      <c r="BN103" s="108">
        <v>21</v>
      </c>
      <c r="BO103" s="108">
        <v>42588</v>
      </c>
      <c r="BP103" s="108">
        <v>11</v>
      </c>
      <c r="BQ103" s="108">
        <v>22308</v>
      </c>
      <c r="BR103" s="108">
        <v>9</v>
      </c>
      <c r="BS103" s="108">
        <v>18252</v>
      </c>
      <c r="BT103" s="108">
        <v>8</v>
      </c>
      <c r="BU103" s="108">
        <v>16224</v>
      </c>
      <c r="BV103" s="108">
        <v>7</v>
      </c>
      <c r="BW103" s="108">
        <v>14196</v>
      </c>
      <c r="BX103" s="108">
        <v>18</v>
      </c>
      <c r="BY103" s="108">
        <v>36504</v>
      </c>
      <c r="BZ103" s="108">
        <v>29</v>
      </c>
      <c r="CA103" s="108">
        <v>58812</v>
      </c>
      <c r="CB103" s="108">
        <v>26</v>
      </c>
      <c r="CC103" s="108">
        <v>52728</v>
      </c>
      <c r="CD103" s="108">
        <v>20</v>
      </c>
      <c r="CE103" s="108">
        <v>40560</v>
      </c>
      <c r="CF103" s="108">
        <v>13</v>
      </c>
      <c r="CG103" s="108">
        <v>26364</v>
      </c>
      <c r="CH103" s="108">
        <v>12</v>
      </c>
      <c r="CI103" s="108">
        <v>24336</v>
      </c>
      <c r="CJ103" s="108">
        <v>12</v>
      </c>
      <c r="CK103" s="108">
        <v>24336</v>
      </c>
      <c r="CL103" s="108">
        <v>9</v>
      </c>
      <c r="CM103" s="108">
        <v>18252</v>
      </c>
      <c r="CN103" s="108">
        <v>19</v>
      </c>
      <c r="CO103" s="108">
        <v>38532</v>
      </c>
      <c r="CP103" s="108">
        <v>13</v>
      </c>
      <c r="CQ103" s="108">
        <v>26364</v>
      </c>
      <c r="CR103" s="108">
        <v>17</v>
      </c>
      <c r="CS103" s="108">
        <v>34476</v>
      </c>
      <c r="CT103" s="108">
        <v>26</v>
      </c>
      <c r="CU103" s="108">
        <v>52728</v>
      </c>
    </row>
    <row r="104" spans="2:99" x14ac:dyDescent="0.2">
      <c r="C104" s="107" t="s">
        <v>269</v>
      </c>
      <c r="D104" s="108">
        <v>21</v>
      </c>
      <c r="E104" s="108">
        <v>43520.4</v>
      </c>
      <c r="F104" s="108">
        <v>33</v>
      </c>
      <c r="G104" s="108">
        <v>68389.2</v>
      </c>
      <c r="H104" s="108">
        <v>34</v>
      </c>
      <c r="I104" s="108">
        <v>70461.600000000006</v>
      </c>
      <c r="J104" s="108">
        <v>37</v>
      </c>
      <c r="K104" s="108">
        <v>76678.8</v>
      </c>
      <c r="L104" s="108">
        <v>76</v>
      </c>
      <c r="M104" s="108">
        <v>157502.39999999999</v>
      </c>
      <c r="N104" s="108">
        <v>78</v>
      </c>
      <c r="O104" s="108">
        <v>161647.20000000001</v>
      </c>
      <c r="P104" s="108">
        <v>38</v>
      </c>
      <c r="Q104" s="108">
        <v>78751.199999999997</v>
      </c>
      <c r="R104" s="108">
        <v>60</v>
      </c>
      <c r="S104" s="108">
        <v>124344</v>
      </c>
      <c r="T104" s="108">
        <v>33</v>
      </c>
      <c r="U104" s="108">
        <v>68389.2</v>
      </c>
      <c r="V104" s="108">
        <v>27</v>
      </c>
      <c r="W104" s="108">
        <v>55954.8</v>
      </c>
      <c r="X104" s="108">
        <v>30</v>
      </c>
      <c r="Y104" s="108">
        <v>62172</v>
      </c>
      <c r="Z104" s="108">
        <v>22</v>
      </c>
      <c r="AA104" s="108">
        <v>45592.800000000003</v>
      </c>
      <c r="AB104" s="108">
        <v>18</v>
      </c>
      <c r="AC104" s="108">
        <v>37303.200000000004</v>
      </c>
      <c r="AD104" s="108">
        <v>15</v>
      </c>
      <c r="AE104" s="108">
        <v>31086</v>
      </c>
      <c r="AF104" s="108">
        <v>13</v>
      </c>
      <c r="AG104" s="108">
        <v>26941.200000000001</v>
      </c>
      <c r="AH104" s="108">
        <v>15</v>
      </c>
      <c r="AI104" s="108">
        <v>31086</v>
      </c>
      <c r="AJ104" s="108">
        <v>22</v>
      </c>
      <c r="AK104" s="108">
        <v>45592.800000000003</v>
      </c>
      <c r="AL104" s="108">
        <v>21</v>
      </c>
      <c r="AM104" s="108">
        <v>43520.4</v>
      </c>
      <c r="AN104" s="108">
        <v>13</v>
      </c>
      <c r="AO104" s="108">
        <v>26941.200000000001</v>
      </c>
      <c r="AP104" s="108">
        <v>17</v>
      </c>
      <c r="AQ104" s="108">
        <v>35230.800000000003</v>
      </c>
      <c r="AR104" s="108">
        <v>6</v>
      </c>
      <c r="AS104" s="108">
        <v>12434.400000000001</v>
      </c>
      <c r="AT104" s="108">
        <v>11</v>
      </c>
      <c r="AU104" s="108">
        <v>22796.400000000001</v>
      </c>
      <c r="AV104" s="108">
        <v>9</v>
      </c>
      <c r="AW104" s="108">
        <v>18651.600000000002</v>
      </c>
      <c r="AX104" s="108">
        <v>7</v>
      </c>
      <c r="AY104" s="108">
        <v>14506.800000000001</v>
      </c>
      <c r="AZ104" s="108">
        <v>16</v>
      </c>
      <c r="BA104" s="108">
        <v>33158.400000000001</v>
      </c>
      <c r="BB104" s="108">
        <v>20</v>
      </c>
      <c r="BC104" s="108">
        <v>41448</v>
      </c>
      <c r="BD104" s="108">
        <v>19</v>
      </c>
      <c r="BE104" s="108">
        <v>39375.599999999999</v>
      </c>
      <c r="BF104" s="108">
        <v>23</v>
      </c>
      <c r="BG104" s="108">
        <v>47665.200000000004</v>
      </c>
      <c r="BH104" s="108">
        <v>24</v>
      </c>
      <c r="BI104" s="108">
        <v>49737.600000000006</v>
      </c>
      <c r="BJ104" s="108">
        <v>22</v>
      </c>
      <c r="BK104" s="108">
        <v>45592.800000000003</v>
      </c>
      <c r="BL104" s="108">
        <v>22</v>
      </c>
      <c r="BM104" s="108">
        <v>45592.800000000003</v>
      </c>
      <c r="BN104" s="108">
        <v>20</v>
      </c>
      <c r="BO104" s="108">
        <v>41448</v>
      </c>
      <c r="BP104" s="108">
        <v>10</v>
      </c>
      <c r="BQ104" s="108">
        <v>20724</v>
      </c>
      <c r="BR104" s="108">
        <v>9</v>
      </c>
      <c r="BS104" s="108">
        <v>18651.600000000002</v>
      </c>
      <c r="BT104" s="108">
        <v>9</v>
      </c>
      <c r="BU104" s="108">
        <v>18651.600000000002</v>
      </c>
      <c r="BV104" s="108">
        <v>7</v>
      </c>
      <c r="BW104" s="108">
        <v>14506.800000000001</v>
      </c>
      <c r="BX104" s="108">
        <v>17</v>
      </c>
      <c r="BY104" s="108">
        <v>35230.800000000003</v>
      </c>
      <c r="BZ104" s="108">
        <v>30</v>
      </c>
      <c r="CA104" s="108">
        <v>62172</v>
      </c>
      <c r="CB104" s="108">
        <v>27</v>
      </c>
      <c r="CC104" s="108">
        <v>55954.8</v>
      </c>
      <c r="CD104" s="108">
        <v>19</v>
      </c>
      <c r="CE104" s="108">
        <v>39375.599999999999</v>
      </c>
      <c r="CF104" s="108">
        <v>13</v>
      </c>
      <c r="CG104" s="108">
        <v>26941.200000000001</v>
      </c>
      <c r="CH104" s="108">
        <v>12</v>
      </c>
      <c r="CI104" s="108">
        <v>24868.800000000003</v>
      </c>
      <c r="CJ104" s="108">
        <v>12</v>
      </c>
      <c r="CK104" s="108">
        <v>24868.800000000003</v>
      </c>
      <c r="CL104" s="108">
        <v>9</v>
      </c>
      <c r="CM104" s="108">
        <v>18651.600000000002</v>
      </c>
      <c r="CN104" s="108">
        <v>20</v>
      </c>
      <c r="CO104" s="108">
        <v>41448</v>
      </c>
      <c r="CP104" s="108">
        <v>13</v>
      </c>
      <c r="CQ104" s="108">
        <v>26941.200000000001</v>
      </c>
      <c r="CR104" s="108">
        <v>14</v>
      </c>
      <c r="CS104" s="108">
        <v>29013.600000000002</v>
      </c>
      <c r="CT104" s="108">
        <v>26</v>
      </c>
      <c r="CU104" s="108">
        <v>53882.400000000001</v>
      </c>
    </row>
    <row r="105" spans="2:99" x14ac:dyDescent="0.2">
      <c r="C105" s="107" t="s">
        <v>270</v>
      </c>
      <c r="D105" s="108">
        <v>21</v>
      </c>
      <c r="E105" s="108">
        <v>41958</v>
      </c>
      <c r="F105" s="108">
        <v>34</v>
      </c>
      <c r="G105" s="108">
        <v>67932</v>
      </c>
      <c r="H105" s="108">
        <v>37</v>
      </c>
      <c r="I105" s="108">
        <v>73926</v>
      </c>
      <c r="J105" s="108">
        <v>39</v>
      </c>
      <c r="K105" s="108">
        <v>77922</v>
      </c>
      <c r="L105" s="108">
        <v>74</v>
      </c>
      <c r="M105" s="108">
        <v>147852</v>
      </c>
      <c r="N105" s="108">
        <v>69</v>
      </c>
      <c r="O105" s="108">
        <v>137862</v>
      </c>
      <c r="P105" s="108">
        <v>41</v>
      </c>
      <c r="Q105" s="108">
        <v>81918</v>
      </c>
      <c r="R105" s="108">
        <v>57</v>
      </c>
      <c r="S105" s="108">
        <v>113886</v>
      </c>
      <c r="T105" s="108">
        <v>33</v>
      </c>
      <c r="U105" s="108">
        <v>65934</v>
      </c>
      <c r="V105" s="108">
        <v>28</v>
      </c>
      <c r="W105" s="108">
        <v>55944</v>
      </c>
      <c r="X105" s="108">
        <v>34</v>
      </c>
      <c r="Y105" s="108">
        <v>67932</v>
      </c>
      <c r="Z105" s="108">
        <v>22</v>
      </c>
      <c r="AA105" s="108">
        <v>43956</v>
      </c>
      <c r="AB105" s="108">
        <v>16</v>
      </c>
      <c r="AC105" s="108">
        <v>31968</v>
      </c>
      <c r="AD105" s="108">
        <v>17</v>
      </c>
      <c r="AE105" s="108">
        <v>33966</v>
      </c>
      <c r="AF105" s="108">
        <v>13</v>
      </c>
      <c r="AG105" s="108">
        <v>25974</v>
      </c>
      <c r="AH105" s="108">
        <v>14</v>
      </c>
      <c r="AI105" s="108">
        <v>27972</v>
      </c>
      <c r="AJ105" s="108">
        <v>23</v>
      </c>
      <c r="AK105" s="108">
        <v>45954</v>
      </c>
      <c r="AL105" s="108">
        <v>20</v>
      </c>
      <c r="AM105" s="108">
        <v>39960</v>
      </c>
      <c r="AN105" s="108">
        <v>14</v>
      </c>
      <c r="AO105" s="108">
        <v>27972</v>
      </c>
      <c r="AP105" s="108">
        <v>17</v>
      </c>
      <c r="AQ105" s="108">
        <v>33966</v>
      </c>
      <c r="AR105" s="108">
        <v>6</v>
      </c>
      <c r="AS105" s="108">
        <v>11988</v>
      </c>
      <c r="AT105" s="108">
        <v>12</v>
      </c>
      <c r="AU105" s="108">
        <v>23976</v>
      </c>
      <c r="AV105" s="108">
        <v>9</v>
      </c>
      <c r="AW105" s="108">
        <v>17982</v>
      </c>
      <c r="AX105" s="108">
        <v>7</v>
      </c>
      <c r="AY105" s="108">
        <v>13986</v>
      </c>
      <c r="AZ105" s="108">
        <v>16</v>
      </c>
      <c r="BA105" s="108">
        <v>31968</v>
      </c>
      <c r="BB105" s="108">
        <v>18</v>
      </c>
      <c r="BC105" s="108">
        <v>35964</v>
      </c>
      <c r="BD105" s="108">
        <v>17</v>
      </c>
      <c r="BE105" s="108">
        <v>33966</v>
      </c>
      <c r="BF105" s="108">
        <v>22</v>
      </c>
      <c r="BG105" s="108">
        <v>43956</v>
      </c>
      <c r="BH105" s="108">
        <v>23</v>
      </c>
      <c r="BI105" s="108">
        <v>45954</v>
      </c>
      <c r="BJ105" s="108">
        <v>26</v>
      </c>
      <c r="BK105" s="108">
        <v>51948</v>
      </c>
      <c r="BL105" s="108">
        <v>21</v>
      </c>
      <c r="BM105" s="108">
        <v>41958</v>
      </c>
      <c r="BN105" s="108">
        <v>20</v>
      </c>
      <c r="BO105" s="108">
        <v>39960</v>
      </c>
      <c r="BP105" s="108">
        <v>10</v>
      </c>
      <c r="BQ105" s="108">
        <v>19980</v>
      </c>
      <c r="BR105" s="108">
        <v>9</v>
      </c>
      <c r="BS105" s="108">
        <v>17982</v>
      </c>
      <c r="BT105" s="108">
        <v>8</v>
      </c>
      <c r="BU105" s="108">
        <v>15984</v>
      </c>
      <c r="BV105" s="108">
        <v>7</v>
      </c>
      <c r="BW105" s="108">
        <v>13986</v>
      </c>
      <c r="BX105" s="108">
        <v>18</v>
      </c>
      <c r="BY105" s="108">
        <v>35964</v>
      </c>
      <c r="BZ105" s="108">
        <v>27</v>
      </c>
      <c r="CA105" s="108">
        <v>53946</v>
      </c>
      <c r="CB105" s="108">
        <v>27</v>
      </c>
      <c r="CC105" s="108">
        <v>53946</v>
      </c>
      <c r="CD105" s="108">
        <v>18</v>
      </c>
      <c r="CE105" s="108">
        <v>35964</v>
      </c>
      <c r="CF105" s="108">
        <v>14</v>
      </c>
      <c r="CG105" s="108">
        <v>27972</v>
      </c>
      <c r="CH105" s="108">
        <v>13</v>
      </c>
      <c r="CI105" s="108">
        <v>25974</v>
      </c>
      <c r="CJ105" s="108">
        <v>12</v>
      </c>
      <c r="CK105" s="108">
        <v>23976</v>
      </c>
      <c r="CL105" s="108">
        <v>11</v>
      </c>
      <c r="CM105" s="108">
        <v>21978</v>
      </c>
      <c r="CN105" s="108">
        <v>18</v>
      </c>
      <c r="CO105" s="108">
        <v>35964</v>
      </c>
      <c r="CP105" s="108">
        <v>14</v>
      </c>
      <c r="CQ105" s="108">
        <v>27972</v>
      </c>
      <c r="CR105" s="108">
        <v>17</v>
      </c>
      <c r="CS105" s="108">
        <v>33966</v>
      </c>
      <c r="CT105" s="108">
        <v>26</v>
      </c>
      <c r="CU105" s="108">
        <v>51948</v>
      </c>
    </row>
    <row r="107" spans="2:99" x14ac:dyDescent="0.2">
      <c r="B107" s="112" t="s">
        <v>275</v>
      </c>
    </row>
    <row r="108" spans="2:99" x14ac:dyDescent="0.2">
      <c r="C108" s="107" t="s">
        <v>276</v>
      </c>
      <c r="D108" s="107" t="s">
        <v>92</v>
      </c>
      <c r="E108" s="107" t="s">
        <v>93</v>
      </c>
      <c r="F108" s="107" t="s">
        <v>94</v>
      </c>
      <c r="G108" s="107" t="s">
        <v>95</v>
      </c>
      <c r="H108" s="107" t="s">
        <v>96</v>
      </c>
      <c r="I108" s="107" t="s">
        <v>97</v>
      </c>
      <c r="J108" s="107" t="s">
        <v>98</v>
      </c>
      <c r="K108" s="107" t="s">
        <v>99</v>
      </c>
      <c r="L108" s="107" t="s">
        <v>100</v>
      </c>
      <c r="M108" s="107" t="s">
        <v>101</v>
      </c>
      <c r="N108" s="107" t="s">
        <v>102</v>
      </c>
      <c r="O108" s="107" t="s">
        <v>103</v>
      </c>
    </row>
    <row r="109" spans="2:99" x14ac:dyDescent="0.2">
      <c r="C109" s="107" t="s">
        <v>126</v>
      </c>
      <c r="D109" s="108">
        <f>SUM(D$6:D$19)+SUM(F$6:F$19)+SUM(H$6:H$19)+SUM(J$6:J$19)</f>
        <v>430</v>
      </c>
      <c r="E109" s="108">
        <f>SUM(L$6:L$19)+SUM(N$6:N$19)+SUM(P$6:P$19)+SUM(R$6:R$19)</f>
        <v>527</v>
      </c>
      <c r="F109" s="108">
        <f>SUM(T$6:T$19)+SUM(V$6:V$19)+SUM(X$6:X$19)+SUM(Z$6:Z$19)</f>
        <v>1466.6731720010409</v>
      </c>
      <c r="G109" s="108">
        <f>SUM(AB$6:AB$19)+SUM(AD$6:AD$19)+SUM(AF$6:AF$19)+SUM(AH$6:AH$19)</f>
        <v>3545</v>
      </c>
      <c r="H109" s="108">
        <f>SUM(AJ$6:AJ$19)+SUM(AL$6:AL$19)+SUM(AN$6:AN$19)+SUM(AP$6:AP$19)</f>
        <v>1335</v>
      </c>
      <c r="I109" s="108">
        <f>SUM(AR$6:AR$19)+SUM(AT$6:AT$19)+SUM(AV$6:AV$19)+SUM(AX$6:AX$19)</f>
        <v>1625</v>
      </c>
      <c r="J109" s="108">
        <f>SUM(AZ$6:AZ$19)+SUM(BB$6:BB$19)+SUM(BD$6:BD$19)+SUM(BF$6:BF$19)</f>
        <v>1413</v>
      </c>
      <c r="K109" s="108">
        <f>SUM(BH$6:BH$19)+SUM(BJ$6:BJ$19)+SUM(BL$6:BL$19)+SUM(BN$6:BN$19)</f>
        <v>3481</v>
      </c>
      <c r="L109" s="108">
        <f>SUM(BP$6:BP$19)+SUM(BR$6:BR$19)+SUM(BT$6:BT$19)+SUM(BV$6:BV$19)</f>
        <v>3123</v>
      </c>
      <c r="M109" s="108">
        <f>SUM(BX$6:BX$19)+SUM(BZ$6:BZ$19)+SUM(CB$6:CB$19)+SUM(CD$6:CD$19)</f>
        <v>1650</v>
      </c>
      <c r="N109" s="108">
        <f>SUM(CF$6:CF$19)+SUM(CH$6:CH$19)+SUM(CJ$6:CJ$19)+SUM(CL$6:CL$19)</f>
        <v>495.23091750069091</v>
      </c>
      <c r="O109" s="108">
        <f>SUM(CN$6:CN$19)+SUM(CP$6:CP$19)+SUM(CR$6:CR$19)+SUM(CT$6:CT$19)</f>
        <v>941</v>
      </c>
    </row>
    <row r="110" spans="2:99" x14ac:dyDescent="0.2">
      <c r="C110" s="107" t="s">
        <v>127</v>
      </c>
      <c r="D110" s="108">
        <f>SUM(D$20:D$36)+SUM(F$20:F$36)+SUM(H$20:H$36)+SUM(J$20:J$36)</f>
        <v>1286</v>
      </c>
      <c r="E110" s="108">
        <f>SUM(L$20:L$36)+SUM(N$20:N$36)+SUM(P$20:P$36)+SUM(R$20:R$36)</f>
        <v>1807</v>
      </c>
      <c r="F110" s="108">
        <f>SUM(T$20:T$36)+SUM(V$20:V$36)+SUM(X$20:X$36)+SUM(Z$20:Z$36)</f>
        <v>13079.956023939632</v>
      </c>
      <c r="G110" s="108">
        <f>SUM(AB$20:AB$36)+SUM(AD$20:AD$36)+SUM(AF$20:AF$36)+SUM(AH$20:AH$36)</f>
        <v>1993</v>
      </c>
      <c r="H110" s="108">
        <f>SUM(AJ$20:AJ$36)+SUM(AL$20:AL$36)+SUM(AN$20:AN$36)+SUM(AP$20:AP$36)</f>
        <v>1986</v>
      </c>
      <c r="I110" s="108">
        <f>SUM(AR$20:AR$36)+SUM(AT$20:AT$36)+SUM(AV$20:AV$36)+SUM(AX$20:AX$36)</f>
        <v>1220</v>
      </c>
      <c r="J110" s="108">
        <f>SUM(AZ$20:AZ$36)+SUM(BB$20:BB$36)+SUM(BD$20:BD$36)+SUM(BF$20:BF$36)</f>
        <v>1560</v>
      </c>
      <c r="K110" s="108">
        <f>SUM(BH$20:BH$36)+SUM(BJ$20:BJ$36)+SUM(BL$20:BL$36)+SUM(BN$20:BN$36)</f>
        <v>1032</v>
      </c>
      <c r="L110" s="108">
        <f>SUM(BP$20:BP$36)+SUM(BR$20:BR$36)+SUM(BT$20:BT$36)+SUM(BV$20:BV$36)</f>
        <v>2143</v>
      </c>
      <c r="M110" s="108">
        <f>SUM(BX$20:BX$36)+SUM(BZ$20:BZ$36)+SUM(CB$20:CB$36)+SUM(CD$20:CD$36)</f>
        <v>17107</v>
      </c>
      <c r="N110" s="108">
        <f>SUM(CF$20:CF$36)+SUM(CH$20:CH$36)+SUM(CJ$20:CJ$36)+SUM(CL$20:CL$36)</f>
        <v>7066.8003396156382</v>
      </c>
      <c r="O110" s="108">
        <f>SUM(CN$20:CN$36)+SUM(CP$20:CP$36)+SUM(CR$20:CR$36)+SUM(CT$20:CT$36)</f>
        <v>1607</v>
      </c>
    </row>
    <row r="111" spans="2:99" x14ac:dyDescent="0.2">
      <c r="C111" s="107" t="s">
        <v>128</v>
      </c>
      <c r="D111" s="108">
        <f>SUM(D$37:D$48)+SUM(F$37:F$48)+SUM(H$37:H$48)+SUM(J$37:J$48)</f>
        <v>595</v>
      </c>
      <c r="E111" s="108">
        <f>SUM(L$37:L$48)+SUM(N$37:N$48)+SUM(P$37:P$48)+SUM(R$37:R$48)</f>
        <v>1730</v>
      </c>
      <c r="F111" s="108">
        <f>SUM(T$37:T$48)+SUM(V$37:V$48)+SUM(X$37:X$48)+SUM(Z$37:Z$48)</f>
        <v>1834.665625813167</v>
      </c>
      <c r="G111" s="108">
        <f>SUM(AB$37:AB$48)+SUM(AD$37:AD$48)+SUM(AF$37:AF$48)+SUM(AH$37:AH$48)</f>
        <v>2471</v>
      </c>
      <c r="H111" s="108">
        <f>SUM(AJ$37:AJ$48)+SUM(AL$37:AL$48)+SUM(AN$37:AN$48)+SUM(AP$37:AP$48)</f>
        <v>947</v>
      </c>
      <c r="I111" s="108">
        <f>SUM(AR$37:AR$48)+SUM(AT$37:AT$48)+SUM(AV$37:AV$48)+SUM(AX$37:AX$48)</f>
        <v>4632</v>
      </c>
      <c r="J111" s="108">
        <f>SUM(AZ$37:AZ$48)+SUM(BB$37:BB$48)+SUM(BD$37:BD$48)+SUM(BF$37:BF$48)</f>
        <v>1023</v>
      </c>
      <c r="K111" s="108">
        <f>SUM(BH$37:BH$48)+SUM(BJ$37:BJ$48)+SUM(BL$37:BL$48)+SUM(BN$37:BN$48)</f>
        <v>1608</v>
      </c>
      <c r="L111" s="108">
        <f>SUM(BP$37:BP$48)+SUM(BR$37:BR$48)+SUM(BT$37:BT$48)+SUM(BV$37:BV$48)</f>
        <v>1051</v>
      </c>
      <c r="M111" s="108">
        <f>SUM(BX$37:BX$48)+SUM(BZ$37:BZ$48)+SUM(CB$37:CB$48)+SUM(CD$37:CD$48)</f>
        <v>590</v>
      </c>
      <c r="N111" s="108">
        <f>SUM(CF$37:CF$48)+SUM(CH$37:CH$48)+SUM(CJ$37:CJ$48)+SUM(CL$37:CL$48)</f>
        <v>1851.3119670475016</v>
      </c>
      <c r="O111" s="108">
        <f>SUM(CN$37:CN$48)+SUM(CP$37:CP$48)+SUM(CR$37:CR$48)+SUM(CT$37:CT$48)</f>
        <v>1889</v>
      </c>
    </row>
    <row r="112" spans="2:99" x14ac:dyDescent="0.2">
      <c r="C112" s="107" t="s">
        <v>129</v>
      </c>
      <c r="D112" s="108">
        <f>SUM(D$49:D$70)+SUM(F$49:F$70)+SUM(H$49:H$70)+SUM(J$49:J$70)</f>
        <v>920</v>
      </c>
      <c r="E112" s="108">
        <f>SUM(L$49:L$70)+SUM(N$49:N$70)+SUM(P$49:P$70)+SUM(R$49:R$70)</f>
        <v>956</v>
      </c>
      <c r="F112" s="108">
        <f>SUM(T$49:T$70)+SUM(V$49:V$70)+SUM(X$49:X$70)+SUM(Z$49:Z$70)</f>
        <v>8187.7051782461631</v>
      </c>
      <c r="G112" s="108">
        <f>SUM(AB$49:AB$70)+SUM(AD$49:AD$70)+SUM(AF$49:AF$70)+SUM(AH$49:AH$70)</f>
        <v>2091</v>
      </c>
      <c r="H112" s="108">
        <f>SUM(AJ$49:AJ$70)+SUM(AL$49:AL$70)+SUM(AN$49:AN$70)+SUM(AP$49:AP$70)</f>
        <v>2723</v>
      </c>
      <c r="I112" s="108">
        <f>SUM(AR$49:AR$70)+SUM(AT$49:AT$70)+SUM(AV$49:AV$70)+SUM(AX$49:AX$70)</f>
        <v>702</v>
      </c>
      <c r="J112" s="108">
        <f>SUM(AZ$49:AZ$70)+SUM(BB$49:BB$70)+SUM(BD$49:BD$70)+SUM(BF$49:BF$70)</f>
        <v>1083</v>
      </c>
      <c r="K112" s="108">
        <f>SUM(BH$49:BH$70)+SUM(BJ$49:BJ$70)+SUM(BL$49:BL$70)+SUM(BN$49:BN$70)</f>
        <v>1116</v>
      </c>
      <c r="L112" s="108">
        <f>SUM(BP$49:BP$70)+SUM(BR$49:BR$70)+SUM(BT$49:BT$70)+SUM(BV$49:BV$70)</f>
        <v>2366</v>
      </c>
      <c r="M112" s="108">
        <f>SUM(BX$49:BX$70)+SUM(BZ$49:BZ$70)+SUM(CB$49:CB$70)+SUM(CD$49:CD$70)</f>
        <v>699</v>
      </c>
      <c r="N112" s="108">
        <f>SUM(CF$49:CF$70)+SUM(CH$49:CH$70)+SUM(CJ$49:CJ$70)+SUM(CL$49:CL$70)</f>
        <v>8868.6567758361743</v>
      </c>
      <c r="O112" s="108">
        <f>SUM(CN$49:CN$70)+SUM(CP$49:CP$70)+SUM(CR$49:CR$70)+SUM(CT$49:CT$70)</f>
        <v>1505</v>
      </c>
    </row>
    <row r="113" spans="2:15" x14ac:dyDescent="0.2">
      <c r="C113" s="107" t="s">
        <v>130</v>
      </c>
      <c r="D113" s="108">
        <f>SUM(D$71:D$86)+SUM(F$71:F$86)+SUM(H$71:H$86)+SUM(J$71:J$86)</f>
        <v>4048</v>
      </c>
      <c r="E113" s="108">
        <f>SUM(L$71:L$86)+SUM(N$71:N$86)+SUM(P$71:P$86)+SUM(R$71:R$86)</f>
        <v>3954</v>
      </c>
      <c r="F113" s="108">
        <f>SUM(T$71:T$86)+SUM(V$71:V$86)+SUM(X$71:X$86)+SUM(Z$71:Z$86)</f>
        <v>2108</v>
      </c>
      <c r="G113" s="108">
        <f>SUM(AB$71:AB$86)+SUM(AD$71:AD$86)+SUM(AF$71:AF$86)+SUM(AH$71:AH$86)</f>
        <v>1788</v>
      </c>
      <c r="H113" s="108">
        <f>SUM(AJ$71:AJ$86)+SUM(AL$71:AL$86)+SUM(AN$71:AN$86)+SUM(AP$71:AP$86)</f>
        <v>3081</v>
      </c>
      <c r="I113" s="108">
        <f>SUM(AR$71:AR$86)+SUM(AT$71:AT$86)+SUM(AV$71:AV$86)+SUM(AX$71:AX$86)</f>
        <v>4585</v>
      </c>
      <c r="J113" s="108">
        <f>SUM(AZ$71:AZ$86)+SUM(BB$71:BB$86)+SUM(BD$71:BD$86)+SUM(BF$71:BF$86)</f>
        <v>534</v>
      </c>
      <c r="K113" s="108">
        <f>SUM(BH$71:BH$86)+SUM(BJ$71:BJ$86)+SUM(BL$71:BL$86)+SUM(BN$71:BN$86)</f>
        <v>575</v>
      </c>
      <c r="L113" s="108">
        <f>SUM(BP$71:BP$86)+SUM(BR$71:BR$86)+SUM(BT$71:BT$86)+SUM(BV$71:BV$86)</f>
        <v>653</v>
      </c>
      <c r="M113" s="108">
        <f>SUM(BX$71:BX$86)+SUM(BZ$71:BZ$86)+SUM(CB$71:CB$86)+SUM(CD$71:CD$86)</f>
        <v>3240</v>
      </c>
      <c r="N113" s="108">
        <f>SUM(CF$71:CF$86)+SUM(CH$71:CH$86)+SUM(CJ$71:CJ$86)+SUM(CL$71:CL$86)</f>
        <v>457</v>
      </c>
      <c r="O113" s="108">
        <f>SUM(CN$71:CN$86)+SUM(CP$71:CP$86)+SUM(CR$71:CR$86)+SUM(CT$71:CT$86)</f>
        <v>792</v>
      </c>
    </row>
    <row r="114" spans="2:15" x14ac:dyDescent="0.2">
      <c r="C114" s="107" t="s">
        <v>131</v>
      </c>
      <c r="D114" s="108">
        <f>SUM(D$87:D$94)+SUM(F$87:F$94)+SUM(H$87:H$94)+SUM(J$87:J$94)</f>
        <v>339</v>
      </c>
      <c r="E114" s="108">
        <f>SUM(L$87:L$94)+SUM(N$87:N$94)+SUM(P$87:P$94)+SUM(R$87:R$94)</f>
        <v>468</v>
      </c>
      <c r="F114" s="108">
        <f>SUM(T$87:T$94)+SUM(V$87:V$94)+SUM(X$87:X$94)+SUM(Z$87:Z$94)</f>
        <v>511</v>
      </c>
      <c r="G114" s="108">
        <f>SUM(AB$87:AB$94)+SUM(AD$87:AD$94)+SUM(AF$87:AF$94)+SUM(AH$87:AH$94)</f>
        <v>877</v>
      </c>
      <c r="H114" s="108">
        <f>SUM(AJ$87:AJ$94)+SUM(AL$87:AL$94)+SUM(AN$87:AN$94)+SUM(AP$87:AP$94)</f>
        <v>706</v>
      </c>
      <c r="I114" s="108">
        <f>SUM(AR$87:AR$94)+SUM(AT$87:AT$94)+SUM(AV$87:AV$94)+SUM(AX$87:AX$94)</f>
        <v>1459</v>
      </c>
      <c r="J114" s="108">
        <f>SUM(AZ$87:AZ$94)+SUM(BB$87:BB$94)+SUM(BD$87:BD$94)+SUM(BF$87:BF$94)</f>
        <v>329</v>
      </c>
      <c r="K114" s="108">
        <f>SUM(BH$87:BH$94)+SUM(BJ$87:BJ$94)+SUM(BL$87:BL$94)+SUM(BN$87:BN$94)</f>
        <v>700</v>
      </c>
      <c r="L114" s="108">
        <f>SUM(BP$87:BP$94)+SUM(BR$87:BR$94)+SUM(BT$87:BT$94)+SUM(BV$87:BV$94)</f>
        <v>1160</v>
      </c>
      <c r="M114" s="108">
        <f>SUM(BX$87:BX$94)+SUM(BZ$87:BZ$94)+SUM(CB$87:CB$94)+SUM(CD$87:CD$94)</f>
        <v>692</v>
      </c>
      <c r="N114" s="108">
        <f>SUM(CF$87:CF$94)+SUM(CH$87:CH$94)+SUM(CJ$87:CJ$94)+SUM(CL$87:CL$94)</f>
        <v>296</v>
      </c>
      <c r="O114" s="108">
        <f>SUM(CN$87:CN$94)+SUM(CP$87:CP$94)+SUM(CR$87:CR$94)+SUM(CT$87:CT$94)</f>
        <v>233</v>
      </c>
    </row>
    <row r="115" spans="2:15" x14ac:dyDescent="0.2">
      <c r="C115" s="107" t="s">
        <v>132</v>
      </c>
      <c r="D115" s="108">
        <f>SUM(D$95:D$105)+SUM(F$95:F$105)+SUM(H$95:H$105)+SUM(J$95:J$105)</f>
        <v>1427</v>
      </c>
      <c r="E115" s="108">
        <f>SUM(L$95:L$105)+SUM(N$95:N$105)+SUM(P$95:P$105)+SUM(R$95:R$105)</f>
        <v>2782</v>
      </c>
      <c r="F115" s="108">
        <f>SUM(T$95:T$105)+SUM(V$95:V$105)+SUM(X$95:X$105)+SUM(Z$95:Z$105)</f>
        <v>1265</v>
      </c>
      <c r="G115" s="108">
        <f>SUM(AB$95:AB$105)+SUM(AD$95:AD$105)+SUM(AF$95:AF$105)+SUM(AH$95:AH$105)</f>
        <v>694</v>
      </c>
      <c r="H115" s="108">
        <f>SUM(AJ$95:AJ$105)+SUM(AL$95:AL$105)+SUM(AN$95:AN$105)+SUM(AP$95:AP$105)</f>
        <v>825</v>
      </c>
      <c r="I115" s="108">
        <f>SUM(AR$95:AR$105)+SUM(AT$95:AT$105)+SUM(AV$95:AV$105)+SUM(AX$95:AX$105)</f>
        <v>359</v>
      </c>
      <c r="J115" s="108">
        <f>SUM(AZ$95:AZ$105)+SUM(BB$95:BB$105)+SUM(BD$95:BD$105)+SUM(BF$95:BF$105)</f>
        <v>851</v>
      </c>
      <c r="K115" s="108">
        <f>SUM(BH$95:BH$105)+SUM(BJ$95:BJ$105)+SUM(BL$95:BL$105)+SUM(BN$95:BN$105)</f>
        <v>1002</v>
      </c>
      <c r="L115" s="108">
        <f>SUM(BP$95:BP$105)+SUM(BR$95:BR$105)+SUM(BT$95:BT$105)+SUM(BV$95:BV$105)</f>
        <v>391</v>
      </c>
      <c r="M115" s="108">
        <f>SUM(BX$95:BX$105)+SUM(BZ$95:BZ$105)+SUM(CB$95:CB$105)+SUM(CD$95:CD$105)</f>
        <v>1007</v>
      </c>
      <c r="N115" s="108">
        <f>SUM(CF$95:CF$105)+SUM(CH$95:CH$105)+SUM(CJ$95:CJ$105)+SUM(CL$95:CL$105)</f>
        <v>545</v>
      </c>
      <c r="O115" s="108">
        <f>SUM(CN$95:CN$105)+SUM(CP$95:CP$105)+SUM(CR$95:CR$105)+SUM(CT$95:CT$105)</f>
        <v>834</v>
      </c>
    </row>
    <row r="116" spans="2:15" x14ac:dyDescent="0.2">
      <c r="C116" s="107" t="s">
        <v>277</v>
      </c>
      <c r="D116" s="108">
        <f t="shared" ref="D116:O116" si="0">SUM(D$109:D$115)</f>
        <v>9045</v>
      </c>
      <c r="E116" s="108">
        <f t="shared" si="0"/>
        <v>12224</v>
      </c>
      <c r="F116" s="108">
        <f t="shared" si="0"/>
        <v>28453.000000000004</v>
      </c>
      <c r="G116" s="108">
        <f t="shared" si="0"/>
        <v>13459</v>
      </c>
      <c r="H116" s="108">
        <f t="shared" si="0"/>
        <v>11603</v>
      </c>
      <c r="I116" s="108">
        <f t="shared" si="0"/>
        <v>14582</v>
      </c>
      <c r="J116" s="108">
        <f t="shared" si="0"/>
        <v>6793</v>
      </c>
      <c r="K116" s="108">
        <f t="shared" si="0"/>
        <v>9514</v>
      </c>
      <c r="L116" s="108">
        <f t="shared" si="0"/>
        <v>10887</v>
      </c>
      <c r="M116" s="108">
        <f t="shared" si="0"/>
        <v>24985</v>
      </c>
      <c r="N116" s="108">
        <f t="shared" si="0"/>
        <v>19580.000000000007</v>
      </c>
      <c r="O116" s="108">
        <f t="shared" si="0"/>
        <v>7801</v>
      </c>
    </row>
    <row r="118" spans="2:15" x14ac:dyDescent="0.2">
      <c r="B118" s="111" t="s">
        <v>278</v>
      </c>
    </row>
    <row r="119" spans="2:15" x14ac:dyDescent="0.2">
      <c r="C119" s="107" t="s">
        <v>276</v>
      </c>
      <c r="D119" s="107" t="s">
        <v>92</v>
      </c>
      <c r="E119" s="107" t="s">
        <v>93</v>
      </c>
      <c r="F119" s="107" t="s">
        <v>94</v>
      </c>
      <c r="G119" s="107" t="s">
        <v>95</v>
      </c>
      <c r="H119" s="107" t="s">
        <v>96</v>
      </c>
      <c r="I119" s="107" t="s">
        <v>97</v>
      </c>
      <c r="J119" s="107" t="s">
        <v>98</v>
      </c>
      <c r="K119" s="107" t="s">
        <v>99</v>
      </c>
      <c r="L119" s="107" t="s">
        <v>100</v>
      </c>
      <c r="M119" s="107" t="s">
        <v>101</v>
      </c>
      <c r="N119" s="107" t="s">
        <v>102</v>
      </c>
      <c r="O119" s="107" t="s">
        <v>103</v>
      </c>
    </row>
    <row r="120" spans="2:15" x14ac:dyDescent="0.2">
      <c r="C120" s="107" t="s">
        <v>126</v>
      </c>
      <c r="D120" s="108">
        <f>D109*pricing!D6*2000</f>
        <v>2009366.8649820972</v>
      </c>
      <c r="E120" s="108">
        <f>E109*pricing!E6*2000</f>
        <v>2147196.5370128844</v>
      </c>
      <c r="F120" s="108">
        <f>F109*pricing!F6*2000</f>
        <v>3954441.8838717393</v>
      </c>
      <c r="G120" s="108">
        <f>G109*pricing!G6*2000</f>
        <v>7064865.7561589023</v>
      </c>
      <c r="H120" s="108">
        <f>H109*pricing!H6*2000</f>
        <v>3972875.8469439377</v>
      </c>
      <c r="I120" s="108">
        <f>I109*pricing!I6*2000</f>
        <v>4444643.7768928036</v>
      </c>
      <c r="J120" s="108">
        <f>J109*pricing!J6*2000</f>
        <v>4255780.5060806675</v>
      </c>
      <c r="K120" s="108">
        <f>K109*pricing!K6*2000</f>
        <v>6887483.1040022625</v>
      </c>
      <c r="L120" s="108">
        <f>L109*pricing!L6*2000</f>
        <v>6515642.9543698756</v>
      </c>
      <c r="M120" s="108">
        <f>M109*pricing!M6*2000</f>
        <v>4827362.0033884719</v>
      </c>
      <c r="N120" s="108">
        <f>N109*pricing!N6*2000</f>
        <v>2108930.7749408204</v>
      </c>
      <c r="O120" s="108">
        <f>O109*pricing!O6*2000</f>
        <v>3187477.4521448277</v>
      </c>
    </row>
    <row r="121" spans="2:15" x14ac:dyDescent="0.2">
      <c r="C121" s="107" t="s">
        <v>127</v>
      </c>
      <c r="D121" s="108">
        <f>D110*pricing!D7*2000</f>
        <v>5119791.4541098299</v>
      </c>
      <c r="E121" s="108">
        <f>E110*pricing!E7*2000</f>
        <v>6147549.6984976409</v>
      </c>
      <c r="F121" s="108">
        <f>F110*pricing!F7*2000</f>
        <v>18421815.357425548</v>
      </c>
      <c r="G121" s="108">
        <f>G110*pricing!G7*2000</f>
        <v>6651370.6920198901</v>
      </c>
      <c r="H121" s="108">
        <f>H110*pricing!H7*2000</f>
        <v>6330568.5169098126</v>
      </c>
      <c r="I121" s="108">
        <f>I110*pricing!I7*2000</f>
        <v>4694262.733280695</v>
      </c>
      <c r="J121" s="108">
        <f>J110*pricing!J7*2000</f>
        <v>6109601.2303279983</v>
      </c>
      <c r="K121" s="108">
        <f>K110*pricing!K7*2000</f>
        <v>4392374.2627927149</v>
      </c>
      <c r="L121" s="108">
        <f>L110*pricing!L7*2000</f>
        <v>6995578.6740311719</v>
      </c>
      <c r="M121" s="108">
        <f>M110*pricing!M7*2000</f>
        <v>23477693.015490308</v>
      </c>
      <c r="N121" s="108">
        <f>N110*pricing!N7*2000</f>
        <v>11245100.985238649</v>
      </c>
      <c r="O121" s="108">
        <f>O110*pricing!O7*2000</f>
        <v>5699869.9726169733</v>
      </c>
    </row>
    <row r="122" spans="2:15" x14ac:dyDescent="0.2">
      <c r="C122" s="107" t="s">
        <v>128</v>
      </c>
      <c r="D122" s="108">
        <f>D111*pricing!D8*2000</f>
        <v>2569868.1339027029</v>
      </c>
      <c r="E122" s="108">
        <f>E111*pricing!E8*2000</f>
        <v>4649019.9820917454</v>
      </c>
      <c r="F122" s="108">
        <f>F111*pricing!F8*2000</f>
        <v>4437927.1326554576</v>
      </c>
      <c r="G122" s="108">
        <f>G111*pricing!G8*2000</f>
        <v>5493093.6609727023</v>
      </c>
      <c r="H122" s="108">
        <f>H111*pricing!H8*2000</f>
        <v>3300257.8828269509</v>
      </c>
      <c r="I122" s="108">
        <f>I111*pricing!I8*2000</f>
        <v>8501730.120382702</v>
      </c>
      <c r="J122" s="108">
        <f>J111*pricing!J8*2000</f>
        <v>3406887.0641188314</v>
      </c>
      <c r="K122" s="108">
        <f>K111*pricing!K8*2000</f>
        <v>4463368.0845255489</v>
      </c>
      <c r="L122" s="108">
        <f>L111*pricing!L8*2000</f>
        <v>3387188.5436326405</v>
      </c>
      <c r="M122" s="108">
        <f>M111*pricing!M8*2000</f>
        <v>2600791.8028208916</v>
      </c>
      <c r="N122" s="108">
        <f>N111*pricing!N8*2000</f>
        <v>4114729.2654827707</v>
      </c>
      <c r="O122" s="108">
        <f>O111*pricing!O8*2000</f>
        <v>4505106.5629798276</v>
      </c>
    </row>
    <row r="123" spans="2:15" x14ac:dyDescent="0.2">
      <c r="C123" s="107" t="s">
        <v>129</v>
      </c>
      <c r="D123" s="108">
        <f>D112*pricing!D9*2000</f>
        <v>4066031.5945421653</v>
      </c>
      <c r="E123" s="108">
        <f>E112*pricing!E9*2000</f>
        <v>4242195.5910143247</v>
      </c>
      <c r="F123" s="108">
        <f>F112*pricing!F9*2000</f>
        <v>12549649.537345856</v>
      </c>
      <c r="G123" s="108">
        <f>G112*pricing!G9*2000</f>
        <v>6509929.1529636728</v>
      </c>
      <c r="H123" s="108">
        <f>H112*pricing!H9*2000</f>
        <v>6993746.6653091749</v>
      </c>
      <c r="I123" s="108">
        <f>I112*pricing!I9*2000</f>
        <v>3331219.1022277521</v>
      </c>
      <c r="J123" s="108">
        <f>J112*pricing!J9*2000</f>
        <v>4722565.0412881654</v>
      </c>
      <c r="K123" s="108">
        <f>K112*pricing!K9*2000</f>
        <v>4460168.8356820559</v>
      </c>
      <c r="L123" s="108">
        <f>L112*pricing!L9*2000</f>
        <v>7113500.699628666</v>
      </c>
      <c r="M123" s="108">
        <f>M112*pricing!M9*2000</f>
        <v>3315045.5653371057</v>
      </c>
      <c r="N123" s="108">
        <f>N112*pricing!N9*2000</f>
        <v>13019137.262264514</v>
      </c>
      <c r="O123" s="108">
        <f>O112*pricing!O9*2000</f>
        <v>5189255.4390724609</v>
      </c>
    </row>
    <row r="124" spans="2:15" x14ac:dyDescent="0.2">
      <c r="C124" s="107" t="s">
        <v>130</v>
      </c>
      <c r="D124" s="108">
        <f>D113*pricing!D10*2000</f>
        <v>7169182.5975385336</v>
      </c>
      <c r="E124" s="108">
        <f>E113*pricing!E10*2000</f>
        <v>6969046.8599857269</v>
      </c>
      <c r="F124" s="108">
        <f>F113*pricing!F10*2000</f>
        <v>4880334.4115414964</v>
      </c>
      <c r="G124" s="108">
        <f>G113*pricing!G10*2000</f>
        <v>4561457.3235726282</v>
      </c>
      <c r="H124" s="108">
        <f>H113*pricing!H10*2000</f>
        <v>5728885.5205293614</v>
      </c>
      <c r="I124" s="108">
        <f>I113*pricing!I10*2000</f>
        <v>7371129.2763116295</v>
      </c>
      <c r="J124" s="108">
        <f>J113*pricing!J10*2000</f>
        <v>2317235.9007984526</v>
      </c>
      <c r="K124" s="108">
        <f>K113*pricing!K10*2000</f>
        <v>2653549.3862000396</v>
      </c>
      <c r="L124" s="108">
        <f>L113*pricing!L10*2000</f>
        <v>2658254.6899022008</v>
      </c>
      <c r="M124" s="108">
        <f>M113*pricing!M10*2000</f>
        <v>6290804.115130336</v>
      </c>
      <c r="N124" s="108">
        <f>N113*pricing!N10*2000</f>
        <v>2144685.6096968935</v>
      </c>
      <c r="O124" s="108">
        <f>O113*pricing!O10*2000</f>
        <v>2968173.0986553417</v>
      </c>
    </row>
    <row r="125" spans="2:15" x14ac:dyDescent="0.2">
      <c r="C125" s="107" t="s">
        <v>131</v>
      </c>
      <c r="D125" s="108">
        <f>D114*pricing!D11*2000</f>
        <v>1442470.2269999553</v>
      </c>
      <c r="E125" s="108">
        <f>E114*pricing!E11*2000</f>
        <v>1549875.819379902</v>
      </c>
      <c r="F125" s="108">
        <f>F114*pricing!F11*2000</f>
        <v>1681801.90030468</v>
      </c>
      <c r="G125" s="108">
        <f>G114*pricing!G11*2000</f>
        <v>2275120.1521610864</v>
      </c>
      <c r="H125" s="108">
        <f>H114*pricing!H11*2000</f>
        <v>2006958.6024177154</v>
      </c>
      <c r="I125" s="108">
        <f>I114*pricing!I11*2000</f>
        <v>3097601.4492705096</v>
      </c>
      <c r="J125" s="108">
        <f>J114*pricing!J11*2000</f>
        <v>1442297.4749794388</v>
      </c>
      <c r="K125" s="108">
        <f>K114*pricing!K11*2000</f>
        <v>2082725.4793685717</v>
      </c>
      <c r="L125" s="108">
        <f>L114*pricing!L11*2000</f>
        <v>2609914.262964963</v>
      </c>
      <c r="M125" s="108">
        <f>M114*pricing!M11*2000</f>
        <v>2195581.4123524064</v>
      </c>
      <c r="N125" s="108">
        <f>N114*pricing!N11*2000</f>
        <v>1238624.4968474233</v>
      </c>
      <c r="O125" s="108">
        <f>O114*pricing!O11*2000</f>
        <v>1106286.9905557029</v>
      </c>
    </row>
    <row r="126" spans="2:15" x14ac:dyDescent="0.2">
      <c r="C126" s="107" t="s">
        <v>132</v>
      </c>
      <c r="D126" s="108">
        <f>D115*pricing!D12*2000</f>
        <v>3636656.5619029738</v>
      </c>
      <c r="E126" s="108">
        <f>E115*pricing!E12*2000</f>
        <v>4925018.4606985496</v>
      </c>
      <c r="F126" s="108">
        <f>F115*pricing!F12*2000</f>
        <v>3077107.4597760807</v>
      </c>
      <c r="G126" s="108">
        <f>G115*pricing!G12*2000</f>
        <v>2471655.8453007517</v>
      </c>
      <c r="H126" s="108">
        <f>H115*pricing!H12*2000</f>
        <v>2646533.2984817452</v>
      </c>
      <c r="I126" s="108">
        <f>I115*pricing!I12*2000</f>
        <v>1628982.1027215575</v>
      </c>
      <c r="J126" s="108">
        <f>J115*pricing!J12*2000</f>
        <v>2737173.1481900974</v>
      </c>
      <c r="K126" s="108">
        <f>K115*pricing!K12*2000</f>
        <v>3141857.1902870485</v>
      </c>
      <c r="L126" s="108">
        <f>L115*pricing!L12*2000</f>
        <v>1726363.4614377045</v>
      </c>
      <c r="M126" s="108">
        <f>M115*pricing!M12*2000</f>
        <v>3063140.1005354212</v>
      </c>
      <c r="N126" s="108">
        <f>N115*pricing!N12*2000</f>
        <v>2143338.0856744186</v>
      </c>
      <c r="O126" s="108">
        <f>O115*pricing!O12*2000</f>
        <v>2611037.0854547499</v>
      </c>
    </row>
    <row r="127" spans="2:15" x14ac:dyDescent="0.2">
      <c r="C127" s="107" t="s">
        <v>277</v>
      </c>
      <c r="D127" s="108">
        <f t="shared" ref="D127:O127" si="1">SUM(D$120:D$126)</f>
        <v>26013367.433978256</v>
      </c>
      <c r="E127" s="108">
        <f t="shared" si="1"/>
        <v>30629902.948680777</v>
      </c>
      <c r="F127" s="108">
        <f t="shared" si="1"/>
        <v>49003077.682920866</v>
      </c>
      <c r="G127" s="108">
        <f t="shared" si="1"/>
        <v>35027492.583149634</v>
      </c>
      <c r="H127" s="108">
        <f t="shared" si="1"/>
        <v>30979826.333418693</v>
      </c>
      <c r="I127" s="108">
        <f t="shared" si="1"/>
        <v>33069568.561087649</v>
      </c>
      <c r="J127" s="108">
        <f t="shared" si="1"/>
        <v>24991540.36578365</v>
      </c>
      <c r="K127" s="108">
        <f t="shared" si="1"/>
        <v>28081526.342858244</v>
      </c>
      <c r="L127" s="108">
        <f t="shared" si="1"/>
        <v>31006443.285967227</v>
      </c>
      <c r="M127" s="108">
        <f t="shared" si="1"/>
        <v>45770418.015054941</v>
      </c>
      <c r="N127" s="108">
        <f t="shared" si="1"/>
        <v>36014546.480145492</v>
      </c>
      <c r="O127" s="108">
        <f t="shared" si="1"/>
        <v>25267206.601479888</v>
      </c>
    </row>
    <row r="129" spans="2:15" x14ac:dyDescent="0.2">
      <c r="B129" s="111" t="s">
        <v>279</v>
      </c>
    </row>
    <row r="130" spans="2:15" x14ac:dyDescent="0.2">
      <c r="C130" s="113" t="s">
        <v>276</v>
      </c>
      <c r="D130" s="113" t="s">
        <v>92</v>
      </c>
      <c r="E130" s="113" t="s">
        <v>93</v>
      </c>
      <c r="F130" s="113" t="s">
        <v>94</v>
      </c>
      <c r="G130" s="113" t="s">
        <v>95</v>
      </c>
      <c r="H130" s="113" t="s">
        <v>96</v>
      </c>
      <c r="I130" s="113" t="s">
        <v>97</v>
      </c>
      <c r="J130" s="113" t="s">
        <v>98</v>
      </c>
      <c r="K130" s="113" t="s">
        <v>99</v>
      </c>
      <c r="L130" s="113" t="s">
        <v>100</v>
      </c>
      <c r="M130" s="113" t="s">
        <v>101</v>
      </c>
      <c r="N130" s="113" t="s">
        <v>102</v>
      </c>
      <c r="O130" s="113" t="s">
        <v>103</v>
      </c>
    </row>
    <row r="131" spans="2:15" x14ac:dyDescent="0.2">
      <c r="C131" s="113" t="s">
        <v>126</v>
      </c>
      <c r="D131" s="114">
        <f>SUM(E$6:E$19)+SUM(G$6:G$19)+SUM(I$6:I$19)+SUM(K$6:K$19)</f>
        <v>217492.8</v>
      </c>
      <c r="E131" s="114">
        <f>SUM(M$6:M$19)+SUM(O$6:O$19)+SUM(Q$6:Q$19)+SUM(S$6:S$19)</f>
        <v>264409.2</v>
      </c>
      <c r="F131" s="114">
        <f>SUM(U$6:U$19)+SUM(W$6:W$19)+SUM(Y$6:Y$19)+SUM(AA$6:AA$19)</f>
        <v>736517.11038251384</v>
      </c>
      <c r="G131" s="114">
        <f>SUM(AC$6:AC$19)+SUM(AE$6:AE$19)+SUM(AG$6:AG$19)+SUM(AI$6:AI$19)</f>
        <v>1772258.4</v>
      </c>
      <c r="H131" s="114">
        <f>SUM(AK$6:AK$19)+SUM(AM$6:AM$19)+SUM(AO$6:AO$19)+SUM(AQ$6:AQ$19)</f>
        <v>670311.6</v>
      </c>
      <c r="I131" s="114">
        <f>SUM(AS$6:AS$19)+SUM(AU$6:AU$19)+SUM(AW$6:AW$19)+SUM(AY$6:AY$19)</f>
        <v>815270.39999999991</v>
      </c>
      <c r="J131" s="114">
        <f>SUM(BA$6:BA$19)+SUM(BC$6:BC$19)+SUM(BE$6:BE$19)+SUM(BG$6:BG$19)</f>
        <v>710626.8</v>
      </c>
      <c r="K131" s="114">
        <f>SUM(BI$6:BI$19)+SUM(BK$6:BK$19)+SUM(BM$6:BM$19)+SUM(BO$6:BO$19)</f>
        <v>1739619.6</v>
      </c>
      <c r="L131" s="114">
        <f>SUM(BQ$6:BQ$19)+SUM(BS$6:BS$19)+SUM(BU$6:BU$19)+SUM(BW$6:BW$19)</f>
        <v>1552458</v>
      </c>
      <c r="M131" s="114">
        <f>SUM(BY$6:BY$19)+SUM(CA$6:CA$19)+SUM(CC$6:CC$19)+SUM(CE$6:CE$19)</f>
        <v>827642.4</v>
      </c>
      <c r="N131" s="114">
        <f>SUM(CG$6:CG$19)+SUM(CI$6:CI$19)+SUM(CK$6:CK$19)+SUM(CM$6:CM$19)</f>
        <v>248205.30919687424</v>
      </c>
      <c r="O131" s="114">
        <f>SUM(CO$6:CO$19)+SUM(CQ$6:CQ$19)+SUM(CS$6:CS$19)+SUM(CU$6:CU$19)</f>
        <v>473952</v>
      </c>
    </row>
    <row r="132" spans="2:15" x14ac:dyDescent="0.2">
      <c r="C132" s="113" t="s">
        <v>127</v>
      </c>
      <c r="D132" s="114">
        <f>SUM(E$20:E$36)+SUM(G$20:G$36)+SUM(I$20:I$36)+SUM(K$20:K$36)</f>
        <v>548096.4</v>
      </c>
      <c r="E132" s="114">
        <f>SUM(M$20:M$36)+SUM(O$20:O$36)+SUM(Q$20:Q$36)+SUM(S$20:S$36)</f>
        <v>762304.8</v>
      </c>
      <c r="F132" s="114">
        <f>SUM(U$20:U$36)+SUM(W$20:W$36)+SUM(Y$20:Y$36)+SUM(AA$20:AA$36)</f>
        <v>5425502.9352068705</v>
      </c>
      <c r="G132" s="114">
        <f>SUM(AC$20:AC$36)+SUM(AE$20:AE$36)+SUM(AG$20:AG$36)+SUM(AI$20:AI$36)</f>
        <v>845044.79999999993</v>
      </c>
      <c r="H132" s="114">
        <f>SUM(AK$20:AK$36)+SUM(AM$20:AM$36)+SUM(AO$20:AO$36)+SUM(AQ$20:AQ$36)</f>
        <v>843924</v>
      </c>
      <c r="I132" s="114">
        <f>SUM(AS$20:AS$36)+SUM(AU$20:AU$36)+SUM(AW$20:AW$36)+SUM(AY$20:AY$36)</f>
        <v>518868</v>
      </c>
      <c r="J132" s="114">
        <f>SUM(BA$20:BA$36)+SUM(BC$20:BC$36)+SUM(BE$20:BE$36)+SUM(BG$20:BG$36)</f>
        <v>662064</v>
      </c>
      <c r="K132" s="114">
        <f>SUM(BI$20:BI$36)+SUM(BK$20:BK$36)+SUM(BM$20:BM$36)+SUM(BO$20:BO$36)</f>
        <v>439845.6</v>
      </c>
      <c r="L132" s="114">
        <f>SUM(BQ$20:BQ$36)+SUM(BS$20:BS$36)+SUM(BU$20:BU$36)+SUM(BW$20:BW$36)</f>
        <v>900014.39999999991</v>
      </c>
      <c r="M132" s="114">
        <f>SUM(BY$20:BY$36)+SUM(CA$20:CA$36)+SUM(CC$20:CC$36)+SUM(CE$20:CE$36)</f>
        <v>7075634.3999999994</v>
      </c>
      <c r="N132" s="114">
        <f>SUM(CG$20:CG$36)+SUM(CI$20:CI$36)+SUM(CK$20:CK$36)+SUM(CM$20:CM$36)</f>
        <v>2951847.0362809282</v>
      </c>
      <c r="O132" s="114">
        <f>SUM(CO$20:CO$36)+SUM(CQ$20:CQ$36)+SUM(CS$20:CS$36)+SUM(CU$20:CU$36)</f>
        <v>687508.80000000016</v>
      </c>
    </row>
    <row r="133" spans="2:15" x14ac:dyDescent="0.2">
      <c r="C133" s="113" t="s">
        <v>128</v>
      </c>
      <c r="D133" s="114">
        <f>SUM(E$37:E$48)+SUM(G$37:G$48)+SUM(I$37:I$48)+SUM(K$37:K$48)</f>
        <v>622440</v>
      </c>
      <c r="E133" s="114">
        <f>SUM(M$37:M$48)+SUM(O$37:O$48)+SUM(Q$37:Q$48)+SUM(S$37:S$48)</f>
        <v>1802234.4</v>
      </c>
      <c r="F133" s="114">
        <f>SUM(U$37:U$48)+SUM(W$37:W$48)+SUM(Y$37:Y$48)+SUM(AA$37:AA$48)</f>
        <v>1909447.7314597974</v>
      </c>
      <c r="G133" s="114">
        <f>SUM(AC$37:AC$48)+SUM(AE$37:AE$48)+SUM(AG$37:AG$48)+SUM(AI$37:AI$48)</f>
        <v>2571206.4</v>
      </c>
      <c r="H133" s="114">
        <f>SUM(AK$37:AK$48)+SUM(AM$37:AM$48)+SUM(AO$37:AO$48)+SUM(AQ$37:AQ$48)</f>
        <v>990680.39999999991</v>
      </c>
      <c r="I133" s="114">
        <f>SUM(AS$37:AS$48)+SUM(AU$37:AU$48)+SUM(AW$37:AW$48)+SUM(AY$37:AY$48)</f>
        <v>4807413.5999999996</v>
      </c>
      <c r="J133" s="114">
        <f>SUM(BA$37:BA$48)+SUM(BC$37:BC$48)+SUM(BE$37:BE$48)+SUM(BG$37:BG$48)</f>
        <v>1070448</v>
      </c>
      <c r="K133" s="114">
        <f>SUM(BI$37:BI$48)+SUM(BK$37:BK$48)+SUM(BM$37:BM$48)+SUM(BO$37:BO$48)</f>
        <v>1681626</v>
      </c>
      <c r="L133" s="114">
        <f>SUM(BQ$37:BQ$48)+SUM(BS$37:BS$48)+SUM(BU$37:BU$48)+SUM(BW$37:BW$48)</f>
        <v>1095780</v>
      </c>
      <c r="M133" s="114">
        <f>SUM(BY$37:BY$48)+SUM(CA$37:CA$48)+SUM(CC$37:CC$48)+SUM(CE$37:CE$48)</f>
        <v>618950.40000000002</v>
      </c>
      <c r="N133" s="114">
        <f>SUM(CG$37:CG$48)+SUM(CI$37:CI$48)+SUM(CK$37:CK$48)+SUM(CM$37:CM$48)</f>
        <v>1927496.0795684198</v>
      </c>
      <c r="O133" s="114">
        <f>SUM(CO$37:CO$48)+SUM(CQ$37:CQ$48)+SUM(CS$37:CS$48)+SUM(CU$37:CU$48)</f>
        <v>1971381.6</v>
      </c>
    </row>
    <row r="134" spans="2:15" x14ac:dyDescent="0.2">
      <c r="C134" s="113" t="s">
        <v>129</v>
      </c>
      <c r="D134" s="114">
        <f>SUM(E$49:E$70)+SUM(G$49:G$70)+SUM(I$49:I$70)+SUM(K$49:K$70)</f>
        <v>780638.40000000014</v>
      </c>
      <c r="E134" s="114">
        <f>SUM(M$49:M$70)+SUM(O$49:O$70)+SUM(Q$49:Q$70)+SUM(S$49:S$70)</f>
        <v>806045.99999999988</v>
      </c>
      <c r="F134" s="114">
        <f>SUM(U$49:U$70)+SUM(W$49:W$70)+SUM(Y$49:Y$70)+SUM(AA$49:AA$70)</f>
        <v>6796061.9384855591</v>
      </c>
      <c r="G134" s="114">
        <f>SUM(AC$49:AC$70)+SUM(AE$49:AE$70)+SUM(AG$49:AG$70)+SUM(AI$49:AI$70)</f>
        <v>1760183.9999999998</v>
      </c>
      <c r="H134" s="114">
        <f>SUM(AK$49:AK$70)+SUM(AM$49:AM$70)+SUM(AO$49:AO$70)+SUM(AQ$49:AQ$70)</f>
        <v>2284516.7999999998</v>
      </c>
      <c r="I134" s="114">
        <f>SUM(AS$49:AS$70)+SUM(AU$49:AU$70)+SUM(AW$49:AW$70)+SUM(AY$49:AY$70)</f>
        <v>593647.19999999995</v>
      </c>
      <c r="J134" s="114">
        <f>SUM(BA$49:BA$70)+SUM(BC$49:BC$70)+SUM(BE$49:BE$70)+SUM(BG$49:BG$70)</f>
        <v>917824.79999999981</v>
      </c>
      <c r="K134" s="114">
        <f>SUM(BI$49:BI$70)+SUM(BK$49:BK$70)+SUM(BM$49:BM$70)+SUM(BO$49:BO$70)</f>
        <v>939093.6</v>
      </c>
      <c r="L134" s="114">
        <f>SUM(BQ$49:BQ$70)+SUM(BS$49:BS$70)+SUM(BU$49:BU$70)+SUM(BW$49:BW$70)</f>
        <v>1979760.0000000002</v>
      </c>
      <c r="M134" s="114">
        <f>SUM(BY$49:BY$70)+SUM(CA$49:CA$70)+SUM(CC$49:CC$70)+SUM(CE$49:CE$70)</f>
        <v>592321.19999999995</v>
      </c>
      <c r="N134" s="114">
        <f>SUM(CG$49:CG$70)+SUM(CI$49:CI$70)+SUM(CK$49:CK$70)+SUM(CM$49:CM$70)</f>
        <v>7423234.9485047748</v>
      </c>
      <c r="O134" s="114">
        <f>SUM(CO$49:CO$70)+SUM(CQ$49:CQ$70)+SUM(CS$49:CS$70)+SUM(CU$49:CU$70)</f>
        <v>1267717.2</v>
      </c>
    </row>
    <row r="135" spans="2:15" x14ac:dyDescent="0.2">
      <c r="C135" s="113" t="s">
        <v>130</v>
      </c>
      <c r="D135" s="114">
        <f>SUM(E$71:E$86)+SUM(G$71:G$86)+SUM(I$71:I$86)+SUM(K$71:K$86)</f>
        <v>2224872</v>
      </c>
      <c r="E135" s="114">
        <f>SUM(M$71:M$86)+SUM(O$71:O$86)+SUM(Q$71:Q$86)+SUM(S$71:S$86)</f>
        <v>2167051.2000000002</v>
      </c>
      <c r="F135" s="114">
        <f>SUM(U$71:U$86)+SUM(W$71:W$86)+SUM(Y$71:Y$86)+SUM(AA$71:AA$86)</f>
        <v>1163939.9999999998</v>
      </c>
      <c r="G135" s="114">
        <f>SUM(AC$71:AC$86)+SUM(AE$71:AE$86)+SUM(AG$71:AG$86)+SUM(AI$71:AI$86)</f>
        <v>987855.60000000009</v>
      </c>
      <c r="H135" s="114">
        <f>SUM(AK$71:AK$86)+SUM(AM$71:AM$86)+SUM(AO$71:AO$86)+SUM(AQ$71:AQ$86)</f>
        <v>1692462</v>
      </c>
      <c r="I135" s="114">
        <f>SUM(AS$71:AS$86)+SUM(AU$71:AU$86)+SUM(AW$71:AW$86)+SUM(AY$71:AY$86)</f>
        <v>2515237.1999999997</v>
      </c>
      <c r="J135" s="114">
        <f>SUM(BA$71:BA$86)+SUM(BC$71:BC$86)+SUM(BE$71:BE$86)+SUM(BG$71:BG$86)</f>
        <v>296516.39999999997</v>
      </c>
      <c r="K135" s="114">
        <f>SUM(BI$71:BI$86)+SUM(BK$71:BK$86)+SUM(BM$71:BM$86)+SUM(BO$71:BO$86)</f>
        <v>320827.2</v>
      </c>
      <c r="L135" s="114">
        <f>SUM(BQ$71:BQ$86)+SUM(BS$71:BS$86)+SUM(BU$71:BU$86)+SUM(BW$71:BW$86)</f>
        <v>360930</v>
      </c>
      <c r="M135" s="114">
        <f>SUM(BY$71:BY$86)+SUM(CA$71:CA$86)+SUM(CC$71:CC$86)+SUM(CE$71:CE$86)</f>
        <v>1784172</v>
      </c>
      <c r="N135" s="114">
        <f>SUM(CG$71:CG$86)+SUM(CI$71:CI$86)+SUM(CK$71:CK$86)+SUM(CM$71:CM$86)</f>
        <v>255236.4</v>
      </c>
      <c r="O135" s="114">
        <f>SUM(CO$71:CO$86)+SUM(CQ$71:CQ$86)+SUM(CS$71:CS$86)+SUM(CU$71:CU$86)</f>
        <v>440300.39999999997</v>
      </c>
    </row>
    <row r="136" spans="2:15" x14ac:dyDescent="0.2">
      <c r="C136" s="113" t="s">
        <v>131</v>
      </c>
      <c r="D136" s="114">
        <f>SUM(E$87:E$94)+SUM(G$87:G$94)+SUM(I$87:I$94)+SUM(K$87:K$94)</f>
        <v>688878</v>
      </c>
      <c r="E136" s="114">
        <f>SUM(M$87:M$94)+SUM(O$87:O$94)+SUM(Q$87:Q$94)+SUM(S$87:S$94)</f>
        <v>947995.2</v>
      </c>
      <c r="F136" s="114">
        <f>SUM(U$87:U$94)+SUM(W$87:W$94)+SUM(Y$87:Y$94)+SUM(AA$87:AA$94)</f>
        <v>1037014.8</v>
      </c>
      <c r="G136" s="114">
        <f>SUM(AC$87:AC$94)+SUM(AE$87:AE$94)+SUM(AG$87:AG$94)+SUM(AI$87:AI$94)</f>
        <v>1778587.2</v>
      </c>
      <c r="H136" s="114">
        <f>SUM(AK$87:AK$94)+SUM(AM$87:AM$94)+SUM(AO$87:AO$94)+SUM(AQ$87:AQ$94)</f>
        <v>1428864</v>
      </c>
      <c r="I136" s="114">
        <f>SUM(AS$87:AS$94)+SUM(AU$87:AU$94)+SUM(AW$87:AW$94)+SUM(AY$87:AY$94)</f>
        <v>2943447.5999999996</v>
      </c>
      <c r="J136" s="114">
        <f>SUM(BA$87:BA$94)+SUM(BC$87:BC$94)+SUM(BE$87:BE$94)+SUM(BG$87:BG$94)</f>
        <v>670501.19999999995</v>
      </c>
      <c r="K136" s="114">
        <f>SUM(BI$87:BI$94)+SUM(BK$87:BK$94)+SUM(BM$87:BM$94)+SUM(BO$87:BO$94)</f>
        <v>1419840</v>
      </c>
      <c r="L136" s="114">
        <f>SUM(BQ$87:BQ$94)+SUM(BS$87:BS$94)+SUM(BU$87:BU$94)+SUM(BW$87:BW$94)</f>
        <v>2343040.7999999998</v>
      </c>
      <c r="M136" s="114">
        <f>SUM(BY$87:BY$94)+SUM(CA$87:CA$94)+SUM(CC$87:CC$94)+SUM(CE$87:CE$94)</f>
        <v>1401457.1999999997</v>
      </c>
      <c r="N136" s="114">
        <f>SUM(CG$87:CG$94)+SUM(CI$87:CI$94)+SUM(CK$87:CK$94)+SUM(CM$87:CM$94)</f>
        <v>598866</v>
      </c>
      <c r="O136" s="114">
        <f>SUM(CO$87:CO$94)+SUM(CQ$87:CQ$94)+SUM(CS$87:CS$94)+SUM(CU$87:CU$94)</f>
        <v>475566</v>
      </c>
    </row>
    <row r="137" spans="2:15" x14ac:dyDescent="0.2">
      <c r="C137" s="113" t="s">
        <v>132</v>
      </c>
      <c r="D137" s="114">
        <f>SUM(E$95:E$105)+SUM(G$95:G$105)+SUM(I$95:I$105)+SUM(K$95:K$105)</f>
        <v>2612571.6</v>
      </c>
      <c r="E137" s="114">
        <f>SUM(M$95:M$105)+SUM(O$95:O$105)+SUM(Q$95:Q$105)+SUM(S$95:S$105)</f>
        <v>4976206.8</v>
      </c>
      <c r="F137" s="114">
        <f>SUM(U$95:U$105)+SUM(W$95:W$105)+SUM(Y$95:Y$105)+SUM(AA$95:AA$105)</f>
        <v>2294754</v>
      </c>
      <c r="G137" s="114">
        <f>SUM(AC$95:AC$105)+SUM(AE$95:AE$105)+SUM(AG$95:AG$105)+SUM(AI$95:AI$105)</f>
        <v>1288161.5999999999</v>
      </c>
      <c r="H137" s="114">
        <f>SUM(AK$95:AK$105)+SUM(AM$95:AM$105)+SUM(AO$95:AO$105)+SUM(AQ$95:AQ$105)</f>
        <v>1527393.6</v>
      </c>
      <c r="I137" s="114">
        <f>SUM(AS$95:AS$105)+SUM(AU$95:AU$105)+SUM(AW$95:AW$105)+SUM(AY$95:AY$105)</f>
        <v>676285.2</v>
      </c>
      <c r="J137" s="114">
        <f>SUM(BA$95:BA$105)+SUM(BC$95:BC$105)+SUM(BE$95:BE$105)+SUM(BG$95:BG$105)</f>
        <v>1592284.8</v>
      </c>
      <c r="K137" s="114">
        <f>SUM(BI$95:BI$105)+SUM(BK$95:BK$105)+SUM(BM$95:BM$105)+SUM(BO$95:BO$105)</f>
        <v>1851632.4</v>
      </c>
      <c r="L137" s="114">
        <f>SUM(BQ$95:BQ$105)+SUM(BS$95:BS$105)+SUM(BU$95:BU$105)+SUM(BW$95:BW$105)</f>
        <v>734373.6</v>
      </c>
      <c r="M137" s="114">
        <f>SUM(BY$95:BY$105)+SUM(CA$95:CA$105)+SUM(CC$95:CC$105)+SUM(CE$95:CE$105)</f>
        <v>1857334.7999999998</v>
      </c>
      <c r="N137" s="114">
        <f>SUM(CG$95:CG$105)+SUM(CI$95:CI$105)+SUM(CK$95:CK$105)+SUM(CM$95:CM$105)</f>
        <v>1034581.2000000001</v>
      </c>
      <c r="O137" s="114">
        <f>SUM(CO$95:CO$105)+SUM(CQ$95:CQ$105)+SUM(CS$95:CS$105)+SUM(CU$95:CU$105)</f>
        <v>1544600.4</v>
      </c>
    </row>
    <row r="138" spans="2:15" x14ac:dyDescent="0.2">
      <c r="C138" s="113" t="s">
        <v>277</v>
      </c>
      <c r="D138" s="108">
        <f t="shared" ref="D138:O138" si="2">SUM(D$131:D$137)</f>
        <v>7694989.1999999993</v>
      </c>
      <c r="E138" s="108">
        <f t="shared" si="2"/>
        <v>11726247.6</v>
      </c>
      <c r="F138" s="108">
        <f t="shared" si="2"/>
        <v>19363238.51553474</v>
      </c>
      <c r="G138" s="108">
        <f t="shared" si="2"/>
        <v>11003297.999999998</v>
      </c>
      <c r="H138" s="108">
        <f t="shared" si="2"/>
        <v>9438152.4000000004</v>
      </c>
      <c r="I138" s="108">
        <f t="shared" si="2"/>
        <v>12870169.199999999</v>
      </c>
      <c r="J138" s="108">
        <f t="shared" si="2"/>
        <v>5920265.9999999991</v>
      </c>
      <c r="K138" s="108">
        <f t="shared" si="2"/>
        <v>8392484.4000000004</v>
      </c>
      <c r="L138" s="108">
        <f t="shared" si="2"/>
        <v>8966356.8000000007</v>
      </c>
      <c r="M138" s="108">
        <f t="shared" si="2"/>
        <v>14157512.399999999</v>
      </c>
      <c r="N138" s="108">
        <f t="shared" si="2"/>
        <v>14439466.973550996</v>
      </c>
      <c r="O138" s="108">
        <f t="shared" si="2"/>
        <v>6861026.4000000004</v>
      </c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8"/>
  </cols>
  <sheetData>
    <row r="2" spans="1:99" x14ac:dyDescent="0.2">
      <c r="B2" s="110" t="s">
        <v>271</v>
      </c>
    </row>
    <row r="3" spans="1:99" x14ac:dyDescent="0.2">
      <c r="B3" s="111" t="s">
        <v>281</v>
      </c>
    </row>
    <row r="4" spans="1:99" x14ac:dyDescent="0.2">
      <c r="A4" s="109"/>
      <c r="B4" s="109"/>
      <c r="C4" s="107" t="s">
        <v>273</v>
      </c>
      <c r="D4" s="107" t="s">
        <v>92</v>
      </c>
      <c r="E4" s="109"/>
      <c r="F4" s="109"/>
      <c r="G4" s="109"/>
      <c r="H4" s="109"/>
      <c r="I4" s="109"/>
      <c r="J4" s="109"/>
      <c r="K4" s="109"/>
      <c r="L4" s="107" t="s">
        <v>93</v>
      </c>
      <c r="M4" s="109"/>
      <c r="N4" s="109"/>
      <c r="O4" s="109"/>
      <c r="P4" s="109"/>
      <c r="Q4" s="109"/>
      <c r="R4" s="109"/>
      <c r="S4" s="109"/>
      <c r="T4" s="107" t="s">
        <v>94</v>
      </c>
      <c r="U4" s="109"/>
      <c r="V4" s="109"/>
      <c r="W4" s="109"/>
      <c r="X4" s="109"/>
      <c r="Y4" s="109"/>
      <c r="Z4" s="109"/>
      <c r="AA4" s="109"/>
      <c r="AB4" s="107" t="s">
        <v>95</v>
      </c>
      <c r="AC4" s="109"/>
      <c r="AD4" s="109"/>
      <c r="AE4" s="109"/>
      <c r="AF4" s="109"/>
      <c r="AG4" s="109"/>
      <c r="AH4" s="109"/>
      <c r="AI4" s="109"/>
      <c r="AJ4" s="107" t="s">
        <v>96</v>
      </c>
      <c r="AK4" s="109"/>
      <c r="AL4" s="109"/>
      <c r="AM4" s="109"/>
      <c r="AN4" s="109"/>
      <c r="AO4" s="109"/>
      <c r="AP4" s="109"/>
      <c r="AQ4" s="109"/>
      <c r="AR4" s="107" t="s">
        <v>97</v>
      </c>
      <c r="AS4" s="109"/>
      <c r="AT4" s="109"/>
      <c r="AU4" s="109"/>
      <c r="AV4" s="109"/>
      <c r="AW4" s="109"/>
      <c r="AX4" s="109"/>
      <c r="AY4" s="109"/>
      <c r="AZ4" s="107" t="s">
        <v>98</v>
      </c>
      <c r="BA4" s="109"/>
      <c r="BB4" s="109"/>
      <c r="BC4" s="109"/>
      <c r="BD4" s="109"/>
      <c r="BE4" s="109"/>
      <c r="BF4" s="109"/>
      <c r="BG4" s="109"/>
      <c r="BH4" s="107" t="s">
        <v>99</v>
      </c>
      <c r="BI4" s="109"/>
      <c r="BJ4" s="109"/>
      <c r="BK4" s="109"/>
      <c r="BL4" s="109"/>
      <c r="BM4" s="109"/>
      <c r="BN4" s="109"/>
      <c r="BO4" s="109"/>
      <c r="BP4" s="107" t="s">
        <v>100</v>
      </c>
      <c r="BQ4" s="109"/>
      <c r="BR4" s="109"/>
      <c r="BS4" s="109"/>
      <c r="BT4" s="109"/>
      <c r="BU4" s="109"/>
      <c r="BV4" s="109"/>
      <c r="BW4" s="109"/>
      <c r="BX4" s="107" t="s">
        <v>101</v>
      </c>
      <c r="BY4" s="109"/>
      <c r="BZ4" s="109"/>
      <c r="CA4" s="109"/>
      <c r="CB4" s="109"/>
      <c r="CC4" s="109"/>
      <c r="CD4" s="109"/>
      <c r="CE4" s="109"/>
      <c r="CF4" s="107" t="s">
        <v>102</v>
      </c>
      <c r="CG4" s="109"/>
      <c r="CH4" s="109"/>
      <c r="CI4" s="109"/>
      <c r="CJ4" s="109"/>
      <c r="CK4" s="109"/>
      <c r="CL4" s="109"/>
      <c r="CM4" s="109"/>
      <c r="CN4" s="107" t="s">
        <v>103</v>
      </c>
      <c r="CO4" s="109"/>
      <c r="CP4" s="109"/>
      <c r="CQ4" s="109"/>
      <c r="CR4" s="109"/>
      <c r="CS4" s="109"/>
      <c r="CT4" s="109"/>
      <c r="CU4" s="109"/>
    </row>
    <row r="5" spans="1:99" x14ac:dyDescent="0.2">
      <c r="B5" s="107" t="s">
        <v>166</v>
      </c>
      <c r="C5" s="107" t="s">
        <v>274</v>
      </c>
      <c r="D5" s="107">
        <v>1</v>
      </c>
      <c r="E5" s="107"/>
      <c r="F5" s="107">
        <v>2</v>
      </c>
      <c r="G5" s="107"/>
      <c r="H5" s="107">
        <v>3</v>
      </c>
      <c r="I5" s="107"/>
      <c r="J5" s="107">
        <v>4</v>
      </c>
      <c r="K5" s="107"/>
      <c r="L5" s="107">
        <v>1</v>
      </c>
      <c r="M5" s="107"/>
      <c r="N5" s="107">
        <v>2</v>
      </c>
      <c r="O5" s="107"/>
      <c r="P5" s="107">
        <v>3</v>
      </c>
      <c r="Q5" s="107"/>
      <c r="R5" s="107">
        <v>4</v>
      </c>
      <c r="S5" s="107"/>
      <c r="T5" s="107">
        <v>1</v>
      </c>
      <c r="U5" s="107"/>
      <c r="V5" s="107">
        <v>2</v>
      </c>
      <c r="W5" s="107"/>
      <c r="X5" s="107">
        <v>3</v>
      </c>
      <c r="Y5" s="107"/>
      <c r="Z5" s="107">
        <v>4</v>
      </c>
      <c r="AA5" s="107"/>
      <c r="AB5" s="107">
        <v>1</v>
      </c>
      <c r="AC5" s="107"/>
      <c r="AD5" s="107">
        <v>2</v>
      </c>
      <c r="AE5" s="107"/>
      <c r="AF5" s="107">
        <v>3</v>
      </c>
      <c r="AG5" s="107"/>
      <c r="AH5" s="107">
        <v>4</v>
      </c>
      <c r="AI5" s="107"/>
      <c r="AJ5" s="107">
        <v>1</v>
      </c>
      <c r="AK5" s="107"/>
      <c r="AL5" s="107">
        <v>2</v>
      </c>
      <c r="AM5" s="107"/>
      <c r="AN5" s="107">
        <v>3</v>
      </c>
      <c r="AO5" s="107"/>
      <c r="AP5" s="107">
        <v>4</v>
      </c>
      <c r="AQ5" s="107"/>
      <c r="AR5" s="107">
        <v>1</v>
      </c>
      <c r="AS5" s="107"/>
      <c r="AT5" s="107">
        <v>2</v>
      </c>
      <c r="AU5" s="107"/>
      <c r="AV5" s="107">
        <v>3</v>
      </c>
      <c r="AW5" s="107"/>
      <c r="AX5" s="107">
        <v>4</v>
      </c>
      <c r="AY5" s="107"/>
      <c r="AZ5" s="107">
        <v>1</v>
      </c>
      <c r="BA5" s="107"/>
      <c r="BB5" s="107">
        <v>2</v>
      </c>
      <c r="BC5" s="107"/>
      <c r="BD5" s="107">
        <v>3</v>
      </c>
      <c r="BE5" s="107"/>
      <c r="BF5" s="107">
        <v>4</v>
      </c>
      <c r="BG5" s="107"/>
      <c r="BH5" s="107">
        <v>1</v>
      </c>
      <c r="BI5" s="107"/>
      <c r="BJ5" s="107">
        <v>2</v>
      </c>
      <c r="BK5" s="107"/>
      <c r="BL5" s="107">
        <v>3</v>
      </c>
      <c r="BM5" s="107"/>
      <c r="BN5" s="107">
        <v>4</v>
      </c>
      <c r="BO5" s="107"/>
      <c r="BP5" s="107">
        <v>1</v>
      </c>
      <c r="BQ5" s="107"/>
      <c r="BR5" s="107">
        <v>2</v>
      </c>
      <c r="BS5" s="107"/>
      <c r="BT5" s="107">
        <v>3</v>
      </c>
      <c r="BU5" s="107"/>
      <c r="BV5" s="107">
        <v>4</v>
      </c>
      <c r="BW5" s="107"/>
      <c r="BX5" s="107">
        <v>1</v>
      </c>
      <c r="BY5" s="107"/>
      <c r="BZ5" s="107">
        <v>2</v>
      </c>
      <c r="CA5" s="107"/>
      <c r="CB5" s="107">
        <v>3</v>
      </c>
      <c r="CC5" s="107"/>
      <c r="CD5" s="107">
        <v>4</v>
      </c>
      <c r="CE5" s="107"/>
      <c r="CF5" s="107">
        <v>1</v>
      </c>
      <c r="CG5" s="107"/>
      <c r="CH5" s="107">
        <v>2</v>
      </c>
      <c r="CI5" s="107"/>
      <c r="CJ5" s="107">
        <v>3</v>
      </c>
      <c r="CK5" s="107"/>
      <c r="CL5" s="107">
        <v>4</v>
      </c>
      <c r="CM5" s="107"/>
      <c r="CN5" s="107">
        <v>1</v>
      </c>
      <c r="CO5" s="107"/>
      <c r="CP5" s="107">
        <v>2</v>
      </c>
      <c r="CQ5" s="107"/>
      <c r="CR5" s="107">
        <v>3</v>
      </c>
      <c r="CS5" s="107"/>
      <c r="CT5" s="107">
        <v>4</v>
      </c>
      <c r="CU5" s="107"/>
    </row>
    <row r="6" spans="1:99" x14ac:dyDescent="0.2">
      <c r="B6" s="107" t="s">
        <v>126</v>
      </c>
      <c r="C6" s="107" t="s">
        <v>171</v>
      </c>
      <c r="D6" s="108">
        <v>0</v>
      </c>
      <c r="E6" s="108">
        <v>0</v>
      </c>
      <c r="F6" s="108">
        <v>0</v>
      </c>
      <c r="G6" s="108">
        <v>0</v>
      </c>
      <c r="H6" s="108">
        <v>0</v>
      </c>
      <c r="I6" s="108">
        <v>0</v>
      </c>
      <c r="J6" s="108">
        <v>0</v>
      </c>
      <c r="K6" s="108">
        <v>0</v>
      </c>
      <c r="L6" s="108">
        <v>78.99887133182844</v>
      </c>
      <c r="M6" s="108">
        <v>45692.947178329567</v>
      </c>
      <c r="N6" s="108">
        <v>24.537740235585865</v>
      </c>
      <c r="O6" s="108">
        <v>14192.628952262863</v>
      </c>
      <c r="P6" s="108">
        <v>27.93363546064068</v>
      </c>
      <c r="Q6" s="108">
        <v>16156.814750434569</v>
      </c>
      <c r="R6" s="108">
        <v>28.332658678756481</v>
      </c>
      <c r="S6" s="108">
        <v>16387.609779792747</v>
      </c>
      <c r="T6" s="108">
        <v>0</v>
      </c>
      <c r="U6" s="108">
        <v>0</v>
      </c>
      <c r="V6" s="108">
        <v>14.437500000000002</v>
      </c>
      <c r="W6" s="108">
        <v>8350.6500000000015</v>
      </c>
      <c r="X6" s="108">
        <v>6.5131578947368425</v>
      </c>
      <c r="Y6" s="108">
        <v>3767.2105263157896</v>
      </c>
      <c r="Z6" s="108">
        <v>5.7071917808219172</v>
      </c>
      <c r="AA6" s="108">
        <v>3301.0397260273967</v>
      </c>
      <c r="AB6" s="108">
        <v>0</v>
      </c>
      <c r="AC6" s="108">
        <v>0</v>
      </c>
      <c r="AD6" s="108">
        <v>24.100640113798011</v>
      </c>
      <c r="AE6" s="108">
        <v>13939.810241820769</v>
      </c>
      <c r="AF6" s="108">
        <v>18.221553002223871</v>
      </c>
      <c r="AG6" s="108">
        <v>10539.346256486286</v>
      </c>
      <c r="AH6" s="108">
        <v>23.387369557394745</v>
      </c>
      <c r="AI6" s="108">
        <v>13527.254551997121</v>
      </c>
      <c r="AJ6" s="108">
        <v>0</v>
      </c>
      <c r="AK6" s="108">
        <v>0</v>
      </c>
      <c r="AL6" s="108">
        <v>19.149058410469198</v>
      </c>
      <c r="AM6" s="108">
        <v>11075.815384615384</v>
      </c>
      <c r="AN6" s="108">
        <v>8.6198275862068972</v>
      </c>
      <c r="AO6" s="108">
        <v>4985.7082758620691</v>
      </c>
      <c r="AP6" s="108">
        <v>0</v>
      </c>
      <c r="AQ6" s="108">
        <v>0</v>
      </c>
      <c r="AR6" s="108">
        <v>31.391642282370157</v>
      </c>
      <c r="AS6" s="108">
        <v>18156.925896122899</v>
      </c>
      <c r="AT6" s="108">
        <v>0</v>
      </c>
      <c r="AU6" s="108">
        <v>0</v>
      </c>
      <c r="AV6" s="108">
        <v>26.469887491727331</v>
      </c>
      <c r="AW6" s="108">
        <v>15310.182925215087</v>
      </c>
      <c r="AX6" s="108">
        <v>12.292240361919747</v>
      </c>
      <c r="AY6" s="108">
        <v>7109.8318253343814</v>
      </c>
      <c r="AZ6" s="108">
        <v>5.1435185185185182</v>
      </c>
      <c r="BA6" s="108">
        <v>2975.0111111111109</v>
      </c>
      <c r="BB6" s="108">
        <v>0</v>
      </c>
      <c r="BC6" s="108">
        <v>0</v>
      </c>
      <c r="BD6" s="108">
        <v>7.9594029850746271</v>
      </c>
      <c r="BE6" s="108">
        <v>4603.7186865671638</v>
      </c>
      <c r="BF6" s="108">
        <v>0</v>
      </c>
      <c r="BG6" s="108">
        <v>0</v>
      </c>
      <c r="BH6" s="108">
        <v>48.444767441860463</v>
      </c>
      <c r="BI6" s="108">
        <v>28020.453488372092</v>
      </c>
      <c r="BJ6" s="108">
        <v>26.751189060642094</v>
      </c>
      <c r="BK6" s="108">
        <v>15472.887752675386</v>
      </c>
      <c r="BL6" s="108">
        <v>24.895884146341462</v>
      </c>
      <c r="BM6" s="108">
        <v>14399.779390243901</v>
      </c>
      <c r="BN6" s="108">
        <v>34.143472906403943</v>
      </c>
      <c r="BO6" s="108">
        <v>19748.584729064041</v>
      </c>
      <c r="BP6" s="108">
        <v>35.81584887144259</v>
      </c>
      <c r="BQ6" s="108">
        <v>20715.886987242393</v>
      </c>
      <c r="BR6" s="108">
        <v>29.943102415651826</v>
      </c>
      <c r="BS6" s="108">
        <v>17319.090437213014</v>
      </c>
      <c r="BT6" s="108">
        <v>29.119437812025179</v>
      </c>
      <c r="BU6" s="108">
        <v>16842.682830475362</v>
      </c>
      <c r="BV6" s="108">
        <v>0</v>
      </c>
      <c r="BW6" s="108">
        <v>0</v>
      </c>
      <c r="BX6" s="108">
        <v>28.512046089385475</v>
      </c>
      <c r="BY6" s="108">
        <v>16491.367458100558</v>
      </c>
      <c r="BZ6" s="108">
        <v>6.9317157712305022</v>
      </c>
      <c r="CA6" s="108">
        <v>4009.3044020797224</v>
      </c>
      <c r="CB6" s="108">
        <v>0</v>
      </c>
      <c r="CC6" s="108">
        <v>0</v>
      </c>
      <c r="CD6" s="108">
        <v>23.869958537504711</v>
      </c>
      <c r="CE6" s="108">
        <v>13806.384018092724</v>
      </c>
      <c r="CF6" s="108">
        <v>0</v>
      </c>
      <c r="CG6" s="108">
        <v>0</v>
      </c>
      <c r="CH6" s="108">
        <v>0</v>
      </c>
      <c r="CI6" s="108">
        <v>0</v>
      </c>
      <c r="CJ6" s="108">
        <v>7.0931209018750723</v>
      </c>
      <c r="CK6" s="108">
        <v>4102.6611296445417</v>
      </c>
      <c r="CL6" s="108">
        <v>5.8174791173170428</v>
      </c>
      <c r="CM6" s="108">
        <v>3364.8299214561775</v>
      </c>
      <c r="CN6" s="108">
        <v>4.3668442077230365</v>
      </c>
      <c r="CO6" s="108">
        <v>2525.782689747004</v>
      </c>
      <c r="CP6" s="108">
        <v>0</v>
      </c>
      <c r="CQ6" s="108">
        <v>0</v>
      </c>
      <c r="CR6" s="108">
        <v>0</v>
      </c>
      <c r="CS6" s="108">
        <v>0</v>
      </c>
      <c r="CT6" s="108">
        <v>9.821259163432515</v>
      </c>
      <c r="CU6" s="108">
        <v>5680.6163001293662</v>
      </c>
    </row>
    <row r="7" spans="1:99" x14ac:dyDescent="0.2">
      <c r="C7" s="107" t="s">
        <v>172</v>
      </c>
      <c r="D7" s="108">
        <v>0</v>
      </c>
      <c r="E7" s="108">
        <v>0</v>
      </c>
      <c r="F7" s="108">
        <v>0</v>
      </c>
      <c r="G7" s="108">
        <v>0</v>
      </c>
      <c r="H7" s="108">
        <v>0</v>
      </c>
      <c r="I7" s="108">
        <v>0</v>
      </c>
      <c r="J7" s="108">
        <v>0</v>
      </c>
      <c r="K7" s="108">
        <v>0</v>
      </c>
      <c r="L7" s="108">
        <v>82.760722347629795</v>
      </c>
      <c r="M7" s="108">
        <v>65248.553498871326</v>
      </c>
      <c r="N7" s="108">
        <v>24.796032238065717</v>
      </c>
      <c r="O7" s="108">
        <v>19549.191816491009</v>
      </c>
      <c r="P7" s="108">
        <v>27.726719642413705</v>
      </c>
      <c r="Q7" s="108">
        <v>21859.745766078966</v>
      </c>
      <c r="R7" s="108">
        <v>23.475631476683937</v>
      </c>
      <c r="S7" s="108">
        <v>18508.187856217613</v>
      </c>
      <c r="T7" s="108">
        <v>0</v>
      </c>
      <c r="U7" s="108">
        <v>0</v>
      </c>
      <c r="V7" s="108">
        <v>13.062499999999998</v>
      </c>
      <c r="W7" s="108">
        <v>10298.474999999999</v>
      </c>
      <c r="X7" s="108">
        <v>7.8157894736842106</v>
      </c>
      <c r="Y7" s="108">
        <v>6161.9684210526311</v>
      </c>
      <c r="Z7" s="108">
        <v>6.1827910958904102</v>
      </c>
      <c r="AA7" s="108">
        <v>4874.5124999999989</v>
      </c>
      <c r="AB7" s="108">
        <v>0</v>
      </c>
      <c r="AC7" s="108">
        <v>0</v>
      </c>
      <c r="AD7" s="108">
        <v>22.915362731152204</v>
      </c>
      <c r="AE7" s="108">
        <v>18066.471977240395</v>
      </c>
      <c r="AF7" s="108">
        <v>17.295033358042993</v>
      </c>
      <c r="AG7" s="108">
        <v>13635.404299481095</v>
      </c>
      <c r="AH7" s="108">
        <v>20.388988844908241</v>
      </c>
      <c r="AI7" s="108">
        <v>16074.678805325657</v>
      </c>
      <c r="AJ7" s="108">
        <v>0</v>
      </c>
      <c r="AK7" s="108">
        <v>0</v>
      </c>
      <c r="AL7" s="108">
        <v>16.755426109160549</v>
      </c>
      <c r="AM7" s="108">
        <v>13209.977944462176</v>
      </c>
      <c r="AN7" s="108">
        <v>9.6973060344827591</v>
      </c>
      <c r="AO7" s="108">
        <v>7645.356077586207</v>
      </c>
      <c r="AP7" s="108">
        <v>0</v>
      </c>
      <c r="AQ7" s="108">
        <v>0</v>
      </c>
      <c r="AR7" s="108">
        <v>30.477322604242865</v>
      </c>
      <c r="AS7" s="108">
        <v>24028.321141185075</v>
      </c>
      <c r="AT7" s="108">
        <v>0</v>
      </c>
      <c r="AU7" s="108">
        <v>0</v>
      </c>
      <c r="AV7" s="108">
        <v>24.539791528788879</v>
      </c>
      <c r="AW7" s="108">
        <v>19347.171641297151</v>
      </c>
      <c r="AX7" s="108">
        <v>11.14496459480724</v>
      </c>
      <c r="AY7" s="108">
        <v>8786.6900865460284</v>
      </c>
      <c r="AZ7" s="108">
        <v>4.7026455026455034</v>
      </c>
      <c r="BA7" s="108">
        <v>3707.5657142857149</v>
      </c>
      <c r="BB7" s="108">
        <v>0</v>
      </c>
      <c r="BC7" s="108">
        <v>0</v>
      </c>
      <c r="BD7" s="108">
        <v>7.2961194029850756</v>
      </c>
      <c r="BE7" s="108">
        <v>5752.2605373134338</v>
      </c>
      <c r="BF7" s="108">
        <v>0</v>
      </c>
      <c r="BG7" s="108">
        <v>0</v>
      </c>
      <c r="BH7" s="108">
        <v>52.408430232558146</v>
      </c>
      <c r="BI7" s="108">
        <v>41318.806395348838</v>
      </c>
      <c r="BJ7" s="108">
        <v>26.503492865636147</v>
      </c>
      <c r="BK7" s="108">
        <v>20895.353775267537</v>
      </c>
      <c r="BL7" s="108">
        <v>23.879725609756097</v>
      </c>
      <c r="BM7" s="108">
        <v>18826.775670731706</v>
      </c>
      <c r="BN7" s="108">
        <v>32.091133004926107</v>
      </c>
      <c r="BO7" s="108">
        <v>25300.649261083741</v>
      </c>
      <c r="BP7" s="108">
        <v>28.292885181550542</v>
      </c>
      <c r="BQ7" s="108">
        <v>22306.110677134446</v>
      </c>
      <c r="BR7" s="108">
        <v>30.275803553603513</v>
      </c>
      <c r="BS7" s="108">
        <v>23869.443521661007</v>
      </c>
      <c r="BT7" s="108">
        <v>24.959518124593011</v>
      </c>
      <c r="BU7" s="108">
        <v>19678.084089429129</v>
      </c>
      <c r="BV7" s="108">
        <v>0</v>
      </c>
      <c r="BW7" s="108">
        <v>0</v>
      </c>
      <c r="BX7" s="108">
        <v>27.930167597765362</v>
      </c>
      <c r="BY7" s="108">
        <v>22020.144134078211</v>
      </c>
      <c r="BZ7" s="108">
        <v>7.5093587521663778</v>
      </c>
      <c r="CA7" s="108">
        <v>5920.3784402079718</v>
      </c>
      <c r="CB7" s="108">
        <v>0</v>
      </c>
      <c r="CC7" s="108">
        <v>0</v>
      </c>
      <c r="CD7" s="108">
        <v>21.985488126649077</v>
      </c>
      <c r="CE7" s="108">
        <v>17333.358839050132</v>
      </c>
      <c r="CF7" s="108">
        <v>0</v>
      </c>
      <c r="CG7" s="108">
        <v>0</v>
      </c>
      <c r="CH7" s="108">
        <v>0</v>
      </c>
      <c r="CI7" s="108">
        <v>0</v>
      </c>
      <c r="CJ7" s="108">
        <v>7.2848268721960192</v>
      </c>
      <c r="CK7" s="108">
        <v>5743.3575060393414</v>
      </c>
      <c r="CL7" s="108">
        <v>5.5058284503179156</v>
      </c>
      <c r="CM7" s="108">
        <v>4340.7951502306441</v>
      </c>
      <c r="CN7" s="108">
        <v>4.8347203728362187</v>
      </c>
      <c r="CO7" s="108">
        <v>3811.6935419440747</v>
      </c>
      <c r="CP7" s="108">
        <v>0</v>
      </c>
      <c r="CQ7" s="108">
        <v>0</v>
      </c>
      <c r="CR7" s="108">
        <v>0</v>
      </c>
      <c r="CS7" s="108">
        <v>0</v>
      </c>
      <c r="CT7" s="108">
        <v>8.863087537731781</v>
      </c>
      <c r="CU7" s="108">
        <v>6987.6582147477357</v>
      </c>
    </row>
    <row r="8" spans="1:99" x14ac:dyDescent="0.2">
      <c r="C8" s="107" t="s">
        <v>173</v>
      </c>
      <c r="D8" s="108">
        <v>0</v>
      </c>
      <c r="E8" s="108">
        <v>0</v>
      </c>
      <c r="F8" s="108">
        <v>0</v>
      </c>
      <c r="G8" s="108">
        <v>0</v>
      </c>
      <c r="H8" s="108">
        <v>0</v>
      </c>
      <c r="I8" s="108">
        <v>0</v>
      </c>
      <c r="J8" s="108">
        <v>0</v>
      </c>
      <c r="K8" s="108">
        <v>0</v>
      </c>
      <c r="L8" s="108">
        <v>98.435101580135438</v>
      </c>
      <c r="M8" s="108">
        <v>30475.507449209927</v>
      </c>
      <c r="N8" s="108">
        <v>25.570908245505269</v>
      </c>
      <c r="O8" s="108">
        <v>7916.75319280843</v>
      </c>
      <c r="P8" s="108">
        <v>34.348025825676679</v>
      </c>
      <c r="Q8" s="108">
        <v>10634.148795629499</v>
      </c>
      <c r="R8" s="108">
        <v>25.09464054404145</v>
      </c>
      <c r="S8" s="108">
        <v>7769.3007124352325</v>
      </c>
      <c r="T8" s="108">
        <v>0</v>
      </c>
      <c r="U8" s="108">
        <v>0</v>
      </c>
      <c r="V8" s="108">
        <v>13.062499999999998</v>
      </c>
      <c r="W8" s="108">
        <v>4044.1499999999992</v>
      </c>
      <c r="X8" s="108">
        <v>6.5131578947368425</v>
      </c>
      <c r="Y8" s="108">
        <v>2016.4736842105262</v>
      </c>
      <c r="Z8" s="108">
        <v>6.1827910958904102</v>
      </c>
      <c r="AA8" s="108">
        <v>1914.1921232876707</v>
      </c>
      <c r="AB8" s="108">
        <v>0</v>
      </c>
      <c r="AC8" s="108">
        <v>0</v>
      </c>
      <c r="AD8" s="108">
        <v>26.076102418207679</v>
      </c>
      <c r="AE8" s="108">
        <v>8073.1613086770967</v>
      </c>
      <c r="AF8" s="108">
        <v>19.148072646404746</v>
      </c>
      <c r="AG8" s="108">
        <v>5928.2432913269085</v>
      </c>
      <c r="AH8" s="108">
        <v>23.087531486146094</v>
      </c>
      <c r="AI8" s="108">
        <v>7147.8997481108299</v>
      </c>
      <c r="AJ8" s="108">
        <v>0</v>
      </c>
      <c r="AK8" s="108">
        <v>0</v>
      </c>
      <c r="AL8" s="108">
        <v>19.149058410469198</v>
      </c>
      <c r="AM8" s="108">
        <v>5928.5484838812636</v>
      </c>
      <c r="AN8" s="108">
        <v>9.3381465517241384</v>
      </c>
      <c r="AO8" s="108">
        <v>2891.090172413793</v>
      </c>
      <c r="AP8" s="108">
        <v>0</v>
      </c>
      <c r="AQ8" s="108">
        <v>0</v>
      </c>
      <c r="AR8" s="108">
        <v>36.877560351133866</v>
      </c>
      <c r="AS8" s="108">
        <v>11417.292684711043</v>
      </c>
      <c r="AT8" s="108">
        <v>0</v>
      </c>
      <c r="AU8" s="108">
        <v>0</v>
      </c>
      <c r="AV8" s="108">
        <v>27.02134348113832</v>
      </c>
      <c r="AW8" s="108">
        <v>8365.8079417604222</v>
      </c>
      <c r="AX8" s="108">
        <v>13.111723052714398</v>
      </c>
      <c r="AY8" s="108">
        <v>4059.3894571203773</v>
      </c>
      <c r="AZ8" s="108">
        <v>5.1435185185185182</v>
      </c>
      <c r="BA8" s="108">
        <v>1592.4333333333329</v>
      </c>
      <c r="BB8" s="108">
        <v>0</v>
      </c>
      <c r="BC8" s="108">
        <v>0</v>
      </c>
      <c r="BD8" s="108">
        <v>7.6277611940298513</v>
      </c>
      <c r="BE8" s="108">
        <v>2361.5548656716419</v>
      </c>
      <c r="BF8" s="108">
        <v>0</v>
      </c>
      <c r="BG8" s="108">
        <v>0</v>
      </c>
      <c r="BH8" s="108">
        <v>51.968023255813954</v>
      </c>
      <c r="BI8" s="108">
        <v>16089.299999999997</v>
      </c>
      <c r="BJ8" s="108">
        <v>29.475847205707492</v>
      </c>
      <c r="BK8" s="108">
        <v>9125.7222948870385</v>
      </c>
      <c r="BL8" s="108">
        <v>24.895884146341462</v>
      </c>
      <c r="BM8" s="108">
        <v>7707.7657317073163</v>
      </c>
      <c r="BN8" s="108">
        <v>33.956896551724135</v>
      </c>
      <c r="BO8" s="108">
        <v>10513.055172413791</v>
      </c>
      <c r="BP8" s="108">
        <v>31.72728164867517</v>
      </c>
      <c r="BQ8" s="108">
        <v>9822.7663984298324</v>
      </c>
      <c r="BR8" s="108">
        <v>32.272010381313635</v>
      </c>
      <c r="BS8" s="108">
        <v>9991.4144140546996</v>
      </c>
      <c r="BT8" s="108">
        <v>31.470696765791189</v>
      </c>
      <c r="BU8" s="108">
        <v>9743.3277186889518</v>
      </c>
      <c r="BV8" s="108">
        <v>0</v>
      </c>
      <c r="BW8" s="108">
        <v>0</v>
      </c>
      <c r="BX8" s="108">
        <v>30.839560055865924</v>
      </c>
      <c r="BY8" s="108">
        <v>9547.9277932960886</v>
      </c>
      <c r="BZ8" s="108">
        <v>7.7981802426343148</v>
      </c>
      <c r="CA8" s="108">
        <v>2414.3166031195838</v>
      </c>
      <c r="CB8" s="108">
        <v>0</v>
      </c>
      <c r="CC8" s="108">
        <v>0</v>
      </c>
      <c r="CD8" s="108">
        <v>24.498115341123256</v>
      </c>
      <c r="CE8" s="108">
        <v>7584.6165096117593</v>
      </c>
      <c r="CF8" s="108">
        <v>0</v>
      </c>
      <c r="CG8" s="108">
        <v>0</v>
      </c>
      <c r="CH8" s="108">
        <v>0</v>
      </c>
      <c r="CI8" s="108">
        <v>0</v>
      </c>
      <c r="CJ8" s="108">
        <v>8.4350626941217079</v>
      </c>
      <c r="CK8" s="108">
        <v>2611.4954101000803</v>
      </c>
      <c r="CL8" s="108">
        <v>6.0252462286497943</v>
      </c>
      <c r="CM8" s="108">
        <v>1865.4162323899761</v>
      </c>
      <c r="CN8" s="108">
        <v>4.9906790945406128</v>
      </c>
      <c r="CO8" s="108">
        <v>1545.1142476697735</v>
      </c>
      <c r="CP8" s="108">
        <v>0</v>
      </c>
      <c r="CQ8" s="108">
        <v>0</v>
      </c>
      <c r="CR8" s="108">
        <v>0</v>
      </c>
      <c r="CS8" s="108">
        <v>0</v>
      </c>
      <c r="CT8" s="108">
        <v>9.5817162570073311</v>
      </c>
      <c r="CU8" s="108">
        <v>2966.4993531694695</v>
      </c>
    </row>
    <row r="9" spans="1:99" x14ac:dyDescent="0.2">
      <c r="C9" s="107" t="s">
        <v>174</v>
      </c>
      <c r="D9" s="108">
        <v>0</v>
      </c>
      <c r="E9" s="108">
        <v>0</v>
      </c>
      <c r="F9" s="108">
        <v>0</v>
      </c>
      <c r="G9" s="108">
        <v>0</v>
      </c>
      <c r="H9" s="108">
        <v>0</v>
      </c>
      <c r="I9" s="108">
        <v>0</v>
      </c>
      <c r="J9" s="108">
        <v>0</v>
      </c>
      <c r="K9" s="108">
        <v>0</v>
      </c>
      <c r="L9" s="108">
        <v>82.760722347629795</v>
      </c>
      <c r="M9" s="108">
        <v>58098.027088036113</v>
      </c>
      <c r="N9" s="108">
        <v>24.279448233106013</v>
      </c>
      <c r="O9" s="108">
        <v>17044.172659640422</v>
      </c>
      <c r="P9" s="108">
        <v>27.726719642413705</v>
      </c>
      <c r="Q9" s="108">
        <v>19464.157188974423</v>
      </c>
      <c r="R9" s="108">
        <v>25.634310233160619</v>
      </c>
      <c r="S9" s="108">
        <v>17995.285783678755</v>
      </c>
      <c r="T9" s="108">
        <v>0</v>
      </c>
      <c r="U9" s="108">
        <v>0</v>
      </c>
      <c r="V9" s="108">
        <v>14.437500000000002</v>
      </c>
      <c r="W9" s="108">
        <v>10135.125000000002</v>
      </c>
      <c r="X9" s="108">
        <v>6.5131578947368425</v>
      </c>
      <c r="Y9" s="108">
        <v>4572.2368421052633</v>
      </c>
      <c r="Z9" s="108">
        <v>6.1827910958904102</v>
      </c>
      <c r="AA9" s="108">
        <v>4340.3193493150684</v>
      </c>
      <c r="AB9" s="108">
        <v>0</v>
      </c>
      <c r="AC9" s="108">
        <v>0</v>
      </c>
      <c r="AD9" s="108">
        <v>21.334992887624466</v>
      </c>
      <c r="AE9" s="108">
        <v>14977.165007112375</v>
      </c>
      <c r="AF9" s="108">
        <v>20.074592290585617</v>
      </c>
      <c r="AG9" s="108">
        <v>14092.363787991104</v>
      </c>
      <c r="AH9" s="108">
        <v>22.787693414897447</v>
      </c>
      <c r="AI9" s="108">
        <v>15996.960777258008</v>
      </c>
      <c r="AJ9" s="108">
        <v>0</v>
      </c>
      <c r="AK9" s="108">
        <v>0</v>
      </c>
      <c r="AL9" s="108">
        <v>18.351180976699649</v>
      </c>
      <c r="AM9" s="108">
        <v>12882.529045643154</v>
      </c>
      <c r="AN9" s="108">
        <v>8.9789870689655178</v>
      </c>
      <c r="AO9" s="108">
        <v>6303.2489224137935</v>
      </c>
      <c r="AP9" s="108">
        <v>0</v>
      </c>
      <c r="AQ9" s="108">
        <v>0</v>
      </c>
      <c r="AR9" s="108">
        <v>34.43937454279444</v>
      </c>
      <c r="AS9" s="108">
        <v>24176.440929041695</v>
      </c>
      <c r="AT9" s="108">
        <v>0</v>
      </c>
      <c r="AU9" s="108">
        <v>0</v>
      </c>
      <c r="AV9" s="108">
        <v>22.333967571144939</v>
      </c>
      <c r="AW9" s="108">
        <v>15678.445234943747</v>
      </c>
      <c r="AX9" s="108">
        <v>12.456136900078679</v>
      </c>
      <c r="AY9" s="108">
        <v>8744.2081038552333</v>
      </c>
      <c r="AZ9" s="108">
        <v>4.8496031746031747</v>
      </c>
      <c r="BA9" s="108">
        <v>3404.4214285714288</v>
      </c>
      <c r="BB9" s="108">
        <v>0</v>
      </c>
      <c r="BC9" s="108">
        <v>0</v>
      </c>
      <c r="BD9" s="108">
        <v>7.2961194029850756</v>
      </c>
      <c r="BE9" s="108">
        <v>5121.8758208955232</v>
      </c>
      <c r="BF9" s="108">
        <v>0</v>
      </c>
      <c r="BG9" s="108">
        <v>0</v>
      </c>
      <c r="BH9" s="108">
        <v>55.050872093023251</v>
      </c>
      <c r="BI9" s="108">
        <v>38645.712209302321</v>
      </c>
      <c r="BJ9" s="108">
        <v>26.503492865636147</v>
      </c>
      <c r="BK9" s="108">
        <v>18605.451991676575</v>
      </c>
      <c r="BL9" s="108">
        <v>20.323170731707318</v>
      </c>
      <c r="BM9" s="108">
        <v>14266.865853658537</v>
      </c>
      <c r="BN9" s="108">
        <v>32.837438423645324</v>
      </c>
      <c r="BO9" s="108">
        <v>23051.881773399018</v>
      </c>
      <c r="BP9" s="108">
        <v>34.671050049067716</v>
      </c>
      <c r="BQ9" s="108">
        <v>24339.077134445535</v>
      </c>
      <c r="BR9" s="108">
        <v>32.771062088241166</v>
      </c>
      <c r="BS9" s="108">
        <v>23005.285585945297</v>
      </c>
      <c r="BT9" s="108">
        <v>25.502116344692858</v>
      </c>
      <c r="BU9" s="108">
        <v>17902.485673974388</v>
      </c>
      <c r="BV9" s="108">
        <v>0</v>
      </c>
      <c r="BW9" s="108">
        <v>0</v>
      </c>
      <c r="BX9" s="108">
        <v>28.512046089385475</v>
      </c>
      <c r="BY9" s="108">
        <v>20015.456354748603</v>
      </c>
      <c r="BZ9" s="108">
        <v>8.0870017331022517</v>
      </c>
      <c r="CA9" s="108">
        <v>5677.0752166377806</v>
      </c>
      <c r="CB9" s="108">
        <v>0</v>
      </c>
      <c r="CC9" s="108">
        <v>0</v>
      </c>
      <c r="CD9" s="108">
        <v>20.101017715793443</v>
      </c>
      <c r="CE9" s="108">
        <v>14110.914436486997</v>
      </c>
      <c r="CF9" s="108">
        <v>0</v>
      </c>
      <c r="CG9" s="108">
        <v>0</v>
      </c>
      <c r="CH9" s="108">
        <v>0</v>
      </c>
      <c r="CI9" s="108">
        <v>0</v>
      </c>
      <c r="CJ9" s="108">
        <v>6.9014149315541236</v>
      </c>
      <c r="CK9" s="108">
        <v>4844.7932819509952</v>
      </c>
      <c r="CL9" s="108">
        <v>5.0902942276524126</v>
      </c>
      <c r="CM9" s="108">
        <v>3573.3865478119938</v>
      </c>
      <c r="CN9" s="108">
        <v>4.5228029294274297</v>
      </c>
      <c r="CO9" s="108">
        <v>3175.0076564580554</v>
      </c>
      <c r="CP9" s="108">
        <v>0</v>
      </c>
      <c r="CQ9" s="108">
        <v>0</v>
      </c>
      <c r="CR9" s="108">
        <v>0</v>
      </c>
      <c r="CS9" s="108">
        <v>0</v>
      </c>
      <c r="CT9" s="108">
        <v>10.539887882708065</v>
      </c>
      <c r="CU9" s="108">
        <v>7399.0012936610619</v>
      </c>
    </row>
    <row r="10" spans="1:99" x14ac:dyDescent="0.2">
      <c r="C10" s="107" t="s">
        <v>175</v>
      </c>
      <c r="D10" s="108">
        <v>0</v>
      </c>
      <c r="E10" s="108">
        <v>0</v>
      </c>
      <c r="F10" s="108">
        <v>0</v>
      </c>
      <c r="G10" s="108">
        <v>0</v>
      </c>
      <c r="H10" s="108">
        <v>0</v>
      </c>
      <c r="I10" s="108">
        <v>0</v>
      </c>
      <c r="J10" s="108">
        <v>0</v>
      </c>
      <c r="K10" s="108">
        <v>0</v>
      </c>
      <c r="L10" s="108">
        <v>91.538374717832951</v>
      </c>
      <c r="M10" s="108">
        <v>49870.10654627539</v>
      </c>
      <c r="N10" s="108">
        <v>25.829200247985121</v>
      </c>
      <c r="O10" s="108">
        <v>14071.748295102292</v>
      </c>
      <c r="P10" s="108">
        <v>31.037372734045196</v>
      </c>
      <c r="Q10" s="108">
        <v>16909.160665507821</v>
      </c>
      <c r="R10" s="108">
        <v>25.364475388601036</v>
      </c>
      <c r="S10" s="108">
        <v>13818.566191709844</v>
      </c>
      <c r="T10" s="108">
        <v>0</v>
      </c>
      <c r="U10" s="108">
        <v>0</v>
      </c>
      <c r="V10" s="108">
        <v>14.437500000000002</v>
      </c>
      <c r="W10" s="108">
        <v>7865.55</v>
      </c>
      <c r="X10" s="108">
        <v>7.8157894736842106</v>
      </c>
      <c r="Y10" s="108">
        <v>4258.0421052631573</v>
      </c>
      <c r="Z10" s="108">
        <v>5.7071917808219172</v>
      </c>
      <c r="AA10" s="108">
        <v>3109.2780821917804</v>
      </c>
      <c r="AB10" s="108">
        <v>0</v>
      </c>
      <c r="AC10" s="108">
        <v>0</v>
      </c>
      <c r="AD10" s="108">
        <v>22.125177809388337</v>
      </c>
      <c r="AE10" s="108">
        <v>12053.796870554765</v>
      </c>
      <c r="AF10" s="108">
        <v>20.074592290585617</v>
      </c>
      <c r="AG10" s="108">
        <v>10936.637879911043</v>
      </c>
      <c r="AH10" s="108">
        <v>21.588341129902844</v>
      </c>
      <c r="AI10" s="108">
        <v>11761.328247571068</v>
      </c>
      <c r="AJ10" s="108">
        <v>0</v>
      </c>
      <c r="AK10" s="108">
        <v>0</v>
      </c>
      <c r="AL10" s="108">
        <v>18.351180976699649</v>
      </c>
      <c r="AM10" s="108">
        <v>9997.7233961059683</v>
      </c>
      <c r="AN10" s="108">
        <v>9.3381465517241384</v>
      </c>
      <c r="AO10" s="108">
        <v>5087.4222413793104</v>
      </c>
      <c r="AP10" s="108">
        <v>0</v>
      </c>
      <c r="AQ10" s="108">
        <v>0</v>
      </c>
      <c r="AR10" s="108">
        <v>35.353694220921724</v>
      </c>
      <c r="AS10" s="108">
        <v>19260.692611558155</v>
      </c>
      <c r="AT10" s="108">
        <v>0</v>
      </c>
      <c r="AU10" s="108">
        <v>0</v>
      </c>
      <c r="AV10" s="108">
        <v>26.19415949702184</v>
      </c>
      <c r="AW10" s="108">
        <v>14270.578093977498</v>
      </c>
      <c r="AX10" s="108">
        <v>11.472757671125098</v>
      </c>
      <c r="AY10" s="108">
        <v>6250.3583792289528</v>
      </c>
      <c r="AZ10" s="108">
        <v>5.2904761904761903</v>
      </c>
      <c r="BA10" s="108">
        <v>2882.2514285714283</v>
      </c>
      <c r="BB10" s="108">
        <v>0</v>
      </c>
      <c r="BC10" s="108">
        <v>0</v>
      </c>
      <c r="BD10" s="108">
        <v>7.6277611940298513</v>
      </c>
      <c r="BE10" s="108">
        <v>4155.6042985074628</v>
      </c>
      <c r="BF10" s="108">
        <v>0</v>
      </c>
      <c r="BG10" s="108">
        <v>0</v>
      </c>
      <c r="BH10" s="108">
        <v>54.170058139534888</v>
      </c>
      <c r="BI10" s="108">
        <v>29511.847674418605</v>
      </c>
      <c r="BJ10" s="108">
        <v>24.27422711058264</v>
      </c>
      <c r="BK10" s="108">
        <v>13224.598929845421</v>
      </c>
      <c r="BL10" s="108">
        <v>24.641844512195121</v>
      </c>
      <c r="BM10" s="108">
        <v>13424.876890243901</v>
      </c>
      <c r="BN10" s="108">
        <v>33.210591133004925</v>
      </c>
      <c r="BO10" s="108">
        <v>18093.130049261083</v>
      </c>
      <c r="BP10" s="108">
        <v>32.381452404317955</v>
      </c>
      <c r="BQ10" s="108">
        <v>17641.415269872421</v>
      </c>
      <c r="BR10" s="108">
        <v>31.939309243361947</v>
      </c>
      <c r="BS10" s="108">
        <v>17400.535675783587</v>
      </c>
      <c r="BT10" s="108">
        <v>31.470696765791189</v>
      </c>
      <c r="BU10" s="108">
        <v>17145.235598003037</v>
      </c>
      <c r="BV10" s="108">
        <v>0</v>
      </c>
      <c r="BW10" s="108">
        <v>0</v>
      </c>
      <c r="BX10" s="108">
        <v>26.766410614525139</v>
      </c>
      <c r="BY10" s="108">
        <v>14582.340502793295</v>
      </c>
      <c r="BZ10" s="108">
        <v>8.0870017331022517</v>
      </c>
      <c r="CA10" s="108">
        <v>4405.7985441941064</v>
      </c>
      <c r="CB10" s="108">
        <v>0</v>
      </c>
      <c r="CC10" s="108">
        <v>0</v>
      </c>
      <c r="CD10" s="108">
        <v>22.613644930267622</v>
      </c>
      <c r="CE10" s="108">
        <v>12319.913758009799</v>
      </c>
      <c r="CF10" s="108">
        <v>0</v>
      </c>
      <c r="CG10" s="108">
        <v>0</v>
      </c>
      <c r="CH10" s="108">
        <v>0</v>
      </c>
      <c r="CI10" s="108">
        <v>0</v>
      </c>
      <c r="CJ10" s="108">
        <v>7.0931209018750723</v>
      </c>
      <c r="CK10" s="108">
        <v>3864.3322673415391</v>
      </c>
      <c r="CL10" s="108">
        <v>5.4019448946515398</v>
      </c>
      <c r="CM10" s="108">
        <v>2942.9795786061586</v>
      </c>
      <c r="CN10" s="108">
        <v>4.6787616511318237</v>
      </c>
      <c r="CO10" s="108">
        <v>2548.9893475366175</v>
      </c>
      <c r="CP10" s="108">
        <v>0</v>
      </c>
      <c r="CQ10" s="108">
        <v>0</v>
      </c>
      <c r="CR10" s="108">
        <v>0</v>
      </c>
      <c r="CS10" s="108">
        <v>0</v>
      </c>
      <c r="CT10" s="108">
        <v>10.060802069857697</v>
      </c>
      <c r="CU10" s="108">
        <v>5481.124967658473</v>
      </c>
    </row>
    <row r="11" spans="1:99" x14ac:dyDescent="0.2">
      <c r="C11" s="107" t="s">
        <v>176</v>
      </c>
      <c r="D11" s="108">
        <v>0</v>
      </c>
      <c r="E11" s="108">
        <v>0</v>
      </c>
      <c r="F11" s="108">
        <v>0</v>
      </c>
      <c r="G11" s="108">
        <v>0</v>
      </c>
      <c r="H11" s="108">
        <v>0</v>
      </c>
      <c r="I11" s="108">
        <v>0</v>
      </c>
      <c r="J11" s="108">
        <v>0</v>
      </c>
      <c r="K11" s="108">
        <v>0</v>
      </c>
      <c r="L11" s="108">
        <v>82.133747178329571</v>
      </c>
      <c r="M11" s="108">
        <v>43760.86049661399</v>
      </c>
      <c r="N11" s="108">
        <v>22.987988220706757</v>
      </c>
      <c r="O11" s="108">
        <v>12248.000123992559</v>
      </c>
      <c r="P11" s="108">
        <v>31.658120188726102</v>
      </c>
      <c r="Q11" s="108">
        <v>16867.446436553266</v>
      </c>
      <c r="R11" s="108">
        <v>26.173979922279795</v>
      </c>
      <c r="S11" s="108">
        <v>13945.496502590673</v>
      </c>
      <c r="T11" s="108">
        <v>0</v>
      </c>
      <c r="U11" s="108">
        <v>0</v>
      </c>
      <c r="V11" s="108">
        <v>14.437500000000002</v>
      </c>
      <c r="W11" s="108">
        <v>7692.3</v>
      </c>
      <c r="X11" s="108">
        <v>7.8157894736842106</v>
      </c>
      <c r="Y11" s="108">
        <v>4164.2526315789473</v>
      </c>
      <c r="Z11" s="108">
        <v>6.1827910958904102</v>
      </c>
      <c r="AA11" s="108">
        <v>3294.1910958904105</v>
      </c>
      <c r="AB11" s="108">
        <v>0</v>
      </c>
      <c r="AC11" s="108">
        <v>0</v>
      </c>
      <c r="AD11" s="108">
        <v>22.125177809388337</v>
      </c>
      <c r="AE11" s="108">
        <v>11788.294736842105</v>
      </c>
      <c r="AF11" s="108">
        <v>19.456912527798369</v>
      </c>
      <c r="AG11" s="108">
        <v>10366.642994810971</v>
      </c>
      <c r="AH11" s="108">
        <v>23.387369557394745</v>
      </c>
      <c r="AI11" s="108">
        <v>12460.790500179919</v>
      </c>
      <c r="AJ11" s="108">
        <v>0</v>
      </c>
      <c r="AK11" s="108">
        <v>0</v>
      </c>
      <c r="AL11" s="108">
        <v>19.946935844238748</v>
      </c>
      <c r="AM11" s="108">
        <v>10627.727417810403</v>
      </c>
      <c r="AN11" s="108">
        <v>10.415625</v>
      </c>
      <c r="AO11" s="108">
        <v>5549.4449999999997</v>
      </c>
      <c r="AP11" s="108">
        <v>0</v>
      </c>
      <c r="AQ11" s="108">
        <v>0</v>
      </c>
      <c r="AR11" s="108">
        <v>35.353694220921724</v>
      </c>
      <c r="AS11" s="108">
        <v>18836.448280907094</v>
      </c>
      <c r="AT11" s="108">
        <v>0</v>
      </c>
      <c r="AU11" s="108">
        <v>0</v>
      </c>
      <c r="AV11" s="108">
        <v>26.469887491727331</v>
      </c>
      <c r="AW11" s="108">
        <v>14103.156055592321</v>
      </c>
      <c r="AX11" s="108">
        <v>10.817171518489378</v>
      </c>
      <c r="AY11" s="108">
        <v>5763.3889850511396</v>
      </c>
      <c r="AZ11" s="108">
        <v>5.2904761904761903</v>
      </c>
      <c r="BA11" s="108">
        <v>2818.7657142857138</v>
      </c>
      <c r="BB11" s="108">
        <v>0</v>
      </c>
      <c r="BC11" s="108">
        <v>0</v>
      </c>
      <c r="BD11" s="108">
        <v>7.6277611940298513</v>
      </c>
      <c r="BE11" s="108">
        <v>4064.0711641791045</v>
      </c>
      <c r="BF11" s="108">
        <v>0</v>
      </c>
      <c r="BG11" s="108">
        <v>0</v>
      </c>
      <c r="BH11" s="108">
        <v>55.491279069767444</v>
      </c>
      <c r="BI11" s="108">
        <v>29565.753488372091</v>
      </c>
      <c r="BJ11" s="108">
        <v>25.76040428061831</v>
      </c>
      <c r="BK11" s="108">
        <v>13725.143400713434</v>
      </c>
      <c r="BL11" s="108">
        <v>24.387804878048783</v>
      </c>
      <c r="BM11" s="108">
        <v>12993.82243902439</v>
      </c>
      <c r="BN11" s="108">
        <v>31.531403940886698</v>
      </c>
      <c r="BO11" s="108">
        <v>16799.932019704433</v>
      </c>
      <c r="BP11" s="108">
        <v>34.016879293424928</v>
      </c>
      <c r="BQ11" s="108">
        <v>18124.1932875368</v>
      </c>
      <c r="BR11" s="108">
        <v>31.440257536434419</v>
      </c>
      <c r="BS11" s="108">
        <v>16751.369215412258</v>
      </c>
      <c r="BT11" s="108">
        <v>28.034241371825484</v>
      </c>
      <c r="BU11" s="108">
        <v>14936.643802908617</v>
      </c>
      <c r="BV11" s="108">
        <v>0</v>
      </c>
      <c r="BW11" s="108">
        <v>0</v>
      </c>
      <c r="BX11" s="108">
        <v>28.512046089385475</v>
      </c>
      <c r="BY11" s="108">
        <v>15191.21815642458</v>
      </c>
      <c r="BZ11" s="108">
        <v>7.5093587521663778</v>
      </c>
      <c r="CA11" s="108">
        <v>4000.9863431542458</v>
      </c>
      <c r="CB11" s="108">
        <v>0</v>
      </c>
      <c r="CC11" s="108">
        <v>0</v>
      </c>
      <c r="CD11" s="108">
        <v>21.357331323030532</v>
      </c>
      <c r="CE11" s="108">
        <v>11379.186128910667</v>
      </c>
      <c r="CF11" s="108">
        <v>0</v>
      </c>
      <c r="CG11" s="108">
        <v>0</v>
      </c>
      <c r="CH11" s="108">
        <v>0</v>
      </c>
      <c r="CI11" s="108">
        <v>0</v>
      </c>
      <c r="CJ11" s="108">
        <v>7.6682388128379166</v>
      </c>
      <c r="CK11" s="108">
        <v>4085.6376394800418</v>
      </c>
      <c r="CL11" s="108">
        <v>4.8825271163196611</v>
      </c>
      <c r="CM11" s="108">
        <v>2601.4104475751151</v>
      </c>
      <c r="CN11" s="108">
        <v>4.9906790945406128</v>
      </c>
      <c r="CO11" s="108">
        <v>2659.0338215712381</v>
      </c>
      <c r="CP11" s="108">
        <v>0</v>
      </c>
      <c r="CQ11" s="108">
        <v>0</v>
      </c>
      <c r="CR11" s="108">
        <v>0</v>
      </c>
      <c r="CS11" s="108">
        <v>0</v>
      </c>
      <c r="CT11" s="108">
        <v>10.060802069857697</v>
      </c>
      <c r="CU11" s="108">
        <v>5360.3953428201803</v>
      </c>
    </row>
    <row r="12" spans="1:99" x14ac:dyDescent="0.2">
      <c r="C12" s="107" t="s">
        <v>177</v>
      </c>
      <c r="D12" s="108">
        <v>0</v>
      </c>
      <c r="E12" s="108">
        <v>0</v>
      </c>
      <c r="F12" s="108">
        <v>0</v>
      </c>
      <c r="G12" s="108">
        <v>0</v>
      </c>
      <c r="H12" s="108">
        <v>0</v>
      </c>
      <c r="I12" s="108">
        <v>0</v>
      </c>
      <c r="J12" s="108">
        <v>0</v>
      </c>
      <c r="K12" s="108">
        <v>0</v>
      </c>
      <c r="L12" s="108">
        <v>92.792325056433413</v>
      </c>
      <c r="M12" s="108">
        <v>52223.520541760721</v>
      </c>
      <c r="N12" s="108">
        <v>25.570908245505269</v>
      </c>
      <c r="O12" s="108">
        <v>14391.307160570364</v>
      </c>
      <c r="P12" s="108">
        <v>31.658120188726102</v>
      </c>
      <c r="Q12" s="108">
        <v>17817.19004221505</v>
      </c>
      <c r="R12" s="108">
        <v>25.904145077720205</v>
      </c>
      <c r="S12" s="108">
        <v>14578.85284974093</v>
      </c>
      <c r="T12" s="108">
        <v>0</v>
      </c>
      <c r="U12" s="108">
        <v>0</v>
      </c>
      <c r="V12" s="108">
        <v>13.749999999999998</v>
      </c>
      <c r="W12" s="108">
        <v>7738.4999999999982</v>
      </c>
      <c r="X12" s="108">
        <v>7.8157894736842106</v>
      </c>
      <c r="Y12" s="108">
        <v>4398.7263157894731</v>
      </c>
      <c r="Z12" s="108">
        <v>6.1827910958904102</v>
      </c>
      <c r="AA12" s="108">
        <v>3479.6748287671226</v>
      </c>
      <c r="AB12" s="108">
        <v>0</v>
      </c>
      <c r="AC12" s="108">
        <v>0</v>
      </c>
      <c r="AD12" s="108">
        <v>25.681009957325749</v>
      </c>
      <c r="AE12" s="108">
        <v>14453.27240398293</v>
      </c>
      <c r="AF12" s="108">
        <v>21.309951816160119</v>
      </c>
      <c r="AG12" s="108">
        <v>11993.240882134915</v>
      </c>
      <c r="AH12" s="108">
        <v>21.288503058654193</v>
      </c>
      <c r="AI12" s="108">
        <v>11981.169521410578</v>
      </c>
      <c r="AJ12" s="108">
        <v>0</v>
      </c>
      <c r="AK12" s="108">
        <v>0</v>
      </c>
      <c r="AL12" s="108">
        <v>19.149058410469198</v>
      </c>
      <c r="AM12" s="108">
        <v>10777.090073412064</v>
      </c>
      <c r="AN12" s="108">
        <v>10.05646551724138</v>
      </c>
      <c r="AO12" s="108">
        <v>5659.7787931034482</v>
      </c>
      <c r="AP12" s="108">
        <v>0</v>
      </c>
      <c r="AQ12" s="108">
        <v>0</v>
      </c>
      <c r="AR12" s="108">
        <v>32.61073518653987</v>
      </c>
      <c r="AS12" s="108">
        <v>18353.321762984637</v>
      </c>
      <c r="AT12" s="108">
        <v>0</v>
      </c>
      <c r="AU12" s="108">
        <v>0</v>
      </c>
      <c r="AV12" s="108">
        <v>25.366975512905359</v>
      </c>
      <c r="AW12" s="108">
        <v>14276.533818663134</v>
      </c>
      <c r="AX12" s="108">
        <v>11.964447285601889</v>
      </c>
      <c r="AY12" s="108">
        <v>6733.5909323367423</v>
      </c>
      <c r="AZ12" s="108">
        <v>5.1435185185185182</v>
      </c>
      <c r="BA12" s="108">
        <v>2894.7722222222219</v>
      </c>
      <c r="BB12" s="108">
        <v>0</v>
      </c>
      <c r="BC12" s="108">
        <v>0</v>
      </c>
      <c r="BD12" s="108">
        <v>7.2961194029850756</v>
      </c>
      <c r="BE12" s="108">
        <v>4106.2560000000003</v>
      </c>
      <c r="BF12" s="108">
        <v>0</v>
      </c>
      <c r="BG12" s="108">
        <v>0</v>
      </c>
      <c r="BH12" s="108">
        <v>55.491279069767444</v>
      </c>
      <c r="BI12" s="108">
        <v>31230.491860465114</v>
      </c>
      <c r="BJ12" s="108">
        <v>26.008100475624257</v>
      </c>
      <c r="BK12" s="108">
        <v>14637.35894768133</v>
      </c>
      <c r="BL12" s="108">
        <v>24.641844512195121</v>
      </c>
      <c r="BM12" s="108">
        <v>13868.430091463413</v>
      </c>
      <c r="BN12" s="108">
        <v>34.703201970443352</v>
      </c>
      <c r="BO12" s="108">
        <v>19530.962068965517</v>
      </c>
      <c r="BP12" s="108">
        <v>33.689793915603531</v>
      </c>
      <c r="BQ12" s="108">
        <v>18960.616015701664</v>
      </c>
      <c r="BR12" s="108">
        <v>34.933619484927135</v>
      </c>
      <c r="BS12" s="108">
        <v>19660.641046116991</v>
      </c>
      <c r="BT12" s="108">
        <v>26.949044931625785</v>
      </c>
      <c r="BU12" s="108">
        <v>15166.92248751899</v>
      </c>
      <c r="BV12" s="108">
        <v>0</v>
      </c>
      <c r="BW12" s="108">
        <v>0</v>
      </c>
      <c r="BX12" s="108">
        <v>28.512046089385475</v>
      </c>
      <c r="BY12" s="108">
        <v>16046.579539106144</v>
      </c>
      <c r="BZ12" s="108">
        <v>7.22053726169844</v>
      </c>
      <c r="CA12" s="108">
        <v>4063.7183708838816</v>
      </c>
      <c r="CB12" s="108">
        <v>0</v>
      </c>
      <c r="CC12" s="108">
        <v>0</v>
      </c>
      <c r="CD12" s="108">
        <v>23.241801733886167</v>
      </c>
      <c r="CE12" s="108">
        <v>13080.486015831133</v>
      </c>
      <c r="CF12" s="108">
        <v>0</v>
      </c>
      <c r="CG12" s="108">
        <v>0</v>
      </c>
      <c r="CH12" s="108">
        <v>0</v>
      </c>
      <c r="CI12" s="108">
        <v>0</v>
      </c>
      <c r="CJ12" s="108">
        <v>6.9014149315541236</v>
      </c>
      <c r="CK12" s="108">
        <v>3884.1163234786604</v>
      </c>
      <c r="CL12" s="108">
        <v>5.2980613389851641</v>
      </c>
      <c r="CM12" s="108">
        <v>2981.74892158085</v>
      </c>
      <c r="CN12" s="108">
        <v>5.1466378162450068</v>
      </c>
      <c r="CO12" s="108">
        <v>2896.5277629826896</v>
      </c>
      <c r="CP12" s="108">
        <v>0</v>
      </c>
      <c r="CQ12" s="108">
        <v>0</v>
      </c>
      <c r="CR12" s="108">
        <v>0</v>
      </c>
      <c r="CS12" s="108">
        <v>0</v>
      </c>
      <c r="CT12" s="108">
        <v>9.102630444156965</v>
      </c>
      <c r="CU12" s="108">
        <v>5122.9604139715393</v>
      </c>
    </row>
    <row r="13" spans="1:99" x14ac:dyDescent="0.2">
      <c r="C13" s="107" t="s">
        <v>178</v>
      </c>
      <c r="D13" s="108">
        <v>0</v>
      </c>
      <c r="E13" s="108">
        <v>0</v>
      </c>
      <c r="F13" s="108">
        <v>0</v>
      </c>
      <c r="G13" s="108">
        <v>0</v>
      </c>
      <c r="H13" s="108">
        <v>0</v>
      </c>
      <c r="I13" s="108">
        <v>0</v>
      </c>
      <c r="J13" s="108">
        <v>0</v>
      </c>
      <c r="K13" s="108">
        <v>0</v>
      </c>
      <c r="L13" s="108">
        <v>97.808126410835214</v>
      </c>
      <c r="M13" s="108">
        <v>8333.2523702031613</v>
      </c>
      <c r="N13" s="108">
        <v>26.862368257904524</v>
      </c>
      <c r="O13" s="108">
        <v>2288.6737755734657</v>
      </c>
      <c r="P13" s="108">
        <v>36.210268189719393</v>
      </c>
      <c r="Q13" s="108">
        <v>3085.1148497640925</v>
      </c>
      <c r="R13" s="108">
        <v>26.443814766839381</v>
      </c>
      <c r="S13" s="108">
        <v>2253.0130181347154</v>
      </c>
      <c r="T13" s="108">
        <v>0</v>
      </c>
      <c r="U13" s="108">
        <v>0</v>
      </c>
      <c r="V13" s="108">
        <v>15.125000000000002</v>
      </c>
      <c r="W13" s="108">
        <v>1288.6500000000001</v>
      </c>
      <c r="X13" s="108">
        <v>8.25</v>
      </c>
      <c r="Y13" s="108">
        <v>702.9</v>
      </c>
      <c r="Z13" s="108">
        <v>6.658390410958904</v>
      </c>
      <c r="AA13" s="108">
        <v>567.29486301369866</v>
      </c>
      <c r="AB13" s="108">
        <v>0</v>
      </c>
      <c r="AC13" s="108">
        <v>0</v>
      </c>
      <c r="AD13" s="108">
        <v>23.310455192034141</v>
      </c>
      <c r="AE13" s="108">
        <v>1986.0507823613088</v>
      </c>
      <c r="AF13" s="108">
        <v>22.236471460340994</v>
      </c>
      <c r="AG13" s="108">
        <v>1894.5473684210526</v>
      </c>
      <c r="AH13" s="108">
        <v>25.18639798488665</v>
      </c>
      <c r="AI13" s="108">
        <v>2145.8811083123428</v>
      </c>
      <c r="AJ13" s="108">
        <v>0</v>
      </c>
      <c r="AK13" s="108">
        <v>0</v>
      </c>
      <c r="AL13" s="108">
        <v>18.351180976699649</v>
      </c>
      <c r="AM13" s="108">
        <v>1563.52061921481</v>
      </c>
      <c r="AN13" s="108">
        <v>9.6973060344827591</v>
      </c>
      <c r="AO13" s="108">
        <v>826.2104741379311</v>
      </c>
      <c r="AP13" s="108">
        <v>0</v>
      </c>
      <c r="AQ13" s="108">
        <v>0</v>
      </c>
      <c r="AR13" s="108">
        <v>37.182333577176294</v>
      </c>
      <c r="AS13" s="108">
        <v>3167.9348207754206</v>
      </c>
      <c r="AT13" s="108">
        <v>0</v>
      </c>
      <c r="AU13" s="108">
        <v>0</v>
      </c>
      <c r="AV13" s="108">
        <v>28.951439444076769</v>
      </c>
      <c r="AW13" s="108">
        <v>2466.6626406353407</v>
      </c>
      <c r="AX13" s="108">
        <v>13.931205743509048</v>
      </c>
      <c r="AY13" s="108">
        <v>1186.9387293469711</v>
      </c>
      <c r="AZ13" s="108">
        <v>4.9965608465608469</v>
      </c>
      <c r="BA13" s="108">
        <v>425.70698412698414</v>
      </c>
      <c r="BB13" s="108">
        <v>0</v>
      </c>
      <c r="BC13" s="108">
        <v>0</v>
      </c>
      <c r="BD13" s="108">
        <v>7.2961194029850756</v>
      </c>
      <c r="BE13" s="108">
        <v>621.62937313432849</v>
      </c>
      <c r="BF13" s="108">
        <v>0</v>
      </c>
      <c r="BG13" s="108">
        <v>0</v>
      </c>
      <c r="BH13" s="108">
        <v>54.610465116279073</v>
      </c>
      <c r="BI13" s="108">
        <v>4652.8116279069773</v>
      </c>
      <c r="BJ13" s="108">
        <v>30.466631985731272</v>
      </c>
      <c r="BK13" s="108">
        <v>2595.7570451843044</v>
      </c>
      <c r="BL13" s="108">
        <v>23.625685975609755</v>
      </c>
      <c r="BM13" s="108">
        <v>2012.9084451219512</v>
      </c>
      <c r="BN13" s="108">
        <v>39.740763546798028</v>
      </c>
      <c r="BO13" s="108">
        <v>3385.9130541871923</v>
      </c>
      <c r="BP13" s="108">
        <v>35.4887634936212</v>
      </c>
      <c r="BQ13" s="108">
        <v>3023.6426496565264</v>
      </c>
      <c r="BR13" s="108">
        <v>38.09428029546816</v>
      </c>
      <c r="BS13" s="108">
        <v>3245.6326811738872</v>
      </c>
      <c r="BT13" s="108">
        <v>34.364553939657043</v>
      </c>
      <c r="BU13" s="108">
        <v>2927.85999565878</v>
      </c>
      <c r="BV13" s="108">
        <v>0</v>
      </c>
      <c r="BW13" s="108">
        <v>0</v>
      </c>
      <c r="BX13" s="108">
        <v>29.675803072625698</v>
      </c>
      <c r="BY13" s="108">
        <v>2528.3784217877096</v>
      </c>
      <c r="BZ13" s="108">
        <v>7.7981802426343148</v>
      </c>
      <c r="CA13" s="108">
        <v>664.40495667244363</v>
      </c>
      <c r="CB13" s="108">
        <v>0</v>
      </c>
      <c r="CC13" s="108">
        <v>0</v>
      </c>
      <c r="CD13" s="108">
        <v>21.357331323030532</v>
      </c>
      <c r="CE13" s="108">
        <v>1819.6446287222013</v>
      </c>
      <c r="CF13" s="108">
        <v>0</v>
      </c>
      <c r="CG13" s="108">
        <v>0</v>
      </c>
      <c r="CH13" s="108">
        <v>0</v>
      </c>
      <c r="CI13" s="108">
        <v>0</v>
      </c>
      <c r="CJ13" s="108">
        <v>7.2848268721960192</v>
      </c>
      <c r="CK13" s="108">
        <v>620.66724951110086</v>
      </c>
      <c r="CL13" s="108">
        <v>5.9213626729834186</v>
      </c>
      <c r="CM13" s="108">
        <v>504.50009973818726</v>
      </c>
      <c r="CN13" s="108">
        <v>4.9906790945406128</v>
      </c>
      <c r="CO13" s="108">
        <v>425.2058588548602</v>
      </c>
      <c r="CP13" s="108">
        <v>0</v>
      </c>
      <c r="CQ13" s="108">
        <v>0</v>
      </c>
      <c r="CR13" s="108">
        <v>0</v>
      </c>
      <c r="CS13" s="108">
        <v>0</v>
      </c>
      <c r="CT13" s="108">
        <v>11.018973695558431</v>
      </c>
      <c r="CU13" s="108">
        <v>938.81655886157841</v>
      </c>
    </row>
    <row r="14" spans="1:99" x14ac:dyDescent="0.2">
      <c r="C14" s="107" t="s">
        <v>179</v>
      </c>
      <c r="D14" s="108">
        <v>0</v>
      </c>
      <c r="E14" s="108">
        <v>0</v>
      </c>
      <c r="F14" s="108">
        <v>0</v>
      </c>
      <c r="G14" s="108">
        <v>0</v>
      </c>
      <c r="H14" s="108">
        <v>0</v>
      </c>
      <c r="I14" s="108">
        <v>0</v>
      </c>
      <c r="J14" s="108">
        <v>0</v>
      </c>
      <c r="K14" s="108">
        <v>0</v>
      </c>
      <c r="L14" s="108">
        <v>83.387697516930018</v>
      </c>
      <c r="M14" s="108">
        <v>40726.551467268619</v>
      </c>
      <c r="N14" s="108">
        <v>22.213112213267205</v>
      </c>
      <c r="O14" s="108">
        <v>10848.884004959702</v>
      </c>
      <c r="P14" s="108">
        <v>28.140551278867644</v>
      </c>
      <c r="Q14" s="108">
        <v>13743.845244598957</v>
      </c>
      <c r="R14" s="108">
        <v>28.062823834196891</v>
      </c>
      <c r="S14" s="108">
        <v>13705.883160621761</v>
      </c>
      <c r="T14" s="108">
        <v>0</v>
      </c>
      <c r="U14" s="108">
        <v>0</v>
      </c>
      <c r="V14" s="108">
        <v>14.437500000000002</v>
      </c>
      <c r="W14" s="108">
        <v>7051.2750000000005</v>
      </c>
      <c r="X14" s="108">
        <v>6.5131578947368425</v>
      </c>
      <c r="Y14" s="108">
        <v>3181.0263157894738</v>
      </c>
      <c r="Z14" s="108">
        <v>6.1827910958904102</v>
      </c>
      <c r="AA14" s="108">
        <v>3019.675171232876</v>
      </c>
      <c r="AB14" s="108">
        <v>0</v>
      </c>
      <c r="AC14" s="108">
        <v>0</v>
      </c>
      <c r="AD14" s="108">
        <v>22.52027027027027</v>
      </c>
      <c r="AE14" s="108">
        <v>10998.9</v>
      </c>
      <c r="AF14" s="108">
        <v>21.927631578947366</v>
      </c>
      <c r="AG14" s="108">
        <v>10709.455263157894</v>
      </c>
      <c r="AH14" s="108">
        <v>21.588341129902844</v>
      </c>
      <c r="AI14" s="108">
        <v>10543.745807844549</v>
      </c>
      <c r="AJ14" s="108">
        <v>0</v>
      </c>
      <c r="AK14" s="108">
        <v>0</v>
      </c>
      <c r="AL14" s="108">
        <v>17.553303542930099</v>
      </c>
      <c r="AM14" s="108">
        <v>8573.0334503670601</v>
      </c>
      <c r="AN14" s="108">
        <v>10.415625</v>
      </c>
      <c r="AO14" s="108">
        <v>5086.99125</v>
      </c>
      <c r="AP14" s="108">
        <v>0</v>
      </c>
      <c r="AQ14" s="108">
        <v>0</v>
      </c>
      <c r="AR14" s="108">
        <v>30.7820958302853</v>
      </c>
      <c r="AS14" s="108">
        <v>15033.975603511341</v>
      </c>
      <c r="AT14" s="108">
        <v>0</v>
      </c>
      <c r="AU14" s="108">
        <v>0</v>
      </c>
      <c r="AV14" s="108">
        <v>26.469887491727331</v>
      </c>
      <c r="AW14" s="108">
        <v>12927.893050959628</v>
      </c>
      <c r="AX14" s="108">
        <v>12.456136900078679</v>
      </c>
      <c r="AY14" s="108">
        <v>6083.5772619984264</v>
      </c>
      <c r="AZ14" s="108">
        <v>4.7026455026455034</v>
      </c>
      <c r="BA14" s="108">
        <v>2296.7720634920638</v>
      </c>
      <c r="BB14" s="108">
        <v>0</v>
      </c>
      <c r="BC14" s="108">
        <v>0</v>
      </c>
      <c r="BD14" s="108">
        <v>7.6277611940298513</v>
      </c>
      <c r="BE14" s="108">
        <v>3725.398567164179</v>
      </c>
      <c r="BF14" s="108">
        <v>0</v>
      </c>
      <c r="BG14" s="108">
        <v>0</v>
      </c>
      <c r="BH14" s="108">
        <v>53.289244186046517</v>
      </c>
      <c r="BI14" s="108">
        <v>26026.466860465116</v>
      </c>
      <c r="BJ14" s="108">
        <v>24.76961950059453</v>
      </c>
      <c r="BK14" s="108">
        <v>12097.482164090368</v>
      </c>
      <c r="BL14" s="108">
        <v>22.60952743902439</v>
      </c>
      <c r="BM14" s="108">
        <v>11042.493201219511</v>
      </c>
      <c r="BN14" s="108">
        <v>33.956896551724135</v>
      </c>
      <c r="BO14" s="108">
        <v>16584.548275862067</v>
      </c>
      <c r="BP14" s="108">
        <v>32.544995093228657</v>
      </c>
      <c r="BQ14" s="108">
        <v>15894.975603532876</v>
      </c>
      <c r="BR14" s="108">
        <v>32.604711519265322</v>
      </c>
      <c r="BS14" s="108">
        <v>15924.141106009183</v>
      </c>
      <c r="BT14" s="108">
        <v>32.013294985891037</v>
      </c>
      <c r="BU14" s="108">
        <v>15635.293271109182</v>
      </c>
      <c r="BV14" s="108">
        <v>0</v>
      </c>
      <c r="BW14" s="108">
        <v>0</v>
      </c>
      <c r="BX14" s="108">
        <v>29.093924581005584</v>
      </c>
      <c r="BY14" s="108">
        <v>14209.472765363127</v>
      </c>
      <c r="BZ14" s="108">
        <v>8.0870017331022517</v>
      </c>
      <c r="CA14" s="108">
        <v>3949.6916464471396</v>
      </c>
      <c r="CB14" s="108">
        <v>0</v>
      </c>
      <c r="CC14" s="108">
        <v>0</v>
      </c>
      <c r="CD14" s="108">
        <v>24.498115341123256</v>
      </c>
      <c r="CE14" s="108">
        <v>11964.879532604598</v>
      </c>
      <c r="CF14" s="108">
        <v>0</v>
      </c>
      <c r="CG14" s="108">
        <v>0</v>
      </c>
      <c r="CH14" s="108">
        <v>0</v>
      </c>
      <c r="CI14" s="108">
        <v>0</v>
      </c>
      <c r="CJ14" s="108">
        <v>7.8599447831588636</v>
      </c>
      <c r="CK14" s="108">
        <v>3838.7970320947888</v>
      </c>
      <c r="CL14" s="108">
        <v>5.2980613389851641</v>
      </c>
      <c r="CM14" s="108">
        <v>2587.5731579603539</v>
      </c>
      <c r="CN14" s="108">
        <v>4.9906790945406128</v>
      </c>
      <c r="CO14" s="108">
        <v>2437.447669773635</v>
      </c>
      <c r="CP14" s="108">
        <v>0</v>
      </c>
      <c r="CQ14" s="108">
        <v>0</v>
      </c>
      <c r="CR14" s="108">
        <v>0</v>
      </c>
      <c r="CS14" s="108">
        <v>0</v>
      </c>
      <c r="CT14" s="108">
        <v>10.300344976282881</v>
      </c>
      <c r="CU14" s="108">
        <v>5030.6884864165586</v>
      </c>
    </row>
    <row r="15" spans="1:99" x14ac:dyDescent="0.2">
      <c r="C15" s="107" t="s">
        <v>180</v>
      </c>
      <c r="D15" s="108">
        <v>0</v>
      </c>
      <c r="E15" s="108">
        <v>0</v>
      </c>
      <c r="F15" s="108">
        <v>0</v>
      </c>
      <c r="G15" s="108">
        <v>0</v>
      </c>
      <c r="H15" s="108">
        <v>0</v>
      </c>
      <c r="I15" s="108">
        <v>0</v>
      </c>
      <c r="J15" s="108">
        <v>0</v>
      </c>
      <c r="K15" s="108">
        <v>0</v>
      </c>
      <c r="L15" s="108">
        <v>76.490970654627546</v>
      </c>
      <c r="M15" s="108">
        <v>58377.908803611739</v>
      </c>
      <c r="N15" s="108">
        <v>21.696528208307502</v>
      </c>
      <c r="O15" s="108">
        <v>16558.790328580282</v>
      </c>
      <c r="P15" s="108">
        <v>28.140551278867644</v>
      </c>
      <c r="Q15" s="108">
        <v>21476.868736031785</v>
      </c>
      <c r="R15" s="108">
        <v>25.634310233160619</v>
      </c>
      <c r="S15" s="108">
        <v>19564.105569948184</v>
      </c>
      <c r="T15" s="108">
        <v>0</v>
      </c>
      <c r="U15" s="108">
        <v>0</v>
      </c>
      <c r="V15" s="108">
        <v>13.062499999999998</v>
      </c>
      <c r="W15" s="108">
        <v>9969.2999999999975</v>
      </c>
      <c r="X15" s="108">
        <v>7.3815789473684204</v>
      </c>
      <c r="Y15" s="108">
        <v>5633.6210526315781</v>
      </c>
      <c r="Z15" s="108">
        <v>6.1827910958904102</v>
      </c>
      <c r="AA15" s="108">
        <v>4718.7061643835605</v>
      </c>
      <c r="AB15" s="108">
        <v>0</v>
      </c>
      <c r="AC15" s="108">
        <v>0</v>
      </c>
      <c r="AD15" s="108">
        <v>24.890825035561878</v>
      </c>
      <c r="AE15" s="108">
        <v>18996.677667140822</v>
      </c>
      <c r="AF15" s="108">
        <v>20.074592290585617</v>
      </c>
      <c r="AG15" s="108">
        <v>15320.928836174942</v>
      </c>
      <c r="AH15" s="108">
        <v>20.988664987405542</v>
      </c>
      <c r="AI15" s="108">
        <v>16018.549118387908</v>
      </c>
      <c r="AJ15" s="108">
        <v>0</v>
      </c>
      <c r="AK15" s="108">
        <v>0</v>
      </c>
      <c r="AL15" s="108">
        <v>19.149058410469198</v>
      </c>
      <c r="AM15" s="108">
        <v>14614.56137887009</v>
      </c>
      <c r="AN15" s="108">
        <v>10.05646551724138</v>
      </c>
      <c r="AO15" s="108">
        <v>7675.09448275862</v>
      </c>
      <c r="AP15" s="108">
        <v>0</v>
      </c>
      <c r="AQ15" s="108">
        <v>0</v>
      </c>
      <c r="AR15" s="108">
        <v>33.525054864667155</v>
      </c>
      <c r="AS15" s="108">
        <v>25586.321872713972</v>
      </c>
      <c r="AT15" s="108">
        <v>0</v>
      </c>
      <c r="AU15" s="108">
        <v>0</v>
      </c>
      <c r="AV15" s="108">
        <v>25.918431502316349</v>
      </c>
      <c r="AW15" s="108">
        <v>19780.946922567837</v>
      </c>
      <c r="AX15" s="108">
        <v>11.14496459480724</v>
      </c>
      <c r="AY15" s="108">
        <v>8505.8369787568845</v>
      </c>
      <c r="AZ15" s="108">
        <v>4.7026455026455034</v>
      </c>
      <c r="BA15" s="108">
        <v>3589.0590476190478</v>
      </c>
      <c r="BB15" s="108">
        <v>0</v>
      </c>
      <c r="BC15" s="108">
        <v>0</v>
      </c>
      <c r="BD15" s="108">
        <v>7.6277611940298513</v>
      </c>
      <c r="BE15" s="108">
        <v>5821.5073432835816</v>
      </c>
      <c r="BF15" s="108">
        <v>0</v>
      </c>
      <c r="BG15" s="108">
        <v>0</v>
      </c>
      <c r="BH15" s="108">
        <v>50.206395348837212</v>
      </c>
      <c r="BI15" s="108">
        <v>38317.52093023256</v>
      </c>
      <c r="BJ15" s="108">
        <v>24.521923305588587</v>
      </c>
      <c r="BK15" s="108">
        <v>18715.131866825206</v>
      </c>
      <c r="BL15" s="108">
        <v>20.577210365853659</v>
      </c>
      <c r="BM15" s="108">
        <v>15704.526951219512</v>
      </c>
      <c r="BN15" s="108">
        <v>33.956896551724135</v>
      </c>
      <c r="BO15" s="108">
        <v>25915.903448275858</v>
      </c>
      <c r="BP15" s="108">
        <v>29.110598626104021</v>
      </c>
      <c r="BQ15" s="108">
        <v>22217.208871442588</v>
      </c>
      <c r="BR15" s="108">
        <v>30.442154122579357</v>
      </c>
      <c r="BS15" s="108">
        <v>23233.452026352563</v>
      </c>
      <c r="BT15" s="108">
        <v>26.044714564792709</v>
      </c>
      <c r="BU15" s="108">
        <v>19877.326155849794</v>
      </c>
      <c r="BV15" s="108">
        <v>0</v>
      </c>
      <c r="BW15" s="108">
        <v>0</v>
      </c>
      <c r="BX15" s="108">
        <v>26.766410614525139</v>
      </c>
      <c r="BY15" s="108">
        <v>20428.124581005584</v>
      </c>
      <c r="BZ15" s="108">
        <v>6.6428942807625653</v>
      </c>
      <c r="CA15" s="108">
        <v>5069.8569150779895</v>
      </c>
      <c r="CB15" s="108">
        <v>0</v>
      </c>
      <c r="CC15" s="108">
        <v>0</v>
      </c>
      <c r="CD15" s="108">
        <v>21.357331323030532</v>
      </c>
      <c r="CE15" s="108">
        <v>16299.915265736901</v>
      </c>
      <c r="CF15" s="108">
        <v>0</v>
      </c>
      <c r="CG15" s="108">
        <v>0</v>
      </c>
      <c r="CH15" s="108">
        <v>0</v>
      </c>
      <c r="CI15" s="108">
        <v>0</v>
      </c>
      <c r="CJ15" s="108">
        <v>7.6682388128379166</v>
      </c>
      <c r="CK15" s="108">
        <v>5852.3998619578979</v>
      </c>
      <c r="CL15" s="108">
        <v>4.7786435606532853</v>
      </c>
      <c r="CM15" s="108">
        <v>3647.0607654905871</v>
      </c>
      <c r="CN15" s="108">
        <v>4.9906790945406128</v>
      </c>
      <c r="CO15" s="108">
        <v>3808.8862849533953</v>
      </c>
      <c r="CP15" s="108">
        <v>0</v>
      </c>
      <c r="CQ15" s="108">
        <v>0</v>
      </c>
      <c r="CR15" s="108">
        <v>0</v>
      </c>
      <c r="CS15" s="108">
        <v>0</v>
      </c>
      <c r="CT15" s="108">
        <v>9.102630444156965</v>
      </c>
      <c r="CU15" s="108">
        <v>6947.1275549805951</v>
      </c>
    </row>
    <row r="16" spans="1:99" x14ac:dyDescent="0.2">
      <c r="C16" s="107" t="s">
        <v>181</v>
      </c>
      <c r="D16" s="108">
        <v>0</v>
      </c>
      <c r="E16" s="108">
        <v>0</v>
      </c>
      <c r="F16" s="108">
        <v>0</v>
      </c>
      <c r="G16" s="108">
        <v>0</v>
      </c>
      <c r="H16" s="108">
        <v>0</v>
      </c>
      <c r="I16" s="108">
        <v>0</v>
      </c>
      <c r="J16" s="108">
        <v>0</v>
      </c>
      <c r="K16" s="108">
        <v>0</v>
      </c>
      <c r="L16" s="108">
        <v>89.657449209932281</v>
      </c>
      <c r="M16" s="108">
        <v>30555.258690744922</v>
      </c>
      <c r="N16" s="108">
        <v>25.312616243025417</v>
      </c>
      <c r="O16" s="108">
        <v>8626.5396156230618</v>
      </c>
      <c r="P16" s="108">
        <v>33.106530916314874</v>
      </c>
      <c r="Q16" s="108">
        <v>11282.70573628011</v>
      </c>
      <c r="R16" s="108">
        <v>28.332658678756481</v>
      </c>
      <c r="S16" s="108">
        <v>9655.7700777202081</v>
      </c>
      <c r="T16" s="108">
        <v>0</v>
      </c>
      <c r="U16" s="108">
        <v>0</v>
      </c>
      <c r="V16" s="108">
        <v>15.125000000000002</v>
      </c>
      <c r="W16" s="108">
        <v>5154.6000000000004</v>
      </c>
      <c r="X16" s="108">
        <v>6.947368421052631</v>
      </c>
      <c r="Y16" s="108">
        <v>2367.6631578947367</v>
      </c>
      <c r="Z16" s="108">
        <v>6.1827910958904102</v>
      </c>
      <c r="AA16" s="108">
        <v>2107.095205479452</v>
      </c>
      <c r="AB16" s="108">
        <v>0</v>
      </c>
      <c r="AC16" s="108">
        <v>0</v>
      </c>
      <c r="AD16" s="108">
        <v>22.915362731152204</v>
      </c>
      <c r="AE16" s="108">
        <v>7809.5556187766715</v>
      </c>
      <c r="AF16" s="108">
        <v>21.927631578947366</v>
      </c>
      <c r="AG16" s="108">
        <v>7472.9368421052623</v>
      </c>
      <c r="AH16" s="108">
        <v>23.087531486146094</v>
      </c>
      <c r="AI16" s="108">
        <v>7868.2307304785891</v>
      </c>
      <c r="AJ16" s="108">
        <v>0</v>
      </c>
      <c r="AK16" s="108">
        <v>0</v>
      </c>
      <c r="AL16" s="108">
        <v>16.755426109160549</v>
      </c>
      <c r="AM16" s="108">
        <v>5710.2492180019153</v>
      </c>
      <c r="AN16" s="108">
        <v>10.415625</v>
      </c>
      <c r="AO16" s="108">
        <v>3549.6450000000004</v>
      </c>
      <c r="AP16" s="108">
        <v>0</v>
      </c>
      <c r="AQ16" s="108">
        <v>0</v>
      </c>
      <c r="AR16" s="108">
        <v>36.268013899049009</v>
      </c>
      <c r="AS16" s="108">
        <v>12360.139136795902</v>
      </c>
      <c r="AT16" s="108">
        <v>0</v>
      </c>
      <c r="AU16" s="108">
        <v>0</v>
      </c>
      <c r="AV16" s="108">
        <v>24.815519523494373</v>
      </c>
      <c r="AW16" s="108">
        <v>8457.1290536068827</v>
      </c>
      <c r="AX16" s="108">
        <v>12.128343823760819</v>
      </c>
      <c r="AY16" s="108">
        <v>4133.3395751376875</v>
      </c>
      <c r="AZ16" s="108">
        <v>5.5843915343915338</v>
      </c>
      <c r="BA16" s="108">
        <v>1903.1606349206347</v>
      </c>
      <c r="BB16" s="108">
        <v>0</v>
      </c>
      <c r="BC16" s="108">
        <v>0</v>
      </c>
      <c r="BD16" s="108">
        <v>6.964477611940298</v>
      </c>
      <c r="BE16" s="108">
        <v>2373.4939701492535</v>
      </c>
      <c r="BF16" s="108">
        <v>0</v>
      </c>
      <c r="BG16" s="108">
        <v>0</v>
      </c>
      <c r="BH16" s="108">
        <v>50.646802325581397</v>
      </c>
      <c r="BI16" s="108">
        <v>17260.430232558141</v>
      </c>
      <c r="BJ16" s="108">
        <v>26.503492865636147</v>
      </c>
      <c r="BK16" s="108">
        <v>9032.3903686087997</v>
      </c>
      <c r="BL16" s="108">
        <v>22.101448170731707</v>
      </c>
      <c r="BM16" s="108">
        <v>7532.1735365853665</v>
      </c>
      <c r="BN16" s="108">
        <v>36.38238916256158</v>
      </c>
      <c r="BO16" s="108">
        <v>12399.118226600987</v>
      </c>
      <c r="BP16" s="108">
        <v>33.03562315996075</v>
      </c>
      <c r="BQ16" s="108">
        <v>11258.540372914624</v>
      </c>
      <c r="BR16" s="108">
        <v>38.260630864444003</v>
      </c>
      <c r="BS16" s="108">
        <v>13039.222998602518</v>
      </c>
      <c r="BT16" s="108">
        <v>32.013294985891037</v>
      </c>
      <c r="BU16" s="108">
        <v>10910.130931191665</v>
      </c>
      <c r="BV16" s="108">
        <v>0</v>
      </c>
      <c r="BW16" s="108">
        <v>0</v>
      </c>
      <c r="BX16" s="108">
        <v>31.421438547486034</v>
      </c>
      <c r="BY16" s="108">
        <v>10708.426256983241</v>
      </c>
      <c r="BZ16" s="108">
        <v>8.3758232235701904</v>
      </c>
      <c r="CA16" s="108">
        <v>2854.4805545927211</v>
      </c>
      <c r="CB16" s="108">
        <v>0</v>
      </c>
      <c r="CC16" s="108">
        <v>0</v>
      </c>
      <c r="CD16" s="108">
        <v>23.241801733886167</v>
      </c>
      <c r="CE16" s="108">
        <v>7920.8060309084058</v>
      </c>
      <c r="CF16" s="108">
        <v>0</v>
      </c>
      <c r="CG16" s="108">
        <v>0</v>
      </c>
      <c r="CH16" s="108">
        <v>0</v>
      </c>
      <c r="CI16" s="108">
        <v>0</v>
      </c>
      <c r="CJ16" s="108">
        <v>7.6682388128379166</v>
      </c>
      <c r="CK16" s="108">
        <v>2613.335787415162</v>
      </c>
      <c r="CL16" s="108">
        <v>5.5058284503179156</v>
      </c>
      <c r="CM16" s="108">
        <v>1876.3863358683457</v>
      </c>
      <c r="CN16" s="108">
        <v>4.8347203728362187</v>
      </c>
      <c r="CO16" s="108">
        <v>1647.6727030625834</v>
      </c>
      <c r="CP16" s="108">
        <v>0</v>
      </c>
      <c r="CQ16" s="108">
        <v>0</v>
      </c>
      <c r="CR16" s="108">
        <v>0</v>
      </c>
      <c r="CS16" s="108">
        <v>0</v>
      </c>
      <c r="CT16" s="108">
        <v>10.539887882708065</v>
      </c>
      <c r="CU16" s="108">
        <v>3591.9937904269086</v>
      </c>
    </row>
    <row r="17" spans="2:99" x14ac:dyDescent="0.2">
      <c r="C17" s="107" t="s">
        <v>182</v>
      </c>
      <c r="D17" s="108">
        <v>0</v>
      </c>
      <c r="E17" s="108">
        <v>0</v>
      </c>
      <c r="F17" s="108">
        <v>0</v>
      </c>
      <c r="G17" s="108">
        <v>0</v>
      </c>
      <c r="H17" s="108">
        <v>0</v>
      </c>
      <c r="I17" s="108">
        <v>0</v>
      </c>
      <c r="J17" s="108">
        <v>0</v>
      </c>
      <c r="K17" s="108">
        <v>0</v>
      </c>
      <c r="L17" s="108">
        <v>90.284424379232505</v>
      </c>
      <c r="M17" s="108">
        <v>38136.14085778781</v>
      </c>
      <c r="N17" s="108">
        <v>27.63724426534408</v>
      </c>
      <c r="O17" s="108">
        <v>11673.971977681338</v>
      </c>
      <c r="P17" s="108">
        <v>29.58896200645642</v>
      </c>
      <c r="Q17" s="108">
        <v>12498.377551527192</v>
      </c>
      <c r="R17" s="108">
        <v>27.792988989637305</v>
      </c>
      <c r="S17" s="108">
        <v>11739.758549222797</v>
      </c>
      <c r="T17" s="108">
        <v>0</v>
      </c>
      <c r="U17" s="108">
        <v>0</v>
      </c>
      <c r="V17" s="108">
        <v>15.125000000000002</v>
      </c>
      <c r="W17" s="108">
        <v>6388.8</v>
      </c>
      <c r="X17" s="108">
        <v>7.8157894736842106</v>
      </c>
      <c r="Y17" s="108">
        <v>3301.3894736842103</v>
      </c>
      <c r="Z17" s="108">
        <v>5.7071917808219172</v>
      </c>
      <c r="AA17" s="108">
        <v>2410.7178082191776</v>
      </c>
      <c r="AB17" s="108">
        <v>0</v>
      </c>
      <c r="AC17" s="108">
        <v>0</v>
      </c>
      <c r="AD17" s="108">
        <v>22.915362731152204</v>
      </c>
      <c r="AE17" s="108">
        <v>9679.4492176386902</v>
      </c>
      <c r="AF17" s="108">
        <v>19.456912527798369</v>
      </c>
      <c r="AG17" s="108">
        <v>8218.5998517420303</v>
      </c>
      <c r="AH17" s="108">
        <v>24.286883771140698</v>
      </c>
      <c r="AI17" s="108">
        <v>10258.77970492983</v>
      </c>
      <c r="AJ17" s="108">
        <v>0</v>
      </c>
      <c r="AK17" s="108">
        <v>0</v>
      </c>
      <c r="AL17" s="108">
        <v>17.553303542930099</v>
      </c>
      <c r="AM17" s="108">
        <v>7414.5154165336735</v>
      </c>
      <c r="AN17" s="108">
        <v>10.415625</v>
      </c>
      <c r="AO17" s="108">
        <v>4399.5599999999995</v>
      </c>
      <c r="AP17" s="108">
        <v>0</v>
      </c>
      <c r="AQ17" s="108">
        <v>0</v>
      </c>
      <c r="AR17" s="108">
        <v>34.134601316752011</v>
      </c>
      <c r="AS17" s="108">
        <v>14418.455596196049</v>
      </c>
      <c r="AT17" s="108">
        <v>0</v>
      </c>
      <c r="AU17" s="108">
        <v>0</v>
      </c>
      <c r="AV17" s="108">
        <v>27.297071475843815</v>
      </c>
      <c r="AW17" s="108">
        <v>11530.282991396427</v>
      </c>
      <c r="AX17" s="108">
        <v>13.111723052714398</v>
      </c>
      <c r="AY17" s="108">
        <v>5538.3918174665614</v>
      </c>
      <c r="AZ17" s="108">
        <v>5.5843915343915338</v>
      </c>
      <c r="BA17" s="108">
        <v>2358.8469841269839</v>
      </c>
      <c r="BB17" s="108">
        <v>0</v>
      </c>
      <c r="BC17" s="108">
        <v>0</v>
      </c>
      <c r="BD17" s="108">
        <v>7.2961194029850756</v>
      </c>
      <c r="BE17" s="108">
        <v>3081.8808358208958</v>
      </c>
      <c r="BF17" s="108">
        <v>0</v>
      </c>
      <c r="BG17" s="108">
        <v>0</v>
      </c>
      <c r="BH17" s="108">
        <v>50.206395348837212</v>
      </c>
      <c r="BI17" s="108">
        <v>21207.181395348838</v>
      </c>
      <c r="BJ17" s="108">
        <v>30.218935790725325</v>
      </c>
      <c r="BK17" s="108">
        <v>12764.478478002377</v>
      </c>
      <c r="BL17" s="108">
        <v>23.371646341463414</v>
      </c>
      <c r="BM17" s="108">
        <v>9872.1834146341462</v>
      </c>
      <c r="BN17" s="108">
        <v>34.143472906403943</v>
      </c>
      <c r="BO17" s="108">
        <v>14422.202955665025</v>
      </c>
      <c r="BP17" s="108">
        <v>33.199165848871445</v>
      </c>
      <c r="BQ17" s="108">
        <v>14023.327654563298</v>
      </c>
      <c r="BR17" s="108">
        <v>36.264424036733878</v>
      </c>
      <c r="BS17" s="108">
        <v>15318.09271311639</v>
      </c>
      <c r="BT17" s="108">
        <v>28.215107445192096</v>
      </c>
      <c r="BU17" s="108">
        <v>11918.061384849141</v>
      </c>
      <c r="BV17" s="108">
        <v>0</v>
      </c>
      <c r="BW17" s="108">
        <v>0</v>
      </c>
      <c r="BX17" s="108">
        <v>27.930167597765362</v>
      </c>
      <c r="BY17" s="108">
        <v>11797.702793296088</v>
      </c>
      <c r="BZ17" s="108">
        <v>7.5093587521663778</v>
      </c>
      <c r="CA17" s="108">
        <v>3171.9531369150777</v>
      </c>
      <c r="CB17" s="108">
        <v>0</v>
      </c>
      <c r="CC17" s="108">
        <v>0</v>
      </c>
      <c r="CD17" s="108">
        <v>22.613644930267622</v>
      </c>
      <c r="CE17" s="108">
        <v>9552.0036185450426</v>
      </c>
      <c r="CF17" s="108">
        <v>0</v>
      </c>
      <c r="CG17" s="108">
        <v>0</v>
      </c>
      <c r="CH17" s="108">
        <v>0</v>
      </c>
      <c r="CI17" s="108">
        <v>0</v>
      </c>
      <c r="CJ17" s="108">
        <v>7.6682388128379166</v>
      </c>
      <c r="CK17" s="108">
        <v>3239.0640745427359</v>
      </c>
      <c r="CL17" s="108">
        <v>5.7135955616506671</v>
      </c>
      <c r="CM17" s="108">
        <v>2413.4227652412414</v>
      </c>
      <c r="CN17" s="108">
        <v>4.8347203728362187</v>
      </c>
      <c r="CO17" s="108">
        <v>2042.1858854860186</v>
      </c>
      <c r="CP17" s="108">
        <v>0</v>
      </c>
      <c r="CQ17" s="108">
        <v>0</v>
      </c>
      <c r="CR17" s="108">
        <v>0</v>
      </c>
      <c r="CS17" s="108">
        <v>0</v>
      </c>
      <c r="CT17" s="108">
        <v>9.3421733505821489</v>
      </c>
      <c r="CU17" s="108">
        <v>3946.1340232858993</v>
      </c>
    </row>
    <row r="18" spans="2:99" x14ac:dyDescent="0.2">
      <c r="C18" s="107" t="s">
        <v>183</v>
      </c>
      <c r="D18" s="108">
        <v>0</v>
      </c>
      <c r="E18" s="108">
        <v>0</v>
      </c>
      <c r="F18" s="108">
        <v>0</v>
      </c>
      <c r="G18" s="108">
        <v>0</v>
      </c>
      <c r="H18" s="108">
        <v>0</v>
      </c>
      <c r="I18" s="108">
        <v>0</v>
      </c>
      <c r="J18" s="108">
        <v>0</v>
      </c>
      <c r="K18" s="108">
        <v>0</v>
      </c>
      <c r="L18" s="108">
        <v>88.403498871331834</v>
      </c>
      <c r="M18" s="108">
        <v>57709.804063205418</v>
      </c>
      <c r="N18" s="108">
        <v>24.537740235585865</v>
      </c>
      <c r="O18" s="108">
        <v>16018.236825790451</v>
      </c>
      <c r="P18" s="108">
        <v>28.968214551775517</v>
      </c>
      <c r="Q18" s="108">
        <v>18910.450459399057</v>
      </c>
      <c r="R18" s="108">
        <v>25.904145077720205</v>
      </c>
      <c r="S18" s="108">
        <v>16910.225906735748</v>
      </c>
      <c r="T18" s="108">
        <v>0</v>
      </c>
      <c r="U18" s="108">
        <v>0</v>
      </c>
      <c r="V18" s="108">
        <v>13.749999999999998</v>
      </c>
      <c r="W18" s="108">
        <v>8975.9999999999982</v>
      </c>
      <c r="X18" s="108">
        <v>7.8157894736842106</v>
      </c>
      <c r="Y18" s="108">
        <v>5102.1473684210523</v>
      </c>
      <c r="Z18" s="108">
        <v>5.7071917808219172</v>
      </c>
      <c r="AA18" s="108">
        <v>3725.6547945205475</v>
      </c>
      <c r="AB18" s="108">
        <v>0</v>
      </c>
      <c r="AC18" s="108">
        <v>0</v>
      </c>
      <c r="AD18" s="108">
        <v>22.52027027027027</v>
      </c>
      <c r="AE18" s="108">
        <v>14701.232432432431</v>
      </c>
      <c r="AF18" s="108">
        <v>20.383432171979244</v>
      </c>
      <c r="AG18" s="108">
        <v>13306.304521868049</v>
      </c>
      <c r="AH18" s="108">
        <v>23.987045699892047</v>
      </c>
      <c r="AI18" s="108">
        <v>15658.743432889527</v>
      </c>
      <c r="AJ18" s="108">
        <v>0</v>
      </c>
      <c r="AK18" s="108">
        <v>0</v>
      </c>
      <c r="AL18" s="108">
        <v>19.149058410469198</v>
      </c>
      <c r="AM18" s="108">
        <v>12500.505330354292</v>
      </c>
      <c r="AN18" s="108">
        <v>8.9789870689655178</v>
      </c>
      <c r="AO18" s="108">
        <v>5861.4827586206893</v>
      </c>
      <c r="AP18" s="108">
        <v>0</v>
      </c>
      <c r="AQ18" s="108">
        <v>0</v>
      </c>
      <c r="AR18" s="108">
        <v>29.56300292611558</v>
      </c>
      <c r="AS18" s="108">
        <v>19298.728310168248</v>
      </c>
      <c r="AT18" s="108">
        <v>0</v>
      </c>
      <c r="AU18" s="108">
        <v>0</v>
      </c>
      <c r="AV18" s="108">
        <v>23.712607544672402</v>
      </c>
      <c r="AW18" s="108">
        <v>15479.590205162143</v>
      </c>
      <c r="AX18" s="108">
        <v>11.308861132966168</v>
      </c>
      <c r="AY18" s="108">
        <v>7382.4245476003143</v>
      </c>
      <c r="AZ18" s="108">
        <v>5.1435185185185182</v>
      </c>
      <c r="BA18" s="108">
        <v>3357.6888888888884</v>
      </c>
      <c r="BB18" s="108">
        <v>0</v>
      </c>
      <c r="BC18" s="108">
        <v>0</v>
      </c>
      <c r="BD18" s="108">
        <v>7.2961194029850756</v>
      </c>
      <c r="BE18" s="108">
        <v>4762.9067462686571</v>
      </c>
      <c r="BF18" s="108">
        <v>0</v>
      </c>
      <c r="BG18" s="108">
        <v>0</v>
      </c>
      <c r="BH18" s="108">
        <v>48.885174418604649</v>
      </c>
      <c r="BI18" s="108">
        <v>31912.241860465114</v>
      </c>
      <c r="BJ18" s="108">
        <v>28.237366230677765</v>
      </c>
      <c r="BK18" s="108">
        <v>18433.352675386443</v>
      </c>
      <c r="BL18" s="108">
        <v>23.879725609756097</v>
      </c>
      <c r="BM18" s="108">
        <v>15588.684878048778</v>
      </c>
      <c r="BN18" s="108">
        <v>31.531403940886698</v>
      </c>
      <c r="BO18" s="108">
        <v>20583.700492610835</v>
      </c>
      <c r="BP18" s="108">
        <v>32.708537782139352</v>
      </c>
      <c r="BQ18" s="108">
        <v>21352.133464180566</v>
      </c>
      <c r="BR18" s="108">
        <v>34.60091834697544</v>
      </c>
      <c r="BS18" s="108">
        <v>22587.479496905566</v>
      </c>
      <c r="BT18" s="108">
        <v>26.949044931625785</v>
      </c>
      <c r="BU18" s="108">
        <v>17592.336531365312</v>
      </c>
      <c r="BV18" s="108">
        <v>0</v>
      </c>
      <c r="BW18" s="108">
        <v>0</v>
      </c>
      <c r="BX18" s="108">
        <v>30.257681564245814</v>
      </c>
      <c r="BY18" s="108">
        <v>19752.214525139665</v>
      </c>
      <c r="BZ18" s="108">
        <v>8.3758232235701904</v>
      </c>
      <c r="CA18" s="108">
        <v>5467.7374003466202</v>
      </c>
      <c r="CB18" s="108">
        <v>0</v>
      </c>
      <c r="CC18" s="108">
        <v>0</v>
      </c>
      <c r="CD18" s="108">
        <v>21.357331323030532</v>
      </c>
      <c r="CE18" s="108">
        <v>13942.065887674331</v>
      </c>
      <c r="CF18" s="108">
        <v>0</v>
      </c>
      <c r="CG18" s="108">
        <v>0</v>
      </c>
      <c r="CH18" s="108">
        <v>0</v>
      </c>
      <c r="CI18" s="108">
        <v>0</v>
      </c>
      <c r="CJ18" s="108">
        <v>7.0931209018750723</v>
      </c>
      <c r="CK18" s="108">
        <v>4630.3893247440465</v>
      </c>
      <c r="CL18" s="108">
        <v>4.8825271163196611</v>
      </c>
      <c r="CM18" s="108">
        <v>3187.3137015334746</v>
      </c>
      <c r="CN18" s="108">
        <v>5.1466378162450068</v>
      </c>
      <c r="CO18" s="108">
        <v>3359.7251664447404</v>
      </c>
      <c r="CP18" s="108">
        <v>0</v>
      </c>
      <c r="CQ18" s="108">
        <v>0</v>
      </c>
      <c r="CR18" s="108">
        <v>0</v>
      </c>
      <c r="CS18" s="108">
        <v>0</v>
      </c>
      <c r="CT18" s="108">
        <v>10.300344976282881</v>
      </c>
      <c r="CU18" s="108">
        <v>6724.0652005174643</v>
      </c>
    </row>
    <row r="19" spans="2:99" x14ac:dyDescent="0.2">
      <c r="C19" s="107" t="s">
        <v>184</v>
      </c>
      <c r="D19" s="108">
        <v>0</v>
      </c>
      <c r="E19" s="108">
        <v>0</v>
      </c>
      <c r="F19" s="108">
        <v>0</v>
      </c>
      <c r="G19" s="108">
        <v>0</v>
      </c>
      <c r="H19" s="108">
        <v>0</v>
      </c>
      <c r="I19" s="108">
        <v>0</v>
      </c>
      <c r="J19" s="108">
        <v>0</v>
      </c>
      <c r="K19" s="108">
        <v>0</v>
      </c>
      <c r="L19" s="108">
        <v>94.673250564334097</v>
      </c>
      <c r="M19" s="108">
        <v>31242.172686230253</v>
      </c>
      <c r="N19" s="108">
        <v>26.604076255424676</v>
      </c>
      <c r="O19" s="108">
        <v>8779.3451642901437</v>
      </c>
      <c r="P19" s="108">
        <v>31.451204370499127</v>
      </c>
      <c r="Q19" s="108">
        <v>10378.897442264712</v>
      </c>
      <c r="R19" s="108">
        <v>29.681832901554404</v>
      </c>
      <c r="S19" s="108">
        <v>9795.0048575129531</v>
      </c>
      <c r="T19" s="108">
        <v>0</v>
      </c>
      <c r="U19" s="108">
        <v>0</v>
      </c>
      <c r="V19" s="108">
        <v>13.062499999999998</v>
      </c>
      <c r="W19" s="108">
        <v>4310.6249999999991</v>
      </c>
      <c r="X19" s="108">
        <v>6.5131578947368425</v>
      </c>
      <c r="Y19" s="108">
        <v>2149.3421052631579</v>
      </c>
      <c r="Z19" s="108">
        <v>5.7071917808219172</v>
      </c>
      <c r="AA19" s="108">
        <v>1883.3732876712327</v>
      </c>
      <c r="AB19" s="108">
        <v>0</v>
      </c>
      <c r="AC19" s="108">
        <v>0</v>
      </c>
      <c r="AD19" s="108">
        <v>22.52027027027027</v>
      </c>
      <c r="AE19" s="108">
        <v>7431.6891891891892</v>
      </c>
      <c r="AF19" s="108">
        <v>19.148072646404746</v>
      </c>
      <c r="AG19" s="108">
        <v>6318.863973313566</v>
      </c>
      <c r="AH19" s="108">
        <v>23.087531486146094</v>
      </c>
      <c r="AI19" s="108">
        <v>7618.8853904282114</v>
      </c>
      <c r="AJ19" s="108">
        <v>0</v>
      </c>
      <c r="AK19" s="108">
        <v>0</v>
      </c>
      <c r="AL19" s="108">
        <v>18.351180976699649</v>
      </c>
      <c r="AM19" s="108">
        <v>6055.8897223108843</v>
      </c>
      <c r="AN19" s="108">
        <v>10.05646551724138</v>
      </c>
      <c r="AO19" s="108">
        <v>3318.6336206896553</v>
      </c>
      <c r="AP19" s="108">
        <v>0</v>
      </c>
      <c r="AQ19" s="108">
        <v>0</v>
      </c>
      <c r="AR19" s="108">
        <v>38.096653255303586</v>
      </c>
      <c r="AS19" s="108">
        <v>12571.895574250184</v>
      </c>
      <c r="AT19" s="108">
        <v>0</v>
      </c>
      <c r="AU19" s="108">
        <v>0</v>
      </c>
      <c r="AV19" s="108">
        <v>27.297071475843815</v>
      </c>
      <c r="AW19" s="108">
        <v>9008.0335870284598</v>
      </c>
      <c r="AX19" s="108">
        <v>12.456136900078679</v>
      </c>
      <c r="AY19" s="108">
        <v>4110.5251770259638</v>
      </c>
      <c r="AZ19" s="108">
        <v>4.9965608465608469</v>
      </c>
      <c r="BA19" s="108">
        <v>1648.8650793650795</v>
      </c>
      <c r="BB19" s="108">
        <v>0</v>
      </c>
      <c r="BC19" s="108">
        <v>0</v>
      </c>
      <c r="BD19" s="108">
        <v>6.964477611940298</v>
      </c>
      <c r="BE19" s="108">
        <v>2298.2776119402984</v>
      </c>
      <c r="BF19" s="108">
        <v>0</v>
      </c>
      <c r="BG19" s="108">
        <v>0</v>
      </c>
      <c r="BH19" s="108">
        <v>52.408430232558146</v>
      </c>
      <c r="BI19" s="108">
        <v>17294.781976744187</v>
      </c>
      <c r="BJ19" s="108">
        <v>27.989670035671818</v>
      </c>
      <c r="BK19" s="108">
        <v>9236.5911117717005</v>
      </c>
      <c r="BL19" s="108">
        <v>25.403963414634145</v>
      </c>
      <c r="BM19" s="108">
        <v>8383.3079268292677</v>
      </c>
      <c r="BN19" s="108">
        <v>36.942118226600989</v>
      </c>
      <c r="BO19" s="108">
        <v>12190.899014778326</v>
      </c>
      <c r="BP19" s="108">
        <v>33.853336604514226</v>
      </c>
      <c r="BQ19" s="108">
        <v>11171.601079489694</v>
      </c>
      <c r="BR19" s="108">
        <v>31.939309243361947</v>
      </c>
      <c r="BS19" s="108">
        <v>10539.972050309443</v>
      </c>
      <c r="BT19" s="108">
        <v>30.204634252224878</v>
      </c>
      <c r="BU19" s="108">
        <v>9967.5293032342088</v>
      </c>
      <c r="BV19" s="108">
        <v>0</v>
      </c>
      <c r="BW19" s="108">
        <v>0</v>
      </c>
      <c r="BX19" s="108">
        <v>30.839560055865924</v>
      </c>
      <c r="BY19" s="108">
        <v>10177.054818435756</v>
      </c>
      <c r="BZ19" s="108">
        <v>8.3758232235701904</v>
      </c>
      <c r="CA19" s="108">
        <v>2764.0216637781627</v>
      </c>
      <c r="CB19" s="108">
        <v>0</v>
      </c>
      <c r="CC19" s="108">
        <v>0</v>
      </c>
      <c r="CD19" s="108">
        <v>20.729174519411984</v>
      </c>
      <c r="CE19" s="108">
        <v>6840.6275914059552</v>
      </c>
      <c r="CF19" s="108">
        <v>0</v>
      </c>
      <c r="CG19" s="108">
        <v>0</v>
      </c>
      <c r="CH19" s="108">
        <v>0</v>
      </c>
      <c r="CI19" s="108">
        <v>0</v>
      </c>
      <c r="CJ19" s="108">
        <v>7.4765328425169679</v>
      </c>
      <c r="CK19" s="108">
        <v>2467.2558380305995</v>
      </c>
      <c r="CL19" s="108">
        <v>6.0252462286497943</v>
      </c>
      <c r="CM19" s="108">
        <v>1988.331255454432</v>
      </c>
      <c r="CN19" s="108">
        <v>4.9906790945406128</v>
      </c>
      <c r="CO19" s="108">
        <v>1646.9241011984022</v>
      </c>
      <c r="CP19" s="108">
        <v>0</v>
      </c>
      <c r="CQ19" s="108">
        <v>0</v>
      </c>
      <c r="CR19" s="108">
        <v>0</v>
      </c>
      <c r="CS19" s="108">
        <v>0</v>
      </c>
      <c r="CT19" s="108">
        <v>10.300344976282881</v>
      </c>
      <c r="CU19" s="108">
        <v>3399.1138421733508</v>
      </c>
    </row>
    <row r="20" spans="2:99" x14ac:dyDescent="0.2">
      <c r="B20" s="107" t="s">
        <v>127</v>
      </c>
      <c r="C20" s="107" t="s">
        <v>185</v>
      </c>
      <c r="D20" s="108">
        <v>0</v>
      </c>
      <c r="E20" s="108">
        <v>0</v>
      </c>
      <c r="F20" s="108">
        <v>0</v>
      </c>
      <c r="G20" s="108">
        <v>0</v>
      </c>
      <c r="H20" s="108">
        <v>0</v>
      </c>
      <c r="I20" s="108">
        <v>0</v>
      </c>
      <c r="J20" s="108">
        <v>0</v>
      </c>
      <c r="K20" s="108">
        <v>0</v>
      </c>
      <c r="L20" s="108">
        <v>31.975733634311513</v>
      </c>
      <c r="M20" s="108">
        <v>9170.6404063205428</v>
      </c>
      <c r="N20" s="108">
        <v>13.172892126472412</v>
      </c>
      <c r="O20" s="108">
        <v>3777.9854618722879</v>
      </c>
      <c r="P20" s="108">
        <v>9.7250434566674944</v>
      </c>
      <c r="Q20" s="108">
        <v>2789.1424633722377</v>
      </c>
      <c r="R20" s="108">
        <v>13.491742227979273</v>
      </c>
      <c r="S20" s="108">
        <v>3869.4316709844556</v>
      </c>
      <c r="T20" s="108">
        <v>0</v>
      </c>
      <c r="U20" s="108">
        <v>0</v>
      </c>
      <c r="V20" s="108">
        <v>57.0625</v>
      </c>
      <c r="W20" s="108">
        <v>16365.525000000001</v>
      </c>
      <c r="X20" s="108">
        <v>26.486842105263158</v>
      </c>
      <c r="Y20" s="108">
        <v>7596.4263157894738</v>
      </c>
      <c r="Z20" s="108">
        <v>27.584760273972602</v>
      </c>
      <c r="AA20" s="108">
        <v>7911.3092465753425</v>
      </c>
      <c r="AB20" s="108">
        <v>0</v>
      </c>
      <c r="AC20" s="108">
        <v>0</v>
      </c>
      <c r="AD20" s="108">
        <v>12.247866287339971</v>
      </c>
      <c r="AE20" s="108">
        <v>3512.6880512091038</v>
      </c>
      <c r="AF20" s="108">
        <v>15.441994069681245</v>
      </c>
      <c r="AG20" s="108">
        <v>4428.7638991845815</v>
      </c>
      <c r="AH20" s="108">
        <v>14.092389348686579</v>
      </c>
      <c r="AI20" s="108">
        <v>4041.697265203311</v>
      </c>
      <c r="AJ20" s="108">
        <v>0</v>
      </c>
      <c r="AK20" s="108">
        <v>0</v>
      </c>
      <c r="AL20" s="108">
        <v>47.872646026173001</v>
      </c>
      <c r="AM20" s="108">
        <v>13729.874880306417</v>
      </c>
      <c r="AN20" s="108">
        <v>16.88049568965517</v>
      </c>
      <c r="AO20" s="108">
        <v>4841.3261637931028</v>
      </c>
      <c r="AP20" s="108">
        <v>0</v>
      </c>
      <c r="AQ20" s="108">
        <v>0</v>
      </c>
      <c r="AR20" s="108">
        <v>18.286393562545719</v>
      </c>
      <c r="AS20" s="108">
        <v>5244.5376737381121</v>
      </c>
      <c r="AT20" s="108">
        <v>0</v>
      </c>
      <c r="AU20" s="108">
        <v>0</v>
      </c>
      <c r="AV20" s="108">
        <v>15.440767703507611</v>
      </c>
      <c r="AW20" s="108">
        <v>4428.4121773659826</v>
      </c>
      <c r="AX20" s="108">
        <v>9.6698957513768686</v>
      </c>
      <c r="AY20" s="108">
        <v>2773.3261014948862</v>
      </c>
      <c r="AZ20" s="108">
        <v>36.739417989417987</v>
      </c>
      <c r="BA20" s="108">
        <v>10536.86507936508</v>
      </c>
      <c r="BB20" s="108">
        <v>0</v>
      </c>
      <c r="BC20" s="108">
        <v>0</v>
      </c>
      <c r="BD20" s="108">
        <v>59.032238805970145</v>
      </c>
      <c r="BE20" s="108">
        <v>16930.446089552239</v>
      </c>
      <c r="BF20" s="108">
        <v>0</v>
      </c>
      <c r="BG20" s="108">
        <v>0</v>
      </c>
      <c r="BH20" s="108">
        <v>21.13953488372093</v>
      </c>
      <c r="BI20" s="108">
        <v>6062.8186046511628</v>
      </c>
      <c r="BJ20" s="108">
        <v>6.9354934601664686</v>
      </c>
      <c r="BK20" s="108">
        <v>1989.0995243757434</v>
      </c>
      <c r="BL20" s="108">
        <v>11.177743902439024</v>
      </c>
      <c r="BM20" s="108">
        <v>3205.7769512195123</v>
      </c>
      <c r="BN20" s="108">
        <v>5.4107142857142865</v>
      </c>
      <c r="BO20" s="108">
        <v>1551.7928571428574</v>
      </c>
      <c r="BP20" s="108">
        <v>5.3969087340529933</v>
      </c>
      <c r="BQ20" s="108">
        <v>1547.8334249263985</v>
      </c>
      <c r="BR20" s="108">
        <v>6.1549710521062089</v>
      </c>
      <c r="BS20" s="108">
        <v>1765.2456977440609</v>
      </c>
      <c r="BT20" s="108">
        <v>9.5859018884306479</v>
      </c>
      <c r="BU20" s="108">
        <v>2749.2366616019099</v>
      </c>
      <c r="BV20" s="108">
        <v>0</v>
      </c>
      <c r="BW20" s="108">
        <v>0</v>
      </c>
      <c r="BX20" s="108">
        <v>13.965083798882681</v>
      </c>
      <c r="BY20" s="108">
        <v>4005.1860335195529</v>
      </c>
      <c r="BZ20" s="108">
        <v>8.3758232235701904</v>
      </c>
      <c r="CA20" s="108">
        <v>2402.1861005199307</v>
      </c>
      <c r="CB20" s="108">
        <v>0</v>
      </c>
      <c r="CC20" s="108">
        <v>0</v>
      </c>
      <c r="CD20" s="108">
        <v>23.241801733886167</v>
      </c>
      <c r="CE20" s="108">
        <v>6665.7487372785527</v>
      </c>
      <c r="CF20" s="108">
        <v>0</v>
      </c>
      <c r="CG20" s="108">
        <v>0</v>
      </c>
      <c r="CH20" s="108">
        <v>0</v>
      </c>
      <c r="CI20" s="108">
        <v>0</v>
      </c>
      <c r="CJ20" s="108">
        <v>58.853732888531006</v>
      </c>
      <c r="CK20" s="108">
        <v>16879.250592430693</v>
      </c>
      <c r="CL20" s="108">
        <v>29.502929809250716</v>
      </c>
      <c r="CM20" s="108">
        <v>8461.4402692931053</v>
      </c>
      <c r="CN20" s="108">
        <v>42.888648468708389</v>
      </c>
      <c r="CO20" s="108">
        <v>12300.464380825566</v>
      </c>
      <c r="CP20" s="108">
        <v>0</v>
      </c>
      <c r="CQ20" s="108">
        <v>0</v>
      </c>
      <c r="CR20" s="108">
        <v>0</v>
      </c>
      <c r="CS20" s="108">
        <v>0</v>
      </c>
      <c r="CT20" s="108">
        <v>69.227899956877962</v>
      </c>
      <c r="CU20" s="108">
        <v>19854.561707632602</v>
      </c>
    </row>
    <row r="21" spans="2:99" x14ac:dyDescent="0.2">
      <c r="C21" s="107" t="s">
        <v>186</v>
      </c>
      <c r="D21" s="108">
        <v>0</v>
      </c>
      <c r="E21" s="108">
        <v>0</v>
      </c>
      <c r="F21" s="108">
        <v>0</v>
      </c>
      <c r="G21" s="108">
        <v>0</v>
      </c>
      <c r="H21" s="108">
        <v>0</v>
      </c>
      <c r="I21" s="108">
        <v>0</v>
      </c>
      <c r="J21" s="108">
        <v>0</v>
      </c>
      <c r="K21" s="108">
        <v>0</v>
      </c>
      <c r="L21" s="108">
        <v>34.483634311512418</v>
      </c>
      <c r="M21" s="108">
        <v>2151.7787810383747</v>
      </c>
      <c r="N21" s="108">
        <v>13.172892126472412</v>
      </c>
      <c r="O21" s="108">
        <v>821.98846869187855</v>
      </c>
      <c r="P21" s="108">
        <v>10.966538366029303</v>
      </c>
      <c r="Q21" s="108">
        <v>684.31199404022846</v>
      </c>
      <c r="R21" s="108">
        <v>12.682237694300518</v>
      </c>
      <c r="S21" s="108">
        <v>791.37163212435235</v>
      </c>
      <c r="T21" s="108">
        <v>0</v>
      </c>
      <c r="U21" s="108">
        <v>0</v>
      </c>
      <c r="V21" s="108">
        <v>54.999999999999993</v>
      </c>
      <c r="W21" s="108">
        <v>3431.9999999999995</v>
      </c>
      <c r="X21" s="108">
        <v>26.05263157894737</v>
      </c>
      <c r="Y21" s="108">
        <v>1625.6842105263158</v>
      </c>
      <c r="Z21" s="108">
        <v>28.060359589041095</v>
      </c>
      <c r="AA21" s="108">
        <v>1750.9664383561642</v>
      </c>
      <c r="AB21" s="108">
        <v>0</v>
      </c>
      <c r="AC21" s="108">
        <v>0</v>
      </c>
      <c r="AD21" s="108">
        <v>14.223328591749645</v>
      </c>
      <c r="AE21" s="108">
        <v>887.53570412517786</v>
      </c>
      <c r="AF21" s="108">
        <v>13.897794662713123</v>
      </c>
      <c r="AG21" s="108">
        <v>867.22238695329884</v>
      </c>
      <c r="AH21" s="108">
        <v>14.092389348686579</v>
      </c>
      <c r="AI21" s="108">
        <v>879.36509535804248</v>
      </c>
      <c r="AJ21" s="108">
        <v>0</v>
      </c>
      <c r="AK21" s="108">
        <v>0</v>
      </c>
      <c r="AL21" s="108">
        <v>54.255665496329392</v>
      </c>
      <c r="AM21" s="108">
        <v>3385.553526970954</v>
      </c>
      <c r="AN21" s="108">
        <v>17.598814655172415</v>
      </c>
      <c r="AO21" s="108">
        <v>1098.1660344827587</v>
      </c>
      <c r="AP21" s="108">
        <v>0</v>
      </c>
      <c r="AQ21" s="108">
        <v>0</v>
      </c>
      <c r="AR21" s="108">
        <v>17.372073884418434</v>
      </c>
      <c r="AS21" s="108">
        <v>1084.0174103877102</v>
      </c>
      <c r="AT21" s="108">
        <v>0</v>
      </c>
      <c r="AU21" s="108">
        <v>0</v>
      </c>
      <c r="AV21" s="108">
        <v>17.370863666446063</v>
      </c>
      <c r="AW21" s="108">
        <v>1083.9418927862343</v>
      </c>
      <c r="AX21" s="108">
        <v>9.3421026750590084</v>
      </c>
      <c r="AY21" s="108">
        <v>582.94720692368207</v>
      </c>
      <c r="AZ21" s="108">
        <v>36.151587301587305</v>
      </c>
      <c r="BA21" s="108">
        <v>2255.8590476190479</v>
      </c>
      <c r="BB21" s="108">
        <v>0</v>
      </c>
      <c r="BC21" s="108">
        <v>0</v>
      </c>
      <c r="BD21" s="108">
        <v>65.001791044776112</v>
      </c>
      <c r="BE21" s="108">
        <v>4056.1117611940294</v>
      </c>
      <c r="BF21" s="108">
        <v>0</v>
      </c>
      <c r="BG21" s="108">
        <v>0</v>
      </c>
      <c r="BH21" s="108">
        <v>20.699127906976745</v>
      </c>
      <c r="BI21" s="108">
        <v>1291.6255813953489</v>
      </c>
      <c r="BJ21" s="108">
        <v>6.4401010701545776</v>
      </c>
      <c r="BK21" s="108">
        <v>401.86230677764564</v>
      </c>
      <c r="BL21" s="108">
        <v>12.701981707317072</v>
      </c>
      <c r="BM21" s="108">
        <v>792.60365853658527</v>
      </c>
      <c r="BN21" s="108">
        <v>5.7838669950738915</v>
      </c>
      <c r="BO21" s="108">
        <v>360.9133004926108</v>
      </c>
      <c r="BP21" s="108">
        <v>5.5604514229636894</v>
      </c>
      <c r="BQ21" s="108">
        <v>346.97216879293421</v>
      </c>
      <c r="BR21" s="108">
        <v>6.1549710521062089</v>
      </c>
      <c r="BS21" s="108">
        <v>384.07019365142742</v>
      </c>
      <c r="BT21" s="108">
        <v>9.9476340351638814</v>
      </c>
      <c r="BU21" s="108">
        <v>620.73236379422622</v>
      </c>
      <c r="BV21" s="108">
        <v>0</v>
      </c>
      <c r="BW21" s="108">
        <v>0</v>
      </c>
      <c r="BX21" s="108">
        <v>15.128840782122907</v>
      </c>
      <c r="BY21" s="108">
        <v>944.03966480446934</v>
      </c>
      <c r="BZ21" s="108">
        <v>8.6646447140381291</v>
      </c>
      <c r="CA21" s="108">
        <v>540.6738301559792</v>
      </c>
      <c r="CB21" s="108">
        <v>0</v>
      </c>
      <c r="CC21" s="108">
        <v>0</v>
      </c>
      <c r="CD21" s="108">
        <v>21.357331323030532</v>
      </c>
      <c r="CE21" s="108">
        <v>1332.6974745571051</v>
      </c>
      <c r="CF21" s="108">
        <v>0</v>
      </c>
      <c r="CG21" s="108">
        <v>0</v>
      </c>
      <c r="CH21" s="108">
        <v>0</v>
      </c>
      <c r="CI21" s="108">
        <v>0</v>
      </c>
      <c r="CJ21" s="108">
        <v>70.547797078108829</v>
      </c>
      <c r="CK21" s="108">
        <v>4402.1825376739907</v>
      </c>
      <c r="CL21" s="108">
        <v>27.944676474255083</v>
      </c>
      <c r="CM21" s="108">
        <v>1743.7478119935172</v>
      </c>
      <c r="CN21" s="108">
        <v>44.44823568575233</v>
      </c>
      <c r="CO21" s="108">
        <v>2773.5699067909454</v>
      </c>
      <c r="CP21" s="108">
        <v>0</v>
      </c>
      <c r="CQ21" s="108">
        <v>0</v>
      </c>
      <c r="CR21" s="108">
        <v>0</v>
      </c>
      <c r="CS21" s="108">
        <v>0</v>
      </c>
      <c r="CT21" s="108">
        <v>85.037731780940064</v>
      </c>
      <c r="CU21" s="108">
        <v>5306.3544631306595</v>
      </c>
    </row>
    <row r="22" spans="2:99" x14ac:dyDescent="0.2">
      <c r="C22" s="107" t="s">
        <v>187</v>
      </c>
      <c r="D22" s="108">
        <v>0</v>
      </c>
      <c r="E22" s="108">
        <v>0</v>
      </c>
      <c r="F22" s="108">
        <v>0</v>
      </c>
      <c r="G22" s="108">
        <v>0</v>
      </c>
      <c r="H22" s="108">
        <v>0</v>
      </c>
      <c r="I22" s="108">
        <v>0</v>
      </c>
      <c r="J22" s="108">
        <v>0</v>
      </c>
      <c r="K22" s="108">
        <v>0</v>
      </c>
      <c r="L22" s="108">
        <v>36.364559819413095</v>
      </c>
      <c r="M22" s="108">
        <v>6807.445598194131</v>
      </c>
      <c r="N22" s="108">
        <v>11.364848109113453</v>
      </c>
      <c r="O22" s="108">
        <v>2127.4995660260383</v>
      </c>
      <c r="P22" s="108">
        <v>11.587285820710205</v>
      </c>
      <c r="Q22" s="108">
        <v>2169.1399056369501</v>
      </c>
      <c r="R22" s="108">
        <v>12.412402849740932</v>
      </c>
      <c r="S22" s="108">
        <v>2323.6018134715023</v>
      </c>
      <c r="T22" s="108">
        <v>0</v>
      </c>
      <c r="U22" s="108">
        <v>0</v>
      </c>
      <c r="V22" s="108">
        <v>63.25</v>
      </c>
      <c r="W22" s="108">
        <v>11840.4</v>
      </c>
      <c r="X22" s="108">
        <v>23.881578947368421</v>
      </c>
      <c r="Y22" s="108">
        <v>4470.6315789473683</v>
      </c>
      <c r="Z22" s="108">
        <v>28.060359589041095</v>
      </c>
      <c r="AA22" s="108">
        <v>5252.8993150684928</v>
      </c>
      <c r="AB22" s="108">
        <v>0</v>
      </c>
      <c r="AC22" s="108">
        <v>0</v>
      </c>
      <c r="AD22" s="108">
        <v>14.223328591749645</v>
      </c>
      <c r="AE22" s="108">
        <v>2662.6071123755332</v>
      </c>
      <c r="AF22" s="108">
        <v>13.897794662713123</v>
      </c>
      <c r="AG22" s="108">
        <v>2601.6671608598963</v>
      </c>
      <c r="AH22" s="108">
        <v>13.492713206189277</v>
      </c>
      <c r="AI22" s="108">
        <v>2525.8359121986327</v>
      </c>
      <c r="AJ22" s="108">
        <v>0</v>
      </c>
      <c r="AK22" s="108">
        <v>0</v>
      </c>
      <c r="AL22" s="108">
        <v>49.468400893712094</v>
      </c>
      <c r="AM22" s="108">
        <v>9260.4846473029029</v>
      </c>
      <c r="AN22" s="108">
        <v>16.88049568965517</v>
      </c>
      <c r="AO22" s="108">
        <v>3160.0287931034477</v>
      </c>
      <c r="AP22" s="108">
        <v>0</v>
      </c>
      <c r="AQ22" s="108">
        <v>0</v>
      </c>
      <c r="AR22" s="108">
        <v>17.676847110460862</v>
      </c>
      <c r="AS22" s="108">
        <v>3309.1057790782734</v>
      </c>
      <c r="AT22" s="108">
        <v>0</v>
      </c>
      <c r="AU22" s="108">
        <v>0</v>
      </c>
      <c r="AV22" s="108">
        <v>16.819407677035073</v>
      </c>
      <c r="AW22" s="108">
        <v>3148.5931171409657</v>
      </c>
      <c r="AX22" s="108">
        <v>9.1782061369000782</v>
      </c>
      <c r="AY22" s="108">
        <v>1718.1601888276946</v>
      </c>
      <c r="AZ22" s="108">
        <v>35.1228835978836</v>
      </c>
      <c r="BA22" s="108">
        <v>6575.0038095238097</v>
      </c>
      <c r="BB22" s="108">
        <v>0</v>
      </c>
      <c r="BC22" s="108">
        <v>0</v>
      </c>
      <c r="BD22" s="108">
        <v>69.644776119402991</v>
      </c>
      <c r="BE22" s="108">
        <v>13037.502089552239</v>
      </c>
      <c r="BF22" s="108">
        <v>0</v>
      </c>
      <c r="BG22" s="108">
        <v>0</v>
      </c>
      <c r="BH22" s="108">
        <v>19.818313953488371</v>
      </c>
      <c r="BI22" s="108">
        <v>3709.9883720930229</v>
      </c>
      <c r="BJ22" s="108">
        <v>6.1924048751486325</v>
      </c>
      <c r="BK22" s="108">
        <v>1159.218192627824</v>
      </c>
      <c r="BL22" s="108">
        <v>12.447942073170731</v>
      </c>
      <c r="BM22" s="108">
        <v>2330.2547560975609</v>
      </c>
      <c r="BN22" s="108">
        <v>5.2241379310344822</v>
      </c>
      <c r="BO22" s="108">
        <v>977.95862068965505</v>
      </c>
      <c r="BP22" s="108">
        <v>4.7427379784102062</v>
      </c>
      <c r="BQ22" s="108">
        <v>887.84054955839053</v>
      </c>
      <c r="BR22" s="108">
        <v>6.6540227590337393</v>
      </c>
      <c r="BS22" s="108">
        <v>1245.6330604911159</v>
      </c>
      <c r="BT22" s="108">
        <v>9.5859018884306479</v>
      </c>
      <c r="BU22" s="108">
        <v>1794.4808335142172</v>
      </c>
      <c r="BV22" s="108">
        <v>0</v>
      </c>
      <c r="BW22" s="108">
        <v>0</v>
      </c>
      <c r="BX22" s="108">
        <v>14.546962290502792</v>
      </c>
      <c r="BY22" s="108">
        <v>2723.1913407821226</v>
      </c>
      <c r="BZ22" s="108">
        <v>8.0870017331022517</v>
      </c>
      <c r="CA22" s="108">
        <v>1513.8867244367414</v>
      </c>
      <c r="CB22" s="108">
        <v>0</v>
      </c>
      <c r="CC22" s="108">
        <v>0</v>
      </c>
      <c r="CD22" s="108">
        <v>20.729174519411984</v>
      </c>
      <c r="CE22" s="108">
        <v>3880.5014700339234</v>
      </c>
      <c r="CF22" s="108">
        <v>0</v>
      </c>
      <c r="CG22" s="108">
        <v>0</v>
      </c>
      <c r="CH22" s="108">
        <v>0</v>
      </c>
      <c r="CI22" s="108">
        <v>0</v>
      </c>
      <c r="CJ22" s="108">
        <v>59.045438858851952</v>
      </c>
      <c r="CK22" s="108">
        <v>11053.306154377085</v>
      </c>
      <c r="CL22" s="108">
        <v>28.775744919586085</v>
      </c>
      <c r="CM22" s="108">
        <v>5386.819448946515</v>
      </c>
      <c r="CN22" s="108">
        <v>43.200565912117177</v>
      </c>
      <c r="CO22" s="108">
        <v>8087.1459387483355</v>
      </c>
      <c r="CP22" s="108">
        <v>0</v>
      </c>
      <c r="CQ22" s="108">
        <v>0</v>
      </c>
      <c r="CR22" s="108">
        <v>0</v>
      </c>
      <c r="CS22" s="108">
        <v>0</v>
      </c>
      <c r="CT22" s="108">
        <v>75.935101336783092</v>
      </c>
      <c r="CU22" s="108">
        <v>14215.050970245793</v>
      </c>
    </row>
    <row r="23" spans="2:99" x14ac:dyDescent="0.2">
      <c r="C23" s="107" t="s">
        <v>188</v>
      </c>
      <c r="D23" s="108">
        <v>0</v>
      </c>
      <c r="E23" s="108">
        <v>0</v>
      </c>
      <c r="F23" s="108">
        <v>0</v>
      </c>
      <c r="G23" s="108">
        <v>0</v>
      </c>
      <c r="H23" s="108">
        <v>0</v>
      </c>
      <c r="I23" s="108">
        <v>0</v>
      </c>
      <c r="J23" s="108">
        <v>0</v>
      </c>
      <c r="K23" s="108">
        <v>0</v>
      </c>
      <c r="L23" s="108">
        <v>36.991534988713319</v>
      </c>
      <c r="M23" s="108">
        <v>10875.511286681716</v>
      </c>
      <c r="N23" s="108">
        <v>13.172892126472412</v>
      </c>
      <c r="O23" s="108">
        <v>3872.8302851828894</v>
      </c>
      <c r="P23" s="108">
        <v>11.17345418425627</v>
      </c>
      <c r="Q23" s="108">
        <v>3284.9955301713435</v>
      </c>
      <c r="R23" s="108">
        <v>12.952072538860103</v>
      </c>
      <c r="S23" s="108">
        <v>3807.90932642487</v>
      </c>
      <c r="T23" s="108">
        <v>0</v>
      </c>
      <c r="U23" s="108">
        <v>0</v>
      </c>
      <c r="V23" s="108">
        <v>55.6875</v>
      </c>
      <c r="W23" s="108">
        <v>16372.125</v>
      </c>
      <c r="X23" s="108">
        <v>23.447368421052634</v>
      </c>
      <c r="Y23" s="108">
        <v>6893.5263157894742</v>
      </c>
      <c r="Z23" s="108">
        <v>25.206763698630137</v>
      </c>
      <c r="AA23" s="108">
        <v>7410.7885273972606</v>
      </c>
      <c r="AB23" s="108">
        <v>0</v>
      </c>
      <c r="AC23" s="108">
        <v>0</v>
      </c>
      <c r="AD23" s="108">
        <v>13.038051209103839</v>
      </c>
      <c r="AE23" s="108">
        <v>3833.1870554765287</v>
      </c>
      <c r="AF23" s="108">
        <v>15.75083395107487</v>
      </c>
      <c r="AG23" s="108">
        <v>4630.7451816160119</v>
      </c>
      <c r="AH23" s="108">
        <v>13.492713206189277</v>
      </c>
      <c r="AI23" s="108">
        <v>3966.8576826196477</v>
      </c>
      <c r="AJ23" s="108">
        <v>0</v>
      </c>
      <c r="AK23" s="108">
        <v>0</v>
      </c>
      <c r="AL23" s="108">
        <v>49.468400893712094</v>
      </c>
      <c r="AM23" s="108">
        <v>14543.709862751355</v>
      </c>
      <c r="AN23" s="108">
        <v>16.88049568965517</v>
      </c>
      <c r="AO23" s="108">
        <v>4962.8657327586197</v>
      </c>
      <c r="AP23" s="108">
        <v>0</v>
      </c>
      <c r="AQ23" s="108">
        <v>0</v>
      </c>
      <c r="AR23" s="108">
        <v>17.676847110460862</v>
      </c>
      <c r="AS23" s="108">
        <v>5196.9930504754939</v>
      </c>
      <c r="AT23" s="108">
        <v>0</v>
      </c>
      <c r="AU23" s="108">
        <v>0</v>
      </c>
      <c r="AV23" s="108">
        <v>16.819407677035073</v>
      </c>
      <c r="AW23" s="108">
        <v>4944.9058570483112</v>
      </c>
      <c r="AX23" s="108">
        <v>9.6698957513768686</v>
      </c>
      <c r="AY23" s="108">
        <v>2842.9493509047993</v>
      </c>
      <c r="AZ23" s="108">
        <v>31.155026455026455</v>
      </c>
      <c r="BA23" s="108">
        <v>9159.5777777777785</v>
      </c>
      <c r="BB23" s="108">
        <v>0</v>
      </c>
      <c r="BC23" s="108">
        <v>0</v>
      </c>
      <c r="BD23" s="108">
        <v>67.986567164179107</v>
      </c>
      <c r="BE23" s="108">
        <v>19988.050746268658</v>
      </c>
      <c r="BF23" s="108">
        <v>0</v>
      </c>
      <c r="BG23" s="108">
        <v>0</v>
      </c>
      <c r="BH23" s="108">
        <v>21.579941860465116</v>
      </c>
      <c r="BI23" s="108">
        <v>6344.5029069767443</v>
      </c>
      <c r="BJ23" s="108">
        <v>6.1924048751486325</v>
      </c>
      <c r="BK23" s="108">
        <v>1820.5670332936979</v>
      </c>
      <c r="BL23" s="108">
        <v>12.701981707317072</v>
      </c>
      <c r="BM23" s="108">
        <v>3734.3826219512193</v>
      </c>
      <c r="BN23" s="108">
        <v>5.2241379310344822</v>
      </c>
      <c r="BO23" s="108">
        <v>1535.8965517241377</v>
      </c>
      <c r="BP23" s="108">
        <v>4.7427379784102062</v>
      </c>
      <c r="BQ23" s="108">
        <v>1394.3649656526006</v>
      </c>
      <c r="BR23" s="108">
        <v>6.6540227590337393</v>
      </c>
      <c r="BS23" s="108">
        <v>1956.2826911559193</v>
      </c>
      <c r="BT23" s="108">
        <v>9.4050358150640339</v>
      </c>
      <c r="BU23" s="108">
        <v>2765.0805296288258</v>
      </c>
      <c r="BV23" s="108">
        <v>0</v>
      </c>
      <c r="BW23" s="108">
        <v>0</v>
      </c>
      <c r="BX23" s="108">
        <v>14.546962290502792</v>
      </c>
      <c r="BY23" s="108">
        <v>4276.8069134078205</v>
      </c>
      <c r="BZ23" s="108">
        <v>8.0870017331022517</v>
      </c>
      <c r="CA23" s="108">
        <v>2377.5785095320621</v>
      </c>
      <c r="CB23" s="108">
        <v>0</v>
      </c>
      <c r="CC23" s="108">
        <v>0</v>
      </c>
      <c r="CD23" s="108">
        <v>21.357331323030532</v>
      </c>
      <c r="CE23" s="108">
        <v>6279.0554089709767</v>
      </c>
      <c r="CF23" s="108">
        <v>0</v>
      </c>
      <c r="CG23" s="108">
        <v>0</v>
      </c>
      <c r="CH23" s="108">
        <v>0</v>
      </c>
      <c r="CI23" s="108">
        <v>0</v>
      </c>
      <c r="CJ23" s="108">
        <v>66.713677671689865</v>
      </c>
      <c r="CK23" s="108">
        <v>19613.821235476822</v>
      </c>
      <c r="CL23" s="108">
        <v>27.736909362922329</v>
      </c>
      <c r="CM23" s="108">
        <v>8154.6513526991648</v>
      </c>
      <c r="CN23" s="108">
        <v>37.586051930758991</v>
      </c>
      <c r="CO23" s="108">
        <v>11050.299267643144</v>
      </c>
      <c r="CP23" s="108">
        <v>0</v>
      </c>
      <c r="CQ23" s="108">
        <v>0</v>
      </c>
      <c r="CR23" s="108">
        <v>0</v>
      </c>
      <c r="CS23" s="108">
        <v>0</v>
      </c>
      <c r="CT23" s="108">
        <v>69.467442863303148</v>
      </c>
      <c r="CU23" s="108">
        <v>20423.428201811126</v>
      </c>
    </row>
    <row r="24" spans="2:99" x14ac:dyDescent="0.2">
      <c r="C24" s="107" t="s">
        <v>189</v>
      </c>
      <c r="D24" s="108">
        <v>0</v>
      </c>
      <c r="E24" s="108">
        <v>0</v>
      </c>
      <c r="F24" s="108">
        <v>0</v>
      </c>
      <c r="G24" s="108">
        <v>0</v>
      </c>
      <c r="H24" s="108">
        <v>0</v>
      </c>
      <c r="I24" s="108">
        <v>0</v>
      </c>
      <c r="J24" s="108">
        <v>0</v>
      </c>
      <c r="K24" s="108">
        <v>0</v>
      </c>
      <c r="L24" s="108">
        <v>33.856659142212187</v>
      </c>
      <c r="M24" s="108">
        <v>12432.165237020316</v>
      </c>
      <c r="N24" s="108">
        <v>12.398016119032858</v>
      </c>
      <c r="O24" s="108">
        <v>4552.5515189088655</v>
      </c>
      <c r="P24" s="108">
        <v>10.138875093121429</v>
      </c>
      <c r="Q24" s="108">
        <v>3722.9949341941888</v>
      </c>
      <c r="R24" s="108">
        <v>12.952072538860103</v>
      </c>
      <c r="S24" s="108">
        <v>4756.0010362694293</v>
      </c>
      <c r="T24" s="108">
        <v>0</v>
      </c>
      <c r="U24" s="108">
        <v>0</v>
      </c>
      <c r="V24" s="108">
        <v>57.0625</v>
      </c>
      <c r="W24" s="108">
        <v>20953.349999999999</v>
      </c>
      <c r="X24" s="108">
        <v>23.881578947368421</v>
      </c>
      <c r="Y24" s="108">
        <v>8769.3157894736833</v>
      </c>
      <c r="Z24" s="108">
        <v>25.206763698630137</v>
      </c>
      <c r="AA24" s="108">
        <v>9255.9236301369856</v>
      </c>
      <c r="AB24" s="108">
        <v>0</v>
      </c>
      <c r="AC24" s="108">
        <v>0</v>
      </c>
      <c r="AD24" s="108">
        <v>12.247866287339971</v>
      </c>
      <c r="AE24" s="108">
        <v>4497.4165007112369</v>
      </c>
      <c r="AF24" s="108">
        <v>14.51547442550037</v>
      </c>
      <c r="AG24" s="108">
        <v>5330.0822090437359</v>
      </c>
      <c r="AH24" s="108">
        <v>13.492713206189277</v>
      </c>
      <c r="AI24" s="108">
        <v>4954.5242893127024</v>
      </c>
      <c r="AJ24" s="108">
        <v>0</v>
      </c>
      <c r="AK24" s="108">
        <v>0</v>
      </c>
      <c r="AL24" s="108">
        <v>54.255665496329392</v>
      </c>
      <c r="AM24" s="108">
        <v>19922.680370252154</v>
      </c>
      <c r="AN24" s="108">
        <v>14.007219827586207</v>
      </c>
      <c r="AO24" s="108">
        <v>5143.451120689655</v>
      </c>
      <c r="AP24" s="108">
        <v>0</v>
      </c>
      <c r="AQ24" s="108">
        <v>0</v>
      </c>
      <c r="AR24" s="108">
        <v>17.676847110460862</v>
      </c>
      <c r="AS24" s="108">
        <v>6490.9382589612287</v>
      </c>
      <c r="AT24" s="108">
        <v>0</v>
      </c>
      <c r="AU24" s="108">
        <v>0</v>
      </c>
      <c r="AV24" s="108">
        <v>15.716495698213103</v>
      </c>
      <c r="AW24" s="108">
        <v>5771.097220383851</v>
      </c>
      <c r="AX24" s="108">
        <v>8.5226199842643595</v>
      </c>
      <c r="AY24" s="108">
        <v>3129.5060582218725</v>
      </c>
      <c r="AZ24" s="108">
        <v>34.535052910052912</v>
      </c>
      <c r="BA24" s="108">
        <v>12681.271428571428</v>
      </c>
      <c r="BB24" s="108">
        <v>0</v>
      </c>
      <c r="BC24" s="108">
        <v>0</v>
      </c>
      <c r="BD24" s="108">
        <v>65.665074626865675</v>
      </c>
      <c r="BE24" s="108">
        <v>24112.215402985075</v>
      </c>
      <c r="BF24" s="108">
        <v>0</v>
      </c>
      <c r="BG24" s="108">
        <v>0</v>
      </c>
      <c r="BH24" s="108">
        <v>20.699127906976745</v>
      </c>
      <c r="BI24" s="108">
        <v>7600.7197674418603</v>
      </c>
      <c r="BJ24" s="108">
        <v>6.4401010701545776</v>
      </c>
      <c r="BK24" s="108">
        <v>2364.8051129607607</v>
      </c>
      <c r="BL24" s="108">
        <v>12.701981707317072</v>
      </c>
      <c r="BM24" s="108">
        <v>4664.167682926829</v>
      </c>
      <c r="BN24" s="108">
        <v>5.0375615763546797</v>
      </c>
      <c r="BO24" s="108">
        <v>1849.7926108374384</v>
      </c>
      <c r="BP24" s="108">
        <v>4.9062806673209032</v>
      </c>
      <c r="BQ24" s="108">
        <v>1801.5862610402355</v>
      </c>
      <c r="BR24" s="108">
        <v>6.1549710521062089</v>
      </c>
      <c r="BS24" s="108">
        <v>2260.1053703333996</v>
      </c>
      <c r="BT24" s="108">
        <v>9.0433036683308003</v>
      </c>
      <c r="BU24" s="108">
        <v>3320.7011070110698</v>
      </c>
      <c r="BV24" s="108">
        <v>0</v>
      </c>
      <c r="BW24" s="108">
        <v>0</v>
      </c>
      <c r="BX24" s="108">
        <v>14.546962290502792</v>
      </c>
      <c r="BY24" s="108">
        <v>5341.6445530726251</v>
      </c>
      <c r="BZ24" s="108">
        <v>8.953466204506066</v>
      </c>
      <c r="CA24" s="108">
        <v>3287.7127902946272</v>
      </c>
      <c r="CB24" s="108">
        <v>0</v>
      </c>
      <c r="CC24" s="108">
        <v>0</v>
      </c>
      <c r="CD24" s="108">
        <v>21.985488126649077</v>
      </c>
      <c r="CE24" s="108">
        <v>8073.0712401055407</v>
      </c>
      <c r="CF24" s="108">
        <v>0</v>
      </c>
      <c r="CG24" s="108">
        <v>0</v>
      </c>
      <c r="CH24" s="108">
        <v>0</v>
      </c>
      <c r="CI24" s="108">
        <v>0</v>
      </c>
      <c r="CJ24" s="108">
        <v>66.713677671689865</v>
      </c>
      <c r="CK24" s="108">
        <v>24497.262441044517</v>
      </c>
      <c r="CL24" s="108">
        <v>30.645648921580847</v>
      </c>
      <c r="CM24" s="108">
        <v>11253.082284004486</v>
      </c>
      <c r="CN24" s="108">
        <v>41.640978695073237</v>
      </c>
      <c r="CO24" s="108">
        <v>15290.567376830892</v>
      </c>
      <c r="CP24" s="108">
        <v>0</v>
      </c>
      <c r="CQ24" s="108">
        <v>0</v>
      </c>
      <c r="CR24" s="108">
        <v>0</v>
      </c>
      <c r="CS24" s="108">
        <v>0</v>
      </c>
      <c r="CT24" s="108">
        <v>72.581500646830534</v>
      </c>
      <c r="CU24" s="108">
        <v>26651.927037516172</v>
      </c>
    </row>
    <row r="25" spans="2:99" x14ac:dyDescent="0.2">
      <c r="C25" s="107" t="s">
        <v>190</v>
      </c>
      <c r="D25" s="108">
        <v>0</v>
      </c>
      <c r="E25" s="108">
        <v>0</v>
      </c>
      <c r="F25" s="108">
        <v>0</v>
      </c>
      <c r="G25" s="108">
        <v>0</v>
      </c>
      <c r="H25" s="108">
        <v>0</v>
      </c>
      <c r="I25" s="108">
        <v>0</v>
      </c>
      <c r="J25" s="108">
        <v>0</v>
      </c>
      <c r="K25" s="108">
        <v>0</v>
      </c>
      <c r="L25" s="108">
        <v>33.856659142212187</v>
      </c>
      <c r="M25" s="108">
        <v>17957.572009029343</v>
      </c>
      <c r="N25" s="108">
        <v>12.91460012399256</v>
      </c>
      <c r="O25" s="108">
        <v>6849.9039057656537</v>
      </c>
      <c r="P25" s="108">
        <v>9.3112118202135594</v>
      </c>
      <c r="Q25" s="108">
        <v>4938.6667494412713</v>
      </c>
      <c r="R25" s="108">
        <v>13.491742227979273</v>
      </c>
      <c r="S25" s="108">
        <v>7156.0200777202062</v>
      </c>
      <c r="T25" s="108">
        <v>0</v>
      </c>
      <c r="U25" s="108">
        <v>0</v>
      </c>
      <c r="V25" s="108">
        <v>57.0625</v>
      </c>
      <c r="W25" s="108">
        <v>30265.949999999997</v>
      </c>
      <c r="X25" s="108">
        <v>22.578947368421055</v>
      </c>
      <c r="Y25" s="108">
        <v>11975.873684210526</v>
      </c>
      <c r="Z25" s="108">
        <v>28.060359589041095</v>
      </c>
      <c r="AA25" s="108">
        <v>14883.214726027396</v>
      </c>
      <c r="AB25" s="108">
        <v>0</v>
      </c>
      <c r="AC25" s="108">
        <v>0</v>
      </c>
      <c r="AD25" s="108">
        <v>14.223328591749645</v>
      </c>
      <c r="AE25" s="108">
        <v>7544.0534850640115</v>
      </c>
      <c r="AF25" s="108">
        <v>15.441994069681245</v>
      </c>
      <c r="AG25" s="108">
        <v>8190.4336545589322</v>
      </c>
      <c r="AH25" s="108">
        <v>12.593198992443325</v>
      </c>
      <c r="AI25" s="108">
        <v>6679.4327455919392</v>
      </c>
      <c r="AJ25" s="108">
        <v>0</v>
      </c>
      <c r="AK25" s="108">
        <v>0</v>
      </c>
      <c r="AL25" s="108">
        <v>50.26627832748165</v>
      </c>
      <c r="AM25" s="108">
        <v>26661.234024896265</v>
      </c>
      <c r="AN25" s="108">
        <v>14.366379310344827</v>
      </c>
      <c r="AO25" s="108">
        <v>7619.9275862068962</v>
      </c>
      <c r="AP25" s="108">
        <v>0</v>
      </c>
      <c r="AQ25" s="108">
        <v>0</v>
      </c>
      <c r="AR25" s="108">
        <v>17.981620336503291</v>
      </c>
      <c r="AS25" s="108">
        <v>9537.4514264813442</v>
      </c>
      <c r="AT25" s="108">
        <v>0</v>
      </c>
      <c r="AU25" s="108">
        <v>0</v>
      </c>
      <c r="AV25" s="108">
        <v>14.889311714096623</v>
      </c>
      <c r="AW25" s="108">
        <v>7897.290933156848</v>
      </c>
      <c r="AX25" s="108">
        <v>9.6698957513768686</v>
      </c>
      <c r="AY25" s="108">
        <v>5128.912706530291</v>
      </c>
      <c r="AZ25" s="108">
        <v>30.567195767195766</v>
      </c>
      <c r="BA25" s="108">
        <v>16212.840634920634</v>
      </c>
      <c r="BB25" s="108">
        <v>0</v>
      </c>
      <c r="BC25" s="108">
        <v>0</v>
      </c>
      <c r="BD25" s="108">
        <v>65.665074626865675</v>
      </c>
      <c r="BE25" s="108">
        <v>34828.75558208955</v>
      </c>
      <c r="BF25" s="108">
        <v>0</v>
      </c>
      <c r="BG25" s="108">
        <v>0</v>
      </c>
      <c r="BH25" s="108">
        <v>20.25872093023256</v>
      </c>
      <c r="BI25" s="108">
        <v>10745.225581395349</v>
      </c>
      <c r="BJ25" s="108">
        <v>6.6877972651605235</v>
      </c>
      <c r="BK25" s="108">
        <v>3547.2076694411417</v>
      </c>
      <c r="BL25" s="108">
        <v>12.447942073170731</v>
      </c>
      <c r="BM25" s="108">
        <v>6602.3884756097559</v>
      </c>
      <c r="BN25" s="108">
        <v>5.0375615763546797</v>
      </c>
      <c r="BO25" s="108">
        <v>2671.9226600985221</v>
      </c>
      <c r="BP25" s="108">
        <v>5.0698233562315993</v>
      </c>
      <c r="BQ25" s="108">
        <v>2689.0343081452402</v>
      </c>
      <c r="BR25" s="108">
        <v>6.3213216210820518</v>
      </c>
      <c r="BS25" s="108">
        <v>3352.8289878219202</v>
      </c>
      <c r="BT25" s="108">
        <v>9.5859018884306479</v>
      </c>
      <c r="BU25" s="108">
        <v>5084.3623616236155</v>
      </c>
      <c r="BV25" s="108">
        <v>0</v>
      </c>
      <c r="BW25" s="108">
        <v>0</v>
      </c>
      <c r="BX25" s="108">
        <v>15.128840782122907</v>
      </c>
      <c r="BY25" s="108">
        <v>8024.3371508379896</v>
      </c>
      <c r="BZ25" s="108">
        <v>8.6646447140381291</v>
      </c>
      <c r="CA25" s="108">
        <v>4595.7275563258236</v>
      </c>
      <c r="CB25" s="108">
        <v>0</v>
      </c>
      <c r="CC25" s="108">
        <v>0</v>
      </c>
      <c r="CD25" s="108">
        <v>20.729174519411984</v>
      </c>
      <c r="CE25" s="108">
        <v>10994.754165096116</v>
      </c>
      <c r="CF25" s="108">
        <v>0</v>
      </c>
      <c r="CG25" s="108">
        <v>0</v>
      </c>
      <c r="CH25" s="108">
        <v>0</v>
      </c>
      <c r="CI25" s="108">
        <v>0</v>
      </c>
      <c r="CJ25" s="108">
        <v>54.444495571149204</v>
      </c>
      <c r="CK25" s="108">
        <v>28877.360450937536</v>
      </c>
      <c r="CL25" s="108">
        <v>28.464094252586957</v>
      </c>
      <c r="CM25" s="108">
        <v>15097.355591572121</v>
      </c>
      <c r="CN25" s="108">
        <v>40.705226364846872</v>
      </c>
      <c r="CO25" s="108">
        <v>21590.05206391478</v>
      </c>
      <c r="CP25" s="108">
        <v>0</v>
      </c>
      <c r="CQ25" s="108">
        <v>0</v>
      </c>
      <c r="CR25" s="108">
        <v>0</v>
      </c>
      <c r="CS25" s="108">
        <v>0</v>
      </c>
      <c r="CT25" s="108">
        <v>68.50927123760242</v>
      </c>
      <c r="CU25" s="108">
        <v>36337.317464424319</v>
      </c>
    </row>
    <row r="26" spans="2:99" x14ac:dyDescent="0.2">
      <c r="C26" s="107" t="s">
        <v>191</v>
      </c>
      <c r="D26" s="108">
        <v>0</v>
      </c>
      <c r="E26" s="108">
        <v>0</v>
      </c>
      <c r="F26" s="108">
        <v>0</v>
      </c>
      <c r="G26" s="108">
        <v>0</v>
      </c>
      <c r="H26" s="108">
        <v>0</v>
      </c>
      <c r="I26" s="108">
        <v>0</v>
      </c>
      <c r="J26" s="108">
        <v>0</v>
      </c>
      <c r="K26" s="108">
        <v>0</v>
      </c>
      <c r="L26" s="108">
        <v>35.737584650112872</v>
      </c>
      <c r="M26" s="108">
        <v>17368.466139954857</v>
      </c>
      <c r="N26" s="108">
        <v>12.91460012399256</v>
      </c>
      <c r="O26" s="108">
        <v>6276.4956602603843</v>
      </c>
      <c r="P26" s="108">
        <v>9.3112118202135594</v>
      </c>
      <c r="Q26" s="108">
        <v>4525.2489446237896</v>
      </c>
      <c r="R26" s="108">
        <v>12.952072538860103</v>
      </c>
      <c r="S26" s="108">
        <v>6294.7072538860102</v>
      </c>
      <c r="T26" s="108">
        <v>0</v>
      </c>
      <c r="U26" s="108">
        <v>0</v>
      </c>
      <c r="V26" s="108">
        <v>54.3125</v>
      </c>
      <c r="W26" s="108">
        <v>26395.875</v>
      </c>
      <c r="X26" s="108">
        <v>26.921052631578945</v>
      </c>
      <c r="Y26" s="108">
        <v>13083.631578947367</v>
      </c>
      <c r="Z26" s="108">
        <v>25.68236301369863</v>
      </c>
      <c r="AA26" s="108">
        <v>12481.628424657534</v>
      </c>
      <c r="AB26" s="108">
        <v>0</v>
      </c>
      <c r="AC26" s="108">
        <v>0</v>
      </c>
      <c r="AD26" s="108">
        <v>11.852773826458037</v>
      </c>
      <c r="AE26" s="108">
        <v>5760.4480796586058</v>
      </c>
      <c r="AF26" s="108">
        <v>12.971275018532246</v>
      </c>
      <c r="AG26" s="108">
        <v>6304.0396590066721</v>
      </c>
      <c r="AH26" s="108">
        <v>14.092389348686579</v>
      </c>
      <c r="AI26" s="108">
        <v>6848.9012234616775</v>
      </c>
      <c r="AJ26" s="108">
        <v>0</v>
      </c>
      <c r="AK26" s="108">
        <v>0</v>
      </c>
      <c r="AL26" s="108">
        <v>53.45778806255985</v>
      </c>
      <c r="AM26" s="108">
        <v>25980.484998404088</v>
      </c>
      <c r="AN26" s="108">
        <v>14.725538793103448</v>
      </c>
      <c r="AO26" s="108">
        <v>7156.6118534482757</v>
      </c>
      <c r="AP26" s="108">
        <v>0</v>
      </c>
      <c r="AQ26" s="108">
        <v>0</v>
      </c>
      <c r="AR26" s="108">
        <v>16.457754206291149</v>
      </c>
      <c r="AS26" s="108">
        <v>7998.4685442574983</v>
      </c>
      <c r="AT26" s="108">
        <v>0</v>
      </c>
      <c r="AU26" s="108">
        <v>0</v>
      </c>
      <c r="AV26" s="108">
        <v>14.337855724685639</v>
      </c>
      <c r="AW26" s="108">
        <v>6968.1978821972207</v>
      </c>
      <c r="AX26" s="108">
        <v>8.5226199842643595</v>
      </c>
      <c r="AY26" s="108">
        <v>4141.9933123524788</v>
      </c>
      <c r="AZ26" s="108">
        <v>34.241137566137567</v>
      </c>
      <c r="BA26" s="108">
        <v>16641.192857142858</v>
      </c>
      <c r="BB26" s="108">
        <v>0</v>
      </c>
      <c r="BC26" s="108">
        <v>0</v>
      </c>
      <c r="BD26" s="108">
        <v>58.037313432835823</v>
      </c>
      <c r="BE26" s="108">
        <v>28206.13432835821</v>
      </c>
      <c r="BF26" s="108">
        <v>0</v>
      </c>
      <c r="BG26" s="108">
        <v>0</v>
      </c>
      <c r="BH26" s="108">
        <v>21.13953488372093</v>
      </c>
      <c r="BI26" s="108">
        <v>10273.813953488372</v>
      </c>
      <c r="BJ26" s="108">
        <v>6.6877972651605235</v>
      </c>
      <c r="BK26" s="108">
        <v>3250.2694708680147</v>
      </c>
      <c r="BL26" s="108">
        <v>10.923704268292683</v>
      </c>
      <c r="BM26" s="108">
        <v>5308.9202743902442</v>
      </c>
      <c r="BN26" s="108">
        <v>5.597290640394089</v>
      </c>
      <c r="BO26" s="108">
        <v>2720.2832512315272</v>
      </c>
      <c r="BP26" s="108">
        <v>5.5604514229636894</v>
      </c>
      <c r="BQ26" s="108">
        <v>2702.3793915603533</v>
      </c>
      <c r="BR26" s="108">
        <v>6.3213216210820518</v>
      </c>
      <c r="BS26" s="108">
        <v>3072.162307845877</v>
      </c>
      <c r="BT26" s="108">
        <v>9.7667679617972656</v>
      </c>
      <c r="BU26" s="108">
        <v>4746.6492294334712</v>
      </c>
      <c r="BV26" s="108">
        <v>0</v>
      </c>
      <c r="BW26" s="108">
        <v>0</v>
      </c>
      <c r="BX26" s="108">
        <v>14.546962290502792</v>
      </c>
      <c r="BY26" s="108">
        <v>7069.8236731843572</v>
      </c>
      <c r="BZ26" s="108">
        <v>9.2422876949740047</v>
      </c>
      <c r="CA26" s="108">
        <v>4491.7518197573663</v>
      </c>
      <c r="CB26" s="108">
        <v>0</v>
      </c>
      <c r="CC26" s="108">
        <v>0</v>
      </c>
      <c r="CD26" s="108">
        <v>19.472860912174895</v>
      </c>
      <c r="CE26" s="108">
        <v>9463.8104033169984</v>
      </c>
      <c r="CF26" s="108">
        <v>0</v>
      </c>
      <c r="CG26" s="108">
        <v>0</v>
      </c>
      <c r="CH26" s="108">
        <v>0</v>
      </c>
      <c r="CI26" s="108">
        <v>0</v>
      </c>
      <c r="CJ26" s="108">
        <v>62.30444035430807</v>
      </c>
      <c r="CK26" s="108">
        <v>30279.958012193722</v>
      </c>
      <c r="CL26" s="108">
        <v>27.633025807255954</v>
      </c>
      <c r="CM26" s="108">
        <v>13429.650542326393</v>
      </c>
      <c r="CN26" s="108">
        <v>42.576731025299601</v>
      </c>
      <c r="CO26" s="108">
        <v>20692.291278295605</v>
      </c>
      <c r="CP26" s="108">
        <v>0</v>
      </c>
      <c r="CQ26" s="108">
        <v>0</v>
      </c>
      <c r="CR26" s="108">
        <v>0</v>
      </c>
      <c r="CS26" s="108">
        <v>0</v>
      </c>
      <c r="CT26" s="108">
        <v>70.665157395429063</v>
      </c>
      <c r="CU26" s="108">
        <v>34343.266494178526</v>
      </c>
    </row>
    <row r="27" spans="2:99" x14ac:dyDescent="0.2">
      <c r="C27" s="107" t="s">
        <v>192</v>
      </c>
      <c r="D27" s="108">
        <v>0</v>
      </c>
      <c r="E27" s="108">
        <v>0</v>
      </c>
      <c r="F27" s="108">
        <v>0</v>
      </c>
      <c r="G27" s="108">
        <v>0</v>
      </c>
      <c r="H27" s="108">
        <v>0</v>
      </c>
      <c r="I27" s="108">
        <v>0</v>
      </c>
      <c r="J27" s="108">
        <v>0</v>
      </c>
      <c r="K27" s="108">
        <v>0</v>
      </c>
      <c r="L27" s="108">
        <v>31.975733634311513</v>
      </c>
      <c r="M27" s="108">
        <v>13660.033408577878</v>
      </c>
      <c r="N27" s="108">
        <v>11.364848109113453</v>
      </c>
      <c r="O27" s="108">
        <v>4855.0631122132672</v>
      </c>
      <c r="P27" s="108">
        <v>10.138875093121429</v>
      </c>
      <c r="Q27" s="108">
        <v>4331.3274397814748</v>
      </c>
      <c r="R27" s="108">
        <v>14.30124676165803</v>
      </c>
      <c r="S27" s="108">
        <v>6109.4926165803099</v>
      </c>
      <c r="T27" s="108">
        <v>0</v>
      </c>
      <c r="U27" s="108">
        <v>0</v>
      </c>
      <c r="V27" s="108">
        <v>54.999999999999993</v>
      </c>
      <c r="W27" s="108">
        <v>23495.999999999996</v>
      </c>
      <c r="X27" s="108">
        <v>27.355263157894736</v>
      </c>
      <c r="Y27" s="108">
        <v>11686.168421052631</v>
      </c>
      <c r="Z27" s="108">
        <v>23.779965753424655</v>
      </c>
      <c r="AA27" s="108">
        <v>10158.801369863013</v>
      </c>
      <c r="AB27" s="108">
        <v>0</v>
      </c>
      <c r="AC27" s="108">
        <v>0</v>
      </c>
      <c r="AD27" s="108">
        <v>13.82823613086771</v>
      </c>
      <c r="AE27" s="108">
        <v>5907.4224751066859</v>
      </c>
      <c r="AF27" s="108">
        <v>15.441994069681245</v>
      </c>
      <c r="AG27" s="108">
        <v>6596.8198665678274</v>
      </c>
      <c r="AH27" s="108">
        <v>14.092389348686579</v>
      </c>
      <c r="AI27" s="108">
        <v>6020.2687297589064</v>
      </c>
      <c r="AJ27" s="108">
        <v>0</v>
      </c>
      <c r="AK27" s="108">
        <v>0</v>
      </c>
      <c r="AL27" s="108">
        <v>47.074768592403444</v>
      </c>
      <c r="AM27" s="108">
        <v>20110.341142674752</v>
      </c>
      <c r="AN27" s="108">
        <v>16.521336206896553</v>
      </c>
      <c r="AO27" s="108">
        <v>7057.9148275862071</v>
      </c>
      <c r="AP27" s="108">
        <v>0</v>
      </c>
      <c r="AQ27" s="108">
        <v>0</v>
      </c>
      <c r="AR27" s="108">
        <v>18.286393562545719</v>
      </c>
      <c r="AS27" s="108">
        <v>7811.9473299195306</v>
      </c>
      <c r="AT27" s="108">
        <v>0</v>
      </c>
      <c r="AU27" s="108">
        <v>0</v>
      </c>
      <c r="AV27" s="108">
        <v>17.095135671740568</v>
      </c>
      <c r="AW27" s="108">
        <v>7303.0419589675703</v>
      </c>
      <c r="AX27" s="108">
        <v>8.8504130605822198</v>
      </c>
      <c r="AY27" s="108">
        <v>3780.8964594807244</v>
      </c>
      <c r="AZ27" s="108">
        <v>29.979365079365078</v>
      </c>
      <c r="BA27" s="108">
        <v>12807.18476190476</v>
      </c>
      <c r="BB27" s="108">
        <v>0</v>
      </c>
      <c r="BC27" s="108">
        <v>0</v>
      </c>
      <c r="BD27" s="108">
        <v>60.027164179104474</v>
      </c>
      <c r="BE27" s="108">
        <v>25643.604537313429</v>
      </c>
      <c r="BF27" s="108">
        <v>0</v>
      </c>
      <c r="BG27" s="108">
        <v>0</v>
      </c>
      <c r="BH27" s="108">
        <v>19.818313953488371</v>
      </c>
      <c r="BI27" s="108">
        <v>8466.383720930231</v>
      </c>
      <c r="BJ27" s="108">
        <v>6.4401010701545776</v>
      </c>
      <c r="BK27" s="108">
        <v>2751.2111771700356</v>
      </c>
      <c r="BL27" s="108">
        <v>11.431783536585366</v>
      </c>
      <c r="BM27" s="108">
        <v>4883.657926829268</v>
      </c>
      <c r="BN27" s="108">
        <v>5.2241379310344822</v>
      </c>
      <c r="BO27" s="108">
        <v>2231.7517241379305</v>
      </c>
      <c r="BP27" s="108">
        <v>5.0698233562315993</v>
      </c>
      <c r="BQ27" s="108">
        <v>2165.8285377821389</v>
      </c>
      <c r="BR27" s="108">
        <v>6.1549710521062089</v>
      </c>
      <c r="BS27" s="108">
        <v>2629.4036334597722</v>
      </c>
      <c r="BT27" s="108">
        <v>8.8624375949641845</v>
      </c>
      <c r="BU27" s="108">
        <v>3786.0333405686997</v>
      </c>
      <c r="BV27" s="108">
        <v>0</v>
      </c>
      <c r="BW27" s="108">
        <v>0</v>
      </c>
      <c r="BX27" s="108">
        <v>16.29259776536313</v>
      </c>
      <c r="BY27" s="108">
        <v>6960.1977653631293</v>
      </c>
      <c r="BZ27" s="108">
        <v>8.6646447140381291</v>
      </c>
      <c r="CA27" s="108">
        <v>3701.5362218370888</v>
      </c>
      <c r="CB27" s="108">
        <v>0</v>
      </c>
      <c r="CC27" s="108">
        <v>0</v>
      </c>
      <c r="CD27" s="108">
        <v>21.357331323030532</v>
      </c>
      <c r="CE27" s="108">
        <v>9123.8519411986435</v>
      </c>
      <c r="CF27" s="108">
        <v>0</v>
      </c>
      <c r="CG27" s="108">
        <v>0</v>
      </c>
      <c r="CH27" s="108">
        <v>0</v>
      </c>
      <c r="CI27" s="108">
        <v>0</v>
      </c>
      <c r="CJ27" s="108">
        <v>56.936673185321531</v>
      </c>
      <c r="CK27" s="108">
        <v>24323.346784769357</v>
      </c>
      <c r="CL27" s="108">
        <v>25.451471138262065</v>
      </c>
      <c r="CM27" s="108">
        <v>10872.868470265554</v>
      </c>
      <c r="CN27" s="108">
        <v>38.989680426098538</v>
      </c>
      <c r="CO27" s="108">
        <v>16656.391478029294</v>
      </c>
      <c r="CP27" s="108">
        <v>0</v>
      </c>
      <c r="CQ27" s="108">
        <v>0</v>
      </c>
      <c r="CR27" s="108">
        <v>0</v>
      </c>
      <c r="CS27" s="108">
        <v>0</v>
      </c>
      <c r="CT27" s="108">
        <v>68.030185424752048</v>
      </c>
      <c r="CU27" s="108">
        <v>29062.495213454073</v>
      </c>
    </row>
    <row r="28" spans="2:99" x14ac:dyDescent="0.2">
      <c r="C28" s="107" t="s">
        <v>193</v>
      </c>
      <c r="D28" s="108">
        <v>0</v>
      </c>
      <c r="E28" s="108">
        <v>0</v>
      </c>
      <c r="F28" s="108">
        <v>0</v>
      </c>
      <c r="G28" s="108">
        <v>0</v>
      </c>
      <c r="H28" s="108">
        <v>0</v>
      </c>
      <c r="I28" s="108">
        <v>0</v>
      </c>
      <c r="J28" s="108">
        <v>0</v>
      </c>
      <c r="K28" s="108">
        <v>0</v>
      </c>
      <c r="L28" s="108">
        <v>29.467832957110609</v>
      </c>
      <c r="M28" s="108">
        <v>21747.26072234763</v>
      </c>
      <c r="N28" s="108">
        <v>11.364848109113453</v>
      </c>
      <c r="O28" s="108">
        <v>8387.257904525728</v>
      </c>
      <c r="P28" s="108">
        <v>9.3112118202135594</v>
      </c>
      <c r="Q28" s="108">
        <v>6871.6743233176066</v>
      </c>
      <c r="R28" s="108">
        <v>12.142568005181348</v>
      </c>
      <c r="S28" s="108">
        <v>8961.2151878238346</v>
      </c>
      <c r="T28" s="108">
        <v>0</v>
      </c>
      <c r="U28" s="108">
        <v>0</v>
      </c>
      <c r="V28" s="108">
        <v>50.1875</v>
      </c>
      <c r="W28" s="108">
        <v>37038.375</v>
      </c>
      <c r="X28" s="108">
        <v>22.578947368421055</v>
      </c>
      <c r="Y28" s="108">
        <v>16663.26315789474</v>
      </c>
      <c r="Z28" s="108">
        <v>25.68236301369863</v>
      </c>
      <c r="AA28" s="108">
        <v>18953.58390410959</v>
      </c>
      <c r="AB28" s="108">
        <v>0</v>
      </c>
      <c r="AC28" s="108">
        <v>0</v>
      </c>
      <c r="AD28" s="108">
        <v>12.247866287339971</v>
      </c>
      <c r="AE28" s="108">
        <v>9038.9253200568983</v>
      </c>
      <c r="AF28" s="108">
        <v>15.133154188287619</v>
      </c>
      <c r="AG28" s="108">
        <v>11168.267790956263</v>
      </c>
      <c r="AH28" s="108">
        <v>14.692065491183879</v>
      </c>
      <c r="AI28" s="108">
        <v>10842.744332493703</v>
      </c>
      <c r="AJ28" s="108">
        <v>0</v>
      </c>
      <c r="AK28" s="108">
        <v>0</v>
      </c>
      <c r="AL28" s="108">
        <v>53.45778806255985</v>
      </c>
      <c r="AM28" s="108">
        <v>39451.847590169171</v>
      </c>
      <c r="AN28" s="108">
        <v>13.288900862068965</v>
      </c>
      <c r="AO28" s="108">
        <v>9807.2088362068971</v>
      </c>
      <c r="AP28" s="108">
        <v>0</v>
      </c>
      <c r="AQ28" s="108">
        <v>0</v>
      </c>
      <c r="AR28" s="108">
        <v>17.372073884418434</v>
      </c>
      <c r="AS28" s="108">
        <v>12820.590526700804</v>
      </c>
      <c r="AT28" s="108">
        <v>0</v>
      </c>
      <c r="AU28" s="108">
        <v>0</v>
      </c>
      <c r="AV28" s="108">
        <v>15.992223692918598</v>
      </c>
      <c r="AW28" s="108">
        <v>11802.261085373926</v>
      </c>
      <c r="AX28" s="108">
        <v>8.3587234461054276</v>
      </c>
      <c r="AY28" s="108">
        <v>6168.7379032258059</v>
      </c>
      <c r="AZ28" s="108">
        <v>29.979365079365078</v>
      </c>
      <c r="BA28" s="108">
        <v>22124.771428571428</v>
      </c>
      <c r="BB28" s="108">
        <v>0</v>
      </c>
      <c r="BC28" s="108">
        <v>0</v>
      </c>
      <c r="BD28" s="108">
        <v>52.731044776119411</v>
      </c>
      <c r="BE28" s="108">
        <v>38915.511044776125</v>
      </c>
      <c r="BF28" s="108">
        <v>0</v>
      </c>
      <c r="BG28" s="108">
        <v>0</v>
      </c>
      <c r="BH28" s="108">
        <v>17.61627906976744</v>
      </c>
      <c r="BI28" s="108">
        <v>13000.81395348837</v>
      </c>
      <c r="BJ28" s="108">
        <v>6.4401010701545776</v>
      </c>
      <c r="BK28" s="108">
        <v>4752.7945897740783</v>
      </c>
      <c r="BL28" s="108">
        <v>11.939862804878048</v>
      </c>
      <c r="BM28" s="108">
        <v>8811.6187499999996</v>
      </c>
      <c r="BN28" s="108">
        <v>5.4107142857142865</v>
      </c>
      <c r="BO28" s="108">
        <v>3993.1071428571436</v>
      </c>
      <c r="BP28" s="108">
        <v>4.5791952894995092</v>
      </c>
      <c r="BQ28" s="108">
        <v>3379.4461236506377</v>
      </c>
      <c r="BR28" s="108">
        <v>5.4895687762028356</v>
      </c>
      <c r="BS28" s="108">
        <v>4051.3017568376927</v>
      </c>
      <c r="BT28" s="108">
        <v>8.3198393748643369</v>
      </c>
      <c r="BU28" s="108">
        <v>6140.041458649881</v>
      </c>
      <c r="BV28" s="108">
        <v>0</v>
      </c>
      <c r="BW28" s="108">
        <v>0</v>
      </c>
      <c r="BX28" s="108">
        <v>13.383205307262569</v>
      </c>
      <c r="BY28" s="108">
        <v>9876.8055167597759</v>
      </c>
      <c r="BZ28" s="108">
        <v>8.0870017331022517</v>
      </c>
      <c r="CA28" s="108">
        <v>5968.2072790294615</v>
      </c>
      <c r="CB28" s="108">
        <v>0</v>
      </c>
      <c r="CC28" s="108">
        <v>0</v>
      </c>
      <c r="CD28" s="108">
        <v>21.985488126649077</v>
      </c>
      <c r="CE28" s="108">
        <v>16225.290237467019</v>
      </c>
      <c r="CF28" s="108">
        <v>0</v>
      </c>
      <c r="CG28" s="108">
        <v>0</v>
      </c>
      <c r="CH28" s="108">
        <v>0</v>
      </c>
      <c r="CI28" s="108">
        <v>0</v>
      </c>
      <c r="CJ28" s="108">
        <v>50.610376164730241</v>
      </c>
      <c r="CK28" s="108">
        <v>37350.45760957092</v>
      </c>
      <c r="CL28" s="108">
        <v>27.321375140256826</v>
      </c>
      <c r="CM28" s="108">
        <v>20163.174853509539</v>
      </c>
      <c r="CN28" s="108">
        <v>38.833721704394137</v>
      </c>
      <c r="CO28" s="108">
        <v>28659.286617842874</v>
      </c>
      <c r="CP28" s="108">
        <v>0</v>
      </c>
      <c r="CQ28" s="108">
        <v>0</v>
      </c>
      <c r="CR28" s="108">
        <v>0</v>
      </c>
      <c r="CS28" s="108">
        <v>0</v>
      </c>
      <c r="CT28" s="108">
        <v>71.862871927554991</v>
      </c>
      <c r="CU28" s="108">
        <v>53034.799482535585</v>
      </c>
    </row>
    <row r="29" spans="2:99" x14ac:dyDescent="0.2">
      <c r="C29" s="107" t="s">
        <v>194</v>
      </c>
      <c r="D29" s="108">
        <v>0</v>
      </c>
      <c r="E29" s="108">
        <v>0</v>
      </c>
      <c r="F29" s="108">
        <v>0</v>
      </c>
      <c r="G29" s="108">
        <v>0</v>
      </c>
      <c r="H29" s="108">
        <v>0</v>
      </c>
      <c r="I29" s="108">
        <v>0</v>
      </c>
      <c r="J29" s="108">
        <v>0</v>
      </c>
      <c r="K29" s="108">
        <v>0</v>
      </c>
      <c r="L29" s="108">
        <v>35.737584650112872</v>
      </c>
      <c r="M29" s="108">
        <v>12093.598645598195</v>
      </c>
      <c r="N29" s="108">
        <v>11.623140111593305</v>
      </c>
      <c r="O29" s="108">
        <v>3933.270613763174</v>
      </c>
      <c r="P29" s="108">
        <v>11.380370002483238</v>
      </c>
      <c r="Q29" s="108">
        <v>3851.1172088403273</v>
      </c>
      <c r="R29" s="108">
        <v>12.682237694300518</v>
      </c>
      <c r="S29" s="108">
        <v>4291.6692357512948</v>
      </c>
      <c r="T29" s="108">
        <v>0</v>
      </c>
      <c r="U29" s="108">
        <v>0</v>
      </c>
      <c r="V29" s="108">
        <v>61.1875</v>
      </c>
      <c r="W29" s="108">
        <v>20705.849999999999</v>
      </c>
      <c r="X29" s="108">
        <v>26.05263157894737</v>
      </c>
      <c r="Y29" s="108">
        <v>8816.21052631579</v>
      </c>
      <c r="Z29" s="108">
        <v>25.68236301369863</v>
      </c>
      <c r="AA29" s="108">
        <v>8690.9116438356159</v>
      </c>
      <c r="AB29" s="108">
        <v>0</v>
      </c>
      <c r="AC29" s="108">
        <v>0</v>
      </c>
      <c r="AD29" s="108">
        <v>13.038051209103839</v>
      </c>
      <c r="AE29" s="108">
        <v>4412.0765291607386</v>
      </c>
      <c r="AF29" s="108">
        <v>12.971275018532246</v>
      </c>
      <c r="AG29" s="108">
        <v>4389.479466271312</v>
      </c>
      <c r="AH29" s="108">
        <v>15.29174163368118</v>
      </c>
      <c r="AI29" s="108">
        <v>5174.7253688377114</v>
      </c>
      <c r="AJ29" s="108">
        <v>0</v>
      </c>
      <c r="AK29" s="108">
        <v>0</v>
      </c>
      <c r="AL29" s="108">
        <v>48.670523459942551</v>
      </c>
      <c r="AM29" s="108">
        <v>16470.105138844559</v>
      </c>
      <c r="AN29" s="108">
        <v>14.366379310344827</v>
      </c>
      <c r="AO29" s="108">
        <v>4861.5827586206897</v>
      </c>
      <c r="AP29" s="108">
        <v>0</v>
      </c>
      <c r="AQ29" s="108">
        <v>0</v>
      </c>
      <c r="AR29" s="108">
        <v>17.981620336503291</v>
      </c>
      <c r="AS29" s="108">
        <v>6084.9803218727129</v>
      </c>
      <c r="AT29" s="108">
        <v>0</v>
      </c>
      <c r="AU29" s="108">
        <v>0</v>
      </c>
      <c r="AV29" s="108">
        <v>15.716495698213103</v>
      </c>
      <c r="AW29" s="108">
        <v>5318.4621442753141</v>
      </c>
      <c r="AX29" s="108">
        <v>8.5226199842643595</v>
      </c>
      <c r="AY29" s="108">
        <v>2884.054602675059</v>
      </c>
      <c r="AZ29" s="108">
        <v>35.710714285714289</v>
      </c>
      <c r="BA29" s="108">
        <v>12084.505714285715</v>
      </c>
      <c r="BB29" s="108">
        <v>0</v>
      </c>
      <c r="BC29" s="108">
        <v>0</v>
      </c>
      <c r="BD29" s="108">
        <v>62.680298507462687</v>
      </c>
      <c r="BE29" s="108">
        <v>21211.013014925371</v>
      </c>
      <c r="BF29" s="108">
        <v>0</v>
      </c>
      <c r="BG29" s="108">
        <v>0</v>
      </c>
      <c r="BH29" s="108">
        <v>18.497093023255815</v>
      </c>
      <c r="BI29" s="108">
        <v>6259.4162790697674</v>
      </c>
      <c r="BJ29" s="108">
        <v>5.9447086801426874</v>
      </c>
      <c r="BK29" s="108">
        <v>2011.6894173602852</v>
      </c>
      <c r="BL29" s="108">
        <v>12.193902439024392</v>
      </c>
      <c r="BM29" s="108">
        <v>4126.4165853658542</v>
      </c>
      <c r="BN29" s="108">
        <v>5.597290640394089</v>
      </c>
      <c r="BO29" s="108">
        <v>1894.1231527093596</v>
      </c>
      <c r="BP29" s="108">
        <v>5.2333660451422963</v>
      </c>
      <c r="BQ29" s="108">
        <v>1770.9710696761529</v>
      </c>
      <c r="BR29" s="108">
        <v>5.9886204831303651</v>
      </c>
      <c r="BS29" s="108">
        <v>2026.5491714913155</v>
      </c>
      <c r="BT29" s="108">
        <v>8.3198393748643369</v>
      </c>
      <c r="BU29" s="108">
        <v>2815.4336444540913</v>
      </c>
      <c r="BV29" s="108">
        <v>0</v>
      </c>
      <c r="BW29" s="108">
        <v>0</v>
      </c>
      <c r="BX29" s="108">
        <v>13.965083798882681</v>
      </c>
      <c r="BY29" s="108">
        <v>4725.7843575418992</v>
      </c>
      <c r="BZ29" s="108">
        <v>8.3758232235701904</v>
      </c>
      <c r="CA29" s="108">
        <v>2834.3785788561522</v>
      </c>
      <c r="CB29" s="108">
        <v>0</v>
      </c>
      <c r="CC29" s="108">
        <v>0</v>
      </c>
      <c r="CD29" s="108">
        <v>21.985488126649077</v>
      </c>
      <c r="CE29" s="108">
        <v>7439.8891820580475</v>
      </c>
      <c r="CF29" s="108">
        <v>0</v>
      </c>
      <c r="CG29" s="108">
        <v>0</v>
      </c>
      <c r="CH29" s="108">
        <v>0</v>
      </c>
      <c r="CI29" s="108">
        <v>0</v>
      </c>
      <c r="CJ29" s="108">
        <v>58.470320947889107</v>
      </c>
      <c r="CK29" s="108">
        <v>19786.356608765673</v>
      </c>
      <c r="CL29" s="108">
        <v>30.333998254581726</v>
      </c>
      <c r="CM29" s="108">
        <v>10265.025009350455</v>
      </c>
      <c r="CN29" s="108">
        <v>38.209886817576567</v>
      </c>
      <c r="CO29" s="108">
        <v>12930.225699067909</v>
      </c>
      <c r="CP29" s="108">
        <v>0</v>
      </c>
      <c r="CQ29" s="108">
        <v>0</v>
      </c>
      <c r="CR29" s="108">
        <v>0</v>
      </c>
      <c r="CS29" s="108">
        <v>0</v>
      </c>
      <c r="CT29" s="108">
        <v>70.904700301854248</v>
      </c>
      <c r="CU29" s="108">
        <v>23994.150582147475</v>
      </c>
    </row>
    <row r="30" spans="2:99" x14ac:dyDescent="0.2">
      <c r="C30" s="107" t="s">
        <v>195</v>
      </c>
      <c r="D30" s="108">
        <v>0</v>
      </c>
      <c r="E30" s="108">
        <v>0</v>
      </c>
      <c r="F30" s="108">
        <v>0</v>
      </c>
      <c r="G30" s="108">
        <v>0</v>
      </c>
      <c r="H30" s="108">
        <v>0</v>
      </c>
      <c r="I30" s="108">
        <v>0</v>
      </c>
      <c r="J30" s="108">
        <v>0</v>
      </c>
      <c r="K30" s="108">
        <v>0</v>
      </c>
      <c r="L30" s="108">
        <v>36.364559819413095</v>
      </c>
      <c r="M30" s="108">
        <v>5061.9467268623021</v>
      </c>
      <c r="N30" s="108">
        <v>12.398016119032858</v>
      </c>
      <c r="O30" s="108">
        <v>1725.8038437693738</v>
      </c>
      <c r="P30" s="108">
        <v>10.138875093121429</v>
      </c>
      <c r="Q30" s="108">
        <v>1411.3314129625028</v>
      </c>
      <c r="R30" s="108">
        <v>12.412402849740932</v>
      </c>
      <c r="S30" s="108">
        <v>1727.8064766839375</v>
      </c>
      <c r="T30" s="108">
        <v>0</v>
      </c>
      <c r="U30" s="108">
        <v>0</v>
      </c>
      <c r="V30" s="108">
        <v>59.125</v>
      </c>
      <c r="W30" s="108">
        <v>8230.1999999999989</v>
      </c>
      <c r="X30" s="108">
        <v>26.486842105263158</v>
      </c>
      <c r="Y30" s="108">
        <v>3686.9684210526311</v>
      </c>
      <c r="Z30" s="108">
        <v>29.011558219178081</v>
      </c>
      <c r="AA30" s="108">
        <v>4038.4089041095885</v>
      </c>
      <c r="AB30" s="108">
        <v>0</v>
      </c>
      <c r="AC30" s="108">
        <v>0</v>
      </c>
      <c r="AD30" s="108">
        <v>13.433143669985775</v>
      </c>
      <c r="AE30" s="108">
        <v>1869.8935988620196</v>
      </c>
      <c r="AF30" s="108">
        <v>15.133154188287619</v>
      </c>
      <c r="AG30" s="108">
        <v>2106.5350630096364</v>
      </c>
      <c r="AH30" s="108">
        <v>14.39222741993523</v>
      </c>
      <c r="AI30" s="108">
        <v>2003.3980568549839</v>
      </c>
      <c r="AJ30" s="108">
        <v>0</v>
      </c>
      <c r="AK30" s="108">
        <v>0</v>
      </c>
      <c r="AL30" s="108">
        <v>47.074768592403444</v>
      </c>
      <c r="AM30" s="108">
        <v>6552.8077880625588</v>
      </c>
      <c r="AN30" s="108">
        <v>17.239655172413794</v>
      </c>
      <c r="AO30" s="108">
        <v>2399.7599999999998</v>
      </c>
      <c r="AP30" s="108">
        <v>0</v>
      </c>
      <c r="AQ30" s="108">
        <v>0</v>
      </c>
      <c r="AR30" s="108">
        <v>17.067300658376006</v>
      </c>
      <c r="AS30" s="108">
        <v>2375.7682516459399</v>
      </c>
      <c r="AT30" s="108">
        <v>0</v>
      </c>
      <c r="AU30" s="108">
        <v>0</v>
      </c>
      <c r="AV30" s="108">
        <v>16.267951687624091</v>
      </c>
      <c r="AW30" s="108">
        <v>2264.4988749172735</v>
      </c>
      <c r="AX30" s="108">
        <v>9.6698957513768686</v>
      </c>
      <c r="AY30" s="108">
        <v>1346.0494885916601</v>
      </c>
      <c r="AZ30" s="108">
        <v>35.563756613756617</v>
      </c>
      <c r="BA30" s="108">
        <v>4950.4749206349206</v>
      </c>
      <c r="BB30" s="108">
        <v>0</v>
      </c>
      <c r="BC30" s="108">
        <v>0</v>
      </c>
      <c r="BD30" s="108">
        <v>64.006865671641791</v>
      </c>
      <c r="BE30" s="108">
        <v>8909.7557014925369</v>
      </c>
      <c r="BF30" s="108">
        <v>0</v>
      </c>
      <c r="BG30" s="108">
        <v>0</v>
      </c>
      <c r="BH30" s="108">
        <v>18.9375</v>
      </c>
      <c r="BI30" s="108">
        <v>2636.1</v>
      </c>
      <c r="BJ30" s="108">
        <v>7.1831896551724137</v>
      </c>
      <c r="BK30" s="108">
        <v>999.89999999999986</v>
      </c>
      <c r="BL30" s="108">
        <v>13.210060975609757</v>
      </c>
      <c r="BM30" s="108">
        <v>1838.840487804878</v>
      </c>
      <c r="BN30" s="108">
        <v>5.597290640394089</v>
      </c>
      <c r="BO30" s="108">
        <v>779.14285714285711</v>
      </c>
      <c r="BP30" s="108">
        <v>5.0698233562315993</v>
      </c>
      <c r="BQ30" s="108">
        <v>705.7194111874386</v>
      </c>
      <c r="BR30" s="108">
        <v>6.3213216210820518</v>
      </c>
      <c r="BS30" s="108">
        <v>879.92796965462151</v>
      </c>
      <c r="BT30" s="108">
        <v>9.2241697416974162</v>
      </c>
      <c r="BU30" s="108">
        <v>1284.0044280442803</v>
      </c>
      <c r="BV30" s="108">
        <v>0</v>
      </c>
      <c r="BW30" s="108">
        <v>0</v>
      </c>
      <c r="BX30" s="108">
        <v>15.128840782122907</v>
      </c>
      <c r="BY30" s="108">
        <v>2105.9346368715087</v>
      </c>
      <c r="BZ30" s="108">
        <v>8.6646447140381291</v>
      </c>
      <c r="CA30" s="108">
        <v>1206.1185441941075</v>
      </c>
      <c r="CB30" s="108">
        <v>0</v>
      </c>
      <c r="CC30" s="108">
        <v>0</v>
      </c>
      <c r="CD30" s="108">
        <v>22.613644930267622</v>
      </c>
      <c r="CE30" s="108">
        <v>3147.8193742932526</v>
      </c>
      <c r="CF30" s="108">
        <v>0</v>
      </c>
      <c r="CG30" s="108">
        <v>0</v>
      </c>
      <c r="CH30" s="108">
        <v>0</v>
      </c>
      <c r="CI30" s="108">
        <v>0</v>
      </c>
      <c r="CJ30" s="108">
        <v>63.071264235591855</v>
      </c>
      <c r="CK30" s="108">
        <v>8779.5199815943852</v>
      </c>
      <c r="CL30" s="108">
        <v>29.918464031916223</v>
      </c>
      <c r="CM30" s="108">
        <v>4164.6501932427382</v>
      </c>
      <c r="CN30" s="108">
        <v>41.796937416777631</v>
      </c>
      <c r="CO30" s="108">
        <v>5818.1336884154462</v>
      </c>
      <c r="CP30" s="108">
        <v>0</v>
      </c>
      <c r="CQ30" s="108">
        <v>0</v>
      </c>
      <c r="CR30" s="108">
        <v>0</v>
      </c>
      <c r="CS30" s="108">
        <v>0</v>
      </c>
      <c r="CT30" s="108">
        <v>73.060586459680891</v>
      </c>
      <c r="CU30" s="108">
        <v>10170.033635187579</v>
      </c>
    </row>
    <row r="31" spans="2:99" x14ac:dyDescent="0.2">
      <c r="C31" s="107" t="s">
        <v>196</v>
      </c>
      <c r="D31" s="108">
        <v>0</v>
      </c>
      <c r="E31" s="108">
        <v>0</v>
      </c>
      <c r="F31" s="108">
        <v>0</v>
      </c>
      <c r="G31" s="108">
        <v>0</v>
      </c>
      <c r="H31" s="108">
        <v>0</v>
      </c>
      <c r="I31" s="108">
        <v>0</v>
      </c>
      <c r="J31" s="108">
        <v>0</v>
      </c>
      <c r="K31" s="108">
        <v>0</v>
      </c>
      <c r="L31" s="108">
        <v>33.856659142212187</v>
      </c>
      <c r="M31" s="108">
        <v>11538.349435665914</v>
      </c>
      <c r="N31" s="108">
        <v>12.656308121512708</v>
      </c>
      <c r="O31" s="108">
        <v>4313.2698078115309</v>
      </c>
      <c r="P31" s="108">
        <v>11.17345418425627</v>
      </c>
      <c r="Q31" s="108">
        <v>3807.9131859945369</v>
      </c>
      <c r="R31" s="108">
        <v>12.952072538860103</v>
      </c>
      <c r="S31" s="108">
        <v>4414.0663212435229</v>
      </c>
      <c r="T31" s="108">
        <v>0</v>
      </c>
      <c r="U31" s="108">
        <v>0</v>
      </c>
      <c r="V31" s="108">
        <v>51.5625</v>
      </c>
      <c r="W31" s="108">
        <v>17572.5</v>
      </c>
      <c r="X31" s="108">
        <v>26.921052631578945</v>
      </c>
      <c r="Y31" s="108">
        <v>9174.6947368421042</v>
      </c>
      <c r="Z31" s="108">
        <v>27.109160958904109</v>
      </c>
      <c r="AA31" s="108">
        <v>9238.8020547945216</v>
      </c>
      <c r="AB31" s="108">
        <v>0</v>
      </c>
      <c r="AC31" s="108">
        <v>0</v>
      </c>
      <c r="AD31" s="108">
        <v>13.038051209103839</v>
      </c>
      <c r="AE31" s="108">
        <v>4443.367852062589</v>
      </c>
      <c r="AF31" s="108">
        <v>15.133154188287619</v>
      </c>
      <c r="AG31" s="108">
        <v>5157.378947368421</v>
      </c>
      <c r="AH31" s="108">
        <v>12.893037063691976</v>
      </c>
      <c r="AI31" s="108">
        <v>4393.9470313062257</v>
      </c>
      <c r="AJ31" s="108">
        <v>0</v>
      </c>
      <c r="AK31" s="108">
        <v>0</v>
      </c>
      <c r="AL31" s="108">
        <v>53.45778806255985</v>
      </c>
      <c r="AM31" s="108">
        <v>18218.414171720397</v>
      </c>
      <c r="AN31" s="108">
        <v>17.239655172413794</v>
      </c>
      <c r="AO31" s="108">
        <v>5875.2744827586212</v>
      </c>
      <c r="AP31" s="108">
        <v>0</v>
      </c>
      <c r="AQ31" s="108">
        <v>0</v>
      </c>
      <c r="AR31" s="108">
        <v>17.981620336503291</v>
      </c>
      <c r="AS31" s="108">
        <v>6128.1362106803217</v>
      </c>
      <c r="AT31" s="108">
        <v>0</v>
      </c>
      <c r="AU31" s="108">
        <v>0</v>
      </c>
      <c r="AV31" s="108">
        <v>16.543679682329586</v>
      </c>
      <c r="AW31" s="108">
        <v>5638.0860357379233</v>
      </c>
      <c r="AX31" s="108">
        <v>9.6698957513768686</v>
      </c>
      <c r="AY31" s="108">
        <v>3295.5004720692368</v>
      </c>
      <c r="AZ31" s="108">
        <v>32.330687830687829</v>
      </c>
      <c r="BA31" s="108">
        <v>11018.298412698412</v>
      </c>
      <c r="BB31" s="108">
        <v>0</v>
      </c>
      <c r="BC31" s="108">
        <v>0</v>
      </c>
      <c r="BD31" s="108">
        <v>60.358805970149248</v>
      </c>
      <c r="BE31" s="108">
        <v>20570.281074626866</v>
      </c>
      <c r="BF31" s="108">
        <v>0</v>
      </c>
      <c r="BG31" s="108">
        <v>0</v>
      </c>
      <c r="BH31" s="108">
        <v>18.497093023255815</v>
      </c>
      <c r="BI31" s="108">
        <v>6303.8093023255815</v>
      </c>
      <c r="BJ31" s="108">
        <v>5.9447086801426874</v>
      </c>
      <c r="BK31" s="108">
        <v>2025.9567181926279</v>
      </c>
      <c r="BL31" s="108">
        <v>11.431783536585366</v>
      </c>
      <c r="BM31" s="108">
        <v>3895.9518292682928</v>
      </c>
      <c r="BN31" s="108">
        <v>5.597290640394089</v>
      </c>
      <c r="BO31" s="108">
        <v>1907.5566502463055</v>
      </c>
      <c r="BP31" s="108">
        <v>5.2333660451422963</v>
      </c>
      <c r="BQ31" s="108">
        <v>1783.5311481844947</v>
      </c>
      <c r="BR31" s="108">
        <v>5.9886204831303651</v>
      </c>
      <c r="BS31" s="108">
        <v>2040.9218606508284</v>
      </c>
      <c r="BT31" s="108">
        <v>9.2241697416974162</v>
      </c>
      <c r="BU31" s="108">
        <v>3143.5970479704797</v>
      </c>
      <c r="BV31" s="108">
        <v>0</v>
      </c>
      <c r="BW31" s="108">
        <v>0</v>
      </c>
      <c r="BX31" s="108">
        <v>15.128840782122907</v>
      </c>
      <c r="BY31" s="108">
        <v>5155.9089385474872</v>
      </c>
      <c r="BZ31" s="108">
        <v>8.6646447140381291</v>
      </c>
      <c r="CA31" s="108">
        <v>2952.9109185441944</v>
      </c>
      <c r="CB31" s="108">
        <v>0</v>
      </c>
      <c r="CC31" s="108">
        <v>0</v>
      </c>
      <c r="CD31" s="108">
        <v>22.613644930267622</v>
      </c>
      <c r="CE31" s="108">
        <v>7706.7301922352062</v>
      </c>
      <c r="CF31" s="108">
        <v>0</v>
      </c>
      <c r="CG31" s="108">
        <v>0</v>
      </c>
      <c r="CH31" s="108">
        <v>0</v>
      </c>
      <c r="CI31" s="108">
        <v>0</v>
      </c>
      <c r="CJ31" s="108">
        <v>66.905383642010804</v>
      </c>
      <c r="CK31" s="108">
        <v>22801.354745197285</v>
      </c>
      <c r="CL31" s="108">
        <v>25.970888916593939</v>
      </c>
      <c r="CM31" s="108">
        <v>8850.8789427752145</v>
      </c>
      <c r="CN31" s="108">
        <v>38.833721704394137</v>
      </c>
      <c r="CO31" s="108">
        <v>13234.532356857522</v>
      </c>
      <c r="CP31" s="108">
        <v>0</v>
      </c>
      <c r="CQ31" s="108">
        <v>0</v>
      </c>
      <c r="CR31" s="108">
        <v>0</v>
      </c>
      <c r="CS31" s="108">
        <v>0</v>
      </c>
      <c r="CT31" s="108">
        <v>80.00733074601122</v>
      </c>
      <c r="CU31" s="108">
        <v>27266.498318240625</v>
      </c>
    </row>
    <row r="32" spans="2:99" x14ac:dyDescent="0.2">
      <c r="C32" s="107" t="s">
        <v>197</v>
      </c>
      <c r="D32" s="108">
        <v>0</v>
      </c>
      <c r="E32" s="108">
        <v>0</v>
      </c>
      <c r="F32" s="108">
        <v>0</v>
      </c>
      <c r="G32" s="108">
        <v>0</v>
      </c>
      <c r="H32" s="108">
        <v>0</v>
      </c>
      <c r="I32" s="108">
        <v>0</v>
      </c>
      <c r="J32" s="108">
        <v>0</v>
      </c>
      <c r="K32" s="108">
        <v>0</v>
      </c>
      <c r="L32" s="108">
        <v>33.229683972911964</v>
      </c>
      <c r="M32" s="108">
        <v>27912.934537246048</v>
      </c>
      <c r="N32" s="108">
        <v>10.848264104153751</v>
      </c>
      <c r="O32" s="108">
        <v>9112.5418474891503</v>
      </c>
      <c r="P32" s="108">
        <v>10.345790911348399</v>
      </c>
      <c r="Q32" s="108">
        <v>8690.4643655326545</v>
      </c>
      <c r="R32" s="108">
        <v>11.333063471502591</v>
      </c>
      <c r="S32" s="108">
        <v>9519.7733160621756</v>
      </c>
      <c r="T32" s="108">
        <v>0</v>
      </c>
      <c r="U32" s="108">
        <v>0</v>
      </c>
      <c r="V32" s="108">
        <v>50.1875</v>
      </c>
      <c r="W32" s="108">
        <v>42157.5</v>
      </c>
      <c r="X32" s="108">
        <v>23.013157894736842</v>
      </c>
      <c r="Y32" s="108">
        <v>19331.052631578947</v>
      </c>
      <c r="Z32" s="108">
        <v>25.206763698630137</v>
      </c>
      <c r="AA32" s="108">
        <v>21173.681506849316</v>
      </c>
      <c r="AB32" s="108">
        <v>0</v>
      </c>
      <c r="AC32" s="108">
        <v>0</v>
      </c>
      <c r="AD32" s="108">
        <v>11.457681365576102</v>
      </c>
      <c r="AE32" s="108">
        <v>9624.4523470839249</v>
      </c>
      <c r="AF32" s="108">
        <v>14.824314306893996</v>
      </c>
      <c r="AG32" s="108">
        <v>12452.424017790956</v>
      </c>
      <c r="AH32" s="108">
        <v>13.192875134940627</v>
      </c>
      <c r="AI32" s="108">
        <v>11082.015113350126</v>
      </c>
      <c r="AJ32" s="108">
        <v>0</v>
      </c>
      <c r="AK32" s="108">
        <v>0</v>
      </c>
      <c r="AL32" s="108">
        <v>50.26627832748165</v>
      </c>
      <c r="AM32" s="108">
        <v>42223.673795084585</v>
      </c>
      <c r="AN32" s="108">
        <v>13.648060344827588</v>
      </c>
      <c r="AO32" s="108">
        <v>11464.370689655174</v>
      </c>
      <c r="AP32" s="108">
        <v>0</v>
      </c>
      <c r="AQ32" s="108">
        <v>0</v>
      </c>
      <c r="AR32" s="108">
        <v>17.372073884418434</v>
      </c>
      <c r="AS32" s="108">
        <v>14592.542062911485</v>
      </c>
      <c r="AT32" s="108">
        <v>0</v>
      </c>
      <c r="AU32" s="108">
        <v>0</v>
      </c>
      <c r="AV32" s="108">
        <v>13.786399735274653</v>
      </c>
      <c r="AW32" s="108">
        <v>11580.575777630709</v>
      </c>
      <c r="AX32" s="108">
        <v>8.6865165224232896</v>
      </c>
      <c r="AY32" s="108">
        <v>7296.6738788355633</v>
      </c>
      <c r="AZ32" s="108">
        <v>32.330687830687829</v>
      </c>
      <c r="BA32" s="108">
        <v>27157.777777777777</v>
      </c>
      <c r="BB32" s="108">
        <v>0</v>
      </c>
      <c r="BC32" s="108">
        <v>0</v>
      </c>
      <c r="BD32" s="108">
        <v>60.690447761194029</v>
      </c>
      <c r="BE32" s="108">
        <v>50979.976119402985</v>
      </c>
      <c r="BF32" s="108">
        <v>0</v>
      </c>
      <c r="BG32" s="108">
        <v>0</v>
      </c>
      <c r="BH32" s="108">
        <v>18.497093023255815</v>
      </c>
      <c r="BI32" s="108">
        <v>15537.558139534884</v>
      </c>
      <c r="BJ32" s="108">
        <v>6.6877972651605235</v>
      </c>
      <c r="BK32" s="108">
        <v>5617.74970273484</v>
      </c>
      <c r="BL32" s="108">
        <v>10.415625</v>
      </c>
      <c r="BM32" s="108">
        <v>8749.125</v>
      </c>
      <c r="BN32" s="108">
        <v>5.2241379310344822</v>
      </c>
      <c r="BO32" s="108">
        <v>4388.2758620689647</v>
      </c>
      <c r="BP32" s="108">
        <v>5.0698233562315993</v>
      </c>
      <c r="BQ32" s="108">
        <v>4258.6516192345434</v>
      </c>
      <c r="BR32" s="108">
        <v>5.4895687762028356</v>
      </c>
      <c r="BS32" s="108">
        <v>4611.2377720103823</v>
      </c>
      <c r="BT32" s="108">
        <v>9.4050358150640339</v>
      </c>
      <c r="BU32" s="108">
        <v>7900.2300846537883</v>
      </c>
      <c r="BV32" s="108">
        <v>0</v>
      </c>
      <c r="BW32" s="108">
        <v>0</v>
      </c>
      <c r="BX32" s="108">
        <v>13.965083798882681</v>
      </c>
      <c r="BY32" s="108">
        <v>11730.670391061452</v>
      </c>
      <c r="BZ32" s="108">
        <v>7.5093587521663778</v>
      </c>
      <c r="CA32" s="108">
        <v>6307.8613518197571</v>
      </c>
      <c r="CB32" s="108">
        <v>0</v>
      </c>
      <c r="CC32" s="108">
        <v>0</v>
      </c>
      <c r="CD32" s="108">
        <v>22.613644930267622</v>
      </c>
      <c r="CE32" s="108">
        <v>18995.461741424802</v>
      </c>
      <c r="CF32" s="108">
        <v>0</v>
      </c>
      <c r="CG32" s="108">
        <v>0</v>
      </c>
      <c r="CH32" s="108">
        <v>0</v>
      </c>
      <c r="CI32" s="108">
        <v>0</v>
      </c>
      <c r="CJ32" s="108">
        <v>55.97814333371678</v>
      </c>
      <c r="CK32" s="108">
        <v>47021.640400322096</v>
      </c>
      <c r="CL32" s="108">
        <v>25.970888916593939</v>
      </c>
      <c r="CM32" s="108">
        <v>21815.54668993891</v>
      </c>
      <c r="CN32" s="108">
        <v>38.989680426098538</v>
      </c>
      <c r="CO32" s="108">
        <v>32751.331557922771</v>
      </c>
      <c r="CP32" s="108">
        <v>0</v>
      </c>
      <c r="CQ32" s="108">
        <v>0</v>
      </c>
      <c r="CR32" s="108">
        <v>0</v>
      </c>
      <c r="CS32" s="108">
        <v>0</v>
      </c>
      <c r="CT32" s="108">
        <v>65.395213454075034</v>
      </c>
      <c r="CU32" s="108">
        <v>54931.979301423031</v>
      </c>
    </row>
    <row r="33" spans="2:99" x14ac:dyDescent="0.2">
      <c r="C33" s="107" t="s">
        <v>198</v>
      </c>
      <c r="D33" s="108">
        <v>0</v>
      </c>
      <c r="E33" s="108">
        <v>0</v>
      </c>
      <c r="F33" s="108">
        <v>0</v>
      </c>
      <c r="G33" s="108">
        <v>0</v>
      </c>
      <c r="H33" s="108">
        <v>0</v>
      </c>
      <c r="I33" s="108">
        <v>0</v>
      </c>
      <c r="J33" s="108">
        <v>0</v>
      </c>
      <c r="K33" s="108">
        <v>0</v>
      </c>
      <c r="L33" s="108">
        <v>31.348758465011286</v>
      </c>
      <c r="M33" s="108">
        <v>14859.31151241535</v>
      </c>
      <c r="N33" s="108">
        <v>12.398016119032858</v>
      </c>
      <c r="O33" s="108">
        <v>5876.6596404215752</v>
      </c>
      <c r="P33" s="108">
        <v>9.3112118202135594</v>
      </c>
      <c r="Q33" s="108">
        <v>4413.5144027812275</v>
      </c>
      <c r="R33" s="108">
        <v>13.761577072538859</v>
      </c>
      <c r="S33" s="108">
        <v>6522.9875323834194</v>
      </c>
      <c r="T33" s="108">
        <v>0</v>
      </c>
      <c r="U33" s="108">
        <v>0</v>
      </c>
      <c r="V33" s="108">
        <v>50.875</v>
      </c>
      <c r="W33" s="108">
        <v>24114.75</v>
      </c>
      <c r="X33" s="108">
        <v>23.881578947368421</v>
      </c>
      <c r="Y33" s="108">
        <v>11319.868421052632</v>
      </c>
      <c r="Z33" s="108">
        <v>26.633561643835616</v>
      </c>
      <c r="AA33" s="108">
        <v>12624.308219178081</v>
      </c>
      <c r="AB33" s="108">
        <v>0</v>
      </c>
      <c r="AC33" s="108">
        <v>0</v>
      </c>
      <c r="AD33" s="108">
        <v>13.433143669985775</v>
      </c>
      <c r="AE33" s="108">
        <v>6367.3100995732575</v>
      </c>
      <c r="AF33" s="108">
        <v>13.280114899925872</v>
      </c>
      <c r="AG33" s="108">
        <v>6294.7744625648629</v>
      </c>
      <c r="AH33" s="108">
        <v>12.893037063691976</v>
      </c>
      <c r="AI33" s="108">
        <v>6111.2995681899965</v>
      </c>
      <c r="AJ33" s="108">
        <v>0</v>
      </c>
      <c r="AK33" s="108">
        <v>0</v>
      </c>
      <c r="AL33" s="108">
        <v>50.26627832748165</v>
      </c>
      <c r="AM33" s="108">
        <v>23826.215927226302</v>
      </c>
      <c r="AN33" s="108">
        <v>16.521336206896553</v>
      </c>
      <c r="AO33" s="108">
        <v>7831.1133620689661</v>
      </c>
      <c r="AP33" s="108">
        <v>0</v>
      </c>
      <c r="AQ33" s="108">
        <v>0</v>
      </c>
      <c r="AR33" s="108">
        <v>15.543434528163864</v>
      </c>
      <c r="AS33" s="108">
        <v>7367.5879663496717</v>
      </c>
      <c r="AT33" s="108">
        <v>0</v>
      </c>
      <c r="AU33" s="108">
        <v>0</v>
      </c>
      <c r="AV33" s="108">
        <v>15.716495698213103</v>
      </c>
      <c r="AW33" s="108">
        <v>7449.6189609530111</v>
      </c>
      <c r="AX33" s="108">
        <v>8.6865165224232896</v>
      </c>
      <c r="AY33" s="108">
        <v>4117.4088316286397</v>
      </c>
      <c r="AZ33" s="108">
        <v>34.535052910052912</v>
      </c>
      <c r="BA33" s="108">
        <v>16369.61507936508</v>
      </c>
      <c r="BB33" s="108">
        <v>0</v>
      </c>
      <c r="BC33" s="108">
        <v>0</v>
      </c>
      <c r="BD33" s="108">
        <v>62.680298507462687</v>
      </c>
      <c r="BE33" s="108">
        <v>29710.461492537313</v>
      </c>
      <c r="BF33" s="108">
        <v>0</v>
      </c>
      <c r="BG33" s="108">
        <v>0</v>
      </c>
      <c r="BH33" s="108">
        <v>21.13953488372093</v>
      </c>
      <c r="BI33" s="108">
        <v>10020.139534883721</v>
      </c>
      <c r="BJ33" s="108">
        <v>5.9447086801426874</v>
      </c>
      <c r="BK33" s="108">
        <v>2817.7919143876338</v>
      </c>
      <c r="BL33" s="108">
        <v>12.193902439024392</v>
      </c>
      <c r="BM33" s="108">
        <v>5779.9097560975615</v>
      </c>
      <c r="BN33" s="108">
        <v>5.597290640394089</v>
      </c>
      <c r="BO33" s="108">
        <v>2653.115763546798</v>
      </c>
      <c r="BP33" s="108">
        <v>5.3969087340529933</v>
      </c>
      <c r="BQ33" s="108">
        <v>2558.1347399411188</v>
      </c>
      <c r="BR33" s="108">
        <v>5.4895687762028356</v>
      </c>
      <c r="BS33" s="108">
        <v>2602.0555999201442</v>
      </c>
      <c r="BT33" s="108">
        <v>8.6815715215975686</v>
      </c>
      <c r="BU33" s="108">
        <v>4115.0649012372478</v>
      </c>
      <c r="BV33" s="108">
        <v>0</v>
      </c>
      <c r="BW33" s="108">
        <v>0</v>
      </c>
      <c r="BX33" s="108">
        <v>14.546962290502792</v>
      </c>
      <c r="BY33" s="108">
        <v>6895.2601256983235</v>
      </c>
      <c r="BZ33" s="108">
        <v>8.3758232235701904</v>
      </c>
      <c r="CA33" s="108">
        <v>3970.1402079722702</v>
      </c>
      <c r="CB33" s="108">
        <v>0</v>
      </c>
      <c r="CC33" s="108">
        <v>0</v>
      </c>
      <c r="CD33" s="108">
        <v>20.101017715793443</v>
      </c>
      <c r="CE33" s="108">
        <v>9527.8823972860919</v>
      </c>
      <c r="CF33" s="108">
        <v>0</v>
      </c>
      <c r="CG33" s="108">
        <v>0</v>
      </c>
      <c r="CH33" s="108">
        <v>0</v>
      </c>
      <c r="CI33" s="108">
        <v>0</v>
      </c>
      <c r="CJ33" s="108">
        <v>60.962498562061427</v>
      </c>
      <c r="CK33" s="108">
        <v>28896.224318417117</v>
      </c>
      <c r="CL33" s="108">
        <v>24.828169804263808</v>
      </c>
      <c r="CM33" s="108">
        <v>11768.552487221044</v>
      </c>
      <c r="CN33" s="108">
        <v>40.393308921438084</v>
      </c>
      <c r="CO33" s="108">
        <v>19146.42842876165</v>
      </c>
      <c r="CP33" s="108">
        <v>0</v>
      </c>
      <c r="CQ33" s="108">
        <v>0</v>
      </c>
      <c r="CR33" s="108">
        <v>0</v>
      </c>
      <c r="CS33" s="108">
        <v>0</v>
      </c>
      <c r="CT33" s="108">
        <v>69.94652867615352</v>
      </c>
      <c r="CU33" s="108">
        <v>33154.654592496765</v>
      </c>
    </row>
    <row r="34" spans="2:99" x14ac:dyDescent="0.2">
      <c r="C34" s="107" t="s">
        <v>199</v>
      </c>
      <c r="D34" s="108">
        <v>0</v>
      </c>
      <c r="E34" s="108">
        <v>0</v>
      </c>
      <c r="F34" s="108">
        <v>0</v>
      </c>
      <c r="G34" s="108">
        <v>0</v>
      </c>
      <c r="H34" s="108">
        <v>0</v>
      </c>
      <c r="I34" s="108">
        <v>0</v>
      </c>
      <c r="J34" s="108">
        <v>0</v>
      </c>
      <c r="K34" s="108">
        <v>0</v>
      </c>
      <c r="L34" s="108">
        <v>34.483634311512418</v>
      </c>
      <c r="M34" s="108">
        <v>18910.825056433408</v>
      </c>
      <c r="N34" s="108">
        <v>12.656308121512708</v>
      </c>
      <c r="O34" s="108">
        <v>6940.719373837569</v>
      </c>
      <c r="P34" s="108">
        <v>9.7250434566674944</v>
      </c>
      <c r="Q34" s="108">
        <v>5333.2138316364535</v>
      </c>
      <c r="R34" s="108">
        <v>12.142568005181348</v>
      </c>
      <c r="S34" s="108">
        <v>6658.984294041451</v>
      </c>
      <c r="T34" s="108">
        <v>0</v>
      </c>
      <c r="U34" s="108">
        <v>0</v>
      </c>
      <c r="V34" s="108">
        <v>55.6875</v>
      </c>
      <c r="W34" s="108">
        <v>30539.024999999998</v>
      </c>
      <c r="X34" s="108">
        <v>25.184210526315788</v>
      </c>
      <c r="Y34" s="108">
        <v>13811.021052631577</v>
      </c>
      <c r="Z34" s="108">
        <v>23.304366438356162</v>
      </c>
      <c r="AA34" s="108">
        <v>12780.114554794518</v>
      </c>
      <c r="AB34" s="108">
        <v>0</v>
      </c>
      <c r="AC34" s="108">
        <v>0</v>
      </c>
      <c r="AD34" s="108">
        <v>13.038051209103839</v>
      </c>
      <c r="AE34" s="108">
        <v>7150.0672830725453</v>
      </c>
      <c r="AF34" s="108">
        <v>14.206634544106745</v>
      </c>
      <c r="AG34" s="108">
        <v>7790.9183839881389</v>
      </c>
      <c r="AH34" s="108">
        <v>14.692065491183879</v>
      </c>
      <c r="AI34" s="108">
        <v>8057.1287153652393</v>
      </c>
      <c r="AJ34" s="108">
        <v>0</v>
      </c>
      <c r="AK34" s="108">
        <v>0</v>
      </c>
      <c r="AL34" s="108">
        <v>44.681136291094795</v>
      </c>
      <c r="AM34" s="108">
        <v>24503.135142036386</v>
      </c>
      <c r="AN34" s="108">
        <v>16.521336206896553</v>
      </c>
      <c r="AO34" s="108">
        <v>9060.3007758620697</v>
      </c>
      <c r="AP34" s="108">
        <v>0</v>
      </c>
      <c r="AQ34" s="108">
        <v>0</v>
      </c>
      <c r="AR34" s="108">
        <v>18.286393562545719</v>
      </c>
      <c r="AS34" s="108">
        <v>10028.258229700072</v>
      </c>
      <c r="AT34" s="108">
        <v>0</v>
      </c>
      <c r="AU34" s="108">
        <v>0</v>
      </c>
      <c r="AV34" s="108">
        <v>14.337855724685639</v>
      </c>
      <c r="AW34" s="108">
        <v>7862.8800794176041</v>
      </c>
      <c r="AX34" s="108">
        <v>8.8504130605822198</v>
      </c>
      <c r="AY34" s="108">
        <v>4853.5665224232889</v>
      </c>
      <c r="AZ34" s="108">
        <v>32.477645502645508</v>
      </c>
      <c r="BA34" s="108">
        <v>17810.740793650795</v>
      </c>
      <c r="BB34" s="108">
        <v>0</v>
      </c>
      <c r="BC34" s="108">
        <v>0</v>
      </c>
      <c r="BD34" s="108">
        <v>62.680298507462687</v>
      </c>
      <c r="BE34" s="108">
        <v>34373.875701492536</v>
      </c>
      <c r="BF34" s="108">
        <v>0</v>
      </c>
      <c r="BG34" s="108">
        <v>0</v>
      </c>
      <c r="BH34" s="108">
        <v>18.056686046511626</v>
      </c>
      <c r="BI34" s="108">
        <v>9902.2866279069749</v>
      </c>
      <c r="BJ34" s="108">
        <v>6.4401010701545776</v>
      </c>
      <c r="BK34" s="108">
        <v>3531.75142687277</v>
      </c>
      <c r="BL34" s="108">
        <v>11.685823170731707</v>
      </c>
      <c r="BM34" s="108">
        <v>6408.5054268292679</v>
      </c>
      <c r="BN34" s="108">
        <v>5.2241379310344822</v>
      </c>
      <c r="BO34" s="108">
        <v>2864.9172413793099</v>
      </c>
      <c r="BP34" s="108">
        <v>4.5791952894995092</v>
      </c>
      <c r="BQ34" s="108">
        <v>2511.2306967615309</v>
      </c>
      <c r="BR34" s="108">
        <v>6.1549710521062089</v>
      </c>
      <c r="BS34" s="108">
        <v>3375.3861249750448</v>
      </c>
      <c r="BT34" s="108">
        <v>8.8624375949641845</v>
      </c>
      <c r="BU34" s="108">
        <v>4860.1607770783585</v>
      </c>
      <c r="BV34" s="108">
        <v>0</v>
      </c>
      <c r="BW34" s="108">
        <v>0</v>
      </c>
      <c r="BX34" s="108">
        <v>13.965083798882681</v>
      </c>
      <c r="BY34" s="108">
        <v>7658.4519553072614</v>
      </c>
      <c r="BZ34" s="108">
        <v>8.0870017331022517</v>
      </c>
      <c r="CA34" s="108">
        <v>4434.9117504332744</v>
      </c>
      <c r="CB34" s="108">
        <v>0</v>
      </c>
      <c r="CC34" s="108">
        <v>0</v>
      </c>
      <c r="CD34" s="108">
        <v>21.357331323030532</v>
      </c>
      <c r="CE34" s="108">
        <v>11712.360497549944</v>
      </c>
      <c r="CF34" s="108">
        <v>0</v>
      </c>
      <c r="CG34" s="108">
        <v>0</v>
      </c>
      <c r="CH34" s="108">
        <v>0</v>
      </c>
      <c r="CI34" s="108">
        <v>0</v>
      </c>
      <c r="CJ34" s="108">
        <v>63.838088116875646</v>
      </c>
      <c r="CK34" s="108">
        <v>35008.807523294599</v>
      </c>
      <c r="CL34" s="108">
        <v>28.256327141254211</v>
      </c>
      <c r="CM34" s="108">
        <v>15495.769804263809</v>
      </c>
      <c r="CN34" s="108">
        <v>38.365845539280954</v>
      </c>
      <c r="CO34" s="108">
        <v>21039.829693741674</v>
      </c>
      <c r="CP34" s="108">
        <v>0</v>
      </c>
      <c r="CQ34" s="108">
        <v>0</v>
      </c>
      <c r="CR34" s="108">
        <v>0</v>
      </c>
      <c r="CS34" s="108">
        <v>0</v>
      </c>
      <c r="CT34" s="108">
        <v>76.414187149633463</v>
      </c>
      <c r="CU34" s="108">
        <v>41905.540232858992</v>
      </c>
    </row>
    <row r="35" spans="2:99" x14ac:dyDescent="0.2">
      <c r="C35" s="107" t="s">
        <v>200</v>
      </c>
      <c r="D35" s="108">
        <v>0</v>
      </c>
      <c r="E35" s="108">
        <v>0</v>
      </c>
      <c r="F35" s="108">
        <v>0</v>
      </c>
      <c r="G35" s="108">
        <v>0</v>
      </c>
      <c r="H35" s="108">
        <v>0</v>
      </c>
      <c r="I35" s="108">
        <v>0</v>
      </c>
      <c r="J35" s="108">
        <v>0</v>
      </c>
      <c r="K35" s="108">
        <v>0</v>
      </c>
      <c r="L35" s="108">
        <v>36.364559819413095</v>
      </c>
      <c r="M35" s="108">
        <v>18284.100677200902</v>
      </c>
      <c r="N35" s="108">
        <v>13.172892126472412</v>
      </c>
      <c r="O35" s="108">
        <v>6623.3301611903271</v>
      </c>
      <c r="P35" s="108">
        <v>10.759622547802334</v>
      </c>
      <c r="Q35" s="108">
        <v>5409.9382170350118</v>
      </c>
      <c r="R35" s="108">
        <v>13.491742227979273</v>
      </c>
      <c r="S35" s="108">
        <v>6783.6479922279768</v>
      </c>
      <c r="T35" s="108">
        <v>0</v>
      </c>
      <c r="U35" s="108">
        <v>0</v>
      </c>
      <c r="V35" s="108">
        <v>61.1875</v>
      </c>
      <c r="W35" s="108">
        <v>30765.074999999993</v>
      </c>
      <c r="X35" s="108">
        <v>26.486842105263158</v>
      </c>
      <c r="Y35" s="108">
        <v>13317.584210526313</v>
      </c>
      <c r="Z35" s="108">
        <v>26.633561643835616</v>
      </c>
      <c r="AA35" s="108">
        <v>13391.354794520545</v>
      </c>
      <c r="AB35" s="108">
        <v>0</v>
      </c>
      <c r="AC35" s="108">
        <v>0</v>
      </c>
      <c r="AD35" s="108">
        <v>13.433143669985775</v>
      </c>
      <c r="AE35" s="108">
        <v>6754.184637268846</v>
      </c>
      <c r="AF35" s="108">
        <v>15.441994069681245</v>
      </c>
      <c r="AG35" s="108">
        <v>7764.2346182357287</v>
      </c>
      <c r="AH35" s="108">
        <v>13.192875134940627</v>
      </c>
      <c r="AI35" s="108">
        <v>6633.3776178481457</v>
      </c>
      <c r="AJ35" s="108">
        <v>0</v>
      </c>
      <c r="AK35" s="108">
        <v>0</v>
      </c>
      <c r="AL35" s="108">
        <v>53.45778806255985</v>
      </c>
      <c r="AM35" s="108">
        <v>26878.575837855085</v>
      </c>
      <c r="AN35" s="108">
        <v>15.443857758620689</v>
      </c>
      <c r="AO35" s="108">
        <v>7765.1716810344806</v>
      </c>
      <c r="AP35" s="108">
        <v>0</v>
      </c>
      <c r="AQ35" s="108">
        <v>0</v>
      </c>
      <c r="AR35" s="108">
        <v>18.286393562545719</v>
      </c>
      <c r="AS35" s="108">
        <v>9194.3986832479859</v>
      </c>
      <c r="AT35" s="108">
        <v>0</v>
      </c>
      <c r="AU35" s="108">
        <v>0</v>
      </c>
      <c r="AV35" s="108">
        <v>15.440767703507611</v>
      </c>
      <c r="AW35" s="108">
        <v>7763.6180013236253</v>
      </c>
      <c r="AX35" s="108">
        <v>10.161585365853659</v>
      </c>
      <c r="AY35" s="108">
        <v>5109.2451219512186</v>
      </c>
      <c r="AZ35" s="108">
        <v>34.828968253968256</v>
      </c>
      <c r="BA35" s="108">
        <v>17512.005238095237</v>
      </c>
      <c r="BB35" s="108">
        <v>0</v>
      </c>
      <c r="BC35" s="108">
        <v>0</v>
      </c>
      <c r="BD35" s="108">
        <v>58.037313432835823</v>
      </c>
      <c r="BE35" s="108">
        <v>29181.161194029846</v>
      </c>
      <c r="BF35" s="108">
        <v>0</v>
      </c>
      <c r="BG35" s="108">
        <v>0</v>
      </c>
      <c r="BH35" s="108">
        <v>21.13953488372093</v>
      </c>
      <c r="BI35" s="108">
        <v>10628.958139534881</v>
      </c>
      <c r="BJ35" s="108">
        <v>5.6970124851367414</v>
      </c>
      <c r="BK35" s="108">
        <v>2864.4578775267528</v>
      </c>
      <c r="BL35" s="108">
        <v>12.193902439024392</v>
      </c>
      <c r="BM35" s="108">
        <v>6131.0941463414629</v>
      </c>
      <c r="BN35" s="108">
        <v>5.597290640394089</v>
      </c>
      <c r="BO35" s="108">
        <v>2814.3177339901472</v>
      </c>
      <c r="BP35" s="108">
        <v>4.7427379784102062</v>
      </c>
      <c r="BQ35" s="108">
        <v>2384.6486555446513</v>
      </c>
      <c r="BR35" s="108">
        <v>5.8222699141545222</v>
      </c>
      <c r="BS35" s="108">
        <v>2927.4373128368934</v>
      </c>
      <c r="BT35" s="108">
        <v>9.7667679617972656</v>
      </c>
      <c r="BU35" s="108">
        <v>4910.7309311916642</v>
      </c>
      <c r="BV35" s="108">
        <v>0</v>
      </c>
      <c r="BW35" s="108">
        <v>0</v>
      </c>
      <c r="BX35" s="108">
        <v>15.128840782122907</v>
      </c>
      <c r="BY35" s="108">
        <v>7606.7811452513961</v>
      </c>
      <c r="BZ35" s="108">
        <v>8.953466204506066</v>
      </c>
      <c r="CA35" s="108">
        <v>4501.8028076256487</v>
      </c>
      <c r="CB35" s="108">
        <v>0</v>
      </c>
      <c r="CC35" s="108">
        <v>0</v>
      </c>
      <c r="CD35" s="108">
        <v>21.985488126649077</v>
      </c>
      <c r="CE35" s="108">
        <v>11054.303430079153</v>
      </c>
      <c r="CF35" s="108">
        <v>0</v>
      </c>
      <c r="CG35" s="108">
        <v>0</v>
      </c>
      <c r="CH35" s="108">
        <v>0</v>
      </c>
      <c r="CI35" s="108">
        <v>0</v>
      </c>
      <c r="CJ35" s="108">
        <v>54.827907511791103</v>
      </c>
      <c r="CK35" s="108">
        <v>27567.47189692856</v>
      </c>
      <c r="CL35" s="108">
        <v>25.347587582595686</v>
      </c>
      <c r="CM35" s="108">
        <v>12744.767036529109</v>
      </c>
      <c r="CN35" s="108">
        <v>40.393308921438084</v>
      </c>
      <c r="CO35" s="108">
        <v>20309.755725699066</v>
      </c>
      <c r="CP35" s="108">
        <v>0</v>
      </c>
      <c r="CQ35" s="108">
        <v>0</v>
      </c>
      <c r="CR35" s="108">
        <v>0</v>
      </c>
      <c r="CS35" s="108">
        <v>0</v>
      </c>
      <c r="CT35" s="108">
        <v>72.581500646830534</v>
      </c>
      <c r="CU35" s="108">
        <v>36493.978525226383</v>
      </c>
    </row>
    <row r="36" spans="2:99" x14ac:dyDescent="0.2">
      <c r="C36" s="107" t="s">
        <v>201</v>
      </c>
      <c r="D36" s="108">
        <v>0</v>
      </c>
      <c r="E36" s="108">
        <v>0</v>
      </c>
      <c r="F36" s="108">
        <v>0</v>
      </c>
      <c r="G36" s="108">
        <v>0</v>
      </c>
      <c r="H36" s="108">
        <v>0</v>
      </c>
      <c r="I36" s="108">
        <v>0</v>
      </c>
      <c r="J36" s="108">
        <v>0</v>
      </c>
      <c r="K36" s="108">
        <v>0</v>
      </c>
      <c r="L36" s="108">
        <v>29.467832957110609</v>
      </c>
      <c r="M36" s="108">
        <v>22419.12731376975</v>
      </c>
      <c r="N36" s="108">
        <v>12.139724116553007</v>
      </c>
      <c r="O36" s="108">
        <v>9235.9021078735277</v>
      </c>
      <c r="P36" s="108">
        <v>9.7250434566674944</v>
      </c>
      <c r="Q36" s="108">
        <v>7398.8130618326295</v>
      </c>
      <c r="R36" s="108">
        <v>11.872733160621761</v>
      </c>
      <c r="S36" s="108">
        <v>9032.775388601036</v>
      </c>
      <c r="T36" s="108">
        <v>0</v>
      </c>
      <c r="U36" s="108">
        <v>0</v>
      </c>
      <c r="V36" s="108">
        <v>54.3125</v>
      </c>
      <c r="W36" s="108">
        <v>41320.949999999997</v>
      </c>
      <c r="X36" s="108">
        <v>23.881578947368421</v>
      </c>
      <c r="Y36" s="108">
        <v>18169.105263157893</v>
      </c>
      <c r="Z36" s="108">
        <v>26.157962328767123</v>
      </c>
      <c r="AA36" s="108">
        <v>19900.977739726026</v>
      </c>
      <c r="AB36" s="108">
        <v>0</v>
      </c>
      <c r="AC36" s="108">
        <v>0</v>
      </c>
      <c r="AD36" s="108">
        <v>12.642958748221906</v>
      </c>
      <c r="AE36" s="108">
        <v>9618.763015647226</v>
      </c>
      <c r="AF36" s="108">
        <v>14.206634544106745</v>
      </c>
      <c r="AG36" s="108">
        <v>10808.407561156411</v>
      </c>
      <c r="AH36" s="108">
        <v>14.692065491183879</v>
      </c>
      <c r="AI36" s="108">
        <v>11177.723425692695</v>
      </c>
      <c r="AJ36" s="108">
        <v>0</v>
      </c>
      <c r="AK36" s="108">
        <v>0</v>
      </c>
      <c r="AL36" s="108">
        <v>44.681136291094795</v>
      </c>
      <c r="AM36" s="108">
        <v>33993.408490264919</v>
      </c>
      <c r="AN36" s="108">
        <v>13.648060344827588</v>
      </c>
      <c r="AO36" s="108">
        <v>10383.444310344828</v>
      </c>
      <c r="AP36" s="108">
        <v>0</v>
      </c>
      <c r="AQ36" s="108">
        <v>0</v>
      </c>
      <c r="AR36" s="108">
        <v>17.676847110460862</v>
      </c>
      <c r="AS36" s="108">
        <v>13448.545281638622</v>
      </c>
      <c r="AT36" s="108">
        <v>0</v>
      </c>
      <c r="AU36" s="108">
        <v>0</v>
      </c>
      <c r="AV36" s="108">
        <v>15.716495698213103</v>
      </c>
      <c r="AW36" s="108">
        <v>11957.109927200529</v>
      </c>
      <c r="AX36" s="108">
        <v>9.1782061369000782</v>
      </c>
      <c r="AY36" s="108">
        <v>6982.7792289535791</v>
      </c>
      <c r="AZ36" s="108">
        <v>31.889814814814816</v>
      </c>
      <c r="BA36" s="108">
        <v>24261.771111111109</v>
      </c>
      <c r="BB36" s="108">
        <v>0</v>
      </c>
      <c r="BC36" s="108">
        <v>0</v>
      </c>
      <c r="BD36" s="108">
        <v>54.389253731343281</v>
      </c>
      <c r="BE36" s="108">
        <v>41379.344238805963</v>
      </c>
      <c r="BF36" s="108">
        <v>0</v>
      </c>
      <c r="BG36" s="108">
        <v>0</v>
      </c>
      <c r="BH36" s="108">
        <v>19.818313953488371</v>
      </c>
      <c r="BI36" s="108">
        <v>15077.773255813952</v>
      </c>
      <c r="BJ36" s="108">
        <v>6.6877972651605235</v>
      </c>
      <c r="BK36" s="108">
        <v>5088.0761593341258</v>
      </c>
      <c r="BL36" s="108">
        <v>11.177743902439024</v>
      </c>
      <c r="BM36" s="108">
        <v>8504.02756097561</v>
      </c>
      <c r="BN36" s="108">
        <v>4.6644088669950738</v>
      </c>
      <c r="BO36" s="108">
        <v>3548.6822660098519</v>
      </c>
      <c r="BP36" s="108">
        <v>4.5791952894995092</v>
      </c>
      <c r="BQ36" s="108">
        <v>3483.8517762512265</v>
      </c>
      <c r="BR36" s="108">
        <v>5.8222699141545222</v>
      </c>
      <c r="BS36" s="108">
        <v>4429.5829506887603</v>
      </c>
      <c r="BT36" s="108">
        <v>9.5859018884306479</v>
      </c>
      <c r="BU36" s="108">
        <v>7292.9541567180368</v>
      </c>
      <c r="BV36" s="108">
        <v>0</v>
      </c>
      <c r="BW36" s="108">
        <v>0</v>
      </c>
      <c r="BX36" s="108">
        <v>14.546962290502792</v>
      </c>
      <c r="BY36" s="108">
        <v>11067.328910614524</v>
      </c>
      <c r="BZ36" s="108">
        <v>8.3758232235701904</v>
      </c>
      <c r="CA36" s="108">
        <v>6372.3263084922</v>
      </c>
      <c r="CB36" s="108">
        <v>0</v>
      </c>
      <c r="CC36" s="108">
        <v>0</v>
      </c>
      <c r="CD36" s="108">
        <v>20.101017715793443</v>
      </c>
      <c r="CE36" s="108">
        <v>15292.85427817565</v>
      </c>
      <c r="CF36" s="108">
        <v>0</v>
      </c>
      <c r="CG36" s="108">
        <v>0</v>
      </c>
      <c r="CH36" s="108">
        <v>0</v>
      </c>
      <c r="CI36" s="108">
        <v>0</v>
      </c>
      <c r="CJ36" s="108">
        <v>51.952317956976877</v>
      </c>
      <c r="CK36" s="108">
        <v>39525.323501668005</v>
      </c>
      <c r="CL36" s="108">
        <v>23.893217803266424</v>
      </c>
      <c r="CM36" s="108">
        <v>18177.960104725094</v>
      </c>
      <c r="CN36" s="108">
        <v>37.897969374167772</v>
      </c>
      <c r="CO36" s="108">
        <v>28832.775099866838</v>
      </c>
      <c r="CP36" s="108">
        <v>0</v>
      </c>
      <c r="CQ36" s="108">
        <v>0</v>
      </c>
      <c r="CR36" s="108">
        <v>0</v>
      </c>
      <c r="CS36" s="108">
        <v>0</v>
      </c>
      <c r="CT36" s="108">
        <v>65.634756360500205</v>
      </c>
      <c r="CU36" s="108">
        <v>49934.922639068551</v>
      </c>
    </row>
    <row r="37" spans="2:99" x14ac:dyDescent="0.2">
      <c r="B37" s="107" t="s">
        <v>128</v>
      </c>
      <c r="C37" s="107" t="s">
        <v>202</v>
      </c>
      <c r="D37" s="108">
        <v>0</v>
      </c>
      <c r="E37" s="108">
        <v>0</v>
      </c>
      <c r="F37" s="108">
        <v>0</v>
      </c>
      <c r="G37" s="108">
        <v>0</v>
      </c>
      <c r="H37" s="108">
        <v>0</v>
      </c>
      <c r="I37" s="108">
        <v>0</v>
      </c>
      <c r="J37" s="108">
        <v>0</v>
      </c>
      <c r="K37" s="108">
        <v>0</v>
      </c>
      <c r="L37" s="108">
        <v>29.467832957110609</v>
      </c>
      <c r="M37" s="108">
        <v>25354.123476297966</v>
      </c>
      <c r="N37" s="108">
        <v>10.073388096714197</v>
      </c>
      <c r="O37" s="108">
        <v>8667.1431184128942</v>
      </c>
      <c r="P37" s="108">
        <v>14.070275639433822</v>
      </c>
      <c r="Q37" s="108">
        <v>12106.065160168861</v>
      </c>
      <c r="R37" s="108">
        <v>11.063228626943005</v>
      </c>
      <c r="S37" s="108">
        <v>9518.8019106217616</v>
      </c>
      <c r="T37" s="108">
        <v>0</v>
      </c>
      <c r="U37" s="108">
        <v>0</v>
      </c>
      <c r="V37" s="108">
        <v>24.0625</v>
      </c>
      <c r="W37" s="108">
        <v>20703.375</v>
      </c>
      <c r="X37" s="108">
        <v>12.157894736842104</v>
      </c>
      <c r="Y37" s="108">
        <v>10460.652631578947</v>
      </c>
      <c r="Z37" s="108">
        <v>8.5607876712328768</v>
      </c>
      <c r="AA37" s="108">
        <v>7365.7017123287669</v>
      </c>
      <c r="AB37" s="108">
        <v>0</v>
      </c>
      <c r="AC37" s="108">
        <v>0</v>
      </c>
      <c r="AD37" s="108">
        <v>13.038051209103839</v>
      </c>
      <c r="AE37" s="108">
        <v>11217.939260312944</v>
      </c>
      <c r="AF37" s="108">
        <v>15.133154188287619</v>
      </c>
      <c r="AG37" s="108">
        <v>13020.565863602667</v>
      </c>
      <c r="AH37" s="108">
        <v>17.090770061173082</v>
      </c>
      <c r="AI37" s="108">
        <v>14704.898560633319</v>
      </c>
      <c r="AJ37" s="108">
        <v>0</v>
      </c>
      <c r="AK37" s="108">
        <v>0</v>
      </c>
      <c r="AL37" s="108">
        <v>35.904484519629747</v>
      </c>
      <c r="AM37" s="108">
        <v>30892.218480689433</v>
      </c>
      <c r="AN37" s="108">
        <v>9.6973060344827591</v>
      </c>
      <c r="AO37" s="108">
        <v>8343.5621120689648</v>
      </c>
      <c r="AP37" s="108">
        <v>0</v>
      </c>
      <c r="AQ37" s="108">
        <v>0</v>
      </c>
      <c r="AR37" s="108">
        <v>55.46872713972202</v>
      </c>
      <c r="AS37" s="108">
        <v>47725.292831016828</v>
      </c>
      <c r="AT37" s="108">
        <v>0</v>
      </c>
      <c r="AU37" s="108">
        <v>0</v>
      </c>
      <c r="AV37" s="108">
        <v>73.06791859695565</v>
      </c>
      <c r="AW37" s="108">
        <v>62867.637160820639</v>
      </c>
      <c r="AX37" s="108">
        <v>33.43489378442171</v>
      </c>
      <c r="AY37" s="108">
        <v>28767.382612116438</v>
      </c>
      <c r="AZ37" s="108">
        <v>9.8461640211640216</v>
      </c>
      <c r="BA37" s="108">
        <v>8471.6395238095247</v>
      </c>
      <c r="BB37" s="108">
        <v>0</v>
      </c>
      <c r="BC37" s="108">
        <v>0</v>
      </c>
      <c r="BD37" s="108">
        <v>21.22507462686567</v>
      </c>
      <c r="BE37" s="108">
        <v>18262.054208955222</v>
      </c>
      <c r="BF37" s="108">
        <v>0</v>
      </c>
      <c r="BG37" s="108">
        <v>0</v>
      </c>
      <c r="BH37" s="108">
        <v>14.533430232558139</v>
      </c>
      <c r="BI37" s="108">
        <v>12504.563372093022</v>
      </c>
      <c r="BJ37" s="108">
        <v>11.394024970273483</v>
      </c>
      <c r="BK37" s="108">
        <v>9803.4190844233035</v>
      </c>
      <c r="BL37" s="108">
        <v>11.939862804878048</v>
      </c>
      <c r="BM37" s="108">
        <v>10273.057957317073</v>
      </c>
      <c r="BN37" s="108">
        <v>6.5301724137931032</v>
      </c>
      <c r="BO37" s="108">
        <v>5618.5603448275861</v>
      </c>
      <c r="BP37" s="108">
        <v>11.447988223748773</v>
      </c>
      <c r="BQ37" s="108">
        <v>9849.8490677134432</v>
      </c>
      <c r="BR37" s="108">
        <v>13.141694949091633</v>
      </c>
      <c r="BS37" s="108">
        <v>11307.114334198441</v>
      </c>
      <c r="BT37" s="108">
        <v>8.3198393748643369</v>
      </c>
      <c r="BU37" s="108">
        <v>7158.3897981332757</v>
      </c>
      <c r="BV37" s="108">
        <v>0</v>
      </c>
      <c r="BW37" s="108">
        <v>0</v>
      </c>
      <c r="BX37" s="108">
        <v>27.930167597765362</v>
      </c>
      <c r="BY37" s="108">
        <v>24031.116201117318</v>
      </c>
      <c r="BZ37" s="108">
        <v>15.885181975736568</v>
      </c>
      <c r="CA37" s="108">
        <v>13667.610571923742</v>
      </c>
      <c r="CB37" s="108">
        <v>0</v>
      </c>
      <c r="CC37" s="108">
        <v>0</v>
      </c>
      <c r="CD37" s="108">
        <v>33.920467395401438</v>
      </c>
      <c r="CE37" s="108">
        <v>29185.170147003395</v>
      </c>
      <c r="CF37" s="108">
        <v>0</v>
      </c>
      <c r="CG37" s="108">
        <v>0</v>
      </c>
      <c r="CH37" s="108">
        <v>0</v>
      </c>
      <c r="CI37" s="108">
        <v>0</v>
      </c>
      <c r="CJ37" s="108">
        <v>29.139307488784077</v>
      </c>
      <c r="CK37" s="108">
        <v>25071.460163349821</v>
      </c>
      <c r="CL37" s="108">
        <v>14.232047126293478</v>
      </c>
      <c r="CM37" s="108">
        <v>12245.253347462909</v>
      </c>
      <c r="CN37" s="108">
        <v>7.1741011984021297</v>
      </c>
      <c r="CO37" s="108">
        <v>6172.5966711051924</v>
      </c>
      <c r="CP37" s="108">
        <v>0</v>
      </c>
      <c r="CQ37" s="108">
        <v>0</v>
      </c>
      <c r="CR37" s="108">
        <v>0</v>
      </c>
      <c r="CS37" s="108">
        <v>0</v>
      </c>
      <c r="CT37" s="108">
        <v>10.060802069857697</v>
      </c>
      <c r="CU37" s="108">
        <v>8656.3141009055616</v>
      </c>
    </row>
    <row r="38" spans="2:99" x14ac:dyDescent="0.2">
      <c r="C38" s="107" t="s">
        <v>203</v>
      </c>
      <c r="D38" s="108">
        <v>0</v>
      </c>
      <c r="E38" s="108">
        <v>0</v>
      </c>
      <c r="F38" s="108">
        <v>0</v>
      </c>
      <c r="G38" s="108">
        <v>0</v>
      </c>
      <c r="H38" s="108">
        <v>0</v>
      </c>
      <c r="I38" s="108">
        <v>0</v>
      </c>
      <c r="J38" s="108">
        <v>0</v>
      </c>
      <c r="K38" s="108">
        <v>0</v>
      </c>
      <c r="L38" s="108">
        <v>28.213882618510159</v>
      </c>
      <c r="M38" s="108">
        <v>35041.642212189618</v>
      </c>
      <c r="N38" s="108">
        <v>9.815096094234347</v>
      </c>
      <c r="O38" s="108">
        <v>12190.349349039059</v>
      </c>
      <c r="P38" s="108">
        <v>11.794201638937174</v>
      </c>
      <c r="Q38" s="108">
        <v>14648.398435559971</v>
      </c>
      <c r="R38" s="108">
        <v>9.9838892487046618</v>
      </c>
      <c r="S38" s="108">
        <v>12399.99044689119</v>
      </c>
      <c r="T38" s="108">
        <v>0</v>
      </c>
      <c r="U38" s="108">
        <v>0</v>
      </c>
      <c r="V38" s="108">
        <v>25.4375</v>
      </c>
      <c r="W38" s="108">
        <v>31593.375</v>
      </c>
      <c r="X38" s="108">
        <v>11.723684210526317</v>
      </c>
      <c r="Y38" s="108">
        <v>14560.815789473685</v>
      </c>
      <c r="Z38" s="108">
        <v>9.9875856164383556</v>
      </c>
      <c r="AA38" s="108">
        <v>12404.581335616438</v>
      </c>
      <c r="AB38" s="108">
        <v>0</v>
      </c>
      <c r="AC38" s="108">
        <v>0</v>
      </c>
      <c r="AD38" s="108">
        <v>14.223328591749645</v>
      </c>
      <c r="AE38" s="108">
        <v>17665.37411095306</v>
      </c>
      <c r="AF38" s="108">
        <v>14.51547442550037</v>
      </c>
      <c r="AG38" s="108">
        <v>18028.219236471461</v>
      </c>
      <c r="AH38" s="108">
        <v>15.891417776178482</v>
      </c>
      <c r="AI38" s="108">
        <v>19737.140878013674</v>
      </c>
      <c r="AJ38" s="108">
        <v>0</v>
      </c>
      <c r="AK38" s="108">
        <v>0</v>
      </c>
      <c r="AL38" s="108">
        <v>36.702361953399297</v>
      </c>
      <c r="AM38" s="108">
        <v>45584.333546121925</v>
      </c>
      <c r="AN38" s="108">
        <v>9.3381465517241384</v>
      </c>
      <c r="AO38" s="108">
        <v>11597.978017241379</v>
      </c>
      <c r="AP38" s="108">
        <v>0</v>
      </c>
      <c r="AQ38" s="108">
        <v>0</v>
      </c>
      <c r="AR38" s="108">
        <v>54.554407461594728</v>
      </c>
      <c r="AS38" s="108">
        <v>67756.574067300651</v>
      </c>
      <c r="AT38" s="108">
        <v>0</v>
      </c>
      <c r="AU38" s="108">
        <v>0</v>
      </c>
      <c r="AV38" s="108">
        <v>70.586366644606215</v>
      </c>
      <c r="AW38" s="108">
        <v>87668.267372600923</v>
      </c>
      <c r="AX38" s="108">
        <v>26.387342643587729</v>
      </c>
      <c r="AY38" s="108">
        <v>32773.079563335959</v>
      </c>
      <c r="AZ38" s="108">
        <v>9.8461640211640216</v>
      </c>
      <c r="BA38" s="108">
        <v>12228.935714285715</v>
      </c>
      <c r="BB38" s="108">
        <v>0</v>
      </c>
      <c r="BC38" s="108">
        <v>0</v>
      </c>
      <c r="BD38" s="108">
        <v>19.898507462686567</v>
      </c>
      <c r="BE38" s="108">
        <v>24713.946268656717</v>
      </c>
      <c r="BF38" s="108">
        <v>0</v>
      </c>
      <c r="BG38" s="108">
        <v>0</v>
      </c>
      <c r="BH38" s="108">
        <v>16.295058139534884</v>
      </c>
      <c r="BI38" s="108">
        <v>20238.462209302324</v>
      </c>
      <c r="BJ38" s="108">
        <v>12.63250594530321</v>
      </c>
      <c r="BK38" s="108">
        <v>15689.572384066587</v>
      </c>
      <c r="BL38" s="108">
        <v>11.431783536585366</v>
      </c>
      <c r="BM38" s="108">
        <v>14198.275152439024</v>
      </c>
      <c r="BN38" s="108">
        <v>6.1570197044334973</v>
      </c>
      <c r="BO38" s="108">
        <v>7647.018472906404</v>
      </c>
      <c r="BP38" s="108">
        <v>12.919872423945044</v>
      </c>
      <c r="BQ38" s="108">
        <v>16046.481550539746</v>
      </c>
      <c r="BR38" s="108">
        <v>10.812786983429826</v>
      </c>
      <c r="BS38" s="108">
        <v>13429.481433419844</v>
      </c>
      <c r="BT38" s="108">
        <v>8.3198393748643369</v>
      </c>
      <c r="BU38" s="108">
        <v>10333.240503581506</v>
      </c>
      <c r="BV38" s="108">
        <v>0</v>
      </c>
      <c r="BW38" s="108">
        <v>0</v>
      </c>
      <c r="BX38" s="108">
        <v>28.512046089385475</v>
      </c>
      <c r="BY38" s="108">
        <v>35411.961243016762</v>
      </c>
      <c r="BZ38" s="108">
        <v>14.729896013864817</v>
      </c>
      <c r="CA38" s="108">
        <v>18294.530849220104</v>
      </c>
      <c r="CB38" s="108">
        <v>0</v>
      </c>
      <c r="CC38" s="108">
        <v>0</v>
      </c>
      <c r="CD38" s="108">
        <v>32.035996984545797</v>
      </c>
      <c r="CE38" s="108">
        <v>39788.708254805882</v>
      </c>
      <c r="CF38" s="108">
        <v>0</v>
      </c>
      <c r="CG38" s="108">
        <v>0</v>
      </c>
      <c r="CH38" s="108">
        <v>0</v>
      </c>
      <c r="CI38" s="108">
        <v>0</v>
      </c>
      <c r="CJ38" s="108">
        <v>24.538364201081333</v>
      </c>
      <c r="CK38" s="108">
        <v>30476.648337743016</v>
      </c>
      <c r="CL38" s="108">
        <v>13.400978680962472</v>
      </c>
      <c r="CM38" s="108">
        <v>16644.015521755391</v>
      </c>
      <c r="CN38" s="108">
        <v>6.0823901464713721</v>
      </c>
      <c r="CO38" s="108">
        <v>7554.3285619174439</v>
      </c>
      <c r="CP38" s="108">
        <v>0</v>
      </c>
      <c r="CQ38" s="108">
        <v>0</v>
      </c>
      <c r="CR38" s="108">
        <v>0</v>
      </c>
      <c r="CS38" s="108">
        <v>0</v>
      </c>
      <c r="CT38" s="108">
        <v>9.102630444156965</v>
      </c>
      <c r="CU38" s="108">
        <v>11305.46701164295</v>
      </c>
    </row>
    <row r="39" spans="2:99" x14ac:dyDescent="0.2">
      <c r="C39" s="107" t="s">
        <v>204</v>
      </c>
      <c r="D39" s="108">
        <v>0</v>
      </c>
      <c r="E39" s="108">
        <v>0</v>
      </c>
      <c r="F39" s="108">
        <v>0</v>
      </c>
      <c r="G39" s="108">
        <v>0</v>
      </c>
      <c r="H39" s="108">
        <v>0</v>
      </c>
      <c r="I39" s="108">
        <v>0</v>
      </c>
      <c r="J39" s="108">
        <v>0</v>
      </c>
      <c r="K39" s="108">
        <v>0</v>
      </c>
      <c r="L39" s="108">
        <v>27.586907449209932</v>
      </c>
      <c r="M39" s="108">
        <v>39261.686681715575</v>
      </c>
      <c r="N39" s="108">
        <v>9.0402200867947915</v>
      </c>
      <c r="O39" s="108">
        <v>12866.041227526348</v>
      </c>
      <c r="P39" s="108">
        <v>10.966538366029303</v>
      </c>
      <c r="Q39" s="108">
        <v>15607.577402532905</v>
      </c>
      <c r="R39" s="108">
        <v>10.793393782383419</v>
      </c>
      <c r="S39" s="108">
        <v>15361.158031088082</v>
      </c>
      <c r="T39" s="108">
        <v>0</v>
      </c>
      <c r="U39" s="108">
        <v>0</v>
      </c>
      <c r="V39" s="108">
        <v>27.499999999999996</v>
      </c>
      <c r="W39" s="108">
        <v>39137.999999999993</v>
      </c>
      <c r="X39" s="108">
        <v>10.855263157894736</v>
      </c>
      <c r="Y39" s="108">
        <v>15449.21052631579</v>
      </c>
      <c r="Z39" s="108">
        <v>9.5119863013698627</v>
      </c>
      <c r="AA39" s="108">
        <v>13537.45890410959</v>
      </c>
      <c r="AB39" s="108">
        <v>0</v>
      </c>
      <c r="AC39" s="108">
        <v>0</v>
      </c>
      <c r="AD39" s="108">
        <v>13.038051209103839</v>
      </c>
      <c r="AE39" s="108">
        <v>18555.754480796586</v>
      </c>
      <c r="AF39" s="108">
        <v>14.206634544106745</v>
      </c>
      <c r="AG39" s="108">
        <v>20218.882283172719</v>
      </c>
      <c r="AH39" s="108">
        <v>17.090770061173082</v>
      </c>
      <c r="AI39" s="108">
        <v>24323.58395106153</v>
      </c>
      <c r="AJ39" s="108">
        <v>0</v>
      </c>
      <c r="AK39" s="108">
        <v>0</v>
      </c>
      <c r="AL39" s="108">
        <v>32.712974784551548</v>
      </c>
      <c r="AM39" s="108">
        <v>46557.105713373763</v>
      </c>
      <c r="AN39" s="108">
        <v>8.2606681034482765</v>
      </c>
      <c r="AO39" s="108">
        <v>11756.582844827588</v>
      </c>
      <c r="AP39" s="108">
        <v>0</v>
      </c>
      <c r="AQ39" s="108">
        <v>0</v>
      </c>
      <c r="AR39" s="108">
        <v>55.773500365764455</v>
      </c>
      <c r="AS39" s="108">
        <v>79376.845720555983</v>
      </c>
      <c r="AT39" s="108">
        <v>0</v>
      </c>
      <c r="AU39" s="108">
        <v>0</v>
      </c>
      <c r="AV39" s="108">
        <v>68.380542686962272</v>
      </c>
      <c r="AW39" s="108">
        <v>97319.188352084704</v>
      </c>
      <c r="AX39" s="108">
        <v>28.517997639653817</v>
      </c>
      <c r="AY39" s="108">
        <v>40586.814240755317</v>
      </c>
      <c r="AZ39" s="108">
        <v>9.6992063492063494</v>
      </c>
      <c r="BA39" s="108">
        <v>13803.910476190476</v>
      </c>
      <c r="BB39" s="108">
        <v>0</v>
      </c>
      <c r="BC39" s="108">
        <v>0</v>
      </c>
      <c r="BD39" s="108">
        <v>19.566865671641793</v>
      </c>
      <c r="BE39" s="108">
        <v>27847.563223880599</v>
      </c>
      <c r="BF39" s="108">
        <v>0</v>
      </c>
      <c r="BG39" s="108">
        <v>0</v>
      </c>
      <c r="BH39" s="108">
        <v>15.414244186046513</v>
      </c>
      <c r="BI39" s="108">
        <v>21937.552325581397</v>
      </c>
      <c r="BJ39" s="108">
        <v>11.394024970273483</v>
      </c>
      <c r="BK39" s="108">
        <v>16215.976337693221</v>
      </c>
      <c r="BL39" s="108">
        <v>9.9075457317073177</v>
      </c>
      <c r="BM39" s="108">
        <v>14100.419085365855</v>
      </c>
      <c r="BN39" s="108">
        <v>6.3435960591133007</v>
      </c>
      <c r="BO39" s="108">
        <v>9028.2059113300493</v>
      </c>
      <c r="BP39" s="108">
        <v>10.63027477919529</v>
      </c>
      <c r="BQ39" s="108">
        <v>15129.007065750737</v>
      </c>
      <c r="BR39" s="108">
        <v>12.309942104212418</v>
      </c>
      <c r="BS39" s="108">
        <v>17519.509602715112</v>
      </c>
      <c r="BT39" s="108">
        <v>7.4155090080312567</v>
      </c>
      <c r="BU39" s="108">
        <v>10553.752420230085</v>
      </c>
      <c r="BV39" s="108">
        <v>0</v>
      </c>
      <c r="BW39" s="108">
        <v>0</v>
      </c>
      <c r="BX39" s="108">
        <v>26.184532122905029</v>
      </c>
      <c r="BY39" s="108">
        <v>37265.826117318436</v>
      </c>
      <c r="BZ39" s="108">
        <v>13.863431542461004</v>
      </c>
      <c r="CA39" s="108">
        <v>19730.435771230503</v>
      </c>
      <c r="CB39" s="108">
        <v>0</v>
      </c>
      <c r="CC39" s="108">
        <v>0</v>
      </c>
      <c r="CD39" s="108">
        <v>30.779683377308707</v>
      </c>
      <c r="CE39" s="108">
        <v>43805.645382585753</v>
      </c>
      <c r="CF39" s="108">
        <v>0</v>
      </c>
      <c r="CG39" s="108">
        <v>0</v>
      </c>
      <c r="CH39" s="108">
        <v>0</v>
      </c>
      <c r="CI39" s="108">
        <v>0</v>
      </c>
      <c r="CJ39" s="108">
        <v>23.579834349476588</v>
      </c>
      <c r="CK39" s="108">
        <v>33558.820246175084</v>
      </c>
      <c r="CL39" s="108">
        <v>12.25825956863234</v>
      </c>
      <c r="CM39" s="108">
        <v>17445.955018077548</v>
      </c>
      <c r="CN39" s="108">
        <v>5.9264314247669772</v>
      </c>
      <c r="CO39" s="108">
        <v>8434.4972037283624</v>
      </c>
      <c r="CP39" s="108">
        <v>0</v>
      </c>
      <c r="CQ39" s="108">
        <v>0</v>
      </c>
      <c r="CR39" s="108">
        <v>0</v>
      </c>
      <c r="CS39" s="108">
        <v>0</v>
      </c>
      <c r="CT39" s="108">
        <v>8.863087537731781</v>
      </c>
      <c r="CU39" s="108">
        <v>12613.946183699871</v>
      </c>
    </row>
    <row r="40" spans="2:99" x14ac:dyDescent="0.2">
      <c r="C40" s="107" t="s">
        <v>205</v>
      </c>
      <c r="D40" s="108">
        <v>0</v>
      </c>
      <c r="E40" s="108">
        <v>0</v>
      </c>
      <c r="F40" s="108">
        <v>0</v>
      </c>
      <c r="G40" s="108">
        <v>0</v>
      </c>
      <c r="H40" s="108">
        <v>0</v>
      </c>
      <c r="I40" s="108">
        <v>0</v>
      </c>
      <c r="J40" s="108">
        <v>0</v>
      </c>
      <c r="K40" s="108">
        <v>0</v>
      </c>
      <c r="L40" s="108">
        <v>29.467832957110609</v>
      </c>
      <c r="M40" s="108">
        <v>21358.28532731377</v>
      </c>
      <c r="N40" s="108">
        <v>9.2985120892746433</v>
      </c>
      <c r="O40" s="108">
        <v>6739.5615623062613</v>
      </c>
      <c r="P40" s="108">
        <v>12.828780730072014</v>
      </c>
      <c r="Q40" s="108">
        <v>9298.3002731561955</v>
      </c>
      <c r="R40" s="108">
        <v>12.412402849740932</v>
      </c>
      <c r="S40" s="108">
        <v>8996.5095854922274</v>
      </c>
      <c r="T40" s="108">
        <v>0</v>
      </c>
      <c r="U40" s="108">
        <v>0</v>
      </c>
      <c r="V40" s="108">
        <v>28.875000000000004</v>
      </c>
      <c r="W40" s="108">
        <v>20928.600000000002</v>
      </c>
      <c r="X40" s="108">
        <v>11.723684210526317</v>
      </c>
      <c r="Y40" s="108">
        <v>8497.3263157894744</v>
      </c>
      <c r="Z40" s="108">
        <v>9.9875856164383556</v>
      </c>
      <c r="AA40" s="108">
        <v>7239.0020547945196</v>
      </c>
      <c r="AB40" s="108">
        <v>0</v>
      </c>
      <c r="AC40" s="108">
        <v>0</v>
      </c>
      <c r="AD40" s="108">
        <v>14.618421052631579</v>
      </c>
      <c r="AE40" s="108">
        <v>10595.431578947368</v>
      </c>
      <c r="AF40" s="108">
        <v>17.912713120830244</v>
      </c>
      <c r="AG40" s="108">
        <v>12983.13446997776</v>
      </c>
      <c r="AH40" s="108">
        <v>17.690446203670383</v>
      </c>
      <c r="AI40" s="108">
        <v>12822.035408420294</v>
      </c>
      <c r="AJ40" s="108">
        <v>0</v>
      </c>
      <c r="AK40" s="108">
        <v>0</v>
      </c>
      <c r="AL40" s="108">
        <v>35.106607085860198</v>
      </c>
      <c r="AM40" s="108">
        <v>25445.26881583147</v>
      </c>
      <c r="AN40" s="108">
        <v>8.2606681034482765</v>
      </c>
      <c r="AO40" s="108">
        <v>5987.3322413793103</v>
      </c>
      <c r="AP40" s="108">
        <v>0</v>
      </c>
      <c r="AQ40" s="108">
        <v>0</v>
      </c>
      <c r="AR40" s="108">
        <v>58.516459400146303</v>
      </c>
      <c r="AS40" s="108">
        <v>42412.729773226041</v>
      </c>
      <c r="AT40" s="108">
        <v>0</v>
      </c>
      <c r="AU40" s="108">
        <v>0</v>
      </c>
      <c r="AV40" s="108">
        <v>71.413550628722703</v>
      </c>
      <c r="AW40" s="108">
        <v>51760.541495698213</v>
      </c>
      <c r="AX40" s="108">
        <v>34.746066089693159</v>
      </c>
      <c r="AY40" s="108">
        <v>25183.948701809601</v>
      </c>
      <c r="AZ40" s="108">
        <v>8.9644179894179885</v>
      </c>
      <c r="BA40" s="108">
        <v>6497.4101587301575</v>
      </c>
      <c r="BB40" s="108">
        <v>0</v>
      </c>
      <c r="BC40" s="108">
        <v>0</v>
      </c>
      <c r="BD40" s="108">
        <v>21.556716417910447</v>
      </c>
      <c r="BE40" s="108">
        <v>15624.30805970149</v>
      </c>
      <c r="BF40" s="108">
        <v>0</v>
      </c>
      <c r="BG40" s="108">
        <v>0</v>
      </c>
      <c r="BH40" s="108">
        <v>17.175872093023255</v>
      </c>
      <c r="BI40" s="108">
        <v>12449.072093023255</v>
      </c>
      <c r="BJ40" s="108">
        <v>13.127898335315102</v>
      </c>
      <c r="BK40" s="108">
        <v>9515.1007134363845</v>
      </c>
      <c r="BL40" s="108">
        <v>12.193902439024392</v>
      </c>
      <c r="BM40" s="108">
        <v>8838.1404878048779</v>
      </c>
      <c r="BN40" s="108">
        <v>7.6496305418719208</v>
      </c>
      <c r="BO40" s="108">
        <v>5544.4522167487676</v>
      </c>
      <c r="BP40" s="108">
        <v>12.756329735034347</v>
      </c>
      <c r="BQ40" s="108">
        <v>9245.7877919528946</v>
      </c>
      <c r="BR40" s="108">
        <v>11.810890397284886</v>
      </c>
      <c r="BS40" s="108">
        <v>8560.5333599520854</v>
      </c>
      <c r="BT40" s="108">
        <v>7.5963750813978734</v>
      </c>
      <c r="BU40" s="108">
        <v>5505.852658997178</v>
      </c>
      <c r="BV40" s="108">
        <v>0</v>
      </c>
      <c r="BW40" s="108">
        <v>0</v>
      </c>
      <c r="BX40" s="108">
        <v>26.766410614525139</v>
      </c>
      <c r="BY40" s="108">
        <v>19400.294413407821</v>
      </c>
      <c r="BZ40" s="108">
        <v>17.329289428076258</v>
      </c>
      <c r="CA40" s="108">
        <v>12560.268977469672</v>
      </c>
      <c r="CB40" s="108">
        <v>0</v>
      </c>
      <c r="CC40" s="108">
        <v>0</v>
      </c>
      <c r="CD40" s="108">
        <v>40.202035431586886</v>
      </c>
      <c r="CE40" s="108">
        <v>29138.435280814174</v>
      </c>
      <c r="CF40" s="108">
        <v>0</v>
      </c>
      <c r="CG40" s="108">
        <v>0</v>
      </c>
      <c r="CH40" s="108">
        <v>0</v>
      </c>
      <c r="CI40" s="108">
        <v>0</v>
      </c>
      <c r="CJ40" s="108">
        <v>27.222247785574602</v>
      </c>
      <c r="CK40" s="108">
        <v>19730.685194984471</v>
      </c>
      <c r="CL40" s="108">
        <v>15.374766238623613</v>
      </c>
      <c r="CM40" s="108">
        <v>11143.630569754394</v>
      </c>
      <c r="CN40" s="108">
        <v>6.8621837549933424</v>
      </c>
      <c r="CO40" s="108">
        <v>4973.7107856191742</v>
      </c>
      <c r="CP40" s="108">
        <v>0</v>
      </c>
      <c r="CQ40" s="108">
        <v>0</v>
      </c>
      <c r="CR40" s="108">
        <v>0</v>
      </c>
      <c r="CS40" s="108">
        <v>0</v>
      </c>
      <c r="CT40" s="108">
        <v>8.6235446313065989</v>
      </c>
      <c r="CU40" s="108">
        <v>6250.3451487710227</v>
      </c>
    </row>
    <row r="41" spans="2:99" x14ac:dyDescent="0.2">
      <c r="C41" s="107" t="s">
        <v>206</v>
      </c>
      <c r="D41" s="108">
        <v>0</v>
      </c>
      <c r="E41" s="108">
        <v>0</v>
      </c>
      <c r="F41" s="108">
        <v>0</v>
      </c>
      <c r="G41" s="108">
        <v>0</v>
      </c>
      <c r="H41" s="108">
        <v>0</v>
      </c>
      <c r="I41" s="108">
        <v>0</v>
      </c>
      <c r="J41" s="108">
        <v>0</v>
      </c>
      <c r="K41" s="108">
        <v>0</v>
      </c>
      <c r="L41" s="108">
        <v>26.332957110609481</v>
      </c>
      <c r="M41" s="108">
        <v>17379.751693002258</v>
      </c>
      <c r="N41" s="108">
        <v>10.589972101673901</v>
      </c>
      <c r="O41" s="108">
        <v>6989.3815871047746</v>
      </c>
      <c r="P41" s="108">
        <v>12.828780730072014</v>
      </c>
      <c r="Q41" s="108">
        <v>8466.9952818475285</v>
      </c>
      <c r="R41" s="108">
        <v>12.142568005181348</v>
      </c>
      <c r="S41" s="108">
        <v>8014.0948834196897</v>
      </c>
      <c r="T41" s="108">
        <v>0</v>
      </c>
      <c r="U41" s="108">
        <v>0</v>
      </c>
      <c r="V41" s="108">
        <v>24.75</v>
      </c>
      <c r="W41" s="108">
        <v>16335</v>
      </c>
      <c r="X41" s="108">
        <v>13.460526315789473</v>
      </c>
      <c r="Y41" s="108">
        <v>8883.9473684210516</v>
      </c>
      <c r="Z41" s="108">
        <v>9.9875856164383556</v>
      </c>
      <c r="AA41" s="108">
        <v>6591.8065068493152</v>
      </c>
      <c r="AB41" s="108">
        <v>0</v>
      </c>
      <c r="AC41" s="108">
        <v>0</v>
      </c>
      <c r="AD41" s="108">
        <v>14.223328591749645</v>
      </c>
      <c r="AE41" s="108">
        <v>9387.396870554765</v>
      </c>
      <c r="AF41" s="108">
        <v>16.059673832468494</v>
      </c>
      <c r="AG41" s="108">
        <v>10599.384729429206</v>
      </c>
      <c r="AH41" s="108">
        <v>16.491093918675784</v>
      </c>
      <c r="AI41" s="108">
        <v>10884.121986326018</v>
      </c>
      <c r="AJ41" s="108">
        <v>0</v>
      </c>
      <c r="AK41" s="108">
        <v>0</v>
      </c>
      <c r="AL41" s="108">
        <v>37.500239387168847</v>
      </c>
      <c r="AM41" s="108">
        <v>24750.157995531437</v>
      </c>
      <c r="AN41" s="108">
        <v>10.05646551724138</v>
      </c>
      <c r="AO41" s="108">
        <v>6637.2672413793107</v>
      </c>
      <c r="AP41" s="108">
        <v>0</v>
      </c>
      <c r="AQ41" s="108">
        <v>0</v>
      </c>
      <c r="AR41" s="108">
        <v>59.12600585223116</v>
      </c>
      <c r="AS41" s="108">
        <v>39023.163862472567</v>
      </c>
      <c r="AT41" s="108">
        <v>0</v>
      </c>
      <c r="AU41" s="108">
        <v>0</v>
      </c>
      <c r="AV41" s="108">
        <v>74.722286565188625</v>
      </c>
      <c r="AW41" s="108">
        <v>49316.709133024495</v>
      </c>
      <c r="AX41" s="108">
        <v>30.648652635719905</v>
      </c>
      <c r="AY41" s="108">
        <v>20228.110739575139</v>
      </c>
      <c r="AZ41" s="108">
        <v>9.8461640211640216</v>
      </c>
      <c r="BA41" s="108">
        <v>6498.4682539682544</v>
      </c>
      <c r="BB41" s="108">
        <v>0</v>
      </c>
      <c r="BC41" s="108">
        <v>0</v>
      </c>
      <c r="BD41" s="108">
        <v>22.220000000000002</v>
      </c>
      <c r="BE41" s="108">
        <v>14665.2</v>
      </c>
      <c r="BF41" s="108">
        <v>0</v>
      </c>
      <c r="BG41" s="108">
        <v>0</v>
      </c>
      <c r="BH41" s="108">
        <v>17.61627906976744</v>
      </c>
      <c r="BI41" s="108">
        <v>11626.744186046511</v>
      </c>
      <c r="BJ41" s="108">
        <v>13.127898335315102</v>
      </c>
      <c r="BK41" s="108">
        <v>8664.4129013079673</v>
      </c>
      <c r="BL41" s="108">
        <v>11.939862804878048</v>
      </c>
      <c r="BM41" s="108">
        <v>7880.3094512195121</v>
      </c>
      <c r="BN41" s="108">
        <v>6.90332512315271</v>
      </c>
      <c r="BO41" s="108">
        <v>4556.194581280789</v>
      </c>
      <c r="BP41" s="108">
        <v>13.901128557409223</v>
      </c>
      <c r="BQ41" s="108">
        <v>9174.7448478900878</v>
      </c>
      <c r="BR41" s="108">
        <v>11.311838690357357</v>
      </c>
      <c r="BS41" s="108">
        <v>7465.8135356358553</v>
      </c>
      <c r="BT41" s="108">
        <v>9.0433036683308003</v>
      </c>
      <c r="BU41" s="108">
        <v>5968.5804210983279</v>
      </c>
      <c r="BV41" s="108">
        <v>0</v>
      </c>
      <c r="BW41" s="108">
        <v>0</v>
      </c>
      <c r="BX41" s="108">
        <v>31.421438547486034</v>
      </c>
      <c r="BY41" s="108">
        <v>20738.149441340782</v>
      </c>
      <c r="BZ41" s="108">
        <v>17.618110918544197</v>
      </c>
      <c r="CA41" s="108">
        <v>11627.95320623917</v>
      </c>
      <c r="CB41" s="108">
        <v>0</v>
      </c>
      <c r="CC41" s="108">
        <v>0</v>
      </c>
      <c r="CD41" s="108">
        <v>39.573878627968334</v>
      </c>
      <c r="CE41" s="108">
        <v>26118.759894459101</v>
      </c>
      <c r="CF41" s="108">
        <v>0</v>
      </c>
      <c r="CG41" s="108">
        <v>0</v>
      </c>
      <c r="CH41" s="108">
        <v>0</v>
      </c>
      <c r="CI41" s="108">
        <v>0</v>
      </c>
      <c r="CJ41" s="108">
        <v>31.056367191993559</v>
      </c>
      <c r="CK41" s="108">
        <v>20497.202346715749</v>
      </c>
      <c r="CL41" s="108">
        <v>15.270882682957236</v>
      </c>
      <c r="CM41" s="108">
        <v>10078.782570751775</v>
      </c>
      <c r="CN41" s="108">
        <v>7.1741011984021297</v>
      </c>
      <c r="CO41" s="108">
        <v>4734.9067909454052</v>
      </c>
      <c r="CP41" s="108">
        <v>0</v>
      </c>
      <c r="CQ41" s="108">
        <v>0</v>
      </c>
      <c r="CR41" s="108">
        <v>0</v>
      </c>
      <c r="CS41" s="108">
        <v>0</v>
      </c>
      <c r="CT41" s="108">
        <v>10.539887882708065</v>
      </c>
      <c r="CU41" s="108">
        <v>6956.3260025873233</v>
      </c>
    </row>
    <row r="42" spans="2:99" x14ac:dyDescent="0.2">
      <c r="C42" s="107" t="s">
        <v>207</v>
      </c>
      <c r="D42" s="108">
        <v>0</v>
      </c>
      <c r="E42" s="108">
        <v>0</v>
      </c>
      <c r="F42" s="108">
        <v>0</v>
      </c>
      <c r="G42" s="108">
        <v>0</v>
      </c>
      <c r="H42" s="108">
        <v>0</v>
      </c>
      <c r="I42" s="108">
        <v>0</v>
      </c>
      <c r="J42" s="108">
        <v>0</v>
      </c>
      <c r="K42" s="108">
        <v>0</v>
      </c>
      <c r="L42" s="108">
        <v>26.332957110609481</v>
      </c>
      <c r="M42" s="108">
        <v>22277.681715575622</v>
      </c>
      <c r="N42" s="108">
        <v>10.073388096714197</v>
      </c>
      <c r="O42" s="108">
        <v>8522.0863298202112</v>
      </c>
      <c r="P42" s="108">
        <v>13.863359821206853</v>
      </c>
      <c r="Q42" s="108">
        <v>11728.402408740998</v>
      </c>
      <c r="R42" s="108">
        <v>10.523558937823834</v>
      </c>
      <c r="S42" s="108">
        <v>8902.9308613989633</v>
      </c>
      <c r="T42" s="108">
        <v>0</v>
      </c>
      <c r="U42" s="108">
        <v>0</v>
      </c>
      <c r="V42" s="108">
        <v>28.875000000000004</v>
      </c>
      <c r="W42" s="108">
        <v>24428.250000000004</v>
      </c>
      <c r="X42" s="108">
        <v>12.157894736842104</v>
      </c>
      <c r="Y42" s="108">
        <v>10285.57894736842</v>
      </c>
      <c r="Z42" s="108">
        <v>8.5607876712328768</v>
      </c>
      <c r="AA42" s="108">
        <v>7242.4263698630139</v>
      </c>
      <c r="AB42" s="108">
        <v>0</v>
      </c>
      <c r="AC42" s="108">
        <v>0</v>
      </c>
      <c r="AD42" s="108">
        <v>13.82823613086771</v>
      </c>
      <c r="AE42" s="108">
        <v>11698.687766714083</v>
      </c>
      <c r="AF42" s="108">
        <v>16.368513713862122</v>
      </c>
      <c r="AG42" s="108">
        <v>13847.762601927354</v>
      </c>
      <c r="AH42" s="108">
        <v>17.090770061173082</v>
      </c>
      <c r="AI42" s="108">
        <v>14458.791471752427</v>
      </c>
      <c r="AJ42" s="108">
        <v>0</v>
      </c>
      <c r="AK42" s="108">
        <v>0</v>
      </c>
      <c r="AL42" s="108">
        <v>40.691749122247053</v>
      </c>
      <c r="AM42" s="108">
        <v>34425.219757421008</v>
      </c>
      <c r="AN42" s="108">
        <v>8.2606681034482765</v>
      </c>
      <c r="AO42" s="108">
        <v>6988.525215517242</v>
      </c>
      <c r="AP42" s="108">
        <v>0</v>
      </c>
      <c r="AQ42" s="108">
        <v>0</v>
      </c>
      <c r="AR42" s="108">
        <v>61.259418434528165</v>
      </c>
      <c r="AS42" s="108">
        <v>51825.46799561083</v>
      </c>
      <c r="AT42" s="108">
        <v>0</v>
      </c>
      <c r="AU42" s="108">
        <v>0</v>
      </c>
      <c r="AV42" s="108">
        <v>71.137822634017198</v>
      </c>
      <c r="AW42" s="108">
        <v>60182.597948378549</v>
      </c>
      <c r="AX42" s="108">
        <v>32.779307631785997</v>
      </c>
      <c r="AY42" s="108">
        <v>27731.294256490954</v>
      </c>
      <c r="AZ42" s="108">
        <v>10.433994708994708</v>
      </c>
      <c r="BA42" s="108">
        <v>8827.1595238095233</v>
      </c>
      <c r="BB42" s="108">
        <v>0</v>
      </c>
      <c r="BC42" s="108">
        <v>0</v>
      </c>
      <c r="BD42" s="108">
        <v>20.893432835820896</v>
      </c>
      <c r="BE42" s="108">
        <v>17675.844179104479</v>
      </c>
      <c r="BF42" s="108">
        <v>0</v>
      </c>
      <c r="BG42" s="108">
        <v>0</v>
      </c>
      <c r="BH42" s="108">
        <v>14.973837209302324</v>
      </c>
      <c r="BI42" s="108">
        <v>12667.866279069767</v>
      </c>
      <c r="BJ42" s="108">
        <v>13.127898335315102</v>
      </c>
      <c r="BK42" s="108">
        <v>11106.201991676577</v>
      </c>
      <c r="BL42" s="108">
        <v>11.939862804878048</v>
      </c>
      <c r="BM42" s="108">
        <v>10101.123932926828</v>
      </c>
      <c r="BN42" s="108">
        <v>7.0899014778325116</v>
      </c>
      <c r="BO42" s="108">
        <v>5998.0566502463043</v>
      </c>
      <c r="BP42" s="108">
        <v>12.429244357212953</v>
      </c>
      <c r="BQ42" s="108">
        <v>10515.140726202158</v>
      </c>
      <c r="BR42" s="108">
        <v>12.808993811139947</v>
      </c>
      <c r="BS42" s="108">
        <v>10836.408764224396</v>
      </c>
      <c r="BT42" s="108">
        <v>7.7772411547644884</v>
      </c>
      <c r="BU42" s="108">
        <v>6579.5460169307571</v>
      </c>
      <c r="BV42" s="108">
        <v>0</v>
      </c>
      <c r="BW42" s="108">
        <v>0</v>
      </c>
      <c r="BX42" s="108">
        <v>29.675803072625698</v>
      </c>
      <c r="BY42" s="108">
        <v>25105.729399441341</v>
      </c>
      <c r="BZ42" s="108">
        <v>15.018717504332756</v>
      </c>
      <c r="CA42" s="108">
        <v>12705.835008665512</v>
      </c>
      <c r="CB42" s="108">
        <v>0</v>
      </c>
      <c r="CC42" s="108">
        <v>0</v>
      </c>
      <c r="CD42" s="108">
        <v>33.920467395401438</v>
      </c>
      <c r="CE42" s="108">
        <v>28696.715416509618</v>
      </c>
      <c r="CF42" s="108">
        <v>0</v>
      </c>
      <c r="CG42" s="108">
        <v>0</v>
      </c>
      <c r="CH42" s="108">
        <v>0</v>
      </c>
      <c r="CI42" s="108">
        <v>0</v>
      </c>
      <c r="CJ42" s="108">
        <v>29.522719429425976</v>
      </c>
      <c r="CK42" s="108">
        <v>24976.220637294377</v>
      </c>
      <c r="CL42" s="108">
        <v>14.751464904625358</v>
      </c>
      <c r="CM42" s="108">
        <v>12479.739309313052</v>
      </c>
      <c r="CN42" s="108">
        <v>7.0181424766977365</v>
      </c>
      <c r="CO42" s="108">
        <v>5937.3485352862854</v>
      </c>
      <c r="CP42" s="108">
        <v>0</v>
      </c>
      <c r="CQ42" s="108">
        <v>0</v>
      </c>
      <c r="CR42" s="108">
        <v>0</v>
      </c>
      <c r="CS42" s="108">
        <v>0</v>
      </c>
      <c r="CT42" s="108">
        <v>9.102630444156965</v>
      </c>
      <c r="CU42" s="108">
        <v>7700.8253557567923</v>
      </c>
    </row>
    <row r="43" spans="2:99" x14ac:dyDescent="0.2">
      <c r="C43" s="107" t="s">
        <v>208</v>
      </c>
      <c r="D43" s="108">
        <v>0</v>
      </c>
      <c r="E43" s="108">
        <v>0</v>
      </c>
      <c r="F43" s="108">
        <v>0</v>
      </c>
      <c r="G43" s="108">
        <v>0</v>
      </c>
      <c r="H43" s="108">
        <v>0</v>
      </c>
      <c r="I43" s="108">
        <v>0</v>
      </c>
      <c r="J43" s="108">
        <v>0</v>
      </c>
      <c r="K43" s="108">
        <v>0</v>
      </c>
      <c r="L43" s="108">
        <v>28.840857787810382</v>
      </c>
      <c r="M43" s="108">
        <v>29486.893002257333</v>
      </c>
      <c r="N43" s="108">
        <v>10.073388096714197</v>
      </c>
      <c r="O43" s="108">
        <v>10299.031990080595</v>
      </c>
      <c r="P43" s="108">
        <v>12.621864911845046</v>
      </c>
      <c r="Q43" s="108">
        <v>12904.594685870376</v>
      </c>
      <c r="R43" s="108">
        <v>11.333063471502591</v>
      </c>
      <c r="S43" s="108">
        <v>11586.924093264248</v>
      </c>
      <c r="T43" s="108">
        <v>0</v>
      </c>
      <c r="U43" s="108">
        <v>0</v>
      </c>
      <c r="V43" s="108">
        <v>24.75</v>
      </c>
      <c r="W43" s="108">
        <v>25304.399999999998</v>
      </c>
      <c r="X43" s="108">
        <v>11.289473684210527</v>
      </c>
      <c r="Y43" s="108">
        <v>11542.357894736842</v>
      </c>
      <c r="Z43" s="108">
        <v>9.0363869863013697</v>
      </c>
      <c r="AA43" s="108">
        <v>9238.8020547945198</v>
      </c>
      <c r="AB43" s="108">
        <v>0</v>
      </c>
      <c r="AC43" s="108">
        <v>0</v>
      </c>
      <c r="AD43" s="108">
        <v>13.433143669985775</v>
      </c>
      <c r="AE43" s="108">
        <v>13734.046088193456</v>
      </c>
      <c r="AF43" s="108">
        <v>15.133154188287619</v>
      </c>
      <c r="AG43" s="108">
        <v>15472.136842105261</v>
      </c>
      <c r="AH43" s="108">
        <v>15.891417776178482</v>
      </c>
      <c r="AI43" s="108">
        <v>16247.385534364879</v>
      </c>
      <c r="AJ43" s="108">
        <v>0</v>
      </c>
      <c r="AK43" s="108">
        <v>0</v>
      </c>
      <c r="AL43" s="108">
        <v>34.308729652090648</v>
      </c>
      <c r="AM43" s="108">
        <v>35077.245196297481</v>
      </c>
      <c r="AN43" s="108">
        <v>8.9789870689655178</v>
      </c>
      <c r="AO43" s="108">
        <v>9180.116379310346</v>
      </c>
      <c r="AP43" s="108">
        <v>0</v>
      </c>
      <c r="AQ43" s="108">
        <v>0</v>
      </c>
      <c r="AR43" s="108">
        <v>52.725768105340158</v>
      </c>
      <c r="AS43" s="108">
        <v>53906.825310899774</v>
      </c>
      <c r="AT43" s="108">
        <v>0</v>
      </c>
      <c r="AU43" s="108">
        <v>0</v>
      </c>
      <c r="AV43" s="108">
        <v>68.104814692256795</v>
      </c>
      <c r="AW43" s="108">
        <v>69630.362541363342</v>
      </c>
      <c r="AX43" s="108">
        <v>30.320859559402049</v>
      </c>
      <c r="AY43" s="108">
        <v>31000.046813532656</v>
      </c>
      <c r="AZ43" s="108">
        <v>9.4052910052910068</v>
      </c>
      <c r="BA43" s="108">
        <v>9615.9695238095246</v>
      </c>
      <c r="BB43" s="108">
        <v>0</v>
      </c>
      <c r="BC43" s="108">
        <v>0</v>
      </c>
      <c r="BD43" s="108">
        <v>20.893432835820896</v>
      </c>
      <c r="BE43" s="108">
        <v>21361.445731343283</v>
      </c>
      <c r="BF43" s="108">
        <v>0</v>
      </c>
      <c r="BG43" s="108">
        <v>0</v>
      </c>
      <c r="BH43" s="108">
        <v>17.175872093023255</v>
      </c>
      <c r="BI43" s="108">
        <v>17560.611627906976</v>
      </c>
      <c r="BJ43" s="108">
        <v>13.127898335315102</v>
      </c>
      <c r="BK43" s="108">
        <v>13421.96325802616</v>
      </c>
      <c r="BL43" s="108">
        <v>10.669664634146342</v>
      </c>
      <c r="BM43" s="108">
        <v>10908.665121951219</v>
      </c>
      <c r="BN43" s="108">
        <v>6.90332512315271</v>
      </c>
      <c r="BO43" s="108">
        <v>7057.9596059113301</v>
      </c>
      <c r="BP43" s="108">
        <v>13.57404317958783</v>
      </c>
      <c r="BQ43" s="108">
        <v>13878.101746810598</v>
      </c>
      <c r="BR43" s="108">
        <v>11.644539828309044</v>
      </c>
      <c r="BS43" s="108">
        <v>11905.377520463167</v>
      </c>
      <c r="BT43" s="108">
        <v>8.3198393748643369</v>
      </c>
      <c r="BU43" s="108">
        <v>8506.2037768612972</v>
      </c>
      <c r="BV43" s="108">
        <v>0</v>
      </c>
      <c r="BW43" s="108">
        <v>0</v>
      </c>
      <c r="BX43" s="108">
        <v>29.093924581005584</v>
      </c>
      <c r="BY43" s="108">
        <v>29745.628491620108</v>
      </c>
      <c r="BZ43" s="108">
        <v>14.729896013864817</v>
      </c>
      <c r="CA43" s="108">
        <v>15059.845684575388</v>
      </c>
      <c r="CB43" s="108">
        <v>0</v>
      </c>
      <c r="CC43" s="108">
        <v>0</v>
      </c>
      <c r="CD43" s="108">
        <v>38.945721824349789</v>
      </c>
      <c r="CE43" s="108">
        <v>39818.10599321522</v>
      </c>
      <c r="CF43" s="108">
        <v>0</v>
      </c>
      <c r="CG43" s="108">
        <v>0</v>
      </c>
      <c r="CH43" s="108">
        <v>0</v>
      </c>
      <c r="CI43" s="108">
        <v>0</v>
      </c>
      <c r="CJ43" s="108">
        <v>28.755895548142185</v>
      </c>
      <c r="CK43" s="108">
        <v>29400.027608420569</v>
      </c>
      <c r="CL43" s="108">
        <v>13.816512903627977</v>
      </c>
      <c r="CM43" s="108">
        <v>14126.002792669244</v>
      </c>
      <c r="CN43" s="108">
        <v>6.8621837549933424</v>
      </c>
      <c r="CO43" s="108">
        <v>7015.8966711051935</v>
      </c>
      <c r="CP43" s="108">
        <v>0</v>
      </c>
      <c r="CQ43" s="108">
        <v>0</v>
      </c>
      <c r="CR43" s="108">
        <v>0</v>
      </c>
      <c r="CS43" s="108">
        <v>0</v>
      </c>
      <c r="CT43" s="108">
        <v>9.821259163432515</v>
      </c>
      <c r="CU43" s="108">
        <v>10041.255368693402</v>
      </c>
    </row>
    <row r="44" spans="2:99" x14ac:dyDescent="0.2">
      <c r="C44" s="107" t="s">
        <v>209</v>
      </c>
      <c r="D44" s="108">
        <v>0</v>
      </c>
      <c r="E44" s="108">
        <v>0</v>
      </c>
      <c r="F44" s="108">
        <v>0</v>
      </c>
      <c r="G44" s="108">
        <v>0</v>
      </c>
      <c r="H44" s="108">
        <v>0</v>
      </c>
      <c r="I44" s="108">
        <v>0</v>
      </c>
      <c r="J44" s="108">
        <v>0</v>
      </c>
      <c r="K44" s="108">
        <v>0</v>
      </c>
      <c r="L44" s="108">
        <v>25.079006772009027</v>
      </c>
      <c r="M44" s="108">
        <v>25640.776523702028</v>
      </c>
      <c r="N44" s="108">
        <v>8.5236360818350896</v>
      </c>
      <c r="O44" s="108">
        <v>8714.5655300681956</v>
      </c>
      <c r="P44" s="108">
        <v>13.035696548298983</v>
      </c>
      <c r="Q44" s="108">
        <v>13327.696150980879</v>
      </c>
      <c r="R44" s="108">
        <v>10.25372409326425</v>
      </c>
      <c r="S44" s="108">
        <v>10483.407512953368</v>
      </c>
      <c r="T44" s="108">
        <v>0</v>
      </c>
      <c r="U44" s="108">
        <v>0</v>
      </c>
      <c r="V44" s="108">
        <v>24.0625</v>
      </c>
      <c r="W44" s="108">
        <v>24601.5</v>
      </c>
      <c r="X44" s="108">
        <v>12.157894736842104</v>
      </c>
      <c r="Y44" s="108">
        <v>12430.231578947367</v>
      </c>
      <c r="Z44" s="108">
        <v>8.5607876712328768</v>
      </c>
      <c r="AA44" s="108">
        <v>8752.5493150684924</v>
      </c>
      <c r="AB44" s="108">
        <v>0</v>
      </c>
      <c r="AC44" s="108">
        <v>0</v>
      </c>
      <c r="AD44" s="108">
        <v>12.642958748221906</v>
      </c>
      <c r="AE44" s="108">
        <v>12926.161024182076</v>
      </c>
      <c r="AF44" s="108">
        <v>15.441994069681245</v>
      </c>
      <c r="AG44" s="108">
        <v>15787.894736842105</v>
      </c>
      <c r="AH44" s="108">
        <v>17.090770061173082</v>
      </c>
      <c r="AI44" s="108">
        <v>17473.60331054336</v>
      </c>
      <c r="AJ44" s="108">
        <v>0</v>
      </c>
      <c r="AK44" s="108">
        <v>0</v>
      </c>
      <c r="AL44" s="108">
        <v>35.106607085860198</v>
      </c>
      <c r="AM44" s="108">
        <v>35892.995084583468</v>
      </c>
      <c r="AN44" s="108">
        <v>8.6198275862068972</v>
      </c>
      <c r="AO44" s="108">
        <v>8812.9117241379317</v>
      </c>
      <c r="AP44" s="108">
        <v>0</v>
      </c>
      <c r="AQ44" s="108">
        <v>0</v>
      </c>
      <c r="AR44" s="108">
        <v>55.163953913679599</v>
      </c>
      <c r="AS44" s="108">
        <v>56399.626481346022</v>
      </c>
      <c r="AT44" s="108">
        <v>0</v>
      </c>
      <c r="AU44" s="108">
        <v>0</v>
      </c>
      <c r="AV44" s="108">
        <v>61.763070814030442</v>
      </c>
      <c r="AW44" s="108">
        <v>63146.563600264722</v>
      </c>
      <c r="AX44" s="108">
        <v>31.632031864673486</v>
      </c>
      <c r="AY44" s="108">
        <v>32340.589378442171</v>
      </c>
      <c r="AZ44" s="108">
        <v>9.4052910052910068</v>
      </c>
      <c r="BA44" s="108">
        <v>9615.9695238095246</v>
      </c>
      <c r="BB44" s="108">
        <v>0</v>
      </c>
      <c r="BC44" s="108">
        <v>0</v>
      </c>
      <c r="BD44" s="108">
        <v>21.22507462686567</v>
      </c>
      <c r="BE44" s="108">
        <v>21700.51629850746</v>
      </c>
      <c r="BF44" s="108">
        <v>0</v>
      </c>
      <c r="BG44" s="108">
        <v>0</v>
      </c>
      <c r="BH44" s="108">
        <v>17.175872093023255</v>
      </c>
      <c r="BI44" s="108">
        <v>17560.611627906976</v>
      </c>
      <c r="BJ44" s="108">
        <v>12.13711355529132</v>
      </c>
      <c r="BK44" s="108">
        <v>12408.984898929844</v>
      </c>
      <c r="BL44" s="108">
        <v>12.447942073170731</v>
      </c>
      <c r="BM44" s="108">
        <v>12726.775975609755</v>
      </c>
      <c r="BN44" s="108">
        <v>6.1570197044334973</v>
      </c>
      <c r="BO44" s="108">
        <v>6294.9369458128076</v>
      </c>
      <c r="BP44" s="108">
        <v>11.938616290480864</v>
      </c>
      <c r="BQ44" s="108">
        <v>12206.041295387635</v>
      </c>
      <c r="BR44" s="108">
        <v>12.642643242164104</v>
      </c>
      <c r="BS44" s="108">
        <v>12925.838450788578</v>
      </c>
      <c r="BT44" s="108">
        <v>8.3198393748643369</v>
      </c>
      <c r="BU44" s="108">
        <v>8506.2037768612972</v>
      </c>
      <c r="BV44" s="108">
        <v>0</v>
      </c>
      <c r="BW44" s="108">
        <v>0</v>
      </c>
      <c r="BX44" s="108">
        <v>29.675803072625698</v>
      </c>
      <c r="BY44" s="108">
        <v>30340.541061452514</v>
      </c>
      <c r="BZ44" s="108">
        <v>17.040467937608319</v>
      </c>
      <c r="CA44" s="108">
        <v>17422.174419410745</v>
      </c>
      <c r="CB44" s="108">
        <v>0</v>
      </c>
      <c r="CC44" s="108">
        <v>0</v>
      </c>
      <c r="CD44" s="108">
        <v>37.689408217112707</v>
      </c>
      <c r="CE44" s="108">
        <v>38533.650961176034</v>
      </c>
      <c r="CF44" s="108">
        <v>0</v>
      </c>
      <c r="CG44" s="108">
        <v>0</v>
      </c>
      <c r="CH44" s="108">
        <v>0</v>
      </c>
      <c r="CI44" s="108">
        <v>0</v>
      </c>
      <c r="CJ44" s="108">
        <v>27.030541815253653</v>
      </c>
      <c r="CK44" s="108">
        <v>27636.025951915333</v>
      </c>
      <c r="CL44" s="108">
        <v>14.232047126293478</v>
      </c>
      <c r="CM44" s="108">
        <v>14550.844981922452</v>
      </c>
      <c r="CN44" s="108">
        <v>7.3300599201065255</v>
      </c>
      <c r="CO44" s="108">
        <v>7494.2532623169118</v>
      </c>
      <c r="CP44" s="108">
        <v>0</v>
      </c>
      <c r="CQ44" s="108">
        <v>0</v>
      </c>
      <c r="CR44" s="108">
        <v>0</v>
      </c>
      <c r="CS44" s="108">
        <v>0</v>
      </c>
      <c r="CT44" s="108">
        <v>8.863087537731781</v>
      </c>
      <c r="CU44" s="108">
        <v>9061.6206985769732</v>
      </c>
    </row>
    <row r="45" spans="2:99" x14ac:dyDescent="0.2">
      <c r="C45" s="107" t="s">
        <v>210</v>
      </c>
      <c r="D45" s="108">
        <v>0</v>
      </c>
      <c r="E45" s="108">
        <v>0</v>
      </c>
      <c r="F45" s="108">
        <v>0</v>
      </c>
      <c r="G45" s="108">
        <v>0</v>
      </c>
      <c r="H45" s="108">
        <v>0</v>
      </c>
      <c r="I45" s="108">
        <v>0</v>
      </c>
      <c r="J45" s="108">
        <v>0</v>
      </c>
      <c r="K45" s="108">
        <v>0</v>
      </c>
      <c r="L45" s="108">
        <v>25.705981941309254</v>
      </c>
      <c r="M45" s="108">
        <v>32111.91264108352</v>
      </c>
      <c r="N45" s="108">
        <v>9.2985120892746433</v>
      </c>
      <c r="O45" s="108">
        <v>11615.701301921885</v>
      </c>
      <c r="P45" s="108">
        <v>12.621864911845046</v>
      </c>
      <c r="Q45" s="108">
        <v>15767.233647876832</v>
      </c>
      <c r="R45" s="108">
        <v>9.9838892487046618</v>
      </c>
      <c r="S45" s="108">
        <v>12471.874449481864</v>
      </c>
      <c r="T45" s="108">
        <v>0</v>
      </c>
      <c r="U45" s="108">
        <v>0</v>
      </c>
      <c r="V45" s="108">
        <v>26.124999999999996</v>
      </c>
      <c r="W45" s="108">
        <v>32635.35</v>
      </c>
      <c r="X45" s="108">
        <v>12.157894736842104</v>
      </c>
      <c r="Y45" s="108">
        <v>15187.642105263158</v>
      </c>
      <c r="Z45" s="108">
        <v>9.5119863013698627</v>
      </c>
      <c r="AA45" s="108">
        <v>11882.373287671233</v>
      </c>
      <c r="AB45" s="108">
        <v>0</v>
      </c>
      <c r="AC45" s="108">
        <v>0</v>
      </c>
      <c r="AD45" s="108">
        <v>14.223328591749645</v>
      </c>
      <c r="AE45" s="108">
        <v>17767.782076813659</v>
      </c>
      <c r="AF45" s="108">
        <v>15.441994069681245</v>
      </c>
      <c r="AG45" s="108">
        <v>19290.138991845812</v>
      </c>
      <c r="AH45" s="108">
        <v>17.990284274919034</v>
      </c>
      <c r="AI45" s="108">
        <v>22473.463116228857</v>
      </c>
      <c r="AJ45" s="108">
        <v>0</v>
      </c>
      <c r="AK45" s="108">
        <v>0</v>
      </c>
      <c r="AL45" s="108">
        <v>32.712974784551548</v>
      </c>
      <c r="AM45" s="108">
        <v>40865.048100861794</v>
      </c>
      <c r="AN45" s="108">
        <v>7.901508620689655</v>
      </c>
      <c r="AO45" s="108">
        <v>9870.5645689655175</v>
      </c>
      <c r="AP45" s="108">
        <v>0</v>
      </c>
      <c r="AQ45" s="108">
        <v>0</v>
      </c>
      <c r="AR45" s="108">
        <v>57.29736649597659</v>
      </c>
      <c r="AS45" s="108">
        <v>71575.870226773957</v>
      </c>
      <c r="AT45" s="108">
        <v>0</v>
      </c>
      <c r="AU45" s="108">
        <v>0</v>
      </c>
      <c r="AV45" s="108">
        <v>64.244622766379891</v>
      </c>
      <c r="AW45" s="108">
        <v>80254.382759761764</v>
      </c>
      <c r="AX45" s="108">
        <v>27.862411487018097</v>
      </c>
      <c r="AY45" s="108">
        <v>34805.72442958301</v>
      </c>
      <c r="AZ45" s="108">
        <v>9.5522486772486772</v>
      </c>
      <c r="BA45" s="108">
        <v>11932.669047619049</v>
      </c>
      <c r="BB45" s="108">
        <v>0</v>
      </c>
      <c r="BC45" s="108">
        <v>0</v>
      </c>
      <c r="BD45" s="108">
        <v>20.561791044776118</v>
      </c>
      <c r="BE45" s="108">
        <v>25685.789373134328</v>
      </c>
      <c r="BF45" s="108">
        <v>0</v>
      </c>
      <c r="BG45" s="108">
        <v>0</v>
      </c>
      <c r="BH45" s="108">
        <v>16.73546511627907</v>
      </c>
      <c r="BI45" s="108">
        <v>20905.943023255815</v>
      </c>
      <c r="BJ45" s="108">
        <v>11.64172116527943</v>
      </c>
      <c r="BK45" s="108">
        <v>14542.838079667064</v>
      </c>
      <c r="BL45" s="108">
        <v>11.431783536585366</v>
      </c>
      <c r="BM45" s="108">
        <v>14280.583993902439</v>
      </c>
      <c r="BN45" s="108">
        <v>6.7167487684729066</v>
      </c>
      <c r="BO45" s="108">
        <v>8390.5625615763547</v>
      </c>
      <c r="BP45" s="108">
        <v>11.447988223748773</v>
      </c>
      <c r="BQ45" s="108">
        <v>14300.826889106967</v>
      </c>
      <c r="BR45" s="108">
        <v>12.642643242164104</v>
      </c>
      <c r="BS45" s="108">
        <v>15793.189938111398</v>
      </c>
      <c r="BT45" s="108">
        <v>7.5963750813978734</v>
      </c>
      <c r="BU45" s="108">
        <v>9489.3917516822239</v>
      </c>
      <c r="BV45" s="108">
        <v>0</v>
      </c>
      <c r="BW45" s="108">
        <v>0</v>
      </c>
      <c r="BX45" s="108">
        <v>29.675803072625698</v>
      </c>
      <c r="BY45" s="108">
        <v>37071.013198324021</v>
      </c>
      <c r="BZ45" s="108">
        <v>15.59636048526863</v>
      </c>
      <c r="CA45" s="108">
        <v>19482.973518197574</v>
      </c>
      <c r="CB45" s="108">
        <v>0</v>
      </c>
      <c r="CC45" s="108">
        <v>0</v>
      </c>
      <c r="CD45" s="108">
        <v>37.689408217112707</v>
      </c>
      <c r="CE45" s="108">
        <v>47081.608744817197</v>
      </c>
      <c r="CF45" s="108">
        <v>0</v>
      </c>
      <c r="CG45" s="108">
        <v>0</v>
      </c>
      <c r="CH45" s="108">
        <v>0</v>
      </c>
      <c r="CI45" s="108">
        <v>0</v>
      </c>
      <c r="CJ45" s="108">
        <v>26.455423904290807</v>
      </c>
      <c r="CK45" s="108">
        <v>33048.115541240077</v>
      </c>
      <c r="CL45" s="108">
        <v>13.608745792295226</v>
      </c>
      <c r="CM45" s="108">
        <v>17000.045243735196</v>
      </c>
      <c r="CN45" s="108">
        <v>6.8621837549933424</v>
      </c>
      <c r="CO45" s="108">
        <v>8572.2399467376836</v>
      </c>
      <c r="CP45" s="108">
        <v>0</v>
      </c>
      <c r="CQ45" s="108">
        <v>0</v>
      </c>
      <c r="CR45" s="108">
        <v>0</v>
      </c>
      <c r="CS45" s="108">
        <v>0</v>
      </c>
      <c r="CT45" s="108">
        <v>8.3840017248814149</v>
      </c>
      <c r="CU45" s="108">
        <v>10473.294954721863</v>
      </c>
    </row>
    <row r="46" spans="2:99" x14ac:dyDescent="0.2">
      <c r="C46" s="107" t="s">
        <v>211</v>
      </c>
      <c r="D46" s="108">
        <v>0</v>
      </c>
      <c r="E46" s="108">
        <v>0</v>
      </c>
      <c r="F46" s="108">
        <v>0</v>
      </c>
      <c r="G46" s="108">
        <v>0</v>
      </c>
      <c r="H46" s="108">
        <v>0</v>
      </c>
      <c r="I46" s="108">
        <v>0</v>
      </c>
      <c r="J46" s="108">
        <v>0</v>
      </c>
      <c r="K46" s="108">
        <v>0</v>
      </c>
      <c r="L46" s="108">
        <v>25.079006772009027</v>
      </c>
      <c r="M46" s="108">
        <v>30395.756207674942</v>
      </c>
      <c r="N46" s="108">
        <v>9.5568040917544934</v>
      </c>
      <c r="O46" s="108">
        <v>11582.846559206446</v>
      </c>
      <c r="P46" s="108">
        <v>11.794201638937174</v>
      </c>
      <c r="Q46" s="108">
        <v>14294.572386391856</v>
      </c>
      <c r="R46" s="108">
        <v>11.602898316062175</v>
      </c>
      <c r="S46" s="108">
        <v>14062.712759067357</v>
      </c>
      <c r="T46" s="108">
        <v>0</v>
      </c>
      <c r="U46" s="108">
        <v>0</v>
      </c>
      <c r="V46" s="108">
        <v>24.75</v>
      </c>
      <c r="W46" s="108">
        <v>29997</v>
      </c>
      <c r="X46" s="108">
        <v>12.592105263157894</v>
      </c>
      <c r="Y46" s="108">
        <v>15261.631578947367</v>
      </c>
      <c r="Z46" s="108">
        <v>9.0363869863013697</v>
      </c>
      <c r="AA46" s="108">
        <v>10952.101027397261</v>
      </c>
      <c r="AB46" s="108">
        <v>0</v>
      </c>
      <c r="AC46" s="108">
        <v>0</v>
      </c>
      <c r="AD46" s="108">
        <v>13.038051209103839</v>
      </c>
      <c r="AE46" s="108">
        <v>15802.118065433853</v>
      </c>
      <c r="AF46" s="108">
        <v>14.824314306893996</v>
      </c>
      <c r="AG46" s="108">
        <v>17967.068939955523</v>
      </c>
      <c r="AH46" s="108">
        <v>17.090770061173082</v>
      </c>
      <c r="AI46" s="108">
        <v>20714.013314141775</v>
      </c>
      <c r="AJ46" s="108">
        <v>0</v>
      </c>
      <c r="AK46" s="108">
        <v>0</v>
      </c>
      <c r="AL46" s="108">
        <v>32.712974784551548</v>
      </c>
      <c r="AM46" s="108">
        <v>39648.125438876479</v>
      </c>
      <c r="AN46" s="108">
        <v>8.2606681034482765</v>
      </c>
      <c r="AO46" s="108">
        <v>10011.929741379312</v>
      </c>
      <c r="AP46" s="108">
        <v>0</v>
      </c>
      <c r="AQ46" s="108">
        <v>0</v>
      </c>
      <c r="AR46" s="108">
        <v>53.944861009509872</v>
      </c>
      <c r="AS46" s="108">
        <v>65381.171543525961</v>
      </c>
      <c r="AT46" s="108">
        <v>0</v>
      </c>
      <c r="AU46" s="108">
        <v>0</v>
      </c>
      <c r="AV46" s="108">
        <v>69.759182660489742</v>
      </c>
      <c r="AW46" s="108">
        <v>84548.129384513566</v>
      </c>
      <c r="AX46" s="108">
        <v>27.862411487018097</v>
      </c>
      <c r="AY46" s="108">
        <v>33769.242722265932</v>
      </c>
      <c r="AZ46" s="108">
        <v>9.4052910052910068</v>
      </c>
      <c r="BA46" s="108">
        <v>11399.212698412701</v>
      </c>
      <c r="BB46" s="108">
        <v>0</v>
      </c>
      <c r="BC46" s="108">
        <v>0</v>
      </c>
      <c r="BD46" s="108">
        <v>20.893432835820896</v>
      </c>
      <c r="BE46" s="108">
        <v>25322.840597014925</v>
      </c>
      <c r="BF46" s="108">
        <v>0</v>
      </c>
      <c r="BG46" s="108">
        <v>0</v>
      </c>
      <c r="BH46" s="108">
        <v>16.295058139534884</v>
      </c>
      <c r="BI46" s="108">
        <v>19749.610465116279</v>
      </c>
      <c r="BJ46" s="108">
        <v>10.898632580261593</v>
      </c>
      <c r="BK46" s="108">
        <v>13209.14268727705</v>
      </c>
      <c r="BL46" s="108">
        <v>10.415625</v>
      </c>
      <c r="BM46" s="108">
        <v>12623.737500000001</v>
      </c>
      <c r="BN46" s="108">
        <v>6.7167487684729066</v>
      </c>
      <c r="BO46" s="108">
        <v>8140.699507389163</v>
      </c>
      <c r="BP46" s="108">
        <v>11.61153091265947</v>
      </c>
      <c r="BQ46" s="108">
        <v>14073.175466143277</v>
      </c>
      <c r="BR46" s="108">
        <v>11.97724096626073</v>
      </c>
      <c r="BS46" s="108">
        <v>14516.416051108004</v>
      </c>
      <c r="BT46" s="108">
        <v>8.5007054482309528</v>
      </c>
      <c r="BU46" s="108">
        <v>10302.855003255914</v>
      </c>
      <c r="BV46" s="108">
        <v>0</v>
      </c>
      <c r="BW46" s="108">
        <v>0</v>
      </c>
      <c r="BX46" s="108">
        <v>26.184532122905029</v>
      </c>
      <c r="BY46" s="108">
        <v>31735.652932960897</v>
      </c>
      <c r="BZ46" s="108">
        <v>15.018717504332756</v>
      </c>
      <c r="CA46" s="108">
        <v>18202.685615251299</v>
      </c>
      <c r="CB46" s="108">
        <v>0</v>
      </c>
      <c r="CC46" s="108">
        <v>0</v>
      </c>
      <c r="CD46" s="108">
        <v>32.664153788164342</v>
      </c>
      <c r="CE46" s="108">
        <v>39588.954391255182</v>
      </c>
      <c r="CF46" s="108">
        <v>0</v>
      </c>
      <c r="CG46" s="108">
        <v>0</v>
      </c>
      <c r="CH46" s="108">
        <v>0</v>
      </c>
      <c r="CI46" s="108">
        <v>0</v>
      </c>
      <c r="CJ46" s="108">
        <v>28.180777637179339</v>
      </c>
      <c r="CK46" s="108">
        <v>34155.102496261359</v>
      </c>
      <c r="CL46" s="108">
        <v>14.751464904625358</v>
      </c>
      <c r="CM46" s="108">
        <v>17878.775464405935</v>
      </c>
      <c r="CN46" s="108">
        <v>6.0823901464713721</v>
      </c>
      <c r="CO46" s="108">
        <v>7371.856857523303</v>
      </c>
      <c r="CP46" s="108">
        <v>0</v>
      </c>
      <c r="CQ46" s="108">
        <v>0</v>
      </c>
      <c r="CR46" s="108">
        <v>0</v>
      </c>
      <c r="CS46" s="108">
        <v>0</v>
      </c>
      <c r="CT46" s="108">
        <v>9.821259163432515</v>
      </c>
      <c r="CU46" s="108">
        <v>11903.366106080208</v>
      </c>
    </row>
    <row r="47" spans="2:99" x14ac:dyDescent="0.2">
      <c r="C47" s="107" t="s">
        <v>212</v>
      </c>
      <c r="D47" s="108">
        <v>0</v>
      </c>
      <c r="E47" s="108">
        <v>0</v>
      </c>
      <c r="F47" s="108">
        <v>0</v>
      </c>
      <c r="G47" s="108">
        <v>0</v>
      </c>
      <c r="H47" s="108">
        <v>0</v>
      </c>
      <c r="I47" s="108">
        <v>0</v>
      </c>
      <c r="J47" s="108">
        <v>0</v>
      </c>
      <c r="K47" s="108">
        <v>0</v>
      </c>
      <c r="L47" s="108">
        <v>26.959932279909708</v>
      </c>
      <c r="M47" s="108">
        <v>41183.99255079007</v>
      </c>
      <c r="N47" s="108">
        <v>9.2985120892746433</v>
      </c>
      <c r="O47" s="108">
        <v>14204.407067575945</v>
      </c>
      <c r="P47" s="108">
        <v>12.001117457164142</v>
      </c>
      <c r="Q47" s="108">
        <v>18332.907027563942</v>
      </c>
      <c r="R47" s="108">
        <v>10.523558937823834</v>
      </c>
      <c r="S47" s="108">
        <v>16075.788633419688</v>
      </c>
      <c r="T47" s="108">
        <v>0</v>
      </c>
      <c r="U47" s="108">
        <v>0</v>
      </c>
      <c r="V47" s="108">
        <v>23.375</v>
      </c>
      <c r="W47" s="108">
        <v>35707.65</v>
      </c>
      <c r="X47" s="108">
        <v>12.592105263157894</v>
      </c>
      <c r="Y47" s="108">
        <v>19235.699999999997</v>
      </c>
      <c r="Z47" s="108">
        <v>9.0363869863013697</v>
      </c>
      <c r="AA47" s="108">
        <v>13803.984760273972</v>
      </c>
      <c r="AB47" s="108">
        <v>0</v>
      </c>
      <c r="AC47" s="108">
        <v>0</v>
      </c>
      <c r="AD47" s="108">
        <v>12.642958748221906</v>
      </c>
      <c r="AE47" s="108">
        <v>19313.383783783782</v>
      </c>
      <c r="AF47" s="108">
        <v>15.75083395107487</v>
      </c>
      <c r="AG47" s="108">
        <v>24060.973943661971</v>
      </c>
      <c r="AH47" s="108">
        <v>14.39222741993523</v>
      </c>
      <c r="AI47" s="108">
        <v>21985.566606693057</v>
      </c>
      <c r="AJ47" s="108">
        <v>0</v>
      </c>
      <c r="AK47" s="108">
        <v>0</v>
      </c>
      <c r="AL47" s="108">
        <v>32.712974784551548</v>
      </c>
      <c r="AM47" s="108">
        <v>49972.340280880941</v>
      </c>
      <c r="AN47" s="108">
        <v>7.5423491379310352</v>
      </c>
      <c r="AO47" s="108">
        <v>11521.692543103449</v>
      </c>
      <c r="AP47" s="108">
        <v>0</v>
      </c>
      <c r="AQ47" s="108">
        <v>0</v>
      </c>
      <c r="AR47" s="108">
        <v>54.249634235552307</v>
      </c>
      <c r="AS47" s="108">
        <v>82871.741258229697</v>
      </c>
      <c r="AT47" s="108">
        <v>0</v>
      </c>
      <c r="AU47" s="108">
        <v>0</v>
      </c>
      <c r="AV47" s="108">
        <v>62.590254798146923</v>
      </c>
      <c r="AW47" s="108">
        <v>95612.873229649238</v>
      </c>
      <c r="AX47" s="108">
        <v>29.173583792289534</v>
      </c>
      <c r="AY47" s="108">
        <v>44565.566601101491</v>
      </c>
      <c r="AZ47" s="108">
        <v>8.3765873015873016</v>
      </c>
      <c r="BA47" s="108">
        <v>12796.074761904762</v>
      </c>
      <c r="BB47" s="108">
        <v>0</v>
      </c>
      <c r="BC47" s="108">
        <v>0</v>
      </c>
      <c r="BD47" s="108">
        <v>19.898507462686567</v>
      </c>
      <c r="BE47" s="108">
        <v>30396.959999999999</v>
      </c>
      <c r="BF47" s="108">
        <v>0</v>
      </c>
      <c r="BG47" s="108">
        <v>0</v>
      </c>
      <c r="BH47" s="108">
        <v>13.652616279069768</v>
      </c>
      <c r="BI47" s="108">
        <v>20855.736627906976</v>
      </c>
      <c r="BJ47" s="108">
        <v>10.403240190249702</v>
      </c>
      <c r="BK47" s="108">
        <v>15891.989714625444</v>
      </c>
      <c r="BL47" s="108">
        <v>11.685823170731707</v>
      </c>
      <c r="BM47" s="108">
        <v>17851.263475609754</v>
      </c>
      <c r="BN47" s="108">
        <v>6.3435960591133007</v>
      </c>
      <c r="BO47" s="108">
        <v>9690.4773399014775</v>
      </c>
      <c r="BP47" s="108">
        <v>10.957360157016684</v>
      </c>
      <c r="BQ47" s="108">
        <v>16738.463375858686</v>
      </c>
      <c r="BR47" s="108">
        <v>12.143591535236574</v>
      </c>
      <c r="BS47" s="108">
        <v>18550.550429227391</v>
      </c>
      <c r="BT47" s="108">
        <v>7.4155090080312567</v>
      </c>
      <c r="BU47" s="108">
        <v>11327.931560668547</v>
      </c>
      <c r="BV47" s="108">
        <v>0</v>
      </c>
      <c r="BW47" s="108">
        <v>0</v>
      </c>
      <c r="BX47" s="108">
        <v>25.602653631284916</v>
      </c>
      <c r="BY47" s="108">
        <v>39110.613687150835</v>
      </c>
      <c r="BZ47" s="108">
        <v>15.307538994800693</v>
      </c>
      <c r="CA47" s="108">
        <v>23383.796568457536</v>
      </c>
      <c r="CB47" s="108">
        <v>0</v>
      </c>
      <c r="CC47" s="108">
        <v>0</v>
      </c>
      <c r="CD47" s="108">
        <v>34.548624199019976</v>
      </c>
      <c r="CE47" s="108">
        <v>52776.478326422912</v>
      </c>
      <c r="CF47" s="108">
        <v>0</v>
      </c>
      <c r="CG47" s="108">
        <v>0</v>
      </c>
      <c r="CH47" s="108">
        <v>0</v>
      </c>
      <c r="CI47" s="108">
        <v>0</v>
      </c>
      <c r="CJ47" s="108">
        <v>24.538364201081333</v>
      </c>
      <c r="CK47" s="108">
        <v>37484.80515357184</v>
      </c>
      <c r="CL47" s="108">
        <v>13.504862236628849</v>
      </c>
      <c r="CM47" s="108">
        <v>20630.02755267423</v>
      </c>
      <c r="CN47" s="108">
        <v>6.2383488681757653</v>
      </c>
      <c r="CO47" s="108">
        <v>9529.7017310252977</v>
      </c>
      <c r="CP47" s="108">
        <v>0</v>
      </c>
      <c r="CQ47" s="108">
        <v>0</v>
      </c>
      <c r="CR47" s="108">
        <v>0</v>
      </c>
      <c r="CS47" s="108">
        <v>0</v>
      </c>
      <c r="CT47" s="108">
        <v>8.6235446313065989</v>
      </c>
      <c r="CU47" s="108">
        <v>13173.32677878396</v>
      </c>
    </row>
    <row r="48" spans="2:99" x14ac:dyDescent="0.2">
      <c r="C48" s="107" t="s">
        <v>213</v>
      </c>
      <c r="D48" s="108">
        <v>0</v>
      </c>
      <c r="E48" s="108">
        <v>0</v>
      </c>
      <c r="F48" s="108">
        <v>0</v>
      </c>
      <c r="G48" s="108">
        <v>0</v>
      </c>
      <c r="H48" s="108">
        <v>0</v>
      </c>
      <c r="I48" s="108">
        <v>0</v>
      </c>
      <c r="J48" s="108">
        <v>0</v>
      </c>
      <c r="K48" s="108">
        <v>0</v>
      </c>
      <c r="L48" s="108">
        <v>26.332957110609481</v>
      </c>
      <c r="M48" s="108">
        <v>22846.473589164787</v>
      </c>
      <c r="N48" s="108">
        <v>9.815096094234347</v>
      </c>
      <c r="O48" s="108">
        <v>8515.57737135772</v>
      </c>
      <c r="P48" s="108">
        <v>12.208033275391109</v>
      </c>
      <c r="Q48" s="108">
        <v>10591.689669729327</v>
      </c>
      <c r="R48" s="108">
        <v>11.602898316062175</v>
      </c>
      <c r="S48" s="108">
        <v>10066.674579015544</v>
      </c>
      <c r="T48" s="108">
        <v>0</v>
      </c>
      <c r="U48" s="108">
        <v>0</v>
      </c>
      <c r="V48" s="108">
        <v>26.8125</v>
      </c>
      <c r="W48" s="108">
        <v>23262.525000000001</v>
      </c>
      <c r="X48" s="108">
        <v>11.723684210526317</v>
      </c>
      <c r="Y48" s="108">
        <v>10171.468421052632</v>
      </c>
      <c r="Z48" s="108">
        <v>9.9875856164383556</v>
      </c>
      <c r="AA48" s="108">
        <v>8665.2292808219172</v>
      </c>
      <c r="AB48" s="108">
        <v>0</v>
      </c>
      <c r="AC48" s="108">
        <v>0</v>
      </c>
      <c r="AD48" s="108">
        <v>12.247866287339971</v>
      </c>
      <c r="AE48" s="108">
        <v>10626.248790896159</v>
      </c>
      <c r="AF48" s="108">
        <v>17.60387323943662</v>
      </c>
      <c r="AG48" s="108">
        <v>15273.120422535212</v>
      </c>
      <c r="AH48" s="108">
        <v>17.690446203670383</v>
      </c>
      <c r="AI48" s="108">
        <v>15348.231126304425</v>
      </c>
      <c r="AJ48" s="108">
        <v>0</v>
      </c>
      <c r="AK48" s="108">
        <v>0</v>
      </c>
      <c r="AL48" s="108">
        <v>38.298116820938397</v>
      </c>
      <c r="AM48" s="108">
        <v>33227.446153846155</v>
      </c>
      <c r="AN48" s="108">
        <v>8.9789870689655178</v>
      </c>
      <c r="AO48" s="108">
        <v>7790.1691810344837</v>
      </c>
      <c r="AP48" s="108">
        <v>0</v>
      </c>
      <c r="AQ48" s="108">
        <v>0</v>
      </c>
      <c r="AR48" s="108">
        <v>60.040325530358452</v>
      </c>
      <c r="AS48" s="108">
        <v>52090.986430138997</v>
      </c>
      <c r="AT48" s="108">
        <v>0</v>
      </c>
      <c r="AU48" s="108">
        <v>0</v>
      </c>
      <c r="AV48" s="108">
        <v>75.82519854401059</v>
      </c>
      <c r="AW48" s="108">
        <v>65785.942256783586</v>
      </c>
      <c r="AX48" s="108">
        <v>33.43489378442171</v>
      </c>
      <c r="AY48" s="108">
        <v>29008.113847364275</v>
      </c>
      <c r="AZ48" s="108">
        <v>9.2583333333333329</v>
      </c>
      <c r="BA48" s="108">
        <v>8032.53</v>
      </c>
      <c r="BB48" s="108">
        <v>0</v>
      </c>
      <c r="BC48" s="108">
        <v>0</v>
      </c>
      <c r="BD48" s="108">
        <v>22.220000000000002</v>
      </c>
      <c r="BE48" s="108">
        <v>19278.072000000004</v>
      </c>
      <c r="BF48" s="108">
        <v>0</v>
      </c>
      <c r="BG48" s="108">
        <v>0</v>
      </c>
      <c r="BH48" s="108">
        <v>14.533430232558139</v>
      </c>
      <c r="BI48" s="108">
        <v>12609.204069767442</v>
      </c>
      <c r="BJ48" s="108">
        <v>13.127898335315102</v>
      </c>
      <c r="BK48" s="108">
        <v>11389.764595719384</v>
      </c>
      <c r="BL48" s="108">
        <v>12.447942073170731</v>
      </c>
      <c r="BM48" s="108">
        <v>10799.834542682927</v>
      </c>
      <c r="BN48" s="108">
        <v>7.2764778325123158</v>
      </c>
      <c r="BO48" s="108">
        <v>6313.072167487685</v>
      </c>
      <c r="BP48" s="108">
        <v>12.59278704612365</v>
      </c>
      <c r="BQ48" s="108">
        <v>10925.50204121688</v>
      </c>
      <c r="BR48" s="108">
        <v>12.476292673188262</v>
      </c>
      <c r="BS48" s="108">
        <v>10824.431523258136</v>
      </c>
      <c r="BT48" s="108">
        <v>7.7772411547644884</v>
      </c>
      <c r="BU48" s="108">
        <v>6747.5344258736704</v>
      </c>
      <c r="BV48" s="108">
        <v>0</v>
      </c>
      <c r="BW48" s="108">
        <v>0</v>
      </c>
      <c r="BX48" s="108">
        <v>29.093924581005584</v>
      </c>
      <c r="BY48" s="108">
        <v>25241.888966480445</v>
      </c>
      <c r="BZ48" s="108">
        <v>17.040467937608319</v>
      </c>
      <c r="CA48" s="108">
        <v>14784.309982668978</v>
      </c>
      <c r="CB48" s="108">
        <v>0</v>
      </c>
      <c r="CC48" s="108">
        <v>0</v>
      </c>
      <c r="CD48" s="108">
        <v>35.804937806257072</v>
      </c>
      <c r="CE48" s="108">
        <v>31064.364040708639</v>
      </c>
      <c r="CF48" s="108">
        <v>0</v>
      </c>
      <c r="CG48" s="108">
        <v>0</v>
      </c>
      <c r="CH48" s="108">
        <v>0</v>
      </c>
      <c r="CI48" s="108">
        <v>0</v>
      </c>
      <c r="CJ48" s="108">
        <v>28.947601518463134</v>
      </c>
      <c r="CK48" s="108">
        <v>25114.939077418618</v>
      </c>
      <c r="CL48" s="108">
        <v>14.024280014960729</v>
      </c>
      <c r="CM48" s="108">
        <v>12167.465340979928</v>
      </c>
      <c r="CN48" s="108">
        <v>6.2383488681757653</v>
      </c>
      <c r="CO48" s="108">
        <v>5412.3914780292944</v>
      </c>
      <c r="CP48" s="108">
        <v>0</v>
      </c>
      <c r="CQ48" s="108">
        <v>0</v>
      </c>
      <c r="CR48" s="108">
        <v>0</v>
      </c>
      <c r="CS48" s="108">
        <v>0</v>
      </c>
      <c r="CT48" s="108">
        <v>8.863087537731781</v>
      </c>
      <c r="CU48" s="108">
        <v>7689.6147477360937</v>
      </c>
    </row>
    <row r="49" spans="2:99" x14ac:dyDescent="0.2">
      <c r="B49" s="107" t="s">
        <v>129</v>
      </c>
      <c r="C49" s="107" t="s">
        <v>214</v>
      </c>
      <c r="D49" s="108">
        <v>0</v>
      </c>
      <c r="E49" s="108">
        <v>0</v>
      </c>
      <c r="F49" s="108">
        <v>0</v>
      </c>
      <c r="G49" s="108">
        <v>0</v>
      </c>
      <c r="H49" s="108">
        <v>40.57689021785562</v>
      </c>
      <c r="I49" s="108">
        <v>39976.352242631358</v>
      </c>
      <c r="J49" s="108">
        <v>0</v>
      </c>
      <c r="K49" s="108">
        <v>0</v>
      </c>
      <c r="L49" s="108">
        <v>23.936849925705793</v>
      </c>
      <c r="M49" s="108">
        <v>23582.584546805345</v>
      </c>
      <c r="N49" s="108">
        <v>12.087765957446807</v>
      </c>
      <c r="O49" s="108">
        <v>11908.867021276594</v>
      </c>
      <c r="P49" s="108">
        <v>0</v>
      </c>
      <c r="Q49" s="108">
        <v>0</v>
      </c>
      <c r="R49" s="108">
        <v>7.6746710526315782</v>
      </c>
      <c r="S49" s="108">
        <v>7561.0859210526305</v>
      </c>
      <c r="T49" s="108">
        <v>3.4815459610027859</v>
      </c>
      <c r="U49" s="108">
        <v>3430.0190807799445</v>
      </c>
      <c r="V49" s="108">
        <v>7.7367688022284113</v>
      </c>
      <c r="W49" s="108">
        <v>7622.2646239554306</v>
      </c>
      <c r="X49" s="108">
        <v>0</v>
      </c>
      <c r="Y49" s="108">
        <v>0</v>
      </c>
      <c r="Z49" s="108">
        <v>0</v>
      </c>
      <c r="AA49" s="108">
        <v>0</v>
      </c>
      <c r="AB49" s="108">
        <v>15</v>
      </c>
      <c r="AC49" s="108">
        <v>14777.999999999998</v>
      </c>
      <c r="AD49" s="108">
        <v>17</v>
      </c>
      <c r="AE49" s="108">
        <v>16748.399999999998</v>
      </c>
      <c r="AF49" s="108">
        <v>15.056293979671619</v>
      </c>
      <c r="AG49" s="108">
        <v>14833.460828772477</v>
      </c>
      <c r="AH49" s="108">
        <v>0</v>
      </c>
      <c r="AI49" s="108">
        <v>0</v>
      </c>
      <c r="AJ49" s="108">
        <v>21.739910313901344</v>
      </c>
      <c r="AK49" s="108">
        <v>21418.159641255603</v>
      </c>
      <c r="AL49" s="108">
        <v>41.199011124845491</v>
      </c>
      <c r="AM49" s="108">
        <v>40589.265760197777</v>
      </c>
      <c r="AN49" s="108">
        <v>20.007415254237287</v>
      </c>
      <c r="AO49" s="108">
        <v>19711.305508474576</v>
      </c>
      <c r="AP49" s="108">
        <v>31.023150357995224</v>
      </c>
      <c r="AQ49" s="108">
        <v>30564.007732696893</v>
      </c>
      <c r="AR49" s="108">
        <v>5.75376647834275</v>
      </c>
      <c r="AS49" s="108">
        <v>5668.6107344632774</v>
      </c>
      <c r="AT49" s="108">
        <v>12.194928084784255</v>
      </c>
      <c r="AU49" s="108">
        <v>12014.443149129447</v>
      </c>
      <c r="AV49" s="108">
        <v>0</v>
      </c>
      <c r="AW49" s="108">
        <v>0</v>
      </c>
      <c r="AX49" s="108">
        <v>22.938747419132831</v>
      </c>
      <c r="AY49" s="108">
        <v>22599.253957329664</v>
      </c>
      <c r="AZ49" s="108">
        <v>0</v>
      </c>
      <c r="BA49" s="108">
        <v>0</v>
      </c>
      <c r="BB49" s="108">
        <v>15.90435684647303</v>
      </c>
      <c r="BC49" s="108">
        <v>15668.972365145228</v>
      </c>
      <c r="BD49" s="108">
        <v>28.220588235294116</v>
      </c>
      <c r="BE49" s="108">
        <v>27802.923529411761</v>
      </c>
      <c r="BF49" s="108">
        <v>0</v>
      </c>
      <c r="BG49" s="108">
        <v>0</v>
      </c>
      <c r="BH49" s="108">
        <v>28.419992743105951</v>
      </c>
      <c r="BI49" s="108">
        <v>27999.376850507982</v>
      </c>
      <c r="BJ49" s="108">
        <v>27.005117270788908</v>
      </c>
      <c r="BK49" s="108">
        <v>26605.441535181231</v>
      </c>
      <c r="BL49" s="108">
        <v>11.97305792546026</v>
      </c>
      <c r="BM49" s="108">
        <v>11795.856668163447</v>
      </c>
      <c r="BN49" s="108">
        <v>17.298178613396008</v>
      </c>
      <c r="BO49" s="108">
        <v>17042.165569917746</v>
      </c>
      <c r="BP49" s="108">
        <v>16.693414322250639</v>
      </c>
      <c r="BQ49" s="108">
        <v>16446.351790281329</v>
      </c>
      <c r="BR49" s="108">
        <v>0</v>
      </c>
      <c r="BS49" s="108">
        <v>0</v>
      </c>
      <c r="BT49" s="108">
        <v>0</v>
      </c>
      <c r="BU49" s="108">
        <v>0</v>
      </c>
      <c r="BV49" s="108">
        <v>41</v>
      </c>
      <c r="BW49" s="108">
        <v>40393.199999999997</v>
      </c>
      <c r="BX49" s="108">
        <v>22.588035420098848</v>
      </c>
      <c r="BY49" s="108">
        <v>22253.732495881384</v>
      </c>
      <c r="BZ49" s="108">
        <v>22</v>
      </c>
      <c r="CA49" s="108">
        <v>21674.399999999998</v>
      </c>
      <c r="CB49" s="108">
        <v>57.055634807417974</v>
      </c>
      <c r="CC49" s="108">
        <v>56211.211412268181</v>
      </c>
      <c r="CD49" s="108">
        <v>13.453667953667955</v>
      </c>
      <c r="CE49" s="108">
        <v>13254.553667953667</v>
      </c>
      <c r="CF49" s="108">
        <v>0</v>
      </c>
      <c r="CG49" s="108">
        <v>0</v>
      </c>
      <c r="CH49" s="108">
        <v>25.831488042515499</v>
      </c>
      <c r="CI49" s="108">
        <v>25449.182019486267</v>
      </c>
      <c r="CJ49" s="108">
        <v>58</v>
      </c>
      <c r="CK49" s="108">
        <v>57141.599999999999</v>
      </c>
      <c r="CL49" s="108">
        <v>10.262639527248851</v>
      </c>
      <c r="CM49" s="108">
        <v>10110.752462245568</v>
      </c>
      <c r="CN49" s="108">
        <v>21.89553264604811</v>
      </c>
      <c r="CO49" s="108">
        <v>21571.478762886596</v>
      </c>
      <c r="CP49" s="108">
        <v>18.185086737548964</v>
      </c>
      <c r="CQ49" s="108">
        <v>17915.94745383324</v>
      </c>
      <c r="CR49" s="108">
        <v>13.54878048780488</v>
      </c>
      <c r="CS49" s="108">
        <v>13348.258536585367</v>
      </c>
      <c r="CT49" s="108">
        <v>26.975719424460433</v>
      </c>
      <c r="CU49" s="108">
        <v>26576.478776978416</v>
      </c>
    </row>
    <row r="50" spans="2:99" x14ac:dyDescent="0.2">
      <c r="C50" s="107" t="s">
        <v>215</v>
      </c>
      <c r="D50" s="108">
        <v>0</v>
      </c>
      <c r="E50" s="108">
        <v>0</v>
      </c>
      <c r="F50" s="108">
        <v>0</v>
      </c>
      <c r="G50" s="108">
        <v>0</v>
      </c>
      <c r="H50" s="108">
        <v>0</v>
      </c>
      <c r="I50" s="108">
        <v>0</v>
      </c>
      <c r="J50" s="108">
        <v>0</v>
      </c>
      <c r="K50" s="108">
        <v>0</v>
      </c>
      <c r="L50" s="108">
        <v>20.690180586907449</v>
      </c>
      <c r="M50" s="108">
        <v>5834.6309255079004</v>
      </c>
      <c r="N50" s="108">
        <v>8.5236360818350896</v>
      </c>
      <c r="O50" s="108">
        <v>2403.6653750774954</v>
      </c>
      <c r="P50" s="108">
        <v>4.5521480009932951</v>
      </c>
      <c r="Q50" s="108">
        <v>1283.7057362801092</v>
      </c>
      <c r="R50" s="108">
        <v>5.6665317357512954</v>
      </c>
      <c r="S50" s="108">
        <v>1597.9619494818653</v>
      </c>
      <c r="T50" s="108">
        <v>0</v>
      </c>
      <c r="U50" s="108">
        <v>0</v>
      </c>
      <c r="V50" s="108">
        <v>11.6875</v>
      </c>
      <c r="W50" s="108">
        <v>3295.875</v>
      </c>
      <c r="X50" s="108">
        <v>8.25</v>
      </c>
      <c r="Y50" s="108">
        <v>2326.5</v>
      </c>
      <c r="Z50" s="108">
        <v>11.414383561643834</v>
      </c>
      <c r="AA50" s="108">
        <v>3218.8561643835615</v>
      </c>
      <c r="AB50" s="108">
        <v>0</v>
      </c>
      <c r="AC50" s="108">
        <v>0</v>
      </c>
      <c r="AD50" s="108">
        <v>6.321479374110953</v>
      </c>
      <c r="AE50" s="108">
        <v>1782.6571834992887</v>
      </c>
      <c r="AF50" s="108">
        <v>6.1767976278724976</v>
      </c>
      <c r="AG50" s="108">
        <v>1741.8569310600444</v>
      </c>
      <c r="AH50" s="108">
        <v>4.1977329974811086</v>
      </c>
      <c r="AI50" s="108">
        <v>1183.7607052896726</v>
      </c>
      <c r="AJ50" s="108">
        <v>0</v>
      </c>
      <c r="AK50" s="108">
        <v>0</v>
      </c>
      <c r="AL50" s="108">
        <v>60.638684966485798</v>
      </c>
      <c r="AM50" s="108">
        <v>17100.109160548996</v>
      </c>
      <c r="AN50" s="108">
        <v>20.831250000000001</v>
      </c>
      <c r="AO50" s="108">
        <v>5874.4125000000004</v>
      </c>
      <c r="AP50" s="108">
        <v>0</v>
      </c>
      <c r="AQ50" s="108">
        <v>0</v>
      </c>
      <c r="AR50" s="108">
        <v>11.276609363569861</v>
      </c>
      <c r="AS50" s="108">
        <v>3180.003840526701</v>
      </c>
      <c r="AT50" s="108">
        <v>0</v>
      </c>
      <c r="AU50" s="108">
        <v>0</v>
      </c>
      <c r="AV50" s="108">
        <v>11.029119788219722</v>
      </c>
      <c r="AW50" s="108">
        <v>3110.2117802779617</v>
      </c>
      <c r="AX50" s="108">
        <v>8.3587234461054276</v>
      </c>
      <c r="AY50" s="108">
        <v>2357.1600118017304</v>
      </c>
      <c r="AZ50" s="108">
        <v>4.2617724867724869</v>
      </c>
      <c r="BA50" s="108">
        <v>1201.8198412698414</v>
      </c>
      <c r="BB50" s="108">
        <v>0</v>
      </c>
      <c r="BC50" s="108">
        <v>0</v>
      </c>
      <c r="BD50" s="108">
        <v>14.923880597014927</v>
      </c>
      <c r="BE50" s="108">
        <v>4208.5343283582097</v>
      </c>
      <c r="BF50" s="108">
        <v>0</v>
      </c>
      <c r="BG50" s="108">
        <v>0</v>
      </c>
      <c r="BH50" s="108">
        <v>22.460755813953487</v>
      </c>
      <c r="BI50" s="108">
        <v>6333.9331395348836</v>
      </c>
      <c r="BJ50" s="108">
        <v>12.13711355529132</v>
      </c>
      <c r="BK50" s="108">
        <v>3422.6660225921523</v>
      </c>
      <c r="BL50" s="108">
        <v>9.9075457317073177</v>
      </c>
      <c r="BM50" s="108">
        <v>2793.9278963414636</v>
      </c>
      <c r="BN50" s="108">
        <v>10.821428571428573</v>
      </c>
      <c r="BO50" s="108">
        <v>3051.6428571428578</v>
      </c>
      <c r="BP50" s="108">
        <v>7.8500490677134449</v>
      </c>
      <c r="BQ50" s="108">
        <v>2213.7138370951916</v>
      </c>
      <c r="BR50" s="108">
        <v>6.3213216210820518</v>
      </c>
      <c r="BS50" s="108">
        <v>1782.6126971451386</v>
      </c>
      <c r="BT50" s="108">
        <v>9.4050358150640339</v>
      </c>
      <c r="BU50" s="108">
        <v>2652.2200998480575</v>
      </c>
      <c r="BV50" s="108">
        <v>0</v>
      </c>
      <c r="BW50" s="108">
        <v>0</v>
      </c>
      <c r="BX50" s="108">
        <v>38.403980446927378</v>
      </c>
      <c r="BY50" s="108">
        <v>10829.92248603352</v>
      </c>
      <c r="BZ50" s="108">
        <v>22.816897746967069</v>
      </c>
      <c r="CA50" s="108">
        <v>6434.3651646447133</v>
      </c>
      <c r="CB50" s="108">
        <v>0</v>
      </c>
      <c r="CC50" s="108">
        <v>0</v>
      </c>
      <c r="CD50" s="108">
        <v>29.523369770071614</v>
      </c>
      <c r="CE50" s="108">
        <v>8325.5902751601952</v>
      </c>
      <c r="CF50" s="108">
        <v>0</v>
      </c>
      <c r="CG50" s="108">
        <v>0</v>
      </c>
      <c r="CH50" s="108">
        <v>0</v>
      </c>
      <c r="CI50" s="108">
        <v>0</v>
      </c>
      <c r="CJ50" s="108">
        <v>12.844300011503508</v>
      </c>
      <c r="CK50" s="108">
        <v>3622.0926032439893</v>
      </c>
      <c r="CL50" s="108">
        <v>6.8563146739808003</v>
      </c>
      <c r="CM50" s="108">
        <v>1933.4807380625857</v>
      </c>
      <c r="CN50" s="108">
        <v>5.7704727030625831</v>
      </c>
      <c r="CO50" s="108">
        <v>1627.2733022636485</v>
      </c>
      <c r="CP50" s="108">
        <v>0</v>
      </c>
      <c r="CQ50" s="108">
        <v>0</v>
      </c>
      <c r="CR50" s="108">
        <v>0</v>
      </c>
      <c r="CS50" s="108">
        <v>0</v>
      </c>
      <c r="CT50" s="108">
        <v>11.498059508408797</v>
      </c>
      <c r="CU50" s="108">
        <v>3242.4527813712807</v>
      </c>
    </row>
    <row r="51" spans="2:99" x14ac:dyDescent="0.2">
      <c r="C51" s="107" t="s">
        <v>216</v>
      </c>
      <c r="D51" s="108">
        <v>0</v>
      </c>
      <c r="E51" s="108">
        <v>0</v>
      </c>
      <c r="F51" s="108">
        <v>0</v>
      </c>
      <c r="G51" s="108">
        <v>0</v>
      </c>
      <c r="H51" s="108">
        <v>0</v>
      </c>
      <c r="I51" s="108">
        <v>0</v>
      </c>
      <c r="J51" s="108">
        <v>0</v>
      </c>
      <c r="K51" s="108">
        <v>0</v>
      </c>
      <c r="L51" s="108">
        <v>20.063205417607222</v>
      </c>
      <c r="M51" s="108">
        <v>17142.002708803611</v>
      </c>
      <c r="N51" s="108">
        <v>8.7819280843149414</v>
      </c>
      <c r="O51" s="108">
        <v>7503.2793552386856</v>
      </c>
      <c r="P51" s="108">
        <v>4.1383163645393592</v>
      </c>
      <c r="Q51" s="108">
        <v>3535.7775018624284</v>
      </c>
      <c r="R51" s="108">
        <v>5.3966968911917093</v>
      </c>
      <c r="S51" s="108">
        <v>4610.937823834196</v>
      </c>
      <c r="T51" s="108">
        <v>0</v>
      </c>
      <c r="U51" s="108">
        <v>0</v>
      </c>
      <c r="V51" s="108">
        <v>10.3125</v>
      </c>
      <c r="W51" s="108">
        <v>8811</v>
      </c>
      <c r="X51" s="108">
        <v>8.25</v>
      </c>
      <c r="Y51" s="108">
        <v>7048.8</v>
      </c>
      <c r="Z51" s="108">
        <v>9.9875856164383556</v>
      </c>
      <c r="AA51" s="108">
        <v>8533.3931506849312</v>
      </c>
      <c r="AB51" s="108">
        <v>0</v>
      </c>
      <c r="AC51" s="108">
        <v>0</v>
      </c>
      <c r="AD51" s="108">
        <v>5.9263869132290186</v>
      </c>
      <c r="AE51" s="108">
        <v>5063.5049786628733</v>
      </c>
      <c r="AF51" s="108">
        <v>6.4856375092661231</v>
      </c>
      <c r="AG51" s="108">
        <v>5541.3286879169755</v>
      </c>
      <c r="AH51" s="108">
        <v>3.8978949262324578</v>
      </c>
      <c r="AI51" s="108">
        <v>3330.3614249730117</v>
      </c>
      <c r="AJ51" s="108">
        <v>0</v>
      </c>
      <c r="AK51" s="108">
        <v>0</v>
      </c>
      <c r="AL51" s="108">
        <v>52.6599106287903</v>
      </c>
      <c r="AM51" s="108">
        <v>44992.627641238432</v>
      </c>
      <c r="AN51" s="108">
        <v>16.521336206896553</v>
      </c>
      <c r="AO51" s="108">
        <v>14115.829655172414</v>
      </c>
      <c r="AP51" s="108">
        <v>0</v>
      </c>
      <c r="AQ51" s="108">
        <v>0</v>
      </c>
      <c r="AR51" s="108">
        <v>11.886155815654718</v>
      </c>
      <c r="AS51" s="108">
        <v>10155.53152889539</v>
      </c>
      <c r="AT51" s="108">
        <v>0</v>
      </c>
      <c r="AU51" s="108">
        <v>0</v>
      </c>
      <c r="AV51" s="108">
        <v>10.753391793514229</v>
      </c>
      <c r="AW51" s="108">
        <v>9187.6979483785562</v>
      </c>
      <c r="AX51" s="108">
        <v>7.5392407553107796</v>
      </c>
      <c r="AY51" s="108">
        <v>6441.5273013375299</v>
      </c>
      <c r="AZ51" s="108">
        <v>3.8208994708994708</v>
      </c>
      <c r="BA51" s="108">
        <v>3264.5765079365078</v>
      </c>
      <c r="BB51" s="108">
        <v>0</v>
      </c>
      <c r="BC51" s="108">
        <v>0</v>
      </c>
      <c r="BD51" s="108">
        <v>12.602388059701493</v>
      </c>
      <c r="BE51" s="108">
        <v>10767.480358208955</v>
      </c>
      <c r="BF51" s="108">
        <v>0</v>
      </c>
      <c r="BG51" s="108">
        <v>0</v>
      </c>
      <c r="BH51" s="108">
        <v>21.13953488372093</v>
      </c>
      <c r="BI51" s="108">
        <v>18061.618604651161</v>
      </c>
      <c r="BJ51" s="108">
        <v>9.4124554102259204</v>
      </c>
      <c r="BK51" s="108">
        <v>8042.0019024970261</v>
      </c>
      <c r="BL51" s="108">
        <v>8.637347560975611</v>
      </c>
      <c r="BM51" s="108">
        <v>7379.7497560975617</v>
      </c>
      <c r="BN51" s="108">
        <v>10.075123152709359</v>
      </c>
      <c r="BO51" s="108">
        <v>8608.1852216748757</v>
      </c>
      <c r="BP51" s="108">
        <v>8.013591756624141</v>
      </c>
      <c r="BQ51" s="108">
        <v>6846.8127968596655</v>
      </c>
      <c r="BR51" s="108">
        <v>6.1549710521062089</v>
      </c>
      <c r="BS51" s="108">
        <v>5258.8072669195444</v>
      </c>
      <c r="BT51" s="108">
        <v>8.5007054482309528</v>
      </c>
      <c r="BU51" s="108">
        <v>7263.0027349685261</v>
      </c>
      <c r="BV51" s="108">
        <v>0</v>
      </c>
      <c r="BW51" s="108">
        <v>0</v>
      </c>
      <c r="BX51" s="108">
        <v>34.912709497206698</v>
      </c>
      <c r="BY51" s="108">
        <v>29829.418994413401</v>
      </c>
      <c r="BZ51" s="108">
        <v>20.50632582322357</v>
      </c>
      <c r="CA51" s="108">
        <v>17520.604783362218</v>
      </c>
      <c r="CB51" s="108">
        <v>0</v>
      </c>
      <c r="CC51" s="108">
        <v>0</v>
      </c>
      <c r="CD51" s="108">
        <v>28.895212966453073</v>
      </c>
      <c r="CE51" s="108">
        <v>24688.069958537504</v>
      </c>
      <c r="CF51" s="108">
        <v>0</v>
      </c>
      <c r="CG51" s="108">
        <v>0</v>
      </c>
      <c r="CH51" s="108">
        <v>0</v>
      </c>
      <c r="CI51" s="108">
        <v>0</v>
      </c>
      <c r="CJ51" s="108">
        <v>11.118946278614978</v>
      </c>
      <c r="CK51" s="108">
        <v>9500.0277004486361</v>
      </c>
      <c r="CL51" s="108">
        <v>6.0252462286497943</v>
      </c>
      <c r="CM51" s="108">
        <v>5147.9703777583845</v>
      </c>
      <c r="CN51" s="108">
        <v>5.614513981358189</v>
      </c>
      <c r="CO51" s="108">
        <v>4797.040745672437</v>
      </c>
      <c r="CP51" s="108">
        <v>0</v>
      </c>
      <c r="CQ51" s="108">
        <v>0</v>
      </c>
      <c r="CR51" s="108">
        <v>0</v>
      </c>
      <c r="CS51" s="108">
        <v>0</v>
      </c>
      <c r="CT51" s="108">
        <v>10.779430789133247</v>
      </c>
      <c r="CU51" s="108">
        <v>9209.945666235446</v>
      </c>
    </row>
    <row r="52" spans="2:99" x14ac:dyDescent="0.2">
      <c r="C52" s="107" t="s">
        <v>217</v>
      </c>
      <c r="D52" s="108">
        <v>0</v>
      </c>
      <c r="E52" s="108">
        <v>0</v>
      </c>
      <c r="F52" s="108">
        <v>0</v>
      </c>
      <c r="G52" s="108">
        <v>0</v>
      </c>
      <c r="H52" s="108">
        <v>0</v>
      </c>
      <c r="I52" s="108">
        <v>0</v>
      </c>
      <c r="J52" s="108">
        <v>0</v>
      </c>
      <c r="K52" s="108">
        <v>0</v>
      </c>
      <c r="L52" s="108">
        <v>21.317155756207672</v>
      </c>
      <c r="M52" s="108">
        <v>11511.264108352143</v>
      </c>
      <c r="N52" s="108">
        <v>8.7819280843149414</v>
      </c>
      <c r="O52" s="108">
        <v>4742.2411655300684</v>
      </c>
      <c r="P52" s="108">
        <v>4.5521480009932951</v>
      </c>
      <c r="Q52" s="108">
        <v>2458.1599205363796</v>
      </c>
      <c r="R52" s="108">
        <v>5.6665317357512954</v>
      </c>
      <c r="S52" s="108">
        <v>3059.9271373056995</v>
      </c>
      <c r="T52" s="108">
        <v>0</v>
      </c>
      <c r="U52" s="108">
        <v>0</v>
      </c>
      <c r="V52" s="108">
        <v>11.6875</v>
      </c>
      <c r="W52" s="108">
        <v>6311.25</v>
      </c>
      <c r="X52" s="108">
        <v>8.6842105263157894</v>
      </c>
      <c r="Y52" s="108">
        <v>4689.4736842105267</v>
      </c>
      <c r="Z52" s="108">
        <v>9.5119863013698627</v>
      </c>
      <c r="AA52" s="108">
        <v>5136.4726027397255</v>
      </c>
      <c r="AB52" s="108">
        <v>0</v>
      </c>
      <c r="AC52" s="108">
        <v>0</v>
      </c>
      <c r="AD52" s="108">
        <v>7.1116642958748226</v>
      </c>
      <c r="AE52" s="108">
        <v>3840.2987197724042</v>
      </c>
      <c r="AF52" s="108">
        <v>6.4856375092661231</v>
      </c>
      <c r="AG52" s="108">
        <v>3502.2442550037067</v>
      </c>
      <c r="AH52" s="108">
        <v>3.8978949262324578</v>
      </c>
      <c r="AI52" s="108">
        <v>2104.8632601655272</v>
      </c>
      <c r="AJ52" s="108">
        <v>0</v>
      </c>
      <c r="AK52" s="108">
        <v>0</v>
      </c>
      <c r="AL52" s="108">
        <v>48.670523459942551</v>
      </c>
      <c r="AM52" s="108">
        <v>26282.082668368977</v>
      </c>
      <c r="AN52" s="108">
        <v>18.317133620689653</v>
      </c>
      <c r="AO52" s="108">
        <v>9891.252155172413</v>
      </c>
      <c r="AP52" s="108">
        <v>0</v>
      </c>
      <c r="AQ52" s="108">
        <v>0</v>
      </c>
      <c r="AR52" s="108">
        <v>11.581382589612289</v>
      </c>
      <c r="AS52" s="108">
        <v>6253.9465983906366</v>
      </c>
      <c r="AT52" s="108">
        <v>0</v>
      </c>
      <c r="AU52" s="108">
        <v>0</v>
      </c>
      <c r="AV52" s="108">
        <v>10.201935804103243</v>
      </c>
      <c r="AW52" s="108">
        <v>5509.0453342157516</v>
      </c>
      <c r="AX52" s="108">
        <v>8.0309303697875691</v>
      </c>
      <c r="AY52" s="108">
        <v>4336.7023996852877</v>
      </c>
      <c r="AZ52" s="108">
        <v>4.5556878306878303</v>
      </c>
      <c r="BA52" s="108">
        <v>2460.0714285714284</v>
      </c>
      <c r="BB52" s="108">
        <v>0</v>
      </c>
      <c r="BC52" s="108">
        <v>0</v>
      </c>
      <c r="BD52" s="108">
        <v>13.265671641791045</v>
      </c>
      <c r="BE52" s="108">
        <v>7163.4626865671644</v>
      </c>
      <c r="BF52" s="108">
        <v>0</v>
      </c>
      <c r="BG52" s="108">
        <v>0</v>
      </c>
      <c r="BH52" s="108">
        <v>21.579941860465116</v>
      </c>
      <c r="BI52" s="108">
        <v>11653.168604651162</v>
      </c>
      <c r="BJ52" s="108">
        <v>11.64172116527943</v>
      </c>
      <c r="BK52" s="108">
        <v>6286.5294292508925</v>
      </c>
      <c r="BL52" s="108">
        <v>8.637347560975611</v>
      </c>
      <c r="BM52" s="108">
        <v>4664.1676829268299</v>
      </c>
      <c r="BN52" s="108">
        <v>9.1422413793103452</v>
      </c>
      <c r="BO52" s="108">
        <v>4936.8103448275861</v>
      </c>
      <c r="BP52" s="108">
        <v>7.8500490677134449</v>
      </c>
      <c r="BQ52" s="108">
        <v>4239.0264965652605</v>
      </c>
      <c r="BR52" s="108">
        <v>6.8203733280095822</v>
      </c>
      <c r="BS52" s="108">
        <v>3683.0015971251742</v>
      </c>
      <c r="BT52" s="108">
        <v>9.0433036683308003</v>
      </c>
      <c r="BU52" s="108">
        <v>4883.3839808986322</v>
      </c>
      <c r="BV52" s="108">
        <v>0</v>
      </c>
      <c r="BW52" s="108">
        <v>0</v>
      </c>
      <c r="BX52" s="108">
        <v>36.076466480446932</v>
      </c>
      <c r="BY52" s="108">
        <v>19481.291899441345</v>
      </c>
      <c r="BZ52" s="108">
        <v>22.528076256499133</v>
      </c>
      <c r="CA52" s="108">
        <v>12165.161178509532</v>
      </c>
      <c r="CB52" s="108">
        <v>0</v>
      </c>
      <c r="CC52" s="108">
        <v>0</v>
      </c>
      <c r="CD52" s="108">
        <v>32.664153788164342</v>
      </c>
      <c r="CE52" s="108">
        <v>17638.643045608744</v>
      </c>
      <c r="CF52" s="108">
        <v>0</v>
      </c>
      <c r="CG52" s="108">
        <v>0</v>
      </c>
      <c r="CH52" s="108">
        <v>0</v>
      </c>
      <c r="CI52" s="108">
        <v>0</v>
      </c>
      <c r="CJ52" s="108">
        <v>11.502358219256873</v>
      </c>
      <c r="CK52" s="108">
        <v>6211.2734383987117</v>
      </c>
      <c r="CL52" s="108">
        <v>6.0252462286497943</v>
      </c>
      <c r="CM52" s="108">
        <v>3253.6329634708891</v>
      </c>
      <c r="CN52" s="108">
        <v>5.1466378162450068</v>
      </c>
      <c r="CO52" s="108">
        <v>2779.1844207723038</v>
      </c>
      <c r="CP52" s="108">
        <v>0</v>
      </c>
      <c r="CQ52" s="108">
        <v>0</v>
      </c>
      <c r="CR52" s="108">
        <v>0</v>
      </c>
      <c r="CS52" s="108">
        <v>0</v>
      </c>
      <c r="CT52" s="108">
        <v>9.821259163432515</v>
      </c>
      <c r="CU52" s="108">
        <v>5303.4799482535582</v>
      </c>
    </row>
    <row r="53" spans="2:99" x14ac:dyDescent="0.2">
      <c r="C53" s="107" t="s">
        <v>218</v>
      </c>
      <c r="D53" s="108">
        <v>0</v>
      </c>
      <c r="E53" s="108">
        <v>0</v>
      </c>
      <c r="F53" s="108">
        <v>0</v>
      </c>
      <c r="G53" s="108">
        <v>0</v>
      </c>
      <c r="H53" s="108">
        <v>0</v>
      </c>
      <c r="I53" s="108">
        <v>0</v>
      </c>
      <c r="J53" s="108">
        <v>0</v>
      </c>
      <c r="K53" s="108">
        <v>0</v>
      </c>
      <c r="L53" s="108">
        <v>17.555304740406321</v>
      </c>
      <c r="M53" s="108">
        <v>7141.4979683972915</v>
      </c>
      <c r="N53" s="108">
        <v>9.0402200867947915</v>
      </c>
      <c r="O53" s="108">
        <v>3677.5615313081212</v>
      </c>
      <c r="P53" s="108">
        <v>4.7590638192202634</v>
      </c>
      <c r="Q53" s="108">
        <v>1935.9871616588032</v>
      </c>
      <c r="R53" s="108">
        <v>5.9363665803108807</v>
      </c>
      <c r="S53" s="108">
        <v>2414.9139248704664</v>
      </c>
      <c r="T53" s="108">
        <v>0</v>
      </c>
      <c r="U53" s="108">
        <v>0</v>
      </c>
      <c r="V53" s="108">
        <v>11</v>
      </c>
      <c r="W53" s="108">
        <v>4474.8</v>
      </c>
      <c r="X53" s="108">
        <v>9.1184210526315788</v>
      </c>
      <c r="Y53" s="108">
        <v>3709.3736842105263</v>
      </c>
      <c r="Z53" s="108">
        <v>10.463184931506849</v>
      </c>
      <c r="AA53" s="108">
        <v>4256.4236301369865</v>
      </c>
      <c r="AB53" s="108">
        <v>0</v>
      </c>
      <c r="AC53" s="108">
        <v>0</v>
      </c>
      <c r="AD53" s="108">
        <v>6.7165718349928873</v>
      </c>
      <c r="AE53" s="108">
        <v>2732.3014224751068</v>
      </c>
      <c r="AF53" s="108">
        <v>6.1767976278724976</v>
      </c>
      <c r="AG53" s="108">
        <v>2512.7212750185322</v>
      </c>
      <c r="AH53" s="108">
        <v>4.4975710687297585</v>
      </c>
      <c r="AI53" s="108">
        <v>1829.6119107592658</v>
      </c>
      <c r="AJ53" s="108">
        <v>0</v>
      </c>
      <c r="AK53" s="108">
        <v>0</v>
      </c>
      <c r="AL53" s="108">
        <v>53.45778806255985</v>
      </c>
      <c r="AM53" s="108">
        <v>21746.628183849349</v>
      </c>
      <c r="AN53" s="108">
        <v>16.88049568965517</v>
      </c>
      <c r="AO53" s="108">
        <v>6866.9856465517232</v>
      </c>
      <c r="AP53" s="108">
        <v>0</v>
      </c>
      <c r="AQ53" s="108">
        <v>0</v>
      </c>
      <c r="AR53" s="108">
        <v>13.105248719824434</v>
      </c>
      <c r="AS53" s="108">
        <v>5331.2151792245804</v>
      </c>
      <c r="AT53" s="108">
        <v>0</v>
      </c>
      <c r="AU53" s="108">
        <v>0</v>
      </c>
      <c r="AV53" s="108">
        <v>12.132031767041696</v>
      </c>
      <c r="AW53" s="108">
        <v>4935.3105228325621</v>
      </c>
      <c r="AX53" s="108">
        <v>7.3753442171518495</v>
      </c>
      <c r="AY53" s="108">
        <v>3000.2900275373727</v>
      </c>
      <c r="AZ53" s="108">
        <v>4.2617724867724869</v>
      </c>
      <c r="BA53" s="108">
        <v>1733.6890476190476</v>
      </c>
      <c r="BB53" s="108">
        <v>0</v>
      </c>
      <c r="BC53" s="108">
        <v>0</v>
      </c>
      <c r="BD53" s="108">
        <v>13.265671641791045</v>
      </c>
      <c r="BE53" s="108">
        <v>5396.4752238805968</v>
      </c>
      <c r="BF53" s="108">
        <v>0</v>
      </c>
      <c r="BG53" s="108">
        <v>0</v>
      </c>
      <c r="BH53" s="108">
        <v>21.13953488372093</v>
      </c>
      <c r="BI53" s="108">
        <v>8599.5627906976752</v>
      </c>
      <c r="BJ53" s="108">
        <v>11.64172116527943</v>
      </c>
      <c r="BK53" s="108">
        <v>4735.8521700356723</v>
      </c>
      <c r="BL53" s="108">
        <v>9.6535060975609763</v>
      </c>
      <c r="BM53" s="108">
        <v>3927.0462804878052</v>
      </c>
      <c r="BN53" s="108">
        <v>9.8885467980295552</v>
      </c>
      <c r="BO53" s="108">
        <v>4022.6608374384232</v>
      </c>
      <c r="BP53" s="108">
        <v>7.8500490677134449</v>
      </c>
      <c r="BQ53" s="108">
        <v>3193.3999607458295</v>
      </c>
      <c r="BR53" s="108">
        <v>6.6540227590337393</v>
      </c>
      <c r="BS53" s="108">
        <v>2706.8564583749253</v>
      </c>
      <c r="BT53" s="108">
        <v>9.5859018884306479</v>
      </c>
      <c r="BU53" s="108">
        <v>3899.5448882135879</v>
      </c>
      <c r="BV53" s="108">
        <v>0</v>
      </c>
      <c r="BW53" s="108">
        <v>0</v>
      </c>
      <c r="BX53" s="108">
        <v>37.240223463687151</v>
      </c>
      <c r="BY53" s="108">
        <v>15149.322905027933</v>
      </c>
      <c r="BZ53" s="108">
        <v>20.795147313691508</v>
      </c>
      <c r="CA53" s="108">
        <v>8459.4659272097051</v>
      </c>
      <c r="CB53" s="108">
        <v>0</v>
      </c>
      <c r="CC53" s="108">
        <v>0</v>
      </c>
      <c r="CD53" s="108">
        <v>33.920467395401438</v>
      </c>
      <c r="CE53" s="108">
        <v>13798.846136449305</v>
      </c>
      <c r="CF53" s="108">
        <v>0</v>
      </c>
      <c r="CG53" s="108">
        <v>0</v>
      </c>
      <c r="CH53" s="108">
        <v>0</v>
      </c>
      <c r="CI53" s="108">
        <v>0</v>
      </c>
      <c r="CJ53" s="108">
        <v>12.077476130219717</v>
      </c>
      <c r="CK53" s="108">
        <v>4913.1172897733804</v>
      </c>
      <c r="CL53" s="108">
        <v>6.0252462286497943</v>
      </c>
      <c r="CM53" s="108">
        <v>2451.0701658147364</v>
      </c>
      <c r="CN53" s="108">
        <v>5.458555259653795</v>
      </c>
      <c r="CO53" s="108">
        <v>2220.5402796271637</v>
      </c>
      <c r="CP53" s="108">
        <v>0</v>
      </c>
      <c r="CQ53" s="108">
        <v>0</v>
      </c>
      <c r="CR53" s="108">
        <v>0</v>
      </c>
      <c r="CS53" s="108">
        <v>0</v>
      </c>
      <c r="CT53" s="108">
        <v>11.018973695558431</v>
      </c>
      <c r="CU53" s="108">
        <v>4482.5184993531702</v>
      </c>
    </row>
    <row r="54" spans="2:99" x14ac:dyDescent="0.2">
      <c r="C54" s="107" t="s">
        <v>219</v>
      </c>
      <c r="D54" s="108">
        <v>0</v>
      </c>
      <c r="E54" s="108">
        <v>0</v>
      </c>
      <c r="F54" s="108">
        <v>0</v>
      </c>
      <c r="G54" s="108">
        <v>0</v>
      </c>
      <c r="H54" s="108">
        <v>0</v>
      </c>
      <c r="I54" s="108">
        <v>0</v>
      </c>
      <c r="J54" s="108">
        <v>0</v>
      </c>
      <c r="K54" s="108">
        <v>0</v>
      </c>
      <c r="L54" s="108">
        <v>20.690180586907449</v>
      </c>
      <c r="M54" s="108">
        <v>6927.0724604966144</v>
      </c>
      <c r="N54" s="108">
        <v>8.0070520768753877</v>
      </c>
      <c r="O54" s="108">
        <v>2680.76103533788</v>
      </c>
      <c r="P54" s="108">
        <v>4.1383163645393592</v>
      </c>
      <c r="Q54" s="108">
        <v>1385.5083188477774</v>
      </c>
      <c r="R54" s="108">
        <v>6.7458711139896366</v>
      </c>
      <c r="S54" s="108">
        <v>2258.5176489637306</v>
      </c>
      <c r="T54" s="108">
        <v>0</v>
      </c>
      <c r="U54" s="108">
        <v>0</v>
      </c>
      <c r="V54" s="108">
        <v>11</v>
      </c>
      <c r="W54" s="108">
        <v>3682.8</v>
      </c>
      <c r="X54" s="108">
        <v>9.5526315789473681</v>
      </c>
      <c r="Y54" s="108">
        <v>3198.2210526315789</v>
      </c>
      <c r="Z54" s="108">
        <v>10.463184931506849</v>
      </c>
      <c r="AA54" s="108">
        <v>3503.074315068493</v>
      </c>
      <c r="AB54" s="108">
        <v>0</v>
      </c>
      <c r="AC54" s="108">
        <v>0</v>
      </c>
      <c r="AD54" s="108">
        <v>7.506756756756757</v>
      </c>
      <c r="AE54" s="108">
        <v>2513.2621621621624</v>
      </c>
      <c r="AF54" s="108">
        <v>6.4856375092661231</v>
      </c>
      <c r="AG54" s="108">
        <v>2171.3914381022983</v>
      </c>
      <c r="AH54" s="108">
        <v>4.7974091399784093</v>
      </c>
      <c r="AI54" s="108">
        <v>1606.1725800647714</v>
      </c>
      <c r="AJ54" s="108">
        <v>0</v>
      </c>
      <c r="AK54" s="108">
        <v>0</v>
      </c>
      <c r="AL54" s="108">
        <v>51.862033195020743</v>
      </c>
      <c r="AM54" s="108">
        <v>17363.408713692945</v>
      </c>
      <c r="AN54" s="108">
        <v>17.598814655172415</v>
      </c>
      <c r="AO54" s="108">
        <v>5892.0831465517249</v>
      </c>
      <c r="AP54" s="108">
        <v>0</v>
      </c>
      <c r="AQ54" s="108">
        <v>0</v>
      </c>
      <c r="AR54" s="108">
        <v>10.971836137527431</v>
      </c>
      <c r="AS54" s="108">
        <v>3673.370738844184</v>
      </c>
      <c r="AT54" s="108">
        <v>0</v>
      </c>
      <c r="AU54" s="108">
        <v>0</v>
      </c>
      <c r="AV54" s="108">
        <v>11.029119788219722</v>
      </c>
      <c r="AW54" s="108">
        <v>3692.5493050959631</v>
      </c>
      <c r="AX54" s="108">
        <v>7.2114476789929194</v>
      </c>
      <c r="AY54" s="108">
        <v>2414.3926829268294</v>
      </c>
      <c r="AZ54" s="108">
        <v>4.1148148148148147</v>
      </c>
      <c r="BA54" s="108">
        <v>1377.64</v>
      </c>
      <c r="BB54" s="108">
        <v>0</v>
      </c>
      <c r="BC54" s="108">
        <v>0</v>
      </c>
      <c r="BD54" s="108">
        <v>15.255522388059703</v>
      </c>
      <c r="BE54" s="108">
        <v>5107.5488955223882</v>
      </c>
      <c r="BF54" s="108">
        <v>0</v>
      </c>
      <c r="BG54" s="108">
        <v>0</v>
      </c>
      <c r="BH54" s="108">
        <v>22.901162790697672</v>
      </c>
      <c r="BI54" s="108">
        <v>7667.3093023255806</v>
      </c>
      <c r="BJ54" s="108">
        <v>11.394024970273483</v>
      </c>
      <c r="BK54" s="108">
        <v>3814.719560047562</v>
      </c>
      <c r="BL54" s="108">
        <v>9.6535060975609763</v>
      </c>
      <c r="BM54" s="108">
        <v>3231.9938414634148</v>
      </c>
      <c r="BN54" s="108">
        <v>10.448275862068964</v>
      </c>
      <c r="BO54" s="108">
        <v>3498.0827586206892</v>
      </c>
      <c r="BP54" s="108">
        <v>7.8500490677134449</v>
      </c>
      <c r="BQ54" s="108">
        <v>2628.1964278704613</v>
      </c>
      <c r="BR54" s="108">
        <v>6.6540227590337393</v>
      </c>
      <c r="BS54" s="108">
        <v>2227.7668197244961</v>
      </c>
      <c r="BT54" s="108">
        <v>9.7667679617972656</v>
      </c>
      <c r="BU54" s="108">
        <v>3269.9139136097247</v>
      </c>
      <c r="BV54" s="108">
        <v>0</v>
      </c>
      <c r="BW54" s="108">
        <v>0</v>
      </c>
      <c r="BX54" s="108">
        <v>37.240223463687151</v>
      </c>
      <c r="BY54" s="108">
        <v>12468.026815642459</v>
      </c>
      <c r="BZ54" s="108">
        <v>23.972183708838823</v>
      </c>
      <c r="CA54" s="108">
        <v>8025.8871057192382</v>
      </c>
      <c r="CB54" s="108">
        <v>0</v>
      </c>
      <c r="CC54" s="108">
        <v>0</v>
      </c>
      <c r="CD54" s="108">
        <v>31.407840180927252</v>
      </c>
      <c r="CE54" s="108">
        <v>10515.344892574445</v>
      </c>
      <c r="CF54" s="108">
        <v>0</v>
      </c>
      <c r="CG54" s="108">
        <v>0</v>
      </c>
      <c r="CH54" s="108">
        <v>0</v>
      </c>
      <c r="CI54" s="108">
        <v>0</v>
      </c>
      <c r="CJ54" s="108">
        <v>12.077476130219717</v>
      </c>
      <c r="CK54" s="108">
        <v>4043.5390083975612</v>
      </c>
      <c r="CL54" s="108">
        <v>6.5446640069816722</v>
      </c>
      <c r="CM54" s="108">
        <v>2191.1535095374638</v>
      </c>
      <c r="CN54" s="108">
        <v>6.0823901464713721</v>
      </c>
      <c r="CO54" s="108">
        <v>2036.3842210386154</v>
      </c>
      <c r="CP54" s="108">
        <v>0</v>
      </c>
      <c r="CQ54" s="108">
        <v>0</v>
      </c>
      <c r="CR54" s="108">
        <v>0</v>
      </c>
      <c r="CS54" s="108">
        <v>0</v>
      </c>
      <c r="CT54" s="108">
        <v>10.300344976282881</v>
      </c>
      <c r="CU54" s="108">
        <v>3448.5554980595089</v>
      </c>
    </row>
    <row r="55" spans="2:99" x14ac:dyDescent="0.2">
      <c r="C55" s="107" t="s">
        <v>220</v>
      </c>
      <c r="D55" s="108">
        <v>0</v>
      </c>
      <c r="E55" s="108">
        <v>0</v>
      </c>
      <c r="F55" s="108">
        <v>0</v>
      </c>
      <c r="G55" s="108">
        <v>0</v>
      </c>
      <c r="H55" s="108">
        <v>0</v>
      </c>
      <c r="I55" s="108">
        <v>0</v>
      </c>
      <c r="J55" s="108">
        <v>0</v>
      </c>
      <c r="K55" s="108">
        <v>0</v>
      </c>
      <c r="L55" s="108">
        <v>20.690180586907449</v>
      </c>
      <c r="M55" s="108">
        <v>13730.003837471784</v>
      </c>
      <c r="N55" s="108">
        <v>9.0402200867947915</v>
      </c>
      <c r="O55" s="108">
        <v>5999.0900495970236</v>
      </c>
      <c r="P55" s="108">
        <v>4.3452321827663276</v>
      </c>
      <c r="Q55" s="108">
        <v>2883.4960764837351</v>
      </c>
      <c r="R55" s="108">
        <v>6.206201424870466</v>
      </c>
      <c r="S55" s="108">
        <v>4118.4352655440416</v>
      </c>
      <c r="T55" s="108">
        <v>0</v>
      </c>
      <c r="U55" s="108">
        <v>0</v>
      </c>
      <c r="V55" s="108">
        <v>11</v>
      </c>
      <c r="W55" s="108">
        <v>7299.6</v>
      </c>
      <c r="X55" s="108">
        <v>8.25</v>
      </c>
      <c r="Y55" s="108">
        <v>5474.7</v>
      </c>
      <c r="Z55" s="108">
        <v>9.5119863013698627</v>
      </c>
      <c r="AA55" s="108">
        <v>6312.1541095890407</v>
      </c>
      <c r="AB55" s="108">
        <v>0</v>
      </c>
      <c r="AC55" s="108">
        <v>0</v>
      </c>
      <c r="AD55" s="108">
        <v>6.321479374110953</v>
      </c>
      <c r="AE55" s="108">
        <v>4194.9337126600285</v>
      </c>
      <c r="AF55" s="108">
        <v>6.1767976278724976</v>
      </c>
      <c r="AG55" s="108">
        <v>4098.9229058561896</v>
      </c>
      <c r="AH55" s="108">
        <v>3.8978949262324578</v>
      </c>
      <c r="AI55" s="108">
        <v>2586.6430730478592</v>
      </c>
      <c r="AJ55" s="108">
        <v>0</v>
      </c>
      <c r="AK55" s="108">
        <v>0</v>
      </c>
      <c r="AL55" s="108">
        <v>51.862033195020743</v>
      </c>
      <c r="AM55" s="108">
        <v>34415.64522821577</v>
      </c>
      <c r="AN55" s="108">
        <v>16.88049568965517</v>
      </c>
      <c r="AO55" s="108">
        <v>11201.896939655171</v>
      </c>
      <c r="AP55" s="108">
        <v>0</v>
      </c>
      <c r="AQ55" s="108">
        <v>0</v>
      </c>
      <c r="AR55" s="108">
        <v>12.190929041697148</v>
      </c>
      <c r="AS55" s="108">
        <v>8089.9005120702277</v>
      </c>
      <c r="AT55" s="108">
        <v>0</v>
      </c>
      <c r="AU55" s="108">
        <v>0</v>
      </c>
      <c r="AV55" s="108">
        <v>11.856303772336201</v>
      </c>
      <c r="AW55" s="108">
        <v>7867.843183322303</v>
      </c>
      <c r="AX55" s="108">
        <v>8.1948269079464993</v>
      </c>
      <c r="AY55" s="108">
        <v>5438.0871361132968</v>
      </c>
      <c r="AZ55" s="108">
        <v>4.5556878306878303</v>
      </c>
      <c r="BA55" s="108">
        <v>3023.1544444444444</v>
      </c>
      <c r="BB55" s="108">
        <v>0</v>
      </c>
      <c r="BC55" s="108">
        <v>0</v>
      </c>
      <c r="BD55" s="108">
        <v>15.587164179104478</v>
      </c>
      <c r="BE55" s="108">
        <v>10343.642149253732</v>
      </c>
      <c r="BF55" s="108">
        <v>0</v>
      </c>
      <c r="BG55" s="108">
        <v>0</v>
      </c>
      <c r="BH55" s="108">
        <v>22.901162790697672</v>
      </c>
      <c r="BI55" s="108">
        <v>15197.211627906976</v>
      </c>
      <c r="BJ55" s="108">
        <v>9.9078478002378123</v>
      </c>
      <c r="BK55" s="108">
        <v>6574.8478002378124</v>
      </c>
      <c r="BL55" s="108">
        <v>8.8913871951219523</v>
      </c>
      <c r="BM55" s="108">
        <v>5900.324542682928</v>
      </c>
      <c r="BN55" s="108">
        <v>9.3288177339901477</v>
      </c>
      <c r="BO55" s="108">
        <v>6190.6034482758623</v>
      </c>
      <c r="BP55" s="108">
        <v>7.3594210009813548</v>
      </c>
      <c r="BQ55" s="108">
        <v>4883.7117762512271</v>
      </c>
      <c r="BR55" s="108">
        <v>6.8203733280095822</v>
      </c>
      <c r="BS55" s="108">
        <v>4525.9997404671585</v>
      </c>
      <c r="BT55" s="108">
        <v>9.5859018884306479</v>
      </c>
      <c r="BU55" s="108">
        <v>6361.2044931625778</v>
      </c>
      <c r="BV55" s="108">
        <v>0</v>
      </c>
      <c r="BW55" s="108">
        <v>0</v>
      </c>
      <c r="BX55" s="108">
        <v>35.494587988826815</v>
      </c>
      <c r="BY55" s="108">
        <v>23554.208589385475</v>
      </c>
      <c r="BZ55" s="108">
        <v>22.528076256499133</v>
      </c>
      <c r="CA55" s="108">
        <v>14949.631403812826</v>
      </c>
      <c r="CB55" s="108">
        <v>0</v>
      </c>
      <c r="CC55" s="108">
        <v>0</v>
      </c>
      <c r="CD55" s="108">
        <v>29.523369770071614</v>
      </c>
      <c r="CE55" s="108">
        <v>19591.708179419526</v>
      </c>
      <c r="CF55" s="108">
        <v>0</v>
      </c>
      <c r="CG55" s="108">
        <v>0</v>
      </c>
      <c r="CH55" s="108">
        <v>0</v>
      </c>
      <c r="CI55" s="108">
        <v>0</v>
      </c>
      <c r="CJ55" s="108">
        <v>12.077476130219717</v>
      </c>
      <c r="CK55" s="108">
        <v>8014.6131600138042</v>
      </c>
      <c r="CL55" s="108">
        <v>6.7524311183144246</v>
      </c>
      <c r="CM55" s="108">
        <v>4480.9132901134526</v>
      </c>
      <c r="CN55" s="108">
        <v>5.458555259653795</v>
      </c>
      <c r="CO55" s="108">
        <v>3622.2972703062583</v>
      </c>
      <c r="CP55" s="108">
        <v>0</v>
      </c>
      <c r="CQ55" s="108">
        <v>0</v>
      </c>
      <c r="CR55" s="108">
        <v>0</v>
      </c>
      <c r="CS55" s="108">
        <v>0</v>
      </c>
      <c r="CT55" s="108">
        <v>10.060802069857697</v>
      </c>
      <c r="CU55" s="108">
        <v>6676.3482535575677</v>
      </c>
    </row>
    <row r="56" spans="2:99" x14ac:dyDescent="0.2">
      <c r="C56" s="107" t="s">
        <v>221</v>
      </c>
      <c r="D56" s="108">
        <v>0</v>
      </c>
      <c r="E56" s="108">
        <v>0</v>
      </c>
      <c r="F56" s="108">
        <v>0</v>
      </c>
      <c r="G56" s="108">
        <v>0</v>
      </c>
      <c r="H56" s="108">
        <v>42.712516018795384</v>
      </c>
      <c r="I56" s="108">
        <v>49153.563434429729</v>
      </c>
      <c r="J56" s="108">
        <v>0</v>
      </c>
      <c r="K56" s="108">
        <v>0</v>
      </c>
      <c r="L56" s="108">
        <v>24.762258543833578</v>
      </c>
      <c r="M56" s="108">
        <v>28496.407132243679</v>
      </c>
      <c r="N56" s="108">
        <v>13.296542553191488</v>
      </c>
      <c r="O56" s="108">
        <v>15301.661170212763</v>
      </c>
      <c r="P56" s="108">
        <v>0</v>
      </c>
      <c r="Q56" s="108">
        <v>0</v>
      </c>
      <c r="R56" s="108">
        <v>7.6746710526315782</v>
      </c>
      <c r="S56" s="108">
        <v>8832.0114473684207</v>
      </c>
      <c r="T56" s="108">
        <v>3.2494428969359328</v>
      </c>
      <c r="U56" s="108">
        <v>3739.4588857938711</v>
      </c>
      <c r="V56" s="108">
        <v>7.7367688022284113</v>
      </c>
      <c r="W56" s="108">
        <v>8903.4735376044555</v>
      </c>
      <c r="X56" s="108">
        <v>0</v>
      </c>
      <c r="Y56" s="108">
        <v>0</v>
      </c>
      <c r="Z56" s="108">
        <v>0</v>
      </c>
      <c r="AA56" s="108">
        <v>0</v>
      </c>
      <c r="AB56" s="108">
        <v>15</v>
      </c>
      <c r="AC56" s="108">
        <v>17262</v>
      </c>
      <c r="AD56" s="108">
        <v>15</v>
      </c>
      <c r="AE56" s="108">
        <v>17262</v>
      </c>
      <c r="AF56" s="108">
        <v>12.905394839718529</v>
      </c>
      <c r="AG56" s="108">
        <v>14851.528381548082</v>
      </c>
      <c r="AH56" s="108">
        <v>0</v>
      </c>
      <c r="AI56" s="108">
        <v>0</v>
      </c>
      <c r="AJ56" s="108">
        <v>19.022421524663677</v>
      </c>
      <c r="AK56" s="108">
        <v>21891.002690582958</v>
      </c>
      <c r="AL56" s="108">
        <v>44.632262051915944</v>
      </c>
      <c r="AM56" s="108">
        <v>51362.807169344866</v>
      </c>
      <c r="AN56" s="108">
        <v>19.61511299435028</v>
      </c>
      <c r="AO56" s="108">
        <v>22573.072033898301</v>
      </c>
      <c r="AP56" s="108">
        <v>31.818615751789977</v>
      </c>
      <c r="AQ56" s="108">
        <v>36616.863007159904</v>
      </c>
      <c r="AR56" s="108">
        <v>5.9281230382925294</v>
      </c>
      <c r="AS56" s="108">
        <v>6822.0839924670427</v>
      </c>
      <c r="AT56" s="108">
        <v>10.723126419379259</v>
      </c>
      <c r="AU56" s="108">
        <v>12340.17388342165</v>
      </c>
      <c r="AV56" s="108">
        <v>0</v>
      </c>
      <c r="AW56" s="108">
        <v>0</v>
      </c>
      <c r="AX56" s="108">
        <v>22.938747419132831</v>
      </c>
      <c r="AY56" s="108">
        <v>26397.910529938061</v>
      </c>
      <c r="AZ56" s="108">
        <v>0</v>
      </c>
      <c r="BA56" s="108">
        <v>0</v>
      </c>
      <c r="BB56" s="108">
        <v>17.287344398340249</v>
      </c>
      <c r="BC56" s="108">
        <v>19894.275933609959</v>
      </c>
      <c r="BD56" s="108">
        <v>29.705882352941178</v>
      </c>
      <c r="BE56" s="108">
        <v>34185.529411764706</v>
      </c>
      <c r="BF56" s="108">
        <v>0</v>
      </c>
      <c r="BG56" s="108">
        <v>0</v>
      </c>
      <c r="BH56" s="108">
        <v>26.605950653120463</v>
      </c>
      <c r="BI56" s="108">
        <v>30618.128011611028</v>
      </c>
      <c r="BJ56" s="108">
        <v>28.426439232409383</v>
      </c>
      <c r="BK56" s="108">
        <v>32713.146268656717</v>
      </c>
      <c r="BL56" s="108">
        <v>11.224741805118994</v>
      </c>
      <c r="BM56" s="108">
        <v>12917.432869330938</v>
      </c>
      <c r="BN56" s="108">
        <v>15.992655699177437</v>
      </c>
      <c r="BO56" s="108">
        <v>18404.348178613393</v>
      </c>
      <c r="BP56" s="108">
        <v>14.917519181585677</v>
      </c>
      <c r="BQ56" s="108">
        <v>17167.081074168796</v>
      </c>
      <c r="BR56" s="108">
        <v>0</v>
      </c>
      <c r="BS56" s="108">
        <v>0</v>
      </c>
      <c r="BT56" s="108">
        <v>0</v>
      </c>
      <c r="BU56" s="108">
        <v>0</v>
      </c>
      <c r="BV56" s="108">
        <v>45</v>
      </c>
      <c r="BW56" s="108">
        <v>51786</v>
      </c>
      <c r="BX56" s="108">
        <v>22.240527182866558</v>
      </c>
      <c r="BY56" s="108">
        <v>25594.398682042833</v>
      </c>
      <c r="BZ56" s="108">
        <v>22.34375</v>
      </c>
      <c r="CA56" s="108">
        <v>25713.1875</v>
      </c>
      <c r="CB56" s="108">
        <v>59.432952924393724</v>
      </c>
      <c r="CC56" s="108">
        <v>68395.442225392297</v>
      </c>
      <c r="CD56" s="108">
        <v>12.576254826254827</v>
      </c>
      <c r="CE56" s="108">
        <v>14472.754054054054</v>
      </c>
      <c r="CF56" s="108">
        <v>0</v>
      </c>
      <c r="CG56" s="108">
        <v>0</v>
      </c>
      <c r="CH56" s="108">
        <v>25.09344552701506</v>
      </c>
      <c r="CI56" s="108">
        <v>28877.537112488932</v>
      </c>
      <c r="CJ56" s="108">
        <v>52</v>
      </c>
      <c r="CK56" s="108">
        <v>59841.599999999999</v>
      </c>
      <c r="CL56" s="108">
        <v>9.9205515430072229</v>
      </c>
      <c r="CM56" s="108">
        <v>11416.570715692711</v>
      </c>
      <c r="CN56" s="108">
        <v>21.251546391752576</v>
      </c>
      <c r="CO56" s="108">
        <v>24456.279587628866</v>
      </c>
      <c r="CP56" s="108">
        <v>20.050223838836036</v>
      </c>
      <c r="CQ56" s="108">
        <v>23073.79759373251</v>
      </c>
      <c r="CR56" s="108">
        <v>13.54878048780488</v>
      </c>
      <c r="CS56" s="108">
        <v>15591.936585365855</v>
      </c>
      <c r="CT56" s="108">
        <v>22.779496402877697</v>
      </c>
      <c r="CU56" s="108">
        <v>26214.644460431653</v>
      </c>
    </row>
    <row r="57" spans="2:99" x14ac:dyDescent="0.2">
      <c r="C57" s="107" t="s">
        <v>222</v>
      </c>
      <c r="D57" s="108">
        <v>0</v>
      </c>
      <c r="E57" s="108">
        <v>0</v>
      </c>
      <c r="F57" s="108">
        <v>0</v>
      </c>
      <c r="G57" s="108">
        <v>0</v>
      </c>
      <c r="H57" s="108">
        <v>0</v>
      </c>
      <c r="I57" s="108">
        <v>0</v>
      </c>
      <c r="J57" s="108">
        <v>0</v>
      </c>
      <c r="K57" s="108">
        <v>0</v>
      </c>
      <c r="L57" s="108">
        <v>16.928329571106094</v>
      </c>
      <c r="M57" s="108">
        <v>23889.258690744919</v>
      </c>
      <c r="N57" s="108">
        <v>7.2321760694358339</v>
      </c>
      <c r="O57" s="108">
        <v>10206.046869187849</v>
      </c>
      <c r="P57" s="108">
        <v>3.9314005463123909</v>
      </c>
      <c r="Q57" s="108">
        <v>5547.992450956046</v>
      </c>
      <c r="R57" s="108">
        <v>5.3966968911917093</v>
      </c>
      <c r="S57" s="108">
        <v>7615.8186528497399</v>
      </c>
      <c r="T57" s="108">
        <v>0</v>
      </c>
      <c r="U57" s="108">
        <v>0</v>
      </c>
      <c r="V57" s="108">
        <v>10.3125</v>
      </c>
      <c r="W57" s="108">
        <v>14553</v>
      </c>
      <c r="X57" s="108">
        <v>8.25</v>
      </c>
      <c r="Y57" s="108">
        <v>11642.4</v>
      </c>
      <c r="Z57" s="108">
        <v>9.9875856164383556</v>
      </c>
      <c r="AA57" s="108">
        <v>14094.480821917808</v>
      </c>
      <c r="AB57" s="108">
        <v>0</v>
      </c>
      <c r="AC57" s="108">
        <v>0</v>
      </c>
      <c r="AD57" s="108">
        <v>6.7165718349928873</v>
      </c>
      <c r="AE57" s="108">
        <v>9478.4261735419623</v>
      </c>
      <c r="AF57" s="108">
        <v>5.2502779836916238</v>
      </c>
      <c r="AG57" s="108">
        <v>7409.19229058562</v>
      </c>
      <c r="AH57" s="108">
        <v>4.1977329974811086</v>
      </c>
      <c r="AI57" s="108">
        <v>5923.8408060453403</v>
      </c>
      <c r="AJ57" s="108">
        <v>0</v>
      </c>
      <c r="AK57" s="108">
        <v>0</v>
      </c>
      <c r="AL57" s="108">
        <v>46.276891158633894</v>
      </c>
      <c r="AM57" s="108">
        <v>65305.948803064151</v>
      </c>
      <c r="AN57" s="108">
        <v>16.162176724137932</v>
      </c>
      <c r="AO57" s="108">
        <v>22808.063793103451</v>
      </c>
      <c r="AP57" s="108">
        <v>0</v>
      </c>
      <c r="AQ57" s="108">
        <v>0</v>
      </c>
      <c r="AR57" s="108">
        <v>9.4479700073152895</v>
      </c>
      <c r="AS57" s="108">
        <v>13332.975274323337</v>
      </c>
      <c r="AT57" s="108">
        <v>0</v>
      </c>
      <c r="AU57" s="108">
        <v>0</v>
      </c>
      <c r="AV57" s="108">
        <v>10.201935804103243</v>
      </c>
      <c r="AW57" s="108">
        <v>14396.971806750498</v>
      </c>
      <c r="AX57" s="108">
        <v>7.2114476789929194</v>
      </c>
      <c r="AY57" s="108">
        <v>10176.794964594808</v>
      </c>
      <c r="AZ57" s="108">
        <v>4.4087301587301582</v>
      </c>
      <c r="BA57" s="108">
        <v>6221.5999999999995</v>
      </c>
      <c r="BB57" s="108">
        <v>0</v>
      </c>
      <c r="BC57" s="108">
        <v>0</v>
      </c>
      <c r="BD57" s="108">
        <v>12.602388059701493</v>
      </c>
      <c r="BE57" s="108">
        <v>17784.490029850749</v>
      </c>
      <c r="BF57" s="108">
        <v>0</v>
      </c>
      <c r="BG57" s="108">
        <v>0</v>
      </c>
      <c r="BH57" s="108">
        <v>18.497093023255815</v>
      </c>
      <c r="BI57" s="108">
        <v>26103.097674418608</v>
      </c>
      <c r="BJ57" s="108">
        <v>9.4124554102259204</v>
      </c>
      <c r="BK57" s="108">
        <v>13282.857074910818</v>
      </c>
      <c r="BL57" s="108">
        <v>7.6211890243902438</v>
      </c>
      <c r="BM57" s="108">
        <v>10755.021951219513</v>
      </c>
      <c r="BN57" s="108">
        <v>8.5825123152709359</v>
      </c>
      <c r="BO57" s="108">
        <v>12111.641379310346</v>
      </c>
      <c r="BP57" s="108">
        <v>6.2146221786064766</v>
      </c>
      <c r="BQ57" s="108">
        <v>8770.0748184494605</v>
      </c>
      <c r="BR57" s="108">
        <v>5.8222699141545222</v>
      </c>
      <c r="BS57" s="108">
        <v>8216.3873028548624</v>
      </c>
      <c r="BT57" s="108">
        <v>9.0433036683308003</v>
      </c>
      <c r="BU57" s="108">
        <v>12761.910136748425</v>
      </c>
      <c r="BV57" s="108">
        <v>0</v>
      </c>
      <c r="BW57" s="108">
        <v>0</v>
      </c>
      <c r="BX57" s="108">
        <v>32.003317039106143</v>
      </c>
      <c r="BY57" s="108">
        <v>45163.081005586588</v>
      </c>
      <c r="BZ57" s="108">
        <v>17.329289428076258</v>
      </c>
      <c r="CA57" s="108">
        <v>24455.093240901217</v>
      </c>
      <c r="CB57" s="108">
        <v>0</v>
      </c>
      <c r="CC57" s="108">
        <v>0</v>
      </c>
      <c r="CD57" s="108">
        <v>28.267056162834528</v>
      </c>
      <c r="CE57" s="108">
        <v>39890.469656992085</v>
      </c>
      <c r="CF57" s="108">
        <v>0</v>
      </c>
      <c r="CG57" s="108">
        <v>0</v>
      </c>
      <c r="CH57" s="108">
        <v>0</v>
      </c>
      <c r="CI57" s="108">
        <v>0</v>
      </c>
      <c r="CJ57" s="108">
        <v>9.3935925457264471</v>
      </c>
      <c r="CK57" s="108">
        <v>13256.237800529163</v>
      </c>
      <c r="CL57" s="108">
        <v>5.9213626729834186</v>
      </c>
      <c r="CM57" s="108">
        <v>8356.2270041142001</v>
      </c>
      <c r="CN57" s="108">
        <v>4.9906790945406128</v>
      </c>
      <c r="CO57" s="108">
        <v>7042.8463382157133</v>
      </c>
      <c r="CP57" s="108">
        <v>0</v>
      </c>
      <c r="CQ57" s="108">
        <v>0</v>
      </c>
      <c r="CR57" s="108">
        <v>0</v>
      </c>
      <c r="CS57" s="108">
        <v>0</v>
      </c>
      <c r="CT57" s="108">
        <v>10.300344976282881</v>
      </c>
      <c r="CU57" s="108">
        <v>14535.846830530403</v>
      </c>
    </row>
    <row r="58" spans="2:99" x14ac:dyDescent="0.2">
      <c r="C58" s="107" t="s">
        <v>223</v>
      </c>
      <c r="D58" s="108">
        <v>0</v>
      </c>
      <c r="E58" s="108">
        <v>0</v>
      </c>
      <c r="F58" s="108">
        <v>0</v>
      </c>
      <c r="G58" s="108">
        <v>0</v>
      </c>
      <c r="H58" s="108">
        <v>44.136266552755238</v>
      </c>
      <c r="I58" s="108">
        <v>51957.212985903469</v>
      </c>
      <c r="J58" s="108">
        <v>0</v>
      </c>
      <c r="K58" s="108">
        <v>0</v>
      </c>
      <c r="L58" s="108">
        <v>23.111441307578009</v>
      </c>
      <c r="M58" s="108">
        <v>27206.788707280833</v>
      </c>
      <c r="N58" s="108">
        <v>13.699468085106382</v>
      </c>
      <c r="O58" s="108">
        <v>16127.013829787233</v>
      </c>
      <c r="P58" s="108">
        <v>0</v>
      </c>
      <c r="Q58" s="108">
        <v>0</v>
      </c>
      <c r="R58" s="108">
        <v>7.6746710526315782</v>
      </c>
      <c r="S58" s="108">
        <v>9034.622763157895</v>
      </c>
      <c r="T58" s="108">
        <v>3.2494428969359328</v>
      </c>
      <c r="U58" s="108">
        <v>3825.2441782729802</v>
      </c>
      <c r="V58" s="108">
        <v>8.2525533890436389</v>
      </c>
      <c r="W58" s="108">
        <v>9714.9058495821719</v>
      </c>
      <c r="X58" s="108">
        <v>0</v>
      </c>
      <c r="Y58" s="108">
        <v>0</v>
      </c>
      <c r="Z58" s="108">
        <v>0</v>
      </c>
      <c r="AA58" s="108">
        <v>0</v>
      </c>
      <c r="AB58" s="108">
        <v>17</v>
      </c>
      <c r="AC58" s="108">
        <v>20012.400000000001</v>
      </c>
      <c r="AD58" s="108">
        <v>17</v>
      </c>
      <c r="AE58" s="108">
        <v>20012.400000000001</v>
      </c>
      <c r="AF58" s="108">
        <v>13.622361219702894</v>
      </c>
      <c r="AG58" s="108">
        <v>16036.243627834247</v>
      </c>
      <c r="AH58" s="108">
        <v>0</v>
      </c>
      <c r="AI58" s="108">
        <v>0</v>
      </c>
      <c r="AJ58" s="108">
        <v>22.079596412556054</v>
      </c>
      <c r="AK58" s="108">
        <v>25992.100896860986</v>
      </c>
      <c r="AL58" s="108">
        <v>41.199011124845491</v>
      </c>
      <c r="AM58" s="108">
        <v>48499.475896168115</v>
      </c>
      <c r="AN58" s="108">
        <v>19.222810734463277</v>
      </c>
      <c r="AO58" s="108">
        <v>22629.09279661017</v>
      </c>
      <c r="AP58" s="108">
        <v>30.227684964200478</v>
      </c>
      <c r="AQ58" s="108">
        <v>35584.030739856804</v>
      </c>
      <c r="AR58" s="108">
        <v>5.9281230382925294</v>
      </c>
      <c r="AS58" s="108">
        <v>6978.5864406779656</v>
      </c>
      <c r="AT58" s="108">
        <v>11.774413323239969</v>
      </c>
      <c r="AU58" s="108">
        <v>13860.839364118092</v>
      </c>
      <c r="AV58" s="108">
        <v>0</v>
      </c>
      <c r="AW58" s="108">
        <v>0</v>
      </c>
      <c r="AX58" s="108">
        <v>23.512216104611149</v>
      </c>
      <c r="AY58" s="108">
        <v>27678.580798348245</v>
      </c>
      <c r="AZ58" s="108">
        <v>0</v>
      </c>
      <c r="BA58" s="108">
        <v>0</v>
      </c>
      <c r="BB58" s="108">
        <v>16.595850622406637</v>
      </c>
      <c r="BC58" s="108">
        <v>19536.635352697092</v>
      </c>
      <c r="BD58" s="108">
        <v>26.735294117647062</v>
      </c>
      <c r="BE58" s="108">
        <v>31472.788235294123</v>
      </c>
      <c r="BF58" s="108">
        <v>0</v>
      </c>
      <c r="BG58" s="108">
        <v>0</v>
      </c>
      <c r="BH58" s="108">
        <v>27.210631349782293</v>
      </c>
      <c r="BI58" s="108">
        <v>32032.355224963718</v>
      </c>
      <c r="BJ58" s="108">
        <v>26.294456289978676</v>
      </c>
      <c r="BK58" s="108">
        <v>30953.833944562899</v>
      </c>
      <c r="BL58" s="108">
        <v>11.97305792546026</v>
      </c>
      <c r="BM58" s="108">
        <v>14094.683789851819</v>
      </c>
      <c r="BN58" s="108">
        <v>15.992655699177437</v>
      </c>
      <c r="BO58" s="108">
        <v>18826.554289071679</v>
      </c>
      <c r="BP58" s="108">
        <v>17.048593350383634</v>
      </c>
      <c r="BQ58" s="108">
        <v>20069.604092071615</v>
      </c>
      <c r="BR58" s="108">
        <v>0</v>
      </c>
      <c r="BS58" s="108">
        <v>0</v>
      </c>
      <c r="BT58" s="108">
        <v>0</v>
      </c>
      <c r="BU58" s="108">
        <v>0</v>
      </c>
      <c r="BV58" s="108">
        <v>39</v>
      </c>
      <c r="BW58" s="108">
        <v>45910.8</v>
      </c>
      <c r="BX58" s="108">
        <v>20.155477759472817</v>
      </c>
      <c r="BY58" s="108">
        <v>23727.028418451402</v>
      </c>
      <c r="BZ58" s="108">
        <v>22.6875</v>
      </c>
      <c r="CA58" s="108">
        <v>26707.725000000002</v>
      </c>
      <c r="CB58" s="108">
        <v>58.640513552068469</v>
      </c>
      <c r="CC58" s="108">
        <v>69031.612553495012</v>
      </c>
      <c r="CD58" s="108">
        <v>13.453667953667955</v>
      </c>
      <c r="CE58" s="108">
        <v>15837.657915057916</v>
      </c>
      <c r="CF58" s="108">
        <v>0</v>
      </c>
      <c r="CG58" s="108">
        <v>0</v>
      </c>
      <c r="CH58" s="108">
        <v>22.879317980513729</v>
      </c>
      <c r="CI58" s="108">
        <v>26933.533126660765</v>
      </c>
      <c r="CJ58" s="108">
        <v>55</v>
      </c>
      <c r="CK58" s="108">
        <v>64746</v>
      </c>
      <c r="CL58" s="108">
        <v>9.749507550886408</v>
      </c>
      <c r="CM58" s="108">
        <v>11477.120288903479</v>
      </c>
      <c r="CN58" s="108">
        <v>19.963573883161512</v>
      </c>
      <c r="CO58" s="108">
        <v>23501.119175257732</v>
      </c>
      <c r="CP58" s="108">
        <v>18.185086737548964</v>
      </c>
      <c r="CQ58" s="108">
        <v>21407.48410744264</v>
      </c>
      <c r="CR58" s="108">
        <v>11.855182926829269</v>
      </c>
      <c r="CS58" s="108">
        <v>13955.921341463416</v>
      </c>
      <c r="CT58" s="108">
        <v>23.378956834532374</v>
      </c>
      <c r="CU58" s="108">
        <v>27521.707985611512</v>
      </c>
    </row>
    <row r="59" spans="2:99" x14ac:dyDescent="0.2">
      <c r="C59" s="107" t="s">
        <v>224</v>
      </c>
      <c r="D59" s="108">
        <v>0</v>
      </c>
      <c r="E59" s="108">
        <v>0</v>
      </c>
      <c r="F59" s="108">
        <v>0</v>
      </c>
      <c r="G59" s="108">
        <v>0</v>
      </c>
      <c r="H59" s="108">
        <v>0</v>
      </c>
      <c r="I59" s="108">
        <v>0</v>
      </c>
      <c r="J59" s="108">
        <v>0</v>
      </c>
      <c r="K59" s="108">
        <v>0</v>
      </c>
      <c r="L59" s="108">
        <v>21.944130925507899</v>
      </c>
      <c r="M59" s="108">
        <v>6662.2381489841973</v>
      </c>
      <c r="N59" s="108">
        <v>8.7819280843149414</v>
      </c>
      <c r="O59" s="108">
        <v>2666.1933663980158</v>
      </c>
      <c r="P59" s="108">
        <v>4.3452321827663276</v>
      </c>
      <c r="Q59" s="108">
        <v>1319.2124906878569</v>
      </c>
      <c r="R59" s="108">
        <v>6.4760362694300513</v>
      </c>
      <c r="S59" s="108">
        <v>1966.1246113989635</v>
      </c>
      <c r="T59" s="108">
        <v>0</v>
      </c>
      <c r="U59" s="108">
        <v>0</v>
      </c>
      <c r="V59" s="108">
        <v>11</v>
      </c>
      <c r="W59" s="108">
        <v>3339.5999999999995</v>
      </c>
      <c r="X59" s="108">
        <v>9.1184210526315788</v>
      </c>
      <c r="Y59" s="108">
        <v>2768.3526315789468</v>
      </c>
      <c r="Z59" s="108">
        <v>10.463184931506849</v>
      </c>
      <c r="AA59" s="108">
        <v>3176.622945205479</v>
      </c>
      <c r="AB59" s="108">
        <v>0</v>
      </c>
      <c r="AC59" s="108">
        <v>0</v>
      </c>
      <c r="AD59" s="108">
        <v>6.7165718349928873</v>
      </c>
      <c r="AE59" s="108">
        <v>2039.1512091038403</v>
      </c>
      <c r="AF59" s="108">
        <v>7.1033172720533724</v>
      </c>
      <c r="AG59" s="108">
        <v>2156.5671237954034</v>
      </c>
      <c r="AH59" s="108">
        <v>3.8978949262324578</v>
      </c>
      <c r="AI59" s="108">
        <v>1183.4008996041741</v>
      </c>
      <c r="AJ59" s="108">
        <v>0</v>
      </c>
      <c r="AK59" s="108">
        <v>0</v>
      </c>
      <c r="AL59" s="108">
        <v>55.851420363868499</v>
      </c>
      <c r="AM59" s="108">
        <v>16956.491222470475</v>
      </c>
      <c r="AN59" s="108">
        <v>20.112931034482759</v>
      </c>
      <c r="AO59" s="108">
        <v>6106.2858620689649</v>
      </c>
      <c r="AP59" s="108">
        <v>0</v>
      </c>
      <c r="AQ59" s="108">
        <v>0</v>
      </c>
      <c r="AR59" s="108">
        <v>11.886155815654718</v>
      </c>
      <c r="AS59" s="108">
        <v>3608.6369056327717</v>
      </c>
      <c r="AT59" s="108">
        <v>0</v>
      </c>
      <c r="AU59" s="108">
        <v>0</v>
      </c>
      <c r="AV59" s="108">
        <v>12.132031767041696</v>
      </c>
      <c r="AW59" s="108">
        <v>3683.2848444738584</v>
      </c>
      <c r="AX59" s="108">
        <v>8.3587234461054276</v>
      </c>
      <c r="AY59" s="108">
        <v>2537.7084382376074</v>
      </c>
      <c r="AZ59" s="108">
        <v>4.4087301587301582</v>
      </c>
      <c r="BA59" s="108">
        <v>1338.4904761904759</v>
      </c>
      <c r="BB59" s="108">
        <v>0</v>
      </c>
      <c r="BC59" s="108">
        <v>0</v>
      </c>
      <c r="BD59" s="108">
        <v>13.265671641791045</v>
      </c>
      <c r="BE59" s="108">
        <v>4027.4579104477607</v>
      </c>
      <c r="BF59" s="108">
        <v>0</v>
      </c>
      <c r="BG59" s="108">
        <v>0</v>
      </c>
      <c r="BH59" s="108">
        <v>21.579941860465116</v>
      </c>
      <c r="BI59" s="108">
        <v>6551.6703488372086</v>
      </c>
      <c r="BJ59" s="108">
        <v>11.394024970273483</v>
      </c>
      <c r="BK59" s="108">
        <v>3459.225980975029</v>
      </c>
      <c r="BL59" s="108">
        <v>9.3994664634146332</v>
      </c>
      <c r="BM59" s="108">
        <v>2853.6780182926823</v>
      </c>
      <c r="BN59" s="108">
        <v>11.194581280788178</v>
      </c>
      <c r="BO59" s="108">
        <v>3398.6748768472903</v>
      </c>
      <c r="BP59" s="108">
        <v>7.8500490677134449</v>
      </c>
      <c r="BQ59" s="108">
        <v>2383.2748969578015</v>
      </c>
      <c r="BR59" s="108">
        <v>6.8203733280095822</v>
      </c>
      <c r="BS59" s="108">
        <v>2070.6653423837088</v>
      </c>
      <c r="BT59" s="108">
        <v>9.2241697416974162</v>
      </c>
      <c r="BU59" s="108">
        <v>2800.4579335793351</v>
      </c>
      <c r="BV59" s="108">
        <v>0</v>
      </c>
      <c r="BW59" s="108">
        <v>0</v>
      </c>
      <c r="BX59" s="108">
        <v>40.731494413407816</v>
      </c>
      <c r="BY59" s="108">
        <v>12366.081703910611</v>
      </c>
      <c r="BZ59" s="108">
        <v>24.549826689774697</v>
      </c>
      <c r="CA59" s="108">
        <v>7453.3273830155977</v>
      </c>
      <c r="CB59" s="108">
        <v>0</v>
      </c>
      <c r="CC59" s="108">
        <v>0</v>
      </c>
      <c r="CD59" s="108">
        <v>32.035996984545797</v>
      </c>
      <c r="CE59" s="108">
        <v>9726.1286845081031</v>
      </c>
      <c r="CF59" s="108">
        <v>0</v>
      </c>
      <c r="CG59" s="108">
        <v>0</v>
      </c>
      <c r="CH59" s="108">
        <v>0</v>
      </c>
      <c r="CI59" s="108">
        <v>0</v>
      </c>
      <c r="CJ59" s="108">
        <v>10.92724030829403</v>
      </c>
      <c r="CK59" s="108">
        <v>3317.5101575980671</v>
      </c>
      <c r="CL59" s="108">
        <v>7.0640817853135527</v>
      </c>
      <c r="CM59" s="108">
        <v>2144.6552300211943</v>
      </c>
      <c r="CN59" s="108">
        <v>5.9264314247669772</v>
      </c>
      <c r="CO59" s="108">
        <v>1799.264580559254</v>
      </c>
      <c r="CP59" s="108">
        <v>0</v>
      </c>
      <c r="CQ59" s="108">
        <v>0</v>
      </c>
      <c r="CR59" s="108">
        <v>0</v>
      </c>
      <c r="CS59" s="108">
        <v>0</v>
      </c>
      <c r="CT59" s="108">
        <v>11.737602414833981</v>
      </c>
      <c r="CU59" s="108">
        <v>3563.5360931435962</v>
      </c>
    </row>
    <row r="60" spans="2:99" x14ac:dyDescent="0.2">
      <c r="C60" s="107" t="s">
        <v>225</v>
      </c>
      <c r="D60" s="108">
        <v>0</v>
      </c>
      <c r="E60" s="108">
        <v>0</v>
      </c>
      <c r="F60" s="108">
        <v>0</v>
      </c>
      <c r="G60" s="108">
        <v>0</v>
      </c>
      <c r="H60" s="108">
        <v>0</v>
      </c>
      <c r="I60" s="108">
        <v>0</v>
      </c>
      <c r="J60" s="108">
        <v>0</v>
      </c>
      <c r="K60" s="108">
        <v>0</v>
      </c>
      <c r="L60" s="108">
        <v>18.182279909706548</v>
      </c>
      <c r="M60" s="108">
        <v>11847.573589164787</v>
      </c>
      <c r="N60" s="108">
        <v>9.0402200867947915</v>
      </c>
      <c r="O60" s="108">
        <v>5890.6074085554865</v>
      </c>
      <c r="P60" s="108">
        <v>3.9314005463123909</v>
      </c>
      <c r="Q60" s="108">
        <v>2561.7005959771541</v>
      </c>
      <c r="R60" s="108">
        <v>5.9363665803108807</v>
      </c>
      <c r="S60" s="108">
        <v>3868.1364637305701</v>
      </c>
      <c r="T60" s="108">
        <v>0</v>
      </c>
      <c r="U60" s="108">
        <v>0</v>
      </c>
      <c r="V60" s="108">
        <v>12.375</v>
      </c>
      <c r="W60" s="108">
        <v>8063.55</v>
      </c>
      <c r="X60" s="108">
        <v>8.25</v>
      </c>
      <c r="Y60" s="108">
        <v>5375.7</v>
      </c>
      <c r="Z60" s="108">
        <v>9.9875856164383556</v>
      </c>
      <c r="AA60" s="108">
        <v>6507.9107876712324</v>
      </c>
      <c r="AB60" s="108">
        <v>0</v>
      </c>
      <c r="AC60" s="108">
        <v>0</v>
      </c>
      <c r="AD60" s="108">
        <v>6.7165718349928873</v>
      </c>
      <c r="AE60" s="108">
        <v>4376.5182076813653</v>
      </c>
      <c r="AF60" s="108">
        <v>5.867957746478873</v>
      </c>
      <c r="AG60" s="108">
        <v>3823.5612676056339</v>
      </c>
      <c r="AH60" s="108">
        <v>4.1977329974811086</v>
      </c>
      <c r="AI60" s="108">
        <v>2735.2428211586903</v>
      </c>
      <c r="AJ60" s="108">
        <v>0</v>
      </c>
      <c r="AK60" s="108">
        <v>0</v>
      </c>
      <c r="AL60" s="108">
        <v>48.670523459942551</v>
      </c>
      <c r="AM60" s="108">
        <v>31713.713086498567</v>
      </c>
      <c r="AN60" s="108">
        <v>16.162176724137932</v>
      </c>
      <c r="AO60" s="108">
        <v>10531.274353448278</v>
      </c>
      <c r="AP60" s="108">
        <v>0</v>
      </c>
      <c r="AQ60" s="108">
        <v>0</v>
      </c>
      <c r="AR60" s="108">
        <v>11.581382589612289</v>
      </c>
      <c r="AS60" s="108">
        <v>7546.4288953913683</v>
      </c>
      <c r="AT60" s="108">
        <v>0</v>
      </c>
      <c r="AU60" s="108">
        <v>0</v>
      </c>
      <c r="AV60" s="108">
        <v>11.029119788219722</v>
      </c>
      <c r="AW60" s="108">
        <v>7186.5744540039714</v>
      </c>
      <c r="AX60" s="108">
        <v>7.2114476789929194</v>
      </c>
      <c r="AY60" s="108">
        <v>4698.9793076317865</v>
      </c>
      <c r="AZ60" s="108">
        <v>3.9678571428571434</v>
      </c>
      <c r="BA60" s="108">
        <v>2585.4557142857147</v>
      </c>
      <c r="BB60" s="108">
        <v>0</v>
      </c>
      <c r="BC60" s="108">
        <v>0</v>
      </c>
      <c r="BD60" s="108">
        <v>13.59731343283582</v>
      </c>
      <c r="BE60" s="108">
        <v>8860.0094328358209</v>
      </c>
      <c r="BF60" s="108">
        <v>0</v>
      </c>
      <c r="BG60" s="108">
        <v>0</v>
      </c>
      <c r="BH60" s="108">
        <v>22.901162790697672</v>
      </c>
      <c r="BI60" s="108">
        <v>14922.397674418604</v>
      </c>
      <c r="BJ60" s="108">
        <v>11.64172116527943</v>
      </c>
      <c r="BK60" s="108">
        <v>7585.745511296077</v>
      </c>
      <c r="BL60" s="108">
        <v>8.8913871951219523</v>
      </c>
      <c r="BM60" s="108">
        <v>5793.6278963414643</v>
      </c>
      <c r="BN60" s="108">
        <v>9.1422413793103452</v>
      </c>
      <c r="BO60" s="108">
        <v>5957.0844827586216</v>
      </c>
      <c r="BP60" s="108">
        <v>7.8500490677134449</v>
      </c>
      <c r="BQ60" s="108">
        <v>5115.0919725220811</v>
      </c>
      <c r="BR60" s="108">
        <v>6.1549710521062089</v>
      </c>
      <c r="BS60" s="108">
        <v>4010.5791375524059</v>
      </c>
      <c r="BT60" s="108">
        <v>9.9476340351638814</v>
      </c>
      <c r="BU60" s="108">
        <v>6481.8783373127853</v>
      </c>
      <c r="BV60" s="108">
        <v>0</v>
      </c>
      <c r="BW60" s="108">
        <v>0</v>
      </c>
      <c r="BX60" s="108">
        <v>33.748952513966479</v>
      </c>
      <c r="BY60" s="108">
        <v>21990.817458100559</v>
      </c>
      <c r="BZ60" s="108">
        <v>20.217504332755631</v>
      </c>
      <c r="CA60" s="108">
        <v>13173.725823223569</v>
      </c>
      <c r="CB60" s="108">
        <v>0</v>
      </c>
      <c r="CC60" s="108">
        <v>0</v>
      </c>
      <c r="CD60" s="108">
        <v>31.407840180927252</v>
      </c>
      <c r="CE60" s="108">
        <v>20465.3486618922</v>
      </c>
      <c r="CF60" s="108">
        <v>0</v>
      </c>
      <c r="CG60" s="108">
        <v>0</v>
      </c>
      <c r="CH60" s="108">
        <v>0</v>
      </c>
      <c r="CI60" s="108">
        <v>0</v>
      </c>
      <c r="CJ60" s="108">
        <v>12.077476130219717</v>
      </c>
      <c r="CK60" s="108">
        <v>7869.6834464511676</v>
      </c>
      <c r="CL60" s="108">
        <v>5.8174791173170428</v>
      </c>
      <c r="CM60" s="108">
        <v>3790.6693928437853</v>
      </c>
      <c r="CN60" s="108">
        <v>5.9264314247669772</v>
      </c>
      <c r="CO60" s="108">
        <v>3861.6627163781623</v>
      </c>
      <c r="CP60" s="108">
        <v>0</v>
      </c>
      <c r="CQ60" s="108">
        <v>0</v>
      </c>
      <c r="CR60" s="108">
        <v>0</v>
      </c>
      <c r="CS60" s="108">
        <v>0</v>
      </c>
      <c r="CT60" s="108">
        <v>10.300344976282881</v>
      </c>
      <c r="CU60" s="108">
        <v>6711.7047865459253</v>
      </c>
    </row>
    <row r="61" spans="2:99" x14ac:dyDescent="0.2">
      <c r="C61" s="107" t="s">
        <v>226</v>
      </c>
      <c r="D61" s="108">
        <v>0</v>
      </c>
      <c r="E61" s="108">
        <v>0</v>
      </c>
      <c r="F61" s="108">
        <v>0</v>
      </c>
      <c r="G61" s="108">
        <v>0</v>
      </c>
      <c r="H61" s="108">
        <v>0</v>
      </c>
      <c r="I61" s="108">
        <v>0</v>
      </c>
      <c r="J61" s="108">
        <v>0</v>
      </c>
      <c r="K61" s="108">
        <v>0</v>
      </c>
      <c r="L61" s="108">
        <v>18.182279909706548</v>
      </c>
      <c r="M61" s="108">
        <v>17302.257562076749</v>
      </c>
      <c r="N61" s="108">
        <v>8.7819280843149414</v>
      </c>
      <c r="O61" s="108">
        <v>8356.8827650340972</v>
      </c>
      <c r="P61" s="108">
        <v>3.9314005463123909</v>
      </c>
      <c r="Q61" s="108">
        <v>3741.1207598708706</v>
      </c>
      <c r="R61" s="108">
        <v>5.6665317357512954</v>
      </c>
      <c r="S61" s="108">
        <v>5392.2715997409323</v>
      </c>
      <c r="T61" s="108">
        <v>0</v>
      </c>
      <c r="U61" s="108">
        <v>0</v>
      </c>
      <c r="V61" s="108">
        <v>11.6875</v>
      </c>
      <c r="W61" s="108">
        <v>11121.824999999999</v>
      </c>
      <c r="X61" s="108">
        <v>8.25</v>
      </c>
      <c r="Y61" s="108">
        <v>7850.6999999999989</v>
      </c>
      <c r="Z61" s="108">
        <v>9.0363869863013697</v>
      </c>
      <c r="AA61" s="108">
        <v>8599.0258561643823</v>
      </c>
      <c r="AB61" s="108">
        <v>0</v>
      </c>
      <c r="AC61" s="108">
        <v>0</v>
      </c>
      <c r="AD61" s="108">
        <v>6.7165718349928873</v>
      </c>
      <c r="AE61" s="108">
        <v>6391.4897581792311</v>
      </c>
      <c r="AF61" s="108">
        <v>6.1767976278724976</v>
      </c>
      <c r="AG61" s="108">
        <v>5877.8406226834686</v>
      </c>
      <c r="AH61" s="108">
        <v>3.8978949262324578</v>
      </c>
      <c r="AI61" s="108">
        <v>3709.2368118028066</v>
      </c>
      <c r="AJ61" s="108">
        <v>0</v>
      </c>
      <c r="AK61" s="108">
        <v>0</v>
      </c>
      <c r="AL61" s="108">
        <v>54.255665496329392</v>
      </c>
      <c r="AM61" s="108">
        <v>51629.691286307047</v>
      </c>
      <c r="AN61" s="108">
        <v>18.317133620689653</v>
      </c>
      <c r="AO61" s="108">
        <v>17430.58435344827</v>
      </c>
      <c r="AP61" s="108">
        <v>0</v>
      </c>
      <c r="AQ61" s="108">
        <v>0</v>
      </c>
      <c r="AR61" s="108">
        <v>11.581382589612289</v>
      </c>
      <c r="AS61" s="108">
        <v>11020.843672275054</v>
      </c>
      <c r="AT61" s="108">
        <v>0</v>
      </c>
      <c r="AU61" s="108">
        <v>0</v>
      </c>
      <c r="AV61" s="108">
        <v>11.304847782925215</v>
      </c>
      <c r="AW61" s="108">
        <v>10757.693150231633</v>
      </c>
      <c r="AX61" s="108">
        <v>7.2114476789929194</v>
      </c>
      <c r="AY61" s="108">
        <v>6862.4136113296618</v>
      </c>
      <c r="AZ61" s="108">
        <v>4.4087301587301582</v>
      </c>
      <c r="BA61" s="108">
        <v>4195.3476190476185</v>
      </c>
      <c r="BB61" s="108">
        <v>0</v>
      </c>
      <c r="BC61" s="108">
        <v>0</v>
      </c>
      <c r="BD61" s="108">
        <v>14.592238805970151</v>
      </c>
      <c r="BE61" s="108">
        <v>13885.974447761195</v>
      </c>
      <c r="BF61" s="108">
        <v>0</v>
      </c>
      <c r="BG61" s="108">
        <v>0</v>
      </c>
      <c r="BH61" s="108">
        <v>22.901162790697672</v>
      </c>
      <c r="BI61" s="108">
        <v>21792.746511627902</v>
      </c>
      <c r="BJ61" s="108">
        <v>10.898632580261593</v>
      </c>
      <c r="BK61" s="108">
        <v>10371.13876337693</v>
      </c>
      <c r="BL61" s="108">
        <v>7.8752286585365852</v>
      </c>
      <c r="BM61" s="108">
        <v>7494.0675914634139</v>
      </c>
      <c r="BN61" s="108">
        <v>9.8885467980295552</v>
      </c>
      <c r="BO61" s="108">
        <v>9409.9411330049243</v>
      </c>
      <c r="BP61" s="108">
        <v>6.8687929342492637</v>
      </c>
      <c r="BQ61" s="108">
        <v>6536.3433562315986</v>
      </c>
      <c r="BR61" s="108">
        <v>6.1549710521062089</v>
      </c>
      <c r="BS61" s="108">
        <v>5857.0704531842675</v>
      </c>
      <c r="BT61" s="108">
        <v>7.9581072281311052</v>
      </c>
      <c r="BU61" s="108">
        <v>7572.9348382895587</v>
      </c>
      <c r="BV61" s="108">
        <v>0</v>
      </c>
      <c r="BW61" s="108">
        <v>0</v>
      </c>
      <c r="BX61" s="108">
        <v>34.330831005586589</v>
      </c>
      <c r="BY61" s="108">
        <v>32669.218784916196</v>
      </c>
      <c r="BZ61" s="108">
        <v>19.351039861351818</v>
      </c>
      <c r="CA61" s="108">
        <v>18414.44953206239</v>
      </c>
      <c r="CB61" s="108">
        <v>0</v>
      </c>
      <c r="CC61" s="108">
        <v>0</v>
      </c>
      <c r="CD61" s="108">
        <v>32.035996984545797</v>
      </c>
      <c r="CE61" s="108">
        <v>30485.454730493777</v>
      </c>
      <c r="CF61" s="108">
        <v>0</v>
      </c>
      <c r="CG61" s="108">
        <v>0</v>
      </c>
      <c r="CH61" s="108">
        <v>0</v>
      </c>
      <c r="CI61" s="108">
        <v>0</v>
      </c>
      <c r="CJ61" s="108">
        <v>10.92724030829403</v>
      </c>
      <c r="CK61" s="108">
        <v>10398.361877372598</v>
      </c>
      <c r="CL61" s="108">
        <v>6.6485475626480488</v>
      </c>
      <c r="CM61" s="108">
        <v>6326.7578606158822</v>
      </c>
      <c r="CN61" s="108">
        <v>5.7704727030625831</v>
      </c>
      <c r="CO61" s="108">
        <v>5491.1818242343534</v>
      </c>
      <c r="CP61" s="108">
        <v>0</v>
      </c>
      <c r="CQ61" s="108">
        <v>0</v>
      </c>
      <c r="CR61" s="108">
        <v>0</v>
      </c>
      <c r="CS61" s="108">
        <v>0</v>
      </c>
      <c r="CT61" s="108">
        <v>9.102630444156965</v>
      </c>
      <c r="CU61" s="108">
        <v>8662.0631306597679</v>
      </c>
    </row>
    <row r="62" spans="2:99" x14ac:dyDescent="0.2">
      <c r="C62" s="107" t="s">
        <v>227</v>
      </c>
      <c r="D62" s="108">
        <v>0</v>
      </c>
      <c r="E62" s="108">
        <v>0</v>
      </c>
      <c r="F62" s="108">
        <v>0</v>
      </c>
      <c r="G62" s="108">
        <v>0</v>
      </c>
      <c r="H62" s="108">
        <v>0</v>
      </c>
      <c r="I62" s="108">
        <v>0</v>
      </c>
      <c r="J62" s="108">
        <v>0</v>
      </c>
      <c r="K62" s="108">
        <v>0</v>
      </c>
      <c r="L62" s="108">
        <v>17.555304740406321</v>
      </c>
      <c r="M62" s="108">
        <v>29935.30564334086</v>
      </c>
      <c r="N62" s="108">
        <v>8.2653440793552377</v>
      </c>
      <c r="O62" s="108">
        <v>14094.064724116552</v>
      </c>
      <c r="P62" s="108">
        <v>3.9314005463123909</v>
      </c>
      <c r="Q62" s="108">
        <v>6703.8242115718895</v>
      </c>
      <c r="R62" s="108">
        <v>5.1268620466321249</v>
      </c>
      <c r="S62" s="108">
        <v>8742.3251619170987</v>
      </c>
      <c r="T62" s="108">
        <v>0</v>
      </c>
      <c r="U62" s="108">
        <v>0</v>
      </c>
      <c r="V62" s="108">
        <v>11</v>
      </c>
      <c r="W62" s="108">
        <v>18757.2</v>
      </c>
      <c r="X62" s="108">
        <v>8.25</v>
      </c>
      <c r="Y62" s="108">
        <v>14067.9</v>
      </c>
      <c r="Z62" s="108">
        <v>8.5607876712328768</v>
      </c>
      <c r="AA62" s="108">
        <v>14597.855136986302</v>
      </c>
      <c r="AB62" s="108">
        <v>0</v>
      </c>
      <c r="AC62" s="108">
        <v>0</v>
      </c>
      <c r="AD62" s="108">
        <v>6.321479374110953</v>
      </c>
      <c r="AE62" s="108">
        <v>10779.386628733997</v>
      </c>
      <c r="AF62" s="108">
        <v>6.1767976278724976</v>
      </c>
      <c r="AG62" s="108">
        <v>10532.675315048184</v>
      </c>
      <c r="AH62" s="108">
        <v>3.5980568549838075</v>
      </c>
      <c r="AI62" s="108">
        <v>6135.4065491183883</v>
      </c>
      <c r="AJ62" s="108">
        <v>0</v>
      </c>
      <c r="AK62" s="108">
        <v>0</v>
      </c>
      <c r="AL62" s="108">
        <v>42.287503989786146</v>
      </c>
      <c r="AM62" s="108">
        <v>72108.651803383342</v>
      </c>
      <c r="AN62" s="108">
        <v>16.521336206896553</v>
      </c>
      <c r="AO62" s="108">
        <v>28172.182500000003</v>
      </c>
      <c r="AP62" s="108">
        <v>0</v>
      </c>
      <c r="AQ62" s="108">
        <v>0</v>
      </c>
      <c r="AR62" s="108">
        <v>9.4479700073152895</v>
      </c>
      <c r="AS62" s="108">
        <v>16110.678456474032</v>
      </c>
      <c r="AT62" s="108">
        <v>0</v>
      </c>
      <c r="AU62" s="108">
        <v>0</v>
      </c>
      <c r="AV62" s="108">
        <v>8.8232958305757769</v>
      </c>
      <c r="AW62" s="108">
        <v>15045.484050297815</v>
      </c>
      <c r="AX62" s="108">
        <v>6.3919649881982696</v>
      </c>
      <c r="AY62" s="108">
        <v>10899.57869787569</v>
      </c>
      <c r="AZ62" s="108">
        <v>3.6739417989417986</v>
      </c>
      <c r="BA62" s="108">
        <v>6264.8055555555547</v>
      </c>
      <c r="BB62" s="108">
        <v>0</v>
      </c>
      <c r="BC62" s="108">
        <v>0</v>
      </c>
      <c r="BD62" s="108">
        <v>13.265671641791045</v>
      </c>
      <c r="BE62" s="108">
        <v>22620.623283582088</v>
      </c>
      <c r="BF62" s="108">
        <v>0</v>
      </c>
      <c r="BG62" s="108">
        <v>0</v>
      </c>
      <c r="BH62" s="108">
        <v>18.497093023255815</v>
      </c>
      <c r="BI62" s="108">
        <v>31541.243023255814</v>
      </c>
      <c r="BJ62" s="108">
        <v>8.9170630202140302</v>
      </c>
      <c r="BK62" s="108">
        <v>15205.375862068964</v>
      </c>
      <c r="BL62" s="108">
        <v>7.1131097560975611</v>
      </c>
      <c r="BM62" s="108">
        <v>12129.274756097562</v>
      </c>
      <c r="BN62" s="108">
        <v>7.6496305418719208</v>
      </c>
      <c r="BO62" s="108">
        <v>13044.15</v>
      </c>
      <c r="BP62" s="108">
        <v>6.5417075564278697</v>
      </c>
      <c r="BQ62" s="108">
        <v>11154.919725220803</v>
      </c>
      <c r="BR62" s="108">
        <v>5.4895687762028356</v>
      </c>
      <c r="BS62" s="108">
        <v>9360.8126771810748</v>
      </c>
      <c r="BT62" s="108">
        <v>8.8624375949641845</v>
      </c>
      <c r="BU62" s="108">
        <v>15112.228586932928</v>
      </c>
      <c r="BV62" s="108">
        <v>0</v>
      </c>
      <c r="BW62" s="108">
        <v>0</v>
      </c>
      <c r="BX62" s="108">
        <v>33.16707402234637</v>
      </c>
      <c r="BY62" s="108">
        <v>56556.494622905033</v>
      </c>
      <c r="BZ62" s="108">
        <v>17.329289428076258</v>
      </c>
      <c r="CA62" s="108">
        <v>29549.904332755636</v>
      </c>
      <c r="CB62" s="108">
        <v>0</v>
      </c>
      <c r="CC62" s="108">
        <v>0</v>
      </c>
      <c r="CD62" s="108">
        <v>24.498115341123256</v>
      </c>
      <c r="CE62" s="108">
        <v>41774.186279683381</v>
      </c>
      <c r="CF62" s="108">
        <v>0</v>
      </c>
      <c r="CG62" s="108">
        <v>0</v>
      </c>
      <c r="CH62" s="108">
        <v>0</v>
      </c>
      <c r="CI62" s="108">
        <v>0</v>
      </c>
      <c r="CJ62" s="108">
        <v>10.352122397331186</v>
      </c>
      <c r="CK62" s="108">
        <v>17652.439111929139</v>
      </c>
      <c r="CL62" s="108">
        <v>5.9213626729834186</v>
      </c>
      <c r="CM62" s="108">
        <v>10097.107629971326</v>
      </c>
      <c r="CN62" s="108">
        <v>4.5228029294274297</v>
      </c>
      <c r="CO62" s="108">
        <v>7712.2835552596534</v>
      </c>
      <c r="CP62" s="108">
        <v>0</v>
      </c>
      <c r="CQ62" s="108">
        <v>0</v>
      </c>
      <c r="CR62" s="108">
        <v>0</v>
      </c>
      <c r="CS62" s="108">
        <v>0</v>
      </c>
      <c r="CT62" s="108">
        <v>9.102630444156965</v>
      </c>
      <c r="CU62" s="108">
        <v>15521.805433376458</v>
      </c>
    </row>
    <row r="63" spans="2:99" x14ac:dyDescent="0.2">
      <c r="C63" s="107" t="s">
        <v>228</v>
      </c>
      <c r="D63" s="108">
        <v>0</v>
      </c>
      <c r="E63" s="108">
        <v>0</v>
      </c>
      <c r="F63" s="108">
        <v>0</v>
      </c>
      <c r="G63" s="108">
        <v>0</v>
      </c>
      <c r="H63" s="108">
        <v>0</v>
      </c>
      <c r="I63" s="108">
        <v>0</v>
      </c>
      <c r="J63" s="108">
        <v>0</v>
      </c>
      <c r="K63" s="108">
        <v>0</v>
      </c>
      <c r="L63" s="108">
        <v>17.555304740406321</v>
      </c>
      <c r="M63" s="108">
        <v>13967.000451467269</v>
      </c>
      <c r="N63" s="108">
        <v>8.7819280843149414</v>
      </c>
      <c r="O63" s="108">
        <v>6986.9019838809672</v>
      </c>
      <c r="P63" s="108">
        <v>4.3452321827663276</v>
      </c>
      <c r="Q63" s="108">
        <v>3457.0667246088901</v>
      </c>
      <c r="R63" s="108">
        <v>5.3966968911917093</v>
      </c>
      <c r="S63" s="108">
        <v>4293.6120466321236</v>
      </c>
      <c r="T63" s="108">
        <v>0</v>
      </c>
      <c r="U63" s="108">
        <v>0</v>
      </c>
      <c r="V63" s="108">
        <v>11.6875</v>
      </c>
      <c r="W63" s="108">
        <v>9298.5750000000007</v>
      </c>
      <c r="X63" s="108">
        <v>9.1184210526315788</v>
      </c>
      <c r="Y63" s="108">
        <v>7254.6157894736843</v>
      </c>
      <c r="Z63" s="108">
        <v>10.463184931506849</v>
      </c>
      <c r="AA63" s="108">
        <v>8324.5099315068492</v>
      </c>
      <c r="AB63" s="108">
        <v>0</v>
      </c>
      <c r="AC63" s="108">
        <v>0</v>
      </c>
      <c r="AD63" s="108">
        <v>5.9263869132290186</v>
      </c>
      <c r="AE63" s="108">
        <v>4715.0334281650075</v>
      </c>
      <c r="AF63" s="108">
        <v>5.867957746478873</v>
      </c>
      <c r="AG63" s="108">
        <v>4668.5471830985916</v>
      </c>
      <c r="AH63" s="108">
        <v>4.4975710687297585</v>
      </c>
      <c r="AI63" s="108">
        <v>3578.2675422813959</v>
      </c>
      <c r="AJ63" s="108">
        <v>0</v>
      </c>
      <c r="AK63" s="108">
        <v>0</v>
      </c>
      <c r="AL63" s="108">
        <v>48.670523459942551</v>
      </c>
      <c r="AM63" s="108">
        <v>38722.268464730296</v>
      </c>
      <c r="AN63" s="108">
        <v>17.957974137931036</v>
      </c>
      <c r="AO63" s="108">
        <v>14287.364224137933</v>
      </c>
      <c r="AP63" s="108">
        <v>0</v>
      </c>
      <c r="AQ63" s="108">
        <v>0</v>
      </c>
      <c r="AR63" s="108">
        <v>12.190929041697148</v>
      </c>
      <c r="AS63" s="108">
        <v>9699.1031455742504</v>
      </c>
      <c r="AT63" s="108">
        <v>0</v>
      </c>
      <c r="AU63" s="108">
        <v>0</v>
      </c>
      <c r="AV63" s="108">
        <v>11.304847782925215</v>
      </c>
      <c r="AW63" s="108">
        <v>8994.1368960953005</v>
      </c>
      <c r="AX63" s="108">
        <v>8.0309303697875691</v>
      </c>
      <c r="AY63" s="108">
        <v>6389.4082022029897</v>
      </c>
      <c r="AZ63" s="108">
        <v>4.1148148148148147</v>
      </c>
      <c r="BA63" s="108">
        <v>3273.7466666666669</v>
      </c>
      <c r="BB63" s="108">
        <v>0</v>
      </c>
      <c r="BC63" s="108">
        <v>0</v>
      </c>
      <c r="BD63" s="108">
        <v>13.265671641791045</v>
      </c>
      <c r="BE63" s="108">
        <v>10554.168358208955</v>
      </c>
      <c r="BF63" s="108">
        <v>0</v>
      </c>
      <c r="BG63" s="108">
        <v>0</v>
      </c>
      <c r="BH63" s="108">
        <v>19.377906976744185</v>
      </c>
      <c r="BI63" s="108">
        <v>15417.062790697675</v>
      </c>
      <c r="BJ63" s="108">
        <v>10.403240190249702</v>
      </c>
      <c r="BK63" s="108">
        <v>8276.817895362663</v>
      </c>
      <c r="BL63" s="108">
        <v>8.1292682926829265</v>
      </c>
      <c r="BM63" s="108">
        <v>6467.6458536585369</v>
      </c>
      <c r="BN63" s="108">
        <v>10.075123152709359</v>
      </c>
      <c r="BO63" s="108">
        <v>8015.7679802955663</v>
      </c>
      <c r="BP63" s="108">
        <v>7.0323356231599616</v>
      </c>
      <c r="BQ63" s="108">
        <v>5594.926221786066</v>
      </c>
      <c r="BR63" s="108">
        <v>6.3213216210820518</v>
      </c>
      <c r="BS63" s="108">
        <v>5029.2434817328804</v>
      </c>
      <c r="BT63" s="108">
        <v>9.7667679617972656</v>
      </c>
      <c r="BU63" s="108">
        <v>7770.4405904059049</v>
      </c>
      <c r="BV63" s="108">
        <v>0</v>
      </c>
      <c r="BW63" s="108">
        <v>0</v>
      </c>
      <c r="BX63" s="108">
        <v>34.330831005586589</v>
      </c>
      <c r="BY63" s="108">
        <v>27313.609148044692</v>
      </c>
      <c r="BZ63" s="108">
        <v>21.372790294627382</v>
      </c>
      <c r="CA63" s="108">
        <v>17004.191958405547</v>
      </c>
      <c r="CB63" s="108">
        <v>0</v>
      </c>
      <c r="CC63" s="108">
        <v>0</v>
      </c>
      <c r="CD63" s="108">
        <v>28.267056162834528</v>
      </c>
      <c r="CE63" s="108">
        <v>22489.269883151152</v>
      </c>
      <c r="CF63" s="108">
        <v>0</v>
      </c>
      <c r="CG63" s="108">
        <v>0</v>
      </c>
      <c r="CH63" s="108">
        <v>0</v>
      </c>
      <c r="CI63" s="108">
        <v>0</v>
      </c>
      <c r="CJ63" s="108">
        <v>11.118946278614978</v>
      </c>
      <c r="CK63" s="108">
        <v>8846.2336592660758</v>
      </c>
      <c r="CL63" s="108">
        <v>6.5446640069816722</v>
      </c>
      <c r="CM63" s="108">
        <v>5206.9346839546188</v>
      </c>
      <c r="CN63" s="108">
        <v>5.614513981358189</v>
      </c>
      <c r="CO63" s="108">
        <v>4466.9073235685755</v>
      </c>
      <c r="CP63" s="108">
        <v>0</v>
      </c>
      <c r="CQ63" s="108">
        <v>0</v>
      </c>
      <c r="CR63" s="108">
        <v>0</v>
      </c>
      <c r="CS63" s="108">
        <v>0</v>
      </c>
      <c r="CT63" s="108">
        <v>9.3421733505821489</v>
      </c>
      <c r="CU63" s="108">
        <v>7432.6331177231577</v>
      </c>
    </row>
    <row r="64" spans="2:99" x14ac:dyDescent="0.2">
      <c r="C64" s="107" t="s">
        <v>229</v>
      </c>
      <c r="D64" s="108">
        <v>0</v>
      </c>
      <c r="E64" s="108">
        <v>0</v>
      </c>
      <c r="F64" s="108">
        <v>0</v>
      </c>
      <c r="G64" s="108">
        <v>0</v>
      </c>
      <c r="H64" s="108">
        <v>0</v>
      </c>
      <c r="I64" s="108">
        <v>0</v>
      </c>
      <c r="J64" s="108">
        <v>0</v>
      </c>
      <c r="K64" s="108">
        <v>0</v>
      </c>
      <c r="L64" s="108">
        <v>18.809255079006771</v>
      </c>
      <c r="M64" s="108">
        <v>18982.30022573363</v>
      </c>
      <c r="N64" s="108">
        <v>7.4904680719156849</v>
      </c>
      <c r="O64" s="108">
        <v>7559.3803781773076</v>
      </c>
      <c r="P64" s="108">
        <v>4.3452321827663276</v>
      </c>
      <c r="Q64" s="108">
        <v>4385.2083188477773</v>
      </c>
      <c r="R64" s="108">
        <v>6.206201424870466</v>
      </c>
      <c r="S64" s="108">
        <v>6263.2984779792732</v>
      </c>
      <c r="T64" s="108">
        <v>0</v>
      </c>
      <c r="U64" s="108">
        <v>0</v>
      </c>
      <c r="V64" s="108">
        <v>10.3125</v>
      </c>
      <c r="W64" s="108">
        <v>10407.374999999998</v>
      </c>
      <c r="X64" s="108">
        <v>7.8157894736842106</v>
      </c>
      <c r="Y64" s="108">
        <v>7887.6947368421042</v>
      </c>
      <c r="Z64" s="108">
        <v>10.463184931506849</v>
      </c>
      <c r="AA64" s="108">
        <v>10559.446232876709</v>
      </c>
      <c r="AB64" s="108">
        <v>0</v>
      </c>
      <c r="AC64" s="108">
        <v>0</v>
      </c>
      <c r="AD64" s="108">
        <v>5.9263869132290186</v>
      </c>
      <c r="AE64" s="108">
        <v>5980.909672830724</v>
      </c>
      <c r="AF64" s="108">
        <v>5.5591178650852484</v>
      </c>
      <c r="AG64" s="108">
        <v>5610.2617494440319</v>
      </c>
      <c r="AH64" s="108">
        <v>4.4975710687297585</v>
      </c>
      <c r="AI64" s="108">
        <v>4538.9487225620715</v>
      </c>
      <c r="AJ64" s="108">
        <v>0</v>
      </c>
      <c r="AK64" s="108">
        <v>0</v>
      </c>
      <c r="AL64" s="108">
        <v>51.0641557612512</v>
      </c>
      <c r="AM64" s="108">
        <v>51533.945994254704</v>
      </c>
      <c r="AN64" s="108">
        <v>17.239655172413794</v>
      </c>
      <c r="AO64" s="108">
        <v>17398.259999999998</v>
      </c>
      <c r="AP64" s="108">
        <v>0</v>
      </c>
      <c r="AQ64" s="108">
        <v>0</v>
      </c>
      <c r="AR64" s="108">
        <v>10.057516459400146</v>
      </c>
      <c r="AS64" s="108">
        <v>10150.045610826626</v>
      </c>
      <c r="AT64" s="108">
        <v>0</v>
      </c>
      <c r="AU64" s="108">
        <v>0</v>
      </c>
      <c r="AV64" s="108">
        <v>10.477663798808736</v>
      </c>
      <c r="AW64" s="108">
        <v>10574.058305757775</v>
      </c>
      <c r="AX64" s="108">
        <v>6.719758064516129</v>
      </c>
      <c r="AY64" s="108">
        <v>6781.5798387096766</v>
      </c>
      <c r="AZ64" s="108">
        <v>4.2617724867724869</v>
      </c>
      <c r="BA64" s="108">
        <v>4300.9807936507932</v>
      </c>
      <c r="BB64" s="108">
        <v>0</v>
      </c>
      <c r="BC64" s="108">
        <v>0</v>
      </c>
      <c r="BD64" s="108">
        <v>13.265671641791045</v>
      </c>
      <c r="BE64" s="108">
        <v>13387.715820895519</v>
      </c>
      <c r="BF64" s="108">
        <v>0</v>
      </c>
      <c r="BG64" s="108">
        <v>0</v>
      </c>
      <c r="BH64" s="108">
        <v>21.579941860465116</v>
      </c>
      <c r="BI64" s="108">
        <v>21778.477325581393</v>
      </c>
      <c r="BJ64" s="108">
        <v>9.9078478002378123</v>
      </c>
      <c r="BK64" s="108">
        <v>9998.9999999999982</v>
      </c>
      <c r="BL64" s="108">
        <v>8.3833079268292678</v>
      </c>
      <c r="BM64" s="108">
        <v>8460.4343597560965</v>
      </c>
      <c r="BN64" s="108">
        <v>9.5153940886699502</v>
      </c>
      <c r="BO64" s="108">
        <v>9602.9357142857116</v>
      </c>
      <c r="BP64" s="108">
        <v>7.686506378802747</v>
      </c>
      <c r="BQ64" s="108">
        <v>7757.222237487731</v>
      </c>
      <c r="BR64" s="108">
        <v>6.1549710521062089</v>
      </c>
      <c r="BS64" s="108">
        <v>6211.5967857855849</v>
      </c>
      <c r="BT64" s="108">
        <v>9.2241697416974162</v>
      </c>
      <c r="BU64" s="108">
        <v>9309.0321033210312</v>
      </c>
      <c r="BV64" s="108">
        <v>0</v>
      </c>
      <c r="BW64" s="108">
        <v>0</v>
      </c>
      <c r="BX64" s="108">
        <v>34.912709497206698</v>
      </c>
      <c r="BY64" s="108">
        <v>35233.906424580993</v>
      </c>
      <c r="BZ64" s="108">
        <v>19.928682842287696</v>
      </c>
      <c r="CA64" s="108">
        <v>20112.026724436739</v>
      </c>
      <c r="CB64" s="108">
        <v>0</v>
      </c>
      <c r="CC64" s="108">
        <v>0</v>
      </c>
      <c r="CD64" s="108">
        <v>26.382585751978894</v>
      </c>
      <c r="CE64" s="108">
        <v>26625.305540897094</v>
      </c>
      <c r="CF64" s="108">
        <v>0</v>
      </c>
      <c r="CG64" s="108">
        <v>0</v>
      </c>
      <c r="CH64" s="108">
        <v>0</v>
      </c>
      <c r="CI64" s="108">
        <v>0</v>
      </c>
      <c r="CJ64" s="108">
        <v>9.9687104566892906</v>
      </c>
      <c r="CK64" s="108">
        <v>10060.422592890831</v>
      </c>
      <c r="CL64" s="108">
        <v>5.9213626729834186</v>
      </c>
      <c r="CM64" s="108">
        <v>5975.839209574865</v>
      </c>
      <c r="CN64" s="108">
        <v>5.614513981358189</v>
      </c>
      <c r="CO64" s="108">
        <v>5666.1675099866834</v>
      </c>
      <c r="CP64" s="108">
        <v>0</v>
      </c>
      <c r="CQ64" s="108">
        <v>0</v>
      </c>
      <c r="CR64" s="108">
        <v>0</v>
      </c>
      <c r="CS64" s="108">
        <v>0</v>
      </c>
      <c r="CT64" s="108">
        <v>9.5817162570073311</v>
      </c>
      <c r="CU64" s="108">
        <v>9669.8680465717971</v>
      </c>
    </row>
    <row r="65" spans="2:99" x14ac:dyDescent="0.2">
      <c r="C65" s="107" t="s">
        <v>230</v>
      </c>
      <c r="D65" s="108">
        <v>0</v>
      </c>
      <c r="E65" s="108">
        <v>0</v>
      </c>
      <c r="F65" s="108">
        <v>0</v>
      </c>
      <c r="G65" s="108">
        <v>0</v>
      </c>
      <c r="H65" s="108">
        <v>0</v>
      </c>
      <c r="I65" s="108">
        <v>0</v>
      </c>
      <c r="J65" s="108">
        <v>0</v>
      </c>
      <c r="K65" s="108">
        <v>0</v>
      </c>
      <c r="L65" s="108">
        <v>18.809255079006771</v>
      </c>
      <c r="M65" s="108">
        <v>19298.295711060946</v>
      </c>
      <c r="N65" s="108">
        <v>8.0070520768753877</v>
      </c>
      <c r="O65" s="108">
        <v>8215.2354308741469</v>
      </c>
      <c r="P65" s="108">
        <v>4.3452321827663276</v>
      </c>
      <c r="Q65" s="108">
        <v>4458.208219518252</v>
      </c>
      <c r="R65" s="108">
        <v>5.3966968911917093</v>
      </c>
      <c r="S65" s="108">
        <v>5537.0110103626939</v>
      </c>
      <c r="T65" s="108">
        <v>0</v>
      </c>
      <c r="U65" s="108">
        <v>0</v>
      </c>
      <c r="V65" s="108">
        <v>11.6875</v>
      </c>
      <c r="W65" s="108">
        <v>11991.375</v>
      </c>
      <c r="X65" s="108">
        <v>8.6842105263157894</v>
      </c>
      <c r="Y65" s="108">
        <v>8910</v>
      </c>
      <c r="Z65" s="108">
        <v>9.9875856164383556</v>
      </c>
      <c r="AA65" s="108">
        <v>10247.262842465752</v>
      </c>
      <c r="AB65" s="108">
        <v>0</v>
      </c>
      <c r="AC65" s="108">
        <v>0</v>
      </c>
      <c r="AD65" s="108">
        <v>6.321479374110953</v>
      </c>
      <c r="AE65" s="108">
        <v>6485.8378378378375</v>
      </c>
      <c r="AF65" s="108">
        <v>6.1767976278724976</v>
      </c>
      <c r="AG65" s="108">
        <v>6337.3943661971825</v>
      </c>
      <c r="AH65" s="108">
        <v>4.1977329974811086</v>
      </c>
      <c r="AI65" s="108">
        <v>4306.8740554156175</v>
      </c>
      <c r="AJ65" s="108">
        <v>0</v>
      </c>
      <c r="AK65" s="108">
        <v>0</v>
      </c>
      <c r="AL65" s="108">
        <v>54.255665496329392</v>
      </c>
      <c r="AM65" s="108">
        <v>55666.312799233958</v>
      </c>
      <c r="AN65" s="108">
        <v>16.162176724137932</v>
      </c>
      <c r="AO65" s="108">
        <v>16582.393318965518</v>
      </c>
      <c r="AP65" s="108">
        <v>0</v>
      </c>
      <c r="AQ65" s="108">
        <v>0</v>
      </c>
      <c r="AR65" s="108">
        <v>10.057516459400146</v>
      </c>
      <c r="AS65" s="108">
        <v>10319.01188734455</v>
      </c>
      <c r="AT65" s="108">
        <v>0</v>
      </c>
      <c r="AU65" s="108">
        <v>0</v>
      </c>
      <c r="AV65" s="108">
        <v>9.3747518199867628</v>
      </c>
      <c r="AW65" s="108">
        <v>9618.4953673064192</v>
      </c>
      <c r="AX65" s="108">
        <v>7.2114476789929194</v>
      </c>
      <c r="AY65" s="108">
        <v>7398.9453186467354</v>
      </c>
      <c r="AZ65" s="108">
        <v>4.1148148148148147</v>
      </c>
      <c r="BA65" s="108">
        <v>4221.8</v>
      </c>
      <c r="BB65" s="108">
        <v>0</v>
      </c>
      <c r="BC65" s="108">
        <v>0</v>
      </c>
      <c r="BD65" s="108">
        <v>14.260597014925375</v>
      </c>
      <c r="BE65" s="108">
        <v>14631.372537313435</v>
      </c>
      <c r="BF65" s="108">
        <v>0</v>
      </c>
      <c r="BG65" s="108">
        <v>0</v>
      </c>
      <c r="BH65" s="108">
        <v>21.13953488372093</v>
      </c>
      <c r="BI65" s="108">
        <v>21689.162790697676</v>
      </c>
      <c r="BJ65" s="108">
        <v>10.403240190249702</v>
      </c>
      <c r="BK65" s="108">
        <v>10673.724435196194</v>
      </c>
      <c r="BL65" s="108">
        <v>8.3833079268292678</v>
      </c>
      <c r="BM65" s="108">
        <v>8601.2739329268279</v>
      </c>
      <c r="BN65" s="108">
        <v>9.8885467980295552</v>
      </c>
      <c r="BO65" s="108">
        <v>10145.649014778324</v>
      </c>
      <c r="BP65" s="108">
        <v>8.013591756624141</v>
      </c>
      <c r="BQ65" s="108">
        <v>8221.9451422963684</v>
      </c>
      <c r="BR65" s="108">
        <v>6.1549710521062089</v>
      </c>
      <c r="BS65" s="108">
        <v>6315.0002994609704</v>
      </c>
      <c r="BT65" s="108">
        <v>8.3198393748643369</v>
      </c>
      <c r="BU65" s="108">
        <v>8536.1551986108097</v>
      </c>
      <c r="BV65" s="108">
        <v>0</v>
      </c>
      <c r="BW65" s="108">
        <v>0</v>
      </c>
      <c r="BX65" s="108">
        <v>36.076466480446932</v>
      </c>
      <c r="BY65" s="108">
        <v>37014.454608938555</v>
      </c>
      <c r="BZ65" s="108">
        <v>20.50632582322357</v>
      </c>
      <c r="CA65" s="108">
        <v>21039.490294627383</v>
      </c>
      <c r="CB65" s="108">
        <v>0</v>
      </c>
      <c r="CC65" s="108">
        <v>0</v>
      </c>
      <c r="CD65" s="108">
        <v>25.754428948360349</v>
      </c>
      <c r="CE65" s="108">
        <v>26424.04410101772</v>
      </c>
      <c r="CF65" s="108">
        <v>0</v>
      </c>
      <c r="CG65" s="108">
        <v>0</v>
      </c>
      <c r="CH65" s="108">
        <v>0</v>
      </c>
      <c r="CI65" s="108">
        <v>0</v>
      </c>
      <c r="CJ65" s="108">
        <v>9.7770044863683427</v>
      </c>
      <c r="CK65" s="108">
        <v>10031.206603013919</v>
      </c>
      <c r="CL65" s="108">
        <v>5.7135955616506671</v>
      </c>
      <c r="CM65" s="108">
        <v>5862.1490462535849</v>
      </c>
      <c r="CN65" s="108">
        <v>4.8347203728362187</v>
      </c>
      <c r="CO65" s="108">
        <v>4960.4231025299605</v>
      </c>
      <c r="CP65" s="108">
        <v>0</v>
      </c>
      <c r="CQ65" s="108">
        <v>0</v>
      </c>
      <c r="CR65" s="108">
        <v>0</v>
      </c>
      <c r="CS65" s="108">
        <v>0</v>
      </c>
      <c r="CT65" s="108">
        <v>10.300344976282881</v>
      </c>
      <c r="CU65" s="108">
        <v>10568.153945666236</v>
      </c>
    </row>
    <row r="66" spans="2:99" x14ac:dyDescent="0.2">
      <c r="C66" s="107" t="s">
        <v>231</v>
      </c>
      <c r="D66" s="108">
        <v>0</v>
      </c>
      <c r="E66" s="108">
        <v>0</v>
      </c>
      <c r="F66" s="108">
        <v>0</v>
      </c>
      <c r="G66" s="108">
        <v>0</v>
      </c>
      <c r="H66" s="108">
        <v>0</v>
      </c>
      <c r="I66" s="108">
        <v>0</v>
      </c>
      <c r="J66" s="108">
        <v>0</v>
      </c>
      <c r="K66" s="108">
        <v>0</v>
      </c>
      <c r="L66" s="108">
        <v>19.436230248306998</v>
      </c>
      <c r="M66" s="108">
        <v>23136.888487584649</v>
      </c>
      <c r="N66" s="108">
        <v>7.4904680719156849</v>
      </c>
      <c r="O66" s="108">
        <v>8916.6531928084296</v>
      </c>
      <c r="P66" s="108">
        <v>3.9314005463123909</v>
      </c>
      <c r="Q66" s="108">
        <v>4679.9392103302698</v>
      </c>
      <c r="R66" s="108">
        <v>5.6665317357512954</v>
      </c>
      <c r="S66" s="108">
        <v>6745.4393782383413</v>
      </c>
      <c r="T66" s="108">
        <v>0</v>
      </c>
      <c r="U66" s="108">
        <v>0</v>
      </c>
      <c r="V66" s="108">
        <v>11</v>
      </c>
      <c r="W66" s="108">
        <v>13094.399999999998</v>
      </c>
      <c r="X66" s="108">
        <v>7.8157894736842106</v>
      </c>
      <c r="Y66" s="108">
        <v>9303.9157894736836</v>
      </c>
      <c r="Z66" s="108">
        <v>9.5119863013698627</v>
      </c>
      <c r="AA66" s="108">
        <v>11323.068493150684</v>
      </c>
      <c r="AB66" s="108">
        <v>0</v>
      </c>
      <c r="AC66" s="108">
        <v>0</v>
      </c>
      <c r="AD66" s="108">
        <v>6.321479374110953</v>
      </c>
      <c r="AE66" s="108">
        <v>7525.0890469416772</v>
      </c>
      <c r="AF66" s="108">
        <v>5.867957746478873</v>
      </c>
      <c r="AG66" s="108">
        <v>6985.2169014084493</v>
      </c>
      <c r="AH66" s="108">
        <v>3.8978949262324578</v>
      </c>
      <c r="AI66" s="108">
        <v>4640.0541201871174</v>
      </c>
      <c r="AJ66" s="108">
        <v>0</v>
      </c>
      <c r="AK66" s="108">
        <v>0</v>
      </c>
      <c r="AL66" s="108">
        <v>50.26627832748165</v>
      </c>
      <c r="AM66" s="108">
        <v>59836.977721034149</v>
      </c>
      <c r="AN66" s="108">
        <v>16.88049568965517</v>
      </c>
      <c r="AO66" s="108">
        <v>20094.542068965511</v>
      </c>
      <c r="AP66" s="108">
        <v>0</v>
      </c>
      <c r="AQ66" s="108">
        <v>0</v>
      </c>
      <c r="AR66" s="108">
        <v>11.581382589612289</v>
      </c>
      <c r="AS66" s="108">
        <v>13786.477834674468</v>
      </c>
      <c r="AT66" s="108">
        <v>0</v>
      </c>
      <c r="AU66" s="108">
        <v>0</v>
      </c>
      <c r="AV66" s="108">
        <v>9.6504798146922575</v>
      </c>
      <c r="AW66" s="108">
        <v>11487.931171409662</v>
      </c>
      <c r="AX66" s="108">
        <v>7.5392407553107796</v>
      </c>
      <c r="AY66" s="108">
        <v>8974.7121951219506</v>
      </c>
      <c r="AZ66" s="108">
        <v>3.9678571428571434</v>
      </c>
      <c r="BA66" s="108">
        <v>4723.3371428571427</v>
      </c>
      <c r="BB66" s="108">
        <v>0</v>
      </c>
      <c r="BC66" s="108">
        <v>0</v>
      </c>
      <c r="BD66" s="108">
        <v>12.934029850746269</v>
      </c>
      <c r="BE66" s="108">
        <v>15396.669134328356</v>
      </c>
      <c r="BF66" s="108">
        <v>0</v>
      </c>
      <c r="BG66" s="108">
        <v>0</v>
      </c>
      <c r="BH66" s="108">
        <v>22.020348837209305</v>
      </c>
      <c r="BI66" s="108">
        <v>26213.023255813954</v>
      </c>
      <c r="BJ66" s="108">
        <v>9.6601516052318654</v>
      </c>
      <c r="BK66" s="108">
        <v>11499.444470868011</v>
      </c>
      <c r="BL66" s="108">
        <v>7.3671493902439016</v>
      </c>
      <c r="BM66" s="108">
        <v>8769.8546341463389</v>
      </c>
      <c r="BN66" s="108">
        <v>9.1422413793103452</v>
      </c>
      <c r="BO66" s="108">
        <v>10882.924137931033</v>
      </c>
      <c r="BP66" s="108">
        <v>7.5229636898920509</v>
      </c>
      <c r="BQ66" s="108">
        <v>8955.3359764474972</v>
      </c>
      <c r="BR66" s="108">
        <v>5.6559193451786784</v>
      </c>
      <c r="BS66" s="108">
        <v>6732.8063885006977</v>
      </c>
      <c r="BT66" s="108">
        <v>8.8624375949641845</v>
      </c>
      <c r="BU66" s="108">
        <v>10549.845713045364</v>
      </c>
      <c r="BV66" s="108">
        <v>0</v>
      </c>
      <c r="BW66" s="108">
        <v>0</v>
      </c>
      <c r="BX66" s="108">
        <v>33.16707402234637</v>
      </c>
      <c r="BY66" s="108">
        <v>39482.084916201115</v>
      </c>
      <c r="BZ66" s="108">
        <v>17.906932409012132</v>
      </c>
      <c r="CA66" s="108">
        <v>21316.412339688039</v>
      </c>
      <c r="CB66" s="108">
        <v>0</v>
      </c>
      <c r="CC66" s="108">
        <v>0</v>
      </c>
      <c r="CD66" s="108">
        <v>28.895212966453073</v>
      </c>
      <c r="CE66" s="108">
        <v>34396.861515265737</v>
      </c>
      <c r="CF66" s="108">
        <v>0</v>
      </c>
      <c r="CG66" s="108">
        <v>0</v>
      </c>
      <c r="CH66" s="108">
        <v>0</v>
      </c>
      <c r="CI66" s="108">
        <v>0</v>
      </c>
      <c r="CJ66" s="108">
        <v>10.543828367652134</v>
      </c>
      <c r="CK66" s="108">
        <v>12551.373288853099</v>
      </c>
      <c r="CL66" s="108">
        <v>5.8174791173170428</v>
      </c>
      <c r="CM66" s="108">
        <v>6925.1271412542073</v>
      </c>
      <c r="CN66" s="108">
        <v>5.1466378162450068</v>
      </c>
      <c r="CO66" s="108">
        <v>6126.5576564580551</v>
      </c>
      <c r="CP66" s="108">
        <v>0</v>
      </c>
      <c r="CQ66" s="108">
        <v>0</v>
      </c>
      <c r="CR66" s="108">
        <v>0</v>
      </c>
      <c r="CS66" s="108">
        <v>0</v>
      </c>
      <c r="CT66" s="108">
        <v>10.539887882708065</v>
      </c>
      <c r="CU66" s="108">
        <v>12546.682535575679</v>
      </c>
    </row>
    <row r="67" spans="2:99" x14ac:dyDescent="0.2">
      <c r="C67" s="107" t="s">
        <v>232</v>
      </c>
      <c r="D67" s="108">
        <v>0</v>
      </c>
      <c r="E67" s="108">
        <v>0</v>
      </c>
      <c r="F67" s="108">
        <v>0</v>
      </c>
      <c r="G67" s="108">
        <v>0</v>
      </c>
      <c r="H67" s="108">
        <v>0</v>
      </c>
      <c r="I67" s="108">
        <v>0</v>
      </c>
      <c r="J67" s="108">
        <v>0</v>
      </c>
      <c r="K67" s="108">
        <v>0</v>
      </c>
      <c r="L67" s="108">
        <v>20.063205417607222</v>
      </c>
      <c r="M67" s="108">
        <v>22534.992325056432</v>
      </c>
      <c r="N67" s="108">
        <v>8.7819280843149414</v>
      </c>
      <c r="O67" s="108">
        <v>9863.8616243025426</v>
      </c>
      <c r="P67" s="108">
        <v>4.1383163645393592</v>
      </c>
      <c r="Q67" s="108">
        <v>4648.1569406506087</v>
      </c>
      <c r="R67" s="108">
        <v>5.9363665803108807</v>
      </c>
      <c r="S67" s="108">
        <v>6667.7269430051811</v>
      </c>
      <c r="T67" s="108">
        <v>0</v>
      </c>
      <c r="U67" s="108">
        <v>0</v>
      </c>
      <c r="V67" s="108">
        <v>10.3125</v>
      </c>
      <c r="W67" s="108">
        <v>11583</v>
      </c>
      <c r="X67" s="108">
        <v>8.6842105263157894</v>
      </c>
      <c r="Y67" s="108">
        <v>9754.105263157895</v>
      </c>
      <c r="Z67" s="108">
        <v>9.0363869863013697</v>
      </c>
      <c r="AA67" s="108">
        <v>10149.669863013698</v>
      </c>
      <c r="AB67" s="108">
        <v>0</v>
      </c>
      <c r="AC67" s="108">
        <v>0</v>
      </c>
      <c r="AD67" s="108">
        <v>6.321479374110953</v>
      </c>
      <c r="AE67" s="108">
        <v>7100.2856330014229</v>
      </c>
      <c r="AF67" s="108">
        <v>6.1767976278724976</v>
      </c>
      <c r="AG67" s="108">
        <v>6937.7790956263898</v>
      </c>
      <c r="AH67" s="108">
        <v>3.8978949262324578</v>
      </c>
      <c r="AI67" s="108">
        <v>4378.1155811442968</v>
      </c>
      <c r="AJ67" s="108">
        <v>0</v>
      </c>
      <c r="AK67" s="108">
        <v>0</v>
      </c>
      <c r="AL67" s="108">
        <v>45.479013724864352</v>
      </c>
      <c r="AM67" s="108">
        <v>51082.028215767641</v>
      </c>
      <c r="AN67" s="108">
        <v>15.443857758620689</v>
      </c>
      <c r="AO67" s="108">
        <v>17346.541034482758</v>
      </c>
      <c r="AP67" s="108">
        <v>0</v>
      </c>
      <c r="AQ67" s="108">
        <v>0</v>
      </c>
      <c r="AR67" s="108">
        <v>10.971836137527431</v>
      </c>
      <c r="AS67" s="108">
        <v>12323.566349670811</v>
      </c>
      <c r="AT67" s="108">
        <v>0</v>
      </c>
      <c r="AU67" s="108">
        <v>0</v>
      </c>
      <c r="AV67" s="108">
        <v>10.201935804103243</v>
      </c>
      <c r="AW67" s="108">
        <v>11458.814295168764</v>
      </c>
      <c r="AX67" s="108">
        <v>7.2114476789929194</v>
      </c>
      <c r="AY67" s="108">
        <v>8099.8980330448476</v>
      </c>
      <c r="AZ67" s="108">
        <v>3.6739417989417986</v>
      </c>
      <c r="BA67" s="108">
        <v>4126.5714285714284</v>
      </c>
      <c r="BB67" s="108">
        <v>0</v>
      </c>
      <c r="BC67" s="108">
        <v>0</v>
      </c>
      <c r="BD67" s="108">
        <v>12.934029850746269</v>
      </c>
      <c r="BE67" s="108">
        <v>14527.50232835821</v>
      </c>
      <c r="BF67" s="108">
        <v>0</v>
      </c>
      <c r="BG67" s="108">
        <v>0</v>
      </c>
      <c r="BH67" s="108">
        <v>20.25872093023256</v>
      </c>
      <c r="BI67" s="108">
        <v>22754.595348837211</v>
      </c>
      <c r="BJ67" s="108">
        <v>9.9078478002378123</v>
      </c>
      <c r="BK67" s="108">
        <v>11128.494649227112</v>
      </c>
      <c r="BL67" s="108">
        <v>8.1292682926829265</v>
      </c>
      <c r="BM67" s="108">
        <v>9130.7941463414627</v>
      </c>
      <c r="BN67" s="108">
        <v>9.5153940886699502</v>
      </c>
      <c r="BO67" s="108">
        <v>10687.690640394088</v>
      </c>
      <c r="BP67" s="108">
        <v>6.8687929342492637</v>
      </c>
      <c r="BQ67" s="108">
        <v>7715.0282237487736</v>
      </c>
      <c r="BR67" s="108">
        <v>5.6559193451786784</v>
      </c>
      <c r="BS67" s="108">
        <v>6352.7286085046917</v>
      </c>
      <c r="BT67" s="108">
        <v>8.138973301497721</v>
      </c>
      <c r="BU67" s="108">
        <v>9141.69481224224</v>
      </c>
      <c r="BV67" s="108">
        <v>0</v>
      </c>
      <c r="BW67" s="108">
        <v>0</v>
      </c>
      <c r="BX67" s="108">
        <v>33.16707402234637</v>
      </c>
      <c r="BY67" s="108">
        <v>37253.257541899446</v>
      </c>
      <c r="BZ67" s="108">
        <v>19.062218370883883</v>
      </c>
      <c r="CA67" s="108">
        <v>21410.68367417678</v>
      </c>
      <c r="CB67" s="108">
        <v>0</v>
      </c>
      <c r="CC67" s="108">
        <v>0</v>
      </c>
      <c r="CD67" s="108">
        <v>30.779683377308707</v>
      </c>
      <c r="CE67" s="108">
        <v>34571.740369393141</v>
      </c>
      <c r="CF67" s="108">
        <v>0</v>
      </c>
      <c r="CG67" s="108">
        <v>0</v>
      </c>
      <c r="CH67" s="108">
        <v>0</v>
      </c>
      <c r="CI67" s="108">
        <v>0</v>
      </c>
      <c r="CJ67" s="108">
        <v>10.735534337973082</v>
      </c>
      <c r="CK67" s="108">
        <v>12058.152168411367</v>
      </c>
      <c r="CL67" s="108">
        <v>6.1291297843161701</v>
      </c>
      <c r="CM67" s="108">
        <v>6884.2385737439226</v>
      </c>
      <c r="CN67" s="108">
        <v>4.8347203728362187</v>
      </c>
      <c r="CO67" s="108">
        <v>5430.3579227696409</v>
      </c>
      <c r="CP67" s="108">
        <v>0</v>
      </c>
      <c r="CQ67" s="108">
        <v>0</v>
      </c>
      <c r="CR67" s="108">
        <v>0</v>
      </c>
      <c r="CS67" s="108">
        <v>0</v>
      </c>
      <c r="CT67" s="108">
        <v>8.863087537731781</v>
      </c>
      <c r="CU67" s="108">
        <v>9955.0199223803374</v>
      </c>
    </row>
    <row r="68" spans="2:99" x14ac:dyDescent="0.2">
      <c r="C68" s="107" t="s">
        <v>233</v>
      </c>
      <c r="D68" s="108">
        <v>0</v>
      </c>
      <c r="E68" s="108">
        <v>0</v>
      </c>
      <c r="F68" s="108">
        <v>0</v>
      </c>
      <c r="G68" s="108">
        <v>0</v>
      </c>
      <c r="H68" s="108">
        <v>0</v>
      </c>
      <c r="I68" s="108">
        <v>0</v>
      </c>
      <c r="J68" s="108">
        <v>0</v>
      </c>
      <c r="K68" s="108">
        <v>0</v>
      </c>
      <c r="L68" s="108">
        <v>19.436230248306998</v>
      </c>
      <c r="M68" s="108">
        <v>20081.513092550791</v>
      </c>
      <c r="N68" s="108">
        <v>8.7819280843149414</v>
      </c>
      <c r="O68" s="108">
        <v>9073.488096714198</v>
      </c>
      <c r="P68" s="108">
        <v>4.3452321827663276</v>
      </c>
      <c r="Q68" s="108">
        <v>4489.4938912341695</v>
      </c>
      <c r="R68" s="108">
        <v>6.206201424870466</v>
      </c>
      <c r="S68" s="108">
        <v>6412.2473121761659</v>
      </c>
      <c r="T68" s="108">
        <v>0</v>
      </c>
      <c r="U68" s="108">
        <v>0</v>
      </c>
      <c r="V68" s="108">
        <v>11</v>
      </c>
      <c r="W68" s="108">
        <v>11365.2</v>
      </c>
      <c r="X68" s="108">
        <v>8.6842105263157894</v>
      </c>
      <c r="Y68" s="108">
        <v>8972.5263157894733</v>
      </c>
      <c r="Z68" s="108">
        <v>10.938784246575342</v>
      </c>
      <c r="AA68" s="108">
        <v>11301.951883561644</v>
      </c>
      <c r="AB68" s="108">
        <v>0</v>
      </c>
      <c r="AC68" s="108">
        <v>0</v>
      </c>
      <c r="AD68" s="108">
        <v>6.321479374110953</v>
      </c>
      <c r="AE68" s="108">
        <v>6531.352489331437</v>
      </c>
      <c r="AF68" s="108">
        <v>5.5591178650852484</v>
      </c>
      <c r="AG68" s="108">
        <v>5743.6805782060792</v>
      </c>
      <c r="AH68" s="108">
        <v>4.1977329974811086</v>
      </c>
      <c r="AI68" s="108">
        <v>4337.0977329974812</v>
      </c>
      <c r="AJ68" s="108">
        <v>0</v>
      </c>
      <c r="AK68" s="108">
        <v>0</v>
      </c>
      <c r="AL68" s="108">
        <v>50.26627832748165</v>
      </c>
      <c r="AM68" s="108">
        <v>51935.118767954045</v>
      </c>
      <c r="AN68" s="108">
        <v>15.08469827586207</v>
      </c>
      <c r="AO68" s="108">
        <v>15585.510258620692</v>
      </c>
      <c r="AP68" s="108">
        <v>0</v>
      </c>
      <c r="AQ68" s="108">
        <v>0</v>
      </c>
      <c r="AR68" s="108">
        <v>10.667062911485003</v>
      </c>
      <c r="AS68" s="108">
        <v>11021.209400146305</v>
      </c>
      <c r="AT68" s="108">
        <v>0</v>
      </c>
      <c r="AU68" s="108">
        <v>0</v>
      </c>
      <c r="AV68" s="108">
        <v>10.477663798808736</v>
      </c>
      <c r="AW68" s="108">
        <v>10825.522236929186</v>
      </c>
      <c r="AX68" s="108">
        <v>7.0475511408339884</v>
      </c>
      <c r="AY68" s="108">
        <v>7281.5298387096773</v>
      </c>
      <c r="AZ68" s="108">
        <v>3.9678571428571434</v>
      </c>
      <c r="BA68" s="108">
        <v>4099.5900000000011</v>
      </c>
      <c r="BB68" s="108">
        <v>0</v>
      </c>
      <c r="BC68" s="108">
        <v>0</v>
      </c>
      <c r="BD68" s="108">
        <v>14.592238805970151</v>
      </c>
      <c r="BE68" s="108">
        <v>15076.701134328361</v>
      </c>
      <c r="BF68" s="108">
        <v>0</v>
      </c>
      <c r="BG68" s="108">
        <v>0</v>
      </c>
      <c r="BH68" s="108">
        <v>21.13953488372093</v>
      </c>
      <c r="BI68" s="108">
        <v>21841.367441860468</v>
      </c>
      <c r="BJ68" s="108">
        <v>9.1647592152199753</v>
      </c>
      <c r="BK68" s="108">
        <v>9469.0292211652795</v>
      </c>
      <c r="BL68" s="108">
        <v>7.6211890243902438</v>
      </c>
      <c r="BM68" s="108">
        <v>7874.2125000000005</v>
      </c>
      <c r="BN68" s="108">
        <v>8.3959359605911335</v>
      </c>
      <c r="BO68" s="108">
        <v>8674.6810344827591</v>
      </c>
      <c r="BP68" s="108">
        <v>7.1958783120706578</v>
      </c>
      <c r="BQ68" s="108">
        <v>7434.7814720314036</v>
      </c>
      <c r="BR68" s="108">
        <v>5.8222699141545222</v>
      </c>
      <c r="BS68" s="108">
        <v>6015.5692753044523</v>
      </c>
      <c r="BT68" s="108">
        <v>9.2241697416974162</v>
      </c>
      <c r="BU68" s="108">
        <v>9530.4121771217706</v>
      </c>
      <c r="BV68" s="108">
        <v>0</v>
      </c>
      <c r="BW68" s="108">
        <v>0</v>
      </c>
      <c r="BX68" s="108">
        <v>34.330831005586589</v>
      </c>
      <c r="BY68" s="108">
        <v>35470.614594972067</v>
      </c>
      <c r="BZ68" s="108">
        <v>19.351039861351818</v>
      </c>
      <c r="CA68" s="108">
        <v>19993.494384748701</v>
      </c>
      <c r="CB68" s="108">
        <v>0</v>
      </c>
      <c r="CC68" s="108">
        <v>0</v>
      </c>
      <c r="CD68" s="108">
        <v>25.754428948360349</v>
      </c>
      <c r="CE68" s="108">
        <v>26609.475989445913</v>
      </c>
      <c r="CF68" s="108">
        <v>0</v>
      </c>
      <c r="CG68" s="108">
        <v>0</v>
      </c>
      <c r="CH68" s="108">
        <v>0</v>
      </c>
      <c r="CI68" s="108">
        <v>0</v>
      </c>
      <c r="CJ68" s="108">
        <v>10.735534337973082</v>
      </c>
      <c r="CK68" s="108">
        <v>11091.954077993789</v>
      </c>
      <c r="CL68" s="108">
        <v>6.5446640069816722</v>
      </c>
      <c r="CM68" s="108">
        <v>6761.9468520134642</v>
      </c>
      <c r="CN68" s="108">
        <v>5.7704727030625831</v>
      </c>
      <c r="CO68" s="108">
        <v>5962.0523968042608</v>
      </c>
      <c r="CP68" s="108">
        <v>0</v>
      </c>
      <c r="CQ68" s="108">
        <v>0</v>
      </c>
      <c r="CR68" s="108">
        <v>0</v>
      </c>
      <c r="CS68" s="108">
        <v>0</v>
      </c>
      <c r="CT68" s="108">
        <v>9.3421733505821489</v>
      </c>
      <c r="CU68" s="108">
        <v>9652.3335058214761</v>
      </c>
    </row>
    <row r="69" spans="2:99" x14ac:dyDescent="0.2">
      <c r="C69" s="107" t="s">
        <v>234</v>
      </c>
      <c r="D69" s="108">
        <v>0</v>
      </c>
      <c r="E69" s="108">
        <v>0</v>
      </c>
      <c r="F69" s="108">
        <v>0</v>
      </c>
      <c r="G69" s="108">
        <v>0</v>
      </c>
      <c r="H69" s="108">
        <v>0</v>
      </c>
      <c r="I69" s="108">
        <v>0</v>
      </c>
      <c r="J69" s="108">
        <v>0</v>
      </c>
      <c r="K69" s="108">
        <v>0</v>
      </c>
      <c r="L69" s="108">
        <v>20.063205417607222</v>
      </c>
      <c r="M69" s="108">
        <v>15215.934988713316</v>
      </c>
      <c r="N69" s="108">
        <v>8.0070520768753877</v>
      </c>
      <c r="O69" s="108">
        <v>6072.5482951022941</v>
      </c>
      <c r="P69" s="108">
        <v>4.5521480009932951</v>
      </c>
      <c r="Q69" s="108">
        <v>3452.3490439533148</v>
      </c>
      <c r="R69" s="108">
        <v>6.4760362694300513</v>
      </c>
      <c r="S69" s="108">
        <v>4911.4259067357507</v>
      </c>
      <c r="T69" s="108">
        <v>0</v>
      </c>
      <c r="U69" s="108">
        <v>0</v>
      </c>
      <c r="V69" s="108">
        <v>11</v>
      </c>
      <c r="W69" s="108">
        <v>8342.4</v>
      </c>
      <c r="X69" s="108">
        <v>7.8157894736842106</v>
      </c>
      <c r="Y69" s="108">
        <v>5927.4947368421053</v>
      </c>
      <c r="Z69" s="108">
        <v>9.9875856164383556</v>
      </c>
      <c r="AA69" s="108">
        <v>7574.584931506849</v>
      </c>
      <c r="AB69" s="108">
        <v>0</v>
      </c>
      <c r="AC69" s="108">
        <v>0</v>
      </c>
      <c r="AD69" s="108">
        <v>7.1116642958748226</v>
      </c>
      <c r="AE69" s="108">
        <v>5393.4862019914654</v>
      </c>
      <c r="AF69" s="108">
        <v>6.1767976278724976</v>
      </c>
      <c r="AG69" s="108">
        <v>4684.483320978502</v>
      </c>
      <c r="AH69" s="108">
        <v>3.8978949262324578</v>
      </c>
      <c r="AI69" s="108">
        <v>2956.1635120546957</v>
      </c>
      <c r="AJ69" s="108">
        <v>0</v>
      </c>
      <c r="AK69" s="108">
        <v>0</v>
      </c>
      <c r="AL69" s="108">
        <v>47.074768592403444</v>
      </c>
      <c r="AM69" s="108">
        <v>35701.504500478768</v>
      </c>
      <c r="AN69" s="108">
        <v>15.80301724137931</v>
      </c>
      <c r="AO69" s="108">
        <v>11985.008275862068</v>
      </c>
      <c r="AP69" s="108">
        <v>0</v>
      </c>
      <c r="AQ69" s="108">
        <v>0</v>
      </c>
      <c r="AR69" s="108">
        <v>11.581382589612289</v>
      </c>
      <c r="AS69" s="108">
        <v>8783.3205559619601</v>
      </c>
      <c r="AT69" s="108">
        <v>0</v>
      </c>
      <c r="AU69" s="108">
        <v>0</v>
      </c>
      <c r="AV69" s="108">
        <v>10.201935804103243</v>
      </c>
      <c r="AW69" s="108">
        <v>7737.1481138318995</v>
      </c>
      <c r="AX69" s="108">
        <v>7.3753442171518495</v>
      </c>
      <c r="AY69" s="108">
        <v>5593.4610542879627</v>
      </c>
      <c r="AZ69" s="108">
        <v>4.4087301587301582</v>
      </c>
      <c r="BA69" s="108">
        <v>3343.5809523809517</v>
      </c>
      <c r="BB69" s="108">
        <v>0</v>
      </c>
      <c r="BC69" s="108">
        <v>0</v>
      </c>
      <c r="BD69" s="108">
        <v>13.265671641791045</v>
      </c>
      <c r="BE69" s="108">
        <v>10060.685373134327</v>
      </c>
      <c r="BF69" s="108">
        <v>0</v>
      </c>
      <c r="BG69" s="108">
        <v>0</v>
      </c>
      <c r="BH69" s="108">
        <v>22.020348837209305</v>
      </c>
      <c r="BI69" s="108">
        <v>16700.232558139538</v>
      </c>
      <c r="BJ69" s="108">
        <v>11.394024970273483</v>
      </c>
      <c r="BK69" s="108">
        <v>8641.2285374554085</v>
      </c>
      <c r="BL69" s="108">
        <v>9.1454268292682919</v>
      </c>
      <c r="BM69" s="108">
        <v>6935.8917073170724</v>
      </c>
      <c r="BN69" s="108">
        <v>9.8885467980295552</v>
      </c>
      <c r="BO69" s="108">
        <v>7499.4738916256147</v>
      </c>
      <c r="BP69" s="108">
        <v>7.5229636898920509</v>
      </c>
      <c r="BQ69" s="108">
        <v>5705.4156624141315</v>
      </c>
      <c r="BR69" s="108">
        <v>5.8222699141545222</v>
      </c>
      <c r="BS69" s="108">
        <v>4415.6095028947893</v>
      </c>
      <c r="BT69" s="108">
        <v>8.6815715215975686</v>
      </c>
      <c r="BU69" s="108">
        <v>6584.1038419795959</v>
      </c>
      <c r="BV69" s="108">
        <v>0</v>
      </c>
      <c r="BW69" s="108">
        <v>0</v>
      </c>
      <c r="BX69" s="108">
        <v>36.076466480446932</v>
      </c>
      <c r="BY69" s="108">
        <v>27360.392178770951</v>
      </c>
      <c r="BZ69" s="108">
        <v>20.50632582322357</v>
      </c>
      <c r="CA69" s="108">
        <v>15551.997504332754</v>
      </c>
      <c r="CB69" s="108">
        <v>0</v>
      </c>
      <c r="CC69" s="108">
        <v>0</v>
      </c>
      <c r="CD69" s="108">
        <v>31.407840180927252</v>
      </c>
      <c r="CE69" s="108">
        <v>23819.705993215226</v>
      </c>
      <c r="CF69" s="108">
        <v>0</v>
      </c>
      <c r="CG69" s="108">
        <v>0</v>
      </c>
      <c r="CH69" s="108">
        <v>0</v>
      </c>
      <c r="CI69" s="108">
        <v>0</v>
      </c>
      <c r="CJ69" s="108">
        <v>10.92724030829403</v>
      </c>
      <c r="CK69" s="108">
        <v>8287.2190498101918</v>
      </c>
      <c r="CL69" s="108">
        <v>6.7524311183144246</v>
      </c>
      <c r="CM69" s="108">
        <v>5121.0437601296599</v>
      </c>
      <c r="CN69" s="108">
        <v>5.1466378162450068</v>
      </c>
      <c r="CO69" s="108">
        <v>3903.2101198402129</v>
      </c>
      <c r="CP69" s="108">
        <v>0</v>
      </c>
      <c r="CQ69" s="108">
        <v>0</v>
      </c>
      <c r="CR69" s="108">
        <v>0</v>
      </c>
      <c r="CS69" s="108">
        <v>0</v>
      </c>
      <c r="CT69" s="108">
        <v>9.5817162570073311</v>
      </c>
      <c r="CU69" s="108">
        <v>7266.7736093143594</v>
      </c>
    </row>
    <row r="70" spans="2:99" x14ac:dyDescent="0.2">
      <c r="C70" s="107" t="s">
        <v>235</v>
      </c>
      <c r="D70" s="108">
        <v>0</v>
      </c>
      <c r="E70" s="108">
        <v>0</v>
      </c>
      <c r="F70" s="108">
        <v>0</v>
      </c>
      <c r="G70" s="108">
        <v>0</v>
      </c>
      <c r="H70" s="108">
        <v>0</v>
      </c>
      <c r="I70" s="108">
        <v>0</v>
      </c>
      <c r="J70" s="108">
        <v>0</v>
      </c>
      <c r="K70" s="108">
        <v>0</v>
      </c>
      <c r="L70" s="108">
        <v>20.690180586907449</v>
      </c>
      <c r="M70" s="108">
        <v>11073.384650112865</v>
      </c>
      <c r="N70" s="108">
        <v>8.0070520768753877</v>
      </c>
      <c r="O70" s="108">
        <v>4285.3742715437065</v>
      </c>
      <c r="P70" s="108">
        <v>4.1383163645393592</v>
      </c>
      <c r="Q70" s="108">
        <v>2214.826918301465</v>
      </c>
      <c r="R70" s="108">
        <v>5.6665317357512954</v>
      </c>
      <c r="S70" s="108">
        <v>3032.7277849740931</v>
      </c>
      <c r="T70" s="108">
        <v>0</v>
      </c>
      <c r="U70" s="108">
        <v>0</v>
      </c>
      <c r="V70" s="108">
        <v>11</v>
      </c>
      <c r="W70" s="108">
        <v>5887.1999999999989</v>
      </c>
      <c r="X70" s="108">
        <v>8.6842105263157894</v>
      </c>
      <c r="Y70" s="108">
        <v>4647.78947368421</v>
      </c>
      <c r="Z70" s="108">
        <v>9.9875856164383556</v>
      </c>
      <c r="AA70" s="108">
        <v>5345.3558219178076</v>
      </c>
      <c r="AB70" s="108">
        <v>0</v>
      </c>
      <c r="AC70" s="108">
        <v>0</v>
      </c>
      <c r="AD70" s="108">
        <v>7.1116642958748226</v>
      </c>
      <c r="AE70" s="108">
        <v>3806.1627311522047</v>
      </c>
      <c r="AF70" s="108">
        <v>6.4856375092661231</v>
      </c>
      <c r="AG70" s="108">
        <v>3471.1131949592286</v>
      </c>
      <c r="AH70" s="108">
        <v>4.1977329974811086</v>
      </c>
      <c r="AI70" s="108">
        <v>2246.6267002518889</v>
      </c>
      <c r="AJ70" s="108">
        <v>0</v>
      </c>
      <c r="AK70" s="108">
        <v>0</v>
      </c>
      <c r="AL70" s="108">
        <v>51.862033195020743</v>
      </c>
      <c r="AM70" s="108">
        <v>27756.560165975097</v>
      </c>
      <c r="AN70" s="108">
        <v>17.957974137931036</v>
      </c>
      <c r="AO70" s="108">
        <v>9611.1077586206884</v>
      </c>
      <c r="AP70" s="108">
        <v>0</v>
      </c>
      <c r="AQ70" s="108">
        <v>0</v>
      </c>
      <c r="AR70" s="108">
        <v>11.276609363569861</v>
      </c>
      <c r="AS70" s="108">
        <v>6035.2413313825891</v>
      </c>
      <c r="AT70" s="108">
        <v>0</v>
      </c>
      <c r="AU70" s="108">
        <v>0</v>
      </c>
      <c r="AV70" s="108">
        <v>11.856303772336201</v>
      </c>
      <c r="AW70" s="108">
        <v>6345.4937789543337</v>
      </c>
      <c r="AX70" s="108">
        <v>7.2114476789929194</v>
      </c>
      <c r="AY70" s="108">
        <v>3859.5667977970102</v>
      </c>
      <c r="AZ70" s="108">
        <v>4.8496031746031747</v>
      </c>
      <c r="BA70" s="108">
        <v>2595.5076190476188</v>
      </c>
      <c r="BB70" s="108">
        <v>0</v>
      </c>
      <c r="BC70" s="108">
        <v>0</v>
      </c>
      <c r="BD70" s="108">
        <v>15.587164179104478</v>
      </c>
      <c r="BE70" s="108">
        <v>8342.250268656715</v>
      </c>
      <c r="BF70" s="108">
        <v>0</v>
      </c>
      <c r="BG70" s="108">
        <v>0</v>
      </c>
      <c r="BH70" s="108">
        <v>20.25872093023256</v>
      </c>
      <c r="BI70" s="108">
        <v>10842.467441860465</v>
      </c>
      <c r="BJ70" s="108">
        <v>10.898632580261593</v>
      </c>
      <c r="BK70" s="108">
        <v>5832.9481569560039</v>
      </c>
      <c r="BL70" s="108">
        <v>9.1454268292682919</v>
      </c>
      <c r="BM70" s="108">
        <v>4894.632439024389</v>
      </c>
      <c r="BN70" s="108">
        <v>9.7019704433497544</v>
      </c>
      <c r="BO70" s="108">
        <v>5192.4945812807882</v>
      </c>
      <c r="BP70" s="108">
        <v>7.0323356231599616</v>
      </c>
      <c r="BQ70" s="108">
        <v>3763.706025515211</v>
      </c>
      <c r="BR70" s="108">
        <v>7.1530744659612697</v>
      </c>
      <c r="BS70" s="108">
        <v>3828.3254541824713</v>
      </c>
      <c r="BT70" s="108">
        <v>9.2241697416974162</v>
      </c>
      <c r="BU70" s="108">
        <v>4936.7756457564565</v>
      </c>
      <c r="BV70" s="108">
        <v>0</v>
      </c>
      <c r="BW70" s="108">
        <v>0</v>
      </c>
      <c r="BX70" s="108">
        <v>37.240223463687151</v>
      </c>
      <c r="BY70" s="108">
        <v>19930.967597765361</v>
      </c>
      <c r="BZ70" s="108">
        <v>21.372790294627382</v>
      </c>
      <c r="CA70" s="108">
        <v>11438.717365684573</v>
      </c>
      <c r="CB70" s="108">
        <v>0</v>
      </c>
      <c r="CC70" s="108">
        <v>0</v>
      </c>
      <c r="CD70" s="108">
        <v>28.895212966453073</v>
      </c>
      <c r="CE70" s="108">
        <v>15464.717979645682</v>
      </c>
      <c r="CF70" s="108">
        <v>0</v>
      </c>
      <c r="CG70" s="108">
        <v>0</v>
      </c>
      <c r="CH70" s="108">
        <v>0</v>
      </c>
      <c r="CI70" s="108">
        <v>0</v>
      </c>
      <c r="CJ70" s="108">
        <v>12.077476130219717</v>
      </c>
      <c r="CK70" s="108">
        <v>6463.8652248935914</v>
      </c>
      <c r="CL70" s="108">
        <v>6.8563146739808003</v>
      </c>
      <c r="CM70" s="108">
        <v>3669.4996135145238</v>
      </c>
      <c r="CN70" s="108">
        <v>5.458555259653795</v>
      </c>
      <c r="CO70" s="108">
        <v>2921.4187749667108</v>
      </c>
      <c r="CP70" s="108">
        <v>0</v>
      </c>
      <c r="CQ70" s="108">
        <v>0</v>
      </c>
      <c r="CR70" s="108">
        <v>0</v>
      </c>
      <c r="CS70" s="108">
        <v>0</v>
      </c>
      <c r="CT70" s="108">
        <v>10.060802069857697</v>
      </c>
      <c r="CU70" s="108">
        <v>5384.5412677878385</v>
      </c>
    </row>
    <row r="71" spans="2:99" x14ac:dyDescent="0.2">
      <c r="B71" s="107" t="s">
        <v>130</v>
      </c>
      <c r="C71" s="107" t="s">
        <v>236</v>
      </c>
      <c r="D71" s="108">
        <v>0</v>
      </c>
      <c r="E71" s="108">
        <v>0</v>
      </c>
      <c r="F71" s="108">
        <v>0</v>
      </c>
      <c r="G71" s="108">
        <v>0</v>
      </c>
      <c r="H71" s="108">
        <v>14.593442973088425</v>
      </c>
      <c r="I71" s="108">
        <v>8230.7018368218723</v>
      </c>
      <c r="J71" s="108">
        <v>0</v>
      </c>
      <c r="K71" s="108">
        <v>0</v>
      </c>
      <c r="L71" s="108">
        <v>43.746656760772659</v>
      </c>
      <c r="M71" s="108">
        <v>24673.114413075778</v>
      </c>
      <c r="N71" s="108">
        <v>20.146276595744681</v>
      </c>
      <c r="O71" s="108">
        <v>11362.5</v>
      </c>
      <c r="P71" s="108">
        <v>0</v>
      </c>
      <c r="Q71" s="108">
        <v>0</v>
      </c>
      <c r="R71" s="108">
        <v>16.080263157894738</v>
      </c>
      <c r="S71" s="108">
        <v>9069.2684210526313</v>
      </c>
      <c r="T71" s="108">
        <v>10.908844011142062</v>
      </c>
      <c r="U71" s="108">
        <v>6152.5880222841224</v>
      </c>
      <c r="V71" s="108">
        <v>23.726090993500463</v>
      </c>
      <c r="W71" s="108">
        <v>13381.515320334262</v>
      </c>
      <c r="X71" s="108">
        <v>0</v>
      </c>
      <c r="Y71" s="108">
        <v>0</v>
      </c>
      <c r="Z71" s="108">
        <v>0</v>
      </c>
      <c r="AA71" s="108">
        <v>0</v>
      </c>
      <c r="AB71" s="108">
        <v>28</v>
      </c>
      <c r="AC71" s="108">
        <v>15792</v>
      </c>
      <c r="AD71" s="108">
        <v>30</v>
      </c>
      <c r="AE71" s="108">
        <v>16920</v>
      </c>
      <c r="AF71" s="108">
        <v>22.225957779515248</v>
      </c>
      <c r="AG71" s="108">
        <v>12535.4401876466</v>
      </c>
      <c r="AH71" s="108">
        <v>0</v>
      </c>
      <c r="AI71" s="108">
        <v>0</v>
      </c>
      <c r="AJ71" s="108">
        <v>10.190582959641256</v>
      </c>
      <c r="AK71" s="108">
        <v>5747.4887892376682</v>
      </c>
      <c r="AL71" s="108">
        <v>26.779357231149568</v>
      </c>
      <c r="AM71" s="108">
        <v>15103.557478368357</v>
      </c>
      <c r="AN71" s="108">
        <v>10.592161016949154</v>
      </c>
      <c r="AO71" s="108">
        <v>5973.9788135593226</v>
      </c>
      <c r="AP71" s="108">
        <v>27.045823389021479</v>
      </c>
      <c r="AQ71" s="108">
        <v>15253.844391408114</v>
      </c>
      <c r="AR71" s="108">
        <v>35.220025109855619</v>
      </c>
      <c r="AS71" s="108">
        <v>19864.094161958568</v>
      </c>
      <c r="AT71" s="108">
        <v>36.584784254352762</v>
      </c>
      <c r="AU71" s="108">
        <v>20633.818319454957</v>
      </c>
      <c r="AV71" s="108">
        <v>0</v>
      </c>
      <c r="AW71" s="108">
        <v>0</v>
      </c>
      <c r="AX71" s="108">
        <v>76.271335168616659</v>
      </c>
      <c r="AY71" s="108">
        <v>43017.033035099797</v>
      </c>
      <c r="AZ71" s="108">
        <v>0</v>
      </c>
      <c r="BA71" s="108">
        <v>0</v>
      </c>
      <c r="BB71" s="108">
        <v>14.52136929460581</v>
      </c>
      <c r="BC71" s="108">
        <v>8190.0522821576769</v>
      </c>
      <c r="BD71" s="108">
        <v>17.823529411764707</v>
      </c>
      <c r="BE71" s="108">
        <v>10052.470588235294</v>
      </c>
      <c r="BF71" s="108">
        <v>0</v>
      </c>
      <c r="BG71" s="108">
        <v>0</v>
      </c>
      <c r="BH71" s="108">
        <v>66.514876632801162</v>
      </c>
      <c r="BI71" s="108">
        <v>37514.390420899857</v>
      </c>
      <c r="BJ71" s="108">
        <v>68.934115138592745</v>
      </c>
      <c r="BK71" s="108">
        <v>38878.840938166308</v>
      </c>
      <c r="BL71" s="108">
        <v>24.320273911091153</v>
      </c>
      <c r="BM71" s="108">
        <v>13716.634485855411</v>
      </c>
      <c r="BN71" s="108">
        <v>32.964453584018806</v>
      </c>
      <c r="BO71" s="108">
        <v>18591.951821386607</v>
      </c>
      <c r="BP71" s="108">
        <v>11.720907928388746</v>
      </c>
      <c r="BQ71" s="108">
        <v>6610.5920716112523</v>
      </c>
      <c r="BR71" s="108">
        <v>0</v>
      </c>
      <c r="BS71" s="108">
        <v>0</v>
      </c>
      <c r="BT71" s="108">
        <v>0</v>
      </c>
      <c r="BU71" s="108">
        <v>0</v>
      </c>
      <c r="BV71" s="108">
        <v>25</v>
      </c>
      <c r="BW71" s="108">
        <v>14100</v>
      </c>
      <c r="BX71" s="108">
        <v>10.425247116968698</v>
      </c>
      <c r="BY71" s="108">
        <v>5879.8393739703461</v>
      </c>
      <c r="BZ71" s="108">
        <v>13.40625</v>
      </c>
      <c r="CA71" s="108">
        <v>7561.125</v>
      </c>
      <c r="CB71" s="108">
        <v>21.395863052781738</v>
      </c>
      <c r="CC71" s="108">
        <v>12067.2667617689</v>
      </c>
      <c r="CD71" s="108">
        <v>9.6515444015444007</v>
      </c>
      <c r="CE71" s="108">
        <v>5443.471042471042</v>
      </c>
      <c r="CF71" s="108">
        <v>0</v>
      </c>
      <c r="CG71" s="108">
        <v>0</v>
      </c>
      <c r="CH71" s="108">
        <v>13.284765279007972</v>
      </c>
      <c r="CI71" s="108">
        <v>7492.6076173604961</v>
      </c>
      <c r="CJ71" s="108">
        <v>19</v>
      </c>
      <c r="CK71" s="108">
        <v>10716</v>
      </c>
      <c r="CL71" s="108">
        <v>5.6444517399868683</v>
      </c>
      <c r="CM71" s="108">
        <v>3183.4707813525938</v>
      </c>
      <c r="CN71" s="108">
        <v>14.167697594501718</v>
      </c>
      <c r="CO71" s="108">
        <v>7990.5814432989691</v>
      </c>
      <c r="CP71" s="108">
        <v>16.319949636261892</v>
      </c>
      <c r="CQ71" s="108">
        <v>9204.4515948517073</v>
      </c>
      <c r="CR71" s="108">
        <v>19.758638211382113</v>
      </c>
      <c r="CS71" s="108">
        <v>11143.871951219511</v>
      </c>
      <c r="CT71" s="108">
        <v>17.384352517985612</v>
      </c>
      <c r="CU71" s="108">
        <v>9804.7748201438844</v>
      </c>
    </row>
    <row r="72" spans="2:99" x14ac:dyDescent="0.2">
      <c r="C72" s="107" t="s">
        <v>237</v>
      </c>
      <c r="D72" s="108">
        <v>0</v>
      </c>
      <c r="E72" s="108">
        <v>0</v>
      </c>
      <c r="F72" s="108">
        <v>0</v>
      </c>
      <c r="G72" s="108">
        <v>0</v>
      </c>
      <c r="H72" s="108">
        <v>15.305318240068347</v>
      </c>
      <c r="I72" s="108">
        <v>1138.715677061085</v>
      </c>
      <c r="J72" s="108">
        <v>0</v>
      </c>
      <c r="K72" s="108">
        <v>0</v>
      </c>
      <c r="L72" s="108">
        <v>41.270430906389301</v>
      </c>
      <c r="M72" s="108">
        <v>3070.5200594353637</v>
      </c>
      <c r="N72" s="108">
        <v>23.772606382978722</v>
      </c>
      <c r="O72" s="108">
        <v>1768.6819148936167</v>
      </c>
      <c r="P72" s="108">
        <v>0</v>
      </c>
      <c r="Q72" s="108">
        <v>0</v>
      </c>
      <c r="R72" s="108">
        <v>18.638486842105262</v>
      </c>
      <c r="S72" s="108">
        <v>1386.7034210526313</v>
      </c>
      <c r="T72" s="108">
        <v>12.069359331476322</v>
      </c>
      <c r="U72" s="108">
        <v>897.96033426183828</v>
      </c>
      <c r="V72" s="108">
        <v>28.883936861652739</v>
      </c>
      <c r="W72" s="108">
        <v>2148.9649025069634</v>
      </c>
      <c r="X72" s="108">
        <v>0</v>
      </c>
      <c r="Y72" s="108">
        <v>0</v>
      </c>
      <c r="Z72" s="108">
        <v>0</v>
      </c>
      <c r="AA72" s="108">
        <v>0</v>
      </c>
      <c r="AB72" s="108">
        <v>33</v>
      </c>
      <c r="AC72" s="108">
        <v>2455.1999999999998</v>
      </c>
      <c r="AD72" s="108">
        <v>31</v>
      </c>
      <c r="AE72" s="108">
        <v>2306.3999999999996</v>
      </c>
      <c r="AF72" s="108">
        <v>25.093823299452698</v>
      </c>
      <c r="AG72" s="108">
        <v>1866.9804534792804</v>
      </c>
      <c r="AH72" s="108">
        <v>0</v>
      </c>
      <c r="AI72" s="108">
        <v>0</v>
      </c>
      <c r="AJ72" s="108">
        <v>11.889013452914799</v>
      </c>
      <c r="AK72" s="108">
        <v>884.54260089686102</v>
      </c>
      <c r="AL72" s="108">
        <v>26.779357231149568</v>
      </c>
      <c r="AM72" s="108">
        <v>1992.3841779975276</v>
      </c>
      <c r="AN72" s="108">
        <v>10.984463276836159</v>
      </c>
      <c r="AO72" s="108">
        <v>817.24406779661012</v>
      </c>
      <c r="AP72" s="108">
        <v>26.250357995226732</v>
      </c>
      <c r="AQ72" s="108">
        <v>1953.0266348448686</v>
      </c>
      <c r="AR72" s="108">
        <v>44.286566227244194</v>
      </c>
      <c r="AS72" s="108">
        <v>3294.9205273069674</v>
      </c>
      <c r="AT72" s="108">
        <v>47.307910673732025</v>
      </c>
      <c r="AU72" s="108">
        <v>3519.7085541256624</v>
      </c>
      <c r="AV72" s="108">
        <v>0</v>
      </c>
      <c r="AW72" s="108">
        <v>0</v>
      </c>
      <c r="AX72" s="108">
        <v>77.991741225051612</v>
      </c>
      <c r="AY72" s="108">
        <v>5802.585547143839</v>
      </c>
      <c r="AZ72" s="108">
        <v>0</v>
      </c>
      <c r="BA72" s="108">
        <v>0</v>
      </c>
      <c r="BB72" s="108">
        <v>14.52136929460581</v>
      </c>
      <c r="BC72" s="108">
        <v>1080.3898755186722</v>
      </c>
      <c r="BD72" s="108">
        <v>17.080882352941178</v>
      </c>
      <c r="BE72" s="108">
        <v>1270.8176470588235</v>
      </c>
      <c r="BF72" s="108">
        <v>0</v>
      </c>
      <c r="BG72" s="108">
        <v>0</v>
      </c>
      <c r="BH72" s="108">
        <v>72.561683599419453</v>
      </c>
      <c r="BI72" s="108">
        <v>5398.5892597968068</v>
      </c>
      <c r="BJ72" s="108">
        <v>71.776759061833687</v>
      </c>
      <c r="BK72" s="108">
        <v>5340.1908742004252</v>
      </c>
      <c r="BL72" s="108">
        <v>25.442748091603054</v>
      </c>
      <c r="BM72" s="108">
        <v>1892.940458015267</v>
      </c>
      <c r="BN72" s="108">
        <v>35.575499412455933</v>
      </c>
      <c r="BO72" s="108">
        <v>2646.817156286721</v>
      </c>
      <c r="BP72" s="108">
        <v>11.010549872122763</v>
      </c>
      <c r="BQ72" s="108">
        <v>819.18491048593341</v>
      </c>
      <c r="BR72" s="108">
        <v>0</v>
      </c>
      <c r="BS72" s="108">
        <v>0</v>
      </c>
      <c r="BT72" s="108">
        <v>0</v>
      </c>
      <c r="BU72" s="108">
        <v>0</v>
      </c>
      <c r="BV72" s="108">
        <v>22</v>
      </c>
      <c r="BW72" s="108">
        <v>1636.7999999999997</v>
      </c>
      <c r="BX72" s="108">
        <v>11.815280065897859</v>
      </c>
      <c r="BY72" s="108">
        <v>879.05683690280057</v>
      </c>
      <c r="BZ72" s="108">
        <v>13.062499999999998</v>
      </c>
      <c r="CA72" s="108">
        <v>971.8499999999998</v>
      </c>
      <c r="CB72" s="108">
        <v>26.150499286733236</v>
      </c>
      <c r="CC72" s="108">
        <v>1945.5971469329525</v>
      </c>
      <c r="CD72" s="108">
        <v>9.3590733590733581</v>
      </c>
      <c r="CE72" s="108">
        <v>696.31505791505776</v>
      </c>
      <c r="CF72" s="108">
        <v>0</v>
      </c>
      <c r="CG72" s="108">
        <v>0</v>
      </c>
      <c r="CH72" s="108">
        <v>14.760850310008859</v>
      </c>
      <c r="CI72" s="108">
        <v>1098.2072630646589</v>
      </c>
      <c r="CJ72" s="108">
        <v>22</v>
      </c>
      <c r="CK72" s="108">
        <v>1636.7999999999997</v>
      </c>
      <c r="CL72" s="108">
        <v>5.8154957321076823</v>
      </c>
      <c r="CM72" s="108">
        <v>432.67288246881151</v>
      </c>
      <c r="CN72" s="108">
        <v>17.38762886597938</v>
      </c>
      <c r="CO72" s="108">
        <v>1293.6395876288657</v>
      </c>
      <c r="CP72" s="108">
        <v>20.050223838836036</v>
      </c>
      <c r="CQ72" s="108">
        <v>1491.7366536094009</v>
      </c>
      <c r="CR72" s="108">
        <v>19.194105691056912</v>
      </c>
      <c r="CS72" s="108">
        <v>1428.0414634146341</v>
      </c>
      <c r="CT72" s="108">
        <v>20.98111510791367</v>
      </c>
      <c r="CU72" s="108">
        <v>1560.9949640287768</v>
      </c>
    </row>
    <row r="73" spans="2:99" x14ac:dyDescent="0.2">
      <c r="C73" s="107" t="s">
        <v>238</v>
      </c>
      <c r="D73" s="108">
        <v>0</v>
      </c>
      <c r="E73" s="108">
        <v>0</v>
      </c>
      <c r="F73" s="108">
        <v>0</v>
      </c>
      <c r="G73" s="108">
        <v>0</v>
      </c>
      <c r="H73" s="108">
        <v>14.593442973088425</v>
      </c>
      <c r="I73" s="108">
        <v>8160.6533105510462</v>
      </c>
      <c r="J73" s="108">
        <v>0</v>
      </c>
      <c r="K73" s="108">
        <v>0</v>
      </c>
      <c r="L73" s="108">
        <v>40.445022288261519</v>
      </c>
      <c r="M73" s="108">
        <v>22616.856463595839</v>
      </c>
      <c r="N73" s="108">
        <v>21.355053191489361</v>
      </c>
      <c r="O73" s="108">
        <v>11941.745744680849</v>
      </c>
      <c r="P73" s="108">
        <v>0</v>
      </c>
      <c r="Q73" s="108">
        <v>0</v>
      </c>
      <c r="R73" s="108">
        <v>16.080263157894738</v>
      </c>
      <c r="S73" s="108">
        <v>8992.0831578947364</v>
      </c>
      <c r="T73" s="108">
        <v>10.908844011142062</v>
      </c>
      <c r="U73" s="108">
        <v>6100.2255710306399</v>
      </c>
      <c r="V73" s="108">
        <v>24.757660167130918</v>
      </c>
      <c r="W73" s="108">
        <v>13844.483565459608</v>
      </c>
      <c r="X73" s="108">
        <v>0</v>
      </c>
      <c r="Y73" s="108">
        <v>0</v>
      </c>
      <c r="Z73" s="108">
        <v>0</v>
      </c>
      <c r="AA73" s="108">
        <v>0</v>
      </c>
      <c r="AB73" s="108">
        <v>31</v>
      </c>
      <c r="AC73" s="108">
        <v>17335.199999999997</v>
      </c>
      <c r="AD73" s="108">
        <v>29</v>
      </c>
      <c r="AE73" s="108">
        <v>16216.799999999997</v>
      </c>
      <c r="AF73" s="108">
        <v>26.527756059421424</v>
      </c>
      <c r="AG73" s="108">
        <v>14834.321188428459</v>
      </c>
      <c r="AH73" s="108">
        <v>0</v>
      </c>
      <c r="AI73" s="108">
        <v>0</v>
      </c>
      <c r="AJ73" s="108">
        <v>10.190582959641256</v>
      </c>
      <c r="AK73" s="108">
        <v>5698.5739910313896</v>
      </c>
      <c r="AL73" s="108">
        <v>22.659456118665016</v>
      </c>
      <c r="AM73" s="108">
        <v>12671.167861557475</v>
      </c>
      <c r="AN73" s="108">
        <v>12.161370056497175</v>
      </c>
      <c r="AO73" s="108">
        <v>6800.638135593219</v>
      </c>
      <c r="AP73" s="108">
        <v>28.636754176610982</v>
      </c>
      <c r="AQ73" s="108">
        <v>16013.672935560859</v>
      </c>
      <c r="AR73" s="108">
        <v>38.881512868801003</v>
      </c>
      <c r="AS73" s="108">
        <v>21742.541996233518</v>
      </c>
      <c r="AT73" s="108">
        <v>40.159159727479178</v>
      </c>
      <c r="AU73" s="108">
        <v>22457.002119606354</v>
      </c>
      <c r="AV73" s="108">
        <v>0</v>
      </c>
      <c r="AW73" s="108">
        <v>0</v>
      </c>
      <c r="AX73" s="108">
        <v>64.801961459050247</v>
      </c>
      <c r="AY73" s="108">
        <v>36237.256847900891</v>
      </c>
      <c r="AZ73" s="108">
        <v>0</v>
      </c>
      <c r="BA73" s="108">
        <v>0</v>
      </c>
      <c r="BB73" s="108">
        <v>13.8298755186722</v>
      </c>
      <c r="BC73" s="108">
        <v>7733.6663900414933</v>
      </c>
      <c r="BD73" s="108">
        <v>17.823529411764707</v>
      </c>
      <c r="BE73" s="108">
        <v>9966.9176470588227</v>
      </c>
      <c r="BF73" s="108">
        <v>0</v>
      </c>
      <c r="BG73" s="108">
        <v>0</v>
      </c>
      <c r="BH73" s="108">
        <v>59.863388969521047</v>
      </c>
      <c r="BI73" s="108">
        <v>33475.607111756166</v>
      </c>
      <c r="BJ73" s="108">
        <v>59.695522388059707</v>
      </c>
      <c r="BK73" s="108">
        <v>33381.736119402987</v>
      </c>
      <c r="BL73" s="108">
        <v>25.068590031432421</v>
      </c>
      <c r="BM73" s="108">
        <v>14018.355545577009</v>
      </c>
      <c r="BN73" s="108">
        <v>37.533783783783782</v>
      </c>
      <c r="BO73" s="108">
        <v>20988.89189189189</v>
      </c>
      <c r="BP73" s="108">
        <v>11.720907928388746</v>
      </c>
      <c r="BQ73" s="108">
        <v>6554.331713554986</v>
      </c>
      <c r="BR73" s="108">
        <v>0</v>
      </c>
      <c r="BS73" s="108">
        <v>0</v>
      </c>
      <c r="BT73" s="108">
        <v>0</v>
      </c>
      <c r="BU73" s="108">
        <v>0</v>
      </c>
      <c r="BV73" s="108">
        <v>22</v>
      </c>
      <c r="BW73" s="108">
        <v>12302.399999999998</v>
      </c>
      <c r="BX73" s="108">
        <v>10.077738879736408</v>
      </c>
      <c r="BY73" s="108">
        <v>5635.4715815485988</v>
      </c>
      <c r="BZ73" s="108">
        <v>13.062499999999998</v>
      </c>
      <c r="CA73" s="108">
        <v>7304.5499999999984</v>
      </c>
      <c r="CB73" s="108">
        <v>21.395863052781738</v>
      </c>
      <c r="CC73" s="108">
        <v>11964.566619115547</v>
      </c>
      <c r="CD73" s="108">
        <v>8.1891891891891895</v>
      </c>
      <c r="CE73" s="108">
        <v>4579.3945945945943</v>
      </c>
      <c r="CF73" s="108">
        <v>0</v>
      </c>
      <c r="CG73" s="108">
        <v>0</v>
      </c>
      <c r="CH73" s="108">
        <v>12.54672276350753</v>
      </c>
      <c r="CI73" s="108">
        <v>7016.1273693534104</v>
      </c>
      <c r="CJ73" s="108">
        <v>20</v>
      </c>
      <c r="CK73" s="108">
        <v>11183.999999999998</v>
      </c>
      <c r="CL73" s="108">
        <v>5.8154957321076823</v>
      </c>
      <c r="CM73" s="108">
        <v>3252.0252133946155</v>
      </c>
      <c r="CN73" s="108">
        <v>16.743642611683846</v>
      </c>
      <c r="CO73" s="108">
        <v>9363.0449484536057</v>
      </c>
      <c r="CP73" s="108">
        <v>19.117655288192502</v>
      </c>
      <c r="CQ73" s="108">
        <v>10690.592837157246</v>
      </c>
      <c r="CR73" s="108">
        <v>16.935975609756099</v>
      </c>
      <c r="CS73" s="108">
        <v>9470.5975609756097</v>
      </c>
      <c r="CT73" s="108">
        <v>19.782194244604316</v>
      </c>
      <c r="CU73" s="108">
        <v>11062.203021582733</v>
      </c>
    </row>
    <row r="74" spans="2:99" x14ac:dyDescent="0.2">
      <c r="C74" s="107" t="s">
        <v>239</v>
      </c>
      <c r="D74" s="108">
        <v>0</v>
      </c>
      <c r="E74" s="108">
        <v>0</v>
      </c>
      <c r="F74" s="108">
        <v>0</v>
      </c>
      <c r="G74" s="108">
        <v>0</v>
      </c>
      <c r="H74" s="108">
        <v>14.949380606578385</v>
      </c>
      <c r="I74" s="108">
        <v>6027.590260572405</v>
      </c>
      <c r="J74" s="108">
        <v>0</v>
      </c>
      <c r="K74" s="108">
        <v>0</v>
      </c>
      <c r="L74" s="108">
        <v>37.968796433878154</v>
      </c>
      <c r="M74" s="108">
        <v>15309.018722139672</v>
      </c>
      <c r="N74" s="108">
        <v>22.160904255319149</v>
      </c>
      <c r="O74" s="108">
        <v>8935.2765957446809</v>
      </c>
      <c r="P74" s="108">
        <v>0</v>
      </c>
      <c r="Q74" s="108">
        <v>0</v>
      </c>
      <c r="R74" s="108">
        <v>18.273026315789473</v>
      </c>
      <c r="S74" s="108">
        <v>7367.6842105263149</v>
      </c>
      <c r="T74" s="108">
        <v>11.837256267409471</v>
      </c>
      <c r="U74" s="108">
        <v>4772.7817270194982</v>
      </c>
      <c r="V74" s="108">
        <v>24.757660167130918</v>
      </c>
      <c r="W74" s="108">
        <v>9982.2885793871865</v>
      </c>
      <c r="X74" s="108">
        <v>0</v>
      </c>
      <c r="Y74" s="108">
        <v>0</v>
      </c>
      <c r="Z74" s="108">
        <v>0</v>
      </c>
      <c r="AA74" s="108">
        <v>0</v>
      </c>
      <c r="AB74" s="108">
        <v>28</v>
      </c>
      <c r="AC74" s="108">
        <v>11289.6</v>
      </c>
      <c r="AD74" s="108">
        <v>30</v>
      </c>
      <c r="AE74" s="108">
        <v>12096</v>
      </c>
      <c r="AF74" s="108">
        <v>25.093823299452698</v>
      </c>
      <c r="AG74" s="108">
        <v>10117.829554339327</v>
      </c>
      <c r="AH74" s="108">
        <v>0</v>
      </c>
      <c r="AI74" s="108">
        <v>0</v>
      </c>
      <c r="AJ74" s="108">
        <v>11.54932735426009</v>
      </c>
      <c r="AK74" s="108">
        <v>4656.6887892376681</v>
      </c>
      <c r="AL74" s="108">
        <v>26.092707045735473</v>
      </c>
      <c r="AM74" s="108">
        <v>10520.579480840543</v>
      </c>
      <c r="AN74" s="108">
        <v>12.161370056497175</v>
      </c>
      <c r="AO74" s="108">
        <v>4903.4644067796607</v>
      </c>
      <c r="AP74" s="108">
        <v>28.636754176610982</v>
      </c>
      <c r="AQ74" s="108">
        <v>11546.339284009548</v>
      </c>
      <c r="AR74" s="108">
        <v>36.440521029504083</v>
      </c>
      <c r="AS74" s="108">
        <v>14692.818079096045</v>
      </c>
      <c r="AT74" s="108">
        <v>40.789931869795609</v>
      </c>
      <c r="AU74" s="108">
        <v>16446.50052990159</v>
      </c>
      <c r="AV74" s="108">
        <v>0</v>
      </c>
      <c r="AW74" s="108">
        <v>0</v>
      </c>
      <c r="AX74" s="108">
        <v>76.271335168616659</v>
      </c>
      <c r="AY74" s="108">
        <v>30752.602339986235</v>
      </c>
      <c r="AZ74" s="108">
        <v>0</v>
      </c>
      <c r="BA74" s="108">
        <v>0</v>
      </c>
      <c r="BB74" s="108">
        <v>13.13838174273859</v>
      </c>
      <c r="BC74" s="108">
        <v>5297.3955186721996</v>
      </c>
      <c r="BD74" s="108">
        <v>16.338235294117649</v>
      </c>
      <c r="BE74" s="108">
        <v>6587.5764705882357</v>
      </c>
      <c r="BF74" s="108">
        <v>0</v>
      </c>
      <c r="BG74" s="108">
        <v>0</v>
      </c>
      <c r="BH74" s="108">
        <v>60.46806966618287</v>
      </c>
      <c r="BI74" s="108">
        <v>24380.725689404931</v>
      </c>
      <c r="BJ74" s="108">
        <v>73.198081023454151</v>
      </c>
      <c r="BK74" s="108">
        <v>29513.466268656714</v>
      </c>
      <c r="BL74" s="108">
        <v>23.197799730579252</v>
      </c>
      <c r="BM74" s="108">
        <v>9353.3528513695546</v>
      </c>
      <c r="BN74" s="108">
        <v>34.269976498237369</v>
      </c>
      <c r="BO74" s="108">
        <v>13817.654524089307</v>
      </c>
      <c r="BP74" s="108">
        <v>11.010549872122763</v>
      </c>
      <c r="BQ74" s="108">
        <v>4439.453708439898</v>
      </c>
      <c r="BR74" s="108">
        <v>0</v>
      </c>
      <c r="BS74" s="108">
        <v>0</v>
      </c>
      <c r="BT74" s="108">
        <v>0</v>
      </c>
      <c r="BU74" s="108">
        <v>0</v>
      </c>
      <c r="BV74" s="108">
        <v>25</v>
      </c>
      <c r="BW74" s="108">
        <v>10080</v>
      </c>
      <c r="BX74" s="108">
        <v>10.077738879736408</v>
      </c>
      <c r="BY74" s="108">
        <v>4063.3443163097195</v>
      </c>
      <c r="BZ74" s="108">
        <v>13.062499999999998</v>
      </c>
      <c r="CA74" s="108">
        <v>5266.7999999999993</v>
      </c>
      <c r="CB74" s="108">
        <v>22.18830242510699</v>
      </c>
      <c r="CC74" s="108">
        <v>8946.3235378031386</v>
      </c>
      <c r="CD74" s="108">
        <v>9.6515444015444007</v>
      </c>
      <c r="CE74" s="108">
        <v>3891.5027027027022</v>
      </c>
      <c r="CF74" s="108">
        <v>0</v>
      </c>
      <c r="CG74" s="108">
        <v>0</v>
      </c>
      <c r="CH74" s="108">
        <v>14.022807794508415</v>
      </c>
      <c r="CI74" s="108">
        <v>5653.996102745793</v>
      </c>
      <c r="CJ74" s="108">
        <v>21</v>
      </c>
      <c r="CK74" s="108">
        <v>8467.1999999999989</v>
      </c>
      <c r="CL74" s="108">
        <v>6.1575837163493103</v>
      </c>
      <c r="CM74" s="108">
        <v>2482.737754432042</v>
      </c>
      <c r="CN74" s="108">
        <v>14.81168384879725</v>
      </c>
      <c r="CO74" s="108">
        <v>5972.0709278350505</v>
      </c>
      <c r="CP74" s="108">
        <v>18.651371012870733</v>
      </c>
      <c r="CQ74" s="108">
        <v>7520.2327923894791</v>
      </c>
      <c r="CR74" s="108">
        <v>16.935975609756099</v>
      </c>
      <c r="CS74" s="108">
        <v>6828.5853658536589</v>
      </c>
      <c r="CT74" s="108">
        <v>20.98111510791367</v>
      </c>
      <c r="CU74" s="108">
        <v>8459.5856115107908</v>
      </c>
    </row>
    <row r="75" spans="2:99" x14ac:dyDescent="0.2">
      <c r="C75" s="107" t="s">
        <v>240</v>
      </c>
      <c r="D75" s="108">
        <v>0</v>
      </c>
      <c r="E75" s="108">
        <v>0</v>
      </c>
      <c r="F75" s="108">
        <v>0</v>
      </c>
      <c r="G75" s="108">
        <v>0</v>
      </c>
      <c r="H75" s="108">
        <v>16.373131140538231</v>
      </c>
      <c r="I75" s="108">
        <v>10531.197949594189</v>
      </c>
      <c r="J75" s="108">
        <v>0</v>
      </c>
      <c r="K75" s="108">
        <v>0</v>
      </c>
      <c r="L75" s="108">
        <v>36.317979197622584</v>
      </c>
      <c r="M75" s="108">
        <v>23359.724219910844</v>
      </c>
      <c r="N75" s="108">
        <v>22.160904255319149</v>
      </c>
      <c r="O75" s="108">
        <v>14253.893617021275</v>
      </c>
      <c r="P75" s="108">
        <v>0</v>
      </c>
      <c r="Q75" s="108">
        <v>0</v>
      </c>
      <c r="R75" s="108">
        <v>16.811184210526317</v>
      </c>
      <c r="S75" s="108">
        <v>10812.953684210526</v>
      </c>
      <c r="T75" s="108">
        <v>10.908844011142062</v>
      </c>
      <c r="U75" s="108">
        <v>7016.5684679665737</v>
      </c>
      <c r="V75" s="108">
        <v>26.820798514391825</v>
      </c>
      <c r="W75" s="108">
        <v>17251.137604456821</v>
      </c>
      <c r="X75" s="108">
        <v>0</v>
      </c>
      <c r="Y75" s="108">
        <v>0</v>
      </c>
      <c r="Z75" s="108">
        <v>0</v>
      </c>
      <c r="AA75" s="108">
        <v>0</v>
      </c>
      <c r="AB75" s="108">
        <v>28</v>
      </c>
      <c r="AC75" s="108">
        <v>18009.599999999999</v>
      </c>
      <c r="AD75" s="108">
        <v>29</v>
      </c>
      <c r="AE75" s="108">
        <v>18652.8</v>
      </c>
      <c r="AF75" s="108">
        <v>25.093823299452698</v>
      </c>
      <c r="AG75" s="108">
        <v>16140.347146207974</v>
      </c>
      <c r="AH75" s="108">
        <v>0</v>
      </c>
      <c r="AI75" s="108">
        <v>0</v>
      </c>
      <c r="AJ75" s="108">
        <v>9.5112107623318387</v>
      </c>
      <c r="AK75" s="108">
        <v>6117.6107623318376</v>
      </c>
      <c r="AL75" s="108">
        <v>25.406056860321385</v>
      </c>
      <c r="AM75" s="108">
        <v>16341.175772558714</v>
      </c>
      <c r="AN75" s="108">
        <v>10.592161016949154</v>
      </c>
      <c r="AO75" s="108">
        <v>6812.8779661016952</v>
      </c>
      <c r="AP75" s="108">
        <v>27.045823389021479</v>
      </c>
      <c r="AQ75" s="108">
        <v>17395.873603818614</v>
      </c>
      <c r="AR75" s="108">
        <v>38.532799748901446</v>
      </c>
      <c r="AS75" s="108">
        <v>24784.296798493408</v>
      </c>
      <c r="AT75" s="108">
        <v>36.374526873580621</v>
      </c>
      <c r="AU75" s="108">
        <v>23396.095685087053</v>
      </c>
      <c r="AV75" s="108">
        <v>0</v>
      </c>
      <c r="AW75" s="108">
        <v>0</v>
      </c>
      <c r="AX75" s="108">
        <v>66.522367515485215</v>
      </c>
      <c r="AY75" s="108">
        <v>42787.186785960082</v>
      </c>
      <c r="AZ75" s="108">
        <v>0</v>
      </c>
      <c r="BA75" s="108">
        <v>0</v>
      </c>
      <c r="BB75" s="108">
        <v>12.446887966804979</v>
      </c>
      <c r="BC75" s="108">
        <v>8005.8383402489617</v>
      </c>
      <c r="BD75" s="108">
        <v>17.080882352941178</v>
      </c>
      <c r="BE75" s="108">
        <v>10986.423529411764</v>
      </c>
      <c r="BF75" s="108">
        <v>0</v>
      </c>
      <c r="BG75" s="108">
        <v>0</v>
      </c>
      <c r="BH75" s="108">
        <v>66.514876632801162</v>
      </c>
      <c r="BI75" s="108">
        <v>42782.368650217701</v>
      </c>
      <c r="BJ75" s="108">
        <v>68.934115138592745</v>
      </c>
      <c r="BK75" s="108">
        <v>44338.422857142847</v>
      </c>
      <c r="BL75" s="108">
        <v>24.694431971261785</v>
      </c>
      <c r="BM75" s="108">
        <v>15883.458643915579</v>
      </c>
      <c r="BN75" s="108">
        <v>31.332549941245592</v>
      </c>
      <c r="BO75" s="108">
        <v>20153.096122209161</v>
      </c>
      <c r="BP75" s="108">
        <v>11.010549872122763</v>
      </c>
      <c r="BQ75" s="108">
        <v>7081.9856777493605</v>
      </c>
      <c r="BR75" s="108">
        <v>0</v>
      </c>
      <c r="BS75" s="108">
        <v>0</v>
      </c>
      <c r="BT75" s="108">
        <v>0</v>
      </c>
      <c r="BU75" s="108">
        <v>0</v>
      </c>
      <c r="BV75" s="108">
        <v>21</v>
      </c>
      <c r="BW75" s="108">
        <v>13507.199999999999</v>
      </c>
      <c r="BX75" s="108">
        <v>10.425247116968698</v>
      </c>
      <c r="BY75" s="108">
        <v>6705.5189456342659</v>
      </c>
      <c r="BZ75" s="108">
        <v>13.749999999999998</v>
      </c>
      <c r="CA75" s="108">
        <v>8843.9999999999982</v>
      </c>
      <c r="CB75" s="108">
        <v>25.358059914407988</v>
      </c>
      <c r="CC75" s="108">
        <v>16310.304136947216</v>
      </c>
      <c r="CD75" s="108">
        <v>8.4816602316602321</v>
      </c>
      <c r="CE75" s="108">
        <v>5455.4038610038606</v>
      </c>
      <c r="CF75" s="108">
        <v>0</v>
      </c>
      <c r="CG75" s="108">
        <v>0</v>
      </c>
      <c r="CH75" s="108">
        <v>14.022807794508415</v>
      </c>
      <c r="CI75" s="108">
        <v>9019.4699734278111</v>
      </c>
      <c r="CJ75" s="108">
        <v>20</v>
      </c>
      <c r="CK75" s="108">
        <v>12863.999999999998</v>
      </c>
      <c r="CL75" s="108">
        <v>6.4996717005909384</v>
      </c>
      <c r="CM75" s="108">
        <v>4180.5888378200907</v>
      </c>
      <c r="CN75" s="108">
        <v>14.81168384879725</v>
      </c>
      <c r="CO75" s="108">
        <v>9526.8750515463908</v>
      </c>
      <c r="CP75" s="108">
        <v>16.319949636261892</v>
      </c>
      <c r="CQ75" s="108">
        <v>10496.991606043648</v>
      </c>
      <c r="CR75" s="108">
        <v>16.371443089430894</v>
      </c>
      <c r="CS75" s="108">
        <v>10530.11219512195</v>
      </c>
      <c r="CT75" s="108">
        <v>19.782194244604316</v>
      </c>
      <c r="CU75" s="108">
        <v>12723.907338129495</v>
      </c>
    </row>
    <row r="76" spans="2:99" x14ac:dyDescent="0.2">
      <c r="C76" s="107" t="s">
        <v>241</v>
      </c>
      <c r="D76" s="108">
        <v>0</v>
      </c>
      <c r="E76" s="108">
        <v>0</v>
      </c>
      <c r="F76" s="108">
        <v>0</v>
      </c>
      <c r="G76" s="108">
        <v>0</v>
      </c>
      <c r="H76" s="108">
        <v>14.949380606578385</v>
      </c>
      <c r="I76" s="108">
        <v>11642.577616403245</v>
      </c>
      <c r="J76" s="108">
        <v>0</v>
      </c>
      <c r="K76" s="108">
        <v>0</v>
      </c>
      <c r="L76" s="108">
        <v>37.143387815750373</v>
      </c>
      <c r="M76" s="108">
        <v>28927.270430906388</v>
      </c>
      <c r="N76" s="108">
        <v>18.9375</v>
      </c>
      <c r="O76" s="108">
        <v>14748.525</v>
      </c>
      <c r="P76" s="108">
        <v>0</v>
      </c>
      <c r="Q76" s="108">
        <v>0</v>
      </c>
      <c r="R76" s="108">
        <v>15.714802631578946</v>
      </c>
      <c r="S76" s="108">
        <v>12238.688289473683</v>
      </c>
      <c r="T76" s="108">
        <v>10.908844011142062</v>
      </c>
      <c r="U76" s="108">
        <v>8495.8077158774377</v>
      </c>
      <c r="V76" s="108">
        <v>22.694521819870008</v>
      </c>
      <c r="W76" s="108">
        <v>17674.493593314761</v>
      </c>
      <c r="X76" s="108">
        <v>0</v>
      </c>
      <c r="Y76" s="108">
        <v>0</v>
      </c>
      <c r="Z76" s="108">
        <v>0</v>
      </c>
      <c r="AA76" s="108">
        <v>0</v>
      </c>
      <c r="AB76" s="108">
        <v>26</v>
      </c>
      <c r="AC76" s="108">
        <v>20248.8</v>
      </c>
      <c r="AD76" s="108">
        <v>31</v>
      </c>
      <c r="AE76" s="108">
        <v>24142.799999999999</v>
      </c>
      <c r="AF76" s="108">
        <v>22.225957779515248</v>
      </c>
      <c r="AG76" s="108">
        <v>17309.575918686474</v>
      </c>
      <c r="AH76" s="108">
        <v>0</v>
      </c>
      <c r="AI76" s="108">
        <v>0</v>
      </c>
      <c r="AJ76" s="108">
        <v>9.5112107623318387</v>
      </c>
      <c r="AK76" s="108">
        <v>7407.3309417040355</v>
      </c>
      <c r="AL76" s="108">
        <v>26.092707045735473</v>
      </c>
      <c r="AM76" s="108">
        <v>20321.000247218784</v>
      </c>
      <c r="AN76" s="108">
        <v>10.592161016949154</v>
      </c>
      <c r="AO76" s="108">
        <v>8249.1750000000011</v>
      </c>
      <c r="AP76" s="108">
        <v>27.841288782816228</v>
      </c>
      <c r="AQ76" s="108">
        <v>21682.795704057276</v>
      </c>
      <c r="AR76" s="108">
        <v>34.696955430006277</v>
      </c>
      <c r="AS76" s="108">
        <v>27021.988888888885</v>
      </c>
      <c r="AT76" s="108">
        <v>34.482210446631342</v>
      </c>
      <c r="AU76" s="108">
        <v>26854.745495836487</v>
      </c>
      <c r="AV76" s="108">
        <v>0</v>
      </c>
      <c r="AW76" s="108">
        <v>0</v>
      </c>
      <c r="AX76" s="108">
        <v>73.403991741225042</v>
      </c>
      <c r="AY76" s="108">
        <v>57167.028768066062</v>
      </c>
      <c r="AZ76" s="108">
        <v>0</v>
      </c>
      <c r="BA76" s="108">
        <v>0</v>
      </c>
      <c r="BB76" s="108">
        <v>13.13838174273859</v>
      </c>
      <c r="BC76" s="108">
        <v>10232.171701244813</v>
      </c>
      <c r="BD76" s="108">
        <v>17.080882352941178</v>
      </c>
      <c r="BE76" s="108">
        <v>13302.591176470589</v>
      </c>
      <c r="BF76" s="108">
        <v>0</v>
      </c>
      <c r="BG76" s="108">
        <v>0</v>
      </c>
      <c r="BH76" s="108">
        <v>55.63062409288824</v>
      </c>
      <c r="BI76" s="108">
        <v>43325.130043541358</v>
      </c>
      <c r="BJ76" s="108">
        <v>62.538166311300635</v>
      </c>
      <c r="BK76" s="108">
        <v>48704.723923240934</v>
      </c>
      <c r="BL76" s="108">
        <v>21.32700942972609</v>
      </c>
      <c r="BM76" s="108">
        <v>16609.474943870679</v>
      </c>
      <c r="BN76" s="108">
        <v>32.964453584018806</v>
      </c>
      <c r="BO76" s="108">
        <v>25672.716451233846</v>
      </c>
      <c r="BP76" s="108">
        <v>11.010549872122763</v>
      </c>
      <c r="BQ76" s="108">
        <v>8575.0162404092061</v>
      </c>
      <c r="BR76" s="108">
        <v>0</v>
      </c>
      <c r="BS76" s="108">
        <v>0</v>
      </c>
      <c r="BT76" s="108">
        <v>0</v>
      </c>
      <c r="BU76" s="108">
        <v>0</v>
      </c>
      <c r="BV76" s="108">
        <v>21</v>
      </c>
      <c r="BW76" s="108">
        <v>16354.8</v>
      </c>
      <c r="BX76" s="108">
        <v>10.425247116968698</v>
      </c>
      <c r="BY76" s="108">
        <v>8119.1824546952221</v>
      </c>
      <c r="BZ76" s="108">
        <v>13.40625</v>
      </c>
      <c r="CA76" s="108">
        <v>10440.787499999999</v>
      </c>
      <c r="CB76" s="108">
        <v>23.773181169757489</v>
      </c>
      <c r="CC76" s="108">
        <v>18514.553495007131</v>
      </c>
      <c r="CD76" s="108">
        <v>8.7741312741312747</v>
      </c>
      <c r="CE76" s="108">
        <v>6833.2934362934366</v>
      </c>
      <c r="CF76" s="108">
        <v>0</v>
      </c>
      <c r="CG76" s="108">
        <v>0</v>
      </c>
      <c r="CH76" s="108">
        <v>14.022807794508415</v>
      </c>
      <c r="CI76" s="108">
        <v>10920.962710363154</v>
      </c>
      <c r="CJ76" s="108">
        <v>22</v>
      </c>
      <c r="CK76" s="108">
        <v>17133.599999999999</v>
      </c>
      <c r="CL76" s="108">
        <v>6.3286277084701243</v>
      </c>
      <c r="CM76" s="108">
        <v>4928.7352593565329</v>
      </c>
      <c r="CN76" s="108">
        <v>13.523711340206185</v>
      </c>
      <c r="CO76" s="108">
        <v>10532.266391752577</v>
      </c>
      <c r="CP76" s="108">
        <v>19.117655288192502</v>
      </c>
      <c r="CQ76" s="108">
        <v>14888.82993844432</v>
      </c>
      <c r="CR76" s="108">
        <v>19.194105691056912</v>
      </c>
      <c r="CS76" s="108">
        <v>14948.369512195122</v>
      </c>
      <c r="CT76" s="108">
        <v>17.983812949640289</v>
      </c>
      <c r="CU76" s="108">
        <v>14005.793525179855</v>
      </c>
    </row>
    <row r="77" spans="2:99" x14ac:dyDescent="0.2">
      <c r="C77" s="107" t="s">
        <v>242</v>
      </c>
      <c r="D77" s="108">
        <v>0</v>
      </c>
      <c r="E77" s="108">
        <v>0</v>
      </c>
      <c r="F77" s="108">
        <v>0</v>
      </c>
      <c r="G77" s="108">
        <v>0</v>
      </c>
      <c r="H77" s="108">
        <v>16.017193507048269</v>
      </c>
      <c r="I77" s="108">
        <v>4459.1866723622379</v>
      </c>
      <c r="J77" s="108">
        <v>0</v>
      </c>
      <c r="K77" s="108">
        <v>0</v>
      </c>
      <c r="L77" s="108">
        <v>45.397473997028236</v>
      </c>
      <c r="M77" s="108">
        <v>12638.656760772659</v>
      </c>
      <c r="N77" s="108">
        <v>20.952127659574469</v>
      </c>
      <c r="O77" s="108">
        <v>5833.0723404255314</v>
      </c>
      <c r="P77" s="108">
        <v>0</v>
      </c>
      <c r="Q77" s="108">
        <v>0</v>
      </c>
      <c r="R77" s="108">
        <v>17.176644736842107</v>
      </c>
      <c r="S77" s="108">
        <v>4781.9778947368422</v>
      </c>
      <c r="T77" s="108">
        <v>12.765668523676879</v>
      </c>
      <c r="U77" s="108">
        <v>3553.9621169916431</v>
      </c>
      <c r="V77" s="108">
        <v>27.336583101207058</v>
      </c>
      <c r="W77" s="108">
        <v>7610.5047353760447</v>
      </c>
      <c r="X77" s="108">
        <v>0</v>
      </c>
      <c r="Y77" s="108">
        <v>0</v>
      </c>
      <c r="Z77" s="108">
        <v>0</v>
      </c>
      <c r="AA77" s="108">
        <v>0</v>
      </c>
      <c r="AB77" s="108">
        <v>32</v>
      </c>
      <c r="AC77" s="108">
        <v>8908.7999999999993</v>
      </c>
      <c r="AD77" s="108">
        <v>30</v>
      </c>
      <c r="AE77" s="108">
        <v>8352</v>
      </c>
      <c r="AF77" s="108">
        <v>25.810789679437057</v>
      </c>
      <c r="AG77" s="108">
        <v>7185.7238467552761</v>
      </c>
      <c r="AH77" s="108">
        <v>0</v>
      </c>
      <c r="AI77" s="108">
        <v>0</v>
      </c>
      <c r="AJ77" s="108">
        <v>10.869955156950672</v>
      </c>
      <c r="AK77" s="108">
        <v>3026.1955156950667</v>
      </c>
      <c r="AL77" s="108">
        <v>25.406056860321385</v>
      </c>
      <c r="AM77" s="108">
        <v>7073.0462299134733</v>
      </c>
      <c r="AN77" s="108">
        <v>11.376765536723164</v>
      </c>
      <c r="AO77" s="108">
        <v>3167.2915254237287</v>
      </c>
      <c r="AP77" s="108">
        <v>28.636754176610982</v>
      </c>
      <c r="AQ77" s="108">
        <v>7972.4723627684971</v>
      </c>
      <c r="AR77" s="108">
        <v>39.578939108600125</v>
      </c>
      <c r="AS77" s="108">
        <v>11018.776647834275</v>
      </c>
      <c r="AT77" s="108">
        <v>43.313020439061319</v>
      </c>
      <c r="AU77" s="108">
        <v>12058.34489023467</v>
      </c>
      <c r="AV77" s="108">
        <v>0</v>
      </c>
      <c r="AW77" s="108">
        <v>0</v>
      </c>
      <c r="AX77" s="108">
        <v>75.697866483138341</v>
      </c>
      <c r="AY77" s="108">
        <v>21074.286028905713</v>
      </c>
      <c r="AZ77" s="108">
        <v>0</v>
      </c>
      <c r="BA77" s="108">
        <v>0</v>
      </c>
      <c r="BB77" s="108">
        <v>13.13838174273859</v>
      </c>
      <c r="BC77" s="108">
        <v>3657.7254771784233</v>
      </c>
      <c r="BD77" s="108">
        <v>19.308823529411764</v>
      </c>
      <c r="BE77" s="108">
        <v>5375.5764705882348</v>
      </c>
      <c r="BF77" s="108">
        <v>0</v>
      </c>
      <c r="BG77" s="108">
        <v>0</v>
      </c>
      <c r="BH77" s="108">
        <v>60.46806966618287</v>
      </c>
      <c r="BI77" s="108">
        <v>16834.310595065308</v>
      </c>
      <c r="BJ77" s="108">
        <v>62.538166311300635</v>
      </c>
      <c r="BK77" s="108">
        <v>17410.625501066097</v>
      </c>
      <c r="BL77" s="108">
        <v>26.191064211944319</v>
      </c>
      <c r="BM77" s="108">
        <v>7291.5922766052981</v>
      </c>
      <c r="BN77" s="108">
        <v>35.575499412455933</v>
      </c>
      <c r="BO77" s="108">
        <v>9904.2190364277303</v>
      </c>
      <c r="BP77" s="108">
        <v>12.07608695652174</v>
      </c>
      <c r="BQ77" s="108">
        <v>3361.9826086956523</v>
      </c>
      <c r="BR77" s="108">
        <v>0</v>
      </c>
      <c r="BS77" s="108">
        <v>0</v>
      </c>
      <c r="BT77" s="108">
        <v>0</v>
      </c>
      <c r="BU77" s="108">
        <v>0</v>
      </c>
      <c r="BV77" s="108">
        <v>25</v>
      </c>
      <c r="BW77" s="108">
        <v>6959.9999999999991</v>
      </c>
      <c r="BX77" s="108">
        <v>11.120263591433279</v>
      </c>
      <c r="BY77" s="108">
        <v>3095.8813838550245</v>
      </c>
      <c r="BZ77" s="108">
        <v>13.062499999999998</v>
      </c>
      <c r="CA77" s="108">
        <v>3636.599999999999</v>
      </c>
      <c r="CB77" s="108">
        <v>25.358059914407988</v>
      </c>
      <c r="CC77" s="108">
        <v>7059.6838801711838</v>
      </c>
      <c r="CD77" s="108">
        <v>8.7741312741312747</v>
      </c>
      <c r="CE77" s="108">
        <v>2442.7181467181467</v>
      </c>
      <c r="CF77" s="108">
        <v>0</v>
      </c>
      <c r="CG77" s="108">
        <v>0</v>
      </c>
      <c r="CH77" s="108">
        <v>15.4988928255093</v>
      </c>
      <c r="CI77" s="108">
        <v>4314.891762621789</v>
      </c>
      <c r="CJ77" s="108">
        <v>20</v>
      </c>
      <c r="CK77" s="108">
        <v>5568</v>
      </c>
      <c r="CL77" s="108">
        <v>6.4996717005909384</v>
      </c>
      <c r="CM77" s="108">
        <v>1809.5086014445171</v>
      </c>
      <c r="CN77" s="108">
        <v>16.099656357388316</v>
      </c>
      <c r="CO77" s="108">
        <v>4482.144329896907</v>
      </c>
      <c r="CP77" s="108">
        <v>17.252518186905426</v>
      </c>
      <c r="CQ77" s="108">
        <v>4803.1010632344705</v>
      </c>
      <c r="CR77" s="108">
        <v>19.758638211382113</v>
      </c>
      <c r="CS77" s="108">
        <v>5500.8048780487798</v>
      </c>
      <c r="CT77" s="108">
        <v>20.98111510791367</v>
      </c>
      <c r="CU77" s="108">
        <v>5841.1424460431654</v>
      </c>
    </row>
    <row r="78" spans="2:99" x14ac:dyDescent="0.2">
      <c r="C78" s="107" t="s">
        <v>243</v>
      </c>
      <c r="D78" s="108">
        <v>0</v>
      </c>
      <c r="E78" s="108">
        <v>0</v>
      </c>
      <c r="F78" s="108">
        <v>0</v>
      </c>
      <c r="G78" s="108">
        <v>0</v>
      </c>
      <c r="H78" s="108">
        <v>14.237505339598464</v>
      </c>
      <c r="I78" s="108">
        <v>7859.102947458352</v>
      </c>
      <c r="J78" s="108">
        <v>0</v>
      </c>
      <c r="K78" s="108">
        <v>0</v>
      </c>
      <c r="L78" s="108">
        <v>41.270430906389301</v>
      </c>
      <c r="M78" s="108">
        <v>22781.277860326893</v>
      </c>
      <c r="N78" s="108">
        <v>21.355053191489361</v>
      </c>
      <c r="O78" s="108">
        <v>11787.989361702128</v>
      </c>
      <c r="P78" s="108">
        <v>0</v>
      </c>
      <c r="Q78" s="108">
        <v>0</v>
      </c>
      <c r="R78" s="108">
        <v>17.176644736842107</v>
      </c>
      <c r="S78" s="108">
        <v>9481.5078947368438</v>
      </c>
      <c r="T78" s="108">
        <v>11.373050139275765</v>
      </c>
      <c r="U78" s="108">
        <v>6277.923676880222</v>
      </c>
      <c r="V78" s="108">
        <v>23.210306406685238</v>
      </c>
      <c r="W78" s="108">
        <v>12812.089136490251</v>
      </c>
      <c r="X78" s="108">
        <v>0</v>
      </c>
      <c r="Y78" s="108">
        <v>0</v>
      </c>
      <c r="Z78" s="108">
        <v>0</v>
      </c>
      <c r="AA78" s="108">
        <v>0</v>
      </c>
      <c r="AB78" s="108">
        <v>26</v>
      </c>
      <c r="AC78" s="108">
        <v>14352</v>
      </c>
      <c r="AD78" s="108">
        <v>32</v>
      </c>
      <c r="AE78" s="108">
        <v>17664</v>
      </c>
      <c r="AF78" s="108">
        <v>23.659890539483971</v>
      </c>
      <c r="AG78" s="108">
        <v>13060.259577795152</v>
      </c>
      <c r="AH78" s="108">
        <v>0</v>
      </c>
      <c r="AI78" s="108">
        <v>0</v>
      </c>
      <c r="AJ78" s="108">
        <v>10.190582959641256</v>
      </c>
      <c r="AK78" s="108">
        <v>5625.2017937219734</v>
      </c>
      <c r="AL78" s="108">
        <v>22.659456118665016</v>
      </c>
      <c r="AM78" s="108">
        <v>12508.019777503088</v>
      </c>
      <c r="AN78" s="108">
        <v>12.161370056497175</v>
      </c>
      <c r="AO78" s="108">
        <v>6713.0762711864409</v>
      </c>
      <c r="AP78" s="108">
        <v>24.659427207637233</v>
      </c>
      <c r="AQ78" s="108">
        <v>13612.003818615753</v>
      </c>
      <c r="AR78" s="108">
        <v>35.568738229755184</v>
      </c>
      <c r="AS78" s="108">
        <v>19633.943502824863</v>
      </c>
      <c r="AT78" s="108">
        <v>42.892505677517036</v>
      </c>
      <c r="AU78" s="108">
        <v>23676.663133989405</v>
      </c>
      <c r="AV78" s="108">
        <v>0</v>
      </c>
      <c r="AW78" s="108">
        <v>0</v>
      </c>
      <c r="AX78" s="108">
        <v>70.536648313833453</v>
      </c>
      <c r="AY78" s="108">
        <v>38936.229869236064</v>
      </c>
      <c r="AZ78" s="108">
        <v>0</v>
      </c>
      <c r="BA78" s="108">
        <v>0</v>
      </c>
      <c r="BB78" s="108">
        <v>13.8298755186722</v>
      </c>
      <c r="BC78" s="108">
        <v>7634.0912863070544</v>
      </c>
      <c r="BD78" s="108">
        <v>17.823529411764707</v>
      </c>
      <c r="BE78" s="108">
        <v>9838.5882352941171</v>
      </c>
      <c r="BF78" s="108">
        <v>0</v>
      </c>
      <c r="BG78" s="108">
        <v>0</v>
      </c>
      <c r="BH78" s="108">
        <v>68.933599419448484</v>
      </c>
      <c r="BI78" s="108">
        <v>38051.346879535566</v>
      </c>
      <c r="BJ78" s="108">
        <v>66.802132196162049</v>
      </c>
      <c r="BK78" s="108">
        <v>36874.776972281448</v>
      </c>
      <c r="BL78" s="108">
        <v>25.442748091603054</v>
      </c>
      <c r="BM78" s="108">
        <v>14044.396946564886</v>
      </c>
      <c r="BN78" s="108">
        <v>37.207403055229143</v>
      </c>
      <c r="BO78" s="108">
        <v>20538.486486486487</v>
      </c>
      <c r="BP78" s="108">
        <v>10.65537084398977</v>
      </c>
      <c r="BQ78" s="108">
        <v>5881.7647058823532</v>
      </c>
      <c r="BR78" s="108">
        <v>0</v>
      </c>
      <c r="BS78" s="108">
        <v>0</v>
      </c>
      <c r="BT78" s="108">
        <v>0</v>
      </c>
      <c r="BU78" s="108">
        <v>0</v>
      </c>
      <c r="BV78" s="108">
        <v>21</v>
      </c>
      <c r="BW78" s="108">
        <v>11592</v>
      </c>
      <c r="BX78" s="108">
        <v>11.120263591433279</v>
      </c>
      <c r="BY78" s="108">
        <v>6138.3855024711702</v>
      </c>
      <c r="BZ78" s="108">
        <v>12.03125</v>
      </c>
      <c r="CA78" s="108">
        <v>6641.25</v>
      </c>
      <c r="CB78" s="108">
        <v>24.565620542082737</v>
      </c>
      <c r="CC78" s="108">
        <v>13560.222539229671</v>
      </c>
      <c r="CD78" s="108">
        <v>9.0666023166023155</v>
      </c>
      <c r="CE78" s="108">
        <v>5004.7644787644786</v>
      </c>
      <c r="CF78" s="108">
        <v>0</v>
      </c>
      <c r="CG78" s="108">
        <v>0</v>
      </c>
      <c r="CH78" s="108">
        <v>12.54672276350753</v>
      </c>
      <c r="CI78" s="108">
        <v>6925.7909654561563</v>
      </c>
      <c r="CJ78" s="108">
        <v>23</v>
      </c>
      <c r="CK78" s="108">
        <v>12696</v>
      </c>
      <c r="CL78" s="108">
        <v>5.4734077478660534</v>
      </c>
      <c r="CM78" s="108">
        <v>3021.3210768220615</v>
      </c>
      <c r="CN78" s="108">
        <v>15.455670103092784</v>
      </c>
      <c r="CO78" s="108">
        <v>8531.5298969072173</v>
      </c>
      <c r="CP78" s="108">
        <v>17.252518186905426</v>
      </c>
      <c r="CQ78" s="108">
        <v>9523.3900391717962</v>
      </c>
      <c r="CR78" s="108">
        <v>18.065040650406505</v>
      </c>
      <c r="CS78" s="108">
        <v>9971.9024390243903</v>
      </c>
      <c r="CT78" s="108">
        <v>17.983812949640289</v>
      </c>
      <c r="CU78" s="108">
        <v>9927.0647482014392</v>
      </c>
    </row>
    <row r="79" spans="2:99" x14ac:dyDescent="0.2">
      <c r="C79" s="107" t="s">
        <v>244</v>
      </c>
      <c r="D79" s="108">
        <v>0</v>
      </c>
      <c r="E79" s="108">
        <v>0</v>
      </c>
      <c r="F79" s="108">
        <v>0</v>
      </c>
      <c r="G79" s="108">
        <v>0</v>
      </c>
      <c r="H79" s="108">
        <v>14.593442973088425</v>
      </c>
      <c r="I79" s="108">
        <v>11050.155019222555</v>
      </c>
      <c r="J79" s="108">
        <v>0</v>
      </c>
      <c r="K79" s="108">
        <v>0</v>
      </c>
      <c r="L79" s="108">
        <v>40.445022288261519</v>
      </c>
      <c r="M79" s="108">
        <v>30624.970876671621</v>
      </c>
      <c r="N79" s="108">
        <v>18.131648936170212</v>
      </c>
      <c r="O79" s="108">
        <v>13729.284574468084</v>
      </c>
      <c r="P79" s="108">
        <v>0</v>
      </c>
      <c r="Q79" s="108">
        <v>0</v>
      </c>
      <c r="R79" s="108">
        <v>17.176644736842107</v>
      </c>
      <c r="S79" s="108">
        <v>13006.155394736843</v>
      </c>
      <c r="T79" s="108">
        <v>10.908844011142062</v>
      </c>
      <c r="U79" s="108">
        <v>8260.1766852367691</v>
      </c>
      <c r="V79" s="108">
        <v>22.694521819870008</v>
      </c>
      <c r="W79" s="108">
        <v>17184.29192200557</v>
      </c>
      <c r="X79" s="108">
        <v>0</v>
      </c>
      <c r="Y79" s="108">
        <v>0</v>
      </c>
      <c r="Z79" s="108">
        <v>0</v>
      </c>
      <c r="AA79" s="108">
        <v>0</v>
      </c>
      <c r="AB79" s="108">
        <v>31</v>
      </c>
      <c r="AC79" s="108">
        <v>23473.199999999997</v>
      </c>
      <c r="AD79" s="108">
        <v>28</v>
      </c>
      <c r="AE79" s="108">
        <v>21201.599999999999</v>
      </c>
      <c r="AF79" s="108">
        <v>22.225957779515248</v>
      </c>
      <c r="AG79" s="108">
        <v>16829.495230648943</v>
      </c>
      <c r="AH79" s="108">
        <v>0</v>
      </c>
      <c r="AI79" s="108">
        <v>0</v>
      </c>
      <c r="AJ79" s="108">
        <v>9.5112107623318387</v>
      </c>
      <c r="AK79" s="108">
        <v>7201.8887892376679</v>
      </c>
      <c r="AL79" s="108">
        <v>21.972805933250928</v>
      </c>
      <c r="AM79" s="108">
        <v>16637.808652657601</v>
      </c>
      <c r="AN79" s="108">
        <v>10.592161016949154</v>
      </c>
      <c r="AO79" s="108">
        <v>8020.3843220338986</v>
      </c>
      <c r="AP79" s="108">
        <v>25.454892601431983</v>
      </c>
      <c r="AQ79" s="108">
        <v>19274.444677804295</v>
      </c>
      <c r="AR79" s="108">
        <v>39.927652228499682</v>
      </c>
      <c r="AS79" s="108">
        <v>30233.218267419958</v>
      </c>
      <c r="AT79" s="108">
        <v>36.584784254352762</v>
      </c>
      <c r="AU79" s="108">
        <v>27701.998637395907</v>
      </c>
      <c r="AV79" s="108">
        <v>0</v>
      </c>
      <c r="AW79" s="108">
        <v>0</v>
      </c>
      <c r="AX79" s="108">
        <v>63.08155540261528</v>
      </c>
      <c r="AY79" s="108">
        <v>47765.353750860282</v>
      </c>
      <c r="AZ79" s="108">
        <v>0</v>
      </c>
      <c r="BA79" s="108">
        <v>0</v>
      </c>
      <c r="BB79" s="108">
        <v>13.13838174273859</v>
      </c>
      <c r="BC79" s="108">
        <v>9948.3826556016593</v>
      </c>
      <c r="BD79" s="108">
        <v>16.338235294117649</v>
      </c>
      <c r="BE79" s="108">
        <v>12371.311764705883</v>
      </c>
      <c r="BF79" s="108">
        <v>0</v>
      </c>
      <c r="BG79" s="108">
        <v>0</v>
      </c>
      <c r="BH79" s="108">
        <v>64.70083454281567</v>
      </c>
      <c r="BI79" s="108">
        <v>48991.471915820024</v>
      </c>
      <c r="BJ79" s="108">
        <v>59.695522388059707</v>
      </c>
      <c r="BK79" s="108">
        <v>45201.44955223881</v>
      </c>
      <c r="BL79" s="108">
        <v>24.694431971261785</v>
      </c>
      <c r="BM79" s="108">
        <v>18698.623888639424</v>
      </c>
      <c r="BN79" s="108">
        <v>36.554641598119858</v>
      </c>
      <c r="BO79" s="108">
        <v>27679.174618096353</v>
      </c>
      <c r="BP79" s="108">
        <v>11.365728900255755</v>
      </c>
      <c r="BQ79" s="108">
        <v>8606.1299232736565</v>
      </c>
      <c r="BR79" s="108">
        <v>0</v>
      </c>
      <c r="BS79" s="108">
        <v>0</v>
      </c>
      <c r="BT79" s="108">
        <v>0</v>
      </c>
      <c r="BU79" s="108">
        <v>0</v>
      </c>
      <c r="BV79" s="108">
        <v>22</v>
      </c>
      <c r="BW79" s="108">
        <v>16658.399999999998</v>
      </c>
      <c r="BX79" s="108">
        <v>10.077738879736408</v>
      </c>
      <c r="BY79" s="108">
        <v>7630.8638797364074</v>
      </c>
      <c r="BZ79" s="108">
        <v>13.749999999999998</v>
      </c>
      <c r="CA79" s="108">
        <v>10411.499999999998</v>
      </c>
      <c r="CB79" s="108">
        <v>22.980741797432238</v>
      </c>
      <c r="CC79" s="108">
        <v>17401.017689015687</v>
      </c>
      <c r="CD79" s="108">
        <v>9.0666023166023155</v>
      </c>
      <c r="CE79" s="108">
        <v>6865.2312741312726</v>
      </c>
      <c r="CF79" s="108">
        <v>0</v>
      </c>
      <c r="CG79" s="108">
        <v>0</v>
      </c>
      <c r="CH79" s="108">
        <v>14.760850310008859</v>
      </c>
      <c r="CI79" s="108">
        <v>11176.915854738707</v>
      </c>
      <c r="CJ79" s="108">
        <v>20</v>
      </c>
      <c r="CK79" s="108">
        <v>15143.999999999998</v>
      </c>
      <c r="CL79" s="108">
        <v>5.9865397242284963</v>
      </c>
      <c r="CM79" s="108">
        <v>4533.0078791858168</v>
      </c>
      <c r="CN79" s="108">
        <v>15.455670103092784</v>
      </c>
      <c r="CO79" s="108">
        <v>11703.033402061854</v>
      </c>
      <c r="CP79" s="108">
        <v>17.252518186905426</v>
      </c>
      <c r="CQ79" s="108">
        <v>13063.606771124787</v>
      </c>
      <c r="CR79" s="108">
        <v>19.194105691056912</v>
      </c>
      <c r="CS79" s="108">
        <v>14533.776829268292</v>
      </c>
      <c r="CT79" s="108">
        <v>19.182733812949639</v>
      </c>
      <c r="CU79" s="108">
        <v>14525.166043165465</v>
      </c>
    </row>
    <row r="80" spans="2:99" x14ac:dyDescent="0.2">
      <c r="C80" s="107" t="s">
        <v>245</v>
      </c>
      <c r="D80" s="108">
        <v>0</v>
      </c>
      <c r="E80" s="108">
        <v>0</v>
      </c>
      <c r="F80" s="108">
        <v>0</v>
      </c>
      <c r="G80" s="108">
        <v>0</v>
      </c>
      <c r="H80" s="108">
        <v>13.8815677061085</v>
      </c>
      <c r="I80" s="108">
        <v>11177.438316958564</v>
      </c>
      <c r="J80" s="108">
        <v>0</v>
      </c>
      <c r="K80" s="108">
        <v>0</v>
      </c>
      <c r="L80" s="108">
        <v>40.445022288261519</v>
      </c>
      <c r="M80" s="108">
        <v>32566.331946508173</v>
      </c>
      <c r="N80" s="108">
        <v>18.534574468085108</v>
      </c>
      <c r="O80" s="108">
        <v>14924.039361702127</v>
      </c>
      <c r="P80" s="108">
        <v>0</v>
      </c>
      <c r="Q80" s="108">
        <v>0</v>
      </c>
      <c r="R80" s="108">
        <v>15.714802631578946</v>
      </c>
      <c r="S80" s="108">
        <v>12653.559078947366</v>
      </c>
      <c r="T80" s="108">
        <v>10.212534818941505</v>
      </c>
      <c r="U80" s="108">
        <v>8223.1330362116987</v>
      </c>
      <c r="V80" s="108">
        <v>24.757660167130918</v>
      </c>
      <c r="W80" s="108">
        <v>19934.867966573813</v>
      </c>
      <c r="X80" s="108">
        <v>0</v>
      </c>
      <c r="Y80" s="108">
        <v>0</v>
      </c>
      <c r="Z80" s="108">
        <v>0</v>
      </c>
      <c r="AA80" s="108">
        <v>0</v>
      </c>
      <c r="AB80" s="108">
        <v>28</v>
      </c>
      <c r="AC80" s="108">
        <v>22545.599999999999</v>
      </c>
      <c r="AD80" s="108">
        <v>31</v>
      </c>
      <c r="AE80" s="108">
        <v>24961.199999999997</v>
      </c>
      <c r="AF80" s="108">
        <v>23.659890539483971</v>
      </c>
      <c r="AG80" s="108">
        <v>19050.943862392491</v>
      </c>
      <c r="AH80" s="108">
        <v>0</v>
      </c>
      <c r="AI80" s="108">
        <v>0</v>
      </c>
      <c r="AJ80" s="108">
        <v>9.8508968609865466</v>
      </c>
      <c r="AK80" s="108">
        <v>7931.9421524663667</v>
      </c>
      <c r="AL80" s="108">
        <v>25.406056860321385</v>
      </c>
      <c r="AM80" s="108">
        <v>20456.956983930777</v>
      </c>
      <c r="AN80" s="108">
        <v>9.8075564971751401</v>
      </c>
      <c r="AO80" s="108">
        <v>7897.044491525422</v>
      </c>
      <c r="AP80" s="108">
        <v>24.659427207637233</v>
      </c>
      <c r="AQ80" s="108">
        <v>19855.770787589499</v>
      </c>
      <c r="AR80" s="108">
        <v>33.999529190207156</v>
      </c>
      <c r="AS80" s="108">
        <v>27376.4209039548</v>
      </c>
      <c r="AT80" s="108">
        <v>34.692467827403483</v>
      </c>
      <c r="AU80" s="108">
        <v>27934.375094625284</v>
      </c>
      <c r="AV80" s="108">
        <v>0</v>
      </c>
      <c r="AW80" s="108">
        <v>0</v>
      </c>
      <c r="AX80" s="108">
        <v>72.257054370268406</v>
      </c>
      <c r="AY80" s="108">
        <v>58181.380178940119</v>
      </c>
      <c r="AZ80" s="108">
        <v>0</v>
      </c>
      <c r="BA80" s="108">
        <v>0</v>
      </c>
      <c r="BB80" s="108">
        <v>13.13838174273859</v>
      </c>
      <c r="BC80" s="108">
        <v>10579.024979253112</v>
      </c>
      <c r="BD80" s="108">
        <v>16.338235294117649</v>
      </c>
      <c r="BE80" s="108">
        <v>13155.547058823529</v>
      </c>
      <c r="BF80" s="108">
        <v>0</v>
      </c>
      <c r="BG80" s="108">
        <v>0</v>
      </c>
      <c r="BH80" s="108">
        <v>58.654027576197393</v>
      </c>
      <c r="BI80" s="108">
        <v>47228.223004354135</v>
      </c>
      <c r="BJ80" s="108">
        <v>57.563539445628997</v>
      </c>
      <c r="BK80" s="108">
        <v>46350.161961620463</v>
      </c>
      <c r="BL80" s="108">
        <v>23.571957790749888</v>
      </c>
      <c r="BM80" s="108">
        <v>18980.140413111807</v>
      </c>
      <c r="BN80" s="108">
        <v>35.575499412455933</v>
      </c>
      <c r="BO80" s="108">
        <v>28645.392126909515</v>
      </c>
      <c r="BP80" s="108">
        <v>10.65537084398977</v>
      </c>
      <c r="BQ80" s="108">
        <v>8579.7046035805615</v>
      </c>
      <c r="BR80" s="108">
        <v>0</v>
      </c>
      <c r="BS80" s="108">
        <v>0</v>
      </c>
      <c r="BT80" s="108">
        <v>0</v>
      </c>
      <c r="BU80" s="108">
        <v>0</v>
      </c>
      <c r="BV80" s="108">
        <v>23</v>
      </c>
      <c r="BW80" s="108">
        <v>18519.599999999999</v>
      </c>
      <c r="BX80" s="108">
        <v>10.772755354200989</v>
      </c>
      <c r="BY80" s="108">
        <v>8674.2226112026347</v>
      </c>
      <c r="BZ80" s="108">
        <v>12.375</v>
      </c>
      <c r="CA80" s="108">
        <v>9964.3499999999985</v>
      </c>
      <c r="CB80" s="108">
        <v>22.18830242510699</v>
      </c>
      <c r="CC80" s="108">
        <v>17866.021112696148</v>
      </c>
      <c r="CD80" s="108">
        <v>9.0666023166023155</v>
      </c>
      <c r="CE80" s="108">
        <v>7300.4281853281836</v>
      </c>
      <c r="CF80" s="108">
        <v>0</v>
      </c>
      <c r="CG80" s="108">
        <v>0</v>
      </c>
      <c r="CH80" s="108">
        <v>12.54672276350753</v>
      </c>
      <c r="CI80" s="108">
        <v>10102.621169176262</v>
      </c>
      <c r="CJ80" s="108">
        <v>19</v>
      </c>
      <c r="CK80" s="108">
        <v>15298.8</v>
      </c>
      <c r="CL80" s="108">
        <v>5.4734077478660534</v>
      </c>
      <c r="CM80" s="108">
        <v>4407.1879185817461</v>
      </c>
      <c r="CN80" s="108">
        <v>13.523711340206185</v>
      </c>
      <c r="CO80" s="108">
        <v>10889.292371134019</v>
      </c>
      <c r="CP80" s="108">
        <v>17.252518186905426</v>
      </c>
      <c r="CQ80" s="108">
        <v>13891.727644096249</v>
      </c>
      <c r="CR80" s="108">
        <v>18.065040650406505</v>
      </c>
      <c r="CS80" s="108">
        <v>14545.970731707317</v>
      </c>
      <c r="CT80" s="108">
        <v>19.782194244604316</v>
      </c>
      <c r="CU80" s="108">
        <v>15928.622805755394</v>
      </c>
    </row>
    <row r="81" spans="2:99" x14ac:dyDescent="0.2">
      <c r="C81" s="107" t="s">
        <v>246</v>
      </c>
      <c r="D81" s="108">
        <v>0</v>
      </c>
      <c r="E81" s="108">
        <v>0</v>
      </c>
      <c r="F81" s="108">
        <v>0</v>
      </c>
      <c r="G81" s="108">
        <v>0</v>
      </c>
      <c r="H81" s="108">
        <v>14.237505339598464</v>
      </c>
      <c r="I81" s="108">
        <v>10729.384023921402</v>
      </c>
      <c r="J81" s="108">
        <v>0</v>
      </c>
      <c r="K81" s="108">
        <v>0</v>
      </c>
      <c r="L81" s="108">
        <v>37.968796433878154</v>
      </c>
      <c r="M81" s="108">
        <v>28613.284992570578</v>
      </c>
      <c r="N81" s="108">
        <v>18.131648936170212</v>
      </c>
      <c r="O81" s="108">
        <v>13664.010638297872</v>
      </c>
      <c r="P81" s="108">
        <v>0</v>
      </c>
      <c r="Q81" s="108">
        <v>0</v>
      </c>
      <c r="R81" s="108">
        <v>17.542105263157893</v>
      </c>
      <c r="S81" s="108">
        <v>13219.730526315789</v>
      </c>
      <c r="T81" s="108">
        <v>12.069359331476322</v>
      </c>
      <c r="U81" s="108">
        <v>9095.4691922005568</v>
      </c>
      <c r="V81" s="108">
        <v>26.305013927576599</v>
      </c>
      <c r="W81" s="108">
        <v>19823.458495821727</v>
      </c>
      <c r="X81" s="108">
        <v>0</v>
      </c>
      <c r="Y81" s="108">
        <v>0</v>
      </c>
      <c r="Z81" s="108">
        <v>0</v>
      </c>
      <c r="AA81" s="108">
        <v>0</v>
      </c>
      <c r="AB81" s="108">
        <v>29</v>
      </c>
      <c r="AC81" s="108">
        <v>21854.400000000001</v>
      </c>
      <c r="AD81" s="108">
        <v>27</v>
      </c>
      <c r="AE81" s="108">
        <v>20347.2</v>
      </c>
      <c r="AF81" s="108">
        <v>22.225957779515248</v>
      </c>
      <c r="AG81" s="108">
        <v>16749.481782642692</v>
      </c>
      <c r="AH81" s="108">
        <v>0</v>
      </c>
      <c r="AI81" s="108">
        <v>0</v>
      </c>
      <c r="AJ81" s="108">
        <v>10.190582959641256</v>
      </c>
      <c r="AK81" s="108">
        <v>7679.6233183856511</v>
      </c>
      <c r="AL81" s="108">
        <v>23.346106304079111</v>
      </c>
      <c r="AM81" s="108">
        <v>17593.625710754019</v>
      </c>
      <c r="AN81" s="108">
        <v>10.199858757062147</v>
      </c>
      <c r="AO81" s="108">
        <v>7686.6135593220342</v>
      </c>
      <c r="AP81" s="108">
        <v>25.454892601431983</v>
      </c>
      <c r="AQ81" s="108">
        <v>19182.807064439141</v>
      </c>
      <c r="AR81" s="108">
        <v>40.102008788449467</v>
      </c>
      <c r="AS81" s="108">
        <v>30220.873822975518</v>
      </c>
      <c r="AT81" s="108">
        <v>34.271953065859201</v>
      </c>
      <c r="AU81" s="108">
        <v>25827.343830431495</v>
      </c>
      <c r="AV81" s="108">
        <v>0</v>
      </c>
      <c r="AW81" s="108">
        <v>0</v>
      </c>
      <c r="AX81" s="108">
        <v>64.228492773571915</v>
      </c>
      <c r="AY81" s="108">
        <v>48402.592154163794</v>
      </c>
      <c r="AZ81" s="108">
        <v>0</v>
      </c>
      <c r="BA81" s="108">
        <v>0</v>
      </c>
      <c r="BB81" s="108">
        <v>12.446887966804979</v>
      </c>
      <c r="BC81" s="108">
        <v>9379.9747717842329</v>
      </c>
      <c r="BD81" s="108">
        <v>15.595588235294116</v>
      </c>
      <c r="BE81" s="108">
        <v>11752.835294117645</v>
      </c>
      <c r="BF81" s="108">
        <v>0</v>
      </c>
      <c r="BG81" s="108">
        <v>0</v>
      </c>
      <c r="BH81" s="108">
        <v>57.444666182873732</v>
      </c>
      <c r="BI81" s="108">
        <v>43290.300435413643</v>
      </c>
      <c r="BJ81" s="108">
        <v>66.091471215351817</v>
      </c>
      <c r="BK81" s="108">
        <v>49806.532707889128</v>
      </c>
      <c r="BL81" s="108">
        <v>24.320273911091153</v>
      </c>
      <c r="BM81" s="108">
        <v>18327.758419398295</v>
      </c>
      <c r="BN81" s="108">
        <v>34.269976498237369</v>
      </c>
      <c r="BO81" s="108">
        <v>25825.854289071682</v>
      </c>
      <c r="BP81" s="108">
        <v>10.300191815856778</v>
      </c>
      <c r="BQ81" s="108">
        <v>7762.2245524296677</v>
      </c>
      <c r="BR81" s="108">
        <v>0</v>
      </c>
      <c r="BS81" s="108">
        <v>0</v>
      </c>
      <c r="BT81" s="108">
        <v>0</v>
      </c>
      <c r="BU81" s="108">
        <v>0</v>
      </c>
      <c r="BV81" s="108">
        <v>24</v>
      </c>
      <c r="BW81" s="108">
        <v>18086.400000000001</v>
      </c>
      <c r="BX81" s="108">
        <v>10.425247116968698</v>
      </c>
      <c r="BY81" s="108">
        <v>7856.4662273476115</v>
      </c>
      <c r="BZ81" s="108">
        <v>13.40625</v>
      </c>
      <c r="CA81" s="108">
        <v>10102.950000000001</v>
      </c>
      <c r="CB81" s="108">
        <v>22.980741797432238</v>
      </c>
      <c r="CC81" s="108">
        <v>17318.287018544936</v>
      </c>
      <c r="CD81" s="108">
        <v>8.4816602316602321</v>
      </c>
      <c r="CE81" s="108">
        <v>6391.7791505791511</v>
      </c>
      <c r="CF81" s="108">
        <v>0</v>
      </c>
      <c r="CG81" s="108">
        <v>0</v>
      </c>
      <c r="CH81" s="108">
        <v>12.54672276350753</v>
      </c>
      <c r="CI81" s="108">
        <v>9455.2102745792745</v>
      </c>
      <c r="CJ81" s="108">
        <v>20</v>
      </c>
      <c r="CK81" s="108">
        <v>15072</v>
      </c>
      <c r="CL81" s="108">
        <v>5.9865397242284963</v>
      </c>
      <c r="CM81" s="108">
        <v>4511.4563361785949</v>
      </c>
      <c r="CN81" s="108">
        <v>14.167697594501718</v>
      </c>
      <c r="CO81" s="108">
        <v>10676.776907216496</v>
      </c>
      <c r="CP81" s="108">
        <v>17.718802462227195</v>
      </c>
      <c r="CQ81" s="108">
        <v>13352.889535534416</v>
      </c>
      <c r="CR81" s="108">
        <v>16.935975609756099</v>
      </c>
      <c r="CS81" s="108">
        <v>12762.951219512197</v>
      </c>
      <c r="CT81" s="108">
        <v>17.983812949640289</v>
      </c>
      <c r="CU81" s="108">
        <v>13552.601438848922</v>
      </c>
    </row>
    <row r="82" spans="2:99" x14ac:dyDescent="0.2">
      <c r="C82" s="107" t="s">
        <v>247</v>
      </c>
      <c r="D82" s="108">
        <v>0</v>
      </c>
      <c r="E82" s="108">
        <v>0</v>
      </c>
      <c r="F82" s="108">
        <v>0</v>
      </c>
      <c r="G82" s="108">
        <v>0</v>
      </c>
      <c r="H82" s="108">
        <v>14.237505339598464</v>
      </c>
      <c r="I82" s="108">
        <v>7244.0427167876969</v>
      </c>
      <c r="J82" s="108">
        <v>0</v>
      </c>
      <c r="K82" s="108">
        <v>0</v>
      </c>
      <c r="L82" s="108">
        <v>38.794205052005942</v>
      </c>
      <c r="M82" s="108">
        <v>19738.491530460618</v>
      </c>
      <c r="N82" s="108">
        <v>19.340425531914896</v>
      </c>
      <c r="O82" s="108">
        <v>9840.4085106382972</v>
      </c>
      <c r="P82" s="108">
        <v>0</v>
      </c>
      <c r="Q82" s="108">
        <v>0</v>
      </c>
      <c r="R82" s="108">
        <v>17.907565789473686</v>
      </c>
      <c r="S82" s="108">
        <v>9111.3694736842099</v>
      </c>
      <c r="T82" s="108">
        <v>11.373050139275765</v>
      </c>
      <c r="U82" s="108">
        <v>5786.6079108635086</v>
      </c>
      <c r="V82" s="108">
        <v>27.336583101207058</v>
      </c>
      <c r="W82" s="108">
        <v>13908.853481894148</v>
      </c>
      <c r="X82" s="108">
        <v>0</v>
      </c>
      <c r="Y82" s="108">
        <v>0</v>
      </c>
      <c r="Z82" s="108">
        <v>0</v>
      </c>
      <c r="AA82" s="108">
        <v>0</v>
      </c>
      <c r="AB82" s="108">
        <v>27</v>
      </c>
      <c r="AC82" s="108">
        <v>13737.599999999997</v>
      </c>
      <c r="AD82" s="108">
        <v>28</v>
      </c>
      <c r="AE82" s="108">
        <v>14246.399999999998</v>
      </c>
      <c r="AF82" s="108">
        <v>25.093823299452698</v>
      </c>
      <c r="AG82" s="108">
        <v>12767.737294761529</v>
      </c>
      <c r="AH82" s="108">
        <v>0</v>
      </c>
      <c r="AI82" s="108">
        <v>0</v>
      </c>
      <c r="AJ82" s="108">
        <v>11.209641255605382</v>
      </c>
      <c r="AK82" s="108">
        <v>5703.4654708520175</v>
      </c>
      <c r="AL82" s="108">
        <v>22.659456118665016</v>
      </c>
      <c r="AM82" s="108">
        <v>11529.131273176758</v>
      </c>
      <c r="AN82" s="108">
        <v>10.199858757062147</v>
      </c>
      <c r="AO82" s="108">
        <v>5189.6881355932192</v>
      </c>
      <c r="AP82" s="108">
        <v>27.841288782816228</v>
      </c>
      <c r="AQ82" s="108">
        <v>14165.647732696894</v>
      </c>
      <c r="AR82" s="108">
        <v>42.19428750784683</v>
      </c>
      <c r="AS82" s="108">
        <v>21468.453483992464</v>
      </c>
      <c r="AT82" s="108">
        <v>37.846328538985617</v>
      </c>
      <c r="AU82" s="108">
        <v>19256.211960635879</v>
      </c>
      <c r="AV82" s="108">
        <v>0</v>
      </c>
      <c r="AW82" s="108">
        <v>0</v>
      </c>
      <c r="AX82" s="108">
        <v>74.550929112181691</v>
      </c>
      <c r="AY82" s="108">
        <v>37931.512732278039</v>
      </c>
      <c r="AZ82" s="108">
        <v>0</v>
      </c>
      <c r="BA82" s="108">
        <v>0</v>
      </c>
      <c r="BB82" s="108">
        <v>13.8298755186722</v>
      </c>
      <c r="BC82" s="108">
        <v>7036.6406639004135</v>
      </c>
      <c r="BD82" s="108">
        <v>15.595588235294116</v>
      </c>
      <c r="BE82" s="108">
        <v>7935.0352941176443</v>
      </c>
      <c r="BF82" s="108">
        <v>0</v>
      </c>
      <c r="BG82" s="108">
        <v>0</v>
      </c>
      <c r="BH82" s="108">
        <v>61.072750362844694</v>
      </c>
      <c r="BI82" s="108">
        <v>31073.815384615373</v>
      </c>
      <c r="BJ82" s="108">
        <v>68.934115138592745</v>
      </c>
      <c r="BK82" s="108">
        <v>35073.677782515981</v>
      </c>
      <c r="BL82" s="108">
        <v>24.694431971261785</v>
      </c>
      <c r="BM82" s="108">
        <v>12564.526986977993</v>
      </c>
      <c r="BN82" s="108">
        <v>31.332549941245592</v>
      </c>
      <c r="BO82" s="108">
        <v>15942.001410105753</v>
      </c>
      <c r="BP82" s="108">
        <v>10.300191815856778</v>
      </c>
      <c r="BQ82" s="108">
        <v>5240.7375959079272</v>
      </c>
      <c r="BR82" s="108">
        <v>0</v>
      </c>
      <c r="BS82" s="108">
        <v>0</v>
      </c>
      <c r="BT82" s="108">
        <v>0</v>
      </c>
      <c r="BU82" s="108">
        <v>0</v>
      </c>
      <c r="BV82" s="108">
        <v>25</v>
      </c>
      <c r="BW82" s="108">
        <v>12719.999999999998</v>
      </c>
      <c r="BX82" s="108">
        <v>10.772755354200989</v>
      </c>
      <c r="BY82" s="108">
        <v>5481.1779242174616</v>
      </c>
      <c r="BZ82" s="108">
        <v>13.062499999999998</v>
      </c>
      <c r="CA82" s="108">
        <v>6646.199999999998</v>
      </c>
      <c r="CB82" s="108">
        <v>22.18830242510699</v>
      </c>
      <c r="CC82" s="108">
        <v>11289.408273894434</v>
      </c>
      <c r="CD82" s="108">
        <v>9.3590733590733581</v>
      </c>
      <c r="CE82" s="108">
        <v>4761.8965250965239</v>
      </c>
      <c r="CF82" s="108">
        <v>0</v>
      </c>
      <c r="CG82" s="108">
        <v>0</v>
      </c>
      <c r="CH82" s="108">
        <v>13.284765279007972</v>
      </c>
      <c r="CI82" s="108">
        <v>6759.2885739592548</v>
      </c>
      <c r="CJ82" s="108">
        <v>23</v>
      </c>
      <c r="CK82" s="108">
        <v>11702.399999999998</v>
      </c>
      <c r="CL82" s="108">
        <v>6.4996717005909384</v>
      </c>
      <c r="CM82" s="108">
        <v>3307.0329612606688</v>
      </c>
      <c r="CN82" s="108">
        <v>16.099656357388316</v>
      </c>
      <c r="CO82" s="108">
        <v>8191.5051546391733</v>
      </c>
      <c r="CP82" s="108">
        <v>16.786233911583661</v>
      </c>
      <c r="CQ82" s="108">
        <v>8540.8358142137658</v>
      </c>
      <c r="CR82" s="108">
        <v>19.758638211382113</v>
      </c>
      <c r="CS82" s="108">
        <v>10053.195121951218</v>
      </c>
      <c r="CT82" s="108">
        <v>20.98111510791367</v>
      </c>
      <c r="CU82" s="108">
        <v>10675.191366906472</v>
      </c>
    </row>
    <row r="83" spans="2:99" x14ac:dyDescent="0.2">
      <c r="C83" s="107" t="s">
        <v>248</v>
      </c>
      <c r="D83" s="108">
        <v>0</v>
      </c>
      <c r="E83" s="108">
        <v>0</v>
      </c>
      <c r="F83" s="108">
        <v>0</v>
      </c>
      <c r="G83" s="108">
        <v>0</v>
      </c>
      <c r="H83" s="108">
        <v>15.661255873558309</v>
      </c>
      <c r="I83" s="108">
        <v>13474.944553609568</v>
      </c>
      <c r="J83" s="108">
        <v>0</v>
      </c>
      <c r="K83" s="108">
        <v>0</v>
      </c>
      <c r="L83" s="108">
        <v>41.270430906389301</v>
      </c>
      <c r="M83" s="108">
        <v>35509.078751857356</v>
      </c>
      <c r="N83" s="108">
        <v>20.952127659574469</v>
      </c>
      <c r="O83" s="108">
        <v>18027.210638297871</v>
      </c>
      <c r="P83" s="108">
        <v>0</v>
      </c>
      <c r="Q83" s="108">
        <v>0</v>
      </c>
      <c r="R83" s="108">
        <v>16.445723684210524</v>
      </c>
      <c r="S83" s="108">
        <v>14149.900657894734</v>
      </c>
      <c r="T83" s="108">
        <v>11.373050139275765</v>
      </c>
      <c r="U83" s="108">
        <v>9785.3723398328675</v>
      </c>
      <c r="V83" s="108">
        <v>22.178737233054783</v>
      </c>
      <c r="W83" s="108">
        <v>19082.585515320334</v>
      </c>
      <c r="X83" s="108">
        <v>0</v>
      </c>
      <c r="Y83" s="108">
        <v>0</v>
      </c>
      <c r="Z83" s="108">
        <v>0</v>
      </c>
      <c r="AA83" s="108">
        <v>0</v>
      </c>
      <c r="AB83" s="108">
        <v>28</v>
      </c>
      <c r="AC83" s="108">
        <v>24091.200000000001</v>
      </c>
      <c r="AD83" s="108">
        <v>31</v>
      </c>
      <c r="AE83" s="108">
        <v>26672.399999999998</v>
      </c>
      <c r="AF83" s="108">
        <v>22.942924159499608</v>
      </c>
      <c r="AG83" s="108">
        <v>19740.091946833461</v>
      </c>
      <c r="AH83" s="108">
        <v>0</v>
      </c>
      <c r="AI83" s="108">
        <v>0</v>
      </c>
      <c r="AJ83" s="108">
        <v>10.190582959641256</v>
      </c>
      <c r="AK83" s="108">
        <v>8767.9775784753365</v>
      </c>
      <c r="AL83" s="108">
        <v>25.406056860321385</v>
      </c>
      <c r="AM83" s="108">
        <v>21859.371322620518</v>
      </c>
      <c r="AN83" s="108">
        <v>10.984463276836159</v>
      </c>
      <c r="AO83" s="108">
        <v>9451.0322033898319</v>
      </c>
      <c r="AP83" s="108">
        <v>25.454892601431983</v>
      </c>
      <c r="AQ83" s="108">
        <v>21901.389594272077</v>
      </c>
      <c r="AR83" s="108">
        <v>35.568738229755184</v>
      </c>
      <c r="AS83" s="108">
        <v>30603.342372881358</v>
      </c>
      <c r="AT83" s="108">
        <v>40.159159727479178</v>
      </c>
      <c r="AU83" s="108">
        <v>34552.941029523085</v>
      </c>
      <c r="AV83" s="108">
        <v>0</v>
      </c>
      <c r="AW83" s="108">
        <v>0</v>
      </c>
      <c r="AX83" s="108">
        <v>63.08155540261528</v>
      </c>
      <c r="AY83" s="108">
        <v>54275.370268410188</v>
      </c>
      <c r="AZ83" s="108">
        <v>0</v>
      </c>
      <c r="BA83" s="108">
        <v>0</v>
      </c>
      <c r="BB83" s="108">
        <v>13.13838174273859</v>
      </c>
      <c r="BC83" s="108">
        <v>11304.263651452282</v>
      </c>
      <c r="BD83" s="108">
        <v>16.338235294117649</v>
      </c>
      <c r="BE83" s="108">
        <v>14057.417647058825</v>
      </c>
      <c r="BF83" s="108">
        <v>0</v>
      </c>
      <c r="BG83" s="108">
        <v>0</v>
      </c>
      <c r="BH83" s="108">
        <v>64.70083454281567</v>
      </c>
      <c r="BI83" s="108">
        <v>55668.598040638601</v>
      </c>
      <c r="BJ83" s="108">
        <v>65.380810234541585</v>
      </c>
      <c r="BK83" s="108">
        <v>56253.64912579958</v>
      </c>
      <c r="BL83" s="108">
        <v>23.571957790749888</v>
      </c>
      <c r="BM83" s="108">
        <v>20281.312483161204</v>
      </c>
      <c r="BN83" s="108">
        <v>32.31169212690952</v>
      </c>
      <c r="BO83" s="108">
        <v>27800.97990599295</v>
      </c>
      <c r="BP83" s="108">
        <v>11.720907928388746</v>
      </c>
      <c r="BQ83" s="108">
        <v>10084.669181585678</v>
      </c>
      <c r="BR83" s="108">
        <v>0</v>
      </c>
      <c r="BS83" s="108">
        <v>0</v>
      </c>
      <c r="BT83" s="108">
        <v>0</v>
      </c>
      <c r="BU83" s="108">
        <v>0</v>
      </c>
      <c r="BV83" s="108">
        <v>23</v>
      </c>
      <c r="BW83" s="108">
        <v>19789.2</v>
      </c>
      <c r="BX83" s="108">
        <v>10.772755354200989</v>
      </c>
      <c r="BY83" s="108">
        <v>9268.8787067545309</v>
      </c>
      <c r="BZ83" s="108">
        <v>12.71875</v>
      </c>
      <c r="CA83" s="108">
        <v>10943.2125</v>
      </c>
      <c r="CB83" s="108">
        <v>21.395863052781738</v>
      </c>
      <c r="CC83" s="108">
        <v>18409.000570613407</v>
      </c>
      <c r="CD83" s="108">
        <v>8.4816602316602321</v>
      </c>
      <c r="CE83" s="108">
        <v>7297.6204633204634</v>
      </c>
      <c r="CF83" s="108">
        <v>0</v>
      </c>
      <c r="CG83" s="108">
        <v>0</v>
      </c>
      <c r="CH83" s="108">
        <v>12.54672276350753</v>
      </c>
      <c r="CI83" s="108">
        <v>10795.200265721878</v>
      </c>
      <c r="CJ83" s="108">
        <v>19</v>
      </c>
      <c r="CK83" s="108">
        <v>16347.6</v>
      </c>
      <c r="CL83" s="108">
        <v>5.6444517399868683</v>
      </c>
      <c r="CM83" s="108">
        <v>4856.4862770847012</v>
      </c>
      <c r="CN83" s="108">
        <v>13.523711340206185</v>
      </c>
      <c r="CO83" s="108">
        <v>11635.801237113401</v>
      </c>
      <c r="CP83" s="108">
        <v>17.252518186905426</v>
      </c>
      <c r="CQ83" s="108">
        <v>14844.066648013428</v>
      </c>
      <c r="CR83" s="108">
        <v>19.194105691056912</v>
      </c>
      <c r="CS83" s="108">
        <v>16514.608536585365</v>
      </c>
      <c r="CT83" s="108">
        <v>20.381654676258993</v>
      </c>
      <c r="CU83" s="108">
        <v>17536.375683453236</v>
      </c>
    </row>
    <row r="84" spans="2:99" x14ac:dyDescent="0.2">
      <c r="C84" s="107" t="s">
        <v>249</v>
      </c>
      <c r="D84" s="108">
        <v>0</v>
      </c>
      <c r="E84" s="108">
        <v>0</v>
      </c>
      <c r="F84" s="108">
        <v>0</v>
      </c>
      <c r="G84" s="108">
        <v>0</v>
      </c>
      <c r="H84" s="108">
        <v>14.949380606578385</v>
      </c>
      <c r="I84" s="108">
        <v>11678.456129859034</v>
      </c>
      <c r="J84" s="108">
        <v>0</v>
      </c>
      <c r="K84" s="108">
        <v>0</v>
      </c>
      <c r="L84" s="108">
        <v>42.92124814264487</v>
      </c>
      <c r="M84" s="108">
        <v>33530.079049034168</v>
      </c>
      <c r="N84" s="108">
        <v>19.340425531914896</v>
      </c>
      <c r="O84" s="108">
        <v>15108.740425531916</v>
      </c>
      <c r="P84" s="108">
        <v>0</v>
      </c>
      <c r="Q84" s="108">
        <v>0</v>
      </c>
      <c r="R84" s="108">
        <v>18.638486842105262</v>
      </c>
      <c r="S84" s="108">
        <v>14560.38592105263</v>
      </c>
      <c r="T84" s="108">
        <v>10.212534818941505</v>
      </c>
      <c r="U84" s="108">
        <v>7978.0322005571024</v>
      </c>
      <c r="V84" s="108">
        <v>23.726090993500463</v>
      </c>
      <c r="W84" s="108">
        <v>18534.822284122562</v>
      </c>
      <c r="X84" s="108">
        <v>0</v>
      </c>
      <c r="Y84" s="108">
        <v>0</v>
      </c>
      <c r="Z84" s="108">
        <v>0</v>
      </c>
      <c r="AA84" s="108">
        <v>0</v>
      </c>
      <c r="AB84" s="108">
        <v>28</v>
      </c>
      <c r="AC84" s="108">
        <v>21873.599999999999</v>
      </c>
      <c r="AD84" s="108">
        <v>30</v>
      </c>
      <c r="AE84" s="108">
        <v>23435.999999999996</v>
      </c>
      <c r="AF84" s="108">
        <v>25.810789679437057</v>
      </c>
      <c r="AG84" s="108">
        <v>20163.388897576227</v>
      </c>
      <c r="AH84" s="108">
        <v>0</v>
      </c>
      <c r="AI84" s="108">
        <v>0</v>
      </c>
      <c r="AJ84" s="108">
        <v>11.209641255605382</v>
      </c>
      <c r="AK84" s="108">
        <v>8756.9717488789229</v>
      </c>
      <c r="AL84" s="108">
        <v>21.972805933250928</v>
      </c>
      <c r="AM84" s="108">
        <v>17165.155995055622</v>
      </c>
      <c r="AN84" s="108">
        <v>12.161370056497175</v>
      </c>
      <c r="AO84" s="108">
        <v>9500.4622881355917</v>
      </c>
      <c r="AP84" s="108">
        <v>26.250357995226732</v>
      </c>
      <c r="AQ84" s="108">
        <v>20506.779665871123</v>
      </c>
      <c r="AR84" s="108">
        <v>33.302102950408035</v>
      </c>
      <c r="AS84" s="108">
        <v>26015.602824858754</v>
      </c>
      <c r="AT84" s="108">
        <v>34.482210446631342</v>
      </c>
      <c r="AU84" s="108">
        <v>26937.502800908402</v>
      </c>
      <c r="AV84" s="108">
        <v>0</v>
      </c>
      <c r="AW84" s="108">
        <v>0</v>
      </c>
      <c r="AX84" s="108">
        <v>67.669304886441836</v>
      </c>
      <c r="AY84" s="108">
        <v>52863.260977288359</v>
      </c>
      <c r="AZ84" s="108">
        <v>0</v>
      </c>
      <c r="BA84" s="108">
        <v>0</v>
      </c>
      <c r="BB84" s="108">
        <v>13.13838174273859</v>
      </c>
      <c r="BC84" s="108">
        <v>10263.703817427386</v>
      </c>
      <c r="BD84" s="108">
        <v>17.823529411764707</v>
      </c>
      <c r="BE84" s="108">
        <v>13923.741176470587</v>
      </c>
      <c r="BF84" s="108">
        <v>0</v>
      </c>
      <c r="BG84" s="108">
        <v>0</v>
      </c>
      <c r="BH84" s="108">
        <v>61.072750362844694</v>
      </c>
      <c r="BI84" s="108">
        <v>47710.032583454267</v>
      </c>
      <c r="BJ84" s="108">
        <v>62.538166311300635</v>
      </c>
      <c r="BK84" s="108">
        <v>48854.815522388053</v>
      </c>
      <c r="BL84" s="108">
        <v>22.823641670408623</v>
      </c>
      <c r="BM84" s="108">
        <v>17829.828872923215</v>
      </c>
      <c r="BN84" s="108">
        <v>31.658930669800238</v>
      </c>
      <c r="BO84" s="108">
        <v>24731.956639247943</v>
      </c>
      <c r="BP84" s="108">
        <v>11.365728900255755</v>
      </c>
      <c r="BQ84" s="108">
        <v>8878.9074168797943</v>
      </c>
      <c r="BR84" s="108">
        <v>0</v>
      </c>
      <c r="BS84" s="108">
        <v>0</v>
      </c>
      <c r="BT84" s="108">
        <v>0</v>
      </c>
      <c r="BU84" s="108">
        <v>0</v>
      </c>
      <c r="BV84" s="108">
        <v>21</v>
      </c>
      <c r="BW84" s="108">
        <v>16405.199999999997</v>
      </c>
      <c r="BX84" s="108">
        <v>9.7302306425041198</v>
      </c>
      <c r="BY84" s="108">
        <v>7601.2561779242178</v>
      </c>
      <c r="BZ84" s="108">
        <v>12.375</v>
      </c>
      <c r="CA84" s="108">
        <v>9667.3499999999985</v>
      </c>
      <c r="CB84" s="108">
        <v>20.603423680456491</v>
      </c>
      <c r="CC84" s="108">
        <v>16095.394579172609</v>
      </c>
      <c r="CD84" s="108">
        <v>8.7741312741312747</v>
      </c>
      <c r="CE84" s="108">
        <v>6854.3513513513508</v>
      </c>
      <c r="CF84" s="108">
        <v>0</v>
      </c>
      <c r="CG84" s="108">
        <v>0</v>
      </c>
      <c r="CH84" s="108">
        <v>13.284765279007972</v>
      </c>
      <c r="CI84" s="108">
        <v>10378.058635961028</v>
      </c>
      <c r="CJ84" s="108">
        <v>20</v>
      </c>
      <c r="CK84" s="108">
        <v>15623.999999999998</v>
      </c>
      <c r="CL84" s="108">
        <v>5.3023637557452394</v>
      </c>
      <c r="CM84" s="108">
        <v>4142.206565988181</v>
      </c>
      <c r="CN84" s="108">
        <v>16.099656357388316</v>
      </c>
      <c r="CO84" s="108">
        <v>12577.051546391751</v>
      </c>
      <c r="CP84" s="108">
        <v>16.319949636261892</v>
      </c>
      <c r="CQ84" s="108">
        <v>12749.144655847789</v>
      </c>
      <c r="CR84" s="108">
        <v>17.5005081300813</v>
      </c>
      <c r="CS84" s="108">
        <v>13671.396951219511</v>
      </c>
      <c r="CT84" s="108">
        <v>19.782194244604316</v>
      </c>
      <c r="CU84" s="108">
        <v>15453.850143884891</v>
      </c>
    </row>
    <row r="85" spans="2:99" x14ac:dyDescent="0.2">
      <c r="C85" s="107" t="s">
        <v>250</v>
      </c>
      <c r="D85" s="108">
        <v>0</v>
      </c>
      <c r="E85" s="108">
        <v>0</v>
      </c>
      <c r="F85" s="108">
        <v>0</v>
      </c>
      <c r="G85" s="108">
        <v>0</v>
      </c>
      <c r="H85" s="108">
        <v>16.017193507048269</v>
      </c>
      <c r="I85" s="108">
        <v>2402.5790260572403</v>
      </c>
      <c r="J85" s="108">
        <v>0</v>
      </c>
      <c r="K85" s="108">
        <v>0</v>
      </c>
      <c r="L85" s="108">
        <v>42.095839524517089</v>
      </c>
      <c r="M85" s="108">
        <v>6314.375928677563</v>
      </c>
      <c r="N85" s="108">
        <v>22.966755319148938</v>
      </c>
      <c r="O85" s="108">
        <v>3445.0132978723404</v>
      </c>
      <c r="P85" s="108">
        <v>0</v>
      </c>
      <c r="Q85" s="108">
        <v>0</v>
      </c>
      <c r="R85" s="108">
        <v>19.369407894736842</v>
      </c>
      <c r="S85" s="108">
        <v>2905.4111842105262</v>
      </c>
      <c r="T85" s="108">
        <v>11.837256267409471</v>
      </c>
      <c r="U85" s="108">
        <v>1775.5884401114206</v>
      </c>
      <c r="V85" s="108">
        <v>24.241875580315693</v>
      </c>
      <c r="W85" s="108">
        <v>3636.2813370473541</v>
      </c>
      <c r="X85" s="108">
        <v>0</v>
      </c>
      <c r="Y85" s="108">
        <v>0</v>
      </c>
      <c r="Z85" s="108">
        <v>0</v>
      </c>
      <c r="AA85" s="108">
        <v>0</v>
      </c>
      <c r="AB85" s="108">
        <v>34</v>
      </c>
      <c r="AC85" s="108">
        <v>5100</v>
      </c>
      <c r="AD85" s="108">
        <v>31</v>
      </c>
      <c r="AE85" s="108">
        <v>4650</v>
      </c>
      <c r="AF85" s="108">
        <v>24.376856919468334</v>
      </c>
      <c r="AG85" s="108">
        <v>3656.5285379202501</v>
      </c>
      <c r="AH85" s="108">
        <v>0</v>
      </c>
      <c r="AI85" s="108">
        <v>0</v>
      </c>
      <c r="AJ85" s="108">
        <v>10.190582959641256</v>
      </c>
      <c r="AK85" s="108">
        <v>1528.5874439461884</v>
      </c>
      <c r="AL85" s="108">
        <v>28.152657601977747</v>
      </c>
      <c r="AM85" s="108">
        <v>4222.8986402966621</v>
      </c>
      <c r="AN85" s="108">
        <v>11.76906779661017</v>
      </c>
      <c r="AO85" s="108">
        <v>1765.3601694915255</v>
      </c>
      <c r="AP85" s="108">
        <v>27.841288782816228</v>
      </c>
      <c r="AQ85" s="108">
        <v>4176.1933174224341</v>
      </c>
      <c r="AR85" s="108">
        <v>40.276365348399246</v>
      </c>
      <c r="AS85" s="108">
        <v>6041.4548022598865</v>
      </c>
      <c r="AT85" s="108">
        <v>41.00018925056775</v>
      </c>
      <c r="AU85" s="108">
        <v>6150.0283875851628</v>
      </c>
      <c r="AV85" s="108">
        <v>0</v>
      </c>
      <c r="AW85" s="108">
        <v>0</v>
      </c>
      <c r="AX85" s="108">
        <v>82.579490708878183</v>
      </c>
      <c r="AY85" s="108">
        <v>12386.923606331728</v>
      </c>
      <c r="AZ85" s="108">
        <v>0</v>
      </c>
      <c r="BA85" s="108">
        <v>0</v>
      </c>
      <c r="BB85" s="108">
        <v>14.52136929460581</v>
      </c>
      <c r="BC85" s="108">
        <v>2178.2053941908716</v>
      </c>
      <c r="BD85" s="108">
        <v>17.080882352941178</v>
      </c>
      <c r="BE85" s="108">
        <v>2562.1323529411766</v>
      </c>
      <c r="BF85" s="108">
        <v>0</v>
      </c>
      <c r="BG85" s="108">
        <v>0</v>
      </c>
      <c r="BH85" s="108">
        <v>63.491473149492009</v>
      </c>
      <c r="BI85" s="108">
        <v>9523.7209724238019</v>
      </c>
      <c r="BJ85" s="108">
        <v>66.091471215351817</v>
      </c>
      <c r="BK85" s="108">
        <v>9913.7206823027718</v>
      </c>
      <c r="BL85" s="108">
        <v>27.687696452626852</v>
      </c>
      <c r="BM85" s="108">
        <v>4153.1544678940281</v>
      </c>
      <c r="BN85" s="108">
        <v>38.839306698002346</v>
      </c>
      <c r="BO85" s="108">
        <v>5825.896004700352</v>
      </c>
      <c r="BP85" s="108">
        <v>11.720907928388746</v>
      </c>
      <c r="BQ85" s="108">
        <v>1758.1361892583118</v>
      </c>
      <c r="BR85" s="108">
        <v>0</v>
      </c>
      <c r="BS85" s="108">
        <v>0</v>
      </c>
      <c r="BT85" s="108">
        <v>0</v>
      </c>
      <c r="BU85" s="108">
        <v>0</v>
      </c>
      <c r="BV85" s="108">
        <v>24</v>
      </c>
      <c r="BW85" s="108">
        <v>3600</v>
      </c>
      <c r="BX85" s="108">
        <v>10.425247116968698</v>
      </c>
      <c r="BY85" s="108">
        <v>1563.7870675453048</v>
      </c>
      <c r="BZ85" s="108">
        <v>14.09375</v>
      </c>
      <c r="CA85" s="108">
        <v>2114.0625</v>
      </c>
      <c r="CB85" s="108">
        <v>26.150499286733236</v>
      </c>
      <c r="CC85" s="108">
        <v>3922.5748930099853</v>
      </c>
      <c r="CD85" s="108">
        <v>8.7741312741312747</v>
      </c>
      <c r="CE85" s="108">
        <v>1316.1196911196912</v>
      </c>
      <c r="CF85" s="108">
        <v>0</v>
      </c>
      <c r="CG85" s="108">
        <v>0</v>
      </c>
      <c r="CH85" s="108">
        <v>15.4988928255093</v>
      </c>
      <c r="CI85" s="108">
        <v>2324.8339238263948</v>
      </c>
      <c r="CJ85" s="108">
        <v>21</v>
      </c>
      <c r="CK85" s="108">
        <v>3150</v>
      </c>
      <c r="CL85" s="108">
        <v>5.8154957321076823</v>
      </c>
      <c r="CM85" s="108">
        <v>872.32435981615231</v>
      </c>
      <c r="CN85" s="108">
        <v>15.455670103092784</v>
      </c>
      <c r="CO85" s="108">
        <v>2318.3505154639174</v>
      </c>
      <c r="CP85" s="108">
        <v>18.651371012870733</v>
      </c>
      <c r="CQ85" s="108">
        <v>2797.7056519306097</v>
      </c>
      <c r="CR85" s="108">
        <v>18.065040650406505</v>
      </c>
      <c r="CS85" s="108">
        <v>2709.7560975609758</v>
      </c>
      <c r="CT85" s="108">
        <v>20.98111510791367</v>
      </c>
      <c r="CU85" s="108">
        <v>3147.1672661870507</v>
      </c>
    </row>
    <row r="86" spans="2:99" x14ac:dyDescent="0.2">
      <c r="C86" s="107" t="s">
        <v>251</v>
      </c>
      <c r="D86" s="108">
        <v>0</v>
      </c>
      <c r="E86" s="108">
        <v>0</v>
      </c>
      <c r="F86" s="108">
        <v>0</v>
      </c>
      <c r="G86" s="108">
        <v>0</v>
      </c>
      <c r="H86" s="108">
        <v>15.661255873558309</v>
      </c>
      <c r="I86" s="108">
        <v>8457.0781717214868</v>
      </c>
      <c r="J86" s="108">
        <v>0</v>
      </c>
      <c r="K86" s="108">
        <v>0</v>
      </c>
      <c r="L86" s="108">
        <v>42.92124814264487</v>
      </c>
      <c r="M86" s="108">
        <v>23177.473997028232</v>
      </c>
      <c r="N86" s="108">
        <v>18.534574468085108</v>
      </c>
      <c r="O86" s="108">
        <v>10008.670212765957</v>
      </c>
      <c r="P86" s="108">
        <v>0</v>
      </c>
      <c r="Q86" s="108">
        <v>0</v>
      </c>
      <c r="R86" s="108">
        <v>18.273026315789473</v>
      </c>
      <c r="S86" s="108">
        <v>9867.4342105263149</v>
      </c>
      <c r="T86" s="108">
        <v>10.908844011142062</v>
      </c>
      <c r="U86" s="108">
        <v>5890.7757660167135</v>
      </c>
      <c r="V86" s="108">
        <v>26.305013927576599</v>
      </c>
      <c r="W86" s="108">
        <v>14204.707520891363</v>
      </c>
      <c r="X86" s="108">
        <v>0</v>
      </c>
      <c r="Y86" s="108">
        <v>0</v>
      </c>
      <c r="Z86" s="108">
        <v>0</v>
      </c>
      <c r="AA86" s="108">
        <v>0</v>
      </c>
      <c r="AB86" s="108">
        <v>30</v>
      </c>
      <c r="AC86" s="108">
        <v>16200</v>
      </c>
      <c r="AD86" s="108">
        <v>31</v>
      </c>
      <c r="AE86" s="108">
        <v>16740</v>
      </c>
      <c r="AF86" s="108">
        <v>22.225957779515248</v>
      </c>
      <c r="AG86" s="108">
        <v>12002.017200938233</v>
      </c>
      <c r="AH86" s="108">
        <v>0</v>
      </c>
      <c r="AI86" s="108">
        <v>0</v>
      </c>
      <c r="AJ86" s="108">
        <v>10.869955156950672</v>
      </c>
      <c r="AK86" s="108">
        <v>5869.775784753363</v>
      </c>
      <c r="AL86" s="108">
        <v>22.659456118665016</v>
      </c>
      <c r="AM86" s="108">
        <v>12236.106304079109</v>
      </c>
      <c r="AN86" s="108">
        <v>11.376765536723164</v>
      </c>
      <c r="AO86" s="108">
        <v>6143.453389830509</v>
      </c>
      <c r="AP86" s="108">
        <v>27.841288782816228</v>
      </c>
      <c r="AQ86" s="108">
        <v>15034.295942720762</v>
      </c>
      <c r="AR86" s="108">
        <v>39.753295668549903</v>
      </c>
      <c r="AS86" s="108">
        <v>21466.779661016946</v>
      </c>
      <c r="AT86" s="108">
        <v>43.102763058289177</v>
      </c>
      <c r="AU86" s="108">
        <v>23275.492051476154</v>
      </c>
      <c r="AV86" s="108">
        <v>0</v>
      </c>
      <c r="AW86" s="108">
        <v>0</v>
      </c>
      <c r="AX86" s="108">
        <v>65.948898830006883</v>
      </c>
      <c r="AY86" s="108">
        <v>35612.405368203719</v>
      </c>
      <c r="AZ86" s="108">
        <v>0</v>
      </c>
      <c r="BA86" s="108">
        <v>0</v>
      </c>
      <c r="BB86" s="108">
        <v>13.8298755186722</v>
      </c>
      <c r="BC86" s="108">
        <v>7468.1327800829877</v>
      </c>
      <c r="BD86" s="108">
        <v>15.595588235294116</v>
      </c>
      <c r="BE86" s="108">
        <v>8421.6176470588234</v>
      </c>
      <c r="BF86" s="108">
        <v>0</v>
      </c>
      <c r="BG86" s="108">
        <v>0</v>
      </c>
      <c r="BH86" s="108">
        <v>65.305515239477501</v>
      </c>
      <c r="BI86" s="108">
        <v>35264.97822931785</v>
      </c>
      <c r="BJ86" s="108">
        <v>63.248827292110875</v>
      </c>
      <c r="BK86" s="108">
        <v>34154.366737739874</v>
      </c>
      <c r="BL86" s="108">
        <v>23.571957790749888</v>
      </c>
      <c r="BM86" s="108">
        <v>12728.857207004939</v>
      </c>
      <c r="BN86" s="108">
        <v>33.943595769682723</v>
      </c>
      <c r="BO86" s="108">
        <v>18329.541715628671</v>
      </c>
      <c r="BP86" s="108">
        <v>12.07608695652174</v>
      </c>
      <c r="BQ86" s="108">
        <v>6521.0869565217399</v>
      </c>
      <c r="BR86" s="108">
        <v>0</v>
      </c>
      <c r="BS86" s="108">
        <v>0</v>
      </c>
      <c r="BT86" s="108">
        <v>0</v>
      </c>
      <c r="BU86" s="108">
        <v>0</v>
      </c>
      <c r="BV86" s="108">
        <v>21</v>
      </c>
      <c r="BW86" s="108">
        <v>11340</v>
      </c>
      <c r="BX86" s="108">
        <v>9.7302306425041198</v>
      </c>
      <c r="BY86" s="108">
        <v>5254.3245469522244</v>
      </c>
      <c r="BZ86" s="108">
        <v>12.03125</v>
      </c>
      <c r="CA86" s="108">
        <v>6496.875</v>
      </c>
      <c r="CB86" s="108">
        <v>25.358059914407988</v>
      </c>
      <c r="CC86" s="108">
        <v>13693.352353780314</v>
      </c>
      <c r="CD86" s="108">
        <v>9.0666023166023155</v>
      </c>
      <c r="CE86" s="108">
        <v>4895.9652509652506</v>
      </c>
      <c r="CF86" s="108">
        <v>0</v>
      </c>
      <c r="CG86" s="108">
        <v>0</v>
      </c>
      <c r="CH86" s="108">
        <v>12.54672276350753</v>
      </c>
      <c r="CI86" s="108">
        <v>6775.2302922940662</v>
      </c>
      <c r="CJ86" s="108">
        <v>21</v>
      </c>
      <c r="CK86" s="108">
        <v>11340</v>
      </c>
      <c r="CL86" s="108">
        <v>5.4734077478660534</v>
      </c>
      <c r="CM86" s="108">
        <v>2955.6401838476691</v>
      </c>
      <c r="CN86" s="108">
        <v>16.099656357388316</v>
      </c>
      <c r="CO86" s="108">
        <v>8693.8144329896913</v>
      </c>
      <c r="CP86" s="108">
        <v>19.583939563514267</v>
      </c>
      <c r="CQ86" s="108">
        <v>10575.327364297704</v>
      </c>
      <c r="CR86" s="108">
        <v>18.065040650406505</v>
      </c>
      <c r="CS86" s="108">
        <v>9755.121951219513</v>
      </c>
      <c r="CT86" s="108">
        <v>17.983812949640289</v>
      </c>
      <c r="CU86" s="108">
        <v>9711.258992805755</v>
      </c>
    </row>
    <row r="87" spans="2:99" x14ac:dyDescent="0.2">
      <c r="B87" s="107" t="s">
        <v>131</v>
      </c>
      <c r="C87" s="107" t="s">
        <v>252</v>
      </c>
      <c r="D87" s="108">
        <v>0</v>
      </c>
      <c r="E87" s="108">
        <v>0</v>
      </c>
      <c r="F87" s="108">
        <v>0</v>
      </c>
      <c r="G87" s="108">
        <v>0</v>
      </c>
      <c r="H87" s="108">
        <v>8.8984408372490389</v>
      </c>
      <c r="I87" s="108">
        <v>17394.672148654419</v>
      </c>
      <c r="J87" s="108">
        <v>0</v>
      </c>
      <c r="K87" s="108">
        <v>0</v>
      </c>
      <c r="L87" s="108">
        <v>38.794205052005942</v>
      </c>
      <c r="M87" s="108">
        <v>75834.912035661211</v>
      </c>
      <c r="N87" s="108">
        <v>24.57845744680851</v>
      </c>
      <c r="O87" s="108">
        <v>48045.968617021274</v>
      </c>
      <c r="P87" s="108">
        <v>0</v>
      </c>
      <c r="Q87" s="108">
        <v>0</v>
      </c>
      <c r="R87" s="108">
        <v>35.449671052631579</v>
      </c>
      <c r="S87" s="108">
        <v>69297.016973684207</v>
      </c>
      <c r="T87" s="108">
        <v>26.691852367688025</v>
      </c>
      <c r="U87" s="108">
        <v>52177.233008356547</v>
      </c>
      <c r="V87" s="108">
        <v>70.146703806870931</v>
      </c>
      <c r="W87" s="108">
        <v>137122.7766016713</v>
      </c>
      <c r="X87" s="108">
        <v>0</v>
      </c>
      <c r="Y87" s="108">
        <v>0</v>
      </c>
      <c r="Z87" s="108">
        <v>0</v>
      </c>
      <c r="AA87" s="108">
        <v>0</v>
      </c>
      <c r="AB87" s="108">
        <v>59</v>
      </c>
      <c r="AC87" s="108">
        <v>115333.2</v>
      </c>
      <c r="AD87" s="108">
        <v>53</v>
      </c>
      <c r="AE87" s="108">
        <v>103604.4</v>
      </c>
      <c r="AF87" s="108">
        <v>35.13135261923378</v>
      </c>
      <c r="AG87" s="108">
        <v>68674.768100078189</v>
      </c>
      <c r="AH87" s="108">
        <v>0</v>
      </c>
      <c r="AI87" s="108">
        <v>0</v>
      </c>
      <c r="AJ87" s="108">
        <v>45.857623318385656</v>
      </c>
      <c r="AK87" s="108">
        <v>89642.482062780284</v>
      </c>
      <c r="AL87" s="108">
        <v>105.05747836835599</v>
      </c>
      <c r="AM87" s="108">
        <v>205366.35871446229</v>
      </c>
      <c r="AN87" s="108">
        <v>39.23022598870056</v>
      </c>
      <c r="AO87" s="108">
        <v>76687.245762711857</v>
      </c>
      <c r="AP87" s="108">
        <v>71.591885441527438</v>
      </c>
      <c r="AQ87" s="108">
        <v>139947.81766109783</v>
      </c>
      <c r="AR87" s="108">
        <v>5.9281230382925294</v>
      </c>
      <c r="AS87" s="108">
        <v>11588.294915254237</v>
      </c>
      <c r="AT87" s="108">
        <v>5.8872066616199845</v>
      </c>
      <c r="AU87" s="108">
        <v>11508.311582134746</v>
      </c>
      <c r="AV87" s="108">
        <v>0</v>
      </c>
      <c r="AW87" s="108">
        <v>0</v>
      </c>
      <c r="AX87" s="108">
        <v>10.895905024088094</v>
      </c>
      <c r="AY87" s="108">
        <v>21299.315141087405</v>
      </c>
      <c r="AZ87" s="108">
        <v>0</v>
      </c>
      <c r="BA87" s="108">
        <v>0</v>
      </c>
      <c r="BB87" s="108">
        <v>31.117219917012449</v>
      </c>
      <c r="BC87" s="108">
        <v>60827.941493775936</v>
      </c>
      <c r="BD87" s="108">
        <v>30.448529411764707</v>
      </c>
      <c r="BE87" s="108">
        <v>59520.785294117646</v>
      </c>
      <c r="BF87" s="108">
        <v>0</v>
      </c>
      <c r="BG87" s="108">
        <v>0</v>
      </c>
      <c r="BH87" s="108">
        <v>21.163824383164005</v>
      </c>
      <c r="BI87" s="108">
        <v>41371.043904209</v>
      </c>
      <c r="BJ87" s="108">
        <v>29.137100213219615</v>
      </c>
      <c r="BK87" s="108">
        <v>56957.203496801703</v>
      </c>
      <c r="BL87" s="108">
        <v>20.952851369555454</v>
      </c>
      <c r="BM87" s="108">
        <v>40958.633857207002</v>
      </c>
      <c r="BN87" s="108">
        <v>13.055229142185665</v>
      </c>
      <c r="BO87" s="108">
        <v>25520.361927144539</v>
      </c>
      <c r="BP87" s="108">
        <v>41.911125319693092</v>
      </c>
      <c r="BQ87" s="108">
        <v>81927.86777493605</v>
      </c>
      <c r="BR87" s="108">
        <v>0</v>
      </c>
      <c r="BS87" s="108">
        <v>0</v>
      </c>
      <c r="BT87" s="108">
        <v>0</v>
      </c>
      <c r="BU87" s="108">
        <v>0</v>
      </c>
      <c r="BV87" s="108">
        <v>74</v>
      </c>
      <c r="BW87" s="108">
        <v>144655.19999999998</v>
      </c>
      <c r="BX87" s="108">
        <v>9.7302306425041198</v>
      </c>
      <c r="BY87" s="108">
        <v>19020.654859967053</v>
      </c>
      <c r="BZ87" s="108">
        <v>10.65625</v>
      </c>
      <c r="CA87" s="108">
        <v>20830.837499999998</v>
      </c>
      <c r="CB87" s="108">
        <v>19.810984308131239</v>
      </c>
      <c r="CC87" s="108">
        <v>38726.512125534944</v>
      </c>
      <c r="CD87" s="108">
        <v>13.746138996138995</v>
      </c>
      <c r="CE87" s="108">
        <v>26870.952509652507</v>
      </c>
      <c r="CF87" s="108">
        <v>0</v>
      </c>
      <c r="CG87" s="108">
        <v>0</v>
      </c>
      <c r="CH87" s="108">
        <v>43.544508414526128</v>
      </c>
      <c r="CI87" s="108">
        <v>85120.805048715672</v>
      </c>
      <c r="CJ87" s="108">
        <v>70</v>
      </c>
      <c r="CK87" s="108">
        <v>136836</v>
      </c>
      <c r="CL87" s="108">
        <v>10.091595535128036</v>
      </c>
      <c r="CM87" s="108">
        <v>19727.050952068283</v>
      </c>
      <c r="CN87" s="108">
        <v>9.6597938144329891</v>
      </c>
      <c r="CO87" s="108">
        <v>18882.964948453606</v>
      </c>
      <c r="CP87" s="108">
        <v>7.4605484051482938</v>
      </c>
      <c r="CQ87" s="108">
        <v>14583.880022383884</v>
      </c>
      <c r="CR87" s="108">
        <v>12.419715447154472</v>
      </c>
      <c r="CS87" s="108">
        <v>24278.059756097562</v>
      </c>
      <c r="CT87" s="108">
        <v>10.190827338129496</v>
      </c>
      <c r="CU87" s="108">
        <v>19921.029280575538</v>
      </c>
    </row>
    <row r="88" spans="2:99" x14ac:dyDescent="0.2">
      <c r="C88" s="107" t="s">
        <v>253</v>
      </c>
      <c r="D88" s="108">
        <v>0</v>
      </c>
      <c r="E88" s="108">
        <v>0</v>
      </c>
      <c r="F88" s="108">
        <v>0</v>
      </c>
      <c r="G88" s="108">
        <v>0</v>
      </c>
      <c r="H88" s="108">
        <v>9.9662537377189242</v>
      </c>
      <c r="I88" s="108">
        <v>18860.13857325929</v>
      </c>
      <c r="J88" s="108">
        <v>0</v>
      </c>
      <c r="K88" s="108">
        <v>0</v>
      </c>
      <c r="L88" s="108">
        <v>39.619613670133731</v>
      </c>
      <c r="M88" s="108">
        <v>74976.156909361074</v>
      </c>
      <c r="N88" s="108">
        <v>26.190159574468087</v>
      </c>
      <c r="O88" s="108">
        <v>49562.257978723406</v>
      </c>
      <c r="P88" s="108">
        <v>0</v>
      </c>
      <c r="Q88" s="108">
        <v>0</v>
      </c>
      <c r="R88" s="108">
        <v>33.622368421052634</v>
      </c>
      <c r="S88" s="108">
        <v>63626.97</v>
      </c>
      <c r="T88" s="108">
        <v>32.03022284122563</v>
      </c>
      <c r="U88" s="108">
        <v>60613.993704735374</v>
      </c>
      <c r="V88" s="108">
        <v>62.925719591457757</v>
      </c>
      <c r="W88" s="108">
        <v>119080.63175487464</v>
      </c>
      <c r="X88" s="108">
        <v>0</v>
      </c>
      <c r="Y88" s="108">
        <v>0</v>
      </c>
      <c r="Z88" s="108">
        <v>0</v>
      </c>
      <c r="AA88" s="108">
        <v>0</v>
      </c>
      <c r="AB88" s="108">
        <v>63</v>
      </c>
      <c r="AC88" s="108">
        <v>119221.2</v>
      </c>
      <c r="AD88" s="108">
        <v>55</v>
      </c>
      <c r="AE88" s="108">
        <v>104081.99999999999</v>
      </c>
      <c r="AF88" s="108">
        <v>33.697419859265047</v>
      </c>
      <c r="AG88" s="108">
        <v>63768.997341673166</v>
      </c>
      <c r="AH88" s="108">
        <v>0</v>
      </c>
      <c r="AI88" s="108">
        <v>0</v>
      </c>
      <c r="AJ88" s="108">
        <v>47.8957399103139</v>
      </c>
      <c r="AK88" s="108">
        <v>90637.898206278012</v>
      </c>
      <c r="AL88" s="108">
        <v>93.384425216316444</v>
      </c>
      <c r="AM88" s="108">
        <v>176720.68627935724</v>
      </c>
      <c r="AN88" s="108">
        <v>41.584039548022602</v>
      </c>
      <c r="AO88" s="108">
        <v>78693.636440677961</v>
      </c>
      <c r="AP88" s="108">
        <v>73.182816229116952</v>
      </c>
      <c r="AQ88" s="108">
        <v>138491.1614319809</v>
      </c>
      <c r="AR88" s="108">
        <v>5.5794099183929697</v>
      </c>
      <c r="AS88" s="108">
        <v>10558.475329566854</v>
      </c>
      <c r="AT88" s="108">
        <v>6.0974640423921276</v>
      </c>
      <c r="AU88" s="108">
        <v>11538.840953822861</v>
      </c>
      <c r="AV88" s="108">
        <v>0</v>
      </c>
      <c r="AW88" s="108">
        <v>0</v>
      </c>
      <c r="AX88" s="108">
        <v>12.042842395044735</v>
      </c>
      <c r="AY88" s="108">
        <v>22789.874948382654</v>
      </c>
      <c r="AZ88" s="108">
        <v>0</v>
      </c>
      <c r="BA88" s="108">
        <v>0</v>
      </c>
      <c r="BB88" s="108">
        <v>33.883195020746889</v>
      </c>
      <c r="BC88" s="108">
        <v>64120.558257261408</v>
      </c>
      <c r="BD88" s="108">
        <v>29.705882352941178</v>
      </c>
      <c r="BE88" s="108">
        <v>56215.411764705881</v>
      </c>
      <c r="BF88" s="108">
        <v>0</v>
      </c>
      <c r="BG88" s="108">
        <v>0</v>
      </c>
      <c r="BH88" s="108">
        <v>21.163824383164005</v>
      </c>
      <c r="BI88" s="108">
        <v>40050.421262699558</v>
      </c>
      <c r="BJ88" s="108">
        <v>28.426439232409383</v>
      </c>
      <c r="BK88" s="108">
        <v>53794.193603411513</v>
      </c>
      <c r="BL88" s="108">
        <v>21.32700942972609</v>
      </c>
      <c r="BM88" s="108">
        <v>40359.232644813652</v>
      </c>
      <c r="BN88" s="108">
        <v>13.055229142185665</v>
      </c>
      <c r="BO88" s="108">
        <v>24705.715628672151</v>
      </c>
      <c r="BP88" s="108">
        <v>35.51790281329923</v>
      </c>
      <c r="BQ88" s="108">
        <v>67214.079283887462</v>
      </c>
      <c r="BR88" s="108">
        <v>0</v>
      </c>
      <c r="BS88" s="108">
        <v>0</v>
      </c>
      <c r="BT88" s="108">
        <v>0</v>
      </c>
      <c r="BU88" s="108">
        <v>0</v>
      </c>
      <c r="BV88" s="108">
        <v>80</v>
      </c>
      <c r="BW88" s="108">
        <v>151392</v>
      </c>
      <c r="BX88" s="108">
        <v>10.425247116968698</v>
      </c>
      <c r="BY88" s="108">
        <v>19728.737644151563</v>
      </c>
      <c r="BZ88" s="108">
        <v>10.65625</v>
      </c>
      <c r="CA88" s="108">
        <v>20165.887499999997</v>
      </c>
      <c r="CB88" s="108">
        <v>22.18830242510699</v>
      </c>
      <c r="CC88" s="108">
        <v>41989.143509272464</v>
      </c>
      <c r="CD88" s="108">
        <v>14.331081081081081</v>
      </c>
      <c r="CE88" s="108">
        <v>27120.137837837836</v>
      </c>
      <c r="CF88" s="108">
        <v>0</v>
      </c>
      <c r="CG88" s="108">
        <v>0</v>
      </c>
      <c r="CH88" s="108">
        <v>46.496678476527897</v>
      </c>
      <c r="CI88" s="108">
        <v>87990.314348981381</v>
      </c>
      <c r="CJ88" s="108">
        <v>71</v>
      </c>
      <c r="CK88" s="108">
        <v>134360.4</v>
      </c>
      <c r="CL88" s="108">
        <v>10.091595535128036</v>
      </c>
      <c r="CM88" s="108">
        <v>19097.335390676293</v>
      </c>
      <c r="CN88" s="108">
        <v>10.947766323024055</v>
      </c>
      <c r="CO88" s="108">
        <v>20717.552989690721</v>
      </c>
      <c r="CP88" s="108">
        <v>7.9268326804700617</v>
      </c>
      <c r="CQ88" s="108">
        <v>15000.738164521545</v>
      </c>
      <c r="CR88" s="108">
        <v>12.984247967479675</v>
      </c>
      <c r="CS88" s="108">
        <v>24571.390853658537</v>
      </c>
      <c r="CT88" s="108">
        <v>10.190827338129496</v>
      </c>
      <c r="CU88" s="108">
        <v>19285.121654676259</v>
      </c>
    </row>
    <row r="89" spans="2:99" x14ac:dyDescent="0.2">
      <c r="C89" s="107" t="s">
        <v>254</v>
      </c>
      <c r="D89" s="108">
        <v>0</v>
      </c>
      <c r="E89" s="108">
        <v>0</v>
      </c>
      <c r="F89" s="108">
        <v>0</v>
      </c>
      <c r="G89" s="108">
        <v>0</v>
      </c>
      <c r="H89" s="108">
        <v>8.8984408372490389</v>
      </c>
      <c r="I89" s="108">
        <v>21334.901751388294</v>
      </c>
      <c r="J89" s="108">
        <v>0</v>
      </c>
      <c r="K89" s="108">
        <v>0</v>
      </c>
      <c r="L89" s="108">
        <v>37.968796433878154</v>
      </c>
      <c r="M89" s="108">
        <v>91033.986329866253</v>
      </c>
      <c r="N89" s="108">
        <v>24.981382978723403</v>
      </c>
      <c r="O89" s="108">
        <v>59895.363829787231</v>
      </c>
      <c r="P89" s="108">
        <v>0</v>
      </c>
      <c r="Q89" s="108">
        <v>0</v>
      </c>
      <c r="R89" s="108">
        <v>35.449671052631579</v>
      </c>
      <c r="S89" s="108">
        <v>84994.131315789477</v>
      </c>
      <c r="T89" s="108">
        <v>24.835027855153204</v>
      </c>
      <c r="U89" s="108">
        <v>59544.462785515316</v>
      </c>
      <c r="V89" s="108">
        <v>67.567780872794799</v>
      </c>
      <c r="W89" s="108">
        <v>162000.51142061281</v>
      </c>
      <c r="X89" s="108">
        <v>0</v>
      </c>
      <c r="Y89" s="108">
        <v>0</v>
      </c>
      <c r="Z89" s="108">
        <v>0</v>
      </c>
      <c r="AA89" s="108">
        <v>0</v>
      </c>
      <c r="AB89" s="108">
        <v>49</v>
      </c>
      <c r="AC89" s="108">
        <v>117482.4</v>
      </c>
      <c r="AD89" s="108">
        <v>57</v>
      </c>
      <c r="AE89" s="108">
        <v>136663.19999999998</v>
      </c>
      <c r="AF89" s="108">
        <v>35.848318999218137</v>
      </c>
      <c r="AG89" s="108">
        <v>85949.929632525396</v>
      </c>
      <c r="AH89" s="108">
        <v>0</v>
      </c>
      <c r="AI89" s="108">
        <v>0</v>
      </c>
      <c r="AJ89" s="108">
        <v>41.441704035874437</v>
      </c>
      <c r="AK89" s="108">
        <v>99360.629596412546</v>
      </c>
      <c r="AL89" s="108">
        <v>87.891223733003713</v>
      </c>
      <c r="AM89" s="108">
        <v>210727.9980222497</v>
      </c>
      <c r="AN89" s="108">
        <v>33.737994350282484</v>
      </c>
      <c r="AO89" s="108">
        <v>80890.215254237279</v>
      </c>
      <c r="AP89" s="108">
        <v>59.659904534606206</v>
      </c>
      <c r="AQ89" s="108">
        <v>143040.58711217184</v>
      </c>
      <c r="AR89" s="108">
        <v>5.056340238543628</v>
      </c>
      <c r="AS89" s="108">
        <v>12123.081355932201</v>
      </c>
      <c r="AT89" s="108">
        <v>5.4666919000757002</v>
      </c>
      <c r="AU89" s="108">
        <v>13106.940499621498</v>
      </c>
      <c r="AV89" s="108">
        <v>0</v>
      </c>
      <c r="AW89" s="108">
        <v>0</v>
      </c>
      <c r="AX89" s="108">
        <v>10.322436338609773</v>
      </c>
      <c r="AY89" s="108">
        <v>24749.073365450789</v>
      </c>
      <c r="AZ89" s="108">
        <v>0</v>
      </c>
      <c r="BA89" s="108">
        <v>0</v>
      </c>
      <c r="BB89" s="108">
        <v>27.6597510373444</v>
      </c>
      <c r="BC89" s="108">
        <v>66317.019087136927</v>
      </c>
      <c r="BD89" s="108">
        <v>28.963235294117649</v>
      </c>
      <c r="BE89" s="108">
        <v>69442.25294117647</v>
      </c>
      <c r="BF89" s="108">
        <v>0</v>
      </c>
      <c r="BG89" s="108">
        <v>0</v>
      </c>
      <c r="BH89" s="108">
        <v>19.349782293178521</v>
      </c>
      <c r="BI89" s="108">
        <v>46393.038026124821</v>
      </c>
      <c r="BJ89" s="108">
        <v>24.873134328358208</v>
      </c>
      <c r="BK89" s="108">
        <v>59635.826865671639</v>
      </c>
      <c r="BL89" s="108">
        <v>20.204535249214189</v>
      </c>
      <c r="BM89" s="108">
        <v>48442.393713515936</v>
      </c>
      <c r="BN89" s="108">
        <v>11.423325499412456</v>
      </c>
      <c r="BO89" s="108">
        <v>27388.565217391304</v>
      </c>
      <c r="BP89" s="108">
        <v>35.873081841432224</v>
      </c>
      <c r="BQ89" s="108">
        <v>86009.301023017892</v>
      </c>
      <c r="BR89" s="108">
        <v>0</v>
      </c>
      <c r="BS89" s="108">
        <v>0</v>
      </c>
      <c r="BT89" s="108">
        <v>0</v>
      </c>
      <c r="BU89" s="108">
        <v>0</v>
      </c>
      <c r="BV89" s="108">
        <v>72</v>
      </c>
      <c r="BW89" s="108">
        <v>172627.19999999998</v>
      </c>
      <c r="BX89" s="108">
        <v>10.425247116968698</v>
      </c>
      <c r="BY89" s="108">
        <v>24995.572487644149</v>
      </c>
      <c r="BZ89" s="108">
        <v>9.96875</v>
      </c>
      <c r="CA89" s="108">
        <v>23901.075000000001</v>
      </c>
      <c r="CB89" s="108">
        <v>19.810984308131239</v>
      </c>
      <c r="CC89" s="108">
        <v>47498.815977175458</v>
      </c>
      <c r="CD89" s="108">
        <v>13.453667953667955</v>
      </c>
      <c r="CE89" s="108">
        <v>32256.514285714286</v>
      </c>
      <c r="CF89" s="108">
        <v>0</v>
      </c>
      <c r="CG89" s="108">
        <v>0</v>
      </c>
      <c r="CH89" s="108">
        <v>39.854295837023919</v>
      </c>
      <c r="CI89" s="108">
        <v>95554.65969884854</v>
      </c>
      <c r="CJ89" s="108">
        <v>65</v>
      </c>
      <c r="CK89" s="108">
        <v>155844</v>
      </c>
      <c r="CL89" s="108">
        <v>10.262639527248851</v>
      </c>
      <c r="CM89" s="108">
        <v>24605.704530531842</v>
      </c>
      <c r="CN89" s="108">
        <v>10.303780068728523</v>
      </c>
      <c r="CO89" s="108">
        <v>24704.343092783507</v>
      </c>
      <c r="CP89" s="108">
        <v>6.994264129826524</v>
      </c>
      <c r="CQ89" s="108">
        <v>16769.447677672073</v>
      </c>
      <c r="CR89" s="108">
        <v>12.984247967479675</v>
      </c>
      <c r="CS89" s="108">
        <v>31131.032926829266</v>
      </c>
      <c r="CT89" s="108">
        <v>10.790287769784172</v>
      </c>
      <c r="CU89" s="108">
        <v>25870.793956834528</v>
      </c>
    </row>
    <row r="90" spans="2:99" x14ac:dyDescent="0.2">
      <c r="C90" s="107" t="s">
        <v>255</v>
      </c>
      <c r="D90" s="108">
        <v>0</v>
      </c>
      <c r="E90" s="108">
        <v>0</v>
      </c>
      <c r="F90" s="108">
        <v>0</v>
      </c>
      <c r="G90" s="108">
        <v>0</v>
      </c>
      <c r="H90" s="108">
        <v>9.9662537377189242</v>
      </c>
      <c r="I90" s="108">
        <v>21897.852712516018</v>
      </c>
      <c r="J90" s="108">
        <v>0</v>
      </c>
      <c r="K90" s="108">
        <v>0</v>
      </c>
      <c r="L90" s="108">
        <v>41.270430906389301</v>
      </c>
      <c r="M90" s="108">
        <v>90679.390787518569</v>
      </c>
      <c r="N90" s="108">
        <v>26.190159574468087</v>
      </c>
      <c r="O90" s="108">
        <v>57545.018617021276</v>
      </c>
      <c r="P90" s="108">
        <v>0</v>
      </c>
      <c r="Q90" s="108">
        <v>0</v>
      </c>
      <c r="R90" s="108">
        <v>37.276973684210525</v>
      </c>
      <c r="S90" s="108">
        <v>81904.966578947351</v>
      </c>
      <c r="T90" s="108">
        <v>26.691852367688025</v>
      </c>
      <c r="U90" s="108">
        <v>58647.338022284122</v>
      </c>
      <c r="V90" s="108">
        <v>71.178272980501404</v>
      </c>
      <c r="W90" s="108">
        <v>156392.90139275766</v>
      </c>
      <c r="X90" s="108">
        <v>0</v>
      </c>
      <c r="Y90" s="108">
        <v>0</v>
      </c>
      <c r="Z90" s="108">
        <v>0</v>
      </c>
      <c r="AA90" s="108">
        <v>0</v>
      </c>
      <c r="AB90" s="108">
        <v>60</v>
      </c>
      <c r="AC90" s="108">
        <v>131832</v>
      </c>
      <c r="AD90" s="108">
        <v>60</v>
      </c>
      <c r="AE90" s="108">
        <v>131832</v>
      </c>
      <c r="AF90" s="108">
        <v>33.697419859265047</v>
      </c>
      <c r="AG90" s="108">
        <v>74039.97091477715</v>
      </c>
      <c r="AH90" s="108">
        <v>0</v>
      </c>
      <c r="AI90" s="108">
        <v>0</v>
      </c>
      <c r="AJ90" s="108">
        <v>41.781390134529147</v>
      </c>
      <c r="AK90" s="108">
        <v>91802.070403587437</v>
      </c>
      <c r="AL90" s="108">
        <v>99.564276885043256</v>
      </c>
      <c r="AM90" s="108">
        <v>218762.62917181701</v>
      </c>
      <c r="AN90" s="108">
        <v>39.23022598870056</v>
      </c>
      <c r="AO90" s="108">
        <v>86196.65254237286</v>
      </c>
      <c r="AP90" s="108">
        <v>69.205489260143196</v>
      </c>
      <c r="AQ90" s="108">
        <v>152058.30100238661</v>
      </c>
      <c r="AR90" s="108">
        <v>5.5794099183929697</v>
      </c>
      <c r="AS90" s="108">
        <v>12259.079472693033</v>
      </c>
      <c r="AT90" s="108">
        <v>6.3077214231642698</v>
      </c>
      <c r="AU90" s="108">
        <v>13859.325510976532</v>
      </c>
      <c r="AV90" s="108">
        <v>0</v>
      </c>
      <c r="AW90" s="108">
        <v>0</v>
      </c>
      <c r="AX90" s="108">
        <v>11.469373709566415</v>
      </c>
      <c r="AY90" s="108">
        <v>25200.507914659327</v>
      </c>
      <c r="AZ90" s="108">
        <v>0</v>
      </c>
      <c r="BA90" s="108">
        <v>0</v>
      </c>
      <c r="BB90" s="108">
        <v>30.42572614107884</v>
      </c>
      <c r="BC90" s="108">
        <v>66851.405477178429</v>
      </c>
      <c r="BD90" s="108">
        <v>28.963235294117649</v>
      </c>
      <c r="BE90" s="108">
        <v>63638.020588235289</v>
      </c>
      <c r="BF90" s="108">
        <v>0</v>
      </c>
      <c r="BG90" s="108">
        <v>0</v>
      </c>
      <c r="BH90" s="108">
        <v>19.954462989840348</v>
      </c>
      <c r="BI90" s="108">
        <v>43843.946081277209</v>
      </c>
      <c r="BJ90" s="108">
        <v>27.005117270788908</v>
      </c>
      <c r="BK90" s="108">
        <v>59335.643667377386</v>
      </c>
      <c r="BL90" s="108">
        <v>19.830377189043556</v>
      </c>
      <c r="BM90" s="108">
        <v>43571.304759766499</v>
      </c>
      <c r="BN90" s="108">
        <v>12.07608695652174</v>
      </c>
      <c r="BO90" s="108">
        <v>26533.578260869566</v>
      </c>
      <c r="BP90" s="108">
        <v>38.714514066496164</v>
      </c>
      <c r="BQ90" s="108">
        <v>85063.530306905363</v>
      </c>
      <c r="BR90" s="108">
        <v>0</v>
      </c>
      <c r="BS90" s="108">
        <v>0</v>
      </c>
      <c r="BT90" s="108">
        <v>0</v>
      </c>
      <c r="BU90" s="108">
        <v>0</v>
      </c>
      <c r="BV90" s="108">
        <v>67</v>
      </c>
      <c r="BW90" s="108">
        <v>147212.4</v>
      </c>
      <c r="BX90" s="108">
        <v>10.425247116968698</v>
      </c>
      <c r="BY90" s="108">
        <v>22906.352965403621</v>
      </c>
      <c r="BZ90" s="108">
        <v>10.3125</v>
      </c>
      <c r="CA90" s="108">
        <v>22658.624999999996</v>
      </c>
      <c r="CB90" s="108">
        <v>21.395863052781738</v>
      </c>
      <c r="CC90" s="108">
        <v>47010.990299572033</v>
      </c>
      <c r="CD90" s="108">
        <v>12.868725868725869</v>
      </c>
      <c r="CE90" s="108">
        <v>28275.164478764476</v>
      </c>
      <c r="CF90" s="108">
        <v>0</v>
      </c>
      <c r="CG90" s="108">
        <v>0</v>
      </c>
      <c r="CH90" s="108">
        <v>45.02059344552702</v>
      </c>
      <c r="CI90" s="108">
        <v>98919.247918511959</v>
      </c>
      <c r="CJ90" s="108">
        <v>69</v>
      </c>
      <c r="CK90" s="108">
        <v>151606.79999999999</v>
      </c>
      <c r="CL90" s="108">
        <v>10.262639527248851</v>
      </c>
      <c r="CM90" s="108">
        <v>22549.071569271175</v>
      </c>
      <c r="CN90" s="108">
        <v>8.3718213058419231</v>
      </c>
      <c r="CO90" s="108">
        <v>18394.565773195871</v>
      </c>
      <c r="CP90" s="108">
        <v>6.527979854504756</v>
      </c>
      <c r="CQ90" s="108">
        <v>14343.277336317849</v>
      </c>
      <c r="CR90" s="108">
        <v>13.54878048780488</v>
      </c>
      <c r="CS90" s="108">
        <v>29769.38048780488</v>
      </c>
      <c r="CT90" s="108">
        <v>9.5913669064748195</v>
      </c>
      <c r="CU90" s="108">
        <v>21074.151366906473</v>
      </c>
    </row>
    <row r="91" spans="2:99" x14ac:dyDescent="0.2">
      <c r="C91" s="107" t="s">
        <v>256</v>
      </c>
      <c r="D91" s="108">
        <v>0</v>
      </c>
      <c r="E91" s="108">
        <v>0</v>
      </c>
      <c r="F91" s="108">
        <v>0</v>
      </c>
      <c r="G91" s="108">
        <v>0</v>
      </c>
      <c r="H91" s="108">
        <v>8.1865655702691154</v>
      </c>
      <c r="I91" s="108">
        <v>18802.903801794102</v>
      </c>
      <c r="J91" s="108">
        <v>0</v>
      </c>
      <c r="K91" s="108">
        <v>0</v>
      </c>
      <c r="L91" s="108">
        <v>35.492570579494803</v>
      </c>
      <c r="M91" s="108">
        <v>81519.336106983654</v>
      </c>
      <c r="N91" s="108">
        <v>24.981382978723403</v>
      </c>
      <c r="O91" s="108">
        <v>57377.240425531905</v>
      </c>
      <c r="P91" s="108">
        <v>0</v>
      </c>
      <c r="Q91" s="108">
        <v>0</v>
      </c>
      <c r="R91" s="108">
        <v>35.449671052631579</v>
      </c>
      <c r="S91" s="108">
        <v>81420.804473684198</v>
      </c>
      <c r="T91" s="108">
        <v>28.548676880222843</v>
      </c>
      <c r="U91" s="108">
        <v>65570.601058495813</v>
      </c>
      <c r="V91" s="108">
        <v>68.599350046425258</v>
      </c>
      <c r="W91" s="108">
        <v>157558.9871866295</v>
      </c>
      <c r="X91" s="108">
        <v>0</v>
      </c>
      <c r="Y91" s="108">
        <v>0</v>
      </c>
      <c r="Z91" s="108">
        <v>0</v>
      </c>
      <c r="AA91" s="108">
        <v>0</v>
      </c>
      <c r="AB91" s="108">
        <v>51</v>
      </c>
      <c r="AC91" s="108">
        <v>117136.79999999999</v>
      </c>
      <c r="AD91" s="108">
        <v>56</v>
      </c>
      <c r="AE91" s="108">
        <v>128620.79999999999</v>
      </c>
      <c r="AF91" s="108">
        <v>37.282251759186863</v>
      </c>
      <c r="AG91" s="108">
        <v>85629.875840500375</v>
      </c>
      <c r="AH91" s="108">
        <v>0</v>
      </c>
      <c r="AI91" s="108">
        <v>0</v>
      </c>
      <c r="AJ91" s="108">
        <v>48.235426008968609</v>
      </c>
      <c r="AK91" s="108">
        <v>110787.12645739909</v>
      </c>
      <c r="AL91" s="108">
        <v>93.384425216316444</v>
      </c>
      <c r="AM91" s="108">
        <v>214485.34783683557</v>
      </c>
      <c r="AN91" s="108">
        <v>32.953389830508478</v>
      </c>
      <c r="AO91" s="108">
        <v>75687.345762711862</v>
      </c>
      <c r="AP91" s="108">
        <v>62.046300715990448</v>
      </c>
      <c r="AQ91" s="108">
        <v>142507.94348448684</v>
      </c>
      <c r="AR91" s="108">
        <v>5.75376647834275</v>
      </c>
      <c r="AS91" s="108">
        <v>13215.250847457626</v>
      </c>
      <c r="AT91" s="108">
        <v>6.0974640423921276</v>
      </c>
      <c r="AU91" s="108">
        <v>14004.655412566237</v>
      </c>
      <c r="AV91" s="108">
        <v>0</v>
      </c>
      <c r="AW91" s="108">
        <v>0</v>
      </c>
      <c r="AX91" s="108">
        <v>11.469373709566415</v>
      </c>
      <c r="AY91" s="108">
        <v>26342.857536132138</v>
      </c>
      <c r="AZ91" s="108">
        <v>0</v>
      </c>
      <c r="BA91" s="108">
        <v>0</v>
      </c>
      <c r="BB91" s="108">
        <v>32.500207468879665</v>
      </c>
      <c r="BC91" s="108">
        <v>74646.476514522801</v>
      </c>
      <c r="BD91" s="108">
        <v>28.220588235294116</v>
      </c>
      <c r="BE91" s="108">
        <v>64817.047058823518</v>
      </c>
      <c r="BF91" s="108">
        <v>0</v>
      </c>
      <c r="BG91" s="108">
        <v>0</v>
      </c>
      <c r="BH91" s="108">
        <v>17.535740203193033</v>
      </c>
      <c r="BI91" s="108">
        <v>40276.088098693755</v>
      </c>
      <c r="BJ91" s="108">
        <v>23.451812366737741</v>
      </c>
      <c r="BK91" s="108">
        <v>53864.122643923234</v>
      </c>
      <c r="BL91" s="108">
        <v>20.204535249214189</v>
      </c>
      <c r="BM91" s="108">
        <v>46405.776560395141</v>
      </c>
      <c r="BN91" s="108">
        <v>13.055229142185665</v>
      </c>
      <c r="BO91" s="108">
        <v>29985.250293772031</v>
      </c>
      <c r="BP91" s="108">
        <v>35.873081841432224</v>
      </c>
      <c r="BQ91" s="108">
        <v>82393.294373401528</v>
      </c>
      <c r="BR91" s="108">
        <v>0</v>
      </c>
      <c r="BS91" s="108">
        <v>0</v>
      </c>
      <c r="BT91" s="108">
        <v>0</v>
      </c>
      <c r="BU91" s="108">
        <v>0</v>
      </c>
      <c r="BV91" s="108">
        <v>62</v>
      </c>
      <c r="BW91" s="108">
        <v>142401.59999999998</v>
      </c>
      <c r="BX91" s="108">
        <v>10.772755354200989</v>
      </c>
      <c r="BY91" s="108">
        <v>24742.864497528826</v>
      </c>
      <c r="BZ91" s="108">
        <v>11.34375</v>
      </c>
      <c r="CA91" s="108">
        <v>26054.324999999997</v>
      </c>
      <c r="CB91" s="108">
        <v>21.395863052781738</v>
      </c>
      <c r="CC91" s="108">
        <v>49142.018259629091</v>
      </c>
      <c r="CD91" s="108">
        <v>11.991312741312742</v>
      </c>
      <c r="CE91" s="108">
        <v>27541.647104247102</v>
      </c>
      <c r="CF91" s="108">
        <v>0</v>
      </c>
      <c r="CG91" s="108">
        <v>0</v>
      </c>
      <c r="CH91" s="108">
        <v>45.758635961027458</v>
      </c>
      <c r="CI91" s="108">
        <v>105098.43507528785</v>
      </c>
      <c r="CJ91" s="108">
        <v>75</v>
      </c>
      <c r="CK91" s="108">
        <v>172259.99999999997</v>
      </c>
      <c r="CL91" s="108">
        <v>9.2363755745239668</v>
      </c>
      <c r="CM91" s="108">
        <v>21214.107419566644</v>
      </c>
      <c r="CN91" s="108">
        <v>9.6597938144329891</v>
      </c>
      <c r="CO91" s="108">
        <v>22186.614432989685</v>
      </c>
      <c r="CP91" s="108">
        <v>7.4605484051482938</v>
      </c>
      <c r="CQ91" s="108">
        <v>17135.387576944599</v>
      </c>
      <c r="CR91" s="108">
        <v>13.54878048780488</v>
      </c>
      <c r="CS91" s="108">
        <v>31118.839024390243</v>
      </c>
      <c r="CT91" s="108">
        <v>9.5913669064748195</v>
      </c>
      <c r="CU91" s="108">
        <v>22029.451510791361</v>
      </c>
    </row>
    <row r="92" spans="2:99" x14ac:dyDescent="0.2">
      <c r="C92" s="107" t="s">
        <v>257</v>
      </c>
      <c r="D92" s="108">
        <v>0</v>
      </c>
      <c r="E92" s="108">
        <v>0</v>
      </c>
      <c r="F92" s="108">
        <v>0</v>
      </c>
      <c r="G92" s="108">
        <v>0</v>
      </c>
      <c r="H92" s="108">
        <v>9.9662537377189242</v>
      </c>
      <c r="I92" s="108">
        <v>14160.053310551048</v>
      </c>
      <c r="J92" s="108">
        <v>0</v>
      </c>
      <c r="K92" s="108">
        <v>0</v>
      </c>
      <c r="L92" s="108">
        <v>48.699108469539375</v>
      </c>
      <c r="M92" s="108">
        <v>69191.693313521537</v>
      </c>
      <c r="N92" s="108">
        <v>29.01063829787234</v>
      </c>
      <c r="O92" s="108">
        <v>41218.314893617018</v>
      </c>
      <c r="P92" s="108">
        <v>0</v>
      </c>
      <c r="Q92" s="108">
        <v>0</v>
      </c>
      <c r="R92" s="108">
        <v>42.027960526315788</v>
      </c>
      <c r="S92" s="108">
        <v>59713.326315789469</v>
      </c>
      <c r="T92" s="108">
        <v>32.494428969359333</v>
      </c>
      <c r="U92" s="108">
        <v>46168.084679665742</v>
      </c>
      <c r="V92" s="108">
        <v>74.788765088207995</v>
      </c>
      <c r="W92" s="108">
        <v>106259.87743732592</v>
      </c>
      <c r="X92" s="108">
        <v>0</v>
      </c>
      <c r="Y92" s="108">
        <v>0</v>
      </c>
      <c r="Z92" s="108">
        <v>0</v>
      </c>
      <c r="AA92" s="108">
        <v>0</v>
      </c>
      <c r="AB92" s="108">
        <v>63</v>
      </c>
      <c r="AC92" s="108">
        <v>89510.399999999994</v>
      </c>
      <c r="AD92" s="108">
        <v>67</v>
      </c>
      <c r="AE92" s="108">
        <v>95193.599999999991</v>
      </c>
      <c r="AF92" s="108">
        <v>39.433150899139953</v>
      </c>
      <c r="AG92" s="108">
        <v>56026.620797498043</v>
      </c>
      <c r="AH92" s="108">
        <v>0</v>
      </c>
      <c r="AI92" s="108">
        <v>0</v>
      </c>
      <c r="AJ92" s="108">
        <v>50.95291479820628</v>
      </c>
      <c r="AK92" s="108">
        <v>72393.901345291481</v>
      </c>
      <c r="AL92" s="108">
        <v>110.55067985166873</v>
      </c>
      <c r="AM92" s="108">
        <v>157070.40593325094</v>
      </c>
      <c r="AN92" s="108">
        <v>39.622528248587571</v>
      </c>
      <c r="AO92" s="108">
        <v>56295.68813559322</v>
      </c>
      <c r="AP92" s="108">
        <v>80.342004773269693</v>
      </c>
      <c r="AQ92" s="108">
        <v>114149.92038186158</v>
      </c>
      <c r="AR92" s="108">
        <v>6.27683615819209</v>
      </c>
      <c r="AS92" s="108">
        <v>8918.1288135593204</v>
      </c>
      <c r="AT92" s="108">
        <v>7.1487509462528385</v>
      </c>
      <c r="AU92" s="108">
        <v>10156.945344436033</v>
      </c>
      <c r="AV92" s="108">
        <v>0</v>
      </c>
      <c r="AW92" s="108">
        <v>0</v>
      </c>
      <c r="AX92" s="108">
        <v>12.616311080523056</v>
      </c>
      <c r="AY92" s="108">
        <v>17925.254783207158</v>
      </c>
      <c r="AZ92" s="108">
        <v>0</v>
      </c>
      <c r="BA92" s="108">
        <v>0</v>
      </c>
      <c r="BB92" s="108">
        <v>35.266182572614113</v>
      </c>
      <c r="BC92" s="108">
        <v>50106.192199170131</v>
      </c>
      <c r="BD92" s="108">
        <v>34.161764705882355</v>
      </c>
      <c r="BE92" s="108">
        <v>48537.035294117646</v>
      </c>
      <c r="BF92" s="108">
        <v>0</v>
      </c>
      <c r="BG92" s="108">
        <v>0</v>
      </c>
      <c r="BH92" s="108">
        <v>21.163824383164005</v>
      </c>
      <c r="BI92" s="108">
        <v>30069.561683599419</v>
      </c>
      <c r="BJ92" s="108">
        <v>27.715778251599147</v>
      </c>
      <c r="BK92" s="108">
        <v>39378.577739872067</v>
      </c>
      <c r="BL92" s="108">
        <v>19.45621912887292</v>
      </c>
      <c r="BM92" s="108">
        <v>27643.396138302644</v>
      </c>
      <c r="BN92" s="108">
        <v>13.055229142185665</v>
      </c>
      <c r="BO92" s="108">
        <v>18548.869565217392</v>
      </c>
      <c r="BP92" s="108">
        <v>40.845588235294116</v>
      </c>
      <c r="BQ92" s="108">
        <v>58033.411764705881</v>
      </c>
      <c r="BR92" s="108">
        <v>0</v>
      </c>
      <c r="BS92" s="108">
        <v>0</v>
      </c>
      <c r="BT92" s="108">
        <v>0</v>
      </c>
      <c r="BU92" s="108">
        <v>0</v>
      </c>
      <c r="BV92" s="108">
        <v>80</v>
      </c>
      <c r="BW92" s="108">
        <v>113664</v>
      </c>
      <c r="BX92" s="108">
        <v>10.077738879736408</v>
      </c>
      <c r="BY92" s="108">
        <v>14318.451400329488</v>
      </c>
      <c r="BZ92" s="108">
        <v>11.6875</v>
      </c>
      <c r="CA92" s="108">
        <v>16605.599999999999</v>
      </c>
      <c r="CB92" s="108">
        <v>21.395863052781738</v>
      </c>
      <c r="CC92" s="108">
        <v>30399.242225392292</v>
      </c>
      <c r="CD92" s="108">
        <v>14.331081081081081</v>
      </c>
      <c r="CE92" s="108">
        <v>20361.599999999999</v>
      </c>
      <c r="CF92" s="108">
        <v>0</v>
      </c>
      <c r="CG92" s="108">
        <v>0</v>
      </c>
      <c r="CH92" s="108">
        <v>51.662976085030998</v>
      </c>
      <c r="CI92" s="108">
        <v>73402.756421612037</v>
      </c>
      <c r="CJ92" s="108">
        <v>80</v>
      </c>
      <c r="CK92" s="108">
        <v>113664</v>
      </c>
      <c r="CL92" s="108">
        <v>10.433683519369664</v>
      </c>
      <c r="CM92" s="108">
        <v>14824.177544320419</v>
      </c>
      <c r="CN92" s="108">
        <v>9.6597938144329891</v>
      </c>
      <c r="CO92" s="108">
        <v>13724.635051546391</v>
      </c>
      <c r="CP92" s="108">
        <v>7.9268326804700617</v>
      </c>
      <c r="CQ92" s="108">
        <v>11262.443872411863</v>
      </c>
      <c r="CR92" s="108">
        <v>14.677845528455283</v>
      </c>
      <c r="CS92" s="108">
        <v>20854.282926829266</v>
      </c>
      <c r="CT92" s="108">
        <v>10.790287769784172</v>
      </c>
      <c r="CU92" s="108">
        <v>15330.840863309351</v>
      </c>
    </row>
    <row r="93" spans="2:99" x14ac:dyDescent="0.2">
      <c r="C93" s="107" t="s">
        <v>258</v>
      </c>
      <c r="D93" s="108">
        <v>0</v>
      </c>
      <c r="E93" s="108">
        <v>0</v>
      </c>
      <c r="F93" s="108">
        <v>0</v>
      </c>
      <c r="G93" s="108">
        <v>0</v>
      </c>
      <c r="H93" s="108">
        <v>8.8984408372490389</v>
      </c>
      <c r="I93" s="108">
        <v>15771.596539940196</v>
      </c>
      <c r="J93" s="108">
        <v>0</v>
      </c>
      <c r="K93" s="108">
        <v>0</v>
      </c>
      <c r="L93" s="108">
        <v>42.92124814264487</v>
      </c>
      <c r="M93" s="108">
        <v>76073.620208023756</v>
      </c>
      <c r="N93" s="108">
        <v>24.57845744680851</v>
      </c>
      <c r="O93" s="108">
        <v>43562.857978723398</v>
      </c>
      <c r="P93" s="108">
        <v>0</v>
      </c>
      <c r="Q93" s="108">
        <v>0</v>
      </c>
      <c r="R93" s="108">
        <v>40.931578947368422</v>
      </c>
      <c r="S93" s="108">
        <v>72547.130526315785</v>
      </c>
      <c r="T93" s="108">
        <v>27.620264623955432</v>
      </c>
      <c r="U93" s="108">
        <v>48954.157019498605</v>
      </c>
      <c r="V93" s="108">
        <v>77.883472609099357</v>
      </c>
      <c r="W93" s="108">
        <v>138040.66685236769</v>
      </c>
      <c r="X93" s="108">
        <v>0</v>
      </c>
      <c r="Y93" s="108">
        <v>0</v>
      </c>
      <c r="Z93" s="108">
        <v>0</v>
      </c>
      <c r="AA93" s="108">
        <v>0</v>
      </c>
      <c r="AB93" s="108">
        <v>64</v>
      </c>
      <c r="AC93" s="108">
        <v>113433.59999999999</v>
      </c>
      <c r="AD93" s="108">
        <v>58</v>
      </c>
      <c r="AE93" s="108">
        <v>102799.2</v>
      </c>
      <c r="AF93" s="108">
        <v>38.71618451915559</v>
      </c>
      <c r="AG93" s="108">
        <v>68620.565441751358</v>
      </c>
      <c r="AH93" s="108">
        <v>0</v>
      </c>
      <c r="AI93" s="108">
        <v>0</v>
      </c>
      <c r="AJ93" s="108">
        <v>45.178251121076229</v>
      </c>
      <c r="AK93" s="108">
        <v>80073.932286995507</v>
      </c>
      <c r="AL93" s="108">
        <v>110.55067985166873</v>
      </c>
      <c r="AM93" s="108">
        <v>195940.02496909763</v>
      </c>
      <c r="AN93" s="108">
        <v>41.976341807909606</v>
      </c>
      <c r="AO93" s="108">
        <v>74398.868220338976</v>
      </c>
      <c r="AP93" s="108">
        <v>77.955608591885451</v>
      </c>
      <c r="AQ93" s="108">
        <v>138168.52066825776</v>
      </c>
      <c r="AR93" s="108">
        <v>6.1024795982423097</v>
      </c>
      <c r="AS93" s="108">
        <v>10816.034839924669</v>
      </c>
      <c r="AT93" s="108">
        <v>6.5179788039364128</v>
      </c>
      <c r="AU93" s="108">
        <v>11552.465632096897</v>
      </c>
      <c r="AV93" s="108">
        <v>0</v>
      </c>
      <c r="AW93" s="108">
        <v>0</v>
      </c>
      <c r="AX93" s="108">
        <v>12.616311080523056</v>
      </c>
      <c r="AY93" s="108">
        <v>22361.149759119064</v>
      </c>
      <c r="AZ93" s="108">
        <v>0</v>
      </c>
      <c r="BA93" s="108">
        <v>0</v>
      </c>
      <c r="BB93" s="108">
        <v>30.42572614107884</v>
      </c>
      <c r="BC93" s="108">
        <v>53926.557012448131</v>
      </c>
      <c r="BD93" s="108">
        <v>35.647058823529413</v>
      </c>
      <c r="BE93" s="108">
        <v>63180.847058823529</v>
      </c>
      <c r="BF93" s="108">
        <v>0</v>
      </c>
      <c r="BG93" s="108">
        <v>0</v>
      </c>
      <c r="BH93" s="108">
        <v>19.954462989840348</v>
      </c>
      <c r="BI93" s="108">
        <v>35367.290203193028</v>
      </c>
      <c r="BJ93" s="108">
        <v>24.873134328358208</v>
      </c>
      <c r="BK93" s="108">
        <v>44085.143283582089</v>
      </c>
      <c r="BL93" s="108">
        <v>20.578693309384821</v>
      </c>
      <c r="BM93" s="108">
        <v>36473.676021553656</v>
      </c>
      <c r="BN93" s="108">
        <v>14.034371327849589</v>
      </c>
      <c r="BO93" s="108">
        <v>24874.51974148061</v>
      </c>
      <c r="BP93" s="108">
        <v>36.228260869565219</v>
      </c>
      <c r="BQ93" s="108">
        <v>64210.96956521739</v>
      </c>
      <c r="BR93" s="108">
        <v>0</v>
      </c>
      <c r="BS93" s="108">
        <v>0</v>
      </c>
      <c r="BT93" s="108">
        <v>0</v>
      </c>
      <c r="BU93" s="108">
        <v>0</v>
      </c>
      <c r="BV93" s="108">
        <v>76</v>
      </c>
      <c r="BW93" s="108">
        <v>134702.39999999999</v>
      </c>
      <c r="BX93" s="108">
        <v>10.425247116968698</v>
      </c>
      <c r="BY93" s="108">
        <v>18477.707990115319</v>
      </c>
      <c r="BZ93" s="108">
        <v>9.96875</v>
      </c>
      <c r="CA93" s="108">
        <v>17668.612499999999</v>
      </c>
      <c r="CB93" s="108">
        <v>21.395863052781738</v>
      </c>
      <c r="CC93" s="108">
        <v>37922.027674750352</v>
      </c>
      <c r="CD93" s="108">
        <v>15.208494208494209</v>
      </c>
      <c r="CE93" s="108">
        <v>26955.535135135135</v>
      </c>
      <c r="CF93" s="108">
        <v>0</v>
      </c>
      <c r="CG93" s="108">
        <v>0</v>
      </c>
      <c r="CH93" s="108">
        <v>45.02059344552702</v>
      </c>
      <c r="CI93" s="108">
        <v>79794.499822852085</v>
      </c>
      <c r="CJ93" s="108">
        <v>81</v>
      </c>
      <c r="CK93" s="108">
        <v>143564.4</v>
      </c>
      <c r="CL93" s="108">
        <v>10.946815495732107</v>
      </c>
      <c r="CM93" s="108">
        <v>19402.135784635586</v>
      </c>
      <c r="CN93" s="108">
        <v>9.015807560137457</v>
      </c>
      <c r="CO93" s="108">
        <v>15979.617319587627</v>
      </c>
      <c r="CP93" s="108">
        <v>7.4605484051482938</v>
      </c>
      <c r="CQ93" s="108">
        <v>13223.075993284834</v>
      </c>
      <c r="CR93" s="108">
        <v>14.677845528455283</v>
      </c>
      <c r="CS93" s="108">
        <v>26015.013414634141</v>
      </c>
      <c r="CT93" s="108">
        <v>10.790287769784172</v>
      </c>
      <c r="CU93" s="108">
        <v>19124.706043165465</v>
      </c>
    </row>
    <row r="94" spans="2:99" x14ac:dyDescent="0.2">
      <c r="C94" s="107" t="s">
        <v>259</v>
      </c>
      <c r="D94" s="108">
        <v>0</v>
      </c>
      <c r="E94" s="108">
        <v>0</v>
      </c>
      <c r="F94" s="108">
        <v>0</v>
      </c>
      <c r="G94" s="108">
        <v>0</v>
      </c>
      <c r="H94" s="108">
        <v>8.5425032037590771</v>
      </c>
      <c r="I94" s="108">
        <v>20461.00367364374</v>
      </c>
      <c r="J94" s="108">
        <v>0</v>
      </c>
      <c r="K94" s="108">
        <v>0</v>
      </c>
      <c r="L94" s="108">
        <v>37.143387815750373</v>
      </c>
      <c r="M94" s="108">
        <v>88965.842496285288</v>
      </c>
      <c r="N94" s="108">
        <v>23.36968085106383</v>
      </c>
      <c r="O94" s="108">
        <v>55975.059574468083</v>
      </c>
      <c r="P94" s="108">
        <v>0</v>
      </c>
      <c r="Q94" s="108">
        <v>0</v>
      </c>
      <c r="R94" s="108">
        <v>36.180592105263159</v>
      </c>
      <c r="S94" s="108">
        <v>86659.754210526313</v>
      </c>
      <c r="T94" s="108">
        <v>26.691852367688025</v>
      </c>
      <c r="U94" s="108">
        <v>63932.32479108635</v>
      </c>
      <c r="V94" s="108">
        <v>66.020427112349111</v>
      </c>
      <c r="W94" s="108">
        <v>158132.12701949858</v>
      </c>
      <c r="X94" s="108">
        <v>0</v>
      </c>
      <c r="Y94" s="108">
        <v>0</v>
      </c>
      <c r="Z94" s="108">
        <v>0</v>
      </c>
      <c r="AA94" s="108">
        <v>0</v>
      </c>
      <c r="AB94" s="108">
        <v>57</v>
      </c>
      <c r="AC94" s="108">
        <v>136526.39999999999</v>
      </c>
      <c r="AD94" s="108">
        <v>53</v>
      </c>
      <c r="AE94" s="108">
        <v>126945.59999999999</v>
      </c>
      <c r="AF94" s="108">
        <v>34.414386239249417</v>
      </c>
      <c r="AG94" s="108">
        <v>82429.337920250196</v>
      </c>
      <c r="AH94" s="108">
        <v>0</v>
      </c>
      <c r="AI94" s="108">
        <v>0</v>
      </c>
      <c r="AJ94" s="108">
        <v>45.517937219730939</v>
      </c>
      <c r="AK94" s="108">
        <v>109024.56322869954</v>
      </c>
      <c r="AL94" s="108">
        <v>93.384425216316444</v>
      </c>
      <c r="AM94" s="108">
        <v>223674.37527812112</v>
      </c>
      <c r="AN94" s="108">
        <v>34.914901129943502</v>
      </c>
      <c r="AO94" s="108">
        <v>83628.171186440668</v>
      </c>
      <c r="AP94" s="108">
        <v>66.819093078758954</v>
      </c>
      <c r="AQ94" s="108">
        <v>160045.09174224344</v>
      </c>
      <c r="AR94" s="108">
        <v>5.5794099183929697</v>
      </c>
      <c r="AS94" s="108">
        <v>13363.80263653484</v>
      </c>
      <c r="AT94" s="108">
        <v>6.3077214231642698</v>
      </c>
      <c r="AU94" s="108">
        <v>15108.254352763057</v>
      </c>
      <c r="AV94" s="108">
        <v>0</v>
      </c>
      <c r="AW94" s="108">
        <v>0</v>
      </c>
      <c r="AX94" s="108">
        <v>11.469373709566415</v>
      </c>
      <c r="AY94" s="108">
        <v>27471.443909153477</v>
      </c>
      <c r="AZ94" s="108">
        <v>0</v>
      </c>
      <c r="BA94" s="108">
        <v>0</v>
      </c>
      <c r="BB94" s="108">
        <v>29.04273858921162</v>
      </c>
      <c r="BC94" s="108">
        <v>69563.167468879663</v>
      </c>
      <c r="BD94" s="108">
        <v>27.477941176470587</v>
      </c>
      <c r="BE94" s="108">
        <v>65815.164705882344</v>
      </c>
      <c r="BF94" s="108">
        <v>0</v>
      </c>
      <c r="BG94" s="108">
        <v>0</v>
      </c>
      <c r="BH94" s="108">
        <v>19.349782293178521</v>
      </c>
      <c r="BI94" s="108">
        <v>46346.598548621187</v>
      </c>
      <c r="BJ94" s="108">
        <v>22.741151385927505</v>
      </c>
      <c r="BK94" s="108">
        <v>54469.605799573554</v>
      </c>
      <c r="BL94" s="108">
        <v>20.204535249214189</v>
      </c>
      <c r="BM94" s="108">
        <v>48393.902828917824</v>
      </c>
      <c r="BN94" s="108">
        <v>12.402467685076381</v>
      </c>
      <c r="BO94" s="108">
        <v>29706.390599294944</v>
      </c>
      <c r="BP94" s="108">
        <v>32.321291560102296</v>
      </c>
      <c r="BQ94" s="108">
        <v>77415.95754475701</v>
      </c>
      <c r="BR94" s="108">
        <v>0</v>
      </c>
      <c r="BS94" s="108">
        <v>0</v>
      </c>
      <c r="BT94" s="108">
        <v>0</v>
      </c>
      <c r="BU94" s="108">
        <v>0</v>
      </c>
      <c r="BV94" s="108">
        <v>66</v>
      </c>
      <c r="BW94" s="108">
        <v>158083.19999999998</v>
      </c>
      <c r="BX94" s="108">
        <v>8.6877059308072475</v>
      </c>
      <c r="BY94" s="108">
        <v>20808.793245469518</v>
      </c>
      <c r="BZ94" s="108">
        <v>11</v>
      </c>
      <c r="CA94" s="108">
        <v>26347.199999999997</v>
      </c>
      <c r="CB94" s="108">
        <v>21.395863052781738</v>
      </c>
      <c r="CC94" s="108">
        <v>51247.371184022813</v>
      </c>
      <c r="CD94" s="108">
        <v>13.161196911196912</v>
      </c>
      <c r="CE94" s="108">
        <v>31523.698841698842</v>
      </c>
      <c r="CF94" s="108">
        <v>0</v>
      </c>
      <c r="CG94" s="108">
        <v>0</v>
      </c>
      <c r="CH94" s="108">
        <v>45.758635961027458</v>
      </c>
      <c r="CI94" s="108">
        <v>109601.08485385295</v>
      </c>
      <c r="CJ94" s="108">
        <v>62</v>
      </c>
      <c r="CK94" s="108">
        <v>148502.39999999999</v>
      </c>
      <c r="CL94" s="108">
        <v>10.604727511490479</v>
      </c>
      <c r="CM94" s="108">
        <v>25400.443335521992</v>
      </c>
      <c r="CN94" s="108">
        <v>9.015807560137457</v>
      </c>
      <c r="CO94" s="108">
        <v>21594.662268041237</v>
      </c>
      <c r="CP94" s="108">
        <v>6.527979854504756</v>
      </c>
      <c r="CQ94" s="108">
        <v>15635.81734750979</v>
      </c>
      <c r="CR94" s="108">
        <v>13.54878048780488</v>
      </c>
      <c r="CS94" s="108">
        <v>32452.039024390248</v>
      </c>
      <c r="CT94" s="108">
        <v>8.9919064748201443</v>
      </c>
      <c r="CU94" s="108">
        <v>21537.414388489207</v>
      </c>
    </row>
    <row r="95" spans="2:99" x14ac:dyDescent="0.2">
      <c r="B95" s="107" t="s">
        <v>132</v>
      </c>
      <c r="C95" s="107" t="s">
        <v>260</v>
      </c>
      <c r="D95" s="108">
        <v>0</v>
      </c>
      <c r="E95" s="108">
        <v>0</v>
      </c>
      <c r="F95" s="108">
        <v>0</v>
      </c>
      <c r="G95" s="108">
        <v>0</v>
      </c>
      <c r="H95" s="108">
        <v>38.085326783425884</v>
      </c>
      <c r="I95" s="108">
        <v>65994.254250320373</v>
      </c>
      <c r="J95" s="108">
        <v>0</v>
      </c>
      <c r="K95" s="108">
        <v>0</v>
      </c>
      <c r="L95" s="108">
        <v>54.47696879643388</v>
      </c>
      <c r="M95" s="108">
        <v>94397.691530460623</v>
      </c>
      <c r="N95" s="108">
        <v>22.563829787234042</v>
      </c>
      <c r="O95" s="108">
        <v>39098.604255319144</v>
      </c>
      <c r="P95" s="108">
        <v>0</v>
      </c>
      <c r="Q95" s="108">
        <v>0</v>
      </c>
      <c r="R95" s="108">
        <v>20.831250000000001</v>
      </c>
      <c r="S95" s="108">
        <v>36096.39</v>
      </c>
      <c r="T95" s="108">
        <v>38.761211699164342</v>
      </c>
      <c r="U95" s="108">
        <v>67165.42763231197</v>
      </c>
      <c r="V95" s="108">
        <v>58.283658310120714</v>
      </c>
      <c r="W95" s="108">
        <v>100993.92311977717</v>
      </c>
      <c r="X95" s="108">
        <v>0</v>
      </c>
      <c r="Y95" s="108">
        <v>0</v>
      </c>
      <c r="Z95" s="108">
        <v>0</v>
      </c>
      <c r="AA95" s="108">
        <v>0</v>
      </c>
      <c r="AB95" s="108">
        <v>17</v>
      </c>
      <c r="AC95" s="108">
        <v>29457.599999999999</v>
      </c>
      <c r="AD95" s="108">
        <v>23</v>
      </c>
      <c r="AE95" s="108">
        <v>39854.400000000001</v>
      </c>
      <c r="AF95" s="108">
        <v>19.358092259577795</v>
      </c>
      <c r="AG95" s="108">
        <v>33543.702267396402</v>
      </c>
      <c r="AH95" s="108">
        <v>0</v>
      </c>
      <c r="AI95" s="108">
        <v>0</v>
      </c>
      <c r="AJ95" s="108">
        <v>24.457399103139011</v>
      </c>
      <c r="AK95" s="108">
        <v>42379.781165919274</v>
      </c>
      <c r="AL95" s="108">
        <v>32.272558714462299</v>
      </c>
      <c r="AM95" s="108">
        <v>55921.889740420273</v>
      </c>
      <c r="AN95" s="108">
        <v>28.245762711864408</v>
      </c>
      <c r="AO95" s="108">
        <v>48944.257627118648</v>
      </c>
      <c r="AP95" s="108">
        <v>50.114319809069208</v>
      </c>
      <c r="AQ95" s="108">
        <v>86838.093365155117</v>
      </c>
      <c r="AR95" s="108">
        <v>16.38951663527935</v>
      </c>
      <c r="AS95" s="108">
        <v>28399.754425612056</v>
      </c>
      <c r="AT95" s="108">
        <v>11.774413323239969</v>
      </c>
      <c r="AU95" s="108">
        <v>20402.703406510216</v>
      </c>
      <c r="AV95" s="108">
        <v>0</v>
      </c>
      <c r="AW95" s="108">
        <v>0</v>
      </c>
      <c r="AX95" s="108">
        <v>32.687715072264282</v>
      </c>
      <c r="AY95" s="108">
        <v>56641.272677219546</v>
      </c>
      <c r="AZ95" s="108">
        <v>0</v>
      </c>
      <c r="BA95" s="108">
        <v>0</v>
      </c>
      <c r="BB95" s="108">
        <v>26.968257261410791</v>
      </c>
      <c r="BC95" s="108">
        <v>46730.596182572619</v>
      </c>
      <c r="BD95" s="108">
        <v>23.764705882352938</v>
      </c>
      <c r="BE95" s="108">
        <v>41179.482352941173</v>
      </c>
      <c r="BF95" s="108">
        <v>0</v>
      </c>
      <c r="BG95" s="108">
        <v>0</v>
      </c>
      <c r="BH95" s="108">
        <v>38.094883889695211</v>
      </c>
      <c r="BI95" s="108">
        <v>66010.814804063863</v>
      </c>
      <c r="BJ95" s="108">
        <v>30.558422174840086</v>
      </c>
      <c r="BK95" s="108">
        <v>52951.633944562898</v>
      </c>
      <c r="BL95" s="108">
        <v>25.068590031432421</v>
      </c>
      <c r="BM95" s="108">
        <v>43438.8528064661</v>
      </c>
      <c r="BN95" s="108">
        <v>10.770564042303173</v>
      </c>
      <c r="BO95" s="108">
        <v>18663.233372502938</v>
      </c>
      <c r="BP95" s="108">
        <v>26.993606138107413</v>
      </c>
      <c r="BQ95" s="108">
        <v>46774.520716112522</v>
      </c>
      <c r="BR95" s="108">
        <v>0</v>
      </c>
      <c r="BS95" s="108">
        <v>0</v>
      </c>
      <c r="BT95" s="108">
        <v>0</v>
      </c>
      <c r="BU95" s="108">
        <v>0</v>
      </c>
      <c r="BV95" s="108">
        <v>54</v>
      </c>
      <c r="BW95" s="108">
        <v>93571.199999999997</v>
      </c>
      <c r="BX95" s="108">
        <v>53.16876029654037</v>
      </c>
      <c r="BY95" s="108">
        <v>92130.827841845152</v>
      </c>
      <c r="BZ95" s="108">
        <v>47.78125</v>
      </c>
      <c r="CA95" s="108">
        <v>82795.349999999991</v>
      </c>
      <c r="CB95" s="108">
        <v>80.828815977175466</v>
      </c>
      <c r="CC95" s="108">
        <v>140060.17232524964</v>
      </c>
      <c r="CD95" s="108">
        <v>54.399613899613897</v>
      </c>
      <c r="CE95" s="108">
        <v>94263.650965250956</v>
      </c>
      <c r="CF95" s="108">
        <v>0</v>
      </c>
      <c r="CG95" s="108">
        <v>0</v>
      </c>
      <c r="CH95" s="108">
        <v>15.4988928255093</v>
      </c>
      <c r="CI95" s="108">
        <v>26856.481488042515</v>
      </c>
      <c r="CJ95" s="108">
        <v>33</v>
      </c>
      <c r="CK95" s="108">
        <v>57182.400000000001</v>
      </c>
      <c r="CL95" s="108">
        <v>4.7892317793827974</v>
      </c>
      <c r="CM95" s="108">
        <v>8298.780827314511</v>
      </c>
      <c r="CN95" s="108">
        <v>47.654982817869417</v>
      </c>
      <c r="CO95" s="108">
        <v>82576.554226804117</v>
      </c>
      <c r="CP95" s="108">
        <v>40.100447677672072</v>
      </c>
      <c r="CQ95" s="108">
        <v>69486.055735870163</v>
      </c>
      <c r="CR95" s="108">
        <v>33.307418699186996</v>
      </c>
      <c r="CS95" s="108">
        <v>57715.095121951228</v>
      </c>
      <c r="CT95" s="108">
        <v>32.370863309352515</v>
      </c>
      <c r="CU95" s="108">
        <v>56092.231942446037</v>
      </c>
    </row>
    <row r="96" spans="2:99" x14ac:dyDescent="0.2">
      <c r="C96" s="107" t="s">
        <v>261</v>
      </c>
      <c r="D96" s="108">
        <v>0</v>
      </c>
      <c r="E96" s="108">
        <v>0</v>
      </c>
      <c r="F96" s="108">
        <v>0</v>
      </c>
      <c r="G96" s="108">
        <v>0</v>
      </c>
      <c r="H96" s="108">
        <v>38.441264416915843</v>
      </c>
      <c r="I96" s="108">
        <v>31644.84886800512</v>
      </c>
      <c r="J96" s="108">
        <v>0</v>
      </c>
      <c r="K96" s="108">
        <v>0</v>
      </c>
      <c r="L96" s="108">
        <v>66.858098068350671</v>
      </c>
      <c r="M96" s="108">
        <v>55037.586329866266</v>
      </c>
      <c r="N96" s="108">
        <v>28.607712765957448</v>
      </c>
      <c r="O96" s="108">
        <v>23549.86914893617</v>
      </c>
      <c r="P96" s="108">
        <v>0</v>
      </c>
      <c r="Q96" s="108">
        <v>0</v>
      </c>
      <c r="R96" s="108">
        <v>26.678618421052633</v>
      </c>
      <c r="S96" s="108">
        <v>21961.838684210525</v>
      </c>
      <c r="T96" s="108">
        <v>49.437952646239552</v>
      </c>
      <c r="U96" s="108">
        <v>40697.322618384394</v>
      </c>
      <c r="V96" s="108">
        <v>79.94661095636026</v>
      </c>
      <c r="W96" s="108">
        <v>65812.050139275758</v>
      </c>
      <c r="X96" s="108">
        <v>0</v>
      </c>
      <c r="Y96" s="108">
        <v>0</v>
      </c>
      <c r="Z96" s="108">
        <v>0</v>
      </c>
      <c r="AA96" s="108">
        <v>0</v>
      </c>
      <c r="AB96" s="108">
        <v>19</v>
      </c>
      <c r="AC96" s="108">
        <v>15640.8</v>
      </c>
      <c r="AD96" s="108">
        <v>26</v>
      </c>
      <c r="AE96" s="108">
        <v>21403.199999999997</v>
      </c>
      <c r="AF96" s="108">
        <v>21.508991399530885</v>
      </c>
      <c r="AG96" s="108">
        <v>17706.201720093824</v>
      </c>
      <c r="AH96" s="108">
        <v>0</v>
      </c>
      <c r="AI96" s="108">
        <v>0</v>
      </c>
      <c r="AJ96" s="108">
        <v>24.117713004484305</v>
      </c>
      <c r="AK96" s="108">
        <v>19853.701345291476</v>
      </c>
      <c r="AL96" s="108">
        <v>36.392459826946848</v>
      </c>
      <c r="AM96" s="108">
        <v>29958.272929542643</v>
      </c>
      <c r="AN96" s="108">
        <v>33.345692090395481</v>
      </c>
      <c r="AO96" s="108">
        <v>27450.173728813559</v>
      </c>
      <c r="AP96" s="108">
        <v>61.250835322195698</v>
      </c>
      <c r="AQ96" s="108">
        <v>50421.687637231495</v>
      </c>
      <c r="AR96" s="108">
        <v>16.215160075329564</v>
      </c>
      <c r="AS96" s="108">
        <v>13348.319774011296</v>
      </c>
      <c r="AT96" s="108">
        <v>13.876987130961394</v>
      </c>
      <c r="AU96" s="108">
        <v>11423.535806207419</v>
      </c>
      <c r="AV96" s="108">
        <v>0</v>
      </c>
      <c r="AW96" s="108">
        <v>0</v>
      </c>
      <c r="AX96" s="108">
        <v>41.289745354439091</v>
      </c>
      <c r="AY96" s="108">
        <v>33989.71837577426</v>
      </c>
      <c r="AZ96" s="108">
        <v>0</v>
      </c>
      <c r="BA96" s="108">
        <v>0</v>
      </c>
      <c r="BB96" s="108">
        <v>35.957676348547714</v>
      </c>
      <c r="BC96" s="108">
        <v>29600.359170124477</v>
      </c>
      <c r="BD96" s="108">
        <v>22.27941176470588</v>
      </c>
      <c r="BE96" s="108">
        <v>18340.411764705881</v>
      </c>
      <c r="BF96" s="108">
        <v>0</v>
      </c>
      <c r="BG96" s="108">
        <v>0</v>
      </c>
      <c r="BH96" s="108">
        <v>43.537010159651672</v>
      </c>
      <c r="BI96" s="108">
        <v>35839.666763425252</v>
      </c>
      <c r="BJ96" s="108">
        <v>36.243710021321959</v>
      </c>
      <c r="BK96" s="108">
        <v>29835.822089552235</v>
      </c>
      <c r="BL96" s="108">
        <v>24.694431971261785</v>
      </c>
      <c r="BM96" s="108">
        <v>20328.456398742699</v>
      </c>
      <c r="BN96" s="108">
        <v>14.687132784958871</v>
      </c>
      <c r="BO96" s="108">
        <v>12090.447708578142</v>
      </c>
      <c r="BP96" s="108">
        <v>33.742007672634273</v>
      </c>
      <c r="BQ96" s="108">
        <v>27776.42071611253</v>
      </c>
      <c r="BR96" s="108">
        <v>0</v>
      </c>
      <c r="BS96" s="108">
        <v>0</v>
      </c>
      <c r="BT96" s="108">
        <v>0</v>
      </c>
      <c r="BU96" s="108">
        <v>0</v>
      </c>
      <c r="BV96" s="108">
        <v>69</v>
      </c>
      <c r="BW96" s="108">
        <v>56800.799999999996</v>
      </c>
      <c r="BX96" s="108">
        <v>55.948826194398684</v>
      </c>
      <c r="BY96" s="108">
        <v>46057.07372322899</v>
      </c>
      <c r="BZ96" s="108">
        <v>49.15625</v>
      </c>
      <c r="CA96" s="108">
        <v>40465.424999999996</v>
      </c>
      <c r="CB96" s="108">
        <v>107.77175463623394</v>
      </c>
      <c r="CC96" s="108">
        <v>88717.708416547772</v>
      </c>
      <c r="CD96" s="108">
        <v>58.786679536679543</v>
      </c>
      <c r="CE96" s="108">
        <v>48393.194594594599</v>
      </c>
      <c r="CF96" s="108">
        <v>0</v>
      </c>
      <c r="CG96" s="108">
        <v>0</v>
      </c>
      <c r="CH96" s="108">
        <v>19.92714791851196</v>
      </c>
      <c r="CI96" s="108">
        <v>16404.028166519045</v>
      </c>
      <c r="CJ96" s="108">
        <v>36</v>
      </c>
      <c r="CK96" s="108">
        <v>29635.199999999997</v>
      </c>
      <c r="CL96" s="108">
        <v>6.1575837163493103</v>
      </c>
      <c r="CM96" s="108">
        <v>5068.9229152987518</v>
      </c>
      <c r="CN96" s="108">
        <v>60.534707903780074</v>
      </c>
      <c r="CO96" s="108">
        <v>49832.17154639175</v>
      </c>
      <c r="CP96" s="108">
        <v>49.426133184107442</v>
      </c>
      <c r="CQ96" s="108">
        <v>40687.592837157245</v>
      </c>
      <c r="CR96" s="108">
        <v>44.033536585365859</v>
      </c>
      <c r="CS96" s="108">
        <v>36248.407317073172</v>
      </c>
      <c r="CT96" s="108">
        <v>39.564388489208632</v>
      </c>
      <c r="CU96" s="108">
        <v>32569.404604316544</v>
      </c>
    </row>
    <row r="97" spans="2:99" x14ac:dyDescent="0.2">
      <c r="C97" s="107" t="s">
        <v>262</v>
      </c>
      <c r="D97" s="108">
        <v>0</v>
      </c>
      <c r="E97" s="108">
        <v>0</v>
      </c>
      <c r="F97" s="108">
        <v>0</v>
      </c>
      <c r="G97" s="108">
        <v>0</v>
      </c>
      <c r="H97" s="108">
        <v>37.729389149935926</v>
      </c>
      <c r="I97" s="108">
        <v>68999.506877402819</v>
      </c>
      <c r="J97" s="108">
        <v>0</v>
      </c>
      <c r="K97" s="108">
        <v>0</v>
      </c>
      <c r="L97" s="108">
        <v>56.953194650817231</v>
      </c>
      <c r="M97" s="108">
        <v>104156.00237741455</v>
      </c>
      <c r="N97" s="108">
        <v>22.563829787234042</v>
      </c>
      <c r="O97" s="108">
        <v>41264.731914893615</v>
      </c>
      <c r="P97" s="108">
        <v>0</v>
      </c>
      <c r="Q97" s="108">
        <v>0</v>
      </c>
      <c r="R97" s="108">
        <v>20.831250000000001</v>
      </c>
      <c r="S97" s="108">
        <v>38096.19</v>
      </c>
      <c r="T97" s="108">
        <v>34.119150417827299</v>
      </c>
      <c r="U97" s="108">
        <v>62397.102284122564</v>
      </c>
      <c r="V97" s="108">
        <v>68.083565459610028</v>
      </c>
      <c r="W97" s="108">
        <v>124511.22451253481</v>
      </c>
      <c r="X97" s="108">
        <v>0</v>
      </c>
      <c r="Y97" s="108">
        <v>0</v>
      </c>
      <c r="Z97" s="108">
        <v>0</v>
      </c>
      <c r="AA97" s="108">
        <v>0</v>
      </c>
      <c r="AB97" s="108">
        <v>16</v>
      </c>
      <c r="AC97" s="108">
        <v>29260.799999999999</v>
      </c>
      <c r="AD97" s="108">
        <v>23</v>
      </c>
      <c r="AE97" s="108">
        <v>42062.400000000001</v>
      </c>
      <c r="AF97" s="108">
        <v>20.792025019546518</v>
      </c>
      <c r="AG97" s="108">
        <v>38024.455355746672</v>
      </c>
      <c r="AH97" s="108">
        <v>0</v>
      </c>
      <c r="AI97" s="108">
        <v>0</v>
      </c>
      <c r="AJ97" s="108">
        <v>20.381165919282513</v>
      </c>
      <c r="AK97" s="108">
        <v>37273.076233183856</v>
      </c>
      <c r="AL97" s="108">
        <v>30.899258343634113</v>
      </c>
      <c r="AM97" s="108">
        <v>56508.563658838066</v>
      </c>
      <c r="AN97" s="108">
        <v>26.676553672316384</v>
      </c>
      <c r="AO97" s="108">
        <v>48786.081355932205</v>
      </c>
      <c r="AP97" s="108">
        <v>50.909785202863965</v>
      </c>
      <c r="AQ97" s="108">
        <v>93103.815178997611</v>
      </c>
      <c r="AR97" s="108">
        <v>14.994664155681104</v>
      </c>
      <c r="AS97" s="108">
        <v>27422.241807909602</v>
      </c>
      <c r="AT97" s="108">
        <v>11.774413323239969</v>
      </c>
      <c r="AU97" s="108">
        <v>21533.047085541253</v>
      </c>
      <c r="AV97" s="108">
        <v>0</v>
      </c>
      <c r="AW97" s="108">
        <v>0</v>
      </c>
      <c r="AX97" s="108">
        <v>30.393840330351001</v>
      </c>
      <c r="AY97" s="108">
        <v>55584.25519614591</v>
      </c>
      <c r="AZ97" s="108">
        <v>0</v>
      </c>
      <c r="BA97" s="108">
        <v>0</v>
      </c>
      <c r="BB97" s="108">
        <v>26.968257261410791</v>
      </c>
      <c r="BC97" s="108">
        <v>49319.548879668051</v>
      </c>
      <c r="BD97" s="108">
        <v>22.27941176470588</v>
      </c>
      <c r="BE97" s="108">
        <v>40744.588235294112</v>
      </c>
      <c r="BF97" s="108">
        <v>0</v>
      </c>
      <c r="BG97" s="108">
        <v>0</v>
      </c>
      <c r="BH97" s="108">
        <v>37.490203193033381</v>
      </c>
      <c r="BI97" s="108">
        <v>68562.083599419449</v>
      </c>
      <c r="BJ97" s="108">
        <v>28.426439232409383</v>
      </c>
      <c r="BK97" s="108">
        <v>51986.272068230275</v>
      </c>
      <c r="BL97" s="108">
        <v>23.571957790749888</v>
      </c>
      <c r="BM97" s="108">
        <v>43108.396407723398</v>
      </c>
      <c r="BN97" s="108">
        <v>12.07608695652174</v>
      </c>
      <c r="BO97" s="108">
        <v>22084.747826086958</v>
      </c>
      <c r="BP97" s="108">
        <v>26.283248081841432</v>
      </c>
      <c r="BQ97" s="108">
        <v>48066.804092071608</v>
      </c>
      <c r="BR97" s="108">
        <v>0</v>
      </c>
      <c r="BS97" s="108">
        <v>0</v>
      </c>
      <c r="BT97" s="108">
        <v>0</v>
      </c>
      <c r="BU97" s="108">
        <v>0</v>
      </c>
      <c r="BV97" s="108">
        <v>54</v>
      </c>
      <c r="BW97" s="108">
        <v>98755.199999999997</v>
      </c>
      <c r="BX97" s="108">
        <v>45.523579077429986</v>
      </c>
      <c r="BY97" s="108">
        <v>83253.521416803953</v>
      </c>
      <c r="BZ97" s="108">
        <v>47.09375</v>
      </c>
      <c r="CA97" s="108">
        <v>86125.05</v>
      </c>
      <c r="CB97" s="108">
        <v>79.243937232524956</v>
      </c>
      <c r="CC97" s="108">
        <v>144921.31241084164</v>
      </c>
      <c r="CD97" s="108">
        <v>53.229729729729733</v>
      </c>
      <c r="CE97" s="108">
        <v>97346.529729729737</v>
      </c>
      <c r="CF97" s="108">
        <v>0</v>
      </c>
      <c r="CG97" s="108">
        <v>0</v>
      </c>
      <c r="CH97" s="108">
        <v>18.451062887511071</v>
      </c>
      <c r="CI97" s="108">
        <v>33743.303808680248</v>
      </c>
      <c r="CJ97" s="108">
        <v>29</v>
      </c>
      <c r="CK97" s="108">
        <v>53035.199999999997</v>
      </c>
      <c r="CL97" s="108">
        <v>4.9602757715036114</v>
      </c>
      <c r="CM97" s="108">
        <v>9071.3523309258035</v>
      </c>
      <c r="CN97" s="108">
        <v>47.654982817869417</v>
      </c>
      <c r="CO97" s="108">
        <v>87151.432577319589</v>
      </c>
      <c r="CP97" s="108">
        <v>40.100447677672072</v>
      </c>
      <c r="CQ97" s="108">
        <v>73335.698712926678</v>
      </c>
      <c r="CR97" s="108">
        <v>37.823678861788615</v>
      </c>
      <c r="CS97" s="108">
        <v>69171.943902439016</v>
      </c>
      <c r="CT97" s="108">
        <v>35.967625899280577</v>
      </c>
      <c r="CU97" s="108">
        <v>65777.594244604319</v>
      </c>
    </row>
    <row r="98" spans="2:99" x14ac:dyDescent="0.2">
      <c r="C98" s="107" t="s">
        <v>263</v>
      </c>
      <c r="D98" s="108">
        <v>0</v>
      </c>
      <c r="E98" s="108">
        <v>0</v>
      </c>
      <c r="F98" s="108">
        <v>0</v>
      </c>
      <c r="G98" s="108">
        <v>0</v>
      </c>
      <c r="H98" s="108">
        <v>41.644703118325502</v>
      </c>
      <c r="I98" s="108">
        <v>52622.246860316103</v>
      </c>
      <c r="J98" s="108">
        <v>0</v>
      </c>
      <c r="K98" s="108">
        <v>0</v>
      </c>
      <c r="L98" s="108">
        <v>63.556463595839531</v>
      </c>
      <c r="M98" s="108">
        <v>80309.947399702825</v>
      </c>
      <c r="N98" s="108">
        <v>26.593085106382976</v>
      </c>
      <c r="O98" s="108">
        <v>33603.022340425523</v>
      </c>
      <c r="P98" s="108">
        <v>0</v>
      </c>
      <c r="Q98" s="108">
        <v>0</v>
      </c>
      <c r="R98" s="108">
        <v>22.293092105263156</v>
      </c>
      <c r="S98" s="108">
        <v>28169.551184210522</v>
      </c>
      <c r="T98" s="108">
        <v>38.529108635097494</v>
      </c>
      <c r="U98" s="108">
        <v>48685.381671309187</v>
      </c>
      <c r="V98" s="108">
        <v>67.567780872794799</v>
      </c>
      <c r="W98" s="108">
        <v>85378.647910863496</v>
      </c>
      <c r="X98" s="108">
        <v>0</v>
      </c>
      <c r="Y98" s="108">
        <v>0</v>
      </c>
      <c r="Z98" s="108">
        <v>0</v>
      </c>
      <c r="AA98" s="108">
        <v>0</v>
      </c>
      <c r="AB98" s="108">
        <v>19</v>
      </c>
      <c r="AC98" s="108">
        <v>24008.399999999998</v>
      </c>
      <c r="AD98" s="108">
        <v>25</v>
      </c>
      <c r="AE98" s="108">
        <v>31589.999999999996</v>
      </c>
      <c r="AF98" s="108">
        <v>20.792025019546518</v>
      </c>
      <c r="AG98" s="108">
        <v>26272.802814698978</v>
      </c>
      <c r="AH98" s="108">
        <v>0</v>
      </c>
      <c r="AI98" s="108">
        <v>0</v>
      </c>
      <c r="AJ98" s="108">
        <v>24.797085201793724</v>
      </c>
      <c r="AK98" s="108">
        <v>31333.596860986549</v>
      </c>
      <c r="AL98" s="108">
        <v>32.272558714462299</v>
      </c>
      <c r="AM98" s="108">
        <v>40779.605191594557</v>
      </c>
      <c r="AN98" s="108">
        <v>27.068855932203387</v>
      </c>
      <c r="AO98" s="108">
        <v>34204.206355932198</v>
      </c>
      <c r="AP98" s="108">
        <v>62.841766109785205</v>
      </c>
      <c r="AQ98" s="108">
        <v>79406.85565632458</v>
      </c>
      <c r="AR98" s="108">
        <v>14.645951035781543</v>
      </c>
      <c r="AS98" s="108">
        <v>18506.623728813556</v>
      </c>
      <c r="AT98" s="108">
        <v>11.774413323239969</v>
      </c>
      <c r="AU98" s="108">
        <v>14878.148675246024</v>
      </c>
      <c r="AV98" s="108">
        <v>0</v>
      </c>
      <c r="AW98" s="108">
        <v>0</v>
      </c>
      <c r="AX98" s="108">
        <v>36.128527185134203</v>
      </c>
      <c r="AY98" s="108">
        <v>45652.006951135576</v>
      </c>
      <c r="AZ98" s="108">
        <v>0</v>
      </c>
      <c r="BA98" s="108">
        <v>0</v>
      </c>
      <c r="BB98" s="108">
        <v>29.04273858921162</v>
      </c>
      <c r="BC98" s="108">
        <v>36698.404481327801</v>
      </c>
      <c r="BD98" s="108">
        <v>21.536764705882355</v>
      </c>
      <c r="BE98" s="108">
        <v>27213.855882352942</v>
      </c>
      <c r="BF98" s="108">
        <v>0</v>
      </c>
      <c r="BG98" s="108">
        <v>0</v>
      </c>
      <c r="BH98" s="108">
        <v>42.327648766328011</v>
      </c>
      <c r="BI98" s="108">
        <v>53485.216981132071</v>
      </c>
      <c r="BJ98" s="108">
        <v>33.401066098081024</v>
      </c>
      <c r="BK98" s="108">
        <v>42205.58712153518</v>
      </c>
      <c r="BL98" s="108">
        <v>22.449483610237987</v>
      </c>
      <c r="BM98" s="108">
        <v>28367.167489896718</v>
      </c>
      <c r="BN98" s="108">
        <v>12.07608695652174</v>
      </c>
      <c r="BO98" s="108">
        <v>15259.343478260869</v>
      </c>
      <c r="BP98" s="108">
        <v>33.386828644501279</v>
      </c>
      <c r="BQ98" s="108">
        <v>42187.596675191809</v>
      </c>
      <c r="BR98" s="108">
        <v>0</v>
      </c>
      <c r="BS98" s="108">
        <v>0</v>
      </c>
      <c r="BT98" s="108">
        <v>0</v>
      </c>
      <c r="BU98" s="108">
        <v>0</v>
      </c>
      <c r="BV98" s="108">
        <v>60</v>
      </c>
      <c r="BW98" s="108">
        <v>75816</v>
      </c>
      <c r="BX98" s="108">
        <v>59.423908566721586</v>
      </c>
      <c r="BY98" s="108">
        <v>75088.050864909397</v>
      </c>
      <c r="BZ98" s="108">
        <v>49.15625</v>
      </c>
      <c r="CA98" s="108">
        <v>62113.837499999994</v>
      </c>
      <c r="CB98" s="108">
        <v>106.18687589158345</v>
      </c>
      <c r="CC98" s="108">
        <v>134177.73637660485</v>
      </c>
      <c r="CD98" s="108">
        <v>54.692084942084939</v>
      </c>
      <c r="CE98" s="108">
        <v>69108.918532818527</v>
      </c>
      <c r="CF98" s="108">
        <v>0</v>
      </c>
      <c r="CG98" s="108">
        <v>0</v>
      </c>
      <c r="CH98" s="108">
        <v>16.974977856510186</v>
      </c>
      <c r="CI98" s="108">
        <v>21449.582019486268</v>
      </c>
      <c r="CJ98" s="108">
        <v>32</v>
      </c>
      <c r="CK98" s="108">
        <v>40435.199999999997</v>
      </c>
      <c r="CL98" s="108">
        <v>4.9602757715036114</v>
      </c>
      <c r="CM98" s="108">
        <v>6267.8044648719633</v>
      </c>
      <c r="CN98" s="108">
        <v>60.534707903780074</v>
      </c>
      <c r="CO98" s="108">
        <v>76491.6569072165</v>
      </c>
      <c r="CP98" s="108">
        <v>44.297006155567992</v>
      </c>
      <c r="CQ98" s="108">
        <v>55973.696978175707</v>
      </c>
      <c r="CR98" s="108">
        <v>40.081808943089428</v>
      </c>
      <c r="CS98" s="108">
        <v>50647.373780487796</v>
      </c>
      <c r="CT98" s="108">
        <v>38.365467625899278</v>
      </c>
      <c r="CU98" s="108">
        <v>48478.604892086325</v>
      </c>
    </row>
    <row r="99" spans="2:99" x14ac:dyDescent="0.2">
      <c r="C99" s="107" t="s">
        <v>264</v>
      </c>
      <c r="D99" s="108">
        <v>0</v>
      </c>
      <c r="E99" s="108">
        <v>0</v>
      </c>
      <c r="F99" s="108">
        <v>0</v>
      </c>
      <c r="G99" s="108">
        <v>0</v>
      </c>
      <c r="H99" s="108">
        <v>18.508756941478001</v>
      </c>
      <c r="I99" s="108">
        <v>101457.6020504058</v>
      </c>
      <c r="J99" s="108">
        <v>0</v>
      </c>
      <c r="K99" s="108">
        <v>0</v>
      </c>
      <c r="L99" s="108">
        <v>33.016344725111438</v>
      </c>
      <c r="M99" s="108">
        <v>180982.39524517083</v>
      </c>
      <c r="N99" s="108">
        <v>14.50531914893617</v>
      </c>
      <c r="O99" s="108">
        <v>79512.357446808499</v>
      </c>
      <c r="P99" s="108">
        <v>0</v>
      </c>
      <c r="Q99" s="108">
        <v>0</v>
      </c>
      <c r="R99" s="108">
        <v>11.694736842105263</v>
      </c>
      <c r="S99" s="108">
        <v>64105.869473684201</v>
      </c>
      <c r="T99" s="108">
        <v>17.407729805013929</v>
      </c>
      <c r="U99" s="108">
        <v>95422.211699164342</v>
      </c>
      <c r="V99" s="108">
        <v>30.947075208913645</v>
      </c>
      <c r="W99" s="108">
        <v>169639.48746518101</v>
      </c>
      <c r="X99" s="108">
        <v>0</v>
      </c>
      <c r="Y99" s="108">
        <v>0</v>
      </c>
      <c r="Z99" s="108">
        <v>0</v>
      </c>
      <c r="AA99" s="108">
        <v>0</v>
      </c>
      <c r="AB99" s="108">
        <v>13</v>
      </c>
      <c r="AC99" s="108">
        <v>71260.799999999988</v>
      </c>
      <c r="AD99" s="108">
        <v>17</v>
      </c>
      <c r="AE99" s="108">
        <v>93187.199999999997</v>
      </c>
      <c r="AF99" s="108">
        <v>12.905394839718529</v>
      </c>
      <c r="AG99" s="108">
        <v>70742.212353401075</v>
      </c>
      <c r="AH99" s="108">
        <v>0</v>
      </c>
      <c r="AI99" s="108">
        <v>0</v>
      </c>
      <c r="AJ99" s="108">
        <v>13.927130044843048</v>
      </c>
      <c r="AK99" s="108">
        <v>76342.956053811649</v>
      </c>
      <c r="AL99" s="108">
        <v>21.286155747836837</v>
      </c>
      <c r="AM99" s="108">
        <v>116682.19134734239</v>
      </c>
      <c r="AN99" s="108">
        <v>16.084392655367232</v>
      </c>
      <c r="AO99" s="108">
        <v>88168.206779661006</v>
      </c>
      <c r="AP99" s="108">
        <v>32.614081145584727</v>
      </c>
      <c r="AQ99" s="108">
        <v>178777.34720763721</v>
      </c>
      <c r="AR99" s="108">
        <v>9.5896107972379152</v>
      </c>
      <c r="AS99" s="108">
        <v>52566.410546139348</v>
      </c>
      <c r="AT99" s="108">
        <v>6.5179788039364128</v>
      </c>
      <c r="AU99" s="108">
        <v>35728.952611657834</v>
      </c>
      <c r="AV99" s="108">
        <v>0</v>
      </c>
      <c r="AW99" s="108">
        <v>0</v>
      </c>
      <c r="AX99" s="108">
        <v>18.924466620784585</v>
      </c>
      <c r="AY99" s="108">
        <v>103736.35622849278</v>
      </c>
      <c r="AZ99" s="108">
        <v>0</v>
      </c>
      <c r="BA99" s="108">
        <v>0</v>
      </c>
      <c r="BB99" s="108">
        <v>18.670331950207469</v>
      </c>
      <c r="BC99" s="108">
        <v>102343.29161825725</v>
      </c>
      <c r="BD99" s="108">
        <v>14.110294117647058</v>
      </c>
      <c r="BE99" s="108">
        <v>77346.988235294106</v>
      </c>
      <c r="BF99" s="108">
        <v>0</v>
      </c>
      <c r="BG99" s="108">
        <v>0</v>
      </c>
      <c r="BH99" s="108">
        <v>24.187227866473151</v>
      </c>
      <c r="BI99" s="108">
        <v>132584.70827285922</v>
      </c>
      <c r="BJ99" s="108">
        <v>18.477185501066099</v>
      </c>
      <c r="BK99" s="108">
        <v>101284.54004264392</v>
      </c>
      <c r="BL99" s="108">
        <v>14.592164346654693</v>
      </c>
      <c r="BM99" s="108">
        <v>79988.408082622351</v>
      </c>
      <c r="BN99" s="108">
        <v>7.833137485311398</v>
      </c>
      <c r="BO99" s="108">
        <v>42938.126439482956</v>
      </c>
      <c r="BP99" s="108">
        <v>18.114130434782609</v>
      </c>
      <c r="BQ99" s="108">
        <v>99294.417391304334</v>
      </c>
      <c r="BR99" s="108">
        <v>0</v>
      </c>
      <c r="BS99" s="108">
        <v>0</v>
      </c>
      <c r="BT99" s="108">
        <v>0</v>
      </c>
      <c r="BU99" s="108">
        <v>0</v>
      </c>
      <c r="BV99" s="108">
        <v>32</v>
      </c>
      <c r="BW99" s="108">
        <v>175411.19999999998</v>
      </c>
      <c r="BX99" s="108">
        <v>23.978068369028005</v>
      </c>
      <c r="BY99" s="108">
        <v>131438.1795716639</v>
      </c>
      <c r="BZ99" s="108">
        <v>19.9375</v>
      </c>
      <c r="CA99" s="108">
        <v>109289.4</v>
      </c>
      <c r="CB99" s="108">
        <v>40.414407988587733</v>
      </c>
      <c r="CC99" s="108">
        <v>221535.61883024249</v>
      </c>
      <c r="CD99" s="108">
        <v>24.567567567567568</v>
      </c>
      <c r="CE99" s="108">
        <v>134669.57837837836</v>
      </c>
      <c r="CF99" s="108">
        <v>0</v>
      </c>
      <c r="CG99" s="108">
        <v>0</v>
      </c>
      <c r="CH99" s="108">
        <v>12.54672276350753</v>
      </c>
      <c r="CI99" s="108">
        <v>68776.115500442873</v>
      </c>
      <c r="CJ99" s="108">
        <v>22</v>
      </c>
      <c r="CK99" s="108">
        <v>120595.19999999998</v>
      </c>
      <c r="CL99" s="108">
        <v>3.5919238345370981</v>
      </c>
      <c r="CM99" s="108">
        <v>19689.489691398554</v>
      </c>
      <c r="CN99" s="108">
        <v>28.979381443298969</v>
      </c>
      <c r="CO99" s="108">
        <v>158853.37731958763</v>
      </c>
      <c r="CP99" s="108">
        <v>22.847929490766649</v>
      </c>
      <c r="CQ99" s="108">
        <v>125243.21029658645</v>
      </c>
      <c r="CR99" s="108">
        <v>21.452235772357724</v>
      </c>
      <c r="CS99" s="108">
        <v>117592.5756097561</v>
      </c>
      <c r="CT99" s="108">
        <v>22.18003597122302</v>
      </c>
      <c r="CU99" s="108">
        <v>121582.08517985609</v>
      </c>
    </row>
    <row r="100" spans="2:99" x14ac:dyDescent="0.2">
      <c r="C100" s="107" t="s">
        <v>265</v>
      </c>
      <c r="D100" s="108">
        <v>0</v>
      </c>
      <c r="E100" s="108">
        <v>0</v>
      </c>
      <c r="F100" s="108">
        <v>0</v>
      </c>
      <c r="G100" s="108">
        <v>0</v>
      </c>
      <c r="H100" s="108">
        <v>37.729389149935926</v>
      </c>
      <c r="I100" s="108">
        <v>61212.160956856038</v>
      </c>
      <c r="J100" s="108">
        <v>0</v>
      </c>
      <c r="K100" s="108">
        <v>0</v>
      </c>
      <c r="L100" s="108">
        <v>56.953194650817231</v>
      </c>
      <c r="M100" s="108">
        <v>92400.863001485865</v>
      </c>
      <c r="N100" s="108">
        <v>27.80186170212766</v>
      </c>
      <c r="O100" s="108">
        <v>45105.740425531912</v>
      </c>
      <c r="P100" s="108">
        <v>0</v>
      </c>
      <c r="Q100" s="108">
        <v>0</v>
      </c>
      <c r="R100" s="108">
        <v>23.754934210526315</v>
      </c>
      <c r="S100" s="108">
        <v>38540.005263157887</v>
      </c>
      <c r="T100" s="108">
        <v>42.939066852367688</v>
      </c>
      <c r="U100" s="108">
        <v>69664.342061281335</v>
      </c>
      <c r="V100" s="108">
        <v>70.146703806870931</v>
      </c>
      <c r="W100" s="108">
        <v>113806.01225626739</v>
      </c>
      <c r="X100" s="108">
        <v>0</v>
      </c>
      <c r="Y100" s="108">
        <v>0</v>
      </c>
      <c r="Z100" s="108">
        <v>0</v>
      </c>
      <c r="AA100" s="108">
        <v>0</v>
      </c>
      <c r="AB100" s="108">
        <v>17</v>
      </c>
      <c r="AC100" s="108">
        <v>27580.799999999999</v>
      </c>
      <c r="AD100" s="108">
        <v>26</v>
      </c>
      <c r="AE100" s="108">
        <v>42182.399999999994</v>
      </c>
      <c r="AF100" s="108">
        <v>17.924159499609068</v>
      </c>
      <c r="AG100" s="108">
        <v>29080.156372165751</v>
      </c>
      <c r="AH100" s="108">
        <v>0</v>
      </c>
      <c r="AI100" s="108">
        <v>0</v>
      </c>
      <c r="AJ100" s="108">
        <v>21.739910313901344</v>
      </c>
      <c r="AK100" s="108">
        <v>35270.830493273541</v>
      </c>
      <c r="AL100" s="108">
        <v>36.392459826946848</v>
      </c>
      <c r="AM100" s="108">
        <v>59043.126823238563</v>
      </c>
      <c r="AN100" s="108">
        <v>27.461158192090394</v>
      </c>
      <c r="AO100" s="108">
        <v>44552.983050847455</v>
      </c>
      <c r="AP100" s="108">
        <v>51.705250596658708</v>
      </c>
      <c r="AQ100" s="108">
        <v>83886.598568019079</v>
      </c>
      <c r="AR100" s="108">
        <v>14.297237915881983</v>
      </c>
      <c r="AS100" s="108">
        <v>23195.838794726926</v>
      </c>
      <c r="AT100" s="108">
        <v>11.774413323239969</v>
      </c>
      <c r="AU100" s="108">
        <v>19102.808175624523</v>
      </c>
      <c r="AV100" s="108">
        <v>0</v>
      </c>
      <c r="AW100" s="108">
        <v>0</v>
      </c>
      <c r="AX100" s="108">
        <v>36.128527185134203</v>
      </c>
      <c r="AY100" s="108">
        <v>58614.922505161725</v>
      </c>
      <c r="AZ100" s="108">
        <v>0</v>
      </c>
      <c r="BA100" s="108">
        <v>0</v>
      </c>
      <c r="BB100" s="108">
        <v>28.351244813278004</v>
      </c>
      <c r="BC100" s="108">
        <v>45997.059585062234</v>
      </c>
      <c r="BD100" s="108">
        <v>23.022058823529413</v>
      </c>
      <c r="BE100" s="108">
        <v>37350.988235294113</v>
      </c>
      <c r="BF100" s="108">
        <v>0</v>
      </c>
      <c r="BG100" s="108">
        <v>0</v>
      </c>
      <c r="BH100" s="108">
        <v>41.72296806966618</v>
      </c>
      <c r="BI100" s="108">
        <v>67691.34339622641</v>
      </c>
      <c r="BJ100" s="108">
        <v>32.690405117270792</v>
      </c>
      <c r="BK100" s="108">
        <v>53036.913262260132</v>
      </c>
      <c r="BL100" s="108">
        <v>22.075325550067355</v>
      </c>
      <c r="BM100" s="108">
        <v>35815.008172429276</v>
      </c>
      <c r="BN100" s="108">
        <v>11.423325499412456</v>
      </c>
      <c r="BO100" s="108">
        <v>18533.203290246769</v>
      </c>
      <c r="BP100" s="108">
        <v>27.703964194373405</v>
      </c>
      <c r="BQ100" s="108">
        <v>44946.911508951409</v>
      </c>
      <c r="BR100" s="108">
        <v>0</v>
      </c>
      <c r="BS100" s="108">
        <v>0</v>
      </c>
      <c r="BT100" s="108">
        <v>0</v>
      </c>
      <c r="BU100" s="108">
        <v>0</v>
      </c>
      <c r="BV100" s="108">
        <v>58</v>
      </c>
      <c r="BW100" s="108">
        <v>94099.199999999997</v>
      </c>
      <c r="BX100" s="108">
        <v>49.693677924217461</v>
      </c>
      <c r="BY100" s="108">
        <v>80623.023064250403</v>
      </c>
      <c r="BZ100" s="108">
        <v>47.78125</v>
      </c>
      <c r="CA100" s="108">
        <v>77520.299999999988</v>
      </c>
      <c r="CB100" s="108">
        <v>81.621255349500714</v>
      </c>
      <c r="CC100" s="108">
        <v>132422.32467902996</v>
      </c>
      <c r="CD100" s="108">
        <v>49.135135135135137</v>
      </c>
      <c r="CE100" s="108">
        <v>79716.843243243246</v>
      </c>
      <c r="CF100" s="108">
        <v>0</v>
      </c>
      <c r="CG100" s="108">
        <v>0</v>
      </c>
      <c r="CH100" s="108">
        <v>16.23693534100974</v>
      </c>
      <c r="CI100" s="108">
        <v>26342.803897254202</v>
      </c>
      <c r="CJ100" s="108">
        <v>34</v>
      </c>
      <c r="CK100" s="108">
        <v>55161.599999999999</v>
      </c>
      <c r="CL100" s="108">
        <v>5.3023637557452394</v>
      </c>
      <c r="CM100" s="108">
        <v>8602.5549573210756</v>
      </c>
      <c r="CN100" s="108">
        <v>54.094845360824742</v>
      </c>
      <c r="CO100" s="108">
        <v>87763.477113402056</v>
      </c>
      <c r="CP100" s="108">
        <v>38.235310576385004</v>
      </c>
      <c r="CQ100" s="108">
        <v>62032.967879127027</v>
      </c>
      <c r="CR100" s="108">
        <v>36.694613821138212</v>
      </c>
      <c r="CS100" s="108">
        <v>59533.341463414632</v>
      </c>
      <c r="CT100" s="108">
        <v>33.569784172661869</v>
      </c>
      <c r="CU100" s="108">
        <v>54463.617841726613</v>
      </c>
    </row>
    <row r="101" spans="2:99" x14ac:dyDescent="0.2">
      <c r="C101" s="107" t="s">
        <v>266</v>
      </c>
      <c r="D101" s="108">
        <v>0</v>
      </c>
      <c r="E101" s="108">
        <v>0</v>
      </c>
      <c r="F101" s="108">
        <v>0</v>
      </c>
      <c r="G101" s="108">
        <v>0</v>
      </c>
      <c r="H101" s="108">
        <v>36.661576249466037</v>
      </c>
      <c r="I101" s="108">
        <v>43641.940367364368</v>
      </c>
      <c r="J101" s="108">
        <v>0</v>
      </c>
      <c r="K101" s="108">
        <v>0</v>
      </c>
      <c r="L101" s="108">
        <v>65.207280832095094</v>
      </c>
      <c r="M101" s="108">
        <v>77622.747102525987</v>
      </c>
      <c r="N101" s="108">
        <v>26.593085106382976</v>
      </c>
      <c r="O101" s="108">
        <v>31656.408510638292</v>
      </c>
      <c r="P101" s="108">
        <v>0</v>
      </c>
      <c r="Q101" s="108">
        <v>0</v>
      </c>
      <c r="R101" s="108">
        <v>24.485855263157895</v>
      </c>
      <c r="S101" s="108">
        <v>29147.962105263156</v>
      </c>
      <c r="T101" s="108">
        <v>43.867479108635095</v>
      </c>
      <c r="U101" s="108">
        <v>52219.84713091921</v>
      </c>
      <c r="V101" s="108">
        <v>68.599350046425258</v>
      </c>
      <c r="W101" s="108">
        <v>81660.666295264615</v>
      </c>
      <c r="X101" s="108">
        <v>0</v>
      </c>
      <c r="Y101" s="108">
        <v>0</v>
      </c>
      <c r="Z101" s="108">
        <v>0</v>
      </c>
      <c r="AA101" s="108">
        <v>0</v>
      </c>
      <c r="AB101" s="108">
        <v>18</v>
      </c>
      <c r="AC101" s="108">
        <v>21427.199999999997</v>
      </c>
      <c r="AD101" s="108">
        <v>26</v>
      </c>
      <c r="AE101" s="108">
        <v>30950.399999999998</v>
      </c>
      <c r="AF101" s="108">
        <v>18.641125879593432</v>
      </c>
      <c r="AG101" s="108">
        <v>22190.39624706802</v>
      </c>
      <c r="AH101" s="108">
        <v>0</v>
      </c>
      <c r="AI101" s="108">
        <v>0</v>
      </c>
      <c r="AJ101" s="108">
        <v>26.155829596412556</v>
      </c>
      <c r="AK101" s="108">
        <v>31135.899551569502</v>
      </c>
      <c r="AL101" s="108">
        <v>36.392459826946848</v>
      </c>
      <c r="AM101" s="108">
        <v>43321.584177997524</v>
      </c>
      <c r="AN101" s="108">
        <v>29.422669491525426</v>
      </c>
      <c r="AO101" s="108">
        <v>35024.745762711864</v>
      </c>
      <c r="AP101" s="108">
        <v>56.478042959427206</v>
      </c>
      <c r="AQ101" s="108">
        <v>67231.462338902144</v>
      </c>
      <c r="AR101" s="108">
        <v>16.912586315128689</v>
      </c>
      <c r="AS101" s="108">
        <v>20132.742749529189</v>
      </c>
      <c r="AT101" s="108">
        <v>13.66672975018925</v>
      </c>
      <c r="AU101" s="108">
        <v>16268.87509462528</v>
      </c>
      <c r="AV101" s="108">
        <v>0</v>
      </c>
      <c r="AW101" s="108">
        <v>0</v>
      </c>
      <c r="AX101" s="108">
        <v>38.422401927047488</v>
      </c>
      <c r="AY101" s="108">
        <v>45738.027253957327</v>
      </c>
      <c r="AZ101" s="108">
        <v>0</v>
      </c>
      <c r="BA101" s="108">
        <v>0</v>
      </c>
      <c r="BB101" s="108">
        <v>33.191701244813274</v>
      </c>
      <c r="BC101" s="108">
        <v>39511.401161825714</v>
      </c>
      <c r="BD101" s="108">
        <v>22.27941176470588</v>
      </c>
      <c r="BE101" s="108">
        <v>26521.411764705877</v>
      </c>
      <c r="BF101" s="108">
        <v>0</v>
      </c>
      <c r="BG101" s="108">
        <v>0</v>
      </c>
      <c r="BH101" s="108">
        <v>45.955732946298987</v>
      </c>
      <c r="BI101" s="108">
        <v>54705.70449927431</v>
      </c>
      <c r="BJ101" s="108">
        <v>34.822388059701495</v>
      </c>
      <c r="BK101" s="108">
        <v>41452.570746268655</v>
      </c>
      <c r="BL101" s="108">
        <v>23.571957790749888</v>
      </c>
      <c r="BM101" s="108">
        <v>28060.058554108662</v>
      </c>
      <c r="BN101" s="108">
        <v>13.381609870740306</v>
      </c>
      <c r="BO101" s="108">
        <v>15929.468390129257</v>
      </c>
      <c r="BP101" s="108">
        <v>31.610933503836314</v>
      </c>
      <c r="BQ101" s="108">
        <v>37629.655242966743</v>
      </c>
      <c r="BR101" s="108">
        <v>0</v>
      </c>
      <c r="BS101" s="108">
        <v>0</v>
      </c>
      <c r="BT101" s="108">
        <v>0</v>
      </c>
      <c r="BU101" s="108">
        <v>0</v>
      </c>
      <c r="BV101" s="108">
        <v>59</v>
      </c>
      <c r="BW101" s="108">
        <v>70233.599999999991</v>
      </c>
      <c r="BX101" s="108">
        <v>52.821252059308073</v>
      </c>
      <c r="BY101" s="108">
        <v>62878.418451400321</v>
      </c>
      <c r="BZ101" s="108">
        <v>49.84375</v>
      </c>
      <c r="CA101" s="108">
        <v>59333.999999999993</v>
      </c>
      <c r="CB101" s="108">
        <v>106.18687589158345</v>
      </c>
      <c r="CC101" s="108">
        <v>126404.85706134092</v>
      </c>
      <c r="CD101" s="108">
        <v>57.909266409266408</v>
      </c>
      <c r="CE101" s="108">
        <v>68935.190733590731</v>
      </c>
      <c r="CF101" s="108">
        <v>0</v>
      </c>
      <c r="CG101" s="108">
        <v>0</v>
      </c>
      <c r="CH101" s="108">
        <v>16.23693534100974</v>
      </c>
      <c r="CI101" s="108">
        <v>19328.447829937992</v>
      </c>
      <c r="CJ101" s="108">
        <v>35</v>
      </c>
      <c r="CK101" s="108">
        <v>41663.999999999993</v>
      </c>
      <c r="CL101" s="108">
        <v>5.1313197636244254</v>
      </c>
      <c r="CM101" s="108">
        <v>6108.323046618515</v>
      </c>
      <c r="CN101" s="108">
        <v>56.026804123711344</v>
      </c>
      <c r="CO101" s="108">
        <v>66694.307628865979</v>
      </c>
      <c r="CP101" s="108">
        <v>44.763290430889761</v>
      </c>
      <c r="CQ101" s="108">
        <v>53286.220928931165</v>
      </c>
      <c r="CR101" s="108">
        <v>36.694613821138212</v>
      </c>
      <c r="CS101" s="108">
        <v>43681.268292682922</v>
      </c>
      <c r="CT101" s="108">
        <v>41.362769784172663</v>
      </c>
      <c r="CU101" s="108">
        <v>49238.241151079135</v>
      </c>
    </row>
    <row r="102" spans="2:99" x14ac:dyDescent="0.2">
      <c r="C102" s="107" t="s">
        <v>267</v>
      </c>
      <c r="D102" s="108">
        <v>0</v>
      </c>
      <c r="E102" s="108">
        <v>0</v>
      </c>
      <c r="F102" s="108">
        <v>0</v>
      </c>
      <c r="G102" s="108">
        <v>0</v>
      </c>
      <c r="H102" s="108">
        <v>37.729389149935926</v>
      </c>
      <c r="I102" s="108">
        <v>73164.831439555739</v>
      </c>
      <c r="J102" s="108">
        <v>0</v>
      </c>
      <c r="K102" s="108">
        <v>0</v>
      </c>
      <c r="L102" s="108">
        <v>53.651560178306084</v>
      </c>
      <c r="M102" s="108">
        <v>104041.10549777115</v>
      </c>
      <c r="N102" s="108">
        <v>23.772606382978722</v>
      </c>
      <c r="O102" s="108">
        <v>46099.838297872331</v>
      </c>
      <c r="P102" s="108">
        <v>0</v>
      </c>
      <c r="Q102" s="108">
        <v>0</v>
      </c>
      <c r="R102" s="108">
        <v>21.19671052631579</v>
      </c>
      <c r="S102" s="108">
        <v>41104.661052631578</v>
      </c>
      <c r="T102" s="108">
        <v>39.457520891364901</v>
      </c>
      <c r="U102" s="108">
        <v>76516.024512534801</v>
      </c>
      <c r="V102" s="108">
        <v>57.252089136490248</v>
      </c>
      <c r="W102" s="108">
        <v>111023.25125348188</v>
      </c>
      <c r="X102" s="108">
        <v>0</v>
      </c>
      <c r="Y102" s="108">
        <v>0</v>
      </c>
      <c r="Z102" s="108">
        <v>0</v>
      </c>
      <c r="AA102" s="108">
        <v>0</v>
      </c>
      <c r="AB102" s="108">
        <v>17</v>
      </c>
      <c r="AC102" s="108">
        <v>32966.399999999994</v>
      </c>
      <c r="AD102" s="108">
        <v>26</v>
      </c>
      <c r="AE102" s="108">
        <v>50419.199999999997</v>
      </c>
      <c r="AF102" s="108">
        <v>17.924159499609068</v>
      </c>
      <c r="AG102" s="108">
        <v>34758.530101641903</v>
      </c>
      <c r="AH102" s="108">
        <v>0</v>
      </c>
      <c r="AI102" s="108">
        <v>0</v>
      </c>
      <c r="AJ102" s="108">
        <v>21.400224215246638</v>
      </c>
      <c r="AK102" s="108">
        <v>41499.31479820628</v>
      </c>
      <c r="AL102" s="108">
        <v>34.332509270704577</v>
      </c>
      <c r="AM102" s="108">
        <v>66577.60197775031</v>
      </c>
      <c r="AN102" s="108">
        <v>24.715042372881356</v>
      </c>
      <c r="AO102" s="108">
        <v>47927.410169491523</v>
      </c>
      <c r="AP102" s="108">
        <v>58.068973747016706</v>
      </c>
      <c r="AQ102" s="108">
        <v>112607.35389021478</v>
      </c>
      <c r="AR102" s="108">
        <v>15.866446955430005</v>
      </c>
      <c r="AS102" s="108">
        <v>30768.213935969863</v>
      </c>
      <c r="AT102" s="108">
        <v>10.092354277062832</v>
      </c>
      <c r="AU102" s="108">
        <v>19571.093414080242</v>
      </c>
      <c r="AV102" s="108">
        <v>0</v>
      </c>
      <c r="AW102" s="108">
        <v>0</v>
      </c>
      <c r="AX102" s="108">
        <v>34.981589814177568</v>
      </c>
      <c r="AY102" s="108">
        <v>67836.298967653129</v>
      </c>
      <c r="AZ102" s="108">
        <v>0</v>
      </c>
      <c r="BA102" s="108">
        <v>0</v>
      </c>
      <c r="BB102" s="108">
        <v>31.808713692946061</v>
      </c>
      <c r="BC102" s="108">
        <v>61683.457593360996</v>
      </c>
      <c r="BD102" s="108">
        <v>20.794117647058822</v>
      </c>
      <c r="BE102" s="108">
        <v>40323.952941176467</v>
      </c>
      <c r="BF102" s="108">
        <v>0</v>
      </c>
      <c r="BG102" s="108">
        <v>0</v>
      </c>
      <c r="BH102" s="108">
        <v>39.304245283018872</v>
      </c>
      <c r="BI102" s="108">
        <v>76218.792452830196</v>
      </c>
      <c r="BJ102" s="108">
        <v>29.847761194029854</v>
      </c>
      <c r="BK102" s="108">
        <v>57880.778507462688</v>
      </c>
      <c r="BL102" s="108">
        <v>22.449483610237987</v>
      </c>
      <c r="BM102" s="108">
        <v>43534.038616973499</v>
      </c>
      <c r="BN102" s="108">
        <v>11.096944770857815</v>
      </c>
      <c r="BO102" s="108">
        <v>21519.195299647472</v>
      </c>
      <c r="BP102" s="108">
        <v>28.414322250639387</v>
      </c>
      <c r="BQ102" s="108">
        <v>55101.053708439897</v>
      </c>
      <c r="BR102" s="108">
        <v>0</v>
      </c>
      <c r="BS102" s="108">
        <v>0</v>
      </c>
      <c r="BT102" s="108">
        <v>0</v>
      </c>
      <c r="BU102" s="108">
        <v>0</v>
      </c>
      <c r="BV102" s="108">
        <v>50</v>
      </c>
      <c r="BW102" s="108">
        <v>96959.999999999985</v>
      </c>
      <c r="BX102" s="108">
        <v>46.218595551894566</v>
      </c>
      <c r="BY102" s="108">
        <v>89627.100494233935</v>
      </c>
      <c r="BZ102" s="108">
        <v>40.5625</v>
      </c>
      <c r="CA102" s="108">
        <v>78658.799999999988</v>
      </c>
      <c r="CB102" s="108">
        <v>87.168330955777463</v>
      </c>
      <c r="CC102" s="108">
        <v>169036.82738944364</v>
      </c>
      <c r="CD102" s="108">
        <v>45.333011583011583</v>
      </c>
      <c r="CE102" s="108">
        <v>87909.77606177605</v>
      </c>
      <c r="CF102" s="108">
        <v>0</v>
      </c>
      <c r="CG102" s="108">
        <v>0</v>
      </c>
      <c r="CH102" s="108">
        <v>14.760850310008859</v>
      </c>
      <c r="CI102" s="108">
        <v>28624.240921169177</v>
      </c>
      <c r="CJ102" s="108">
        <v>30</v>
      </c>
      <c r="CK102" s="108">
        <v>58175.999999999993</v>
      </c>
      <c r="CL102" s="108">
        <v>5.1313197636244254</v>
      </c>
      <c r="CM102" s="108">
        <v>9950.6552856204853</v>
      </c>
      <c r="CN102" s="108">
        <v>50.874914089347079</v>
      </c>
      <c r="CO102" s="108">
        <v>98656.633402061852</v>
      </c>
      <c r="CP102" s="108">
        <v>41.499300503637379</v>
      </c>
      <c r="CQ102" s="108">
        <v>80475.443536653591</v>
      </c>
      <c r="CR102" s="108">
        <v>36.130081300813011</v>
      </c>
      <c r="CS102" s="108">
        <v>70063.453658536586</v>
      </c>
      <c r="CT102" s="108">
        <v>30.572482014388488</v>
      </c>
      <c r="CU102" s="108">
        <v>59286.157122302153</v>
      </c>
    </row>
    <row r="103" spans="2:99" x14ac:dyDescent="0.2">
      <c r="C103" s="107" t="s">
        <v>268</v>
      </c>
      <c r="D103" s="108">
        <v>0</v>
      </c>
      <c r="E103" s="108">
        <v>0</v>
      </c>
      <c r="F103" s="108">
        <v>0</v>
      </c>
      <c r="G103" s="108">
        <v>0</v>
      </c>
      <c r="H103" s="108">
        <v>36.661576249466037</v>
      </c>
      <c r="I103" s="108">
        <v>74349.67663391713</v>
      </c>
      <c r="J103" s="108">
        <v>0</v>
      </c>
      <c r="K103" s="108">
        <v>0</v>
      </c>
      <c r="L103" s="108">
        <v>59.429420505200589</v>
      </c>
      <c r="M103" s="108">
        <v>120522.86478454679</v>
      </c>
      <c r="N103" s="108">
        <v>24.175531914893615</v>
      </c>
      <c r="O103" s="108">
        <v>49027.978723404252</v>
      </c>
      <c r="P103" s="108">
        <v>0</v>
      </c>
      <c r="Q103" s="108">
        <v>0</v>
      </c>
      <c r="R103" s="108">
        <v>22.658552631578949</v>
      </c>
      <c r="S103" s="108">
        <v>45951.544736842108</v>
      </c>
      <c r="T103" s="108">
        <v>34.583356545961003</v>
      </c>
      <c r="U103" s="108">
        <v>70135.047075208917</v>
      </c>
      <c r="V103" s="108">
        <v>58.283658310120714</v>
      </c>
      <c r="W103" s="108">
        <v>118199.25905292481</v>
      </c>
      <c r="X103" s="108">
        <v>0</v>
      </c>
      <c r="Y103" s="108">
        <v>0</v>
      </c>
      <c r="Z103" s="108">
        <v>0</v>
      </c>
      <c r="AA103" s="108">
        <v>0</v>
      </c>
      <c r="AB103" s="108">
        <v>18</v>
      </c>
      <c r="AC103" s="108">
        <v>36504</v>
      </c>
      <c r="AD103" s="108">
        <v>22</v>
      </c>
      <c r="AE103" s="108">
        <v>44616</v>
      </c>
      <c r="AF103" s="108">
        <v>17.207193119624709</v>
      </c>
      <c r="AG103" s="108">
        <v>34896.187646598912</v>
      </c>
      <c r="AH103" s="108">
        <v>0</v>
      </c>
      <c r="AI103" s="108">
        <v>0</v>
      </c>
      <c r="AJ103" s="108">
        <v>20.720852017937219</v>
      </c>
      <c r="AK103" s="108">
        <v>42021.887892376682</v>
      </c>
      <c r="AL103" s="108">
        <v>30.899258343634113</v>
      </c>
      <c r="AM103" s="108">
        <v>62663.695920889979</v>
      </c>
      <c r="AN103" s="108">
        <v>25.10734463276836</v>
      </c>
      <c r="AO103" s="108">
        <v>50917.694915254237</v>
      </c>
      <c r="AP103" s="108">
        <v>54.887112171837707</v>
      </c>
      <c r="AQ103" s="108">
        <v>111311.06348448688</v>
      </c>
      <c r="AR103" s="108">
        <v>13.948524795982424</v>
      </c>
      <c r="AS103" s="108">
        <v>28287.608286252354</v>
      </c>
      <c r="AT103" s="108">
        <v>10.723126419379259</v>
      </c>
      <c r="AU103" s="108">
        <v>21746.500378501136</v>
      </c>
      <c r="AV103" s="108">
        <v>0</v>
      </c>
      <c r="AW103" s="108">
        <v>0</v>
      </c>
      <c r="AX103" s="108">
        <v>29.820371644872679</v>
      </c>
      <c r="AY103" s="108">
        <v>60475.713695801795</v>
      </c>
      <c r="AZ103" s="108">
        <v>0</v>
      </c>
      <c r="BA103" s="108">
        <v>0</v>
      </c>
      <c r="BB103" s="108">
        <v>31.117219917012449</v>
      </c>
      <c r="BC103" s="108">
        <v>63105.721991701248</v>
      </c>
      <c r="BD103" s="108">
        <v>20.794117647058822</v>
      </c>
      <c r="BE103" s="108">
        <v>42170.470588235294</v>
      </c>
      <c r="BF103" s="108">
        <v>0</v>
      </c>
      <c r="BG103" s="108">
        <v>0</v>
      </c>
      <c r="BH103" s="108">
        <v>33.862119013062411</v>
      </c>
      <c r="BI103" s="108">
        <v>68672.377358490572</v>
      </c>
      <c r="BJ103" s="108">
        <v>29.137100213219615</v>
      </c>
      <c r="BK103" s="108">
        <v>59090.039232409377</v>
      </c>
      <c r="BL103" s="108">
        <v>24.694431971261785</v>
      </c>
      <c r="BM103" s="108">
        <v>50080.308037718904</v>
      </c>
      <c r="BN103" s="108">
        <v>12.402467685076381</v>
      </c>
      <c r="BO103" s="108">
        <v>25152.2044653349</v>
      </c>
      <c r="BP103" s="108">
        <v>30.190217391304348</v>
      </c>
      <c r="BQ103" s="108">
        <v>61225.760869565216</v>
      </c>
      <c r="BR103" s="108">
        <v>0</v>
      </c>
      <c r="BS103" s="108">
        <v>0</v>
      </c>
      <c r="BT103" s="108">
        <v>0</v>
      </c>
      <c r="BU103" s="108">
        <v>0</v>
      </c>
      <c r="BV103" s="108">
        <v>52</v>
      </c>
      <c r="BW103" s="108">
        <v>105456</v>
      </c>
      <c r="BX103" s="108">
        <v>47.95613673805601</v>
      </c>
      <c r="BY103" s="108">
        <v>97255.045304777595</v>
      </c>
      <c r="BZ103" s="108">
        <v>41.59375</v>
      </c>
      <c r="CA103" s="108">
        <v>84352.125</v>
      </c>
      <c r="CB103" s="108">
        <v>80.828815977175466</v>
      </c>
      <c r="CC103" s="108">
        <v>163920.83880171186</v>
      </c>
      <c r="CD103" s="108">
        <v>48.257722007722009</v>
      </c>
      <c r="CE103" s="108">
        <v>97866.660231660237</v>
      </c>
      <c r="CF103" s="108">
        <v>0</v>
      </c>
      <c r="CG103" s="108">
        <v>0</v>
      </c>
      <c r="CH103" s="108">
        <v>16.974977856510186</v>
      </c>
      <c r="CI103" s="108">
        <v>34425.255093002655</v>
      </c>
      <c r="CJ103" s="108">
        <v>29</v>
      </c>
      <c r="CK103" s="108">
        <v>58812</v>
      </c>
      <c r="CL103" s="108">
        <v>4.6181877872619834</v>
      </c>
      <c r="CM103" s="108">
        <v>9365.6848325673018</v>
      </c>
      <c r="CN103" s="108">
        <v>46.367010309278349</v>
      </c>
      <c r="CO103" s="108">
        <v>94032.296907216485</v>
      </c>
      <c r="CP103" s="108">
        <v>37.302742025741466</v>
      </c>
      <c r="CQ103" s="108">
        <v>75649.960828203693</v>
      </c>
      <c r="CR103" s="108">
        <v>36.694613821138212</v>
      </c>
      <c r="CS103" s="108">
        <v>74416.676829268297</v>
      </c>
      <c r="CT103" s="108">
        <v>30.572482014388488</v>
      </c>
      <c r="CU103" s="108">
        <v>62000.993525179852</v>
      </c>
    </row>
    <row r="104" spans="2:99" x14ac:dyDescent="0.2">
      <c r="C104" s="107" t="s">
        <v>269</v>
      </c>
      <c r="D104" s="108">
        <v>0</v>
      </c>
      <c r="E104" s="108">
        <v>0</v>
      </c>
      <c r="F104" s="108">
        <v>0</v>
      </c>
      <c r="G104" s="108">
        <v>0</v>
      </c>
      <c r="H104" s="108">
        <v>35.949700982486114</v>
      </c>
      <c r="I104" s="108">
        <v>74502.160316104229</v>
      </c>
      <c r="J104" s="108">
        <v>0</v>
      </c>
      <c r="K104" s="108">
        <v>0</v>
      </c>
      <c r="L104" s="108">
        <v>56.12778603268945</v>
      </c>
      <c r="M104" s="108">
        <v>116319.22377414562</v>
      </c>
      <c r="N104" s="108">
        <v>24.57845744680851</v>
      </c>
      <c r="O104" s="108">
        <v>50936.395212765958</v>
      </c>
      <c r="P104" s="108">
        <v>0</v>
      </c>
      <c r="Q104" s="108">
        <v>0</v>
      </c>
      <c r="R104" s="108">
        <v>20.465789473684211</v>
      </c>
      <c r="S104" s="108">
        <v>42413.302105263159</v>
      </c>
      <c r="T104" s="108">
        <v>38.297005571030638</v>
      </c>
      <c r="U104" s="108">
        <v>79366.714345403903</v>
      </c>
      <c r="V104" s="108">
        <v>59.315227483751165</v>
      </c>
      <c r="W104" s="108">
        <v>122924.87743732592</v>
      </c>
      <c r="X104" s="108">
        <v>0</v>
      </c>
      <c r="Y104" s="108">
        <v>0</v>
      </c>
      <c r="Z104" s="108">
        <v>0</v>
      </c>
      <c r="AA104" s="108">
        <v>0</v>
      </c>
      <c r="AB104" s="108">
        <v>17</v>
      </c>
      <c r="AC104" s="108">
        <v>35230.800000000003</v>
      </c>
      <c r="AD104" s="108">
        <v>24</v>
      </c>
      <c r="AE104" s="108">
        <v>49737.600000000006</v>
      </c>
      <c r="AF104" s="108">
        <v>18.641125879593432</v>
      </c>
      <c r="AG104" s="108">
        <v>38631.86927286943</v>
      </c>
      <c r="AH104" s="108">
        <v>0</v>
      </c>
      <c r="AI104" s="108">
        <v>0</v>
      </c>
      <c r="AJ104" s="108">
        <v>19.022421524663677</v>
      </c>
      <c r="AK104" s="108">
        <v>39422.066367713007</v>
      </c>
      <c r="AL104" s="108">
        <v>31.585908529048208</v>
      </c>
      <c r="AM104" s="108">
        <v>65458.636835599507</v>
      </c>
      <c r="AN104" s="108">
        <v>27.853460451977401</v>
      </c>
      <c r="AO104" s="108">
        <v>57723.511440677968</v>
      </c>
      <c r="AP104" s="108">
        <v>54.887112171837707</v>
      </c>
      <c r="AQ104" s="108">
        <v>113748.05126491647</v>
      </c>
      <c r="AR104" s="108">
        <v>13.251098556183303</v>
      </c>
      <c r="AS104" s="108">
        <v>27461.576647834278</v>
      </c>
      <c r="AT104" s="108">
        <v>11.774413323239969</v>
      </c>
      <c r="AU104" s="108">
        <v>24401.294171082514</v>
      </c>
      <c r="AV104" s="108">
        <v>0</v>
      </c>
      <c r="AW104" s="108">
        <v>0</v>
      </c>
      <c r="AX104" s="108">
        <v>34.981589814177568</v>
      </c>
      <c r="AY104" s="108">
        <v>72495.846730901598</v>
      </c>
      <c r="AZ104" s="108">
        <v>0</v>
      </c>
      <c r="BA104" s="108">
        <v>0</v>
      </c>
      <c r="BB104" s="108">
        <v>26.968257261410791</v>
      </c>
      <c r="BC104" s="108">
        <v>55889.016348547724</v>
      </c>
      <c r="BD104" s="108">
        <v>21.536764705882355</v>
      </c>
      <c r="BE104" s="108">
        <v>44632.791176470593</v>
      </c>
      <c r="BF104" s="108">
        <v>0</v>
      </c>
      <c r="BG104" s="108">
        <v>0</v>
      </c>
      <c r="BH104" s="108">
        <v>35.676161103047896</v>
      </c>
      <c r="BI104" s="108">
        <v>73935.276269956463</v>
      </c>
      <c r="BJ104" s="108">
        <v>30.558422174840086</v>
      </c>
      <c r="BK104" s="108">
        <v>63329.2741151386</v>
      </c>
      <c r="BL104" s="108">
        <v>20.578693309384821</v>
      </c>
      <c r="BM104" s="108">
        <v>42647.284014369106</v>
      </c>
      <c r="BN104" s="108">
        <v>11.749706227967097</v>
      </c>
      <c r="BO104" s="108">
        <v>24350.091186839014</v>
      </c>
      <c r="BP104" s="108">
        <v>25.217710997442456</v>
      </c>
      <c r="BQ104" s="108">
        <v>52261.184271099752</v>
      </c>
      <c r="BR104" s="108">
        <v>0</v>
      </c>
      <c r="BS104" s="108">
        <v>0</v>
      </c>
      <c r="BT104" s="108">
        <v>0</v>
      </c>
      <c r="BU104" s="108">
        <v>0</v>
      </c>
      <c r="BV104" s="108">
        <v>53</v>
      </c>
      <c r="BW104" s="108">
        <v>109837.20000000001</v>
      </c>
      <c r="BX104" s="108">
        <v>44.481054365733115</v>
      </c>
      <c r="BY104" s="108">
        <v>92182.537067545316</v>
      </c>
      <c r="BZ104" s="108">
        <v>40.5625</v>
      </c>
      <c r="CA104" s="108">
        <v>84061.725000000006</v>
      </c>
      <c r="CB104" s="108">
        <v>87.960770328102711</v>
      </c>
      <c r="CC104" s="108">
        <v>182289.90042796006</v>
      </c>
      <c r="CD104" s="108">
        <v>47.965250965250966</v>
      </c>
      <c r="CE104" s="108">
        <v>99403.186100386112</v>
      </c>
      <c r="CF104" s="108">
        <v>0</v>
      </c>
      <c r="CG104" s="108">
        <v>0</v>
      </c>
      <c r="CH104" s="108">
        <v>15.4988928255093</v>
      </c>
      <c r="CI104" s="108">
        <v>32119.905491585476</v>
      </c>
      <c r="CJ104" s="108">
        <v>31</v>
      </c>
      <c r="CK104" s="108">
        <v>64244.4</v>
      </c>
      <c r="CL104" s="108">
        <v>4.6181877872619834</v>
      </c>
      <c r="CM104" s="108">
        <v>9570.7323703217353</v>
      </c>
      <c r="CN104" s="108">
        <v>48.298969072164944</v>
      </c>
      <c r="CO104" s="108">
        <v>100094.78350515463</v>
      </c>
      <c r="CP104" s="108">
        <v>38.701594851706773</v>
      </c>
      <c r="CQ104" s="108">
        <v>80205.185170677112</v>
      </c>
      <c r="CR104" s="108">
        <v>35.565548780487809</v>
      </c>
      <c r="CS104" s="108">
        <v>73706.043292682938</v>
      </c>
      <c r="CT104" s="108">
        <v>29.373561151079137</v>
      </c>
      <c r="CU104" s="108">
        <v>60873.768129496406</v>
      </c>
    </row>
    <row r="105" spans="2:99" x14ac:dyDescent="0.2">
      <c r="C105" s="107" t="s">
        <v>270</v>
      </c>
      <c r="D105" s="108">
        <v>0</v>
      </c>
      <c r="E105" s="108">
        <v>0</v>
      </c>
      <c r="F105" s="108">
        <v>0</v>
      </c>
      <c r="G105" s="108">
        <v>0</v>
      </c>
      <c r="H105" s="108">
        <v>33.10219991456642</v>
      </c>
      <c r="I105" s="108">
        <v>66138.195429303712</v>
      </c>
      <c r="J105" s="108">
        <v>0</v>
      </c>
      <c r="K105" s="108">
        <v>0</v>
      </c>
      <c r="L105" s="108">
        <v>56.12778603268945</v>
      </c>
      <c r="M105" s="108">
        <v>112143.31649331353</v>
      </c>
      <c r="N105" s="108">
        <v>21.757978723404253</v>
      </c>
      <c r="O105" s="108">
        <v>43472.441489361699</v>
      </c>
      <c r="P105" s="108">
        <v>0</v>
      </c>
      <c r="Q105" s="108">
        <v>0</v>
      </c>
      <c r="R105" s="108">
        <v>21.927631578947366</v>
      </c>
      <c r="S105" s="108">
        <v>43811.40789473684</v>
      </c>
      <c r="T105" s="108">
        <v>39.689623955431756</v>
      </c>
      <c r="U105" s="108">
        <v>79299.868662952649</v>
      </c>
      <c r="V105" s="108">
        <v>65.504642525533882</v>
      </c>
      <c r="W105" s="108">
        <v>130878.2757660167</v>
      </c>
      <c r="X105" s="108">
        <v>0</v>
      </c>
      <c r="Y105" s="108">
        <v>0</v>
      </c>
      <c r="Z105" s="108">
        <v>0</v>
      </c>
      <c r="AA105" s="108">
        <v>0</v>
      </c>
      <c r="AB105" s="108">
        <v>17</v>
      </c>
      <c r="AC105" s="108">
        <v>33966</v>
      </c>
      <c r="AD105" s="108">
        <v>23</v>
      </c>
      <c r="AE105" s="108">
        <v>45954</v>
      </c>
      <c r="AF105" s="108">
        <v>17.207193119624709</v>
      </c>
      <c r="AG105" s="108">
        <v>34379.971853010167</v>
      </c>
      <c r="AH105" s="108">
        <v>0</v>
      </c>
      <c r="AI105" s="108">
        <v>0</v>
      </c>
      <c r="AJ105" s="108">
        <v>19.701793721973093</v>
      </c>
      <c r="AK105" s="108">
        <v>39364.183856502241</v>
      </c>
      <c r="AL105" s="108">
        <v>29.525957972805934</v>
      </c>
      <c r="AM105" s="108">
        <v>58992.864029666256</v>
      </c>
      <c r="AN105" s="108">
        <v>27.461158192090394</v>
      </c>
      <c r="AO105" s="108">
        <v>54867.394067796609</v>
      </c>
      <c r="AP105" s="108">
        <v>49.318854415274465</v>
      </c>
      <c r="AQ105" s="108">
        <v>98539.071121718385</v>
      </c>
      <c r="AR105" s="108">
        <v>15.343377275580664</v>
      </c>
      <c r="AS105" s="108">
        <v>30656.067796610168</v>
      </c>
      <c r="AT105" s="108">
        <v>10.9333838001514</v>
      </c>
      <c r="AU105" s="108">
        <v>21844.900832702497</v>
      </c>
      <c r="AV105" s="108">
        <v>0</v>
      </c>
      <c r="AW105" s="108">
        <v>0</v>
      </c>
      <c r="AX105" s="108">
        <v>35.555058499655885</v>
      </c>
      <c r="AY105" s="108">
        <v>71039.00688231246</v>
      </c>
      <c r="AZ105" s="108">
        <v>0</v>
      </c>
      <c r="BA105" s="108">
        <v>0</v>
      </c>
      <c r="BB105" s="108">
        <v>28.351244813278004</v>
      </c>
      <c r="BC105" s="108">
        <v>56645.787136929452</v>
      </c>
      <c r="BD105" s="108">
        <v>21.536764705882355</v>
      </c>
      <c r="BE105" s="108">
        <v>43030.455882352944</v>
      </c>
      <c r="BF105" s="108">
        <v>0</v>
      </c>
      <c r="BG105" s="108">
        <v>0</v>
      </c>
      <c r="BH105" s="108">
        <v>35.071480406386065</v>
      </c>
      <c r="BI105" s="108">
        <v>70072.817851959364</v>
      </c>
      <c r="BJ105" s="108">
        <v>28.426439232409383</v>
      </c>
      <c r="BK105" s="108">
        <v>56796.02558635395</v>
      </c>
      <c r="BL105" s="108">
        <v>20.952851369555454</v>
      </c>
      <c r="BM105" s="108">
        <v>41863.797036371798</v>
      </c>
      <c r="BN105" s="108">
        <v>12.402467685076381</v>
      </c>
      <c r="BO105" s="108">
        <v>24780.130434782608</v>
      </c>
      <c r="BP105" s="108">
        <v>25.928069053708441</v>
      </c>
      <c r="BQ105" s="108">
        <v>51804.281969309464</v>
      </c>
      <c r="BR105" s="108">
        <v>0</v>
      </c>
      <c r="BS105" s="108">
        <v>0</v>
      </c>
      <c r="BT105" s="108">
        <v>0</v>
      </c>
      <c r="BU105" s="108">
        <v>0</v>
      </c>
      <c r="BV105" s="108">
        <v>48</v>
      </c>
      <c r="BW105" s="108">
        <v>95904</v>
      </c>
      <c r="BX105" s="108">
        <v>50.388694398682041</v>
      </c>
      <c r="BY105" s="108">
        <v>100676.61140856672</v>
      </c>
      <c r="BZ105" s="108">
        <v>38.5</v>
      </c>
      <c r="CA105" s="108">
        <v>76923</v>
      </c>
      <c r="CB105" s="108">
        <v>90.338088445078455</v>
      </c>
      <c r="CC105" s="108">
        <v>180495.50071326675</v>
      </c>
      <c r="CD105" s="108">
        <v>47.380308880308881</v>
      </c>
      <c r="CE105" s="108">
        <v>94665.857142857145</v>
      </c>
      <c r="CF105" s="108">
        <v>0</v>
      </c>
      <c r="CG105" s="108">
        <v>0</v>
      </c>
      <c r="CH105" s="108">
        <v>15.4988928255093</v>
      </c>
      <c r="CI105" s="108">
        <v>30966.78786536758</v>
      </c>
      <c r="CJ105" s="108">
        <v>27</v>
      </c>
      <c r="CK105" s="108">
        <v>53946</v>
      </c>
      <c r="CL105" s="108">
        <v>4.9602757715036114</v>
      </c>
      <c r="CM105" s="108">
        <v>9910.6309914642152</v>
      </c>
      <c r="CN105" s="108">
        <v>52.806872852233681</v>
      </c>
      <c r="CO105" s="108">
        <v>105508.1319587629</v>
      </c>
      <c r="CP105" s="108">
        <v>36.370173475097928</v>
      </c>
      <c r="CQ105" s="108">
        <v>72667.606603245658</v>
      </c>
      <c r="CR105" s="108">
        <v>34.436483739837399</v>
      </c>
      <c r="CS105" s="108">
        <v>68804.094512195123</v>
      </c>
      <c r="CT105" s="108">
        <v>32.370863309352515</v>
      </c>
      <c r="CU105" s="108">
        <v>64676.984892086322</v>
      </c>
    </row>
    <row r="107" spans="2:99" x14ac:dyDescent="0.2">
      <c r="B107" s="112" t="s">
        <v>275</v>
      </c>
    </row>
    <row r="108" spans="2:99" x14ac:dyDescent="0.2">
      <c r="C108" s="107" t="s">
        <v>276</v>
      </c>
      <c r="D108" s="107" t="s">
        <v>92</v>
      </c>
      <c r="E108" s="107" t="s">
        <v>93</v>
      </c>
      <c r="F108" s="107" t="s">
        <v>94</v>
      </c>
      <c r="G108" s="107" t="s">
        <v>95</v>
      </c>
      <c r="H108" s="107" t="s">
        <v>96</v>
      </c>
      <c r="I108" s="107" t="s">
        <v>97</v>
      </c>
      <c r="J108" s="107" t="s">
        <v>98</v>
      </c>
      <c r="K108" s="107" t="s">
        <v>99</v>
      </c>
      <c r="L108" s="107" t="s">
        <v>100</v>
      </c>
      <c r="M108" s="107" t="s">
        <v>101</v>
      </c>
      <c r="N108" s="107" t="s">
        <v>102</v>
      </c>
      <c r="O108" s="107" t="s">
        <v>103</v>
      </c>
    </row>
    <row r="109" spans="2:99" x14ac:dyDescent="0.2">
      <c r="C109" s="107" t="s">
        <v>126</v>
      </c>
      <c r="D109" s="108">
        <f>SUM(D$6:D$19)+SUM(F$6:F$19)+SUM(H$6:H$19)+SUM(J$6:J$19)</f>
        <v>0</v>
      </c>
      <c r="E109" s="108">
        <f>SUM(L$6:L$19)+SUM(N$6:N$19)+SUM(P$6:P$19)+SUM(R$6:R$19)</f>
        <v>2378.0886055906135</v>
      </c>
      <c r="F109" s="108">
        <f>SUM(T$6:T$19)+SUM(V$6:V$19)+SUM(X$6:X$19)+SUM(Z$6:Z$19)</f>
        <v>384.00865176640229</v>
      </c>
      <c r="G109" s="108">
        <f>SUM(AB$6:AB$19)+SUM(AD$6:AD$19)+SUM(AF$6:AF$19)+SUM(AH$6:AH$19)</f>
        <v>924.81492600921933</v>
      </c>
      <c r="H109" s="108">
        <f>SUM(AJ$6:AJ$19)+SUM(AL$6:AL$19)+SUM(AN$6:AN$19)+SUM(AP$6:AP$19)</f>
        <v>394.19501455584054</v>
      </c>
      <c r="I109" s="108">
        <f>SUM(AR$6:AR$19)+SUM(AT$6:AT$19)+SUM(AV$6:AV$19)+SUM(AX$6:AX$19)</f>
        <v>1008.710633643354</v>
      </c>
      <c r="J109" s="108">
        <f>SUM(AZ$6:AZ$19)+SUM(BB$6:BB$19)+SUM(BD$6:BD$19)+SUM(BF$6:BF$19)</f>
        <v>175.07835149648585</v>
      </c>
      <c r="K109" s="108">
        <f>SUM(BH$6:BH$19)+SUM(BJ$6:BJ$19)+SUM(BL$6:BL$19)+SUM(BN$6:BN$19)</f>
        <v>1919.6254545295346</v>
      </c>
      <c r="L109" s="108">
        <f>SUM(BP$6:BP$19)+SUM(BR$6:BR$19)+SUM(BT$6:BT$19)+SUM(BV$6:BV$19)</f>
        <v>1333.628202326503</v>
      </c>
      <c r="M109" s="108">
        <f>SUM(BX$6:BX$19)+SUM(BZ$6:BZ$19)+SUM(CB$6:CB$19)+SUM(CD$6:CD$19)</f>
        <v>826.69945578672991</v>
      </c>
      <c r="N109" s="108">
        <f>SUM(CF$6:CF$19)+SUM(CH$6:CH$19)+SUM(CJ$6:CJ$19)+SUM(CL$6:CL$19)</f>
        <v>180.24298818772814</v>
      </c>
      <c r="O109" s="108">
        <f>SUM(CN$6:CN$19)+SUM(CP$6:CP$19)+SUM(CR$6:CR$19)+SUM(CT$6:CT$19)</f>
        <v>207.2448058331309</v>
      </c>
    </row>
    <row r="110" spans="2:99" x14ac:dyDescent="0.2">
      <c r="C110" s="107" t="s">
        <v>127</v>
      </c>
      <c r="D110" s="108">
        <f>SUM(D$20:D$36)+SUM(F$20:F$36)+SUM(H$20:H$36)+SUM(J$20:J$36)</f>
        <v>0</v>
      </c>
      <c r="E110" s="108">
        <f>SUM(L$20:L$36)+SUM(N$20:N$36)+SUM(P$20:P$36)+SUM(R$20:R$36)</f>
        <v>1177.5459847824986</v>
      </c>
      <c r="F110" s="108">
        <f>SUM(T$20:T$36)+SUM(V$20:V$36)+SUM(X$20:X$36)+SUM(Z$20:Z$36)</f>
        <v>1820.9054614275415</v>
      </c>
      <c r="G110" s="108">
        <f>SUM(AB$20:AB$36)+SUM(AD$20:AD$36)+SUM(AF$20:AF$36)+SUM(AH$20:AH$36)</f>
        <v>704.70934136264316</v>
      </c>
      <c r="H110" s="108">
        <f>SUM(AJ$20:AJ$36)+SUM(AL$20:AL$36)+SUM(AN$20:AN$36)+SUM(AP$20:AP$36)</f>
        <v>1117.9111165072591</v>
      </c>
      <c r="I110" s="108">
        <f>SUM(AR$20:AR$36)+SUM(AT$20:AT$36)+SUM(AV$20:AV$36)+SUM(AX$20:AX$36)</f>
        <v>722.20016723786841</v>
      </c>
      <c r="J110" s="108">
        <f>SUM(AZ$20:AZ$36)+SUM(BB$20:BB$36)+SUM(BD$20:BD$36)+SUM(BF$20:BF$36)</f>
        <v>1617.4529866540315</v>
      </c>
      <c r="K110" s="108">
        <f>SUM(BH$20:BH$36)+SUM(BJ$20:BJ$36)+SUM(BL$20:BL$36)+SUM(BN$20:BN$36)</f>
        <v>740.3649987553332</v>
      </c>
      <c r="L110" s="108">
        <f>SUM(BP$20:BP$36)+SUM(BR$20:BR$36)+SUM(BT$20:BT$36)+SUM(BV$20:BV$36)</f>
        <v>345.84279682090664</v>
      </c>
      <c r="M110" s="108">
        <f>SUM(BX$20:BX$36)+SUM(BZ$20:BZ$36)+SUM(CB$20:CB$36)+SUM(CD$20:CD$36)</f>
        <v>757.88247788081389</v>
      </c>
      <c r="N110" s="108">
        <f>SUM(CF$20:CF$36)+SUM(CH$20:CH$36)+SUM(CJ$20:CJ$36)+SUM(CL$20:CL$36)</f>
        <v>1490.1716520283167</v>
      </c>
      <c r="O110" s="108">
        <f>SUM(CN$20:CN$36)+SUM(CP$20:CP$36)+SUM(CR$20:CR$36)+SUM(CT$20:CT$36)</f>
        <v>1911.0124656990338</v>
      </c>
    </row>
    <row r="111" spans="2:99" x14ac:dyDescent="0.2">
      <c r="C111" s="107" t="s">
        <v>128</v>
      </c>
      <c r="D111" s="108">
        <f>SUM(D$37:D$48)+SUM(F$37:F$48)+SUM(H$37:H$48)+SUM(J$37:J$48)</f>
        <v>0</v>
      </c>
      <c r="E111" s="108">
        <f>SUM(L$37:L$48)+SUM(N$37:N$48)+SUM(P$37:P$48)+SUM(R$37:R$48)</f>
        <v>723.71042747874026</v>
      </c>
      <c r="F111" s="108">
        <f>SUM(T$37:T$48)+SUM(V$37:V$48)+SUM(X$37:X$48)+SUM(Z$37:Z$48)</f>
        <v>565.73294430425381</v>
      </c>
      <c r="G111" s="108">
        <f>SUM(AB$37:AB$48)+SUM(AD$37:AD$48)+SUM(AF$37:AF$48)+SUM(AH$37:AH$48)</f>
        <v>551.08123556903365</v>
      </c>
      <c r="H111" s="108">
        <f>SUM(AJ$37:AJ$48)+SUM(AL$37:AL$48)+SUM(AN$37:AN$48)+SUM(AP$37:AP$48)</f>
        <v>528.62704476540057</v>
      </c>
      <c r="I111" s="108">
        <f>SUM(AR$37:AR$48)+SUM(AT$37:AT$48)+SUM(AV$37:AV$48)+SUM(AX$37:AX$48)</f>
        <v>1876.5165123758563</v>
      </c>
      <c r="J111" s="108">
        <f>SUM(AZ$37:AZ$48)+SUM(BB$37:BB$48)+SUM(BD$37:BD$48)+SUM(BF$37:BF$48)</f>
        <v>365.09198926004899</v>
      </c>
      <c r="K111" s="108">
        <f>SUM(BH$37:BH$48)+SUM(BJ$37:BJ$48)+SUM(BL$37:BL$48)+SUM(BN$37:BN$48)</f>
        <v>556.95695212333953</v>
      </c>
      <c r="L111" s="108">
        <f>SUM(BP$37:BP$48)+SUM(BR$37:BR$48)+SUM(BT$37:BT$48)+SUM(BV$37:BV$48)</f>
        <v>388.33187941340816</v>
      </c>
      <c r="M111" s="108">
        <f>SUM(BX$37:BX$48)+SUM(BZ$37:BZ$48)+SUM(CB$37:CB$48)+SUM(CD$37:CD$48)</f>
        <v>956.76989862687356</v>
      </c>
      <c r="N111" s="108">
        <f>SUM(CF$37:CF$48)+SUM(CH$37:CH$48)+SUM(CJ$37:CJ$48)+SUM(CL$37:CL$48)</f>
        <v>498.1937572512727</v>
      </c>
      <c r="O111" s="108">
        <f>SUM(CN$37:CN$48)+SUM(CP$37:CP$48)+SUM(CR$37:CR$48)+SUM(CT$37:CT$48)</f>
        <v>190.51968828108448</v>
      </c>
    </row>
    <row r="112" spans="2:99" x14ac:dyDescent="0.2">
      <c r="C112" s="107" t="s">
        <v>129</v>
      </c>
      <c r="D112" s="108">
        <f>SUM(D$49:D$70)+SUM(F$49:F$70)+SUM(H$49:H$70)+SUM(J$49:J$70)</f>
        <v>127.42567278940624</v>
      </c>
      <c r="E112" s="108">
        <f>SUM(L$49:L$70)+SUM(N$49:N$70)+SUM(P$49:P$70)+SUM(R$49:R$70)</f>
        <v>854.07332167890434</v>
      </c>
      <c r="F112" s="108">
        <f>SUM(T$49:T$70)+SUM(V$49:V$70)+SUM(X$49:X$70)+SUM(Z$49:Z$70)</f>
        <v>596.0594652501776</v>
      </c>
      <c r="G112" s="108">
        <f>SUM(AB$49:AB$70)+SUM(AD$49:AD$70)+SUM(AF$49:AF$70)+SUM(AH$49:AH$70)</f>
        <v>456.72854709819694</v>
      </c>
      <c r="H112" s="108">
        <f>SUM(AJ$49:AJ$70)+SUM(AL$49:AL$70)+SUM(AN$49:AN$70)+SUM(AP$49:AP$70)</f>
        <v>1634.0538267812647</v>
      </c>
      <c r="I112" s="108">
        <f>SUM(AR$49:AR$70)+SUM(AT$49:AT$70)+SUM(AV$49:AV$70)+SUM(AX$49:AX$70)</f>
        <v>680.51487806812963</v>
      </c>
      <c r="J112" s="108">
        <f>SUM(AZ$49:AZ$70)+SUM(BB$49:BB$70)+SUM(BD$49:BD$70)+SUM(BF$49:BF$70)</f>
        <v>476.57598916253602</v>
      </c>
      <c r="K112" s="108">
        <f>SUM(BH$49:BH$70)+SUM(BJ$49:BJ$70)+SUM(BL$49:BL$70)+SUM(BN$49:BN$70)</f>
        <v>1197.7195297987689</v>
      </c>
      <c r="L112" s="108">
        <f>SUM(BP$49:BP$70)+SUM(BR$49:BR$70)+SUM(BT$49:BT$70)+SUM(BV$49:BV$70)</f>
        <v>605.60664829340192</v>
      </c>
      <c r="M112" s="108">
        <f>SUM(BX$49:BX$70)+SUM(BZ$49:BZ$70)+SUM(CB$49:CB$70)+SUM(CD$49:CD$70)</f>
        <v>1971.5261500854915</v>
      </c>
      <c r="N112" s="108">
        <f>SUM(CF$49:CF$70)+SUM(CH$49:CH$70)+SUM(CJ$49:CJ$70)+SUM(CL$49:CL$70)</f>
        <v>599.87855270386899</v>
      </c>
      <c r="O112" s="108">
        <f>SUM(CN$49:CN$70)+SUM(CP$49:CP$70)+SUM(CR$49:CR$70)+SUM(CT$49:CT$70)</f>
        <v>526.34100698595694</v>
      </c>
    </row>
    <row r="113" spans="2:15" x14ac:dyDescent="0.2">
      <c r="C113" s="107" t="s">
        <v>130</v>
      </c>
      <c r="D113" s="108">
        <f>SUM(D$71:D$86)+SUM(F$71:F$86)+SUM(H$71:H$86)+SUM(J$71:J$86)</f>
        <v>240.2579026057241</v>
      </c>
      <c r="E113" s="108">
        <f>SUM(L$71:L$86)+SUM(N$71:N$86)+SUM(P$71:P$86)+SUM(R$71:R$86)</f>
        <v>1254.2136764150428</v>
      </c>
      <c r="F113" s="108">
        <f>SUM(T$71:T$86)+SUM(V$71:V$86)+SUM(X$71:X$86)+SUM(Z$71:Z$86)</f>
        <v>580.30923862581244</v>
      </c>
      <c r="G113" s="108">
        <f>SUM(AB$71:AB$86)+SUM(AD$71:AD$86)+SUM(AF$71:AF$86)+SUM(AH$71:AH$86)</f>
        <v>1330.2939796716184</v>
      </c>
      <c r="H113" s="108">
        <f>SUM(AJ$71:AJ$86)+SUM(AL$71:AL$86)+SUM(AN$71:AN$86)+SUM(AP$71:AP$86)</f>
        <v>1167.8403531583692</v>
      </c>
      <c r="I113" s="108">
        <f>SUM(AR$71:AR$86)+SUM(AT$71:AT$86)+SUM(AV$71:AV$86)+SUM(AX$71:AX$86)</f>
        <v>2367.2684723580987</v>
      </c>
      <c r="J113" s="108">
        <f>SUM(AZ$71:AZ$86)+SUM(BB$71:BB$86)+SUM(BD$71:BD$86)+SUM(BF$71:BF$86)</f>
        <v>486.81223456187462</v>
      </c>
      <c r="K113" s="108">
        <f>SUM(BH$71:BH$86)+SUM(BJ$71:BJ$86)+SUM(BL$71:BL$86)+SUM(BN$71:BN$86)</f>
        <v>2993.8898482528812</v>
      </c>
      <c r="L113" s="108">
        <f>SUM(BP$71:BP$86)+SUM(BR$71:BR$86)+SUM(BT$71:BT$86)+SUM(BV$71:BV$86)</f>
        <v>544.72058823529414</v>
      </c>
      <c r="M113" s="108">
        <f>SUM(BX$71:BX$86)+SUM(BZ$71:BZ$86)+SUM(CB$71:CB$86)+SUM(CD$71:CD$86)</f>
        <v>893.89996032628596</v>
      </c>
      <c r="N113" s="108">
        <f>SUM(CF$71:CF$86)+SUM(CH$71:CH$86)+SUM(CJ$71:CJ$86)+SUM(CL$71:CL$86)</f>
        <v>642.13882572332</v>
      </c>
      <c r="O113" s="108">
        <f>SUM(CN$71:CN$86)+SUM(CP$71:CP$86)+SUM(CR$71:CR$86)+SUM(CT$71:CT$86)</f>
        <v>1134.2372197178333</v>
      </c>
    </row>
    <row r="114" spans="2:15" x14ac:dyDescent="0.2">
      <c r="C114" s="107" t="s">
        <v>131</v>
      </c>
      <c r="D114" s="108">
        <f>SUM(D$87:D$94)+SUM(F$87:F$94)+SUM(H$87:H$94)+SUM(J$87:J$94)</f>
        <v>73.323152498932089</v>
      </c>
      <c r="E114" s="108">
        <f>SUM(L$87:L$94)+SUM(N$87:N$94)+SUM(P$87:P$94)+SUM(R$87:R$94)</f>
        <v>822.17816706087797</v>
      </c>
      <c r="F114" s="108">
        <f>SUM(T$87:T$94)+SUM(V$87:V$94)+SUM(X$87:X$94)+SUM(Z$87:Z$94)</f>
        <v>784.71467038068704</v>
      </c>
      <c r="G114" s="108">
        <f>SUM(AB$87:AB$94)+SUM(AD$87:AD$94)+SUM(AF$87:AF$94)+SUM(AH$87:AH$94)</f>
        <v>1213.2204847537139</v>
      </c>
      <c r="H114" s="108">
        <f>SUM(AJ$87:AJ$94)+SUM(AL$87:AL$94)+SUM(AN$87:AN$94)+SUM(AP$87:AP$94)</f>
        <v>2024.6813504037289</v>
      </c>
      <c r="I114" s="108">
        <f>SUM(AR$87:AR$94)+SUM(AT$87:AT$94)+SUM(AV$87:AV$94)+SUM(AX$87:AX$94)</f>
        <v>188.58870155727791</v>
      </c>
      <c r="J114" s="108">
        <f>SUM(AZ$87:AZ$94)+SUM(BB$87:BB$94)+SUM(BD$87:BD$94)+SUM(BF$87:BF$94)</f>
        <v>493.90898218208446</v>
      </c>
      <c r="K114" s="108">
        <f>SUM(BH$87:BH$94)+SUM(BJ$87:BJ$94)+SUM(BL$87:BL$94)+SUM(BN$87:BN$94)</f>
        <v>632.77529550794975</v>
      </c>
      <c r="L114" s="108">
        <f>SUM(BP$87:BP$94)+SUM(BR$87:BR$94)+SUM(BT$87:BT$94)+SUM(BV$87:BV$94)</f>
        <v>874.2848465473146</v>
      </c>
      <c r="M114" s="108">
        <f>SUM(BX$87:BX$94)+SUM(BZ$87:BZ$94)+SUM(CB$87:CB$94)+SUM(CD$87:CD$94)</f>
        <v>444.44445442210053</v>
      </c>
      <c r="N114" s="108">
        <f>SUM(CF$87:CF$94)+SUM(CH$87:CH$94)+SUM(CJ$87:CJ$94)+SUM(CL$87:CL$94)</f>
        <v>1018.0469898520878</v>
      </c>
      <c r="O114" s="108">
        <f>SUM(CN$87:CN$94)+SUM(CP$87:CP$94)+SUM(CR$87:CR$94)+SUM(CT$87:CT$94)</f>
        <v>324.23730085220973</v>
      </c>
    </row>
    <row r="115" spans="2:15" x14ac:dyDescent="0.2">
      <c r="C115" s="107" t="s">
        <v>132</v>
      </c>
      <c r="D115" s="108">
        <f>SUM(D$95:D$105)+SUM(F$95:F$105)+SUM(H$95:H$105)+SUM(J$95:J$105)</f>
        <v>392.24327210593765</v>
      </c>
      <c r="E115" s="108">
        <f>SUM(L$95:L$105)+SUM(N$95:N$105)+SUM(P$95:P$105)+SUM(R$95:R$105)</f>
        <v>1122.6898169933224</v>
      </c>
      <c r="F115" s="108">
        <f>SUM(T$95:T$105)+SUM(V$95:V$105)+SUM(X$95:X$105)+SUM(Z$95:Z$105)</f>
        <v>1101.0195682451254</v>
      </c>
      <c r="G115" s="108">
        <f>SUM(AB$95:AB$105)+SUM(AD$95:AD$105)+SUM(AF$95:AF$105)+SUM(AH$95:AH$105)</f>
        <v>651.90148553557469</v>
      </c>
      <c r="H115" s="108">
        <f>SUM(AJ$95:AJ$105)+SUM(AL$95:AL$105)+SUM(AN$95:AN$105)+SUM(AP$95:AP$105)</f>
        <v>1465.1912938281375</v>
      </c>
      <c r="I115" s="108">
        <f>SUM(AR$95:AR$105)+SUM(AT$95:AT$105)+SUM(AV$95:AV$105)+SUM(AX$95:AX$105)</f>
        <v>655.45063475941561</v>
      </c>
      <c r="J115" s="108">
        <f>SUM(AZ$95:AZ$105)+SUM(BB$95:BB$105)+SUM(BD$95:BD$105)+SUM(BF$95:BF$105)</f>
        <v>551.32946668293869</v>
      </c>
      <c r="K115" s="108">
        <f>SUM(BH$95:BH$105)+SUM(BJ$95:BJ$105)+SUM(BL$95:BL$105)+SUM(BN$95:BN$105)</f>
        <v>1124.4179210321931</v>
      </c>
      <c r="L115" s="108">
        <f>SUM(BP$95:BP$105)+SUM(BR$95:BR$105)+SUM(BT$95:BT$105)+SUM(BV$95:BV$105)</f>
        <v>896.58503836317141</v>
      </c>
      <c r="M115" s="108">
        <f>SUM(BX$95:BX$105)+SUM(BZ$95:BZ$105)+SUM(CB$95:CB$105)+SUM(CD$95:CD$105)</f>
        <v>2491.7776028717044</v>
      </c>
      <c r="N115" s="108">
        <f>SUM(CF$95:CF$105)+SUM(CH$95:CH$105)+SUM(CJ$95:CJ$105)+SUM(CL$95:CL$105)</f>
        <v>570.82723425340532</v>
      </c>
      <c r="O115" s="108">
        <f>SUM(CN$95:CN$105)+SUM(CP$95:CP$105)+SUM(CR$95:CR$105)+SUM(CT$95:CT$105)</f>
        <v>1746.6575126307514</v>
      </c>
    </row>
    <row r="116" spans="2:15" x14ac:dyDescent="0.2">
      <c r="C116" s="107" t="s">
        <v>277</v>
      </c>
      <c r="D116" s="108">
        <f t="shared" ref="D116:O116" si="0">SUM(D$109:D$115)</f>
        <v>833.25</v>
      </c>
      <c r="E116" s="108">
        <f t="shared" si="0"/>
        <v>8332.5</v>
      </c>
      <c r="F116" s="108">
        <f t="shared" si="0"/>
        <v>5832.75</v>
      </c>
      <c r="G116" s="108">
        <f t="shared" si="0"/>
        <v>5832.75</v>
      </c>
      <c r="H116" s="108">
        <f t="shared" si="0"/>
        <v>8332.5</v>
      </c>
      <c r="I116" s="108">
        <f t="shared" si="0"/>
        <v>7499.25</v>
      </c>
      <c r="J116" s="108">
        <f t="shared" si="0"/>
        <v>4166.25</v>
      </c>
      <c r="K116" s="108">
        <f t="shared" si="0"/>
        <v>9165.75</v>
      </c>
      <c r="L116" s="108">
        <f t="shared" si="0"/>
        <v>4989</v>
      </c>
      <c r="M116" s="108">
        <f t="shared" si="0"/>
        <v>8343</v>
      </c>
      <c r="N116" s="108">
        <f t="shared" si="0"/>
        <v>4999.5</v>
      </c>
      <c r="O116" s="108">
        <f t="shared" si="0"/>
        <v>6040.2500000000009</v>
      </c>
    </row>
    <row r="118" spans="2:15" x14ac:dyDescent="0.2">
      <c r="B118" s="111" t="s">
        <v>278</v>
      </c>
    </row>
    <row r="119" spans="2:15" x14ac:dyDescent="0.2">
      <c r="C119" s="107" t="s">
        <v>276</v>
      </c>
      <c r="D119" s="107" t="s">
        <v>92</v>
      </c>
      <c r="E119" s="107" t="s">
        <v>93</v>
      </c>
      <c r="F119" s="107" t="s">
        <v>94</v>
      </c>
      <c r="G119" s="107" t="s">
        <v>95</v>
      </c>
      <c r="H119" s="107" t="s">
        <v>96</v>
      </c>
      <c r="I119" s="107" t="s">
        <v>97</v>
      </c>
      <c r="J119" s="107" t="s">
        <v>98</v>
      </c>
      <c r="K119" s="107" t="s">
        <v>99</v>
      </c>
      <c r="L119" s="107" t="s">
        <v>100</v>
      </c>
      <c r="M119" s="107" t="s">
        <v>101</v>
      </c>
      <c r="N119" s="107" t="s">
        <v>102</v>
      </c>
      <c r="O119" s="107" t="s">
        <v>103</v>
      </c>
    </row>
    <row r="120" spans="2:15" x14ac:dyDescent="0.2">
      <c r="C120" s="107" t="s">
        <v>126</v>
      </c>
      <c r="D120" s="108">
        <f>D109*pricing!D15*2000</f>
        <v>0</v>
      </c>
      <c r="E120" s="108">
        <f>E109*pricing!E15*2000</f>
        <v>4068161.2072349656</v>
      </c>
      <c r="F120" s="108">
        <f>F109*pricing!F15*2000</f>
        <v>1778844.490921967</v>
      </c>
      <c r="G120" s="108">
        <f>G109*pricing!G15*2000</f>
        <v>2306408.5761883375</v>
      </c>
      <c r="H120" s="108">
        <f>H109*pricing!H15*2000</f>
        <v>1654710.3928902389</v>
      </c>
      <c r="I120" s="108">
        <f>I109*pricing!I15*2000</f>
        <v>2034100.2593556533</v>
      </c>
      <c r="J120" s="108">
        <f>J109*pricing!J15*2000</f>
        <v>677348.64169491758</v>
      </c>
      <c r="K120" s="108">
        <f>K109*pricing!K15*2000</f>
        <v>3218585.7958711265</v>
      </c>
      <c r="L120" s="108">
        <f>L109*pricing!L15*2000</f>
        <v>2009711.332134123</v>
      </c>
      <c r="M120" s="108">
        <f>M109*pricing!M15*2000</f>
        <v>2730291.3019405496</v>
      </c>
      <c r="N120" s="108">
        <f>N109*pricing!N15*2000</f>
        <v>533738.37636716315</v>
      </c>
      <c r="O120" s="108">
        <f>O109*pricing!O15*2000</f>
        <v>678607.41861844657</v>
      </c>
    </row>
    <row r="121" spans="2:15" x14ac:dyDescent="0.2">
      <c r="C121" s="107" t="s">
        <v>127</v>
      </c>
      <c r="D121" s="108">
        <f>D110*pricing!D16*2000</f>
        <v>0</v>
      </c>
      <c r="E121" s="108">
        <f>E110*pricing!E16*2000</f>
        <v>4781510.4265344944</v>
      </c>
      <c r="F121" s="108">
        <f>F110*pricing!F16*2000</f>
        <v>5999583.9637612253</v>
      </c>
      <c r="G121" s="108">
        <f>G110*pricing!G16*2000</f>
        <v>2975858.822644915</v>
      </c>
      <c r="H121" s="108">
        <f>H110*pricing!H16*2000</f>
        <v>4258361.4269204251</v>
      </c>
      <c r="I121" s="108">
        <f>I110*pricing!I16*2000</f>
        <v>2902188.2942366186</v>
      </c>
      <c r="J121" s="108">
        <f>J110*pricing!J16*2000</f>
        <v>2872952.6596723213</v>
      </c>
      <c r="K121" s="108">
        <f>K110*pricing!K16*2000</f>
        <v>3314912.9731073459</v>
      </c>
      <c r="L121" s="108">
        <f>L110*pricing!L16*2000</f>
        <v>1542598.9672382385</v>
      </c>
      <c r="M121" s="108">
        <f>M110*pricing!M16*2000</f>
        <v>3582589.8837970998</v>
      </c>
      <c r="N121" s="108">
        <f>N110*pricing!N16*2000</f>
        <v>2182375.6098968233</v>
      </c>
      <c r="O121" s="108">
        <f>O110*pricing!O16*2000</f>
        <v>2697280.1784787639</v>
      </c>
    </row>
    <row r="122" spans="2:15" x14ac:dyDescent="0.2">
      <c r="C122" s="107" t="s">
        <v>128</v>
      </c>
      <c r="D122" s="108">
        <f>D111*pricing!D17*2000</f>
        <v>0</v>
      </c>
      <c r="E122" s="108">
        <f>E111*pricing!E17*2000</f>
        <v>2170601.8938289532</v>
      </c>
      <c r="F122" s="108">
        <f>F111*pricing!F17*2000</f>
        <v>2283226.5319285234</v>
      </c>
      <c r="G122" s="108">
        <f>G111*pricing!G17*2000</f>
        <v>1670054.014779709</v>
      </c>
      <c r="H122" s="108">
        <f>H111*pricing!H17*2000</f>
        <v>1923864.3821236875</v>
      </c>
      <c r="I122" s="108">
        <f>I111*pricing!I17*2000</f>
        <v>2642675.5295529473</v>
      </c>
      <c r="J122" s="108">
        <f>J111*pricing!J17*2000</f>
        <v>1089219.6981836932</v>
      </c>
      <c r="K122" s="108">
        <f>K111*pricing!K17*2000</f>
        <v>1962634.8624859508</v>
      </c>
      <c r="L122" s="108">
        <f>L111*pricing!L17*2000</f>
        <v>1099529.8702694378</v>
      </c>
      <c r="M122" s="108">
        <f>M111*pricing!M17*2000</f>
        <v>3131247.2898624572</v>
      </c>
      <c r="N122" s="108">
        <f>N111*pricing!N17*2000</f>
        <v>934093.23024000134</v>
      </c>
      <c r="O122" s="108">
        <f>O111*pricing!O17*2000</f>
        <v>682191.88419548317</v>
      </c>
    </row>
    <row r="123" spans="2:15" x14ac:dyDescent="0.2">
      <c r="C123" s="107" t="s">
        <v>129</v>
      </c>
      <c r="D123" s="108">
        <f>D112*pricing!D18*2000</f>
        <v>232718.6237766791</v>
      </c>
      <c r="E123" s="108">
        <f>E112*pricing!E18*2000</f>
        <v>3047153.7084631808</v>
      </c>
      <c r="F123" s="108">
        <f>F112*pricing!F18*2000</f>
        <v>2439107.2335577989</v>
      </c>
      <c r="G123" s="108">
        <f>G112*pricing!G18*2000</f>
        <v>2107053.8349947776</v>
      </c>
      <c r="H123" s="108">
        <f>H112*pricing!H18*2000</f>
        <v>4044275.1508981269</v>
      </c>
      <c r="I123" s="108">
        <f>I112*pricing!I18*2000</f>
        <v>1723690.8212019014</v>
      </c>
      <c r="J123" s="108">
        <f>J112*pricing!J18*2000</f>
        <v>1573946.2478306731</v>
      </c>
      <c r="K123" s="108">
        <f>K112*pricing!K18*2000</f>
        <v>3185955.8836173997</v>
      </c>
      <c r="L123" s="108">
        <f>L112*pricing!L18*2000</f>
        <v>1826331.9175133526</v>
      </c>
      <c r="M123" s="108">
        <f>M112*pricing!M18*2000</f>
        <v>4471095.7944346564</v>
      </c>
      <c r="N123" s="108">
        <f>N112*pricing!N18*2000</f>
        <v>1624308.3579788634</v>
      </c>
      <c r="O123" s="108">
        <f>O112*pricing!O18*2000</f>
        <v>1741434.162032421</v>
      </c>
    </row>
    <row r="124" spans="2:15" x14ac:dyDescent="0.2">
      <c r="C124" s="107" t="s">
        <v>130</v>
      </c>
      <c r="D124" s="108">
        <f>D113*pricing!D19*2000</f>
        <v>776403.80630675773</v>
      </c>
      <c r="E124" s="108">
        <f>E113*pricing!E19*2000</f>
        <v>3442858.2052458045</v>
      </c>
      <c r="F124" s="108">
        <f>F113*pricing!F19*2000</f>
        <v>1964967.0124932081</v>
      </c>
      <c r="G124" s="108">
        <f>G113*pricing!G19*2000</f>
        <v>5120171.0558087295</v>
      </c>
      <c r="H124" s="108">
        <f>H113*pricing!H19*2000</f>
        <v>4734208.5669810027</v>
      </c>
      <c r="I124" s="108">
        <f>I113*pricing!I19*2000</f>
        <v>3750063.7626531608</v>
      </c>
      <c r="J124" s="108">
        <f>J113*pricing!J19*2000</f>
        <v>2308341.6843363433</v>
      </c>
      <c r="K124" s="108">
        <f>K113*pricing!K19*2000</f>
        <v>6670475.0104485182</v>
      </c>
      <c r="L124" s="108">
        <f>L113*pricing!L19*2000</f>
        <v>2449029.3571342183</v>
      </c>
      <c r="M124" s="108">
        <f>M113*pricing!M19*2000</f>
        <v>3236880.4653243478</v>
      </c>
      <c r="N124" s="108">
        <f>N113*pricing!N19*2000</f>
        <v>2820249.1392424409</v>
      </c>
      <c r="O124" s="108">
        <f>O113*pricing!O19*2000</f>
        <v>4401631.7957371036</v>
      </c>
    </row>
    <row r="125" spans="2:15" x14ac:dyDescent="0.2">
      <c r="C125" s="107" t="s">
        <v>131</v>
      </c>
      <c r="D125" s="108">
        <f>D114*pricing!D20*2000</f>
        <v>243926.54162039634</v>
      </c>
      <c r="E125" s="108">
        <f>E114*pricing!E20*2000</f>
        <v>1498595.7125333734</v>
      </c>
      <c r="F125" s="108">
        <f>F114*pricing!F20*2000</f>
        <v>1140568.9255759967</v>
      </c>
      <c r="G125" s="108">
        <f>G114*pricing!G20*2000</f>
        <v>3126472.0209626718</v>
      </c>
      <c r="H125" s="108">
        <f>H114*pricing!H20*2000</f>
        <v>2894141.5456005516</v>
      </c>
      <c r="I125" s="108">
        <f>I114*pricing!I20*2000</f>
        <v>635636.9243398885</v>
      </c>
      <c r="J125" s="108">
        <f>J114*pricing!J20*2000</f>
        <v>1198762.0569727432</v>
      </c>
      <c r="K125" s="108">
        <f>K114*pricing!K20*2000</f>
        <v>1645606.8737170217</v>
      </c>
      <c r="L125" s="108">
        <f>L114*pricing!L20*2000</f>
        <v>1550218.4359176294</v>
      </c>
      <c r="M125" s="108">
        <f>M114*pricing!M20*2000</f>
        <v>1339498.5139680365</v>
      </c>
      <c r="N125" s="108">
        <f>N114*pricing!N20*2000</f>
        <v>2114991.489400832</v>
      </c>
      <c r="O125" s="108">
        <f>O114*pricing!O20*2000</f>
        <v>1285499.0282611207</v>
      </c>
    </row>
    <row r="126" spans="2:15" x14ac:dyDescent="0.2">
      <c r="C126" s="107" t="s">
        <v>132</v>
      </c>
      <c r="D126" s="108">
        <f>D115*pricing!D21*2000</f>
        <v>788634.03209643078</v>
      </c>
      <c r="E126" s="108">
        <f>E115*pricing!E21*2000</f>
        <v>2336363.1409997074</v>
      </c>
      <c r="F126" s="108">
        <f>F115*pricing!F21*2000</f>
        <v>1635815.2935709301</v>
      </c>
      <c r="G126" s="108">
        <f>G115*pricing!G21*2000</f>
        <v>2705844.8881384004</v>
      </c>
      <c r="H126" s="108">
        <f>H115*pricing!H21*2000</f>
        <v>3444537.6646331893</v>
      </c>
      <c r="I126" s="108">
        <f>I115*pricing!I21*2000</f>
        <v>1369092.0647664152</v>
      </c>
      <c r="J126" s="108">
        <f>J115*pricing!J21*2000</f>
        <v>1797431.8056579067</v>
      </c>
      <c r="K126" s="108">
        <f>K115*pricing!K21*2000</f>
        <v>2966933.6122713061</v>
      </c>
      <c r="L126" s="108">
        <f>L115*pricing!L21*2000</f>
        <v>1913793.8380540807</v>
      </c>
      <c r="M126" s="108">
        <f>M115*pricing!M21*2000</f>
        <v>3654546.3682547743</v>
      </c>
      <c r="N126" s="108">
        <f>N115*pricing!N21*2000</f>
        <v>2148058.765015204</v>
      </c>
      <c r="O126" s="108">
        <f>O115*pricing!O21*2000</f>
        <v>3689640.3374226703</v>
      </c>
    </row>
    <row r="127" spans="2:15" x14ac:dyDescent="0.2">
      <c r="C127" s="107" t="s">
        <v>277</v>
      </c>
      <c r="D127" s="108">
        <f t="shared" ref="D127:O127" si="1">SUM(D$120:D$126)</f>
        <v>2041683.0038002641</v>
      </c>
      <c r="E127" s="108">
        <f t="shared" si="1"/>
        <v>21345244.294840481</v>
      </c>
      <c r="F127" s="108">
        <f t="shared" si="1"/>
        <v>17242113.451809652</v>
      </c>
      <c r="G127" s="108">
        <f t="shared" si="1"/>
        <v>20011863.213517539</v>
      </c>
      <c r="H127" s="108">
        <f t="shared" si="1"/>
        <v>22954099.130047221</v>
      </c>
      <c r="I127" s="108">
        <f t="shared" si="1"/>
        <v>15057447.656106586</v>
      </c>
      <c r="J127" s="108">
        <f t="shared" si="1"/>
        <v>11518002.794348599</v>
      </c>
      <c r="K127" s="108">
        <f t="shared" si="1"/>
        <v>22965105.011518668</v>
      </c>
      <c r="L127" s="108">
        <f t="shared" si="1"/>
        <v>12391213.718261082</v>
      </c>
      <c r="M127" s="108">
        <f t="shared" si="1"/>
        <v>22146149.617581919</v>
      </c>
      <c r="N127" s="108">
        <f t="shared" si="1"/>
        <v>12357814.968141329</v>
      </c>
      <c r="O127" s="108">
        <f t="shared" si="1"/>
        <v>15176284.804746011</v>
      </c>
    </row>
    <row r="129" spans="2:15" x14ac:dyDescent="0.2">
      <c r="B129" s="111" t="s">
        <v>279</v>
      </c>
    </row>
    <row r="130" spans="2:15" x14ac:dyDescent="0.2">
      <c r="C130" s="113" t="s">
        <v>276</v>
      </c>
      <c r="D130" s="113" t="s">
        <v>92</v>
      </c>
      <c r="E130" s="113" t="s">
        <v>93</v>
      </c>
      <c r="F130" s="113" t="s">
        <v>94</v>
      </c>
      <c r="G130" s="113" t="s">
        <v>95</v>
      </c>
      <c r="H130" s="113" t="s">
        <v>96</v>
      </c>
      <c r="I130" s="113" t="s">
        <v>97</v>
      </c>
      <c r="J130" s="113" t="s">
        <v>98</v>
      </c>
      <c r="K130" s="113" t="s">
        <v>99</v>
      </c>
      <c r="L130" s="113" t="s">
        <v>100</v>
      </c>
      <c r="M130" s="113" t="s">
        <v>101</v>
      </c>
      <c r="N130" s="113" t="s">
        <v>102</v>
      </c>
      <c r="O130" s="113" t="s">
        <v>103</v>
      </c>
    </row>
    <row r="131" spans="2:15" x14ac:dyDescent="0.2">
      <c r="C131" s="113" t="s">
        <v>126</v>
      </c>
      <c r="D131" s="114">
        <f>SUM(E$6:E$19)+SUM(G$6:G$19)+SUM(I$6:I$19)+SUM(K$6:K$19)</f>
        <v>0</v>
      </c>
      <c r="E131" s="114">
        <f>SUM(M$6:M$19)+SUM(O$6:O$19)+SUM(Q$6:Q$19)+SUM(S$6:S$19)</f>
        <v>1182370.840112837</v>
      </c>
      <c r="F131" s="114">
        <f>SUM(U$6:U$19)+SUM(W$6:W$19)+SUM(Y$6:Y$19)+SUM(AA$6:AA$19)</f>
        <v>193786.72499999998</v>
      </c>
      <c r="G131" s="114">
        <f>SUM(AC$6:AC$19)+SUM(AE$6:AE$19)+SUM(AG$6:AG$19)+SUM(AI$6:AI$19)</f>
        <v>464751.9409478188</v>
      </c>
      <c r="H131" s="114">
        <f>SUM(AK$6:AK$19)+SUM(AM$6:AM$19)+SUM(AO$6:AO$19)+SUM(AQ$6:AQ$19)</f>
        <v>199771.35395054863</v>
      </c>
      <c r="I131" s="114">
        <f>SUM(AS$6:AS$19)+SUM(AU$6:AU$19)+SUM(AW$6:AW$19)+SUM(AY$6:AY$19)</f>
        <v>502057.80024053343</v>
      </c>
      <c r="J131" s="114">
        <f>SUM(BA$6:BA$19)+SUM(BC$6:BC$19)+SUM(BE$6:BE$19)+SUM(BG$6:BG$19)</f>
        <v>88705.756455816168</v>
      </c>
      <c r="K131" s="114">
        <f>SUM(BI$6:BI$19)+SUM(BK$6:BK$19)+SUM(BM$6:BM$19)+SUM(BO$6:BO$19)</f>
        <v>963760.57576521952</v>
      </c>
      <c r="L131" s="114">
        <f>SUM(BQ$6:BQ$19)+SUM(BS$6:BS$19)+SUM(BU$6:BU$19)+SUM(BW$6:BW$19)</f>
        <v>662981.18820905616</v>
      </c>
      <c r="M131" s="114">
        <f>SUM(BY$6:BY$19)+SUM(CA$6:CA$19)+SUM(CC$6:CC$19)+SUM(CE$6:CE$19)</f>
        <v>415884.93455625675</v>
      </c>
      <c r="N131" s="114">
        <f>SUM(CG$6:CG$19)+SUM(CI$6:CI$19)+SUM(CK$6:CK$19)+SUM(CM$6:CM$19)</f>
        <v>90273.457607269054</v>
      </c>
      <c r="O131" s="114">
        <f>SUM(CO$6:CO$19)+SUM(CQ$6:CQ$19)+SUM(CS$6:CS$19)+SUM(CU$6:CU$19)</f>
        <v>104106.39208050328</v>
      </c>
    </row>
    <row r="132" spans="2:15" x14ac:dyDescent="0.2">
      <c r="C132" s="113" t="s">
        <v>127</v>
      </c>
      <c r="D132" s="114">
        <f>SUM(E$20:E$36)+SUM(G$20:G$36)+SUM(I$20:I$36)+SUM(K$20:K$36)</f>
        <v>0</v>
      </c>
      <c r="E132" s="114">
        <f>SUM(M$20:M$36)+SUM(O$20:O$36)+SUM(Q$20:Q$36)+SUM(S$20:S$36)</f>
        <v>499189.4099174341</v>
      </c>
      <c r="F132" s="114">
        <f>SUM(U$20:U$36)+SUM(W$20:W$36)+SUM(Y$20:Y$36)+SUM(AA$20:AA$36)</f>
        <v>771854.15131578944</v>
      </c>
      <c r="G132" s="114">
        <f>SUM(AC$20:AC$36)+SUM(AE$20:AE$36)+SUM(AG$20:AG$36)+SUM(AI$20:AI$36)</f>
        <v>302159.83564909134</v>
      </c>
      <c r="H132" s="114">
        <f>SUM(AK$20:AK$36)+SUM(AM$20:AM$36)+SUM(AO$20:AO$36)+SUM(AQ$20:AQ$36)</f>
        <v>476201.06634344353</v>
      </c>
      <c r="I132" s="114">
        <f>SUM(AS$20:AS$36)+SUM(AU$20:AU$36)+SUM(AW$20:AW$36)+SUM(AY$20:AY$36)</f>
        <v>308049.56636901421</v>
      </c>
      <c r="J132" s="114">
        <f>SUM(BA$20:BA$36)+SUM(BC$20:BC$36)+SUM(BE$20:BE$36)+SUM(BG$20:BG$36)</f>
        <v>682193.95599241881</v>
      </c>
      <c r="K132" s="114">
        <f>SUM(BI$20:BI$36)+SUM(BK$20:BK$36)+SUM(BM$20:BM$36)+SUM(BO$20:BO$36)</f>
        <v>315367.5341511775</v>
      </c>
      <c r="L132" s="114">
        <f>SUM(BQ$20:BQ$36)+SUM(BS$20:BS$36)+SUM(BU$20:BU$36)+SUM(BW$20:BW$36)</f>
        <v>147311.65116663312</v>
      </c>
      <c r="M132" s="114">
        <f>SUM(BY$20:BY$36)+SUM(CA$20:CA$36)+SUM(CC$20:CC$36)+SUM(CE$20:CE$36)</f>
        <v>324543.9465435794</v>
      </c>
      <c r="N132" s="114">
        <f>SUM(CG$20:CG$36)+SUM(CI$20:CI$36)+SUM(CK$20:CK$36)+SUM(CM$20:CM$36)</f>
        <v>624509.58568731917</v>
      </c>
      <c r="O132" s="114">
        <f>SUM(CO$20:CO$36)+SUM(CQ$20:CQ$36)+SUM(CS$20:CS$36)+SUM(CU$20:CU$36)</f>
        <v>808244.03942083265</v>
      </c>
    </row>
    <row r="133" spans="2:15" x14ac:dyDescent="0.2">
      <c r="C133" s="113" t="s">
        <v>128</v>
      </c>
      <c r="D133" s="114">
        <f>SUM(E$37:E$48)+SUM(G$37:G$48)+SUM(I$37:I$48)+SUM(K$37:K$48)</f>
        <v>0</v>
      </c>
      <c r="E133" s="114">
        <f>SUM(M$37:M$48)+SUM(O$37:O$48)+SUM(Q$37:Q$48)+SUM(S$37:S$48)</f>
        <v>758260.96889172157</v>
      </c>
      <c r="F133" s="114">
        <f>SUM(U$37:U$48)+SUM(W$37:W$48)+SUM(Y$37:Y$48)+SUM(AA$37:AA$48)</f>
        <v>594277.60476748378</v>
      </c>
      <c r="G133" s="114">
        <f>SUM(AC$37:AC$48)+SUM(AE$37:AE$48)+SUM(AG$37:AG$48)+SUM(AI$37:AI$48)</f>
        <v>577012.44222359243</v>
      </c>
      <c r="H133" s="114">
        <f>SUM(AK$37:AK$48)+SUM(AM$37:AM$48)+SUM(AO$37:AO$48)+SUM(AQ$37:AQ$48)</f>
        <v>550836.13637466019</v>
      </c>
      <c r="I133" s="114">
        <f>SUM(AS$37:AS$48)+SUM(AU$37:AU$48)+SUM(AW$37:AW$48)+SUM(AY$37:AY$48)</f>
        <v>1959199.4046424143</v>
      </c>
      <c r="J133" s="114">
        <f>SUM(BA$37:BA$48)+SUM(BC$37:BC$48)+SUM(BE$37:BE$48)+SUM(BG$37:BG$48)</f>
        <v>382254.48914664768</v>
      </c>
      <c r="K133" s="114">
        <f>SUM(BI$37:BI$48)+SUM(BK$37:BK$48)+SUM(BM$37:BM$48)+SUM(BO$37:BO$48)</f>
        <v>581387.72753607365</v>
      </c>
      <c r="L133" s="114">
        <f>SUM(BQ$37:BQ$48)+SUM(BS$37:BS$48)+SUM(BU$37:BU$48)+SUM(BW$37:BW$48)</f>
        <v>406697.26892184955</v>
      </c>
      <c r="M133" s="114">
        <f>SUM(BY$37:BY$48)+SUM(CA$37:CA$48)+SUM(CC$37:CC$48)+SUM(CE$37:CE$48)</f>
        <v>997717.43216071464</v>
      </c>
      <c r="N133" s="114">
        <f>SUM(CG$37:CG$48)+SUM(CI$37:CI$48)+SUM(CK$37:CK$48)+SUM(CM$37:CM$48)</f>
        <v>517540.59046859236</v>
      </c>
      <c r="O133" s="114">
        <f>SUM(CO$37:CO$48)+SUM(CQ$37:CQ$48)+SUM(CS$37:CS$48)+SUM(CU$37:CU$48)</f>
        <v>199029.43095329558</v>
      </c>
    </row>
    <row r="134" spans="2:15" x14ac:dyDescent="0.2">
      <c r="C134" s="113" t="s">
        <v>129</v>
      </c>
      <c r="D134" s="114">
        <f>SUM(E$49:E$70)+SUM(G$49:G$70)+SUM(I$49:I$70)+SUM(K$49:K$70)</f>
        <v>141087.12866296456</v>
      </c>
      <c r="E134" s="114">
        <f>SUM(M$49:M$70)+SUM(O$49:O$70)+SUM(Q$49:Q$70)+SUM(S$49:S$70)</f>
        <v>728108.88862550969</v>
      </c>
      <c r="F134" s="114">
        <f>SUM(U$49:U$70)+SUM(W$49:W$70)+SUM(Y$49:Y$70)+SUM(AA$49:AA$70)</f>
        <v>492487.77383443154</v>
      </c>
      <c r="G134" s="114">
        <f>SUM(AC$49:AC$70)+SUM(AE$49:AE$70)+SUM(AG$49:AG$70)+SUM(AI$49:AI$70)</f>
        <v>409643.98734739743</v>
      </c>
      <c r="H134" s="114">
        <f>SUM(AK$49:AK$70)+SUM(AM$49:AM$70)+SUM(AO$49:AO$70)+SUM(AQ$49:AQ$70)</f>
        <v>1411062.4761450014</v>
      </c>
      <c r="I134" s="114">
        <f>SUM(AS$49:AS$70)+SUM(AU$49:AU$70)+SUM(AW$49:AW$70)+SUM(AY$49:AY$70)</f>
        <v>580738.99297044997</v>
      </c>
      <c r="J134" s="114">
        <f>SUM(BA$49:BA$70)+SUM(BC$49:BC$70)+SUM(BE$49:BE$70)+SUM(BG$49:BG$70)</f>
        <v>425055.65376751067</v>
      </c>
      <c r="K134" s="114">
        <f>SUM(BI$49:BI$70)+SUM(BK$49:BK$70)+SUM(BM$49:BM$70)+SUM(BO$49:BO$70)</f>
        <v>1030954.0330213269</v>
      </c>
      <c r="L134" s="114">
        <f>SUM(BQ$49:BQ$70)+SUM(BS$49:BS$70)+SUM(BU$49:BU$70)+SUM(BW$49:BW$70)</f>
        <v>538904.54329834494</v>
      </c>
      <c r="M134" s="114">
        <f>SUM(BY$49:BY$70)+SUM(CA$49:CA$70)+SUM(CC$49:CC$70)+SUM(CE$49:CE$70)</f>
        <v>1677760.4181958013</v>
      </c>
      <c r="N134" s="114">
        <f>SUM(CG$49:CG$70)+SUM(CI$49:CI$70)+SUM(CK$49:CK$70)+SUM(CM$49:CM$70)</f>
        <v>560763.63502752967</v>
      </c>
      <c r="O134" s="114">
        <f>SUM(CO$49:CO$70)+SUM(CQ$49:CQ$70)+SUM(CS$49:CS$70)+SUM(CU$49:CU$70)</f>
        <v>491396.37130039703</v>
      </c>
    </row>
    <row r="135" spans="2:15" x14ac:dyDescent="0.2">
      <c r="C135" s="113" t="s">
        <v>130</v>
      </c>
      <c r="D135" s="114">
        <f>SUM(E$71:E$86)+SUM(G$71:G$86)+SUM(I$71:I$86)+SUM(K$71:K$86)</f>
        <v>134263.80422896196</v>
      </c>
      <c r="E135" s="114">
        <f>SUM(M$71:M$86)+SUM(O$71:O$86)+SUM(Q$71:Q$86)+SUM(S$71:S$86)</f>
        <v>696434.4016580669</v>
      </c>
      <c r="F135" s="114">
        <f>SUM(U$71:U$86)+SUM(W$71:W$86)+SUM(Y$71:Y$86)+SUM(AA$71:AA$86)</f>
        <v>321078.31916434533</v>
      </c>
      <c r="G135" s="114">
        <f>SUM(AC$71:AC$86)+SUM(AE$71:AE$86)+SUM(AG$71:AG$86)+SUM(AI$71:AI$86)</f>
        <v>739882.56262705242</v>
      </c>
      <c r="H135" s="114">
        <f>SUM(AK$71:AK$86)+SUM(AM$71:AM$86)+SUM(AO$71:AO$86)+SUM(AQ$71:AQ$86)</f>
        <v>649454.99364304345</v>
      </c>
      <c r="I135" s="114">
        <f>SUM(AS$71:AS$86)+SUM(AU$71:AU$86)+SUM(AW$71:AW$86)+SUM(AY$71:AY$86)</f>
        <v>1299351.3075215886</v>
      </c>
      <c r="J135" s="114">
        <f>SUM(BA$71:BA$86)+SUM(BC$71:BC$86)+SUM(BE$71:BE$86)+SUM(BG$71:BG$86)</f>
        <v>271550.25958506222</v>
      </c>
      <c r="K135" s="114">
        <f>SUM(BI$71:BI$86)+SUM(BK$71:BK$86)+SUM(BM$71:BM$86)+SUM(BO$71:BO$86)</f>
        <v>1664033.8058335572</v>
      </c>
      <c r="L135" s="114">
        <f>SUM(BQ$71:BQ$86)+SUM(BS$71:BS$86)+SUM(BU$71:BU$86)+SUM(BW$71:BW$86)</f>
        <v>304407.90805626597</v>
      </c>
      <c r="M135" s="114">
        <f>SUM(BY$71:BY$86)+SUM(CA$71:CA$86)+SUM(CC$71:CC$86)+SUM(CE$71:CE$86)</f>
        <v>497254.94985712605</v>
      </c>
      <c r="N135" s="114">
        <f>SUM(CG$71:CG$86)+SUM(CI$71:CI$86)+SUM(CK$71:CK$86)+SUM(CM$71:CM$86)</f>
        <v>357030.2156436849</v>
      </c>
      <c r="O135" s="114">
        <f>SUM(CO$71:CO$86)+SUM(CQ$71:CQ$86)+SUM(CS$71:CS$86)+SUM(CU$71:CU$86)</f>
        <v>631097.17177499598</v>
      </c>
    </row>
    <row r="136" spans="2:15" x14ac:dyDescent="0.2">
      <c r="C136" s="113" t="s">
        <v>131</v>
      </c>
      <c r="D136" s="114">
        <f>SUM(E$87:E$94)+SUM(G$87:G$94)+SUM(I$87:I$94)+SUM(K$87:K$94)</f>
        <v>148683.12251174712</v>
      </c>
      <c r="E136" s="114">
        <f>SUM(M$87:M$94)+SUM(O$87:O$94)+SUM(Q$87:Q$94)+SUM(S$87:S$94)</f>
        <v>1661621.1204968519</v>
      </c>
      <c r="F136" s="114">
        <f>SUM(U$87:U$94)+SUM(W$87:W$94)+SUM(Y$87:Y$94)+SUM(AA$87:AA$94)</f>
        <v>1590196.6747353759</v>
      </c>
      <c r="G136" s="114">
        <f>SUM(AC$87:AC$94)+SUM(AE$87:AE$94)+SUM(AG$87:AG$94)+SUM(AI$87:AI$94)</f>
        <v>2455356.8659890536</v>
      </c>
      <c r="H136" s="114">
        <f>SUM(AK$87:AK$94)+SUM(AM$87:AM$94)+SUM(AO$87:AO$94)+SUM(AQ$87:AQ$94)</f>
        <v>4087357.5965822064</v>
      </c>
      <c r="I136" s="114">
        <f>SUM(AS$87:AS$94)+SUM(AU$87:AU$94)+SUM(AW$87:AW$94)+SUM(AY$87:AY$94)</f>
        <v>381817.36485653266</v>
      </c>
      <c r="J136" s="114">
        <f>SUM(BA$87:BA$94)+SUM(BC$87:BC$94)+SUM(BE$87:BE$94)+SUM(BG$87:BG$94)</f>
        <v>997525.88221625576</v>
      </c>
      <c r="K136" s="114">
        <f>SUM(BI$87:BI$94)+SUM(BK$87:BK$94)+SUM(BM$87:BM$94)+SUM(BO$87:BO$94)</f>
        <v>1284749.8726669461</v>
      </c>
      <c r="L136" s="114">
        <f>SUM(BQ$87:BQ$94)+SUM(BS$87:BS$94)+SUM(BU$87:BU$94)+SUM(BW$87:BW$94)</f>
        <v>1767006.4116368287</v>
      </c>
      <c r="M136" s="114">
        <f>SUM(BY$87:BY$94)+SUM(CA$87:CA$94)+SUM(CC$87:CC$94)+SUM(CE$87:CE$94)</f>
        <v>904072.66903900926</v>
      </c>
      <c r="N136" s="114">
        <f>SUM(CG$87:CG$94)+SUM(CI$87:CI$94)+SUM(CK$87:CK$94)+SUM(CM$87:CM$94)</f>
        <v>2058939.8297152547</v>
      </c>
      <c r="O136" s="114">
        <f>SUM(CO$87:CO$94)+SUM(CQ$87:CQ$94)+SUM(CS$87:CS$94)+SUM(CU$87:CU$94)</f>
        <v>658502.57134671742</v>
      </c>
    </row>
    <row r="137" spans="2:15" x14ac:dyDescent="0.2">
      <c r="C137" s="113" t="s">
        <v>132</v>
      </c>
      <c r="D137" s="114">
        <f>SUM(E$95:E$105)+SUM(G$95:G$105)+SUM(I$95:I$105)+SUM(K$95:K$105)</f>
        <v>713727.42404955137</v>
      </c>
      <c r="E137" s="114">
        <f>SUM(M$95:M$105)+SUM(O$95:O$105)+SUM(Q$95:Q$105)+SUM(S$95:S$105)</f>
        <v>2050659.8538023613</v>
      </c>
      <c r="F137" s="114">
        <f>SUM(U$95:U$105)+SUM(W$95:W$105)+SUM(Y$95:Y$105)+SUM(AA$95:AA$105)</f>
        <v>1966396.9649025069</v>
      </c>
      <c r="G137" s="114">
        <f>SUM(AC$95:AC$105)+SUM(AE$95:AE$105)+SUM(AG$95:AG$105)+SUM(AI$95:AI$105)</f>
        <v>1229486.886004691</v>
      </c>
      <c r="H137" s="114">
        <f>SUM(AK$95:AK$105)+SUM(AM$95:AM$105)+SUM(AO$95:AO$105)+SUM(AQ$95:AQ$105)</f>
        <v>2706243.3922195551</v>
      </c>
      <c r="I137" s="114">
        <f>SUM(AS$95:AS$105)+SUM(AU$95:AU$105)+SUM(AW$95:AW$105)+SUM(AY$95:AY$105)</f>
        <v>1199450.6836097436</v>
      </c>
      <c r="J137" s="114">
        <f>SUM(BA$95:BA$105)+SUM(BC$95:BC$105)+SUM(BE$95:BE$105)+SUM(BG$95:BG$105)</f>
        <v>1026380.0412082011</v>
      </c>
      <c r="K137" s="114">
        <f>SUM(BI$95:BI$105)+SUM(BK$95:BK$105)+SUM(BM$95:BM$105)+SUM(BO$95:BO$105)</f>
        <v>2076160.2264753697</v>
      </c>
      <c r="L137" s="114">
        <f>SUM(BQ$95:BQ$105)+SUM(BS$95:BS$105)+SUM(BU$95:BU$105)+SUM(BW$95:BW$105)</f>
        <v>1639913.0071611251</v>
      </c>
      <c r="M137" s="114">
        <f>SUM(BY$95:BY$105)+SUM(CA$95:CA$105)+SUM(CC$95:CC$105)+SUM(CE$95:CE$105)</f>
        <v>4449111.5848557511</v>
      </c>
      <c r="N137" s="114">
        <f>SUM(CG$95:CG$105)+SUM(CI$95:CI$105)+SUM(CK$95:CK$105)+SUM(CM$95:CM$105)</f>
        <v>1073829.0837952108</v>
      </c>
      <c r="O137" s="114">
        <f>SUM(CO$95:CO$105)+SUM(CQ$95:CQ$105)+SUM(CS$95:CS$105)+SUM(CU$95:CU$105)</f>
        <v>3193318.4199060053</v>
      </c>
    </row>
    <row r="138" spans="2:15" x14ac:dyDescent="0.2">
      <c r="C138" s="113" t="s">
        <v>277</v>
      </c>
      <c r="D138" s="108">
        <f t="shared" ref="D138:O138" si="2">SUM(D$131:D$137)</f>
        <v>1137761.4794532249</v>
      </c>
      <c r="E138" s="108">
        <f t="shared" si="2"/>
        <v>7576645.4835047824</v>
      </c>
      <c r="F138" s="108">
        <f t="shared" si="2"/>
        <v>5930078.2137199333</v>
      </c>
      <c r="G138" s="108">
        <f t="shared" si="2"/>
        <v>6178294.5207886966</v>
      </c>
      <c r="H138" s="108">
        <f t="shared" si="2"/>
        <v>10080927.015258458</v>
      </c>
      <c r="I138" s="108">
        <f t="shared" si="2"/>
        <v>6230665.1202102769</v>
      </c>
      <c r="J138" s="108">
        <f t="shared" si="2"/>
        <v>3873666.0383719127</v>
      </c>
      <c r="K138" s="108">
        <f t="shared" si="2"/>
        <v>7916413.775449669</v>
      </c>
      <c r="L138" s="108">
        <f t="shared" si="2"/>
        <v>5467221.9784501037</v>
      </c>
      <c r="M138" s="108">
        <f t="shared" si="2"/>
        <v>9266345.9352082387</v>
      </c>
      <c r="N138" s="108">
        <f t="shared" si="2"/>
        <v>5282886.3979448602</v>
      </c>
      <c r="O138" s="108">
        <f t="shared" si="2"/>
        <v>6085694.3967827465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8"/>
  </cols>
  <sheetData>
    <row r="2" spans="1:99" x14ac:dyDescent="0.2">
      <c r="B2" s="110" t="s">
        <v>271</v>
      </c>
    </row>
    <row r="3" spans="1:99" x14ac:dyDescent="0.2">
      <c r="B3" s="111" t="s">
        <v>280</v>
      </c>
    </row>
    <row r="4" spans="1:99" x14ac:dyDescent="0.2">
      <c r="A4" s="109"/>
      <c r="B4" s="109"/>
      <c r="C4" s="107" t="s">
        <v>273</v>
      </c>
      <c r="D4" s="107" t="s">
        <v>92</v>
      </c>
      <c r="E4" s="109"/>
      <c r="F4" s="109"/>
      <c r="G4" s="109"/>
      <c r="H4" s="109"/>
      <c r="I4" s="109"/>
      <c r="J4" s="109"/>
      <c r="K4" s="109"/>
      <c r="L4" s="107" t="s">
        <v>93</v>
      </c>
      <c r="M4" s="109"/>
      <c r="N4" s="109"/>
      <c r="O4" s="109"/>
      <c r="P4" s="109"/>
      <c r="Q4" s="109"/>
      <c r="R4" s="109"/>
      <c r="S4" s="109"/>
      <c r="T4" s="107" t="s">
        <v>94</v>
      </c>
      <c r="U4" s="109"/>
      <c r="V4" s="109"/>
      <c r="W4" s="109"/>
      <c r="X4" s="109"/>
      <c r="Y4" s="109"/>
      <c r="Z4" s="109"/>
      <c r="AA4" s="109"/>
      <c r="AB4" s="107" t="s">
        <v>95</v>
      </c>
      <c r="AC4" s="109"/>
      <c r="AD4" s="109"/>
      <c r="AE4" s="109"/>
      <c r="AF4" s="109"/>
      <c r="AG4" s="109"/>
      <c r="AH4" s="109"/>
      <c r="AI4" s="109"/>
      <c r="AJ4" s="107" t="s">
        <v>96</v>
      </c>
      <c r="AK4" s="109"/>
      <c r="AL4" s="109"/>
      <c r="AM4" s="109"/>
      <c r="AN4" s="109"/>
      <c r="AO4" s="109"/>
      <c r="AP4" s="109"/>
      <c r="AQ4" s="109"/>
      <c r="AR4" s="107" t="s">
        <v>97</v>
      </c>
      <c r="AS4" s="109"/>
      <c r="AT4" s="109"/>
      <c r="AU4" s="109"/>
      <c r="AV4" s="109"/>
      <c r="AW4" s="109"/>
      <c r="AX4" s="109"/>
      <c r="AY4" s="109"/>
      <c r="AZ4" s="107" t="s">
        <v>98</v>
      </c>
      <c r="BA4" s="109"/>
      <c r="BB4" s="109"/>
      <c r="BC4" s="109"/>
      <c r="BD4" s="109"/>
      <c r="BE4" s="109"/>
      <c r="BF4" s="109"/>
      <c r="BG4" s="109"/>
      <c r="BH4" s="107" t="s">
        <v>99</v>
      </c>
      <c r="BI4" s="109"/>
      <c r="BJ4" s="109"/>
      <c r="BK4" s="109"/>
      <c r="BL4" s="109"/>
      <c r="BM4" s="109"/>
      <c r="BN4" s="109"/>
      <c r="BO4" s="109"/>
      <c r="BP4" s="107" t="s">
        <v>100</v>
      </c>
      <c r="BQ4" s="109"/>
      <c r="BR4" s="109"/>
      <c r="BS4" s="109"/>
      <c r="BT4" s="109"/>
      <c r="BU4" s="109"/>
      <c r="BV4" s="109"/>
      <c r="BW4" s="109"/>
      <c r="BX4" s="107" t="s">
        <v>101</v>
      </c>
      <c r="BY4" s="109"/>
      <c r="BZ4" s="109"/>
      <c r="CA4" s="109"/>
      <c r="CB4" s="109"/>
      <c r="CC4" s="109"/>
      <c r="CD4" s="109"/>
      <c r="CE4" s="109"/>
      <c r="CF4" s="107" t="s">
        <v>102</v>
      </c>
      <c r="CG4" s="109"/>
      <c r="CH4" s="109"/>
      <c r="CI4" s="109"/>
      <c r="CJ4" s="109"/>
      <c r="CK4" s="109"/>
      <c r="CL4" s="109"/>
      <c r="CM4" s="109"/>
      <c r="CN4" s="107" t="s">
        <v>103</v>
      </c>
      <c r="CO4" s="109"/>
      <c r="CP4" s="109"/>
      <c r="CQ4" s="109"/>
      <c r="CR4" s="109"/>
      <c r="CS4" s="109"/>
      <c r="CT4" s="109"/>
      <c r="CU4" s="109"/>
    </row>
    <row r="5" spans="1:99" x14ac:dyDescent="0.2">
      <c r="B5" s="107" t="s">
        <v>166</v>
      </c>
      <c r="C5" s="107" t="s">
        <v>274</v>
      </c>
      <c r="D5" s="107">
        <v>1</v>
      </c>
      <c r="E5" s="107"/>
      <c r="F5" s="107">
        <v>2</v>
      </c>
      <c r="G5" s="107"/>
      <c r="H5" s="107">
        <v>3</v>
      </c>
      <c r="I5" s="107"/>
      <c r="J5" s="107">
        <v>4</v>
      </c>
      <c r="K5" s="107"/>
      <c r="L5" s="107">
        <v>1</v>
      </c>
      <c r="M5" s="107"/>
      <c r="N5" s="107">
        <v>2</v>
      </c>
      <c r="O5" s="107"/>
      <c r="P5" s="107">
        <v>3</v>
      </c>
      <c r="Q5" s="107"/>
      <c r="R5" s="107">
        <v>4</v>
      </c>
      <c r="S5" s="107"/>
      <c r="T5" s="107">
        <v>1</v>
      </c>
      <c r="U5" s="107"/>
      <c r="V5" s="107">
        <v>2</v>
      </c>
      <c r="W5" s="107"/>
      <c r="X5" s="107">
        <v>3</v>
      </c>
      <c r="Y5" s="107"/>
      <c r="Z5" s="107">
        <v>4</v>
      </c>
      <c r="AA5" s="107"/>
      <c r="AB5" s="107">
        <v>1</v>
      </c>
      <c r="AC5" s="107"/>
      <c r="AD5" s="107">
        <v>2</v>
      </c>
      <c r="AE5" s="107"/>
      <c r="AF5" s="107">
        <v>3</v>
      </c>
      <c r="AG5" s="107"/>
      <c r="AH5" s="107">
        <v>4</v>
      </c>
      <c r="AI5" s="107"/>
      <c r="AJ5" s="107">
        <v>1</v>
      </c>
      <c r="AK5" s="107"/>
      <c r="AL5" s="107">
        <v>2</v>
      </c>
      <c r="AM5" s="107"/>
      <c r="AN5" s="107">
        <v>3</v>
      </c>
      <c r="AO5" s="107"/>
      <c r="AP5" s="107">
        <v>4</v>
      </c>
      <c r="AQ5" s="107"/>
      <c r="AR5" s="107">
        <v>1</v>
      </c>
      <c r="AS5" s="107"/>
      <c r="AT5" s="107">
        <v>2</v>
      </c>
      <c r="AU5" s="107"/>
      <c r="AV5" s="107">
        <v>3</v>
      </c>
      <c r="AW5" s="107"/>
      <c r="AX5" s="107">
        <v>4</v>
      </c>
      <c r="AY5" s="107"/>
      <c r="AZ5" s="107">
        <v>1</v>
      </c>
      <c r="BA5" s="107"/>
      <c r="BB5" s="107">
        <v>2</v>
      </c>
      <c r="BC5" s="107"/>
      <c r="BD5" s="107">
        <v>3</v>
      </c>
      <c r="BE5" s="107"/>
      <c r="BF5" s="107">
        <v>4</v>
      </c>
      <c r="BG5" s="107"/>
      <c r="BH5" s="107">
        <v>1</v>
      </c>
      <c r="BI5" s="107"/>
      <c r="BJ5" s="107">
        <v>2</v>
      </c>
      <c r="BK5" s="107"/>
      <c r="BL5" s="107">
        <v>3</v>
      </c>
      <c r="BM5" s="107"/>
      <c r="BN5" s="107">
        <v>4</v>
      </c>
      <c r="BO5" s="107"/>
      <c r="BP5" s="107">
        <v>1</v>
      </c>
      <c r="BQ5" s="107"/>
      <c r="BR5" s="107">
        <v>2</v>
      </c>
      <c r="BS5" s="107"/>
      <c r="BT5" s="107">
        <v>3</v>
      </c>
      <c r="BU5" s="107"/>
      <c r="BV5" s="107">
        <v>4</v>
      </c>
      <c r="BW5" s="107"/>
      <c r="BX5" s="107">
        <v>1</v>
      </c>
      <c r="BY5" s="107"/>
      <c r="BZ5" s="107">
        <v>2</v>
      </c>
      <c r="CA5" s="107"/>
      <c r="CB5" s="107">
        <v>3</v>
      </c>
      <c r="CC5" s="107"/>
      <c r="CD5" s="107">
        <v>4</v>
      </c>
      <c r="CE5" s="107"/>
      <c r="CF5" s="107">
        <v>1</v>
      </c>
      <c r="CG5" s="107"/>
      <c r="CH5" s="107">
        <v>2</v>
      </c>
      <c r="CI5" s="107"/>
      <c r="CJ5" s="107">
        <v>3</v>
      </c>
      <c r="CK5" s="107"/>
      <c r="CL5" s="107">
        <v>4</v>
      </c>
      <c r="CM5" s="107"/>
      <c r="CN5" s="107">
        <v>1</v>
      </c>
      <c r="CO5" s="107"/>
      <c r="CP5" s="107">
        <v>2</v>
      </c>
      <c r="CQ5" s="107"/>
      <c r="CR5" s="107">
        <v>3</v>
      </c>
      <c r="CS5" s="107"/>
      <c r="CT5" s="107">
        <v>4</v>
      </c>
      <c r="CU5" s="107"/>
    </row>
    <row r="6" spans="1:99" x14ac:dyDescent="0.2">
      <c r="B6" s="107" t="s">
        <v>126</v>
      </c>
      <c r="C6" s="107" t="s">
        <v>171</v>
      </c>
      <c r="D6" s="108">
        <v>0</v>
      </c>
      <c r="E6" s="108">
        <v>0</v>
      </c>
      <c r="F6" s="108">
        <v>0</v>
      </c>
      <c r="G6" s="108">
        <v>0</v>
      </c>
      <c r="H6" s="108">
        <v>0</v>
      </c>
      <c r="I6" s="108">
        <v>0</v>
      </c>
      <c r="J6" s="108">
        <v>0</v>
      </c>
      <c r="K6" s="108">
        <v>0</v>
      </c>
      <c r="L6" s="108">
        <v>0</v>
      </c>
      <c r="M6" s="108">
        <v>0</v>
      </c>
      <c r="N6" s="108">
        <v>16.001510986747366</v>
      </c>
      <c r="O6" s="108">
        <v>9255.2739547346755</v>
      </c>
      <c r="P6" s="108">
        <v>4.7838694215910236</v>
      </c>
      <c r="Q6" s="108">
        <v>2766.990073448248</v>
      </c>
      <c r="R6" s="108">
        <v>5.4256419920648691</v>
      </c>
      <c r="S6" s="108">
        <v>3138.1913282103201</v>
      </c>
      <c r="T6" s="108">
        <v>2.3501923076923075</v>
      </c>
      <c r="U6" s="108">
        <v>1359.3512307692306</v>
      </c>
      <c r="V6" s="108">
        <v>0</v>
      </c>
      <c r="W6" s="108">
        <v>0</v>
      </c>
      <c r="X6" s="108">
        <v>9.4424825521626374</v>
      </c>
      <c r="Y6" s="108">
        <v>5461.5319081708694</v>
      </c>
      <c r="Z6" s="108">
        <v>4.7086749477291194</v>
      </c>
      <c r="AA6" s="108">
        <v>2723.4975897665227</v>
      </c>
      <c r="AB6" s="108">
        <v>4.9215750615258411</v>
      </c>
      <c r="AC6" s="108">
        <v>2846.6390155865465</v>
      </c>
      <c r="AD6" s="108">
        <v>1.7718689556422235E-16</v>
      </c>
      <c r="AE6" s="108">
        <v>1.024849003943462E-13</v>
      </c>
      <c r="AF6" s="108">
        <v>2.9756526635202385</v>
      </c>
      <c r="AG6" s="108">
        <v>1721.1175005801058</v>
      </c>
      <c r="AH6" s="108">
        <v>2.6389240647354573</v>
      </c>
      <c r="AI6" s="108">
        <v>1526.3536790429885</v>
      </c>
      <c r="AJ6" s="108">
        <v>2.4670614359733531</v>
      </c>
      <c r="AK6" s="108">
        <v>1426.9483345669873</v>
      </c>
      <c r="AL6" s="108">
        <v>0</v>
      </c>
      <c r="AM6" s="108">
        <v>0</v>
      </c>
      <c r="AN6" s="108">
        <v>8.1638473353410514</v>
      </c>
      <c r="AO6" s="108">
        <v>4721.9692987612643</v>
      </c>
      <c r="AP6" s="108">
        <v>2.8982608695652181</v>
      </c>
      <c r="AQ6" s="108">
        <v>1676.354086956522</v>
      </c>
      <c r="AR6" s="108">
        <v>0</v>
      </c>
      <c r="AS6" s="108">
        <v>0</v>
      </c>
      <c r="AT6" s="108">
        <v>9.3511022044088179</v>
      </c>
      <c r="AU6" s="108">
        <v>5408.67751503006</v>
      </c>
      <c r="AV6" s="108">
        <v>0</v>
      </c>
      <c r="AW6" s="108">
        <v>0</v>
      </c>
      <c r="AX6" s="108">
        <v>6.3936668514843156</v>
      </c>
      <c r="AY6" s="108">
        <v>3698.0969068985278</v>
      </c>
      <c r="AZ6" s="108">
        <v>7.642889307853892</v>
      </c>
      <c r="BA6" s="108">
        <v>4420.6471756626906</v>
      </c>
      <c r="BB6" s="108">
        <v>4.9452231604342582</v>
      </c>
      <c r="BC6" s="108">
        <v>2860.3170759951749</v>
      </c>
      <c r="BD6" s="108">
        <v>0</v>
      </c>
      <c r="BE6" s="108">
        <v>0</v>
      </c>
      <c r="BF6" s="108">
        <v>8.7125139043381541</v>
      </c>
      <c r="BG6" s="108">
        <v>5039.3180422691885</v>
      </c>
      <c r="BH6" s="108">
        <v>2.0022799538461231</v>
      </c>
      <c r="BI6" s="108">
        <v>1158.1187253045975</v>
      </c>
      <c r="BJ6" s="108">
        <v>9.6482475921639352</v>
      </c>
      <c r="BK6" s="108">
        <v>5580.54640730762</v>
      </c>
      <c r="BL6" s="108">
        <v>5.2272448630779964</v>
      </c>
      <c r="BM6" s="108">
        <v>3023.4384288043129</v>
      </c>
      <c r="BN6" s="108">
        <v>4.8909717757039477</v>
      </c>
      <c r="BO6" s="108">
        <v>2828.938075067163</v>
      </c>
      <c r="BP6" s="108">
        <v>3.8247296602631202</v>
      </c>
      <c r="BQ6" s="108">
        <v>2212.2236354961888</v>
      </c>
      <c r="BR6" s="108">
        <v>3.7039742785552967</v>
      </c>
      <c r="BS6" s="108">
        <v>2142.3787227163834</v>
      </c>
      <c r="BT6" s="108">
        <v>3.780197711679893</v>
      </c>
      <c r="BU6" s="108">
        <v>2186.4663564356501</v>
      </c>
      <c r="BV6" s="108">
        <v>2.8879204892966359</v>
      </c>
      <c r="BW6" s="108">
        <v>1670.3732110091742</v>
      </c>
      <c r="BX6" s="108">
        <v>0</v>
      </c>
      <c r="BY6" s="108">
        <v>0</v>
      </c>
      <c r="BZ6" s="108">
        <v>13.307568541169626</v>
      </c>
      <c r="CA6" s="108">
        <v>7697.0976442125111</v>
      </c>
      <c r="CB6" s="108">
        <v>7.3489109975799947</v>
      </c>
      <c r="CC6" s="108">
        <v>4250.6101210002689</v>
      </c>
      <c r="CD6" s="108">
        <v>0</v>
      </c>
      <c r="CE6" s="108">
        <v>0</v>
      </c>
      <c r="CF6" s="108">
        <v>1.9917358985570617</v>
      </c>
      <c r="CG6" s="108">
        <v>1152.0200437254043</v>
      </c>
      <c r="CH6" s="108">
        <v>0</v>
      </c>
      <c r="CI6" s="108">
        <v>0</v>
      </c>
      <c r="CJ6" s="108">
        <v>0</v>
      </c>
      <c r="CK6" s="108">
        <v>0</v>
      </c>
      <c r="CL6" s="108">
        <v>3.5740232840984025</v>
      </c>
      <c r="CM6" s="108">
        <v>2067.2150675225162</v>
      </c>
      <c r="CN6" s="108">
        <v>1.6186422461999448</v>
      </c>
      <c r="CO6" s="108">
        <v>936.22267520204798</v>
      </c>
      <c r="CP6" s="108">
        <v>3.0959699624530668</v>
      </c>
      <c r="CQ6" s="108">
        <v>1790.7090262828538</v>
      </c>
      <c r="CR6" s="108">
        <v>0</v>
      </c>
      <c r="CS6" s="108">
        <v>0</v>
      </c>
      <c r="CT6" s="108">
        <v>0</v>
      </c>
      <c r="CU6" s="108">
        <v>0</v>
      </c>
    </row>
    <row r="7" spans="1:99" x14ac:dyDescent="0.2">
      <c r="C7" s="107" t="s">
        <v>172</v>
      </c>
      <c r="D7" s="108">
        <v>0</v>
      </c>
      <c r="E7" s="108">
        <v>0</v>
      </c>
      <c r="F7" s="108">
        <v>0</v>
      </c>
      <c r="G7" s="108">
        <v>0</v>
      </c>
      <c r="H7" s="108">
        <v>0</v>
      </c>
      <c r="I7" s="108">
        <v>0</v>
      </c>
      <c r="J7" s="108">
        <v>0</v>
      </c>
      <c r="K7" s="108">
        <v>0</v>
      </c>
      <c r="L7" s="108">
        <v>0</v>
      </c>
      <c r="M7" s="108">
        <v>0</v>
      </c>
      <c r="N7" s="108">
        <v>15.087138930361807</v>
      </c>
      <c r="O7" s="108">
        <v>11894.700332697248</v>
      </c>
      <c r="P7" s="108">
        <v>4.6207829640367839</v>
      </c>
      <c r="Q7" s="108">
        <v>3643.0252888466002</v>
      </c>
      <c r="R7" s="108">
        <v>5.8030779567302524</v>
      </c>
      <c r="S7" s="108">
        <v>4575.1466610861307</v>
      </c>
      <c r="T7" s="108">
        <v>2.0297115384615387</v>
      </c>
      <c r="U7" s="108">
        <v>1600.2245769230772</v>
      </c>
      <c r="V7" s="108">
        <v>0</v>
      </c>
      <c r="W7" s="108">
        <v>0</v>
      </c>
      <c r="X7" s="108">
        <v>8.667067716615751</v>
      </c>
      <c r="Y7" s="108">
        <v>6833.1161877798577</v>
      </c>
      <c r="Z7" s="108">
        <v>5.540123754623461</v>
      </c>
      <c r="AA7" s="108">
        <v>4367.8335681451363</v>
      </c>
      <c r="AB7" s="108">
        <v>4.9215750615258411</v>
      </c>
      <c r="AC7" s="108">
        <v>3880.1697785069732</v>
      </c>
      <c r="AD7" s="108">
        <v>1.8304352699173955E-16</v>
      </c>
      <c r="AE7" s="108">
        <v>1.4431151668028746E-13</v>
      </c>
      <c r="AF7" s="108">
        <v>2.6492692578824033</v>
      </c>
      <c r="AG7" s="108">
        <v>2088.6838829144867</v>
      </c>
      <c r="AH7" s="108">
        <v>2.4707116291097111</v>
      </c>
      <c r="AI7" s="108">
        <v>1947.9090483900961</v>
      </c>
      <c r="AJ7" s="108">
        <v>2.2203552923760177</v>
      </c>
      <c r="AK7" s="108">
        <v>1750.5281125092522</v>
      </c>
      <c r="AL7" s="108">
        <v>0</v>
      </c>
      <c r="AM7" s="108">
        <v>0</v>
      </c>
      <c r="AN7" s="108">
        <v>8.2498780359975328</v>
      </c>
      <c r="AO7" s="108">
        <v>6504.2038435804543</v>
      </c>
      <c r="AP7" s="108">
        <v>2.8982608695652181</v>
      </c>
      <c r="AQ7" s="108">
        <v>2284.988869565218</v>
      </c>
      <c r="AR7" s="108">
        <v>0</v>
      </c>
      <c r="AS7" s="108">
        <v>0</v>
      </c>
      <c r="AT7" s="108">
        <v>10.68697394789579</v>
      </c>
      <c r="AU7" s="108">
        <v>8425.6102605210417</v>
      </c>
      <c r="AV7" s="108">
        <v>0</v>
      </c>
      <c r="AW7" s="108">
        <v>0</v>
      </c>
      <c r="AX7" s="108">
        <v>5.9190461549033611</v>
      </c>
      <c r="AY7" s="108">
        <v>4666.5759885258094</v>
      </c>
      <c r="AZ7" s="108">
        <v>7.204342909157071</v>
      </c>
      <c r="BA7" s="108">
        <v>5679.903949579435</v>
      </c>
      <c r="BB7" s="108">
        <v>4.7844028950542823</v>
      </c>
      <c r="BC7" s="108">
        <v>3772.0232424607962</v>
      </c>
      <c r="BD7" s="108">
        <v>0</v>
      </c>
      <c r="BE7" s="108">
        <v>0</v>
      </c>
      <c r="BF7" s="108">
        <v>8.1563959955506125</v>
      </c>
      <c r="BG7" s="108">
        <v>6430.5026028921029</v>
      </c>
      <c r="BH7" s="108">
        <v>1.8930646836363345</v>
      </c>
      <c r="BI7" s="108">
        <v>1492.492196578886</v>
      </c>
      <c r="BJ7" s="108">
        <v>10.068279586701827</v>
      </c>
      <c r="BK7" s="108">
        <v>7937.8316261557202</v>
      </c>
      <c r="BL7" s="108">
        <v>5.3565645360163261</v>
      </c>
      <c r="BM7" s="108">
        <v>4223.1154801952716</v>
      </c>
      <c r="BN7" s="108">
        <v>4.8693580219759944</v>
      </c>
      <c r="BO7" s="108">
        <v>3839.0018645258738</v>
      </c>
      <c r="BP7" s="108">
        <v>3.6321244924240941</v>
      </c>
      <c r="BQ7" s="108">
        <v>2863.5669498271559</v>
      </c>
      <c r="BR7" s="108">
        <v>3.7121953337570108</v>
      </c>
      <c r="BS7" s="108">
        <v>2926.6948011340273</v>
      </c>
      <c r="BT7" s="108">
        <v>3.4882240161457871</v>
      </c>
      <c r="BU7" s="108">
        <v>2750.1158143293387</v>
      </c>
      <c r="BV7" s="108">
        <v>3.2276758409785931</v>
      </c>
      <c r="BW7" s="108">
        <v>2544.6996330275229</v>
      </c>
      <c r="BX7" s="108">
        <v>0</v>
      </c>
      <c r="BY7" s="108">
        <v>0</v>
      </c>
      <c r="BZ7" s="108">
        <v>12.79322863322054</v>
      </c>
      <c r="CA7" s="108">
        <v>10086.181454431073</v>
      </c>
      <c r="CB7" s="108">
        <v>6.7215649368109709</v>
      </c>
      <c r="CC7" s="108">
        <v>5299.2817961817691</v>
      </c>
      <c r="CD7" s="108">
        <v>0</v>
      </c>
      <c r="CE7" s="108">
        <v>0</v>
      </c>
      <c r="CF7" s="108">
        <v>2.0403148229121122</v>
      </c>
      <c r="CG7" s="108">
        <v>1608.5842063839093</v>
      </c>
      <c r="CH7" s="108">
        <v>0</v>
      </c>
      <c r="CI7" s="108">
        <v>0</v>
      </c>
      <c r="CJ7" s="108">
        <v>0</v>
      </c>
      <c r="CK7" s="108">
        <v>0</v>
      </c>
      <c r="CL7" s="108">
        <v>3.5690379150712919</v>
      </c>
      <c r="CM7" s="108">
        <v>2813.8294922422065</v>
      </c>
      <c r="CN7" s="108">
        <v>1.6242648731443903</v>
      </c>
      <c r="CO7" s="108">
        <v>1280.5704259870372</v>
      </c>
      <c r="CP7" s="108">
        <v>3.4712390488110141</v>
      </c>
      <c r="CQ7" s="108">
        <v>2736.7248660826035</v>
      </c>
      <c r="CR7" s="108">
        <v>0</v>
      </c>
      <c r="CS7" s="108">
        <v>0</v>
      </c>
      <c r="CT7" s="108">
        <v>0</v>
      </c>
      <c r="CU7" s="108">
        <v>0</v>
      </c>
    </row>
    <row r="8" spans="1:99" x14ac:dyDescent="0.2">
      <c r="C8" s="107" t="s">
        <v>173</v>
      </c>
      <c r="D8" s="108">
        <v>0</v>
      </c>
      <c r="E8" s="108">
        <v>0</v>
      </c>
      <c r="F8" s="108">
        <v>0</v>
      </c>
      <c r="G8" s="108">
        <v>0</v>
      </c>
      <c r="H8" s="108">
        <v>0</v>
      </c>
      <c r="I8" s="108">
        <v>0</v>
      </c>
      <c r="J8" s="108">
        <v>0</v>
      </c>
      <c r="K8" s="108">
        <v>0</v>
      </c>
      <c r="L8" s="108">
        <v>0</v>
      </c>
      <c r="M8" s="108">
        <v>0</v>
      </c>
      <c r="N8" s="108">
        <v>16.001510986747366</v>
      </c>
      <c r="O8" s="108">
        <v>4954.0678014969844</v>
      </c>
      <c r="P8" s="108">
        <v>4.7838694215910236</v>
      </c>
      <c r="Q8" s="108">
        <v>1481.0859729245808</v>
      </c>
      <c r="R8" s="108">
        <v>6.6523088772273615</v>
      </c>
      <c r="S8" s="108">
        <v>2059.554828389591</v>
      </c>
      <c r="T8" s="108">
        <v>2.3501923076923075</v>
      </c>
      <c r="U8" s="108">
        <v>727.61953846153835</v>
      </c>
      <c r="V8" s="108">
        <v>0</v>
      </c>
      <c r="W8" s="108">
        <v>0</v>
      </c>
      <c r="X8" s="108">
        <v>10.529793305623624</v>
      </c>
      <c r="Y8" s="108">
        <v>3260.0240074210737</v>
      </c>
      <c r="Z8" s="108">
        <v>5.7047709650923037</v>
      </c>
      <c r="AA8" s="108">
        <v>1766.197090792577</v>
      </c>
      <c r="AB8" s="108">
        <v>4.9215750615258411</v>
      </c>
      <c r="AC8" s="108">
        <v>1523.7196390484003</v>
      </c>
      <c r="AD8" s="108">
        <v>1.9249498995806131E-16</v>
      </c>
      <c r="AE8" s="108">
        <v>5.9596448891015769E-14</v>
      </c>
      <c r="AF8" s="108">
        <v>2.7803359205686009</v>
      </c>
      <c r="AG8" s="108">
        <v>860.79200100803871</v>
      </c>
      <c r="AH8" s="108">
        <v>2.6339498485555133</v>
      </c>
      <c r="AI8" s="108">
        <v>815.47087311278688</v>
      </c>
      <c r="AJ8" s="108">
        <v>2.5904145077720209</v>
      </c>
      <c r="AK8" s="108">
        <v>801.99233160621759</v>
      </c>
      <c r="AL8" s="108">
        <v>0</v>
      </c>
      <c r="AM8" s="108">
        <v>0</v>
      </c>
      <c r="AN8" s="108">
        <v>8.8441679466194696</v>
      </c>
      <c r="AO8" s="108">
        <v>2738.1543962733876</v>
      </c>
      <c r="AP8" s="108">
        <v>2.5359782608695656</v>
      </c>
      <c r="AQ8" s="108">
        <v>785.13886956521742</v>
      </c>
      <c r="AR8" s="108">
        <v>0</v>
      </c>
      <c r="AS8" s="108">
        <v>0</v>
      </c>
      <c r="AT8" s="108">
        <v>9.3511022044088179</v>
      </c>
      <c r="AU8" s="108">
        <v>2895.1012424849696</v>
      </c>
      <c r="AV8" s="108">
        <v>0</v>
      </c>
      <c r="AW8" s="108">
        <v>0</v>
      </c>
      <c r="AX8" s="108">
        <v>6.8464594697479617</v>
      </c>
      <c r="AY8" s="108">
        <v>2119.6638518339687</v>
      </c>
      <c r="AZ8" s="108">
        <v>8.7256813034500258</v>
      </c>
      <c r="BA8" s="108">
        <v>2701.4709315481277</v>
      </c>
      <c r="BB8" s="108">
        <v>5.3472738238841977</v>
      </c>
      <c r="BC8" s="108">
        <v>1655.5159758745474</v>
      </c>
      <c r="BD8" s="108">
        <v>0</v>
      </c>
      <c r="BE8" s="108">
        <v>0</v>
      </c>
      <c r="BF8" s="108">
        <v>10.010122358175751</v>
      </c>
      <c r="BG8" s="108">
        <v>3099.1338820912124</v>
      </c>
      <c r="BH8" s="108">
        <v>2.166102859160806</v>
      </c>
      <c r="BI8" s="108">
        <v>670.62544519618552</v>
      </c>
      <c r="BJ8" s="108">
        <v>9.3737141938511801</v>
      </c>
      <c r="BK8" s="108">
        <v>2902.1019144163251</v>
      </c>
      <c r="BL8" s="108">
        <v>5.2972080034952223</v>
      </c>
      <c r="BM8" s="108">
        <v>1640.0155978821206</v>
      </c>
      <c r="BN8" s="108">
        <v>5.0832096393930746</v>
      </c>
      <c r="BO8" s="108">
        <v>1573.7617043560956</v>
      </c>
      <c r="BP8" s="108">
        <v>3.5670128555275435</v>
      </c>
      <c r="BQ8" s="108">
        <v>1104.3471800713273</v>
      </c>
      <c r="BR8" s="108">
        <v>4.3543375270474982</v>
      </c>
      <c r="BS8" s="108">
        <v>1348.1028983739052</v>
      </c>
      <c r="BT8" s="108">
        <v>3.8470830006416272</v>
      </c>
      <c r="BU8" s="108">
        <v>1191.0568969986477</v>
      </c>
      <c r="BV8" s="108">
        <v>3.5674311926605502</v>
      </c>
      <c r="BW8" s="108">
        <v>1104.4766972477062</v>
      </c>
      <c r="BX8" s="108">
        <v>0</v>
      </c>
      <c r="BY8" s="108">
        <v>0</v>
      </c>
      <c r="BZ8" s="108">
        <v>13.688480569576758</v>
      </c>
      <c r="CA8" s="108">
        <v>4237.953584340964</v>
      </c>
      <c r="CB8" s="108">
        <v>6.9456171013713366</v>
      </c>
      <c r="CC8" s="108">
        <v>2150.3630545845654</v>
      </c>
      <c r="CD8" s="108">
        <v>0</v>
      </c>
      <c r="CE8" s="108">
        <v>0</v>
      </c>
      <c r="CF8" s="108">
        <v>2.0403148229121122</v>
      </c>
      <c r="CG8" s="108">
        <v>631.6814691735899</v>
      </c>
      <c r="CH8" s="108">
        <v>0</v>
      </c>
      <c r="CI8" s="108">
        <v>0</v>
      </c>
      <c r="CJ8" s="108">
        <v>0</v>
      </c>
      <c r="CK8" s="108">
        <v>0</v>
      </c>
      <c r="CL8" s="108">
        <v>3.9343687159891938</v>
      </c>
      <c r="CM8" s="108">
        <v>1218.0805544702544</v>
      </c>
      <c r="CN8" s="108">
        <v>1.6973283727948927</v>
      </c>
      <c r="CO8" s="108">
        <v>525.49286421729869</v>
      </c>
      <c r="CP8" s="108">
        <v>3.3774217772215271</v>
      </c>
      <c r="CQ8" s="108">
        <v>1045.6497822277847</v>
      </c>
      <c r="CR8" s="108">
        <v>0</v>
      </c>
      <c r="CS8" s="108">
        <v>0</v>
      </c>
      <c r="CT8" s="108">
        <v>0</v>
      </c>
      <c r="CU8" s="108">
        <v>0</v>
      </c>
    </row>
    <row r="9" spans="1:99" x14ac:dyDescent="0.2">
      <c r="C9" s="107" t="s">
        <v>174</v>
      </c>
      <c r="D9" s="108">
        <v>0</v>
      </c>
      <c r="E9" s="108">
        <v>0</v>
      </c>
      <c r="F9" s="108">
        <v>0</v>
      </c>
      <c r="G9" s="108">
        <v>0</v>
      </c>
      <c r="H9" s="108">
        <v>0</v>
      </c>
      <c r="I9" s="108">
        <v>0</v>
      </c>
      <c r="J9" s="108">
        <v>0</v>
      </c>
      <c r="K9" s="108">
        <v>0</v>
      </c>
      <c r="L9" s="108">
        <v>0</v>
      </c>
      <c r="M9" s="108">
        <v>0</v>
      </c>
      <c r="N9" s="108">
        <v>13.563185503052532</v>
      </c>
      <c r="O9" s="108">
        <v>9521.3562231428768</v>
      </c>
      <c r="P9" s="108">
        <v>4.4033343539644649</v>
      </c>
      <c r="Q9" s="108">
        <v>3091.1407164830543</v>
      </c>
      <c r="R9" s="108">
        <v>5.2369240097321788</v>
      </c>
      <c r="S9" s="108">
        <v>3676.3206548319895</v>
      </c>
      <c r="T9" s="108">
        <v>2.3501923076923075</v>
      </c>
      <c r="U9" s="108">
        <v>1649.8349999999998</v>
      </c>
      <c r="V9" s="108">
        <v>0</v>
      </c>
      <c r="W9" s="108">
        <v>0</v>
      </c>
      <c r="X9" s="108">
        <v>9.1706548637973917</v>
      </c>
      <c r="Y9" s="108">
        <v>6437.7997143857692</v>
      </c>
      <c r="Z9" s="108">
        <v>5.2108293336857745</v>
      </c>
      <c r="AA9" s="108">
        <v>3658.0021922474139</v>
      </c>
      <c r="AB9" s="108">
        <v>5.194995898277277</v>
      </c>
      <c r="AC9" s="108">
        <v>3646.8871205906485</v>
      </c>
      <c r="AD9" s="108">
        <v>1.7489927549407401E-16</v>
      </c>
      <c r="AE9" s="108">
        <v>1.2277929139683997E-13</v>
      </c>
      <c r="AF9" s="108">
        <v>3.1067193262064361</v>
      </c>
      <c r="AG9" s="108">
        <v>2180.9169669969183</v>
      </c>
      <c r="AH9" s="108">
        <v>2.3920350847229557</v>
      </c>
      <c r="AI9" s="108">
        <v>1679.208629475515</v>
      </c>
      <c r="AJ9" s="108">
        <v>2.4670614359733531</v>
      </c>
      <c r="AK9" s="108">
        <v>1731.877128053294</v>
      </c>
      <c r="AL9" s="108">
        <v>0</v>
      </c>
      <c r="AM9" s="108">
        <v>0</v>
      </c>
      <c r="AN9" s="108">
        <v>8.192524235559878</v>
      </c>
      <c r="AO9" s="108">
        <v>5751.1520133630347</v>
      </c>
      <c r="AP9" s="108">
        <v>2.5359782608695656</v>
      </c>
      <c r="AQ9" s="108">
        <v>1780.2567391304351</v>
      </c>
      <c r="AR9" s="108">
        <v>0</v>
      </c>
      <c r="AS9" s="108">
        <v>0</v>
      </c>
      <c r="AT9" s="108">
        <v>10.68697394789579</v>
      </c>
      <c r="AU9" s="108">
        <v>7502.2557114228448</v>
      </c>
      <c r="AV9" s="108">
        <v>0</v>
      </c>
      <c r="AW9" s="108">
        <v>0</v>
      </c>
      <c r="AX9" s="108">
        <v>6.8028033131133432</v>
      </c>
      <c r="AY9" s="108">
        <v>4775.567925805567</v>
      </c>
      <c r="AZ9" s="108">
        <v>7.567083441175237</v>
      </c>
      <c r="BA9" s="108">
        <v>5312.0925757050163</v>
      </c>
      <c r="BB9" s="108">
        <v>5.6287092882991558</v>
      </c>
      <c r="BC9" s="108">
        <v>3951.3539203860073</v>
      </c>
      <c r="BD9" s="108">
        <v>0</v>
      </c>
      <c r="BE9" s="108">
        <v>0</v>
      </c>
      <c r="BF9" s="108">
        <v>9.1759454949944388</v>
      </c>
      <c r="BG9" s="108">
        <v>6441.513737486096</v>
      </c>
      <c r="BH9" s="108">
        <v>1.7474443233566166</v>
      </c>
      <c r="BI9" s="108">
        <v>1226.7059149963447</v>
      </c>
      <c r="BJ9" s="108">
        <v>9.9622840125163616</v>
      </c>
      <c r="BK9" s="108">
        <v>6993.5233767864856</v>
      </c>
      <c r="BL9" s="108">
        <v>4.759736285042095</v>
      </c>
      <c r="BM9" s="108">
        <v>3341.3348720995509</v>
      </c>
      <c r="BN9" s="108">
        <v>5.0066860690472721</v>
      </c>
      <c r="BO9" s="108">
        <v>3514.6936204711851</v>
      </c>
      <c r="BP9" s="108">
        <v>3.79542017820066</v>
      </c>
      <c r="BQ9" s="108">
        <v>2664.3849650968632</v>
      </c>
      <c r="BR9" s="108">
        <v>4.070261178809969</v>
      </c>
      <c r="BS9" s="108">
        <v>2857.3233475245984</v>
      </c>
      <c r="BT9" s="108">
        <v>3.3300208985351496</v>
      </c>
      <c r="BU9" s="108">
        <v>2337.6746707716752</v>
      </c>
      <c r="BV9" s="108">
        <v>3.2276758409785931</v>
      </c>
      <c r="BW9" s="108">
        <v>2265.8284403669722</v>
      </c>
      <c r="BX9" s="108">
        <v>0</v>
      </c>
      <c r="BY9" s="108">
        <v>0</v>
      </c>
      <c r="BZ9" s="108">
        <v>13.468485515290304</v>
      </c>
      <c r="CA9" s="108">
        <v>9454.8768317337926</v>
      </c>
      <c r="CB9" s="108">
        <v>7.0352379671954832</v>
      </c>
      <c r="CC9" s="108">
        <v>4938.7370529712289</v>
      </c>
      <c r="CD9" s="108">
        <v>0</v>
      </c>
      <c r="CE9" s="108">
        <v>0</v>
      </c>
      <c r="CF9" s="108">
        <v>2.0403148229121122</v>
      </c>
      <c r="CG9" s="108">
        <v>1432.3010056843027</v>
      </c>
      <c r="CH9" s="108">
        <v>0</v>
      </c>
      <c r="CI9" s="108">
        <v>0</v>
      </c>
      <c r="CJ9" s="108">
        <v>0</v>
      </c>
      <c r="CK9" s="108">
        <v>0</v>
      </c>
      <c r="CL9" s="108">
        <v>3.4731352932336303</v>
      </c>
      <c r="CM9" s="108">
        <v>2438.1409758500085</v>
      </c>
      <c r="CN9" s="108">
        <v>1.6205164551814268</v>
      </c>
      <c r="CO9" s="108">
        <v>1137.6025515373617</v>
      </c>
      <c r="CP9" s="108">
        <v>3.2836045056320402</v>
      </c>
      <c r="CQ9" s="108">
        <v>2305.0903629536924</v>
      </c>
      <c r="CR9" s="108">
        <v>0</v>
      </c>
      <c r="CS9" s="108">
        <v>0</v>
      </c>
      <c r="CT9" s="108">
        <v>0</v>
      </c>
      <c r="CU9" s="108">
        <v>0</v>
      </c>
    </row>
    <row r="10" spans="1:99" x14ac:dyDescent="0.2">
      <c r="C10" s="107" t="s">
        <v>175</v>
      </c>
      <c r="D10" s="108">
        <v>0</v>
      </c>
      <c r="E10" s="108">
        <v>0</v>
      </c>
      <c r="F10" s="108">
        <v>0</v>
      </c>
      <c r="G10" s="108">
        <v>0</v>
      </c>
      <c r="H10" s="108">
        <v>0</v>
      </c>
      <c r="I10" s="108">
        <v>0</v>
      </c>
      <c r="J10" s="108">
        <v>0</v>
      </c>
      <c r="K10" s="108">
        <v>0</v>
      </c>
      <c r="L10" s="108">
        <v>0</v>
      </c>
      <c r="M10" s="108">
        <v>0</v>
      </c>
      <c r="N10" s="108">
        <v>14.782348244899952</v>
      </c>
      <c r="O10" s="108">
        <v>8053.4233238214929</v>
      </c>
      <c r="P10" s="108">
        <v>4.4033343539644649</v>
      </c>
      <c r="Q10" s="108">
        <v>2398.9365560398401</v>
      </c>
      <c r="R10" s="108">
        <v>5.6143599743975612</v>
      </c>
      <c r="S10" s="108">
        <v>3058.703314051791</v>
      </c>
      <c r="T10" s="108">
        <v>2.2433653846153843</v>
      </c>
      <c r="U10" s="108">
        <v>1222.1854615384611</v>
      </c>
      <c r="V10" s="108">
        <v>0</v>
      </c>
      <c r="W10" s="108">
        <v>0</v>
      </c>
      <c r="X10" s="108">
        <v>9.4825507817114882</v>
      </c>
      <c r="Y10" s="108">
        <v>5166.0936658764185</v>
      </c>
      <c r="Z10" s="108">
        <v>5.3672637896044915</v>
      </c>
      <c r="AA10" s="108">
        <v>2924.0853125765266</v>
      </c>
      <c r="AB10" s="108">
        <v>4.6481542247744052</v>
      </c>
      <c r="AC10" s="108">
        <v>2532.3144216570959</v>
      </c>
      <c r="AD10" s="108">
        <v>1.8922696128642085E-16</v>
      </c>
      <c r="AE10" s="108">
        <v>1.0309084850884207E-13</v>
      </c>
      <c r="AF10" s="108">
        <v>2.8980392667706463</v>
      </c>
      <c r="AG10" s="108">
        <v>1578.851792536648</v>
      </c>
      <c r="AH10" s="108">
        <v>2.7275490414821002</v>
      </c>
      <c r="AI10" s="108">
        <v>1485.9687177994481</v>
      </c>
      <c r="AJ10" s="108">
        <v>2.5904145077720209</v>
      </c>
      <c r="AK10" s="108">
        <v>1411.2578238341969</v>
      </c>
      <c r="AL10" s="108">
        <v>0</v>
      </c>
      <c r="AM10" s="108">
        <v>0</v>
      </c>
      <c r="AN10" s="108">
        <v>8.8441679466194696</v>
      </c>
      <c r="AO10" s="108">
        <v>4818.3026973182868</v>
      </c>
      <c r="AP10" s="108">
        <v>2.8982608695652181</v>
      </c>
      <c r="AQ10" s="108">
        <v>1578.9725217391308</v>
      </c>
      <c r="AR10" s="108">
        <v>0</v>
      </c>
      <c r="AS10" s="108">
        <v>0</v>
      </c>
      <c r="AT10" s="108">
        <v>9.3511022044088179</v>
      </c>
      <c r="AU10" s="108">
        <v>5094.4804809619236</v>
      </c>
      <c r="AV10" s="108">
        <v>0</v>
      </c>
      <c r="AW10" s="108">
        <v>0</v>
      </c>
      <c r="AX10" s="108">
        <v>7.1355415006317813</v>
      </c>
      <c r="AY10" s="108">
        <v>3887.443009544194</v>
      </c>
      <c r="AZ10" s="108">
        <v>7.7890714407528323</v>
      </c>
      <c r="BA10" s="108">
        <v>4243.4861209221426</v>
      </c>
      <c r="BB10" s="108">
        <v>5.1864535585042217</v>
      </c>
      <c r="BC10" s="108">
        <v>2825.5798986730997</v>
      </c>
      <c r="BD10" s="108">
        <v>0</v>
      </c>
      <c r="BE10" s="108">
        <v>0</v>
      </c>
      <c r="BF10" s="108">
        <v>9.5466907675194665</v>
      </c>
      <c r="BG10" s="108">
        <v>5201.0371301446048</v>
      </c>
      <c r="BH10" s="108">
        <v>1.8384570485314404</v>
      </c>
      <c r="BI10" s="108">
        <v>1001.5914000399287</v>
      </c>
      <c r="BJ10" s="108">
        <v>8.9727711250114712</v>
      </c>
      <c r="BK10" s="108">
        <v>4888.365708906249</v>
      </c>
      <c r="BL10" s="108">
        <v>5.2245932111039668</v>
      </c>
      <c r="BM10" s="108">
        <v>2846.3583814094409</v>
      </c>
      <c r="BN10" s="108">
        <v>5.5284898434968008</v>
      </c>
      <c r="BO10" s="108">
        <v>3011.9212667370571</v>
      </c>
      <c r="BP10" s="108">
        <v>4.0428813802436023</v>
      </c>
      <c r="BQ10" s="108">
        <v>2202.5617759567144</v>
      </c>
      <c r="BR10" s="108">
        <v>4.1979125063257339</v>
      </c>
      <c r="BS10" s="108">
        <v>2287.0227334462597</v>
      </c>
      <c r="BT10" s="108">
        <v>3.8470830006416272</v>
      </c>
      <c r="BU10" s="108">
        <v>2095.8908187495585</v>
      </c>
      <c r="BV10" s="108">
        <v>2.8879204892966359</v>
      </c>
      <c r="BW10" s="108">
        <v>1573.339082568807</v>
      </c>
      <c r="BX10" s="108">
        <v>0</v>
      </c>
      <c r="BY10" s="108">
        <v>0</v>
      </c>
      <c r="BZ10" s="108">
        <v>13.394135715914127</v>
      </c>
      <c r="CA10" s="108">
        <v>7297.1251380300155</v>
      </c>
      <c r="CB10" s="108">
        <v>7.4833422963162137</v>
      </c>
      <c r="CC10" s="108">
        <v>4076.924883033073</v>
      </c>
      <c r="CD10" s="108">
        <v>0</v>
      </c>
      <c r="CE10" s="108">
        <v>0</v>
      </c>
      <c r="CF10" s="108">
        <v>2.1374726716222123</v>
      </c>
      <c r="CG10" s="108">
        <v>1164.4951114997812</v>
      </c>
      <c r="CH10" s="108">
        <v>0</v>
      </c>
      <c r="CI10" s="108">
        <v>0</v>
      </c>
      <c r="CJ10" s="108">
        <v>0</v>
      </c>
      <c r="CK10" s="108">
        <v>0</v>
      </c>
      <c r="CL10" s="108">
        <v>3.2103542728562044</v>
      </c>
      <c r="CM10" s="108">
        <v>1749.00100785206</v>
      </c>
      <c r="CN10" s="108">
        <v>1.6223906641629084</v>
      </c>
      <c r="CO10" s="108">
        <v>883.87843383595248</v>
      </c>
      <c r="CP10" s="108">
        <v>3.5650563204005006</v>
      </c>
      <c r="CQ10" s="108">
        <v>1942.2426833541926</v>
      </c>
      <c r="CR10" s="108">
        <v>0</v>
      </c>
      <c r="CS10" s="108">
        <v>0</v>
      </c>
      <c r="CT10" s="108">
        <v>0</v>
      </c>
      <c r="CU10" s="108">
        <v>0</v>
      </c>
    </row>
    <row r="11" spans="1:99" x14ac:dyDescent="0.2">
      <c r="C11" s="107" t="s">
        <v>176</v>
      </c>
      <c r="D11" s="108">
        <v>0</v>
      </c>
      <c r="E11" s="108">
        <v>0</v>
      </c>
      <c r="F11" s="108">
        <v>0</v>
      </c>
      <c r="G11" s="108">
        <v>0</v>
      </c>
      <c r="H11" s="108">
        <v>0</v>
      </c>
      <c r="I11" s="108">
        <v>0</v>
      </c>
      <c r="J11" s="108">
        <v>0</v>
      </c>
      <c r="K11" s="108">
        <v>0</v>
      </c>
      <c r="L11" s="108">
        <v>0</v>
      </c>
      <c r="M11" s="108">
        <v>0</v>
      </c>
      <c r="N11" s="108">
        <v>14.477557559438097</v>
      </c>
      <c r="O11" s="108">
        <v>7713.6426676686169</v>
      </c>
      <c r="P11" s="108">
        <v>4.8382315741091029</v>
      </c>
      <c r="Q11" s="108">
        <v>2577.80978268533</v>
      </c>
      <c r="R11" s="108">
        <v>5.5671804788143877</v>
      </c>
      <c r="S11" s="108">
        <v>2966.1937591123055</v>
      </c>
      <c r="T11" s="108">
        <v>2.2433653846153843</v>
      </c>
      <c r="U11" s="108">
        <v>1195.2650769230765</v>
      </c>
      <c r="V11" s="108">
        <v>0</v>
      </c>
      <c r="W11" s="108">
        <v>0</v>
      </c>
      <c r="X11" s="108">
        <v>9.7543784700767358</v>
      </c>
      <c r="Y11" s="108">
        <v>5197.1328488568843</v>
      </c>
      <c r="Z11" s="108">
        <v>5.2108293336857745</v>
      </c>
      <c r="AA11" s="108">
        <v>2776.3298689877806</v>
      </c>
      <c r="AB11" s="108">
        <v>4.6481542247744052</v>
      </c>
      <c r="AC11" s="108">
        <v>2476.5365709598027</v>
      </c>
      <c r="AD11" s="108">
        <v>1.9606400131543021E-16</v>
      </c>
      <c r="AE11" s="108">
        <v>1.0446289990086121E-13</v>
      </c>
      <c r="AF11" s="108">
        <v>3.20215047826823</v>
      </c>
      <c r="AG11" s="108">
        <v>1706.1057748213127</v>
      </c>
      <c r="AH11" s="108">
        <v>2.5204537909091504</v>
      </c>
      <c r="AI11" s="108">
        <v>1342.8977797963953</v>
      </c>
      <c r="AJ11" s="108">
        <v>2.2203552923760177</v>
      </c>
      <c r="AK11" s="108">
        <v>1183.0052997779421</v>
      </c>
      <c r="AL11" s="108">
        <v>0</v>
      </c>
      <c r="AM11" s="108">
        <v>0</v>
      </c>
      <c r="AN11" s="108">
        <v>8.3072318364351876</v>
      </c>
      <c r="AO11" s="108">
        <v>4426.0931224526676</v>
      </c>
      <c r="AP11" s="108">
        <v>3.0794021739130444</v>
      </c>
      <c r="AQ11" s="108">
        <v>1640.70547826087</v>
      </c>
      <c r="AR11" s="108">
        <v>0</v>
      </c>
      <c r="AS11" s="108">
        <v>0</v>
      </c>
      <c r="AT11" s="108">
        <v>10.241683366733467</v>
      </c>
      <c r="AU11" s="108">
        <v>5456.7688977955904</v>
      </c>
      <c r="AV11" s="108">
        <v>0</v>
      </c>
      <c r="AW11" s="108">
        <v>0</v>
      </c>
      <c r="AX11" s="108">
        <v>7.4901077664675322</v>
      </c>
      <c r="AY11" s="108">
        <v>3990.7294179739006</v>
      </c>
      <c r="AZ11" s="108">
        <v>7.7168853077130901</v>
      </c>
      <c r="BA11" s="108">
        <v>4111.5564919495337</v>
      </c>
      <c r="BB11" s="108">
        <v>5.5482991556091683</v>
      </c>
      <c r="BC11" s="108">
        <v>2956.1337901085644</v>
      </c>
      <c r="BD11" s="108">
        <v>0</v>
      </c>
      <c r="BE11" s="108">
        <v>0</v>
      </c>
      <c r="BF11" s="108">
        <v>9.9174360400444943</v>
      </c>
      <c r="BG11" s="108">
        <v>5284.0099221357059</v>
      </c>
      <c r="BH11" s="108">
        <v>2.093292679020947</v>
      </c>
      <c r="BI11" s="108">
        <v>1115.3063393823604</v>
      </c>
      <c r="BJ11" s="108">
        <v>10.056428680089924</v>
      </c>
      <c r="BK11" s="108">
        <v>5358.0652007519111</v>
      </c>
      <c r="BL11" s="108">
        <v>5.2919046995471613</v>
      </c>
      <c r="BM11" s="108">
        <v>2819.5268239187271</v>
      </c>
      <c r="BN11" s="108">
        <v>5.0576661122600388</v>
      </c>
      <c r="BO11" s="108">
        <v>2694.7245046121484</v>
      </c>
      <c r="BP11" s="108">
        <v>3.9317119858203284</v>
      </c>
      <c r="BQ11" s="108">
        <v>2094.816146045071</v>
      </c>
      <c r="BR11" s="108">
        <v>4.3337848890432129</v>
      </c>
      <c r="BS11" s="108">
        <v>2309.0405888822238</v>
      </c>
      <c r="BT11" s="108">
        <v>3.5756893940188239</v>
      </c>
      <c r="BU11" s="108">
        <v>1905.1273091332291</v>
      </c>
      <c r="BV11" s="108">
        <v>3.0577981651376152</v>
      </c>
      <c r="BW11" s="108">
        <v>1629.1948623853211</v>
      </c>
      <c r="BX11" s="108">
        <v>0</v>
      </c>
      <c r="BY11" s="108">
        <v>0</v>
      </c>
      <c r="BZ11" s="108">
        <v>14.428924219496459</v>
      </c>
      <c r="CA11" s="108">
        <v>7687.7308241477122</v>
      </c>
      <c r="CB11" s="108">
        <v>6.85599623554719</v>
      </c>
      <c r="CC11" s="108">
        <v>3652.8747942995424</v>
      </c>
      <c r="CD11" s="108">
        <v>0</v>
      </c>
      <c r="CE11" s="108">
        <v>0</v>
      </c>
      <c r="CF11" s="108">
        <v>2.0888937472671625</v>
      </c>
      <c r="CG11" s="108">
        <v>1112.9625885439441</v>
      </c>
      <c r="CH11" s="108">
        <v>0</v>
      </c>
      <c r="CI11" s="108">
        <v>0</v>
      </c>
      <c r="CJ11" s="108">
        <v>0</v>
      </c>
      <c r="CK11" s="108">
        <v>0</v>
      </c>
      <c r="CL11" s="108">
        <v>3.5590671770170683</v>
      </c>
      <c r="CM11" s="108">
        <v>1896.2709919146939</v>
      </c>
      <c r="CN11" s="108">
        <v>1.6973283727948927</v>
      </c>
      <c r="CO11" s="108">
        <v>904.33655702511874</v>
      </c>
      <c r="CP11" s="108">
        <v>3.4712390488110141</v>
      </c>
      <c r="CQ11" s="108">
        <v>1849.4761652065081</v>
      </c>
      <c r="CR11" s="108">
        <v>0</v>
      </c>
      <c r="CS11" s="108">
        <v>0</v>
      </c>
      <c r="CT11" s="108">
        <v>0</v>
      </c>
      <c r="CU11" s="108">
        <v>0</v>
      </c>
    </row>
    <row r="12" spans="1:99" x14ac:dyDescent="0.2">
      <c r="C12" s="107" t="s">
        <v>177</v>
      </c>
      <c r="D12" s="108">
        <v>0</v>
      </c>
      <c r="E12" s="108">
        <v>0</v>
      </c>
      <c r="F12" s="108">
        <v>0</v>
      </c>
      <c r="G12" s="108">
        <v>0</v>
      </c>
      <c r="H12" s="108">
        <v>0</v>
      </c>
      <c r="I12" s="108">
        <v>0</v>
      </c>
      <c r="J12" s="108">
        <v>0</v>
      </c>
      <c r="K12" s="108">
        <v>0</v>
      </c>
      <c r="L12" s="108">
        <v>0</v>
      </c>
      <c r="M12" s="108">
        <v>0</v>
      </c>
      <c r="N12" s="108">
        <v>15.84911564401644</v>
      </c>
      <c r="O12" s="108">
        <v>8919.8822844524511</v>
      </c>
      <c r="P12" s="108">
        <v>4.5120586590006244</v>
      </c>
      <c r="Q12" s="108">
        <v>2539.386613285551</v>
      </c>
      <c r="R12" s="108">
        <v>6.3220524081451526</v>
      </c>
      <c r="S12" s="108">
        <v>3558.0510953040916</v>
      </c>
      <c r="T12" s="108">
        <v>2.4570192307692307</v>
      </c>
      <c r="U12" s="108">
        <v>1382.8104230769229</v>
      </c>
      <c r="V12" s="108">
        <v>0</v>
      </c>
      <c r="W12" s="108">
        <v>0</v>
      </c>
      <c r="X12" s="108">
        <v>9.2107230933462425</v>
      </c>
      <c r="Y12" s="108">
        <v>5183.794956935265</v>
      </c>
      <c r="Z12" s="108">
        <v>4.8815349127480889</v>
      </c>
      <c r="AA12" s="108">
        <v>2747.3278488946244</v>
      </c>
      <c r="AB12" s="108">
        <v>5.4684167350287121</v>
      </c>
      <c r="AC12" s="108">
        <v>3077.6249384741591</v>
      </c>
      <c r="AD12" s="108">
        <v>2.0584226714891599E-16</v>
      </c>
      <c r="AE12" s="108">
        <v>1.1584802795140991E-13</v>
      </c>
      <c r="AF12" s="108">
        <v>2.707176962647059</v>
      </c>
      <c r="AG12" s="108">
        <v>1523.5991945777646</v>
      </c>
      <c r="AH12" s="108">
        <v>2.7225748253021571</v>
      </c>
      <c r="AI12" s="108">
        <v>1532.2651116800539</v>
      </c>
      <c r="AJ12" s="108">
        <v>2.3437083641746854</v>
      </c>
      <c r="AK12" s="108">
        <v>1319.0390673575127</v>
      </c>
      <c r="AL12" s="108">
        <v>0</v>
      </c>
      <c r="AM12" s="108">
        <v>0</v>
      </c>
      <c r="AN12" s="108">
        <v>8.2785549362163611</v>
      </c>
      <c r="AO12" s="108">
        <v>4659.1707181025677</v>
      </c>
      <c r="AP12" s="108">
        <v>2.5359782608695656</v>
      </c>
      <c r="AQ12" s="108">
        <v>1427.2485652173914</v>
      </c>
      <c r="AR12" s="108">
        <v>0</v>
      </c>
      <c r="AS12" s="108">
        <v>0</v>
      </c>
      <c r="AT12" s="108">
        <v>9.3511022044088179</v>
      </c>
      <c r="AU12" s="108">
        <v>5262.8003206412823</v>
      </c>
      <c r="AV12" s="108">
        <v>0</v>
      </c>
      <c r="AW12" s="108">
        <v>0</v>
      </c>
      <c r="AX12" s="108">
        <v>7.1682836181077461</v>
      </c>
      <c r="AY12" s="108">
        <v>4034.3100202710393</v>
      </c>
      <c r="AZ12" s="108">
        <v>8.9422397025692515</v>
      </c>
      <c r="BA12" s="108">
        <v>5032.6925046059741</v>
      </c>
      <c r="BB12" s="108">
        <v>4.9854282267792529</v>
      </c>
      <c r="BC12" s="108">
        <v>2805.7990060313632</v>
      </c>
      <c r="BD12" s="108">
        <v>0</v>
      </c>
      <c r="BE12" s="108">
        <v>0</v>
      </c>
      <c r="BF12" s="108">
        <v>8.5271412680756402</v>
      </c>
      <c r="BG12" s="108">
        <v>4799.0751056729696</v>
      </c>
      <c r="BH12" s="108">
        <v>2.0204824988810879</v>
      </c>
      <c r="BI12" s="108">
        <v>1137.1275503702761</v>
      </c>
      <c r="BJ12" s="108">
        <v>9.2124143888101724</v>
      </c>
      <c r="BK12" s="108">
        <v>5184.746818022365</v>
      </c>
      <c r="BL12" s="108">
        <v>5.2245932111039668</v>
      </c>
      <c r="BM12" s="108">
        <v>2940.4010592093123</v>
      </c>
      <c r="BN12" s="108">
        <v>5.1558034363337955</v>
      </c>
      <c r="BO12" s="108">
        <v>2901.6861739686597</v>
      </c>
      <c r="BP12" s="108">
        <v>4.0763779311721295</v>
      </c>
      <c r="BQ12" s="108">
        <v>2294.1854996636744</v>
      </c>
      <c r="BR12" s="108">
        <v>4.420105968661213</v>
      </c>
      <c r="BS12" s="108">
        <v>2487.6356391625304</v>
      </c>
      <c r="BT12" s="108">
        <v>3.7184574449459848</v>
      </c>
      <c r="BU12" s="108">
        <v>2092.7478500156003</v>
      </c>
      <c r="BV12" s="108">
        <v>3.3975535168195723</v>
      </c>
      <c r="BW12" s="108">
        <v>1912.1431192660552</v>
      </c>
      <c r="BX12" s="108">
        <v>0</v>
      </c>
      <c r="BY12" s="108">
        <v>0</v>
      </c>
      <c r="BZ12" s="108">
        <v>11.897976696864323</v>
      </c>
      <c r="CA12" s="108">
        <v>6696.1812849952403</v>
      </c>
      <c r="CB12" s="108">
        <v>6.7215649368109709</v>
      </c>
      <c r="CC12" s="108">
        <v>3782.896746437214</v>
      </c>
      <c r="CD12" s="108">
        <v>0</v>
      </c>
      <c r="CE12" s="108">
        <v>0</v>
      </c>
      <c r="CF12" s="108">
        <v>2.0888937472671625</v>
      </c>
      <c r="CG12" s="108">
        <v>1175.6294009619589</v>
      </c>
      <c r="CH12" s="108">
        <v>0</v>
      </c>
      <c r="CI12" s="108">
        <v>0</v>
      </c>
      <c r="CJ12" s="108">
        <v>0</v>
      </c>
      <c r="CK12" s="108">
        <v>0</v>
      </c>
      <c r="CL12" s="108">
        <v>3.6549697988547298</v>
      </c>
      <c r="CM12" s="108">
        <v>2057.0170027954418</v>
      </c>
      <c r="CN12" s="108">
        <v>1.9127704537834367</v>
      </c>
      <c r="CO12" s="108">
        <v>1076.5072113893182</v>
      </c>
      <c r="CP12" s="108">
        <v>2.9083354192740929</v>
      </c>
      <c r="CQ12" s="108">
        <v>1636.8111739674594</v>
      </c>
      <c r="CR12" s="108">
        <v>0</v>
      </c>
      <c r="CS12" s="108">
        <v>0</v>
      </c>
      <c r="CT12" s="108">
        <v>0</v>
      </c>
      <c r="CU12" s="108">
        <v>0</v>
      </c>
    </row>
    <row r="13" spans="1:99" x14ac:dyDescent="0.2">
      <c r="C13" s="107" t="s">
        <v>178</v>
      </c>
      <c r="D13" s="108">
        <v>0</v>
      </c>
      <c r="E13" s="108">
        <v>0</v>
      </c>
      <c r="F13" s="108">
        <v>0</v>
      </c>
      <c r="G13" s="108">
        <v>0</v>
      </c>
      <c r="H13" s="108">
        <v>0</v>
      </c>
      <c r="I13" s="108">
        <v>0</v>
      </c>
      <c r="J13" s="108">
        <v>0</v>
      </c>
      <c r="K13" s="108">
        <v>0</v>
      </c>
      <c r="L13" s="108">
        <v>0</v>
      </c>
      <c r="M13" s="108">
        <v>0</v>
      </c>
      <c r="N13" s="108">
        <v>15.696720301285513</v>
      </c>
      <c r="O13" s="108">
        <v>1337.3605696695258</v>
      </c>
      <c r="P13" s="108">
        <v>4.6207829640367839</v>
      </c>
      <c r="Q13" s="108">
        <v>393.69070853593399</v>
      </c>
      <c r="R13" s="108">
        <v>6.3692319037283252</v>
      </c>
      <c r="S13" s="108">
        <v>542.65855819765329</v>
      </c>
      <c r="T13" s="108">
        <v>2.5638461538461539</v>
      </c>
      <c r="U13" s="108">
        <v>218.43969230769233</v>
      </c>
      <c r="V13" s="108">
        <v>0</v>
      </c>
      <c r="W13" s="108">
        <v>0</v>
      </c>
      <c r="X13" s="108">
        <v>10.039562234958266</v>
      </c>
      <c r="Y13" s="108">
        <v>855.37070241844435</v>
      </c>
      <c r="Z13" s="108">
        <v>5.7129837196424305</v>
      </c>
      <c r="AA13" s="108">
        <v>486.74621291353509</v>
      </c>
      <c r="AB13" s="108">
        <v>5.194995898277277</v>
      </c>
      <c r="AC13" s="108">
        <v>442.61365053322402</v>
      </c>
      <c r="AD13" s="108">
        <v>1.9704440991692236E-16</v>
      </c>
      <c r="AE13" s="108">
        <v>1.6788183724921784E-14</v>
      </c>
      <c r="AF13" s="108">
        <v>3.242240427720684</v>
      </c>
      <c r="AG13" s="108">
        <v>276.23888444180227</v>
      </c>
      <c r="AH13" s="108">
        <v>2.6687693618151207</v>
      </c>
      <c r="AI13" s="108">
        <v>227.37914962664829</v>
      </c>
      <c r="AJ13" s="108">
        <v>2.2203552923760177</v>
      </c>
      <c r="AK13" s="108">
        <v>189.17427091043672</v>
      </c>
      <c r="AL13" s="108">
        <v>0</v>
      </c>
      <c r="AM13" s="108">
        <v>0</v>
      </c>
      <c r="AN13" s="108">
        <v>8.8728448468382997</v>
      </c>
      <c r="AO13" s="108">
        <v>755.96638095062315</v>
      </c>
      <c r="AP13" s="108">
        <v>2.7171195652173918</v>
      </c>
      <c r="AQ13" s="108">
        <v>231.49858695652179</v>
      </c>
      <c r="AR13" s="108">
        <v>0</v>
      </c>
      <c r="AS13" s="108">
        <v>0</v>
      </c>
      <c r="AT13" s="108">
        <v>9.7963927855711432</v>
      </c>
      <c r="AU13" s="108">
        <v>834.65266533066142</v>
      </c>
      <c r="AV13" s="108">
        <v>0</v>
      </c>
      <c r="AW13" s="108">
        <v>0</v>
      </c>
      <c r="AX13" s="108">
        <v>7.299252088011607</v>
      </c>
      <c r="AY13" s="108">
        <v>621.89627789858889</v>
      </c>
      <c r="AZ13" s="108">
        <v>9.2291743679087634</v>
      </c>
      <c r="BA13" s="108">
        <v>786.32565614582666</v>
      </c>
      <c r="BB13" s="108">
        <v>5.910144752714114</v>
      </c>
      <c r="BC13" s="108">
        <v>503.54433293124254</v>
      </c>
      <c r="BD13" s="108">
        <v>0</v>
      </c>
      <c r="BE13" s="108">
        <v>0</v>
      </c>
      <c r="BF13" s="108">
        <v>10.288181312569522</v>
      </c>
      <c r="BG13" s="108">
        <v>876.55304783092333</v>
      </c>
      <c r="BH13" s="108">
        <v>2.2025079492307356</v>
      </c>
      <c r="BI13" s="108">
        <v>187.65367727445869</v>
      </c>
      <c r="BJ13" s="108">
        <v>9.8134976994089094</v>
      </c>
      <c r="BK13" s="108">
        <v>836.11000398963915</v>
      </c>
      <c r="BL13" s="108">
        <v>5.4238760244595197</v>
      </c>
      <c r="BM13" s="108">
        <v>462.11423728395107</v>
      </c>
      <c r="BN13" s="108">
        <v>5.4030581276940755</v>
      </c>
      <c r="BO13" s="108">
        <v>460.34055247953523</v>
      </c>
      <c r="BP13" s="108">
        <v>3.8163555225309884</v>
      </c>
      <c r="BQ13" s="108">
        <v>325.15349051964023</v>
      </c>
      <c r="BR13" s="108">
        <v>4.6464099585975491</v>
      </c>
      <c r="BS13" s="108">
        <v>395.87412847251119</v>
      </c>
      <c r="BT13" s="108">
        <v>3.7557651719927234</v>
      </c>
      <c r="BU13" s="108">
        <v>319.99119265378005</v>
      </c>
      <c r="BV13" s="108">
        <v>3.2276758409785931</v>
      </c>
      <c r="BW13" s="108">
        <v>274.99798165137616</v>
      </c>
      <c r="BX13" s="108">
        <v>0</v>
      </c>
      <c r="BY13" s="108">
        <v>0</v>
      </c>
      <c r="BZ13" s="108">
        <v>14.952427158971785</v>
      </c>
      <c r="CA13" s="108">
        <v>1273.9467939443962</v>
      </c>
      <c r="CB13" s="108">
        <v>7.2144796988437756</v>
      </c>
      <c r="CC13" s="108">
        <v>614.6736703414897</v>
      </c>
      <c r="CD13" s="108">
        <v>0</v>
      </c>
      <c r="CE13" s="108">
        <v>0</v>
      </c>
      <c r="CF13" s="108">
        <v>2.4775251421075644</v>
      </c>
      <c r="CG13" s="108">
        <v>211.08514210756448</v>
      </c>
      <c r="CH13" s="108">
        <v>0</v>
      </c>
      <c r="CI13" s="108">
        <v>0</v>
      </c>
      <c r="CJ13" s="108">
        <v>0</v>
      </c>
      <c r="CK13" s="108">
        <v>0</v>
      </c>
      <c r="CL13" s="108">
        <v>3.5756850737741064</v>
      </c>
      <c r="CM13" s="108">
        <v>304.64836828555389</v>
      </c>
      <c r="CN13" s="108">
        <v>1.8397069541329343</v>
      </c>
      <c r="CO13" s="108">
        <v>156.74303249212602</v>
      </c>
      <c r="CP13" s="108">
        <v>3.7526908635794745</v>
      </c>
      <c r="CQ13" s="108">
        <v>319.72926157697123</v>
      </c>
      <c r="CR13" s="108">
        <v>0</v>
      </c>
      <c r="CS13" s="108">
        <v>0</v>
      </c>
      <c r="CT13" s="108">
        <v>0</v>
      </c>
      <c r="CU13" s="108">
        <v>0</v>
      </c>
    </row>
    <row r="14" spans="1:99" x14ac:dyDescent="0.2">
      <c r="C14" s="107" t="s">
        <v>179</v>
      </c>
      <c r="D14" s="108">
        <v>0</v>
      </c>
      <c r="E14" s="108">
        <v>0</v>
      </c>
      <c r="F14" s="108">
        <v>0</v>
      </c>
      <c r="G14" s="108">
        <v>0</v>
      </c>
      <c r="H14" s="108">
        <v>0</v>
      </c>
      <c r="I14" s="108">
        <v>0</v>
      </c>
      <c r="J14" s="108">
        <v>0</v>
      </c>
      <c r="K14" s="108">
        <v>0</v>
      </c>
      <c r="L14" s="108">
        <v>0</v>
      </c>
      <c r="M14" s="108">
        <v>0</v>
      </c>
      <c r="N14" s="108">
        <v>13.867976188514387</v>
      </c>
      <c r="O14" s="108">
        <v>6773.119570470426</v>
      </c>
      <c r="P14" s="108">
        <v>4.2946100489283054</v>
      </c>
      <c r="Q14" s="108">
        <v>2097.4875478965841</v>
      </c>
      <c r="R14" s="108">
        <v>6.0861549302292888</v>
      </c>
      <c r="S14" s="108">
        <v>2972.4780679239843</v>
      </c>
      <c r="T14" s="108">
        <v>2.5638461538461539</v>
      </c>
      <c r="U14" s="108">
        <v>1252.1824615384614</v>
      </c>
      <c r="V14" s="108">
        <v>0</v>
      </c>
      <c r="W14" s="108">
        <v>0</v>
      </c>
      <c r="X14" s="108">
        <v>10.529793305623624</v>
      </c>
      <c r="Y14" s="108">
        <v>5142.7510504665779</v>
      </c>
      <c r="Z14" s="108">
        <v>5.2108293336857745</v>
      </c>
      <c r="AA14" s="108">
        <v>2544.9690465721324</v>
      </c>
      <c r="AB14" s="108">
        <v>4.9215750615258411</v>
      </c>
      <c r="AC14" s="108">
        <v>2403.6972600492209</v>
      </c>
      <c r="AD14" s="108">
        <v>1.8271672412457553E-16</v>
      </c>
      <c r="AE14" s="108">
        <v>8.9238848062442682E-14</v>
      </c>
      <c r="AF14" s="108">
        <v>3.1334459591747388</v>
      </c>
      <c r="AG14" s="108">
        <v>1530.3750064609424</v>
      </c>
      <c r="AH14" s="108">
        <v>2.7275490414821002</v>
      </c>
      <c r="AI14" s="108">
        <v>1332.1349518598577</v>
      </c>
      <c r="AJ14" s="108">
        <v>2.09700222057735</v>
      </c>
      <c r="AK14" s="108">
        <v>1024.1758845299776</v>
      </c>
      <c r="AL14" s="108">
        <v>0</v>
      </c>
      <c r="AM14" s="108">
        <v>0</v>
      </c>
      <c r="AN14" s="108">
        <v>8.3072318364351876</v>
      </c>
      <c r="AO14" s="108">
        <v>4057.2520289149456</v>
      </c>
      <c r="AP14" s="108">
        <v>2.7171195652173918</v>
      </c>
      <c r="AQ14" s="108">
        <v>1327.0411956521741</v>
      </c>
      <c r="AR14" s="108">
        <v>0</v>
      </c>
      <c r="AS14" s="108">
        <v>0</v>
      </c>
      <c r="AT14" s="108">
        <v>9.3511022044088179</v>
      </c>
      <c r="AU14" s="108">
        <v>4567.0783166332667</v>
      </c>
      <c r="AV14" s="108">
        <v>0</v>
      </c>
      <c r="AW14" s="108">
        <v>0</v>
      </c>
      <c r="AX14" s="108">
        <v>7.2010257355837135</v>
      </c>
      <c r="AY14" s="108">
        <v>3516.9809692590857</v>
      </c>
      <c r="AZ14" s="108">
        <v>9.0089962351506259</v>
      </c>
      <c r="BA14" s="108">
        <v>4399.9937612475651</v>
      </c>
      <c r="BB14" s="108">
        <v>5.6689143546441505</v>
      </c>
      <c r="BC14" s="108">
        <v>2768.6977708082031</v>
      </c>
      <c r="BD14" s="108">
        <v>0</v>
      </c>
      <c r="BE14" s="108">
        <v>0</v>
      </c>
      <c r="BF14" s="108">
        <v>8.7125139043381541</v>
      </c>
      <c r="BG14" s="108">
        <v>4255.1917908787545</v>
      </c>
      <c r="BH14" s="108">
        <v>1.9840774088111586</v>
      </c>
      <c r="BI14" s="108">
        <v>969.02340646336984</v>
      </c>
      <c r="BJ14" s="108">
        <v>10.464609768015915</v>
      </c>
      <c r="BK14" s="108">
        <v>5110.9154106989727</v>
      </c>
      <c r="BL14" s="108">
        <v>5.4132694165633977</v>
      </c>
      <c r="BM14" s="108">
        <v>2643.8407830495635</v>
      </c>
      <c r="BN14" s="108">
        <v>4.7595383887402951</v>
      </c>
      <c r="BO14" s="108">
        <v>2324.55854906076</v>
      </c>
      <c r="BP14" s="108">
        <v>3.8940283660257369</v>
      </c>
      <c r="BQ14" s="108">
        <v>1901.8434539669697</v>
      </c>
      <c r="BR14" s="108">
        <v>4.2143546167291621</v>
      </c>
      <c r="BS14" s="108">
        <v>2058.2907948105226</v>
      </c>
      <c r="BT14" s="108">
        <v>3.8625180673251043</v>
      </c>
      <c r="BU14" s="108">
        <v>1886.4538240815809</v>
      </c>
      <c r="BV14" s="108">
        <v>2.8879204892966359</v>
      </c>
      <c r="BW14" s="108">
        <v>1410.460366972477</v>
      </c>
      <c r="BX14" s="108">
        <v>0</v>
      </c>
      <c r="BY14" s="108">
        <v>0</v>
      </c>
      <c r="BZ14" s="108">
        <v>14.211983509052084</v>
      </c>
      <c r="CA14" s="108">
        <v>6941.1327458210371</v>
      </c>
      <c r="CB14" s="108">
        <v>7.5281527292282879</v>
      </c>
      <c r="CC14" s="108">
        <v>3676.7497929550955</v>
      </c>
      <c r="CD14" s="108">
        <v>0</v>
      </c>
      <c r="CE14" s="108">
        <v>0</v>
      </c>
      <c r="CF14" s="108">
        <v>2.0403148229121122</v>
      </c>
      <c r="CG14" s="108">
        <v>996.48975951027558</v>
      </c>
      <c r="CH14" s="108">
        <v>0</v>
      </c>
      <c r="CI14" s="108">
        <v>0</v>
      </c>
      <c r="CJ14" s="108">
        <v>0</v>
      </c>
      <c r="CK14" s="108">
        <v>0</v>
      </c>
      <c r="CL14" s="108">
        <v>3.7442252619895755</v>
      </c>
      <c r="CM14" s="108">
        <v>1828.6796179557086</v>
      </c>
      <c r="CN14" s="108">
        <v>1.9108962448019549</v>
      </c>
      <c r="CO14" s="108">
        <v>933.28172596127467</v>
      </c>
      <c r="CP14" s="108">
        <v>3.0959699624530668</v>
      </c>
      <c r="CQ14" s="108">
        <v>1512.0717296620778</v>
      </c>
      <c r="CR14" s="108">
        <v>0</v>
      </c>
      <c r="CS14" s="108">
        <v>0</v>
      </c>
      <c r="CT14" s="108">
        <v>0</v>
      </c>
      <c r="CU14" s="108">
        <v>0</v>
      </c>
    </row>
    <row r="15" spans="1:99" x14ac:dyDescent="0.2">
      <c r="C15" s="107" t="s">
        <v>180</v>
      </c>
      <c r="D15" s="108">
        <v>0</v>
      </c>
      <c r="E15" s="108">
        <v>0</v>
      </c>
      <c r="F15" s="108">
        <v>0</v>
      </c>
      <c r="G15" s="108">
        <v>0</v>
      </c>
      <c r="H15" s="108">
        <v>0</v>
      </c>
      <c r="I15" s="108">
        <v>0</v>
      </c>
      <c r="J15" s="108">
        <v>0</v>
      </c>
      <c r="K15" s="108">
        <v>0</v>
      </c>
      <c r="L15" s="108">
        <v>0</v>
      </c>
      <c r="M15" s="108">
        <v>0</v>
      </c>
      <c r="N15" s="108">
        <v>13.867976188514387</v>
      </c>
      <c r="O15" s="108">
        <v>10584.03942707418</v>
      </c>
      <c r="P15" s="108">
        <v>4.2946100489283054</v>
      </c>
      <c r="Q15" s="108">
        <v>3277.6463893420823</v>
      </c>
      <c r="R15" s="108">
        <v>5.7087189655639063</v>
      </c>
      <c r="S15" s="108">
        <v>4356.894314518373</v>
      </c>
      <c r="T15" s="108">
        <v>2.3501923076923075</v>
      </c>
      <c r="U15" s="108">
        <v>1793.666769230769</v>
      </c>
      <c r="V15" s="108">
        <v>0</v>
      </c>
      <c r="W15" s="108">
        <v>0</v>
      </c>
      <c r="X15" s="108">
        <v>9.1973670168299595</v>
      </c>
      <c r="Y15" s="108">
        <v>7019.4305072446241</v>
      </c>
      <c r="Z15" s="108">
        <v>5.540123754623461</v>
      </c>
      <c r="AA15" s="108">
        <v>4228.2224495286255</v>
      </c>
      <c r="AB15" s="108">
        <v>5.4684167350287121</v>
      </c>
      <c r="AC15" s="108">
        <v>4173.4956521739123</v>
      </c>
      <c r="AD15" s="108">
        <v>1.7784050129855047E-16</v>
      </c>
      <c r="AE15" s="108">
        <v>1.357278705910537E-13</v>
      </c>
      <c r="AF15" s="108">
        <v>2.8980392667706463</v>
      </c>
      <c r="AG15" s="108">
        <v>2211.7835683993571</v>
      </c>
      <c r="AH15" s="108">
        <v>2.7176006091222127</v>
      </c>
      <c r="AI15" s="108">
        <v>2074.0727848820725</v>
      </c>
      <c r="AJ15" s="108">
        <v>2.4670614359733531</v>
      </c>
      <c r="AK15" s="108">
        <v>1882.861287934863</v>
      </c>
      <c r="AL15" s="108">
        <v>0</v>
      </c>
      <c r="AM15" s="108">
        <v>0</v>
      </c>
      <c r="AN15" s="108">
        <v>9.5244885578978931</v>
      </c>
      <c r="AO15" s="108">
        <v>7269.0896673876714</v>
      </c>
      <c r="AP15" s="108">
        <v>2.5359782608695656</v>
      </c>
      <c r="AQ15" s="108">
        <v>1935.4586086956522</v>
      </c>
      <c r="AR15" s="108">
        <v>0</v>
      </c>
      <c r="AS15" s="108">
        <v>0</v>
      </c>
      <c r="AT15" s="108">
        <v>8.9058116232464943</v>
      </c>
      <c r="AU15" s="108">
        <v>6796.9154308617235</v>
      </c>
      <c r="AV15" s="108">
        <v>0</v>
      </c>
      <c r="AW15" s="108">
        <v>0</v>
      </c>
      <c r="AX15" s="108">
        <v>5.9190461549033611</v>
      </c>
      <c r="AY15" s="108">
        <v>4517.4160254222452</v>
      </c>
      <c r="AZ15" s="108">
        <v>8.2149487717134608</v>
      </c>
      <c r="BA15" s="108">
        <v>6269.6489025717128</v>
      </c>
      <c r="BB15" s="108">
        <v>5.0256332931242467</v>
      </c>
      <c r="BC15" s="108">
        <v>3835.5633293124247</v>
      </c>
      <c r="BD15" s="108">
        <v>0</v>
      </c>
      <c r="BE15" s="108">
        <v>0</v>
      </c>
      <c r="BF15" s="108">
        <v>8.5271412680756402</v>
      </c>
      <c r="BG15" s="108">
        <v>6507.9142157953283</v>
      </c>
      <c r="BH15" s="108">
        <v>1.9658748637761938</v>
      </c>
      <c r="BI15" s="108">
        <v>1500.3556960339911</v>
      </c>
      <c r="BJ15" s="108">
        <v>9.1887125755863668</v>
      </c>
      <c r="BK15" s="108">
        <v>7012.8254376875147</v>
      </c>
      <c r="BL15" s="108">
        <v>4.9722773582678004</v>
      </c>
      <c r="BM15" s="108">
        <v>3794.8420798299849</v>
      </c>
      <c r="BN15" s="108">
        <v>5.4068808900458531</v>
      </c>
      <c r="BO15" s="108">
        <v>4126.5314952829949</v>
      </c>
      <c r="BP15" s="108">
        <v>3.6530598367544234</v>
      </c>
      <c r="BQ15" s="108">
        <v>2788.0152674109759</v>
      </c>
      <c r="BR15" s="108">
        <v>4.0127137923979683</v>
      </c>
      <c r="BS15" s="108">
        <v>3062.503166358129</v>
      </c>
      <c r="BT15" s="108">
        <v>3.3454559652186266</v>
      </c>
      <c r="BU15" s="108">
        <v>2553.2519926548557</v>
      </c>
      <c r="BV15" s="108">
        <v>3.2276758409785931</v>
      </c>
      <c r="BW15" s="108">
        <v>2463.3622018348619</v>
      </c>
      <c r="BX15" s="108">
        <v>0</v>
      </c>
      <c r="BY15" s="108">
        <v>0</v>
      </c>
      <c r="BZ15" s="108">
        <v>13.155814598575191</v>
      </c>
      <c r="CA15" s="108">
        <v>10040.517701632585</v>
      </c>
      <c r="CB15" s="108">
        <v>6.6319440709868243</v>
      </c>
      <c r="CC15" s="108">
        <v>5061.4997149771434</v>
      </c>
      <c r="CD15" s="108">
        <v>0</v>
      </c>
      <c r="CE15" s="108">
        <v>0</v>
      </c>
      <c r="CF15" s="108">
        <v>2.0403148229121122</v>
      </c>
      <c r="CG15" s="108">
        <v>1557.1682728465239</v>
      </c>
      <c r="CH15" s="108">
        <v>0</v>
      </c>
      <c r="CI15" s="108">
        <v>0</v>
      </c>
      <c r="CJ15" s="108">
        <v>0</v>
      </c>
      <c r="CK15" s="108">
        <v>0</v>
      </c>
      <c r="CL15" s="108">
        <v>3.3788944610716727</v>
      </c>
      <c r="CM15" s="108">
        <v>2578.7722526899001</v>
      </c>
      <c r="CN15" s="108">
        <v>1.8397069541329343</v>
      </c>
      <c r="CO15" s="108">
        <v>1404.0643473942553</v>
      </c>
      <c r="CP15" s="108">
        <v>3.2836045056320402</v>
      </c>
      <c r="CQ15" s="108">
        <v>2506.0469586983727</v>
      </c>
      <c r="CR15" s="108">
        <v>0</v>
      </c>
      <c r="CS15" s="108">
        <v>0</v>
      </c>
      <c r="CT15" s="108">
        <v>0</v>
      </c>
      <c r="CU15" s="108">
        <v>0</v>
      </c>
    </row>
    <row r="16" spans="1:99" x14ac:dyDescent="0.2">
      <c r="C16" s="107" t="s">
        <v>181</v>
      </c>
      <c r="D16" s="108">
        <v>0</v>
      </c>
      <c r="E16" s="108">
        <v>0</v>
      </c>
      <c r="F16" s="108">
        <v>0</v>
      </c>
      <c r="G16" s="108">
        <v>0</v>
      </c>
      <c r="H16" s="108">
        <v>0</v>
      </c>
      <c r="I16" s="108">
        <v>0</v>
      </c>
      <c r="J16" s="108">
        <v>0</v>
      </c>
      <c r="K16" s="108">
        <v>0</v>
      </c>
      <c r="L16" s="108">
        <v>0</v>
      </c>
      <c r="M16" s="108">
        <v>0</v>
      </c>
      <c r="N16" s="108">
        <v>14.477557559438097</v>
      </c>
      <c r="O16" s="108">
        <v>4933.9516162565033</v>
      </c>
      <c r="P16" s="108">
        <v>5.0556801841814227</v>
      </c>
      <c r="Q16" s="108">
        <v>1722.9758067690288</v>
      </c>
      <c r="R16" s="108">
        <v>5.7087189655639063</v>
      </c>
      <c r="S16" s="108">
        <v>1945.5314234641794</v>
      </c>
      <c r="T16" s="108">
        <v>2.4570192307692307</v>
      </c>
      <c r="U16" s="108">
        <v>837.3521538461539</v>
      </c>
      <c r="V16" s="108">
        <v>0</v>
      </c>
      <c r="W16" s="108">
        <v>0</v>
      </c>
      <c r="X16" s="108">
        <v>10.814977070505153</v>
      </c>
      <c r="Y16" s="108">
        <v>3685.7441856281562</v>
      </c>
      <c r="Z16" s="108">
        <v>5.3754765441546182</v>
      </c>
      <c r="AA16" s="108">
        <v>1831.962406247894</v>
      </c>
      <c r="AB16" s="108">
        <v>4.9215750615258411</v>
      </c>
      <c r="AC16" s="108">
        <v>1677.2727809680066</v>
      </c>
      <c r="AD16" s="108">
        <v>1.8304352699173955E-16</v>
      </c>
      <c r="AE16" s="108">
        <v>6.2381233998784839E-14</v>
      </c>
      <c r="AF16" s="108">
        <v>2.8204258700210549</v>
      </c>
      <c r="AG16" s="108">
        <v>961.20113650317558</v>
      </c>
      <c r="AH16" s="108">
        <v>2.6339498485555133</v>
      </c>
      <c r="AI16" s="108">
        <v>897.650108387719</v>
      </c>
      <c r="AJ16" s="108">
        <v>2.4670614359733531</v>
      </c>
      <c r="AK16" s="108">
        <v>840.77453737971882</v>
      </c>
      <c r="AL16" s="108">
        <v>0</v>
      </c>
      <c r="AM16" s="108">
        <v>0</v>
      </c>
      <c r="AN16" s="108">
        <v>10.176132268957485</v>
      </c>
      <c r="AO16" s="108">
        <v>3468.0258772607108</v>
      </c>
      <c r="AP16" s="108">
        <v>2.7171195652173918</v>
      </c>
      <c r="AQ16" s="108">
        <v>925.99434782608716</v>
      </c>
      <c r="AR16" s="108">
        <v>0</v>
      </c>
      <c r="AS16" s="108">
        <v>0</v>
      </c>
      <c r="AT16" s="108">
        <v>9.7963927855711432</v>
      </c>
      <c r="AU16" s="108">
        <v>3338.6106613226457</v>
      </c>
      <c r="AV16" s="108">
        <v>0</v>
      </c>
      <c r="AW16" s="108">
        <v>0</v>
      </c>
      <c r="AX16" s="108">
        <v>6.3827528123256618</v>
      </c>
      <c r="AY16" s="108">
        <v>2175.2421584405856</v>
      </c>
      <c r="AZ16" s="108">
        <v>9.525158367345556</v>
      </c>
      <c r="BA16" s="108">
        <v>3246.1739715913654</v>
      </c>
      <c r="BB16" s="108">
        <v>5.2266586248492155</v>
      </c>
      <c r="BC16" s="108">
        <v>1781.2452593486128</v>
      </c>
      <c r="BD16" s="108">
        <v>0</v>
      </c>
      <c r="BE16" s="108">
        <v>0</v>
      </c>
      <c r="BF16" s="108">
        <v>8.805200222469411</v>
      </c>
      <c r="BG16" s="108">
        <v>3000.8122358175756</v>
      </c>
      <c r="BH16" s="108">
        <v>2.1114952240559117</v>
      </c>
      <c r="BI16" s="108">
        <v>719.59757235825475</v>
      </c>
      <c r="BJ16" s="108">
        <v>9.3263105674035707</v>
      </c>
      <c r="BK16" s="108">
        <v>3178.4066413711371</v>
      </c>
      <c r="BL16" s="108">
        <v>5.897708095535914</v>
      </c>
      <c r="BM16" s="108">
        <v>2009.9389189586395</v>
      </c>
      <c r="BN16" s="108">
        <v>5.8208299179622234</v>
      </c>
      <c r="BO16" s="108">
        <v>1983.7388360415257</v>
      </c>
      <c r="BP16" s="108">
        <v>3.7535494895400019</v>
      </c>
      <c r="BQ16" s="108">
        <v>1279.2096660352327</v>
      </c>
      <c r="BR16" s="108">
        <v>4.2059085896382546</v>
      </c>
      <c r="BS16" s="108">
        <v>1433.3736473487172</v>
      </c>
      <c r="BT16" s="108">
        <v>4.0361562516192198</v>
      </c>
      <c r="BU16" s="108">
        <v>1375.52205055183</v>
      </c>
      <c r="BV16" s="108">
        <v>3.5674311926605502</v>
      </c>
      <c r="BW16" s="108">
        <v>1215.7805504587157</v>
      </c>
      <c r="BX16" s="108">
        <v>0</v>
      </c>
      <c r="BY16" s="108">
        <v>0</v>
      </c>
      <c r="BZ16" s="108">
        <v>12.876741464122958</v>
      </c>
      <c r="CA16" s="108">
        <v>4388.3934909731042</v>
      </c>
      <c r="CB16" s="108">
        <v>6.85599623554719</v>
      </c>
      <c r="CC16" s="108">
        <v>2336.5235170744822</v>
      </c>
      <c r="CD16" s="108">
        <v>0</v>
      </c>
      <c r="CE16" s="108">
        <v>0</v>
      </c>
      <c r="CF16" s="108">
        <v>2.3317883690424139</v>
      </c>
      <c r="CG16" s="108">
        <v>794.67347616965469</v>
      </c>
      <c r="CH16" s="108">
        <v>0</v>
      </c>
      <c r="CI16" s="108">
        <v>0</v>
      </c>
      <c r="CJ16" s="108">
        <v>0</v>
      </c>
      <c r="CK16" s="108">
        <v>0</v>
      </c>
      <c r="CL16" s="108">
        <v>3.8368043044758289</v>
      </c>
      <c r="CM16" s="108">
        <v>1307.5829069653626</v>
      </c>
      <c r="CN16" s="108">
        <v>1.9802113264894938</v>
      </c>
      <c r="CO16" s="108">
        <v>674.85602006761951</v>
      </c>
      <c r="CP16" s="108">
        <v>3.4712390488110141</v>
      </c>
      <c r="CQ16" s="108">
        <v>1182.9982678347938</v>
      </c>
      <c r="CR16" s="108">
        <v>0</v>
      </c>
      <c r="CS16" s="108">
        <v>0</v>
      </c>
      <c r="CT16" s="108">
        <v>0</v>
      </c>
      <c r="CU16" s="108">
        <v>0</v>
      </c>
    </row>
    <row r="17" spans="2:99" x14ac:dyDescent="0.2">
      <c r="C17" s="107" t="s">
        <v>182</v>
      </c>
      <c r="D17" s="108">
        <v>0</v>
      </c>
      <c r="E17" s="108">
        <v>0</v>
      </c>
      <c r="F17" s="108">
        <v>0</v>
      </c>
      <c r="G17" s="108">
        <v>0</v>
      </c>
      <c r="H17" s="108">
        <v>0</v>
      </c>
      <c r="I17" s="108">
        <v>0</v>
      </c>
      <c r="J17" s="108">
        <v>0</v>
      </c>
      <c r="K17" s="108">
        <v>0</v>
      </c>
      <c r="L17" s="108">
        <v>0</v>
      </c>
      <c r="M17" s="108">
        <v>0</v>
      </c>
      <c r="N17" s="108">
        <v>15.696720301285513</v>
      </c>
      <c r="O17" s="108">
        <v>6630.2946552630001</v>
      </c>
      <c r="P17" s="108">
        <v>4.1858857438921451</v>
      </c>
      <c r="Q17" s="108">
        <v>1768.1181382200421</v>
      </c>
      <c r="R17" s="108">
        <v>6.4164113993114977</v>
      </c>
      <c r="S17" s="108">
        <v>2710.2921750691767</v>
      </c>
      <c r="T17" s="108">
        <v>2.1365384615384615</v>
      </c>
      <c r="U17" s="108">
        <v>902.47384615384613</v>
      </c>
      <c r="V17" s="108">
        <v>0</v>
      </c>
      <c r="W17" s="108">
        <v>0</v>
      </c>
      <c r="X17" s="108">
        <v>10.569861535172475</v>
      </c>
      <c r="Y17" s="108">
        <v>4464.7095124568532</v>
      </c>
      <c r="Z17" s="108">
        <v>5.3672637896044915</v>
      </c>
      <c r="AA17" s="108">
        <v>2267.1322247289372</v>
      </c>
      <c r="AB17" s="108">
        <v>5.194995898277277</v>
      </c>
      <c r="AC17" s="108">
        <v>2194.3662674323218</v>
      </c>
      <c r="AD17" s="108">
        <v>1.8988056702074892E-16</v>
      </c>
      <c r="AE17" s="108">
        <v>8.0205551509564341E-14</v>
      </c>
      <c r="AF17" s="108">
        <v>2.9934704188324401</v>
      </c>
      <c r="AG17" s="108">
        <v>1264.4419049148225</v>
      </c>
      <c r="AH17" s="108">
        <v>2.5353764394489824</v>
      </c>
      <c r="AI17" s="108">
        <v>1070.9430080232501</v>
      </c>
      <c r="AJ17" s="108">
        <v>2.3437083641746854</v>
      </c>
      <c r="AK17" s="108">
        <v>989.98241302738711</v>
      </c>
      <c r="AL17" s="108">
        <v>0</v>
      </c>
      <c r="AM17" s="108">
        <v>0</v>
      </c>
      <c r="AN17" s="108">
        <v>9.5531654581167196</v>
      </c>
      <c r="AO17" s="108">
        <v>4035.2570895085023</v>
      </c>
      <c r="AP17" s="108">
        <v>2.8982608695652181</v>
      </c>
      <c r="AQ17" s="108">
        <v>1224.225391304348</v>
      </c>
      <c r="AR17" s="108">
        <v>0</v>
      </c>
      <c r="AS17" s="108">
        <v>0</v>
      </c>
      <c r="AT17" s="108">
        <v>11.132264529058117</v>
      </c>
      <c r="AU17" s="108">
        <v>4702.2685370741483</v>
      </c>
      <c r="AV17" s="108">
        <v>0</v>
      </c>
      <c r="AW17" s="108">
        <v>0</v>
      </c>
      <c r="AX17" s="108">
        <v>7.2446818922183329</v>
      </c>
      <c r="AY17" s="108">
        <v>3060.1536312730236</v>
      </c>
      <c r="AZ17" s="108">
        <v>8.803297036948134</v>
      </c>
      <c r="BA17" s="108">
        <v>3718.5126684068914</v>
      </c>
      <c r="BB17" s="108">
        <v>4.9452231604342582</v>
      </c>
      <c r="BC17" s="108">
        <v>2088.8622629674305</v>
      </c>
      <c r="BD17" s="108">
        <v>0</v>
      </c>
      <c r="BE17" s="108">
        <v>0</v>
      </c>
      <c r="BF17" s="108">
        <v>8.6198275862068972</v>
      </c>
      <c r="BG17" s="108">
        <v>3641.0151724137932</v>
      </c>
      <c r="BH17" s="108">
        <v>2.0386850439160527</v>
      </c>
      <c r="BI17" s="108">
        <v>861.14056255014054</v>
      </c>
      <c r="BJ17" s="108">
        <v>9.7035518230194775</v>
      </c>
      <c r="BK17" s="108">
        <v>4098.7802900434272</v>
      </c>
      <c r="BL17" s="108">
        <v>4.8615192491476868</v>
      </c>
      <c r="BM17" s="108">
        <v>2053.5057308399828</v>
      </c>
      <c r="BN17" s="108">
        <v>5.6030485271400625</v>
      </c>
      <c r="BO17" s="108">
        <v>2366.7276978639625</v>
      </c>
      <c r="BP17" s="108">
        <v>4.0638167245739316</v>
      </c>
      <c r="BQ17" s="108">
        <v>1716.5561844600286</v>
      </c>
      <c r="BR17" s="108">
        <v>3.8601743273878681</v>
      </c>
      <c r="BS17" s="108">
        <v>1630.5376358886354</v>
      </c>
      <c r="BT17" s="108">
        <v>3.7544726005407645</v>
      </c>
      <c r="BU17" s="108">
        <v>1585.8892264684189</v>
      </c>
      <c r="BV17" s="108">
        <v>3.2276758409785931</v>
      </c>
      <c r="BW17" s="108">
        <v>1363.3702752293577</v>
      </c>
      <c r="BX17" s="108">
        <v>0</v>
      </c>
      <c r="BY17" s="108">
        <v>0</v>
      </c>
      <c r="BZ17" s="108">
        <v>14.503274018872636</v>
      </c>
      <c r="CA17" s="108">
        <v>6126.1829455718016</v>
      </c>
      <c r="CB17" s="108">
        <v>6.7663753697230433</v>
      </c>
      <c r="CC17" s="108">
        <v>2858.1169561710135</v>
      </c>
      <c r="CD17" s="108">
        <v>0</v>
      </c>
      <c r="CE17" s="108">
        <v>0</v>
      </c>
      <c r="CF17" s="108">
        <v>2.0403148229121122</v>
      </c>
      <c r="CG17" s="108">
        <v>861.82898119807612</v>
      </c>
      <c r="CH17" s="108">
        <v>0</v>
      </c>
      <c r="CI17" s="108">
        <v>0</v>
      </c>
      <c r="CJ17" s="108">
        <v>0</v>
      </c>
      <c r="CK17" s="108">
        <v>0</v>
      </c>
      <c r="CL17" s="108">
        <v>3.8401278838272366</v>
      </c>
      <c r="CM17" s="108">
        <v>1622.0700181286247</v>
      </c>
      <c r="CN17" s="108">
        <v>1.8378327451514522</v>
      </c>
      <c r="CO17" s="108">
        <v>776.3005515519734</v>
      </c>
      <c r="CP17" s="108">
        <v>3.2836045056320402</v>
      </c>
      <c r="CQ17" s="108">
        <v>1386.9945431789738</v>
      </c>
      <c r="CR17" s="108">
        <v>0</v>
      </c>
      <c r="CS17" s="108">
        <v>0</v>
      </c>
      <c r="CT17" s="108">
        <v>0</v>
      </c>
      <c r="CU17" s="108">
        <v>0</v>
      </c>
    </row>
    <row r="18" spans="2:99" x14ac:dyDescent="0.2">
      <c r="C18" s="107" t="s">
        <v>183</v>
      </c>
      <c r="D18" s="108">
        <v>0</v>
      </c>
      <c r="E18" s="108">
        <v>0</v>
      </c>
      <c r="F18" s="108">
        <v>0</v>
      </c>
      <c r="G18" s="108">
        <v>0</v>
      </c>
      <c r="H18" s="108">
        <v>0</v>
      </c>
      <c r="I18" s="108">
        <v>0</v>
      </c>
      <c r="J18" s="108">
        <v>0</v>
      </c>
      <c r="K18" s="108">
        <v>0</v>
      </c>
      <c r="L18" s="108">
        <v>0</v>
      </c>
      <c r="M18" s="108">
        <v>0</v>
      </c>
      <c r="N18" s="108">
        <v>14.782348244899952</v>
      </c>
      <c r="O18" s="108">
        <v>9649.9169342706882</v>
      </c>
      <c r="P18" s="108">
        <v>4.1315235913740658</v>
      </c>
      <c r="Q18" s="108">
        <v>2697.0586004489901</v>
      </c>
      <c r="R18" s="108">
        <v>5.3784624964816965</v>
      </c>
      <c r="S18" s="108">
        <v>3511.0603177032513</v>
      </c>
      <c r="T18" s="108">
        <v>2.4570192307692307</v>
      </c>
      <c r="U18" s="108">
        <v>1603.9421538461536</v>
      </c>
      <c r="V18" s="108">
        <v>0</v>
      </c>
      <c r="W18" s="108">
        <v>0</v>
      </c>
      <c r="X18" s="108">
        <v>9.2107230933462425</v>
      </c>
      <c r="Y18" s="108">
        <v>6012.7600353364269</v>
      </c>
      <c r="Z18" s="108">
        <v>4.8733221581979631</v>
      </c>
      <c r="AA18" s="108">
        <v>3181.3047048716303</v>
      </c>
      <c r="AB18" s="108">
        <v>5.194995898277277</v>
      </c>
      <c r="AC18" s="108">
        <v>3391.293322395406</v>
      </c>
      <c r="AD18" s="108">
        <v>1.8271672412457553E-16</v>
      </c>
      <c r="AE18" s="108">
        <v>1.192774775085229E-13</v>
      </c>
      <c r="AF18" s="108">
        <v>3.1111737650344864</v>
      </c>
      <c r="AG18" s="108">
        <v>2030.9742338145127</v>
      </c>
      <c r="AH18" s="108">
        <v>2.767342770921652</v>
      </c>
      <c r="AI18" s="108">
        <v>1806.5213608576544</v>
      </c>
      <c r="AJ18" s="108">
        <v>2.3437083641746854</v>
      </c>
      <c r="AK18" s="108">
        <v>1529.9728201332346</v>
      </c>
      <c r="AL18" s="108">
        <v>0</v>
      </c>
      <c r="AM18" s="108">
        <v>0</v>
      </c>
      <c r="AN18" s="108">
        <v>8.192524235559878</v>
      </c>
      <c r="AO18" s="108">
        <v>5348.0798209734876</v>
      </c>
      <c r="AP18" s="108">
        <v>2.7171195652173918</v>
      </c>
      <c r="AQ18" s="108">
        <v>1773.7356521739132</v>
      </c>
      <c r="AR18" s="108">
        <v>0</v>
      </c>
      <c r="AS18" s="108">
        <v>0</v>
      </c>
      <c r="AT18" s="108">
        <v>10.241683366733467</v>
      </c>
      <c r="AU18" s="108">
        <v>6685.7709018036066</v>
      </c>
      <c r="AV18" s="108">
        <v>0</v>
      </c>
      <c r="AW18" s="108">
        <v>0</v>
      </c>
      <c r="AX18" s="108">
        <v>6.7264050390027563</v>
      </c>
      <c r="AY18" s="108">
        <v>4390.9972094609993</v>
      </c>
      <c r="AZ18" s="108">
        <v>8.7256813034500258</v>
      </c>
      <c r="BA18" s="108">
        <v>5696.1247548921765</v>
      </c>
      <c r="BB18" s="108">
        <v>4.9452231604342582</v>
      </c>
      <c r="BC18" s="108">
        <v>3228.2416791314836</v>
      </c>
      <c r="BD18" s="108">
        <v>0</v>
      </c>
      <c r="BE18" s="108">
        <v>0</v>
      </c>
      <c r="BF18" s="108">
        <v>8.2490823136818694</v>
      </c>
      <c r="BG18" s="108">
        <v>5385.0009343715237</v>
      </c>
      <c r="BH18" s="108">
        <v>1.9840774088111586</v>
      </c>
      <c r="BI18" s="108">
        <v>1295.2057324719242</v>
      </c>
      <c r="BJ18" s="108">
        <v>10.307922850500528</v>
      </c>
      <c r="BK18" s="108">
        <v>6729.0120368067446</v>
      </c>
      <c r="BL18" s="108">
        <v>5.1466751147646495</v>
      </c>
      <c r="BM18" s="108">
        <v>3359.7495149183628</v>
      </c>
      <c r="BN18" s="108">
        <v>5.2518688626517065</v>
      </c>
      <c r="BO18" s="108">
        <v>3428.4199935390338</v>
      </c>
      <c r="BP18" s="108">
        <v>3.5921352687239381</v>
      </c>
      <c r="BQ18" s="108">
        <v>2344.9459034229867</v>
      </c>
      <c r="BR18" s="108">
        <v>3.8190690513792966</v>
      </c>
      <c r="BS18" s="108">
        <v>2493.0882767404046</v>
      </c>
      <c r="BT18" s="108">
        <v>3.3711810763577548</v>
      </c>
      <c r="BU18" s="108">
        <v>2200.7070066463421</v>
      </c>
      <c r="BV18" s="108">
        <v>3.2276758409785931</v>
      </c>
      <c r="BW18" s="108">
        <v>2107.0267889908255</v>
      </c>
      <c r="BX18" s="108">
        <v>0</v>
      </c>
      <c r="BY18" s="108">
        <v>0</v>
      </c>
      <c r="BZ18" s="108">
        <v>12.876741464122958</v>
      </c>
      <c r="CA18" s="108">
        <v>8405.9368277794656</v>
      </c>
      <c r="CB18" s="108">
        <v>7.3041005646679222</v>
      </c>
      <c r="CC18" s="108">
        <v>4768.1168486152192</v>
      </c>
      <c r="CD18" s="108">
        <v>0</v>
      </c>
      <c r="CE18" s="108">
        <v>0</v>
      </c>
      <c r="CF18" s="108">
        <v>2.0403148229121122</v>
      </c>
      <c r="CG18" s="108">
        <v>1331.9175163970267</v>
      </c>
      <c r="CH18" s="108">
        <v>0</v>
      </c>
      <c r="CI18" s="108">
        <v>0</v>
      </c>
      <c r="CJ18" s="108">
        <v>0</v>
      </c>
      <c r="CK18" s="108">
        <v>0</v>
      </c>
      <c r="CL18" s="108">
        <v>3.6483226401519144</v>
      </c>
      <c r="CM18" s="108">
        <v>2381.6250194911695</v>
      </c>
      <c r="CN18" s="108">
        <v>1.6992025817763745</v>
      </c>
      <c r="CO18" s="108">
        <v>1109.2394453836173</v>
      </c>
      <c r="CP18" s="108">
        <v>3.0959699624530668</v>
      </c>
      <c r="CQ18" s="108">
        <v>2021.0491914893619</v>
      </c>
      <c r="CR18" s="108">
        <v>0</v>
      </c>
      <c r="CS18" s="108">
        <v>0</v>
      </c>
      <c r="CT18" s="108">
        <v>0</v>
      </c>
      <c r="CU18" s="108">
        <v>0</v>
      </c>
    </row>
    <row r="19" spans="2:99" x14ac:dyDescent="0.2">
      <c r="C19" s="107" t="s">
        <v>184</v>
      </c>
      <c r="D19" s="108">
        <v>0</v>
      </c>
      <c r="E19" s="108">
        <v>0</v>
      </c>
      <c r="F19" s="108">
        <v>0</v>
      </c>
      <c r="G19" s="108">
        <v>0</v>
      </c>
      <c r="H19" s="108">
        <v>0</v>
      </c>
      <c r="I19" s="108">
        <v>0</v>
      </c>
      <c r="J19" s="108">
        <v>0</v>
      </c>
      <c r="K19" s="108">
        <v>0</v>
      </c>
      <c r="L19" s="108">
        <v>0</v>
      </c>
      <c r="M19" s="108">
        <v>0</v>
      </c>
      <c r="N19" s="108">
        <v>14.020371531245313</v>
      </c>
      <c r="O19" s="108">
        <v>4626.7226053109534</v>
      </c>
      <c r="P19" s="108">
        <v>4.7838694215910236</v>
      </c>
      <c r="Q19" s="108">
        <v>1578.6769091250378</v>
      </c>
      <c r="R19" s="108">
        <v>5.8974369478965976</v>
      </c>
      <c r="S19" s="108">
        <v>1946.1541928058773</v>
      </c>
      <c r="T19" s="108">
        <v>2.2433653846153843</v>
      </c>
      <c r="U19" s="108">
        <v>740.31057692307684</v>
      </c>
      <c r="V19" s="108">
        <v>0</v>
      </c>
      <c r="W19" s="108">
        <v>0</v>
      </c>
      <c r="X19" s="108">
        <v>10.529793305623624</v>
      </c>
      <c r="Y19" s="108">
        <v>3474.831790855796</v>
      </c>
      <c r="Z19" s="108">
        <v>5.5319110000733343</v>
      </c>
      <c r="AA19" s="108">
        <v>1825.5306300242003</v>
      </c>
      <c r="AB19" s="108">
        <v>5.194995898277277</v>
      </c>
      <c r="AC19" s="108">
        <v>1714.3486464315015</v>
      </c>
      <c r="AD19" s="108">
        <v>2.0322784421160361E-16</v>
      </c>
      <c r="AE19" s="108">
        <v>6.7065188589829185E-14</v>
      </c>
      <c r="AF19" s="108">
        <v>3.0933560097222847</v>
      </c>
      <c r="AG19" s="108">
        <v>1020.8074832083539</v>
      </c>
      <c r="AH19" s="108">
        <v>2.5154795747292065</v>
      </c>
      <c r="AI19" s="108">
        <v>830.10825966063817</v>
      </c>
      <c r="AJ19" s="108">
        <v>2.5904145077720209</v>
      </c>
      <c r="AK19" s="108">
        <v>854.83678756476684</v>
      </c>
      <c r="AL19" s="108">
        <v>0</v>
      </c>
      <c r="AM19" s="108">
        <v>0</v>
      </c>
      <c r="AN19" s="108">
        <v>8.2785549362163611</v>
      </c>
      <c r="AO19" s="108">
        <v>2731.9231289513991</v>
      </c>
      <c r="AP19" s="108">
        <v>2.8982608695652181</v>
      </c>
      <c r="AQ19" s="108">
        <v>956.426086956522</v>
      </c>
      <c r="AR19" s="108">
        <v>0</v>
      </c>
      <c r="AS19" s="108">
        <v>0</v>
      </c>
      <c r="AT19" s="108">
        <v>11.132264529058117</v>
      </c>
      <c r="AU19" s="108">
        <v>3673.6472945891787</v>
      </c>
      <c r="AV19" s="108">
        <v>0</v>
      </c>
      <c r="AW19" s="108">
        <v>0</v>
      </c>
      <c r="AX19" s="108">
        <v>6.8028033131133432</v>
      </c>
      <c r="AY19" s="108">
        <v>2244.9250933274034</v>
      </c>
      <c r="AZ19" s="108">
        <v>8.796057569670312</v>
      </c>
      <c r="BA19" s="108">
        <v>2902.6989979912028</v>
      </c>
      <c r="BB19" s="108">
        <v>5.4276839565741861</v>
      </c>
      <c r="BC19" s="108">
        <v>1791.1357056694815</v>
      </c>
      <c r="BD19" s="108">
        <v>0</v>
      </c>
      <c r="BE19" s="108">
        <v>0</v>
      </c>
      <c r="BF19" s="108">
        <v>9.6393770856507235</v>
      </c>
      <c r="BG19" s="108">
        <v>3180.9944382647386</v>
      </c>
      <c r="BH19" s="108">
        <v>1.8930646836363345</v>
      </c>
      <c r="BI19" s="108">
        <v>624.71134559999041</v>
      </c>
      <c r="BJ19" s="108">
        <v>9.45600795481284</v>
      </c>
      <c r="BK19" s="108">
        <v>3120.482625088237</v>
      </c>
      <c r="BL19" s="108">
        <v>5.4424375882777341</v>
      </c>
      <c r="BM19" s="108">
        <v>1796.0044041316523</v>
      </c>
      <c r="BN19" s="108">
        <v>5.6325218276781808</v>
      </c>
      <c r="BO19" s="108">
        <v>1858.7322031337997</v>
      </c>
      <c r="BP19" s="108">
        <v>3.9275249169542628</v>
      </c>
      <c r="BQ19" s="108">
        <v>1296.0832225949066</v>
      </c>
      <c r="BR19" s="108">
        <v>4.1979125063257339</v>
      </c>
      <c r="BS19" s="108">
        <v>1385.3111270874922</v>
      </c>
      <c r="BT19" s="108">
        <v>3.8110678450468476</v>
      </c>
      <c r="BU19" s="108">
        <v>1257.6523888654597</v>
      </c>
      <c r="BV19" s="108">
        <v>3.3975535168195723</v>
      </c>
      <c r="BW19" s="108">
        <v>1121.1926605504589</v>
      </c>
      <c r="BX19" s="108">
        <v>0</v>
      </c>
      <c r="BY19" s="108">
        <v>0</v>
      </c>
      <c r="BZ19" s="108">
        <v>14.958535846655945</v>
      </c>
      <c r="CA19" s="108">
        <v>4936.3168293964618</v>
      </c>
      <c r="CB19" s="108">
        <v>8.1106883570852375</v>
      </c>
      <c r="CC19" s="108">
        <v>2676.5271578381285</v>
      </c>
      <c r="CD19" s="108">
        <v>0</v>
      </c>
      <c r="CE19" s="108">
        <v>0</v>
      </c>
      <c r="CF19" s="108">
        <v>2.1374726716222123</v>
      </c>
      <c r="CG19" s="108">
        <v>705.36598163533006</v>
      </c>
      <c r="CH19" s="108">
        <v>0</v>
      </c>
      <c r="CI19" s="108">
        <v>0</v>
      </c>
      <c r="CJ19" s="108">
        <v>0</v>
      </c>
      <c r="CK19" s="108">
        <v>0</v>
      </c>
      <c r="CL19" s="108">
        <v>3.4880914003149641</v>
      </c>
      <c r="CM19" s="108">
        <v>1151.0701621039382</v>
      </c>
      <c r="CN19" s="108">
        <v>1.6973283727948927</v>
      </c>
      <c r="CO19" s="108">
        <v>560.11836302231461</v>
      </c>
      <c r="CP19" s="108">
        <v>3.0959699624530668</v>
      </c>
      <c r="CQ19" s="108">
        <v>1021.6700876095121</v>
      </c>
      <c r="CR19" s="108">
        <v>0</v>
      </c>
      <c r="CS19" s="108">
        <v>0</v>
      </c>
      <c r="CT19" s="108">
        <v>0</v>
      </c>
      <c r="CU19" s="108">
        <v>0</v>
      </c>
    </row>
    <row r="20" spans="2:99" x14ac:dyDescent="0.2">
      <c r="B20" s="107" t="s">
        <v>127</v>
      </c>
      <c r="C20" s="107" t="s">
        <v>185</v>
      </c>
      <c r="D20" s="108">
        <v>0</v>
      </c>
      <c r="E20" s="108">
        <v>0</v>
      </c>
      <c r="F20" s="108">
        <v>0</v>
      </c>
      <c r="G20" s="108">
        <v>0</v>
      </c>
      <c r="H20" s="108">
        <v>0</v>
      </c>
      <c r="I20" s="108">
        <v>0</v>
      </c>
      <c r="J20" s="108">
        <v>0</v>
      </c>
      <c r="K20" s="108">
        <v>0</v>
      </c>
      <c r="L20" s="108">
        <v>0</v>
      </c>
      <c r="M20" s="108">
        <v>0</v>
      </c>
      <c r="N20" s="108">
        <v>10.355886513679884</v>
      </c>
      <c r="O20" s="108">
        <v>2970.0682521233907</v>
      </c>
      <c r="P20" s="108">
        <v>3.8892073205014182</v>
      </c>
      <c r="Q20" s="108">
        <v>1115.4246595198067</v>
      </c>
      <c r="R20" s="108">
        <v>4.2919300368562716</v>
      </c>
      <c r="S20" s="108">
        <v>1230.9255345703787</v>
      </c>
      <c r="T20" s="108">
        <v>5.4481730769230765</v>
      </c>
      <c r="U20" s="108">
        <v>1562.5360384615385</v>
      </c>
      <c r="V20" s="108">
        <v>0</v>
      </c>
      <c r="W20" s="108">
        <v>0</v>
      </c>
      <c r="X20" s="108">
        <v>11.687828202103184</v>
      </c>
      <c r="Y20" s="108">
        <v>3352.0691283631932</v>
      </c>
      <c r="Z20" s="108">
        <v>9.037994708287167</v>
      </c>
      <c r="AA20" s="108">
        <v>2592.0968823367598</v>
      </c>
      <c r="AB20" s="108">
        <v>7.9292042657916326</v>
      </c>
      <c r="AC20" s="108">
        <v>2274.0957834290402</v>
      </c>
      <c r="AD20" s="108">
        <v>2.6993840998444134E-16</v>
      </c>
      <c r="AE20" s="108">
        <v>7.7418335983537782E-14</v>
      </c>
      <c r="AF20" s="108">
        <v>3.7702829518109411</v>
      </c>
      <c r="AG20" s="108">
        <v>1081.317150579378</v>
      </c>
      <c r="AH20" s="108">
        <v>3.6694261014202634</v>
      </c>
      <c r="AI20" s="108">
        <v>1052.3914058873315</v>
      </c>
      <c r="AJ20" s="108">
        <v>3.9472982975573649</v>
      </c>
      <c r="AK20" s="108">
        <v>1132.0851517394524</v>
      </c>
      <c r="AL20" s="108">
        <v>0</v>
      </c>
      <c r="AM20" s="108">
        <v>0</v>
      </c>
      <c r="AN20" s="108">
        <v>13.807150527100211</v>
      </c>
      <c r="AO20" s="108">
        <v>3959.8907711723405</v>
      </c>
      <c r="AP20" s="108">
        <v>6.5210869565217404</v>
      </c>
      <c r="AQ20" s="108">
        <v>1870.2477391304353</v>
      </c>
      <c r="AR20" s="108">
        <v>0</v>
      </c>
      <c r="AS20" s="108">
        <v>0</v>
      </c>
      <c r="AT20" s="108">
        <v>16.475751503006013</v>
      </c>
      <c r="AU20" s="108">
        <v>4725.2455310621244</v>
      </c>
      <c r="AV20" s="108">
        <v>0</v>
      </c>
      <c r="AW20" s="108">
        <v>0</v>
      </c>
      <c r="AX20" s="108">
        <v>16.57282520917547</v>
      </c>
      <c r="AY20" s="108">
        <v>4753.0862699915251</v>
      </c>
      <c r="AZ20" s="108">
        <v>2.8152591885499447</v>
      </c>
      <c r="BA20" s="108">
        <v>807.41633527612419</v>
      </c>
      <c r="BB20" s="108">
        <v>1.5277925211097709</v>
      </c>
      <c r="BC20" s="108">
        <v>438.17089505428231</v>
      </c>
      <c r="BD20" s="108">
        <v>0</v>
      </c>
      <c r="BE20" s="108">
        <v>0</v>
      </c>
      <c r="BF20" s="108">
        <v>2.4098442714126809</v>
      </c>
      <c r="BG20" s="108">
        <v>691.14333704115688</v>
      </c>
      <c r="BH20" s="108">
        <v>1.2195705173426385</v>
      </c>
      <c r="BI20" s="108">
        <v>349.77282437386873</v>
      </c>
      <c r="BJ20" s="108">
        <v>9.968196860959333</v>
      </c>
      <c r="BK20" s="108">
        <v>2858.8788597231369</v>
      </c>
      <c r="BL20" s="108">
        <v>3.8247191289702887</v>
      </c>
      <c r="BM20" s="108">
        <v>1096.9294461886789</v>
      </c>
      <c r="BN20" s="108">
        <v>4.0705052224681557</v>
      </c>
      <c r="BO20" s="108">
        <v>1167.4208978038671</v>
      </c>
      <c r="BP20" s="108">
        <v>6.10673651285353</v>
      </c>
      <c r="BQ20" s="108">
        <v>1751.4120318863925</v>
      </c>
      <c r="BR20" s="108">
        <v>7.5622877972342399</v>
      </c>
      <c r="BS20" s="108">
        <v>2168.8641402467802</v>
      </c>
      <c r="BT20" s="108">
        <v>7.3918517341334757</v>
      </c>
      <c r="BU20" s="108">
        <v>2119.9830773494809</v>
      </c>
      <c r="BV20" s="108">
        <v>8.3240061162079524</v>
      </c>
      <c r="BW20" s="108">
        <v>2387.3249541284408</v>
      </c>
      <c r="BX20" s="108">
        <v>0</v>
      </c>
      <c r="BY20" s="108">
        <v>0</v>
      </c>
      <c r="BZ20" s="108">
        <v>6.3339591190192852</v>
      </c>
      <c r="CA20" s="108">
        <v>1816.5794753347311</v>
      </c>
      <c r="CB20" s="108">
        <v>2.7334364076364612</v>
      </c>
      <c r="CC20" s="108">
        <v>783.94956171013712</v>
      </c>
      <c r="CD20" s="108">
        <v>0</v>
      </c>
      <c r="CE20" s="108">
        <v>0</v>
      </c>
      <c r="CF20" s="108">
        <v>14.670835155225188</v>
      </c>
      <c r="CG20" s="108">
        <v>4207.5955225185844</v>
      </c>
      <c r="CH20" s="108">
        <v>0</v>
      </c>
      <c r="CI20" s="108">
        <v>0</v>
      </c>
      <c r="CJ20" s="108">
        <v>0</v>
      </c>
      <c r="CK20" s="108">
        <v>0</v>
      </c>
      <c r="CL20" s="108">
        <v>21.625493030858355</v>
      </c>
      <c r="CM20" s="108">
        <v>6202.1914012501766</v>
      </c>
      <c r="CN20" s="108">
        <v>7.403686229578156</v>
      </c>
      <c r="CO20" s="108">
        <v>2123.3772106430151</v>
      </c>
      <c r="CP20" s="108">
        <v>9.4755444305381733</v>
      </c>
      <c r="CQ20" s="108">
        <v>2717.5861426783481</v>
      </c>
      <c r="CR20" s="108">
        <v>0</v>
      </c>
      <c r="CS20" s="108">
        <v>0</v>
      </c>
      <c r="CT20" s="108">
        <v>0</v>
      </c>
      <c r="CU20" s="108">
        <v>0</v>
      </c>
    </row>
    <row r="21" spans="2:99" x14ac:dyDescent="0.2">
      <c r="C21" s="107" t="s">
        <v>186</v>
      </c>
      <c r="D21" s="108">
        <v>0</v>
      </c>
      <c r="E21" s="108">
        <v>0</v>
      </c>
      <c r="F21" s="108">
        <v>0</v>
      </c>
      <c r="G21" s="108">
        <v>0</v>
      </c>
      <c r="H21" s="108">
        <v>0</v>
      </c>
      <c r="I21" s="108">
        <v>0</v>
      </c>
      <c r="J21" s="108">
        <v>0</v>
      </c>
      <c r="K21" s="108">
        <v>0</v>
      </c>
      <c r="L21" s="108">
        <v>0</v>
      </c>
      <c r="M21" s="108">
        <v>0</v>
      </c>
      <c r="N21" s="108">
        <v>11.117863227334523</v>
      </c>
      <c r="O21" s="108">
        <v>693.75466538567423</v>
      </c>
      <c r="P21" s="108">
        <v>3.5193773563943274</v>
      </c>
      <c r="Q21" s="108">
        <v>219.60914703900602</v>
      </c>
      <c r="R21" s="108">
        <v>4.0032757675600008</v>
      </c>
      <c r="S21" s="108">
        <v>249.80440789574405</v>
      </c>
      <c r="T21" s="108">
        <v>5.8754807692307693</v>
      </c>
      <c r="U21" s="108">
        <v>366.63</v>
      </c>
      <c r="V21" s="108">
        <v>0</v>
      </c>
      <c r="W21" s="108">
        <v>0</v>
      </c>
      <c r="X21" s="108">
        <v>13.033610567413129</v>
      </c>
      <c r="Y21" s="108">
        <v>813.29729940657921</v>
      </c>
      <c r="Z21" s="108">
        <v>8.3876186209619217</v>
      </c>
      <c r="AA21" s="108">
        <v>523.38740194802392</v>
      </c>
      <c r="AB21" s="108">
        <v>7.9292042657916326</v>
      </c>
      <c r="AC21" s="108">
        <v>494.78234618539784</v>
      </c>
      <c r="AD21" s="108">
        <v>2.9892058443629906E-16</v>
      </c>
      <c r="AE21" s="108">
        <v>1.8652644468825061E-14</v>
      </c>
      <c r="AF21" s="108">
        <v>4.4783909656959509</v>
      </c>
      <c r="AG21" s="108">
        <v>279.45159625942733</v>
      </c>
      <c r="AH21" s="108">
        <v>4.261777470551797</v>
      </c>
      <c r="AI21" s="108">
        <v>265.93491416243211</v>
      </c>
      <c r="AJ21" s="108">
        <v>4.3173575129533681</v>
      </c>
      <c r="AK21" s="108">
        <v>269.40310880829014</v>
      </c>
      <c r="AL21" s="108">
        <v>0</v>
      </c>
      <c r="AM21" s="108">
        <v>0</v>
      </c>
      <c r="AN21" s="108">
        <v>14.487471138378631</v>
      </c>
      <c r="AO21" s="108">
        <v>904.01819903482658</v>
      </c>
      <c r="AP21" s="108">
        <v>6.5210869565217404</v>
      </c>
      <c r="AQ21" s="108">
        <v>406.9158260869566</v>
      </c>
      <c r="AR21" s="108">
        <v>0</v>
      </c>
      <c r="AS21" s="108">
        <v>0</v>
      </c>
      <c r="AT21" s="108">
        <v>18.25691382765531</v>
      </c>
      <c r="AU21" s="108">
        <v>1139.2314228456914</v>
      </c>
      <c r="AV21" s="108">
        <v>0</v>
      </c>
      <c r="AW21" s="108">
        <v>0</v>
      </c>
      <c r="AX21" s="108">
        <v>16.152774708387792</v>
      </c>
      <c r="AY21" s="108">
        <v>1007.9331418033981</v>
      </c>
      <c r="AZ21" s="108">
        <v>2.7430730555102025</v>
      </c>
      <c r="BA21" s="108">
        <v>171.16775866383662</v>
      </c>
      <c r="BB21" s="108">
        <v>1.6484077201447529</v>
      </c>
      <c r="BC21" s="108">
        <v>102.86064173703258</v>
      </c>
      <c r="BD21" s="108">
        <v>0</v>
      </c>
      <c r="BE21" s="108">
        <v>0</v>
      </c>
      <c r="BF21" s="108">
        <v>2.5952169076751948</v>
      </c>
      <c r="BG21" s="108">
        <v>161.94153503893216</v>
      </c>
      <c r="BH21" s="108">
        <v>1.2741781524475329</v>
      </c>
      <c r="BI21" s="108">
        <v>79.508716712726041</v>
      </c>
      <c r="BJ21" s="108">
        <v>10.490274127478726</v>
      </c>
      <c r="BK21" s="108">
        <v>654.59310555467243</v>
      </c>
      <c r="BL21" s="108">
        <v>4.1904447429005991</v>
      </c>
      <c r="BM21" s="108">
        <v>261.48375195699737</v>
      </c>
      <c r="BN21" s="108">
        <v>3.6860294950899029</v>
      </c>
      <c r="BO21" s="108">
        <v>230.00824049360995</v>
      </c>
      <c r="BP21" s="108">
        <v>6.2639636648035273</v>
      </c>
      <c r="BQ21" s="108">
        <v>390.87133268374009</v>
      </c>
      <c r="BR21" s="108">
        <v>7.7104917627542902</v>
      </c>
      <c r="BS21" s="108">
        <v>481.1346859958677</v>
      </c>
      <c r="BT21" s="108">
        <v>7.7494181471773569</v>
      </c>
      <c r="BU21" s="108">
        <v>483.56369238386708</v>
      </c>
      <c r="BV21" s="108">
        <v>8.6637614678899091</v>
      </c>
      <c r="BW21" s="108">
        <v>540.61871559633028</v>
      </c>
      <c r="BX21" s="108">
        <v>0</v>
      </c>
      <c r="BY21" s="108">
        <v>0</v>
      </c>
      <c r="BZ21" s="108">
        <v>7.0805114566231468</v>
      </c>
      <c r="CA21" s="108">
        <v>441.82391489328432</v>
      </c>
      <c r="CB21" s="108">
        <v>2.7334364076364612</v>
      </c>
      <c r="CC21" s="108">
        <v>170.56643183651516</v>
      </c>
      <c r="CD21" s="108">
        <v>0</v>
      </c>
      <c r="CE21" s="108">
        <v>0</v>
      </c>
      <c r="CF21" s="108">
        <v>14.767993003935286</v>
      </c>
      <c r="CG21" s="108">
        <v>921.52276344556185</v>
      </c>
      <c r="CH21" s="108">
        <v>0</v>
      </c>
      <c r="CI21" s="108">
        <v>0</v>
      </c>
      <c r="CJ21" s="108">
        <v>0</v>
      </c>
      <c r="CK21" s="108">
        <v>0</v>
      </c>
      <c r="CL21" s="108">
        <v>24.456741006037866</v>
      </c>
      <c r="CM21" s="108">
        <v>1526.1006387767627</v>
      </c>
      <c r="CN21" s="108">
        <v>7.4748755202471759</v>
      </c>
      <c r="CO21" s="108">
        <v>466.43223246342376</v>
      </c>
      <c r="CP21" s="108">
        <v>10.78898623279099</v>
      </c>
      <c r="CQ21" s="108">
        <v>673.2327409261577</v>
      </c>
      <c r="CR21" s="108">
        <v>0</v>
      </c>
      <c r="CS21" s="108">
        <v>0</v>
      </c>
      <c r="CT21" s="108">
        <v>0</v>
      </c>
      <c r="CU21" s="108">
        <v>0</v>
      </c>
    </row>
    <row r="22" spans="2:99" x14ac:dyDescent="0.2">
      <c r="C22" s="107" t="s">
        <v>187</v>
      </c>
      <c r="D22" s="108">
        <v>0</v>
      </c>
      <c r="E22" s="108">
        <v>0</v>
      </c>
      <c r="F22" s="108">
        <v>0</v>
      </c>
      <c r="G22" s="108">
        <v>0</v>
      </c>
      <c r="H22" s="108">
        <v>0</v>
      </c>
      <c r="I22" s="108">
        <v>0</v>
      </c>
      <c r="J22" s="108">
        <v>0</v>
      </c>
      <c r="K22" s="108">
        <v>0</v>
      </c>
      <c r="L22" s="108">
        <v>0</v>
      </c>
      <c r="M22" s="108">
        <v>0</v>
      </c>
      <c r="N22" s="108">
        <v>10.619803527493293</v>
      </c>
      <c r="O22" s="108">
        <v>1988.0272203467443</v>
      </c>
      <c r="P22" s="108">
        <v>3.5790920606721417</v>
      </c>
      <c r="Q22" s="108">
        <v>670.00603375782487</v>
      </c>
      <c r="R22" s="108">
        <v>4.3788526336263063</v>
      </c>
      <c r="S22" s="108">
        <v>819.72121301484447</v>
      </c>
      <c r="T22" s="108">
        <v>6.1959615384615381</v>
      </c>
      <c r="U22" s="108">
        <v>1159.8839999999998</v>
      </c>
      <c r="V22" s="108">
        <v>0</v>
      </c>
      <c r="W22" s="108">
        <v>0</v>
      </c>
      <c r="X22" s="108">
        <v>11.60769174300548</v>
      </c>
      <c r="Y22" s="108">
        <v>2172.9598942906259</v>
      </c>
      <c r="Z22" s="108">
        <v>8.2229714104930771</v>
      </c>
      <c r="AA22" s="108">
        <v>1539.340248044304</v>
      </c>
      <c r="AB22" s="108">
        <v>7.9292042657916326</v>
      </c>
      <c r="AC22" s="108">
        <v>1484.3470385561936</v>
      </c>
      <c r="AD22" s="108">
        <v>2.7840946434927098E-16</v>
      </c>
      <c r="AE22" s="108">
        <v>5.2118251726183523E-14</v>
      </c>
      <c r="AF22" s="108">
        <v>4.2697109062601619</v>
      </c>
      <c r="AG22" s="108">
        <v>799.28988165190231</v>
      </c>
      <c r="AH22" s="108">
        <v>4.2518290381919099</v>
      </c>
      <c r="AI22" s="108">
        <v>795.94239594952546</v>
      </c>
      <c r="AJ22" s="108">
        <v>4.5640636565507036</v>
      </c>
      <c r="AK22" s="108">
        <v>854.39271650629166</v>
      </c>
      <c r="AL22" s="108">
        <v>0</v>
      </c>
      <c r="AM22" s="108">
        <v>0</v>
      </c>
      <c r="AN22" s="108">
        <v>15.053084148781743</v>
      </c>
      <c r="AO22" s="108">
        <v>2817.9373526519421</v>
      </c>
      <c r="AP22" s="108">
        <v>6.883369565217393</v>
      </c>
      <c r="AQ22" s="108">
        <v>1288.5667826086958</v>
      </c>
      <c r="AR22" s="108">
        <v>0</v>
      </c>
      <c r="AS22" s="108">
        <v>0</v>
      </c>
      <c r="AT22" s="108">
        <v>17.36633266533066</v>
      </c>
      <c r="AU22" s="108">
        <v>3250.9774749498993</v>
      </c>
      <c r="AV22" s="108">
        <v>0</v>
      </c>
      <c r="AW22" s="108">
        <v>0</v>
      </c>
      <c r="AX22" s="108">
        <v>16.540083091699504</v>
      </c>
      <c r="AY22" s="108">
        <v>3096.303554766147</v>
      </c>
      <c r="AZ22" s="108">
        <v>3.1040037207089135</v>
      </c>
      <c r="BA22" s="108">
        <v>581.06949651670857</v>
      </c>
      <c r="BB22" s="108">
        <v>1.7288178528347407</v>
      </c>
      <c r="BC22" s="108">
        <v>323.63470205066341</v>
      </c>
      <c r="BD22" s="108">
        <v>0</v>
      </c>
      <c r="BE22" s="108">
        <v>0</v>
      </c>
      <c r="BF22" s="108">
        <v>2.7805895439377086</v>
      </c>
      <c r="BG22" s="108">
        <v>520.52636262513897</v>
      </c>
      <c r="BH22" s="108">
        <v>1.2377730623776033</v>
      </c>
      <c r="BI22" s="108">
        <v>231.71111727708734</v>
      </c>
      <c r="BJ22" s="108">
        <v>10.380328251089292</v>
      </c>
      <c r="BK22" s="108">
        <v>1943.1974486039153</v>
      </c>
      <c r="BL22" s="108">
        <v>4.3976825121782444</v>
      </c>
      <c r="BM22" s="108">
        <v>823.24616627976729</v>
      </c>
      <c r="BN22" s="108">
        <v>3.4859320845906114</v>
      </c>
      <c r="BO22" s="108">
        <v>652.56648623536239</v>
      </c>
      <c r="BP22" s="108">
        <v>6.549108486641062</v>
      </c>
      <c r="BQ22" s="108">
        <v>1225.9931086992067</v>
      </c>
      <c r="BR22" s="108">
        <v>7.8710273110769116</v>
      </c>
      <c r="BS22" s="108">
        <v>1473.4563126335977</v>
      </c>
      <c r="BT22" s="108">
        <v>6.8709371812511302</v>
      </c>
      <c r="BU22" s="108">
        <v>1286.2394403302114</v>
      </c>
      <c r="BV22" s="108">
        <v>8.4938837920489298</v>
      </c>
      <c r="BW22" s="108">
        <v>1590.0550458715595</v>
      </c>
      <c r="BX22" s="108">
        <v>0</v>
      </c>
      <c r="BY22" s="108">
        <v>0</v>
      </c>
      <c r="BZ22" s="108">
        <v>6.628303972681918</v>
      </c>
      <c r="CA22" s="108">
        <v>1240.818503686055</v>
      </c>
      <c r="CB22" s="108">
        <v>2.8678677063726812</v>
      </c>
      <c r="CC22" s="108">
        <v>536.86483463296588</v>
      </c>
      <c r="CD22" s="108">
        <v>0</v>
      </c>
      <c r="CE22" s="108">
        <v>0</v>
      </c>
      <c r="CF22" s="108">
        <v>16.322518583296898</v>
      </c>
      <c r="CG22" s="108">
        <v>3055.5754787931792</v>
      </c>
      <c r="CH22" s="108">
        <v>0</v>
      </c>
      <c r="CI22" s="108">
        <v>0</v>
      </c>
      <c r="CJ22" s="108">
        <v>0</v>
      </c>
      <c r="CK22" s="108">
        <v>0</v>
      </c>
      <c r="CL22" s="108">
        <v>22.684926060746577</v>
      </c>
      <c r="CM22" s="108">
        <v>4246.6181585717586</v>
      </c>
      <c r="CN22" s="108">
        <v>7.8308219735922799</v>
      </c>
      <c r="CO22" s="108">
        <v>1465.9298734564748</v>
      </c>
      <c r="CP22" s="108">
        <v>9.5693617021276598</v>
      </c>
      <c r="CQ22" s="108">
        <v>1791.3845106382978</v>
      </c>
      <c r="CR22" s="108">
        <v>0</v>
      </c>
      <c r="CS22" s="108">
        <v>0</v>
      </c>
      <c r="CT22" s="108">
        <v>0</v>
      </c>
      <c r="CU22" s="108">
        <v>0</v>
      </c>
    </row>
    <row r="23" spans="2:99" x14ac:dyDescent="0.2">
      <c r="C23" s="107" t="s">
        <v>188</v>
      </c>
      <c r="D23" s="108">
        <v>0</v>
      </c>
      <c r="E23" s="108">
        <v>0</v>
      </c>
      <c r="F23" s="108">
        <v>0</v>
      </c>
      <c r="G23" s="108">
        <v>0</v>
      </c>
      <c r="H23" s="108">
        <v>0</v>
      </c>
      <c r="I23" s="108">
        <v>0</v>
      </c>
      <c r="J23" s="108">
        <v>0</v>
      </c>
      <c r="K23" s="108">
        <v>0</v>
      </c>
      <c r="L23" s="108">
        <v>0</v>
      </c>
      <c r="M23" s="108">
        <v>0</v>
      </c>
      <c r="N23" s="108">
        <v>10.508281856410813</v>
      </c>
      <c r="O23" s="108">
        <v>3089.434865784779</v>
      </c>
      <c r="P23" s="108">
        <v>3.5211615403142384</v>
      </c>
      <c r="Q23" s="108">
        <v>1035.2214928523861</v>
      </c>
      <c r="R23" s="108">
        <v>3.6748783970768701</v>
      </c>
      <c r="S23" s="108">
        <v>1080.4142487405998</v>
      </c>
      <c r="T23" s="108">
        <v>5.6618269230769229</v>
      </c>
      <c r="U23" s="108">
        <v>1664.5771153846154</v>
      </c>
      <c r="V23" s="108">
        <v>0</v>
      </c>
      <c r="W23" s="108">
        <v>0</v>
      </c>
      <c r="X23" s="108">
        <v>13.768957173411165</v>
      </c>
      <c r="Y23" s="108">
        <v>4048.0734089828825</v>
      </c>
      <c r="Z23" s="108">
        <v>8.1736948831923204</v>
      </c>
      <c r="AA23" s="108">
        <v>2403.066295658542</v>
      </c>
      <c r="AB23" s="108">
        <v>7.6557834290401976</v>
      </c>
      <c r="AC23" s="108">
        <v>2250.8003281378183</v>
      </c>
      <c r="AD23" s="108">
        <v>2.9110313580579752E-16</v>
      </c>
      <c r="AE23" s="108">
        <v>8.5584321926904468E-14</v>
      </c>
      <c r="AF23" s="108">
        <v>4.0877574797926757</v>
      </c>
      <c r="AG23" s="108">
        <v>1201.8006990590466</v>
      </c>
      <c r="AH23" s="108">
        <v>4.1333587643656031</v>
      </c>
      <c r="AI23" s="108">
        <v>1215.2074767234874</v>
      </c>
      <c r="AJ23" s="108">
        <v>4.1940044411546999</v>
      </c>
      <c r="AK23" s="108">
        <v>1233.0373056994817</v>
      </c>
      <c r="AL23" s="108">
        <v>0</v>
      </c>
      <c r="AM23" s="108">
        <v>0</v>
      </c>
      <c r="AN23" s="108">
        <v>14.430117337940976</v>
      </c>
      <c r="AO23" s="108">
        <v>4242.4544973546472</v>
      </c>
      <c r="AP23" s="108">
        <v>6.1588043478260888</v>
      </c>
      <c r="AQ23" s="108">
        <v>1810.6884782608702</v>
      </c>
      <c r="AR23" s="108">
        <v>0</v>
      </c>
      <c r="AS23" s="108">
        <v>0</v>
      </c>
      <c r="AT23" s="108">
        <v>18.25691382765531</v>
      </c>
      <c r="AU23" s="108">
        <v>5367.5326653306611</v>
      </c>
      <c r="AV23" s="108">
        <v>0</v>
      </c>
      <c r="AW23" s="108">
        <v>0</v>
      </c>
      <c r="AX23" s="108">
        <v>15.776380364234729</v>
      </c>
      <c r="AY23" s="108">
        <v>4638.2558270850104</v>
      </c>
      <c r="AZ23" s="108">
        <v>2.5987007894307181</v>
      </c>
      <c r="BA23" s="108">
        <v>764.01803209263119</v>
      </c>
      <c r="BB23" s="108">
        <v>1.5277925211097709</v>
      </c>
      <c r="BC23" s="108">
        <v>449.17100120627265</v>
      </c>
      <c r="BD23" s="108">
        <v>0</v>
      </c>
      <c r="BE23" s="108">
        <v>0</v>
      </c>
      <c r="BF23" s="108">
        <v>2.5952169076751948</v>
      </c>
      <c r="BG23" s="108">
        <v>762.99377085650724</v>
      </c>
      <c r="BH23" s="108">
        <v>1.1649628822377442</v>
      </c>
      <c r="BI23" s="108">
        <v>342.49908737789679</v>
      </c>
      <c r="BJ23" s="108">
        <v>10.698314973645687</v>
      </c>
      <c r="BK23" s="108">
        <v>3145.304602251832</v>
      </c>
      <c r="BL23" s="108">
        <v>3.9179358633646184</v>
      </c>
      <c r="BM23" s="108">
        <v>1151.8731438291977</v>
      </c>
      <c r="BN23" s="108">
        <v>4.068540335765614</v>
      </c>
      <c r="BO23" s="108">
        <v>1196.1508587150906</v>
      </c>
      <c r="BP23" s="108">
        <v>6.2430283204731989</v>
      </c>
      <c r="BQ23" s="108">
        <v>1835.4503262191204</v>
      </c>
      <c r="BR23" s="108">
        <v>8.6120471386771626</v>
      </c>
      <c r="BS23" s="108">
        <v>2531.9418587710857</v>
      </c>
      <c r="BT23" s="108">
        <v>6.6921539747291909</v>
      </c>
      <c r="BU23" s="108">
        <v>1967.493268570382</v>
      </c>
      <c r="BV23" s="108">
        <v>8.8336391437308865</v>
      </c>
      <c r="BW23" s="108">
        <v>2597.0899082568808</v>
      </c>
      <c r="BX23" s="108">
        <v>0</v>
      </c>
      <c r="BY23" s="108">
        <v>0</v>
      </c>
      <c r="BZ23" s="108">
        <v>6.9257031701866305</v>
      </c>
      <c r="CA23" s="108">
        <v>2036.1567320348693</v>
      </c>
      <c r="CB23" s="108">
        <v>2.8678677063726812</v>
      </c>
      <c r="CC23" s="108">
        <v>843.15310567356823</v>
      </c>
      <c r="CD23" s="108">
        <v>0</v>
      </c>
      <c r="CE23" s="108">
        <v>0</v>
      </c>
      <c r="CF23" s="108">
        <v>15.39951902055094</v>
      </c>
      <c r="CG23" s="108">
        <v>4527.4585920419768</v>
      </c>
      <c r="CH23" s="108">
        <v>0</v>
      </c>
      <c r="CI23" s="108">
        <v>0</v>
      </c>
      <c r="CJ23" s="108">
        <v>0</v>
      </c>
      <c r="CK23" s="108">
        <v>0</v>
      </c>
      <c r="CL23" s="108">
        <v>22.579052700854696</v>
      </c>
      <c r="CM23" s="108">
        <v>6638.2414940512808</v>
      </c>
      <c r="CN23" s="108">
        <v>7.9020112642613007</v>
      </c>
      <c r="CO23" s="108">
        <v>2323.1913116928226</v>
      </c>
      <c r="CP23" s="108">
        <v>10.226082603254067</v>
      </c>
      <c r="CQ23" s="108">
        <v>3006.4682853566956</v>
      </c>
      <c r="CR23" s="108">
        <v>0</v>
      </c>
      <c r="CS23" s="108">
        <v>0</v>
      </c>
      <c r="CT23" s="108">
        <v>0</v>
      </c>
      <c r="CU23" s="108">
        <v>0</v>
      </c>
    </row>
    <row r="24" spans="2:99" x14ac:dyDescent="0.2">
      <c r="C24" s="107" t="s">
        <v>189</v>
      </c>
      <c r="D24" s="108">
        <v>0</v>
      </c>
      <c r="E24" s="108">
        <v>0</v>
      </c>
      <c r="F24" s="108">
        <v>0</v>
      </c>
      <c r="G24" s="108">
        <v>0</v>
      </c>
      <c r="H24" s="108">
        <v>0</v>
      </c>
      <c r="I24" s="108">
        <v>0</v>
      </c>
      <c r="J24" s="108">
        <v>0</v>
      </c>
      <c r="K24" s="108">
        <v>0</v>
      </c>
      <c r="L24" s="108">
        <v>0</v>
      </c>
      <c r="M24" s="108">
        <v>0</v>
      </c>
      <c r="N24" s="108">
        <v>9.7287878549068409</v>
      </c>
      <c r="O24" s="108">
        <v>3572.4109003217918</v>
      </c>
      <c r="P24" s="108">
        <v>3.1860677056062037</v>
      </c>
      <c r="Q24" s="108">
        <v>1169.9240614985979</v>
      </c>
      <c r="R24" s="108">
        <v>3.6276989014936971</v>
      </c>
      <c r="S24" s="108">
        <v>1332.0910366284854</v>
      </c>
      <c r="T24" s="108">
        <v>5.5549999999999997</v>
      </c>
      <c r="U24" s="108">
        <v>2039.7959999999998</v>
      </c>
      <c r="V24" s="108">
        <v>0</v>
      </c>
      <c r="W24" s="108">
        <v>0</v>
      </c>
      <c r="X24" s="108">
        <v>12.966830184831711</v>
      </c>
      <c r="Y24" s="108">
        <v>4761.4200438702037</v>
      </c>
      <c r="Z24" s="108">
        <v>8.0090476727234758</v>
      </c>
      <c r="AA24" s="108">
        <v>2940.9223054240601</v>
      </c>
      <c r="AB24" s="108">
        <v>7.3823625922887617</v>
      </c>
      <c r="AC24" s="108">
        <v>2710.8035438884331</v>
      </c>
      <c r="AD24" s="108">
        <v>3.0412361012948816E-16</v>
      </c>
      <c r="AE24" s="108">
        <v>1.1167418963954804E-13</v>
      </c>
      <c r="AF24" s="108">
        <v>3.9655996947625791</v>
      </c>
      <c r="AG24" s="108">
        <v>1456.168207916819</v>
      </c>
      <c r="AH24" s="108">
        <v>4.0148884905392963</v>
      </c>
      <c r="AI24" s="108">
        <v>1474.2670537260296</v>
      </c>
      <c r="AJ24" s="108">
        <v>4.3173575129533681</v>
      </c>
      <c r="AK24" s="108">
        <v>1585.3336787564767</v>
      </c>
      <c r="AL24" s="108">
        <v>0</v>
      </c>
      <c r="AM24" s="108">
        <v>0</v>
      </c>
      <c r="AN24" s="108">
        <v>13.57773532534959</v>
      </c>
      <c r="AO24" s="108">
        <v>4985.7444114683694</v>
      </c>
      <c r="AP24" s="108">
        <v>6.1588043478260888</v>
      </c>
      <c r="AQ24" s="108">
        <v>2261.5129565217399</v>
      </c>
      <c r="AR24" s="108">
        <v>0</v>
      </c>
      <c r="AS24" s="108">
        <v>0</v>
      </c>
      <c r="AT24" s="108">
        <v>16.921042084168338</v>
      </c>
      <c r="AU24" s="108">
        <v>6213.4066533066134</v>
      </c>
      <c r="AV24" s="108">
        <v>0</v>
      </c>
      <c r="AW24" s="108">
        <v>0</v>
      </c>
      <c r="AX24" s="108">
        <v>17.29287178000563</v>
      </c>
      <c r="AY24" s="108">
        <v>6349.9425176180666</v>
      </c>
      <c r="AZ24" s="108">
        <v>2.5987007894307181</v>
      </c>
      <c r="BA24" s="108">
        <v>954.24292987895967</v>
      </c>
      <c r="BB24" s="108">
        <v>1.5277925211097709</v>
      </c>
      <c r="BC24" s="108">
        <v>561.00541375150783</v>
      </c>
      <c r="BD24" s="108">
        <v>0</v>
      </c>
      <c r="BE24" s="108">
        <v>0</v>
      </c>
      <c r="BF24" s="108">
        <v>2.6879032258064517</v>
      </c>
      <c r="BG24" s="108">
        <v>986.99806451612903</v>
      </c>
      <c r="BH24" s="108">
        <v>1.0375450669929911</v>
      </c>
      <c r="BI24" s="108">
        <v>380.98654859982634</v>
      </c>
      <c r="BJ24" s="108">
        <v>9.8543006823659347</v>
      </c>
      <c r="BK24" s="108">
        <v>3618.4992105647711</v>
      </c>
      <c r="BL24" s="108">
        <v>3.8479727229473935</v>
      </c>
      <c r="BM24" s="108">
        <v>1412.9755838662829</v>
      </c>
      <c r="BN24" s="108">
        <v>3.5487014480186261</v>
      </c>
      <c r="BO24" s="108">
        <v>1303.0831717124395</v>
      </c>
      <c r="BP24" s="108">
        <v>5.9411352231714005</v>
      </c>
      <c r="BQ24" s="108">
        <v>2181.5848539485382</v>
      </c>
      <c r="BR24" s="108">
        <v>8.3033076248344919</v>
      </c>
      <c r="BS24" s="108">
        <v>3048.9745598392255</v>
      </c>
      <c r="BT24" s="108">
        <v>7.2027784831558836</v>
      </c>
      <c r="BU24" s="108">
        <v>2644.8602590148403</v>
      </c>
      <c r="BV24" s="108">
        <v>8.1541284403669732</v>
      </c>
      <c r="BW24" s="108">
        <v>2994.1959633027523</v>
      </c>
      <c r="BX24" s="108">
        <v>0</v>
      </c>
      <c r="BY24" s="108">
        <v>0</v>
      </c>
      <c r="BZ24" s="108">
        <v>6.7118168035843366</v>
      </c>
      <c r="CA24" s="108">
        <v>2464.5791302761681</v>
      </c>
      <c r="CB24" s="108">
        <v>2.4645738101640227</v>
      </c>
      <c r="CC24" s="108">
        <v>904.9915030922291</v>
      </c>
      <c r="CD24" s="108">
        <v>0</v>
      </c>
      <c r="CE24" s="108">
        <v>0</v>
      </c>
      <c r="CF24" s="108">
        <v>14.185045911674683</v>
      </c>
      <c r="CG24" s="108">
        <v>5208.7488587669432</v>
      </c>
      <c r="CH24" s="108">
        <v>0</v>
      </c>
      <c r="CI24" s="108">
        <v>0</v>
      </c>
      <c r="CJ24" s="108">
        <v>0</v>
      </c>
      <c r="CK24" s="108">
        <v>0</v>
      </c>
      <c r="CL24" s="108">
        <v>22.982604664313783</v>
      </c>
      <c r="CM24" s="108">
        <v>8439.2124327360216</v>
      </c>
      <c r="CN24" s="108">
        <v>6.8341719042259905</v>
      </c>
      <c r="CO24" s="108">
        <v>2509.5079232317835</v>
      </c>
      <c r="CP24" s="108">
        <v>9.8508135168961193</v>
      </c>
      <c r="CQ24" s="108">
        <v>3617.2187234042549</v>
      </c>
      <c r="CR24" s="108">
        <v>0</v>
      </c>
      <c r="CS24" s="108">
        <v>0</v>
      </c>
      <c r="CT24" s="108">
        <v>0</v>
      </c>
      <c r="CU24" s="108">
        <v>0</v>
      </c>
    </row>
    <row r="25" spans="2:99" x14ac:dyDescent="0.2">
      <c r="C25" s="107" t="s">
        <v>190</v>
      </c>
      <c r="D25" s="108">
        <v>0</v>
      </c>
      <c r="E25" s="108">
        <v>0</v>
      </c>
      <c r="F25" s="108">
        <v>0</v>
      </c>
      <c r="G25" s="108">
        <v>0</v>
      </c>
      <c r="H25" s="108">
        <v>0</v>
      </c>
      <c r="I25" s="108">
        <v>0</v>
      </c>
      <c r="J25" s="108">
        <v>0</v>
      </c>
      <c r="K25" s="108">
        <v>0</v>
      </c>
      <c r="L25" s="108">
        <v>0</v>
      </c>
      <c r="M25" s="108">
        <v>0</v>
      </c>
      <c r="N25" s="108">
        <v>10.502442760461035</v>
      </c>
      <c r="O25" s="108">
        <v>5570.4956401485324</v>
      </c>
      <c r="P25" s="108">
        <v>3.5594660375531171</v>
      </c>
      <c r="Q25" s="108">
        <v>1887.9407863181732</v>
      </c>
      <c r="R25" s="108">
        <v>4.0088530633572352</v>
      </c>
      <c r="S25" s="108">
        <v>2126.2956648046775</v>
      </c>
      <c r="T25" s="108">
        <v>5.3413461538461542</v>
      </c>
      <c r="U25" s="108">
        <v>2833.05</v>
      </c>
      <c r="V25" s="108">
        <v>0</v>
      </c>
      <c r="W25" s="108">
        <v>0</v>
      </c>
      <c r="X25" s="108">
        <v>11.839451201821873</v>
      </c>
      <c r="Y25" s="108">
        <v>6279.6449174463214</v>
      </c>
      <c r="Z25" s="108">
        <v>8.2229714104930771</v>
      </c>
      <c r="AA25" s="108">
        <v>4361.4640361255279</v>
      </c>
      <c r="AB25" s="108">
        <v>8.2026251025430685</v>
      </c>
      <c r="AC25" s="108">
        <v>4350.6723543888438</v>
      </c>
      <c r="AD25" s="108">
        <v>3.057576244653084E-16</v>
      </c>
      <c r="AE25" s="108">
        <v>1.6217384401639957E-13</v>
      </c>
      <c r="AF25" s="108">
        <v>3.6659429220930462</v>
      </c>
      <c r="AG25" s="108">
        <v>1944.4161258781517</v>
      </c>
      <c r="AH25" s="108">
        <v>3.6445550205205435</v>
      </c>
      <c r="AI25" s="108">
        <v>1933.0719828840961</v>
      </c>
      <c r="AJ25" s="108">
        <v>4.4407105847520354</v>
      </c>
      <c r="AK25" s="108">
        <v>2355.3528941524796</v>
      </c>
      <c r="AL25" s="108">
        <v>0</v>
      </c>
      <c r="AM25" s="108">
        <v>0</v>
      </c>
      <c r="AN25" s="108">
        <v>16.09827946893148</v>
      </c>
      <c r="AO25" s="108">
        <v>8538.5274303212573</v>
      </c>
      <c r="AP25" s="108">
        <v>6.339945652173915</v>
      </c>
      <c r="AQ25" s="108">
        <v>3362.7071739130442</v>
      </c>
      <c r="AR25" s="108">
        <v>0</v>
      </c>
      <c r="AS25" s="108">
        <v>0</v>
      </c>
      <c r="AT25" s="108">
        <v>17.811623246492989</v>
      </c>
      <c r="AU25" s="108">
        <v>9447.2849699398812</v>
      </c>
      <c r="AV25" s="108">
        <v>0</v>
      </c>
      <c r="AW25" s="108">
        <v>0</v>
      </c>
      <c r="AX25" s="108">
        <v>17.767492476586582</v>
      </c>
      <c r="AY25" s="108">
        <v>9423.8780095815237</v>
      </c>
      <c r="AZ25" s="108">
        <v>2.5987007894307181</v>
      </c>
      <c r="BA25" s="108">
        <v>1378.3508987140528</v>
      </c>
      <c r="BB25" s="108">
        <v>1.6082026537997587</v>
      </c>
      <c r="BC25" s="108">
        <v>852.99068757539192</v>
      </c>
      <c r="BD25" s="108">
        <v>0</v>
      </c>
      <c r="BE25" s="108">
        <v>0</v>
      </c>
      <c r="BF25" s="108">
        <v>2.6879032258064517</v>
      </c>
      <c r="BG25" s="108">
        <v>1425.663870967742</v>
      </c>
      <c r="BH25" s="108">
        <v>1.0011399769230616</v>
      </c>
      <c r="BI25" s="108">
        <v>531.00464375999184</v>
      </c>
      <c r="BJ25" s="108">
        <v>9.2222775394571102</v>
      </c>
      <c r="BK25" s="108">
        <v>4891.4960069280514</v>
      </c>
      <c r="BL25" s="108">
        <v>3.7680142484232166</v>
      </c>
      <c r="BM25" s="108">
        <v>1998.5547573636741</v>
      </c>
      <c r="BN25" s="108">
        <v>4.0018411989325164</v>
      </c>
      <c r="BO25" s="108">
        <v>2122.5765719138067</v>
      </c>
      <c r="BP25" s="108">
        <v>6.2514024582053311</v>
      </c>
      <c r="BQ25" s="108">
        <v>3315.7438638321073</v>
      </c>
      <c r="BR25" s="108">
        <v>7.8628062558751983</v>
      </c>
      <c r="BS25" s="108">
        <v>4170.432438116205</v>
      </c>
      <c r="BT25" s="108">
        <v>6.8709371812511302</v>
      </c>
      <c r="BU25" s="108">
        <v>3644.3450809355991</v>
      </c>
      <c r="BV25" s="108">
        <v>7.9842507645259939</v>
      </c>
      <c r="BW25" s="108">
        <v>4234.8466055045874</v>
      </c>
      <c r="BX25" s="108">
        <v>0</v>
      </c>
      <c r="BY25" s="108">
        <v>0</v>
      </c>
      <c r="BZ25" s="108">
        <v>5.8165648672281192</v>
      </c>
      <c r="CA25" s="108">
        <v>3085.1060055777943</v>
      </c>
      <c r="CB25" s="108">
        <v>2.3749529443398765</v>
      </c>
      <c r="CC25" s="108">
        <v>1259.6750416778705</v>
      </c>
      <c r="CD25" s="108">
        <v>0</v>
      </c>
      <c r="CE25" s="108">
        <v>0</v>
      </c>
      <c r="CF25" s="108">
        <v>14.185045911674683</v>
      </c>
      <c r="CG25" s="108">
        <v>7523.7483515522517</v>
      </c>
      <c r="CH25" s="108">
        <v>0</v>
      </c>
      <c r="CI25" s="108">
        <v>0</v>
      </c>
      <c r="CJ25" s="108">
        <v>0</v>
      </c>
      <c r="CK25" s="108">
        <v>0</v>
      </c>
      <c r="CL25" s="108">
        <v>21.608875134101318</v>
      </c>
      <c r="CM25" s="108">
        <v>11461.347371127338</v>
      </c>
      <c r="CN25" s="108">
        <v>6.6206040322189281</v>
      </c>
      <c r="CO25" s="108">
        <v>3511.5683786889194</v>
      </c>
      <c r="CP25" s="108">
        <v>10.507534418022528</v>
      </c>
      <c r="CQ25" s="108">
        <v>5573.1962553191488</v>
      </c>
      <c r="CR25" s="108">
        <v>0</v>
      </c>
      <c r="CS25" s="108">
        <v>0</v>
      </c>
      <c r="CT25" s="108">
        <v>0</v>
      </c>
      <c r="CU25" s="108">
        <v>0</v>
      </c>
    </row>
    <row r="26" spans="2:99" x14ac:dyDescent="0.2">
      <c r="C26" s="107" t="s">
        <v>191</v>
      </c>
      <c r="D26" s="108">
        <v>0</v>
      </c>
      <c r="E26" s="108">
        <v>0</v>
      </c>
      <c r="F26" s="108">
        <v>0</v>
      </c>
      <c r="G26" s="108">
        <v>0</v>
      </c>
      <c r="H26" s="108">
        <v>0</v>
      </c>
      <c r="I26" s="108">
        <v>0</v>
      </c>
      <c r="J26" s="108">
        <v>0</v>
      </c>
      <c r="K26" s="108">
        <v>0</v>
      </c>
      <c r="L26" s="108">
        <v>0</v>
      </c>
      <c r="M26" s="108">
        <v>0</v>
      </c>
      <c r="N26" s="108">
        <v>10.502442760461035</v>
      </c>
      <c r="O26" s="108">
        <v>5104.1871815840632</v>
      </c>
      <c r="P26" s="108">
        <v>3.2876552749627179</v>
      </c>
      <c r="Q26" s="108">
        <v>1597.8004636318808</v>
      </c>
      <c r="R26" s="108">
        <v>3.6748783970768701</v>
      </c>
      <c r="S26" s="108">
        <v>1785.9909009793589</v>
      </c>
      <c r="T26" s="108">
        <v>5.2345192307692301</v>
      </c>
      <c r="U26" s="108">
        <v>2543.976346153846</v>
      </c>
      <c r="V26" s="108">
        <v>0</v>
      </c>
      <c r="W26" s="108">
        <v>0</v>
      </c>
      <c r="X26" s="108">
        <v>12.788495032080453</v>
      </c>
      <c r="Y26" s="108">
        <v>6215.2085855911</v>
      </c>
      <c r="Z26" s="108">
        <v>8.3465548482112872</v>
      </c>
      <c r="AA26" s="108">
        <v>4056.4256562306855</v>
      </c>
      <c r="AB26" s="108">
        <v>7.3823625922887617</v>
      </c>
      <c r="AC26" s="108">
        <v>3587.828219852338</v>
      </c>
      <c r="AD26" s="108">
        <v>2.9012272720430532E-16</v>
      </c>
      <c r="AE26" s="108">
        <v>1.4099964542129238E-13</v>
      </c>
      <c r="AF26" s="108">
        <v>3.9433275006223263</v>
      </c>
      <c r="AG26" s="108">
        <v>1916.4571653024507</v>
      </c>
      <c r="AH26" s="108">
        <v>4.261777470551797</v>
      </c>
      <c r="AI26" s="108">
        <v>2071.2238506881736</v>
      </c>
      <c r="AJ26" s="108">
        <v>4.0706513693560327</v>
      </c>
      <c r="AK26" s="108">
        <v>1978.3365655070318</v>
      </c>
      <c r="AL26" s="108">
        <v>0</v>
      </c>
      <c r="AM26" s="108">
        <v>0</v>
      </c>
      <c r="AN26" s="108">
        <v>14.881022747468775</v>
      </c>
      <c r="AO26" s="108">
        <v>7232.1770552698245</v>
      </c>
      <c r="AP26" s="108">
        <v>6.7022282608695667</v>
      </c>
      <c r="AQ26" s="108">
        <v>3257.2829347826096</v>
      </c>
      <c r="AR26" s="108">
        <v>0</v>
      </c>
      <c r="AS26" s="108">
        <v>0</v>
      </c>
      <c r="AT26" s="108">
        <v>17.811623246492989</v>
      </c>
      <c r="AU26" s="108">
        <v>8656.4488977955916</v>
      </c>
      <c r="AV26" s="108">
        <v>0</v>
      </c>
      <c r="AW26" s="108">
        <v>0</v>
      </c>
      <c r="AX26" s="108">
        <v>16.496426935064886</v>
      </c>
      <c r="AY26" s="108">
        <v>8017.2634904415345</v>
      </c>
      <c r="AZ26" s="108">
        <v>2.8874453215896869</v>
      </c>
      <c r="BA26" s="108">
        <v>1403.2984262925879</v>
      </c>
      <c r="BB26" s="108">
        <v>1.5277925211097709</v>
      </c>
      <c r="BC26" s="108">
        <v>742.50716525934865</v>
      </c>
      <c r="BD26" s="108">
        <v>0</v>
      </c>
      <c r="BE26" s="108">
        <v>0</v>
      </c>
      <c r="BF26" s="108">
        <v>2.6879032258064517</v>
      </c>
      <c r="BG26" s="108">
        <v>1306.3209677419354</v>
      </c>
      <c r="BH26" s="108">
        <v>1.1285577921678149</v>
      </c>
      <c r="BI26" s="108">
        <v>548.4790869935581</v>
      </c>
      <c r="BJ26" s="108">
        <v>10.282233281311761</v>
      </c>
      <c r="BK26" s="108">
        <v>4997.165374717516</v>
      </c>
      <c r="BL26" s="108">
        <v>3.8220674769962582</v>
      </c>
      <c r="BM26" s="108">
        <v>1857.5247938201815</v>
      </c>
      <c r="BN26" s="108">
        <v>3.8135331086484734</v>
      </c>
      <c r="BO26" s="108">
        <v>1853.3770908031581</v>
      </c>
      <c r="BP26" s="108">
        <v>6.2639636648035273</v>
      </c>
      <c r="BQ26" s="108">
        <v>3044.2863410945142</v>
      </c>
      <c r="BR26" s="108">
        <v>8.0110102213952494</v>
      </c>
      <c r="BS26" s="108">
        <v>3893.3509675980913</v>
      </c>
      <c r="BT26" s="108">
        <v>7.396996756361303</v>
      </c>
      <c r="BU26" s="108">
        <v>3594.9404235915931</v>
      </c>
      <c r="BV26" s="108">
        <v>8.8336391437308865</v>
      </c>
      <c r="BW26" s="108">
        <v>4293.1486238532107</v>
      </c>
      <c r="BX26" s="108">
        <v>0</v>
      </c>
      <c r="BY26" s="108">
        <v>0</v>
      </c>
      <c r="BZ26" s="108">
        <v>6.6405213480502381</v>
      </c>
      <c r="CA26" s="108">
        <v>3227.2933751524156</v>
      </c>
      <c r="CB26" s="108">
        <v>2.5093842430760955</v>
      </c>
      <c r="CC26" s="108">
        <v>1219.5607421349823</v>
      </c>
      <c r="CD26" s="108">
        <v>0</v>
      </c>
      <c r="CE26" s="108">
        <v>0</v>
      </c>
      <c r="CF26" s="108">
        <v>13.553519895059029</v>
      </c>
      <c r="CG26" s="108">
        <v>6587.0106689986878</v>
      </c>
      <c r="CH26" s="108">
        <v>0</v>
      </c>
      <c r="CI26" s="108">
        <v>0</v>
      </c>
      <c r="CJ26" s="108">
        <v>0</v>
      </c>
      <c r="CK26" s="108">
        <v>0</v>
      </c>
      <c r="CL26" s="108">
        <v>19.274938775189696</v>
      </c>
      <c r="CM26" s="108">
        <v>9367.6202447421929</v>
      </c>
      <c r="CN26" s="108">
        <v>6.7629826135569688</v>
      </c>
      <c r="CO26" s="108">
        <v>3286.8095501886869</v>
      </c>
      <c r="CP26" s="108">
        <v>10.319899874843555</v>
      </c>
      <c r="CQ26" s="108">
        <v>5015.4713391739679</v>
      </c>
      <c r="CR26" s="108">
        <v>0</v>
      </c>
      <c r="CS26" s="108">
        <v>0</v>
      </c>
      <c r="CT26" s="108">
        <v>0</v>
      </c>
      <c r="CU26" s="108">
        <v>0</v>
      </c>
    </row>
    <row r="27" spans="2:99" x14ac:dyDescent="0.2">
      <c r="C27" s="107" t="s">
        <v>192</v>
      </c>
      <c r="D27" s="108">
        <v>0</v>
      </c>
      <c r="E27" s="108">
        <v>0</v>
      </c>
      <c r="F27" s="108">
        <v>0</v>
      </c>
      <c r="G27" s="108">
        <v>0</v>
      </c>
      <c r="H27" s="108">
        <v>0</v>
      </c>
      <c r="I27" s="108">
        <v>0</v>
      </c>
      <c r="J27" s="108">
        <v>0</v>
      </c>
      <c r="K27" s="108">
        <v>0</v>
      </c>
      <c r="L27" s="108">
        <v>0</v>
      </c>
      <c r="M27" s="108">
        <v>0</v>
      </c>
      <c r="N27" s="108">
        <v>10.010222156569585</v>
      </c>
      <c r="O27" s="108">
        <v>4276.3669052865262</v>
      </c>
      <c r="P27" s="108">
        <v>3.6209649257508416</v>
      </c>
      <c r="Q27" s="108">
        <v>1546.8762162807595</v>
      </c>
      <c r="R27" s="108">
        <v>3.6841738900722589</v>
      </c>
      <c r="S27" s="108">
        <v>1573.8790858388691</v>
      </c>
      <c r="T27" s="108">
        <v>5.8754807692307693</v>
      </c>
      <c r="U27" s="108">
        <v>2510.0053846153846</v>
      </c>
      <c r="V27" s="108">
        <v>0</v>
      </c>
      <c r="W27" s="108">
        <v>0</v>
      </c>
      <c r="X27" s="108">
        <v>13.345506485327231</v>
      </c>
      <c r="Y27" s="108">
        <v>5701.2003705317929</v>
      </c>
      <c r="Z27" s="108">
        <v>8.6429982509484677</v>
      </c>
      <c r="AA27" s="108">
        <v>3692.2888528051853</v>
      </c>
      <c r="AB27" s="108">
        <v>7.9292042657916326</v>
      </c>
      <c r="AC27" s="108">
        <v>3387.3560623461854</v>
      </c>
      <c r="AD27" s="108">
        <v>2.8491970151111627E-16</v>
      </c>
      <c r="AE27" s="108">
        <v>1.2171769648554886E-13</v>
      </c>
      <c r="AF27" s="108">
        <v>3.7702829518109411</v>
      </c>
      <c r="AG27" s="108">
        <v>1610.6648770136339</v>
      </c>
      <c r="AH27" s="108">
        <v>4.0248369228991834</v>
      </c>
      <c r="AI27" s="108">
        <v>1719.4103334625311</v>
      </c>
      <c r="AJ27" s="108">
        <v>4.3173575129533681</v>
      </c>
      <c r="AK27" s="108">
        <v>1844.3751295336788</v>
      </c>
      <c r="AL27" s="108">
        <v>0</v>
      </c>
      <c r="AM27" s="108">
        <v>0</v>
      </c>
      <c r="AN27" s="108">
        <v>15.024407248562914</v>
      </c>
      <c r="AO27" s="108">
        <v>6418.4267765860768</v>
      </c>
      <c r="AP27" s="108">
        <v>6.5210869565217404</v>
      </c>
      <c r="AQ27" s="108">
        <v>2785.8083478260874</v>
      </c>
      <c r="AR27" s="108">
        <v>0</v>
      </c>
      <c r="AS27" s="108">
        <v>0</v>
      </c>
      <c r="AT27" s="108">
        <v>16.475751503006013</v>
      </c>
      <c r="AU27" s="108">
        <v>7038.4410420841687</v>
      </c>
      <c r="AV27" s="108">
        <v>0</v>
      </c>
      <c r="AW27" s="108">
        <v>0</v>
      </c>
      <c r="AX27" s="108">
        <v>15.323587745971086</v>
      </c>
      <c r="AY27" s="108">
        <v>6546.2366850788476</v>
      </c>
      <c r="AZ27" s="108">
        <v>2.7430730555102025</v>
      </c>
      <c r="BA27" s="108">
        <v>1171.8408093139585</v>
      </c>
      <c r="BB27" s="108">
        <v>1.447382388419783</v>
      </c>
      <c r="BC27" s="108">
        <v>618.32175633293127</v>
      </c>
      <c r="BD27" s="108">
        <v>0</v>
      </c>
      <c r="BE27" s="108">
        <v>0</v>
      </c>
      <c r="BF27" s="108">
        <v>2.4098442714126809</v>
      </c>
      <c r="BG27" s="108">
        <v>1029.4854727474972</v>
      </c>
      <c r="BH27" s="108">
        <v>1.0193425219580263</v>
      </c>
      <c r="BI27" s="108">
        <v>435.46312538046885</v>
      </c>
      <c r="BJ27" s="108">
        <v>10.490274127478726</v>
      </c>
      <c r="BK27" s="108">
        <v>4481.4451072589118</v>
      </c>
      <c r="BL27" s="108">
        <v>3.96729706177877</v>
      </c>
      <c r="BM27" s="108">
        <v>1694.8293047918905</v>
      </c>
      <c r="BN27" s="108">
        <v>3.4859320845906114</v>
      </c>
      <c r="BO27" s="108">
        <v>1489.1901865371092</v>
      </c>
      <c r="BP27" s="108">
        <v>5.9453222920374662</v>
      </c>
      <c r="BQ27" s="108">
        <v>2539.8416831584054</v>
      </c>
      <c r="BR27" s="108">
        <v>8.5997155558745941</v>
      </c>
      <c r="BS27" s="108">
        <v>3673.7984854696265</v>
      </c>
      <c r="BT27" s="108">
        <v>6.6767189080457143</v>
      </c>
      <c r="BU27" s="108">
        <v>2852.294317517129</v>
      </c>
      <c r="BV27" s="108">
        <v>9.0035168195718658</v>
      </c>
      <c r="BW27" s="108">
        <v>3846.3023853211012</v>
      </c>
      <c r="BX27" s="108">
        <v>0</v>
      </c>
      <c r="BY27" s="108">
        <v>0</v>
      </c>
      <c r="BZ27" s="108">
        <v>5.8909146666042975</v>
      </c>
      <c r="CA27" s="108">
        <v>2516.5987455733557</v>
      </c>
      <c r="CB27" s="108">
        <v>2.643815541812315</v>
      </c>
      <c r="CC27" s="108">
        <v>1129.4379994622209</v>
      </c>
      <c r="CD27" s="108">
        <v>0</v>
      </c>
      <c r="CE27" s="108">
        <v>0</v>
      </c>
      <c r="CF27" s="108">
        <v>14.379361609094884</v>
      </c>
      <c r="CG27" s="108">
        <v>6142.8632794053347</v>
      </c>
      <c r="CH27" s="108">
        <v>0</v>
      </c>
      <c r="CI27" s="108">
        <v>0</v>
      </c>
      <c r="CJ27" s="108">
        <v>0</v>
      </c>
      <c r="CK27" s="108">
        <v>0</v>
      </c>
      <c r="CL27" s="108">
        <v>20.757384065292293</v>
      </c>
      <c r="CM27" s="108">
        <v>8867.5544726928674</v>
      </c>
      <c r="CN27" s="108">
        <v>7.1189290669020728</v>
      </c>
      <c r="CO27" s="108">
        <v>3041.2064973805655</v>
      </c>
      <c r="CP27" s="108">
        <v>9.7569962453066346</v>
      </c>
      <c r="CQ27" s="108">
        <v>4168.1887959949945</v>
      </c>
      <c r="CR27" s="108">
        <v>0</v>
      </c>
      <c r="CS27" s="108">
        <v>0</v>
      </c>
      <c r="CT27" s="108">
        <v>0</v>
      </c>
      <c r="CU27" s="108">
        <v>0</v>
      </c>
    </row>
    <row r="28" spans="2:99" x14ac:dyDescent="0.2">
      <c r="C28" s="107" t="s">
        <v>193</v>
      </c>
      <c r="D28" s="108">
        <v>0</v>
      </c>
      <c r="E28" s="108">
        <v>0</v>
      </c>
      <c r="F28" s="108">
        <v>0</v>
      </c>
      <c r="G28" s="108">
        <v>0</v>
      </c>
      <c r="H28" s="108">
        <v>0</v>
      </c>
      <c r="I28" s="108">
        <v>0</v>
      </c>
      <c r="J28" s="108">
        <v>0</v>
      </c>
      <c r="K28" s="108">
        <v>0</v>
      </c>
      <c r="L28" s="108">
        <v>0</v>
      </c>
      <c r="M28" s="108">
        <v>0</v>
      </c>
      <c r="N28" s="108">
        <v>10.010222156569585</v>
      </c>
      <c r="O28" s="108">
        <v>7387.5439515483531</v>
      </c>
      <c r="P28" s="108">
        <v>3.1245688174084787</v>
      </c>
      <c r="Q28" s="108">
        <v>2305.9317872474571</v>
      </c>
      <c r="R28" s="108">
        <v>3.9051985791955004</v>
      </c>
      <c r="S28" s="108">
        <v>2882.0365514462792</v>
      </c>
      <c r="T28" s="108">
        <v>5.3413461538461542</v>
      </c>
      <c r="U28" s="108">
        <v>3941.9134615384619</v>
      </c>
      <c r="V28" s="108">
        <v>0</v>
      </c>
      <c r="W28" s="108">
        <v>0</v>
      </c>
      <c r="X28" s="108">
        <v>12.383106578552365</v>
      </c>
      <c r="Y28" s="108">
        <v>9138.7326549716454</v>
      </c>
      <c r="Z28" s="108">
        <v>7.3586715853982314</v>
      </c>
      <c r="AA28" s="108">
        <v>5430.6996300238952</v>
      </c>
      <c r="AB28" s="108">
        <v>7.3823625922887617</v>
      </c>
      <c r="AC28" s="108">
        <v>5448.1835931091064</v>
      </c>
      <c r="AD28" s="108">
        <v>2.9044953007146942E-16</v>
      </c>
      <c r="AE28" s="108">
        <v>2.1435175319274444E-13</v>
      </c>
      <c r="AF28" s="108">
        <v>3.557148453547101</v>
      </c>
      <c r="AG28" s="108">
        <v>2625.1755587177604</v>
      </c>
      <c r="AH28" s="108">
        <v>4.0347853552590713</v>
      </c>
      <c r="AI28" s="108">
        <v>2977.6715921811947</v>
      </c>
      <c r="AJ28" s="108">
        <v>3.7005921539600299</v>
      </c>
      <c r="AK28" s="108">
        <v>2731.037009622502</v>
      </c>
      <c r="AL28" s="108">
        <v>0</v>
      </c>
      <c r="AM28" s="108">
        <v>0</v>
      </c>
      <c r="AN28" s="108">
        <v>15.38928195743423</v>
      </c>
      <c r="AO28" s="108">
        <v>11357.290084586462</v>
      </c>
      <c r="AP28" s="108">
        <v>6.339945652173915</v>
      </c>
      <c r="AQ28" s="108">
        <v>4678.8798913043493</v>
      </c>
      <c r="AR28" s="108">
        <v>0</v>
      </c>
      <c r="AS28" s="108">
        <v>0</v>
      </c>
      <c r="AT28" s="108">
        <v>18.25691382765531</v>
      </c>
      <c r="AU28" s="108">
        <v>13473.602404809619</v>
      </c>
      <c r="AV28" s="108">
        <v>0</v>
      </c>
      <c r="AW28" s="108">
        <v>0</v>
      </c>
      <c r="AX28" s="108">
        <v>16.485512895906233</v>
      </c>
      <c r="AY28" s="108">
        <v>12166.308517178799</v>
      </c>
      <c r="AZ28" s="108">
        <v>2.8874453215896869</v>
      </c>
      <c r="BA28" s="108">
        <v>2130.9346473331889</v>
      </c>
      <c r="BB28" s="108">
        <v>1.447382388419783</v>
      </c>
      <c r="BC28" s="108">
        <v>1068.1682026537999</v>
      </c>
      <c r="BD28" s="108">
        <v>0</v>
      </c>
      <c r="BE28" s="108">
        <v>0</v>
      </c>
      <c r="BF28" s="108">
        <v>2.5025305895439378</v>
      </c>
      <c r="BG28" s="108">
        <v>1846.8675750834261</v>
      </c>
      <c r="BH28" s="108">
        <v>1.1649628822377442</v>
      </c>
      <c r="BI28" s="108">
        <v>859.74260709145528</v>
      </c>
      <c r="BJ28" s="108">
        <v>10.38427855329326</v>
      </c>
      <c r="BK28" s="108">
        <v>7663.5975723304264</v>
      </c>
      <c r="BL28" s="108">
        <v>4.0578621441990688</v>
      </c>
      <c r="BM28" s="108">
        <v>2994.7022624189126</v>
      </c>
      <c r="BN28" s="108">
        <v>3.8115682219459321</v>
      </c>
      <c r="BO28" s="108">
        <v>2812.937347796098</v>
      </c>
      <c r="BP28" s="108">
        <v>5.9327610854392683</v>
      </c>
      <c r="BQ28" s="108">
        <v>4378.3776810541804</v>
      </c>
      <c r="BR28" s="108">
        <v>7.5458456868308108</v>
      </c>
      <c r="BS28" s="108">
        <v>5568.8341168811385</v>
      </c>
      <c r="BT28" s="108">
        <v>6.1403692884798913</v>
      </c>
      <c r="BU28" s="108">
        <v>4531.59253489816</v>
      </c>
      <c r="BV28" s="108">
        <v>7.6444954128440372</v>
      </c>
      <c r="BW28" s="108">
        <v>5641.6376146788998</v>
      </c>
      <c r="BX28" s="108">
        <v>0</v>
      </c>
      <c r="BY28" s="108">
        <v>0</v>
      </c>
      <c r="BZ28" s="108">
        <v>6.4052545745533838</v>
      </c>
      <c r="CA28" s="108">
        <v>4727.0778760203975</v>
      </c>
      <c r="CB28" s="108">
        <v>2.4197633772519493</v>
      </c>
      <c r="CC28" s="108">
        <v>1785.7853724119386</v>
      </c>
      <c r="CD28" s="108">
        <v>0</v>
      </c>
      <c r="CE28" s="108">
        <v>0</v>
      </c>
      <c r="CF28" s="108">
        <v>12.921993878443377</v>
      </c>
      <c r="CG28" s="108">
        <v>9536.4314822912129</v>
      </c>
      <c r="CH28" s="108">
        <v>0</v>
      </c>
      <c r="CI28" s="108">
        <v>0</v>
      </c>
      <c r="CJ28" s="108">
        <v>0</v>
      </c>
      <c r="CK28" s="108">
        <v>0</v>
      </c>
      <c r="CL28" s="108">
        <v>18.198887848544434</v>
      </c>
      <c r="CM28" s="108">
        <v>13430.779232225792</v>
      </c>
      <c r="CN28" s="108">
        <v>6.8341719042259905</v>
      </c>
      <c r="CO28" s="108">
        <v>5043.618865318781</v>
      </c>
      <c r="CP28" s="108">
        <v>8.8188235294117643</v>
      </c>
      <c r="CQ28" s="108">
        <v>6508.2917647058821</v>
      </c>
      <c r="CR28" s="108">
        <v>0</v>
      </c>
      <c r="CS28" s="108">
        <v>0</v>
      </c>
      <c r="CT28" s="108">
        <v>0</v>
      </c>
      <c r="CU28" s="108">
        <v>0</v>
      </c>
    </row>
    <row r="29" spans="2:99" x14ac:dyDescent="0.2">
      <c r="C29" s="107" t="s">
        <v>194</v>
      </c>
      <c r="D29" s="108">
        <v>0</v>
      </c>
      <c r="E29" s="108">
        <v>0</v>
      </c>
      <c r="F29" s="108">
        <v>0</v>
      </c>
      <c r="G29" s="108">
        <v>0</v>
      </c>
      <c r="H29" s="108">
        <v>0</v>
      </c>
      <c r="I29" s="108">
        <v>0</v>
      </c>
      <c r="J29" s="108">
        <v>0</v>
      </c>
      <c r="K29" s="108">
        <v>0</v>
      </c>
      <c r="L29" s="108">
        <v>0</v>
      </c>
      <c r="M29" s="108">
        <v>0</v>
      </c>
      <c r="N29" s="108">
        <v>10.016061252519362</v>
      </c>
      <c r="O29" s="108">
        <v>3389.4351278525519</v>
      </c>
      <c r="P29" s="108">
        <v>3.6316700292703099</v>
      </c>
      <c r="Q29" s="108">
        <v>1228.9571379050728</v>
      </c>
      <c r="R29" s="108">
        <v>4.1448142543095194</v>
      </c>
      <c r="S29" s="108">
        <v>1402.6051436583414</v>
      </c>
      <c r="T29" s="108">
        <v>5.5549999999999997</v>
      </c>
      <c r="U29" s="108">
        <v>1879.8119999999997</v>
      </c>
      <c r="V29" s="108">
        <v>0</v>
      </c>
      <c r="W29" s="108">
        <v>0</v>
      </c>
      <c r="X29" s="108">
        <v>12.761782879047884</v>
      </c>
      <c r="Y29" s="108">
        <v>4318.5873262698033</v>
      </c>
      <c r="Z29" s="108">
        <v>8.0172604272736017</v>
      </c>
      <c r="AA29" s="108">
        <v>2713.0409285893866</v>
      </c>
      <c r="AB29" s="108">
        <v>7.1089417555373258</v>
      </c>
      <c r="AC29" s="108">
        <v>2405.6658900738307</v>
      </c>
      <c r="AD29" s="108">
        <v>3.3212537597985368E-16</v>
      </c>
      <c r="AE29" s="108">
        <v>1.1239122723158248E-13</v>
      </c>
      <c r="AF29" s="108">
        <v>4.0476675303402212</v>
      </c>
      <c r="AG29" s="108">
        <v>1369.7306922671307</v>
      </c>
      <c r="AH29" s="108">
        <v>3.9262635137926525</v>
      </c>
      <c r="AI29" s="108">
        <v>1328.6475730674335</v>
      </c>
      <c r="AJ29" s="108">
        <v>4.4407105847520354</v>
      </c>
      <c r="AK29" s="108">
        <v>1502.7364618800887</v>
      </c>
      <c r="AL29" s="108">
        <v>0</v>
      </c>
      <c r="AM29" s="108">
        <v>0</v>
      </c>
      <c r="AN29" s="108">
        <v>16.09827946893148</v>
      </c>
      <c r="AO29" s="108">
        <v>5447.6577722864122</v>
      </c>
      <c r="AP29" s="108">
        <v>6.7022282608695667</v>
      </c>
      <c r="AQ29" s="108">
        <v>2268.0340434782611</v>
      </c>
      <c r="AR29" s="108">
        <v>0</v>
      </c>
      <c r="AS29" s="108">
        <v>0</v>
      </c>
      <c r="AT29" s="108">
        <v>16.921042084168338</v>
      </c>
      <c r="AU29" s="108">
        <v>5726.080641282565</v>
      </c>
      <c r="AV29" s="108">
        <v>0</v>
      </c>
      <c r="AW29" s="108">
        <v>0</v>
      </c>
      <c r="AX29" s="108">
        <v>16.496426935064886</v>
      </c>
      <c r="AY29" s="108">
        <v>5582.3908748259573</v>
      </c>
      <c r="AZ29" s="108">
        <v>3.1040037207089135</v>
      </c>
      <c r="BA29" s="108">
        <v>1050.3948590878963</v>
      </c>
      <c r="BB29" s="108">
        <v>1.6886127864897467</v>
      </c>
      <c r="BC29" s="108">
        <v>571.42656694813024</v>
      </c>
      <c r="BD29" s="108">
        <v>0</v>
      </c>
      <c r="BE29" s="108">
        <v>0</v>
      </c>
      <c r="BF29" s="108">
        <v>2.4098442714126809</v>
      </c>
      <c r="BG29" s="108">
        <v>815.49130144605112</v>
      </c>
      <c r="BH29" s="108">
        <v>1.0739501570629206</v>
      </c>
      <c r="BI29" s="108">
        <v>363.42473315009232</v>
      </c>
      <c r="BJ29" s="108">
        <v>11.012351393998113</v>
      </c>
      <c r="BK29" s="108">
        <v>3726.5797117289612</v>
      </c>
      <c r="BL29" s="108">
        <v>4.1151782985353123</v>
      </c>
      <c r="BM29" s="108">
        <v>1392.5763362243495</v>
      </c>
      <c r="BN29" s="108">
        <v>4.0724701091706965</v>
      </c>
      <c r="BO29" s="108">
        <v>1378.1238849433637</v>
      </c>
      <c r="BP29" s="108">
        <v>6.4086296101553284</v>
      </c>
      <c r="BQ29" s="108">
        <v>2168.6802600765632</v>
      </c>
      <c r="BR29" s="108">
        <v>7.2617693385932807</v>
      </c>
      <c r="BS29" s="108">
        <v>2457.3827441799658</v>
      </c>
      <c r="BT29" s="108">
        <v>7.3558365785386961</v>
      </c>
      <c r="BU29" s="108">
        <v>2489.2150981774944</v>
      </c>
      <c r="BV29" s="108">
        <v>9.173394495412845</v>
      </c>
      <c r="BW29" s="108">
        <v>3104.2766972477066</v>
      </c>
      <c r="BX29" s="108">
        <v>0</v>
      </c>
      <c r="BY29" s="108">
        <v>0</v>
      </c>
      <c r="BZ29" s="108">
        <v>6.2596093196431069</v>
      </c>
      <c r="CA29" s="108">
        <v>2118.2517937672274</v>
      </c>
      <c r="CB29" s="108">
        <v>2.5541946759881689</v>
      </c>
      <c r="CC29" s="108">
        <v>864.33947835439631</v>
      </c>
      <c r="CD29" s="108">
        <v>0</v>
      </c>
      <c r="CE29" s="108">
        <v>0</v>
      </c>
      <c r="CF29" s="108">
        <v>14.087888062964582</v>
      </c>
      <c r="CG29" s="108">
        <v>4767.3413205072147</v>
      </c>
      <c r="CH29" s="108">
        <v>0</v>
      </c>
      <c r="CI29" s="108">
        <v>0</v>
      </c>
      <c r="CJ29" s="108">
        <v>0</v>
      </c>
      <c r="CK29" s="108">
        <v>0</v>
      </c>
      <c r="CL29" s="108">
        <v>21.192510032589755</v>
      </c>
      <c r="CM29" s="108">
        <v>7171.5453950283727</v>
      </c>
      <c r="CN29" s="108">
        <v>6.9053611948950104</v>
      </c>
      <c r="CO29" s="108">
        <v>2336.7742283524713</v>
      </c>
      <c r="CP29" s="108">
        <v>9.3817271589486868</v>
      </c>
      <c r="CQ29" s="108">
        <v>3174.7764705882355</v>
      </c>
      <c r="CR29" s="108">
        <v>0</v>
      </c>
      <c r="CS29" s="108">
        <v>0</v>
      </c>
      <c r="CT29" s="108">
        <v>0</v>
      </c>
      <c r="CU29" s="108">
        <v>0</v>
      </c>
    </row>
    <row r="30" spans="2:99" x14ac:dyDescent="0.2">
      <c r="C30" s="107" t="s">
        <v>195</v>
      </c>
      <c r="D30" s="108">
        <v>0</v>
      </c>
      <c r="E30" s="108">
        <v>0</v>
      </c>
      <c r="F30" s="108">
        <v>0</v>
      </c>
      <c r="G30" s="108">
        <v>0</v>
      </c>
      <c r="H30" s="108">
        <v>0</v>
      </c>
      <c r="I30" s="108">
        <v>0</v>
      </c>
      <c r="J30" s="108">
        <v>0</v>
      </c>
      <c r="K30" s="108">
        <v>0</v>
      </c>
      <c r="L30" s="108">
        <v>0</v>
      </c>
      <c r="M30" s="108">
        <v>0</v>
      </c>
      <c r="N30" s="108">
        <v>9.8811831976377693</v>
      </c>
      <c r="O30" s="108">
        <v>1375.4607011111773</v>
      </c>
      <c r="P30" s="108">
        <v>3.6209649257508416</v>
      </c>
      <c r="Q30" s="108">
        <v>504.03831766451714</v>
      </c>
      <c r="R30" s="108">
        <v>3.8598781822114052</v>
      </c>
      <c r="S30" s="108">
        <v>537.29504296382754</v>
      </c>
      <c r="T30" s="108">
        <v>6.0891346153846149</v>
      </c>
      <c r="U30" s="108">
        <v>847.6075384615383</v>
      </c>
      <c r="V30" s="108">
        <v>0</v>
      </c>
      <c r="W30" s="108">
        <v>0</v>
      </c>
      <c r="X30" s="108">
        <v>11.959655890468429</v>
      </c>
      <c r="Y30" s="108">
        <v>1664.7840999532052</v>
      </c>
      <c r="Z30" s="108">
        <v>8.5686913405310161</v>
      </c>
      <c r="AA30" s="108">
        <v>1192.7618346019174</v>
      </c>
      <c r="AB30" s="108">
        <v>7.6557834290401976</v>
      </c>
      <c r="AC30" s="108">
        <v>1065.6850533223953</v>
      </c>
      <c r="AD30" s="108">
        <v>2.9826697870197096E-16</v>
      </c>
      <c r="AE30" s="108">
        <v>4.1518763435314354E-14</v>
      </c>
      <c r="AF30" s="108">
        <v>3.8701685427007848</v>
      </c>
      <c r="AG30" s="108">
        <v>538.7274611439492</v>
      </c>
      <c r="AH30" s="108">
        <v>3.7928705914265142</v>
      </c>
      <c r="AI30" s="108">
        <v>527.96758632657077</v>
      </c>
      <c r="AJ30" s="108">
        <v>4.6874167283493708</v>
      </c>
      <c r="AK30" s="108">
        <v>652.48840858623237</v>
      </c>
      <c r="AL30" s="108">
        <v>0</v>
      </c>
      <c r="AM30" s="108">
        <v>0</v>
      </c>
      <c r="AN30" s="108">
        <v>14.458794238159804</v>
      </c>
      <c r="AO30" s="108">
        <v>2012.6641579518446</v>
      </c>
      <c r="AP30" s="108">
        <v>5.9776630434782625</v>
      </c>
      <c r="AQ30" s="108">
        <v>832.09069565217408</v>
      </c>
      <c r="AR30" s="108">
        <v>0</v>
      </c>
      <c r="AS30" s="108">
        <v>0</v>
      </c>
      <c r="AT30" s="108">
        <v>17.811623246492989</v>
      </c>
      <c r="AU30" s="108">
        <v>2479.3779559118238</v>
      </c>
      <c r="AV30" s="108">
        <v>0</v>
      </c>
      <c r="AW30" s="108">
        <v>0</v>
      </c>
      <c r="AX30" s="108">
        <v>16.174602786705101</v>
      </c>
      <c r="AY30" s="108">
        <v>2251.5047079093497</v>
      </c>
      <c r="AZ30" s="108">
        <v>3.0318175876691709</v>
      </c>
      <c r="BA30" s="108">
        <v>422.02900820354853</v>
      </c>
      <c r="BB30" s="108">
        <v>1.4875874547647769</v>
      </c>
      <c r="BC30" s="108">
        <v>207.07217370325694</v>
      </c>
      <c r="BD30" s="108">
        <v>0</v>
      </c>
      <c r="BE30" s="108">
        <v>0</v>
      </c>
      <c r="BF30" s="108">
        <v>2.8732758620689656</v>
      </c>
      <c r="BG30" s="108">
        <v>399.96</v>
      </c>
      <c r="BH30" s="108">
        <v>1.1103552471328502</v>
      </c>
      <c r="BI30" s="108">
        <v>154.56145040089274</v>
      </c>
      <c r="BJ30" s="108">
        <v>10.078142737348767</v>
      </c>
      <c r="BK30" s="108">
        <v>1402.8774690389482</v>
      </c>
      <c r="BL30" s="108">
        <v>3.7780095825301681</v>
      </c>
      <c r="BM30" s="108">
        <v>525.89893388819939</v>
      </c>
      <c r="BN30" s="108">
        <v>3.6840646083873616</v>
      </c>
      <c r="BO30" s="108">
        <v>512.82179348752072</v>
      </c>
      <c r="BP30" s="108">
        <v>6.7105227074571276</v>
      </c>
      <c r="BQ30" s="108">
        <v>934.10476087803204</v>
      </c>
      <c r="BR30" s="108">
        <v>8.4556221179554001</v>
      </c>
      <c r="BS30" s="108">
        <v>1177.0225988193915</v>
      </c>
      <c r="BT30" s="108">
        <v>6.86064713679548</v>
      </c>
      <c r="BU30" s="108">
        <v>955.00208144193073</v>
      </c>
      <c r="BV30" s="108">
        <v>8.8336391437308865</v>
      </c>
      <c r="BW30" s="108">
        <v>1229.6425688073393</v>
      </c>
      <c r="BX30" s="108">
        <v>0</v>
      </c>
      <c r="BY30" s="108">
        <v>0</v>
      </c>
      <c r="BZ30" s="108">
        <v>6.1139640647328308</v>
      </c>
      <c r="CA30" s="108">
        <v>851.06379781081</v>
      </c>
      <c r="CB30" s="108">
        <v>2.8230572734606079</v>
      </c>
      <c r="CC30" s="108">
        <v>392.96957246571657</v>
      </c>
      <c r="CD30" s="108">
        <v>0</v>
      </c>
      <c r="CE30" s="108">
        <v>0</v>
      </c>
      <c r="CF30" s="108">
        <v>17.294097070397903</v>
      </c>
      <c r="CG30" s="108">
        <v>2407.3383121993879</v>
      </c>
      <c r="CH30" s="108">
        <v>0</v>
      </c>
      <c r="CI30" s="108">
        <v>0</v>
      </c>
      <c r="CJ30" s="108">
        <v>0</v>
      </c>
      <c r="CK30" s="108">
        <v>0</v>
      </c>
      <c r="CL30" s="108">
        <v>24.577570473011082</v>
      </c>
      <c r="CM30" s="108">
        <v>3421.1978098431423</v>
      </c>
      <c r="CN30" s="108">
        <v>7.6884433922542383</v>
      </c>
      <c r="CO30" s="108">
        <v>1070.2313202017899</v>
      </c>
      <c r="CP30" s="108">
        <v>10.132265331664581</v>
      </c>
      <c r="CQ30" s="108">
        <v>1410.4113341677096</v>
      </c>
      <c r="CR30" s="108">
        <v>0</v>
      </c>
      <c r="CS30" s="108">
        <v>0</v>
      </c>
      <c r="CT30" s="108">
        <v>0</v>
      </c>
      <c r="CU30" s="108">
        <v>0</v>
      </c>
    </row>
    <row r="31" spans="2:99" x14ac:dyDescent="0.2">
      <c r="C31" s="107" t="s">
        <v>196</v>
      </c>
      <c r="D31" s="108">
        <v>0</v>
      </c>
      <c r="E31" s="108">
        <v>0</v>
      </c>
      <c r="F31" s="108">
        <v>0</v>
      </c>
      <c r="G31" s="108">
        <v>0</v>
      </c>
      <c r="H31" s="108">
        <v>0</v>
      </c>
      <c r="I31" s="108">
        <v>0</v>
      </c>
      <c r="J31" s="108">
        <v>0</v>
      </c>
      <c r="K31" s="108">
        <v>0</v>
      </c>
      <c r="L31" s="108">
        <v>0</v>
      </c>
      <c r="M31" s="108">
        <v>0</v>
      </c>
      <c r="N31" s="108">
        <v>9.7346269508566188</v>
      </c>
      <c r="O31" s="108">
        <v>3317.560864851936</v>
      </c>
      <c r="P31" s="108">
        <v>3.4667993877961591</v>
      </c>
      <c r="Q31" s="108">
        <v>1181.485231360931</v>
      </c>
      <c r="R31" s="108">
        <v>3.7692373882432157</v>
      </c>
      <c r="S31" s="108">
        <v>1284.5561019132879</v>
      </c>
      <c r="T31" s="108">
        <v>5.3413461538461542</v>
      </c>
      <c r="U31" s="108">
        <v>1820.3307692307694</v>
      </c>
      <c r="V31" s="108">
        <v>0</v>
      </c>
      <c r="W31" s="108">
        <v>0</v>
      </c>
      <c r="X31" s="108">
        <v>12.24483965534996</v>
      </c>
      <c r="Y31" s="108">
        <v>4173.0413545432666</v>
      </c>
      <c r="Z31" s="108">
        <v>8.3711931118616683</v>
      </c>
      <c r="AA31" s="108">
        <v>2852.9026125224568</v>
      </c>
      <c r="AB31" s="108">
        <v>7.3823625922887617</v>
      </c>
      <c r="AC31" s="108">
        <v>2515.90917145201</v>
      </c>
      <c r="AD31" s="108">
        <v>3.3212537597985368E-16</v>
      </c>
      <c r="AE31" s="108">
        <v>1.1318832813393414E-13</v>
      </c>
      <c r="AF31" s="108">
        <v>3.9745085724186797</v>
      </c>
      <c r="AG31" s="108">
        <v>1354.5125214802861</v>
      </c>
      <c r="AH31" s="108">
        <v>3.7679995105267943</v>
      </c>
      <c r="AI31" s="108">
        <v>1284.1342331875314</v>
      </c>
      <c r="AJ31" s="108">
        <v>4.5640636565507036</v>
      </c>
      <c r="AK31" s="108">
        <v>1555.4328941524798</v>
      </c>
      <c r="AL31" s="108">
        <v>0</v>
      </c>
      <c r="AM31" s="108">
        <v>0</v>
      </c>
      <c r="AN31" s="108">
        <v>15.704727859841336</v>
      </c>
      <c r="AO31" s="108">
        <v>5352.1712546339277</v>
      </c>
      <c r="AP31" s="108">
        <v>6.1588043478260888</v>
      </c>
      <c r="AQ31" s="108">
        <v>2098.9205217391313</v>
      </c>
      <c r="AR31" s="108">
        <v>0</v>
      </c>
      <c r="AS31" s="108">
        <v>0</v>
      </c>
      <c r="AT31" s="108">
        <v>16.921042084168338</v>
      </c>
      <c r="AU31" s="108">
        <v>5766.6911422845697</v>
      </c>
      <c r="AV31" s="108">
        <v>0</v>
      </c>
      <c r="AW31" s="108">
        <v>0</v>
      </c>
      <c r="AX31" s="108">
        <v>16.174602786705101</v>
      </c>
      <c r="AY31" s="108">
        <v>5512.3046297090987</v>
      </c>
      <c r="AZ31" s="108">
        <v>2.8874453215896869</v>
      </c>
      <c r="BA31" s="108">
        <v>984.04136559776532</v>
      </c>
      <c r="BB31" s="108">
        <v>1.407177322074789</v>
      </c>
      <c r="BC31" s="108">
        <v>479.56603136308809</v>
      </c>
      <c r="BD31" s="108">
        <v>0</v>
      </c>
      <c r="BE31" s="108">
        <v>0</v>
      </c>
      <c r="BF31" s="108">
        <v>2.5952169076751948</v>
      </c>
      <c r="BG31" s="108">
        <v>884.4499221357064</v>
      </c>
      <c r="BH31" s="108">
        <v>1.2377730623776033</v>
      </c>
      <c r="BI31" s="108">
        <v>421.8330596582872</v>
      </c>
      <c r="BJ31" s="108">
        <v>9.8464000779579983</v>
      </c>
      <c r="BK31" s="108">
        <v>3355.653146568086</v>
      </c>
      <c r="BL31" s="108">
        <v>4.3171127638648965</v>
      </c>
      <c r="BM31" s="108">
        <v>1471.2720299251569</v>
      </c>
      <c r="BN31" s="108">
        <v>3.9430016089095847</v>
      </c>
      <c r="BO31" s="108">
        <v>1343.7749483163866</v>
      </c>
      <c r="BP31" s="108">
        <v>5.7964692778195994</v>
      </c>
      <c r="BQ31" s="108">
        <v>1975.4367298809195</v>
      </c>
      <c r="BR31" s="108">
        <v>8.0027891661935335</v>
      </c>
      <c r="BS31" s="108">
        <v>2727.3505478387565</v>
      </c>
      <c r="BT31" s="108">
        <v>6.86064713679548</v>
      </c>
      <c r="BU31" s="108">
        <v>2338.1085442198996</v>
      </c>
      <c r="BV31" s="108">
        <v>8.6637614678899091</v>
      </c>
      <c r="BW31" s="108">
        <v>2952.6099082568812</v>
      </c>
      <c r="BX31" s="108">
        <v>0</v>
      </c>
      <c r="BY31" s="108">
        <v>0</v>
      </c>
      <c r="BZ31" s="108">
        <v>6.5600628609899001</v>
      </c>
      <c r="CA31" s="108">
        <v>2235.6694230253579</v>
      </c>
      <c r="CB31" s="108">
        <v>2.4645738101640227</v>
      </c>
      <c r="CC31" s="108">
        <v>839.92675450389891</v>
      </c>
      <c r="CD31" s="108">
        <v>0</v>
      </c>
      <c r="CE31" s="108">
        <v>0</v>
      </c>
      <c r="CF31" s="108">
        <v>14.962308701355489</v>
      </c>
      <c r="CG31" s="108">
        <v>5099.1548054219511</v>
      </c>
      <c r="CH31" s="108">
        <v>0</v>
      </c>
      <c r="CI31" s="108">
        <v>0</v>
      </c>
      <c r="CJ31" s="108">
        <v>0</v>
      </c>
      <c r="CK31" s="108">
        <v>0</v>
      </c>
      <c r="CL31" s="108">
        <v>21.301225792479887</v>
      </c>
      <c r="CM31" s="108">
        <v>7259.4577500771456</v>
      </c>
      <c r="CN31" s="108">
        <v>8.0443898455993423</v>
      </c>
      <c r="CO31" s="108">
        <v>2741.5280593802559</v>
      </c>
      <c r="CP31" s="108">
        <v>9.7569962453066346</v>
      </c>
      <c r="CQ31" s="108">
        <v>3325.1843204005013</v>
      </c>
      <c r="CR31" s="108">
        <v>0</v>
      </c>
      <c r="CS31" s="108">
        <v>0</v>
      </c>
      <c r="CT31" s="108">
        <v>0</v>
      </c>
      <c r="CU31" s="108">
        <v>0</v>
      </c>
    </row>
    <row r="32" spans="2:99" x14ac:dyDescent="0.2">
      <c r="C32" s="107" t="s">
        <v>197</v>
      </c>
      <c r="D32" s="108">
        <v>0</v>
      </c>
      <c r="E32" s="108">
        <v>0</v>
      </c>
      <c r="F32" s="108">
        <v>0</v>
      </c>
      <c r="G32" s="108">
        <v>0</v>
      </c>
      <c r="H32" s="108">
        <v>0</v>
      </c>
      <c r="I32" s="108">
        <v>0</v>
      </c>
      <c r="J32" s="108">
        <v>0</v>
      </c>
      <c r="K32" s="108">
        <v>0</v>
      </c>
      <c r="L32" s="108">
        <v>0</v>
      </c>
      <c r="M32" s="108">
        <v>0</v>
      </c>
      <c r="N32" s="108">
        <v>10.303334650131882</v>
      </c>
      <c r="O32" s="108">
        <v>8654.8011061107809</v>
      </c>
      <c r="P32" s="108">
        <v>3.4053004995984342</v>
      </c>
      <c r="Q32" s="108">
        <v>2860.4524196626849</v>
      </c>
      <c r="R32" s="108">
        <v>3.7580827966487482</v>
      </c>
      <c r="S32" s="108">
        <v>3156.7895491849486</v>
      </c>
      <c r="T32" s="108">
        <v>5.1276923076923078</v>
      </c>
      <c r="U32" s="108">
        <v>4307.2615384615383</v>
      </c>
      <c r="V32" s="108">
        <v>0</v>
      </c>
      <c r="W32" s="108">
        <v>0</v>
      </c>
      <c r="X32" s="108">
        <v>12.668290343433895</v>
      </c>
      <c r="Y32" s="108">
        <v>10641.363888484471</v>
      </c>
      <c r="Z32" s="108">
        <v>7.8444004622546331</v>
      </c>
      <c r="AA32" s="108">
        <v>6589.2963882938921</v>
      </c>
      <c r="AB32" s="108">
        <v>6.5621000820344548</v>
      </c>
      <c r="AC32" s="108">
        <v>5512.1640689089418</v>
      </c>
      <c r="AD32" s="108">
        <v>2.8295888430813193E-16</v>
      </c>
      <c r="AE32" s="108">
        <v>2.3768546281883085E-13</v>
      </c>
      <c r="AF32" s="108">
        <v>3.76137407415484</v>
      </c>
      <c r="AG32" s="108">
        <v>3159.5542222900658</v>
      </c>
      <c r="AH32" s="108">
        <v>3.6545034528804319</v>
      </c>
      <c r="AI32" s="108">
        <v>3069.7829004195628</v>
      </c>
      <c r="AJ32" s="108">
        <v>3.8239452257586972</v>
      </c>
      <c r="AK32" s="108">
        <v>3212.1139896373056</v>
      </c>
      <c r="AL32" s="108">
        <v>0</v>
      </c>
      <c r="AM32" s="108">
        <v>0</v>
      </c>
      <c r="AN32" s="108">
        <v>14.172025235971526</v>
      </c>
      <c r="AO32" s="108">
        <v>11904.501198216081</v>
      </c>
      <c r="AP32" s="108">
        <v>6.7022282608695667</v>
      </c>
      <c r="AQ32" s="108">
        <v>5629.8717391304363</v>
      </c>
      <c r="AR32" s="108">
        <v>0</v>
      </c>
      <c r="AS32" s="108">
        <v>0</v>
      </c>
      <c r="AT32" s="108">
        <v>16.921042084168338</v>
      </c>
      <c r="AU32" s="108">
        <v>14213.675350701404</v>
      </c>
      <c r="AV32" s="108">
        <v>0</v>
      </c>
      <c r="AW32" s="108">
        <v>0</v>
      </c>
      <c r="AX32" s="108">
        <v>15.710896129282801</v>
      </c>
      <c r="AY32" s="108">
        <v>13197.152748597553</v>
      </c>
      <c r="AZ32" s="108">
        <v>2.8874453215896869</v>
      </c>
      <c r="BA32" s="108">
        <v>2425.4540701353371</v>
      </c>
      <c r="BB32" s="108">
        <v>1.5277925211097709</v>
      </c>
      <c r="BC32" s="108">
        <v>1283.3457177322075</v>
      </c>
      <c r="BD32" s="108">
        <v>0</v>
      </c>
      <c r="BE32" s="108">
        <v>0</v>
      </c>
      <c r="BF32" s="108">
        <v>2.5025305895439378</v>
      </c>
      <c r="BG32" s="108">
        <v>2102.1256952169078</v>
      </c>
      <c r="BH32" s="108">
        <v>1.0557476120279559</v>
      </c>
      <c r="BI32" s="108">
        <v>886.82799410348298</v>
      </c>
      <c r="BJ32" s="108">
        <v>10.176237707126296</v>
      </c>
      <c r="BK32" s="108">
        <v>8548.039673986088</v>
      </c>
      <c r="BL32" s="108">
        <v>4.1665798751343246</v>
      </c>
      <c r="BM32" s="108">
        <v>3499.9270951128328</v>
      </c>
      <c r="BN32" s="108">
        <v>3.6801348349822791</v>
      </c>
      <c r="BO32" s="108">
        <v>3091.3132613851144</v>
      </c>
      <c r="BP32" s="108">
        <v>5.7922822089535337</v>
      </c>
      <c r="BQ32" s="108">
        <v>4865.5170555209679</v>
      </c>
      <c r="BR32" s="108">
        <v>6.8048258592305579</v>
      </c>
      <c r="BS32" s="108">
        <v>5716.0537217536685</v>
      </c>
      <c r="BT32" s="108">
        <v>7.039430343317421</v>
      </c>
      <c r="BU32" s="108">
        <v>5913.1214883866332</v>
      </c>
      <c r="BV32" s="108">
        <v>7.9842507645259939</v>
      </c>
      <c r="BW32" s="108">
        <v>6706.7706422018346</v>
      </c>
      <c r="BX32" s="108">
        <v>0</v>
      </c>
      <c r="BY32" s="108">
        <v>0</v>
      </c>
      <c r="BZ32" s="108">
        <v>5.953047090612154</v>
      </c>
      <c r="CA32" s="108">
        <v>5000.559556114209</v>
      </c>
      <c r="CB32" s="108">
        <v>2.5990051089002422</v>
      </c>
      <c r="CC32" s="108">
        <v>2183.1642914762033</v>
      </c>
      <c r="CD32" s="108">
        <v>0</v>
      </c>
      <c r="CE32" s="108">
        <v>0</v>
      </c>
      <c r="CF32" s="108">
        <v>12.436204634892873</v>
      </c>
      <c r="CG32" s="108">
        <v>10446.411893310013</v>
      </c>
      <c r="CH32" s="108">
        <v>0</v>
      </c>
      <c r="CI32" s="108">
        <v>0</v>
      </c>
      <c r="CJ32" s="108">
        <v>0</v>
      </c>
      <c r="CK32" s="108">
        <v>0</v>
      </c>
      <c r="CL32" s="108">
        <v>19.248350140378435</v>
      </c>
      <c r="CM32" s="108">
        <v>16168.614117917885</v>
      </c>
      <c r="CN32" s="108">
        <v>7.1189290669020728</v>
      </c>
      <c r="CO32" s="108">
        <v>5979.9004161977409</v>
      </c>
      <c r="CP32" s="108">
        <v>10.132265331664581</v>
      </c>
      <c r="CQ32" s="108">
        <v>8511.1028785982471</v>
      </c>
      <c r="CR32" s="108">
        <v>0</v>
      </c>
      <c r="CS32" s="108">
        <v>0</v>
      </c>
      <c r="CT32" s="108">
        <v>0</v>
      </c>
      <c r="CU32" s="108">
        <v>0</v>
      </c>
    </row>
    <row r="33" spans="2:99" x14ac:dyDescent="0.2">
      <c r="C33" s="107" t="s">
        <v>198</v>
      </c>
      <c r="D33" s="108">
        <v>0</v>
      </c>
      <c r="E33" s="108">
        <v>0</v>
      </c>
      <c r="F33" s="108">
        <v>0</v>
      </c>
      <c r="G33" s="108">
        <v>0</v>
      </c>
      <c r="H33" s="108">
        <v>0</v>
      </c>
      <c r="I33" s="108">
        <v>0</v>
      </c>
      <c r="J33" s="108">
        <v>0</v>
      </c>
      <c r="K33" s="108">
        <v>0</v>
      </c>
      <c r="L33" s="108">
        <v>0</v>
      </c>
      <c r="M33" s="108">
        <v>0</v>
      </c>
      <c r="N33" s="108">
        <v>10.338369225830551</v>
      </c>
      <c r="O33" s="108">
        <v>4900.3870130436808</v>
      </c>
      <c r="P33" s="108">
        <v>3.1245688174084787</v>
      </c>
      <c r="Q33" s="108">
        <v>1481.0456194516189</v>
      </c>
      <c r="R33" s="108">
        <v>3.8219941796236223</v>
      </c>
      <c r="S33" s="108">
        <v>1811.6252411415969</v>
      </c>
      <c r="T33" s="108">
        <v>5.3413461538461542</v>
      </c>
      <c r="U33" s="108">
        <v>2531.7980769230771</v>
      </c>
      <c r="V33" s="108">
        <v>0</v>
      </c>
      <c r="W33" s="108">
        <v>0</v>
      </c>
      <c r="X33" s="108">
        <v>12.966830184831711</v>
      </c>
      <c r="Y33" s="108">
        <v>6146.2775076102307</v>
      </c>
      <c r="Z33" s="108">
        <v>8.1983331468426979</v>
      </c>
      <c r="AA33" s="108">
        <v>3886.0099116034389</v>
      </c>
      <c r="AB33" s="108">
        <v>7.1089417555373258</v>
      </c>
      <c r="AC33" s="108">
        <v>3369.6383921246925</v>
      </c>
      <c r="AD33" s="108">
        <v>2.7775585861494283E-16</v>
      </c>
      <c r="AE33" s="108">
        <v>1.3165627698348289E-13</v>
      </c>
      <c r="AF33" s="108">
        <v>4.2608020286040604</v>
      </c>
      <c r="AG33" s="108">
        <v>2019.6201615583248</v>
      </c>
      <c r="AH33" s="108">
        <v>3.8864697843531015</v>
      </c>
      <c r="AI33" s="108">
        <v>1842.1866777833702</v>
      </c>
      <c r="AJ33" s="108">
        <v>4.6874167283493708</v>
      </c>
      <c r="AK33" s="108">
        <v>2221.8355292376018</v>
      </c>
      <c r="AL33" s="108">
        <v>0</v>
      </c>
      <c r="AM33" s="108">
        <v>0</v>
      </c>
      <c r="AN33" s="108">
        <v>13.778473626881382</v>
      </c>
      <c r="AO33" s="108">
        <v>6530.9964991417755</v>
      </c>
      <c r="AP33" s="108">
        <v>6.7022282608695667</v>
      </c>
      <c r="AQ33" s="108">
        <v>3176.8561956521744</v>
      </c>
      <c r="AR33" s="108">
        <v>0</v>
      </c>
      <c r="AS33" s="108">
        <v>0</v>
      </c>
      <c r="AT33" s="108">
        <v>16.475751503006013</v>
      </c>
      <c r="AU33" s="108">
        <v>7809.5062124248498</v>
      </c>
      <c r="AV33" s="108">
        <v>0</v>
      </c>
      <c r="AW33" s="108">
        <v>0</v>
      </c>
      <c r="AX33" s="108">
        <v>16.10911855175317</v>
      </c>
      <c r="AY33" s="108">
        <v>7635.7221935310026</v>
      </c>
      <c r="AZ33" s="108">
        <v>2.5265146563909759</v>
      </c>
      <c r="BA33" s="108">
        <v>1197.5679471293226</v>
      </c>
      <c r="BB33" s="108">
        <v>1.5277925211097709</v>
      </c>
      <c r="BC33" s="108">
        <v>724.17365500603137</v>
      </c>
      <c r="BD33" s="108">
        <v>0</v>
      </c>
      <c r="BE33" s="108">
        <v>0</v>
      </c>
      <c r="BF33" s="108">
        <v>2.5952169076751948</v>
      </c>
      <c r="BG33" s="108">
        <v>1230.1328142380423</v>
      </c>
      <c r="BH33" s="108">
        <v>1.0375450669929911</v>
      </c>
      <c r="BI33" s="108">
        <v>491.79636175467778</v>
      </c>
      <c r="BJ33" s="108">
        <v>10.694364671441718</v>
      </c>
      <c r="BK33" s="108">
        <v>5069.1288542633747</v>
      </c>
      <c r="BL33" s="108">
        <v>3.6380833016957177</v>
      </c>
      <c r="BM33" s="108">
        <v>1724.4514850037701</v>
      </c>
      <c r="BN33" s="108">
        <v>3.6840646083873616</v>
      </c>
      <c r="BO33" s="108">
        <v>1746.2466243756094</v>
      </c>
      <c r="BP33" s="108">
        <v>5.9536964297695976</v>
      </c>
      <c r="BQ33" s="108">
        <v>2822.0521077107892</v>
      </c>
      <c r="BR33" s="108">
        <v>7.1012337902706593</v>
      </c>
      <c r="BS33" s="108">
        <v>3365.9848165882927</v>
      </c>
      <c r="BT33" s="108">
        <v>6.6715738858178879</v>
      </c>
      <c r="BU33" s="108">
        <v>3162.3260218776791</v>
      </c>
      <c r="BV33" s="108">
        <v>9.0035168195718658</v>
      </c>
      <c r="BW33" s="108">
        <v>4267.6669724770645</v>
      </c>
      <c r="BX33" s="108">
        <v>0</v>
      </c>
      <c r="BY33" s="108">
        <v>0</v>
      </c>
      <c r="BZ33" s="108">
        <v>6.2596093196431069</v>
      </c>
      <c r="CA33" s="108">
        <v>2967.0548175108324</v>
      </c>
      <c r="CB33" s="108">
        <v>2.2853320785157303</v>
      </c>
      <c r="CC33" s="108">
        <v>1083.2474052164562</v>
      </c>
      <c r="CD33" s="108">
        <v>0</v>
      </c>
      <c r="CE33" s="108">
        <v>0</v>
      </c>
      <c r="CF33" s="108">
        <v>15.933887188456493</v>
      </c>
      <c r="CG33" s="108">
        <v>7552.662527328378</v>
      </c>
      <c r="CH33" s="108">
        <v>0</v>
      </c>
      <c r="CI33" s="108">
        <v>0</v>
      </c>
      <c r="CJ33" s="108">
        <v>0</v>
      </c>
      <c r="CK33" s="108">
        <v>0</v>
      </c>
      <c r="CL33" s="108">
        <v>22.978799905609211</v>
      </c>
      <c r="CM33" s="108">
        <v>10891.951155258766</v>
      </c>
      <c r="CN33" s="108">
        <v>7.2613076482401135</v>
      </c>
      <c r="CO33" s="108">
        <v>3441.8598252658139</v>
      </c>
      <c r="CP33" s="108">
        <v>9.8508135168961193</v>
      </c>
      <c r="CQ33" s="108">
        <v>4669.285607008761</v>
      </c>
      <c r="CR33" s="108">
        <v>0</v>
      </c>
      <c r="CS33" s="108">
        <v>0</v>
      </c>
      <c r="CT33" s="108">
        <v>0</v>
      </c>
      <c r="CU33" s="108">
        <v>0</v>
      </c>
    </row>
    <row r="34" spans="2:99" x14ac:dyDescent="0.2">
      <c r="C34" s="107" t="s">
        <v>199</v>
      </c>
      <c r="D34" s="108">
        <v>0</v>
      </c>
      <c r="E34" s="108">
        <v>0</v>
      </c>
      <c r="F34" s="108">
        <v>0</v>
      </c>
      <c r="G34" s="108">
        <v>0</v>
      </c>
      <c r="H34" s="108">
        <v>0</v>
      </c>
      <c r="I34" s="108">
        <v>0</v>
      </c>
      <c r="J34" s="108">
        <v>0</v>
      </c>
      <c r="K34" s="108">
        <v>0</v>
      </c>
      <c r="L34" s="108">
        <v>0</v>
      </c>
      <c r="M34" s="108">
        <v>0</v>
      </c>
      <c r="N34" s="108">
        <v>10.953789692704039</v>
      </c>
      <c r="O34" s="108">
        <v>6007.0582674788948</v>
      </c>
      <c r="P34" s="108">
        <v>3.5086722528748595</v>
      </c>
      <c r="Q34" s="108">
        <v>1924.1558634765729</v>
      </c>
      <c r="R34" s="108">
        <v>3.952378074778673</v>
      </c>
      <c r="S34" s="108">
        <v>2167.484136208624</v>
      </c>
      <c r="T34" s="108">
        <v>5.6618269230769229</v>
      </c>
      <c r="U34" s="108">
        <v>3104.9458846153843</v>
      </c>
      <c r="V34" s="108">
        <v>0</v>
      </c>
      <c r="W34" s="108">
        <v>0</v>
      </c>
      <c r="X34" s="108">
        <v>11.375932284189084</v>
      </c>
      <c r="Y34" s="108">
        <v>6238.5612646492928</v>
      </c>
      <c r="Z34" s="108">
        <v>8.3054910754606563</v>
      </c>
      <c r="AA34" s="108">
        <v>4554.7313057826241</v>
      </c>
      <c r="AB34" s="108">
        <v>7.1089417555373258</v>
      </c>
      <c r="AC34" s="108">
        <v>3898.5436587366694</v>
      </c>
      <c r="AD34" s="108">
        <v>3.047772158638162E-16</v>
      </c>
      <c r="AE34" s="108">
        <v>1.6713982517971681E-13</v>
      </c>
      <c r="AF34" s="108">
        <v>3.7524651964987386</v>
      </c>
      <c r="AG34" s="108">
        <v>2057.8519137599083</v>
      </c>
      <c r="AH34" s="108">
        <v>3.6793745337801509</v>
      </c>
      <c r="AI34" s="108">
        <v>2017.7689943250346</v>
      </c>
      <c r="AJ34" s="108">
        <v>4.5640636565507036</v>
      </c>
      <c r="AK34" s="108">
        <v>2502.9325092524059</v>
      </c>
      <c r="AL34" s="108">
        <v>0</v>
      </c>
      <c r="AM34" s="108">
        <v>0</v>
      </c>
      <c r="AN34" s="108">
        <v>13.778473626881382</v>
      </c>
      <c r="AO34" s="108">
        <v>7556.1149369817495</v>
      </c>
      <c r="AP34" s="108">
        <v>6.883369565217393</v>
      </c>
      <c r="AQ34" s="108">
        <v>3774.8398695652181</v>
      </c>
      <c r="AR34" s="108">
        <v>0</v>
      </c>
      <c r="AS34" s="108">
        <v>0</v>
      </c>
      <c r="AT34" s="108">
        <v>16.030460921843687</v>
      </c>
      <c r="AU34" s="108">
        <v>8791.1047695390771</v>
      </c>
      <c r="AV34" s="108">
        <v>0</v>
      </c>
      <c r="AW34" s="108">
        <v>0</v>
      </c>
      <c r="AX34" s="108">
        <v>16.518255013382198</v>
      </c>
      <c r="AY34" s="108">
        <v>9058.6110493387969</v>
      </c>
      <c r="AZ34" s="108">
        <v>2.6708869224704608</v>
      </c>
      <c r="BA34" s="108">
        <v>1464.7143882828007</v>
      </c>
      <c r="BB34" s="108">
        <v>1.447382388419783</v>
      </c>
      <c r="BC34" s="108">
        <v>793.74450180940892</v>
      </c>
      <c r="BD34" s="108">
        <v>0</v>
      </c>
      <c r="BE34" s="108">
        <v>0</v>
      </c>
      <c r="BF34" s="108">
        <v>2.5025305895439378</v>
      </c>
      <c r="BG34" s="108">
        <v>1372.3877753058955</v>
      </c>
      <c r="BH34" s="108">
        <v>1.0557476120279559</v>
      </c>
      <c r="BI34" s="108">
        <v>578.97199043613102</v>
      </c>
      <c r="BJ34" s="108">
        <v>9.7483051081804692</v>
      </c>
      <c r="BK34" s="108">
        <v>5345.9705213261695</v>
      </c>
      <c r="BL34" s="108">
        <v>3.9699487137528005</v>
      </c>
      <c r="BM34" s="108">
        <v>2177.1198746220357</v>
      </c>
      <c r="BN34" s="108">
        <v>3.9390718355045022</v>
      </c>
      <c r="BO34" s="108">
        <v>2160.1869945906687</v>
      </c>
      <c r="BP34" s="108">
        <v>6.0858011685232007</v>
      </c>
      <c r="BQ34" s="108">
        <v>3337.4533608181232</v>
      </c>
      <c r="BR34" s="108">
        <v>7.8586957282743395</v>
      </c>
      <c r="BS34" s="108">
        <v>4309.7087373856475</v>
      </c>
      <c r="BT34" s="108">
        <v>7.0239952766339435</v>
      </c>
      <c r="BU34" s="108">
        <v>3851.9590097060545</v>
      </c>
      <c r="BV34" s="108">
        <v>7.6444954128440372</v>
      </c>
      <c r="BW34" s="108">
        <v>4192.2412844036699</v>
      </c>
      <c r="BX34" s="108">
        <v>0</v>
      </c>
      <c r="BY34" s="108">
        <v>0</v>
      </c>
      <c r="BZ34" s="108">
        <v>6.4796043739295621</v>
      </c>
      <c r="CA34" s="108">
        <v>3553.4150386629717</v>
      </c>
      <c r="CB34" s="108">
        <v>2.6886259747243884</v>
      </c>
      <c r="CC34" s="108">
        <v>1474.4424845388546</v>
      </c>
      <c r="CD34" s="108">
        <v>0</v>
      </c>
      <c r="CE34" s="108">
        <v>0</v>
      </c>
      <c r="CF34" s="108">
        <v>15.30236117184084</v>
      </c>
      <c r="CG34" s="108">
        <v>8391.8148666375164</v>
      </c>
      <c r="CH34" s="108">
        <v>0</v>
      </c>
      <c r="CI34" s="108">
        <v>0</v>
      </c>
      <c r="CJ34" s="108">
        <v>0</v>
      </c>
      <c r="CK34" s="108">
        <v>0</v>
      </c>
      <c r="CL34" s="108">
        <v>20.712996923401452</v>
      </c>
      <c r="CM34" s="108">
        <v>11359.007512793356</v>
      </c>
      <c r="CN34" s="108">
        <v>7.2613076482401135</v>
      </c>
      <c r="CO34" s="108">
        <v>3982.1011142948782</v>
      </c>
      <c r="CP34" s="108">
        <v>9.1002753441802255</v>
      </c>
      <c r="CQ34" s="108">
        <v>4990.5909987484356</v>
      </c>
      <c r="CR34" s="108">
        <v>0</v>
      </c>
      <c r="CS34" s="108">
        <v>0</v>
      </c>
      <c r="CT34" s="108">
        <v>0</v>
      </c>
      <c r="CU34" s="108">
        <v>0</v>
      </c>
    </row>
    <row r="35" spans="2:99" x14ac:dyDescent="0.2">
      <c r="C35" s="107" t="s">
        <v>200</v>
      </c>
      <c r="D35" s="108">
        <v>0</v>
      </c>
      <c r="E35" s="108">
        <v>0</v>
      </c>
      <c r="F35" s="108">
        <v>0</v>
      </c>
      <c r="G35" s="108">
        <v>0</v>
      </c>
      <c r="H35" s="108">
        <v>0</v>
      </c>
      <c r="I35" s="108">
        <v>0</v>
      </c>
      <c r="J35" s="108">
        <v>0</v>
      </c>
      <c r="K35" s="108">
        <v>0</v>
      </c>
      <c r="L35" s="108">
        <v>0</v>
      </c>
      <c r="M35" s="108">
        <v>0</v>
      </c>
      <c r="N35" s="108">
        <v>10.508281856410813</v>
      </c>
      <c r="O35" s="108">
        <v>5283.5641174033553</v>
      </c>
      <c r="P35" s="108">
        <v>3.7350417825467352</v>
      </c>
      <c r="Q35" s="108">
        <v>1877.9790082644981</v>
      </c>
      <c r="R35" s="108">
        <v>4.0088530633572352</v>
      </c>
      <c r="S35" s="108">
        <v>2015.6513202560175</v>
      </c>
      <c r="T35" s="108">
        <v>5.9823076923076925</v>
      </c>
      <c r="U35" s="108">
        <v>3007.9043076923072</v>
      </c>
      <c r="V35" s="108">
        <v>0</v>
      </c>
      <c r="W35" s="108">
        <v>0</v>
      </c>
      <c r="X35" s="108">
        <v>12.503311267198921</v>
      </c>
      <c r="Y35" s="108">
        <v>6286.6649051476161</v>
      </c>
      <c r="Z35" s="108">
        <v>8.8569219887180708</v>
      </c>
      <c r="AA35" s="108">
        <v>4453.2603759274452</v>
      </c>
      <c r="AB35" s="108">
        <v>7.6557834290401976</v>
      </c>
      <c r="AC35" s="108">
        <v>3849.3279081214105</v>
      </c>
      <c r="AD35" s="108">
        <v>3.051040187309803E-16</v>
      </c>
      <c r="AE35" s="108">
        <v>1.5340630061793687E-13</v>
      </c>
      <c r="AF35" s="108">
        <v>4.0833030409646245</v>
      </c>
      <c r="AG35" s="108">
        <v>2053.0847689970128</v>
      </c>
      <c r="AH35" s="108">
        <v>3.8914440005330451</v>
      </c>
      <c r="AI35" s="108">
        <v>1956.6180434680145</v>
      </c>
      <c r="AJ35" s="108">
        <v>4.6874167283493708</v>
      </c>
      <c r="AK35" s="108">
        <v>2356.8331310140634</v>
      </c>
      <c r="AL35" s="108">
        <v>0</v>
      </c>
      <c r="AM35" s="108">
        <v>0</v>
      </c>
      <c r="AN35" s="108">
        <v>13.692442926224901</v>
      </c>
      <c r="AO35" s="108">
        <v>6884.5603033058787</v>
      </c>
      <c r="AP35" s="108">
        <v>6.7022282608695667</v>
      </c>
      <c r="AQ35" s="108">
        <v>3369.8803695652173</v>
      </c>
      <c r="AR35" s="108">
        <v>0</v>
      </c>
      <c r="AS35" s="108">
        <v>0</v>
      </c>
      <c r="AT35" s="108">
        <v>18.702204408817636</v>
      </c>
      <c r="AU35" s="108">
        <v>9403.4683767535062</v>
      </c>
      <c r="AV35" s="108">
        <v>0</v>
      </c>
      <c r="AW35" s="108">
        <v>0</v>
      </c>
      <c r="AX35" s="108">
        <v>15.410900059240326</v>
      </c>
      <c r="AY35" s="108">
        <v>7748.6005497860342</v>
      </c>
      <c r="AZ35" s="108">
        <v>2.6708869224704608</v>
      </c>
      <c r="BA35" s="108">
        <v>1342.9219446181473</v>
      </c>
      <c r="BB35" s="108">
        <v>1.407177322074789</v>
      </c>
      <c r="BC35" s="108">
        <v>707.52875753920375</v>
      </c>
      <c r="BD35" s="108">
        <v>0</v>
      </c>
      <c r="BE35" s="108">
        <v>0</v>
      </c>
      <c r="BF35" s="108">
        <v>2.5952169076751948</v>
      </c>
      <c r="BG35" s="108">
        <v>1304.8750611790877</v>
      </c>
      <c r="BH35" s="108">
        <v>1.0011399769230616</v>
      </c>
      <c r="BI35" s="108">
        <v>503.37318039691525</v>
      </c>
      <c r="BJ35" s="108">
        <v>9.7364542015685664</v>
      </c>
      <c r="BK35" s="108">
        <v>4895.4891725486741</v>
      </c>
      <c r="BL35" s="108">
        <v>4.2551045793697631</v>
      </c>
      <c r="BM35" s="108">
        <v>2139.4665825071165</v>
      </c>
      <c r="BN35" s="108">
        <v>3.8135331086484734</v>
      </c>
      <c r="BO35" s="108">
        <v>1917.444447028452</v>
      </c>
      <c r="BP35" s="108">
        <v>6.549108486641062</v>
      </c>
      <c r="BQ35" s="108">
        <v>3292.8917470831252</v>
      </c>
      <c r="BR35" s="108">
        <v>7.5540667420325258</v>
      </c>
      <c r="BS35" s="108">
        <v>3798.1847578939532</v>
      </c>
      <c r="BT35" s="108">
        <v>6.3551676505966128</v>
      </c>
      <c r="BU35" s="108">
        <v>3195.3782947199761</v>
      </c>
      <c r="BV35" s="108">
        <v>8.4938837920489298</v>
      </c>
      <c r="BW35" s="108">
        <v>4270.7247706422013</v>
      </c>
      <c r="BX35" s="108">
        <v>0</v>
      </c>
      <c r="BY35" s="108">
        <v>0</v>
      </c>
      <c r="BZ35" s="108">
        <v>6.4887674054558024</v>
      </c>
      <c r="CA35" s="108">
        <v>3262.5522514631766</v>
      </c>
      <c r="CB35" s="108">
        <v>2.5093842430760955</v>
      </c>
      <c r="CC35" s="108">
        <v>1261.7183974186605</v>
      </c>
      <c r="CD35" s="108">
        <v>0</v>
      </c>
      <c r="CE35" s="108">
        <v>0</v>
      </c>
      <c r="CF35" s="108">
        <v>15.642413642326193</v>
      </c>
      <c r="CG35" s="108">
        <v>7865.0055793616084</v>
      </c>
      <c r="CH35" s="108">
        <v>0</v>
      </c>
      <c r="CI35" s="108">
        <v>0</v>
      </c>
      <c r="CJ35" s="108">
        <v>0</v>
      </c>
      <c r="CK35" s="108">
        <v>0</v>
      </c>
      <c r="CL35" s="108">
        <v>22.630087001448349</v>
      </c>
      <c r="CM35" s="108">
        <v>11378.407744328228</v>
      </c>
      <c r="CN35" s="108">
        <v>7.6884433922542383</v>
      </c>
      <c r="CO35" s="108">
        <v>3865.7493376254301</v>
      </c>
      <c r="CP35" s="108">
        <v>9.0064580725907373</v>
      </c>
      <c r="CQ35" s="108">
        <v>4528.4471188986217</v>
      </c>
      <c r="CR35" s="108">
        <v>0</v>
      </c>
      <c r="CS35" s="108">
        <v>0</v>
      </c>
      <c r="CT35" s="108">
        <v>0</v>
      </c>
      <c r="CU35" s="108">
        <v>0</v>
      </c>
    </row>
    <row r="36" spans="2:99" x14ac:dyDescent="0.2">
      <c r="C36" s="107" t="s">
        <v>201</v>
      </c>
      <c r="D36" s="108">
        <v>0</v>
      </c>
      <c r="E36" s="108">
        <v>0</v>
      </c>
      <c r="F36" s="108">
        <v>0</v>
      </c>
      <c r="G36" s="108">
        <v>0</v>
      </c>
      <c r="H36" s="108">
        <v>0</v>
      </c>
      <c r="I36" s="108">
        <v>0</v>
      </c>
      <c r="J36" s="108">
        <v>0</v>
      </c>
      <c r="K36" s="108">
        <v>0</v>
      </c>
      <c r="L36" s="108">
        <v>0</v>
      </c>
      <c r="M36" s="108">
        <v>0</v>
      </c>
      <c r="N36" s="108">
        <v>9.7229487589570613</v>
      </c>
      <c r="O36" s="108">
        <v>7397.2194158145321</v>
      </c>
      <c r="P36" s="108">
        <v>3.0194128802121414</v>
      </c>
      <c r="Q36" s="108">
        <v>2297.169319265397</v>
      </c>
      <c r="R36" s="108">
        <v>3.8089804894300765</v>
      </c>
      <c r="S36" s="108">
        <v>2897.8723563584022</v>
      </c>
      <c r="T36" s="108">
        <v>5.2345192307692301</v>
      </c>
      <c r="U36" s="108">
        <v>3982.4222307692298</v>
      </c>
      <c r="V36" s="108">
        <v>0</v>
      </c>
      <c r="W36" s="108">
        <v>0</v>
      </c>
      <c r="X36" s="108">
        <v>11.60769174300548</v>
      </c>
      <c r="Y36" s="108">
        <v>8831.1318780785696</v>
      </c>
      <c r="Z36" s="108">
        <v>7.5315315504171991</v>
      </c>
      <c r="AA36" s="108">
        <v>5729.9892035574048</v>
      </c>
      <c r="AB36" s="108">
        <v>7.9292042657916326</v>
      </c>
      <c r="AC36" s="108">
        <v>6032.5386054142737</v>
      </c>
      <c r="AD36" s="108">
        <v>2.63428172822596E-16</v>
      </c>
      <c r="AE36" s="108">
        <v>2.0041615388343101E-13</v>
      </c>
      <c r="AF36" s="108">
        <v>4.1698253153703169</v>
      </c>
      <c r="AG36" s="108">
        <v>3172.4030999337369</v>
      </c>
      <c r="AH36" s="108">
        <v>3.5609042599538445</v>
      </c>
      <c r="AI36" s="108">
        <v>2709.1359609728847</v>
      </c>
      <c r="AJ36" s="108">
        <v>4.0706513693560327</v>
      </c>
      <c r="AK36" s="108">
        <v>3096.9515618060695</v>
      </c>
      <c r="AL36" s="108">
        <v>0</v>
      </c>
      <c r="AM36" s="108">
        <v>0</v>
      </c>
      <c r="AN36" s="108">
        <v>15.417958857653058</v>
      </c>
      <c r="AO36" s="108">
        <v>11729.983098902447</v>
      </c>
      <c r="AP36" s="108">
        <v>6.339945652173915</v>
      </c>
      <c r="AQ36" s="108">
        <v>4823.4306521739145</v>
      </c>
      <c r="AR36" s="108">
        <v>0</v>
      </c>
      <c r="AS36" s="108">
        <v>0</v>
      </c>
      <c r="AT36" s="108">
        <v>18.25691382765531</v>
      </c>
      <c r="AU36" s="108">
        <v>13889.860040080159</v>
      </c>
      <c r="AV36" s="108">
        <v>0</v>
      </c>
      <c r="AW36" s="108">
        <v>0</v>
      </c>
      <c r="AX36" s="108">
        <v>14.947193401818025</v>
      </c>
      <c r="AY36" s="108">
        <v>11371.824740103153</v>
      </c>
      <c r="AZ36" s="108">
        <v>2.5987007894307181</v>
      </c>
      <c r="BA36" s="108">
        <v>1977.0915605988903</v>
      </c>
      <c r="BB36" s="108">
        <v>1.447382388419783</v>
      </c>
      <c r="BC36" s="108">
        <v>1101.1685211097708</v>
      </c>
      <c r="BD36" s="108">
        <v>0</v>
      </c>
      <c r="BE36" s="108">
        <v>0</v>
      </c>
      <c r="BF36" s="108">
        <v>2.5025305895439378</v>
      </c>
      <c r="BG36" s="108">
        <v>1903.9252725250278</v>
      </c>
      <c r="BH36" s="108">
        <v>1.0011399769230616</v>
      </c>
      <c r="BI36" s="108">
        <v>761.6672944430652</v>
      </c>
      <c r="BJ36" s="108">
        <v>9.7522554103844357</v>
      </c>
      <c r="BK36" s="108">
        <v>7419.5159162204782</v>
      </c>
      <c r="BL36" s="108">
        <v>3.9646454098047395</v>
      </c>
      <c r="BM36" s="108">
        <v>3016.3022277794457</v>
      </c>
      <c r="BN36" s="108">
        <v>3.221100423960765</v>
      </c>
      <c r="BO36" s="108">
        <v>2450.6132025493498</v>
      </c>
      <c r="BP36" s="108">
        <v>5.6266809192714042</v>
      </c>
      <c r="BQ36" s="108">
        <v>4280.7788433816841</v>
      </c>
      <c r="BR36" s="108">
        <v>6.8130469144322729</v>
      </c>
      <c r="BS36" s="108">
        <v>5183.3660925000731</v>
      </c>
      <c r="BT36" s="108">
        <v>7.0445753655452457</v>
      </c>
      <c r="BU36" s="108">
        <v>5359.5129381068227</v>
      </c>
      <c r="BV36" s="108">
        <v>7.8143730886850147</v>
      </c>
      <c r="BW36" s="108">
        <v>5945.1750458715587</v>
      </c>
      <c r="BX36" s="108">
        <v>0</v>
      </c>
      <c r="BY36" s="108">
        <v>0</v>
      </c>
      <c r="BZ36" s="108">
        <v>5.739160724009861</v>
      </c>
      <c r="CA36" s="108">
        <v>4366.3534788267016</v>
      </c>
      <c r="CB36" s="108">
        <v>2.3301425114278036</v>
      </c>
      <c r="CC36" s="108">
        <v>1772.7724226942728</v>
      </c>
      <c r="CD36" s="108">
        <v>0</v>
      </c>
      <c r="CE36" s="108">
        <v>0</v>
      </c>
      <c r="CF36" s="108">
        <v>12.921993878443377</v>
      </c>
      <c r="CG36" s="108">
        <v>9831.0529427197216</v>
      </c>
      <c r="CH36" s="108">
        <v>0</v>
      </c>
      <c r="CI36" s="108">
        <v>0</v>
      </c>
      <c r="CJ36" s="108">
        <v>0</v>
      </c>
      <c r="CK36" s="108">
        <v>0</v>
      </c>
      <c r="CL36" s="108">
        <v>19.661391662538584</v>
      </c>
      <c r="CM36" s="108">
        <v>14958.386776859354</v>
      </c>
      <c r="CN36" s="108">
        <v>6.7629826135569688</v>
      </c>
      <c r="CO36" s="108">
        <v>5145.2771723941414</v>
      </c>
      <c r="CP36" s="108">
        <v>10.132265331664581</v>
      </c>
      <c r="CQ36" s="108">
        <v>7708.6274643304123</v>
      </c>
      <c r="CR36" s="108">
        <v>0</v>
      </c>
      <c r="CS36" s="108">
        <v>0</v>
      </c>
      <c r="CT36" s="108">
        <v>0</v>
      </c>
      <c r="CU36" s="108">
        <v>0</v>
      </c>
    </row>
    <row r="37" spans="2:99" x14ac:dyDescent="0.2">
      <c r="B37" s="107" t="s">
        <v>128</v>
      </c>
      <c r="C37" s="107" t="s">
        <v>202</v>
      </c>
      <c r="D37" s="108">
        <v>0</v>
      </c>
      <c r="E37" s="108">
        <v>0</v>
      </c>
      <c r="F37" s="108">
        <v>0</v>
      </c>
      <c r="G37" s="108">
        <v>0</v>
      </c>
      <c r="H37" s="108">
        <v>0</v>
      </c>
      <c r="I37" s="108">
        <v>0</v>
      </c>
      <c r="J37" s="108">
        <v>0</v>
      </c>
      <c r="K37" s="108">
        <v>0</v>
      </c>
      <c r="L37" s="108">
        <v>0</v>
      </c>
      <c r="M37" s="108">
        <v>0</v>
      </c>
      <c r="N37" s="108">
        <v>16.534026414250569</v>
      </c>
      <c r="O37" s="108">
        <v>14225.87632682119</v>
      </c>
      <c r="P37" s="108">
        <v>3.7635887252653162</v>
      </c>
      <c r="Q37" s="108">
        <v>3238.1917392182781</v>
      </c>
      <c r="R37" s="108">
        <v>4.6526341141299534</v>
      </c>
      <c r="S37" s="108">
        <v>4003.126391797412</v>
      </c>
      <c r="T37" s="108">
        <v>2.1365384615384615</v>
      </c>
      <c r="U37" s="108">
        <v>1838.2776923076922</v>
      </c>
      <c r="V37" s="108">
        <v>0</v>
      </c>
      <c r="W37" s="108">
        <v>0</v>
      </c>
      <c r="X37" s="108">
        <v>7.7133177283176053</v>
      </c>
      <c r="Y37" s="108">
        <v>6636.5385734444671</v>
      </c>
      <c r="Z37" s="108">
        <v>3.1114793703414487</v>
      </c>
      <c r="AA37" s="108">
        <v>2677.1168502417822</v>
      </c>
      <c r="AB37" s="108">
        <v>7.9292042657916326</v>
      </c>
      <c r="AC37" s="108">
        <v>6822.2873502871207</v>
      </c>
      <c r="AD37" s="108">
        <v>1.611993752546196E-16</v>
      </c>
      <c r="AE37" s="108">
        <v>1.3869594246907471E-13</v>
      </c>
      <c r="AF37" s="108">
        <v>2.6180881860860499</v>
      </c>
      <c r="AG37" s="108">
        <v>2252.6030753084374</v>
      </c>
      <c r="AH37" s="108">
        <v>2.8898763464355546</v>
      </c>
      <c r="AI37" s="108">
        <v>2486.4496084731509</v>
      </c>
      <c r="AJ37" s="108">
        <v>2.3437083641746854</v>
      </c>
      <c r="AK37" s="108">
        <v>2016.5266765358992</v>
      </c>
      <c r="AL37" s="108">
        <v>0</v>
      </c>
      <c r="AM37" s="108">
        <v>0</v>
      </c>
      <c r="AN37" s="108">
        <v>15.725479766086721</v>
      </c>
      <c r="AO37" s="108">
        <v>13530.202790741014</v>
      </c>
      <c r="AP37" s="108">
        <v>3.9851086956521744</v>
      </c>
      <c r="AQ37" s="108">
        <v>3428.7875217391306</v>
      </c>
      <c r="AR37" s="108">
        <v>0</v>
      </c>
      <c r="AS37" s="108">
        <v>0</v>
      </c>
      <c r="AT37" s="108">
        <v>5.3434869739478952</v>
      </c>
      <c r="AU37" s="108">
        <v>4597.5361923847686</v>
      </c>
      <c r="AV37" s="108">
        <v>0</v>
      </c>
      <c r="AW37" s="108">
        <v>0</v>
      </c>
      <c r="AX37" s="108">
        <v>9.3944675928322976</v>
      </c>
      <c r="AY37" s="108">
        <v>8082.9999168729082</v>
      </c>
      <c r="AZ37" s="108">
        <v>1.781542136817629</v>
      </c>
      <c r="BA37" s="108">
        <v>1532.838854517888</v>
      </c>
      <c r="BB37" s="108">
        <v>0.72369119420989148</v>
      </c>
      <c r="BC37" s="108">
        <v>622.66390349819062</v>
      </c>
      <c r="BD37" s="108">
        <v>0</v>
      </c>
      <c r="BE37" s="108">
        <v>0</v>
      </c>
      <c r="BF37" s="108">
        <v>1.8537263626251392</v>
      </c>
      <c r="BG37" s="108">
        <v>1594.9461624026696</v>
      </c>
      <c r="BH37" s="108">
        <v>2.7963943993999489</v>
      </c>
      <c r="BI37" s="108">
        <v>2406.017741243716</v>
      </c>
      <c r="BJ37" s="108">
        <v>15.339081009903996</v>
      </c>
      <c r="BK37" s="108">
        <v>13197.745300921399</v>
      </c>
      <c r="BL37" s="108">
        <v>7.1909048249191967</v>
      </c>
      <c r="BM37" s="108">
        <v>6187.0545113604767</v>
      </c>
      <c r="BN37" s="108">
        <v>9.0020975526056439</v>
      </c>
      <c r="BO37" s="108">
        <v>7745.404734261896</v>
      </c>
      <c r="BP37" s="108">
        <v>5.1903774793104374</v>
      </c>
      <c r="BQ37" s="108">
        <v>4465.8007831987006</v>
      </c>
      <c r="BR37" s="108">
        <v>8.3277458185504418</v>
      </c>
      <c r="BS37" s="108">
        <v>7165.1925022808</v>
      </c>
      <c r="BT37" s="108">
        <v>9.9604093429504204</v>
      </c>
      <c r="BU37" s="108">
        <v>8569.9361986745407</v>
      </c>
      <c r="BV37" s="108">
        <v>10.362538226299694</v>
      </c>
      <c r="BW37" s="108">
        <v>8915.9278899082565</v>
      </c>
      <c r="BX37" s="108">
        <v>0</v>
      </c>
      <c r="BY37" s="108">
        <v>0</v>
      </c>
      <c r="BZ37" s="108">
        <v>1.2639465893950277</v>
      </c>
      <c r="CA37" s="108">
        <v>1087.4996455154817</v>
      </c>
      <c r="CB37" s="108">
        <v>0.85139822532938969</v>
      </c>
      <c r="CC37" s="108">
        <v>732.54303307340683</v>
      </c>
      <c r="CD37" s="108">
        <v>0</v>
      </c>
      <c r="CE37" s="108">
        <v>0</v>
      </c>
      <c r="CF37" s="108">
        <v>3.4005247048535203</v>
      </c>
      <c r="CG37" s="108">
        <v>2925.8114560559688</v>
      </c>
      <c r="CH37" s="108">
        <v>0</v>
      </c>
      <c r="CI37" s="108">
        <v>0</v>
      </c>
      <c r="CJ37" s="108">
        <v>0</v>
      </c>
      <c r="CK37" s="108">
        <v>0</v>
      </c>
      <c r="CL37" s="108">
        <v>4.9582047317182543</v>
      </c>
      <c r="CM37" s="108">
        <v>4266.039351170386</v>
      </c>
      <c r="CN37" s="108">
        <v>2.2218923332187828</v>
      </c>
      <c r="CO37" s="108">
        <v>1911.7161635014406</v>
      </c>
      <c r="CP37" s="108">
        <v>2.2516145181476843</v>
      </c>
      <c r="CQ37" s="108">
        <v>1937.2891314142676</v>
      </c>
      <c r="CR37" s="108">
        <v>0</v>
      </c>
      <c r="CS37" s="108">
        <v>0</v>
      </c>
      <c r="CT37" s="108">
        <v>0</v>
      </c>
      <c r="CU37" s="108">
        <v>0</v>
      </c>
    </row>
    <row r="38" spans="2:99" x14ac:dyDescent="0.2">
      <c r="C38" s="107" t="s">
        <v>203</v>
      </c>
      <c r="D38" s="108">
        <v>0</v>
      </c>
      <c r="E38" s="108">
        <v>0</v>
      </c>
      <c r="F38" s="108">
        <v>0</v>
      </c>
      <c r="G38" s="108">
        <v>0</v>
      </c>
      <c r="H38" s="108">
        <v>0</v>
      </c>
      <c r="I38" s="108">
        <v>0</v>
      </c>
      <c r="J38" s="108">
        <v>0</v>
      </c>
      <c r="K38" s="108">
        <v>0</v>
      </c>
      <c r="L38" s="108">
        <v>0</v>
      </c>
      <c r="M38" s="108">
        <v>0</v>
      </c>
      <c r="N38" s="108">
        <v>15.309024576453369</v>
      </c>
      <c r="O38" s="108">
        <v>19013.808523955086</v>
      </c>
      <c r="P38" s="108">
        <v>4.0157734647366903</v>
      </c>
      <c r="Q38" s="108">
        <v>4987.5906432029697</v>
      </c>
      <c r="R38" s="108">
        <v>4.550838728567296</v>
      </c>
      <c r="S38" s="108">
        <v>5652.141700880582</v>
      </c>
      <c r="T38" s="108">
        <v>2.0297115384615387</v>
      </c>
      <c r="U38" s="108">
        <v>2520.9017307692311</v>
      </c>
      <c r="V38" s="108">
        <v>0</v>
      </c>
      <c r="W38" s="108">
        <v>0</v>
      </c>
      <c r="X38" s="108">
        <v>7.971789340166568</v>
      </c>
      <c r="Y38" s="108">
        <v>9900.9623604868775</v>
      </c>
      <c r="Z38" s="108">
        <v>2.806823213054142</v>
      </c>
      <c r="AA38" s="108">
        <v>3486.0744306132442</v>
      </c>
      <c r="AB38" s="108">
        <v>6.8355209187858907</v>
      </c>
      <c r="AC38" s="108">
        <v>8489.7169811320764</v>
      </c>
      <c r="AD38" s="108">
        <v>1.4850570379809303E-16</v>
      </c>
      <c r="AE38" s="108">
        <v>1.8444408411723154E-13</v>
      </c>
      <c r="AF38" s="108">
        <v>2.4004992489941595</v>
      </c>
      <c r="AG38" s="108">
        <v>2981.4200672507459</v>
      </c>
      <c r="AH38" s="108">
        <v>2.6330389340631659</v>
      </c>
      <c r="AI38" s="108">
        <v>3270.2343561064522</v>
      </c>
      <c r="AJ38" s="108">
        <v>2.09700222057735</v>
      </c>
      <c r="AK38" s="108">
        <v>2604.4767579570685</v>
      </c>
      <c r="AL38" s="108">
        <v>0</v>
      </c>
      <c r="AM38" s="108">
        <v>0</v>
      </c>
      <c r="AN38" s="108">
        <v>14.450869244186363</v>
      </c>
      <c r="AO38" s="108">
        <v>17947.979601279461</v>
      </c>
      <c r="AP38" s="108">
        <v>3.9851086956521744</v>
      </c>
      <c r="AQ38" s="108">
        <v>4949.505000000001</v>
      </c>
      <c r="AR38" s="108">
        <v>0</v>
      </c>
      <c r="AS38" s="108">
        <v>0</v>
      </c>
      <c r="AT38" s="108">
        <v>5.7887775551102214</v>
      </c>
      <c r="AU38" s="108">
        <v>7189.6617234468949</v>
      </c>
      <c r="AV38" s="108">
        <v>0</v>
      </c>
      <c r="AW38" s="108">
        <v>0</v>
      </c>
      <c r="AX38" s="108">
        <v>8.12871906406939</v>
      </c>
      <c r="AY38" s="108">
        <v>10095.869077574182</v>
      </c>
      <c r="AZ38" s="108">
        <v>1.5649837376984028</v>
      </c>
      <c r="BA38" s="108">
        <v>1943.7098022214163</v>
      </c>
      <c r="BB38" s="108">
        <v>0.72369119420989148</v>
      </c>
      <c r="BC38" s="108">
        <v>898.82446320868519</v>
      </c>
      <c r="BD38" s="108">
        <v>0</v>
      </c>
      <c r="BE38" s="108">
        <v>0</v>
      </c>
      <c r="BF38" s="108">
        <v>1.7610400444938823</v>
      </c>
      <c r="BG38" s="108">
        <v>2187.2117352614018</v>
      </c>
      <c r="BH38" s="108">
        <v>2.5997551984499192</v>
      </c>
      <c r="BI38" s="108">
        <v>3228.8959564747997</v>
      </c>
      <c r="BJ38" s="108">
        <v>13.874894482327322</v>
      </c>
      <c r="BK38" s="108">
        <v>17232.618947050534</v>
      </c>
      <c r="BL38" s="108">
        <v>7.6053803634744881</v>
      </c>
      <c r="BM38" s="108">
        <v>9445.8824114353138</v>
      </c>
      <c r="BN38" s="108">
        <v>6.9914060251533323</v>
      </c>
      <c r="BO38" s="108">
        <v>8683.326283240438</v>
      </c>
      <c r="BP38" s="108">
        <v>5.3811011821889627</v>
      </c>
      <c r="BQ38" s="108">
        <v>6683.3276682786918</v>
      </c>
      <c r="BR38" s="108">
        <v>7.380974639018139</v>
      </c>
      <c r="BS38" s="108">
        <v>9167.1705016605283</v>
      </c>
      <c r="BT38" s="108">
        <v>10.307685711538651</v>
      </c>
      <c r="BU38" s="108">
        <v>12802.145653731004</v>
      </c>
      <c r="BV38" s="108">
        <v>9.5131498470948017</v>
      </c>
      <c r="BW38" s="108">
        <v>11815.332110091744</v>
      </c>
      <c r="BX38" s="108">
        <v>0</v>
      </c>
      <c r="BY38" s="108">
        <v>0</v>
      </c>
      <c r="BZ38" s="108">
        <v>1.2639465893950277</v>
      </c>
      <c r="CA38" s="108">
        <v>1569.8216640286244</v>
      </c>
      <c r="CB38" s="108">
        <v>0.8065877924173166</v>
      </c>
      <c r="CC38" s="108">
        <v>1001.7820381823072</v>
      </c>
      <c r="CD38" s="108">
        <v>0</v>
      </c>
      <c r="CE38" s="108">
        <v>0</v>
      </c>
      <c r="CF38" s="108">
        <v>3.1090511587232181</v>
      </c>
      <c r="CG38" s="108">
        <v>3861.4415391342368</v>
      </c>
      <c r="CH38" s="108">
        <v>0</v>
      </c>
      <c r="CI38" s="108">
        <v>0</v>
      </c>
      <c r="CJ38" s="108">
        <v>0</v>
      </c>
      <c r="CK38" s="108">
        <v>0</v>
      </c>
      <c r="CL38" s="108">
        <v>4.498633098638396</v>
      </c>
      <c r="CM38" s="108">
        <v>5587.302308508888</v>
      </c>
      <c r="CN38" s="108">
        <v>2.20877287034841</v>
      </c>
      <c r="CO38" s="108">
        <v>2743.2959049727251</v>
      </c>
      <c r="CP38" s="108">
        <v>2.4392490613266586</v>
      </c>
      <c r="CQ38" s="108">
        <v>3029.5473341677102</v>
      </c>
      <c r="CR38" s="108">
        <v>0</v>
      </c>
      <c r="CS38" s="108">
        <v>0</v>
      </c>
      <c r="CT38" s="108">
        <v>0</v>
      </c>
      <c r="CU38" s="108">
        <v>0</v>
      </c>
    </row>
    <row r="39" spans="2:99" x14ac:dyDescent="0.2">
      <c r="C39" s="107" t="s">
        <v>204</v>
      </c>
      <c r="D39" s="108">
        <v>0</v>
      </c>
      <c r="E39" s="108">
        <v>0</v>
      </c>
      <c r="F39" s="108">
        <v>0</v>
      </c>
      <c r="G39" s="108">
        <v>0</v>
      </c>
      <c r="H39" s="108">
        <v>0</v>
      </c>
      <c r="I39" s="108">
        <v>0</v>
      </c>
      <c r="J39" s="108">
        <v>0</v>
      </c>
      <c r="K39" s="108">
        <v>0</v>
      </c>
      <c r="L39" s="108">
        <v>0</v>
      </c>
      <c r="M39" s="108">
        <v>0</v>
      </c>
      <c r="N39" s="108">
        <v>13.005577147640127</v>
      </c>
      <c r="O39" s="108">
        <v>18509.537396521428</v>
      </c>
      <c r="P39" s="108">
        <v>3.9542745765389662</v>
      </c>
      <c r="Q39" s="108">
        <v>5627.7235773302573</v>
      </c>
      <c r="R39" s="108">
        <v>4.5564160243645295</v>
      </c>
      <c r="S39" s="108">
        <v>6484.6912858755986</v>
      </c>
      <c r="T39" s="108">
        <v>2.0297115384615387</v>
      </c>
      <c r="U39" s="108">
        <v>2888.6854615384618</v>
      </c>
      <c r="V39" s="108">
        <v>0</v>
      </c>
      <c r="W39" s="108">
        <v>0</v>
      </c>
      <c r="X39" s="108">
        <v>7.4014218104035079</v>
      </c>
      <c r="Y39" s="108">
        <v>10533.703520566272</v>
      </c>
      <c r="Z39" s="108">
        <v>2.9632576689728585</v>
      </c>
      <c r="AA39" s="108">
        <v>4217.3083144821721</v>
      </c>
      <c r="AB39" s="108">
        <v>7.3823625922887617</v>
      </c>
      <c r="AC39" s="108">
        <v>10506.578441345366</v>
      </c>
      <c r="AD39" s="108">
        <v>1.4068825516759154E-16</v>
      </c>
      <c r="AE39" s="108">
        <v>2.0022752475451629E-13</v>
      </c>
      <c r="AF39" s="108">
        <v>2.7090648993197926</v>
      </c>
      <c r="AG39" s="108">
        <v>3855.541164711929</v>
      </c>
      <c r="AH39" s="108">
        <v>2.7714060726092478</v>
      </c>
      <c r="AI39" s="108">
        <v>3944.2651225374816</v>
      </c>
      <c r="AJ39" s="108">
        <v>2.09700222057735</v>
      </c>
      <c r="AK39" s="108">
        <v>2984.4535603256845</v>
      </c>
      <c r="AL39" s="108">
        <v>0</v>
      </c>
      <c r="AM39" s="108">
        <v>0</v>
      </c>
      <c r="AN39" s="108">
        <v>16.233738976052177</v>
      </c>
      <c r="AO39" s="108">
        <v>23103.85731071746</v>
      </c>
      <c r="AP39" s="108">
        <v>3.9851086956521744</v>
      </c>
      <c r="AQ39" s="108">
        <v>5671.6066956521745</v>
      </c>
      <c r="AR39" s="108">
        <v>0</v>
      </c>
      <c r="AS39" s="108">
        <v>0</v>
      </c>
      <c r="AT39" s="108">
        <v>4.8981963927855716</v>
      </c>
      <c r="AU39" s="108">
        <v>6971.1131062124259</v>
      </c>
      <c r="AV39" s="108">
        <v>0</v>
      </c>
      <c r="AW39" s="108">
        <v>0</v>
      </c>
      <c r="AX39" s="108">
        <v>8.2706015731319056</v>
      </c>
      <c r="AY39" s="108">
        <v>11770.720158881328</v>
      </c>
      <c r="AZ39" s="108">
        <v>1.4188016047994625</v>
      </c>
      <c r="BA39" s="108">
        <v>2019.2384439505952</v>
      </c>
      <c r="BB39" s="108">
        <v>0.6432810615199035</v>
      </c>
      <c r="BC39" s="108">
        <v>915.51760675512674</v>
      </c>
      <c r="BD39" s="108">
        <v>0</v>
      </c>
      <c r="BE39" s="108">
        <v>0</v>
      </c>
      <c r="BF39" s="108">
        <v>1.5756674082313682</v>
      </c>
      <c r="BG39" s="108">
        <v>2242.4898553948833</v>
      </c>
      <c r="BH39" s="108">
        <v>2.1246946303235443</v>
      </c>
      <c r="BI39" s="108">
        <v>3023.8653978764683</v>
      </c>
      <c r="BJ39" s="108">
        <v>11.947222635969116</v>
      </c>
      <c r="BK39" s="108">
        <v>17003.287255511244</v>
      </c>
      <c r="BL39" s="108">
        <v>7.4495441707958534</v>
      </c>
      <c r="BM39" s="108">
        <v>10602.191263876659</v>
      </c>
      <c r="BN39" s="108">
        <v>6.7991681614642054</v>
      </c>
      <c r="BO39" s="108">
        <v>9676.5761273958578</v>
      </c>
      <c r="BP39" s="108">
        <v>5.0164020518961765</v>
      </c>
      <c r="BQ39" s="108">
        <v>7139.3434002586382</v>
      </c>
      <c r="BR39" s="108">
        <v>6.973357490865701</v>
      </c>
      <c r="BS39" s="108">
        <v>9924.4823810000653</v>
      </c>
      <c r="BT39" s="108">
        <v>9.9346842318112927</v>
      </c>
      <c r="BU39" s="108">
        <v>14139.042598713831</v>
      </c>
      <c r="BV39" s="108">
        <v>9.173394495412845</v>
      </c>
      <c r="BW39" s="108">
        <v>13055.575045871561</v>
      </c>
      <c r="BX39" s="108">
        <v>0</v>
      </c>
      <c r="BY39" s="108">
        <v>0</v>
      </c>
      <c r="BZ39" s="108">
        <v>1.1895967900188495</v>
      </c>
      <c r="CA39" s="108">
        <v>1693.0341515548266</v>
      </c>
      <c r="CB39" s="108">
        <v>0.8065877924173166</v>
      </c>
      <c r="CC39" s="108">
        <v>1147.9357461683251</v>
      </c>
      <c r="CD39" s="108">
        <v>0</v>
      </c>
      <c r="CE39" s="108">
        <v>0</v>
      </c>
      <c r="CF39" s="108">
        <v>3.1576300830782689</v>
      </c>
      <c r="CG39" s="108">
        <v>4493.9391342369927</v>
      </c>
      <c r="CH39" s="108">
        <v>0</v>
      </c>
      <c r="CI39" s="108">
        <v>0</v>
      </c>
      <c r="CJ39" s="108">
        <v>0</v>
      </c>
      <c r="CK39" s="108">
        <v>0</v>
      </c>
      <c r="CL39" s="108">
        <v>4.5696088753404993</v>
      </c>
      <c r="CM39" s="108">
        <v>6503.4673513845992</v>
      </c>
      <c r="CN39" s="108">
        <v>2.2068986613669286</v>
      </c>
      <c r="CO39" s="108">
        <v>3140.8581748574129</v>
      </c>
      <c r="CP39" s="108">
        <v>2.0639799749687109</v>
      </c>
      <c r="CQ39" s="108">
        <v>2937.4563003754693</v>
      </c>
      <c r="CR39" s="108">
        <v>0</v>
      </c>
      <c r="CS39" s="108">
        <v>0</v>
      </c>
      <c r="CT39" s="108">
        <v>0</v>
      </c>
      <c r="CU39" s="108">
        <v>0</v>
      </c>
    </row>
    <row r="40" spans="2:99" x14ac:dyDescent="0.2">
      <c r="C40" s="107" t="s">
        <v>205</v>
      </c>
      <c r="D40" s="108">
        <v>0</v>
      </c>
      <c r="E40" s="108">
        <v>0</v>
      </c>
      <c r="F40" s="108">
        <v>0</v>
      </c>
      <c r="G40" s="108">
        <v>0</v>
      </c>
      <c r="H40" s="108">
        <v>0</v>
      </c>
      <c r="I40" s="108">
        <v>0</v>
      </c>
      <c r="J40" s="108">
        <v>0</v>
      </c>
      <c r="K40" s="108">
        <v>0</v>
      </c>
      <c r="L40" s="108">
        <v>0</v>
      </c>
      <c r="M40" s="108">
        <v>0</v>
      </c>
      <c r="N40" s="108">
        <v>16.516509126401232</v>
      </c>
      <c r="O40" s="108">
        <v>11971.165814815611</v>
      </c>
      <c r="P40" s="108">
        <v>3.9159700793000889</v>
      </c>
      <c r="Q40" s="108">
        <v>2838.295113476704</v>
      </c>
      <c r="R40" s="108">
        <v>4.850647589458033</v>
      </c>
      <c r="S40" s="108">
        <v>3515.7493728391819</v>
      </c>
      <c r="T40" s="108">
        <v>2.1365384615384615</v>
      </c>
      <c r="U40" s="108">
        <v>1548.5630769230768</v>
      </c>
      <c r="V40" s="108">
        <v>0</v>
      </c>
      <c r="W40" s="108">
        <v>0</v>
      </c>
      <c r="X40" s="108">
        <v>9.0591000936275545</v>
      </c>
      <c r="Y40" s="108">
        <v>6566.0357478612514</v>
      </c>
      <c r="Z40" s="108">
        <v>2.9714704235229852</v>
      </c>
      <c r="AA40" s="108">
        <v>2153.7217629694596</v>
      </c>
      <c r="AB40" s="108">
        <v>7.1089417555373258</v>
      </c>
      <c r="AC40" s="108">
        <v>5152.5609844134533</v>
      </c>
      <c r="AD40" s="108">
        <v>1.6934362675228516E-16</v>
      </c>
      <c r="AE40" s="108">
        <v>1.2274026067005628E-13</v>
      </c>
      <c r="AF40" s="108">
        <v>2.7625181652563988</v>
      </c>
      <c r="AG40" s="108">
        <v>2002.2731661778378</v>
      </c>
      <c r="AH40" s="108">
        <v>3.0182950526217498</v>
      </c>
      <c r="AI40" s="108">
        <v>2187.660254140244</v>
      </c>
      <c r="AJ40" s="108">
        <v>2.2203552923760177</v>
      </c>
      <c r="AK40" s="108">
        <v>1609.3135159141375</v>
      </c>
      <c r="AL40" s="108">
        <v>0</v>
      </c>
      <c r="AM40" s="108">
        <v>0</v>
      </c>
      <c r="AN40" s="108">
        <v>14.987805354370645</v>
      </c>
      <c r="AO40" s="108">
        <v>10863.161320847843</v>
      </c>
      <c r="AP40" s="108">
        <v>3.9851086956521744</v>
      </c>
      <c r="AQ40" s="108">
        <v>2888.4067826086957</v>
      </c>
      <c r="AR40" s="108">
        <v>0</v>
      </c>
      <c r="AS40" s="108">
        <v>0</v>
      </c>
      <c r="AT40" s="108">
        <v>5.3434869739478952</v>
      </c>
      <c r="AU40" s="108">
        <v>3872.959358717434</v>
      </c>
      <c r="AV40" s="108">
        <v>0</v>
      </c>
      <c r="AW40" s="108">
        <v>0</v>
      </c>
      <c r="AX40" s="108">
        <v>9.8800023285719103</v>
      </c>
      <c r="AY40" s="108">
        <v>7161.0256877489201</v>
      </c>
      <c r="AZ40" s="108">
        <v>1.5541245367816661</v>
      </c>
      <c r="BA40" s="108">
        <v>1126.4294642593516</v>
      </c>
      <c r="BB40" s="108">
        <v>0.72369119420989148</v>
      </c>
      <c r="BC40" s="108">
        <v>524.53137756332933</v>
      </c>
      <c r="BD40" s="108">
        <v>0</v>
      </c>
      <c r="BE40" s="108">
        <v>0</v>
      </c>
      <c r="BF40" s="108">
        <v>1.6683537263626251</v>
      </c>
      <c r="BG40" s="108">
        <v>1209.2227808676307</v>
      </c>
      <c r="BH40" s="108">
        <v>2.8381826811217525</v>
      </c>
      <c r="BI40" s="108">
        <v>2057.1148072770461</v>
      </c>
      <c r="BJ40" s="108">
        <v>15.048746402775375</v>
      </c>
      <c r="BK40" s="108">
        <v>10907.331392731592</v>
      </c>
      <c r="BL40" s="108">
        <v>8.5928192852377343</v>
      </c>
      <c r="BM40" s="108">
        <v>6228.0754179403093</v>
      </c>
      <c r="BN40" s="108">
        <v>7.9781388707319971</v>
      </c>
      <c r="BO40" s="108">
        <v>5782.5550535065513</v>
      </c>
      <c r="BP40" s="108">
        <v>5.5299541964068286</v>
      </c>
      <c r="BQ40" s="108">
        <v>4008.1108015556692</v>
      </c>
      <c r="BR40" s="108">
        <v>8.4430655632636338</v>
      </c>
      <c r="BS40" s="108">
        <v>6119.5339202534815</v>
      </c>
      <c r="BT40" s="108">
        <v>11.502572912686153</v>
      </c>
      <c r="BU40" s="108">
        <v>8337.0648471149234</v>
      </c>
      <c r="BV40" s="108">
        <v>10.872171253822632</v>
      </c>
      <c r="BW40" s="108">
        <v>7880.1497247706429</v>
      </c>
      <c r="BX40" s="108">
        <v>0</v>
      </c>
      <c r="BY40" s="108">
        <v>0</v>
      </c>
      <c r="BZ40" s="108">
        <v>1.412646188147384</v>
      </c>
      <c r="CA40" s="108">
        <v>1023.8859571692238</v>
      </c>
      <c r="CB40" s="108">
        <v>0.8065877924173166</v>
      </c>
      <c r="CC40" s="108">
        <v>584.61483194407106</v>
      </c>
      <c r="CD40" s="108">
        <v>0</v>
      </c>
      <c r="CE40" s="108">
        <v>0</v>
      </c>
      <c r="CF40" s="108">
        <v>3.3519457804984696</v>
      </c>
      <c r="CG40" s="108">
        <v>2429.4903017052907</v>
      </c>
      <c r="CH40" s="108">
        <v>0</v>
      </c>
      <c r="CI40" s="108">
        <v>0</v>
      </c>
      <c r="CJ40" s="108">
        <v>0</v>
      </c>
      <c r="CK40" s="108">
        <v>0</v>
      </c>
      <c r="CL40" s="108">
        <v>4.7979734918813053</v>
      </c>
      <c r="CM40" s="108">
        <v>3477.5711869155698</v>
      </c>
      <c r="CN40" s="108">
        <v>2.4317117872628811</v>
      </c>
      <c r="CO40" s="108">
        <v>1762.504703408136</v>
      </c>
      <c r="CP40" s="108">
        <v>2.3454317897371717</v>
      </c>
      <c r="CQ40" s="108">
        <v>1699.968961201502</v>
      </c>
      <c r="CR40" s="108">
        <v>0</v>
      </c>
      <c r="CS40" s="108">
        <v>0</v>
      </c>
      <c r="CT40" s="108">
        <v>0</v>
      </c>
      <c r="CU40" s="108">
        <v>0</v>
      </c>
    </row>
    <row r="41" spans="2:99" x14ac:dyDescent="0.2">
      <c r="C41" s="107" t="s">
        <v>206</v>
      </c>
      <c r="D41" s="108">
        <v>0</v>
      </c>
      <c r="E41" s="108">
        <v>0</v>
      </c>
      <c r="F41" s="108">
        <v>0</v>
      </c>
      <c r="G41" s="108">
        <v>0</v>
      </c>
      <c r="H41" s="108">
        <v>0</v>
      </c>
      <c r="I41" s="108">
        <v>0</v>
      </c>
      <c r="J41" s="108">
        <v>0</v>
      </c>
      <c r="K41" s="108">
        <v>0</v>
      </c>
      <c r="L41" s="108">
        <v>0</v>
      </c>
      <c r="M41" s="108">
        <v>0</v>
      </c>
      <c r="N41" s="108">
        <v>15.478937207033633</v>
      </c>
      <c r="O41" s="108">
        <v>10216.098556642199</v>
      </c>
      <c r="P41" s="108">
        <v>4.1877808418904872</v>
      </c>
      <c r="Q41" s="108">
        <v>2763.9353556477217</v>
      </c>
      <c r="R41" s="108">
        <v>5.1318654643579924</v>
      </c>
      <c r="S41" s="108">
        <v>3387.0312064762752</v>
      </c>
      <c r="T41" s="108">
        <v>2.0297115384615387</v>
      </c>
      <c r="U41" s="108">
        <v>1339.6096153846156</v>
      </c>
      <c r="V41" s="108">
        <v>0</v>
      </c>
      <c r="W41" s="108">
        <v>0</v>
      </c>
      <c r="X41" s="108">
        <v>8.5688690229621969</v>
      </c>
      <c r="Y41" s="108">
        <v>5655.4535551550498</v>
      </c>
      <c r="Z41" s="108">
        <v>2.9714704235229852</v>
      </c>
      <c r="AA41" s="108">
        <v>1961.1704795251703</v>
      </c>
      <c r="AB41" s="108">
        <v>7.6557834290401976</v>
      </c>
      <c r="AC41" s="108">
        <v>5052.8170631665307</v>
      </c>
      <c r="AD41" s="108">
        <v>1.6217978385611177E-16</v>
      </c>
      <c r="AE41" s="108">
        <v>1.0703865734503376E-13</v>
      </c>
      <c r="AF41" s="108">
        <v>2.5271114728523063</v>
      </c>
      <c r="AG41" s="108">
        <v>1667.8935720825223</v>
      </c>
      <c r="AH41" s="108">
        <v>2.9983981879019739</v>
      </c>
      <c r="AI41" s="108">
        <v>1978.9428040153027</v>
      </c>
      <c r="AJ41" s="108">
        <v>2.3437083641746854</v>
      </c>
      <c r="AK41" s="108">
        <v>1546.8475203552923</v>
      </c>
      <c r="AL41" s="108">
        <v>0</v>
      </c>
      <c r="AM41" s="108">
        <v>0</v>
      </c>
      <c r="AN41" s="108">
        <v>15.754156666305546</v>
      </c>
      <c r="AO41" s="108">
        <v>10397.743399761661</v>
      </c>
      <c r="AP41" s="108">
        <v>3.6228260869565223</v>
      </c>
      <c r="AQ41" s="108">
        <v>2391.0652173913049</v>
      </c>
      <c r="AR41" s="108">
        <v>0</v>
      </c>
      <c r="AS41" s="108">
        <v>0</v>
      </c>
      <c r="AT41" s="108">
        <v>6.234068136272545</v>
      </c>
      <c r="AU41" s="108">
        <v>4114.4849699398801</v>
      </c>
      <c r="AV41" s="108">
        <v>0</v>
      </c>
      <c r="AW41" s="108">
        <v>0</v>
      </c>
      <c r="AX41" s="108">
        <v>9.6071513496055321</v>
      </c>
      <c r="AY41" s="108">
        <v>6340.7198907396514</v>
      </c>
      <c r="AZ41" s="108">
        <v>1.4927976046586604</v>
      </c>
      <c r="BA41" s="108">
        <v>985.24641907471585</v>
      </c>
      <c r="BB41" s="108">
        <v>0.76389626055488546</v>
      </c>
      <c r="BC41" s="108">
        <v>504.17153196622439</v>
      </c>
      <c r="BD41" s="108">
        <v>0</v>
      </c>
      <c r="BE41" s="108">
        <v>0</v>
      </c>
      <c r="BF41" s="108">
        <v>1.6683537263626251</v>
      </c>
      <c r="BG41" s="108">
        <v>1101.1134593993327</v>
      </c>
      <c r="BH41" s="108">
        <v>2.8936875148352925</v>
      </c>
      <c r="BI41" s="108">
        <v>1909.833759791293</v>
      </c>
      <c r="BJ41" s="108">
        <v>15.154741976960839</v>
      </c>
      <c r="BK41" s="108">
        <v>10002.129704794153</v>
      </c>
      <c r="BL41" s="108">
        <v>7.7506099482569999</v>
      </c>
      <c r="BM41" s="108">
        <v>5115.4025658496203</v>
      </c>
      <c r="BN41" s="108">
        <v>8.747090325488502</v>
      </c>
      <c r="BO41" s="108">
        <v>5773.0796148224117</v>
      </c>
      <c r="BP41" s="108">
        <v>5.4062235953853568</v>
      </c>
      <c r="BQ41" s="108">
        <v>3568.1075729543354</v>
      </c>
      <c r="BR41" s="108">
        <v>8.7271419115011639</v>
      </c>
      <c r="BS41" s="108">
        <v>5759.9136615907682</v>
      </c>
      <c r="BT41" s="108">
        <v>11.196456721920528</v>
      </c>
      <c r="BU41" s="108">
        <v>7389.6614364675488</v>
      </c>
      <c r="BV41" s="108">
        <v>9.5131498470948017</v>
      </c>
      <c r="BW41" s="108">
        <v>6278.6788990825689</v>
      </c>
      <c r="BX41" s="108">
        <v>0</v>
      </c>
      <c r="BY41" s="108">
        <v>0</v>
      </c>
      <c r="BZ41" s="108">
        <v>1.2639465893950277</v>
      </c>
      <c r="CA41" s="108">
        <v>834.20474900071827</v>
      </c>
      <c r="CB41" s="108">
        <v>0.76177735950524339</v>
      </c>
      <c r="CC41" s="108">
        <v>502.77305727346067</v>
      </c>
      <c r="CD41" s="108">
        <v>0</v>
      </c>
      <c r="CE41" s="108">
        <v>0</v>
      </c>
      <c r="CF41" s="108">
        <v>3.3033668561434193</v>
      </c>
      <c r="CG41" s="108">
        <v>2180.2221250546568</v>
      </c>
      <c r="CH41" s="108">
        <v>0</v>
      </c>
      <c r="CI41" s="108">
        <v>0</v>
      </c>
      <c r="CJ41" s="108">
        <v>0</v>
      </c>
      <c r="CK41" s="108">
        <v>0</v>
      </c>
      <c r="CL41" s="108">
        <v>4.8855671653404471</v>
      </c>
      <c r="CM41" s="108">
        <v>3224.474329124695</v>
      </c>
      <c r="CN41" s="108">
        <v>2.3642709145568235</v>
      </c>
      <c r="CO41" s="108">
        <v>1560.4188036075036</v>
      </c>
      <c r="CP41" s="108">
        <v>2.5330663329161451</v>
      </c>
      <c r="CQ41" s="108">
        <v>1671.8237797246559</v>
      </c>
      <c r="CR41" s="108">
        <v>0</v>
      </c>
      <c r="CS41" s="108">
        <v>0</v>
      </c>
      <c r="CT41" s="108">
        <v>0</v>
      </c>
      <c r="CU41" s="108">
        <v>0</v>
      </c>
    </row>
    <row r="42" spans="2:99" x14ac:dyDescent="0.2">
      <c r="C42" s="107" t="s">
        <v>207</v>
      </c>
      <c r="D42" s="108">
        <v>0</v>
      </c>
      <c r="E42" s="108">
        <v>0</v>
      </c>
      <c r="F42" s="108">
        <v>0</v>
      </c>
      <c r="G42" s="108">
        <v>0</v>
      </c>
      <c r="H42" s="108">
        <v>0</v>
      </c>
      <c r="I42" s="108">
        <v>0</v>
      </c>
      <c r="J42" s="108">
        <v>0</v>
      </c>
      <c r="K42" s="108">
        <v>0</v>
      </c>
      <c r="L42" s="108">
        <v>0</v>
      </c>
      <c r="M42" s="108">
        <v>0</v>
      </c>
      <c r="N42" s="108">
        <v>15.010072986941294</v>
      </c>
      <c r="O42" s="108">
        <v>12698.521746952334</v>
      </c>
      <c r="P42" s="108">
        <v>3.9248909988996448</v>
      </c>
      <c r="Q42" s="108">
        <v>3320.4577850690994</v>
      </c>
      <c r="R42" s="108">
        <v>5.5925058285952529</v>
      </c>
      <c r="S42" s="108">
        <v>4731.259930991584</v>
      </c>
      <c r="T42" s="108">
        <v>2.3501923076923075</v>
      </c>
      <c r="U42" s="108">
        <v>1988.2626923076921</v>
      </c>
      <c r="V42" s="108">
        <v>0</v>
      </c>
      <c r="W42" s="108">
        <v>0</v>
      </c>
      <c r="X42" s="108">
        <v>8.5288007934133443</v>
      </c>
      <c r="Y42" s="108">
        <v>7215.3654712276893</v>
      </c>
      <c r="Z42" s="108">
        <v>2.9468321598726059</v>
      </c>
      <c r="AA42" s="108">
        <v>2493.0200072522248</v>
      </c>
      <c r="AB42" s="108">
        <v>6.8355209187858907</v>
      </c>
      <c r="AC42" s="108">
        <v>5782.8506972928635</v>
      </c>
      <c r="AD42" s="108">
        <v>1.5501594095993835E-16</v>
      </c>
      <c r="AE42" s="108">
        <v>1.3114348605210784E-13</v>
      </c>
      <c r="AF42" s="108">
        <v>2.7402459711161464</v>
      </c>
      <c r="AG42" s="108">
        <v>2318.24809156426</v>
      </c>
      <c r="AH42" s="108">
        <v>3.0083466202618618</v>
      </c>
      <c r="AI42" s="108">
        <v>2545.0612407415351</v>
      </c>
      <c r="AJ42" s="108">
        <v>2.4670614359733531</v>
      </c>
      <c r="AK42" s="108">
        <v>2087.1339748334567</v>
      </c>
      <c r="AL42" s="108">
        <v>0</v>
      </c>
      <c r="AM42" s="108">
        <v>0</v>
      </c>
      <c r="AN42" s="108">
        <v>15.610772165211412</v>
      </c>
      <c r="AO42" s="108">
        <v>13206.713251768853</v>
      </c>
      <c r="AP42" s="108">
        <v>3.8039673913043486</v>
      </c>
      <c r="AQ42" s="108">
        <v>3218.156413043479</v>
      </c>
      <c r="AR42" s="108">
        <v>0</v>
      </c>
      <c r="AS42" s="108">
        <v>0</v>
      </c>
      <c r="AT42" s="108">
        <v>5.3434869739478952</v>
      </c>
      <c r="AU42" s="108">
        <v>4520.5899799599192</v>
      </c>
      <c r="AV42" s="108">
        <v>0</v>
      </c>
      <c r="AW42" s="108">
        <v>0</v>
      </c>
      <c r="AX42" s="108">
        <v>9.7490338586680494</v>
      </c>
      <c r="AY42" s="108">
        <v>8247.6826444331691</v>
      </c>
      <c r="AZ42" s="108">
        <v>1.5722232049762275</v>
      </c>
      <c r="BA42" s="108">
        <v>1330.1008314098885</v>
      </c>
      <c r="BB42" s="108">
        <v>0.76389626055488546</v>
      </c>
      <c r="BC42" s="108">
        <v>646.2562364294331</v>
      </c>
      <c r="BD42" s="108">
        <v>0</v>
      </c>
      <c r="BE42" s="108">
        <v>0</v>
      </c>
      <c r="BF42" s="108">
        <v>1.5756674082313682</v>
      </c>
      <c r="BG42" s="108">
        <v>1333.0146273637374</v>
      </c>
      <c r="BH42" s="108">
        <v>2.8701017781484537</v>
      </c>
      <c r="BI42" s="108">
        <v>2428.1061043135919</v>
      </c>
      <c r="BJ42" s="108">
        <v>14.412772957662586</v>
      </c>
      <c r="BK42" s="108">
        <v>12193.205922182548</v>
      </c>
      <c r="BL42" s="108">
        <v>7.9604993695086748</v>
      </c>
      <c r="BM42" s="108">
        <v>6734.5824666043391</v>
      </c>
      <c r="BN42" s="108">
        <v>8.4253839615382642</v>
      </c>
      <c r="BO42" s="108">
        <v>7127.8748314613713</v>
      </c>
      <c r="BP42" s="108">
        <v>5.2154998925068323</v>
      </c>
      <c r="BQ42" s="108">
        <v>4412.3129090607799</v>
      </c>
      <c r="BR42" s="108">
        <v>8.7641366599088784</v>
      </c>
      <c r="BS42" s="108">
        <v>7414.4596142829114</v>
      </c>
      <c r="BT42" s="108">
        <v>11.50771793491398</v>
      </c>
      <c r="BU42" s="108">
        <v>9735.5293729372279</v>
      </c>
      <c r="BV42" s="108">
        <v>10.532415902140674</v>
      </c>
      <c r="BW42" s="108">
        <v>8910.4238532110103</v>
      </c>
      <c r="BX42" s="108">
        <v>0</v>
      </c>
      <c r="BY42" s="108">
        <v>0</v>
      </c>
      <c r="BZ42" s="108">
        <v>1.412646188147384</v>
      </c>
      <c r="CA42" s="108">
        <v>1195.0986751726869</v>
      </c>
      <c r="CB42" s="108">
        <v>0.85139822532938969</v>
      </c>
      <c r="CC42" s="108">
        <v>720.2828986286637</v>
      </c>
      <c r="CD42" s="108">
        <v>0</v>
      </c>
      <c r="CE42" s="108">
        <v>0</v>
      </c>
      <c r="CF42" s="108">
        <v>3.0118933100131176</v>
      </c>
      <c r="CG42" s="108">
        <v>2548.0617402710973</v>
      </c>
      <c r="CH42" s="108">
        <v>0</v>
      </c>
      <c r="CI42" s="108">
        <v>0</v>
      </c>
      <c r="CJ42" s="108">
        <v>0</v>
      </c>
      <c r="CK42" s="108">
        <v>0</v>
      </c>
      <c r="CL42" s="108">
        <v>4.6987472906922374</v>
      </c>
      <c r="CM42" s="108">
        <v>3975.1402079256327</v>
      </c>
      <c r="CN42" s="108">
        <v>2.4335859962443624</v>
      </c>
      <c r="CO42" s="108">
        <v>2058.8137528227307</v>
      </c>
      <c r="CP42" s="108">
        <v>2.1577972465581978</v>
      </c>
      <c r="CQ42" s="108">
        <v>1825.4964705882353</v>
      </c>
      <c r="CR42" s="108">
        <v>0</v>
      </c>
      <c r="CS42" s="108">
        <v>0</v>
      </c>
      <c r="CT42" s="108">
        <v>0</v>
      </c>
      <c r="CU42" s="108">
        <v>0</v>
      </c>
    </row>
    <row r="43" spans="2:99" x14ac:dyDescent="0.2">
      <c r="C43" s="107" t="s">
        <v>208</v>
      </c>
      <c r="D43" s="108">
        <v>0</v>
      </c>
      <c r="E43" s="108">
        <v>0</v>
      </c>
      <c r="F43" s="108">
        <v>0</v>
      </c>
      <c r="G43" s="108">
        <v>0</v>
      </c>
      <c r="H43" s="108">
        <v>0</v>
      </c>
      <c r="I43" s="108">
        <v>0</v>
      </c>
      <c r="J43" s="108">
        <v>0</v>
      </c>
      <c r="K43" s="108">
        <v>0</v>
      </c>
      <c r="L43" s="108">
        <v>0</v>
      </c>
      <c r="M43" s="108">
        <v>0</v>
      </c>
      <c r="N43" s="108">
        <v>16.381631071519639</v>
      </c>
      <c r="O43" s="108">
        <v>16748.579607521679</v>
      </c>
      <c r="P43" s="108">
        <v>4.0772723529344157</v>
      </c>
      <c r="Q43" s="108">
        <v>4168.6032536401462</v>
      </c>
      <c r="R43" s="108">
        <v>4.7016727083122039</v>
      </c>
      <c r="S43" s="108">
        <v>4806.9901769783974</v>
      </c>
      <c r="T43" s="108">
        <v>2.3501923076923075</v>
      </c>
      <c r="U43" s="108">
        <v>2402.836615384615</v>
      </c>
      <c r="V43" s="108">
        <v>0</v>
      </c>
      <c r="W43" s="108">
        <v>0</v>
      </c>
      <c r="X43" s="108">
        <v>8.2302609520155308</v>
      </c>
      <c r="Y43" s="108">
        <v>8414.6187973406777</v>
      </c>
      <c r="Z43" s="108">
        <v>3.1196921248915754</v>
      </c>
      <c r="AA43" s="108">
        <v>3189.5732284891465</v>
      </c>
      <c r="AB43" s="108">
        <v>7.3823625922887617</v>
      </c>
      <c r="AC43" s="108">
        <v>7547.72751435603</v>
      </c>
      <c r="AD43" s="108">
        <v>1.6836321815079302E-16</v>
      </c>
      <c r="AE43" s="108">
        <v>1.7213455423737077E-13</v>
      </c>
      <c r="AF43" s="108">
        <v>2.6180881860860499</v>
      </c>
      <c r="AG43" s="108">
        <v>2676.7333614543772</v>
      </c>
      <c r="AH43" s="108">
        <v>2.5145686602368591</v>
      </c>
      <c r="AI43" s="108">
        <v>2570.8949982261647</v>
      </c>
      <c r="AJ43" s="108">
        <v>2.4670614359733531</v>
      </c>
      <c r="AK43" s="108">
        <v>2522.323612139156</v>
      </c>
      <c r="AL43" s="108">
        <v>0</v>
      </c>
      <c r="AM43" s="108">
        <v>0</v>
      </c>
      <c r="AN43" s="108">
        <v>14.422192343967534</v>
      </c>
      <c r="AO43" s="108">
        <v>14745.249452472406</v>
      </c>
      <c r="AP43" s="108">
        <v>3.6228260869565223</v>
      </c>
      <c r="AQ43" s="108">
        <v>3703.9773913043482</v>
      </c>
      <c r="AR43" s="108">
        <v>0</v>
      </c>
      <c r="AS43" s="108">
        <v>0</v>
      </c>
      <c r="AT43" s="108">
        <v>5.7887775551102214</v>
      </c>
      <c r="AU43" s="108">
        <v>5918.4461723446902</v>
      </c>
      <c r="AV43" s="108">
        <v>0</v>
      </c>
      <c r="AW43" s="108">
        <v>0</v>
      </c>
      <c r="AX43" s="108">
        <v>9.5853232712882228</v>
      </c>
      <c r="AY43" s="108">
        <v>9800.0345125650783</v>
      </c>
      <c r="AZ43" s="108">
        <v>1.5595541372400343</v>
      </c>
      <c r="BA43" s="108">
        <v>1594.4881499142111</v>
      </c>
      <c r="BB43" s="108">
        <v>0.72369119420989148</v>
      </c>
      <c r="BC43" s="108">
        <v>739.90187696019302</v>
      </c>
      <c r="BD43" s="108">
        <v>0</v>
      </c>
      <c r="BE43" s="108">
        <v>0</v>
      </c>
      <c r="BF43" s="108">
        <v>1.7610400444938823</v>
      </c>
      <c r="BG43" s="108">
        <v>1800.4873414905453</v>
      </c>
      <c r="BH43" s="108">
        <v>2.364916510212669</v>
      </c>
      <c r="BI43" s="108">
        <v>2417.8906400414326</v>
      </c>
      <c r="BJ43" s="108">
        <v>14.200781809291653</v>
      </c>
      <c r="BK43" s="108">
        <v>14518.879321819786</v>
      </c>
      <c r="BL43" s="108">
        <v>6.9677571437973675</v>
      </c>
      <c r="BM43" s="108">
        <v>7123.8349038184288</v>
      </c>
      <c r="BN43" s="108">
        <v>8.5528875750968361</v>
      </c>
      <c r="BO43" s="108">
        <v>8744.472256779005</v>
      </c>
      <c r="BP43" s="108">
        <v>4.938729208401428</v>
      </c>
      <c r="BQ43" s="108">
        <v>5049.35674266962</v>
      </c>
      <c r="BR43" s="108">
        <v>7.4015272770224234</v>
      </c>
      <c r="BS43" s="108">
        <v>7567.3214880277255</v>
      </c>
      <c r="BT43" s="108">
        <v>11.175876633009226</v>
      </c>
      <c r="BU43" s="108">
        <v>11426.216269588633</v>
      </c>
      <c r="BV43" s="108">
        <v>9.5131498470948017</v>
      </c>
      <c r="BW43" s="108">
        <v>9726.2444036697252</v>
      </c>
      <c r="BX43" s="108">
        <v>0</v>
      </c>
      <c r="BY43" s="108">
        <v>0</v>
      </c>
      <c r="BZ43" s="108">
        <v>1.2639465893950277</v>
      </c>
      <c r="CA43" s="108">
        <v>1292.2589929974763</v>
      </c>
      <c r="CB43" s="108">
        <v>0.8962086582414629</v>
      </c>
      <c r="CC43" s="108">
        <v>916.28373218607169</v>
      </c>
      <c r="CD43" s="108">
        <v>0</v>
      </c>
      <c r="CE43" s="108">
        <v>0</v>
      </c>
      <c r="CF43" s="108">
        <v>2.9633143856580677</v>
      </c>
      <c r="CG43" s="108">
        <v>3029.6926278968085</v>
      </c>
      <c r="CH43" s="108">
        <v>0</v>
      </c>
      <c r="CI43" s="108">
        <v>0</v>
      </c>
      <c r="CJ43" s="108">
        <v>0</v>
      </c>
      <c r="CK43" s="108">
        <v>0</v>
      </c>
      <c r="CL43" s="108">
        <v>4.5052802573412105</v>
      </c>
      <c r="CM43" s="108">
        <v>4606.1985351056537</v>
      </c>
      <c r="CN43" s="108">
        <v>2.2181439152558187</v>
      </c>
      <c r="CO43" s="108">
        <v>2267.830338957549</v>
      </c>
      <c r="CP43" s="108">
        <v>2.3454317897371717</v>
      </c>
      <c r="CQ43" s="108">
        <v>2397.9694618272842</v>
      </c>
      <c r="CR43" s="108">
        <v>0</v>
      </c>
      <c r="CS43" s="108">
        <v>0</v>
      </c>
      <c r="CT43" s="108">
        <v>0</v>
      </c>
      <c r="CU43" s="108">
        <v>0</v>
      </c>
    </row>
    <row r="44" spans="2:99" x14ac:dyDescent="0.2">
      <c r="C44" s="107" t="s">
        <v>209</v>
      </c>
      <c r="D44" s="108">
        <v>0</v>
      </c>
      <c r="E44" s="108">
        <v>0</v>
      </c>
      <c r="F44" s="108">
        <v>0</v>
      </c>
      <c r="G44" s="108">
        <v>0</v>
      </c>
      <c r="H44" s="108">
        <v>0</v>
      </c>
      <c r="I44" s="108">
        <v>0</v>
      </c>
      <c r="J44" s="108">
        <v>0</v>
      </c>
      <c r="K44" s="108">
        <v>0</v>
      </c>
      <c r="L44" s="108">
        <v>0</v>
      </c>
      <c r="M44" s="108">
        <v>0</v>
      </c>
      <c r="N44" s="108">
        <v>15.127433753973554</v>
      </c>
      <c r="O44" s="108">
        <v>15466.288270062561</v>
      </c>
      <c r="P44" s="108">
        <v>3.8090299581838396</v>
      </c>
      <c r="Q44" s="108">
        <v>3894.3522292471575</v>
      </c>
      <c r="R44" s="108">
        <v>5.4019287476634839</v>
      </c>
      <c r="S44" s="108">
        <v>5522.9319516111455</v>
      </c>
      <c r="T44" s="108">
        <v>2.0297115384615387</v>
      </c>
      <c r="U44" s="108">
        <v>2075.177076923077</v>
      </c>
      <c r="V44" s="108">
        <v>0</v>
      </c>
      <c r="W44" s="108">
        <v>0</v>
      </c>
      <c r="X44" s="108">
        <v>8.5288007934133443</v>
      </c>
      <c r="Y44" s="108">
        <v>8719.8459311858023</v>
      </c>
      <c r="Z44" s="108">
        <v>3.2761265808102915</v>
      </c>
      <c r="AA44" s="108">
        <v>3349.5118162204421</v>
      </c>
      <c r="AB44" s="108">
        <v>6.8355209187858907</v>
      </c>
      <c r="AC44" s="108">
        <v>6988.6365873666946</v>
      </c>
      <c r="AD44" s="108">
        <v>1.4719849232943684E-16</v>
      </c>
      <c r="AE44" s="108">
        <v>1.5049573855761623E-13</v>
      </c>
      <c r="AF44" s="108">
        <v>2.4138625654783108</v>
      </c>
      <c r="AG44" s="108">
        <v>2467.933086945025</v>
      </c>
      <c r="AH44" s="108">
        <v>2.8898763464355546</v>
      </c>
      <c r="AI44" s="108">
        <v>2954.6095765957111</v>
      </c>
      <c r="AJ44" s="108">
        <v>2.2203552923760177</v>
      </c>
      <c r="AK44" s="108">
        <v>2270.0912509252403</v>
      </c>
      <c r="AL44" s="108">
        <v>0</v>
      </c>
      <c r="AM44" s="108">
        <v>0</v>
      </c>
      <c r="AN44" s="108">
        <v>15.016482254589473</v>
      </c>
      <c r="AO44" s="108">
        <v>15352.851457092276</v>
      </c>
      <c r="AP44" s="108">
        <v>3.4416847826086965</v>
      </c>
      <c r="AQ44" s="108">
        <v>3518.7785217391311</v>
      </c>
      <c r="AR44" s="108">
        <v>0</v>
      </c>
      <c r="AS44" s="108">
        <v>0</v>
      </c>
      <c r="AT44" s="108">
        <v>5.7887775551102214</v>
      </c>
      <c r="AU44" s="108">
        <v>5918.4461723446902</v>
      </c>
      <c r="AV44" s="108">
        <v>0</v>
      </c>
      <c r="AW44" s="108">
        <v>0</v>
      </c>
      <c r="AX44" s="108">
        <v>10.070858007027834</v>
      </c>
      <c r="AY44" s="108">
        <v>10296.445226385256</v>
      </c>
      <c r="AZ44" s="108">
        <v>1.6317402702797767</v>
      </c>
      <c r="BA44" s="108">
        <v>1668.2912523340437</v>
      </c>
      <c r="BB44" s="108">
        <v>0.6432810615199035</v>
      </c>
      <c r="BC44" s="108">
        <v>657.69055729794934</v>
      </c>
      <c r="BD44" s="108">
        <v>0</v>
      </c>
      <c r="BE44" s="108">
        <v>0</v>
      </c>
      <c r="BF44" s="108">
        <v>1.6683537263626251</v>
      </c>
      <c r="BG44" s="108">
        <v>1705.7248498331478</v>
      </c>
      <c r="BH44" s="108">
        <v>2.601549595667211</v>
      </c>
      <c r="BI44" s="108">
        <v>2659.8243066101563</v>
      </c>
      <c r="BJ44" s="108">
        <v>14.184980600475784</v>
      </c>
      <c r="BK44" s="108">
        <v>14502.724165926442</v>
      </c>
      <c r="BL44" s="108">
        <v>7.7559132522050609</v>
      </c>
      <c r="BM44" s="108">
        <v>7929.6457090544545</v>
      </c>
      <c r="BN44" s="108">
        <v>8.2213567776338916</v>
      </c>
      <c r="BO44" s="108">
        <v>8405.5151694528904</v>
      </c>
      <c r="BP44" s="108">
        <v>4.7438184366568379</v>
      </c>
      <c r="BQ44" s="108">
        <v>4850.0799696379509</v>
      </c>
      <c r="BR44" s="108">
        <v>8.4636182012679217</v>
      </c>
      <c r="BS44" s="108">
        <v>8653.2032489763224</v>
      </c>
      <c r="BT44" s="108">
        <v>11.175876633009226</v>
      </c>
      <c r="BU44" s="108">
        <v>11426.216269588633</v>
      </c>
      <c r="BV44" s="108">
        <v>8.8336391437308865</v>
      </c>
      <c r="BW44" s="108">
        <v>9031.5126605504574</v>
      </c>
      <c r="BX44" s="108">
        <v>0</v>
      </c>
      <c r="BY44" s="108">
        <v>0</v>
      </c>
      <c r="BZ44" s="108">
        <v>1.3382963887712058</v>
      </c>
      <c r="CA44" s="108">
        <v>1368.2742278796809</v>
      </c>
      <c r="CB44" s="108">
        <v>0.85139822532938969</v>
      </c>
      <c r="CC44" s="108">
        <v>870.46954557676804</v>
      </c>
      <c r="CD44" s="108">
        <v>0</v>
      </c>
      <c r="CE44" s="108">
        <v>0</v>
      </c>
      <c r="CF44" s="108">
        <v>3.3033668561434193</v>
      </c>
      <c r="CG44" s="108">
        <v>3377.3622737210317</v>
      </c>
      <c r="CH44" s="108">
        <v>0</v>
      </c>
      <c r="CI44" s="108">
        <v>0</v>
      </c>
      <c r="CJ44" s="108">
        <v>0</v>
      </c>
      <c r="CK44" s="108">
        <v>0</v>
      </c>
      <c r="CL44" s="108">
        <v>4.244161026639488</v>
      </c>
      <c r="CM44" s="108">
        <v>4339.2302336362127</v>
      </c>
      <c r="CN44" s="108">
        <v>2.3661451235383053</v>
      </c>
      <c r="CO44" s="108">
        <v>2419.1467743055632</v>
      </c>
      <c r="CP44" s="108">
        <v>2.3454317897371717</v>
      </c>
      <c r="CQ44" s="108">
        <v>2397.9694618272842</v>
      </c>
      <c r="CR44" s="108">
        <v>0</v>
      </c>
      <c r="CS44" s="108">
        <v>0</v>
      </c>
      <c r="CT44" s="108">
        <v>0</v>
      </c>
      <c r="CU44" s="108">
        <v>0</v>
      </c>
    </row>
    <row r="45" spans="2:99" x14ac:dyDescent="0.2">
      <c r="C45" s="107" t="s">
        <v>210</v>
      </c>
      <c r="D45" s="108">
        <v>0</v>
      </c>
      <c r="E45" s="108">
        <v>0</v>
      </c>
      <c r="F45" s="108">
        <v>0</v>
      </c>
      <c r="G45" s="108">
        <v>0</v>
      </c>
      <c r="H45" s="108">
        <v>0</v>
      </c>
      <c r="I45" s="108">
        <v>0</v>
      </c>
      <c r="J45" s="108">
        <v>0</v>
      </c>
      <c r="K45" s="108">
        <v>0</v>
      </c>
      <c r="L45" s="108">
        <v>0</v>
      </c>
      <c r="M45" s="108">
        <v>0</v>
      </c>
      <c r="N45" s="108">
        <v>14.078183642706396</v>
      </c>
      <c r="O45" s="108">
        <v>17586.467006468829</v>
      </c>
      <c r="P45" s="108">
        <v>4.0229102004163364</v>
      </c>
      <c r="Q45" s="108">
        <v>5025.419422360088</v>
      </c>
      <c r="R45" s="108">
        <v>4.8339157020663324</v>
      </c>
      <c r="S45" s="108">
        <v>6038.5274950212624</v>
      </c>
      <c r="T45" s="108">
        <v>2.1365384615384615</v>
      </c>
      <c r="U45" s="108">
        <v>2668.9638461538461</v>
      </c>
      <c r="V45" s="108">
        <v>0</v>
      </c>
      <c r="W45" s="108">
        <v>0</v>
      </c>
      <c r="X45" s="108">
        <v>8.8006284817785918</v>
      </c>
      <c r="Y45" s="108">
        <v>10993.745099437818</v>
      </c>
      <c r="Z45" s="108">
        <v>3.292552089910544</v>
      </c>
      <c r="AA45" s="108">
        <v>4113.0560707162522</v>
      </c>
      <c r="AB45" s="108">
        <v>7.9292042657916326</v>
      </c>
      <c r="AC45" s="108">
        <v>9905.1619688269075</v>
      </c>
      <c r="AD45" s="108">
        <v>1.6217978385611177E-16</v>
      </c>
      <c r="AE45" s="108">
        <v>2.0259498599305484E-13</v>
      </c>
      <c r="AF45" s="108">
        <v>2.4138625654783108</v>
      </c>
      <c r="AG45" s="108">
        <v>3015.397116795506</v>
      </c>
      <c r="AH45" s="108">
        <v>2.7863287211490801</v>
      </c>
      <c r="AI45" s="108">
        <v>3480.6818384594312</v>
      </c>
      <c r="AJ45" s="108">
        <v>2.2203552923760177</v>
      </c>
      <c r="AK45" s="108">
        <v>2773.6678312361214</v>
      </c>
      <c r="AL45" s="108">
        <v>0</v>
      </c>
      <c r="AM45" s="108">
        <v>0</v>
      </c>
      <c r="AN45" s="108">
        <v>15.582095264992583</v>
      </c>
      <c r="AO45" s="108">
        <v>19465.153405028737</v>
      </c>
      <c r="AP45" s="108">
        <v>3.4416847826086965</v>
      </c>
      <c r="AQ45" s="108">
        <v>4299.3526304347834</v>
      </c>
      <c r="AR45" s="108">
        <v>0</v>
      </c>
      <c r="AS45" s="108">
        <v>0</v>
      </c>
      <c r="AT45" s="108">
        <v>5.3434869739478952</v>
      </c>
      <c r="AU45" s="108">
        <v>6675.0839278557105</v>
      </c>
      <c r="AV45" s="108">
        <v>0</v>
      </c>
      <c r="AW45" s="108">
        <v>0</v>
      </c>
      <c r="AX45" s="108">
        <v>9.4216126839083962</v>
      </c>
      <c r="AY45" s="108">
        <v>11769.478564738369</v>
      </c>
      <c r="AZ45" s="108">
        <v>1.4891778710197483</v>
      </c>
      <c r="BA45" s="108">
        <v>1860.2809964778696</v>
      </c>
      <c r="BB45" s="108">
        <v>0.72369119420989148</v>
      </c>
      <c r="BC45" s="108">
        <v>904.03503980699645</v>
      </c>
      <c r="BD45" s="108">
        <v>0</v>
      </c>
      <c r="BE45" s="108">
        <v>0</v>
      </c>
      <c r="BF45" s="108">
        <v>1.4829810901001113</v>
      </c>
      <c r="BG45" s="108">
        <v>1852.539977753059</v>
      </c>
      <c r="BH45" s="108">
        <v>2.5642473069886358</v>
      </c>
      <c r="BI45" s="108">
        <v>3203.257735890204</v>
      </c>
      <c r="BJ45" s="108">
        <v>12.057168512358549</v>
      </c>
      <c r="BK45" s="108">
        <v>15061.814905638301</v>
      </c>
      <c r="BL45" s="108">
        <v>7.7453066443089389</v>
      </c>
      <c r="BM45" s="108">
        <v>9675.4370600707261</v>
      </c>
      <c r="BN45" s="108">
        <v>7.450440436174846</v>
      </c>
      <c r="BO45" s="108">
        <v>9307.0901928696185</v>
      </c>
      <c r="BP45" s="108">
        <v>4.8842973131425733</v>
      </c>
      <c r="BQ45" s="108">
        <v>6101.4642035777024</v>
      </c>
      <c r="BR45" s="108">
        <v>6.981578546067416</v>
      </c>
      <c r="BS45" s="108">
        <v>8721.3879197474162</v>
      </c>
      <c r="BT45" s="108">
        <v>10.808020175509693</v>
      </c>
      <c r="BU45" s="108">
        <v>13501.378803246709</v>
      </c>
      <c r="BV45" s="108">
        <v>8.4938837920489298</v>
      </c>
      <c r="BW45" s="108">
        <v>10610.559633027524</v>
      </c>
      <c r="BX45" s="108">
        <v>0</v>
      </c>
      <c r="BY45" s="108">
        <v>0</v>
      </c>
      <c r="BZ45" s="108">
        <v>1.1895967900188495</v>
      </c>
      <c r="CA45" s="108">
        <v>1486.044310091547</v>
      </c>
      <c r="CB45" s="108">
        <v>0.8065877924173166</v>
      </c>
      <c r="CC45" s="108">
        <v>1007.5894702877119</v>
      </c>
      <c r="CD45" s="108">
        <v>0</v>
      </c>
      <c r="CE45" s="108">
        <v>0</v>
      </c>
      <c r="CF45" s="108">
        <v>3.2062090074333187</v>
      </c>
      <c r="CG45" s="108">
        <v>4005.1962920857018</v>
      </c>
      <c r="CH45" s="108">
        <v>0</v>
      </c>
      <c r="CI45" s="108">
        <v>0</v>
      </c>
      <c r="CJ45" s="108">
        <v>0</v>
      </c>
      <c r="CK45" s="108">
        <v>0</v>
      </c>
      <c r="CL45" s="108">
        <v>4.4127012148549571</v>
      </c>
      <c r="CM45" s="108">
        <v>5512.3463575968126</v>
      </c>
      <c r="CN45" s="108">
        <v>2.0757653339177775</v>
      </c>
      <c r="CO45" s="108">
        <v>2593.0460551300876</v>
      </c>
      <c r="CP45" s="108">
        <v>2.0639799749687109</v>
      </c>
      <c r="CQ45" s="108">
        <v>2578.3237847309138</v>
      </c>
      <c r="CR45" s="108">
        <v>0</v>
      </c>
      <c r="CS45" s="108">
        <v>0</v>
      </c>
      <c r="CT45" s="108">
        <v>0</v>
      </c>
      <c r="CU45" s="108">
        <v>0</v>
      </c>
    </row>
    <row r="46" spans="2:99" x14ac:dyDescent="0.2">
      <c r="C46" s="107" t="s">
        <v>211</v>
      </c>
      <c r="D46" s="108">
        <v>0</v>
      </c>
      <c r="E46" s="108">
        <v>0</v>
      </c>
      <c r="F46" s="108">
        <v>0</v>
      </c>
      <c r="G46" s="108">
        <v>0</v>
      </c>
      <c r="H46" s="108">
        <v>0</v>
      </c>
      <c r="I46" s="108">
        <v>0</v>
      </c>
      <c r="J46" s="108">
        <v>0</v>
      </c>
      <c r="K46" s="108">
        <v>0</v>
      </c>
      <c r="L46" s="108">
        <v>0</v>
      </c>
      <c r="M46" s="108">
        <v>0</v>
      </c>
      <c r="N46" s="108">
        <v>15.912766851427302</v>
      </c>
      <c r="O46" s="108">
        <v>19286.273423929888</v>
      </c>
      <c r="P46" s="108">
        <v>3.9070491597005312</v>
      </c>
      <c r="Q46" s="108">
        <v>4735.3435815570438</v>
      </c>
      <c r="R46" s="108">
        <v>5.1753267627430093</v>
      </c>
      <c r="S46" s="108">
        <v>6272.4960364445269</v>
      </c>
      <c r="T46" s="108">
        <v>2.0297115384615387</v>
      </c>
      <c r="U46" s="108">
        <v>2460.0103846153847</v>
      </c>
      <c r="V46" s="108">
        <v>0</v>
      </c>
      <c r="W46" s="108">
        <v>0</v>
      </c>
      <c r="X46" s="108">
        <v>8.8139845582948748</v>
      </c>
      <c r="Y46" s="108">
        <v>10682.549284653389</v>
      </c>
      <c r="Z46" s="108">
        <v>2.9550449144227322</v>
      </c>
      <c r="AA46" s="108">
        <v>3581.5144362803512</v>
      </c>
      <c r="AB46" s="108">
        <v>7.1089417555373258</v>
      </c>
      <c r="AC46" s="108">
        <v>8616.0374077112392</v>
      </c>
      <c r="AD46" s="108">
        <v>1.611993752546196E-16</v>
      </c>
      <c r="AE46" s="108">
        <v>1.9537364280859895E-13</v>
      </c>
      <c r="AF46" s="108">
        <v>2.7179737769758936</v>
      </c>
      <c r="AG46" s="108">
        <v>3294.184217694783</v>
      </c>
      <c r="AH46" s="108">
        <v>2.5344655249566341</v>
      </c>
      <c r="AI46" s="108">
        <v>3071.7722162474406</v>
      </c>
      <c r="AJ46" s="108">
        <v>2.09700222057735</v>
      </c>
      <c r="AK46" s="108">
        <v>2541.5666913397481</v>
      </c>
      <c r="AL46" s="108">
        <v>0</v>
      </c>
      <c r="AM46" s="108">
        <v>0</v>
      </c>
      <c r="AN46" s="108">
        <v>16.233738976052177</v>
      </c>
      <c r="AO46" s="108">
        <v>19675.291638975239</v>
      </c>
      <c r="AP46" s="108">
        <v>3.8039673913043486</v>
      </c>
      <c r="AQ46" s="108">
        <v>4610.4084782608707</v>
      </c>
      <c r="AR46" s="108">
        <v>0</v>
      </c>
      <c r="AS46" s="108">
        <v>0</v>
      </c>
      <c r="AT46" s="108">
        <v>5.7887775551102214</v>
      </c>
      <c r="AU46" s="108">
        <v>7015.9983967935887</v>
      </c>
      <c r="AV46" s="108">
        <v>0</v>
      </c>
      <c r="AW46" s="108">
        <v>0</v>
      </c>
      <c r="AX46" s="108">
        <v>8.6251678389676556</v>
      </c>
      <c r="AY46" s="108">
        <v>10453.703420828799</v>
      </c>
      <c r="AZ46" s="108">
        <v>1.5595541372400343</v>
      </c>
      <c r="BA46" s="108">
        <v>1890.1796143349216</v>
      </c>
      <c r="BB46" s="108">
        <v>0.60307599517490951</v>
      </c>
      <c r="BC46" s="108">
        <v>730.92810615199028</v>
      </c>
      <c r="BD46" s="108">
        <v>0</v>
      </c>
      <c r="BE46" s="108">
        <v>0</v>
      </c>
      <c r="BF46" s="108">
        <v>1.6683537263626251</v>
      </c>
      <c r="BG46" s="108">
        <v>2022.0447163515016</v>
      </c>
      <c r="BH46" s="108">
        <v>2.5451475633450249</v>
      </c>
      <c r="BI46" s="108">
        <v>3084.7188467741703</v>
      </c>
      <c r="BJ46" s="108">
        <v>12.999277773415832</v>
      </c>
      <c r="BK46" s="108">
        <v>15755.124661379989</v>
      </c>
      <c r="BL46" s="108">
        <v>7.2449580534922386</v>
      </c>
      <c r="BM46" s="108">
        <v>8780.8891608325939</v>
      </c>
      <c r="BN46" s="108">
        <v>7.1267691855220674</v>
      </c>
      <c r="BO46" s="108">
        <v>8637.6442528527459</v>
      </c>
      <c r="BP46" s="108">
        <v>5.0415244650925715</v>
      </c>
      <c r="BQ46" s="108">
        <v>6110.3276516921969</v>
      </c>
      <c r="BR46" s="108">
        <v>7.85436022878429</v>
      </c>
      <c r="BS46" s="108">
        <v>9519.4845972865587</v>
      </c>
      <c r="BT46" s="108">
        <v>10.48646891806059</v>
      </c>
      <c r="BU46" s="108">
        <v>12709.600328689434</v>
      </c>
      <c r="BV46" s="108">
        <v>8.3240061162079524</v>
      </c>
      <c r="BW46" s="108">
        <v>10088.695412844037</v>
      </c>
      <c r="BX46" s="108">
        <v>0</v>
      </c>
      <c r="BY46" s="108">
        <v>0</v>
      </c>
      <c r="BZ46" s="108">
        <v>1.1895967900188495</v>
      </c>
      <c r="CA46" s="108">
        <v>1441.7913095028457</v>
      </c>
      <c r="CB46" s="108">
        <v>0.76177735950524339</v>
      </c>
      <c r="CC46" s="108">
        <v>923.27415972035499</v>
      </c>
      <c r="CD46" s="108">
        <v>0</v>
      </c>
      <c r="CE46" s="108">
        <v>0</v>
      </c>
      <c r="CF46" s="108">
        <v>2.7689986882378661</v>
      </c>
      <c r="CG46" s="108">
        <v>3356.0264101442935</v>
      </c>
      <c r="CH46" s="108">
        <v>0</v>
      </c>
      <c r="CI46" s="108">
        <v>0</v>
      </c>
      <c r="CJ46" s="108">
        <v>0</v>
      </c>
      <c r="CK46" s="108">
        <v>0</v>
      </c>
      <c r="CL46" s="108">
        <v>3.9847035856134703</v>
      </c>
      <c r="CM46" s="108">
        <v>4829.4607457635257</v>
      </c>
      <c r="CN46" s="108">
        <v>2.0663942890103688</v>
      </c>
      <c r="CO46" s="108">
        <v>2504.4698782805672</v>
      </c>
      <c r="CP46" s="108">
        <v>2.0639799749687109</v>
      </c>
      <c r="CQ46" s="108">
        <v>2501.5437296620776</v>
      </c>
      <c r="CR46" s="108">
        <v>0</v>
      </c>
      <c r="CS46" s="108">
        <v>0</v>
      </c>
      <c r="CT46" s="108">
        <v>0</v>
      </c>
      <c r="CU46" s="108">
        <v>0</v>
      </c>
    </row>
    <row r="47" spans="2:99" x14ac:dyDescent="0.2">
      <c r="C47" s="107" t="s">
        <v>212</v>
      </c>
      <c r="D47" s="108">
        <v>0</v>
      </c>
      <c r="E47" s="108">
        <v>0</v>
      </c>
      <c r="F47" s="108">
        <v>0</v>
      </c>
      <c r="G47" s="108">
        <v>0</v>
      </c>
      <c r="H47" s="108">
        <v>0</v>
      </c>
      <c r="I47" s="108">
        <v>0</v>
      </c>
      <c r="J47" s="108">
        <v>0</v>
      </c>
      <c r="K47" s="108">
        <v>0</v>
      </c>
      <c r="L47" s="108">
        <v>0</v>
      </c>
      <c r="M47" s="108">
        <v>0</v>
      </c>
      <c r="N47" s="108">
        <v>12.859020900858978</v>
      </c>
      <c r="O47" s="108">
        <v>19643.440328152174</v>
      </c>
      <c r="P47" s="108">
        <v>3.8001090385842833</v>
      </c>
      <c r="Q47" s="108">
        <v>5805.046567341351</v>
      </c>
      <c r="R47" s="108">
        <v>4.2243004566832427</v>
      </c>
      <c r="S47" s="108">
        <v>6453.0413776293208</v>
      </c>
      <c r="T47" s="108">
        <v>2.0297115384615387</v>
      </c>
      <c r="U47" s="108">
        <v>3100.5873461538463</v>
      </c>
      <c r="V47" s="108">
        <v>0</v>
      </c>
      <c r="W47" s="108">
        <v>0</v>
      </c>
      <c r="X47" s="108">
        <v>7.9985014931991358</v>
      </c>
      <c r="Y47" s="108">
        <v>12218.510881011</v>
      </c>
      <c r="Z47" s="108">
        <v>2.6257504934850462</v>
      </c>
      <c r="AA47" s="108">
        <v>4011.0964538477565</v>
      </c>
      <c r="AB47" s="108">
        <v>7.3823625922887617</v>
      </c>
      <c r="AC47" s="108">
        <v>11277.297095980311</v>
      </c>
      <c r="AD47" s="108">
        <v>1.4719849232943684E-16</v>
      </c>
      <c r="AE47" s="108">
        <v>2.2486041688244769E-13</v>
      </c>
      <c r="AF47" s="108">
        <v>2.6269970637421509</v>
      </c>
      <c r="AG47" s="108">
        <v>4013.0007145725094</v>
      </c>
      <c r="AH47" s="108">
        <v>2.8451084008160596</v>
      </c>
      <c r="AI47" s="108">
        <v>4346.1875930866127</v>
      </c>
      <c r="AJ47" s="108">
        <v>2.2203552923760177</v>
      </c>
      <c r="AK47" s="108">
        <v>3391.8147446336043</v>
      </c>
      <c r="AL47" s="108">
        <v>0</v>
      </c>
      <c r="AM47" s="108">
        <v>0</v>
      </c>
      <c r="AN47" s="108">
        <v>14.93045155393299</v>
      </c>
      <c r="AO47" s="108">
        <v>22807.757793788034</v>
      </c>
      <c r="AP47" s="108">
        <v>3.6228260869565223</v>
      </c>
      <c r="AQ47" s="108">
        <v>5534.2291304347827</v>
      </c>
      <c r="AR47" s="108">
        <v>0</v>
      </c>
      <c r="AS47" s="108">
        <v>0</v>
      </c>
      <c r="AT47" s="108">
        <v>5.3434869739478952</v>
      </c>
      <c r="AU47" s="108">
        <v>8162.7107014028043</v>
      </c>
      <c r="AV47" s="108">
        <v>0</v>
      </c>
      <c r="AW47" s="108">
        <v>0</v>
      </c>
      <c r="AX47" s="108">
        <v>9.1107025747072665</v>
      </c>
      <c r="AY47" s="108">
        <v>13917.50925312282</v>
      </c>
      <c r="AZ47" s="108">
        <v>1.6190712025435836</v>
      </c>
      <c r="BA47" s="108">
        <v>2473.293169005578</v>
      </c>
      <c r="BB47" s="108">
        <v>0.6432810615199035</v>
      </c>
      <c r="BC47" s="108">
        <v>982.67614957780449</v>
      </c>
      <c r="BD47" s="108">
        <v>0</v>
      </c>
      <c r="BE47" s="108">
        <v>0</v>
      </c>
      <c r="BF47" s="108">
        <v>1.6683537263626251</v>
      </c>
      <c r="BG47" s="108">
        <v>2548.577152391546</v>
      </c>
      <c r="BH47" s="108">
        <v>2.0664982007840678</v>
      </c>
      <c r="BI47" s="108">
        <v>3156.7826515177417</v>
      </c>
      <c r="BJ47" s="108">
        <v>12.249408149709643</v>
      </c>
      <c r="BK47" s="108">
        <v>18712.195889496448</v>
      </c>
      <c r="BL47" s="108">
        <v>6.4186586283556872</v>
      </c>
      <c r="BM47" s="108">
        <v>9805.1429206761477</v>
      </c>
      <c r="BN47" s="108">
        <v>7.3170421625086517</v>
      </c>
      <c r="BO47" s="108">
        <v>11177.513607448216</v>
      </c>
      <c r="BP47" s="108">
        <v>5.1778162727122412</v>
      </c>
      <c r="BQ47" s="108">
        <v>7909.6321381952193</v>
      </c>
      <c r="BR47" s="108">
        <v>8.0066747219051972</v>
      </c>
      <c r="BS47" s="108">
        <v>12230.996305182378</v>
      </c>
      <c r="BT47" s="108">
        <v>8.8928551260466033</v>
      </c>
      <c r="BU47" s="108">
        <v>13584.72549054879</v>
      </c>
      <c r="BV47" s="108">
        <v>9.173394495412845</v>
      </c>
      <c r="BW47" s="108">
        <v>14013.277431192661</v>
      </c>
      <c r="BX47" s="108">
        <v>0</v>
      </c>
      <c r="BY47" s="108">
        <v>0</v>
      </c>
      <c r="BZ47" s="108">
        <v>1.2639465893950277</v>
      </c>
      <c r="CA47" s="108">
        <v>1930.8048099598441</v>
      </c>
      <c r="CB47" s="108">
        <v>0.85139822532938969</v>
      </c>
      <c r="CC47" s="108">
        <v>1300.5959290131757</v>
      </c>
      <c r="CD47" s="108">
        <v>0</v>
      </c>
      <c r="CE47" s="108">
        <v>0</v>
      </c>
      <c r="CF47" s="108">
        <v>2.6718408395277655</v>
      </c>
      <c r="CG47" s="108">
        <v>4081.5040664626144</v>
      </c>
      <c r="CH47" s="108">
        <v>0</v>
      </c>
      <c r="CI47" s="108">
        <v>0</v>
      </c>
      <c r="CJ47" s="108">
        <v>0</v>
      </c>
      <c r="CK47" s="108">
        <v>0</v>
      </c>
      <c r="CL47" s="108">
        <v>3.8755066463701779</v>
      </c>
      <c r="CM47" s="108">
        <v>5920.2239529950839</v>
      </c>
      <c r="CN47" s="108">
        <v>2.0682684979918502</v>
      </c>
      <c r="CO47" s="108">
        <v>3159.4869575323501</v>
      </c>
      <c r="CP47" s="108">
        <v>2.1577972465581978</v>
      </c>
      <c r="CQ47" s="108">
        <v>3296.251073842303</v>
      </c>
      <c r="CR47" s="108">
        <v>0</v>
      </c>
      <c r="CS47" s="108">
        <v>0</v>
      </c>
      <c r="CT47" s="108">
        <v>0</v>
      </c>
      <c r="CU47" s="108">
        <v>0</v>
      </c>
    </row>
    <row r="48" spans="2:99" x14ac:dyDescent="0.2">
      <c r="C48" s="107" t="s">
        <v>213</v>
      </c>
      <c r="D48" s="108">
        <v>0</v>
      </c>
      <c r="E48" s="108">
        <v>0</v>
      </c>
      <c r="F48" s="108">
        <v>0</v>
      </c>
      <c r="G48" s="108">
        <v>0</v>
      </c>
      <c r="H48" s="108">
        <v>0</v>
      </c>
      <c r="I48" s="108">
        <v>0</v>
      </c>
      <c r="J48" s="108">
        <v>0</v>
      </c>
      <c r="K48" s="108">
        <v>0</v>
      </c>
      <c r="L48" s="108">
        <v>0</v>
      </c>
      <c r="M48" s="108">
        <v>0</v>
      </c>
      <c r="N48" s="108">
        <v>14.851838548260588</v>
      </c>
      <c r="O48" s="108">
        <v>12885.455124470887</v>
      </c>
      <c r="P48" s="108">
        <v>3.8562553750222746</v>
      </c>
      <c r="Q48" s="108">
        <v>3345.6871633693254</v>
      </c>
      <c r="R48" s="108">
        <v>5.2696857539093553</v>
      </c>
      <c r="S48" s="108">
        <v>4571.9793600917565</v>
      </c>
      <c r="T48" s="108">
        <v>2.1365384615384615</v>
      </c>
      <c r="U48" s="108">
        <v>1853.6607692307693</v>
      </c>
      <c r="V48" s="108">
        <v>0</v>
      </c>
      <c r="W48" s="108">
        <v>0</v>
      </c>
      <c r="X48" s="108">
        <v>8.2436170285318138</v>
      </c>
      <c r="Y48" s="108">
        <v>7152.1621339542016</v>
      </c>
      <c r="Z48" s="108">
        <v>3.3007648444606712</v>
      </c>
      <c r="AA48" s="108">
        <v>2863.7435790540785</v>
      </c>
      <c r="AB48" s="108">
        <v>7.3823625922887617</v>
      </c>
      <c r="AC48" s="108">
        <v>6404.9377850697301</v>
      </c>
      <c r="AD48" s="108">
        <v>1.7421984957831024E-16</v>
      </c>
      <c r="AE48" s="108">
        <v>1.5115314149414197E-13</v>
      </c>
      <c r="AF48" s="108">
        <v>2.4450436372746642</v>
      </c>
      <c r="AG48" s="108">
        <v>2121.3198596994989</v>
      </c>
      <c r="AH48" s="108">
        <v>3.0182950526217498</v>
      </c>
      <c r="AI48" s="108">
        <v>2618.6727876546302</v>
      </c>
      <c r="AJ48" s="108">
        <v>2.2203552923760177</v>
      </c>
      <c r="AK48" s="108">
        <v>1926.380251665433</v>
      </c>
      <c r="AL48" s="108">
        <v>0</v>
      </c>
      <c r="AM48" s="108">
        <v>0</v>
      </c>
      <c r="AN48" s="108">
        <v>17.53702639817136</v>
      </c>
      <c r="AO48" s="108">
        <v>15215.124103053473</v>
      </c>
      <c r="AP48" s="108">
        <v>3.6228260869565223</v>
      </c>
      <c r="AQ48" s="108">
        <v>3143.1639130434787</v>
      </c>
      <c r="AR48" s="108">
        <v>0</v>
      </c>
      <c r="AS48" s="108">
        <v>0</v>
      </c>
      <c r="AT48" s="108">
        <v>5.3434869739478952</v>
      </c>
      <c r="AU48" s="108">
        <v>4636.0092985971942</v>
      </c>
      <c r="AV48" s="108">
        <v>0</v>
      </c>
      <c r="AW48" s="108">
        <v>0</v>
      </c>
      <c r="AX48" s="108">
        <v>8.9962451703619273</v>
      </c>
      <c r="AY48" s="108">
        <v>7805.1423098060086</v>
      </c>
      <c r="AZ48" s="108">
        <v>1.485558137380836</v>
      </c>
      <c r="BA48" s="108">
        <v>1288.8702399916133</v>
      </c>
      <c r="BB48" s="108">
        <v>0.68348612786489749</v>
      </c>
      <c r="BC48" s="108">
        <v>592.99256453558507</v>
      </c>
      <c r="BD48" s="108">
        <v>0</v>
      </c>
      <c r="BE48" s="108">
        <v>0</v>
      </c>
      <c r="BF48" s="108">
        <v>1.5756674082313682</v>
      </c>
      <c r="BG48" s="108">
        <v>1367.0490433815351</v>
      </c>
      <c r="BH48" s="108">
        <v>2.7053816742251255</v>
      </c>
      <c r="BI48" s="108">
        <v>2347.1891405577189</v>
      </c>
      <c r="BJ48" s="108">
        <v>14.730759680218981</v>
      </c>
      <c r="BK48" s="108">
        <v>12780.407098557987</v>
      </c>
      <c r="BL48" s="108">
        <v>8.385581515960089</v>
      </c>
      <c r="BM48" s="108">
        <v>7275.3305232469738</v>
      </c>
      <c r="BN48" s="108">
        <v>7.9742090973269164</v>
      </c>
      <c r="BO48" s="108">
        <v>6918.4238128408333</v>
      </c>
      <c r="BP48" s="108">
        <v>5.5257671275407629</v>
      </c>
      <c r="BQ48" s="108">
        <v>4794.1555598543664</v>
      </c>
      <c r="BR48" s="108">
        <v>8.1630997426269634</v>
      </c>
      <c r="BS48" s="108">
        <v>7082.3053367031534</v>
      </c>
      <c r="BT48" s="108">
        <v>10.292250644855173</v>
      </c>
      <c r="BU48" s="108">
        <v>8929.5566594763477</v>
      </c>
      <c r="BV48" s="108">
        <v>10.192660550458715</v>
      </c>
      <c r="BW48" s="108">
        <v>8843.1522935779813</v>
      </c>
      <c r="BX48" s="108">
        <v>0</v>
      </c>
      <c r="BY48" s="108">
        <v>0</v>
      </c>
      <c r="BZ48" s="108">
        <v>1.412646188147384</v>
      </c>
      <c r="CA48" s="108">
        <v>1225.6118328366704</v>
      </c>
      <c r="CB48" s="108">
        <v>0.8962086582414629</v>
      </c>
      <c r="CC48" s="108">
        <v>777.55063189029318</v>
      </c>
      <c r="CD48" s="108">
        <v>0</v>
      </c>
      <c r="CE48" s="108">
        <v>0</v>
      </c>
      <c r="CF48" s="108">
        <v>3.1576300830782689</v>
      </c>
      <c r="CG48" s="108">
        <v>2739.5598600787062</v>
      </c>
      <c r="CH48" s="108">
        <v>0</v>
      </c>
      <c r="CI48" s="108">
        <v>0</v>
      </c>
      <c r="CJ48" s="108">
        <v>0</v>
      </c>
      <c r="CK48" s="108">
        <v>0</v>
      </c>
      <c r="CL48" s="108">
        <v>4.3300929104229269</v>
      </c>
      <c r="CM48" s="108">
        <v>3756.7886090829315</v>
      </c>
      <c r="CN48" s="108">
        <v>2.2106470793298918</v>
      </c>
      <c r="CO48" s="108">
        <v>1917.9574060266141</v>
      </c>
      <c r="CP48" s="108">
        <v>2.1577972465581978</v>
      </c>
      <c r="CQ48" s="108">
        <v>1872.1048911138926</v>
      </c>
      <c r="CR48" s="108">
        <v>0</v>
      </c>
      <c r="CS48" s="108">
        <v>0</v>
      </c>
      <c r="CT48" s="108">
        <v>0</v>
      </c>
      <c r="CU48" s="108">
        <v>0</v>
      </c>
    </row>
    <row r="49" spans="2:99" x14ac:dyDescent="0.2">
      <c r="B49" s="107" t="s">
        <v>129</v>
      </c>
      <c r="C49" s="107" t="s">
        <v>214</v>
      </c>
      <c r="D49" s="108">
        <v>0</v>
      </c>
      <c r="E49" s="108">
        <v>0</v>
      </c>
      <c r="F49" s="108">
        <v>0</v>
      </c>
      <c r="G49" s="108">
        <v>0</v>
      </c>
      <c r="H49" s="108">
        <v>0</v>
      </c>
      <c r="I49" s="108">
        <v>0</v>
      </c>
      <c r="J49" s="108">
        <v>15.581870011402508</v>
      </c>
      <c r="K49" s="108">
        <v>15351.25833523375</v>
      </c>
      <c r="L49" s="108">
        <v>0</v>
      </c>
      <c r="M49" s="108">
        <v>0</v>
      </c>
      <c r="N49" s="108">
        <v>28.431194965883819</v>
      </c>
      <c r="O49" s="108">
        <v>28010.413280388737</v>
      </c>
      <c r="P49" s="108">
        <v>20.930921052631579</v>
      </c>
      <c r="Q49" s="108">
        <v>20621.143421052631</v>
      </c>
      <c r="R49" s="108">
        <v>0</v>
      </c>
      <c r="S49" s="108">
        <v>0</v>
      </c>
      <c r="T49" s="108">
        <v>5.5418076451781735</v>
      </c>
      <c r="U49" s="108">
        <v>5459.7888920295363</v>
      </c>
      <c r="V49" s="108">
        <v>3.8257465707218357</v>
      </c>
      <c r="W49" s="108">
        <v>3769.1255214751523</v>
      </c>
      <c r="X49" s="108">
        <v>5.4899869960988292</v>
      </c>
      <c r="Y49" s="108">
        <v>5408.7351885565658</v>
      </c>
      <c r="Z49" s="108">
        <v>1.7337150346245729</v>
      </c>
      <c r="AA49" s="108">
        <v>1708.056052112129</v>
      </c>
      <c r="AB49" s="108">
        <v>0</v>
      </c>
      <c r="AC49" s="108">
        <v>0</v>
      </c>
      <c r="AD49" s="108">
        <v>7.9177601809954758</v>
      </c>
      <c r="AE49" s="108">
        <v>7800.5773303167425</v>
      </c>
      <c r="AF49" s="108">
        <v>4.6688041995650735</v>
      </c>
      <c r="AG49" s="108">
        <v>4599.7058974115098</v>
      </c>
      <c r="AH49" s="108">
        <v>1.9573056709603907E-16</v>
      </c>
      <c r="AI49" s="108">
        <v>1.9283375470301768E-13</v>
      </c>
      <c r="AJ49" s="108">
        <v>0</v>
      </c>
      <c r="AK49" s="108">
        <v>0</v>
      </c>
      <c r="AL49" s="108">
        <v>3.3251451742767406</v>
      </c>
      <c r="AM49" s="108">
        <v>3275.9330256974445</v>
      </c>
      <c r="AN49" s="108">
        <v>10.562535531213737</v>
      </c>
      <c r="AO49" s="108">
        <v>10406.210005351773</v>
      </c>
      <c r="AP49" s="108">
        <v>3.7891395809225217</v>
      </c>
      <c r="AQ49" s="108">
        <v>3733.0603151248679</v>
      </c>
      <c r="AR49" s="108">
        <v>5.0301098627399154</v>
      </c>
      <c r="AS49" s="108">
        <v>4955.6642367713639</v>
      </c>
      <c r="AT49" s="108">
        <v>1.837721913983166</v>
      </c>
      <c r="AU49" s="108">
        <v>1810.523629656215</v>
      </c>
      <c r="AV49" s="108">
        <v>1.6872066267832488</v>
      </c>
      <c r="AW49" s="108">
        <v>1662.2359687068567</v>
      </c>
      <c r="AX49" s="108">
        <v>0</v>
      </c>
      <c r="AY49" s="108">
        <v>0</v>
      </c>
      <c r="AZ49" s="108">
        <v>28.290716180371351</v>
      </c>
      <c r="BA49" s="108">
        <v>27872.013580901854</v>
      </c>
      <c r="BB49" s="108">
        <v>0</v>
      </c>
      <c r="BC49" s="108">
        <v>0</v>
      </c>
      <c r="BD49" s="108">
        <v>23.807142857142857</v>
      </c>
      <c r="BE49" s="108">
        <v>23454.79714285714</v>
      </c>
      <c r="BF49" s="108">
        <v>17.811786237188873</v>
      </c>
      <c r="BG49" s="108">
        <v>17548.171800878477</v>
      </c>
      <c r="BH49" s="108">
        <v>0</v>
      </c>
      <c r="BI49" s="108">
        <v>0</v>
      </c>
      <c r="BJ49" s="108">
        <v>3.2426002358490567</v>
      </c>
      <c r="BK49" s="108">
        <v>3194.6097523584904</v>
      </c>
      <c r="BL49" s="108">
        <v>5.2767180256381394</v>
      </c>
      <c r="BM49" s="108">
        <v>5198.6225988586948</v>
      </c>
      <c r="BN49" s="108">
        <v>3.6434004183151236</v>
      </c>
      <c r="BO49" s="108">
        <v>3589.4780921240595</v>
      </c>
      <c r="BP49" s="108">
        <v>2.4164501213742793</v>
      </c>
      <c r="BQ49" s="108">
        <v>2380.6866595779397</v>
      </c>
      <c r="BR49" s="108">
        <v>1.8148942985265859</v>
      </c>
      <c r="BS49" s="108">
        <v>1788.0338629083924</v>
      </c>
      <c r="BT49" s="108">
        <v>0</v>
      </c>
      <c r="BU49" s="108">
        <v>0</v>
      </c>
      <c r="BV49" s="108">
        <v>0</v>
      </c>
      <c r="BW49" s="108">
        <v>0</v>
      </c>
      <c r="BX49" s="108">
        <v>4.1049173634992098</v>
      </c>
      <c r="BY49" s="108">
        <v>4044.1645865194214</v>
      </c>
      <c r="BZ49" s="108">
        <v>3.969882062359944</v>
      </c>
      <c r="CA49" s="108">
        <v>3911.1278078370165</v>
      </c>
      <c r="CB49" s="108">
        <v>3.7054264283296066</v>
      </c>
      <c r="CC49" s="108">
        <v>3650.586117190328</v>
      </c>
      <c r="CD49" s="108">
        <v>8.635450755007092</v>
      </c>
      <c r="CE49" s="108">
        <v>8507.6460838329858</v>
      </c>
      <c r="CF49" s="108">
        <v>4.2868167202572351</v>
      </c>
      <c r="CG49" s="108">
        <v>4223.3718327974275</v>
      </c>
      <c r="CH49" s="108">
        <v>0</v>
      </c>
      <c r="CI49" s="108">
        <v>0</v>
      </c>
      <c r="CJ49" s="108">
        <v>3.6204410796576694</v>
      </c>
      <c r="CK49" s="108">
        <v>3566.8585516787357</v>
      </c>
      <c r="CL49" s="108">
        <v>7.5511571860490712</v>
      </c>
      <c r="CM49" s="108">
        <v>7439.4000596955448</v>
      </c>
      <c r="CN49" s="108">
        <v>0</v>
      </c>
      <c r="CO49" s="108">
        <v>0</v>
      </c>
      <c r="CP49" s="108">
        <v>5.3486880003503501</v>
      </c>
      <c r="CQ49" s="108">
        <v>5269.5274179451644</v>
      </c>
      <c r="CR49" s="108">
        <v>4.1289497814610714</v>
      </c>
      <c r="CS49" s="108">
        <v>4067.8413246954474</v>
      </c>
      <c r="CT49" s="108">
        <v>4.2552228412256268</v>
      </c>
      <c r="CU49" s="108">
        <v>4192.245543175487</v>
      </c>
    </row>
    <row r="50" spans="2:99" x14ac:dyDescent="0.2">
      <c r="C50" s="107" t="s">
        <v>215</v>
      </c>
      <c r="D50" s="108">
        <v>0</v>
      </c>
      <c r="E50" s="108">
        <v>0</v>
      </c>
      <c r="F50" s="108">
        <v>0</v>
      </c>
      <c r="G50" s="108">
        <v>0</v>
      </c>
      <c r="H50" s="108">
        <v>0</v>
      </c>
      <c r="I50" s="108">
        <v>0</v>
      </c>
      <c r="J50" s="108">
        <v>0</v>
      </c>
      <c r="K50" s="108">
        <v>0</v>
      </c>
      <c r="L50" s="108">
        <v>0</v>
      </c>
      <c r="M50" s="108">
        <v>0</v>
      </c>
      <c r="N50" s="108">
        <v>9.7935967583910966</v>
      </c>
      <c r="O50" s="108">
        <v>2761.7942858662891</v>
      </c>
      <c r="P50" s="108">
        <v>4.8774836203471512</v>
      </c>
      <c r="Q50" s="108">
        <v>1375.4503809378966</v>
      </c>
      <c r="R50" s="108">
        <v>2.2564773629897563</v>
      </c>
      <c r="S50" s="108">
        <v>636.32661636311127</v>
      </c>
      <c r="T50" s="108">
        <v>5.9823076923076925</v>
      </c>
      <c r="U50" s="108">
        <v>1687.0107692307693</v>
      </c>
      <c r="V50" s="108">
        <v>0</v>
      </c>
      <c r="W50" s="108">
        <v>0</v>
      </c>
      <c r="X50" s="108">
        <v>11.942356053514992</v>
      </c>
      <c r="Y50" s="108">
        <v>3367.7444070912275</v>
      </c>
      <c r="Z50" s="108">
        <v>7.4415833698321237</v>
      </c>
      <c r="AA50" s="108">
        <v>2098.5265102926587</v>
      </c>
      <c r="AB50" s="108">
        <v>2.734208367514356</v>
      </c>
      <c r="AC50" s="108">
        <v>771.04675963904845</v>
      </c>
      <c r="AD50" s="108">
        <v>1.0778444630976522E-16</v>
      </c>
      <c r="AE50" s="108">
        <v>3.0395213859353792E-14</v>
      </c>
      <c r="AF50" s="108">
        <v>1.5498491926115343</v>
      </c>
      <c r="AG50" s="108">
        <v>437.05747231645267</v>
      </c>
      <c r="AH50" s="108">
        <v>1.4912823124348971</v>
      </c>
      <c r="AI50" s="108">
        <v>420.54161210664097</v>
      </c>
      <c r="AJ50" s="108">
        <v>1.850296076980015</v>
      </c>
      <c r="AK50" s="108">
        <v>521.78349370836418</v>
      </c>
      <c r="AL50" s="108">
        <v>0</v>
      </c>
      <c r="AM50" s="108">
        <v>0</v>
      </c>
      <c r="AN50" s="108">
        <v>11.007762375303487</v>
      </c>
      <c r="AO50" s="108">
        <v>3104.1889898355835</v>
      </c>
      <c r="AP50" s="108">
        <v>3.2605434782608702</v>
      </c>
      <c r="AQ50" s="108">
        <v>919.47326086956537</v>
      </c>
      <c r="AR50" s="108">
        <v>0</v>
      </c>
      <c r="AS50" s="108">
        <v>0</v>
      </c>
      <c r="AT50" s="108">
        <v>8.460521042084169</v>
      </c>
      <c r="AU50" s="108">
        <v>2385.8669338677355</v>
      </c>
      <c r="AV50" s="108">
        <v>0</v>
      </c>
      <c r="AW50" s="108">
        <v>0</v>
      </c>
      <c r="AX50" s="108">
        <v>9.1591157168185244</v>
      </c>
      <c r="AY50" s="108">
        <v>2582.870632142824</v>
      </c>
      <c r="AZ50" s="108">
        <v>8.2095191712550921</v>
      </c>
      <c r="BA50" s="108">
        <v>2315.0844062939359</v>
      </c>
      <c r="BB50" s="108">
        <v>3.6184559710494573</v>
      </c>
      <c r="BC50" s="108">
        <v>1020.4045838359469</v>
      </c>
      <c r="BD50" s="108">
        <v>0</v>
      </c>
      <c r="BE50" s="108">
        <v>0</v>
      </c>
      <c r="BF50" s="108">
        <v>8.0637096774193555</v>
      </c>
      <c r="BG50" s="108">
        <v>2273.9661290322583</v>
      </c>
      <c r="BH50" s="108">
        <v>0.23663308545454181</v>
      </c>
      <c r="BI50" s="108">
        <v>66.730530098180793</v>
      </c>
      <c r="BJ50" s="108">
        <v>1.2719468902255802</v>
      </c>
      <c r="BK50" s="108">
        <v>358.68902304361359</v>
      </c>
      <c r="BL50" s="108">
        <v>0.94297211199389719</v>
      </c>
      <c r="BM50" s="108">
        <v>265.91813558227904</v>
      </c>
      <c r="BN50" s="108">
        <v>1.0202429305751717</v>
      </c>
      <c r="BO50" s="108">
        <v>287.70850642219841</v>
      </c>
      <c r="BP50" s="108">
        <v>1.7313801364104804</v>
      </c>
      <c r="BQ50" s="108">
        <v>488.24919846775549</v>
      </c>
      <c r="BR50" s="108">
        <v>2.5274634971533798</v>
      </c>
      <c r="BS50" s="108">
        <v>712.74470619725309</v>
      </c>
      <c r="BT50" s="108">
        <v>1.8302848144939714</v>
      </c>
      <c r="BU50" s="108">
        <v>516.1403176872999</v>
      </c>
      <c r="BV50" s="108">
        <v>1.5288990825688076</v>
      </c>
      <c r="BW50" s="108">
        <v>431.14954128440371</v>
      </c>
      <c r="BX50" s="108">
        <v>0</v>
      </c>
      <c r="BY50" s="108">
        <v>0</v>
      </c>
      <c r="BZ50" s="108">
        <v>1.1895967900188495</v>
      </c>
      <c r="CA50" s="108">
        <v>335.4662947853156</v>
      </c>
      <c r="CB50" s="108">
        <v>0.76177735950524339</v>
      </c>
      <c r="CC50" s="108">
        <v>214.82121538047863</v>
      </c>
      <c r="CD50" s="108">
        <v>0</v>
      </c>
      <c r="CE50" s="108">
        <v>0</v>
      </c>
      <c r="CF50" s="108">
        <v>0.9229995627459554</v>
      </c>
      <c r="CG50" s="108">
        <v>260.28587669435944</v>
      </c>
      <c r="CH50" s="108">
        <v>0</v>
      </c>
      <c r="CI50" s="108">
        <v>0</v>
      </c>
      <c r="CJ50" s="108">
        <v>0</v>
      </c>
      <c r="CK50" s="108">
        <v>0</v>
      </c>
      <c r="CL50" s="108">
        <v>1.5377655287539866</v>
      </c>
      <c r="CM50" s="108">
        <v>433.64987910862425</v>
      </c>
      <c r="CN50" s="108">
        <v>4.6254603351321517</v>
      </c>
      <c r="CO50" s="108">
        <v>1304.3798145072667</v>
      </c>
      <c r="CP50" s="108">
        <v>7.5991989987484363</v>
      </c>
      <c r="CQ50" s="108">
        <v>2142.9741176470588</v>
      </c>
      <c r="CR50" s="108">
        <v>0</v>
      </c>
      <c r="CS50" s="108">
        <v>0</v>
      </c>
      <c r="CT50" s="108">
        <v>0</v>
      </c>
      <c r="CU50" s="108">
        <v>0</v>
      </c>
    </row>
    <row r="51" spans="2:99" x14ac:dyDescent="0.2">
      <c r="C51" s="107" t="s">
        <v>216</v>
      </c>
      <c r="D51" s="108">
        <v>0</v>
      </c>
      <c r="E51" s="108">
        <v>0</v>
      </c>
      <c r="F51" s="108">
        <v>0</v>
      </c>
      <c r="G51" s="108">
        <v>0</v>
      </c>
      <c r="H51" s="108">
        <v>0</v>
      </c>
      <c r="I51" s="108">
        <v>0</v>
      </c>
      <c r="J51" s="108">
        <v>0</v>
      </c>
      <c r="K51" s="108">
        <v>0</v>
      </c>
      <c r="L51" s="108">
        <v>0</v>
      </c>
      <c r="M51" s="108">
        <v>0</v>
      </c>
      <c r="N51" s="108">
        <v>10.256621882533658</v>
      </c>
      <c r="O51" s="108">
        <v>8763.2577364367571</v>
      </c>
      <c r="P51" s="108">
        <v>3.841034354663813</v>
      </c>
      <c r="Q51" s="108">
        <v>3281.7797526247618</v>
      </c>
      <c r="R51" s="108">
        <v>2.1130797776411603</v>
      </c>
      <c r="S51" s="108">
        <v>1805.4153620166073</v>
      </c>
      <c r="T51" s="108">
        <v>4.7003846153846149</v>
      </c>
      <c r="U51" s="108">
        <v>4016.008615384615</v>
      </c>
      <c r="V51" s="108">
        <v>0</v>
      </c>
      <c r="W51" s="108">
        <v>0</v>
      </c>
      <c r="X51" s="108">
        <v>11.942356053514992</v>
      </c>
      <c r="Y51" s="108">
        <v>10203.549012123209</v>
      </c>
      <c r="Z51" s="108">
        <v>6.5937090538375305</v>
      </c>
      <c r="AA51" s="108">
        <v>5633.6650155987863</v>
      </c>
      <c r="AB51" s="108">
        <v>2.4607875307629206</v>
      </c>
      <c r="AC51" s="108">
        <v>2102.4968662838392</v>
      </c>
      <c r="AD51" s="108">
        <v>1.0062060341359181E-16</v>
      </c>
      <c r="AE51" s="108">
        <v>8.5970243556572834E-14</v>
      </c>
      <c r="AF51" s="108">
        <v>1.5543036314395848</v>
      </c>
      <c r="AG51" s="108">
        <v>1327.9970227019812</v>
      </c>
      <c r="AH51" s="108">
        <v>1.4863080962549531</v>
      </c>
      <c r="AI51" s="108">
        <v>1269.901637440232</v>
      </c>
      <c r="AJ51" s="108">
        <v>1.6035899333826795</v>
      </c>
      <c r="AK51" s="108">
        <v>1370.1072390821614</v>
      </c>
      <c r="AL51" s="108">
        <v>0</v>
      </c>
      <c r="AM51" s="108">
        <v>0</v>
      </c>
      <c r="AN51" s="108">
        <v>10.663639572677555</v>
      </c>
      <c r="AO51" s="108">
        <v>9111.0136508957021</v>
      </c>
      <c r="AP51" s="108">
        <v>3.0794021739130444</v>
      </c>
      <c r="AQ51" s="108">
        <v>2631.0412173913051</v>
      </c>
      <c r="AR51" s="108">
        <v>0</v>
      </c>
      <c r="AS51" s="108">
        <v>0</v>
      </c>
      <c r="AT51" s="108">
        <v>8.460521042084169</v>
      </c>
      <c r="AU51" s="108">
        <v>7228.6691783567139</v>
      </c>
      <c r="AV51" s="108">
        <v>0</v>
      </c>
      <c r="AW51" s="108">
        <v>0</v>
      </c>
      <c r="AX51" s="108">
        <v>9.2629390956462867</v>
      </c>
      <c r="AY51" s="108">
        <v>7914.2551633201874</v>
      </c>
      <c r="AZ51" s="108">
        <v>8.0597173047172408</v>
      </c>
      <c r="BA51" s="108">
        <v>6886.2224651504102</v>
      </c>
      <c r="BB51" s="108">
        <v>2.9751749095295539</v>
      </c>
      <c r="BC51" s="108">
        <v>2541.9894427020508</v>
      </c>
      <c r="BD51" s="108">
        <v>0</v>
      </c>
      <c r="BE51" s="108">
        <v>0</v>
      </c>
      <c r="BF51" s="108">
        <v>7.3222191323692991</v>
      </c>
      <c r="BG51" s="108">
        <v>6256.1040266963291</v>
      </c>
      <c r="BH51" s="108">
        <v>0.20022799538461231</v>
      </c>
      <c r="BI51" s="108">
        <v>171.07479925661275</v>
      </c>
      <c r="BJ51" s="108">
        <v>1.4220583739763411</v>
      </c>
      <c r="BK51" s="108">
        <v>1215.0066747253857</v>
      </c>
      <c r="BL51" s="108">
        <v>0.92971385212374424</v>
      </c>
      <c r="BM51" s="108">
        <v>794.34751525452702</v>
      </c>
      <c r="BN51" s="108">
        <v>0.88291488350389513</v>
      </c>
      <c r="BO51" s="108">
        <v>754.36247646572804</v>
      </c>
      <c r="BP51" s="108">
        <v>1.582527122192614</v>
      </c>
      <c r="BQ51" s="108">
        <v>1352.1111732013694</v>
      </c>
      <c r="BR51" s="108">
        <v>2.5233529695525223</v>
      </c>
      <c r="BS51" s="108">
        <v>2155.9527771856751</v>
      </c>
      <c r="BT51" s="108">
        <v>1.8045597033548431</v>
      </c>
      <c r="BU51" s="108">
        <v>1541.8158105463779</v>
      </c>
      <c r="BV51" s="108">
        <v>1.6987767584097861</v>
      </c>
      <c r="BW51" s="108">
        <v>1451.4348623853211</v>
      </c>
      <c r="BX51" s="108">
        <v>0</v>
      </c>
      <c r="BY51" s="108">
        <v>0</v>
      </c>
      <c r="BZ51" s="108">
        <v>1.0408971912664933</v>
      </c>
      <c r="CA51" s="108">
        <v>889.34256021809188</v>
      </c>
      <c r="CB51" s="108">
        <v>0.67215649368109709</v>
      </c>
      <c r="CC51" s="108">
        <v>574.29050820112934</v>
      </c>
      <c r="CD51" s="108">
        <v>0</v>
      </c>
      <c r="CE51" s="108">
        <v>0</v>
      </c>
      <c r="CF51" s="108">
        <v>0.87442063839090522</v>
      </c>
      <c r="CG51" s="108">
        <v>747.10499344118944</v>
      </c>
      <c r="CH51" s="108">
        <v>0</v>
      </c>
      <c r="CI51" s="108">
        <v>0</v>
      </c>
      <c r="CJ51" s="108">
        <v>0</v>
      </c>
      <c r="CK51" s="108">
        <v>0</v>
      </c>
      <c r="CL51" s="108">
        <v>1.5244712113483561</v>
      </c>
      <c r="CM51" s="108">
        <v>1302.5082029760354</v>
      </c>
      <c r="CN51" s="108">
        <v>3.6269360567843796</v>
      </c>
      <c r="CO51" s="108">
        <v>3098.8541669165738</v>
      </c>
      <c r="CP51" s="108">
        <v>6.6610262828535669</v>
      </c>
      <c r="CQ51" s="108">
        <v>5691.1808560700874</v>
      </c>
      <c r="CR51" s="108">
        <v>0</v>
      </c>
      <c r="CS51" s="108">
        <v>0</v>
      </c>
      <c r="CT51" s="108">
        <v>0</v>
      </c>
      <c r="CU51" s="108">
        <v>0</v>
      </c>
    </row>
    <row r="52" spans="2:99" x14ac:dyDescent="0.2">
      <c r="C52" s="107" t="s">
        <v>217</v>
      </c>
      <c r="D52" s="108">
        <v>0</v>
      </c>
      <c r="E52" s="108">
        <v>0</v>
      </c>
      <c r="F52" s="108">
        <v>0</v>
      </c>
      <c r="G52" s="108">
        <v>0</v>
      </c>
      <c r="H52" s="108">
        <v>0</v>
      </c>
      <c r="I52" s="108">
        <v>0</v>
      </c>
      <c r="J52" s="108">
        <v>0</v>
      </c>
      <c r="K52" s="108">
        <v>0</v>
      </c>
      <c r="L52" s="108">
        <v>0</v>
      </c>
      <c r="M52" s="108">
        <v>0</v>
      </c>
      <c r="N52" s="108">
        <v>10.104226539802729</v>
      </c>
      <c r="O52" s="108">
        <v>5456.282331493474</v>
      </c>
      <c r="P52" s="108">
        <v>4.8231214678290719</v>
      </c>
      <c r="Q52" s="108">
        <v>2604.4855926276987</v>
      </c>
      <c r="R52" s="108">
        <v>2.3036568585729293</v>
      </c>
      <c r="S52" s="108">
        <v>1243.9747036293818</v>
      </c>
      <c r="T52" s="108">
        <v>5.3413461538461542</v>
      </c>
      <c r="U52" s="108">
        <v>2884.3269230769233</v>
      </c>
      <c r="V52" s="108">
        <v>0</v>
      </c>
      <c r="W52" s="108">
        <v>0</v>
      </c>
      <c r="X52" s="108">
        <v>12.22753981839652</v>
      </c>
      <c r="Y52" s="108">
        <v>6602.8715019341207</v>
      </c>
      <c r="Z52" s="108">
        <v>8.2319684039758325</v>
      </c>
      <c r="AA52" s="108">
        <v>4445.2629381469496</v>
      </c>
      <c r="AB52" s="108">
        <v>2.1873666940114851</v>
      </c>
      <c r="AC52" s="108">
        <v>1181.1780147662018</v>
      </c>
      <c r="AD52" s="108">
        <v>9.4763971986074596E-17</v>
      </c>
      <c r="AE52" s="108">
        <v>5.1172544872480282E-14</v>
      </c>
      <c r="AF52" s="108">
        <v>1.4499636017216899</v>
      </c>
      <c r="AG52" s="108">
        <v>782.9803449297126</v>
      </c>
      <c r="AH52" s="108">
        <v>1.6047783700812601</v>
      </c>
      <c r="AI52" s="108">
        <v>866.58031984388049</v>
      </c>
      <c r="AJ52" s="108">
        <v>1.7269430051813472</v>
      </c>
      <c r="AK52" s="108">
        <v>932.54922279792754</v>
      </c>
      <c r="AL52" s="108">
        <v>0</v>
      </c>
      <c r="AM52" s="108">
        <v>0</v>
      </c>
      <c r="AN52" s="108">
        <v>10.184057262930926</v>
      </c>
      <c r="AO52" s="108">
        <v>5499.3909219827001</v>
      </c>
      <c r="AP52" s="108">
        <v>3.2605434782608702</v>
      </c>
      <c r="AQ52" s="108">
        <v>1760.6934782608698</v>
      </c>
      <c r="AR52" s="108">
        <v>0</v>
      </c>
      <c r="AS52" s="108">
        <v>0</v>
      </c>
      <c r="AT52" s="108">
        <v>8.0152304609218437</v>
      </c>
      <c r="AU52" s="108">
        <v>4328.2244488977958</v>
      </c>
      <c r="AV52" s="108">
        <v>0</v>
      </c>
      <c r="AW52" s="108">
        <v>0</v>
      </c>
      <c r="AX52" s="108">
        <v>10.092126058062993</v>
      </c>
      <c r="AY52" s="108">
        <v>5449.7480713540162</v>
      </c>
      <c r="AZ52" s="108">
        <v>8.9350002352914277</v>
      </c>
      <c r="BA52" s="108">
        <v>4824.9001270573708</v>
      </c>
      <c r="BB52" s="108">
        <v>3.4576357056694813</v>
      </c>
      <c r="BC52" s="108">
        <v>1867.1232810615199</v>
      </c>
      <c r="BD52" s="108">
        <v>0</v>
      </c>
      <c r="BE52" s="108">
        <v>0</v>
      </c>
      <c r="BF52" s="108">
        <v>8.2490823136818694</v>
      </c>
      <c r="BG52" s="108">
        <v>4454.5044493882097</v>
      </c>
      <c r="BH52" s="108">
        <v>0.23663308545454181</v>
      </c>
      <c r="BI52" s="108">
        <v>127.78186614545258</v>
      </c>
      <c r="BJ52" s="108">
        <v>1.2719468902255802</v>
      </c>
      <c r="BK52" s="108">
        <v>686.85132072181329</v>
      </c>
      <c r="BL52" s="108">
        <v>0.85975071170651896</v>
      </c>
      <c r="BM52" s="108">
        <v>464.26538432152023</v>
      </c>
      <c r="BN52" s="108">
        <v>0.87309044999118923</v>
      </c>
      <c r="BO52" s="108">
        <v>471.4688429952422</v>
      </c>
      <c r="BP52" s="108">
        <v>1.7313801364104804</v>
      </c>
      <c r="BQ52" s="108">
        <v>934.94527366165937</v>
      </c>
      <c r="BR52" s="108">
        <v>2.6879990454760012</v>
      </c>
      <c r="BS52" s="108">
        <v>1451.5194845570406</v>
      </c>
      <c r="BT52" s="108">
        <v>2.1672711386265502</v>
      </c>
      <c r="BU52" s="108">
        <v>1170.3264148583371</v>
      </c>
      <c r="BV52" s="108">
        <v>1.6987767584097861</v>
      </c>
      <c r="BW52" s="108">
        <v>917.33944954128447</v>
      </c>
      <c r="BX52" s="108">
        <v>0</v>
      </c>
      <c r="BY52" s="108">
        <v>0</v>
      </c>
      <c r="BZ52" s="108">
        <v>0.96654739189031535</v>
      </c>
      <c r="CA52" s="108">
        <v>521.93559162077031</v>
      </c>
      <c r="CB52" s="108">
        <v>0.67215649368109709</v>
      </c>
      <c r="CC52" s="108">
        <v>362.96450658779241</v>
      </c>
      <c r="CD52" s="108">
        <v>0</v>
      </c>
      <c r="CE52" s="108">
        <v>0</v>
      </c>
      <c r="CF52" s="108">
        <v>0.87442063839090522</v>
      </c>
      <c r="CG52" s="108">
        <v>472.18714473108884</v>
      </c>
      <c r="CH52" s="108">
        <v>0</v>
      </c>
      <c r="CI52" s="108">
        <v>0</v>
      </c>
      <c r="CJ52" s="108">
        <v>0</v>
      </c>
      <c r="CK52" s="108">
        <v>0</v>
      </c>
      <c r="CL52" s="108">
        <v>1.613726674483202</v>
      </c>
      <c r="CM52" s="108">
        <v>871.41240422092903</v>
      </c>
      <c r="CN52" s="108">
        <v>4.3332063365301421</v>
      </c>
      <c r="CO52" s="108">
        <v>2339.9314217262768</v>
      </c>
      <c r="CP52" s="108">
        <v>8.2559198998748435</v>
      </c>
      <c r="CQ52" s="108">
        <v>4458.1967459324151</v>
      </c>
      <c r="CR52" s="108">
        <v>0</v>
      </c>
      <c r="CS52" s="108">
        <v>0</v>
      </c>
      <c r="CT52" s="108">
        <v>0</v>
      </c>
      <c r="CU52" s="108">
        <v>0</v>
      </c>
    </row>
    <row r="53" spans="2:99" x14ac:dyDescent="0.2">
      <c r="C53" s="107" t="s">
        <v>218</v>
      </c>
      <c r="D53" s="108">
        <v>0</v>
      </c>
      <c r="E53" s="108">
        <v>0</v>
      </c>
      <c r="F53" s="108">
        <v>0</v>
      </c>
      <c r="G53" s="108">
        <v>0</v>
      </c>
      <c r="H53" s="108">
        <v>0</v>
      </c>
      <c r="I53" s="108">
        <v>0</v>
      </c>
      <c r="J53" s="108">
        <v>0</v>
      </c>
      <c r="K53" s="108">
        <v>0</v>
      </c>
      <c r="L53" s="108">
        <v>0</v>
      </c>
      <c r="M53" s="108">
        <v>0</v>
      </c>
      <c r="N53" s="108">
        <v>10.872042349407144</v>
      </c>
      <c r="O53" s="108">
        <v>4422.7468277388261</v>
      </c>
      <c r="P53" s="108">
        <v>4.6618191941947442</v>
      </c>
      <c r="Q53" s="108">
        <v>1896.4280481984219</v>
      </c>
      <c r="R53" s="108">
        <v>2.2583364615888342</v>
      </c>
      <c r="S53" s="108">
        <v>918.69127257433775</v>
      </c>
      <c r="T53" s="108">
        <v>5.9823076923076925</v>
      </c>
      <c r="U53" s="108">
        <v>2433.6027692307694</v>
      </c>
      <c r="V53" s="108">
        <v>0</v>
      </c>
      <c r="W53" s="108">
        <v>0</v>
      </c>
      <c r="X53" s="108">
        <v>11.697240518182312</v>
      </c>
      <c r="Y53" s="108">
        <v>4758.4374427965649</v>
      </c>
      <c r="Z53" s="108">
        <v>7.4251578607318702</v>
      </c>
      <c r="AA53" s="108">
        <v>3020.5542177457251</v>
      </c>
      <c r="AB53" s="108">
        <v>2.4607875307629206</v>
      </c>
      <c r="AC53" s="108">
        <v>1001.0483675143561</v>
      </c>
      <c r="AD53" s="108">
        <v>1.012742091479199E-16</v>
      </c>
      <c r="AE53" s="108">
        <v>4.1198348281373815E-14</v>
      </c>
      <c r="AF53" s="108">
        <v>1.4455091628936398</v>
      </c>
      <c r="AG53" s="108">
        <v>588.03312746513268</v>
      </c>
      <c r="AH53" s="108">
        <v>1.6147268024411479</v>
      </c>
      <c r="AI53" s="108">
        <v>656.87086323305891</v>
      </c>
      <c r="AJ53" s="108">
        <v>1.9736491487786825</v>
      </c>
      <c r="AK53" s="108">
        <v>802.88047372316805</v>
      </c>
      <c r="AL53" s="108">
        <v>0</v>
      </c>
      <c r="AM53" s="108">
        <v>0</v>
      </c>
      <c r="AN53" s="108">
        <v>10.692316472896382</v>
      </c>
      <c r="AO53" s="108">
        <v>4349.6343411742482</v>
      </c>
      <c r="AP53" s="108">
        <v>3.0794021739130444</v>
      </c>
      <c r="AQ53" s="108">
        <v>1252.7008043478265</v>
      </c>
      <c r="AR53" s="108">
        <v>0</v>
      </c>
      <c r="AS53" s="108">
        <v>0</v>
      </c>
      <c r="AT53" s="108">
        <v>9.7963927855711432</v>
      </c>
      <c r="AU53" s="108">
        <v>3985.1725851703413</v>
      </c>
      <c r="AV53" s="108">
        <v>0</v>
      </c>
      <c r="AW53" s="108">
        <v>0</v>
      </c>
      <c r="AX53" s="108">
        <v>9.6502474789580006</v>
      </c>
      <c r="AY53" s="108">
        <v>3925.7206744401146</v>
      </c>
      <c r="AZ53" s="108">
        <v>8.1373330382153508</v>
      </c>
      <c r="BA53" s="108">
        <v>3310.2670799460047</v>
      </c>
      <c r="BB53" s="108">
        <v>3.3370205066344996</v>
      </c>
      <c r="BC53" s="108">
        <v>1357.4999420989145</v>
      </c>
      <c r="BD53" s="108">
        <v>0</v>
      </c>
      <c r="BE53" s="108">
        <v>0</v>
      </c>
      <c r="BF53" s="108">
        <v>7.8783370411568407</v>
      </c>
      <c r="BG53" s="108">
        <v>3204.9075083426028</v>
      </c>
      <c r="BH53" s="108">
        <v>0.21843054041957707</v>
      </c>
      <c r="BI53" s="108">
        <v>88.857543842683953</v>
      </c>
      <c r="BJ53" s="108">
        <v>1.3779424644110452</v>
      </c>
      <c r="BK53" s="108">
        <v>560.54699452241323</v>
      </c>
      <c r="BL53" s="108">
        <v>0.94032046001986669</v>
      </c>
      <c r="BM53" s="108">
        <v>382.52236313608176</v>
      </c>
      <c r="BN53" s="108">
        <v>1.0104184970624654</v>
      </c>
      <c r="BO53" s="108">
        <v>411.03824460501096</v>
      </c>
      <c r="BP53" s="108">
        <v>1.5783400533265481</v>
      </c>
      <c r="BQ53" s="108">
        <v>642.06873369323978</v>
      </c>
      <c r="BR53" s="108">
        <v>2.3874805868350437</v>
      </c>
      <c r="BS53" s="108">
        <v>971.22710272449581</v>
      </c>
      <c r="BT53" s="108">
        <v>2.0090680210159122</v>
      </c>
      <c r="BU53" s="108">
        <v>817.28887094927313</v>
      </c>
      <c r="BV53" s="108">
        <v>1.6987767584097861</v>
      </c>
      <c r="BW53" s="108">
        <v>691.06238532110103</v>
      </c>
      <c r="BX53" s="108">
        <v>0</v>
      </c>
      <c r="BY53" s="108">
        <v>0</v>
      </c>
      <c r="BZ53" s="108">
        <v>1.1152469906426716</v>
      </c>
      <c r="CA53" s="108">
        <v>453.68247579343881</v>
      </c>
      <c r="CB53" s="108">
        <v>0.7169669265931703</v>
      </c>
      <c r="CC53" s="108">
        <v>291.66214573810169</v>
      </c>
      <c r="CD53" s="108">
        <v>0</v>
      </c>
      <c r="CE53" s="108">
        <v>0</v>
      </c>
      <c r="CF53" s="108">
        <v>0.9229995627459554</v>
      </c>
      <c r="CG53" s="108">
        <v>375.47622212505468</v>
      </c>
      <c r="CH53" s="108">
        <v>0</v>
      </c>
      <c r="CI53" s="108">
        <v>0</v>
      </c>
      <c r="CJ53" s="108">
        <v>0</v>
      </c>
      <c r="CK53" s="108">
        <v>0</v>
      </c>
      <c r="CL53" s="108">
        <v>1.613726674483202</v>
      </c>
      <c r="CM53" s="108">
        <v>656.46401117976654</v>
      </c>
      <c r="CN53" s="108">
        <v>4.1233868824860425</v>
      </c>
      <c r="CO53" s="108">
        <v>1677.3937837953222</v>
      </c>
      <c r="CP53" s="108">
        <v>7.4115644555694615</v>
      </c>
      <c r="CQ53" s="108">
        <v>3015.0244205256572</v>
      </c>
      <c r="CR53" s="108">
        <v>0</v>
      </c>
      <c r="CS53" s="108">
        <v>0</v>
      </c>
      <c r="CT53" s="108">
        <v>0</v>
      </c>
      <c r="CU53" s="108">
        <v>0</v>
      </c>
    </row>
    <row r="54" spans="2:99" x14ac:dyDescent="0.2">
      <c r="C54" s="107" t="s">
        <v>219</v>
      </c>
      <c r="D54" s="108">
        <v>0</v>
      </c>
      <c r="E54" s="108">
        <v>0</v>
      </c>
      <c r="F54" s="108">
        <v>0</v>
      </c>
      <c r="G54" s="108">
        <v>0</v>
      </c>
      <c r="H54" s="108">
        <v>0</v>
      </c>
      <c r="I54" s="108">
        <v>0</v>
      </c>
      <c r="J54" s="108">
        <v>0</v>
      </c>
      <c r="K54" s="108">
        <v>0</v>
      </c>
      <c r="L54" s="108">
        <v>0</v>
      </c>
      <c r="M54" s="108">
        <v>0</v>
      </c>
      <c r="N54" s="108">
        <v>10.848685965608032</v>
      </c>
      <c r="O54" s="108">
        <v>3632.1400612855696</v>
      </c>
      <c r="P54" s="108">
        <v>4.3302937273265316</v>
      </c>
      <c r="Q54" s="108">
        <v>1449.7823399089227</v>
      </c>
      <c r="R54" s="108">
        <v>2.3110932529692403</v>
      </c>
      <c r="S54" s="108">
        <v>773.75402109410163</v>
      </c>
      <c r="T54" s="108">
        <v>5.4481730769230765</v>
      </c>
      <c r="U54" s="108">
        <v>1824.0483461538461</v>
      </c>
      <c r="V54" s="108">
        <v>0</v>
      </c>
      <c r="W54" s="108">
        <v>0</v>
      </c>
      <c r="X54" s="108">
        <v>12.526079659794336</v>
      </c>
      <c r="Y54" s="108">
        <v>4193.7314700991437</v>
      </c>
      <c r="Z54" s="108">
        <v>7.4251578607318702</v>
      </c>
      <c r="AA54" s="108">
        <v>2485.9428517730303</v>
      </c>
      <c r="AB54" s="108">
        <v>2.4607875307629206</v>
      </c>
      <c r="AC54" s="108">
        <v>823.87166529942579</v>
      </c>
      <c r="AD54" s="108">
        <v>9.5090774853238657E-17</v>
      </c>
      <c r="AE54" s="108">
        <v>3.1836391420864304E-14</v>
      </c>
      <c r="AF54" s="108">
        <v>1.5543036314395848</v>
      </c>
      <c r="AG54" s="108">
        <v>520.38085580597306</v>
      </c>
      <c r="AH54" s="108">
        <v>1.6197010186210916</v>
      </c>
      <c r="AI54" s="108">
        <v>542.27590103434147</v>
      </c>
      <c r="AJ54" s="108">
        <v>1.9736491487786825</v>
      </c>
      <c r="AK54" s="108">
        <v>660.77773501110289</v>
      </c>
      <c r="AL54" s="108">
        <v>0</v>
      </c>
      <c r="AM54" s="108">
        <v>0</v>
      </c>
      <c r="AN54" s="108">
        <v>10.126703462493273</v>
      </c>
      <c r="AO54" s="108">
        <v>3390.4203192427481</v>
      </c>
      <c r="AP54" s="108">
        <v>2.8982608695652181</v>
      </c>
      <c r="AQ54" s="108">
        <v>970.33773913043501</v>
      </c>
      <c r="AR54" s="108">
        <v>0</v>
      </c>
      <c r="AS54" s="108">
        <v>0</v>
      </c>
      <c r="AT54" s="108">
        <v>9.3511022044088179</v>
      </c>
      <c r="AU54" s="108">
        <v>3130.7490180360724</v>
      </c>
      <c r="AV54" s="108">
        <v>0</v>
      </c>
      <c r="AW54" s="108">
        <v>0</v>
      </c>
      <c r="AX54" s="108">
        <v>9.6393334397993478</v>
      </c>
      <c r="AY54" s="108">
        <v>3227.2488356448216</v>
      </c>
      <c r="AZ54" s="108">
        <v>8.2798954374753784</v>
      </c>
      <c r="BA54" s="108">
        <v>2772.1089924667567</v>
      </c>
      <c r="BB54" s="108">
        <v>3.3772255729794933</v>
      </c>
      <c r="BC54" s="108">
        <v>1130.6951218335344</v>
      </c>
      <c r="BD54" s="108">
        <v>0</v>
      </c>
      <c r="BE54" s="108">
        <v>0</v>
      </c>
      <c r="BF54" s="108">
        <v>8.2490823136818694</v>
      </c>
      <c r="BG54" s="108">
        <v>2761.7927586206902</v>
      </c>
      <c r="BH54" s="108">
        <v>0.23663308545454181</v>
      </c>
      <c r="BI54" s="108">
        <v>79.224757010180596</v>
      </c>
      <c r="BJ54" s="108">
        <v>1.4536607916080799</v>
      </c>
      <c r="BK54" s="108">
        <v>486.68563303038519</v>
      </c>
      <c r="BL54" s="108">
        <v>0.94032046001986669</v>
      </c>
      <c r="BM54" s="108">
        <v>314.81929001465136</v>
      </c>
      <c r="BN54" s="108">
        <v>1.0810474073006451</v>
      </c>
      <c r="BO54" s="108">
        <v>361.93467196425598</v>
      </c>
      <c r="BP54" s="108">
        <v>1.7313801364104804</v>
      </c>
      <c r="BQ54" s="108">
        <v>579.66606967022881</v>
      </c>
      <c r="BR54" s="108">
        <v>2.6838885178751446</v>
      </c>
      <c r="BS54" s="108">
        <v>898.56587578459846</v>
      </c>
      <c r="BT54" s="108">
        <v>2.0142130432437377</v>
      </c>
      <c r="BU54" s="108">
        <v>674.35852687800343</v>
      </c>
      <c r="BV54" s="108">
        <v>1.8686544342507647</v>
      </c>
      <c r="BW54" s="108">
        <v>625.625504587156</v>
      </c>
      <c r="BX54" s="108">
        <v>0</v>
      </c>
      <c r="BY54" s="108">
        <v>0</v>
      </c>
      <c r="BZ54" s="108">
        <v>1.1152469906426716</v>
      </c>
      <c r="CA54" s="108">
        <v>373.38469246716647</v>
      </c>
      <c r="CB54" s="108">
        <v>0.76177735950524339</v>
      </c>
      <c r="CC54" s="108">
        <v>255.0430599623555</v>
      </c>
      <c r="CD54" s="108">
        <v>0</v>
      </c>
      <c r="CE54" s="108">
        <v>0</v>
      </c>
      <c r="CF54" s="108">
        <v>0.97157848710100569</v>
      </c>
      <c r="CG54" s="108">
        <v>325.28447748141673</v>
      </c>
      <c r="CH54" s="108">
        <v>0</v>
      </c>
      <c r="CI54" s="108">
        <v>0</v>
      </c>
      <c r="CJ54" s="108">
        <v>0</v>
      </c>
      <c r="CK54" s="108">
        <v>0</v>
      </c>
      <c r="CL54" s="108">
        <v>1.7112910859965669</v>
      </c>
      <c r="CM54" s="108">
        <v>572.94025559165061</v>
      </c>
      <c r="CN54" s="108">
        <v>4.059694427742949</v>
      </c>
      <c r="CO54" s="108">
        <v>1359.1856944083393</v>
      </c>
      <c r="CP54" s="108">
        <v>8.2559198998748435</v>
      </c>
      <c r="CQ54" s="108">
        <v>2764.0819824780979</v>
      </c>
      <c r="CR54" s="108">
        <v>0</v>
      </c>
      <c r="CS54" s="108">
        <v>0</v>
      </c>
      <c r="CT54" s="108">
        <v>0</v>
      </c>
      <c r="CU54" s="108">
        <v>0</v>
      </c>
    </row>
    <row r="55" spans="2:99" x14ac:dyDescent="0.2">
      <c r="C55" s="107" t="s">
        <v>220</v>
      </c>
      <c r="D55" s="108">
        <v>0</v>
      </c>
      <c r="E55" s="108">
        <v>0</v>
      </c>
      <c r="F55" s="108">
        <v>0</v>
      </c>
      <c r="G55" s="108">
        <v>0</v>
      </c>
      <c r="H55" s="108">
        <v>0</v>
      </c>
      <c r="I55" s="108">
        <v>0</v>
      </c>
      <c r="J55" s="108">
        <v>0</v>
      </c>
      <c r="K55" s="108">
        <v>0</v>
      </c>
      <c r="L55" s="108">
        <v>0</v>
      </c>
      <c r="M55" s="108">
        <v>0</v>
      </c>
      <c r="N55" s="108">
        <v>9.6528796075597256</v>
      </c>
      <c r="O55" s="108">
        <v>6405.6509075766344</v>
      </c>
      <c r="P55" s="108">
        <v>3.9515428436198836</v>
      </c>
      <c r="Q55" s="108">
        <v>2622.243831026155</v>
      </c>
      <c r="R55" s="108">
        <v>2.3073750557710846</v>
      </c>
      <c r="S55" s="108">
        <v>1531.1740870096917</v>
      </c>
      <c r="T55" s="108">
        <v>5.6618269230769229</v>
      </c>
      <c r="U55" s="108">
        <v>3757.1883461538464</v>
      </c>
      <c r="V55" s="108">
        <v>0</v>
      </c>
      <c r="W55" s="108">
        <v>0</v>
      </c>
      <c r="X55" s="108">
        <v>12.214183741880237</v>
      </c>
      <c r="Y55" s="108">
        <v>8105.3323311117256</v>
      </c>
      <c r="Z55" s="108">
        <v>7.2440851411627749</v>
      </c>
      <c r="AA55" s="108">
        <v>4807.1748996756178</v>
      </c>
      <c r="AB55" s="108">
        <v>2.4607875307629206</v>
      </c>
      <c r="AC55" s="108">
        <v>1632.9786054142742</v>
      </c>
      <c r="AD55" s="108">
        <v>9.4110366251746499E-17</v>
      </c>
      <c r="AE55" s="108">
        <v>6.2451639044658984E-14</v>
      </c>
      <c r="AF55" s="108">
        <v>1.3411691331757449</v>
      </c>
      <c r="AG55" s="108">
        <v>889.99983677542434</v>
      </c>
      <c r="AH55" s="108">
        <v>1.4863080962549531</v>
      </c>
      <c r="AI55" s="108">
        <v>986.31405267478692</v>
      </c>
      <c r="AJ55" s="108">
        <v>1.850296076980015</v>
      </c>
      <c r="AK55" s="108">
        <v>1227.8564766839379</v>
      </c>
      <c r="AL55" s="108">
        <v>0</v>
      </c>
      <c r="AM55" s="108">
        <v>0</v>
      </c>
      <c r="AN55" s="108">
        <v>10.692316472896382</v>
      </c>
      <c r="AO55" s="108">
        <v>7095.4212114140391</v>
      </c>
      <c r="AP55" s="108">
        <v>3.2605434782608702</v>
      </c>
      <c r="AQ55" s="108">
        <v>2163.6966521739137</v>
      </c>
      <c r="AR55" s="108">
        <v>0</v>
      </c>
      <c r="AS55" s="108">
        <v>0</v>
      </c>
      <c r="AT55" s="108">
        <v>8.460521042084169</v>
      </c>
      <c r="AU55" s="108">
        <v>5614.4017635270548</v>
      </c>
      <c r="AV55" s="108">
        <v>0</v>
      </c>
      <c r="AW55" s="108">
        <v>0</v>
      </c>
      <c r="AX55" s="108">
        <v>9.3065952522809052</v>
      </c>
      <c r="AY55" s="108">
        <v>6175.8566094136086</v>
      </c>
      <c r="AZ55" s="108">
        <v>8.7184418361722003</v>
      </c>
      <c r="BA55" s="108">
        <v>5785.5580024838719</v>
      </c>
      <c r="BB55" s="108">
        <v>2.9751749095295539</v>
      </c>
      <c r="BC55" s="108">
        <v>1974.326069963812</v>
      </c>
      <c r="BD55" s="108">
        <v>0</v>
      </c>
      <c r="BE55" s="108">
        <v>0</v>
      </c>
      <c r="BF55" s="108">
        <v>7.6002780867630708</v>
      </c>
      <c r="BG55" s="108">
        <v>5043.5445383759743</v>
      </c>
      <c r="BH55" s="108">
        <v>0.21843054041957707</v>
      </c>
      <c r="BI55" s="108">
        <v>144.95050662243136</v>
      </c>
      <c r="BJ55" s="108">
        <v>1.4299589783842757</v>
      </c>
      <c r="BK55" s="108">
        <v>948.92077805580539</v>
      </c>
      <c r="BL55" s="108">
        <v>0.93236550409777474</v>
      </c>
      <c r="BM55" s="108">
        <v>618.7177485192833</v>
      </c>
      <c r="BN55" s="108">
        <v>0.93978958682428604</v>
      </c>
      <c r="BO55" s="108">
        <v>623.64436981659628</v>
      </c>
      <c r="BP55" s="108">
        <v>1.7188189298122831</v>
      </c>
      <c r="BQ55" s="108">
        <v>1140.6082418234312</v>
      </c>
      <c r="BR55" s="108">
        <v>2.8362030109960519</v>
      </c>
      <c r="BS55" s="108">
        <v>1882.10431809698</v>
      </c>
      <c r="BT55" s="108">
        <v>1.8354298367217972</v>
      </c>
      <c r="BU55" s="108">
        <v>1217.9912396485847</v>
      </c>
      <c r="BV55" s="108">
        <v>1.5288990825688076</v>
      </c>
      <c r="BW55" s="108">
        <v>1014.5774311926607</v>
      </c>
      <c r="BX55" s="108">
        <v>0</v>
      </c>
      <c r="BY55" s="108">
        <v>0</v>
      </c>
      <c r="BZ55" s="108">
        <v>0.96654739189031535</v>
      </c>
      <c r="CA55" s="108">
        <v>641.40084925841325</v>
      </c>
      <c r="CB55" s="108">
        <v>0.7169669265931703</v>
      </c>
      <c r="CC55" s="108">
        <v>475.77925248722784</v>
      </c>
      <c r="CD55" s="108">
        <v>0</v>
      </c>
      <c r="CE55" s="108">
        <v>0</v>
      </c>
      <c r="CF55" s="108">
        <v>1.0201574114560561</v>
      </c>
      <c r="CG55" s="108">
        <v>676.97645824223889</v>
      </c>
      <c r="CH55" s="108">
        <v>0</v>
      </c>
      <c r="CI55" s="108">
        <v>0</v>
      </c>
      <c r="CJ55" s="108">
        <v>0</v>
      </c>
      <c r="CK55" s="108">
        <v>0</v>
      </c>
      <c r="CL55" s="108">
        <v>1.6253592022131285</v>
      </c>
      <c r="CM55" s="108">
        <v>1078.5883665886322</v>
      </c>
      <c r="CN55" s="108">
        <v>4.2657654638240841</v>
      </c>
      <c r="CO55" s="108">
        <v>2830.7619617936621</v>
      </c>
      <c r="CP55" s="108">
        <v>7.7868335419274093</v>
      </c>
      <c r="CQ55" s="108">
        <v>5167.342738423029</v>
      </c>
      <c r="CR55" s="108">
        <v>0</v>
      </c>
      <c r="CS55" s="108">
        <v>0</v>
      </c>
      <c r="CT55" s="108">
        <v>0</v>
      </c>
      <c r="CU55" s="108">
        <v>0</v>
      </c>
    </row>
    <row r="56" spans="2:99" x14ac:dyDescent="0.2">
      <c r="C56" s="107" t="s">
        <v>221</v>
      </c>
      <c r="D56" s="108">
        <v>0</v>
      </c>
      <c r="E56" s="108">
        <v>0</v>
      </c>
      <c r="F56" s="108">
        <v>0</v>
      </c>
      <c r="G56" s="108">
        <v>0</v>
      </c>
      <c r="H56" s="108">
        <v>0</v>
      </c>
      <c r="I56" s="108">
        <v>0</v>
      </c>
      <c r="J56" s="108">
        <v>14.821778791334093</v>
      </c>
      <c r="K56" s="108">
        <v>17056.903033067276</v>
      </c>
      <c r="L56" s="108">
        <v>0</v>
      </c>
      <c r="M56" s="108">
        <v>0</v>
      </c>
      <c r="N56" s="108">
        <v>28.913079626322528</v>
      </c>
      <c r="O56" s="108">
        <v>33273.172033971961</v>
      </c>
      <c r="P56" s="108">
        <v>21.827960526315788</v>
      </c>
      <c r="Q56" s="108">
        <v>25119.616973684209</v>
      </c>
      <c r="R56" s="108">
        <v>0</v>
      </c>
      <c r="S56" s="108">
        <v>0</v>
      </c>
      <c r="T56" s="108">
        <v>5.4157641425225798</v>
      </c>
      <c r="U56" s="108">
        <v>6232.4613752149844</v>
      </c>
      <c r="V56" s="108">
        <v>3.6584980865050225</v>
      </c>
      <c r="W56" s="108">
        <v>4210.1995979499798</v>
      </c>
      <c r="X56" s="108">
        <v>5.9234070221066322</v>
      </c>
      <c r="Y56" s="108">
        <v>6816.6568010403116</v>
      </c>
      <c r="Z56" s="108">
        <v>1.5025530300079633</v>
      </c>
      <c r="AA56" s="108">
        <v>1729.1380269331642</v>
      </c>
      <c r="AB56" s="108">
        <v>0</v>
      </c>
      <c r="AC56" s="108">
        <v>0</v>
      </c>
      <c r="AD56" s="108">
        <v>7.3522058823529415</v>
      </c>
      <c r="AE56" s="108">
        <v>8460.9185294117651</v>
      </c>
      <c r="AF56" s="108">
        <v>4.6277675181604216</v>
      </c>
      <c r="AG56" s="108">
        <v>5325.6348598990135</v>
      </c>
      <c r="AH56" s="108">
        <v>2.1204144768737567E-16</v>
      </c>
      <c r="AI56" s="108">
        <v>2.4401729799863192E-13</v>
      </c>
      <c r="AJ56" s="108">
        <v>0</v>
      </c>
      <c r="AK56" s="108">
        <v>0</v>
      </c>
      <c r="AL56" s="108">
        <v>3.3251451742767406</v>
      </c>
      <c r="AM56" s="108">
        <v>3826.5770665576729</v>
      </c>
      <c r="AN56" s="108">
        <v>10.531885965972647</v>
      </c>
      <c r="AO56" s="108">
        <v>12120.094369641321</v>
      </c>
      <c r="AP56" s="108">
        <v>4.2943581917121918</v>
      </c>
      <c r="AQ56" s="108">
        <v>4941.9474070223905</v>
      </c>
      <c r="AR56" s="108">
        <v>4.5927090051103576</v>
      </c>
      <c r="AS56" s="108">
        <v>5285.2895230809991</v>
      </c>
      <c r="AT56" s="108">
        <v>1.9458232030409992</v>
      </c>
      <c r="AU56" s="108">
        <v>2239.2533420595819</v>
      </c>
      <c r="AV56" s="108">
        <v>1.5338242061665899</v>
      </c>
      <c r="AW56" s="108">
        <v>1765.1248964565116</v>
      </c>
      <c r="AX56" s="108">
        <v>0</v>
      </c>
      <c r="AY56" s="108">
        <v>0</v>
      </c>
      <c r="AZ56" s="108">
        <v>27.406631299734752</v>
      </c>
      <c r="BA56" s="108">
        <v>31539.551299734751</v>
      </c>
      <c r="BB56" s="108">
        <v>0</v>
      </c>
      <c r="BC56" s="108">
        <v>0</v>
      </c>
      <c r="BD56" s="108">
        <v>22.841988416988418</v>
      </c>
      <c r="BE56" s="108">
        <v>26286.560270270271</v>
      </c>
      <c r="BF56" s="108">
        <v>17.567789165446559</v>
      </c>
      <c r="BG56" s="108">
        <v>20217.011771595899</v>
      </c>
      <c r="BH56" s="108">
        <v>0</v>
      </c>
      <c r="BI56" s="108">
        <v>0</v>
      </c>
      <c r="BJ56" s="108">
        <v>3.2426002358490567</v>
      </c>
      <c r="BK56" s="108">
        <v>3731.5843514150943</v>
      </c>
      <c r="BL56" s="108">
        <v>5.2371740256318464</v>
      </c>
      <c r="BM56" s="108">
        <v>6026.939868697129</v>
      </c>
      <c r="BN56" s="108">
        <v>3.3631388476754984</v>
      </c>
      <c r="BO56" s="108">
        <v>3870.3001859049637</v>
      </c>
      <c r="BP56" s="108">
        <v>2.3668276561485877</v>
      </c>
      <c r="BQ56" s="108">
        <v>2723.7452666957947</v>
      </c>
      <c r="BR56" s="108">
        <v>1.6013773222293406</v>
      </c>
      <c r="BS56" s="108">
        <v>1842.8650224215251</v>
      </c>
      <c r="BT56" s="108">
        <v>0</v>
      </c>
      <c r="BU56" s="108">
        <v>0</v>
      </c>
      <c r="BV56" s="108">
        <v>0</v>
      </c>
      <c r="BW56" s="108">
        <v>0</v>
      </c>
      <c r="BX56" s="108">
        <v>4.1049173634992098</v>
      </c>
      <c r="BY56" s="108">
        <v>4723.9389019148903</v>
      </c>
      <c r="BZ56" s="108">
        <v>4.6315290727532679</v>
      </c>
      <c r="CA56" s="108">
        <v>5329.9636569244603</v>
      </c>
      <c r="CB56" s="108">
        <v>3.7054264283296066</v>
      </c>
      <c r="CC56" s="108">
        <v>4264.2047337217109</v>
      </c>
      <c r="CD56" s="108">
        <v>9.9989429794818978</v>
      </c>
      <c r="CE56" s="108">
        <v>11506.783580787767</v>
      </c>
      <c r="CF56" s="108">
        <v>3.8581350482315111</v>
      </c>
      <c r="CG56" s="108">
        <v>4439.9418135048227</v>
      </c>
      <c r="CH56" s="108">
        <v>0</v>
      </c>
      <c r="CI56" s="108">
        <v>0</v>
      </c>
      <c r="CJ56" s="108">
        <v>3.6204410796576694</v>
      </c>
      <c r="CK56" s="108">
        <v>4166.4035944700454</v>
      </c>
      <c r="CL56" s="108">
        <v>6.3169357651041622</v>
      </c>
      <c r="CM56" s="108">
        <v>7269.5296784818693</v>
      </c>
      <c r="CN56" s="108">
        <v>0</v>
      </c>
      <c r="CO56" s="108">
        <v>0</v>
      </c>
      <c r="CP56" s="108">
        <v>4.3734090727775286</v>
      </c>
      <c r="CQ56" s="108">
        <v>5032.9191609523796</v>
      </c>
      <c r="CR56" s="108">
        <v>4.4149673189899392</v>
      </c>
      <c r="CS56" s="108">
        <v>5080.7443906936214</v>
      </c>
      <c r="CT56" s="108">
        <v>4.2552228412256268</v>
      </c>
      <c r="CU56" s="108">
        <v>4896.9104456824507</v>
      </c>
    </row>
    <row r="57" spans="2:99" x14ac:dyDescent="0.2">
      <c r="C57" s="107" t="s">
        <v>222</v>
      </c>
      <c r="D57" s="108">
        <v>0</v>
      </c>
      <c r="E57" s="108">
        <v>0</v>
      </c>
      <c r="F57" s="108">
        <v>0</v>
      </c>
      <c r="G57" s="108">
        <v>0</v>
      </c>
      <c r="H57" s="108">
        <v>0</v>
      </c>
      <c r="I57" s="108">
        <v>0</v>
      </c>
      <c r="J57" s="108">
        <v>0</v>
      </c>
      <c r="K57" s="108">
        <v>0</v>
      </c>
      <c r="L57" s="108">
        <v>0</v>
      </c>
      <c r="M57" s="108">
        <v>0</v>
      </c>
      <c r="N57" s="108">
        <v>8.5452385367947876</v>
      </c>
      <c r="O57" s="108">
        <v>12059.040623124805</v>
      </c>
      <c r="P57" s="108">
        <v>3.5130772556354226</v>
      </c>
      <c r="Q57" s="108">
        <v>4957.6546231527082</v>
      </c>
      <c r="R57" s="108">
        <v>2.1130797776411603</v>
      </c>
      <c r="S57" s="108">
        <v>2981.9781822072055</v>
      </c>
      <c r="T57" s="108">
        <v>4.4867307692307685</v>
      </c>
      <c r="U57" s="108">
        <v>6331.6744615384605</v>
      </c>
      <c r="V57" s="108">
        <v>0</v>
      </c>
      <c r="W57" s="108">
        <v>0</v>
      </c>
      <c r="X57" s="108">
        <v>10.039562234958266</v>
      </c>
      <c r="Y57" s="108">
        <v>14167.830225973106</v>
      </c>
      <c r="Z57" s="108">
        <v>7.0876506852440588</v>
      </c>
      <c r="AA57" s="108">
        <v>10002.092647016416</v>
      </c>
      <c r="AB57" s="108">
        <v>2.1873666940114851</v>
      </c>
      <c r="AC57" s="108">
        <v>3086.8118785890078</v>
      </c>
      <c r="AD57" s="108">
        <v>9.4437169118910535E-17</v>
      </c>
      <c r="AE57" s="108">
        <v>1.3326973306060654E-13</v>
      </c>
      <c r="AF57" s="108">
        <v>1.2234657869736989</v>
      </c>
      <c r="AG57" s="108">
        <v>1726.5549185772838</v>
      </c>
      <c r="AH57" s="108">
        <v>1.6097525862612039</v>
      </c>
      <c r="AI57" s="108">
        <v>2271.6828497318111</v>
      </c>
      <c r="AJ57" s="108">
        <v>1.4802368615840118</v>
      </c>
      <c r="AK57" s="108">
        <v>2088.9102590673574</v>
      </c>
      <c r="AL57" s="108">
        <v>0</v>
      </c>
      <c r="AM57" s="108">
        <v>0</v>
      </c>
      <c r="AN57" s="108">
        <v>9.3890290507771965</v>
      </c>
      <c r="AO57" s="108">
        <v>13249.79779645678</v>
      </c>
      <c r="AP57" s="108">
        <v>2.8982608695652181</v>
      </c>
      <c r="AQ57" s="108">
        <v>4090.0257391304358</v>
      </c>
      <c r="AR57" s="108">
        <v>0</v>
      </c>
      <c r="AS57" s="108">
        <v>0</v>
      </c>
      <c r="AT57" s="108">
        <v>8.460521042084169</v>
      </c>
      <c r="AU57" s="108">
        <v>11939.48729458918</v>
      </c>
      <c r="AV57" s="108">
        <v>0</v>
      </c>
      <c r="AW57" s="108">
        <v>0</v>
      </c>
      <c r="AX57" s="108">
        <v>9.6393334397993478</v>
      </c>
      <c r="AY57" s="108">
        <v>13603.02735024484</v>
      </c>
      <c r="AZ57" s="108">
        <v>6.9119786433591894</v>
      </c>
      <c r="BA57" s="108">
        <v>9754.1842615084879</v>
      </c>
      <c r="BB57" s="108">
        <v>2.8143546441495779</v>
      </c>
      <c r="BC57" s="108">
        <v>3971.6172738238847</v>
      </c>
      <c r="BD57" s="108">
        <v>0</v>
      </c>
      <c r="BE57" s="108">
        <v>0</v>
      </c>
      <c r="BF57" s="108">
        <v>6.5807285873192436</v>
      </c>
      <c r="BG57" s="108">
        <v>9286.7241824249177</v>
      </c>
      <c r="BH57" s="108">
        <v>0.20022799538461231</v>
      </c>
      <c r="BI57" s="108">
        <v>282.56174708676491</v>
      </c>
      <c r="BJ57" s="108">
        <v>1.3160627997908758</v>
      </c>
      <c r="BK57" s="108">
        <v>1857.227823064884</v>
      </c>
      <c r="BL57" s="108">
        <v>0.84914410381039651</v>
      </c>
      <c r="BM57" s="108">
        <v>1198.3121592972316</v>
      </c>
      <c r="BN57" s="108">
        <v>0.86719578988356549</v>
      </c>
      <c r="BO57" s="108">
        <v>1223.7866986836877</v>
      </c>
      <c r="BP57" s="108">
        <v>1.5364693646658902</v>
      </c>
      <c r="BQ57" s="108">
        <v>2168.2655674165044</v>
      </c>
      <c r="BR57" s="108">
        <v>2.2187239833107073</v>
      </c>
      <c r="BS57" s="108">
        <v>3131.0632852480703</v>
      </c>
      <c r="BT57" s="108">
        <v>1.9936329543324351</v>
      </c>
      <c r="BU57" s="108">
        <v>2813.4148251539327</v>
      </c>
      <c r="BV57" s="108">
        <v>1.5288990825688076</v>
      </c>
      <c r="BW57" s="108">
        <v>2157.5823853211014</v>
      </c>
      <c r="BX57" s="108">
        <v>0</v>
      </c>
      <c r="BY57" s="108">
        <v>0</v>
      </c>
      <c r="BZ57" s="108">
        <v>1.0408971912664933</v>
      </c>
      <c r="CA57" s="108">
        <v>1468.9141163152754</v>
      </c>
      <c r="CB57" s="108">
        <v>0.62734606076902388</v>
      </c>
      <c r="CC57" s="108">
        <v>885.31076095724654</v>
      </c>
      <c r="CD57" s="108">
        <v>0</v>
      </c>
      <c r="CE57" s="108">
        <v>0</v>
      </c>
      <c r="CF57" s="108">
        <v>0.87442063839090522</v>
      </c>
      <c r="CG57" s="108">
        <v>1233.9824048972455</v>
      </c>
      <c r="CH57" s="108">
        <v>0</v>
      </c>
      <c r="CI57" s="108">
        <v>0</v>
      </c>
      <c r="CJ57" s="108">
        <v>0</v>
      </c>
      <c r="CK57" s="108">
        <v>0</v>
      </c>
      <c r="CL57" s="108">
        <v>1.4335539585378063</v>
      </c>
      <c r="CM57" s="108">
        <v>2023.0313462885524</v>
      </c>
      <c r="CN57" s="108">
        <v>3.6906285115274731</v>
      </c>
      <c r="CO57" s="108">
        <v>5208.2149554675698</v>
      </c>
      <c r="CP57" s="108">
        <v>6.3795744680851065</v>
      </c>
      <c r="CQ57" s="108">
        <v>9002.855489361702</v>
      </c>
      <c r="CR57" s="108">
        <v>0</v>
      </c>
      <c r="CS57" s="108">
        <v>0</v>
      </c>
      <c r="CT57" s="108">
        <v>0</v>
      </c>
      <c r="CU57" s="108">
        <v>0</v>
      </c>
    </row>
    <row r="58" spans="2:99" x14ac:dyDescent="0.2">
      <c r="C58" s="107" t="s">
        <v>223</v>
      </c>
      <c r="D58" s="108">
        <v>0</v>
      </c>
      <c r="E58" s="108">
        <v>0</v>
      </c>
      <c r="F58" s="108">
        <v>0</v>
      </c>
      <c r="G58" s="108">
        <v>0</v>
      </c>
      <c r="H58" s="108">
        <v>0</v>
      </c>
      <c r="I58" s="108">
        <v>0</v>
      </c>
      <c r="J58" s="108">
        <v>13.301596351197263</v>
      </c>
      <c r="K58" s="108">
        <v>15658.639224629418</v>
      </c>
      <c r="L58" s="108">
        <v>0</v>
      </c>
      <c r="M58" s="108">
        <v>0</v>
      </c>
      <c r="N58" s="108">
        <v>30.358733607638651</v>
      </c>
      <c r="O58" s="108">
        <v>35738.301202912218</v>
      </c>
      <c r="P58" s="108">
        <v>19.136842105263156</v>
      </c>
      <c r="Q58" s="108">
        <v>22527.890526315787</v>
      </c>
      <c r="R58" s="108">
        <v>0</v>
      </c>
      <c r="S58" s="108">
        <v>0</v>
      </c>
      <c r="T58" s="108">
        <v>6.0242899934132925</v>
      </c>
      <c r="U58" s="108">
        <v>7091.7941802461282</v>
      </c>
      <c r="V58" s="108">
        <v>4.3316690684285115</v>
      </c>
      <c r="W58" s="108">
        <v>5099.2408273540441</v>
      </c>
      <c r="X58" s="108">
        <v>5.4899869960988292</v>
      </c>
      <c r="Y58" s="108">
        <v>6462.8126918075423</v>
      </c>
      <c r="Z58" s="108">
        <v>1.5025530300079633</v>
      </c>
      <c r="AA58" s="108">
        <v>1768.8054269253744</v>
      </c>
      <c r="AB58" s="108">
        <v>0</v>
      </c>
      <c r="AC58" s="108">
        <v>0</v>
      </c>
      <c r="AD58" s="108">
        <v>7.3522058823529415</v>
      </c>
      <c r="AE58" s="108">
        <v>8655.0167647058825</v>
      </c>
      <c r="AF58" s="108">
        <v>4.6414464119619723</v>
      </c>
      <c r="AG58" s="108">
        <v>5463.9107161616339</v>
      </c>
      <c r="AH58" s="108">
        <v>1.794196865047025E-16</v>
      </c>
      <c r="AI58" s="108">
        <v>2.112128549533358E-13</v>
      </c>
      <c r="AJ58" s="108">
        <v>0</v>
      </c>
      <c r="AK58" s="108">
        <v>0</v>
      </c>
      <c r="AL58" s="108">
        <v>3.1034688293249579</v>
      </c>
      <c r="AM58" s="108">
        <v>3653.4035058813406</v>
      </c>
      <c r="AN58" s="108">
        <v>9.8584215647374016</v>
      </c>
      <c r="AO58" s="108">
        <v>11605.33386600887</v>
      </c>
      <c r="AP58" s="108">
        <v>3.7891395809225217</v>
      </c>
      <c r="AQ58" s="108">
        <v>4460.5751146619923</v>
      </c>
      <c r="AR58" s="108">
        <v>5.2441964079030674</v>
      </c>
      <c r="AS58" s="108">
        <v>6173.4680113834911</v>
      </c>
      <c r="AT58" s="108">
        <v>2.0539244920988327</v>
      </c>
      <c r="AU58" s="108">
        <v>2417.879912098746</v>
      </c>
      <c r="AV58" s="108">
        <v>1.6872066267832488</v>
      </c>
      <c r="AW58" s="108">
        <v>1986.1796410492407</v>
      </c>
      <c r="AX58" s="108">
        <v>0</v>
      </c>
      <c r="AY58" s="108">
        <v>0</v>
      </c>
      <c r="AZ58" s="108">
        <v>28.585411140583556</v>
      </c>
      <c r="BA58" s="108">
        <v>33650.74599469496</v>
      </c>
      <c r="BB58" s="108">
        <v>0</v>
      </c>
      <c r="BC58" s="108">
        <v>0</v>
      </c>
      <c r="BD58" s="108">
        <v>21.555115830115831</v>
      </c>
      <c r="BE58" s="108">
        <v>25374.682355212357</v>
      </c>
      <c r="BF58" s="108">
        <v>16.347803806734994</v>
      </c>
      <c r="BG58" s="108">
        <v>19244.634641288438</v>
      </c>
      <c r="BH58" s="108">
        <v>0</v>
      </c>
      <c r="BI58" s="108">
        <v>0</v>
      </c>
      <c r="BJ58" s="108">
        <v>3.5373820754716983</v>
      </c>
      <c r="BK58" s="108">
        <v>4164.2061792452832</v>
      </c>
      <c r="BL58" s="108">
        <v>5.0661971187681223</v>
      </c>
      <c r="BM58" s="108">
        <v>5963.927248213834</v>
      </c>
      <c r="BN58" s="108">
        <v>3.6434004183151236</v>
      </c>
      <c r="BO58" s="108">
        <v>4289.0109724405638</v>
      </c>
      <c r="BP58" s="108">
        <v>2.2097080646135536</v>
      </c>
      <c r="BQ58" s="108">
        <v>2601.2683336630753</v>
      </c>
      <c r="BR58" s="108">
        <v>1.7081358103779631</v>
      </c>
      <c r="BS58" s="108">
        <v>2010.8174759769383</v>
      </c>
      <c r="BT58" s="108">
        <v>0</v>
      </c>
      <c r="BU58" s="108">
        <v>0</v>
      </c>
      <c r="BV58" s="108">
        <v>0</v>
      </c>
      <c r="BW58" s="108">
        <v>0</v>
      </c>
      <c r="BX58" s="108">
        <v>4.7890702574157453</v>
      </c>
      <c r="BY58" s="108">
        <v>5637.6935070298159</v>
      </c>
      <c r="BZ58" s="108">
        <v>4.3007055675566059</v>
      </c>
      <c r="CA58" s="108">
        <v>5062.7905941276367</v>
      </c>
      <c r="CB58" s="108">
        <v>3.4583979997742986</v>
      </c>
      <c r="CC58" s="108">
        <v>4071.2261253343045</v>
      </c>
      <c r="CD58" s="108">
        <v>9.08994816316536</v>
      </c>
      <c r="CE58" s="108">
        <v>10700.686977678262</v>
      </c>
      <c r="CF58" s="108">
        <v>3.6437942122186495</v>
      </c>
      <c r="CG58" s="108">
        <v>4289.4745466237946</v>
      </c>
      <c r="CH58" s="108">
        <v>0</v>
      </c>
      <c r="CI58" s="108">
        <v>0</v>
      </c>
      <c r="CJ58" s="108">
        <v>4.2787030941408819</v>
      </c>
      <c r="CK58" s="108">
        <v>5036.8892824226459</v>
      </c>
      <c r="CL58" s="108">
        <v>7.5168070339514585</v>
      </c>
      <c r="CM58" s="108">
        <v>8848.785240367657</v>
      </c>
      <c r="CN58" s="108">
        <v>0</v>
      </c>
      <c r="CO58" s="108">
        <v>0</v>
      </c>
      <c r="CP58" s="108">
        <v>4.1775847859367436</v>
      </c>
      <c r="CQ58" s="108">
        <v>4917.8528100047351</v>
      </c>
      <c r="CR58" s="108">
        <v>4.120512187892178</v>
      </c>
      <c r="CS58" s="108">
        <v>4850.666947586672</v>
      </c>
      <c r="CT58" s="108">
        <v>4.5646935933147637</v>
      </c>
      <c r="CU58" s="108">
        <v>5373.5572980501402</v>
      </c>
    </row>
    <row r="59" spans="2:99" x14ac:dyDescent="0.2">
      <c r="C59" s="107" t="s">
        <v>224</v>
      </c>
      <c r="D59" s="108">
        <v>0</v>
      </c>
      <c r="E59" s="108">
        <v>0</v>
      </c>
      <c r="F59" s="108">
        <v>0</v>
      </c>
      <c r="G59" s="108">
        <v>0</v>
      </c>
      <c r="H59" s="108">
        <v>0</v>
      </c>
      <c r="I59" s="108">
        <v>0</v>
      </c>
      <c r="J59" s="108">
        <v>0</v>
      </c>
      <c r="K59" s="108">
        <v>0</v>
      </c>
      <c r="L59" s="108">
        <v>0</v>
      </c>
      <c r="M59" s="108">
        <v>0</v>
      </c>
      <c r="N59" s="108">
        <v>11.170993938919221</v>
      </c>
      <c r="O59" s="108">
        <v>3391.5137598558749</v>
      </c>
      <c r="P59" s="108">
        <v>5.09314804649956</v>
      </c>
      <c r="Q59" s="108">
        <v>1546.2797469172663</v>
      </c>
      <c r="R59" s="108">
        <v>2.6394906234523723</v>
      </c>
      <c r="S59" s="108">
        <v>801.34935328014012</v>
      </c>
      <c r="T59" s="108">
        <v>5.2345192307692301</v>
      </c>
      <c r="U59" s="108">
        <v>1589.200038461538</v>
      </c>
      <c r="V59" s="108">
        <v>0</v>
      </c>
      <c r="W59" s="108">
        <v>0</v>
      </c>
      <c r="X59" s="108">
        <v>11.96906820654756</v>
      </c>
      <c r="Y59" s="108">
        <v>3633.8091075078387</v>
      </c>
      <c r="Z59" s="108">
        <v>7.4251578607318702</v>
      </c>
      <c r="AA59" s="108">
        <v>2254.2779265181957</v>
      </c>
      <c r="AB59" s="108">
        <v>2.734208367514356</v>
      </c>
      <c r="AC59" s="108">
        <v>830.10566037735839</v>
      </c>
      <c r="AD59" s="108">
        <v>1.012742091479199E-16</v>
      </c>
      <c r="AE59" s="108">
        <v>3.074684989730848E-14</v>
      </c>
      <c r="AF59" s="108">
        <v>1.5632125090956857</v>
      </c>
      <c r="AG59" s="108">
        <v>474.59131776145011</v>
      </c>
      <c r="AH59" s="108">
        <v>1.6047783700812601</v>
      </c>
      <c r="AI59" s="108">
        <v>487.21071315667052</v>
      </c>
      <c r="AJ59" s="108">
        <v>1.850296076980015</v>
      </c>
      <c r="AK59" s="108">
        <v>561.74988897113246</v>
      </c>
      <c r="AL59" s="108">
        <v>0</v>
      </c>
      <c r="AM59" s="108">
        <v>0</v>
      </c>
      <c r="AN59" s="108">
        <v>10.327441764025066</v>
      </c>
      <c r="AO59" s="108">
        <v>3135.4113195580098</v>
      </c>
      <c r="AP59" s="108">
        <v>3.0794021739130444</v>
      </c>
      <c r="AQ59" s="108">
        <v>934.90650000000016</v>
      </c>
      <c r="AR59" s="108">
        <v>0</v>
      </c>
      <c r="AS59" s="108">
        <v>0</v>
      </c>
      <c r="AT59" s="108">
        <v>8.9058116232464943</v>
      </c>
      <c r="AU59" s="108">
        <v>2703.8044088176352</v>
      </c>
      <c r="AV59" s="108">
        <v>0</v>
      </c>
      <c r="AW59" s="108">
        <v>0</v>
      </c>
      <c r="AX59" s="108">
        <v>10.512176558850673</v>
      </c>
      <c r="AY59" s="108">
        <v>3191.496803267064</v>
      </c>
      <c r="AZ59" s="108">
        <v>7.9947706389553224</v>
      </c>
      <c r="BA59" s="108">
        <v>2427.2123659868357</v>
      </c>
      <c r="BB59" s="108">
        <v>3.3772255729794933</v>
      </c>
      <c r="BC59" s="108">
        <v>1025.325683956574</v>
      </c>
      <c r="BD59" s="108">
        <v>0</v>
      </c>
      <c r="BE59" s="108">
        <v>0</v>
      </c>
      <c r="BF59" s="108">
        <v>8.0637096774193555</v>
      </c>
      <c r="BG59" s="108">
        <v>2448.1422580645162</v>
      </c>
      <c r="BH59" s="108">
        <v>0.23663308545454181</v>
      </c>
      <c r="BI59" s="108">
        <v>71.841804743998892</v>
      </c>
      <c r="BJ59" s="108">
        <v>1.4536607916080799</v>
      </c>
      <c r="BK59" s="108">
        <v>441.331416332213</v>
      </c>
      <c r="BL59" s="108">
        <v>0.93766880804583608</v>
      </c>
      <c r="BM59" s="108">
        <v>284.67625012271583</v>
      </c>
      <c r="BN59" s="108">
        <v>0.8947042037191425</v>
      </c>
      <c r="BO59" s="108">
        <v>271.63219624913165</v>
      </c>
      <c r="BP59" s="108">
        <v>1.7313801364104804</v>
      </c>
      <c r="BQ59" s="108">
        <v>525.64700941422177</v>
      </c>
      <c r="BR59" s="108">
        <v>2.539795079955951</v>
      </c>
      <c r="BS59" s="108">
        <v>771.08178627462667</v>
      </c>
      <c r="BT59" s="108">
        <v>2.1724161608543757</v>
      </c>
      <c r="BU59" s="108">
        <v>659.54554643538836</v>
      </c>
      <c r="BV59" s="108">
        <v>1.6987767584097861</v>
      </c>
      <c r="BW59" s="108">
        <v>515.74862385321103</v>
      </c>
      <c r="BX59" s="108">
        <v>0</v>
      </c>
      <c r="BY59" s="108">
        <v>0</v>
      </c>
      <c r="BZ59" s="108">
        <v>1.0408971912664933</v>
      </c>
      <c r="CA59" s="108">
        <v>316.01638726850734</v>
      </c>
      <c r="CB59" s="108">
        <v>0.76177735950524339</v>
      </c>
      <c r="CC59" s="108">
        <v>231.27560634579186</v>
      </c>
      <c r="CD59" s="108">
        <v>0</v>
      </c>
      <c r="CE59" s="108">
        <v>0</v>
      </c>
      <c r="CF59" s="108">
        <v>1.0201574114560561</v>
      </c>
      <c r="CG59" s="108">
        <v>309.7197901180586</v>
      </c>
      <c r="CH59" s="108">
        <v>0</v>
      </c>
      <c r="CI59" s="108">
        <v>0</v>
      </c>
      <c r="CJ59" s="108">
        <v>0</v>
      </c>
      <c r="CK59" s="108">
        <v>0</v>
      </c>
      <c r="CL59" s="108">
        <v>1.5410891081053943</v>
      </c>
      <c r="CM59" s="108">
        <v>467.87465322079765</v>
      </c>
      <c r="CN59" s="108">
        <v>4.2713880907685295</v>
      </c>
      <c r="CO59" s="108">
        <v>1296.7934243573254</v>
      </c>
      <c r="CP59" s="108">
        <v>7.3177471839799759</v>
      </c>
      <c r="CQ59" s="108">
        <v>2221.6680450563204</v>
      </c>
      <c r="CR59" s="108">
        <v>0</v>
      </c>
      <c r="CS59" s="108">
        <v>0</v>
      </c>
      <c r="CT59" s="108">
        <v>0</v>
      </c>
      <c r="CU59" s="108">
        <v>0</v>
      </c>
    </row>
    <row r="60" spans="2:99" x14ac:dyDescent="0.2">
      <c r="C60" s="107" t="s">
        <v>225</v>
      </c>
      <c r="D60" s="108">
        <v>0</v>
      </c>
      <c r="E60" s="108">
        <v>0</v>
      </c>
      <c r="F60" s="108">
        <v>0</v>
      </c>
      <c r="G60" s="108">
        <v>0</v>
      </c>
      <c r="H60" s="108">
        <v>0</v>
      </c>
      <c r="I60" s="108">
        <v>0</v>
      </c>
      <c r="J60" s="108">
        <v>0</v>
      </c>
      <c r="K60" s="108">
        <v>0</v>
      </c>
      <c r="L60" s="108">
        <v>0</v>
      </c>
      <c r="M60" s="108">
        <v>0</v>
      </c>
      <c r="N60" s="108">
        <v>9.9576702930215806</v>
      </c>
      <c r="O60" s="108">
        <v>6488.4179629328619</v>
      </c>
      <c r="P60" s="108">
        <v>4.5459581534789395</v>
      </c>
      <c r="Q60" s="108">
        <v>2962.1463328068771</v>
      </c>
      <c r="R60" s="108">
        <v>2.3526954527551793</v>
      </c>
      <c r="S60" s="108">
        <v>1533.0163570152749</v>
      </c>
      <c r="T60" s="108">
        <v>5.4481730769230765</v>
      </c>
      <c r="U60" s="108">
        <v>3550.029576923077</v>
      </c>
      <c r="V60" s="108">
        <v>0</v>
      </c>
      <c r="W60" s="108">
        <v>0</v>
      </c>
      <c r="X60" s="108">
        <v>11.942356053514992</v>
      </c>
      <c r="Y60" s="108">
        <v>7781.6392044703689</v>
      </c>
      <c r="Z60" s="108">
        <v>6.7583562643063724</v>
      </c>
      <c r="AA60" s="108">
        <v>4403.7449418220322</v>
      </c>
      <c r="AB60" s="108">
        <v>2.4607875307629206</v>
      </c>
      <c r="AC60" s="108">
        <v>1603.4491550451191</v>
      </c>
      <c r="AD60" s="108">
        <v>9.4437169118910535E-17</v>
      </c>
      <c r="AE60" s="108">
        <v>6.1535259397882101E-14</v>
      </c>
      <c r="AF60" s="108">
        <v>1.3367146943476944</v>
      </c>
      <c r="AG60" s="108">
        <v>871.00329483695771</v>
      </c>
      <c r="AH60" s="108">
        <v>1.6097525862612039</v>
      </c>
      <c r="AI60" s="108">
        <v>1048.9147852078004</v>
      </c>
      <c r="AJ60" s="108">
        <v>1.7269430051813472</v>
      </c>
      <c r="AK60" s="108">
        <v>1125.2760621761659</v>
      </c>
      <c r="AL60" s="108">
        <v>0</v>
      </c>
      <c r="AM60" s="108">
        <v>0</v>
      </c>
      <c r="AN60" s="108">
        <v>10.011995861617962</v>
      </c>
      <c r="AO60" s="108">
        <v>6523.8165034302638</v>
      </c>
      <c r="AP60" s="108">
        <v>3.2605434782608702</v>
      </c>
      <c r="AQ60" s="108">
        <v>2124.5701304347831</v>
      </c>
      <c r="AR60" s="108">
        <v>0</v>
      </c>
      <c r="AS60" s="108">
        <v>0</v>
      </c>
      <c r="AT60" s="108">
        <v>8.0152304609218437</v>
      </c>
      <c r="AU60" s="108">
        <v>5222.7241683366738</v>
      </c>
      <c r="AV60" s="108">
        <v>0</v>
      </c>
      <c r="AW60" s="108">
        <v>0</v>
      </c>
      <c r="AX60" s="108">
        <v>10.834000707210459</v>
      </c>
      <c r="AY60" s="108">
        <v>7059.4348608183354</v>
      </c>
      <c r="AZ60" s="108">
        <v>8.6390162358546334</v>
      </c>
      <c r="BA60" s="108">
        <v>5629.1829792828794</v>
      </c>
      <c r="BB60" s="108">
        <v>3.4978407720144751</v>
      </c>
      <c r="BC60" s="108">
        <v>2279.1930470446318</v>
      </c>
      <c r="BD60" s="108">
        <v>0</v>
      </c>
      <c r="BE60" s="108">
        <v>0</v>
      </c>
      <c r="BF60" s="108">
        <v>7.507591768631813</v>
      </c>
      <c r="BG60" s="108">
        <v>4891.9467964404894</v>
      </c>
      <c r="BH60" s="108">
        <v>0.20022799538461231</v>
      </c>
      <c r="BI60" s="108">
        <v>130.46856179261337</v>
      </c>
      <c r="BJ60" s="108">
        <v>1.5636066679975125</v>
      </c>
      <c r="BK60" s="108">
        <v>1018.8461048671792</v>
      </c>
      <c r="BL60" s="108">
        <v>0.93236550409777474</v>
      </c>
      <c r="BM60" s="108">
        <v>607.52936247011007</v>
      </c>
      <c r="BN60" s="108">
        <v>0.87309044999118923</v>
      </c>
      <c r="BO60" s="108">
        <v>568.90573721425892</v>
      </c>
      <c r="BP60" s="108">
        <v>1.4252999702426159</v>
      </c>
      <c r="BQ60" s="108">
        <v>928.72546061008859</v>
      </c>
      <c r="BR60" s="108">
        <v>2.8197609005926236</v>
      </c>
      <c r="BS60" s="108">
        <v>1837.3562028261535</v>
      </c>
      <c r="BT60" s="108">
        <v>1.8457198811774485</v>
      </c>
      <c r="BU60" s="108">
        <v>1202.6710745752255</v>
      </c>
      <c r="BV60" s="108">
        <v>1.5288990825688076</v>
      </c>
      <c r="BW60" s="108">
        <v>996.23064220183505</v>
      </c>
      <c r="BX60" s="108">
        <v>0</v>
      </c>
      <c r="BY60" s="108">
        <v>0</v>
      </c>
      <c r="BZ60" s="108">
        <v>0.96654739189031535</v>
      </c>
      <c r="CA60" s="108">
        <v>629.80228055572945</v>
      </c>
      <c r="CB60" s="108">
        <v>0.76177735950524339</v>
      </c>
      <c r="CC60" s="108">
        <v>496.37412745361661</v>
      </c>
      <c r="CD60" s="108">
        <v>0</v>
      </c>
      <c r="CE60" s="108">
        <v>0</v>
      </c>
      <c r="CF60" s="108">
        <v>0.97157848710100569</v>
      </c>
      <c r="CG60" s="108">
        <v>633.08054219501537</v>
      </c>
      <c r="CH60" s="108">
        <v>0</v>
      </c>
      <c r="CI60" s="108">
        <v>0</v>
      </c>
      <c r="CJ60" s="108">
        <v>0</v>
      </c>
      <c r="CK60" s="108">
        <v>0</v>
      </c>
      <c r="CL60" s="108">
        <v>1.5211476319969484</v>
      </c>
      <c r="CM60" s="108">
        <v>991.1797970092116</v>
      </c>
      <c r="CN60" s="108">
        <v>3.9866309280924463</v>
      </c>
      <c r="CO60" s="108">
        <v>2597.6887127450382</v>
      </c>
      <c r="CP60" s="108">
        <v>6.9424780976220282</v>
      </c>
      <c r="CQ60" s="108">
        <v>4523.7187284105139</v>
      </c>
      <c r="CR60" s="108">
        <v>0</v>
      </c>
      <c r="CS60" s="108">
        <v>0</v>
      </c>
      <c r="CT60" s="108">
        <v>0</v>
      </c>
      <c r="CU60" s="108">
        <v>0</v>
      </c>
    </row>
    <row r="61" spans="2:99" x14ac:dyDescent="0.2">
      <c r="C61" s="107" t="s">
        <v>226</v>
      </c>
      <c r="D61" s="108">
        <v>0</v>
      </c>
      <c r="E61" s="108">
        <v>0</v>
      </c>
      <c r="F61" s="108">
        <v>0</v>
      </c>
      <c r="G61" s="108">
        <v>0</v>
      </c>
      <c r="H61" s="108">
        <v>0</v>
      </c>
      <c r="I61" s="108">
        <v>0</v>
      </c>
      <c r="J61" s="108">
        <v>0</v>
      </c>
      <c r="K61" s="108">
        <v>0</v>
      </c>
      <c r="L61" s="108">
        <v>0</v>
      </c>
      <c r="M61" s="108">
        <v>0</v>
      </c>
      <c r="N61" s="108">
        <v>9.9518311970718027</v>
      </c>
      <c r="O61" s="108">
        <v>9470.162567133526</v>
      </c>
      <c r="P61" s="108">
        <v>3.9479744757800614</v>
      </c>
      <c r="Q61" s="108">
        <v>3756.8925111523063</v>
      </c>
      <c r="R61" s="108">
        <v>2.3508363541561019</v>
      </c>
      <c r="S61" s="108">
        <v>2237.0558746149463</v>
      </c>
      <c r="T61" s="108">
        <v>4.9140384615384614</v>
      </c>
      <c r="U61" s="108">
        <v>4676.1989999999996</v>
      </c>
      <c r="V61" s="108">
        <v>0</v>
      </c>
      <c r="W61" s="108">
        <v>0</v>
      </c>
      <c r="X61" s="108">
        <v>10.58321761168876</v>
      </c>
      <c r="Y61" s="108">
        <v>10070.989879283023</v>
      </c>
      <c r="Z61" s="108">
        <v>7.400519597081491</v>
      </c>
      <c r="AA61" s="108">
        <v>7042.3344485827465</v>
      </c>
      <c r="AB61" s="108">
        <v>2.4607875307629206</v>
      </c>
      <c r="AC61" s="108">
        <v>2341.6854142739949</v>
      </c>
      <c r="AD61" s="108">
        <v>1.012742091479199E-16</v>
      </c>
      <c r="AE61" s="108">
        <v>9.6372537425160575E-14</v>
      </c>
      <c r="AF61" s="108">
        <v>1.4455091628936398</v>
      </c>
      <c r="AG61" s="108">
        <v>1375.5465194095875</v>
      </c>
      <c r="AH61" s="108">
        <v>1.4863080962549531</v>
      </c>
      <c r="AI61" s="108">
        <v>1414.3707843962131</v>
      </c>
      <c r="AJ61" s="108">
        <v>1.4802368615840118</v>
      </c>
      <c r="AK61" s="108">
        <v>1408.5933974833456</v>
      </c>
      <c r="AL61" s="108">
        <v>0</v>
      </c>
      <c r="AM61" s="108">
        <v>0</v>
      </c>
      <c r="AN61" s="108">
        <v>9.561090452090161</v>
      </c>
      <c r="AO61" s="108">
        <v>9098.3336742089959</v>
      </c>
      <c r="AP61" s="108">
        <v>2.7171195652173918</v>
      </c>
      <c r="AQ61" s="108">
        <v>2585.6109782608696</v>
      </c>
      <c r="AR61" s="108">
        <v>0</v>
      </c>
      <c r="AS61" s="108">
        <v>0</v>
      </c>
      <c r="AT61" s="108">
        <v>8.9058116232464943</v>
      </c>
      <c r="AU61" s="108">
        <v>8474.7703406813635</v>
      </c>
      <c r="AV61" s="108">
        <v>0</v>
      </c>
      <c r="AW61" s="108">
        <v>0</v>
      </c>
      <c r="AX61" s="108">
        <v>10.435778284740088</v>
      </c>
      <c r="AY61" s="108">
        <v>9930.6866157586664</v>
      </c>
      <c r="AZ61" s="108">
        <v>8.2113290380745489</v>
      </c>
      <c r="BA61" s="108">
        <v>7813.9007126317401</v>
      </c>
      <c r="BB61" s="108">
        <v>3.2968154402895058</v>
      </c>
      <c r="BC61" s="108">
        <v>3137.2495729794932</v>
      </c>
      <c r="BD61" s="108">
        <v>0</v>
      </c>
      <c r="BE61" s="108">
        <v>0</v>
      </c>
      <c r="BF61" s="108">
        <v>6.7661012235817575</v>
      </c>
      <c r="BG61" s="108">
        <v>6438.6219243604</v>
      </c>
      <c r="BH61" s="108">
        <v>0.21843054041957707</v>
      </c>
      <c r="BI61" s="108">
        <v>207.85850226326951</v>
      </c>
      <c r="BJ61" s="108">
        <v>1.2719468902255802</v>
      </c>
      <c r="BK61" s="108">
        <v>1210.384660738662</v>
      </c>
      <c r="BL61" s="108">
        <v>0.92175889620165241</v>
      </c>
      <c r="BM61" s="108">
        <v>877.14576562549234</v>
      </c>
      <c r="BN61" s="108">
        <v>0.880949996801354</v>
      </c>
      <c r="BO61" s="108">
        <v>838.31201695616835</v>
      </c>
      <c r="BP61" s="108">
        <v>1.5532176401301534</v>
      </c>
      <c r="BQ61" s="108">
        <v>1478.0419063478539</v>
      </c>
      <c r="BR61" s="108">
        <v>2.5233529695525223</v>
      </c>
      <c r="BS61" s="108">
        <v>2401.2226858261802</v>
      </c>
      <c r="BT61" s="108">
        <v>1.7891246366713658</v>
      </c>
      <c r="BU61" s="108">
        <v>1702.5310042564715</v>
      </c>
      <c r="BV61" s="108">
        <v>1.6987767584097861</v>
      </c>
      <c r="BW61" s="108">
        <v>1616.5559633027524</v>
      </c>
      <c r="BX61" s="108">
        <v>0</v>
      </c>
      <c r="BY61" s="108">
        <v>0</v>
      </c>
      <c r="BZ61" s="108">
        <v>1.0408971912664933</v>
      </c>
      <c r="CA61" s="108">
        <v>990.51776720919486</v>
      </c>
      <c r="CB61" s="108">
        <v>0.62734606076902388</v>
      </c>
      <c r="CC61" s="108">
        <v>596.98251142780305</v>
      </c>
      <c r="CD61" s="108">
        <v>0</v>
      </c>
      <c r="CE61" s="108">
        <v>0</v>
      </c>
      <c r="CF61" s="108">
        <v>0.97157848710100569</v>
      </c>
      <c r="CG61" s="108">
        <v>924.55408832531691</v>
      </c>
      <c r="CH61" s="108">
        <v>0</v>
      </c>
      <c r="CI61" s="108">
        <v>0</v>
      </c>
      <c r="CJ61" s="108">
        <v>0</v>
      </c>
      <c r="CK61" s="108">
        <v>0</v>
      </c>
      <c r="CL61" s="108">
        <v>1.3559310231328874</v>
      </c>
      <c r="CM61" s="108">
        <v>1290.3039616132555</v>
      </c>
      <c r="CN61" s="108">
        <v>4.0559460097799853</v>
      </c>
      <c r="CO61" s="108">
        <v>3859.6382229066335</v>
      </c>
      <c r="CP61" s="108">
        <v>7.4115644555694615</v>
      </c>
      <c r="CQ61" s="108">
        <v>7052.844735919899</v>
      </c>
      <c r="CR61" s="108">
        <v>0</v>
      </c>
      <c r="CS61" s="108">
        <v>0</v>
      </c>
      <c r="CT61" s="108">
        <v>0</v>
      </c>
      <c r="CU61" s="108">
        <v>0</v>
      </c>
    </row>
    <row r="62" spans="2:99" x14ac:dyDescent="0.2">
      <c r="C62" s="107" t="s">
        <v>227</v>
      </c>
      <c r="D62" s="108">
        <v>0</v>
      </c>
      <c r="E62" s="108">
        <v>0</v>
      </c>
      <c r="F62" s="108">
        <v>0</v>
      </c>
      <c r="G62" s="108">
        <v>0</v>
      </c>
      <c r="H62" s="108">
        <v>0</v>
      </c>
      <c r="I62" s="108">
        <v>0</v>
      </c>
      <c r="J62" s="108">
        <v>0</v>
      </c>
      <c r="K62" s="108">
        <v>0</v>
      </c>
      <c r="L62" s="108">
        <v>0</v>
      </c>
      <c r="M62" s="108">
        <v>0</v>
      </c>
      <c r="N62" s="108">
        <v>8.4161995778629723</v>
      </c>
      <c r="O62" s="108">
        <v>14351.303520171941</v>
      </c>
      <c r="P62" s="108">
        <v>3.3499907980811834</v>
      </c>
      <c r="Q62" s="108">
        <v>5712.4043088880344</v>
      </c>
      <c r="R62" s="108">
        <v>1.686605218793527</v>
      </c>
      <c r="S62" s="108">
        <v>2875.9992190867224</v>
      </c>
      <c r="T62" s="108">
        <v>4.5935576923076926</v>
      </c>
      <c r="U62" s="108">
        <v>7832.9345769230777</v>
      </c>
      <c r="V62" s="108">
        <v>0</v>
      </c>
      <c r="W62" s="108">
        <v>0</v>
      </c>
      <c r="X62" s="108">
        <v>10.855045300054005</v>
      </c>
      <c r="Y62" s="108">
        <v>18510.02324565209</v>
      </c>
      <c r="Z62" s="108">
        <v>5.9104819483117792</v>
      </c>
      <c r="AA62" s="108">
        <v>10078.553818261245</v>
      </c>
      <c r="AB62" s="108">
        <v>2.1873666940114851</v>
      </c>
      <c r="AC62" s="108">
        <v>3729.8976866283847</v>
      </c>
      <c r="AD62" s="108">
        <v>8.0436286193727788E-17</v>
      </c>
      <c r="AE62" s="108">
        <v>1.3715995521754462E-13</v>
      </c>
      <c r="AF62" s="108">
        <v>1.2368291034578505</v>
      </c>
      <c r="AG62" s="108">
        <v>2109.0409872163268</v>
      </c>
      <c r="AH62" s="108">
        <v>1.4813338800750091</v>
      </c>
      <c r="AI62" s="108">
        <v>2525.9705323039057</v>
      </c>
      <c r="AJ62" s="108">
        <v>1.6035899333826795</v>
      </c>
      <c r="AK62" s="108">
        <v>2734.4415544041453</v>
      </c>
      <c r="AL62" s="108">
        <v>0</v>
      </c>
      <c r="AM62" s="108">
        <v>0</v>
      </c>
      <c r="AN62" s="108">
        <v>8.7947391401552579</v>
      </c>
      <c r="AO62" s="108">
        <v>14996.789181792747</v>
      </c>
      <c r="AP62" s="108">
        <v>2.3548369565217397</v>
      </c>
      <c r="AQ62" s="108">
        <v>4015.4679782608705</v>
      </c>
      <c r="AR62" s="108">
        <v>0</v>
      </c>
      <c r="AS62" s="108">
        <v>0</v>
      </c>
      <c r="AT62" s="108">
        <v>8.0152304609218437</v>
      </c>
      <c r="AU62" s="108">
        <v>13667.570981963929</v>
      </c>
      <c r="AV62" s="108">
        <v>0</v>
      </c>
      <c r="AW62" s="108">
        <v>0</v>
      </c>
      <c r="AX62" s="108">
        <v>8.7883183990653304</v>
      </c>
      <c r="AY62" s="108">
        <v>14985.840534086201</v>
      </c>
      <c r="AZ62" s="108">
        <v>6.8307431762221675</v>
      </c>
      <c r="BA62" s="108">
        <v>11647.78326409404</v>
      </c>
      <c r="BB62" s="108">
        <v>2.3720989143546443</v>
      </c>
      <c r="BC62" s="108">
        <v>4044.9030687575396</v>
      </c>
      <c r="BD62" s="108">
        <v>0</v>
      </c>
      <c r="BE62" s="108">
        <v>0</v>
      </c>
      <c r="BF62" s="108">
        <v>5.931924360400445</v>
      </c>
      <c r="BG62" s="108">
        <v>10115.11741935484</v>
      </c>
      <c r="BH62" s="108">
        <v>0.18202545034964757</v>
      </c>
      <c r="BI62" s="108">
        <v>310.38979793621905</v>
      </c>
      <c r="BJ62" s="108">
        <v>1.2021666211974762</v>
      </c>
      <c r="BK62" s="108">
        <v>2049.9345224659364</v>
      </c>
      <c r="BL62" s="108">
        <v>0.77387765944511011</v>
      </c>
      <c r="BM62" s="108">
        <v>1319.6161848858019</v>
      </c>
      <c r="BN62" s="108">
        <v>0.85737135637085948</v>
      </c>
      <c r="BO62" s="108">
        <v>1461.9896368835896</v>
      </c>
      <c r="BP62" s="108">
        <v>1.2387633362301573</v>
      </c>
      <c r="BQ62" s="108">
        <v>2112.3392409396643</v>
      </c>
      <c r="BR62" s="108">
        <v>2.2105029281089927</v>
      </c>
      <c r="BS62" s="108">
        <v>3769.3495930114545</v>
      </c>
      <c r="BT62" s="108">
        <v>1.6412115635163793</v>
      </c>
      <c r="BU62" s="108">
        <v>2798.5939581081302</v>
      </c>
      <c r="BV62" s="108">
        <v>1.359021406727829</v>
      </c>
      <c r="BW62" s="108">
        <v>2317.4033027522942</v>
      </c>
      <c r="BX62" s="108">
        <v>0</v>
      </c>
      <c r="BY62" s="108">
        <v>0</v>
      </c>
      <c r="BZ62" s="108">
        <v>0.81784779313795919</v>
      </c>
      <c r="CA62" s="108">
        <v>1394.594056858848</v>
      </c>
      <c r="CB62" s="108">
        <v>0.67215649368109709</v>
      </c>
      <c r="CC62" s="108">
        <v>1146.1612530250068</v>
      </c>
      <c r="CD62" s="108">
        <v>0</v>
      </c>
      <c r="CE62" s="108">
        <v>0</v>
      </c>
      <c r="CF62" s="108">
        <v>0.77726278968080453</v>
      </c>
      <c r="CG62" s="108">
        <v>1325.3885089637079</v>
      </c>
      <c r="CH62" s="108">
        <v>0</v>
      </c>
      <c r="CI62" s="108">
        <v>0</v>
      </c>
      <c r="CJ62" s="108">
        <v>0</v>
      </c>
      <c r="CK62" s="108">
        <v>0</v>
      </c>
      <c r="CL62" s="108">
        <v>1.2550430322681145</v>
      </c>
      <c r="CM62" s="108">
        <v>2140.099378623589</v>
      </c>
      <c r="CN62" s="108">
        <v>3.0443022685618413</v>
      </c>
      <c r="CO62" s="108">
        <v>5191.1442283516517</v>
      </c>
      <c r="CP62" s="108">
        <v>6.2857571964956191</v>
      </c>
      <c r="CQ62" s="108">
        <v>10718.473171464329</v>
      </c>
      <c r="CR62" s="108">
        <v>0</v>
      </c>
      <c r="CS62" s="108">
        <v>0</v>
      </c>
      <c r="CT62" s="108">
        <v>0</v>
      </c>
      <c r="CU62" s="108">
        <v>0</v>
      </c>
    </row>
    <row r="63" spans="2:99" x14ac:dyDescent="0.2">
      <c r="C63" s="107" t="s">
        <v>228</v>
      </c>
      <c r="D63" s="108">
        <v>0</v>
      </c>
      <c r="E63" s="108">
        <v>0</v>
      </c>
      <c r="F63" s="108">
        <v>0</v>
      </c>
      <c r="G63" s="108">
        <v>0</v>
      </c>
      <c r="H63" s="108">
        <v>0</v>
      </c>
      <c r="I63" s="108">
        <v>0</v>
      </c>
      <c r="J63" s="108">
        <v>0</v>
      </c>
      <c r="K63" s="108">
        <v>0</v>
      </c>
      <c r="L63" s="108">
        <v>0</v>
      </c>
      <c r="M63" s="108">
        <v>0</v>
      </c>
      <c r="N63" s="108">
        <v>9.9518311970718027</v>
      </c>
      <c r="O63" s="108">
        <v>7917.6769003903264</v>
      </c>
      <c r="P63" s="108">
        <v>4.4408022162826022</v>
      </c>
      <c r="Q63" s="108">
        <v>3533.1022432744385</v>
      </c>
      <c r="R63" s="108">
        <v>2.4433362467233692</v>
      </c>
      <c r="S63" s="108">
        <v>1943.9183178931125</v>
      </c>
      <c r="T63" s="108">
        <v>5.3413461538461542</v>
      </c>
      <c r="U63" s="108">
        <v>4249.5750000000007</v>
      </c>
      <c r="V63" s="108">
        <v>0</v>
      </c>
      <c r="W63" s="108">
        <v>0</v>
      </c>
      <c r="X63" s="108">
        <v>10.881757453086575</v>
      </c>
      <c r="Y63" s="108">
        <v>8657.5262296756791</v>
      </c>
      <c r="Z63" s="108">
        <v>7.5898050712007139</v>
      </c>
      <c r="AA63" s="108">
        <v>6038.4489146472879</v>
      </c>
      <c r="AB63" s="108">
        <v>2.4607875307629206</v>
      </c>
      <c r="AC63" s="108">
        <v>1957.8025594749797</v>
      </c>
      <c r="AD63" s="108">
        <v>9.3783563384582463E-17</v>
      </c>
      <c r="AE63" s="108">
        <v>7.4614203028773813E-14</v>
      </c>
      <c r="AF63" s="108">
        <v>1.5453947537834836</v>
      </c>
      <c r="AG63" s="108">
        <v>1229.5160661101395</v>
      </c>
      <c r="AH63" s="108">
        <v>1.6147268024411479</v>
      </c>
      <c r="AI63" s="108">
        <v>1284.6766440221772</v>
      </c>
      <c r="AJ63" s="108">
        <v>1.850296076980015</v>
      </c>
      <c r="AK63" s="108">
        <v>1472.0955588453</v>
      </c>
      <c r="AL63" s="108">
        <v>0</v>
      </c>
      <c r="AM63" s="108">
        <v>0</v>
      </c>
      <c r="AN63" s="108">
        <v>9.5324135518713344</v>
      </c>
      <c r="AO63" s="108">
        <v>7583.9882218688335</v>
      </c>
      <c r="AP63" s="108">
        <v>3.0794021739130444</v>
      </c>
      <c r="AQ63" s="108">
        <v>2449.9723695652183</v>
      </c>
      <c r="AR63" s="108">
        <v>0</v>
      </c>
      <c r="AS63" s="108">
        <v>0</v>
      </c>
      <c r="AT63" s="108">
        <v>9.3511022044088179</v>
      </c>
      <c r="AU63" s="108">
        <v>7439.7369138276554</v>
      </c>
      <c r="AV63" s="108">
        <v>0</v>
      </c>
      <c r="AW63" s="108">
        <v>0</v>
      </c>
      <c r="AX63" s="108">
        <v>9.6939036355926209</v>
      </c>
      <c r="AY63" s="108">
        <v>7712.4697324774897</v>
      </c>
      <c r="AZ63" s="108">
        <v>8.6408261026740902</v>
      </c>
      <c r="BA63" s="108">
        <v>6874.6412472875063</v>
      </c>
      <c r="BB63" s="108">
        <v>3.3772255729794933</v>
      </c>
      <c r="BC63" s="108">
        <v>2686.9206658624848</v>
      </c>
      <c r="BD63" s="108">
        <v>0</v>
      </c>
      <c r="BE63" s="108">
        <v>0</v>
      </c>
      <c r="BF63" s="108">
        <v>7.8783370411568407</v>
      </c>
      <c r="BG63" s="108">
        <v>6268.004949944383</v>
      </c>
      <c r="BH63" s="108">
        <v>0.20022799538461231</v>
      </c>
      <c r="BI63" s="108">
        <v>159.30139312799756</v>
      </c>
      <c r="BJ63" s="108">
        <v>1.4378595827922103</v>
      </c>
      <c r="BK63" s="108">
        <v>1143.9610840694825</v>
      </c>
      <c r="BL63" s="108">
        <v>0.85444740775845773</v>
      </c>
      <c r="BM63" s="108">
        <v>679.79835761262905</v>
      </c>
      <c r="BN63" s="108">
        <v>0.94764913363445102</v>
      </c>
      <c r="BO63" s="108">
        <v>753.94965071956926</v>
      </c>
      <c r="BP63" s="108">
        <v>1.7104447920801513</v>
      </c>
      <c r="BQ63" s="108">
        <v>1360.8298765789684</v>
      </c>
      <c r="BR63" s="108">
        <v>2.67566746267343</v>
      </c>
      <c r="BS63" s="108">
        <v>2128.7610333029811</v>
      </c>
      <c r="BT63" s="108">
        <v>1.8405748589496229</v>
      </c>
      <c r="BU63" s="108">
        <v>1464.3613577803201</v>
      </c>
      <c r="BV63" s="108">
        <v>1.5288990825688076</v>
      </c>
      <c r="BW63" s="108">
        <v>1216.3921100917432</v>
      </c>
      <c r="BX63" s="108">
        <v>0</v>
      </c>
      <c r="BY63" s="108">
        <v>0</v>
      </c>
      <c r="BZ63" s="108">
        <v>0.96654739189031535</v>
      </c>
      <c r="CA63" s="108">
        <v>768.98510498793496</v>
      </c>
      <c r="CB63" s="108">
        <v>0.7169669265931703</v>
      </c>
      <c r="CC63" s="108">
        <v>570.41888679752628</v>
      </c>
      <c r="CD63" s="108">
        <v>0</v>
      </c>
      <c r="CE63" s="108">
        <v>0</v>
      </c>
      <c r="CF63" s="108">
        <v>0.87442063839090522</v>
      </c>
      <c r="CG63" s="108">
        <v>695.68905990380426</v>
      </c>
      <c r="CH63" s="108">
        <v>0</v>
      </c>
      <c r="CI63" s="108">
        <v>0</v>
      </c>
      <c r="CJ63" s="108">
        <v>0</v>
      </c>
      <c r="CK63" s="108">
        <v>0</v>
      </c>
      <c r="CL63" s="108">
        <v>1.622035622861721</v>
      </c>
      <c r="CM63" s="108">
        <v>1290.4915415487853</v>
      </c>
      <c r="CN63" s="108">
        <v>3.9116932194604628</v>
      </c>
      <c r="CO63" s="108">
        <v>3112.1431254027443</v>
      </c>
      <c r="CP63" s="108">
        <v>7.3177471839799759</v>
      </c>
      <c r="CQ63" s="108">
        <v>5821.9996595744688</v>
      </c>
      <c r="CR63" s="108">
        <v>0</v>
      </c>
      <c r="CS63" s="108">
        <v>0</v>
      </c>
      <c r="CT63" s="108">
        <v>0</v>
      </c>
      <c r="CU63" s="108">
        <v>0</v>
      </c>
    </row>
    <row r="64" spans="2:99" x14ac:dyDescent="0.2">
      <c r="C64" s="107" t="s">
        <v>229</v>
      </c>
      <c r="D64" s="108">
        <v>0</v>
      </c>
      <c r="E64" s="108">
        <v>0</v>
      </c>
      <c r="F64" s="108">
        <v>0</v>
      </c>
      <c r="G64" s="108">
        <v>0</v>
      </c>
      <c r="H64" s="108">
        <v>0</v>
      </c>
      <c r="I64" s="108">
        <v>0</v>
      </c>
      <c r="J64" s="108">
        <v>0</v>
      </c>
      <c r="K64" s="108">
        <v>0</v>
      </c>
      <c r="L64" s="108">
        <v>0</v>
      </c>
      <c r="M64" s="108">
        <v>0</v>
      </c>
      <c r="N64" s="108">
        <v>9.9226357173229118</v>
      </c>
      <c r="O64" s="108">
        <v>10013.92396592228</v>
      </c>
      <c r="P64" s="108">
        <v>3.7884563860656439</v>
      </c>
      <c r="Q64" s="108">
        <v>3823.310184817447</v>
      </c>
      <c r="R64" s="108">
        <v>2.260195560187912</v>
      </c>
      <c r="S64" s="108">
        <v>2280.9893593416405</v>
      </c>
      <c r="T64" s="108">
        <v>4.5935576923076926</v>
      </c>
      <c r="U64" s="108">
        <v>4635.818423076923</v>
      </c>
      <c r="V64" s="108">
        <v>0</v>
      </c>
      <c r="W64" s="108">
        <v>0</v>
      </c>
      <c r="X64" s="108">
        <v>10.298033846807227</v>
      </c>
      <c r="Y64" s="108">
        <v>10392.775758197851</v>
      </c>
      <c r="Z64" s="108">
        <v>7.0958634397941847</v>
      </c>
      <c r="AA64" s="108">
        <v>7161.1453834402901</v>
      </c>
      <c r="AB64" s="108">
        <v>2.1873666940114851</v>
      </c>
      <c r="AC64" s="108">
        <v>2207.4904675963903</v>
      </c>
      <c r="AD64" s="108">
        <v>1.0062060341359181E-16</v>
      </c>
      <c r="AE64" s="108">
        <v>1.0154631296499684E-13</v>
      </c>
      <c r="AF64" s="108">
        <v>1.3322602555196441</v>
      </c>
      <c r="AG64" s="108">
        <v>1344.5170498704247</v>
      </c>
      <c r="AH64" s="108">
        <v>1.496256528614841</v>
      </c>
      <c r="AI64" s="108">
        <v>1510.0220886780974</v>
      </c>
      <c r="AJ64" s="108">
        <v>1.6035899333826795</v>
      </c>
      <c r="AK64" s="108">
        <v>1618.3429607697999</v>
      </c>
      <c r="AL64" s="108">
        <v>0</v>
      </c>
      <c r="AM64" s="108">
        <v>0</v>
      </c>
      <c r="AN64" s="108">
        <v>9.4750597514336796</v>
      </c>
      <c r="AO64" s="108">
        <v>9562.2303011468684</v>
      </c>
      <c r="AP64" s="108">
        <v>2.8982608695652181</v>
      </c>
      <c r="AQ64" s="108">
        <v>2924.9248695652177</v>
      </c>
      <c r="AR64" s="108">
        <v>0</v>
      </c>
      <c r="AS64" s="108">
        <v>0</v>
      </c>
      <c r="AT64" s="108">
        <v>9.3511022044088179</v>
      </c>
      <c r="AU64" s="108">
        <v>9437.1323446893766</v>
      </c>
      <c r="AV64" s="108">
        <v>0</v>
      </c>
      <c r="AW64" s="108">
        <v>0</v>
      </c>
      <c r="AX64" s="108">
        <v>10.004813744793752</v>
      </c>
      <c r="AY64" s="108">
        <v>10096.858031245853</v>
      </c>
      <c r="AZ64" s="108">
        <v>6.8379826434999913</v>
      </c>
      <c r="BA64" s="108">
        <v>6900.8920838201902</v>
      </c>
      <c r="BB64" s="108">
        <v>2.8947647768395659</v>
      </c>
      <c r="BC64" s="108">
        <v>2921.3966127864892</v>
      </c>
      <c r="BD64" s="108">
        <v>0</v>
      </c>
      <c r="BE64" s="108">
        <v>0</v>
      </c>
      <c r="BF64" s="108">
        <v>6.4880422691879867</v>
      </c>
      <c r="BG64" s="108">
        <v>6547.732258064515</v>
      </c>
      <c r="BH64" s="108">
        <v>0.21843054041957707</v>
      </c>
      <c r="BI64" s="108">
        <v>220.44010139143714</v>
      </c>
      <c r="BJ64" s="108">
        <v>1.3239634041988109</v>
      </c>
      <c r="BK64" s="108">
        <v>1336.1438675174397</v>
      </c>
      <c r="BL64" s="108">
        <v>0.92706220014971374</v>
      </c>
      <c r="BM64" s="108">
        <v>935.59117239109094</v>
      </c>
      <c r="BN64" s="108">
        <v>0.9417544735268274</v>
      </c>
      <c r="BO64" s="108">
        <v>950.41861468327409</v>
      </c>
      <c r="BP64" s="108">
        <v>1.5741529844604822</v>
      </c>
      <c r="BQ64" s="108">
        <v>1588.6351919175183</v>
      </c>
      <c r="BR64" s="108">
        <v>2.5233529695525223</v>
      </c>
      <c r="BS64" s="108">
        <v>2546.5678168724053</v>
      </c>
      <c r="BT64" s="108">
        <v>1.8251397922661459</v>
      </c>
      <c r="BU64" s="108">
        <v>1841.931078354994</v>
      </c>
      <c r="BV64" s="108">
        <v>1.5288990825688076</v>
      </c>
      <c r="BW64" s="108">
        <v>1542.9649541284402</v>
      </c>
      <c r="BX64" s="108">
        <v>0</v>
      </c>
      <c r="BY64" s="108">
        <v>0</v>
      </c>
      <c r="BZ64" s="108">
        <v>0.96654739189031535</v>
      </c>
      <c r="CA64" s="108">
        <v>975.43962789570605</v>
      </c>
      <c r="CB64" s="108">
        <v>0.7169669265931703</v>
      </c>
      <c r="CC64" s="108">
        <v>723.56302231782729</v>
      </c>
      <c r="CD64" s="108">
        <v>0</v>
      </c>
      <c r="CE64" s="108">
        <v>0</v>
      </c>
      <c r="CF64" s="108">
        <v>0.9229995627459554</v>
      </c>
      <c r="CG64" s="108">
        <v>931.49115872321806</v>
      </c>
      <c r="CH64" s="108">
        <v>0</v>
      </c>
      <c r="CI64" s="108">
        <v>0</v>
      </c>
      <c r="CJ64" s="108">
        <v>0</v>
      </c>
      <c r="CK64" s="108">
        <v>0</v>
      </c>
      <c r="CL64" s="108">
        <v>1.6120648848074981</v>
      </c>
      <c r="CM64" s="108">
        <v>1626.8958817477269</v>
      </c>
      <c r="CN64" s="108">
        <v>3.5557467661153588</v>
      </c>
      <c r="CO64" s="108">
        <v>3588.4596363636192</v>
      </c>
      <c r="CP64" s="108">
        <v>7.4115644555694615</v>
      </c>
      <c r="CQ64" s="108">
        <v>7479.7508485606995</v>
      </c>
      <c r="CR64" s="108">
        <v>0</v>
      </c>
      <c r="CS64" s="108">
        <v>0</v>
      </c>
      <c r="CT64" s="108">
        <v>0</v>
      </c>
      <c r="CU64" s="108">
        <v>0</v>
      </c>
    </row>
    <row r="65" spans="2:99" x14ac:dyDescent="0.2">
      <c r="C65" s="107" t="s">
        <v>230</v>
      </c>
      <c r="D65" s="108">
        <v>0</v>
      </c>
      <c r="E65" s="108">
        <v>0</v>
      </c>
      <c r="F65" s="108">
        <v>0</v>
      </c>
      <c r="G65" s="108">
        <v>0</v>
      </c>
      <c r="H65" s="108">
        <v>0</v>
      </c>
      <c r="I65" s="108">
        <v>0</v>
      </c>
      <c r="J65" s="108">
        <v>0</v>
      </c>
      <c r="K65" s="108">
        <v>0</v>
      </c>
      <c r="L65" s="108">
        <v>0</v>
      </c>
      <c r="M65" s="108">
        <v>0</v>
      </c>
      <c r="N65" s="108">
        <v>9.9343139092224675</v>
      </c>
      <c r="O65" s="108">
        <v>10192.606070862252</v>
      </c>
      <c r="P65" s="108">
        <v>4.2233536062102832</v>
      </c>
      <c r="Q65" s="108">
        <v>4333.1607999717507</v>
      </c>
      <c r="R65" s="108">
        <v>2.3017977599738511</v>
      </c>
      <c r="S65" s="108">
        <v>2361.6445017331712</v>
      </c>
      <c r="T65" s="108">
        <v>4.4867307692307685</v>
      </c>
      <c r="U65" s="108">
        <v>4603.3857692307683</v>
      </c>
      <c r="V65" s="108">
        <v>0</v>
      </c>
      <c r="W65" s="108">
        <v>0</v>
      </c>
      <c r="X65" s="108">
        <v>11.41205675330078</v>
      </c>
      <c r="Y65" s="108">
        <v>11708.7702288866</v>
      </c>
      <c r="Z65" s="108">
        <v>6.923003474775216</v>
      </c>
      <c r="AA65" s="108">
        <v>7103.0015651193717</v>
      </c>
      <c r="AB65" s="108">
        <v>2.1873666940114851</v>
      </c>
      <c r="AC65" s="108">
        <v>2244.2382280557836</v>
      </c>
      <c r="AD65" s="108">
        <v>9.4110366251746499E-17</v>
      </c>
      <c r="AE65" s="108">
        <v>9.6557235774291913E-14</v>
      </c>
      <c r="AF65" s="108">
        <v>1.3411691331757449</v>
      </c>
      <c r="AG65" s="108">
        <v>1376.0395306383143</v>
      </c>
      <c r="AH65" s="108">
        <v>1.6097525862612039</v>
      </c>
      <c r="AI65" s="108">
        <v>1651.6061535039951</v>
      </c>
      <c r="AJ65" s="108">
        <v>1.4802368615840118</v>
      </c>
      <c r="AK65" s="108">
        <v>1518.7230199851961</v>
      </c>
      <c r="AL65" s="108">
        <v>0</v>
      </c>
      <c r="AM65" s="108">
        <v>0</v>
      </c>
      <c r="AN65" s="108">
        <v>9.3890290507771965</v>
      </c>
      <c r="AO65" s="108">
        <v>9633.1438060974033</v>
      </c>
      <c r="AP65" s="108">
        <v>2.8982608695652181</v>
      </c>
      <c r="AQ65" s="108">
        <v>2973.615652173914</v>
      </c>
      <c r="AR65" s="108">
        <v>0</v>
      </c>
      <c r="AS65" s="108">
        <v>0</v>
      </c>
      <c r="AT65" s="108">
        <v>8.9058116232464943</v>
      </c>
      <c r="AU65" s="108">
        <v>9137.3627254509029</v>
      </c>
      <c r="AV65" s="108">
        <v>0</v>
      </c>
      <c r="AW65" s="108">
        <v>0</v>
      </c>
      <c r="AX65" s="108">
        <v>8.8428885948586053</v>
      </c>
      <c r="AY65" s="108">
        <v>9072.8036983249294</v>
      </c>
      <c r="AZ65" s="108">
        <v>8.2077093044356371</v>
      </c>
      <c r="BA65" s="108">
        <v>8421.1097463509632</v>
      </c>
      <c r="BB65" s="108">
        <v>2.8545597104945717</v>
      </c>
      <c r="BC65" s="108">
        <v>2928.7782629674307</v>
      </c>
      <c r="BD65" s="108">
        <v>0</v>
      </c>
      <c r="BE65" s="108">
        <v>0</v>
      </c>
      <c r="BF65" s="108">
        <v>7.507591768631813</v>
      </c>
      <c r="BG65" s="108">
        <v>7702.78915461624</v>
      </c>
      <c r="BH65" s="108">
        <v>0.20022799538461231</v>
      </c>
      <c r="BI65" s="108">
        <v>205.43392326461222</v>
      </c>
      <c r="BJ65" s="108">
        <v>1.2719468902255802</v>
      </c>
      <c r="BK65" s="108">
        <v>1305.0175093714452</v>
      </c>
      <c r="BL65" s="108">
        <v>0.99702534056693892</v>
      </c>
      <c r="BM65" s="108">
        <v>1022.9479994216794</v>
      </c>
      <c r="BN65" s="108">
        <v>0.94568424693190978</v>
      </c>
      <c r="BO65" s="108">
        <v>970.27203735213948</v>
      </c>
      <c r="BP65" s="108">
        <v>1.582527122192614</v>
      </c>
      <c r="BQ65" s="108">
        <v>1623.6728273696219</v>
      </c>
      <c r="BR65" s="108">
        <v>2.5233529695525223</v>
      </c>
      <c r="BS65" s="108">
        <v>2588.9601467608877</v>
      </c>
      <c r="BT65" s="108">
        <v>1.9730528654211321</v>
      </c>
      <c r="BU65" s="108">
        <v>2024.3522399220815</v>
      </c>
      <c r="BV65" s="108">
        <v>1.5288990825688076</v>
      </c>
      <c r="BW65" s="108">
        <v>1568.6504587155966</v>
      </c>
      <c r="BX65" s="108">
        <v>0</v>
      </c>
      <c r="BY65" s="108">
        <v>0</v>
      </c>
      <c r="BZ65" s="108">
        <v>1.0408971912664933</v>
      </c>
      <c r="CA65" s="108">
        <v>1067.9605182394221</v>
      </c>
      <c r="CB65" s="108">
        <v>0.62734606076902388</v>
      </c>
      <c r="CC65" s="108">
        <v>643.65705834901848</v>
      </c>
      <c r="CD65" s="108">
        <v>0</v>
      </c>
      <c r="CE65" s="108">
        <v>0</v>
      </c>
      <c r="CF65" s="108">
        <v>0.97157848710100569</v>
      </c>
      <c r="CG65" s="108">
        <v>996.83952776563183</v>
      </c>
      <c r="CH65" s="108">
        <v>0</v>
      </c>
      <c r="CI65" s="108">
        <v>0</v>
      </c>
      <c r="CJ65" s="108">
        <v>0</v>
      </c>
      <c r="CK65" s="108">
        <v>0</v>
      </c>
      <c r="CL65" s="108">
        <v>1.4302303791863986</v>
      </c>
      <c r="CM65" s="108">
        <v>1467.4163690452449</v>
      </c>
      <c r="CN65" s="108">
        <v>3.973511465222074</v>
      </c>
      <c r="CO65" s="108">
        <v>4076.8227633178481</v>
      </c>
      <c r="CP65" s="108">
        <v>6.3795744680851065</v>
      </c>
      <c r="CQ65" s="108">
        <v>6545.4434042553194</v>
      </c>
      <c r="CR65" s="108">
        <v>0</v>
      </c>
      <c r="CS65" s="108">
        <v>0</v>
      </c>
      <c r="CT65" s="108">
        <v>0</v>
      </c>
      <c r="CU65" s="108">
        <v>0</v>
      </c>
    </row>
    <row r="66" spans="2:99" x14ac:dyDescent="0.2">
      <c r="C66" s="107" t="s">
        <v>231</v>
      </c>
      <c r="D66" s="108">
        <v>0</v>
      </c>
      <c r="E66" s="108">
        <v>0</v>
      </c>
      <c r="F66" s="108">
        <v>0</v>
      </c>
      <c r="G66" s="108">
        <v>0</v>
      </c>
      <c r="H66" s="108">
        <v>0</v>
      </c>
      <c r="I66" s="108">
        <v>0</v>
      </c>
      <c r="J66" s="108">
        <v>0</v>
      </c>
      <c r="K66" s="108">
        <v>0</v>
      </c>
      <c r="L66" s="108">
        <v>0</v>
      </c>
      <c r="M66" s="108">
        <v>0</v>
      </c>
      <c r="N66" s="108">
        <v>9.6178450318610569</v>
      </c>
      <c r="O66" s="108">
        <v>11449.082725927401</v>
      </c>
      <c r="P66" s="108">
        <v>4.0023366282981412</v>
      </c>
      <c r="Q66" s="108">
        <v>4764.3815223261063</v>
      </c>
      <c r="R66" s="108">
        <v>2.0677593806570651</v>
      </c>
      <c r="S66" s="108">
        <v>2461.4607667341702</v>
      </c>
      <c r="T66" s="108">
        <v>4.4867307692307685</v>
      </c>
      <c r="U66" s="108">
        <v>5341.0043076923066</v>
      </c>
      <c r="V66" s="108">
        <v>0</v>
      </c>
      <c r="W66" s="108">
        <v>0</v>
      </c>
      <c r="X66" s="108">
        <v>11.113516911902968</v>
      </c>
      <c r="Y66" s="108">
        <v>13229.530531929291</v>
      </c>
      <c r="Z66" s="108">
        <v>6.0915546678808754</v>
      </c>
      <c r="AA66" s="108">
        <v>7251.386676645393</v>
      </c>
      <c r="AB66" s="108">
        <v>2.4607875307629206</v>
      </c>
      <c r="AC66" s="108">
        <v>2929.3214766201804</v>
      </c>
      <c r="AD66" s="108">
        <v>9.4110366251746499E-17</v>
      </c>
      <c r="AE66" s="108">
        <v>1.1202897998607901E-13</v>
      </c>
      <c r="AF66" s="108">
        <v>1.2323746646297999</v>
      </c>
      <c r="AG66" s="108">
        <v>1467.0188007753136</v>
      </c>
      <c r="AH66" s="108">
        <v>1.4863080962549531</v>
      </c>
      <c r="AI66" s="108">
        <v>1769.3011577818959</v>
      </c>
      <c r="AJ66" s="108">
        <v>1.850296076980015</v>
      </c>
      <c r="AK66" s="108">
        <v>2202.5924500370097</v>
      </c>
      <c r="AL66" s="108">
        <v>0</v>
      </c>
      <c r="AM66" s="108">
        <v>0</v>
      </c>
      <c r="AN66" s="108">
        <v>10.069349662055616</v>
      </c>
      <c r="AO66" s="108">
        <v>11986.553837711004</v>
      </c>
      <c r="AP66" s="108">
        <v>2.7171195652173918</v>
      </c>
      <c r="AQ66" s="108">
        <v>3234.4591304347828</v>
      </c>
      <c r="AR66" s="108">
        <v>0</v>
      </c>
      <c r="AS66" s="108">
        <v>0</v>
      </c>
      <c r="AT66" s="108">
        <v>8.460521042084169</v>
      </c>
      <c r="AU66" s="108">
        <v>10071.404248496994</v>
      </c>
      <c r="AV66" s="108">
        <v>0</v>
      </c>
      <c r="AW66" s="108">
        <v>0</v>
      </c>
      <c r="AX66" s="108">
        <v>9.661161518116657</v>
      </c>
      <c r="AY66" s="108">
        <v>11500.646671166067</v>
      </c>
      <c r="AZ66" s="108">
        <v>6.8343629098610794</v>
      </c>
      <c r="BA66" s="108">
        <v>8135.625607898628</v>
      </c>
      <c r="BB66" s="108">
        <v>2.6133293124246078</v>
      </c>
      <c r="BC66" s="108">
        <v>3110.9072135102529</v>
      </c>
      <c r="BD66" s="108">
        <v>0</v>
      </c>
      <c r="BE66" s="108">
        <v>0</v>
      </c>
      <c r="BF66" s="108">
        <v>7.1368464961067852</v>
      </c>
      <c r="BG66" s="108">
        <v>8495.7020689655164</v>
      </c>
      <c r="BH66" s="108">
        <v>0.21843054041957707</v>
      </c>
      <c r="BI66" s="108">
        <v>260.01971531546451</v>
      </c>
      <c r="BJ66" s="108">
        <v>1.3200131019948431</v>
      </c>
      <c r="BK66" s="108">
        <v>1571.343596614661</v>
      </c>
      <c r="BL66" s="108">
        <v>0.8464924518363659</v>
      </c>
      <c r="BM66" s="108">
        <v>1007.6646146660098</v>
      </c>
      <c r="BN66" s="108">
        <v>0.93782470012174501</v>
      </c>
      <c r="BO66" s="108">
        <v>1116.3865230249251</v>
      </c>
      <c r="BP66" s="108">
        <v>1.4169258325104841</v>
      </c>
      <c r="BQ66" s="108">
        <v>1686.70851102048</v>
      </c>
      <c r="BR66" s="108">
        <v>2.3628174212299005</v>
      </c>
      <c r="BS66" s="108">
        <v>2812.697858232073</v>
      </c>
      <c r="BT66" s="108">
        <v>1.8148497478104941</v>
      </c>
      <c r="BU66" s="108">
        <v>2160.397139793612</v>
      </c>
      <c r="BV66" s="108">
        <v>1.5288990825688076</v>
      </c>
      <c r="BW66" s="108">
        <v>1820.0014678899083</v>
      </c>
      <c r="BX66" s="108">
        <v>0</v>
      </c>
      <c r="BY66" s="108">
        <v>0</v>
      </c>
      <c r="BZ66" s="108">
        <v>0.89219759251413722</v>
      </c>
      <c r="CA66" s="108">
        <v>1062.0720141288289</v>
      </c>
      <c r="CB66" s="108">
        <v>0.62734606076902388</v>
      </c>
      <c r="CC66" s="108">
        <v>746.79275073944598</v>
      </c>
      <c r="CD66" s="108">
        <v>0</v>
      </c>
      <c r="CE66" s="108">
        <v>0</v>
      </c>
      <c r="CF66" s="108">
        <v>0.82584171403585482</v>
      </c>
      <c r="CG66" s="108">
        <v>983.08197638828142</v>
      </c>
      <c r="CH66" s="108">
        <v>0</v>
      </c>
      <c r="CI66" s="108">
        <v>0</v>
      </c>
      <c r="CJ66" s="108">
        <v>0</v>
      </c>
      <c r="CK66" s="108">
        <v>0</v>
      </c>
      <c r="CL66" s="108">
        <v>1.5211476319969484</v>
      </c>
      <c r="CM66" s="108">
        <v>1810.7741411291672</v>
      </c>
      <c r="CN66" s="108">
        <v>3.6213134298399341</v>
      </c>
      <c r="CO66" s="108">
        <v>4310.8115068814568</v>
      </c>
      <c r="CP66" s="108">
        <v>6.5672090112640804</v>
      </c>
      <c r="CQ66" s="108">
        <v>7817.6056070087607</v>
      </c>
      <c r="CR66" s="108">
        <v>0</v>
      </c>
      <c r="CS66" s="108">
        <v>0</v>
      </c>
      <c r="CT66" s="108">
        <v>0</v>
      </c>
      <c r="CU66" s="108">
        <v>0</v>
      </c>
    </row>
    <row r="67" spans="2:99" x14ac:dyDescent="0.2">
      <c r="C67" s="107" t="s">
        <v>232</v>
      </c>
      <c r="D67" s="108">
        <v>0</v>
      </c>
      <c r="E67" s="108">
        <v>0</v>
      </c>
      <c r="F67" s="108">
        <v>0</v>
      </c>
      <c r="G67" s="108">
        <v>0</v>
      </c>
      <c r="H67" s="108">
        <v>0</v>
      </c>
      <c r="I67" s="108">
        <v>0</v>
      </c>
      <c r="J67" s="108">
        <v>0</v>
      </c>
      <c r="K67" s="108">
        <v>0</v>
      </c>
      <c r="L67" s="108">
        <v>0</v>
      </c>
      <c r="M67" s="108">
        <v>0</v>
      </c>
      <c r="N67" s="108">
        <v>8.7326684552243847</v>
      </c>
      <c r="O67" s="108">
        <v>9808.5332089080293</v>
      </c>
      <c r="P67" s="108">
        <v>4.2215694222903712</v>
      </c>
      <c r="Q67" s="108">
        <v>4741.6667751165451</v>
      </c>
      <c r="R67" s="108">
        <v>1.9280799925066245</v>
      </c>
      <c r="S67" s="108">
        <v>2165.6194475834409</v>
      </c>
      <c r="T67" s="108">
        <v>4.807211538461539</v>
      </c>
      <c r="U67" s="108">
        <v>5399.4600000000009</v>
      </c>
      <c r="V67" s="108">
        <v>0</v>
      </c>
      <c r="W67" s="108">
        <v>0</v>
      </c>
      <c r="X67" s="108">
        <v>11.683884441666029</v>
      </c>
      <c r="Y67" s="108">
        <v>13123.339004879284</v>
      </c>
      <c r="Z67" s="108">
        <v>6.4126363342684334</v>
      </c>
      <c r="AA67" s="108">
        <v>7202.6731306503043</v>
      </c>
      <c r="AB67" s="108">
        <v>2.4607875307629206</v>
      </c>
      <c r="AC67" s="108">
        <v>2763.9565545529126</v>
      </c>
      <c r="AD67" s="108">
        <v>8.7273326222737143E-17</v>
      </c>
      <c r="AE67" s="108">
        <v>9.8025400013378369E-14</v>
      </c>
      <c r="AF67" s="108">
        <v>1.3411691331757449</v>
      </c>
      <c r="AG67" s="108">
        <v>1506.4011703829967</v>
      </c>
      <c r="AH67" s="108">
        <v>1.4863080962549531</v>
      </c>
      <c r="AI67" s="108">
        <v>1669.4212537135634</v>
      </c>
      <c r="AJ67" s="108">
        <v>1.7269430051813472</v>
      </c>
      <c r="AK67" s="108">
        <v>1939.7023834196893</v>
      </c>
      <c r="AL67" s="108">
        <v>0</v>
      </c>
      <c r="AM67" s="108">
        <v>0</v>
      </c>
      <c r="AN67" s="108">
        <v>9.9546420611803068</v>
      </c>
      <c r="AO67" s="108">
        <v>11181.053963117722</v>
      </c>
      <c r="AP67" s="108">
        <v>2.7171195652173918</v>
      </c>
      <c r="AQ67" s="108">
        <v>3051.8686956521747</v>
      </c>
      <c r="AR67" s="108">
        <v>0</v>
      </c>
      <c r="AS67" s="108">
        <v>0</v>
      </c>
      <c r="AT67" s="108">
        <v>8.460521042084169</v>
      </c>
      <c r="AU67" s="108">
        <v>9502.8572344689383</v>
      </c>
      <c r="AV67" s="108">
        <v>0</v>
      </c>
      <c r="AW67" s="108">
        <v>0</v>
      </c>
      <c r="AX67" s="108">
        <v>8.8428885948586053</v>
      </c>
      <c r="AY67" s="108">
        <v>9932.3324697451862</v>
      </c>
      <c r="AZ67" s="108">
        <v>6.6863709101426823</v>
      </c>
      <c r="BA67" s="108">
        <v>7510.1318062722612</v>
      </c>
      <c r="BB67" s="108">
        <v>2.6937394451145962</v>
      </c>
      <c r="BC67" s="108">
        <v>3025.6081447527145</v>
      </c>
      <c r="BD67" s="108">
        <v>0</v>
      </c>
      <c r="BE67" s="108">
        <v>0</v>
      </c>
      <c r="BF67" s="108">
        <v>7.2295328142380431</v>
      </c>
      <c r="BG67" s="108">
        <v>8120.2112569521705</v>
      </c>
      <c r="BH67" s="108">
        <v>0.21843054041957707</v>
      </c>
      <c r="BI67" s="108">
        <v>245.34118299926897</v>
      </c>
      <c r="BJ67" s="108">
        <v>1.0599557418546501</v>
      </c>
      <c r="BK67" s="108">
        <v>1190.5422892511431</v>
      </c>
      <c r="BL67" s="108">
        <v>0.85444740775845773</v>
      </c>
      <c r="BM67" s="108">
        <v>959.71532839429972</v>
      </c>
      <c r="BN67" s="108">
        <v>0.9417544735268274</v>
      </c>
      <c r="BO67" s="108">
        <v>1057.7786246653325</v>
      </c>
      <c r="BP67" s="108">
        <v>1.5532176401301534</v>
      </c>
      <c r="BQ67" s="108">
        <v>1744.5740533941885</v>
      </c>
      <c r="BR67" s="108">
        <v>2.3628174212299005</v>
      </c>
      <c r="BS67" s="108">
        <v>2653.9165275254245</v>
      </c>
      <c r="BT67" s="108">
        <v>1.9679078431933064</v>
      </c>
      <c r="BU67" s="108">
        <v>2210.3540894747216</v>
      </c>
      <c r="BV67" s="108">
        <v>1.6987767584097861</v>
      </c>
      <c r="BW67" s="108">
        <v>1908.066055045872</v>
      </c>
      <c r="BX67" s="108">
        <v>0</v>
      </c>
      <c r="BY67" s="108">
        <v>0</v>
      </c>
      <c r="BZ67" s="108">
        <v>0.89219759251413722</v>
      </c>
      <c r="CA67" s="108">
        <v>1002.116335911879</v>
      </c>
      <c r="CB67" s="108">
        <v>0.7169669265931703</v>
      </c>
      <c r="CC67" s="108">
        <v>805.29725194944888</v>
      </c>
      <c r="CD67" s="108">
        <v>0</v>
      </c>
      <c r="CE67" s="108">
        <v>0</v>
      </c>
      <c r="CF67" s="108">
        <v>0.82584171403585482</v>
      </c>
      <c r="CG67" s="108">
        <v>927.5854132050722</v>
      </c>
      <c r="CH67" s="108">
        <v>0</v>
      </c>
      <c r="CI67" s="108">
        <v>0</v>
      </c>
      <c r="CJ67" s="108">
        <v>0</v>
      </c>
      <c r="CK67" s="108">
        <v>0</v>
      </c>
      <c r="CL67" s="108">
        <v>1.6153884641589058</v>
      </c>
      <c r="CM67" s="108">
        <v>1814.404322943283</v>
      </c>
      <c r="CN67" s="108">
        <v>3.6887543025459917</v>
      </c>
      <c r="CO67" s="108">
        <v>4143.2088326196581</v>
      </c>
      <c r="CP67" s="108">
        <v>6.2857571964956191</v>
      </c>
      <c r="CQ67" s="108">
        <v>7060.1624831038798</v>
      </c>
      <c r="CR67" s="108">
        <v>0</v>
      </c>
      <c r="CS67" s="108">
        <v>0</v>
      </c>
      <c r="CT67" s="108">
        <v>0</v>
      </c>
      <c r="CU67" s="108">
        <v>0</v>
      </c>
    </row>
    <row r="68" spans="2:99" x14ac:dyDescent="0.2">
      <c r="C68" s="107" t="s">
        <v>233</v>
      </c>
      <c r="D68" s="108">
        <v>0</v>
      </c>
      <c r="E68" s="108">
        <v>0</v>
      </c>
      <c r="F68" s="108">
        <v>0</v>
      </c>
      <c r="G68" s="108">
        <v>0</v>
      </c>
      <c r="H68" s="108">
        <v>0</v>
      </c>
      <c r="I68" s="108">
        <v>0</v>
      </c>
      <c r="J68" s="108">
        <v>0</v>
      </c>
      <c r="K68" s="108">
        <v>0</v>
      </c>
      <c r="L68" s="108">
        <v>0</v>
      </c>
      <c r="M68" s="108">
        <v>0</v>
      </c>
      <c r="N68" s="108">
        <v>8.7326684552243847</v>
      </c>
      <c r="O68" s="108">
        <v>9022.5930479378349</v>
      </c>
      <c r="P68" s="108">
        <v>3.7884563860656439</v>
      </c>
      <c r="Q68" s="108">
        <v>3914.2331380830233</v>
      </c>
      <c r="R68" s="108">
        <v>2.2130160646047394</v>
      </c>
      <c r="S68" s="108">
        <v>2286.4881979496167</v>
      </c>
      <c r="T68" s="108">
        <v>4.5935576923076926</v>
      </c>
      <c r="U68" s="108">
        <v>4746.0638076923078</v>
      </c>
      <c r="V68" s="108">
        <v>0</v>
      </c>
      <c r="W68" s="108">
        <v>0</v>
      </c>
      <c r="X68" s="108">
        <v>11.683884441666029</v>
      </c>
      <c r="Y68" s="108">
        <v>12071.789405129342</v>
      </c>
      <c r="Z68" s="108">
        <v>6.7747817734066258</v>
      </c>
      <c r="AA68" s="108">
        <v>6999.7045282837262</v>
      </c>
      <c r="AB68" s="108">
        <v>2.4607875307629206</v>
      </c>
      <c r="AC68" s="108">
        <v>2542.4856767842498</v>
      </c>
      <c r="AD68" s="108">
        <v>9.4110366251746499E-17</v>
      </c>
      <c r="AE68" s="108">
        <v>9.7234830411304485E-14</v>
      </c>
      <c r="AF68" s="108">
        <v>1.3322602555196441</v>
      </c>
      <c r="AG68" s="108">
        <v>1376.4912960028964</v>
      </c>
      <c r="AH68" s="108">
        <v>1.6097525862612039</v>
      </c>
      <c r="AI68" s="108">
        <v>1663.1963721250759</v>
      </c>
      <c r="AJ68" s="108">
        <v>1.6035899333826795</v>
      </c>
      <c r="AK68" s="108">
        <v>1656.8291191709845</v>
      </c>
      <c r="AL68" s="108">
        <v>0</v>
      </c>
      <c r="AM68" s="108">
        <v>0</v>
      </c>
      <c r="AN68" s="108">
        <v>9.9259651609614785</v>
      </c>
      <c r="AO68" s="108">
        <v>10255.507204305401</v>
      </c>
      <c r="AP68" s="108">
        <v>2.7171195652173918</v>
      </c>
      <c r="AQ68" s="108">
        <v>2807.3279347826092</v>
      </c>
      <c r="AR68" s="108">
        <v>0</v>
      </c>
      <c r="AS68" s="108">
        <v>0</v>
      </c>
      <c r="AT68" s="108">
        <v>8.460521042084169</v>
      </c>
      <c r="AU68" s="108">
        <v>8741.4103406813647</v>
      </c>
      <c r="AV68" s="108">
        <v>0</v>
      </c>
      <c r="AW68" s="108">
        <v>0</v>
      </c>
      <c r="AX68" s="108">
        <v>10.424864245581432</v>
      </c>
      <c r="AY68" s="108">
        <v>10770.969738534735</v>
      </c>
      <c r="AZ68" s="108">
        <v>6.8343629098610794</v>
      </c>
      <c r="BA68" s="108">
        <v>7061.2637584684671</v>
      </c>
      <c r="BB68" s="108">
        <v>2.9349698431845597</v>
      </c>
      <c r="BC68" s="108">
        <v>3032.4108419782874</v>
      </c>
      <c r="BD68" s="108">
        <v>0</v>
      </c>
      <c r="BE68" s="108">
        <v>0</v>
      </c>
      <c r="BF68" s="108">
        <v>7.507591768631813</v>
      </c>
      <c r="BG68" s="108">
        <v>7756.8438153503894</v>
      </c>
      <c r="BH68" s="108">
        <v>0.21843054041957707</v>
      </c>
      <c r="BI68" s="108">
        <v>225.68243436150703</v>
      </c>
      <c r="BJ68" s="108">
        <v>1.3121124975869083</v>
      </c>
      <c r="BK68" s="108">
        <v>1355.6746325067936</v>
      </c>
      <c r="BL68" s="108">
        <v>0.84914410381039651</v>
      </c>
      <c r="BM68" s="108">
        <v>877.33568805690174</v>
      </c>
      <c r="BN68" s="108">
        <v>0.99469940344213592</v>
      </c>
      <c r="BO68" s="108">
        <v>1027.723423636415</v>
      </c>
      <c r="BP68" s="108">
        <v>1.4085516947783527</v>
      </c>
      <c r="BQ68" s="108">
        <v>1455.3156110449941</v>
      </c>
      <c r="BR68" s="108">
        <v>2.366927948830758</v>
      </c>
      <c r="BS68" s="108">
        <v>2445.5099567319394</v>
      </c>
      <c r="BT68" s="108">
        <v>1.9987779765602607</v>
      </c>
      <c r="BU68" s="108">
        <v>2065.1374053820614</v>
      </c>
      <c r="BV68" s="108">
        <v>1.5288990825688076</v>
      </c>
      <c r="BW68" s="108">
        <v>1579.658532110092</v>
      </c>
      <c r="BX68" s="108">
        <v>0</v>
      </c>
      <c r="BY68" s="108">
        <v>0</v>
      </c>
      <c r="BZ68" s="108">
        <v>0.96654739189031535</v>
      </c>
      <c r="CA68" s="108">
        <v>998.63676530107386</v>
      </c>
      <c r="CB68" s="108">
        <v>0.7169669265931703</v>
      </c>
      <c r="CC68" s="108">
        <v>740.77022855606356</v>
      </c>
      <c r="CD68" s="108">
        <v>0</v>
      </c>
      <c r="CE68" s="108">
        <v>0</v>
      </c>
      <c r="CF68" s="108">
        <v>0.82584171403585482</v>
      </c>
      <c r="CG68" s="108">
        <v>853.25965894184526</v>
      </c>
      <c r="CH68" s="108">
        <v>0</v>
      </c>
      <c r="CI68" s="108">
        <v>0</v>
      </c>
      <c r="CJ68" s="108">
        <v>0</v>
      </c>
      <c r="CK68" s="108">
        <v>0</v>
      </c>
      <c r="CL68" s="108">
        <v>1.4435246965920294</v>
      </c>
      <c r="CM68" s="108">
        <v>1491.4497165188848</v>
      </c>
      <c r="CN68" s="108">
        <v>3.9847567191109645</v>
      </c>
      <c r="CO68" s="108">
        <v>4117.0506421854489</v>
      </c>
      <c r="CP68" s="108">
        <v>6.1919399249061335</v>
      </c>
      <c r="CQ68" s="108">
        <v>6397.5123304130175</v>
      </c>
      <c r="CR68" s="108">
        <v>0</v>
      </c>
      <c r="CS68" s="108">
        <v>0</v>
      </c>
      <c r="CT68" s="108">
        <v>0</v>
      </c>
      <c r="CU68" s="108">
        <v>0</v>
      </c>
    </row>
    <row r="69" spans="2:99" x14ac:dyDescent="0.2">
      <c r="C69" s="107" t="s">
        <v>234</v>
      </c>
      <c r="D69" s="108">
        <v>0</v>
      </c>
      <c r="E69" s="108">
        <v>0</v>
      </c>
      <c r="F69" s="108">
        <v>0</v>
      </c>
      <c r="G69" s="108">
        <v>0</v>
      </c>
      <c r="H69" s="108">
        <v>0</v>
      </c>
      <c r="I69" s="108">
        <v>0</v>
      </c>
      <c r="J69" s="108">
        <v>0</v>
      </c>
      <c r="K69" s="108">
        <v>0</v>
      </c>
      <c r="L69" s="108">
        <v>0</v>
      </c>
      <c r="M69" s="108">
        <v>0</v>
      </c>
      <c r="N69" s="108">
        <v>9.9343139092224675</v>
      </c>
      <c r="O69" s="108">
        <v>7534.1836687543191</v>
      </c>
      <c r="P69" s="108">
        <v>4.0076891800578744</v>
      </c>
      <c r="Q69" s="108">
        <v>3039.4314741558919</v>
      </c>
      <c r="R69" s="108">
        <v>2.2620546587869899</v>
      </c>
      <c r="S69" s="108">
        <v>1715.542253224053</v>
      </c>
      <c r="T69" s="108">
        <v>5.3413461538461542</v>
      </c>
      <c r="U69" s="108">
        <v>4050.876923076923</v>
      </c>
      <c r="V69" s="108">
        <v>0</v>
      </c>
      <c r="W69" s="108">
        <v>0</v>
      </c>
      <c r="X69" s="108">
        <v>11.385344600268214</v>
      </c>
      <c r="Y69" s="108">
        <v>8634.6453448434131</v>
      </c>
      <c r="Z69" s="108">
        <v>7.5815923166505881</v>
      </c>
      <c r="AA69" s="108">
        <v>5749.879612947806</v>
      </c>
      <c r="AB69" s="108">
        <v>2.734208367514356</v>
      </c>
      <c r="AC69" s="108">
        <v>2073.6236259228876</v>
      </c>
      <c r="AD69" s="108">
        <v>9.4763971986074596E-17</v>
      </c>
      <c r="AE69" s="108">
        <v>7.1868996354238966E-14</v>
      </c>
      <c r="AF69" s="108">
        <v>1.4455091628936398</v>
      </c>
      <c r="AG69" s="108">
        <v>1096.2741491385364</v>
      </c>
      <c r="AH69" s="108">
        <v>1.4863080962549531</v>
      </c>
      <c r="AI69" s="108">
        <v>1127.2160601997564</v>
      </c>
      <c r="AJ69" s="108">
        <v>1.850296076980015</v>
      </c>
      <c r="AK69" s="108">
        <v>1403.2645447816433</v>
      </c>
      <c r="AL69" s="108">
        <v>0</v>
      </c>
      <c r="AM69" s="108">
        <v>0</v>
      </c>
      <c r="AN69" s="108">
        <v>10.6062857722399</v>
      </c>
      <c r="AO69" s="108">
        <v>8043.8071296667404</v>
      </c>
      <c r="AP69" s="108">
        <v>3.0794021739130444</v>
      </c>
      <c r="AQ69" s="108">
        <v>2335.4186086956529</v>
      </c>
      <c r="AR69" s="108">
        <v>0</v>
      </c>
      <c r="AS69" s="108">
        <v>0</v>
      </c>
      <c r="AT69" s="108">
        <v>9.3511022044088179</v>
      </c>
      <c r="AU69" s="108">
        <v>7091.8759118236476</v>
      </c>
      <c r="AV69" s="108">
        <v>0</v>
      </c>
      <c r="AW69" s="108">
        <v>0</v>
      </c>
      <c r="AX69" s="108">
        <v>10.048469901428373</v>
      </c>
      <c r="AY69" s="108">
        <v>7620.7595732432774</v>
      </c>
      <c r="AZ69" s="108">
        <v>7.5616538407168701</v>
      </c>
      <c r="BA69" s="108">
        <v>5734.7582727996742</v>
      </c>
      <c r="BB69" s="108">
        <v>3.2968154402895058</v>
      </c>
      <c r="BC69" s="108">
        <v>2500.3048299155612</v>
      </c>
      <c r="BD69" s="108">
        <v>0</v>
      </c>
      <c r="BE69" s="108">
        <v>0</v>
      </c>
      <c r="BF69" s="108">
        <v>8.1563959955506125</v>
      </c>
      <c r="BG69" s="108">
        <v>6185.8107230255846</v>
      </c>
      <c r="BH69" s="108">
        <v>0.23663308545454181</v>
      </c>
      <c r="BI69" s="108">
        <v>179.46253200872451</v>
      </c>
      <c r="BJ69" s="108">
        <v>1.3476652174226149</v>
      </c>
      <c r="BK69" s="108">
        <v>1022.0693008933112</v>
      </c>
      <c r="BL69" s="108">
        <v>1.0049802964890309</v>
      </c>
      <c r="BM69" s="108">
        <v>762.17705685728095</v>
      </c>
      <c r="BN69" s="108">
        <v>1.0104184970624654</v>
      </c>
      <c r="BO69" s="108">
        <v>766.3013881721738</v>
      </c>
      <c r="BP69" s="108">
        <v>1.5699659155944163</v>
      </c>
      <c r="BQ69" s="108">
        <v>1190.6621503868053</v>
      </c>
      <c r="BR69" s="108">
        <v>2.6633358798708588</v>
      </c>
      <c r="BS69" s="108">
        <v>2019.8739312940593</v>
      </c>
      <c r="BT69" s="108">
        <v>1.8097047255826686</v>
      </c>
      <c r="BU69" s="108">
        <v>1372.4800638818958</v>
      </c>
      <c r="BV69" s="108">
        <v>1.5288990825688076</v>
      </c>
      <c r="BW69" s="108">
        <v>1159.5170642201836</v>
      </c>
      <c r="BX69" s="108">
        <v>0</v>
      </c>
      <c r="BY69" s="108">
        <v>0</v>
      </c>
      <c r="BZ69" s="108">
        <v>1.0408971912664933</v>
      </c>
      <c r="CA69" s="108">
        <v>789.41642985650844</v>
      </c>
      <c r="CB69" s="108">
        <v>0.67215649368109709</v>
      </c>
      <c r="CC69" s="108">
        <v>509.76348480774402</v>
      </c>
      <c r="CD69" s="108">
        <v>0</v>
      </c>
      <c r="CE69" s="108">
        <v>0</v>
      </c>
      <c r="CF69" s="108">
        <v>0.9229995627459554</v>
      </c>
      <c r="CG69" s="108">
        <v>700.00286838653255</v>
      </c>
      <c r="CH69" s="108">
        <v>0</v>
      </c>
      <c r="CI69" s="108">
        <v>0</v>
      </c>
      <c r="CJ69" s="108">
        <v>0</v>
      </c>
      <c r="CK69" s="108">
        <v>0</v>
      </c>
      <c r="CL69" s="108">
        <v>1.6253592022131285</v>
      </c>
      <c r="CM69" s="108">
        <v>1232.6724189584365</v>
      </c>
      <c r="CN69" s="108">
        <v>3.9060705925160173</v>
      </c>
      <c r="CO69" s="108">
        <v>2962.3639373641472</v>
      </c>
      <c r="CP69" s="108">
        <v>7.3177471839799759</v>
      </c>
      <c r="CQ69" s="108">
        <v>5549.7794643304132</v>
      </c>
      <c r="CR69" s="108">
        <v>0</v>
      </c>
      <c r="CS69" s="108">
        <v>0</v>
      </c>
      <c r="CT69" s="108">
        <v>0</v>
      </c>
      <c r="CU69" s="108">
        <v>0</v>
      </c>
    </row>
    <row r="70" spans="2:99" x14ac:dyDescent="0.2">
      <c r="C70" s="107" t="s">
        <v>235</v>
      </c>
      <c r="D70" s="108">
        <v>0</v>
      </c>
      <c r="E70" s="108">
        <v>0</v>
      </c>
      <c r="F70" s="108">
        <v>0</v>
      </c>
      <c r="G70" s="108">
        <v>0</v>
      </c>
      <c r="H70" s="108">
        <v>0</v>
      </c>
      <c r="I70" s="108">
        <v>0</v>
      </c>
      <c r="J70" s="108">
        <v>0</v>
      </c>
      <c r="K70" s="108">
        <v>0</v>
      </c>
      <c r="L70" s="108">
        <v>0</v>
      </c>
      <c r="M70" s="108">
        <v>0</v>
      </c>
      <c r="N70" s="108">
        <v>9.477127881029686</v>
      </c>
      <c r="O70" s="108">
        <v>5072.1588419270875</v>
      </c>
      <c r="P70" s="108">
        <v>4.8195530999892497</v>
      </c>
      <c r="Q70" s="108">
        <v>2579.424819114246</v>
      </c>
      <c r="R70" s="108">
        <v>2.3036568585729293</v>
      </c>
      <c r="S70" s="108">
        <v>1232.9171507082317</v>
      </c>
      <c r="T70" s="108">
        <v>5.4481730769230765</v>
      </c>
      <c r="U70" s="108">
        <v>2915.8622307692303</v>
      </c>
      <c r="V70" s="108">
        <v>0</v>
      </c>
      <c r="W70" s="108">
        <v>0</v>
      </c>
      <c r="X70" s="108">
        <v>11.683884441666029</v>
      </c>
      <c r="Y70" s="108">
        <v>6253.2149531796576</v>
      </c>
      <c r="Z70" s="108">
        <v>7.9108867375882737</v>
      </c>
      <c r="AA70" s="108">
        <v>4233.9065819572434</v>
      </c>
      <c r="AB70" s="108">
        <v>2.734208367514356</v>
      </c>
      <c r="AC70" s="108">
        <v>1463.3483182936832</v>
      </c>
      <c r="AD70" s="108">
        <v>1.0160101201508396E-16</v>
      </c>
      <c r="AE70" s="108">
        <v>5.4376861630472928E-14</v>
      </c>
      <c r="AF70" s="108">
        <v>1.3456235720037955</v>
      </c>
      <c r="AG70" s="108">
        <v>720.17773573643126</v>
      </c>
      <c r="AH70" s="108">
        <v>1.7282228600875107</v>
      </c>
      <c r="AI70" s="108">
        <v>924.94487471883565</v>
      </c>
      <c r="AJ70" s="108">
        <v>1.7269430051813472</v>
      </c>
      <c r="AK70" s="108">
        <v>924.2598963730569</v>
      </c>
      <c r="AL70" s="108">
        <v>0</v>
      </c>
      <c r="AM70" s="108">
        <v>0</v>
      </c>
      <c r="AN70" s="108">
        <v>11.40131398439363</v>
      </c>
      <c r="AO70" s="108">
        <v>6101.9832444474696</v>
      </c>
      <c r="AP70" s="108">
        <v>2.8982608695652181</v>
      </c>
      <c r="AQ70" s="108">
        <v>1551.1492173913045</v>
      </c>
      <c r="AR70" s="108">
        <v>0</v>
      </c>
      <c r="AS70" s="108">
        <v>0</v>
      </c>
      <c r="AT70" s="108">
        <v>8.0152304609218437</v>
      </c>
      <c r="AU70" s="108">
        <v>4289.7513426853702</v>
      </c>
      <c r="AV70" s="108">
        <v>0</v>
      </c>
      <c r="AW70" s="108">
        <v>0</v>
      </c>
      <c r="AX70" s="108">
        <v>9.6393334397993478</v>
      </c>
      <c r="AY70" s="108">
        <v>5158.9712569806106</v>
      </c>
      <c r="AZ70" s="108">
        <v>8.7942477028508552</v>
      </c>
      <c r="BA70" s="108">
        <v>4706.6813705657769</v>
      </c>
      <c r="BB70" s="108">
        <v>3.0153799758745481</v>
      </c>
      <c r="BC70" s="108">
        <v>1613.831363088058</v>
      </c>
      <c r="BD70" s="108">
        <v>0</v>
      </c>
      <c r="BE70" s="108">
        <v>0</v>
      </c>
      <c r="BF70" s="108">
        <v>8.4344549499443833</v>
      </c>
      <c r="BG70" s="108">
        <v>4514.1202892102338</v>
      </c>
      <c r="BH70" s="108">
        <v>0.23663308545454181</v>
      </c>
      <c r="BI70" s="108">
        <v>126.64602733527076</v>
      </c>
      <c r="BJ70" s="108">
        <v>1.2719468902255802</v>
      </c>
      <c r="BK70" s="108">
        <v>680.74597564873045</v>
      </c>
      <c r="BL70" s="108">
        <v>1.0749434369062563</v>
      </c>
      <c r="BM70" s="108">
        <v>575.30972743222833</v>
      </c>
      <c r="BN70" s="108">
        <v>1.0084536103599242</v>
      </c>
      <c r="BO70" s="108">
        <v>539.72437226463137</v>
      </c>
      <c r="BP70" s="108">
        <v>1.5574047089962191</v>
      </c>
      <c r="BQ70" s="108">
        <v>833.52300025477632</v>
      </c>
      <c r="BR70" s="108">
        <v>2.6962201006777162</v>
      </c>
      <c r="BS70" s="108">
        <v>1443.0169978827134</v>
      </c>
      <c r="BT70" s="108">
        <v>1.9987779765602607</v>
      </c>
      <c r="BU70" s="108">
        <v>1069.7459730550513</v>
      </c>
      <c r="BV70" s="108">
        <v>1.5288990825688076</v>
      </c>
      <c r="BW70" s="108">
        <v>818.26678899082572</v>
      </c>
      <c r="BX70" s="108">
        <v>0</v>
      </c>
      <c r="BY70" s="108">
        <v>0</v>
      </c>
      <c r="BZ70" s="108">
        <v>0.96654739189031535</v>
      </c>
      <c r="CA70" s="108">
        <v>517.29616413969666</v>
      </c>
      <c r="CB70" s="108">
        <v>0.76177735950524339</v>
      </c>
      <c r="CC70" s="108">
        <v>407.70324280720621</v>
      </c>
      <c r="CD70" s="108">
        <v>0</v>
      </c>
      <c r="CE70" s="108">
        <v>0</v>
      </c>
      <c r="CF70" s="108">
        <v>1.0201574114560561</v>
      </c>
      <c r="CG70" s="108">
        <v>545.98824661128117</v>
      </c>
      <c r="CH70" s="108">
        <v>0</v>
      </c>
      <c r="CI70" s="108">
        <v>0</v>
      </c>
      <c r="CJ70" s="108">
        <v>0</v>
      </c>
      <c r="CK70" s="108">
        <v>0</v>
      </c>
      <c r="CL70" s="108">
        <v>1.6270209918888325</v>
      </c>
      <c r="CM70" s="108">
        <v>870.78163485890309</v>
      </c>
      <c r="CN70" s="108">
        <v>4.2657654638240841</v>
      </c>
      <c r="CO70" s="108">
        <v>2283.0376762386495</v>
      </c>
      <c r="CP70" s="108">
        <v>7.0362953692115155</v>
      </c>
      <c r="CQ70" s="108">
        <v>3765.8252816020026</v>
      </c>
      <c r="CR70" s="108">
        <v>0</v>
      </c>
      <c r="CS70" s="108">
        <v>0</v>
      </c>
      <c r="CT70" s="108">
        <v>0</v>
      </c>
      <c r="CU70" s="108">
        <v>0</v>
      </c>
    </row>
    <row r="71" spans="2:99" x14ac:dyDescent="0.2">
      <c r="B71" s="107" t="s">
        <v>130</v>
      </c>
      <c r="C71" s="107" t="s">
        <v>236</v>
      </c>
      <c r="D71" s="108">
        <v>0</v>
      </c>
      <c r="E71" s="108">
        <v>0</v>
      </c>
      <c r="F71" s="108">
        <v>0</v>
      </c>
      <c r="G71" s="108">
        <v>0</v>
      </c>
      <c r="H71" s="108">
        <v>0</v>
      </c>
      <c r="I71" s="108">
        <v>0</v>
      </c>
      <c r="J71" s="108">
        <v>9.8811858608893957</v>
      </c>
      <c r="K71" s="108">
        <v>5572.988825541619</v>
      </c>
      <c r="L71" s="108">
        <v>0</v>
      </c>
      <c r="M71" s="108">
        <v>0</v>
      </c>
      <c r="N71" s="108">
        <v>6.9419174049835703</v>
      </c>
      <c r="O71" s="108">
        <v>3915.2414164107336</v>
      </c>
      <c r="P71" s="108">
        <v>2.0930921052631581</v>
      </c>
      <c r="Q71" s="108">
        <v>1180.5039473684212</v>
      </c>
      <c r="R71" s="108">
        <v>0</v>
      </c>
      <c r="S71" s="108">
        <v>0</v>
      </c>
      <c r="T71" s="108">
        <v>8.3581480283757354</v>
      </c>
      <c r="U71" s="108">
        <v>4713.9954880039149</v>
      </c>
      <c r="V71" s="108">
        <v>5.3519514949380298</v>
      </c>
      <c r="W71" s="108">
        <v>3018.5006431450488</v>
      </c>
      <c r="X71" s="108">
        <v>11.12444733420026</v>
      </c>
      <c r="Y71" s="108">
        <v>6274.1882964889464</v>
      </c>
      <c r="Z71" s="108">
        <v>2.3501470469355326</v>
      </c>
      <c r="AA71" s="108">
        <v>1325.4829344716404</v>
      </c>
      <c r="AB71" s="108">
        <v>0</v>
      </c>
      <c r="AC71" s="108">
        <v>0</v>
      </c>
      <c r="AD71" s="108">
        <v>26.581052036199097</v>
      </c>
      <c r="AE71" s="108">
        <v>14991.713348416291</v>
      </c>
      <c r="AF71" s="108">
        <v>10.111263299382728</v>
      </c>
      <c r="AG71" s="108">
        <v>5702.7525008518587</v>
      </c>
      <c r="AH71" s="108">
        <v>3.7515025360074155E-16</v>
      </c>
      <c r="AI71" s="108">
        <v>2.1158474303081824E-13</v>
      </c>
      <c r="AJ71" s="108">
        <v>0</v>
      </c>
      <c r="AK71" s="108">
        <v>0</v>
      </c>
      <c r="AL71" s="108">
        <v>8.1307029096285603</v>
      </c>
      <c r="AM71" s="108">
        <v>4585.7164410305077</v>
      </c>
      <c r="AN71" s="108">
        <v>15.612279489375005</v>
      </c>
      <c r="AO71" s="108">
        <v>8805.3256320075034</v>
      </c>
      <c r="AP71" s="108">
        <v>8.1103656437426572</v>
      </c>
      <c r="AQ71" s="108">
        <v>4574.2462230708588</v>
      </c>
      <c r="AR71" s="108">
        <v>12.206947385531793</v>
      </c>
      <c r="AS71" s="108">
        <v>6884.7183254399315</v>
      </c>
      <c r="AT71" s="108">
        <v>4.408209785291846</v>
      </c>
      <c r="AU71" s="108">
        <v>2486.2303189046011</v>
      </c>
      <c r="AV71" s="108">
        <v>3.5277956741831571</v>
      </c>
      <c r="AW71" s="108">
        <v>1989.6767602393006</v>
      </c>
      <c r="AX71" s="108">
        <v>0</v>
      </c>
      <c r="AY71" s="108">
        <v>0</v>
      </c>
      <c r="AZ71" s="108">
        <v>2.6522546419098143</v>
      </c>
      <c r="BA71" s="108">
        <v>1495.8716180371352</v>
      </c>
      <c r="BB71" s="108">
        <v>0</v>
      </c>
      <c r="BC71" s="108">
        <v>0</v>
      </c>
      <c r="BD71" s="108">
        <v>4.182335907335907</v>
      </c>
      <c r="BE71" s="108">
        <v>2358.8374517374514</v>
      </c>
      <c r="BF71" s="108">
        <v>2.92796486090776</v>
      </c>
      <c r="BG71" s="108">
        <v>1651.3721815519766</v>
      </c>
      <c r="BH71" s="108">
        <v>0</v>
      </c>
      <c r="BI71" s="108">
        <v>0</v>
      </c>
      <c r="BJ71" s="108">
        <v>7.9591096698113208</v>
      </c>
      <c r="BK71" s="108">
        <v>4488.9378537735847</v>
      </c>
      <c r="BL71" s="108">
        <v>10.9767604239976</v>
      </c>
      <c r="BM71" s="108">
        <v>6190.8928791346461</v>
      </c>
      <c r="BN71" s="108">
        <v>8.9683702604679958</v>
      </c>
      <c r="BO71" s="108">
        <v>5058.1608269039498</v>
      </c>
      <c r="BP71" s="108">
        <v>3.4666647968938271</v>
      </c>
      <c r="BQ71" s="108">
        <v>1955.1989454481186</v>
      </c>
      <c r="BR71" s="108">
        <v>1.6013773222293406</v>
      </c>
      <c r="BS71" s="108">
        <v>903.17680973734809</v>
      </c>
      <c r="BT71" s="108">
        <v>0</v>
      </c>
      <c r="BU71" s="108">
        <v>0</v>
      </c>
      <c r="BV71" s="108">
        <v>0</v>
      </c>
      <c r="BW71" s="108">
        <v>0</v>
      </c>
      <c r="BX71" s="108">
        <v>5.9386104859195514</v>
      </c>
      <c r="BY71" s="108">
        <v>3349.376314058627</v>
      </c>
      <c r="BZ71" s="108">
        <v>6.867753817157813</v>
      </c>
      <c r="CA71" s="108">
        <v>3873.4131528770067</v>
      </c>
      <c r="CB71" s="108">
        <v>3.6778056246539497</v>
      </c>
      <c r="CC71" s="108">
        <v>2074.2823723048277</v>
      </c>
      <c r="CD71" s="108">
        <v>6.5291958820924139</v>
      </c>
      <c r="CE71" s="108">
        <v>3682.4664775001215</v>
      </c>
      <c r="CF71" s="108">
        <v>8.1449517684887471</v>
      </c>
      <c r="CG71" s="108">
        <v>4593.7527974276536</v>
      </c>
      <c r="CH71" s="108">
        <v>0</v>
      </c>
      <c r="CI71" s="108">
        <v>0</v>
      </c>
      <c r="CJ71" s="108">
        <v>6.7471856484529296</v>
      </c>
      <c r="CK71" s="108">
        <v>3805.4127057274522</v>
      </c>
      <c r="CL71" s="108">
        <v>11.683517322174406</v>
      </c>
      <c r="CM71" s="108">
        <v>6589.5037697063653</v>
      </c>
      <c r="CN71" s="108">
        <v>0</v>
      </c>
      <c r="CO71" s="108">
        <v>0</v>
      </c>
      <c r="CP71" s="108">
        <v>0.97912143420392428</v>
      </c>
      <c r="CQ71" s="108">
        <v>552.22448889101327</v>
      </c>
      <c r="CR71" s="108">
        <v>0.91525612009237722</v>
      </c>
      <c r="CS71" s="108">
        <v>516.20445173210078</v>
      </c>
      <c r="CT71" s="108">
        <v>0.7736768802228412</v>
      </c>
      <c r="CU71" s="108">
        <v>436.35376044568244</v>
      </c>
    </row>
    <row r="72" spans="2:99" x14ac:dyDescent="0.2">
      <c r="C72" s="107" t="s">
        <v>237</v>
      </c>
      <c r="D72" s="108">
        <v>0</v>
      </c>
      <c r="E72" s="108">
        <v>0</v>
      </c>
      <c r="F72" s="108">
        <v>0</v>
      </c>
      <c r="G72" s="108">
        <v>0</v>
      </c>
      <c r="H72" s="108">
        <v>0</v>
      </c>
      <c r="I72" s="108">
        <v>0</v>
      </c>
      <c r="J72" s="108">
        <v>11.021322690992017</v>
      </c>
      <c r="K72" s="108">
        <v>819.98640820980597</v>
      </c>
      <c r="L72" s="108">
        <v>0</v>
      </c>
      <c r="M72" s="108">
        <v>0</v>
      </c>
      <c r="N72" s="108">
        <v>7.632476331771711</v>
      </c>
      <c r="O72" s="108">
        <v>567.85623908381524</v>
      </c>
      <c r="P72" s="108">
        <v>2.0930921052631581</v>
      </c>
      <c r="Q72" s="108">
        <v>155.72605263157894</v>
      </c>
      <c r="R72" s="108">
        <v>0</v>
      </c>
      <c r="S72" s="108">
        <v>0</v>
      </c>
      <c r="T72" s="108">
        <v>8.9883655416536996</v>
      </c>
      <c r="U72" s="108">
        <v>668.73439629903521</v>
      </c>
      <c r="V72" s="108">
        <v>6.3554424002389105</v>
      </c>
      <c r="W72" s="108">
        <v>472.84491457777489</v>
      </c>
      <c r="X72" s="108">
        <v>14.013914174252276</v>
      </c>
      <c r="Y72" s="108">
        <v>1042.6352145643693</v>
      </c>
      <c r="Z72" s="108">
        <v>2.6583630530910116</v>
      </c>
      <c r="AA72" s="108">
        <v>197.78221114997123</v>
      </c>
      <c r="AB72" s="108">
        <v>0</v>
      </c>
      <c r="AC72" s="108">
        <v>0</v>
      </c>
      <c r="AD72" s="108">
        <v>26.581052036199097</v>
      </c>
      <c r="AE72" s="108">
        <v>1977.6302714932126</v>
      </c>
      <c r="AF72" s="108">
        <v>10.927066692416414</v>
      </c>
      <c r="AG72" s="108">
        <v>812.9737619157811</v>
      </c>
      <c r="AH72" s="108">
        <v>3.9146113419207814E-16</v>
      </c>
      <c r="AI72" s="108">
        <v>2.9124708383890612E-14</v>
      </c>
      <c r="AJ72" s="108">
        <v>0</v>
      </c>
      <c r="AK72" s="108">
        <v>0</v>
      </c>
      <c r="AL72" s="108">
        <v>9.0174082894356911</v>
      </c>
      <c r="AM72" s="108">
        <v>670.89517673401531</v>
      </c>
      <c r="AN72" s="108">
        <v>18.857003234586877</v>
      </c>
      <c r="AO72" s="108">
        <v>1402.9610406532636</v>
      </c>
      <c r="AP72" s="108">
        <v>8.3547550321815276</v>
      </c>
      <c r="AQ72" s="108">
        <v>621.59377439430557</v>
      </c>
      <c r="AR72" s="108">
        <v>13.627876010443448</v>
      </c>
      <c r="AS72" s="108">
        <v>1013.9139751769924</v>
      </c>
      <c r="AT72" s="108">
        <v>5.1318075988663674</v>
      </c>
      <c r="AU72" s="108">
        <v>381.80648535565768</v>
      </c>
      <c r="AV72" s="108">
        <v>4.3713989875747821</v>
      </c>
      <c r="AW72" s="108">
        <v>325.23208467556373</v>
      </c>
      <c r="AX72" s="108">
        <v>0</v>
      </c>
      <c r="AY72" s="108">
        <v>0</v>
      </c>
      <c r="AZ72" s="108">
        <v>2.6522546419098143</v>
      </c>
      <c r="BA72" s="108">
        <v>197.32774535809017</v>
      </c>
      <c r="BB72" s="108">
        <v>0</v>
      </c>
      <c r="BC72" s="108">
        <v>0</v>
      </c>
      <c r="BD72" s="108">
        <v>4.5040540540540546</v>
      </c>
      <c r="BE72" s="108">
        <v>335.10162162162163</v>
      </c>
      <c r="BF72" s="108">
        <v>3.6599560761347001</v>
      </c>
      <c r="BG72" s="108">
        <v>272.30073206442165</v>
      </c>
      <c r="BH72" s="108">
        <v>0</v>
      </c>
      <c r="BI72" s="108">
        <v>0</v>
      </c>
      <c r="BJ72" s="108">
        <v>9.1382370283018854</v>
      </c>
      <c r="BK72" s="108">
        <v>679.88483490566023</v>
      </c>
      <c r="BL72" s="108">
        <v>13.087675890150981</v>
      </c>
      <c r="BM72" s="108">
        <v>973.7230862272329</v>
      </c>
      <c r="BN72" s="108">
        <v>9.809154972386871</v>
      </c>
      <c r="BO72" s="108">
        <v>729.80112994558317</v>
      </c>
      <c r="BP72" s="108">
        <v>3.4666647968938271</v>
      </c>
      <c r="BQ72" s="108">
        <v>257.9198608889007</v>
      </c>
      <c r="BR72" s="108">
        <v>1.7081358103779631</v>
      </c>
      <c r="BS72" s="108">
        <v>127.08530429212044</v>
      </c>
      <c r="BT72" s="108">
        <v>0</v>
      </c>
      <c r="BU72" s="108">
        <v>0</v>
      </c>
      <c r="BV72" s="108">
        <v>0</v>
      </c>
      <c r="BW72" s="108">
        <v>0</v>
      </c>
      <c r="BX72" s="108">
        <v>7.0268914714059898</v>
      </c>
      <c r="BY72" s="108">
        <v>522.80072547260556</v>
      </c>
      <c r="BZ72" s="108">
        <v>7.8452985066344336</v>
      </c>
      <c r="CA72" s="108">
        <v>583.69020889360183</v>
      </c>
      <c r="CB72" s="108">
        <v>4.4676481602931268</v>
      </c>
      <c r="CC72" s="108">
        <v>332.39302312580861</v>
      </c>
      <c r="CD72" s="108">
        <v>7.419380711256375</v>
      </c>
      <c r="CE72" s="108">
        <v>552.00192491747418</v>
      </c>
      <c r="CF72" s="108">
        <v>9.0023151125401935</v>
      </c>
      <c r="CG72" s="108">
        <v>669.77224437299037</v>
      </c>
      <c r="CH72" s="108">
        <v>0</v>
      </c>
      <c r="CI72" s="108">
        <v>0</v>
      </c>
      <c r="CJ72" s="108">
        <v>7.8991441737985522</v>
      </c>
      <c r="CK72" s="108">
        <v>587.69632653061217</v>
      </c>
      <c r="CL72" s="108">
        <v>12.516986968647181</v>
      </c>
      <c r="CM72" s="108">
        <v>931.2638304673502</v>
      </c>
      <c r="CN72" s="108">
        <v>0</v>
      </c>
      <c r="CO72" s="108">
        <v>0</v>
      </c>
      <c r="CP72" s="108">
        <v>1.1096709587644475</v>
      </c>
      <c r="CQ72" s="108">
        <v>82.559519332074885</v>
      </c>
      <c r="CR72" s="108">
        <v>1.086866642609698</v>
      </c>
      <c r="CS72" s="108">
        <v>80.862878210161526</v>
      </c>
      <c r="CT72" s="108">
        <v>0.85104456824512531</v>
      </c>
      <c r="CU72" s="108">
        <v>63.317715877437315</v>
      </c>
    </row>
    <row r="73" spans="2:99" x14ac:dyDescent="0.2">
      <c r="C73" s="107" t="s">
        <v>238</v>
      </c>
      <c r="D73" s="108">
        <v>0</v>
      </c>
      <c r="E73" s="108">
        <v>0</v>
      </c>
      <c r="F73" s="108">
        <v>0</v>
      </c>
      <c r="G73" s="108">
        <v>0</v>
      </c>
      <c r="H73" s="108">
        <v>0</v>
      </c>
      <c r="I73" s="108">
        <v>0</v>
      </c>
      <c r="J73" s="108">
        <v>10.261231470923605</v>
      </c>
      <c r="K73" s="108">
        <v>5738.0806385404794</v>
      </c>
      <c r="L73" s="108">
        <v>0</v>
      </c>
      <c r="M73" s="108">
        <v>0</v>
      </c>
      <c r="N73" s="108">
        <v>7.0114754937667136</v>
      </c>
      <c r="O73" s="108">
        <v>3920.817096114346</v>
      </c>
      <c r="P73" s="108">
        <v>2.0930921052631581</v>
      </c>
      <c r="Q73" s="108">
        <v>1170.4571052631579</v>
      </c>
      <c r="R73" s="108">
        <v>0</v>
      </c>
      <c r="S73" s="108">
        <v>0</v>
      </c>
      <c r="T73" s="108">
        <v>8.7232635389101638</v>
      </c>
      <c r="U73" s="108">
        <v>4878.0489709585627</v>
      </c>
      <c r="V73" s="108">
        <v>5.4355757370464364</v>
      </c>
      <c r="W73" s="108">
        <v>3039.5739521563669</v>
      </c>
      <c r="X73" s="108">
        <v>13.002600780234072</v>
      </c>
      <c r="Y73" s="108">
        <v>7271.0543563068923</v>
      </c>
      <c r="Z73" s="108">
        <v>2.0804580415494875</v>
      </c>
      <c r="AA73" s="108">
        <v>1163.3921368344734</v>
      </c>
      <c r="AB73" s="108">
        <v>0</v>
      </c>
      <c r="AC73" s="108">
        <v>0</v>
      </c>
      <c r="AD73" s="108">
        <v>26.581052036199097</v>
      </c>
      <c r="AE73" s="108">
        <v>14864.124298642533</v>
      </c>
      <c r="AF73" s="108">
        <v>10.111263299382728</v>
      </c>
      <c r="AG73" s="108">
        <v>5654.2184370148207</v>
      </c>
      <c r="AH73" s="108">
        <v>3.9146113419207814E-16</v>
      </c>
      <c r="AI73" s="108">
        <v>2.1890506624021008E-13</v>
      </c>
      <c r="AJ73" s="108">
        <v>0</v>
      </c>
      <c r="AK73" s="108">
        <v>0</v>
      </c>
      <c r="AL73" s="108">
        <v>8.9601727761562824</v>
      </c>
      <c r="AM73" s="108">
        <v>5010.5286164265926</v>
      </c>
      <c r="AN73" s="108">
        <v>18.306137094315986</v>
      </c>
      <c r="AO73" s="108">
        <v>10236.791863141498</v>
      </c>
      <c r="AP73" s="108">
        <v>8.3794147830494179</v>
      </c>
      <c r="AQ73" s="108">
        <v>4685.768746681234</v>
      </c>
      <c r="AR73" s="108">
        <v>13.870080312188955</v>
      </c>
      <c r="AS73" s="108">
        <v>7756.1489105760629</v>
      </c>
      <c r="AT73" s="108">
        <v>4.4692402413869639</v>
      </c>
      <c r="AU73" s="108">
        <v>2499.1991429835898</v>
      </c>
      <c r="AV73" s="108">
        <v>3.987942936033134</v>
      </c>
      <c r="AW73" s="108">
        <v>2230.0576898297281</v>
      </c>
      <c r="AX73" s="108">
        <v>0</v>
      </c>
      <c r="AY73" s="108">
        <v>0</v>
      </c>
      <c r="AZ73" s="108">
        <v>2.6522546419098143</v>
      </c>
      <c r="BA73" s="108">
        <v>1483.1407957559679</v>
      </c>
      <c r="BB73" s="108">
        <v>0</v>
      </c>
      <c r="BC73" s="108">
        <v>0</v>
      </c>
      <c r="BD73" s="108">
        <v>4.8257722007722013</v>
      </c>
      <c r="BE73" s="108">
        <v>2698.5718146718145</v>
      </c>
      <c r="BF73" s="108">
        <v>3.4159590043923869</v>
      </c>
      <c r="BG73" s="108">
        <v>1910.2042752562224</v>
      </c>
      <c r="BH73" s="108">
        <v>0</v>
      </c>
      <c r="BI73" s="108">
        <v>0</v>
      </c>
      <c r="BJ73" s="108">
        <v>7.9591096698113208</v>
      </c>
      <c r="BK73" s="108">
        <v>4450.7341273584898</v>
      </c>
      <c r="BL73" s="108">
        <v>10.9767604239976</v>
      </c>
      <c r="BM73" s="108">
        <v>6138.2044290994572</v>
      </c>
      <c r="BN73" s="108">
        <v>8.9683702604679958</v>
      </c>
      <c r="BO73" s="108">
        <v>5015.1126496537026</v>
      </c>
      <c r="BP73" s="108">
        <v>3.4666647968938271</v>
      </c>
      <c r="BQ73" s="108">
        <v>1938.5589544230279</v>
      </c>
      <c r="BR73" s="108">
        <v>1.3878603459320951</v>
      </c>
      <c r="BS73" s="108">
        <v>776.09150544522743</v>
      </c>
      <c r="BT73" s="108">
        <v>0</v>
      </c>
      <c r="BU73" s="108">
        <v>0</v>
      </c>
      <c r="BV73" s="108">
        <v>0</v>
      </c>
      <c r="BW73" s="108">
        <v>0</v>
      </c>
      <c r="BX73" s="108">
        <v>5.9230975747666417</v>
      </c>
      <c r="BY73" s="108">
        <v>3312.1961638095058</v>
      </c>
      <c r="BZ73" s="108">
        <v>7.1836514962411098</v>
      </c>
      <c r="CA73" s="108">
        <v>4017.0979166980283</v>
      </c>
      <c r="CB73" s="108">
        <v>4.1718624817645633</v>
      </c>
      <c r="CC73" s="108">
        <v>2332.9054998027436</v>
      </c>
      <c r="CD73" s="108">
        <v>7.3441407626460817</v>
      </c>
      <c r="CE73" s="108">
        <v>4106.8435144716886</v>
      </c>
      <c r="CF73" s="108">
        <v>8.5736334405144703</v>
      </c>
      <c r="CG73" s="108">
        <v>4794.3758199356917</v>
      </c>
      <c r="CH73" s="108">
        <v>0</v>
      </c>
      <c r="CI73" s="108">
        <v>0</v>
      </c>
      <c r="CJ73" s="108">
        <v>7.2408821593153387</v>
      </c>
      <c r="CK73" s="108">
        <v>4049.1013034891371</v>
      </c>
      <c r="CL73" s="108">
        <v>12.906288692420112</v>
      </c>
      <c r="CM73" s="108">
        <v>7217.1966368013263</v>
      </c>
      <c r="CN73" s="108">
        <v>0</v>
      </c>
      <c r="CO73" s="108">
        <v>0</v>
      </c>
      <c r="CP73" s="108">
        <v>1.0443961964841859</v>
      </c>
      <c r="CQ73" s="108">
        <v>584.02635307395667</v>
      </c>
      <c r="CR73" s="108">
        <v>0.91525612009237722</v>
      </c>
      <c r="CS73" s="108">
        <v>511.81122235565726</v>
      </c>
      <c r="CT73" s="108">
        <v>0.85104456824512531</v>
      </c>
      <c r="CU73" s="108">
        <v>475.90412256267399</v>
      </c>
    </row>
    <row r="74" spans="2:99" x14ac:dyDescent="0.2">
      <c r="C74" s="107" t="s">
        <v>239</v>
      </c>
      <c r="D74" s="108">
        <v>0</v>
      </c>
      <c r="E74" s="108">
        <v>0</v>
      </c>
      <c r="F74" s="108">
        <v>0</v>
      </c>
      <c r="G74" s="108">
        <v>0</v>
      </c>
      <c r="H74" s="108">
        <v>0</v>
      </c>
      <c r="I74" s="108">
        <v>0</v>
      </c>
      <c r="J74" s="108">
        <v>10.261231470923605</v>
      </c>
      <c r="K74" s="108">
        <v>4137.328529076397</v>
      </c>
      <c r="L74" s="108">
        <v>0</v>
      </c>
      <c r="M74" s="108">
        <v>0</v>
      </c>
      <c r="N74" s="108">
        <v>6.5759628925167677</v>
      </c>
      <c r="O74" s="108">
        <v>2651.4282382627607</v>
      </c>
      <c r="P74" s="108">
        <v>2.0930921052631581</v>
      </c>
      <c r="Q74" s="108">
        <v>843.93473684210539</v>
      </c>
      <c r="R74" s="108">
        <v>0</v>
      </c>
      <c r="S74" s="108">
        <v>0</v>
      </c>
      <c r="T74" s="108">
        <v>8.0103858477511096</v>
      </c>
      <c r="U74" s="108">
        <v>3229.7875738132475</v>
      </c>
      <c r="V74" s="108">
        <v>6.2718181581305039</v>
      </c>
      <c r="W74" s="108">
        <v>2528.7970813582192</v>
      </c>
      <c r="X74" s="108">
        <v>12.569180754226268</v>
      </c>
      <c r="Y74" s="108">
        <v>5067.8936801040309</v>
      </c>
      <c r="Z74" s="108">
        <v>2.3116200461660972</v>
      </c>
      <c r="AA74" s="108">
        <v>932.04520261417031</v>
      </c>
      <c r="AB74" s="108">
        <v>0</v>
      </c>
      <c r="AC74" s="108">
        <v>0</v>
      </c>
      <c r="AD74" s="108">
        <v>25.44994343891403</v>
      </c>
      <c r="AE74" s="108">
        <v>10261.417194570136</v>
      </c>
      <c r="AF74" s="108">
        <v>10.252982472457568</v>
      </c>
      <c r="AG74" s="108">
        <v>4134.0025328948914</v>
      </c>
      <c r="AH74" s="108">
        <v>3.9146113419207814E-16</v>
      </c>
      <c r="AI74" s="108">
        <v>1.5783712930624589E-13</v>
      </c>
      <c r="AJ74" s="108">
        <v>0</v>
      </c>
      <c r="AK74" s="108">
        <v>0</v>
      </c>
      <c r="AL74" s="108">
        <v>9.2295453821742388</v>
      </c>
      <c r="AM74" s="108">
        <v>3721.3526980926531</v>
      </c>
      <c r="AN74" s="108">
        <v>16.377692586333517</v>
      </c>
      <c r="AO74" s="108">
        <v>6603.4856508096736</v>
      </c>
      <c r="AP74" s="108">
        <v>8.6320240884442541</v>
      </c>
      <c r="AQ74" s="108">
        <v>3480.4321124607231</v>
      </c>
      <c r="AR74" s="108">
        <v>13.78192702888648</v>
      </c>
      <c r="AS74" s="108">
        <v>5556.8729780470285</v>
      </c>
      <c r="AT74" s="108">
        <v>4.9124154781056708</v>
      </c>
      <c r="AU74" s="108">
        <v>1980.6859207722064</v>
      </c>
      <c r="AV74" s="108">
        <v>3.9112517257248043</v>
      </c>
      <c r="AW74" s="108">
        <v>1577.0166958122411</v>
      </c>
      <c r="AX74" s="108">
        <v>0</v>
      </c>
      <c r="AY74" s="108">
        <v>0</v>
      </c>
      <c r="AZ74" s="108">
        <v>2.6522546419098143</v>
      </c>
      <c r="BA74" s="108">
        <v>1069.3890716180372</v>
      </c>
      <c r="BB74" s="108">
        <v>0</v>
      </c>
      <c r="BC74" s="108">
        <v>0</v>
      </c>
      <c r="BD74" s="108">
        <v>4.182335907335907</v>
      </c>
      <c r="BE74" s="108">
        <v>1686.3178378378377</v>
      </c>
      <c r="BF74" s="108">
        <v>3.4159590043923869</v>
      </c>
      <c r="BG74" s="108">
        <v>1377.3146705710103</v>
      </c>
      <c r="BH74" s="108">
        <v>0</v>
      </c>
      <c r="BI74" s="108">
        <v>0</v>
      </c>
      <c r="BJ74" s="108">
        <v>8.8434551886792452</v>
      </c>
      <c r="BK74" s="108">
        <v>3565.6811320754714</v>
      </c>
      <c r="BL74" s="108">
        <v>10.554577330766922</v>
      </c>
      <c r="BM74" s="108">
        <v>4255.6055797652225</v>
      </c>
      <c r="BN74" s="108">
        <v>8.4078471191887463</v>
      </c>
      <c r="BO74" s="108">
        <v>3390.0439584569026</v>
      </c>
      <c r="BP74" s="108">
        <v>3.0333316972820992</v>
      </c>
      <c r="BQ74" s="108">
        <v>1223.0393403441424</v>
      </c>
      <c r="BR74" s="108">
        <v>1.4946188340807178</v>
      </c>
      <c r="BS74" s="108">
        <v>602.6303139013454</v>
      </c>
      <c r="BT74" s="108">
        <v>0</v>
      </c>
      <c r="BU74" s="108">
        <v>0</v>
      </c>
      <c r="BV74" s="108">
        <v>0</v>
      </c>
      <c r="BW74" s="108">
        <v>0</v>
      </c>
      <c r="BX74" s="108">
        <v>6.265174021724909</v>
      </c>
      <c r="BY74" s="108">
        <v>2526.1181655594833</v>
      </c>
      <c r="BZ74" s="108">
        <v>6.8528279910444487</v>
      </c>
      <c r="CA74" s="108">
        <v>2763.0602459891215</v>
      </c>
      <c r="CB74" s="108">
        <v>4.17998869009344</v>
      </c>
      <c r="CC74" s="108">
        <v>1685.371439845675</v>
      </c>
      <c r="CD74" s="108">
        <v>6.5291958820924139</v>
      </c>
      <c r="CE74" s="108">
        <v>2632.5717796596614</v>
      </c>
      <c r="CF74" s="108">
        <v>8.787974276527331</v>
      </c>
      <c r="CG74" s="108">
        <v>3543.3112282958195</v>
      </c>
      <c r="CH74" s="108">
        <v>0</v>
      </c>
      <c r="CI74" s="108">
        <v>0</v>
      </c>
      <c r="CJ74" s="108">
        <v>7.0763166556945354</v>
      </c>
      <c r="CK74" s="108">
        <v>2853.1708755760365</v>
      </c>
      <c r="CL74" s="108">
        <v>13.332962567000687</v>
      </c>
      <c r="CM74" s="108">
        <v>5375.8505070146766</v>
      </c>
      <c r="CN74" s="108">
        <v>0</v>
      </c>
      <c r="CO74" s="108">
        <v>0</v>
      </c>
      <c r="CP74" s="108">
        <v>0.91384667192366253</v>
      </c>
      <c r="CQ74" s="108">
        <v>368.46297811962074</v>
      </c>
      <c r="CR74" s="108">
        <v>0.97245962759815074</v>
      </c>
      <c r="CS74" s="108">
        <v>392.0957218475744</v>
      </c>
      <c r="CT74" s="108">
        <v>0.85104456824512531</v>
      </c>
      <c r="CU74" s="108">
        <v>343.14116991643454</v>
      </c>
    </row>
    <row r="75" spans="2:99" x14ac:dyDescent="0.2">
      <c r="C75" s="107" t="s">
        <v>240</v>
      </c>
      <c r="D75" s="108">
        <v>0</v>
      </c>
      <c r="E75" s="108">
        <v>0</v>
      </c>
      <c r="F75" s="108">
        <v>0</v>
      </c>
      <c r="G75" s="108">
        <v>0</v>
      </c>
      <c r="H75" s="108">
        <v>0</v>
      </c>
      <c r="I75" s="108">
        <v>0</v>
      </c>
      <c r="J75" s="108">
        <v>10.261231470923605</v>
      </c>
      <c r="K75" s="108">
        <v>6600.0240820980616</v>
      </c>
      <c r="L75" s="108">
        <v>0</v>
      </c>
      <c r="M75" s="108">
        <v>0</v>
      </c>
      <c r="N75" s="108">
        <v>7.5397322133941858</v>
      </c>
      <c r="O75" s="108">
        <v>4849.5557596551398</v>
      </c>
      <c r="P75" s="108">
        <v>2.0930921052631581</v>
      </c>
      <c r="Q75" s="108">
        <v>1346.2768421052631</v>
      </c>
      <c r="R75" s="108">
        <v>0</v>
      </c>
      <c r="S75" s="108">
        <v>0</v>
      </c>
      <c r="T75" s="108">
        <v>8.1147376880194493</v>
      </c>
      <c r="U75" s="108">
        <v>5219.3992809341089</v>
      </c>
      <c r="V75" s="108">
        <v>5.9373211896968767</v>
      </c>
      <c r="W75" s="108">
        <v>3818.8849892130306</v>
      </c>
      <c r="X75" s="108">
        <v>12.713654096228868</v>
      </c>
      <c r="Y75" s="108">
        <v>8177.4223146944078</v>
      </c>
      <c r="Z75" s="108">
        <v>2.2730930453966622</v>
      </c>
      <c r="AA75" s="108">
        <v>1462.0534467991331</v>
      </c>
      <c r="AB75" s="108">
        <v>0</v>
      </c>
      <c r="AC75" s="108">
        <v>0</v>
      </c>
      <c r="AD75" s="108">
        <v>23.187726244343896</v>
      </c>
      <c r="AE75" s="108">
        <v>14914.345520361992</v>
      </c>
      <c r="AF75" s="108">
        <v>9.4371790794238795</v>
      </c>
      <c r="AG75" s="108">
        <v>6069.993583885439</v>
      </c>
      <c r="AH75" s="108">
        <v>4.0777201478341474E-16</v>
      </c>
      <c r="AI75" s="108">
        <v>2.6227895990869232E-13</v>
      </c>
      <c r="AJ75" s="108">
        <v>0</v>
      </c>
      <c r="AK75" s="108">
        <v>0</v>
      </c>
      <c r="AL75" s="108">
        <v>8.9983297850092203</v>
      </c>
      <c r="AM75" s="108">
        <v>5787.7257177179299</v>
      </c>
      <c r="AN75" s="108">
        <v>15.612279489375005</v>
      </c>
      <c r="AO75" s="108">
        <v>10041.818167566002</v>
      </c>
      <c r="AP75" s="108">
        <v>8.3629749491374916</v>
      </c>
      <c r="AQ75" s="108">
        <v>5379.0654872852338</v>
      </c>
      <c r="AR75" s="108">
        <v>12.982685270743772</v>
      </c>
      <c r="AS75" s="108">
        <v>8350.4631661423937</v>
      </c>
      <c r="AT75" s="108">
        <v>4.4046197584627214</v>
      </c>
      <c r="AU75" s="108">
        <v>2833.0514286432222</v>
      </c>
      <c r="AV75" s="108">
        <v>3.5277956741831571</v>
      </c>
      <c r="AW75" s="108">
        <v>2269.0781776346066</v>
      </c>
      <c r="AX75" s="108">
        <v>0</v>
      </c>
      <c r="AY75" s="108">
        <v>0</v>
      </c>
      <c r="AZ75" s="108">
        <v>2.6522546419098143</v>
      </c>
      <c r="BA75" s="108">
        <v>1705.9301856763923</v>
      </c>
      <c r="BB75" s="108">
        <v>0</v>
      </c>
      <c r="BC75" s="108">
        <v>0</v>
      </c>
      <c r="BD75" s="108">
        <v>4.8257722007722013</v>
      </c>
      <c r="BE75" s="108">
        <v>3103.9366795366795</v>
      </c>
      <c r="BF75" s="108">
        <v>2.92796486090776</v>
      </c>
      <c r="BG75" s="108">
        <v>1883.2669985358709</v>
      </c>
      <c r="BH75" s="108">
        <v>0</v>
      </c>
      <c r="BI75" s="108">
        <v>0</v>
      </c>
      <c r="BJ75" s="108">
        <v>8.2538915094339611</v>
      </c>
      <c r="BK75" s="108">
        <v>5308.9030188679235</v>
      </c>
      <c r="BL75" s="108">
        <v>11.398943517228275</v>
      </c>
      <c r="BM75" s="108">
        <v>7331.8004702812259</v>
      </c>
      <c r="BN75" s="108">
        <v>8.6881086898283719</v>
      </c>
      <c r="BO75" s="108">
        <v>5588.1915092976078</v>
      </c>
      <c r="BP75" s="108">
        <v>3.2499982470879631</v>
      </c>
      <c r="BQ75" s="108">
        <v>2090.3988725269778</v>
      </c>
      <c r="BR75" s="108">
        <v>1.3878603459320951</v>
      </c>
      <c r="BS75" s="108">
        <v>892.67177450352347</v>
      </c>
      <c r="BT75" s="108">
        <v>0</v>
      </c>
      <c r="BU75" s="108">
        <v>0</v>
      </c>
      <c r="BV75" s="108">
        <v>0</v>
      </c>
      <c r="BW75" s="108">
        <v>0</v>
      </c>
      <c r="BX75" s="108">
        <v>6.622763379836087</v>
      </c>
      <c r="BY75" s="108">
        <v>4259.7614059105708</v>
      </c>
      <c r="BZ75" s="108">
        <v>7.5443266536645028</v>
      </c>
      <c r="CA75" s="108">
        <v>4852.5109036370077</v>
      </c>
      <c r="CB75" s="108">
        <v>3.9654650948536365</v>
      </c>
      <c r="CC75" s="108">
        <v>2550.5871490098589</v>
      </c>
      <c r="CD75" s="108">
        <v>6.9084533416403877</v>
      </c>
      <c r="CE75" s="108">
        <v>4443.517189343097</v>
      </c>
      <c r="CF75" s="108">
        <v>8.5736334405144703</v>
      </c>
      <c r="CG75" s="108">
        <v>5514.5610289389069</v>
      </c>
      <c r="CH75" s="108">
        <v>0</v>
      </c>
      <c r="CI75" s="108">
        <v>0</v>
      </c>
      <c r="CJ75" s="108">
        <v>7.4054476629361421</v>
      </c>
      <c r="CK75" s="108">
        <v>4763.1839368005258</v>
      </c>
      <c r="CL75" s="108">
        <v>12.516986968647181</v>
      </c>
      <c r="CM75" s="108">
        <v>8050.9260182338658</v>
      </c>
      <c r="CN75" s="108">
        <v>0</v>
      </c>
      <c r="CO75" s="108">
        <v>0</v>
      </c>
      <c r="CP75" s="108">
        <v>0.84857190964340101</v>
      </c>
      <c r="CQ75" s="108">
        <v>545.80145228263552</v>
      </c>
      <c r="CR75" s="108">
        <v>0.8580526125866037</v>
      </c>
      <c r="CS75" s="108">
        <v>551.89944041570345</v>
      </c>
      <c r="CT75" s="108">
        <v>0.7736768802228412</v>
      </c>
      <c r="CU75" s="108">
        <v>497.62896935933139</v>
      </c>
    </row>
    <row r="76" spans="2:99" x14ac:dyDescent="0.2">
      <c r="C76" s="107" t="s">
        <v>241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9.8811858608893957</v>
      </c>
      <c r="K76" s="108">
        <v>7695.4675484606605</v>
      </c>
      <c r="L76" s="108">
        <v>0</v>
      </c>
      <c r="M76" s="108">
        <v>0</v>
      </c>
      <c r="N76" s="108">
        <v>6.3904746557617171</v>
      </c>
      <c r="O76" s="108">
        <v>4976.9016619072254</v>
      </c>
      <c r="P76" s="108">
        <v>2.0930921052631581</v>
      </c>
      <c r="Q76" s="108">
        <v>1630.1001315789474</v>
      </c>
      <c r="R76" s="108">
        <v>0</v>
      </c>
      <c r="S76" s="108">
        <v>0</v>
      </c>
      <c r="T76" s="108">
        <v>7.3845066669505952</v>
      </c>
      <c r="U76" s="108">
        <v>5751.0537922211233</v>
      </c>
      <c r="V76" s="108">
        <v>5.5191999791548429</v>
      </c>
      <c r="W76" s="108">
        <v>4298.3529437657917</v>
      </c>
      <c r="X76" s="108">
        <v>12.280234070221066</v>
      </c>
      <c r="Y76" s="108">
        <v>9563.8462938881657</v>
      </c>
      <c r="Z76" s="108">
        <v>2.2345660446272273</v>
      </c>
      <c r="AA76" s="108">
        <v>1740.2800355556844</v>
      </c>
      <c r="AB76" s="108">
        <v>0</v>
      </c>
      <c r="AC76" s="108">
        <v>0</v>
      </c>
      <c r="AD76" s="108">
        <v>26.015497737556565</v>
      </c>
      <c r="AE76" s="108">
        <v>20260.869638009051</v>
      </c>
      <c r="AF76" s="108">
        <v>9.1001369694444545</v>
      </c>
      <c r="AG76" s="108">
        <v>7087.1866718033407</v>
      </c>
      <c r="AH76" s="108">
        <v>3.7515025360074155E-16</v>
      </c>
      <c r="AI76" s="108">
        <v>2.9216701750425752E-13</v>
      </c>
      <c r="AJ76" s="108">
        <v>0</v>
      </c>
      <c r="AK76" s="108">
        <v>0</v>
      </c>
      <c r="AL76" s="108">
        <v>8.1211636574153268</v>
      </c>
      <c r="AM76" s="108">
        <v>6324.7622563950563</v>
      </c>
      <c r="AN76" s="108">
        <v>14.969464653380848</v>
      </c>
      <c r="AO76" s="108">
        <v>11658.219072053003</v>
      </c>
      <c r="AP76" s="108">
        <v>7.8659762553037851</v>
      </c>
      <c r="AQ76" s="108">
        <v>6126.0223076305874</v>
      </c>
      <c r="AR76" s="108">
        <v>13.500259969141363</v>
      </c>
      <c r="AS76" s="108">
        <v>10514.002463967292</v>
      </c>
      <c r="AT76" s="108">
        <v>4.3723095170006001</v>
      </c>
      <c r="AU76" s="108">
        <v>3405.1546518400673</v>
      </c>
      <c r="AV76" s="108">
        <v>3.5277956741831571</v>
      </c>
      <c r="AW76" s="108">
        <v>2747.4472710538425</v>
      </c>
      <c r="AX76" s="108">
        <v>0</v>
      </c>
      <c r="AY76" s="108">
        <v>0</v>
      </c>
      <c r="AZ76" s="108">
        <v>2.3575596816976128</v>
      </c>
      <c r="BA76" s="108">
        <v>1836.0674801061007</v>
      </c>
      <c r="BB76" s="108">
        <v>0</v>
      </c>
      <c r="BC76" s="108">
        <v>0</v>
      </c>
      <c r="BD76" s="108">
        <v>4.5040540540540546</v>
      </c>
      <c r="BE76" s="108">
        <v>3507.7572972972976</v>
      </c>
      <c r="BF76" s="108">
        <v>3.1719619326500732</v>
      </c>
      <c r="BG76" s="108">
        <v>2470.3239531478771</v>
      </c>
      <c r="BH76" s="108">
        <v>0</v>
      </c>
      <c r="BI76" s="108">
        <v>0</v>
      </c>
      <c r="BJ76" s="108">
        <v>7.6643278301886788</v>
      </c>
      <c r="BK76" s="108">
        <v>5968.9785141509428</v>
      </c>
      <c r="BL76" s="108">
        <v>11.398943517228275</v>
      </c>
      <c r="BM76" s="108">
        <v>8877.49721121738</v>
      </c>
      <c r="BN76" s="108">
        <v>8.1275855485491224</v>
      </c>
      <c r="BO76" s="108">
        <v>6329.7636252100565</v>
      </c>
      <c r="BP76" s="108">
        <v>3.2499982470879631</v>
      </c>
      <c r="BQ76" s="108">
        <v>2531.0986348321057</v>
      </c>
      <c r="BR76" s="108">
        <v>1.3878603459320951</v>
      </c>
      <c r="BS76" s="108">
        <v>1080.8656374119155</v>
      </c>
      <c r="BT76" s="108">
        <v>0</v>
      </c>
      <c r="BU76" s="108">
        <v>0</v>
      </c>
      <c r="BV76" s="108">
        <v>0</v>
      </c>
      <c r="BW76" s="108">
        <v>0</v>
      </c>
      <c r="BX76" s="108">
        <v>5.5965340389612841</v>
      </c>
      <c r="BY76" s="108">
        <v>4358.5807095430482</v>
      </c>
      <c r="BZ76" s="108">
        <v>7.1985773223544758</v>
      </c>
      <c r="CA76" s="108">
        <v>5606.2520186496658</v>
      </c>
      <c r="CB76" s="108">
        <v>3.702184249640577</v>
      </c>
      <c r="CC76" s="108">
        <v>2883.2610936200813</v>
      </c>
      <c r="CD76" s="108">
        <v>6.4727659206346928</v>
      </c>
      <c r="CE76" s="108">
        <v>5040.9900989902981</v>
      </c>
      <c r="CF76" s="108">
        <v>7.287588424437299</v>
      </c>
      <c r="CG76" s="108">
        <v>5675.573864951768</v>
      </c>
      <c r="CH76" s="108">
        <v>0</v>
      </c>
      <c r="CI76" s="108">
        <v>0</v>
      </c>
      <c r="CJ76" s="108">
        <v>6.4180546412113229</v>
      </c>
      <c r="CK76" s="108">
        <v>4998.3809545753784</v>
      </c>
      <c r="CL76" s="108">
        <v>11.709439422282847</v>
      </c>
      <c r="CM76" s="108">
        <v>9119.3114220738807</v>
      </c>
      <c r="CN76" s="108">
        <v>0</v>
      </c>
      <c r="CO76" s="108">
        <v>0</v>
      </c>
      <c r="CP76" s="108">
        <v>0.91384667192366253</v>
      </c>
      <c r="CQ76" s="108">
        <v>711.70378809414831</v>
      </c>
      <c r="CR76" s="108">
        <v>0.91525612009237722</v>
      </c>
      <c r="CS76" s="108">
        <v>712.80146632794333</v>
      </c>
      <c r="CT76" s="108">
        <v>0.6963091922005572</v>
      </c>
      <c r="CU76" s="108">
        <v>542.28559888579389</v>
      </c>
    </row>
    <row r="77" spans="2:99" x14ac:dyDescent="0.2">
      <c r="C77" s="107" t="s">
        <v>242</v>
      </c>
      <c r="D77" s="108">
        <v>0</v>
      </c>
      <c r="E77" s="108">
        <v>0</v>
      </c>
      <c r="F77" s="108">
        <v>0</v>
      </c>
      <c r="G77" s="108">
        <v>0</v>
      </c>
      <c r="H77" s="108">
        <v>0</v>
      </c>
      <c r="I77" s="108">
        <v>0</v>
      </c>
      <c r="J77" s="108">
        <v>11.021322690992017</v>
      </c>
      <c r="K77" s="108">
        <v>3068.3362371721773</v>
      </c>
      <c r="L77" s="108">
        <v>0</v>
      </c>
      <c r="M77" s="108">
        <v>0</v>
      </c>
      <c r="N77" s="108">
        <v>6.9882894641723334</v>
      </c>
      <c r="O77" s="108">
        <v>1945.5397868255775</v>
      </c>
      <c r="P77" s="108">
        <v>2.0930921052631581</v>
      </c>
      <c r="Q77" s="108">
        <v>582.71684210526314</v>
      </c>
      <c r="R77" s="108">
        <v>0</v>
      </c>
      <c r="S77" s="108">
        <v>0</v>
      </c>
      <c r="T77" s="108">
        <v>8.0277391776609122</v>
      </c>
      <c r="U77" s="108">
        <v>2234.9225870607979</v>
      </c>
      <c r="V77" s="108">
        <v>6.7735636107809443</v>
      </c>
      <c r="W77" s="108">
        <v>1885.7601092414147</v>
      </c>
      <c r="X77" s="108">
        <v>12.424707412223668</v>
      </c>
      <c r="Y77" s="108">
        <v>3459.0385435630687</v>
      </c>
      <c r="Z77" s="108">
        <v>2.5427820507827072</v>
      </c>
      <c r="AA77" s="108">
        <v>707.91052293790563</v>
      </c>
      <c r="AB77" s="108">
        <v>0</v>
      </c>
      <c r="AC77" s="108">
        <v>0</v>
      </c>
      <c r="AD77" s="108">
        <v>27.712160633484164</v>
      </c>
      <c r="AE77" s="108">
        <v>7715.0655203619908</v>
      </c>
      <c r="AF77" s="108">
        <v>9.9296192562796914</v>
      </c>
      <c r="AG77" s="108">
        <v>2764.406000948266</v>
      </c>
      <c r="AH77" s="108">
        <v>3.9146113419207814E-16</v>
      </c>
      <c r="AI77" s="108">
        <v>1.0898277975907454E-13</v>
      </c>
      <c r="AJ77" s="108">
        <v>0</v>
      </c>
      <c r="AK77" s="108">
        <v>0</v>
      </c>
      <c r="AL77" s="108">
        <v>8.9983297850092203</v>
      </c>
      <c r="AM77" s="108">
        <v>2505.1350121465666</v>
      </c>
      <c r="AN77" s="108">
        <v>18.24483796383381</v>
      </c>
      <c r="AO77" s="108">
        <v>5079.3628891313319</v>
      </c>
      <c r="AP77" s="108">
        <v>7.6215868668649147</v>
      </c>
      <c r="AQ77" s="108">
        <v>2121.849783735192</v>
      </c>
      <c r="AR77" s="108">
        <v>14.988769108634987</v>
      </c>
      <c r="AS77" s="108">
        <v>4172.8733198439804</v>
      </c>
      <c r="AT77" s="108">
        <v>4.9554958000551661</v>
      </c>
      <c r="AU77" s="108">
        <v>1379.6100307353581</v>
      </c>
      <c r="AV77" s="108">
        <v>3.5277956741831571</v>
      </c>
      <c r="AW77" s="108">
        <v>982.13831569259082</v>
      </c>
      <c r="AX77" s="108">
        <v>0</v>
      </c>
      <c r="AY77" s="108">
        <v>0</v>
      </c>
      <c r="AZ77" s="108">
        <v>2.6522546419098143</v>
      </c>
      <c r="BA77" s="108">
        <v>738.38769230769219</v>
      </c>
      <c r="BB77" s="108">
        <v>0</v>
      </c>
      <c r="BC77" s="108">
        <v>0</v>
      </c>
      <c r="BD77" s="108">
        <v>4.8257722007722013</v>
      </c>
      <c r="BE77" s="108">
        <v>1343.4949806949808</v>
      </c>
      <c r="BF77" s="108">
        <v>3.4159590043923869</v>
      </c>
      <c r="BG77" s="108">
        <v>951.0029868228404</v>
      </c>
      <c r="BH77" s="108">
        <v>0</v>
      </c>
      <c r="BI77" s="108">
        <v>0</v>
      </c>
      <c r="BJ77" s="108">
        <v>8.2538915094339611</v>
      </c>
      <c r="BK77" s="108">
        <v>2297.8833962264148</v>
      </c>
      <c r="BL77" s="108">
        <v>10.9767604239976</v>
      </c>
      <c r="BM77" s="108">
        <v>3055.9301020409316</v>
      </c>
      <c r="BN77" s="108">
        <v>8.9683702604679958</v>
      </c>
      <c r="BO77" s="108">
        <v>2496.7942805142898</v>
      </c>
      <c r="BP77" s="108">
        <v>3.2499982470879631</v>
      </c>
      <c r="BQ77" s="108">
        <v>904.79951198928882</v>
      </c>
      <c r="BR77" s="108">
        <v>1.3878603459320951</v>
      </c>
      <c r="BS77" s="108">
        <v>386.38032030749525</v>
      </c>
      <c r="BT77" s="108">
        <v>0</v>
      </c>
      <c r="BU77" s="108">
        <v>0</v>
      </c>
      <c r="BV77" s="108">
        <v>0</v>
      </c>
      <c r="BW77" s="108">
        <v>0</v>
      </c>
      <c r="BX77" s="108">
        <v>5.9696363082253683</v>
      </c>
      <c r="BY77" s="108">
        <v>1661.9467482099424</v>
      </c>
      <c r="BZ77" s="108">
        <v>7.5144750014377726</v>
      </c>
      <c r="CA77" s="108">
        <v>2092.0298404002756</v>
      </c>
      <c r="CB77" s="108">
        <v>3.9654650948536365</v>
      </c>
      <c r="CC77" s="108">
        <v>1103.9854824072522</v>
      </c>
      <c r="CD77" s="108">
        <v>6.9272633287929599</v>
      </c>
      <c r="CE77" s="108">
        <v>1928.5501107359598</v>
      </c>
      <c r="CF77" s="108">
        <v>8.5736334405144703</v>
      </c>
      <c r="CG77" s="108">
        <v>2386.8995498392283</v>
      </c>
      <c r="CH77" s="108">
        <v>0</v>
      </c>
      <c r="CI77" s="108">
        <v>0</v>
      </c>
      <c r="CJ77" s="108">
        <v>7.8991441737985522</v>
      </c>
      <c r="CK77" s="108">
        <v>2199.1217379855166</v>
      </c>
      <c r="CL77" s="108">
        <v>12.516986968647181</v>
      </c>
      <c r="CM77" s="108">
        <v>3484.7291720713752</v>
      </c>
      <c r="CN77" s="108">
        <v>0</v>
      </c>
      <c r="CO77" s="108">
        <v>0</v>
      </c>
      <c r="CP77" s="108">
        <v>0.84857190964340101</v>
      </c>
      <c r="CQ77" s="108">
        <v>236.24241964472282</v>
      </c>
      <c r="CR77" s="108">
        <v>1.0296631351039245</v>
      </c>
      <c r="CS77" s="108">
        <v>286.65821681293255</v>
      </c>
      <c r="CT77" s="108">
        <v>0.7736768802228412</v>
      </c>
      <c r="CU77" s="108">
        <v>215.39164345403898</v>
      </c>
    </row>
    <row r="78" spans="2:99" x14ac:dyDescent="0.2">
      <c r="C78" s="107" t="s">
        <v>243</v>
      </c>
      <c r="D78" s="108">
        <v>0</v>
      </c>
      <c r="E78" s="108">
        <v>0</v>
      </c>
      <c r="F78" s="108">
        <v>0</v>
      </c>
      <c r="G78" s="108">
        <v>0</v>
      </c>
      <c r="H78" s="108">
        <v>0</v>
      </c>
      <c r="I78" s="108">
        <v>0</v>
      </c>
      <c r="J78" s="108">
        <v>10.641277080957812</v>
      </c>
      <c r="K78" s="108">
        <v>5873.9849486887124</v>
      </c>
      <c r="L78" s="108">
        <v>0</v>
      </c>
      <c r="M78" s="108">
        <v>0</v>
      </c>
      <c r="N78" s="108">
        <v>7.4933601542054236</v>
      </c>
      <c r="O78" s="108">
        <v>4136.3348051213934</v>
      </c>
      <c r="P78" s="108">
        <v>2.0930921052631581</v>
      </c>
      <c r="Q78" s="108">
        <v>1155.3868421052632</v>
      </c>
      <c r="R78" s="108">
        <v>0</v>
      </c>
      <c r="S78" s="108">
        <v>0</v>
      </c>
      <c r="T78" s="108">
        <v>8.9753505442213495</v>
      </c>
      <c r="U78" s="108">
        <v>4954.393500410185</v>
      </c>
      <c r="V78" s="108">
        <v>5.686448463371657</v>
      </c>
      <c r="W78" s="108">
        <v>3138.9195517811545</v>
      </c>
      <c r="X78" s="108">
        <v>11.12444733420026</v>
      </c>
      <c r="Y78" s="108">
        <v>6140.6949284785433</v>
      </c>
      <c r="Z78" s="108">
        <v>2.5042550500132719</v>
      </c>
      <c r="AA78" s="108">
        <v>1382.3487876073261</v>
      </c>
      <c r="AB78" s="108">
        <v>0</v>
      </c>
      <c r="AC78" s="108">
        <v>0</v>
      </c>
      <c r="AD78" s="108">
        <v>23.187726244343896</v>
      </c>
      <c r="AE78" s="108">
        <v>12799.624886877831</v>
      </c>
      <c r="AF78" s="108">
        <v>9.7742211894033026</v>
      </c>
      <c r="AG78" s="108">
        <v>5395.3700965506232</v>
      </c>
      <c r="AH78" s="108">
        <v>3.7515025360074155E-16</v>
      </c>
      <c r="AI78" s="108">
        <v>2.0708293998760934E-13</v>
      </c>
      <c r="AJ78" s="108">
        <v>0</v>
      </c>
      <c r="AK78" s="108">
        <v>0</v>
      </c>
      <c r="AL78" s="108">
        <v>9.1818491211080655</v>
      </c>
      <c r="AM78" s="108">
        <v>5068.3807148516526</v>
      </c>
      <c r="AN78" s="108">
        <v>16.377692586333517</v>
      </c>
      <c r="AO78" s="108">
        <v>9040.4863076561014</v>
      </c>
      <c r="AP78" s="108">
        <v>7.833096587479929</v>
      </c>
      <c r="AQ78" s="108">
        <v>4323.8693162889213</v>
      </c>
      <c r="AR78" s="108">
        <v>12.438241140532638</v>
      </c>
      <c r="AS78" s="108">
        <v>6865.9091095740159</v>
      </c>
      <c r="AT78" s="108">
        <v>4.8402144573390844</v>
      </c>
      <c r="AU78" s="108">
        <v>2671.7983804511746</v>
      </c>
      <c r="AV78" s="108">
        <v>3.5277956741831571</v>
      </c>
      <c r="AW78" s="108">
        <v>1947.3432121491028</v>
      </c>
      <c r="AX78" s="108">
        <v>0</v>
      </c>
      <c r="AY78" s="108">
        <v>0</v>
      </c>
      <c r="AZ78" s="108">
        <v>2.6522546419098143</v>
      </c>
      <c r="BA78" s="108">
        <v>1464.0445623342175</v>
      </c>
      <c r="BB78" s="108">
        <v>0</v>
      </c>
      <c r="BC78" s="108">
        <v>0</v>
      </c>
      <c r="BD78" s="108">
        <v>4.8257722007722013</v>
      </c>
      <c r="BE78" s="108">
        <v>2663.8262548262551</v>
      </c>
      <c r="BF78" s="108">
        <v>2.92796486090776</v>
      </c>
      <c r="BG78" s="108">
        <v>1616.2366032210834</v>
      </c>
      <c r="BH78" s="108">
        <v>0</v>
      </c>
      <c r="BI78" s="108">
        <v>0</v>
      </c>
      <c r="BJ78" s="108">
        <v>8.5486733490566031</v>
      </c>
      <c r="BK78" s="108">
        <v>4718.8676886792446</v>
      </c>
      <c r="BL78" s="108">
        <v>11.821126610458952</v>
      </c>
      <c r="BM78" s="108">
        <v>6525.2618889733412</v>
      </c>
      <c r="BN78" s="108">
        <v>9.2486318311076197</v>
      </c>
      <c r="BO78" s="108">
        <v>5105.2447707714064</v>
      </c>
      <c r="BP78" s="108">
        <v>3.0333316972820992</v>
      </c>
      <c r="BQ78" s="108">
        <v>1674.3990968997186</v>
      </c>
      <c r="BR78" s="108">
        <v>1.4946188340807178</v>
      </c>
      <c r="BS78" s="108">
        <v>825.0295964125562</v>
      </c>
      <c r="BT78" s="108">
        <v>0</v>
      </c>
      <c r="BU78" s="108">
        <v>0</v>
      </c>
      <c r="BV78" s="108">
        <v>0</v>
      </c>
      <c r="BW78" s="108">
        <v>0</v>
      </c>
      <c r="BX78" s="108">
        <v>6.3117127551836356</v>
      </c>
      <c r="BY78" s="108">
        <v>3484.0654408613668</v>
      </c>
      <c r="BZ78" s="108">
        <v>7.4696975230976772</v>
      </c>
      <c r="CA78" s="108">
        <v>4123.2730327499175</v>
      </c>
      <c r="CB78" s="108">
        <v>3.7103104579694532</v>
      </c>
      <c r="CC78" s="108">
        <v>2048.0913727991383</v>
      </c>
      <c r="CD78" s="108">
        <v>6.4915759077872659</v>
      </c>
      <c r="CE78" s="108">
        <v>3583.3499010985706</v>
      </c>
      <c r="CF78" s="108">
        <v>9.0023151125401935</v>
      </c>
      <c r="CG78" s="108">
        <v>4969.2779421221867</v>
      </c>
      <c r="CH78" s="108">
        <v>0</v>
      </c>
      <c r="CI78" s="108">
        <v>0</v>
      </c>
      <c r="CJ78" s="108">
        <v>7.7345786701777488</v>
      </c>
      <c r="CK78" s="108">
        <v>4269.4874259381177</v>
      </c>
      <c r="CL78" s="108">
        <v>12.479614817839536</v>
      </c>
      <c r="CM78" s="108">
        <v>6888.7473794474245</v>
      </c>
      <c r="CN78" s="108">
        <v>0</v>
      </c>
      <c r="CO78" s="108">
        <v>0</v>
      </c>
      <c r="CP78" s="108">
        <v>0.97912143420392428</v>
      </c>
      <c r="CQ78" s="108">
        <v>540.47503168056619</v>
      </c>
      <c r="CR78" s="108">
        <v>1.0296631351039245</v>
      </c>
      <c r="CS78" s="108">
        <v>568.37405057736635</v>
      </c>
      <c r="CT78" s="108">
        <v>0.6963091922005572</v>
      </c>
      <c r="CU78" s="108">
        <v>384.36267409470759</v>
      </c>
    </row>
    <row r="79" spans="2:99" x14ac:dyDescent="0.2">
      <c r="C79" s="107" t="s">
        <v>244</v>
      </c>
      <c r="D79" s="108">
        <v>0</v>
      </c>
      <c r="E79" s="108">
        <v>0</v>
      </c>
      <c r="F79" s="108">
        <v>0</v>
      </c>
      <c r="G79" s="108">
        <v>0</v>
      </c>
      <c r="H79" s="108">
        <v>0</v>
      </c>
      <c r="I79" s="108">
        <v>0</v>
      </c>
      <c r="J79" s="108">
        <v>10.261231470923605</v>
      </c>
      <c r="K79" s="108">
        <v>7769.8044697833529</v>
      </c>
      <c r="L79" s="108">
        <v>0</v>
      </c>
      <c r="M79" s="108">
        <v>0</v>
      </c>
      <c r="N79" s="108">
        <v>6.3441025965729558</v>
      </c>
      <c r="O79" s="108">
        <v>4803.7544861250417</v>
      </c>
      <c r="P79" s="108">
        <v>2.0930921052631581</v>
      </c>
      <c r="Q79" s="108">
        <v>1584.8893421052633</v>
      </c>
      <c r="R79" s="108">
        <v>0</v>
      </c>
      <c r="S79" s="108">
        <v>0</v>
      </c>
      <c r="T79" s="108">
        <v>7.3845066669505952</v>
      </c>
      <c r="U79" s="108">
        <v>5591.5484482149905</v>
      </c>
      <c r="V79" s="108">
        <v>5.8702384458460202</v>
      </c>
      <c r="W79" s="108">
        <v>4444.944551194606</v>
      </c>
      <c r="X79" s="108">
        <v>12.280234070221066</v>
      </c>
      <c r="Y79" s="108">
        <v>9298.5932379713904</v>
      </c>
      <c r="Z79" s="108">
        <v>2.2730930453966622</v>
      </c>
      <c r="AA79" s="108">
        <v>1721.1860539743525</v>
      </c>
      <c r="AB79" s="108">
        <v>0</v>
      </c>
      <c r="AC79" s="108">
        <v>0</v>
      </c>
      <c r="AD79" s="108">
        <v>23.753280542986428</v>
      </c>
      <c r="AE79" s="108">
        <v>17985.984027149323</v>
      </c>
      <c r="AF79" s="108">
        <v>9.1871405673130901</v>
      </c>
      <c r="AG79" s="108">
        <v>6956.502837569471</v>
      </c>
      <c r="AH79" s="108">
        <v>3.9146113419207814E-16</v>
      </c>
      <c r="AI79" s="108">
        <v>2.9641437081024154E-13</v>
      </c>
      <c r="AJ79" s="108">
        <v>0</v>
      </c>
      <c r="AK79" s="108">
        <v>0</v>
      </c>
      <c r="AL79" s="108">
        <v>8.2856044890876976</v>
      </c>
      <c r="AM79" s="108">
        <v>6273.8597191372037</v>
      </c>
      <c r="AN79" s="108">
        <v>15.612279489375005</v>
      </c>
      <c r="AO79" s="108">
        <v>11821.618029354753</v>
      </c>
      <c r="AP79" s="108">
        <v>8.0939258098307256</v>
      </c>
      <c r="AQ79" s="108">
        <v>6128.7206232038252</v>
      </c>
      <c r="AR79" s="108">
        <v>12.595657717858485</v>
      </c>
      <c r="AS79" s="108">
        <v>9537.4320239624431</v>
      </c>
      <c r="AT79" s="108">
        <v>4.3001084962340128</v>
      </c>
      <c r="AU79" s="108">
        <v>3256.0421533483941</v>
      </c>
      <c r="AV79" s="108">
        <v>3.3744132535664977</v>
      </c>
      <c r="AW79" s="108">
        <v>2555.1057156005518</v>
      </c>
      <c r="AX79" s="108">
        <v>0</v>
      </c>
      <c r="AY79" s="108">
        <v>0</v>
      </c>
      <c r="AZ79" s="108">
        <v>2.6522546419098143</v>
      </c>
      <c r="BA79" s="108">
        <v>2008.2872148541112</v>
      </c>
      <c r="BB79" s="108">
        <v>0</v>
      </c>
      <c r="BC79" s="108">
        <v>0</v>
      </c>
      <c r="BD79" s="108">
        <v>4.5040540540540546</v>
      </c>
      <c r="BE79" s="108">
        <v>3410.4697297297298</v>
      </c>
      <c r="BF79" s="108">
        <v>3.1719619326500732</v>
      </c>
      <c r="BG79" s="108">
        <v>2401.8095754026353</v>
      </c>
      <c r="BH79" s="108">
        <v>0</v>
      </c>
      <c r="BI79" s="108">
        <v>0</v>
      </c>
      <c r="BJ79" s="108">
        <v>7.3695459905660377</v>
      </c>
      <c r="BK79" s="108">
        <v>5580.220224056603</v>
      </c>
      <c r="BL79" s="108">
        <v>11.398943517228275</v>
      </c>
      <c r="BM79" s="108">
        <v>8631.2800312452491</v>
      </c>
      <c r="BN79" s="108">
        <v>9.2486318311076197</v>
      </c>
      <c r="BO79" s="108">
        <v>7003.064022514689</v>
      </c>
      <c r="BP79" s="108">
        <v>3.0333316972820992</v>
      </c>
      <c r="BQ79" s="108">
        <v>2296.8387611820053</v>
      </c>
      <c r="BR79" s="108">
        <v>1.3878603459320951</v>
      </c>
      <c r="BS79" s="108">
        <v>1050.8878539397822</v>
      </c>
      <c r="BT79" s="108">
        <v>0</v>
      </c>
      <c r="BU79" s="108">
        <v>0</v>
      </c>
      <c r="BV79" s="108">
        <v>0</v>
      </c>
      <c r="BW79" s="108">
        <v>0</v>
      </c>
      <c r="BX79" s="108">
        <v>6.265174021724909</v>
      </c>
      <c r="BY79" s="108">
        <v>4743.9897692501008</v>
      </c>
      <c r="BZ79" s="108">
        <v>7.5443266536645028</v>
      </c>
      <c r="CA79" s="108">
        <v>5712.5641421547607</v>
      </c>
      <c r="CB79" s="108">
        <v>3.6940580413117017</v>
      </c>
      <c r="CC79" s="108">
        <v>2797.1407488812201</v>
      </c>
      <c r="CD79" s="108">
        <v>6.9460733159455339</v>
      </c>
      <c r="CE79" s="108">
        <v>5259.566714833958</v>
      </c>
      <c r="CF79" s="108">
        <v>8.5736334405144703</v>
      </c>
      <c r="CG79" s="108">
        <v>6491.955241157556</v>
      </c>
      <c r="CH79" s="108">
        <v>0</v>
      </c>
      <c r="CI79" s="108">
        <v>0</v>
      </c>
      <c r="CJ79" s="108">
        <v>6.9117511520737329</v>
      </c>
      <c r="CK79" s="108">
        <v>5233.5779723502301</v>
      </c>
      <c r="CL79" s="108">
        <v>12.917738743119315</v>
      </c>
      <c r="CM79" s="108">
        <v>9781.3117762899456</v>
      </c>
      <c r="CN79" s="108">
        <v>0</v>
      </c>
      <c r="CO79" s="108">
        <v>0</v>
      </c>
      <c r="CP79" s="108">
        <v>0.97912143420392428</v>
      </c>
      <c r="CQ79" s="108">
        <v>741.39074997921136</v>
      </c>
      <c r="CR79" s="108">
        <v>1.0296631351039245</v>
      </c>
      <c r="CS79" s="108">
        <v>779.6609259006915</v>
      </c>
      <c r="CT79" s="108">
        <v>0.7736768802228412</v>
      </c>
      <c r="CU79" s="108">
        <v>585.82813370473525</v>
      </c>
    </row>
    <row r="80" spans="2:99" x14ac:dyDescent="0.2">
      <c r="C80" s="107" t="s">
        <v>245</v>
      </c>
      <c r="D80" s="108">
        <v>0</v>
      </c>
      <c r="E80" s="108">
        <v>0</v>
      </c>
      <c r="F80" s="108">
        <v>0</v>
      </c>
      <c r="G80" s="108">
        <v>0</v>
      </c>
      <c r="H80" s="108">
        <v>0</v>
      </c>
      <c r="I80" s="108">
        <v>0</v>
      </c>
      <c r="J80" s="108">
        <v>9.8811858608893957</v>
      </c>
      <c r="K80" s="108">
        <v>7956.330855188141</v>
      </c>
      <c r="L80" s="108">
        <v>0</v>
      </c>
      <c r="M80" s="108">
        <v>0</v>
      </c>
      <c r="N80" s="108">
        <v>6.8491732866060442</v>
      </c>
      <c r="O80" s="108">
        <v>5514.9543303751861</v>
      </c>
      <c r="P80" s="108">
        <v>1.7940789473684211</v>
      </c>
      <c r="Q80" s="108">
        <v>1444.5923684210525</v>
      </c>
      <c r="R80" s="108">
        <v>0</v>
      </c>
      <c r="S80" s="108">
        <v>0</v>
      </c>
      <c r="T80" s="108">
        <v>8.3451330309433835</v>
      </c>
      <c r="U80" s="108">
        <v>6719.501116515612</v>
      </c>
      <c r="V80" s="108">
        <v>5.7700727054800636</v>
      </c>
      <c r="W80" s="108">
        <v>4646.0625424525469</v>
      </c>
      <c r="X80" s="108">
        <v>11.268920676202862</v>
      </c>
      <c r="Y80" s="108">
        <v>9073.7349284785432</v>
      </c>
      <c r="Z80" s="108">
        <v>2.0419310407800526</v>
      </c>
      <c r="AA80" s="108">
        <v>1644.1628740360982</v>
      </c>
      <c r="AB80" s="108">
        <v>0</v>
      </c>
      <c r="AC80" s="108">
        <v>0</v>
      </c>
      <c r="AD80" s="108">
        <v>23.753280542986428</v>
      </c>
      <c r="AE80" s="108">
        <v>19126.141493212668</v>
      </c>
      <c r="AF80" s="108">
        <v>9.7742211894033026</v>
      </c>
      <c r="AG80" s="108">
        <v>7870.2029017075383</v>
      </c>
      <c r="AH80" s="108">
        <v>3.9146113419207814E-16</v>
      </c>
      <c r="AI80" s="108">
        <v>3.1520450525146132E-13</v>
      </c>
      <c r="AJ80" s="108">
        <v>0</v>
      </c>
      <c r="AK80" s="108">
        <v>0</v>
      </c>
      <c r="AL80" s="108">
        <v>8.3333007501538727</v>
      </c>
      <c r="AM80" s="108">
        <v>6709.9737640238982</v>
      </c>
      <c r="AN80" s="108">
        <v>15.550980358892827</v>
      </c>
      <c r="AO80" s="108">
        <v>12521.649384980503</v>
      </c>
      <c r="AP80" s="108">
        <v>7.5804872820850946</v>
      </c>
      <c r="AQ80" s="108">
        <v>6103.8083595349181</v>
      </c>
      <c r="AR80" s="108">
        <v>11.725469886250995</v>
      </c>
      <c r="AS80" s="108">
        <v>9441.3483524093008</v>
      </c>
      <c r="AT80" s="108">
        <v>3.9434943875983919</v>
      </c>
      <c r="AU80" s="108">
        <v>3175.3016808942248</v>
      </c>
      <c r="AV80" s="108">
        <v>3.8345605154164755</v>
      </c>
      <c r="AW80" s="108">
        <v>3087.5881270133459</v>
      </c>
      <c r="AX80" s="108">
        <v>0</v>
      </c>
      <c r="AY80" s="108">
        <v>0</v>
      </c>
      <c r="AZ80" s="108">
        <v>2.6522546419098143</v>
      </c>
      <c r="BA80" s="108">
        <v>2135.5954376657824</v>
      </c>
      <c r="BB80" s="108">
        <v>0</v>
      </c>
      <c r="BC80" s="108">
        <v>0</v>
      </c>
      <c r="BD80" s="108">
        <v>4.5040540540540546</v>
      </c>
      <c r="BE80" s="108">
        <v>3626.6643243243243</v>
      </c>
      <c r="BF80" s="108">
        <v>3.1719619326500732</v>
      </c>
      <c r="BG80" s="108">
        <v>2554.0637481698386</v>
      </c>
      <c r="BH80" s="108">
        <v>0</v>
      </c>
      <c r="BI80" s="108">
        <v>0</v>
      </c>
      <c r="BJ80" s="108">
        <v>7.9591096698113208</v>
      </c>
      <c r="BK80" s="108">
        <v>6408.6751061320747</v>
      </c>
      <c r="BL80" s="108">
        <v>11.398943517228275</v>
      </c>
      <c r="BM80" s="108">
        <v>9178.4293200722059</v>
      </c>
      <c r="BN80" s="108">
        <v>9.2486318311076197</v>
      </c>
      <c r="BO80" s="108">
        <v>7446.9983504078546</v>
      </c>
      <c r="BP80" s="108">
        <v>3.0333316972820992</v>
      </c>
      <c r="BQ80" s="108">
        <v>2442.4386826515461</v>
      </c>
      <c r="BR80" s="108">
        <v>1.6013773222293406</v>
      </c>
      <c r="BS80" s="108">
        <v>1289.429019859065</v>
      </c>
      <c r="BT80" s="108">
        <v>0</v>
      </c>
      <c r="BU80" s="108">
        <v>0</v>
      </c>
      <c r="BV80" s="108">
        <v>0</v>
      </c>
      <c r="BW80" s="108">
        <v>0</v>
      </c>
      <c r="BX80" s="108">
        <v>5.612046950114193</v>
      </c>
      <c r="BY80" s="108">
        <v>4518.8202042319481</v>
      </c>
      <c r="BZ80" s="108">
        <v>6.8229763388177194</v>
      </c>
      <c r="CA80" s="108">
        <v>5493.8605480160268</v>
      </c>
      <c r="CB80" s="108">
        <v>3.9329602615381325</v>
      </c>
      <c r="CC80" s="108">
        <v>3166.819602590504</v>
      </c>
      <c r="CD80" s="108">
        <v>6.4915759077872659</v>
      </c>
      <c r="CE80" s="108">
        <v>5227.0169209503065</v>
      </c>
      <c r="CF80" s="108">
        <v>8.1449517684887471</v>
      </c>
      <c r="CG80" s="108">
        <v>6558.3151639871385</v>
      </c>
      <c r="CH80" s="108">
        <v>0</v>
      </c>
      <c r="CI80" s="108">
        <v>0</v>
      </c>
      <c r="CJ80" s="108">
        <v>6.5826201448321262</v>
      </c>
      <c r="CK80" s="108">
        <v>5300.3257406188277</v>
      </c>
      <c r="CL80" s="108">
        <v>12.07584104465737</v>
      </c>
      <c r="CM80" s="108">
        <v>9723.4672091581142</v>
      </c>
      <c r="CN80" s="108">
        <v>0</v>
      </c>
      <c r="CO80" s="108">
        <v>0</v>
      </c>
      <c r="CP80" s="108">
        <v>0.84857190964340101</v>
      </c>
      <c r="CQ80" s="108">
        <v>683.27010164486649</v>
      </c>
      <c r="CR80" s="108">
        <v>0.91525612009237722</v>
      </c>
      <c r="CS80" s="108">
        <v>736.96422789838209</v>
      </c>
      <c r="CT80" s="108">
        <v>0.7736768802228412</v>
      </c>
      <c r="CU80" s="108">
        <v>622.96462395543165</v>
      </c>
    </row>
    <row r="81" spans="2:99" x14ac:dyDescent="0.2">
      <c r="C81" s="107" t="s">
        <v>246</v>
      </c>
      <c r="D81" s="108">
        <v>0</v>
      </c>
      <c r="E81" s="108">
        <v>0</v>
      </c>
      <c r="F81" s="108">
        <v>0</v>
      </c>
      <c r="G81" s="108">
        <v>0</v>
      </c>
      <c r="H81" s="108">
        <v>0</v>
      </c>
      <c r="I81" s="108">
        <v>0</v>
      </c>
      <c r="J81" s="108">
        <v>9.8811858608893957</v>
      </c>
      <c r="K81" s="108">
        <v>7446.4616647662488</v>
      </c>
      <c r="L81" s="108">
        <v>0</v>
      </c>
      <c r="M81" s="108">
        <v>0</v>
      </c>
      <c r="N81" s="108">
        <v>6.3441025965729558</v>
      </c>
      <c r="O81" s="108">
        <v>4780.9157167773801</v>
      </c>
      <c r="P81" s="108">
        <v>2.0930921052631581</v>
      </c>
      <c r="Q81" s="108">
        <v>1577.3542105263159</v>
      </c>
      <c r="R81" s="108">
        <v>0</v>
      </c>
      <c r="S81" s="108">
        <v>0</v>
      </c>
      <c r="T81" s="108">
        <v>7.2844931591597062</v>
      </c>
      <c r="U81" s="108">
        <v>5489.5940447427547</v>
      </c>
      <c r="V81" s="108">
        <v>5.5191999791548429</v>
      </c>
      <c r="W81" s="108">
        <v>4159.2691042910901</v>
      </c>
      <c r="X81" s="108">
        <v>11.12444733420026</v>
      </c>
      <c r="Y81" s="108">
        <v>8383.3835110533164</v>
      </c>
      <c r="Z81" s="108">
        <v>2.1575120430883574</v>
      </c>
      <c r="AA81" s="108">
        <v>1625.9010756713863</v>
      </c>
      <c r="AB81" s="108">
        <v>0</v>
      </c>
      <c r="AC81" s="108">
        <v>0</v>
      </c>
      <c r="AD81" s="108">
        <v>23.753280542986428</v>
      </c>
      <c r="AE81" s="108">
        <v>17900.472217194572</v>
      </c>
      <c r="AF81" s="108">
        <v>9.4371790794238795</v>
      </c>
      <c r="AG81" s="108">
        <v>7111.8581542538359</v>
      </c>
      <c r="AH81" s="108">
        <v>3.4252849241806841E-16</v>
      </c>
      <c r="AI81" s="108">
        <v>2.5812947188625638E-13</v>
      </c>
      <c r="AJ81" s="108">
        <v>0</v>
      </c>
      <c r="AK81" s="108">
        <v>0</v>
      </c>
      <c r="AL81" s="108">
        <v>8.7480356834177329</v>
      </c>
      <c r="AM81" s="108">
        <v>6592.5196910236036</v>
      </c>
      <c r="AN81" s="108">
        <v>17.510074432116383</v>
      </c>
      <c r="AO81" s="108">
        <v>13195.592092042907</v>
      </c>
      <c r="AP81" s="108">
        <v>8.0939258098307256</v>
      </c>
      <c r="AQ81" s="108">
        <v>6099.5824902884351</v>
      </c>
      <c r="AR81" s="108">
        <v>13.258055667395855</v>
      </c>
      <c r="AS81" s="108">
        <v>9991.2707509495158</v>
      </c>
      <c r="AT81" s="108">
        <v>3.8282130448823084</v>
      </c>
      <c r="AU81" s="108">
        <v>2884.9413506233077</v>
      </c>
      <c r="AV81" s="108">
        <v>3.7578693051081458</v>
      </c>
      <c r="AW81" s="108">
        <v>2831.9303083294985</v>
      </c>
      <c r="AX81" s="108">
        <v>0</v>
      </c>
      <c r="AY81" s="108">
        <v>0</v>
      </c>
      <c r="AZ81" s="108">
        <v>2.6522546419098143</v>
      </c>
      <c r="BA81" s="108">
        <v>1998.7390981432361</v>
      </c>
      <c r="BB81" s="108">
        <v>0</v>
      </c>
      <c r="BC81" s="108">
        <v>0</v>
      </c>
      <c r="BD81" s="108">
        <v>4.8257722007722013</v>
      </c>
      <c r="BE81" s="108">
        <v>3636.7019305019312</v>
      </c>
      <c r="BF81" s="108">
        <v>2.92796486090776</v>
      </c>
      <c r="BG81" s="108">
        <v>2206.514319180088</v>
      </c>
      <c r="BH81" s="108">
        <v>0</v>
      </c>
      <c r="BI81" s="108">
        <v>0</v>
      </c>
      <c r="BJ81" s="108">
        <v>8.2538915094339611</v>
      </c>
      <c r="BK81" s="108">
        <v>6220.1326415094336</v>
      </c>
      <c r="BL81" s="108">
        <v>9.7102111443055676</v>
      </c>
      <c r="BM81" s="108">
        <v>7317.6151183486763</v>
      </c>
      <c r="BN81" s="108">
        <v>8.1275855485491224</v>
      </c>
      <c r="BO81" s="108">
        <v>6124.9484693866189</v>
      </c>
      <c r="BP81" s="108">
        <v>3.2499982470879631</v>
      </c>
      <c r="BQ81" s="108">
        <v>2449.1986790054889</v>
      </c>
      <c r="BR81" s="108">
        <v>1.6013773222293406</v>
      </c>
      <c r="BS81" s="108">
        <v>1206.7979500320312</v>
      </c>
      <c r="BT81" s="108">
        <v>0</v>
      </c>
      <c r="BU81" s="108">
        <v>0</v>
      </c>
      <c r="BV81" s="108">
        <v>0</v>
      </c>
      <c r="BW81" s="108">
        <v>0</v>
      </c>
      <c r="BX81" s="108">
        <v>6.2806869328778188</v>
      </c>
      <c r="BY81" s="108">
        <v>4733.1256726167239</v>
      </c>
      <c r="BZ81" s="108">
        <v>7.8602243327477996</v>
      </c>
      <c r="CA81" s="108">
        <v>5923.4650571587417</v>
      </c>
      <c r="CB81" s="108">
        <v>3.6940580413117017</v>
      </c>
      <c r="CC81" s="108">
        <v>2783.8421399324984</v>
      </c>
      <c r="CD81" s="108">
        <v>6.9084533416403877</v>
      </c>
      <c r="CE81" s="108">
        <v>5206.2104382601965</v>
      </c>
      <c r="CF81" s="108">
        <v>7.5019292604501615</v>
      </c>
      <c r="CG81" s="108">
        <v>5653.4538906752423</v>
      </c>
      <c r="CH81" s="108">
        <v>0</v>
      </c>
      <c r="CI81" s="108">
        <v>0</v>
      </c>
      <c r="CJ81" s="108">
        <v>7.2408821593153387</v>
      </c>
      <c r="CK81" s="108">
        <v>5456.7287952600391</v>
      </c>
      <c r="CL81" s="108">
        <v>12.513964969937149</v>
      </c>
      <c r="CM81" s="108">
        <v>9430.5240013446364</v>
      </c>
      <c r="CN81" s="108">
        <v>0</v>
      </c>
      <c r="CO81" s="108">
        <v>0</v>
      </c>
      <c r="CP81" s="108">
        <v>0.97912143420392428</v>
      </c>
      <c r="CQ81" s="108">
        <v>737.86591281607741</v>
      </c>
      <c r="CR81" s="108">
        <v>0.8580526125866037</v>
      </c>
      <c r="CS81" s="108">
        <v>646.62844884526453</v>
      </c>
      <c r="CT81" s="108">
        <v>0.7736768802228412</v>
      </c>
      <c r="CU81" s="108">
        <v>583.04289693593319</v>
      </c>
    </row>
    <row r="82" spans="2:99" x14ac:dyDescent="0.2">
      <c r="C82" s="107" t="s">
        <v>247</v>
      </c>
      <c r="D82" s="108">
        <v>0</v>
      </c>
      <c r="E82" s="108">
        <v>0</v>
      </c>
      <c r="F82" s="108">
        <v>0</v>
      </c>
      <c r="G82" s="108">
        <v>0</v>
      </c>
      <c r="H82" s="108">
        <v>0</v>
      </c>
      <c r="I82" s="108">
        <v>0</v>
      </c>
      <c r="J82" s="108">
        <v>10.261231470923605</v>
      </c>
      <c r="K82" s="108">
        <v>5220.914572405929</v>
      </c>
      <c r="L82" s="108">
        <v>0</v>
      </c>
      <c r="M82" s="108">
        <v>0</v>
      </c>
      <c r="N82" s="108">
        <v>7.3774300062335163</v>
      </c>
      <c r="O82" s="108">
        <v>3753.6363871716121</v>
      </c>
      <c r="P82" s="108">
        <v>1.7940789473684211</v>
      </c>
      <c r="Q82" s="108">
        <v>912.82736842105248</v>
      </c>
      <c r="R82" s="108">
        <v>0</v>
      </c>
      <c r="S82" s="108">
        <v>0</v>
      </c>
      <c r="T82" s="108">
        <v>8.6102350336869211</v>
      </c>
      <c r="U82" s="108">
        <v>4380.8875851399043</v>
      </c>
      <c r="V82" s="108">
        <v>6.0209454318052833</v>
      </c>
      <c r="W82" s="108">
        <v>3063.4570357025277</v>
      </c>
      <c r="X82" s="108">
        <v>11.12444733420026</v>
      </c>
      <c r="Y82" s="108">
        <v>5660.1188036410913</v>
      </c>
      <c r="Z82" s="108">
        <v>2.4657280492438369</v>
      </c>
      <c r="AA82" s="108">
        <v>1254.562431455264</v>
      </c>
      <c r="AB82" s="108">
        <v>0</v>
      </c>
      <c r="AC82" s="108">
        <v>0</v>
      </c>
      <c r="AD82" s="108">
        <v>27.146606334841632</v>
      </c>
      <c r="AE82" s="108">
        <v>13812.19330316742</v>
      </c>
      <c r="AF82" s="108">
        <v>9.7742211894033026</v>
      </c>
      <c r="AG82" s="108">
        <v>4973.1237411683996</v>
      </c>
      <c r="AH82" s="108">
        <v>3.7515025360074155E-16</v>
      </c>
      <c r="AI82" s="108">
        <v>1.9087644903205725E-13</v>
      </c>
      <c r="AJ82" s="108">
        <v>0</v>
      </c>
      <c r="AK82" s="108">
        <v>0</v>
      </c>
      <c r="AL82" s="108">
        <v>8.9601727761562824</v>
      </c>
      <c r="AM82" s="108">
        <v>4558.9359085083152</v>
      </c>
      <c r="AN82" s="108">
        <v>16.867259596122228</v>
      </c>
      <c r="AO82" s="108">
        <v>8582.0616825069883</v>
      </c>
      <c r="AP82" s="108">
        <v>7.3607576445141154</v>
      </c>
      <c r="AQ82" s="108">
        <v>3745.1534895287814</v>
      </c>
      <c r="AR82" s="108">
        <v>14.645818197400937</v>
      </c>
      <c r="AS82" s="108">
        <v>7451.7922988375949</v>
      </c>
      <c r="AT82" s="108">
        <v>4.1054460790930936</v>
      </c>
      <c r="AU82" s="108">
        <v>2088.8509650425658</v>
      </c>
      <c r="AV82" s="108">
        <v>3.5277956741831571</v>
      </c>
      <c r="AW82" s="108">
        <v>1794.9424390243901</v>
      </c>
      <c r="AX82" s="108">
        <v>0</v>
      </c>
      <c r="AY82" s="108">
        <v>0</v>
      </c>
      <c r="AZ82" s="108">
        <v>2.9469496021220163</v>
      </c>
      <c r="BA82" s="108">
        <v>1499.4079575596816</v>
      </c>
      <c r="BB82" s="108">
        <v>0</v>
      </c>
      <c r="BC82" s="108">
        <v>0</v>
      </c>
      <c r="BD82" s="108">
        <v>4.182335907335907</v>
      </c>
      <c r="BE82" s="108">
        <v>2127.972509652509</v>
      </c>
      <c r="BF82" s="108">
        <v>2.92796486090776</v>
      </c>
      <c r="BG82" s="108">
        <v>1489.7485212298679</v>
      </c>
      <c r="BH82" s="108">
        <v>0</v>
      </c>
      <c r="BI82" s="108">
        <v>0</v>
      </c>
      <c r="BJ82" s="108">
        <v>8.2538915094339611</v>
      </c>
      <c r="BK82" s="108">
        <v>4199.579999999999</v>
      </c>
      <c r="BL82" s="108">
        <v>10.9767604239976</v>
      </c>
      <c r="BM82" s="108">
        <v>5584.9757037299778</v>
      </c>
      <c r="BN82" s="108">
        <v>9.5288934017472453</v>
      </c>
      <c r="BO82" s="108">
        <v>4848.3009628089976</v>
      </c>
      <c r="BP82" s="108">
        <v>3.4666647968938271</v>
      </c>
      <c r="BQ82" s="108">
        <v>1763.8390486595788</v>
      </c>
      <c r="BR82" s="108">
        <v>1.4946188340807178</v>
      </c>
      <c r="BS82" s="108">
        <v>760.46206278026909</v>
      </c>
      <c r="BT82" s="108">
        <v>0</v>
      </c>
      <c r="BU82" s="108">
        <v>0</v>
      </c>
      <c r="BV82" s="108">
        <v>0</v>
      </c>
      <c r="BW82" s="108">
        <v>0</v>
      </c>
      <c r="BX82" s="108">
        <v>5.9541233970724603</v>
      </c>
      <c r="BY82" s="108">
        <v>3029.4579844304671</v>
      </c>
      <c r="BZ82" s="108">
        <v>7.8452985066344336</v>
      </c>
      <c r="CA82" s="108">
        <v>3991.6878801755988</v>
      </c>
      <c r="CB82" s="108">
        <v>3.9329602615381325</v>
      </c>
      <c r="CC82" s="108">
        <v>2001.0901810706014</v>
      </c>
      <c r="CD82" s="108">
        <v>6.964883303098107</v>
      </c>
      <c r="CE82" s="108">
        <v>3543.7326246163161</v>
      </c>
      <c r="CF82" s="108">
        <v>7.5019292604501615</v>
      </c>
      <c r="CG82" s="108">
        <v>3816.9816077170412</v>
      </c>
      <c r="CH82" s="108">
        <v>0</v>
      </c>
      <c r="CI82" s="108">
        <v>0</v>
      </c>
      <c r="CJ82" s="108">
        <v>7.5700131665569454</v>
      </c>
      <c r="CK82" s="108">
        <v>3851.6226991441731</v>
      </c>
      <c r="CL82" s="108">
        <v>12.113213195465015</v>
      </c>
      <c r="CM82" s="108">
        <v>6163.2028738525987</v>
      </c>
      <c r="CN82" s="108">
        <v>0</v>
      </c>
      <c r="CO82" s="108">
        <v>0</v>
      </c>
      <c r="CP82" s="108">
        <v>1.0443961964841859</v>
      </c>
      <c r="CQ82" s="108">
        <v>531.38878477115372</v>
      </c>
      <c r="CR82" s="108">
        <v>1.0296631351039245</v>
      </c>
      <c r="CS82" s="108">
        <v>523.89260314087664</v>
      </c>
      <c r="CT82" s="108">
        <v>0.7736768802228412</v>
      </c>
      <c r="CU82" s="108">
        <v>393.64679665738151</v>
      </c>
    </row>
    <row r="83" spans="2:99" x14ac:dyDescent="0.2">
      <c r="C83" s="107" t="s">
        <v>248</v>
      </c>
      <c r="D83" s="108">
        <v>0</v>
      </c>
      <c r="E83" s="108">
        <v>0</v>
      </c>
      <c r="F83" s="108">
        <v>0</v>
      </c>
      <c r="G83" s="108">
        <v>0</v>
      </c>
      <c r="H83" s="108">
        <v>0</v>
      </c>
      <c r="I83" s="108">
        <v>0</v>
      </c>
      <c r="J83" s="108">
        <v>10.641277080957812</v>
      </c>
      <c r="K83" s="108">
        <v>9155.7548004561013</v>
      </c>
      <c r="L83" s="108">
        <v>0</v>
      </c>
      <c r="M83" s="108">
        <v>0</v>
      </c>
      <c r="N83" s="108">
        <v>6.5064048037336244</v>
      </c>
      <c r="O83" s="108">
        <v>5598.1106931324102</v>
      </c>
      <c r="P83" s="108">
        <v>2.0930921052631581</v>
      </c>
      <c r="Q83" s="108">
        <v>1800.8964473684211</v>
      </c>
      <c r="R83" s="108">
        <v>0</v>
      </c>
      <c r="S83" s="108">
        <v>0</v>
      </c>
      <c r="T83" s="108">
        <v>7.758298842439924</v>
      </c>
      <c r="U83" s="108">
        <v>6675.2403240353106</v>
      </c>
      <c r="V83" s="108">
        <v>5.7700727054800636</v>
      </c>
      <c r="W83" s="108">
        <v>4964.5705557950469</v>
      </c>
      <c r="X83" s="108">
        <v>11.12444733420026</v>
      </c>
      <c r="Y83" s="108">
        <v>9571.4744863459036</v>
      </c>
      <c r="Z83" s="108">
        <v>2.0034040400106177</v>
      </c>
      <c r="AA83" s="108">
        <v>1723.7288360251355</v>
      </c>
      <c r="AB83" s="108">
        <v>0</v>
      </c>
      <c r="AC83" s="108">
        <v>0</v>
      </c>
      <c r="AD83" s="108">
        <v>25.44994343891403</v>
      </c>
      <c r="AE83" s="108">
        <v>21897.13133484163</v>
      </c>
      <c r="AF83" s="108">
        <v>9.4371790794238795</v>
      </c>
      <c r="AG83" s="108">
        <v>8119.7488799363055</v>
      </c>
      <c r="AH83" s="108">
        <v>3.7515025360074155E-16</v>
      </c>
      <c r="AI83" s="108">
        <v>3.2277927819807801E-13</v>
      </c>
      <c r="AJ83" s="108">
        <v>0</v>
      </c>
      <c r="AK83" s="108">
        <v>0</v>
      </c>
      <c r="AL83" s="108">
        <v>8.1116244052020896</v>
      </c>
      <c r="AM83" s="108">
        <v>6979.2416382358779</v>
      </c>
      <c r="AN83" s="108">
        <v>16.928558726604408</v>
      </c>
      <c r="AO83" s="108">
        <v>14565.331928370431</v>
      </c>
      <c r="AP83" s="108">
        <v>7.8413165044358921</v>
      </c>
      <c r="AQ83" s="108">
        <v>6746.668720416641</v>
      </c>
      <c r="AR83" s="108">
        <v>12.875641998162196</v>
      </c>
      <c r="AS83" s="108">
        <v>11078.202375218754</v>
      </c>
      <c r="AT83" s="108">
        <v>4.4692402413869639</v>
      </c>
      <c r="AU83" s="108">
        <v>3845.3343036893434</v>
      </c>
      <c r="AV83" s="108">
        <v>3.6811780947998161</v>
      </c>
      <c r="AW83" s="108">
        <v>3167.2856327657619</v>
      </c>
      <c r="AX83" s="108">
        <v>0</v>
      </c>
      <c r="AY83" s="108">
        <v>0</v>
      </c>
      <c r="AZ83" s="108">
        <v>2.6522546419098143</v>
      </c>
      <c r="BA83" s="108">
        <v>2281.9998938992044</v>
      </c>
      <c r="BB83" s="108">
        <v>0</v>
      </c>
      <c r="BC83" s="108">
        <v>0</v>
      </c>
      <c r="BD83" s="108">
        <v>4.8257722007722013</v>
      </c>
      <c r="BE83" s="108">
        <v>4152.094401544402</v>
      </c>
      <c r="BF83" s="108">
        <v>2.92796486090776</v>
      </c>
      <c r="BG83" s="108">
        <v>2519.2209663250364</v>
      </c>
      <c r="BH83" s="108">
        <v>0</v>
      </c>
      <c r="BI83" s="108">
        <v>0</v>
      </c>
      <c r="BJ83" s="108">
        <v>7.3695459905660377</v>
      </c>
      <c r="BK83" s="108">
        <v>6340.7573702830186</v>
      </c>
      <c r="BL83" s="108">
        <v>10.9767604239976</v>
      </c>
      <c r="BM83" s="108">
        <v>9444.4046688075341</v>
      </c>
      <c r="BN83" s="108">
        <v>8.9683702604679958</v>
      </c>
      <c r="BO83" s="108">
        <v>7716.3857721066634</v>
      </c>
      <c r="BP83" s="108">
        <v>3.2499982470879631</v>
      </c>
      <c r="BQ83" s="108">
        <v>2796.2984917944832</v>
      </c>
      <c r="BR83" s="108">
        <v>1.6013773222293406</v>
      </c>
      <c r="BS83" s="108">
        <v>1377.8250480461247</v>
      </c>
      <c r="BT83" s="108">
        <v>0</v>
      </c>
      <c r="BU83" s="108">
        <v>0</v>
      </c>
      <c r="BV83" s="108">
        <v>0</v>
      </c>
      <c r="BW83" s="108">
        <v>0</v>
      </c>
      <c r="BX83" s="108">
        <v>5.612046950114193</v>
      </c>
      <c r="BY83" s="108">
        <v>4828.6051958782518</v>
      </c>
      <c r="BZ83" s="108">
        <v>7.1687256701277464</v>
      </c>
      <c r="CA83" s="108">
        <v>6167.9715665779131</v>
      </c>
      <c r="CB83" s="108">
        <v>3.9248340532092567</v>
      </c>
      <c r="CC83" s="108">
        <v>3376.9272193812444</v>
      </c>
      <c r="CD83" s="108">
        <v>6.4539559334821188</v>
      </c>
      <c r="CE83" s="108">
        <v>5552.9836851680147</v>
      </c>
      <c r="CF83" s="108">
        <v>7.5019292604501615</v>
      </c>
      <c r="CG83" s="108">
        <v>6454.6599356913184</v>
      </c>
      <c r="CH83" s="108">
        <v>0</v>
      </c>
      <c r="CI83" s="108">
        <v>0</v>
      </c>
      <c r="CJ83" s="108">
        <v>7.0763166556945354</v>
      </c>
      <c r="CK83" s="108">
        <v>6088.4628505595783</v>
      </c>
      <c r="CL83" s="108">
        <v>12.491064868538741</v>
      </c>
      <c r="CM83" s="108">
        <v>10747.312212890733</v>
      </c>
      <c r="CN83" s="108">
        <v>0</v>
      </c>
      <c r="CO83" s="108">
        <v>0</v>
      </c>
      <c r="CP83" s="108">
        <v>0.91384667192366253</v>
      </c>
      <c r="CQ83" s="108">
        <v>786.27367652311921</v>
      </c>
      <c r="CR83" s="108">
        <v>0.91525612009237722</v>
      </c>
      <c r="CS83" s="108">
        <v>787.48636572748137</v>
      </c>
      <c r="CT83" s="108">
        <v>0.7736768802228412</v>
      </c>
      <c r="CU83" s="108">
        <v>665.67158774373252</v>
      </c>
    </row>
    <row r="84" spans="2:99" x14ac:dyDescent="0.2">
      <c r="C84" s="107" t="s">
        <v>249</v>
      </c>
      <c r="D84" s="108">
        <v>0</v>
      </c>
      <c r="E84" s="108">
        <v>0</v>
      </c>
      <c r="F84" s="108">
        <v>0</v>
      </c>
      <c r="G84" s="108">
        <v>0</v>
      </c>
      <c r="H84" s="108">
        <v>0</v>
      </c>
      <c r="I84" s="108">
        <v>0</v>
      </c>
      <c r="J84" s="108">
        <v>9.8811858608893957</v>
      </c>
      <c r="K84" s="108">
        <v>7719.1823945267952</v>
      </c>
      <c r="L84" s="108">
        <v>0</v>
      </c>
      <c r="M84" s="108">
        <v>0</v>
      </c>
      <c r="N84" s="108">
        <v>6.8955453457948082</v>
      </c>
      <c r="O84" s="108">
        <v>5386.8000241349037</v>
      </c>
      <c r="P84" s="108">
        <v>1.7940789473684211</v>
      </c>
      <c r="Q84" s="108">
        <v>1401.5344736842105</v>
      </c>
      <c r="R84" s="108">
        <v>0</v>
      </c>
      <c r="S84" s="108">
        <v>0</v>
      </c>
      <c r="T84" s="108">
        <v>7.9800175204089552</v>
      </c>
      <c r="U84" s="108">
        <v>6233.9896869434751</v>
      </c>
      <c r="V84" s="108">
        <v>5.6028242212632504</v>
      </c>
      <c r="W84" s="108">
        <v>4376.9262816508508</v>
      </c>
      <c r="X84" s="108">
        <v>11.413394018205461</v>
      </c>
      <c r="Y84" s="108">
        <v>8916.1434070221057</v>
      </c>
      <c r="Z84" s="108">
        <v>2.0034040400106177</v>
      </c>
      <c r="AA84" s="108">
        <v>1565.0592360562944</v>
      </c>
      <c r="AB84" s="108">
        <v>0</v>
      </c>
      <c r="AC84" s="108">
        <v>0</v>
      </c>
      <c r="AD84" s="108">
        <v>24.318834841628963</v>
      </c>
      <c r="AE84" s="108">
        <v>18997.873778280544</v>
      </c>
      <c r="AF84" s="108">
        <v>9.7742211894033026</v>
      </c>
      <c r="AG84" s="108">
        <v>7635.621593161859</v>
      </c>
      <c r="AH84" s="108">
        <v>3.7515025360074155E-16</v>
      </c>
      <c r="AI84" s="108">
        <v>2.9306737811289929E-13</v>
      </c>
      <c r="AJ84" s="108">
        <v>0</v>
      </c>
      <c r="AK84" s="108">
        <v>0</v>
      </c>
      <c r="AL84" s="108">
        <v>8.7289571789912639</v>
      </c>
      <c r="AM84" s="108">
        <v>6819.061348227975</v>
      </c>
      <c r="AN84" s="108">
        <v>17.663322258321831</v>
      </c>
      <c r="AO84" s="108">
        <v>13798.587348201012</v>
      </c>
      <c r="AP84" s="108">
        <v>6.8390991998125177</v>
      </c>
      <c r="AQ84" s="108">
        <v>5342.7042948935386</v>
      </c>
      <c r="AR84" s="108">
        <v>11.70028323387886</v>
      </c>
      <c r="AS84" s="108">
        <v>9140.261262306165</v>
      </c>
      <c r="AT84" s="108">
        <v>4.2642082279427669</v>
      </c>
      <c r="AU84" s="108">
        <v>3331.1994676688892</v>
      </c>
      <c r="AV84" s="108">
        <v>3.9112517257248043</v>
      </c>
      <c r="AW84" s="108">
        <v>3055.469848136217</v>
      </c>
      <c r="AX84" s="108">
        <v>0</v>
      </c>
      <c r="AY84" s="108">
        <v>0</v>
      </c>
      <c r="AZ84" s="108">
        <v>2.6522546419098143</v>
      </c>
      <c r="BA84" s="108">
        <v>2071.9413262599469</v>
      </c>
      <c r="BB84" s="108">
        <v>0</v>
      </c>
      <c r="BC84" s="108">
        <v>0</v>
      </c>
      <c r="BD84" s="108">
        <v>4.5040540540540546</v>
      </c>
      <c r="BE84" s="108">
        <v>3518.5670270270271</v>
      </c>
      <c r="BF84" s="108">
        <v>2.92796486090776</v>
      </c>
      <c r="BG84" s="108">
        <v>2287.3261493411419</v>
      </c>
      <c r="BH84" s="108">
        <v>0</v>
      </c>
      <c r="BI84" s="108">
        <v>0</v>
      </c>
      <c r="BJ84" s="108">
        <v>7.3695459905660377</v>
      </c>
      <c r="BK84" s="108">
        <v>5757.0893278301883</v>
      </c>
      <c r="BL84" s="108">
        <v>10.554577330766922</v>
      </c>
      <c r="BM84" s="108">
        <v>8245.2358107951186</v>
      </c>
      <c r="BN84" s="108">
        <v>8.9683702604679958</v>
      </c>
      <c r="BO84" s="108">
        <v>7006.0908474775979</v>
      </c>
      <c r="BP84" s="108">
        <v>3.2499982470879631</v>
      </c>
      <c r="BQ84" s="108">
        <v>2538.8986306251168</v>
      </c>
      <c r="BR84" s="108">
        <v>1.4946188340807178</v>
      </c>
      <c r="BS84" s="108">
        <v>1167.5962331838566</v>
      </c>
      <c r="BT84" s="108">
        <v>0</v>
      </c>
      <c r="BU84" s="108">
        <v>0</v>
      </c>
      <c r="BV84" s="108">
        <v>0</v>
      </c>
      <c r="BW84" s="108">
        <v>0</v>
      </c>
      <c r="BX84" s="108">
        <v>5.5655082166554664</v>
      </c>
      <c r="BY84" s="108">
        <v>4347.77501885125</v>
      </c>
      <c r="BZ84" s="108">
        <v>7.1537998440143804</v>
      </c>
      <c r="CA84" s="108">
        <v>5588.5484381440338</v>
      </c>
      <c r="CB84" s="108">
        <v>3.4226509877697664</v>
      </c>
      <c r="CC84" s="108">
        <v>2673.7749516457411</v>
      </c>
      <c r="CD84" s="108">
        <v>6.4727659206346928</v>
      </c>
      <c r="CE84" s="108">
        <v>5056.5247371998212</v>
      </c>
      <c r="CF84" s="108">
        <v>7.7162700964630222</v>
      </c>
      <c r="CG84" s="108">
        <v>6027.950199356912</v>
      </c>
      <c r="CH84" s="108">
        <v>0</v>
      </c>
      <c r="CI84" s="108">
        <v>0</v>
      </c>
      <c r="CJ84" s="108">
        <v>6.5826201448321262</v>
      </c>
      <c r="CK84" s="108">
        <v>5142.3428571428567</v>
      </c>
      <c r="CL84" s="108">
        <v>11.256843447593832</v>
      </c>
      <c r="CM84" s="108">
        <v>8793.8461012603002</v>
      </c>
      <c r="CN84" s="108">
        <v>0</v>
      </c>
      <c r="CO84" s="108">
        <v>0</v>
      </c>
      <c r="CP84" s="108">
        <v>0.97912143420392428</v>
      </c>
      <c r="CQ84" s="108">
        <v>764.88966440010563</v>
      </c>
      <c r="CR84" s="108">
        <v>1.0296631351039245</v>
      </c>
      <c r="CS84" s="108">
        <v>804.37284114318572</v>
      </c>
      <c r="CT84" s="108">
        <v>0.7736768802228412</v>
      </c>
      <c r="CU84" s="108">
        <v>604.39637883008345</v>
      </c>
    </row>
    <row r="85" spans="2:99" x14ac:dyDescent="0.2">
      <c r="C85" s="107" t="s">
        <v>250</v>
      </c>
      <c r="D85" s="108">
        <v>0</v>
      </c>
      <c r="E85" s="108">
        <v>0</v>
      </c>
      <c r="F85" s="108">
        <v>0</v>
      </c>
      <c r="G85" s="108">
        <v>0</v>
      </c>
      <c r="H85" s="108">
        <v>0</v>
      </c>
      <c r="I85" s="108">
        <v>0</v>
      </c>
      <c r="J85" s="108">
        <v>11.021322690992017</v>
      </c>
      <c r="K85" s="108">
        <v>1653.1984036488025</v>
      </c>
      <c r="L85" s="108">
        <v>0</v>
      </c>
      <c r="M85" s="108">
        <v>0</v>
      </c>
      <c r="N85" s="108">
        <v>7.5861042725829479</v>
      </c>
      <c r="O85" s="108">
        <v>1137.9156408874421</v>
      </c>
      <c r="P85" s="108">
        <v>2.0930921052631581</v>
      </c>
      <c r="Q85" s="108">
        <v>313.9638157894737</v>
      </c>
      <c r="R85" s="108">
        <v>0</v>
      </c>
      <c r="S85" s="108">
        <v>0</v>
      </c>
      <c r="T85" s="108">
        <v>8.2537961881073958</v>
      </c>
      <c r="U85" s="108">
        <v>1238.0694282161094</v>
      </c>
      <c r="V85" s="108">
        <v>7.304381696857642</v>
      </c>
      <c r="W85" s="108">
        <v>1095.6572545286463</v>
      </c>
      <c r="X85" s="108">
        <v>12.280234070221066</v>
      </c>
      <c r="Y85" s="108">
        <v>1842.0351105331599</v>
      </c>
      <c r="Z85" s="108">
        <v>2.427201048474402</v>
      </c>
      <c r="AA85" s="108">
        <v>364.08015727116032</v>
      </c>
      <c r="AB85" s="108">
        <v>0</v>
      </c>
      <c r="AC85" s="108">
        <v>0</v>
      </c>
      <c r="AD85" s="108">
        <v>24.318834841628963</v>
      </c>
      <c r="AE85" s="108">
        <v>3647.8252262443443</v>
      </c>
      <c r="AF85" s="108">
        <v>9.902261468676592</v>
      </c>
      <c r="AG85" s="108">
        <v>1485.3392203014887</v>
      </c>
      <c r="AH85" s="108">
        <v>4.2408289537475133E-16</v>
      </c>
      <c r="AI85" s="108">
        <v>6.3612434306212703E-14</v>
      </c>
      <c r="AJ85" s="108">
        <v>0</v>
      </c>
      <c r="AK85" s="108">
        <v>0</v>
      </c>
      <c r="AL85" s="108">
        <v>9.2581631388139431</v>
      </c>
      <c r="AM85" s="108">
        <v>1388.7244708220915</v>
      </c>
      <c r="AN85" s="108">
        <v>18.275487529074898</v>
      </c>
      <c r="AO85" s="108">
        <v>2741.3231293612348</v>
      </c>
      <c r="AP85" s="108">
        <v>7.6133669499089507</v>
      </c>
      <c r="AQ85" s="108">
        <v>1142.0050424863425</v>
      </c>
      <c r="AR85" s="108">
        <v>15.232656189821899</v>
      </c>
      <c r="AS85" s="108">
        <v>2284.8984284732846</v>
      </c>
      <c r="AT85" s="108">
        <v>5.0241067939926296</v>
      </c>
      <c r="AU85" s="108">
        <v>753.61601909889441</v>
      </c>
      <c r="AV85" s="108">
        <v>4.2180165669581227</v>
      </c>
      <c r="AW85" s="108">
        <v>632.70248504371841</v>
      </c>
      <c r="AX85" s="108">
        <v>0</v>
      </c>
      <c r="AY85" s="108">
        <v>0</v>
      </c>
      <c r="AZ85" s="108">
        <v>2.6522546419098143</v>
      </c>
      <c r="BA85" s="108">
        <v>397.83819628647217</v>
      </c>
      <c r="BB85" s="108">
        <v>0</v>
      </c>
      <c r="BC85" s="108">
        <v>0</v>
      </c>
      <c r="BD85" s="108">
        <v>4.5040540540540546</v>
      </c>
      <c r="BE85" s="108">
        <v>675.60810810810824</v>
      </c>
      <c r="BF85" s="108">
        <v>3.4159590043923869</v>
      </c>
      <c r="BG85" s="108">
        <v>512.39385065885801</v>
      </c>
      <c r="BH85" s="108">
        <v>0</v>
      </c>
      <c r="BI85" s="108">
        <v>0</v>
      </c>
      <c r="BJ85" s="108">
        <v>8.2538915094339611</v>
      </c>
      <c r="BK85" s="108">
        <v>1238.0837264150941</v>
      </c>
      <c r="BL85" s="108">
        <v>11.398943517228275</v>
      </c>
      <c r="BM85" s="108">
        <v>1709.8415275842412</v>
      </c>
      <c r="BN85" s="108">
        <v>10.36967811366612</v>
      </c>
      <c r="BO85" s="108">
        <v>1555.451717049918</v>
      </c>
      <c r="BP85" s="108">
        <v>3.4666647968938271</v>
      </c>
      <c r="BQ85" s="108">
        <v>519.99971953407407</v>
      </c>
      <c r="BR85" s="108">
        <v>1.7081358103779631</v>
      </c>
      <c r="BS85" s="108">
        <v>256.22037155669449</v>
      </c>
      <c r="BT85" s="108">
        <v>0</v>
      </c>
      <c r="BU85" s="108">
        <v>0</v>
      </c>
      <c r="BV85" s="108">
        <v>0</v>
      </c>
      <c r="BW85" s="108">
        <v>0</v>
      </c>
      <c r="BX85" s="108">
        <v>6.622763379836087</v>
      </c>
      <c r="BY85" s="108">
        <v>993.41450697541302</v>
      </c>
      <c r="BZ85" s="108">
        <v>7.228428974581206</v>
      </c>
      <c r="CA85" s="108">
        <v>1084.264346187181</v>
      </c>
      <c r="CB85" s="108">
        <v>3.9735913031825123</v>
      </c>
      <c r="CC85" s="108">
        <v>596.03869547737679</v>
      </c>
      <c r="CD85" s="108">
        <v>6.4727659206346928</v>
      </c>
      <c r="CE85" s="108">
        <v>970.91488809520388</v>
      </c>
      <c r="CF85" s="108">
        <v>8.5736334405144703</v>
      </c>
      <c r="CG85" s="108">
        <v>1286.0450160771707</v>
      </c>
      <c r="CH85" s="108">
        <v>0</v>
      </c>
      <c r="CI85" s="108">
        <v>0</v>
      </c>
      <c r="CJ85" s="108">
        <v>8.2282751810401589</v>
      </c>
      <c r="CK85" s="108">
        <v>1234.2412771560239</v>
      </c>
      <c r="CL85" s="108">
        <v>13.713836238784447</v>
      </c>
      <c r="CM85" s="108">
        <v>2057.0754358176669</v>
      </c>
      <c r="CN85" s="108">
        <v>0</v>
      </c>
      <c r="CO85" s="108">
        <v>0</v>
      </c>
      <c r="CP85" s="108">
        <v>0.97912143420392428</v>
      </c>
      <c r="CQ85" s="108">
        <v>146.86821513058865</v>
      </c>
      <c r="CR85" s="108">
        <v>1.086866642609698</v>
      </c>
      <c r="CS85" s="108">
        <v>163.02999639145469</v>
      </c>
      <c r="CT85" s="108">
        <v>0.85104456824512531</v>
      </c>
      <c r="CU85" s="108">
        <v>127.65668523676879</v>
      </c>
    </row>
    <row r="86" spans="2:99" x14ac:dyDescent="0.2">
      <c r="C86" s="107" t="s">
        <v>251</v>
      </c>
      <c r="D86" s="108">
        <v>0</v>
      </c>
      <c r="E86" s="108">
        <v>0</v>
      </c>
      <c r="F86" s="108">
        <v>0</v>
      </c>
      <c r="G86" s="108">
        <v>0</v>
      </c>
      <c r="H86" s="108">
        <v>0</v>
      </c>
      <c r="I86" s="108">
        <v>0</v>
      </c>
      <c r="J86" s="108">
        <v>9.8811858608893957</v>
      </c>
      <c r="K86" s="108">
        <v>5335.8403648802732</v>
      </c>
      <c r="L86" s="108">
        <v>0</v>
      </c>
      <c r="M86" s="108">
        <v>0</v>
      </c>
      <c r="N86" s="108">
        <v>6.8491732866060442</v>
      </c>
      <c r="O86" s="108">
        <v>3698.5535747672639</v>
      </c>
      <c r="P86" s="108">
        <v>2.0930921052631581</v>
      </c>
      <c r="Q86" s="108">
        <v>1130.2697368421054</v>
      </c>
      <c r="R86" s="108">
        <v>0</v>
      </c>
      <c r="S86" s="108">
        <v>0</v>
      </c>
      <c r="T86" s="108">
        <v>8.1147376880194493</v>
      </c>
      <c r="U86" s="108">
        <v>4381.958351530503</v>
      </c>
      <c r="V86" s="108">
        <v>6.2718181581305039</v>
      </c>
      <c r="W86" s="108">
        <v>3386.7818053904721</v>
      </c>
      <c r="X86" s="108">
        <v>11.991287386215864</v>
      </c>
      <c r="Y86" s="108">
        <v>6475.2951885565672</v>
      </c>
      <c r="Z86" s="108">
        <v>2.5042550500132719</v>
      </c>
      <c r="AA86" s="108">
        <v>1352.2977270071667</v>
      </c>
      <c r="AB86" s="108">
        <v>0</v>
      </c>
      <c r="AC86" s="108">
        <v>0</v>
      </c>
      <c r="AD86" s="108">
        <v>22.622171945701361</v>
      </c>
      <c r="AE86" s="108">
        <v>12215.972850678734</v>
      </c>
      <c r="AF86" s="108">
        <v>9.1001369694444545</v>
      </c>
      <c r="AG86" s="108">
        <v>4914.0739635000054</v>
      </c>
      <c r="AH86" s="108">
        <v>3.9146113419207814E-16</v>
      </c>
      <c r="AI86" s="108">
        <v>2.113890124637222E-13</v>
      </c>
      <c r="AJ86" s="108">
        <v>0</v>
      </c>
      <c r="AK86" s="108">
        <v>0</v>
      </c>
      <c r="AL86" s="108">
        <v>8.295143741300933</v>
      </c>
      <c r="AM86" s="108">
        <v>4479.3776203025036</v>
      </c>
      <c r="AN86" s="108">
        <v>15.673578619857183</v>
      </c>
      <c r="AO86" s="108">
        <v>8463.7324547228782</v>
      </c>
      <c r="AP86" s="108">
        <v>7.108148339119281</v>
      </c>
      <c r="AQ86" s="108">
        <v>3838.4001031244115</v>
      </c>
      <c r="AR86" s="108">
        <v>12.589361054765451</v>
      </c>
      <c r="AS86" s="108">
        <v>6798.2549695733433</v>
      </c>
      <c r="AT86" s="108">
        <v>4.4113993279368753</v>
      </c>
      <c r="AU86" s="108">
        <v>2382.1556370859125</v>
      </c>
      <c r="AV86" s="108">
        <v>4.0646341463414632</v>
      </c>
      <c r="AW86" s="108">
        <v>2194.9024390243903</v>
      </c>
      <c r="AX86" s="108">
        <v>0</v>
      </c>
      <c r="AY86" s="108">
        <v>0</v>
      </c>
      <c r="AZ86" s="108">
        <v>2.6522546419098143</v>
      </c>
      <c r="BA86" s="108">
        <v>1432.2175066312998</v>
      </c>
      <c r="BB86" s="108">
        <v>0</v>
      </c>
      <c r="BC86" s="108">
        <v>0</v>
      </c>
      <c r="BD86" s="108">
        <v>4.182335907335907</v>
      </c>
      <c r="BE86" s="108">
        <v>2258.4613899613896</v>
      </c>
      <c r="BF86" s="108">
        <v>2.92796486090776</v>
      </c>
      <c r="BG86" s="108">
        <v>1581.1010248901905</v>
      </c>
      <c r="BH86" s="108">
        <v>0</v>
      </c>
      <c r="BI86" s="108">
        <v>0</v>
      </c>
      <c r="BJ86" s="108">
        <v>8.2538915094339611</v>
      </c>
      <c r="BK86" s="108">
        <v>4457.1014150943392</v>
      </c>
      <c r="BL86" s="108">
        <v>10.9767604239976</v>
      </c>
      <c r="BM86" s="108">
        <v>5927.4506289587043</v>
      </c>
      <c r="BN86" s="108">
        <v>9.2486318311076197</v>
      </c>
      <c r="BO86" s="108">
        <v>4994.2611887981147</v>
      </c>
      <c r="BP86" s="108">
        <v>3.4666647968938271</v>
      </c>
      <c r="BQ86" s="108">
        <v>1871.9989903226667</v>
      </c>
      <c r="BR86" s="108">
        <v>1.3878603459320951</v>
      </c>
      <c r="BS86" s="108">
        <v>749.44458680333139</v>
      </c>
      <c r="BT86" s="108">
        <v>0</v>
      </c>
      <c r="BU86" s="108">
        <v>0</v>
      </c>
      <c r="BV86" s="108">
        <v>0</v>
      </c>
      <c r="BW86" s="108">
        <v>0</v>
      </c>
      <c r="BX86" s="108">
        <v>5.5655082166554664</v>
      </c>
      <c r="BY86" s="108">
        <v>3005.3744369939518</v>
      </c>
      <c r="BZ86" s="108">
        <v>6.8080505127043534</v>
      </c>
      <c r="CA86" s="108">
        <v>3676.347276860351</v>
      </c>
      <c r="CB86" s="108">
        <v>3.7184366662983295</v>
      </c>
      <c r="CC86" s="108">
        <v>2007.955799801098</v>
      </c>
      <c r="CD86" s="108">
        <v>7.4005707241038028</v>
      </c>
      <c r="CE86" s="108">
        <v>3996.3081910160536</v>
      </c>
      <c r="CF86" s="108">
        <v>8.1449517684887471</v>
      </c>
      <c r="CG86" s="108">
        <v>4398.2739549839234</v>
      </c>
      <c r="CH86" s="108">
        <v>0</v>
      </c>
      <c r="CI86" s="108">
        <v>0</v>
      </c>
      <c r="CJ86" s="108">
        <v>6.7471856484529296</v>
      </c>
      <c r="CK86" s="108">
        <v>3643.4802501645818</v>
      </c>
      <c r="CL86" s="108">
        <v>11.268293498293035</v>
      </c>
      <c r="CM86" s="108">
        <v>6084.878489078239</v>
      </c>
      <c r="CN86" s="108">
        <v>0</v>
      </c>
      <c r="CO86" s="108">
        <v>0</v>
      </c>
      <c r="CP86" s="108">
        <v>0.91384667192366253</v>
      </c>
      <c r="CQ86" s="108">
        <v>493.47720283877777</v>
      </c>
      <c r="CR86" s="108">
        <v>0.91525612009237722</v>
      </c>
      <c r="CS86" s="108">
        <v>494.23830484988372</v>
      </c>
      <c r="CT86" s="108">
        <v>0.7736768802228412</v>
      </c>
      <c r="CU86" s="108">
        <v>417.78551532033424</v>
      </c>
    </row>
    <row r="87" spans="2:99" x14ac:dyDescent="0.2">
      <c r="B87" s="107" t="s">
        <v>131</v>
      </c>
      <c r="C87" s="107" t="s">
        <v>252</v>
      </c>
      <c r="D87" s="108">
        <v>0</v>
      </c>
      <c r="E87" s="108">
        <v>0</v>
      </c>
      <c r="F87" s="108">
        <v>0</v>
      </c>
      <c r="G87" s="108">
        <v>0</v>
      </c>
      <c r="H87" s="108">
        <v>0</v>
      </c>
      <c r="I87" s="108">
        <v>0</v>
      </c>
      <c r="J87" s="108">
        <v>3.420410490307868</v>
      </c>
      <c r="K87" s="108">
        <v>6686.21842645382</v>
      </c>
      <c r="L87" s="108">
        <v>0</v>
      </c>
      <c r="M87" s="108">
        <v>0</v>
      </c>
      <c r="N87" s="108">
        <v>13.492770492283844</v>
      </c>
      <c r="O87" s="108">
        <v>26375.667758316456</v>
      </c>
      <c r="P87" s="108">
        <v>8.0733552631578949</v>
      </c>
      <c r="Q87" s="108">
        <v>15781.794868421053</v>
      </c>
      <c r="R87" s="108">
        <v>0</v>
      </c>
      <c r="S87" s="108">
        <v>0</v>
      </c>
      <c r="T87" s="108">
        <v>7.7891308914011184</v>
      </c>
      <c r="U87" s="108">
        <v>15226.193066510907</v>
      </c>
      <c r="V87" s="108">
        <v>4.8502060422875894</v>
      </c>
      <c r="W87" s="108">
        <v>9481.1827714637802</v>
      </c>
      <c r="X87" s="108">
        <v>8.8128738621586482</v>
      </c>
      <c r="Y87" s="108">
        <v>17227.405825747726</v>
      </c>
      <c r="Z87" s="108">
        <v>2.8509980569381863</v>
      </c>
      <c r="AA87" s="108">
        <v>5573.1310017027663</v>
      </c>
      <c r="AB87" s="108">
        <v>0</v>
      </c>
      <c r="AC87" s="108">
        <v>0</v>
      </c>
      <c r="AD87" s="108">
        <v>14.704411764705883</v>
      </c>
      <c r="AE87" s="108">
        <v>28744.184117647059</v>
      </c>
      <c r="AF87" s="108">
        <v>8.0890106395061832</v>
      </c>
      <c r="AG87" s="108">
        <v>15812.397998106686</v>
      </c>
      <c r="AH87" s="108">
        <v>3.4252849241806841E-16</v>
      </c>
      <c r="AI87" s="108">
        <v>6.6957469697884007E-13</v>
      </c>
      <c r="AJ87" s="108">
        <v>0</v>
      </c>
      <c r="AK87" s="108">
        <v>0</v>
      </c>
      <c r="AL87" s="108">
        <v>6.428614003601699</v>
      </c>
      <c r="AM87" s="108">
        <v>12566.654654240601</v>
      </c>
      <c r="AN87" s="108">
        <v>12.213481883888974</v>
      </c>
      <c r="AO87" s="108">
        <v>23874.914386626166</v>
      </c>
      <c r="AP87" s="108">
        <v>7.8308884672398777</v>
      </c>
      <c r="AQ87" s="108">
        <v>15307.820775760512</v>
      </c>
      <c r="AR87" s="108">
        <v>2.6197912621257204</v>
      </c>
      <c r="AS87" s="108">
        <v>5121.1679592033579</v>
      </c>
      <c r="AT87" s="108">
        <v>1.9382426651986548</v>
      </c>
      <c r="AU87" s="108">
        <v>3788.8767619303303</v>
      </c>
      <c r="AV87" s="108">
        <v>0.9969857340082835</v>
      </c>
      <c r="AW87" s="108">
        <v>1948.9077128393926</v>
      </c>
      <c r="AX87" s="108">
        <v>0</v>
      </c>
      <c r="AY87" s="108">
        <v>0</v>
      </c>
      <c r="AZ87" s="108">
        <v>7.6620689655172418</v>
      </c>
      <c r="BA87" s="108">
        <v>14977.812413793104</v>
      </c>
      <c r="BB87" s="108">
        <v>0</v>
      </c>
      <c r="BC87" s="108">
        <v>0</v>
      </c>
      <c r="BD87" s="108">
        <v>4.5040540540540546</v>
      </c>
      <c r="BE87" s="108">
        <v>8804.5248648648649</v>
      </c>
      <c r="BF87" s="108">
        <v>4.8799414348462671</v>
      </c>
      <c r="BG87" s="108">
        <v>9539.3095168374821</v>
      </c>
      <c r="BH87" s="108">
        <v>0</v>
      </c>
      <c r="BI87" s="108">
        <v>0</v>
      </c>
      <c r="BJ87" s="108">
        <v>7.9591096698113208</v>
      </c>
      <c r="BK87" s="108">
        <v>15558.46758254717</v>
      </c>
      <c r="BL87" s="108">
        <v>12.243309703689629</v>
      </c>
      <c r="BM87" s="108">
        <v>23933.221808772487</v>
      </c>
      <c r="BN87" s="108">
        <v>11.423139539496599</v>
      </c>
      <c r="BO87" s="108">
        <v>22329.953171807952</v>
      </c>
      <c r="BP87" s="108">
        <v>18.41665673349846</v>
      </c>
      <c r="BQ87" s="108">
        <v>36000.880582642785</v>
      </c>
      <c r="BR87" s="108">
        <v>9.8217809096732882</v>
      </c>
      <c r="BS87" s="108">
        <v>19199.617322229344</v>
      </c>
      <c r="BT87" s="108">
        <v>0</v>
      </c>
      <c r="BU87" s="108">
        <v>0</v>
      </c>
      <c r="BV87" s="108">
        <v>0</v>
      </c>
      <c r="BW87" s="108">
        <v>0</v>
      </c>
      <c r="BX87" s="108">
        <v>17.880260307153094</v>
      </c>
      <c r="BY87" s="108">
        <v>34952.33284842287</v>
      </c>
      <c r="BZ87" s="108">
        <v>16.673052364150752</v>
      </c>
      <c r="CA87" s="108">
        <v>32592.48276144189</v>
      </c>
      <c r="CB87" s="108">
        <v>15.068734141873732</v>
      </c>
      <c r="CC87" s="108">
        <v>29456.361500534771</v>
      </c>
      <c r="CD87" s="108">
        <v>22.699944987767822</v>
      </c>
      <c r="CE87" s="108">
        <v>44373.852462088536</v>
      </c>
      <c r="CF87" s="108">
        <v>4.0724758842443736</v>
      </c>
      <c r="CG87" s="108">
        <v>7960.8758585209016</v>
      </c>
      <c r="CH87" s="108">
        <v>0</v>
      </c>
      <c r="CI87" s="108">
        <v>0</v>
      </c>
      <c r="CJ87" s="108">
        <v>3.6204410796576694</v>
      </c>
      <c r="CK87" s="108">
        <v>7077.2382225148122</v>
      </c>
      <c r="CL87" s="108">
        <v>10.498118102736347</v>
      </c>
      <c r="CM87" s="108">
        <v>20521.721267229012</v>
      </c>
      <c r="CN87" s="108">
        <v>0</v>
      </c>
      <c r="CO87" s="108">
        <v>0</v>
      </c>
      <c r="CP87" s="108">
        <v>1.1749457210447092</v>
      </c>
      <c r="CQ87" s="108">
        <v>2296.7838954981976</v>
      </c>
      <c r="CR87" s="108">
        <v>0.97245962759815074</v>
      </c>
      <c r="CS87" s="108">
        <v>1900.9640800288651</v>
      </c>
      <c r="CT87" s="108">
        <v>0.92841225626740953</v>
      </c>
      <c r="CU87" s="108">
        <v>1814.860278551532</v>
      </c>
    </row>
    <row r="88" spans="2:99" x14ac:dyDescent="0.2">
      <c r="C88" s="107" t="s">
        <v>253</v>
      </c>
      <c r="D88" s="108">
        <v>0</v>
      </c>
      <c r="E88" s="108">
        <v>0</v>
      </c>
      <c r="F88" s="108">
        <v>0</v>
      </c>
      <c r="G88" s="108">
        <v>0</v>
      </c>
      <c r="H88" s="108">
        <v>0</v>
      </c>
      <c r="I88" s="108">
        <v>0</v>
      </c>
      <c r="J88" s="108">
        <v>3.8004561003420756</v>
      </c>
      <c r="K88" s="108">
        <v>7191.9831242873433</v>
      </c>
      <c r="L88" s="108">
        <v>0</v>
      </c>
      <c r="M88" s="108">
        <v>0</v>
      </c>
      <c r="N88" s="108">
        <v>12.047116510967721</v>
      </c>
      <c r="O88" s="108">
        <v>22797.963285355312</v>
      </c>
      <c r="P88" s="108">
        <v>7.7743421052631572</v>
      </c>
      <c r="Q88" s="108">
        <v>14712.164999999997</v>
      </c>
      <c r="R88" s="108">
        <v>0</v>
      </c>
      <c r="S88" s="108">
        <v>0</v>
      </c>
      <c r="T88" s="108">
        <v>8.8844774230043999</v>
      </c>
      <c r="U88" s="108">
        <v>16812.985075293524</v>
      </c>
      <c r="V88" s="108">
        <v>4.5157090738539631</v>
      </c>
      <c r="W88" s="108">
        <v>8545.5278513612393</v>
      </c>
      <c r="X88" s="108">
        <v>8.9573472041612483</v>
      </c>
      <c r="Y88" s="108">
        <v>16950.883849154747</v>
      </c>
      <c r="Z88" s="108">
        <v>3.2747950654019711</v>
      </c>
      <c r="AA88" s="108">
        <v>6197.2221817666896</v>
      </c>
      <c r="AB88" s="108">
        <v>0</v>
      </c>
      <c r="AC88" s="108">
        <v>0</v>
      </c>
      <c r="AD88" s="108">
        <v>14.138857466063349</v>
      </c>
      <c r="AE88" s="108">
        <v>26756.373868778279</v>
      </c>
      <c r="AF88" s="108">
        <v>7.7519685295267573</v>
      </c>
      <c r="AG88" s="108">
        <v>14669.825245276434</v>
      </c>
      <c r="AH88" s="108">
        <v>3.7515025360074155E-16</v>
      </c>
      <c r="AI88" s="108">
        <v>7.0993433991404328E-13</v>
      </c>
      <c r="AJ88" s="108">
        <v>0</v>
      </c>
      <c r="AK88" s="108">
        <v>0</v>
      </c>
      <c r="AL88" s="108">
        <v>6.6502903485534812</v>
      </c>
      <c r="AM88" s="108">
        <v>12585.009455602607</v>
      </c>
      <c r="AN88" s="108">
        <v>12.213481883888974</v>
      </c>
      <c r="AO88" s="108">
        <v>23112.793117071495</v>
      </c>
      <c r="AP88" s="108">
        <v>7.8308884672398777</v>
      </c>
      <c r="AQ88" s="108">
        <v>14819.173335404743</v>
      </c>
      <c r="AR88" s="108">
        <v>2.3884975071248737</v>
      </c>
      <c r="AS88" s="108">
        <v>4519.9926824831109</v>
      </c>
      <c r="AT88" s="108">
        <v>1.9418326920277793</v>
      </c>
      <c r="AU88" s="108">
        <v>3674.7241863933691</v>
      </c>
      <c r="AV88" s="108">
        <v>1.073676944316613</v>
      </c>
      <c r="AW88" s="108">
        <v>2031.8262494247583</v>
      </c>
      <c r="AX88" s="108">
        <v>0</v>
      </c>
      <c r="AY88" s="108">
        <v>0</v>
      </c>
      <c r="AZ88" s="108">
        <v>7.0726790450928378</v>
      </c>
      <c r="BA88" s="108">
        <v>13384.337824933686</v>
      </c>
      <c r="BB88" s="108">
        <v>0</v>
      </c>
      <c r="BC88" s="108">
        <v>0</v>
      </c>
      <c r="BD88" s="108">
        <v>4.5040540540540546</v>
      </c>
      <c r="BE88" s="108">
        <v>8523.4718918918916</v>
      </c>
      <c r="BF88" s="108">
        <v>4.3919472913616397</v>
      </c>
      <c r="BG88" s="108">
        <v>8311.3210541727658</v>
      </c>
      <c r="BH88" s="108">
        <v>0</v>
      </c>
      <c r="BI88" s="108">
        <v>0</v>
      </c>
      <c r="BJ88" s="108">
        <v>8.5486733490566031</v>
      </c>
      <c r="BK88" s="108">
        <v>16177.509445754715</v>
      </c>
      <c r="BL88" s="108">
        <v>13.50985898338166</v>
      </c>
      <c r="BM88" s="108">
        <v>25566.05714015145</v>
      </c>
      <c r="BN88" s="108">
        <v>11.703401110136225</v>
      </c>
      <c r="BO88" s="108">
        <v>22147.516260821791</v>
      </c>
      <c r="BP88" s="108">
        <v>16.683324335051545</v>
      </c>
      <c r="BQ88" s="108">
        <v>31571.522971651542</v>
      </c>
      <c r="BR88" s="108">
        <v>8.4339205637411929</v>
      </c>
      <c r="BS88" s="108">
        <v>15960.351274823832</v>
      </c>
      <c r="BT88" s="108">
        <v>0</v>
      </c>
      <c r="BU88" s="108">
        <v>0</v>
      </c>
      <c r="BV88" s="108">
        <v>0</v>
      </c>
      <c r="BW88" s="108">
        <v>0</v>
      </c>
      <c r="BX88" s="108">
        <v>18.253362576417178</v>
      </c>
      <c r="BY88" s="108">
        <v>34542.663339611863</v>
      </c>
      <c r="BZ88" s="108">
        <v>17.003875869347414</v>
      </c>
      <c r="CA88" s="108">
        <v>32178.134695153043</v>
      </c>
      <c r="CB88" s="108">
        <v>15.809819427539654</v>
      </c>
      <c r="CC88" s="108">
        <v>29918.50228467604</v>
      </c>
      <c r="CD88" s="108">
        <v>20.919575329439898</v>
      </c>
      <c r="CE88" s="108">
        <v>39588.204353432062</v>
      </c>
      <c r="CF88" s="108">
        <v>4.5011575562700967</v>
      </c>
      <c r="CG88" s="108">
        <v>8517.99055948553</v>
      </c>
      <c r="CH88" s="108">
        <v>0</v>
      </c>
      <c r="CI88" s="108">
        <v>0</v>
      </c>
      <c r="CJ88" s="108">
        <v>3.6204410796576694</v>
      </c>
      <c r="CK88" s="108">
        <v>6851.3226991441734</v>
      </c>
      <c r="CL88" s="108">
        <v>10.901891875918514</v>
      </c>
      <c r="CM88" s="108">
        <v>20630.740185988194</v>
      </c>
      <c r="CN88" s="108">
        <v>0</v>
      </c>
      <c r="CO88" s="108">
        <v>0</v>
      </c>
      <c r="CP88" s="108">
        <v>1.1096709587644475</v>
      </c>
      <c r="CQ88" s="108">
        <v>2099.9413223658403</v>
      </c>
      <c r="CR88" s="108">
        <v>0.91525612009237722</v>
      </c>
      <c r="CS88" s="108">
        <v>1732.0306816628145</v>
      </c>
      <c r="CT88" s="108">
        <v>1.0831476323119777</v>
      </c>
      <c r="CU88" s="108">
        <v>2049.7485793871865</v>
      </c>
    </row>
    <row r="89" spans="2:99" x14ac:dyDescent="0.2">
      <c r="C89" s="107" t="s">
        <v>254</v>
      </c>
      <c r="D89" s="108">
        <v>0</v>
      </c>
      <c r="E89" s="108">
        <v>0</v>
      </c>
      <c r="F89" s="108">
        <v>0</v>
      </c>
      <c r="G89" s="108">
        <v>0</v>
      </c>
      <c r="H89" s="108">
        <v>0</v>
      </c>
      <c r="I89" s="108">
        <v>0</v>
      </c>
      <c r="J89" s="108">
        <v>3.420410490307868</v>
      </c>
      <c r="K89" s="108">
        <v>8200.776191562145</v>
      </c>
      <c r="L89" s="108">
        <v>0</v>
      </c>
      <c r="M89" s="108">
        <v>0</v>
      </c>
      <c r="N89" s="108">
        <v>11.083347190090302</v>
      </c>
      <c r="O89" s="108">
        <v>26573.43322296051</v>
      </c>
      <c r="P89" s="108">
        <v>7.7743421052631572</v>
      </c>
      <c r="Q89" s="108">
        <v>18639.762631578946</v>
      </c>
      <c r="R89" s="108">
        <v>0</v>
      </c>
      <c r="S89" s="108">
        <v>0</v>
      </c>
      <c r="T89" s="108">
        <v>7.9108360615792606</v>
      </c>
      <c r="U89" s="108">
        <v>18967.020541242433</v>
      </c>
      <c r="V89" s="108">
        <v>4.5993333159623697</v>
      </c>
      <c r="W89" s="108">
        <v>11027.361558351377</v>
      </c>
      <c r="X89" s="108">
        <v>7.6570871261378413</v>
      </c>
      <c r="Y89" s="108">
        <v>18358.632093628086</v>
      </c>
      <c r="Z89" s="108">
        <v>2.6583630530910116</v>
      </c>
      <c r="AA89" s="108">
        <v>6373.6912560910096</v>
      </c>
      <c r="AB89" s="108">
        <v>0</v>
      </c>
      <c r="AC89" s="108">
        <v>0</v>
      </c>
      <c r="AD89" s="108">
        <v>11.876640271493214</v>
      </c>
      <c r="AE89" s="108">
        <v>28475.432714932129</v>
      </c>
      <c r="AF89" s="108">
        <v>7.4149264195473332</v>
      </c>
      <c r="AG89" s="108">
        <v>17778.027583506686</v>
      </c>
      <c r="AH89" s="108">
        <v>3.2621761182673181E-16</v>
      </c>
      <c r="AI89" s="108">
        <v>7.8213934611577216E-13</v>
      </c>
      <c r="AJ89" s="108">
        <v>0</v>
      </c>
      <c r="AK89" s="108">
        <v>0</v>
      </c>
      <c r="AL89" s="108">
        <v>6.428614003601699</v>
      </c>
      <c r="AM89" s="108">
        <v>15413.244935035433</v>
      </c>
      <c r="AN89" s="108">
        <v>11.570667047894817</v>
      </c>
      <c r="AO89" s="108">
        <v>27741.831314032614</v>
      </c>
      <c r="AP89" s="108">
        <v>6.567841940265704</v>
      </c>
      <c r="AQ89" s="108">
        <v>15747.057835981052</v>
      </c>
      <c r="AR89" s="108">
        <v>2.1509070890309929</v>
      </c>
      <c r="AS89" s="108">
        <v>5157.0148366607082</v>
      </c>
      <c r="AT89" s="108">
        <v>2.0391639005982389</v>
      </c>
      <c r="AU89" s="108">
        <v>4889.0993680743377</v>
      </c>
      <c r="AV89" s="108">
        <v>0.9969857340082835</v>
      </c>
      <c r="AW89" s="108">
        <v>2390.3729958582603</v>
      </c>
      <c r="AX89" s="108">
        <v>0</v>
      </c>
      <c r="AY89" s="108">
        <v>0</v>
      </c>
      <c r="AZ89" s="108">
        <v>7.3673740053050407</v>
      </c>
      <c r="BA89" s="108">
        <v>17664.015915119366</v>
      </c>
      <c r="BB89" s="108">
        <v>0</v>
      </c>
      <c r="BC89" s="108">
        <v>0</v>
      </c>
      <c r="BD89" s="108">
        <v>4.8257722007722013</v>
      </c>
      <c r="BE89" s="108">
        <v>11570.27142857143</v>
      </c>
      <c r="BF89" s="108">
        <v>4.6359443631039534</v>
      </c>
      <c r="BG89" s="108">
        <v>11115.140204978039</v>
      </c>
      <c r="BH89" s="108">
        <v>0</v>
      </c>
      <c r="BI89" s="108">
        <v>0</v>
      </c>
      <c r="BJ89" s="108">
        <v>8.2538915094339611</v>
      </c>
      <c r="BK89" s="108">
        <v>19789.530283018863</v>
      </c>
      <c r="BL89" s="108">
        <v>13.087675890150981</v>
      </c>
      <c r="BM89" s="108">
        <v>31379.011714225991</v>
      </c>
      <c r="BN89" s="108">
        <v>9.3996912594503215</v>
      </c>
      <c r="BO89" s="108">
        <v>22536.699763658089</v>
      </c>
      <c r="BP89" s="108">
        <v>17.333323984469136</v>
      </c>
      <c r="BQ89" s="108">
        <v>41558.377585163194</v>
      </c>
      <c r="BR89" s="108">
        <v>8.0068866111467027</v>
      </c>
      <c r="BS89" s="108">
        <v>19197.311338885334</v>
      </c>
      <c r="BT89" s="108">
        <v>0</v>
      </c>
      <c r="BU89" s="108">
        <v>0</v>
      </c>
      <c r="BV89" s="108">
        <v>0</v>
      </c>
      <c r="BW89" s="108">
        <v>0</v>
      </c>
      <c r="BX89" s="108">
        <v>17.569209682500645</v>
      </c>
      <c r="BY89" s="108">
        <v>42123.937134763546</v>
      </c>
      <c r="BZ89" s="108">
        <v>13.334965659957403</v>
      </c>
      <c r="CA89" s="108">
        <v>31971.913666313867</v>
      </c>
      <c r="CB89" s="108">
        <v>14.530804064429708</v>
      </c>
      <c r="CC89" s="108">
        <v>34839.055824876668</v>
      </c>
      <c r="CD89" s="108">
        <v>21.317642776140449</v>
      </c>
      <c r="CE89" s="108">
        <v>51111.180320074338</v>
      </c>
      <c r="CF89" s="108">
        <v>3.8581350482315111</v>
      </c>
      <c r="CG89" s="108">
        <v>9250.2645916398706</v>
      </c>
      <c r="CH89" s="108">
        <v>0</v>
      </c>
      <c r="CI89" s="108">
        <v>0</v>
      </c>
      <c r="CJ89" s="108">
        <v>3.1267445687952597</v>
      </c>
      <c r="CK89" s="108">
        <v>7496.682778143514</v>
      </c>
      <c r="CL89" s="108">
        <v>10.094344329554181</v>
      </c>
      <c r="CM89" s="108">
        <v>24202.199964539104</v>
      </c>
      <c r="CN89" s="108">
        <v>0</v>
      </c>
      <c r="CO89" s="108">
        <v>0</v>
      </c>
      <c r="CP89" s="108">
        <v>0.97912143420392428</v>
      </c>
      <c r="CQ89" s="108">
        <v>2347.5415506473287</v>
      </c>
      <c r="CR89" s="108">
        <v>1.0296631351039245</v>
      </c>
      <c r="CS89" s="108">
        <v>2468.7203327251691</v>
      </c>
      <c r="CT89" s="108">
        <v>1.0831476323119777</v>
      </c>
      <c r="CU89" s="108">
        <v>2596.9547632311978</v>
      </c>
    </row>
    <row r="90" spans="2:99" x14ac:dyDescent="0.2">
      <c r="C90" s="107" t="s">
        <v>255</v>
      </c>
      <c r="D90" s="108">
        <v>0</v>
      </c>
      <c r="E90" s="108">
        <v>0</v>
      </c>
      <c r="F90" s="108">
        <v>0</v>
      </c>
      <c r="G90" s="108">
        <v>0</v>
      </c>
      <c r="H90" s="108">
        <v>0</v>
      </c>
      <c r="I90" s="108">
        <v>0</v>
      </c>
      <c r="J90" s="108">
        <v>4.1805017103762827</v>
      </c>
      <c r="K90" s="108">
        <v>9185.3983580387685</v>
      </c>
      <c r="L90" s="108">
        <v>0</v>
      </c>
      <c r="M90" s="108">
        <v>0</v>
      </c>
      <c r="N90" s="108">
        <v>12.047116510967721</v>
      </c>
      <c r="O90" s="108">
        <v>26469.924397898274</v>
      </c>
      <c r="P90" s="108">
        <v>8.0733552631578949</v>
      </c>
      <c r="Q90" s="108">
        <v>17738.776184210525</v>
      </c>
      <c r="R90" s="108">
        <v>0</v>
      </c>
      <c r="S90" s="108">
        <v>0</v>
      </c>
      <c r="T90" s="108">
        <v>7.7891308914011184</v>
      </c>
      <c r="U90" s="108">
        <v>17114.278394586538</v>
      </c>
      <c r="V90" s="108">
        <v>4.5993333159623697</v>
      </c>
      <c r="W90" s="108">
        <v>10105.655161832517</v>
      </c>
      <c r="X90" s="108">
        <v>8.0905071521456442</v>
      </c>
      <c r="Y90" s="108">
        <v>17776.462314694407</v>
      </c>
      <c r="Z90" s="108">
        <v>2.6968900538604466</v>
      </c>
      <c r="AA90" s="108">
        <v>5925.606826342173</v>
      </c>
      <c r="AB90" s="108">
        <v>0</v>
      </c>
      <c r="AC90" s="108">
        <v>0</v>
      </c>
      <c r="AD90" s="108">
        <v>12.442194570135747</v>
      </c>
      <c r="AE90" s="108">
        <v>27337.989909502263</v>
      </c>
      <c r="AF90" s="108">
        <v>8.4260527494856063</v>
      </c>
      <c r="AG90" s="108">
        <v>18513.723101169773</v>
      </c>
      <c r="AH90" s="108">
        <v>3.2621761182673181E-16</v>
      </c>
      <c r="AI90" s="108">
        <v>7.1676533670569509E-13</v>
      </c>
      <c r="AJ90" s="108">
        <v>0</v>
      </c>
      <c r="AK90" s="108">
        <v>0</v>
      </c>
      <c r="AL90" s="108">
        <v>6.8719666935052643</v>
      </c>
      <c r="AM90" s="108">
        <v>15099.085218969765</v>
      </c>
      <c r="AN90" s="108">
        <v>11.570667047894817</v>
      </c>
      <c r="AO90" s="108">
        <v>25423.069637634489</v>
      </c>
      <c r="AP90" s="108">
        <v>6.567841940265704</v>
      </c>
      <c r="AQ90" s="108">
        <v>14430.862311151805</v>
      </c>
      <c r="AR90" s="108">
        <v>2.3884975071248737</v>
      </c>
      <c r="AS90" s="108">
        <v>5248.0067226547726</v>
      </c>
      <c r="AT90" s="108">
        <v>2.0535240079147372</v>
      </c>
      <c r="AU90" s="108">
        <v>4512.00295019026</v>
      </c>
      <c r="AV90" s="108">
        <v>1.1503681546249425</v>
      </c>
      <c r="AW90" s="108">
        <v>2527.5889093419232</v>
      </c>
      <c r="AX90" s="108">
        <v>0</v>
      </c>
      <c r="AY90" s="108">
        <v>0</v>
      </c>
      <c r="AZ90" s="108">
        <v>7.0726790450928378</v>
      </c>
      <c r="BA90" s="108">
        <v>15540.090397877982</v>
      </c>
      <c r="BB90" s="108">
        <v>0</v>
      </c>
      <c r="BC90" s="108">
        <v>0</v>
      </c>
      <c r="BD90" s="108">
        <v>4.8257722007722013</v>
      </c>
      <c r="BE90" s="108">
        <v>10603.18667953668</v>
      </c>
      <c r="BF90" s="108">
        <v>4.147950219619327</v>
      </c>
      <c r="BG90" s="108">
        <v>9113.8762225475839</v>
      </c>
      <c r="BH90" s="108">
        <v>0</v>
      </c>
      <c r="BI90" s="108">
        <v>0</v>
      </c>
      <c r="BJ90" s="108">
        <v>7.9591096698113208</v>
      </c>
      <c r="BK90" s="108">
        <v>17487.755766509432</v>
      </c>
      <c r="BL90" s="108">
        <v>11.821126610458952</v>
      </c>
      <c r="BM90" s="108">
        <v>25973.379388500409</v>
      </c>
      <c r="BN90" s="108">
        <v>9.984861314957131</v>
      </c>
      <c r="BO90" s="108">
        <v>21938.737281223806</v>
      </c>
      <c r="BP90" s="108">
        <v>15.166658486410496</v>
      </c>
      <c r="BQ90" s="108">
        <v>33324.182026341135</v>
      </c>
      <c r="BR90" s="108">
        <v>7.9001281229980798</v>
      </c>
      <c r="BS90" s="108">
        <v>17358.16151185138</v>
      </c>
      <c r="BT90" s="108">
        <v>0</v>
      </c>
      <c r="BU90" s="108">
        <v>0</v>
      </c>
      <c r="BV90" s="108">
        <v>0</v>
      </c>
      <c r="BW90" s="108">
        <v>0</v>
      </c>
      <c r="BX90" s="108">
        <v>15.858827447709306</v>
      </c>
      <c r="BY90" s="108">
        <v>34845.015668106884</v>
      </c>
      <c r="BZ90" s="108">
        <v>15.004009012054079</v>
      </c>
      <c r="CA90" s="108">
        <v>32966.808601285222</v>
      </c>
      <c r="CB90" s="108">
        <v>12.598449856320661</v>
      </c>
      <c r="CC90" s="108">
        <v>27681.314024307754</v>
      </c>
      <c r="CD90" s="108">
        <v>22.189017618151837</v>
      </c>
      <c r="CE90" s="108">
        <v>48753.709510603214</v>
      </c>
      <c r="CF90" s="108">
        <v>4.0724758842443736</v>
      </c>
      <c r="CG90" s="108">
        <v>8948.0440128617374</v>
      </c>
      <c r="CH90" s="108">
        <v>0</v>
      </c>
      <c r="CI90" s="108">
        <v>0</v>
      </c>
      <c r="CJ90" s="108">
        <v>3.7850065832784727</v>
      </c>
      <c r="CK90" s="108">
        <v>8316.4164647794587</v>
      </c>
      <c r="CL90" s="108">
        <v>10.498118102736347</v>
      </c>
      <c r="CM90" s="108">
        <v>23066.4650953323</v>
      </c>
      <c r="CN90" s="108">
        <v>0</v>
      </c>
      <c r="CO90" s="108">
        <v>0</v>
      </c>
      <c r="CP90" s="108">
        <v>0.97912143420392428</v>
      </c>
      <c r="CQ90" s="108">
        <v>2151.3256152328622</v>
      </c>
      <c r="CR90" s="108">
        <v>0.91525612009237722</v>
      </c>
      <c r="CS90" s="108">
        <v>2011.0007470669711</v>
      </c>
      <c r="CT90" s="108">
        <v>1.0057799442896938</v>
      </c>
      <c r="CU90" s="108">
        <v>2209.8996935933151</v>
      </c>
    </row>
    <row r="91" spans="2:99" x14ac:dyDescent="0.2">
      <c r="C91" s="107" t="s">
        <v>256</v>
      </c>
      <c r="D91" s="108">
        <v>0</v>
      </c>
      <c r="E91" s="108">
        <v>0</v>
      </c>
      <c r="F91" s="108">
        <v>0</v>
      </c>
      <c r="G91" s="108">
        <v>0</v>
      </c>
      <c r="H91" s="108">
        <v>0</v>
      </c>
      <c r="I91" s="108">
        <v>0</v>
      </c>
      <c r="J91" s="108">
        <v>3.420410490307868</v>
      </c>
      <c r="K91" s="108">
        <v>7855.9988141391104</v>
      </c>
      <c r="L91" s="108">
        <v>0</v>
      </c>
      <c r="M91" s="108">
        <v>0</v>
      </c>
      <c r="N91" s="108">
        <v>11.56523185052901</v>
      </c>
      <c r="O91" s="108">
        <v>26563.024514295026</v>
      </c>
      <c r="P91" s="108">
        <v>6.8773026315789476</v>
      </c>
      <c r="Q91" s="108">
        <v>15795.788684210525</v>
      </c>
      <c r="R91" s="108">
        <v>0</v>
      </c>
      <c r="S91" s="108">
        <v>0</v>
      </c>
      <c r="T91" s="108">
        <v>8.5193619124699715</v>
      </c>
      <c r="U91" s="108">
        <v>19567.270440561027</v>
      </c>
      <c r="V91" s="108">
        <v>4.5993333159623697</v>
      </c>
      <c r="W91" s="108">
        <v>10563.748760102369</v>
      </c>
      <c r="X91" s="108">
        <v>7.6570871261378413</v>
      </c>
      <c r="Y91" s="108">
        <v>17586.797711313393</v>
      </c>
      <c r="Z91" s="108">
        <v>2.7739440553993164</v>
      </c>
      <c r="AA91" s="108">
        <v>6371.1947064411488</v>
      </c>
      <c r="AB91" s="108">
        <v>0</v>
      </c>
      <c r="AC91" s="108">
        <v>0</v>
      </c>
      <c r="AD91" s="108">
        <v>13.007748868778283</v>
      </c>
      <c r="AE91" s="108">
        <v>29876.197601809956</v>
      </c>
      <c r="AF91" s="108">
        <v>8.0890106395061832</v>
      </c>
      <c r="AG91" s="108">
        <v>18578.8396368178</v>
      </c>
      <c r="AH91" s="108">
        <v>3.7515025360074155E-16</v>
      </c>
      <c r="AI91" s="108">
        <v>8.6164510247018312E-13</v>
      </c>
      <c r="AJ91" s="108">
        <v>0</v>
      </c>
      <c r="AK91" s="108">
        <v>0</v>
      </c>
      <c r="AL91" s="108">
        <v>6.428614003601699</v>
      </c>
      <c r="AM91" s="108">
        <v>14765.24064347238</v>
      </c>
      <c r="AN91" s="108">
        <v>12.856296719883131</v>
      </c>
      <c r="AO91" s="108">
        <v>29528.342306227572</v>
      </c>
      <c r="AP91" s="108">
        <v>7.5782791618450434</v>
      </c>
      <c r="AQ91" s="108">
        <v>17405.791578925695</v>
      </c>
      <c r="AR91" s="108">
        <v>2.3947941702179074</v>
      </c>
      <c r="AS91" s="108">
        <v>5500.3632501564889</v>
      </c>
      <c r="AT91" s="108">
        <v>1.9418326920277793</v>
      </c>
      <c r="AU91" s="108">
        <v>4460.0013270494028</v>
      </c>
      <c r="AV91" s="108">
        <v>1.073676944316613</v>
      </c>
      <c r="AW91" s="108">
        <v>2466.0212057063964</v>
      </c>
      <c r="AX91" s="108">
        <v>0</v>
      </c>
      <c r="AY91" s="108">
        <v>0</v>
      </c>
      <c r="AZ91" s="108">
        <v>6.1885941644562337</v>
      </c>
      <c r="BA91" s="108">
        <v>14213.963076923075</v>
      </c>
      <c r="BB91" s="108">
        <v>0</v>
      </c>
      <c r="BC91" s="108">
        <v>0</v>
      </c>
      <c r="BD91" s="108">
        <v>4.5040540540540546</v>
      </c>
      <c r="BE91" s="108">
        <v>10344.911351351351</v>
      </c>
      <c r="BF91" s="108">
        <v>4.3919472913616397</v>
      </c>
      <c r="BG91" s="108">
        <v>10087.424538799412</v>
      </c>
      <c r="BH91" s="108">
        <v>0</v>
      </c>
      <c r="BI91" s="108">
        <v>0</v>
      </c>
      <c r="BJ91" s="108">
        <v>7.6643278301886788</v>
      </c>
      <c r="BK91" s="108">
        <v>17603.428160377356</v>
      </c>
      <c r="BL91" s="108">
        <v>13.087675890150981</v>
      </c>
      <c r="BM91" s="108">
        <v>30059.77398449877</v>
      </c>
      <c r="BN91" s="108">
        <v>9.7415701156588508</v>
      </c>
      <c r="BO91" s="108">
        <v>22374.438241645246</v>
      </c>
      <c r="BP91" s="108">
        <v>15.599991586022224</v>
      </c>
      <c r="BQ91" s="108">
        <v>35830.060674775843</v>
      </c>
      <c r="BR91" s="108">
        <v>8.7541960281870619</v>
      </c>
      <c r="BS91" s="108">
        <v>20106.637437540041</v>
      </c>
      <c r="BT91" s="108">
        <v>0</v>
      </c>
      <c r="BU91" s="108">
        <v>0</v>
      </c>
      <c r="BV91" s="108">
        <v>0</v>
      </c>
      <c r="BW91" s="108">
        <v>0</v>
      </c>
      <c r="BX91" s="108">
        <v>16.900569699737019</v>
      </c>
      <c r="BY91" s="108">
        <v>38817.228486355983</v>
      </c>
      <c r="BZ91" s="108">
        <v>13.725492469607525</v>
      </c>
      <c r="CA91" s="108">
        <v>31524.711104194561</v>
      </c>
      <c r="CB91" s="108">
        <v>14.080620427652503</v>
      </c>
      <c r="CC91" s="108">
        <v>32340.368998232265</v>
      </c>
      <c r="CD91" s="108">
        <v>19.860100615902777</v>
      </c>
      <c r="CE91" s="108">
        <v>45614.67909460549</v>
      </c>
      <c r="CF91" s="108">
        <v>3.8581350482315111</v>
      </c>
      <c r="CG91" s="108">
        <v>8861.3645787781334</v>
      </c>
      <c r="CH91" s="108">
        <v>0</v>
      </c>
      <c r="CI91" s="108">
        <v>0</v>
      </c>
      <c r="CJ91" s="108">
        <v>3.7850065832784727</v>
      </c>
      <c r="CK91" s="108">
        <v>8693.4031204739949</v>
      </c>
      <c r="CL91" s="108">
        <v>9.90509952094685</v>
      </c>
      <c r="CM91" s="108">
        <v>22750.032579710722</v>
      </c>
      <c r="CN91" s="108">
        <v>0</v>
      </c>
      <c r="CO91" s="108">
        <v>0</v>
      </c>
      <c r="CP91" s="108">
        <v>0.97912143420392428</v>
      </c>
      <c r="CQ91" s="108">
        <v>2248.846110079573</v>
      </c>
      <c r="CR91" s="108">
        <v>0.97245962759815074</v>
      </c>
      <c r="CS91" s="108">
        <v>2233.5452726674325</v>
      </c>
      <c r="CT91" s="108">
        <v>1.0057799442896938</v>
      </c>
      <c r="CU91" s="108">
        <v>2310.0753760445682</v>
      </c>
    </row>
    <row r="92" spans="2:99" x14ac:dyDescent="0.2">
      <c r="C92" s="107" t="s">
        <v>257</v>
      </c>
      <c r="D92" s="108">
        <v>0</v>
      </c>
      <c r="E92" s="108">
        <v>0</v>
      </c>
      <c r="F92" s="108">
        <v>0</v>
      </c>
      <c r="G92" s="108">
        <v>0</v>
      </c>
      <c r="H92" s="108">
        <v>0</v>
      </c>
      <c r="I92" s="108">
        <v>0</v>
      </c>
      <c r="J92" s="108">
        <v>3.8004561003420756</v>
      </c>
      <c r="K92" s="108">
        <v>5399.6880273660208</v>
      </c>
      <c r="L92" s="108">
        <v>0</v>
      </c>
      <c r="M92" s="108">
        <v>0</v>
      </c>
      <c r="N92" s="108">
        <v>13.010885831845137</v>
      </c>
      <c r="O92" s="108">
        <v>18485.866589885569</v>
      </c>
      <c r="P92" s="108">
        <v>8.9703947368421044</v>
      </c>
      <c r="Q92" s="108">
        <v>12745.136842105261</v>
      </c>
      <c r="R92" s="108">
        <v>0</v>
      </c>
      <c r="S92" s="108">
        <v>0</v>
      </c>
      <c r="T92" s="108">
        <v>9.3712981037169705</v>
      </c>
      <c r="U92" s="108">
        <v>13314.740345761071</v>
      </c>
      <c r="V92" s="108">
        <v>4.8502060422875894</v>
      </c>
      <c r="W92" s="108">
        <v>6891.1727448822066</v>
      </c>
      <c r="X92" s="108">
        <v>10.113133940182054</v>
      </c>
      <c r="Y92" s="108">
        <v>14368.740702210662</v>
      </c>
      <c r="Z92" s="108">
        <v>3.1592140630936663</v>
      </c>
      <c r="AA92" s="108">
        <v>4488.6113408434812</v>
      </c>
      <c r="AB92" s="108">
        <v>0</v>
      </c>
      <c r="AC92" s="108">
        <v>0</v>
      </c>
      <c r="AD92" s="108">
        <v>15.269966063348416</v>
      </c>
      <c r="AE92" s="108">
        <v>21695.567782805429</v>
      </c>
      <c r="AF92" s="108">
        <v>9.1001369694444545</v>
      </c>
      <c r="AG92" s="108">
        <v>12929.474606186681</v>
      </c>
      <c r="AH92" s="108">
        <v>3.9146113419207814E-16</v>
      </c>
      <c r="AI92" s="108">
        <v>5.5618797946010457E-13</v>
      </c>
      <c r="AJ92" s="108">
        <v>0</v>
      </c>
      <c r="AK92" s="108">
        <v>0</v>
      </c>
      <c r="AL92" s="108">
        <v>6.8719666935052643</v>
      </c>
      <c r="AM92" s="108">
        <v>9763.6902781322788</v>
      </c>
      <c r="AN92" s="108">
        <v>14.141926391871444</v>
      </c>
      <c r="AO92" s="108">
        <v>20092.849017570945</v>
      </c>
      <c r="AP92" s="108">
        <v>8.5887163834243836</v>
      </c>
      <c r="AQ92" s="108">
        <v>12202.848237569364</v>
      </c>
      <c r="AR92" s="108">
        <v>2.4136841594970089</v>
      </c>
      <c r="AS92" s="108">
        <v>3429.3624538133499</v>
      </c>
      <c r="AT92" s="108">
        <v>2.0678841152312359</v>
      </c>
      <c r="AU92" s="108">
        <v>2938.0497509205397</v>
      </c>
      <c r="AV92" s="108">
        <v>1.1503681546249425</v>
      </c>
      <c r="AW92" s="108">
        <v>1634.4430740911182</v>
      </c>
      <c r="AX92" s="108">
        <v>0</v>
      </c>
      <c r="AY92" s="108">
        <v>0</v>
      </c>
      <c r="AZ92" s="108">
        <v>7.0726790450928378</v>
      </c>
      <c r="BA92" s="108">
        <v>10048.862387267904</v>
      </c>
      <c r="BB92" s="108">
        <v>0</v>
      </c>
      <c r="BC92" s="108">
        <v>0</v>
      </c>
      <c r="BD92" s="108">
        <v>4.5040540540540546</v>
      </c>
      <c r="BE92" s="108">
        <v>6399.3600000000006</v>
      </c>
      <c r="BF92" s="108">
        <v>4.8799414348462671</v>
      </c>
      <c r="BG92" s="108">
        <v>6933.420790629576</v>
      </c>
      <c r="BH92" s="108">
        <v>0</v>
      </c>
      <c r="BI92" s="108">
        <v>0</v>
      </c>
      <c r="BJ92" s="108">
        <v>8.2538915094339611</v>
      </c>
      <c r="BK92" s="108">
        <v>11727.129056603771</v>
      </c>
      <c r="BL92" s="108">
        <v>16.04295754276572</v>
      </c>
      <c r="BM92" s="108">
        <v>22793.834076761534</v>
      </c>
      <c r="BN92" s="108">
        <v>11.142877968856974</v>
      </c>
      <c r="BO92" s="108">
        <v>15831.801018151988</v>
      </c>
      <c r="BP92" s="108">
        <v>19.066656382916051</v>
      </c>
      <c r="BQ92" s="108">
        <v>27089.905388847124</v>
      </c>
      <c r="BR92" s="108">
        <v>9.5015054452274192</v>
      </c>
      <c r="BS92" s="108">
        <v>13499.738936579117</v>
      </c>
      <c r="BT92" s="108">
        <v>0</v>
      </c>
      <c r="BU92" s="108">
        <v>0</v>
      </c>
      <c r="BV92" s="108">
        <v>0</v>
      </c>
      <c r="BW92" s="108">
        <v>0</v>
      </c>
      <c r="BX92" s="108">
        <v>20.290308347013877</v>
      </c>
      <c r="BY92" s="108">
        <v>28828.470099437316</v>
      </c>
      <c r="BZ92" s="108">
        <v>16.056182832097527</v>
      </c>
      <c r="CA92" s="108">
        <v>22812.624567844166</v>
      </c>
      <c r="CB92" s="108">
        <v>15.782198623863996</v>
      </c>
      <c r="CC92" s="108">
        <v>22423.347804785964</v>
      </c>
      <c r="CD92" s="108">
        <v>25.01005200286431</v>
      </c>
      <c r="CE92" s="108">
        <v>35534.28188566961</v>
      </c>
      <c r="CF92" s="108">
        <v>4.7154983922829583</v>
      </c>
      <c r="CG92" s="108">
        <v>6699.7801157556269</v>
      </c>
      <c r="CH92" s="108">
        <v>0</v>
      </c>
      <c r="CI92" s="108">
        <v>0</v>
      </c>
      <c r="CJ92" s="108">
        <v>3.7850065832784727</v>
      </c>
      <c r="CK92" s="108">
        <v>5377.737353522054</v>
      </c>
      <c r="CL92" s="108">
        <v>12.811666288116447</v>
      </c>
      <c r="CM92" s="108">
        <v>18202.815462155846</v>
      </c>
      <c r="CN92" s="108">
        <v>0</v>
      </c>
      <c r="CO92" s="108">
        <v>0</v>
      </c>
      <c r="CP92" s="108">
        <v>1.1096709587644475</v>
      </c>
      <c r="CQ92" s="108">
        <v>1576.6204982125271</v>
      </c>
      <c r="CR92" s="108">
        <v>0.97245962759815074</v>
      </c>
      <c r="CS92" s="108">
        <v>1381.6706388914524</v>
      </c>
      <c r="CT92" s="108">
        <v>1.1605153203342617</v>
      </c>
      <c r="CU92" s="108">
        <v>1648.8601671309191</v>
      </c>
    </row>
    <row r="93" spans="2:99" x14ac:dyDescent="0.2">
      <c r="C93" s="107" t="s">
        <v>258</v>
      </c>
      <c r="D93" s="108">
        <v>0</v>
      </c>
      <c r="E93" s="108">
        <v>0</v>
      </c>
      <c r="F93" s="108">
        <v>0</v>
      </c>
      <c r="G93" s="108">
        <v>0</v>
      </c>
      <c r="H93" s="108">
        <v>0</v>
      </c>
      <c r="I93" s="108">
        <v>0</v>
      </c>
      <c r="J93" s="108">
        <v>4.1805017103762827</v>
      </c>
      <c r="K93" s="108">
        <v>7409.5212314709233</v>
      </c>
      <c r="L93" s="108">
        <v>0</v>
      </c>
      <c r="M93" s="108">
        <v>0</v>
      </c>
      <c r="N93" s="108">
        <v>13.492770492283844</v>
      </c>
      <c r="O93" s="108">
        <v>23914.586420523883</v>
      </c>
      <c r="P93" s="108">
        <v>8.6713815789473685</v>
      </c>
      <c r="Q93" s="108">
        <v>15369.156710526315</v>
      </c>
      <c r="R93" s="108">
        <v>0</v>
      </c>
      <c r="S93" s="108">
        <v>0</v>
      </c>
      <c r="T93" s="108">
        <v>8.5193619124699715</v>
      </c>
      <c r="U93" s="108">
        <v>15099.717053661776</v>
      </c>
      <c r="V93" s="108">
        <v>4.933830284395996</v>
      </c>
      <c r="W93" s="108">
        <v>8744.7207960634623</v>
      </c>
      <c r="X93" s="108">
        <v>8.0905071521456442</v>
      </c>
      <c r="Y93" s="108">
        <v>14339.614876462938</v>
      </c>
      <c r="Z93" s="108">
        <v>2.8509980569381863</v>
      </c>
      <c r="AA93" s="108">
        <v>5053.1089561172412</v>
      </c>
      <c r="AB93" s="108">
        <v>0</v>
      </c>
      <c r="AC93" s="108">
        <v>0</v>
      </c>
      <c r="AD93" s="108">
        <v>13.573303167420816</v>
      </c>
      <c r="AE93" s="108">
        <v>24057.322533936651</v>
      </c>
      <c r="AF93" s="108">
        <v>9.1001369694444545</v>
      </c>
      <c r="AG93" s="108">
        <v>16129.08276464335</v>
      </c>
      <c r="AH93" s="108">
        <v>3.7515025360074155E-16</v>
      </c>
      <c r="AI93" s="108">
        <v>6.6491630948195424E-13</v>
      </c>
      <c r="AJ93" s="108">
        <v>0</v>
      </c>
      <c r="AK93" s="108">
        <v>0</v>
      </c>
      <c r="AL93" s="108">
        <v>6.2069376586499159</v>
      </c>
      <c r="AM93" s="108">
        <v>11001.17630619111</v>
      </c>
      <c r="AN93" s="108">
        <v>13.499111555877287</v>
      </c>
      <c r="AO93" s="108">
        <v>23925.825321636901</v>
      </c>
      <c r="AP93" s="108">
        <v>8.083497772634713</v>
      </c>
      <c r="AQ93" s="108">
        <v>14327.191452217765</v>
      </c>
      <c r="AR93" s="108">
        <v>2.4073874964039752</v>
      </c>
      <c r="AS93" s="108">
        <v>4266.8535986264051</v>
      </c>
      <c r="AT93" s="108">
        <v>1.8409114566281954</v>
      </c>
      <c r="AU93" s="108">
        <v>3262.8314657278133</v>
      </c>
      <c r="AV93" s="108">
        <v>1.073676944316613</v>
      </c>
      <c r="AW93" s="108">
        <v>1902.9850161067648</v>
      </c>
      <c r="AX93" s="108">
        <v>0</v>
      </c>
      <c r="AY93" s="108">
        <v>0</v>
      </c>
      <c r="AZ93" s="108">
        <v>6.7779840848806368</v>
      </c>
      <c r="BA93" s="108">
        <v>12013.298992042439</v>
      </c>
      <c r="BB93" s="108">
        <v>0</v>
      </c>
      <c r="BC93" s="108">
        <v>0</v>
      </c>
      <c r="BD93" s="108">
        <v>4.8257722007722013</v>
      </c>
      <c r="BE93" s="108">
        <v>8553.1986486486494</v>
      </c>
      <c r="BF93" s="108">
        <v>5.1239385065885799</v>
      </c>
      <c r="BG93" s="108">
        <v>9081.6686090775984</v>
      </c>
      <c r="BH93" s="108">
        <v>0</v>
      </c>
      <c r="BI93" s="108">
        <v>0</v>
      </c>
      <c r="BJ93" s="108">
        <v>8.8434551886792452</v>
      </c>
      <c r="BK93" s="108">
        <v>15674.139976415094</v>
      </c>
      <c r="BL93" s="108">
        <v>13.087675890150981</v>
      </c>
      <c r="BM93" s="108">
        <v>23196.596747703599</v>
      </c>
      <c r="BN93" s="108">
        <v>11.179848340198316</v>
      </c>
      <c r="BO93" s="108">
        <v>19815.163198167495</v>
      </c>
      <c r="BP93" s="108">
        <v>19.716656032333645</v>
      </c>
      <c r="BQ93" s="108">
        <v>34945.801151708154</v>
      </c>
      <c r="BR93" s="108">
        <v>9.394746957078798</v>
      </c>
      <c r="BS93" s="108">
        <v>16651.249506726461</v>
      </c>
      <c r="BT93" s="108">
        <v>0</v>
      </c>
      <c r="BU93" s="108">
        <v>0</v>
      </c>
      <c r="BV93" s="108">
        <v>0</v>
      </c>
      <c r="BW93" s="108">
        <v>0</v>
      </c>
      <c r="BX93" s="108">
        <v>19.621668364250247</v>
      </c>
      <c r="BY93" s="108">
        <v>34777.445008797135</v>
      </c>
      <c r="BZ93" s="108">
        <v>16.312377206727362</v>
      </c>
      <c r="CA93" s="108">
        <v>28912.057361203573</v>
      </c>
      <c r="CB93" s="108">
        <v>14.574677284763117</v>
      </c>
      <c r="CC93" s="108">
        <v>25832.158019514147</v>
      </c>
      <c r="CD93" s="108">
        <v>21.430502699055886</v>
      </c>
      <c r="CE93" s="108">
        <v>37983.422983806646</v>
      </c>
      <c r="CF93" s="108">
        <v>4.7154983922829583</v>
      </c>
      <c r="CG93" s="108">
        <v>8357.7493504823142</v>
      </c>
      <c r="CH93" s="108">
        <v>0</v>
      </c>
      <c r="CI93" s="108">
        <v>0</v>
      </c>
      <c r="CJ93" s="108">
        <v>4.1141375905200794</v>
      </c>
      <c r="CK93" s="108">
        <v>7291.897465437788</v>
      </c>
      <c r="CL93" s="108">
        <v>10.827147574303224</v>
      </c>
      <c r="CM93" s="108">
        <v>19190.03636069503</v>
      </c>
      <c r="CN93" s="108">
        <v>0</v>
      </c>
      <c r="CO93" s="108">
        <v>0</v>
      </c>
      <c r="CP93" s="108">
        <v>1.1749457210447092</v>
      </c>
      <c r="CQ93" s="108">
        <v>2082.4737959796425</v>
      </c>
      <c r="CR93" s="108">
        <v>0.91525612009237722</v>
      </c>
      <c r="CS93" s="108">
        <v>1622.1999472517293</v>
      </c>
      <c r="CT93" s="108">
        <v>0.92841225626740953</v>
      </c>
      <c r="CU93" s="108">
        <v>1645.5178830083564</v>
      </c>
    </row>
    <row r="94" spans="2:99" x14ac:dyDescent="0.2">
      <c r="C94" s="107" t="s">
        <v>259</v>
      </c>
      <c r="D94" s="108">
        <v>0</v>
      </c>
      <c r="E94" s="108">
        <v>0</v>
      </c>
      <c r="F94" s="108">
        <v>0</v>
      </c>
      <c r="G94" s="108">
        <v>0</v>
      </c>
      <c r="H94" s="108">
        <v>0</v>
      </c>
      <c r="I94" s="108">
        <v>0</v>
      </c>
      <c r="J94" s="108">
        <v>3.420410490307868</v>
      </c>
      <c r="K94" s="108">
        <v>8192.5672063854054</v>
      </c>
      <c r="L94" s="108">
        <v>0</v>
      </c>
      <c r="M94" s="108">
        <v>0</v>
      </c>
      <c r="N94" s="108">
        <v>11.083347190090302</v>
      </c>
      <c r="O94" s="108">
        <v>26546.833189704292</v>
      </c>
      <c r="P94" s="108">
        <v>7.7743421052631572</v>
      </c>
      <c r="Q94" s="108">
        <v>18621.104210526311</v>
      </c>
      <c r="R94" s="108">
        <v>0</v>
      </c>
      <c r="S94" s="108">
        <v>0</v>
      </c>
      <c r="T94" s="108">
        <v>8.5193619124699715</v>
      </c>
      <c r="U94" s="108">
        <v>20405.575652748073</v>
      </c>
      <c r="V94" s="108">
        <v>3.9303393790951158</v>
      </c>
      <c r="W94" s="108">
        <v>9413.9488808086207</v>
      </c>
      <c r="X94" s="108">
        <v>7.3681404421326402</v>
      </c>
      <c r="Y94" s="108">
        <v>17648.169986996098</v>
      </c>
      <c r="Z94" s="108">
        <v>2.4657280492438369</v>
      </c>
      <c r="AA94" s="108">
        <v>5905.9118235488377</v>
      </c>
      <c r="AB94" s="108">
        <v>0</v>
      </c>
      <c r="AC94" s="108">
        <v>0</v>
      </c>
      <c r="AD94" s="108">
        <v>12.442194570135747</v>
      </c>
      <c r="AE94" s="108">
        <v>29801.544434389139</v>
      </c>
      <c r="AF94" s="108">
        <v>8.4260527494856063</v>
      </c>
      <c r="AG94" s="108">
        <v>20182.081545567922</v>
      </c>
      <c r="AH94" s="108">
        <v>3.7515025360074155E-16</v>
      </c>
      <c r="AI94" s="108">
        <v>8.9855988742449604E-13</v>
      </c>
      <c r="AJ94" s="108">
        <v>0</v>
      </c>
      <c r="AK94" s="108">
        <v>0</v>
      </c>
      <c r="AL94" s="108">
        <v>5.5419086237945674</v>
      </c>
      <c r="AM94" s="108">
        <v>13273.979535712746</v>
      </c>
      <c r="AN94" s="108">
        <v>12.856296719883131</v>
      </c>
      <c r="AO94" s="108">
        <v>30793.401903464073</v>
      </c>
      <c r="AP94" s="108">
        <v>6.8204512456605384</v>
      </c>
      <c r="AQ94" s="108">
        <v>16336.344823606119</v>
      </c>
      <c r="AR94" s="108">
        <v>2.3884975071248737</v>
      </c>
      <c r="AS94" s="108">
        <v>5720.9292290654976</v>
      </c>
      <c r="AT94" s="108">
        <v>1.9454227188569038</v>
      </c>
      <c r="AU94" s="108">
        <v>4659.6764962060552</v>
      </c>
      <c r="AV94" s="108">
        <v>0.9969857340082835</v>
      </c>
      <c r="AW94" s="108">
        <v>2387.9802300966403</v>
      </c>
      <c r="AX94" s="108">
        <v>0</v>
      </c>
      <c r="AY94" s="108">
        <v>0</v>
      </c>
      <c r="AZ94" s="108">
        <v>6.1885941644562337</v>
      </c>
      <c r="BA94" s="108">
        <v>14822.92074270557</v>
      </c>
      <c r="BB94" s="108">
        <v>0</v>
      </c>
      <c r="BC94" s="108">
        <v>0</v>
      </c>
      <c r="BD94" s="108">
        <v>4.8257722007722013</v>
      </c>
      <c r="BE94" s="108">
        <v>11558.689575289576</v>
      </c>
      <c r="BF94" s="108">
        <v>4.6359443631039534</v>
      </c>
      <c r="BG94" s="108">
        <v>11104.013938506589</v>
      </c>
      <c r="BH94" s="108">
        <v>0</v>
      </c>
      <c r="BI94" s="108">
        <v>0</v>
      </c>
      <c r="BJ94" s="108">
        <v>7.3695459905660377</v>
      </c>
      <c r="BK94" s="108">
        <v>17651.536556603773</v>
      </c>
      <c r="BL94" s="108">
        <v>12.665492796920304</v>
      </c>
      <c r="BM94" s="108">
        <v>30336.388347183511</v>
      </c>
      <c r="BN94" s="108">
        <v>10.277446342710538</v>
      </c>
      <c r="BO94" s="108">
        <v>24616.539480060281</v>
      </c>
      <c r="BP94" s="108">
        <v>15.599991586022224</v>
      </c>
      <c r="BQ94" s="108">
        <v>37365.099846840429</v>
      </c>
      <c r="BR94" s="108">
        <v>7.9001281229980798</v>
      </c>
      <c r="BS94" s="108">
        <v>18922.386880204998</v>
      </c>
      <c r="BT94" s="108">
        <v>0</v>
      </c>
      <c r="BU94" s="108">
        <v>0</v>
      </c>
      <c r="BV94" s="108">
        <v>0</v>
      </c>
      <c r="BW94" s="108">
        <v>0</v>
      </c>
      <c r="BX94" s="108">
        <v>15.781262891944763</v>
      </c>
      <c r="BY94" s="108">
        <v>37799.280878786092</v>
      </c>
      <c r="BZ94" s="108">
        <v>15.033860664280809</v>
      </c>
      <c r="CA94" s="108">
        <v>36009.103063085393</v>
      </c>
      <c r="CB94" s="108">
        <v>12.598449856320661</v>
      </c>
      <c r="CC94" s="108">
        <v>30175.807095859243</v>
      </c>
      <c r="CD94" s="108">
        <v>19.935340564513069</v>
      </c>
      <c r="CE94" s="108">
        <v>47749.127720121702</v>
      </c>
      <c r="CF94" s="108">
        <v>4.2868167202572351</v>
      </c>
      <c r="CG94" s="108">
        <v>10267.783408360128</v>
      </c>
      <c r="CH94" s="108">
        <v>0</v>
      </c>
      <c r="CI94" s="108">
        <v>0</v>
      </c>
      <c r="CJ94" s="108">
        <v>3.4558755760368665</v>
      </c>
      <c r="CK94" s="108">
        <v>8277.5131797235026</v>
      </c>
      <c r="CL94" s="108">
        <v>10.400473699722649</v>
      </c>
      <c r="CM94" s="108">
        <v>24911.214605575689</v>
      </c>
      <c r="CN94" s="108">
        <v>0</v>
      </c>
      <c r="CO94" s="108">
        <v>0</v>
      </c>
      <c r="CP94" s="108">
        <v>1.0443961964841859</v>
      </c>
      <c r="CQ94" s="108">
        <v>2501.5377698189218</v>
      </c>
      <c r="CR94" s="108">
        <v>0.91525612009237722</v>
      </c>
      <c r="CS94" s="108">
        <v>2192.2214588452616</v>
      </c>
      <c r="CT94" s="108">
        <v>1.0057799442896938</v>
      </c>
      <c r="CU94" s="108">
        <v>2409.0441225626741</v>
      </c>
    </row>
    <row r="95" spans="2:99" x14ac:dyDescent="0.2">
      <c r="B95" s="107" t="s">
        <v>132</v>
      </c>
      <c r="C95" s="107" t="s">
        <v>260</v>
      </c>
      <c r="D95" s="108">
        <v>0</v>
      </c>
      <c r="E95" s="108">
        <v>0</v>
      </c>
      <c r="F95" s="108">
        <v>0</v>
      </c>
      <c r="G95" s="108">
        <v>0</v>
      </c>
      <c r="H95" s="108">
        <v>0</v>
      </c>
      <c r="I95" s="108">
        <v>0</v>
      </c>
      <c r="J95" s="108">
        <v>9.1210946408209814</v>
      </c>
      <c r="K95" s="108">
        <v>15805.032793614597</v>
      </c>
      <c r="L95" s="108">
        <v>0</v>
      </c>
      <c r="M95" s="108">
        <v>0</v>
      </c>
      <c r="N95" s="108">
        <v>17.682496112201452</v>
      </c>
      <c r="O95" s="108">
        <v>30640.229263222674</v>
      </c>
      <c r="P95" s="108">
        <v>8.6713815789473685</v>
      </c>
      <c r="Q95" s="108">
        <v>15025.77</v>
      </c>
      <c r="R95" s="108">
        <v>0</v>
      </c>
      <c r="S95" s="108">
        <v>0</v>
      </c>
      <c r="T95" s="108">
        <v>3.4077447649879891</v>
      </c>
      <c r="U95" s="108">
        <v>5904.9401287711871</v>
      </c>
      <c r="V95" s="108">
        <v>2.090606052710168</v>
      </c>
      <c r="W95" s="108">
        <v>3622.602168136179</v>
      </c>
      <c r="X95" s="108">
        <v>5.6344603381014311</v>
      </c>
      <c r="Y95" s="108">
        <v>9763.3928738621598</v>
      </c>
      <c r="Z95" s="108">
        <v>0.80906701615813414</v>
      </c>
      <c r="AA95" s="108">
        <v>1401.9513255988147</v>
      </c>
      <c r="AB95" s="108">
        <v>0</v>
      </c>
      <c r="AC95" s="108">
        <v>0</v>
      </c>
      <c r="AD95" s="108">
        <v>42.416572398190048</v>
      </c>
      <c r="AE95" s="108">
        <v>73499.436651583717</v>
      </c>
      <c r="AF95" s="108">
        <v>25.278158248456819</v>
      </c>
      <c r="AG95" s="108">
        <v>43801.992612925977</v>
      </c>
      <c r="AH95" s="108">
        <v>1.1417616413935614E-15</v>
      </c>
      <c r="AI95" s="108">
        <v>1.978444572206763E-12</v>
      </c>
      <c r="AJ95" s="108">
        <v>0</v>
      </c>
      <c r="AK95" s="108">
        <v>0</v>
      </c>
      <c r="AL95" s="108">
        <v>4.8768795889392198</v>
      </c>
      <c r="AM95" s="108">
        <v>8450.6569517138796</v>
      </c>
      <c r="AN95" s="108">
        <v>8.999407703918191</v>
      </c>
      <c r="AO95" s="108">
        <v>15594.17366934944</v>
      </c>
      <c r="AP95" s="108">
        <v>5.3047954132915303</v>
      </c>
      <c r="AQ95" s="108">
        <v>9192.1494921515641</v>
      </c>
      <c r="AR95" s="108">
        <v>25.587950171329133</v>
      </c>
      <c r="AS95" s="108">
        <v>44338.800056879118</v>
      </c>
      <c r="AT95" s="108">
        <v>8.1075966793374974</v>
      </c>
      <c r="AU95" s="108">
        <v>14048.843525956016</v>
      </c>
      <c r="AV95" s="108">
        <v>8.7427979751495641</v>
      </c>
      <c r="AW95" s="108">
        <v>15149.520331339165</v>
      </c>
      <c r="AX95" s="108">
        <v>0</v>
      </c>
      <c r="AY95" s="108">
        <v>0</v>
      </c>
      <c r="AZ95" s="108">
        <v>15.029442970822281</v>
      </c>
      <c r="BA95" s="108">
        <v>26043.018779840848</v>
      </c>
      <c r="BB95" s="108">
        <v>0</v>
      </c>
      <c r="BC95" s="108">
        <v>0</v>
      </c>
      <c r="BD95" s="108">
        <v>14.477316602316604</v>
      </c>
      <c r="BE95" s="108">
        <v>25086.294208494211</v>
      </c>
      <c r="BF95" s="108">
        <v>16.103806734992681</v>
      </c>
      <c r="BG95" s="108">
        <v>27904.676310395316</v>
      </c>
      <c r="BH95" s="108">
        <v>0</v>
      </c>
      <c r="BI95" s="108">
        <v>0</v>
      </c>
      <c r="BJ95" s="108">
        <v>26.235583726415094</v>
      </c>
      <c r="BK95" s="108">
        <v>45461.019481132076</v>
      </c>
      <c r="BL95" s="108">
        <v>38.418661483991599</v>
      </c>
      <c r="BM95" s="108">
        <v>66571.856619460639</v>
      </c>
      <c r="BN95" s="108">
        <v>19.464460888249253</v>
      </c>
      <c r="BO95" s="108">
        <v>33728.017827158306</v>
      </c>
      <c r="BP95" s="108">
        <v>11.483327139710804</v>
      </c>
      <c r="BQ95" s="108">
        <v>19898.309267690882</v>
      </c>
      <c r="BR95" s="108">
        <v>6.2987508007687394</v>
      </c>
      <c r="BS95" s="108">
        <v>10914.475387572071</v>
      </c>
      <c r="BT95" s="108">
        <v>0</v>
      </c>
      <c r="BU95" s="108">
        <v>0</v>
      </c>
      <c r="BV95" s="108">
        <v>0</v>
      </c>
      <c r="BW95" s="108">
        <v>0</v>
      </c>
      <c r="BX95" s="108">
        <v>22.919121946203923</v>
      </c>
      <c r="BY95" s="108">
        <v>39714.254508382153</v>
      </c>
      <c r="BZ95" s="108">
        <v>24.150115879356328</v>
      </c>
      <c r="CA95" s="108">
        <v>41847.320795748645</v>
      </c>
      <c r="CB95" s="108">
        <v>14.574677284763117</v>
      </c>
      <c r="CC95" s="108">
        <v>25255.000799037531</v>
      </c>
      <c r="CD95" s="108">
        <v>35.905295244503179</v>
      </c>
      <c r="CE95" s="108">
        <v>62216.695599675106</v>
      </c>
      <c r="CF95" s="108">
        <v>14.360836012861737</v>
      </c>
      <c r="CG95" s="108">
        <v>24884.456643086818</v>
      </c>
      <c r="CH95" s="108">
        <v>0</v>
      </c>
      <c r="CI95" s="108">
        <v>0</v>
      </c>
      <c r="CJ95" s="108">
        <v>8.8865371955233705</v>
      </c>
      <c r="CK95" s="108">
        <v>15398.591652402896</v>
      </c>
      <c r="CL95" s="108">
        <v>18.490421212775228</v>
      </c>
      <c r="CM95" s="108">
        <v>32040.201877496915</v>
      </c>
      <c r="CN95" s="108">
        <v>0</v>
      </c>
      <c r="CO95" s="108">
        <v>0</v>
      </c>
      <c r="CP95" s="108">
        <v>13.381326267453632</v>
      </c>
      <c r="CQ95" s="108">
        <v>23187.162156243652</v>
      </c>
      <c r="CR95" s="108">
        <v>12.127143591224</v>
      </c>
      <c r="CS95" s="108">
        <v>21013.914414872947</v>
      </c>
      <c r="CT95" s="108">
        <v>10.986211699164345</v>
      </c>
      <c r="CU95" s="108">
        <v>19036.907632311977</v>
      </c>
    </row>
    <row r="96" spans="2:99" x14ac:dyDescent="0.2">
      <c r="C96" s="107" t="s">
        <v>261</v>
      </c>
      <c r="D96" s="108">
        <v>0</v>
      </c>
      <c r="E96" s="108">
        <v>0</v>
      </c>
      <c r="F96" s="108">
        <v>0</v>
      </c>
      <c r="G96" s="108">
        <v>0</v>
      </c>
      <c r="H96" s="108">
        <v>0</v>
      </c>
      <c r="I96" s="108">
        <v>0</v>
      </c>
      <c r="J96" s="108">
        <v>10.261231470923605</v>
      </c>
      <c r="K96" s="108">
        <v>8447.0457468643108</v>
      </c>
      <c r="L96" s="108">
        <v>0</v>
      </c>
      <c r="M96" s="108">
        <v>0</v>
      </c>
      <c r="N96" s="108">
        <v>21.403479179188132</v>
      </c>
      <c r="O96" s="108">
        <v>17619.344060307667</v>
      </c>
      <c r="P96" s="108">
        <v>9.2694078947368421</v>
      </c>
      <c r="Q96" s="108">
        <v>7630.576578947368</v>
      </c>
      <c r="R96" s="108">
        <v>0</v>
      </c>
      <c r="S96" s="108">
        <v>0</v>
      </c>
      <c r="T96" s="108">
        <v>3.8945654457005592</v>
      </c>
      <c r="U96" s="108">
        <v>3206.0062749007002</v>
      </c>
      <c r="V96" s="108">
        <v>2.3414787790353881</v>
      </c>
      <c r="W96" s="108">
        <v>1927.5053309019313</v>
      </c>
      <c r="X96" s="108">
        <v>6.3568270481144342</v>
      </c>
      <c r="Y96" s="108">
        <v>5232.9400260078019</v>
      </c>
      <c r="Z96" s="108">
        <v>0.92464801846643896</v>
      </c>
      <c r="AA96" s="108">
        <v>761.17024880157248</v>
      </c>
      <c r="AB96" s="108">
        <v>0</v>
      </c>
      <c r="AC96" s="108">
        <v>0</v>
      </c>
      <c r="AD96" s="108">
        <v>48.072115384615394</v>
      </c>
      <c r="AE96" s="108">
        <v>39572.965384615389</v>
      </c>
      <c r="AF96" s="108">
        <v>33.030126777983575</v>
      </c>
      <c r="AG96" s="108">
        <v>27190.400363636076</v>
      </c>
      <c r="AH96" s="108">
        <v>1.3538030890809371E-15</v>
      </c>
      <c r="AI96" s="108">
        <v>1.1144507029314273E-12</v>
      </c>
      <c r="AJ96" s="108">
        <v>0</v>
      </c>
      <c r="AK96" s="108">
        <v>0</v>
      </c>
      <c r="AL96" s="108">
        <v>4.8768795889392198</v>
      </c>
      <c r="AM96" s="108">
        <v>4014.6472776147652</v>
      </c>
      <c r="AN96" s="108">
        <v>9.642222539912348</v>
      </c>
      <c r="AO96" s="108">
        <v>7937.4775948558445</v>
      </c>
      <c r="AP96" s="108">
        <v>5.0521861078966959</v>
      </c>
      <c r="AQ96" s="108">
        <v>4158.9596040205597</v>
      </c>
      <c r="AR96" s="108">
        <v>26.900152744217809</v>
      </c>
      <c r="AS96" s="108">
        <v>22144.205739040099</v>
      </c>
      <c r="AT96" s="108">
        <v>9.8372173042628308</v>
      </c>
      <c r="AU96" s="108">
        <v>8097.9972848691614</v>
      </c>
      <c r="AV96" s="108">
        <v>10.199930971007824</v>
      </c>
      <c r="AW96" s="108">
        <v>8396.5831753336406</v>
      </c>
      <c r="AX96" s="108">
        <v>0</v>
      </c>
      <c r="AY96" s="108">
        <v>0</v>
      </c>
      <c r="AZ96" s="108">
        <v>17.092307692307692</v>
      </c>
      <c r="BA96" s="108">
        <v>14070.387692307691</v>
      </c>
      <c r="BB96" s="108">
        <v>0</v>
      </c>
      <c r="BC96" s="108">
        <v>0</v>
      </c>
      <c r="BD96" s="108">
        <v>15.442471042471043</v>
      </c>
      <c r="BE96" s="108">
        <v>12712.242162162162</v>
      </c>
      <c r="BF96" s="108">
        <v>21.471742313323574</v>
      </c>
      <c r="BG96" s="108">
        <v>17675.538272327965</v>
      </c>
      <c r="BH96" s="108">
        <v>0</v>
      </c>
      <c r="BI96" s="108">
        <v>0</v>
      </c>
      <c r="BJ96" s="108">
        <v>30.952093160377359</v>
      </c>
      <c r="BK96" s="108">
        <v>25479.76308962264</v>
      </c>
      <c r="BL96" s="108">
        <v>43.062675509529043</v>
      </c>
      <c r="BM96" s="108">
        <v>35449.194479444304</v>
      </c>
      <c r="BN96" s="108">
        <v>20.453127085533499</v>
      </c>
      <c r="BO96" s="108">
        <v>16837.014216811174</v>
      </c>
      <c r="BP96" s="108">
        <v>13.216659538157716</v>
      </c>
      <c r="BQ96" s="108">
        <v>10879.95413181143</v>
      </c>
      <c r="BR96" s="108">
        <v>7.4730941704035887</v>
      </c>
      <c r="BS96" s="108">
        <v>6151.8511210762335</v>
      </c>
      <c r="BT96" s="108">
        <v>0</v>
      </c>
      <c r="BU96" s="108">
        <v>0</v>
      </c>
      <c r="BV96" s="108">
        <v>0</v>
      </c>
      <c r="BW96" s="108">
        <v>0</v>
      </c>
      <c r="BX96" s="108">
        <v>27.708192203619667</v>
      </c>
      <c r="BY96" s="108">
        <v>22809.383822019707</v>
      </c>
      <c r="BZ96" s="108">
        <v>27.789174436519605</v>
      </c>
      <c r="CA96" s="108">
        <v>22876.048396142938</v>
      </c>
      <c r="CB96" s="108">
        <v>15.068734141873732</v>
      </c>
      <c r="CC96" s="108">
        <v>12404.581945590455</v>
      </c>
      <c r="CD96" s="108">
        <v>38.63227969345278</v>
      </c>
      <c r="CE96" s="108">
        <v>31802.092643650325</v>
      </c>
      <c r="CF96" s="108">
        <v>17.147266881028941</v>
      </c>
      <c r="CG96" s="108">
        <v>14115.630096463023</v>
      </c>
      <c r="CH96" s="108">
        <v>0</v>
      </c>
      <c r="CI96" s="108">
        <v>0</v>
      </c>
      <c r="CJ96" s="108">
        <v>11.025888742593812</v>
      </c>
      <c r="CK96" s="108">
        <v>9076.5116129032249</v>
      </c>
      <c r="CL96" s="108">
        <v>21.812211803826198</v>
      </c>
      <c r="CM96" s="108">
        <v>17955.812756909723</v>
      </c>
      <c r="CN96" s="108">
        <v>0</v>
      </c>
      <c r="CO96" s="108">
        <v>0</v>
      </c>
      <c r="CP96" s="108">
        <v>19.517153921798226</v>
      </c>
      <c r="CQ96" s="108">
        <v>16066.521108424298</v>
      </c>
      <c r="CR96" s="108">
        <v>15.959778594110828</v>
      </c>
      <c r="CS96" s="108">
        <v>13138.089738672033</v>
      </c>
      <c r="CT96" s="108">
        <v>16.634052924791089</v>
      </c>
      <c r="CU96" s="108">
        <v>13693.152367688022</v>
      </c>
    </row>
    <row r="97" spans="2:99" x14ac:dyDescent="0.2">
      <c r="C97" s="107" t="s">
        <v>262</v>
      </c>
      <c r="D97" s="108">
        <v>0</v>
      </c>
      <c r="E97" s="108">
        <v>0</v>
      </c>
      <c r="F97" s="108">
        <v>0</v>
      </c>
      <c r="G97" s="108">
        <v>0</v>
      </c>
      <c r="H97" s="108">
        <v>0</v>
      </c>
      <c r="I97" s="108">
        <v>0</v>
      </c>
      <c r="J97" s="108">
        <v>8.3610034207525654</v>
      </c>
      <c r="K97" s="108">
        <v>15290.60305587229</v>
      </c>
      <c r="L97" s="108">
        <v>0</v>
      </c>
      <c r="M97" s="108">
        <v>0</v>
      </c>
      <c r="N97" s="108">
        <v>18.164380772640161</v>
      </c>
      <c r="O97" s="108">
        <v>33219.019557004329</v>
      </c>
      <c r="P97" s="108">
        <v>8.0733552631578949</v>
      </c>
      <c r="Q97" s="108">
        <v>14764.552105263158</v>
      </c>
      <c r="R97" s="108">
        <v>0</v>
      </c>
      <c r="S97" s="108">
        <v>0</v>
      </c>
      <c r="T97" s="108">
        <v>2.9209240842754194</v>
      </c>
      <c r="U97" s="108">
        <v>5341.785965322887</v>
      </c>
      <c r="V97" s="108">
        <v>2.0069818106017614</v>
      </c>
      <c r="W97" s="108">
        <v>3670.3683352285011</v>
      </c>
      <c r="X97" s="108">
        <v>5.2010403120936282</v>
      </c>
      <c r="Y97" s="108">
        <v>9511.6625227568275</v>
      </c>
      <c r="Z97" s="108">
        <v>0.80906701615813414</v>
      </c>
      <c r="AA97" s="108">
        <v>1479.6217591499958</v>
      </c>
      <c r="AB97" s="108">
        <v>0</v>
      </c>
      <c r="AC97" s="108">
        <v>0</v>
      </c>
      <c r="AD97" s="108">
        <v>44.678789592760182</v>
      </c>
      <c r="AE97" s="108">
        <v>81708.570407239822</v>
      </c>
      <c r="AF97" s="108">
        <v>22.918863478600848</v>
      </c>
      <c r="AG97" s="108">
        <v>41914.017529665231</v>
      </c>
      <c r="AH97" s="108">
        <v>1.2396269249415809E-15</v>
      </c>
      <c r="AI97" s="108">
        <v>2.267029720333163E-12</v>
      </c>
      <c r="AJ97" s="108">
        <v>0</v>
      </c>
      <c r="AK97" s="108">
        <v>0</v>
      </c>
      <c r="AL97" s="108">
        <v>4.4335268990356536</v>
      </c>
      <c r="AM97" s="108">
        <v>8108.0339929564034</v>
      </c>
      <c r="AN97" s="108">
        <v>9.642222539912348</v>
      </c>
      <c r="AO97" s="108">
        <v>17633.696580991702</v>
      </c>
      <c r="AP97" s="108">
        <v>4.5469674971070262</v>
      </c>
      <c r="AQ97" s="108">
        <v>8315.494158709329</v>
      </c>
      <c r="AR97" s="108">
        <v>20.995241166218779</v>
      </c>
      <c r="AS97" s="108">
        <v>38396.097044780901</v>
      </c>
      <c r="AT97" s="108">
        <v>8.6481031246266635</v>
      </c>
      <c r="AU97" s="108">
        <v>15815.650994317242</v>
      </c>
      <c r="AV97" s="108">
        <v>8.0525770823745972</v>
      </c>
      <c r="AW97" s="108">
        <v>14726.552968246662</v>
      </c>
      <c r="AX97" s="108">
        <v>0</v>
      </c>
      <c r="AY97" s="108">
        <v>0</v>
      </c>
      <c r="AZ97" s="108">
        <v>14.734748010610081</v>
      </c>
      <c r="BA97" s="108">
        <v>26946.907161803716</v>
      </c>
      <c r="BB97" s="108">
        <v>0</v>
      </c>
      <c r="BC97" s="108">
        <v>0</v>
      </c>
      <c r="BD97" s="108">
        <v>14.477316602316604</v>
      </c>
      <c r="BE97" s="108">
        <v>26476.116602316604</v>
      </c>
      <c r="BF97" s="108">
        <v>18.787774524158127</v>
      </c>
      <c r="BG97" s="108">
        <v>34359.08204978038</v>
      </c>
      <c r="BH97" s="108">
        <v>0</v>
      </c>
      <c r="BI97" s="108">
        <v>0</v>
      </c>
      <c r="BJ97" s="108">
        <v>29.478183962264151</v>
      </c>
      <c r="BK97" s="108">
        <v>53909.702830188675</v>
      </c>
      <c r="BL97" s="108">
        <v>37.152112204299563</v>
      </c>
      <c r="BM97" s="108">
        <v>67943.782799223045</v>
      </c>
      <c r="BN97" s="108">
        <v>18.392708434145877</v>
      </c>
      <c r="BO97" s="108">
        <v>33636.585184365977</v>
      </c>
      <c r="BP97" s="108">
        <v>11.699993689516669</v>
      </c>
      <c r="BQ97" s="108">
        <v>21396.948459388084</v>
      </c>
      <c r="BR97" s="108">
        <v>6.6190262652146075</v>
      </c>
      <c r="BS97" s="108">
        <v>12104.875233824474</v>
      </c>
      <c r="BT97" s="108">
        <v>0</v>
      </c>
      <c r="BU97" s="108">
        <v>0</v>
      </c>
      <c r="BV97" s="108">
        <v>0</v>
      </c>
      <c r="BW97" s="108">
        <v>0</v>
      </c>
      <c r="BX97" s="108">
        <v>20.866663264454317</v>
      </c>
      <c r="BY97" s="108">
        <v>38160.953778034054</v>
      </c>
      <c r="BZ97" s="108">
        <v>23.819292374159662</v>
      </c>
      <c r="CA97" s="108">
        <v>43560.721893863192</v>
      </c>
      <c r="CB97" s="108">
        <v>13.339535141986582</v>
      </c>
      <c r="CC97" s="108">
        <v>24395.341867665062</v>
      </c>
      <c r="CD97" s="108">
        <v>34.0873056118701</v>
      </c>
      <c r="CE97" s="108">
        <v>62338.864502988035</v>
      </c>
      <c r="CF97" s="108">
        <v>15.218199356913184</v>
      </c>
      <c r="CG97" s="108">
        <v>27831.042983922831</v>
      </c>
      <c r="CH97" s="108">
        <v>0</v>
      </c>
      <c r="CI97" s="108">
        <v>0</v>
      </c>
      <c r="CJ97" s="108">
        <v>8.5574061882817638</v>
      </c>
      <c r="CK97" s="108">
        <v>15649.784437129689</v>
      </c>
      <c r="CL97" s="108">
        <v>16.483002397563599</v>
      </c>
      <c r="CM97" s="108">
        <v>30144.114784664307</v>
      </c>
      <c r="CN97" s="108">
        <v>0</v>
      </c>
      <c r="CO97" s="108">
        <v>0</v>
      </c>
      <c r="CP97" s="108">
        <v>13.185501980612848</v>
      </c>
      <c r="CQ97" s="108">
        <v>24113.646022144778</v>
      </c>
      <c r="CR97" s="108">
        <v>12.241550606235547</v>
      </c>
      <c r="CS97" s="108">
        <v>22387.347748683569</v>
      </c>
      <c r="CT97" s="108">
        <v>12.456197771587744</v>
      </c>
      <c r="CU97" s="108">
        <v>22779.894484679666</v>
      </c>
    </row>
    <row r="98" spans="2:99" x14ac:dyDescent="0.2">
      <c r="C98" s="107" t="s">
        <v>263</v>
      </c>
      <c r="D98" s="108">
        <v>0</v>
      </c>
      <c r="E98" s="108">
        <v>0</v>
      </c>
      <c r="F98" s="108">
        <v>0</v>
      </c>
      <c r="G98" s="108">
        <v>0</v>
      </c>
      <c r="H98" s="108">
        <v>0</v>
      </c>
      <c r="I98" s="108">
        <v>0</v>
      </c>
      <c r="J98" s="108">
        <v>9.5011402508551885</v>
      </c>
      <c r="K98" s="108">
        <v>12005.640820980616</v>
      </c>
      <c r="L98" s="108">
        <v>0</v>
      </c>
      <c r="M98" s="108">
        <v>0</v>
      </c>
      <c r="N98" s="108">
        <v>19.36001038946139</v>
      </c>
      <c r="O98" s="108">
        <v>24463.309128123412</v>
      </c>
      <c r="P98" s="108">
        <v>8.3723684210526326</v>
      </c>
      <c r="Q98" s="108">
        <v>10579.324736842105</v>
      </c>
      <c r="R98" s="108">
        <v>0</v>
      </c>
      <c r="S98" s="108">
        <v>0</v>
      </c>
      <c r="T98" s="108">
        <v>3.5294499351661317</v>
      </c>
      <c r="U98" s="108">
        <v>4459.8129380759237</v>
      </c>
      <c r="V98" s="108">
        <v>2.4251030211437947</v>
      </c>
      <c r="W98" s="108">
        <v>3064.3601775172988</v>
      </c>
      <c r="X98" s="108">
        <v>5.3455136540962291</v>
      </c>
      <c r="Y98" s="108">
        <v>6754.5910533159949</v>
      </c>
      <c r="Z98" s="108">
        <v>0.96317501923587379</v>
      </c>
      <c r="AA98" s="108">
        <v>1217.06795430645</v>
      </c>
      <c r="AB98" s="108">
        <v>0</v>
      </c>
      <c r="AC98" s="108">
        <v>0</v>
      </c>
      <c r="AD98" s="108">
        <v>49.768778280542989</v>
      </c>
      <c r="AE98" s="108">
        <v>62887.828235294117</v>
      </c>
      <c r="AF98" s="108">
        <v>26.626326688374515</v>
      </c>
      <c r="AG98" s="108">
        <v>33645.026403430034</v>
      </c>
      <c r="AH98" s="108">
        <v>1.4027357308549467E-15</v>
      </c>
      <c r="AI98" s="108">
        <v>1.7724968695083105E-12</v>
      </c>
      <c r="AJ98" s="108">
        <v>0</v>
      </c>
      <c r="AK98" s="108">
        <v>0</v>
      </c>
      <c r="AL98" s="108">
        <v>4.4335268990356536</v>
      </c>
      <c r="AM98" s="108">
        <v>5602.2045896214513</v>
      </c>
      <c r="AN98" s="108">
        <v>8.999407703918191</v>
      </c>
      <c r="AO98" s="108">
        <v>11371.651574671025</v>
      </c>
      <c r="AP98" s="108">
        <v>5.0521861078966959</v>
      </c>
      <c r="AQ98" s="108">
        <v>6383.9423659382646</v>
      </c>
      <c r="AR98" s="108">
        <v>26.244051457773473</v>
      </c>
      <c r="AS98" s="108">
        <v>33161.983422042562</v>
      </c>
      <c r="AT98" s="108">
        <v>8.5400018355688303</v>
      </c>
      <c r="AU98" s="108">
        <v>10791.146319424774</v>
      </c>
      <c r="AV98" s="108">
        <v>9.3563276576161982</v>
      </c>
      <c r="AW98" s="108">
        <v>11822.655628163828</v>
      </c>
      <c r="AX98" s="108">
        <v>0</v>
      </c>
      <c r="AY98" s="108">
        <v>0</v>
      </c>
      <c r="AZ98" s="108">
        <v>16.208222811671089</v>
      </c>
      <c r="BA98" s="108">
        <v>20480.710344827585</v>
      </c>
      <c r="BB98" s="108">
        <v>0</v>
      </c>
      <c r="BC98" s="108">
        <v>0</v>
      </c>
      <c r="BD98" s="108">
        <v>16.407625482625484</v>
      </c>
      <c r="BE98" s="108">
        <v>20732.67555984556</v>
      </c>
      <c r="BF98" s="108">
        <v>19.763762811127382</v>
      </c>
      <c r="BG98" s="108">
        <v>24973.490688140559</v>
      </c>
      <c r="BH98" s="108">
        <v>0</v>
      </c>
      <c r="BI98" s="108">
        <v>0</v>
      </c>
      <c r="BJ98" s="108">
        <v>28.004274764150942</v>
      </c>
      <c r="BK98" s="108">
        <v>35386.201591981131</v>
      </c>
      <c r="BL98" s="108">
        <v>40.951760043375657</v>
      </c>
      <c r="BM98" s="108">
        <v>51746.643990809476</v>
      </c>
      <c r="BN98" s="108">
        <v>20.634800999262879</v>
      </c>
      <c r="BO98" s="108">
        <v>26074.134542668573</v>
      </c>
      <c r="BP98" s="108">
        <v>11.916660239322532</v>
      </c>
      <c r="BQ98" s="108">
        <v>15057.891878407951</v>
      </c>
      <c r="BR98" s="108">
        <v>6.5122677770659845</v>
      </c>
      <c r="BS98" s="108">
        <v>8228.9015631005768</v>
      </c>
      <c r="BT98" s="108">
        <v>0</v>
      </c>
      <c r="BU98" s="108">
        <v>0</v>
      </c>
      <c r="BV98" s="108">
        <v>0</v>
      </c>
      <c r="BW98" s="108">
        <v>0</v>
      </c>
      <c r="BX98" s="108">
        <v>23.603274840120456</v>
      </c>
      <c r="BY98" s="108">
        <v>29825.098087976206</v>
      </c>
      <c r="BZ98" s="108">
        <v>27.458350931322947</v>
      </c>
      <c r="CA98" s="108">
        <v>34696.372236819676</v>
      </c>
      <c r="CB98" s="108">
        <v>14.32764885620781</v>
      </c>
      <c r="CC98" s="108">
        <v>18104.417094704189</v>
      </c>
      <c r="CD98" s="108">
        <v>36.814290060819708</v>
      </c>
      <c r="CE98" s="108">
        <v>46518.53692085178</v>
      </c>
      <c r="CF98" s="108">
        <v>14.789517684887459</v>
      </c>
      <c r="CG98" s="108">
        <v>18688.034546623792</v>
      </c>
      <c r="CH98" s="108">
        <v>0</v>
      </c>
      <c r="CI98" s="108">
        <v>0</v>
      </c>
      <c r="CJ98" s="108">
        <v>9.0511026991441739</v>
      </c>
      <c r="CK98" s="108">
        <v>11436.973370638578</v>
      </c>
      <c r="CL98" s="108">
        <v>17.694323717110098</v>
      </c>
      <c r="CM98" s="108">
        <v>22358.547448940317</v>
      </c>
      <c r="CN98" s="108">
        <v>0</v>
      </c>
      <c r="CO98" s="108">
        <v>0</v>
      </c>
      <c r="CP98" s="108">
        <v>15.274294373581219</v>
      </c>
      <c r="CQ98" s="108">
        <v>19300.598370457228</v>
      </c>
      <c r="CR98" s="108">
        <v>16.188592624133921</v>
      </c>
      <c r="CS98" s="108">
        <v>20455.90563985562</v>
      </c>
      <c r="CT98" s="108">
        <v>14.158286908077994</v>
      </c>
      <c r="CU98" s="108">
        <v>17890.41133704735</v>
      </c>
    </row>
    <row r="99" spans="2:99" x14ac:dyDescent="0.2">
      <c r="C99" s="107" t="s">
        <v>264</v>
      </c>
      <c r="D99" s="108">
        <v>0</v>
      </c>
      <c r="E99" s="108">
        <v>0</v>
      </c>
      <c r="F99" s="108">
        <v>0</v>
      </c>
      <c r="G99" s="108">
        <v>0</v>
      </c>
      <c r="H99" s="108">
        <v>0</v>
      </c>
      <c r="I99" s="108">
        <v>0</v>
      </c>
      <c r="J99" s="108">
        <v>5.7006841505131129</v>
      </c>
      <c r="K99" s="108">
        <v>31248.870239452677</v>
      </c>
      <c r="L99" s="108">
        <v>0</v>
      </c>
      <c r="M99" s="108">
        <v>0</v>
      </c>
      <c r="N99" s="108">
        <v>13.363698236804156</v>
      </c>
      <c r="O99" s="108">
        <v>73254.448254865652</v>
      </c>
      <c r="P99" s="108">
        <v>6.2792763157894731</v>
      </c>
      <c r="Q99" s="108">
        <v>34420.48105263157</v>
      </c>
      <c r="R99" s="108">
        <v>0</v>
      </c>
      <c r="S99" s="108">
        <v>0</v>
      </c>
      <c r="T99" s="108">
        <v>2.6377731691935202</v>
      </c>
      <c r="U99" s="108">
        <v>14459.2174042512</v>
      </c>
      <c r="V99" s="108">
        <v>1.5052363579513208</v>
      </c>
      <c r="W99" s="108">
        <v>8251.1036197459598</v>
      </c>
      <c r="X99" s="108">
        <v>3.7563068920676206</v>
      </c>
      <c r="Y99" s="108">
        <v>20590.571859557866</v>
      </c>
      <c r="Z99" s="108">
        <v>0.61643201231095923</v>
      </c>
      <c r="AA99" s="108">
        <v>3379.0337186837537</v>
      </c>
      <c r="AB99" s="108">
        <v>0</v>
      </c>
      <c r="AC99" s="108">
        <v>0</v>
      </c>
      <c r="AD99" s="108">
        <v>21.49106334841629</v>
      </c>
      <c r="AE99" s="108">
        <v>117805.41285067872</v>
      </c>
      <c r="AF99" s="108">
        <v>12.80760017921812</v>
      </c>
      <c r="AG99" s="108">
        <v>70206.141142402048</v>
      </c>
      <c r="AH99" s="108">
        <v>5.7088082069678069E-16</v>
      </c>
      <c r="AI99" s="108">
        <v>3.1293403067314729E-12</v>
      </c>
      <c r="AJ99" s="108">
        <v>0</v>
      </c>
      <c r="AK99" s="108">
        <v>0</v>
      </c>
      <c r="AL99" s="108">
        <v>3.3251451742767406</v>
      </c>
      <c r="AM99" s="108">
        <v>18227.115787315379</v>
      </c>
      <c r="AN99" s="108">
        <v>7.0709631959357218</v>
      </c>
      <c r="AO99" s="108">
        <v>38760.19185484125</v>
      </c>
      <c r="AP99" s="108">
        <v>3.5365302755276868</v>
      </c>
      <c r="AQ99" s="108">
        <v>19385.844358332568</v>
      </c>
      <c r="AR99" s="108">
        <v>12.028523584812842</v>
      </c>
      <c r="AS99" s="108">
        <v>65935.55488251007</v>
      </c>
      <c r="AT99" s="108">
        <v>4.5434436830740275</v>
      </c>
      <c r="AU99" s="108">
        <v>24905.340893138586</v>
      </c>
      <c r="AV99" s="108">
        <v>4.5247814081914406</v>
      </c>
      <c r="AW99" s="108">
        <v>24803.041767142196</v>
      </c>
      <c r="AX99" s="108">
        <v>0</v>
      </c>
      <c r="AY99" s="108">
        <v>0</v>
      </c>
      <c r="AZ99" s="108">
        <v>7.6620689655172418</v>
      </c>
      <c r="BA99" s="108">
        <v>42000.397241379309</v>
      </c>
      <c r="BB99" s="108">
        <v>0</v>
      </c>
      <c r="BC99" s="108">
        <v>0</v>
      </c>
      <c r="BD99" s="108">
        <v>8.6863899613899616</v>
      </c>
      <c r="BE99" s="108">
        <v>47615.315212355206</v>
      </c>
      <c r="BF99" s="108">
        <v>10.491874084919473</v>
      </c>
      <c r="BG99" s="108">
        <v>57512.256983894578</v>
      </c>
      <c r="BH99" s="108">
        <v>0</v>
      </c>
      <c r="BI99" s="108">
        <v>0</v>
      </c>
      <c r="BJ99" s="108">
        <v>14.739091981132075</v>
      </c>
      <c r="BK99" s="108">
        <v>80793.80660377357</v>
      </c>
      <c r="BL99" s="108">
        <v>20.686971568303168</v>
      </c>
      <c r="BM99" s="108">
        <v>113397.70334881064</v>
      </c>
      <c r="BN99" s="108">
        <v>10.104917943117607</v>
      </c>
      <c r="BO99" s="108">
        <v>55391.11819699347</v>
      </c>
      <c r="BP99" s="108">
        <v>6.7166630439817903</v>
      </c>
      <c r="BQ99" s="108">
        <v>36818.060141890579</v>
      </c>
      <c r="BR99" s="108">
        <v>3.8433055733504173</v>
      </c>
      <c r="BS99" s="108">
        <v>21067.463830877645</v>
      </c>
      <c r="BT99" s="108">
        <v>0</v>
      </c>
      <c r="BU99" s="108">
        <v>0</v>
      </c>
      <c r="BV99" s="108">
        <v>0</v>
      </c>
      <c r="BW99" s="108">
        <v>0</v>
      </c>
      <c r="BX99" s="108">
        <v>13.340981431372432</v>
      </c>
      <c r="BY99" s="108">
        <v>73129.923814211113</v>
      </c>
      <c r="BZ99" s="108">
        <v>15.21788123904645</v>
      </c>
      <c r="CA99" s="108">
        <v>83418.337799957008</v>
      </c>
      <c r="CB99" s="108">
        <v>7.9049097137698272</v>
      </c>
      <c r="CC99" s="108">
        <v>43331.553087000677</v>
      </c>
      <c r="CD99" s="108">
        <v>17.725398918172456</v>
      </c>
      <c r="CE99" s="108">
        <v>97163.546709854127</v>
      </c>
      <c r="CF99" s="108">
        <v>9.6453376205787773</v>
      </c>
      <c r="CG99" s="108">
        <v>52871.882700964619</v>
      </c>
      <c r="CH99" s="108">
        <v>0</v>
      </c>
      <c r="CI99" s="108">
        <v>0</v>
      </c>
      <c r="CJ99" s="108">
        <v>4.9369651086240953</v>
      </c>
      <c r="CK99" s="108">
        <v>27062.467939433838</v>
      </c>
      <c r="CL99" s="108">
        <v>11.949890486966128</v>
      </c>
      <c r="CM99" s="108">
        <v>65504.519693353519</v>
      </c>
      <c r="CN99" s="108">
        <v>0</v>
      </c>
      <c r="CO99" s="108">
        <v>0</v>
      </c>
      <c r="CP99" s="108">
        <v>5.8747286052235452</v>
      </c>
      <c r="CQ99" s="108">
        <v>32202.912322393382</v>
      </c>
      <c r="CR99" s="108">
        <v>6.0635717956119999</v>
      </c>
      <c r="CS99" s="108">
        <v>33238.075154826736</v>
      </c>
      <c r="CT99" s="108">
        <v>5.7252089136490252</v>
      </c>
      <c r="CU99" s="108">
        <v>31383.305181058495</v>
      </c>
    </row>
    <row r="100" spans="2:99" x14ac:dyDescent="0.2">
      <c r="C100" s="107" t="s">
        <v>265</v>
      </c>
      <c r="D100" s="108">
        <v>0</v>
      </c>
      <c r="E100" s="108">
        <v>0</v>
      </c>
      <c r="F100" s="108">
        <v>0</v>
      </c>
      <c r="G100" s="108">
        <v>0</v>
      </c>
      <c r="H100" s="108">
        <v>0</v>
      </c>
      <c r="I100" s="108">
        <v>0</v>
      </c>
      <c r="J100" s="108">
        <v>8.3610034207525654</v>
      </c>
      <c r="K100" s="108">
        <v>13564.891949828962</v>
      </c>
      <c r="L100" s="108">
        <v>0</v>
      </c>
      <c r="M100" s="108">
        <v>0</v>
      </c>
      <c r="N100" s="108">
        <v>17.983914496928406</v>
      </c>
      <c r="O100" s="108">
        <v>29177.102879816644</v>
      </c>
      <c r="P100" s="108">
        <v>8.6713815789473685</v>
      </c>
      <c r="Q100" s="108">
        <v>14068.44947368421</v>
      </c>
      <c r="R100" s="108">
        <v>0</v>
      </c>
      <c r="S100" s="108">
        <v>0</v>
      </c>
      <c r="T100" s="108">
        <v>3.2860395948098464</v>
      </c>
      <c r="U100" s="108">
        <v>5331.2706386194941</v>
      </c>
      <c r="V100" s="108">
        <v>2.2578545369269816</v>
      </c>
      <c r="W100" s="108">
        <v>3663.1432007103344</v>
      </c>
      <c r="X100" s="108">
        <v>5.0565669700910272</v>
      </c>
      <c r="Y100" s="108">
        <v>8203.7742522756816</v>
      </c>
      <c r="Z100" s="108">
        <v>1.0017020200053088</v>
      </c>
      <c r="AA100" s="108">
        <v>1625.161357256613</v>
      </c>
      <c r="AB100" s="108">
        <v>0</v>
      </c>
      <c r="AC100" s="108">
        <v>0</v>
      </c>
      <c r="AD100" s="108">
        <v>46.941006787330323</v>
      </c>
      <c r="AE100" s="108">
        <v>76157.089411764711</v>
      </c>
      <c r="AF100" s="108">
        <v>25.278158248456819</v>
      </c>
      <c r="AG100" s="108">
        <v>41011.283942296337</v>
      </c>
      <c r="AH100" s="108">
        <v>1.2722486861242541E-15</v>
      </c>
      <c r="AI100" s="108">
        <v>2.0640962683679897E-12</v>
      </c>
      <c r="AJ100" s="108">
        <v>0</v>
      </c>
      <c r="AK100" s="108">
        <v>0</v>
      </c>
      <c r="AL100" s="108">
        <v>4.8768795889392198</v>
      </c>
      <c r="AM100" s="108">
        <v>7912.2494450949898</v>
      </c>
      <c r="AN100" s="108">
        <v>8.999407703918191</v>
      </c>
      <c r="AO100" s="108">
        <v>14600.639058836872</v>
      </c>
      <c r="AP100" s="108">
        <v>4.7995768025018606</v>
      </c>
      <c r="AQ100" s="108">
        <v>7786.8334043790182</v>
      </c>
      <c r="AR100" s="108">
        <v>26.244051457773473</v>
      </c>
      <c r="AS100" s="108">
        <v>42578.349085091679</v>
      </c>
      <c r="AT100" s="108">
        <v>8.6481031246266635</v>
      </c>
      <c r="AU100" s="108">
        <v>14030.682509394297</v>
      </c>
      <c r="AV100" s="108">
        <v>9.1262540266912104</v>
      </c>
      <c r="AW100" s="108">
        <v>14806.434532903819</v>
      </c>
      <c r="AX100" s="108">
        <v>0</v>
      </c>
      <c r="AY100" s="108">
        <v>0</v>
      </c>
      <c r="AZ100" s="108">
        <v>13.850663129973476</v>
      </c>
      <c r="BA100" s="108">
        <v>22471.315862068965</v>
      </c>
      <c r="BB100" s="108">
        <v>0</v>
      </c>
      <c r="BC100" s="108">
        <v>0</v>
      </c>
      <c r="BD100" s="108">
        <v>15.120752895752895</v>
      </c>
      <c r="BE100" s="108">
        <v>24531.909498069497</v>
      </c>
      <c r="BF100" s="108">
        <v>19.763762811127382</v>
      </c>
      <c r="BG100" s="108">
        <v>32064.728784773062</v>
      </c>
      <c r="BH100" s="108">
        <v>0</v>
      </c>
      <c r="BI100" s="108">
        <v>0</v>
      </c>
      <c r="BJ100" s="108">
        <v>26.825147405660378</v>
      </c>
      <c r="BK100" s="108">
        <v>43521.119150943392</v>
      </c>
      <c r="BL100" s="108">
        <v>33.352464365223469</v>
      </c>
      <c r="BM100" s="108">
        <v>54111.038186138554</v>
      </c>
      <c r="BN100" s="108">
        <v>17.527276807999442</v>
      </c>
      <c r="BO100" s="108">
        <v>28436.253893298293</v>
      </c>
      <c r="BP100" s="108">
        <v>12.999992988351853</v>
      </c>
      <c r="BQ100" s="108">
        <v>21091.188624302045</v>
      </c>
      <c r="BR100" s="108">
        <v>6.1919923126201164</v>
      </c>
      <c r="BS100" s="108">
        <v>10045.888327994877</v>
      </c>
      <c r="BT100" s="108">
        <v>0</v>
      </c>
      <c r="BU100" s="108">
        <v>0</v>
      </c>
      <c r="BV100" s="108">
        <v>0</v>
      </c>
      <c r="BW100" s="108">
        <v>0</v>
      </c>
      <c r="BX100" s="108">
        <v>22.919121946203923</v>
      </c>
      <c r="BY100" s="108">
        <v>37183.98344552124</v>
      </c>
      <c r="BZ100" s="108">
        <v>23.819292374159662</v>
      </c>
      <c r="CA100" s="108">
        <v>38644.419947836635</v>
      </c>
      <c r="CB100" s="108">
        <v>13.092506713431277</v>
      </c>
      <c r="CC100" s="108">
        <v>21241.282891870902</v>
      </c>
      <c r="CD100" s="108">
        <v>32.723813387395296</v>
      </c>
      <c r="CE100" s="108">
        <v>53091.114839710121</v>
      </c>
      <c r="CF100" s="108">
        <v>13.503472668810291</v>
      </c>
      <c r="CG100" s="108">
        <v>21908.034057877816</v>
      </c>
      <c r="CH100" s="108">
        <v>0</v>
      </c>
      <c r="CI100" s="108">
        <v>0</v>
      </c>
      <c r="CJ100" s="108">
        <v>8.3928406846609604</v>
      </c>
      <c r="CK100" s="108">
        <v>13616.544726793942</v>
      </c>
      <c r="CL100" s="108">
        <v>16.909676272144171</v>
      </c>
      <c r="CM100" s="108">
        <v>27434.2587839267</v>
      </c>
      <c r="CN100" s="108">
        <v>0</v>
      </c>
      <c r="CO100" s="108">
        <v>0</v>
      </c>
      <c r="CP100" s="108">
        <v>14.295172939377295</v>
      </c>
      <c r="CQ100" s="108">
        <v>23192.488576845721</v>
      </c>
      <c r="CR100" s="108">
        <v>13.957655831408752</v>
      </c>
      <c r="CS100" s="108">
        <v>22644.900820877559</v>
      </c>
      <c r="CT100" s="108">
        <v>13.461977715877438</v>
      </c>
      <c r="CU100" s="108">
        <v>21840.712646239554</v>
      </c>
    </row>
    <row r="101" spans="2:99" x14ac:dyDescent="0.2">
      <c r="C101" s="107" t="s">
        <v>266</v>
      </c>
      <c r="D101" s="108">
        <v>0</v>
      </c>
      <c r="E101" s="108">
        <v>0</v>
      </c>
      <c r="F101" s="108">
        <v>0</v>
      </c>
      <c r="G101" s="108">
        <v>0</v>
      </c>
      <c r="H101" s="108">
        <v>0</v>
      </c>
      <c r="I101" s="108">
        <v>0</v>
      </c>
      <c r="J101" s="108">
        <v>9.1210946408209814</v>
      </c>
      <c r="K101" s="108">
        <v>10857.751060433295</v>
      </c>
      <c r="L101" s="108">
        <v>0</v>
      </c>
      <c r="M101" s="108">
        <v>0</v>
      </c>
      <c r="N101" s="108">
        <v>21.287549031216226</v>
      </c>
      <c r="O101" s="108">
        <v>25340.698366759792</v>
      </c>
      <c r="P101" s="108">
        <v>9.568421052631578</v>
      </c>
      <c r="Q101" s="108">
        <v>11390.248421052629</v>
      </c>
      <c r="R101" s="108">
        <v>0</v>
      </c>
      <c r="S101" s="108">
        <v>0</v>
      </c>
      <c r="T101" s="108">
        <v>3.2860395948098464</v>
      </c>
      <c r="U101" s="108">
        <v>3911.701533661641</v>
      </c>
      <c r="V101" s="108">
        <v>2.090606052710168</v>
      </c>
      <c r="W101" s="108">
        <v>2488.6574451461838</v>
      </c>
      <c r="X101" s="108">
        <v>5.6344603381014311</v>
      </c>
      <c r="Y101" s="108">
        <v>6707.2615864759427</v>
      </c>
      <c r="Z101" s="108">
        <v>0.96317501923587379</v>
      </c>
      <c r="AA101" s="108">
        <v>1146.563542898384</v>
      </c>
      <c r="AB101" s="108">
        <v>0</v>
      </c>
      <c r="AC101" s="108">
        <v>0</v>
      </c>
      <c r="AD101" s="108">
        <v>49.203223981900457</v>
      </c>
      <c r="AE101" s="108">
        <v>58571.517828054297</v>
      </c>
      <c r="AF101" s="108">
        <v>28.985621458230483</v>
      </c>
      <c r="AG101" s="108">
        <v>34504.483783877564</v>
      </c>
      <c r="AH101" s="108">
        <v>1.3701139696722736E-15</v>
      </c>
      <c r="AI101" s="108">
        <v>1.6309836694978743E-12</v>
      </c>
      <c r="AJ101" s="108">
        <v>0</v>
      </c>
      <c r="AK101" s="108">
        <v>0</v>
      </c>
      <c r="AL101" s="108">
        <v>4.8768795889392198</v>
      </c>
      <c r="AM101" s="108">
        <v>5805.437462673247</v>
      </c>
      <c r="AN101" s="108">
        <v>9.642222539912348</v>
      </c>
      <c r="AO101" s="108">
        <v>11478.101711511657</v>
      </c>
      <c r="AP101" s="108">
        <v>4.7995768025018606</v>
      </c>
      <c r="AQ101" s="108">
        <v>5713.4162256982145</v>
      </c>
      <c r="AR101" s="108">
        <v>24.494448027255242</v>
      </c>
      <c r="AS101" s="108">
        <v>29158.190931644636</v>
      </c>
      <c r="AT101" s="108">
        <v>9.1886095699158297</v>
      </c>
      <c r="AU101" s="108">
        <v>10938.120832027802</v>
      </c>
      <c r="AV101" s="108">
        <v>9.5864012885411878</v>
      </c>
      <c r="AW101" s="108">
        <v>11411.652093879429</v>
      </c>
      <c r="AX101" s="108">
        <v>0</v>
      </c>
      <c r="AY101" s="108">
        <v>0</v>
      </c>
      <c r="AZ101" s="108">
        <v>16.208222811671089</v>
      </c>
      <c r="BA101" s="108">
        <v>19294.268435013262</v>
      </c>
      <c r="BB101" s="108">
        <v>0</v>
      </c>
      <c r="BC101" s="108">
        <v>0</v>
      </c>
      <c r="BD101" s="108">
        <v>13.833880308880309</v>
      </c>
      <c r="BE101" s="108">
        <v>16467.851119691117</v>
      </c>
      <c r="BF101" s="108">
        <v>20.251756954612006</v>
      </c>
      <c r="BG101" s="108">
        <v>24107.691478770128</v>
      </c>
      <c r="BH101" s="108">
        <v>0</v>
      </c>
      <c r="BI101" s="108">
        <v>0</v>
      </c>
      <c r="BJ101" s="108">
        <v>29.478183962264151</v>
      </c>
      <c r="BK101" s="108">
        <v>35090.83018867924</v>
      </c>
      <c r="BL101" s="108">
        <v>37.574295297530242</v>
      </c>
      <c r="BM101" s="108">
        <v>44728.441122179996</v>
      </c>
      <c r="BN101" s="108">
        <v>20.964356398357626</v>
      </c>
      <c r="BO101" s="108">
        <v>24955.969856604916</v>
      </c>
      <c r="BP101" s="108">
        <v>12.349993338934262</v>
      </c>
      <c r="BQ101" s="108">
        <v>14701.432070667342</v>
      </c>
      <c r="BR101" s="108">
        <v>6.2987508007687394</v>
      </c>
      <c r="BS101" s="108">
        <v>7498.0329532351061</v>
      </c>
      <c r="BT101" s="108">
        <v>0</v>
      </c>
      <c r="BU101" s="108">
        <v>0</v>
      </c>
      <c r="BV101" s="108">
        <v>0</v>
      </c>
      <c r="BW101" s="108">
        <v>0</v>
      </c>
      <c r="BX101" s="108">
        <v>27.024039309703131</v>
      </c>
      <c r="BY101" s="108">
        <v>32169.416394270604</v>
      </c>
      <c r="BZ101" s="108">
        <v>28.450821446912933</v>
      </c>
      <c r="CA101" s="108">
        <v>33867.857850405155</v>
      </c>
      <c r="CB101" s="108">
        <v>16.056847856094961</v>
      </c>
      <c r="CC101" s="108">
        <v>19114.071687895441</v>
      </c>
      <c r="CD101" s="108">
        <v>36.35979265266144</v>
      </c>
      <c r="CE101" s="108">
        <v>43282.697173728171</v>
      </c>
      <c r="CF101" s="108">
        <v>14.575176848874598</v>
      </c>
      <c r="CG101" s="108">
        <v>17350.290520900318</v>
      </c>
      <c r="CH101" s="108">
        <v>0</v>
      </c>
      <c r="CI101" s="108">
        <v>0</v>
      </c>
      <c r="CJ101" s="108">
        <v>8.5574061882817638</v>
      </c>
      <c r="CK101" s="108">
        <v>10186.73632653061</v>
      </c>
      <c r="CL101" s="108">
        <v>18.513321314173634</v>
      </c>
      <c r="CM101" s="108">
        <v>22038.25769239229</v>
      </c>
      <c r="CN101" s="108">
        <v>0</v>
      </c>
      <c r="CO101" s="108">
        <v>0</v>
      </c>
      <c r="CP101" s="108">
        <v>16.90616343058776</v>
      </c>
      <c r="CQ101" s="108">
        <v>20125.096947771668</v>
      </c>
      <c r="CR101" s="108">
        <v>15.673761056581961</v>
      </c>
      <c r="CS101" s="108">
        <v>18658.045161755166</v>
      </c>
      <c r="CT101" s="108">
        <v>13.69408077994429</v>
      </c>
      <c r="CU101" s="108">
        <v>16301.433760445681</v>
      </c>
    </row>
    <row r="102" spans="2:99" x14ac:dyDescent="0.2">
      <c r="C102" s="107" t="s">
        <v>267</v>
      </c>
      <c r="D102" s="108">
        <v>0</v>
      </c>
      <c r="E102" s="108">
        <v>0</v>
      </c>
      <c r="F102" s="108">
        <v>0</v>
      </c>
      <c r="G102" s="108">
        <v>0</v>
      </c>
      <c r="H102" s="108">
        <v>0</v>
      </c>
      <c r="I102" s="108">
        <v>0</v>
      </c>
      <c r="J102" s="108">
        <v>8.7410490307867743</v>
      </c>
      <c r="K102" s="108">
        <v>16950.64228050171</v>
      </c>
      <c r="L102" s="108">
        <v>0</v>
      </c>
      <c r="M102" s="108">
        <v>0</v>
      </c>
      <c r="N102" s="108">
        <v>20.161477503178141</v>
      </c>
      <c r="O102" s="108">
        <v>39097.13717416305</v>
      </c>
      <c r="P102" s="108">
        <v>7.4753289473684212</v>
      </c>
      <c r="Q102" s="108">
        <v>14496.157894736842</v>
      </c>
      <c r="R102" s="108">
        <v>0</v>
      </c>
      <c r="S102" s="108">
        <v>0</v>
      </c>
      <c r="T102" s="108">
        <v>2.9209240842754194</v>
      </c>
      <c r="U102" s="108">
        <v>5664.2559842268929</v>
      </c>
      <c r="V102" s="108">
        <v>1.9233575684933544</v>
      </c>
      <c r="W102" s="108">
        <v>3729.7749968223125</v>
      </c>
      <c r="X102" s="108">
        <v>4.9120936280884271</v>
      </c>
      <c r="Y102" s="108">
        <v>9525.5319635890773</v>
      </c>
      <c r="Z102" s="108">
        <v>0.80906701615813414</v>
      </c>
      <c r="AA102" s="108">
        <v>1568.9427577338536</v>
      </c>
      <c r="AB102" s="108">
        <v>0</v>
      </c>
      <c r="AC102" s="108">
        <v>0</v>
      </c>
      <c r="AD102" s="108">
        <v>45.244343891402721</v>
      </c>
      <c r="AE102" s="108">
        <v>87737.831674208152</v>
      </c>
      <c r="AF102" s="108">
        <v>23.592947698559698</v>
      </c>
      <c r="AG102" s="108">
        <v>45751.444177046964</v>
      </c>
      <c r="AH102" s="108">
        <v>1.2722486861242541E-15</v>
      </c>
      <c r="AI102" s="108">
        <v>2.4671446521321535E-12</v>
      </c>
      <c r="AJ102" s="108">
        <v>0</v>
      </c>
      <c r="AK102" s="108">
        <v>0</v>
      </c>
      <c r="AL102" s="108">
        <v>4.8768795889392198</v>
      </c>
      <c r="AM102" s="108">
        <v>9457.2448988709348</v>
      </c>
      <c r="AN102" s="108">
        <v>9.642222539912348</v>
      </c>
      <c r="AO102" s="108">
        <v>18698.197949398025</v>
      </c>
      <c r="AP102" s="108">
        <v>4.7995768025018606</v>
      </c>
      <c r="AQ102" s="108">
        <v>9307.339335411607</v>
      </c>
      <c r="AR102" s="108">
        <v>24.931848884884797</v>
      </c>
      <c r="AS102" s="108">
        <v>48347.841357568592</v>
      </c>
      <c r="AT102" s="108">
        <v>7.7394115218463106</v>
      </c>
      <c r="AU102" s="108">
        <v>15008.266823164364</v>
      </c>
      <c r="AV102" s="108">
        <v>7.8225034514496086</v>
      </c>
      <c r="AW102" s="108">
        <v>15169.39869305108</v>
      </c>
      <c r="AX102" s="108">
        <v>0</v>
      </c>
      <c r="AY102" s="108">
        <v>0</v>
      </c>
      <c r="AZ102" s="108">
        <v>12.671883289124668</v>
      </c>
      <c r="BA102" s="108">
        <v>24573.316074270555</v>
      </c>
      <c r="BB102" s="108">
        <v>0</v>
      </c>
      <c r="BC102" s="108">
        <v>0</v>
      </c>
      <c r="BD102" s="108">
        <v>13.833880308880309</v>
      </c>
      <c r="BE102" s="108">
        <v>26826.660694980692</v>
      </c>
      <c r="BF102" s="108">
        <v>18.787774524158127</v>
      </c>
      <c r="BG102" s="108">
        <v>36433.252357247438</v>
      </c>
      <c r="BH102" s="108">
        <v>0</v>
      </c>
      <c r="BI102" s="108">
        <v>0</v>
      </c>
      <c r="BJ102" s="108">
        <v>28.299056603773586</v>
      </c>
      <c r="BK102" s="108">
        <v>54877.530566037734</v>
      </c>
      <c r="BL102" s="108">
        <v>36.729929111068884</v>
      </c>
      <c r="BM102" s="108">
        <v>71226.678532184771</v>
      </c>
      <c r="BN102" s="108">
        <v>17.514953350885662</v>
      </c>
      <c r="BO102" s="108">
        <v>33964.997538037474</v>
      </c>
      <c r="BP102" s="108">
        <v>11.699993689516669</v>
      </c>
      <c r="BQ102" s="108">
        <v>22688.627762710723</v>
      </c>
      <c r="BR102" s="108">
        <v>6.2987508007687394</v>
      </c>
      <c r="BS102" s="108">
        <v>12214.537552850737</v>
      </c>
      <c r="BT102" s="108">
        <v>0</v>
      </c>
      <c r="BU102" s="108">
        <v>0</v>
      </c>
      <c r="BV102" s="108">
        <v>0</v>
      </c>
      <c r="BW102" s="108">
        <v>0</v>
      </c>
      <c r="BX102" s="108">
        <v>24.287427734036992</v>
      </c>
      <c r="BY102" s="108">
        <v>47098.179861844532</v>
      </c>
      <c r="BZ102" s="108">
        <v>23.157645363766338</v>
      </c>
      <c r="CA102" s="108">
        <v>44907.305889415678</v>
      </c>
      <c r="CB102" s="108">
        <v>11.85736457065474</v>
      </c>
      <c r="CC102" s="108">
        <v>22993.80137541367</v>
      </c>
      <c r="CD102" s="108">
        <v>32.269315979237028</v>
      </c>
      <c r="CE102" s="108">
        <v>62576.65754693644</v>
      </c>
      <c r="CF102" s="108">
        <v>15.003858520900323</v>
      </c>
      <c r="CG102" s="108">
        <v>29095.482443729903</v>
      </c>
      <c r="CH102" s="108">
        <v>0</v>
      </c>
      <c r="CI102" s="108">
        <v>0</v>
      </c>
      <c r="CJ102" s="108">
        <v>8.8865371955233705</v>
      </c>
      <c r="CK102" s="108">
        <v>17232.77292955892</v>
      </c>
      <c r="CL102" s="108">
        <v>17.705773767809301</v>
      </c>
      <c r="CM102" s="108">
        <v>34335.036490535793</v>
      </c>
      <c r="CN102" s="108">
        <v>0</v>
      </c>
      <c r="CO102" s="108">
        <v>0</v>
      </c>
      <c r="CP102" s="108">
        <v>13.120227218332586</v>
      </c>
      <c r="CQ102" s="108">
        <v>25442.744621790549</v>
      </c>
      <c r="CR102" s="108">
        <v>11.726719038683584</v>
      </c>
      <c r="CS102" s="108">
        <v>22740.453559815203</v>
      </c>
      <c r="CT102" s="108">
        <v>12.069359331476324</v>
      </c>
      <c r="CU102" s="108">
        <v>23404.901615598887</v>
      </c>
    </row>
    <row r="103" spans="2:99" x14ac:dyDescent="0.2">
      <c r="C103" s="107" t="s">
        <v>268</v>
      </c>
      <c r="D103" s="108">
        <v>0</v>
      </c>
      <c r="E103" s="108">
        <v>0</v>
      </c>
      <c r="F103" s="108">
        <v>0</v>
      </c>
      <c r="G103" s="108">
        <v>0</v>
      </c>
      <c r="H103" s="108">
        <v>0</v>
      </c>
      <c r="I103" s="108">
        <v>0</v>
      </c>
      <c r="J103" s="108">
        <v>8.7410490307867743</v>
      </c>
      <c r="K103" s="108">
        <v>17726.847434435578</v>
      </c>
      <c r="L103" s="108">
        <v>0</v>
      </c>
      <c r="M103" s="108">
        <v>0</v>
      </c>
      <c r="N103" s="108">
        <v>17.293355570140267</v>
      </c>
      <c r="O103" s="108">
        <v>35070.925096244464</v>
      </c>
      <c r="P103" s="108">
        <v>8.3723684210526326</v>
      </c>
      <c r="Q103" s="108">
        <v>16979.163157894738</v>
      </c>
      <c r="R103" s="108">
        <v>0</v>
      </c>
      <c r="S103" s="108">
        <v>0</v>
      </c>
      <c r="T103" s="108">
        <v>3.1643344246317042</v>
      </c>
      <c r="U103" s="108">
        <v>6417.2702131530959</v>
      </c>
      <c r="V103" s="108">
        <v>2.090606052710168</v>
      </c>
      <c r="W103" s="108">
        <v>4239.7490748962209</v>
      </c>
      <c r="X103" s="108">
        <v>5.4899869960988292</v>
      </c>
      <c r="Y103" s="108">
        <v>11133.693628088426</v>
      </c>
      <c r="Z103" s="108">
        <v>0.88612101769700391</v>
      </c>
      <c r="AA103" s="108">
        <v>1797.0534238895239</v>
      </c>
      <c r="AB103" s="108">
        <v>0</v>
      </c>
      <c r="AC103" s="108">
        <v>0</v>
      </c>
      <c r="AD103" s="108">
        <v>38.457692307692312</v>
      </c>
      <c r="AE103" s="108">
        <v>77992.200000000012</v>
      </c>
      <c r="AF103" s="108">
        <v>21.570695038683152</v>
      </c>
      <c r="AG103" s="108">
        <v>43745.369538449435</v>
      </c>
      <c r="AH103" s="108">
        <v>1.1906942831675712E-15</v>
      </c>
      <c r="AI103" s="108">
        <v>2.4147280062638343E-12</v>
      </c>
      <c r="AJ103" s="108">
        <v>0</v>
      </c>
      <c r="AK103" s="108">
        <v>0</v>
      </c>
      <c r="AL103" s="108">
        <v>4.2118505540838713</v>
      </c>
      <c r="AM103" s="108">
        <v>8541.6329236820911</v>
      </c>
      <c r="AN103" s="108">
        <v>8.356592867924034</v>
      </c>
      <c r="AO103" s="108">
        <v>16947.170336149942</v>
      </c>
      <c r="AP103" s="108">
        <v>5.0521861078966959</v>
      </c>
      <c r="AQ103" s="108">
        <v>10245.833426814499</v>
      </c>
      <c r="AR103" s="108">
        <v>23.182245454366569</v>
      </c>
      <c r="AS103" s="108">
        <v>47013.593781455405</v>
      </c>
      <c r="AT103" s="108">
        <v>7.2427863668748316</v>
      </c>
      <c r="AU103" s="108">
        <v>14688.370752022158</v>
      </c>
      <c r="AV103" s="108">
        <v>8.6661067648412331</v>
      </c>
      <c r="AW103" s="108">
        <v>17574.864519098021</v>
      </c>
      <c r="AX103" s="108">
        <v>0</v>
      </c>
      <c r="AY103" s="108">
        <v>0</v>
      </c>
      <c r="AZ103" s="108">
        <v>12.082493368700264</v>
      </c>
      <c r="BA103" s="108">
        <v>24503.296551724135</v>
      </c>
      <c r="BB103" s="108">
        <v>0</v>
      </c>
      <c r="BC103" s="108">
        <v>0</v>
      </c>
      <c r="BD103" s="108">
        <v>14.79903474903475</v>
      </c>
      <c r="BE103" s="108">
        <v>30012.442471042472</v>
      </c>
      <c r="BF103" s="108">
        <v>16.591800878477308</v>
      </c>
      <c r="BG103" s="108">
        <v>33648.172181551978</v>
      </c>
      <c r="BH103" s="108">
        <v>0</v>
      </c>
      <c r="BI103" s="108">
        <v>0</v>
      </c>
      <c r="BJ103" s="108">
        <v>27.709492924528302</v>
      </c>
      <c r="BK103" s="108">
        <v>56194.851650943398</v>
      </c>
      <c r="BL103" s="108">
        <v>30.819365805839411</v>
      </c>
      <c r="BM103" s="108">
        <v>62501.673854242326</v>
      </c>
      <c r="BN103" s="108">
        <v>17.283985608701158</v>
      </c>
      <c r="BO103" s="108">
        <v>35051.922814445948</v>
      </c>
      <c r="BP103" s="108">
        <v>12.133326789128397</v>
      </c>
      <c r="BQ103" s="108">
        <v>24606.386728352387</v>
      </c>
      <c r="BR103" s="108">
        <v>5.7649583600256262</v>
      </c>
      <c r="BS103" s="108">
        <v>11691.335554131971</v>
      </c>
      <c r="BT103" s="108">
        <v>0</v>
      </c>
      <c r="BU103" s="108">
        <v>0</v>
      </c>
      <c r="BV103" s="108">
        <v>0</v>
      </c>
      <c r="BW103" s="108">
        <v>0</v>
      </c>
      <c r="BX103" s="108">
        <v>22.577045499245653</v>
      </c>
      <c r="BY103" s="108">
        <v>45786.248272470184</v>
      </c>
      <c r="BZ103" s="108">
        <v>21.172704332586367</v>
      </c>
      <c r="CA103" s="108">
        <v>42938.244386485152</v>
      </c>
      <c r="CB103" s="108">
        <v>12.351421427765354</v>
      </c>
      <c r="CC103" s="108">
        <v>25048.682655508139</v>
      </c>
      <c r="CD103" s="108">
        <v>34.0873056118701</v>
      </c>
      <c r="CE103" s="108">
        <v>69129.055780872557</v>
      </c>
      <c r="CF103" s="108">
        <v>14.146495176848877</v>
      </c>
      <c r="CG103" s="108">
        <v>28689.092218649523</v>
      </c>
      <c r="CH103" s="108">
        <v>0</v>
      </c>
      <c r="CI103" s="108">
        <v>0</v>
      </c>
      <c r="CJ103" s="108">
        <v>8.3928406846609604</v>
      </c>
      <c r="CK103" s="108">
        <v>17020.680908492428</v>
      </c>
      <c r="CL103" s="108">
        <v>18.478971162076025</v>
      </c>
      <c r="CM103" s="108">
        <v>37475.353516690178</v>
      </c>
      <c r="CN103" s="108">
        <v>0</v>
      </c>
      <c r="CO103" s="108">
        <v>0</v>
      </c>
      <c r="CP103" s="108">
        <v>12.141105784128662</v>
      </c>
      <c r="CQ103" s="108">
        <v>24622.162530212925</v>
      </c>
      <c r="CR103" s="108">
        <v>11.154683963625848</v>
      </c>
      <c r="CS103" s="108">
        <v>22621.699078233221</v>
      </c>
      <c r="CT103" s="108">
        <v>10.367270194986073</v>
      </c>
      <c r="CU103" s="108">
        <v>21024.823955431755</v>
      </c>
    </row>
    <row r="104" spans="2:99" x14ac:dyDescent="0.2">
      <c r="C104" s="107" t="s">
        <v>269</v>
      </c>
      <c r="D104" s="108">
        <v>0</v>
      </c>
      <c r="E104" s="108">
        <v>0</v>
      </c>
      <c r="F104" s="108">
        <v>0</v>
      </c>
      <c r="G104" s="108">
        <v>0</v>
      </c>
      <c r="H104" s="108">
        <v>0</v>
      </c>
      <c r="I104" s="108">
        <v>0</v>
      </c>
      <c r="J104" s="108">
        <v>8.7410490307867743</v>
      </c>
      <c r="K104" s="108">
        <v>18114.95001140251</v>
      </c>
      <c r="L104" s="108">
        <v>0</v>
      </c>
      <c r="M104" s="108">
        <v>0</v>
      </c>
      <c r="N104" s="108">
        <v>19.244080241489485</v>
      </c>
      <c r="O104" s="108">
        <v>39881.43189246281</v>
      </c>
      <c r="P104" s="108">
        <v>8.3723684210526326</v>
      </c>
      <c r="Q104" s="108">
        <v>17350.896315789476</v>
      </c>
      <c r="R104" s="108">
        <v>0</v>
      </c>
      <c r="S104" s="108">
        <v>0</v>
      </c>
      <c r="T104" s="108">
        <v>3.1643344246317042</v>
      </c>
      <c r="U104" s="108">
        <v>6557.7666616067445</v>
      </c>
      <c r="V104" s="108">
        <v>1.8397333263849478</v>
      </c>
      <c r="W104" s="108">
        <v>3812.6633456001659</v>
      </c>
      <c r="X104" s="108">
        <v>5.0565669700910272</v>
      </c>
      <c r="Y104" s="108">
        <v>10479.229388816646</v>
      </c>
      <c r="Z104" s="108">
        <v>0.80906701615813414</v>
      </c>
      <c r="AA104" s="108">
        <v>1676.7104842861172</v>
      </c>
      <c r="AB104" s="108">
        <v>0</v>
      </c>
      <c r="AC104" s="108">
        <v>0</v>
      </c>
      <c r="AD104" s="108">
        <v>43.547680995475112</v>
      </c>
      <c r="AE104" s="108">
        <v>90248.214095022631</v>
      </c>
      <c r="AF104" s="108">
        <v>24.604074028497969</v>
      </c>
      <c r="AG104" s="108">
        <v>50989.483016659193</v>
      </c>
      <c r="AH104" s="108">
        <v>1.2070051637589078E-15</v>
      </c>
      <c r="AI104" s="108">
        <v>2.5013975013739607E-12</v>
      </c>
      <c r="AJ104" s="108">
        <v>0</v>
      </c>
      <c r="AK104" s="108">
        <v>0</v>
      </c>
      <c r="AL104" s="108">
        <v>4.2118505540838713</v>
      </c>
      <c r="AM104" s="108">
        <v>8728.6390882834148</v>
      </c>
      <c r="AN104" s="108">
        <v>8.999407703918191</v>
      </c>
      <c r="AO104" s="108">
        <v>18650.372525600062</v>
      </c>
      <c r="AP104" s="108">
        <v>4.5469674971070262</v>
      </c>
      <c r="AQ104" s="108">
        <v>9423.1354410046024</v>
      </c>
      <c r="AR104" s="108">
        <v>21.213941595033557</v>
      </c>
      <c r="AS104" s="108">
        <v>43963.772561547543</v>
      </c>
      <c r="AT104" s="108">
        <v>7.3508876559326639</v>
      </c>
      <c r="AU104" s="108">
        <v>15233.979578154853</v>
      </c>
      <c r="AV104" s="108">
        <v>8.0525770823745972</v>
      </c>
      <c r="AW104" s="108">
        <v>16688.160745513116</v>
      </c>
      <c r="AX104" s="108">
        <v>0</v>
      </c>
      <c r="AY104" s="108">
        <v>0</v>
      </c>
      <c r="AZ104" s="108">
        <v>12.966578249336871</v>
      </c>
      <c r="BA104" s="108">
        <v>26871.936763925733</v>
      </c>
      <c r="BB104" s="108">
        <v>0</v>
      </c>
      <c r="BC104" s="108">
        <v>0</v>
      </c>
      <c r="BD104" s="108">
        <v>14.155598455598456</v>
      </c>
      <c r="BE104" s="108">
        <v>29336.062239382241</v>
      </c>
      <c r="BF104" s="108">
        <v>15.37181551976574</v>
      </c>
      <c r="BG104" s="108">
        <v>31856.550483162519</v>
      </c>
      <c r="BH104" s="108">
        <v>0</v>
      </c>
      <c r="BI104" s="108">
        <v>0</v>
      </c>
      <c r="BJ104" s="108">
        <v>26.825147405660378</v>
      </c>
      <c r="BK104" s="108">
        <v>55592.435483490568</v>
      </c>
      <c r="BL104" s="108">
        <v>31.663731992300765</v>
      </c>
      <c r="BM104" s="108">
        <v>65619.918180844106</v>
      </c>
      <c r="BN104" s="108">
        <v>17.539600265113222</v>
      </c>
      <c r="BO104" s="108">
        <v>36349.067589420643</v>
      </c>
      <c r="BP104" s="108">
        <v>10.833327490293211</v>
      </c>
      <c r="BQ104" s="108">
        <v>22450.987890883651</v>
      </c>
      <c r="BR104" s="108">
        <v>5.7649583600256262</v>
      </c>
      <c r="BS104" s="108">
        <v>11947.299705317108</v>
      </c>
      <c r="BT104" s="108">
        <v>0</v>
      </c>
      <c r="BU104" s="108">
        <v>0</v>
      </c>
      <c r="BV104" s="108">
        <v>0</v>
      </c>
      <c r="BW104" s="108">
        <v>0</v>
      </c>
      <c r="BX104" s="108">
        <v>19.840433923579514</v>
      </c>
      <c r="BY104" s="108">
        <v>41117.315263226184</v>
      </c>
      <c r="BZ104" s="108">
        <v>20.841880827389708</v>
      </c>
      <c r="CA104" s="108">
        <v>43192.713826682433</v>
      </c>
      <c r="CB104" s="108">
        <v>12.598449856320661</v>
      </c>
      <c r="CC104" s="108">
        <v>26109.02748223894</v>
      </c>
      <c r="CD104" s="108">
        <v>28.178839305812616</v>
      </c>
      <c r="CE104" s="108">
        <v>58397.826577366068</v>
      </c>
      <c r="CF104" s="108">
        <v>14.575176848874598</v>
      </c>
      <c r="CG104" s="108">
        <v>30205.596501607717</v>
      </c>
      <c r="CH104" s="108">
        <v>0</v>
      </c>
      <c r="CI104" s="108">
        <v>0</v>
      </c>
      <c r="CJ104" s="108">
        <v>8.7219716919025672</v>
      </c>
      <c r="CK104" s="108">
        <v>18075.414134298881</v>
      </c>
      <c r="CL104" s="108">
        <v>18.478971162076025</v>
      </c>
      <c r="CM104" s="108">
        <v>38295.819836286355</v>
      </c>
      <c r="CN104" s="108">
        <v>0</v>
      </c>
      <c r="CO104" s="108">
        <v>0</v>
      </c>
      <c r="CP104" s="108">
        <v>13.772974841135202</v>
      </c>
      <c r="CQ104" s="108">
        <v>28543.113060768595</v>
      </c>
      <c r="CR104" s="108">
        <v>11.097480456120072</v>
      </c>
      <c r="CS104" s="108">
        <v>22998.418497263239</v>
      </c>
      <c r="CT104" s="108">
        <v>11.914623955431754</v>
      </c>
      <c r="CU104" s="108">
        <v>24691.866685236768</v>
      </c>
    </row>
    <row r="105" spans="2:99" x14ac:dyDescent="0.2">
      <c r="C105" s="107" t="s">
        <v>270</v>
      </c>
      <c r="D105" s="108">
        <v>0</v>
      </c>
      <c r="E105" s="108">
        <v>0</v>
      </c>
      <c r="F105" s="108">
        <v>0</v>
      </c>
      <c r="G105" s="108">
        <v>0</v>
      </c>
      <c r="H105" s="108">
        <v>0</v>
      </c>
      <c r="I105" s="108">
        <v>0</v>
      </c>
      <c r="J105" s="108">
        <v>8.3610034207525654</v>
      </c>
      <c r="K105" s="108">
        <v>16705.284834663627</v>
      </c>
      <c r="L105" s="108">
        <v>0</v>
      </c>
      <c r="M105" s="108">
        <v>0</v>
      </c>
      <c r="N105" s="108">
        <v>17.154239392573981</v>
      </c>
      <c r="O105" s="108">
        <v>34274.170306362816</v>
      </c>
      <c r="P105" s="108">
        <v>8.3723684210526326</v>
      </c>
      <c r="Q105" s="108">
        <v>16727.992105263162</v>
      </c>
      <c r="R105" s="108">
        <v>0</v>
      </c>
      <c r="S105" s="108">
        <v>0</v>
      </c>
      <c r="T105" s="108">
        <v>3.1643344246317042</v>
      </c>
      <c r="U105" s="108">
        <v>6322.3401804141449</v>
      </c>
      <c r="V105" s="108">
        <v>1.9233575684933544</v>
      </c>
      <c r="W105" s="108">
        <v>3842.8684218497219</v>
      </c>
      <c r="X105" s="108">
        <v>5.3455136540962291</v>
      </c>
      <c r="Y105" s="108">
        <v>10680.336280884267</v>
      </c>
      <c r="Z105" s="108">
        <v>0.92464801846643896</v>
      </c>
      <c r="AA105" s="108">
        <v>1847.4467408959451</v>
      </c>
      <c r="AB105" s="108">
        <v>0</v>
      </c>
      <c r="AC105" s="108">
        <v>0</v>
      </c>
      <c r="AD105" s="108">
        <v>39.588800904977376</v>
      </c>
      <c r="AE105" s="108">
        <v>79098.424208144803</v>
      </c>
      <c r="AF105" s="108">
        <v>22.581821368621423</v>
      </c>
      <c r="AG105" s="108">
        <v>45118.479094505601</v>
      </c>
      <c r="AH105" s="108">
        <v>1.076518119028215E-15</v>
      </c>
      <c r="AI105" s="108">
        <v>2.1508832018183737E-12</v>
      </c>
      <c r="AJ105" s="108">
        <v>0</v>
      </c>
      <c r="AK105" s="108">
        <v>0</v>
      </c>
      <c r="AL105" s="108">
        <v>4.4335268990356536</v>
      </c>
      <c r="AM105" s="108">
        <v>8858.1867442732364</v>
      </c>
      <c r="AN105" s="108">
        <v>9.642222539912348</v>
      </c>
      <c r="AO105" s="108">
        <v>19265.160634744872</v>
      </c>
      <c r="AP105" s="108">
        <v>5.0521861078966959</v>
      </c>
      <c r="AQ105" s="108">
        <v>10094.267843577598</v>
      </c>
      <c r="AR105" s="108">
        <v>22.088743310292671</v>
      </c>
      <c r="AS105" s="108">
        <v>44133.309133964758</v>
      </c>
      <c r="AT105" s="108">
        <v>8.3237992574531638</v>
      </c>
      <c r="AU105" s="108">
        <v>16630.950916391423</v>
      </c>
      <c r="AV105" s="108">
        <v>8.8194891854578934</v>
      </c>
      <c r="AW105" s="108">
        <v>17621.339392544873</v>
      </c>
      <c r="AX105" s="108">
        <v>0</v>
      </c>
      <c r="AY105" s="108">
        <v>0</v>
      </c>
      <c r="AZ105" s="108">
        <v>12.671883289124668</v>
      </c>
      <c r="BA105" s="108">
        <v>25318.422811671087</v>
      </c>
      <c r="BB105" s="108">
        <v>0</v>
      </c>
      <c r="BC105" s="108">
        <v>0</v>
      </c>
      <c r="BD105" s="108">
        <v>13.833880308880309</v>
      </c>
      <c r="BE105" s="108">
        <v>27640.092857142856</v>
      </c>
      <c r="BF105" s="108">
        <v>16.835797950219622</v>
      </c>
      <c r="BG105" s="108">
        <v>33637.924304538807</v>
      </c>
      <c r="BH105" s="108">
        <v>0</v>
      </c>
      <c r="BI105" s="108">
        <v>0</v>
      </c>
      <c r="BJ105" s="108">
        <v>26.825147405660378</v>
      </c>
      <c r="BK105" s="108">
        <v>53596.644516509434</v>
      </c>
      <c r="BL105" s="108">
        <v>31.241548899070089</v>
      </c>
      <c r="BM105" s="108">
        <v>62420.614700342041</v>
      </c>
      <c r="BN105" s="108">
        <v>16.443200896782287</v>
      </c>
      <c r="BO105" s="108">
        <v>32853.515391771012</v>
      </c>
      <c r="BP105" s="108">
        <v>11.916660239322532</v>
      </c>
      <c r="BQ105" s="108">
        <v>23809.487158166419</v>
      </c>
      <c r="BR105" s="108">
        <v>6.6190262652146075</v>
      </c>
      <c r="BS105" s="108">
        <v>13224.814477898786</v>
      </c>
      <c r="BT105" s="108">
        <v>0</v>
      </c>
      <c r="BU105" s="108">
        <v>0</v>
      </c>
      <c r="BV105" s="108">
        <v>0</v>
      </c>
      <c r="BW105" s="108">
        <v>0</v>
      </c>
      <c r="BX105" s="108">
        <v>22.577045499245653</v>
      </c>
      <c r="BY105" s="108">
        <v>45108.936907492811</v>
      </c>
      <c r="BZ105" s="108">
        <v>23.488468868963</v>
      </c>
      <c r="CA105" s="108">
        <v>46929.960800188077</v>
      </c>
      <c r="CB105" s="108">
        <v>14.080620427652503</v>
      </c>
      <c r="CC105" s="108">
        <v>28133.0796144497</v>
      </c>
      <c r="CD105" s="108">
        <v>29.996828938445688</v>
      </c>
      <c r="CE105" s="108">
        <v>59933.664219014485</v>
      </c>
      <c r="CF105" s="108">
        <v>12.860450160771705</v>
      </c>
      <c r="CG105" s="108">
        <v>25695.179421221867</v>
      </c>
      <c r="CH105" s="108">
        <v>0</v>
      </c>
      <c r="CI105" s="108">
        <v>0</v>
      </c>
      <c r="CJ105" s="108">
        <v>8.3928406846609604</v>
      </c>
      <c r="CK105" s="108">
        <v>16768.895687952598</v>
      </c>
      <c r="CL105" s="108">
        <v>18.098097490292268</v>
      </c>
      <c r="CM105" s="108">
        <v>36159.998785603952</v>
      </c>
      <c r="CN105" s="108">
        <v>0</v>
      </c>
      <c r="CO105" s="108">
        <v>0</v>
      </c>
      <c r="CP105" s="108">
        <v>12.206380546408923</v>
      </c>
      <c r="CQ105" s="108">
        <v>24388.348331725028</v>
      </c>
      <c r="CR105" s="108">
        <v>13.156806726327924</v>
      </c>
      <c r="CS105" s="108">
        <v>26287.299839203191</v>
      </c>
      <c r="CT105" s="108">
        <v>11.373050139275765</v>
      </c>
      <c r="CU105" s="108">
        <v>22723.354178272977</v>
      </c>
    </row>
    <row r="107" spans="2:99" x14ac:dyDescent="0.2">
      <c r="B107" s="112" t="s">
        <v>275</v>
      </c>
    </row>
    <row r="108" spans="2:99" x14ac:dyDescent="0.2">
      <c r="C108" s="107" t="s">
        <v>276</v>
      </c>
      <c r="D108" s="107" t="s">
        <v>92</v>
      </c>
      <c r="E108" s="107" t="s">
        <v>93</v>
      </c>
      <c r="F108" s="107" t="s">
        <v>94</v>
      </c>
      <c r="G108" s="107" t="s">
        <v>95</v>
      </c>
      <c r="H108" s="107" t="s">
        <v>96</v>
      </c>
      <c r="I108" s="107" t="s">
        <v>97</v>
      </c>
      <c r="J108" s="107" t="s">
        <v>98</v>
      </c>
      <c r="K108" s="107" t="s">
        <v>99</v>
      </c>
      <c r="L108" s="107" t="s">
        <v>100</v>
      </c>
      <c r="M108" s="107" t="s">
        <v>101</v>
      </c>
      <c r="N108" s="107" t="s">
        <v>102</v>
      </c>
      <c r="O108" s="107" t="s">
        <v>103</v>
      </c>
    </row>
    <row r="109" spans="2:99" x14ac:dyDescent="0.2">
      <c r="C109" s="107" t="s">
        <v>126</v>
      </c>
      <c r="D109" s="108">
        <f>SUM(D$6:D$19)+SUM(F$6:F$19)+SUM(H$6:H$19)+SUM(J$6:J$19)</f>
        <v>0</v>
      </c>
      <c r="E109" s="108">
        <f>SUM(L$6:L$19)+SUM(N$6:N$19)+SUM(P$6:P$19)+SUM(R$6:R$19)</f>
        <v>354.07116222752325</v>
      </c>
      <c r="F109" s="108">
        <f>SUM(T$6:T$19)+SUM(V$6:V$19)+SUM(X$6:X$19)+SUM(Z$6:Z$19)</f>
        <v>244.18153106715968</v>
      </c>
      <c r="G109" s="108">
        <f>SUM(AB$6:AB$19)+SUM(AD$6:AD$19)+SUM(AF$6:AF$19)+SUM(AH$6:AH$19)</f>
        <v>149.09975824265359</v>
      </c>
      <c r="H109" s="108">
        <f>SUM(AJ$6:AJ$19)+SUM(AL$6:AL$19)+SUM(AN$6:AN$19)+SUM(AP$6:AP$19)</f>
        <v>193.7970946963367</v>
      </c>
      <c r="I109" s="108">
        <f>SUM(AR$6:AR$19)+SUM(AT$6:AT$19)+SUM(AV$6:AV$19)+SUM(AX$6:AX$19)</f>
        <v>234.70782761342244</v>
      </c>
      <c r="J109" s="108">
        <f>SUM(AZ$6:AZ$19)+SUM(BB$6:BB$19)+SUM(BD$6:BD$19)+SUM(BF$6:BF$19)</f>
        <v>318.35434799788806</v>
      </c>
      <c r="K109" s="108">
        <f>SUM(BH$6:BH$19)+SUM(BJ$6:BJ$19)+SUM(BL$6:BL$19)+SUM(BN$6:BN$19)</f>
        <v>310.50519854309016</v>
      </c>
      <c r="L109" s="108">
        <f>SUM(BP$6:BP$19)+SUM(BR$6:BR$19)+SUM(BT$6:BT$19)+SUM(BV$6:BV$19)</f>
        <v>207.86079967597979</v>
      </c>
      <c r="M109" s="108">
        <f>SUM(BX$6:BX$19)+SUM(BZ$6:BZ$19)+SUM(CB$6:CB$19)+SUM(CD$6:CD$19)</f>
        <v>290.03828944962015</v>
      </c>
      <c r="N109" s="108">
        <f>SUM(CF$6:CF$19)+SUM(CH$6:CH$19)+SUM(CJ$6:CJ$19)+SUM(CL$6:CL$19)</f>
        <v>80.023093490596395</v>
      </c>
      <c r="O109" s="108">
        <f>SUM(CN$6:CN$19)+SUM(CP$6:CP$19)+SUM(CR$6:CR$19)+SUM(CT$6:CT$19)</f>
        <v>70.85004151095896</v>
      </c>
    </row>
    <row r="110" spans="2:99" x14ac:dyDescent="0.2">
      <c r="C110" s="107" t="s">
        <v>127</v>
      </c>
      <c r="D110" s="108">
        <f>SUM(D$20:D$36)+SUM(F$20:F$36)+SUM(H$20:H$36)+SUM(J$20:J$36)</f>
        <v>0</v>
      </c>
      <c r="E110" s="108">
        <f>SUM(L$20:L$36)+SUM(N$20:N$36)+SUM(P$20:P$36)+SUM(R$20:R$36)</f>
        <v>299.98849810847366</v>
      </c>
      <c r="F110" s="108">
        <f>SUM(T$20:T$36)+SUM(V$20:V$36)+SUM(X$20:X$36)+SUM(Z$20:Z$36)</f>
        <v>446.46846560244819</v>
      </c>
      <c r="G110" s="108">
        <f>SUM(AB$20:AB$36)+SUM(AD$20:AD$36)+SUM(AF$20:AF$36)+SUM(AH$20:AH$36)</f>
        <v>262.1199948454173</v>
      </c>
      <c r="H110" s="108">
        <f>SUM(AJ$20:AJ$36)+SUM(AL$20:AL$36)+SUM(AN$20:AN$36)+SUM(AP$20:AP$36)</f>
        <v>433.55985780852677</v>
      </c>
      <c r="I110" s="108">
        <f>SUM(AR$20:AR$36)+SUM(AT$20:AT$36)+SUM(AV$20:AV$36)+SUM(AX$20:AX$36)</f>
        <v>571.62289676276703</v>
      </c>
      <c r="J110" s="108">
        <f>SUM(AZ$20:AZ$36)+SUM(BB$20:BB$36)+SUM(BD$20:BD$36)+SUM(BF$20:BF$36)</f>
        <v>117.21968586080777</v>
      </c>
      <c r="K110" s="108">
        <f>SUM(BH$20:BH$36)+SUM(BJ$20:BJ$36)+SUM(BL$20:BL$36)+SUM(BN$20:BN$36)</f>
        <v>323.64510403568738</v>
      </c>
      <c r="L110" s="108">
        <f>SUM(BP$20:BP$36)+SUM(BR$20:BR$36)+SUM(BT$20:BT$36)+SUM(BV$20:BV$36)</f>
        <v>498.10187264280751</v>
      </c>
      <c r="M110" s="108">
        <f>SUM(BX$20:BX$36)+SUM(BZ$20:BZ$36)+SUM(CB$20:CB$36)+SUM(CD$20:CD$36)</f>
        <v>152.15678895846727</v>
      </c>
      <c r="N110" s="108">
        <f>SUM(CF$20:CF$36)+SUM(CH$20:CH$36)+SUM(CJ$20:CJ$36)+SUM(CL$20:CL$36)</f>
        <v>615.4388225370285</v>
      </c>
      <c r="O110" s="108">
        <f>SUM(CN$20:CN$36)+SUM(CP$20:CP$36)+SUM(CR$20:CR$36)+SUM(CT$20:CT$36)</f>
        <v>290.32052819685862</v>
      </c>
    </row>
    <row r="111" spans="2:99" x14ac:dyDescent="0.2">
      <c r="C111" s="107" t="s">
        <v>128</v>
      </c>
      <c r="D111" s="108">
        <f>SUM(D$37:D$48)+SUM(F$37:F$48)+SUM(H$37:H$48)+SUM(J$37:J$48)</f>
        <v>0</v>
      </c>
      <c r="E111" s="108">
        <f>SUM(L$37:L$48)+SUM(N$37:N$48)+SUM(P$37:P$48)+SUM(R$37:R$48)</f>
        <v>287.24166487979028</v>
      </c>
      <c r="F111" s="108">
        <f>SUM(T$37:T$48)+SUM(V$37:V$48)+SUM(X$37:X$48)+SUM(Z$37:Z$48)</f>
        <v>161.62516409569966</v>
      </c>
      <c r="G111" s="108">
        <f>SUM(AB$37:AB$48)+SUM(AD$37:AD$48)+SUM(AF$37:AF$48)+SUM(AH$37:AH$48)</f>
        <v>152.66944825598057</v>
      </c>
      <c r="H111" s="108">
        <f>SUM(AJ$37:AJ$48)+SUM(AL$37:AL$48)+SUM(AN$37:AN$48)+SUM(AP$37:AP$48)</f>
        <v>258.42217516608804</v>
      </c>
      <c r="I111" s="108">
        <f>SUM(AR$37:AR$48)+SUM(AT$37:AT$48)+SUM(AV$37:AV$48)+SUM(AX$37:AX$48)</f>
        <v>177.18818190632675</v>
      </c>
      <c r="J111" s="108">
        <f>SUM(AZ$37:AZ$48)+SUM(BB$37:BB$48)+SUM(BD$37:BD$48)+SUM(BF$37:BF$48)</f>
        <v>47.019340779415053</v>
      </c>
      <c r="K111" s="108">
        <f>SUM(BH$37:BH$48)+SUM(BJ$37:BJ$48)+SUM(BL$37:BL$48)+SUM(BN$37:BN$48)</f>
        <v>382.82431637612876</v>
      </c>
      <c r="L111" s="108">
        <f>SUM(BP$37:BP$48)+SUM(BR$37:BR$48)+SUM(BT$37:BT$48)+SUM(BV$37:BV$48)</f>
        <v>399.27722052515435</v>
      </c>
      <c r="M111" s="108">
        <f>SUM(BX$37:BX$48)+SUM(BZ$37:BZ$48)+SUM(CB$37:CB$48)+SUM(CD$37:CD$48)</f>
        <v>25.412674376725285</v>
      </c>
      <c r="N111" s="108">
        <f>SUM(CF$37:CF$48)+SUM(CH$37:CH$48)+SUM(CJ$37:CJ$48)+SUM(CL$37:CL$48)</f>
        <v>91.166952048242095</v>
      </c>
      <c r="O111" s="108">
        <f>SUM(CN$37:CN$48)+SUM(CP$37:CP$48)+SUM(CR$37:CR$48)+SUM(CT$37:CT$48)</f>
        <v>53.79805374822493</v>
      </c>
    </row>
    <row r="112" spans="2:99" x14ac:dyDescent="0.2">
      <c r="C112" s="107" t="s">
        <v>129</v>
      </c>
      <c r="D112" s="108">
        <f>SUM(D$49:D$70)+SUM(F$49:F$70)+SUM(H$49:H$70)+SUM(J$49:J$70)</f>
        <v>43.705245153933866</v>
      </c>
      <c r="E112" s="108">
        <f>SUM(L$49:L$70)+SUM(N$49:N$70)+SUM(P$49:P$70)+SUM(R$49:R$70)</f>
        <v>458.17240666826842</v>
      </c>
      <c r="F112" s="108">
        <f>SUM(T$49:T$70)+SUM(V$49:V$70)+SUM(X$49:X$70)+SUM(Z$49:Z$70)</f>
        <v>500.73731685040684</v>
      </c>
      <c r="G112" s="108">
        <f>SUM(AB$49:AB$70)+SUM(AD$49:AD$70)+SUM(AF$49:AF$70)+SUM(AH$49:AH$70)</f>
        <v>139.27098873133744</v>
      </c>
      <c r="H112" s="108">
        <f>SUM(AJ$49:AJ$70)+SUM(AL$49:AL$70)+SUM(AN$49:AN$70)+SUM(AP$49:AP$70)</f>
        <v>333.35011192240796</v>
      </c>
      <c r="I112" s="108">
        <f>SUM(AR$49:AR$70)+SUM(AT$49:AT$70)+SUM(AV$49:AV$70)+SUM(AX$49:AX$70)</f>
        <v>375.29381606209324</v>
      </c>
      <c r="J112" s="108">
        <f>SUM(AZ$49:AZ$70)+SUM(BB$49:BB$70)+SUM(BD$49:BD$70)+SUM(BF$49:BF$70)</f>
        <v>554.87101029619635</v>
      </c>
      <c r="K112" s="108">
        <f>SUM(BH$49:BH$70)+SUM(BJ$49:BJ$70)+SUM(BL$49:BL$70)+SUM(BN$49:BN$70)</f>
        <v>101.04286541787039</v>
      </c>
      <c r="L112" s="108">
        <f>SUM(BP$49:BP$70)+SUM(BR$49:BR$70)+SUM(BT$49:BT$70)+SUM(BV$49:BV$70)</f>
        <v>156.75250042932879</v>
      </c>
      <c r="M112" s="108">
        <f>SUM(BX$49:BX$70)+SUM(BZ$49:BZ$70)+SUM(CB$49:CB$70)+SUM(CD$49:CD$70)</f>
        <v>96.836861656359162</v>
      </c>
      <c r="N112" s="108">
        <f>SUM(CF$49:CF$70)+SUM(CH$49:CH$70)+SUM(CJ$49:CJ$70)+SUM(CL$49:CL$70)</f>
        <v>91.314363143401351</v>
      </c>
      <c r="O112" s="108">
        <f>SUM(CN$49:CN$70)+SUM(CP$49:CP$70)+SUM(CR$49:CR$70)+SUM(CT$49:CT$70)</f>
        <v>249.44562696713137</v>
      </c>
    </row>
    <row r="113" spans="2:15" x14ac:dyDescent="0.2">
      <c r="C113" s="107" t="s">
        <v>130</v>
      </c>
      <c r="D113" s="108">
        <f>SUM(D$71:D$86)+SUM(F$71:F$86)+SUM(H$71:H$86)+SUM(J$71:J$86)</f>
        <v>164.93979475484605</v>
      </c>
      <c r="E113" s="108">
        <f>SUM(L$71:L$86)+SUM(N$71:N$86)+SUM(P$71:P$86)+SUM(R$71:R$86)</f>
        <v>143.91815901580162</v>
      </c>
      <c r="F113" s="108">
        <f>SUM(T$71:T$86)+SUM(V$71:V$86)+SUM(X$71:X$86)+SUM(Z$71:Z$86)</f>
        <v>454.46700045566894</v>
      </c>
      <c r="G113" s="108">
        <f>SUM(AB$71:AB$86)+SUM(AD$71:AD$86)+SUM(AF$71:AF$86)+SUM(AH$71:AH$86)</f>
        <v>556.44273642959672</v>
      </c>
      <c r="H113" s="108">
        <f>SUM(AJ$71:AJ$86)+SUM(AL$71:AL$86)+SUM(AN$71:AN$86)+SUM(AP$71:AP$86)</f>
        <v>533.48865372270109</v>
      </c>
      <c r="I113" s="108">
        <f>SUM(AR$71:AR$86)+SUM(AT$71:AT$86)+SUM(AV$71:AV$86)+SUM(AX$71:AX$86)</f>
        <v>344.13955070956052</v>
      </c>
      <c r="J113" s="108">
        <f>SUM(AZ$71:AZ$86)+SUM(BB$71:BB$86)+SUM(BD$71:BD$86)+SUM(BF$71:BF$86)</f>
        <v>165.40777220777471</v>
      </c>
      <c r="K113" s="108">
        <f>SUM(BH$71:BH$86)+SUM(BJ$71:BJ$86)+SUM(BL$71:BL$86)+SUM(BN$71:BN$86)</f>
        <v>453.18268989122458</v>
      </c>
      <c r="L113" s="108">
        <f>SUM(BP$71:BP$86)+SUM(BR$71:BR$86)+SUM(BT$71:BT$86)+SUM(BV$71:BV$86)</f>
        <v>76.560723374607875</v>
      </c>
      <c r="M113" s="108">
        <f>SUM(BX$71:BX$86)+SUM(BZ$71:BZ$86)+SUM(CB$71:CB$86)+SUM(CD$71:CD$86)</f>
        <v>384.90801282054952</v>
      </c>
      <c r="N113" s="108">
        <f>SUM(CF$71:CF$86)+SUM(CH$71:CH$86)+SUM(CJ$71:CJ$86)+SUM(CL$71:CL$86)</f>
        <v>444.97927108412819</v>
      </c>
      <c r="O113" s="108">
        <f>SUM(CN$71:CN$86)+SUM(CP$71:CP$86)+SUM(CR$71:CR$86)+SUM(CT$71:CT$86)</f>
        <v>43.310010367255884</v>
      </c>
    </row>
    <row r="114" spans="2:15" x14ac:dyDescent="0.2">
      <c r="C114" s="107" t="s">
        <v>131</v>
      </c>
      <c r="D114" s="108">
        <f>SUM(D$87:D$94)+SUM(F$87:F$94)+SUM(H$87:H$94)+SUM(J$87:J$94)</f>
        <v>29.643557582668191</v>
      </c>
      <c r="E114" s="108">
        <f>SUM(L$87:L$94)+SUM(N$87:N$94)+SUM(P$87:P$94)+SUM(R$87:R$94)</f>
        <v>161.81140185853155</v>
      </c>
      <c r="F114" s="108">
        <f>SUM(T$87:T$94)+SUM(V$87:V$94)+SUM(X$87:X$94)+SUM(Z$87:Z$94)</f>
        <v>193.65886433748835</v>
      </c>
      <c r="G114" s="108">
        <f>SUM(AB$87:AB$94)+SUM(AD$87:AD$94)+SUM(AF$87:AF$94)+SUM(AH$87:AH$94)</f>
        <v>173.85261240802805</v>
      </c>
      <c r="H114" s="108">
        <f>SUM(AJ$87:AJ$94)+SUM(AL$87:AL$94)+SUM(AN$87:AN$94)+SUM(AP$87:AP$94)</f>
        <v>212.219246658472</v>
      </c>
      <c r="I114" s="108">
        <f>SUM(AR$87:AR$94)+SUM(AT$87:AT$94)+SUM(AV$87:AV$94)+SUM(AX$87:AX$94)</f>
        <v>43.433595291358323</v>
      </c>
      <c r="J114" s="108">
        <f>SUM(AZ$87:AZ$94)+SUM(BB$87:BB$94)+SUM(BD$87:BD$94)+SUM(BF$87:BF$94)</f>
        <v>129.80951244403053</v>
      </c>
      <c r="K114" s="108">
        <f>SUM(BH$87:BH$94)+SUM(BJ$87:BJ$94)+SUM(BL$87:BL$94)+SUM(BN$87:BN$94)</f>
        <v>255.25061401611526</v>
      </c>
      <c r="L114" s="108">
        <f>SUM(BP$87:BP$94)+SUM(BR$87:BR$94)+SUM(BT$87:BT$94)+SUM(BV$87:BV$94)</f>
        <v>207.2965518877744</v>
      </c>
      <c r="M114" s="108">
        <f>SUM(BX$87:BX$94)+SUM(BZ$87:BZ$94)+SUM(CB$87:CB$94)+SUM(CD$87:CD$94)</f>
        <v>553.70521567154901</v>
      </c>
      <c r="N114" s="108">
        <f>SUM(CF$87:CF$94)+SUM(CH$87:CH$94)+SUM(CJ$87:CJ$94)+SUM(CL$87:CL$94)</f>
        <v>149.30971206458253</v>
      </c>
      <c r="O114" s="108">
        <f>SUM(CN$87:CN$94)+SUM(CP$87:CP$94)+SUM(CR$87:CR$94)+SUM(CT$87:CT$94)</f>
        <v>24.360035287344274</v>
      </c>
    </row>
    <row r="115" spans="2:15" x14ac:dyDescent="0.2">
      <c r="C115" s="107" t="s">
        <v>132</v>
      </c>
      <c r="D115" s="108">
        <f>SUM(D$95:D$105)+SUM(F$95:F$105)+SUM(H$95:H$105)+SUM(J$95:J$105)</f>
        <v>95.011402508551868</v>
      </c>
      <c r="E115" s="108">
        <f>SUM(L$95:L$105)+SUM(N$95:N$105)+SUM(P$95:P$105)+SUM(R$95:R$105)</f>
        <v>294.59670724161123</v>
      </c>
      <c r="F115" s="108">
        <f>SUM(T$95:T$105)+SUM(V$95:V$105)+SUM(X$95:X$105)+SUM(Z$95:Z$105)</f>
        <v>125.17689106536601</v>
      </c>
      <c r="G115" s="108">
        <f>SUM(AB$95:AB$105)+SUM(AD$95:AD$105)+SUM(AF$95:AF$105)+SUM(AH$95:AH$105)</f>
        <v>736.68446108698663</v>
      </c>
      <c r="H115" s="108">
        <f>SUM(AJ$95:AJ$105)+SUM(AL$95:AL$105)+SUM(AN$95:AN$105)+SUM(AP$95:AP$105)</f>
        <v>201.61286002546746</v>
      </c>
      <c r="I115" s="108">
        <f>SUM(AR$95:AR$105)+SUM(AT$95:AT$105)+SUM(AV$95:AV$105)+SUM(AX$95:AX$105)</f>
        <v>435.03090487117305</v>
      </c>
      <c r="J115" s="108">
        <f>SUM(AZ$95:AZ$105)+SUM(BB$95:BB$105)+SUM(BD$95:BD$105)+SUM(BF$95:BF$105)</f>
        <v>500.46833041388754</v>
      </c>
      <c r="K115" s="108">
        <f>SUM(BH$95:BH$105)+SUM(BJ$95:BJ$105)+SUM(BL$95:BL$105)+SUM(BN$95:BN$105)</f>
        <v>873.34830826056725</v>
      </c>
      <c r="L115" s="108">
        <f>SUM(BP$95:BP$105)+SUM(BR$95:BR$105)+SUM(BT$95:BT$105)+SUM(BV$95:BV$105)</f>
        <v>194.65147967246327</v>
      </c>
      <c r="M115" s="108">
        <f>SUM(BX$95:BX$105)+SUM(BZ$95:BZ$105)+SUM(CB$95:CB$105)+SUM(CD$95:CD$105)</f>
        <v>1009.0621570667297</v>
      </c>
      <c r="N115" s="108">
        <f>SUM(CF$95:CF$105)+SUM(CH$95:CH$105)+SUM(CJ$95:CJ$105)+SUM(CL$95:CL$105)</f>
        <v>444.24278563202097</v>
      </c>
      <c r="O115" s="108">
        <f>SUM(CN$95:CN$105)+SUM(CP$95:CP$105)+SUM(CR$95:CR$105)+SUM(CT$95:CT$105)</f>
        <v>421.86309452696617</v>
      </c>
    </row>
    <row r="116" spans="2:15" x14ac:dyDescent="0.2">
      <c r="C116" s="107" t="s">
        <v>277</v>
      </c>
      <c r="D116" s="108">
        <f t="shared" ref="D116:O116" si="0">SUM(D$109:D$115)</f>
        <v>333.29999999999995</v>
      </c>
      <c r="E116" s="108">
        <f t="shared" si="0"/>
        <v>1999.8000000000002</v>
      </c>
      <c r="F116" s="108">
        <f t="shared" si="0"/>
        <v>2126.3152334742376</v>
      </c>
      <c r="G116" s="108">
        <f t="shared" si="0"/>
        <v>2170.1400000000003</v>
      </c>
      <c r="H116" s="108">
        <f t="shared" si="0"/>
        <v>2166.4499999999998</v>
      </c>
      <c r="I116" s="108">
        <f t="shared" si="0"/>
        <v>2181.4167732167016</v>
      </c>
      <c r="J116" s="108">
        <f t="shared" si="0"/>
        <v>1833.15</v>
      </c>
      <c r="K116" s="108">
        <f t="shared" si="0"/>
        <v>2699.7990965406834</v>
      </c>
      <c r="L116" s="108">
        <f t="shared" si="0"/>
        <v>1740.5011482081159</v>
      </c>
      <c r="M116" s="108">
        <f t="shared" si="0"/>
        <v>2512.12</v>
      </c>
      <c r="N116" s="108">
        <f t="shared" si="0"/>
        <v>1916.4749999999999</v>
      </c>
      <c r="O116" s="108">
        <f t="shared" si="0"/>
        <v>1153.9473906047401</v>
      </c>
    </row>
    <row r="118" spans="2:15" x14ac:dyDescent="0.2">
      <c r="B118" s="111" t="s">
        <v>278</v>
      </c>
    </row>
    <row r="119" spans="2:15" x14ac:dyDescent="0.2">
      <c r="C119" s="107" t="s">
        <v>276</v>
      </c>
      <c r="D119" s="107" t="s">
        <v>92</v>
      </c>
      <c r="E119" s="107" t="s">
        <v>93</v>
      </c>
      <c r="F119" s="107" t="s">
        <v>94</v>
      </c>
      <c r="G119" s="107" t="s">
        <v>95</v>
      </c>
      <c r="H119" s="107" t="s">
        <v>96</v>
      </c>
      <c r="I119" s="107" t="s">
        <v>97</v>
      </c>
      <c r="J119" s="107" t="s">
        <v>98</v>
      </c>
      <c r="K119" s="107" t="s">
        <v>99</v>
      </c>
      <c r="L119" s="107" t="s">
        <v>100</v>
      </c>
      <c r="M119" s="107" t="s">
        <v>101</v>
      </c>
      <c r="N119" s="107" t="s">
        <v>102</v>
      </c>
      <c r="O119" s="107" t="s">
        <v>103</v>
      </c>
    </row>
    <row r="120" spans="2:15" x14ac:dyDescent="0.2">
      <c r="C120" s="107" t="s">
        <v>126</v>
      </c>
      <c r="D120" s="108">
        <f>D109*pricing!D24*2000</f>
        <v>0</v>
      </c>
      <c r="E120" s="108">
        <f>E109*pricing!E24*2000</f>
        <v>640982.06963725213</v>
      </c>
      <c r="F120" s="108">
        <f>F109*pricing!F24*2000</f>
        <v>888066.21232528274</v>
      </c>
      <c r="G120" s="108">
        <f>G109*pricing!G24*2000</f>
        <v>548826.23571231414</v>
      </c>
      <c r="H120" s="108">
        <f>H109*pricing!H24*2000</f>
        <v>886950.24264160416</v>
      </c>
      <c r="I120" s="108">
        <f>I109*pricing!I24*2000</f>
        <v>1000189.6919947317</v>
      </c>
      <c r="J120" s="108">
        <f>J109*pricing!J24*2000</f>
        <v>601396.79198325973</v>
      </c>
      <c r="K120" s="108">
        <f>K109*pricing!K24*2000</f>
        <v>663192.70735823642</v>
      </c>
      <c r="L120" s="108">
        <f>L109*pricing!L24*2000</f>
        <v>863079.41053378501</v>
      </c>
      <c r="M120" s="108">
        <f>M109*pricing!M24*2000</f>
        <v>432888.30035769666</v>
      </c>
      <c r="N120" s="108">
        <f>N109*pricing!N24*2000</f>
        <v>242173.47569951447</v>
      </c>
      <c r="O120" s="108">
        <f>O109*pricing!O24*2000</f>
        <v>277116.95537079859</v>
      </c>
    </row>
    <row r="121" spans="2:15" x14ac:dyDescent="0.2">
      <c r="C121" s="107" t="s">
        <v>127</v>
      </c>
      <c r="D121" s="108">
        <f>D110*pricing!D25*2000</f>
        <v>0</v>
      </c>
      <c r="E121" s="108">
        <f>E110*pricing!E25*2000</f>
        <v>843749.14739179844</v>
      </c>
      <c r="F121" s="108">
        <f>F110*pricing!F25*2000</f>
        <v>1539869.988564281</v>
      </c>
      <c r="G121" s="108">
        <f>G110*pricing!G25*2000</f>
        <v>1056429.288112775</v>
      </c>
      <c r="H121" s="108">
        <f>H110*pricing!H25*2000</f>
        <v>1825404.453207084</v>
      </c>
      <c r="I121" s="108">
        <f>I110*pricing!I25*2000</f>
        <v>2426747.6332253721</v>
      </c>
      <c r="J121" s="108">
        <f>J110*pricing!J25*2000</f>
        <v>500915.95286524901</v>
      </c>
      <c r="K121" s="108">
        <f>K110*pricing!K25*2000</f>
        <v>919397.62086982524</v>
      </c>
      <c r="L121" s="108">
        <f>L110*pricing!L25*2000</f>
        <v>1680360.5205385422</v>
      </c>
      <c r="M121" s="108">
        <f>M110*pricing!M25*2000</f>
        <v>432934.81836000871</v>
      </c>
      <c r="N121" s="108">
        <f>N110*pricing!N25*2000</f>
        <v>987425.31169080106</v>
      </c>
      <c r="O121" s="108">
        <f>O110*pricing!O25*2000</f>
        <v>619283.40421867243</v>
      </c>
    </row>
    <row r="122" spans="2:15" x14ac:dyDescent="0.2">
      <c r="C122" s="107" t="s">
        <v>128</v>
      </c>
      <c r="D122" s="108">
        <f>D111*pricing!D26*2000</f>
        <v>0</v>
      </c>
      <c r="E122" s="108">
        <f>E111*pricing!E26*2000</f>
        <v>590808.33096650138</v>
      </c>
      <c r="F122" s="108">
        <f>F111*pricing!F26*2000</f>
        <v>597290.44241659052</v>
      </c>
      <c r="G122" s="108">
        <f>G111*pricing!G26*2000</f>
        <v>564159.85960565589</v>
      </c>
      <c r="H122" s="108">
        <f>H111*pricing!H26*2000</f>
        <v>1009220.7065038432</v>
      </c>
      <c r="I122" s="108">
        <f>I111*pricing!I26*2000</f>
        <v>833700.11167752836</v>
      </c>
      <c r="J122" s="108">
        <f>J111*pricing!J26*2000</f>
        <v>183866.71402106073</v>
      </c>
      <c r="K122" s="108">
        <f>K111*pricing!K26*2000</f>
        <v>583513.41819593287</v>
      </c>
      <c r="L122" s="108">
        <f>L111*pricing!L26*2000</f>
        <v>1091414.8556065653</v>
      </c>
      <c r="M122" s="108">
        <f>M111*pricing!M26*2000</f>
        <v>109656.48417471079</v>
      </c>
      <c r="N122" s="108">
        <f>N111*pricing!N26*2000</f>
        <v>218281.52966123115</v>
      </c>
      <c r="O122" s="108">
        <f>O111*pricing!O26*2000</f>
        <v>174123.49766248709</v>
      </c>
    </row>
    <row r="123" spans="2:15" x14ac:dyDescent="0.2">
      <c r="C123" s="107" t="s">
        <v>129</v>
      </c>
      <c r="D123" s="108">
        <f>D112*pricing!D27*2000</f>
        <v>107897.39675436451</v>
      </c>
      <c r="E123" s="108">
        <f>E112*pricing!E27*2000</f>
        <v>925907.17316018045</v>
      </c>
      <c r="F123" s="108">
        <f>F112*pricing!F27*2000</f>
        <v>1284748.6124720646</v>
      </c>
      <c r="G123" s="108">
        <f>G112*pricing!G27*2000</f>
        <v>615925.39827869483</v>
      </c>
      <c r="H123" s="108">
        <f>H112*pricing!H27*2000</f>
        <v>1386115.9220629982</v>
      </c>
      <c r="I123" s="108">
        <f>I112*pricing!I27*2000</f>
        <v>1406201.2713991697</v>
      </c>
      <c r="J123" s="108">
        <f>J112*pricing!J27*2000</f>
        <v>931065.60080424289</v>
      </c>
      <c r="K123" s="108">
        <f>K112*pricing!K27*2000</f>
        <v>431629.67914195504</v>
      </c>
      <c r="L123" s="108">
        <f>L112*pricing!L27*2000</f>
        <v>684070.85117218108</v>
      </c>
      <c r="M123" s="108">
        <f>M112*pricing!M27*2000</f>
        <v>355232.17363498377</v>
      </c>
      <c r="N123" s="108">
        <f>N112*pricing!N27*2000</f>
        <v>314591.82894947153</v>
      </c>
      <c r="O123" s="108">
        <f>O112*pricing!O27*2000</f>
        <v>506463.2079126258</v>
      </c>
    </row>
    <row r="124" spans="2:15" x14ac:dyDescent="0.2">
      <c r="C124" s="107" t="s">
        <v>130</v>
      </c>
      <c r="D124" s="108">
        <f>D113*pricing!D28*2000</f>
        <v>555925.89323574363</v>
      </c>
      <c r="E124" s="108">
        <f>E113*pricing!E28*2000</f>
        <v>670657.80062090547</v>
      </c>
      <c r="F124" s="108">
        <f>F113*pricing!F28*2000</f>
        <v>858618.00990452769</v>
      </c>
      <c r="G124" s="108">
        <f>G113*pricing!G28*2000</f>
        <v>1465772.3833480838</v>
      </c>
      <c r="H124" s="108">
        <f>H113*pricing!H28*2000</f>
        <v>1451609.981483931</v>
      </c>
      <c r="I124" s="108">
        <f>I113*pricing!I28*2000</f>
        <v>818739.91336962814</v>
      </c>
      <c r="J124" s="108">
        <f>J113*pricing!J28*2000</f>
        <v>717092.20740389114</v>
      </c>
      <c r="K124" s="108">
        <f>K113*pricing!K28*2000</f>
        <v>1174847.5703229262</v>
      </c>
      <c r="L124" s="108">
        <f>L113*pricing!L28*2000</f>
        <v>287571.23720467108</v>
      </c>
      <c r="M124" s="108">
        <f>M113*pricing!M28*2000</f>
        <v>1501034.5368493784</v>
      </c>
      <c r="N124" s="108">
        <f>N113*pricing!N28*2000</f>
        <v>1121197.3706448437</v>
      </c>
      <c r="O124" s="108">
        <f>O113*pricing!O28*2000</f>
        <v>180096.17048293311</v>
      </c>
    </row>
    <row r="125" spans="2:15" x14ac:dyDescent="0.2">
      <c r="C125" s="107" t="s">
        <v>131</v>
      </c>
      <c r="D125" s="108">
        <f>D114*pricing!D29*2000</f>
        <v>133019.38330555343</v>
      </c>
      <c r="E125" s="108">
        <f>E114*pricing!E29*2000</f>
        <v>380540.73289433029</v>
      </c>
      <c r="F125" s="108">
        <f>F114*pricing!F29*2000</f>
        <v>329160.61149022536</v>
      </c>
      <c r="G125" s="108">
        <f>G114*pricing!G29*2000</f>
        <v>553403.29707596335</v>
      </c>
      <c r="H125" s="108">
        <f>H114*pricing!H29*2000</f>
        <v>585970.82061036676</v>
      </c>
      <c r="I125" s="108">
        <f>I114*pricing!I29*2000</f>
        <v>173997.62218263885</v>
      </c>
      <c r="J125" s="108">
        <f>J114*pricing!J29*2000</f>
        <v>450985.00790436519</v>
      </c>
      <c r="K125" s="108">
        <f>K114*pricing!K29*2000</f>
        <v>602776.14782516926</v>
      </c>
      <c r="L125" s="108">
        <f>L114*pricing!L29*2000</f>
        <v>337416.99475546734</v>
      </c>
      <c r="M125" s="108">
        <f>M114*pricing!M29*2000</f>
        <v>1049963.8542739721</v>
      </c>
      <c r="N125" s="108">
        <f>N114*pricing!N29*2000</f>
        <v>452450.08986827935</v>
      </c>
      <c r="O125" s="108">
        <f>O114*pricing!O29*2000</f>
        <v>104107.68005826762</v>
      </c>
    </row>
    <row r="126" spans="2:15" x14ac:dyDescent="0.2">
      <c r="C126" s="107" t="s">
        <v>132</v>
      </c>
      <c r="D126" s="108">
        <f>D115*pricing!D30*2000</f>
        <v>398941.12971180305</v>
      </c>
      <c r="E126" s="108">
        <f>E115*pricing!E30*2000</f>
        <v>1061002.8509980789</v>
      </c>
      <c r="F126" s="108">
        <f>F115*pricing!F30*2000</f>
        <v>426002.78857847658</v>
      </c>
      <c r="G126" s="108">
        <f>G115*pricing!G30*2000</f>
        <v>1329758.3390205731</v>
      </c>
      <c r="H126" s="108">
        <f>H115*pricing!H30*2000</f>
        <v>916092.86537510948</v>
      </c>
      <c r="I126" s="108">
        <f>I115*pricing!I30*2000</f>
        <v>880147.50065728743</v>
      </c>
      <c r="J126" s="108">
        <f>J115*pricing!J30*2000</f>
        <v>1239700.131104284</v>
      </c>
      <c r="K126" s="108">
        <f>K115*pricing!K30*2000</f>
        <v>1925724.3512440852</v>
      </c>
      <c r="L126" s="108">
        <f>L115*pricing!L30*2000</f>
        <v>499284.5501794836</v>
      </c>
      <c r="M126" s="108">
        <f>M115*pricing!M30*2000</f>
        <v>2454149.7789736134</v>
      </c>
      <c r="N126" s="108">
        <f>N115*pricing!N30*2000</f>
        <v>1178099.3778266273</v>
      </c>
      <c r="O126" s="108">
        <f>O115*pricing!O30*2000</f>
        <v>561090.26369802211</v>
      </c>
    </row>
    <row r="127" spans="2:15" x14ac:dyDescent="0.2">
      <c r="C127" s="107" t="s">
        <v>277</v>
      </c>
      <c r="D127" s="108">
        <f t="shared" ref="D127:O127" si="1">SUM(D$120:D$126)</f>
        <v>1195783.8030074646</v>
      </c>
      <c r="E127" s="108">
        <f t="shared" si="1"/>
        <v>5113648.1056690477</v>
      </c>
      <c r="F127" s="108">
        <f t="shared" si="1"/>
        <v>5923756.6657514488</v>
      </c>
      <c r="G127" s="108">
        <f t="shared" si="1"/>
        <v>6134274.8011540603</v>
      </c>
      <c r="H127" s="108">
        <f t="shared" si="1"/>
        <v>8061364.9918849356</v>
      </c>
      <c r="I127" s="108">
        <f t="shared" si="1"/>
        <v>7539723.7445063563</v>
      </c>
      <c r="J127" s="108">
        <f t="shared" si="1"/>
        <v>4625022.4060863527</v>
      </c>
      <c r="K127" s="108">
        <f t="shared" si="1"/>
        <v>6301081.4949581297</v>
      </c>
      <c r="L127" s="108">
        <f t="shared" si="1"/>
        <v>5443198.4199906951</v>
      </c>
      <c r="M127" s="108">
        <f t="shared" si="1"/>
        <v>6335859.9466243638</v>
      </c>
      <c r="N127" s="108">
        <f t="shared" si="1"/>
        <v>4514218.9843407683</v>
      </c>
      <c r="O127" s="108">
        <f t="shared" si="1"/>
        <v>2422281.1794038066</v>
      </c>
    </row>
    <row r="129" spans="2:15" x14ac:dyDescent="0.2">
      <c r="B129" s="111" t="s">
        <v>279</v>
      </c>
    </row>
    <row r="130" spans="2:15" x14ac:dyDescent="0.2">
      <c r="C130" s="113" t="s">
        <v>276</v>
      </c>
      <c r="D130" s="113" t="s">
        <v>92</v>
      </c>
      <c r="E130" s="113" t="s">
        <v>93</v>
      </c>
      <c r="F130" s="113" t="s">
        <v>94</v>
      </c>
      <c r="G130" s="113" t="s">
        <v>95</v>
      </c>
      <c r="H130" s="113" t="s">
        <v>96</v>
      </c>
      <c r="I130" s="113" t="s">
        <v>97</v>
      </c>
      <c r="J130" s="113" t="s">
        <v>98</v>
      </c>
      <c r="K130" s="113" t="s">
        <v>99</v>
      </c>
      <c r="L130" s="113" t="s">
        <v>100</v>
      </c>
      <c r="M130" s="113" t="s">
        <v>101</v>
      </c>
      <c r="N130" s="113" t="s">
        <v>102</v>
      </c>
      <c r="O130" s="113" t="s">
        <v>103</v>
      </c>
    </row>
    <row r="131" spans="2:15" x14ac:dyDescent="0.2">
      <c r="C131" s="113" t="s">
        <v>126</v>
      </c>
      <c r="D131" s="114">
        <f>SUM(E$6:E$19)+SUM(G$6:G$19)+SUM(I$6:I$19)+SUM(K$6:K$19)</f>
        <v>0</v>
      </c>
      <c r="E131" s="114">
        <f>SUM(M$6:M$19)+SUM(O$6:O$19)+SUM(Q$6:Q$19)+SUM(S$6:S$19)</f>
        <v>177899.01176104922</v>
      </c>
      <c r="F131" s="114">
        <f>SUM(U$6:U$19)+SUM(W$6:W$19)+SUM(Y$6:Y$19)+SUM(AA$6:AA$19)</f>
        <v>122009.89118166901</v>
      </c>
      <c r="G131" s="114">
        <f>SUM(AC$6:AC$19)+SUM(AE$6:AE$19)+SUM(AG$6:AG$19)+SUM(AI$6:AI$19)</f>
        <v>75505.751858580596</v>
      </c>
      <c r="H131" s="114">
        <f>SUM(AK$6:AK$19)+SUM(AM$6:AM$19)+SUM(AO$6:AO$19)+SUM(AQ$6:AQ$19)</f>
        <v>97769.11118298478</v>
      </c>
      <c r="I131" s="114">
        <f>SUM(AS$6:AS$19)+SUM(AU$6:AU$19)+SUM(AW$6:AW$19)+SUM(AY$6:AY$19)</f>
        <v>118344.63672240786</v>
      </c>
      <c r="J131" s="114">
        <f>SUM(BA$6:BA$19)+SUM(BC$6:BC$19)+SUM(BE$6:BE$19)+SUM(BG$6:BG$19)</f>
        <v>158487.41397058259</v>
      </c>
      <c r="K131" s="114">
        <f>SUM(BI$6:BI$19)+SUM(BK$6:BK$19)+SUM(BM$6:BM$19)+SUM(BO$6:BO$19)</f>
        <v>156759.33191232372</v>
      </c>
      <c r="L131" s="114">
        <f>SUM(BQ$6:BQ$19)+SUM(BS$6:BS$19)+SUM(BU$6:BU$19)+SUM(BW$6:BW$19)</f>
        <v>104299.86411842967</v>
      </c>
      <c r="M131" s="114">
        <f>SUM(BY$6:BY$19)+SUM(CA$6:CA$19)+SUM(CC$6:CC$19)+SUM(CE$6:CE$19)</f>
        <v>145413.47020349037</v>
      </c>
      <c r="N131" s="114">
        <f>SUM(CG$6:CG$19)+SUM(CI$6:CI$19)+SUM(CK$6:CK$19)+SUM(CM$6:CM$19)</f>
        <v>40150.206394104782</v>
      </c>
      <c r="O131" s="114">
        <f>SUM(CO$6:CO$19)+SUM(CQ$6:CQ$19)+SUM(CS$6:CS$19)+SUM(CU$6:CU$19)</f>
        <v>35616.478305192475</v>
      </c>
    </row>
    <row r="132" spans="2:15" x14ac:dyDescent="0.2">
      <c r="C132" s="113" t="s">
        <v>127</v>
      </c>
      <c r="D132" s="114">
        <f>SUM(E$20:E$36)+SUM(G$20:G$36)+SUM(I$20:I$36)+SUM(K$20:K$36)</f>
        <v>0</v>
      </c>
      <c r="E132" s="114">
        <f>SUM(M$20:M$36)+SUM(O$20:O$36)+SUM(Q$20:Q$36)+SUM(S$20:S$36)</f>
        <v>128236.83129699822</v>
      </c>
      <c r="F132" s="114">
        <f>SUM(U$20:U$36)+SUM(W$20:W$36)+SUM(Y$20:Y$36)+SUM(AA$20:AA$36)</f>
        <v>190399.15308997405</v>
      </c>
      <c r="G132" s="114">
        <f>SUM(AC$20:AC$36)+SUM(AE$20:AE$36)+SUM(AG$20:AG$36)+SUM(AI$20:AI$36)</f>
        <v>111519.93109707178</v>
      </c>
      <c r="H132" s="114">
        <f>SUM(AK$20:AK$36)+SUM(AM$20:AM$36)+SUM(AO$20:AO$36)+SUM(AQ$20:AQ$36)</f>
        <v>186656.32806314912</v>
      </c>
      <c r="I132" s="114">
        <f>SUM(AS$20:AS$36)+SUM(AU$20:AU$36)+SUM(AW$20:AW$36)+SUM(AY$20:AY$36)</f>
        <v>245749.25505844801</v>
      </c>
      <c r="J132" s="114">
        <f>SUM(BA$20:BA$36)+SUM(BC$20:BC$36)+SUM(BE$20:BE$36)+SUM(BG$20:BG$36)</f>
        <v>49996.699667233268</v>
      </c>
      <c r="K132" s="114">
        <f>SUM(BI$20:BI$36)+SUM(BK$20:BK$36)+SUM(BM$20:BM$36)+SUM(BO$20:BO$36)</f>
        <v>138606.02535978996</v>
      </c>
      <c r="L132" s="114">
        <f>SUM(BQ$20:BQ$36)+SUM(BS$20:BS$36)+SUM(BU$20:BU$36)+SUM(BW$20:BW$36)</f>
        <v>211270.58094808756</v>
      </c>
      <c r="M132" s="114">
        <f>SUM(BY$20:BY$36)+SUM(CA$20:CA$36)+SUM(CC$20:CC$36)+SUM(CE$20:CE$36)</f>
        <v>64417.519315031241</v>
      </c>
      <c r="N132" s="114">
        <f>SUM(CG$20:CG$36)+SUM(CI$20:CI$36)+SUM(CK$20:CK$36)+SUM(CM$20:CM$36)</f>
        <v>256859.97095357993</v>
      </c>
      <c r="O132" s="114">
        <f>SUM(CO$20:CO$36)+SUM(CQ$20:CQ$36)+SUM(CS$20:CS$36)+SUM(CU$20:CU$36)</f>
        <v>123724.52806771564</v>
      </c>
    </row>
    <row r="133" spans="2:15" x14ac:dyDescent="0.2">
      <c r="C133" s="113" t="s">
        <v>128</v>
      </c>
      <c r="D133" s="114">
        <f>SUM(E$37:E$48)+SUM(G$37:G$48)+SUM(I$37:I$48)+SUM(K$37:K$48)</f>
        <v>0</v>
      </c>
      <c r="E133" s="114">
        <f>SUM(M$37:M$48)+SUM(O$37:O$48)+SUM(Q$37:Q$48)+SUM(S$37:S$48)</f>
        <v>299442.12484441104</v>
      </c>
      <c r="F133" s="114">
        <f>SUM(U$37:U$48)+SUM(W$37:W$48)+SUM(Y$37:Y$48)+SUM(AA$37:AA$48)</f>
        <v>169471.93509370886</v>
      </c>
      <c r="G133" s="114">
        <f>SUM(AC$37:AC$48)+SUM(AE$37:AE$48)+SUM(AG$37:AG$48)+SUM(AI$37:AI$48)</f>
        <v>160668.58976748993</v>
      </c>
      <c r="H133" s="114">
        <f>SUM(AK$37:AK$48)+SUM(AM$37:AM$48)+SUM(AO$37:AO$48)+SUM(AQ$37:AQ$48)</f>
        <v>271943.11960903945</v>
      </c>
      <c r="I133" s="114">
        <f>SUM(AS$37:AS$48)+SUM(AU$37:AU$48)+SUM(AW$37:AW$48)+SUM(AY$37:AY$48)</f>
        <v>185334.37066369649</v>
      </c>
      <c r="J133" s="114">
        <f>SUM(BA$37:BA$48)+SUM(BC$37:BC$48)+SUM(BE$37:BE$48)+SUM(BG$37:BG$48)</f>
        <v>49397.578353134595</v>
      </c>
      <c r="K133" s="114">
        <f>SUM(BI$37:BI$48)+SUM(BK$37:BK$48)+SUM(BM$37:BM$48)+SUM(BO$37:BO$48)</f>
        <v>396673.90650607663</v>
      </c>
      <c r="L133" s="114">
        <f>SUM(BQ$37:BQ$48)+SUM(BS$37:BS$48)+SUM(BU$37:BU$48)+SUM(BW$37:BW$48)</f>
        <v>416138.07416450174</v>
      </c>
      <c r="M133" s="114">
        <f>SUM(BY$37:BY$48)+SUM(CA$37:CA$48)+SUM(CC$37:CC$48)+SUM(CE$37:CE$48)</f>
        <v>26634.025399654238</v>
      </c>
      <c r="N133" s="114">
        <f>SUM(CG$37:CG$48)+SUM(CI$37:CI$48)+SUM(CK$37:CK$48)+SUM(CM$37:CM$48)</f>
        <v>95026.550996057398</v>
      </c>
      <c r="O133" s="114">
        <f>SUM(CO$37:CO$48)+SUM(CQ$37:CQ$48)+SUM(CS$37:CS$48)+SUM(CU$37:CU$48)</f>
        <v>56185.289293878275</v>
      </c>
    </row>
    <row r="134" spans="2:15" x14ac:dyDescent="0.2">
      <c r="C134" s="113" t="s">
        <v>129</v>
      </c>
      <c r="D134" s="114">
        <f>SUM(E$49:E$70)+SUM(G$49:G$70)+SUM(I$49:I$70)+SUM(K$49:K$70)</f>
        <v>48066.800592930442</v>
      </c>
      <c r="E134" s="114">
        <f>SUM(M$49:M$70)+SUM(O$49:O$70)+SUM(Q$49:Q$70)+SUM(S$49:S$70)</f>
        <v>410185.17992173112</v>
      </c>
      <c r="F134" s="114">
        <f>SUM(U$49:U$70)+SUM(W$49:W$70)+SUM(Y$49:Y$70)+SUM(AA$49:AA$70)</f>
        <v>415760.91036014864</v>
      </c>
      <c r="G134" s="114">
        <f>SUM(AC$49:AC$70)+SUM(AE$49:AE$70)+SUM(AG$49:AG$70)+SUM(AI$49:AI$70)</f>
        <v>122903.24123136271</v>
      </c>
      <c r="H134" s="114">
        <f>SUM(AK$49:AK$70)+SUM(AM$49:AM$70)+SUM(AO$49:AO$70)+SUM(AQ$49:AQ$70)</f>
        <v>282873.61698731419</v>
      </c>
      <c r="I134" s="114">
        <f>SUM(AS$49:AS$70)+SUM(AU$49:AU$70)+SUM(AW$49:AW$70)+SUM(AY$49:AY$70)</f>
        <v>312600.58866784058</v>
      </c>
      <c r="J134" s="114">
        <f>SUM(BA$49:BA$70)+SUM(BC$49:BC$70)+SUM(BE$49:BE$70)+SUM(BG$49:BG$70)</f>
        <v>502636.74893794931</v>
      </c>
      <c r="K134" s="114">
        <f>SUM(BI$49:BI$70)+SUM(BK$49:BK$70)+SUM(BM$49:BM$70)+SUM(BO$49:BO$70)</f>
        <v>92178.41832013824</v>
      </c>
      <c r="L134" s="114">
        <f>SUM(BQ$49:BQ$70)+SUM(BS$49:BS$70)+SUM(BU$49:BU$70)+SUM(BW$49:BW$70)</f>
        <v>129475.16226446957</v>
      </c>
      <c r="M134" s="114">
        <f>SUM(BY$49:BY$70)+SUM(CA$49:CA$70)+SUM(CC$49:CC$70)+SUM(CE$49:CE$70)</f>
        <v>97286.423579601251</v>
      </c>
      <c r="N134" s="114">
        <f>SUM(CG$49:CG$70)+SUM(CI$49:CI$70)+SUM(CK$49:CK$70)+SUM(CM$49:CM$70)</f>
        <v>86631.571300354393</v>
      </c>
      <c r="O134" s="114">
        <f>SUM(CO$49:CO$70)+SUM(CQ$49:CQ$70)+SUM(CS$49:CS$70)+SUM(CU$49:CU$70)</f>
        <v>210236.589956273</v>
      </c>
    </row>
    <row r="135" spans="2:15" x14ac:dyDescent="0.2">
      <c r="C135" s="113" t="s">
        <v>130</v>
      </c>
      <c r="D135" s="114">
        <f>SUM(E$71:E$86)+SUM(G$71:G$86)+SUM(I$71:I$86)+SUM(K$71:K$86)</f>
        <v>91763.684743443548</v>
      </c>
      <c r="E135" s="114">
        <f>SUM(M$71:M$86)+SUM(O$71:O$86)+SUM(Q$71:Q$86)+SUM(S$71:S$86)</f>
        <v>79869.746119910124</v>
      </c>
      <c r="F135" s="114">
        <f>SUM(U$71:U$86)+SUM(W$71:W$86)+SUM(Y$71:Y$86)+SUM(AA$71:AA$86)</f>
        <v>251080.2538624419</v>
      </c>
      <c r="G135" s="114">
        <f>SUM(AC$71:AC$86)+SUM(AE$71:AE$86)+SUM(AG$71:AG$86)+SUM(AI$71:AI$86)</f>
        <v>310055.7597869662</v>
      </c>
      <c r="H135" s="114">
        <f>SUM(AK$71:AK$86)+SUM(AM$71:AM$86)+SUM(AO$71:AO$86)+SUM(AQ$71:AQ$86)</f>
        <v>296494.42834125948</v>
      </c>
      <c r="I135" s="114">
        <f>SUM(AS$71:AS$86)+SUM(AU$71:AU$86)+SUM(AW$71:AW$86)+SUM(AY$71:AY$86)</f>
        <v>189581.25784966035</v>
      </c>
      <c r="J135" s="114">
        <f>SUM(BA$71:BA$86)+SUM(BC$71:BC$86)+SUM(BE$71:BE$86)+SUM(BG$71:BG$86)</f>
        <v>92604.769697935699</v>
      </c>
      <c r="K135" s="114">
        <f>SUM(BI$71:BI$86)+SUM(BK$71:BK$86)+SUM(BM$71:BM$86)+SUM(BO$71:BO$86)</f>
        <v>251478.27291494358</v>
      </c>
      <c r="L135" s="114">
        <f>SUM(BQ$71:BQ$86)+SUM(BS$71:BS$86)+SUM(BU$71:BU$86)+SUM(BW$71:BW$86)</f>
        <v>42707.518609339924</v>
      </c>
      <c r="M135" s="114">
        <f>SUM(BY$71:BY$86)+SUM(CA$71:CA$86)+SUM(CC$71:CC$86)+SUM(CE$71:CE$86)</f>
        <v>214423.46100637491</v>
      </c>
      <c r="N135" s="114">
        <f>SUM(CG$71:CG$86)+SUM(CI$71:CI$86)+SUM(CK$71:CK$86)+SUM(CM$71:CM$86)</f>
        <v>246750.64403005812</v>
      </c>
      <c r="O135" s="114">
        <f>SUM(CO$71:CO$86)+SUM(CQ$71:CQ$86)+SUM(CS$71:CS$86)+SUM(CU$71:CU$86)</f>
        <v>24023.2797743798</v>
      </c>
    </row>
    <row r="136" spans="2:15" x14ac:dyDescent="0.2">
      <c r="C136" s="113" t="s">
        <v>131</v>
      </c>
      <c r="D136" s="114">
        <f>SUM(E$87:E$94)+SUM(G$87:G$94)+SUM(I$87:I$94)+SUM(K$87:K$94)</f>
        <v>60122.151379703537</v>
      </c>
      <c r="E136" s="114">
        <f>SUM(M$87:M$94)+SUM(O$87:O$94)+SUM(Q$87:Q$94)+SUM(S$87:S$94)</f>
        <v>327130.98451051826</v>
      </c>
      <c r="F136" s="114">
        <f>SUM(U$87:U$94)+SUM(W$87:W$94)+SUM(Y$87:Y$94)+SUM(AA$87:AA$94)</f>
        <v>391426.28454829229</v>
      </c>
      <c r="G136" s="114">
        <f>SUM(AC$87:AC$94)+SUM(AE$87:AE$94)+SUM(AG$87:AG$94)+SUM(AI$87:AI$94)</f>
        <v>351338.06544507621</v>
      </c>
      <c r="H136" s="114">
        <f>SUM(AK$87:AK$94)+SUM(AM$87:AM$94)+SUM(AO$87:AO$94)+SUM(AQ$87:AQ$94)</f>
        <v>429538.19838223816</v>
      </c>
      <c r="I136" s="114">
        <f>SUM(AS$87:AS$94)+SUM(AU$87:AU$94)+SUM(AW$87:AW$94)+SUM(AY$87:AY$94)</f>
        <v>88439.078432621056</v>
      </c>
      <c r="J136" s="114">
        <f>SUM(BA$87:BA$94)+SUM(BC$87:BC$94)+SUM(BE$87:BE$94)+SUM(BG$87:BG$94)</f>
        <v>264309.09106636664</v>
      </c>
      <c r="K136" s="114">
        <f>SUM(BI$87:BI$94)+SUM(BK$87:BK$94)+SUM(BM$87:BM$94)+SUM(BO$87:BO$94)</f>
        <v>516498.60845116456</v>
      </c>
      <c r="L136" s="114">
        <f>SUM(BQ$87:BQ$94)+SUM(BS$87:BS$94)+SUM(BU$87:BU$94)+SUM(BW$87:BW$94)</f>
        <v>418581.28443681065</v>
      </c>
      <c r="M136" s="114">
        <f>SUM(BY$87:BY$94)+SUM(CA$87:CA$94)+SUM(CC$87:CC$94)+SUM(CE$87:CE$94)</f>
        <v>1119029.5831679918</v>
      </c>
      <c r="N136" s="114">
        <f>SUM(CG$87:CG$94)+SUM(CI$87:CI$94)+SUM(CK$87:CK$94)+SUM(CM$87:CM$94)</f>
        <v>301721.28928084945</v>
      </c>
      <c r="O136" s="114">
        <f>SUM(CO$87:CO$94)+SUM(CQ$87:CQ$94)+SUM(CS$87:CS$94)+SUM(CU$87:CU$94)</f>
        <v>49532.384580484329</v>
      </c>
    </row>
    <row r="137" spans="2:15" x14ac:dyDescent="0.2">
      <c r="C137" s="113" t="s">
        <v>132</v>
      </c>
      <c r="D137" s="114">
        <f>SUM(E$95:E$105)+SUM(G$95:G$105)+SUM(I$95:I$105)+SUM(K$95:K$105)</f>
        <v>176717.56022805016</v>
      </c>
      <c r="E137" s="114">
        <f>SUM(M$95:M$105)+SUM(O$95:O$105)+SUM(Q$95:Q$105)+SUM(S$95:S$105)</f>
        <v>555471.42782143853</v>
      </c>
      <c r="F137" s="114">
        <f>SUM(U$95:U$105)+SUM(W$95:W$105)+SUM(Y$95:Y$105)+SUM(AA$95:AA$105)</f>
        <v>236372.87278869044</v>
      </c>
      <c r="G137" s="114">
        <f>SUM(AC$95:AC$105)+SUM(AE$95:AE$105)+SUM(AG$95:AG$105)+SUM(AI$95:AI$105)</f>
        <v>1323157.6123515009</v>
      </c>
      <c r="H137" s="114">
        <f>SUM(AK$95:AK$105)+SUM(AM$95:AM$105)+SUM(AO$95:AO$105)+SUM(AQ$95:AQ$105)</f>
        <v>384650.09830908832</v>
      </c>
      <c r="I137" s="114">
        <f>SUM(AS$95:AS$105)+SUM(AU$95:AU$105)+SUM(AW$95:AW$105)+SUM(AY$95:AY$105)</f>
        <v>787531.25227260171</v>
      </c>
      <c r="J137" s="114">
        <f>SUM(BA$95:BA$105)+SUM(BC$95:BC$105)+SUM(BE$95:BE$105)+SUM(BG$95:BG$105)</f>
        <v>914185.00423889828</v>
      </c>
      <c r="K137" s="114">
        <f>SUM(BI$95:BI$105)+SUM(BK$95:BK$105)+SUM(BM$95:BM$105)+SUM(BO$95:BO$105)</f>
        <v>1592900.0480185575</v>
      </c>
      <c r="L137" s="114">
        <f>SUM(BQ$95:BQ$105)+SUM(BS$95:BS$105)+SUM(BU$95:BU$105)+SUM(BW$95:BW$105)</f>
        <v>358488.74982215103</v>
      </c>
      <c r="M137" s="114">
        <f>SUM(BY$95:BY$105)+SUM(CA$95:CA$105)+SUM(CC$95:CC$105)+SUM(CE$95:CE$105)</f>
        <v>1841564.5909950151</v>
      </c>
      <c r="N137" s="114">
        <f>SUM(CG$95:CG$105)+SUM(CI$95:CI$105)+SUM(CK$95:CK$105)+SUM(CM$95:CM$105)</f>
        <v>826602.01752798387</v>
      </c>
      <c r="O137" s="114">
        <f>SUM(CO$95:CO$105)+SUM(CQ$95:CQ$105)+SUM(CS$95:CS$105)+SUM(CU$95:CU$105)</f>
        <v>742139.70754684741</v>
      </c>
    </row>
    <row r="138" spans="2:15" x14ac:dyDescent="0.2">
      <c r="C138" s="113" t="s">
        <v>277</v>
      </c>
      <c r="D138" s="108">
        <f t="shared" ref="D138:O138" si="2">SUM(D$131:D$137)</f>
        <v>376670.19694412767</v>
      </c>
      <c r="E138" s="108">
        <f t="shared" si="2"/>
        <v>1978235.3062760567</v>
      </c>
      <c r="F138" s="108">
        <f t="shared" si="2"/>
        <v>1776521.3009249251</v>
      </c>
      <c r="G138" s="108">
        <f t="shared" si="2"/>
        <v>2455148.9515380482</v>
      </c>
      <c r="H138" s="108">
        <f t="shared" si="2"/>
        <v>1949924.9008750734</v>
      </c>
      <c r="I138" s="108">
        <f t="shared" si="2"/>
        <v>1927580.4396672759</v>
      </c>
      <c r="J138" s="108">
        <f t="shared" si="2"/>
        <v>2031617.3059321004</v>
      </c>
      <c r="K138" s="108">
        <f t="shared" si="2"/>
        <v>3145094.6114829942</v>
      </c>
      <c r="L138" s="108">
        <f t="shared" si="2"/>
        <v>1680961.2343637901</v>
      </c>
      <c r="M138" s="108">
        <f t="shared" si="2"/>
        <v>3508769.0736671588</v>
      </c>
      <c r="N138" s="108">
        <f t="shared" si="2"/>
        <v>1853742.2504829881</v>
      </c>
      <c r="O138" s="108">
        <f t="shared" si="2"/>
        <v>1241458.2575247709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defaultRowHeight="12.75" x14ac:dyDescent="0.2"/>
  <cols>
    <col min="1" max="16384" width="9.140625" style="108"/>
  </cols>
  <sheetData>
    <row r="1" spans="1:99" x14ac:dyDescent="0.2">
      <c r="A1" s="109"/>
    </row>
    <row r="2" spans="1:99" x14ac:dyDescent="0.2">
      <c r="B2" s="110" t="s">
        <v>271</v>
      </c>
    </row>
    <row r="3" spans="1:99" x14ac:dyDescent="0.2">
      <c r="B3" s="111" t="s">
        <v>272</v>
      </c>
    </row>
    <row r="4" spans="1:99" x14ac:dyDescent="0.2">
      <c r="A4" s="109"/>
      <c r="B4" s="109"/>
      <c r="C4" s="107" t="s">
        <v>273</v>
      </c>
      <c r="D4" s="107" t="s">
        <v>92</v>
      </c>
      <c r="E4" s="109"/>
      <c r="F4" s="109"/>
      <c r="G4" s="109"/>
      <c r="H4" s="109"/>
      <c r="I4" s="109"/>
      <c r="J4" s="109"/>
      <c r="K4" s="109"/>
      <c r="L4" s="107" t="s">
        <v>93</v>
      </c>
      <c r="M4" s="109"/>
      <c r="N4" s="109"/>
      <c r="O4" s="109"/>
      <c r="P4" s="109"/>
      <c r="Q4" s="109"/>
      <c r="R4" s="109"/>
      <c r="S4" s="109"/>
      <c r="T4" s="107" t="s">
        <v>94</v>
      </c>
      <c r="U4" s="109"/>
      <c r="V4" s="109"/>
      <c r="W4" s="109"/>
      <c r="X4" s="109"/>
      <c r="Y4" s="109"/>
      <c r="Z4" s="109"/>
      <c r="AA4" s="109"/>
      <c r="AB4" s="107" t="s">
        <v>95</v>
      </c>
      <c r="AC4" s="109"/>
      <c r="AD4" s="109"/>
      <c r="AE4" s="109"/>
      <c r="AF4" s="109"/>
      <c r="AG4" s="109"/>
      <c r="AH4" s="109"/>
      <c r="AI4" s="109"/>
      <c r="AJ4" s="107" t="s">
        <v>96</v>
      </c>
      <c r="AK4" s="109"/>
      <c r="AL4" s="109"/>
      <c r="AM4" s="109"/>
      <c r="AN4" s="109"/>
      <c r="AO4" s="109"/>
      <c r="AP4" s="109"/>
      <c r="AQ4" s="109"/>
      <c r="AR4" s="107" t="s">
        <v>97</v>
      </c>
      <c r="AS4" s="109"/>
      <c r="AT4" s="109"/>
      <c r="AU4" s="109"/>
      <c r="AV4" s="109"/>
      <c r="AW4" s="109"/>
      <c r="AX4" s="109"/>
      <c r="AY4" s="109"/>
      <c r="AZ4" s="107" t="s">
        <v>98</v>
      </c>
      <c r="BA4" s="109"/>
      <c r="BB4" s="109"/>
      <c r="BC4" s="109"/>
      <c r="BD4" s="109"/>
      <c r="BE4" s="109"/>
      <c r="BF4" s="109"/>
      <c r="BG4" s="109"/>
      <c r="BH4" s="107" t="s">
        <v>99</v>
      </c>
      <c r="BI4" s="109"/>
      <c r="BJ4" s="109"/>
      <c r="BK4" s="109"/>
      <c r="BL4" s="109"/>
      <c r="BM4" s="109"/>
      <c r="BN4" s="109"/>
      <c r="BO4" s="109"/>
      <c r="BP4" s="107" t="s">
        <v>100</v>
      </c>
      <c r="BQ4" s="109"/>
      <c r="BR4" s="109"/>
      <c r="BS4" s="109"/>
      <c r="BT4" s="109"/>
      <c r="BU4" s="109"/>
      <c r="BV4" s="109"/>
      <c r="BW4" s="109"/>
      <c r="BX4" s="107" t="s">
        <v>101</v>
      </c>
      <c r="BY4" s="109"/>
      <c r="BZ4" s="109"/>
      <c r="CA4" s="109"/>
      <c r="CB4" s="109"/>
      <c r="CC4" s="109"/>
      <c r="CD4" s="109"/>
      <c r="CE4" s="109"/>
      <c r="CF4" s="107" t="s">
        <v>102</v>
      </c>
      <c r="CG4" s="109"/>
      <c r="CH4" s="109"/>
      <c r="CI4" s="109"/>
      <c r="CJ4" s="109"/>
      <c r="CK4" s="109"/>
      <c r="CL4" s="109"/>
      <c r="CM4" s="109"/>
      <c r="CN4" s="107" t="s">
        <v>103</v>
      </c>
      <c r="CO4" s="109"/>
      <c r="CP4" s="109"/>
      <c r="CQ4" s="109"/>
      <c r="CR4" s="109"/>
      <c r="CS4" s="109"/>
      <c r="CT4" s="109"/>
      <c r="CU4" s="109"/>
    </row>
    <row r="5" spans="1:99" x14ac:dyDescent="0.2">
      <c r="B5" s="107" t="s">
        <v>166</v>
      </c>
      <c r="C5" s="107" t="s">
        <v>274</v>
      </c>
      <c r="D5" s="107">
        <v>1</v>
      </c>
      <c r="E5" s="107"/>
      <c r="F5" s="107">
        <v>2</v>
      </c>
      <c r="G5" s="107"/>
      <c r="H5" s="107">
        <v>3</v>
      </c>
      <c r="I5" s="107"/>
      <c r="J5" s="107">
        <v>4</v>
      </c>
      <c r="K5" s="107"/>
      <c r="L5" s="107">
        <v>1</v>
      </c>
      <c r="M5" s="107"/>
      <c r="N5" s="107">
        <v>2</v>
      </c>
      <c r="O5" s="107"/>
      <c r="P5" s="107">
        <v>3</v>
      </c>
      <c r="Q5" s="107"/>
      <c r="R5" s="107">
        <v>4</v>
      </c>
      <c r="S5" s="107"/>
      <c r="T5" s="107">
        <v>1</v>
      </c>
      <c r="U5" s="107"/>
      <c r="V5" s="107">
        <v>2</v>
      </c>
      <c r="W5" s="107"/>
      <c r="X5" s="107">
        <v>3</v>
      </c>
      <c r="Y5" s="107"/>
      <c r="Z5" s="107">
        <v>4</v>
      </c>
      <c r="AA5" s="107"/>
      <c r="AB5" s="107">
        <v>1</v>
      </c>
      <c r="AC5" s="107"/>
      <c r="AD5" s="107">
        <v>2</v>
      </c>
      <c r="AE5" s="107"/>
      <c r="AF5" s="107">
        <v>3</v>
      </c>
      <c r="AG5" s="107"/>
      <c r="AH5" s="107">
        <v>4</v>
      </c>
      <c r="AI5" s="107"/>
      <c r="AJ5" s="107">
        <v>1</v>
      </c>
      <c r="AK5" s="107"/>
      <c r="AL5" s="107">
        <v>2</v>
      </c>
      <c r="AM5" s="107"/>
      <c r="AN5" s="107">
        <v>3</v>
      </c>
      <c r="AO5" s="107"/>
      <c r="AP5" s="107">
        <v>4</v>
      </c>
      <c r="AQ5" s="107"/>
      <c r="AR5" s="107">
        <v>1</v>
      </c>
      <c r="AS5" s="107"/>
      <c r="AT5" s="107">
        <v>2</v>
      </c>
      <c r="AU5" s="107"/>
      <c r="AV5" s="107">
        <v>3</v>
      </c>
      <c r="AW5" s="107"/>
      <c r="AX5" s="107">
        <v>4</v>
      </c>
      <c r="AY5" s="107"/>
      <c r="AZ5" s="107">
        <v>1</v>
      </c>
      <c r="BA5" s="107"/>
      <c r="BB5" s="107">
        <v>2</v>
      </c>
      <c r="BC5" s="107"/>
      <c r="BD5" s="107">
        <v>3</v>
      </c>
      <c r="BE5" s="107"/>
      <c r="BF5" s="107">
        <v>4</v>
      </c>
      <c r="BG5" s="107"/>
      <c r="BH5" s="107">
        <v>1</v>
      </c>
      <c r="BI5" s="107"/>
      <c r="BJ5" s="107">
        <v>2</v>
      </c>
      <c r="BK5" s="107"/>
      <c r="BL5" s="107">
        <v>3</v>
      </c>
      <c r="BM5" s="107"/>
      <c r="BN5" s="107">
        <v>4</v>
      </c>
      <c r="BO5" s="107"/>
      <c r="BP5" s="107">
        <v>1</v>
      </c>
      <c r="BQ5" s="107"/>
      <c r="BR5" s="107">
        <v>2</v>
      </c>
      <c r="BS5" s="107"/>
      <c r="BT5" s="107">
        <v>3</v>
      </c>
      <c r="BU5" s="107"/>
      <c r="BV5" s="107">
        <v>4</v>
      </c>
      <c r="BW5" s="107"/>
      <c r="BX5" s="107">
        <v>1</v>
      </c>
      <c r="BY5" s="107"/>
      <c r="BZ5" s="107">
        <v>2</v>
      </c>
      <c r="CA5" s="107"/>
      <c r="CB5" s="107">
        <v>3</v>
      </c>
      <c r="CC5" s="107"/>
      <c r="CD5" s="107">
        <v>4</v>
      </c>
      <c r="CE5" s="107"/>
      <c r="CF5" s="107">
        <v>1</v>
      </c>
      <c r="CG5" s="107"/>
      <c r="CH5" s="107">
        <v>2</v>
      </c>
      <c r="CI5" s="107"/>
      <c r="CJ5" s="107">
        <v>3</v>
      </c>
      <c r="CK5" s="107"/>
      <c r="CL5" s="107">
        <v>4</v>
      </c>
      <c r="CM5" s="107"/>
      <c r="CN5" s="107">
        <v>1</v>
      </c>
      <c r="CO5" s="107"/>
      <c r="CP5" s="107">
        <v>2</v>
      </c>
      <c r="CQ5" s="107"/>
      <c r="CR5" s="107">
        <v>3</v>
      </c>
      <c r="CS5" s="107"/>
      <c r="CT5" s="107">
        <v>4</v>
      </c>
      <c r="CU5" s="107"/>
    </row>
    <row r="6" spans="1:99" x14ac:dyDescent="0.2">
      <c r="B6" s="107" t="s">
        <v>126</v>
      </c>
      <c r="C6" s="107" t="s">
        <v>171</v>
      </c>
      <c r="D6" s="108">
        <v>0</v>
      </c>
      <c r="E6" s="108">
        <v>0</v>
      </c>
      <c r="F6" s="108">
        <v>0</v>
      </c>
      <c r="G6" s="108">
        <v>0</v>
      </c>
      <c r="H6" s="108">
        <v>0</v>
      </c>
      <c r="I6" s="108">
        <v>0</v>
      </c>
      <c r="J6" s="108">
        <v>0</v>
      </c>
      <c r="K6" s="108">
        <v>0</v>
      </c>
      <c r="L6" s="108">
        <v>2.4208251777603036</v>
      </c>
      <c r="M6" s="108">
        <v>1400.2052828165595</v>
      </c>
      <c r="N6" s="108">
        <v>2.4726371427262861</v>
      </c>
      <c r="O6" s="108">
        <v>1430.1733233528839</v>
      </c>
      <c r="P6" s="108">
        <v>1.5167274992571607</v>
      </c>
      <c r="Q6" s="108">
        <v>877.2751855703417</v>
      </c>
      <c r="R6" s="108">
        <v>2.0630532803560153</v>
      </c>
      <c r="S6" s="108">
        <v>1193.2700173579192</v>
      </c>
      <c r="T6" s="108">
        <v>0</v>
      </c>
      <c r="U6" s="108">
        <v>0</v>
      </c>
      <c r="V6" s="108">
        <v>13</v>
      </c>
      <c r="W6" s="108">
        <v>7519.2</v>
      </c>
      <c r="X6" s="108">
        <v>7.3868996787821848</v>
      </c>
      <c r="Y6" s="108">
        <v>4272.5827742076153</v>
      </c>
      <c r="Z6" s="108">
        <v>7.7547478589619727</v>
      </c>
      <c r="AA6" s="108">
        <v>4485.3461616236045</v>
      </c>
      <c r="AB6" s="108">
        <v>7.9584276943593667E-16</v>
      </c>
      <c r="AC6" s="108">
        <v>4.6031545784174572E-13</v>
      </c>
      <c r="AD6" s="108">
        <v>14.332890075739426</v>
      </c>
      <c r="AE6" s="108">
        <v>8290.1436198076844</v>
      </c>
      <c r="AF6" s="108">
        <v>16.810399813233762</v>
      </c>
      <c r="AG6" s="108">
        <v>9723.1352519744069</v>
      </c>
      <c r="AH6" s="108">
        <v>12.008703124018913</v>
      </c>
      <c r="AI6" s="108">
        <v>6945.8338869325389</v>
      </c>
      <c r="AJ6" s="108">
        <v>0</v>
      </c>
      <c r="AK6" s="108">
        <v>0</v>
      </c>
      <c r="AL6" s="108">
        <v>5.2714813582994537</v>
      </c>
      <c r="AM6" s="108">
        <v>3049.0248176404039</v>
      </c>
      <c r="AN6" s="108">
        <v>2.3879126299614777</v>
      </c>
      <c r="AO6" s="108">
        <v>1381.1686651697187</v>
      </c>
      <c r="AP6" s="108">
        <v>0</v>
      </c>
      <c r="AQ6" s="108">
        <v>0</v>
      </c>
      <c r="AR6" s="108">
        <v>9.0867636250097874</v>
      </c>
      <c r="AS6" s="108">
        <v>5255.7840807056609</v>
      </c>
      <c r="AT6" s="108">
        <v>0</v>
      </c>
      <c r="AU6" s="108">
        <v>0</v>
      </c>
      <c r="AV6" s="108">
        <v>11.019167506442058</v>
      </c>
      <c r="AW6" s="108">
        <v>6373.4864857260854</v>
      </c>
      <c r="AX6" s="108">
        <v>5.963912245871887</v>
      </c>
      <c r="AY6" s="108">
        <v>3449.5268430122992</v>
      </c>
      <c r="AZ6" s="108">
        <v>9.1271837654795842</v>
      </c>
      <c r="BA6" s="108">
        <v>5279.1630899533911</v>
      </c>
      <c r="BB6" s="108">
        <v>0</v>
      </c>
      <c r="BC6" s="108">
        <v>0</v>
      </c>
      <c r="BD6" s="108">
        <v>10</v>
      </c>
      <c r="BE6" s="108">
        <v>5784</v>
      </c>
      <c r="BF6" s="108">
        <v>4.1260646171083346</v>
      </c>
      <c r="BG6" s="108">
        <v>2386.5157745354604</v>
      </c>
      <c r="BH6" s="108">
        <v>6.6713401344487151</v>
      </c>
      <c r="BI6" s="108">
        <v>3858.7031337651365</v>
      </c>
      <c r="BJ6" s="108">
        <v>4.4872147204084678</v>
      </c>
      <c r="BK6" s="108">
        <v>2595.4049942842576</v>
      </c>
      <c r="BL6" s="108">
        <v>3.2157474236122541</v>
      </c>
      <c r="BM6" s="108">
        <v>1859.9883098173277</v>
      </c>
      <c r="BN6" s="108">
        <v>4.6824200827768081</v>
      </c>
      <c r="BO6" s="108">
        <v>2708.3117758781059</v>
      </c>
      <c r="BP6" s="108">
        <v>20.386742112870426</v>
      </c>
      <c r="BQ6" s="108">
        <v>11791.691638084254</v>
      </c>
      <c r="BR6" s="108">
        <v>16.960583024365196</v>
      </c>
      <c r="BS6" s="108">
        <v>9810.0012212928286</v>
      </c>
      <c r="BT6" s="108">
        <v>19.143369479358856</v>
      </c>
      <c r="BU6" s="108">
        <v>11072.524906861163</v>
      </c>
      <c r="BV6" s="108">
        <v>0</v>
      </c>
      <c r="BW6" s="108">
        <v>0</v>
      </c>
      <c r="BX6" s="108">
        <v>2.1436428534865168</v>
      </c>
      <c r="BY6" s="108">
        <v>1239.8830264566013</v>
      </c>
      <c r="BZ6" s="108">
        <v>1.7466286481812303</v>
      </c>
      <c r="CA6" s="108">
        <v>1010.2500101080236</v>
      </c>
      <c r="CB6" s="108">
        <v>0</v>
      </c>
      <c r="CC6" s="108">
        <v>0</v>
      </c>
      <c r="CD6" s="108">
        <v>3.5187995190530295</v>
      </c>
      <c r="CE6" s="108">
        <v>2035.2736418202721</v>
      </c>
      <c r="CF6" s="108">
        <v>0</v>
      </c>
      <c r="CG6" s="108">
        <v>0</v>
      </c>
      <c r="CH6" s="108">
        <v>0</v>
      </c>
      <c r="CI6" s="108">
        <v>0</v>
      </c>
      <c r="CJ6" s="108">
        <v>27.900234778222085</v>
      </c>
      <c r="CK6" s="108">
        <v>16137.495795723653</v>
      </c>
      <c r="CL6" s="108">
        <v>15.071512026339635</v>
      </c>
      <c r="CM6" s="108">
        <v>8717.3625560348446</v>
      </c>
      <c r="CN6" s="108">
        <v>7.2602916297104114</v>
      </c>
      <c r="CO6" s="108">
        <v>4199.352678624502</v>
      </c>
      <c r="CP6" s="108">
        <v>0</v>
      </c>
      <c r="CQ6" s="108">
        <v>0</v>
      </c>
      <c r="CR6" s="108">
        <v>0</v>
      </c>
      <c r="CS6" s="108">
        <v>0</v>
      </c>
      <c r="CT6" s="108">
        <v>11.00380484407783</v>
      </c>
      <c r="CU6" s="108">
        <v>6364.6007218146169</v>
      </c>
    </row>
    <row r="7" spans="1:99" x14ac:dyDescent="0.2">
      <c r="C7" s="107" t="s">
        <v>172</v>
      </c>
      <c r="D7" s="108">
        <v>0</v>
      </c>
      <c r="E7" s="108">
        <v>0</v>
      </c>
      <c r="F7" s="108">
        <v>0</v>
      </c>
      <c r="G7" s="108">
        <v>0</v>
      </c>
      <c r="H7" s="108">
        <v>0</v>
      </c>
      <c r="I7" s="108">
        <v>0</v>
      </c>
      <c r="J7" s="108">
        <v>0</v>
      </c>
      <c r="K7" s="108">
        <v>0</v>
      </c>
      <c r="L7" s="108">
        <v>2.4208251777603036</v>
      </c>
      <c r="M7" s="108">
        <v>1908.5785701462232</v>
      </c>
      <c r="N7" s="108">
        <v>2.395440902971286</v>
      </c>
      <c r="O7" s="108">
        <v>1888.5656079025619</v>
      </c>
      <c r="P7" s="108">
        <v>1.3893554215197497</v>
      </c>
      <c r="Q7" s="108">
        <v>1095.3678143261707</v>
      </c>
      <c r="R7" s="108">
        <v>2.0989230134857002</v>
      </c>
      <c r="S7" s="108">
        <v>1654.7909038321261</v>
      </c>
      <c r="T7" s="108">
        <v>0</v>
      </c>
      <c r="U7" s="108">
        <v>0</v>
      </c>
      <c r="V7" s="108">
        <v>11</v>
      </c>
      <c r="W7" s="108">
        <v>8672.4</v>
      </c>
      <c r="X7" s="108">
        <v>7.4723868593407792</v>
      </c>
      <c r="Y7" s="108">
        <v>5891.2297999042703</v>
      </c>
      <c r="Z7" s="108">
        <v>7.512723562274811</v>
      </c>
      <c r="AA7" s="108">
        <v>5923.0312564974611</v>
      </c>
      <c r="AB7" s="108">
        <v>7.6791846173643012E-16</v>
      </c>
      <c r="AC7" s="108">
        <v>6.0542691523300152E-13</v>
      </c>
      <c r="AD7" s="108">
        <v>13.586385384294664</v>
      </c>
      <c r="AE7" s="108">
        <v>10711.506236977912</v>
      </c>
      <c r="AF7" s="108">
        <v>16.774410672132678</v>
      </c>
      <c r="AG7" s="108">
        <v>13224.945373909402</v>
      </c>
      <c r="AH7" s="108">
        <v>9.704822630669014</v>
      </c>
      <c r="AI7" s="108">
        <v>7651.28216201945</v>
      </c>
      <c r="AJ7" s="108">
        <v>0</v>
      </c>
      <c r="AK7" s="108">
        <v>0</v>
      </c>
      <c r="AL7" s="108">
        <v>5.2714813582994537</v>
      </c>
      <c r="AM7" s="108">
        <v>4156.0359028832891</v>
      </c>
      <c r="AN7" s="108">
        <v>2.4551483170682107</v>
      </c>
      <c r="AO7" s="108">
        <v>1935.6389331765772</v>
      </c>
      <c r="AP7" s="108">
        <v>0</v>
      </c>
      <c r="AQ7" s="108">
        <v>0</v>
      </c>
      <c r="AR7" s="108">
        <v>7.9963519900086135</v>
      </c>
      <c r="AS7" s="108">
        <v>6304.3239089227909</v>
      </c>
      <c r="AT7" s="108">
        <v>0</v>
      </c>
      <c r="AU7" s="108">
        <v>0</v>
      </c>
      <c r="AV7" s="108">
        <v>10.137634105926692</v>
      </c>
      <c r="AW7" s="108">
        <v>7992.5107291126033</v>
      </c>
      <c r="AX7" s="108">
        <v>5.5852886719892183</v>
      </c>
      <c r="AY7" s="108">
        <v>4403.4415889962993</v>
      </c>
      <c r="AZ7" s="108">
        <v>7.8540633827959692</v>
      </c>
      <c r="BA7" s="108">
        <v>6192.1435709963416</v>
      </c>
      <c r="BB7" s="108">
        <v>0</v>
      </c>
      <c r="BC7" s="108">
        <v>0</v>
      </c>
      <c r="BD7" s="108">
        <v>11</v>
      </c>
      <c r="BE7" s="108">
        <v>8672.4</v>
      </c>
      <c r="BF7" s="108">
        <v>4.1260646171083346</v>
      </c>
      <c r="BG7" s="108">
        <v>3252.9893441282111</v>
      </c>
      <c r="BH7" s="108">
        <v>6.6478097104330347</v>
      </c>
      <c r="BI7" s="108">
        <v>5241.133175705404</v>
      </c>
      <c r="BJ7" s="108">
        <v>4.9898443234165839</v>
      </c>
      <c r="BK7" s="108">
        <v>3933.9932645816348</v>
      </c>
      <c r="BL7" s="108">
        <v>3.5988916388112169</v>
      </c>
      <c r="BM7" s="108">
        <v>2837.3661680387631</v>
      </c>
      <c r="BN7" s="108">
        <v>4.3371049254500544</v>
      </c>
      <c r="BO7" s="108">
        <v>3419.3735232248227</v>
      </c>
      <c r="BP7" s="108">
        <v>17.517847897694757</v>
      </c>
      <c r="BQ7" s="108">
        <v>13811.071282542547</v>
      </c>
      <c r="BR7" s="108">
        <v>14.114372278054466</v>
      </c>
      <c r="BS7" s="108">
        <v>11127.77110401814</v>
      </c>
      <c r="BT7" s="108">
        <v>16.503711552897144</v>
      </c>
      <c r="BU7" s="108">
        <v>13011.526188304108</v>
      </c>
      <c r="BV7" s="108">
        <v>0</v>
      </c>
      <c r="BW7" s="108">
        <v>0</v>
      </c>
      <c r="BX7" s="108">
        <v>1.8756874968007022</v>
      </c>
      <c r="BY7" s="108">
        <v>1478.7920224776735</v>
      </c>
      <c r="BZ7" s="108">
        <v>1.7609994122091102</v>
      </c>
      <c r="CA7" s="108">
        <v>1388.3719365856623</v>
      </c>
      <c r="CB7" s="108">
        <v>0</v>
      </c>
      <c r="CC7" s="108">
        <v>0</v>
      </c>
      <c r="CD7" s="108">
        <v>3.5187995190530295</v>
      </c>
      <c r="CE7" s="108">
        <v>2774.2215408214083</v>
      </c>
      <c r="CF7" s="108">
        <v>0</v>
      </c>
      <c r="CG7" s="108">
        <v>0</v>
      </c>
      <c r="CH7" s="108">
        <v>0</v>
      </c>
      <c r="CI7" s="108">
        <v>0</v>
      </c>
      <c r="CJ7" s="108">
        <v>27.383563763810567</v>
      </c>
      <c r="CK7" s="108">
        <v>21589.201671388251</v>
      </c>
      <c r="CL7" s="108">
        <v>13.497234580466614</v>
      </c>
      <c r="CM7" s="108">
        <v>10641.219743239879</v>
      </c>
      <c r="CN7" s="108">
        <v>6.6820522517410543</v>
      </c>
      <c r="CO7" s="108">
        <v>5268.1299952726467</v>
      </c>
      <c r="CP7" s="108">
        <v>0</v>
      </c>
      <c r="CQ7" s="108">
        <v>0</v>
      </c>
      <c r="CR7" s="108">
        <v>0</v>
      </c>
      <c r="CS7" s="108">
        <v>0</v>
      </c>
      <c r="CT7" s="108">
        <v>10.503631896619748</v>
      </c>
      <c r="CU7" s="108">
        <v>8281.0633872950093</v>
      </c>
    </row>
    <row r="8" spans="1:99" x14ac:dyDescent="0.2">
      <c r="C8" s="107" t="s">
        <v>173</v>
      </c>
      <c r="D8" s="108">
        <v>0</v>
      </c>
      <c r="E8" s="108">
        <v>0</v>
      </c>
      <c r="F8" s="108">
        <v>0</v>
      </c>
      <c r="G8" s="108">
        <v>0</v>
      </c>
      <c r="H8" s="108">
        <v>0</v>
      </c>
      <c r="I8" s="108">
        <v>0</v>
      </c>
      <c r="J8" s="108">
        <v>0</v>
      </c>
      <c r="K8" s="108">
        <v>0</v>
      </c>
      <c r="L8" s="108">
        <v>2.7666573460117756</v>
      </c>
      <c r="M8" s="108">
        <v>856.55711432524561</v>
      </c>
      <c r="N8" s="108">
        <v>2.4726371427262861</v>
      </c>
      <c r="O8" s="108">
        <v>765.52845938805808</v>
      </c>
      <c r="P8" s="108">
        <v>1.5167274992571607</v>
      </c>
      <c r="Q8" s="108">
        <v>469.5788337700169</v>
      </c>
      <c r="R8" s="108">
        <v>2.0389548342441448</v>
      </c>
      <c r="S8" s="108">
        <v>631.26041668198718</v>
      </c>
      <c r="T8" s="108">
        <v>0</v>
      </c>
      <c r="U8" s="108">
        <v>0</v>
      </c>
      <c r="V8" s="108">
        <v>12</v>
      </c>
      <c r="W8" s="108">
        <v>3715.2</v>
      </c>
      <c r="X8" s="108">
        <v>7.9668549934479529</v>
      </c>
      <c r="Y8" s="108">
        <v>2466.5383059714859</v>
      </c>
      <c r="Z8" s="108">
        <v>6.673413547961986</v>
      </c>
      <c r="AA8" s="108">
        <v>2066.0888344490309</v>
      </c>
      <c r="AB8" s="108">
        <v>8.9357784638420951E-16</v>
      </c>
      <c r="AC8" s="108">
        <v>2.7665170124055121E-13</v>
      </c>
      <c r="AD8" s="108">
        <v>15.527297582051046</v>
      </c>
      <c r="AE8" s="108">
        <v>4807.2513314030039</v>
      </c>
      <c r="AF8" s="108">
        <v>16.462481044376098</v>
      </c>
      <c r="AG8" s="108">
        <v>5096.784131338839</v>
      </c>
      <c r="AH8" s="108">
        <v>11.398425966614566</v>
      </c>
      <c r="AI8" s="108">
        <v>3528.952679263869</v>
      </c>
      <c r="AJ8" s="108">
        <v>0</v>
      </c>
      <c r="AK8" s="108">
        <v>0</v>
      </c>
      <c r="AL8" s="108">
        <v>5.2714813582994537</v>
      </c>
      <c r="AM8" s="108">
        <v>1632.0506285295107</v>
      </c>
      <c r="AN8" s="108">
        <v>2.4096691064744156</v>
      </c>
      <c r="AO8" s="108">
        <v>746.03355536447896</v>
      </c>
      <c r="AP8" s="108">
        <v>0</v>
      </c>
      <c r="AQ8" s="108">
        <v>0</v>
      </c>
      <c r="AR8" s="108">
        <v>8.7232930800093946</v>
      </c>
      <c r="AS8" s="108">
        <v>2700.7315375709081</v>
      </c>
      <c r="AT8" s="108">
        <v>0</v>
      </c>
      <c r="AU8" s="108">
        <v>0</v>
      </c>
      <c r="AV8" s="108">
        <v>13.223001007730467</v>
      </c>
      <c r="AW8" s="108">
        <v>4093.8411119933521</v>
      </c>
      <c r="AX8" s="108">
        <v>6.682252610686672</v>
      </c>
      <c r="AY8" s="108">
        <v>2068.8254082685935</v>
      </c>
      <c r="AZ8" s="108">
        <v>9.1271837654795842</v>
      </c>
      <c r="BA8" s="108">
        <v>2825.7760937924791</v>
      </c>
      <c r="BB8" s="108">
        <v>0</v>
      </c>
      <c r="BC8" s="108">
        <v>0</v>
      </c>
      <c r="BD8" s="108">
        <v>12</v>
      </c>
      <c r="BE8" s="108">
        <v>3715.2</v>
      </c>
      <c r="BF8" s="108">
        <v>4.1260646171083346</v>
      </c>
      <c r="BG8" s="108">
        <v>1277.4296054567403</v>
      </c>
      <c r="BH8" s="108">
        <v>7.0186332218469634</v>
      </c>
      <c r="BI8" s="108">
        <v>2172.9688454838197</v>
      </c>
      <c r="BJ8" s="108">
        <v>5.0751087027324582</v>
      </c>
      <c r="BK8" s="108">
        <v>1571.2536543659689</v>
      </c>
      <c r="BL8" s="108">
        <v>3.4079744524795021</v>
      </c>
      <c r="BM8" s="108">
        <v>1055.1088904876538</v>
      </c>
      <c r="BN8" s="108">
        <v>5.3903797334379702</v>
      </c>
      <c r="BO8" s="108">
        <v>1668.8615654723953</v>
      </c>
      <c r="BP8" s="108">
        <v>19.786013350457942</v>
      </c>
      <c r="BQ8" s="108">
        <v>6125.7497333017782</v>
      </c>
      <c r="BR8" s="108">
        <v>18.557544035576385</v>
      </c>
      <c r="BS8" s="108">
        <v>5745.4156334144482</v>
      </c>
      <c r="BT8" s="108">
        <v>20.944537568954154</v>
      </c>
      <c r="BU8" s="108">
        <v>6484.4288313482048</v>
      </c>
      <c r="BV8" s="108">
        <v>0</v>
      </c>
      <c r="BW8" s="108">
        <v>0</v>
      </c>
      <c r="BX8" s="108">
        <v>2.4115982101723312</v>
      </c>
      <c r="BY8" s="108">
        <v>746.63080586935371</v>
      </c>
      <c r="BZ8" s="108">
        <v>1.7681847942230497</v>
      </c>
      <c r="CA8" s="108">
        <v>547.43001229145614</v>
      </c>
      <c r="CB8" s="108">
        <v>0</v>
      </c>
      <c r="CC8" s="108">
        <v>0</v>
      </c>
      <c r="CD8" s="108">
        <v>3.5187995190530295</v>
      </c>
      <c r="CE8" s="108">
        <v>1089.4203310988178</v>
      </c>
      <c r="CF8" s="108">
        <v>0</v>
      </c>
      <c r="CG8" s="108">
        <v>0</v>
      </c>
      <c r="CH8" s="108">
        <v>0</v>
      </c>
      <c r="CI8" s="108">
        <v>0</v>
      </c>
      <c r="CJ8" s="108">
        <v>30.225254343073924</v>
      </c>
      <c r="CK8" s="108">
        <v>9357.7387446156863</v>
      </c>
      <c r="CL8" s="108">
        <v>15.963722291007622</v>
      </c>
      <c r="CM8" s="108">
        <v>4942.3684212959597</v>
      </c>
      <c r="CN8" s="108">
        <v>7.2752913432431852</v>
      </c>
      <c r="CO8" s="108">
        <v>2252.4301998680899</v>
      </c>
      <c r="CP8" s="108">
        <v>0</v>
      </c>
      <c r="CQ8" s="108">
        <v>0</v>
      </c>
      <c r="CR8" s="108">
        <v>0</v>
      </c>
      <c r="CS8" s="108">
        <v>0</v>
      </c>
      <c r="CT8" s="108">
        <v>13.004496633910163</v>
      </c>
      <c r="CU8" s="108">
        <v>4026.1921578585861</v>
      </c>
    </row>
    <row r="9" spans="1:99" x14ac:dyDescent="0.2">
      <c r="C9" s="107" t="s">
        <v>174</v>
      </c>
      <c r="D9" s="108">
        <v>0</v>
      </c>
      <c r="E9" s="108">
        <v>0</v>
      </c>
      <c r="F9" s="108">
        <v>0</v>
      </c>
      <c r="G9" s="108">
        <v>0</v>
      </c>
      <c r="H9" s="108">
        <v>0</v>
      </c>
      <c r="I9" s="108">
        <v>0</v>
      </c>
      <c r="J9" s="108">
        <v>0</v>
      </c>
      <c r="K9" s="108">
        <v>0</v>
      </c>
      <c r="L9" s="108">
        <v>2.7666573460117756</v>
      </c>
      <c r="M9" s="108">
        <v>1942.1934569002665</v>
      </c>
      <c r="N9" s="108">
        <v>2.1265676350028966</v>
      </c>
      <c r="O9" s="108">
        <v>1492.8504797720334</v>
      </c>
      <c r="P9" s="108">
        <v>1.372596337251953</v>
      </c>
      <c r="Q9" s="108">
        <v>963.562628750871</v>
      </c>
      <c r="R9" s="108">
        <v>2.0451184137911729</v>
      </c>
      <c r="S9" s="108">
        <v>1435.6731264814034</v>
      </c>
      <c r="T9" s="108">
        <v>0</v>
      </c>
      <c r="U9" s="108">
        <v>0</v>
      </c>
      <c r="V9" s="108">
        <v>12</v>
      </c>
      <c r="W9" s="108">
        <v>8424</v>
      </c>
      <c r="X9" s="108">
        <v>6.8069443641164167</v>
      </c>
      <c r="Y9" s="108">
        <v>4778.4749436097245</v>
      </c>
      <c r="Z9" s="108">
        <v>7.9038790292405565</v>
      </c>
      <c r="AA9" s="108">
        <v>5548.5230785268704</v>
      </c>
      <c r="AB9" s="108">
        <v>7.8188061558618339E-16</v>
      </c>
      <c r="AC9" s="108">
        <v>5.4888019214150074E-13</v>
      </c>
      <c r="AD9" s="108">
        <v>13.735686322583618</v>
      </c>
      <c r="AE9" s="108">
        <v>9642.4517984536997</v>
      </c>
      <c r="AF9" s="108">
        <v>17.803997721540711</v>
      </c>
      <c r="AG9" s="108">
        <v>12498.406400521579</v>
      </c>
      <c r="AH9" s="108">
        <v>10.306519240922963</v>
      </c>
      <c r="AI9" s="108">
        <v>7235.1765071279206</v>
      </c>
      <c r="AJ9" s="108">
        <v>0</v>
      </c>
      <c r="AK9" s="108">
        <v>0</v>
      </c>
      <c r="AL9" s="108">
        <v>5.2714813582994537</v>
      </c>
      <c r="AM9" s="108">
        <v>3700.5799135262164</v>
      </c>
      <c r="AN9" s="108">
        <v>2.162475878017255</v>
      </c>
      <c r="AO9" s="108">
        <v>1518.058066368113</v>
      </c>
      <c r="AP9" s="108">
        <v>0</v>
      </c>
      <c r="AQ9" s="108">
        <v>0</v>
      </c>
      <c r="AR9" s="108">
        <v>8.3598225350090036</v>
      </c>
      <c r="AS9" s="108">
        <v>5868.5954195763206</v>
      </c>
      <c r="AT9" s="108">
        <v>0</v>
      </c>
      <c r="AU9" s="108">
        <v>0</v>
      </c>
      <c r="AV9" s="108">
        <v>11.900700906957422</v>
      </c>
      <c r="AW9" s="108">
        <v>8354.2920366841099</v>
      </c>
      <c r="AX9" s="108">
        <v>6.6788312695604155</v>
      </c>
      <c r="AY9" s="108">
        <v>4688.5395512314117</v>
      </c>
      <c r="AZ9" s="108">
        <v>8.4829328210415511</v>
      </c>
      <c r="BA9" s="108">
        <v>5955.0188403711691</v>
      </c>
      <c r="BB9" s="108">
        <v>0</v>
      </c>
      <c r="BC9" s="108">
        <v>0</v>
      </c>
      <c r="BD9" s="108">
        <v>11</v>
      </c>
      <c r="BE9" s="108">
        <v>7722</v>
      </c>
      <c r="BF9" s="108">
        <v>4.5011614004818199</v>
      </c>
      <c r="BG9" s="108">
        <v>3159.8153031382376</v>
      </c>
      <c r="BH9" s="108">
        <v>6.6164358117454611</v>
      </c>
      <c r="BI9" s="108">
        <v>4644.737939845314</v>
      </c>
      <c r="BJ9" s="108">
        <v>4.6719146969670771</v>
      </c>
      <c r="BK9" s="108">
        <v>3279.6841172708882</v>
      </c>
      <c r="BL9" s="108">
        <v>3.5251874878526097</v>
      </c>
      <c r="BM9" s="108">
        <v>2474.6816164725319</v>
      </c>
      <c r="BN9" s="108">
        <v>4.6958772136831755</v>
      </c>
      <c r="BO9" s="108">
        <v>3296.5058040055892</v>
      </c>
      <c r="BP9" s="108">
        <v>18.86569129294838</v>
      </c>
      <c r="BQ9" s="108">
        <v>13243.715287649762</v>
      </c>
      <c r="BR9" s="108">
        <v>16.62514106225035</v>
      </c>
      <c r="BS9" s="108">
        <v>11670.849025699747</v>
      </c>
      <c r="BT9" s="108">
        <v>16.324515706170367</v>
      </c>
      <c r="BU9" s="108">
        <v>11459.810025731596</v>
      </c>
      <c r="BV9" s="108">
        <v>0</v>
      </c>
      <c r="BW9" s="108">
        <v>0</v>
      </c>
      <c r="BX9" s="108">
        <v>2.1436428534865168</v>
      </c>
      <c r="BY9" s="108">
        <v>1504.8372831475349</v>
      </c>
      <c r="BZ9" s="108">
        <v>1.7753701762369898</v>
      </c>
      <c r="CA9" s="108">
        <v>1246.3098637183668</v>
      </c>
      <c r="CB9" s="108">
        <v>0</v>
      </c>
      <c r="CC9" s="108">
        <v>0</v>
      </c>
      <c r="CD9" s="108">
        <v>3.5187995190530295</v>
      </c>
      <c r="CE9" s="108">
        <v>2470.1972623752267</v>
      </c>
      <c r="CF9" s="108">
        <v>0</v>
      </c>
      <c r="CG9" s="108">
        <v>0</v>
      </c>
      <c r="CH9" s="108">
        <v>0</v>
      </c>
      <c r="CI9" s="108">
        <v>0</v>
      </c>
      <c r="CJ9" s="108">
        <v>29.450247821456646</v>
      </c>
      <c r="CK9" s="108">
        <v>20674.073970662565</v>
      </c>
      <c r="CL9" s="108">
        <v>13.345173796944525</v>
      </c>
      <c r="CM9" s="108">
        <v>9368.3120054550564</v>
      </c>
      <c r="CN9" s="108">
        <v>6.3916820997251191</v>
      </c>
      <c r="CO9" s="108">
        <v>4486.9608340070336</v>
      </c>
      <c r="CP9" s="108">
        <v>0</v>
      </c>
      <c r="CQ9" s="108">
        <v>0</v>
      </c>
      <c r="CR9" s="108">
        <v>0</v>
      </c>
      <c r="CS9" s="108">
        <v>0</v>
      </c>
      <c r="CT9" s="108">
        <v>10.503631896619748</v>
      </c>
      <c r="CU9" s="108">
        <v>7373.5495914270632</v>
      </c>
    </row>
    <row r="10" spans="1:99" x14ac:dyDescent="0.2">
      <c r="C10" s="107" t="s">
        <v>175</v>
      </c>
      <c r="D10" s="108">
        <v>0</v>
      </c>
      <c r="E10" s="108">
        <v>0</v>
      </c>
      <c r="F10" s="108">
        <v>0</v>
      </c>
      <c r="G10" s="108">
        <v>0</v>
      </c>
      <c r="H10" s="108">
        <v>0</v>
      </c>
      <c r="I10" s="108">
        <v>0</v>
      </c>
      <c r="J10" s="108">
        <v>0</v>
      </c>
      <c r="K10" s="108">
        <v>0</v>
      </c>
      <c r="L10" s="108">
        <v>2.7666573460117756</v>
      </c>
      <c r="M10" s="108">
        <v>1507.2749221072152</v>
      </c>
      <c r="N10" s="108">
        <v>2.3697088230529526</v>
      </c>
      <c r="O10" s="108">
        <v>1291.0173667992485</v>
      </c>
      <c r="P10" s="108">
        <v>1.372596337251953</v>
      </c>
      <c r="Q10" s="108">
        <v>747.79048453486394</v>
      </c>
      <c r="R10" s="108">
        <v>2.0809881469208578</v>
      </c>
      <c r="S10" s="108">
        <v>1133.7223424424833</v>
      </c>
      <c r="T10" s="108">
        <v>0</v>
      </c>
      <c r="U10" s="108">
        <v>0</v>
      </c>
      <c r="V10" s="108">
        <v>11</v>
      </c>
      <c r="W10" s="108">
        <v>5992.7999999999993</v>
      </c>
      <c r="X10" s="108">
        <v>7.4723868593407792</v>
      </c>
      <c r="Y10" s="108">
        <v>4070.9563609688562</v>
      </c>
      <c r="Z10" s="108">
        <v>6.1600740442726032</v>
      </c>
      <c r="AA10" s="108">
        <v>3356.0083393197137</v>
      </c>
      <c r="AB10" s="108">
        <v>7.3999415403692356E-16</v>
      </c>
      <c r="AC10" s="108">
        <v>4.031488151193159E-13</v>
      </c>
      <c r="AD10" s="108">
        <v>14.482191014028379</v>
      </c>
      <c r="AE10" s="108">
        <v>7889.8976644426602</v>
      </c>
      <c r="AF10" s="108">
        <v>16.965032601123859</v>
      </c>
      <c r="AG10" s="108">
        <v>9242.5497610922775</v>
      </c>
      <c r="AH10" s="108">
        <v>11.86535217483079</v>
      </c>
      <c r="AI10" s="108">
        <v>6464.2438648478137</v>
      </c>
      <c r="AJ10" s="108">
        <v>0</v>
      </c>
      <c r="AK10" s="108">
        <v>0</v>
      </c>
      <c r="AL10" s="108">
        <v>4.7443332224695087</v>
      </c>
      <c r="AM10" s="108">
        <v>2584.712739601388</v>
      </c>
      <c r="AN10" s="108">
        <v>2.4096691064744156</v>
      </c>
      <c r="AO10" s="108">
        <v>1312.7877292072615</v>
      </c>
      <c r="AP10" s="108">
        <v>0</v>
      </c>
      <c r="AQ10" s="108">
        <v>0</v>
      </c>
      <c r="AR10" s="108">
        <v>9.0867636250097874</v>
      </c>
      <c r="AS10" s="108">
        <v>4950.4688229053318</v>
      </c>
      <c r="AT10" s="108">
        <v>0</v>
      </c>
      <c r="AU10" s="108">
        <v>0</v>
      </c>
      <c r="AV10" s="108">
        <v>11.459934206699739</v>
      </c>
      <c r="AW10" s="108">
        <v>6243.3721558100169</v>
      </c>
      <c r="AX10" s="108">
        <v>6.1927668310446498</v>
      </c>
      <c r="AY10" s="108">
        <v>3373.8193695531249</v>
      </c>
      <c r="AZ10" s="108">
        <v>8.5290773396188975</v>
      </c>
      <c r="BA10" s="108">
        <v>4646.6413346243753</v>
      </c>
      <c r="BB10" s="108">
        <v>0</v>
      </c>
      <c r="BC10" s="108">
        <v>0</v>
      </c>
      <c r="BD10" s="108">
        <v>10</v>
      </c>
      <c r="BE10" s="108">
        <v>5448</v>
      </c>
      <c r="BF10" s="108">
        <v>4.5011614004818199</v>
      </c>
      <c r="BG10" s="108">
        <v>2452.2327309824955</v>
      </c>
      <c r="BH10" s="108">
        <v>6.3240470470504651</v>
      </c>
      <c r="BI10" s="108">
        <v>3445.340831233093</v>
      </c>
      <c r="BJ10" s="108">
        <v>4.8818408112806022</v>
      </c>
      <c r="BK10" s="108">
        <v>2659.6268739856719</v>
      </c>
      <c r="BL10" s="108">
        <v>3.5825940951918085</v>
      </c>
      <c r="BM10" s="108">
        <v>1951.797263060497</v>
      </c>
      <c r="BN10" s="108">
        <v>4.7565610021531981</v>
      </c>
      <c r="BO10" s="108">
        <v>2591.374433973062</v>
      </c>
      <c r="BP10" s="108">
        <v>17.758030986720147</v>
      </c>
      <c r="BQ10" s="108">
        <v>9674.5752815651358</v>
      </c>
      <c r="BR10" s="108">
        <v>14.932218117721106</v>
      </c>
      <c r="BS10" s="108">
        <v>8135.0724305344584</v>
      </c>
      <c r="BT10" s="108">
        <v>20.128913212200104</v>
      </c>
      <c r="BU10" s="108">
        <v>10966.231918006615</v>
      </c>
      <c r="BV10" s="108">
        <v>0</v>
      </c>
      <c r="BW10" s="108">
        <v>0</v>
      </c>
      <c r="BX10" s="108">
        <v>2.4115982101723312</v>
      </c>
      <c r="BY10" s="108">
        <v>1313.8387049018859</v>
      </c>
      <c r="BZ10" s="108">
        <v>1.7753701762369898</v>
      </c>
      <c r="CA10" s="108">
        <v>967.22167201391198</v>
      </c>
      <c r="CB10" s="108">
        <v>0</v>
      </c>
      <c r="CC10" s="108">
        <v>0</v>
      </c>
      <c r="CD10" s="108">
        <v>3.5187995190530295</v>
      </c>
      <c r="CE10" s="108">
        <v>1917.0419779800902</v>
      </c>
      <c r="CF10" s="108">
        <v>0</v>
      </c>
      <c r="CG10" s="108">
        <v>0</v>
      </c>
      <c r="CH10" s="108">
        <v>0</v>
      </c>
      <c r="CI10" s="108">
        <v>0</v>
      </c>
      <c r="CJ10" s="108">
        <v>27.383563763810567</v>
      </c>
      <c r="CK10" s="108">
        <v>14918.565538523995</v>
      </c>
      <c r="CL10" s="108">
        <v>14.75128494682855</v>
      </c>
      <c r="CM10" s="108">
        <v>8036.5000390321929</v>
      </c>
      <c r="CN10" s="108">
        <v>7.5506617817263448</v>
      </c>
      <c r="CO10" s="108">
        <v>4113.6005386845127</v>
      </c>
      <c r="CP10" s="108">
        <v>0</v>
      </c>
      <c r="CQ10" s="108">
        <v>0</v>
      </c>
      <c r="CR10" s="108">
        <v>0</v>
      </c>
      <c r="CS10" s="108">
        <v>0</v>
      </c>
      <c r="CT10" s="108">
        <v>12.004150738993998</v>
      </c>
      <c r="CU10" s="108">
        <v>6539.8613226039297</v>
      </c>
    </row>
    <row r="11" spans="1:99" x14ac:dyDescent="0.2">
      <c r="C11" s="107" t="s">
        <v>176</v>
      </c>
      <c r="D11" s="108">
        <v>0</v>
      </c>
      <c r="E11" s="108">
        <v>0</v>
      </c>
      <c r="F11" s="108">
        <v>0</v>
      </c>
      <c r="G11" s="108">
        <v>0</v>
      </c>
      <c r="H11" s="108">
        <v>0</v>
      </c>
      <c r="I11" s="108">
        <v>0</v>
      </c>
      <c r="J11" s="108">
        <v>0</v>
      </c>
      <c r="K11" s="108">
        <v>0</v>
      </c>
      <c r="L11" s="108">
        <v>2.7666573460117756</v>
      </c>
      <c r="M11" s="108">
        <v>1474.0750339550739</v>
      </c>
      <c r="N11" s="108">
        <v>2.3439767431346188</v>
      </c>
      <c r="O11" s="108">
        <v>1248.8708087421248</v>
      </c>
      <c r="P11" s="108">
        <v>1.4061145057875464</v>
      </c>
      <c r="Q11" s="108">
        <v>749.17780868360467</v>
      </c>
      <c r="R11" s="108">
        <v>1.9358293514963016</v>
      </c>
      <c r="S11" s="108">
        <v>1031.4098784772295</v>
      </c>
      <c r="T11" s="108">
        <v>0</v>
      </c>
      <c r="U11" s="108">
        <v>0</v>
      </c>
      <c r="V11" s="108">
        <v>11</v>
      </c>
      <c r="W11" s="108">
        <v>5860.7999999999993</v>
      </c>
      <c r="X11" s="108">
        <v>8.0523421740065473</v>
      </c>
      <c r="Y11" s="108">
        <v>4290.2879103106879</v>
      </c>
      <c r="Z11" s="108">
        <v>7.4149288128232245</v>
      </c>
      <c r="AA11" s="108">
        <v>3950.6740714722137</v>
      </c>
      <c r="AB11" s="108">
        <v>8.5169138483494968E-16</v>
      </c>
      <c r="AC11" s="108">
        <v>4.5378116984006116E-13</v>
      </c>
      <c r="AD11" s="108">
        <v>13.586385384294664</v>
      </c>
      <c r="AE11" s="108">
        <v>7238.8261327521959</v>
      </c>
      <c r="AF11" s="108">
        <v>15.366656446253264</v>
      </c>
      <c r="AG11" s="108">
        <v>8187.3545545637389</v>
      </c>
      <c r="AH11" s="108">
        <v>11.691667474500996</v>
      </c>
      <c r="AI11" s="108">
        <v>6229.32043041413</v>
      </c>
      <c r="AJ11" s="108">
        <v>0</v>
      </c>
      <c r="AK11" s="108">
        <v>0</v>
      </c>
      <c r="AL11" s="108">
        <v>5.2714813582994537</v>
      </c>
      <c r="AM11" s="108">
        <v>2808.6452677019488</v>
      </c>
      <c r="AN11" s="108">
        <v>2.4590736580457984</v>
      </c>
      <c r="AO11" s="108">
        <v>1310.1944450068013</v>
      </c>
      <c r="AP11" s="108">
        <v>0</v>
      </c>
      <c r="AQ11" s="108">
        <v>0</v>
      </c>
      <c r="AR11" s="108">
        <v>9.0867636250097874</v>
      </c>
      <c r="AS11" s="108">
        <v>4841.4276594052144</v>
      </c>
      <c r="AT11" s="108">
        <v>0</v>
      </c>
      <c r="AU11" s="108">
        <v>0</v>
      </c>
      <c r="AV11" s="108">
        <v>11.019167506442058</v>
      </c>
      <c r="AW11" s="108">
        <v>5871.0124474323275</v>
      </c>
      <c r="AX11" s="108">
        <v>6.0498405245872524</v>
      </c>
      <c r="AY11" s="108">
        <v>3223.355031500088</v>
      </c>
      <c r="AZ11" s="108">
        <v>7.9155894075657631</v>
      </c>
      <c r="BA11" s="108">
        <v>4217.4260363510384</v>
      </c>
      <c r="BB11" s="108">
        <v>0</v>
      </c>
      <c r="BC11" s="108">
        <v>0</v>
      </c>
      <c r="BD11" s="108">
        <v>11</v>
      </c>
      <c r="BE11" s="108">
        <v>5860.7999999999993</v>
      </c>
      <c r="BF11" s="108">
        <v>4.5011614004818199</v>
      </c>
      <c r="BG11" s="108">
        <v>2398.2187941767133</v>
      </c>
      <c r="BH11" s="108">
        <v>6.6909488211284476</v>
      </c>
      <c r="BI11" s="108">
        <v>3564.9375318972366</v>
      </c>
      <c r="BJ11" s="108">
        <v>5.1424158618082751</v>
      </c>
      <c r="BK11" s="108">
        <v>2739.8791711714489</v>
      </c>
      <c r="BL11" s="108">
        <v>3.2237324651050168</v>
      </c>
      <c r="BM11" s="108">
        <v>1717.6046574079528</v>
      </c>
      <c r="BN11" s="108">
        <v>5.3874091186719992</v>
      </c>
      <c r="BO11" s="108">
        <v>2870.4115784284409</v>
      </c>
      <c r="BP11" s="108">
        <v>19.830852774622095</v>
      </c>
      <c r="BQ11" s="108">
        <v>10565.87835831865</v>
      </c>
      <c r="BR11" s="108">
        <v>16.656929813931797</v>
      </c>
      <c r="BS11" s="108">
        <v>8874.8122048628611</v>
      </c>
      <c r="BT11" s="108">
        <v>19.938218972842499</v>
      </c>
      <c r="BU11" s="108">
        <v>10623.083068730482</v>
      </c>
      <c r="BV11" s="108">
        <v>0</v>
      </c>
      <c r="BW11" s="108">
        <v>0</v>
      </c>
      <c r="BX11" s="108">
        <v>2.1436428534865168</v>
      </c>
      <c r="BY11" s="108">
        <v>1142.1329123376161</v>
      </c>
      <c r="BZ11" s="108">
        <v>1.7609994122091102</v>
      </c>
      <c r="CA11" s="108">
        <v>938.2604868250138</v>
      </c>
      <c r="CB11" s="108">
        <v>0</v>
      </c>
      <c r="CC11" s="108">
        <v>0</v>
      </c>
      <c r="CD11" s="108">
        <v>3.2842128844494942</v>
      </c>
      <c r="CE11" s="108">
        <v>1749.8286248346903</v>
      </c>
      <c r="CF11" s="108">
        <v>0</v>
      </c>
      <c r="CG11" s="108">
        <v>0</v>
      </c>
      <c r="CH11" s="108">
        <v>0</v>
      </c>
      <c r="CI11" s="108">
        <v>0</v>
      </c>
      <c r="CJ11" s="108">
        <v>26.866892749399046</v>
      </c>
      <c r="CK11" s="108">
        <v>14314.680456879811</v>
      </c>
      <c r="CL11" s="108">
        <v>14.497815834876038</v>
      </c>
      <c r="CM11" s="108">
        <v>7724.4362768219526</v>
      </c>
      <c r="CN11" s="108">
        <v>7.2752913432431852</v>
      </c>
      <c r="CO11" s="108">
        <v>3876.2752276799688</v>
      </c>
      <c r="CP11" s="108">
        <v>0</v>
      </c>
      <c r="CQ11" s="108">
        <v>0</v>
      </c>
      <c r="CR11" s="108">
        <v>0</v>
      </c>
      <c r="CS11" s="108">
        <v>0</v>
      </c>
      <c r="CT11" s="108">
        <v>12.504323686452082</v>
      </c>
      <c r="CU11" s="108">
        <v>6662.3036601416688</v>
      </c>
    </row>
    <row r="12" spans="1:99" x14ac:dyDescent="0.2">
      <c r="C12" s="107" t="s">
        <v>177</v>
      </c>
      <c r="D12" s="108">
        <v>0</v>
      </c>
      <c r="E12" s="108">
        <v>0</v>
      </c>
      <c r="F12" s="108">
        <v>0</v>
      </c>
      <c r="G12" s="108">
        <v>0</v>
      </c>
      <c r="H12" s="108">
        <v>0</v>
      </c>
      <c r="I12" s="108">
        <v>0</v>
      </c>
      <c r="J12" s="108">
        <v>0</v>
      </c>
      <c r="K12" s="108">
        <v>0</v>
      </c>
      <c r="L12" s="108">
        <v>2.4208251777603036</v>
      </c>
      <c r="M12" s="108">
        <v>1362.4404100434988</v>
      </c>
      <c r="N12" s="108">
        <v>2.4597711027671196</v>
      </c>
      <c r="O12" s="108">
        <v>1384.3591766373347</v>
      </c>
      <c r="P12" s="108">
        <v>1.4957786439224146</v>
      </c>
      <c r="Q12" s="108">
        <v>841.82422079953483</v>
      </c>
      <c r="R12" s="108">
        <v>2.1482438965390163</v>
      </c>
      <c r="S12" s="108">
        <v>1209.0316649721583</v>
      </c>
      <c r="T12" s="108">
        <v>0</v>
      </c>
      <c r="U12" s="108">
        <v>0</v>
      </c>
      <c r="V12" s="108">
        <v>11</v>
      </c>
      <c r="W12" s="108">
        <v>6190.7999999999993</v>
      </c>
      <c r="X12" s="108">
        <v>7.4723868593407792</v>
      </c>
      <c r="Y12" s="108">
        <v>4205.4593244369898</v>
      </c>
      <c r="Z12" s="108">
        <v>7.3171340633716406</v>
      </c>
      <c r="AA12" s="108">
        <v>4118.083050865559</v>
      </c>
      <c r="AB12" s="108">
        <v>7.5395630788667684E-16</v>
      </c>
      <c r="AC12" s="108">
        <v>4.243266100786217E-13</v>
      </c>
      <c r="AD12" s="108">
        <v>12.391977877983047</v>
      </c>
      <c r="AE12" s="108">
        <v>6974.2051497288585</v>
      </c>
      <c r="AF12" s="108">
        <v>16.128032181420828</v>
      </c>
      <c r="AG12" s="108">
        <v>9076.8565117036414</v>
      </c>
      <c r="AH12" s="108">
        <v>11.712400209672161</v>
      </c>
      <c r="AI12" s="108">
        <v>6591.7388380034918</v>
      </c>
      <c r="AJ12" s="108">
        <v>0</v>
      </c>
      <c r="AK12" s="108">
        <v>0</v>
      </c>
      <c r="AL12" s="108">
        <v>5.2714813582994537</v>
      </c>
      <c r="AM12" s="108">
        <v>2966.7897084509323</v>
      </c>
      <c r="AN12" s="108">
        <v>2.4571109875570043</v>
      </c>
      <c r="AO12" s="108">
        <v>1382.8620637970819</v>
      </c>
      <c r="AP12" s="108">
        <v>0</v>
      </c>
      <c r="AQ12" s="108">
        <v>0</v>
      </c>
      <c r="AR12" s="108">
        <v>9.0867636250097874</v>
      </c>
      <c r="AS12" s="108">
        <v>5114.0305681555083</v>
      </c>
      <c r="AT12" s="108">
        <v>0</v>
      </c>
      <c r="AU12" s="108">
        <v>0</v>
      </c>
      <c r="AV12" s="108">
        <v>12.341467607215103</v>
      </c>
      <c r="AW12" s="108">
        <v>6945.7779693406592</v>
      </c>
      <c r="AX12" s="108">
        <v>6.5367602983845821</v>
      </c>
      <c r="AY12" s="108">
        <v>3678.8886959308425</v>
      </c>
      <c r="AZ12" s="108">
        <v>7.9002079013733155</v>
      </c>
      <c r="BA12" s="108">
        <v>4446.2370068929013</v>
      </c>
      <c r="BB12" s="108">
        <v>0</v>
      </c>
      <c r="BC12" s="108">
        <v>0</v>
      </c>
      <c r="BD12" s="108">
        <v>12</v>
      </c>
      <c r="BE12" s="108">
        <v>6753.5999999999995</v>
      </c>
      <c r="BF12" s="108">
        <v>4.1260646171083346</v>
      </c>
      <c r="BG12" s="108">
        <v>2322.1491665085705</v>
      </c>
      <c r="BH12" s="108">
        <v>6.0512669690352023</v>
      </c>
      <c r="BI12" s="108">
        <v>3405.6530501730117</v>
      </c>
      <c r="BJ12" s="108">
        <v>4.9054666572280201</v>
      </c>
      <c r="BK12" s="108">
        <v>2760.7966346879293</v>
      </c>
      <c r="BL12" s="108">
        <v>3.2154199629783711</v>
      </c>
      <c r="BM12" s="108">
        <v>1809.6383551642271</v>
      </c>
      <c r="BN12" s="108">
        <v>5.3988221151022922</v>
      </c>
      <c r="BO12" s="108">
        <v>3038.4570863795698</v>
      </c>
      <c r="BP12" s="108">
        <v>18.331192074215018</v>
      </c>
      <c r="BQ12" s="108">
        <v>10316.794899368211</v>
      </c>
      <c r="BR12" s="108">
        <v>16.287715695438177</v>
      </c>
      <c r="BS12" s="108">
        <v>9166.726393392606</v>
      </c>
      <c r="BT12" s="108">
        <v>18.321473272078901</v>
      </c>
      <c r="BU12" s="108">
        <v>10311.325157526004</v>
      </c>
      <c r="BV12" s="108">
        <v>0</v>
      </c>
      <c r="BW12" s="108">
        <v>0</v>
      </c>
      <c r="BX12" s="108">
        <v>2.1436428534865168</v>
      </c>
      <c r="BY12" s="108">
        <v>1206.4421979422116</v>
      </c>
      <c r="BZ12" s="108">
        <v>1.5789051991010952</v>
      </c>
      <c r="CA12" s="108">
        <v>888.60784605409629</v>
      </c>
      <c r="CB12" s="108">
        <v>0</v>
      </c>
      <c r="CC12" s="108">
        <v>0</v>
      </c>
      <c r="CD12" s="108">
        <v>3.2842128844494942</v>
      </c>
      <c r="CE12" s="108">
        <v>1848.3550113681752</v>
      </c>
      <c r="CF12" s="108">
        <v>0</v>
      </c>
      <c r="CG12" s="108">
        <v>0</v>
      </c>
      <c r="CH12" s="108">
        <v>0</v>
      </c>
      <c r="CI12" s="108">
        <v>0</v>
      </c>
      <c r="CJ12" s="108">
        <v>29.966918835868167</v>
      </c>
      <c r="CK12" s="108">
        <v>16865.381920826603</v>
      </c>
      <c r="CL12" s="108">
        <v>13.219140016275553</v>
      </c>
      <c r="CM12" s="108">
        <v>7439.7320011598804</v>
      </c>
      <c r="CN12" s="108">
        <v>6.4473936520347666</v>
      </c>
      <c r="CO12" s="108">
        <v>3628.5931473651663</v>
      </c>
      <c r="CP12" s="108">
        <v>0</v>
      </c>
      <c r="CQ12" s="108">
        <v>0</v>
      </c>
      <c r="CR12" s="108">
        <v>0</v>
      </c>
      <c r="CS12" s="108">
        <v>0</v>
      </c>
      <c r="CT12" s="108">
        <v>12.504323686452082</v>
      </c>
      <c r="CU12" s="108">
        <v>7037.4333707352316</v>
      </c>
    </row>
    <row r="13" spans="1:99" x14ac:dyDescent="0.2">
      <c r="C13" s="107" t="s">
        <v>178</v>
      </c>
      <c r="D13" s="108">
        <v>0</v>
      </c>
      <c r="E13" s="108">
        <v>0</v>
      </c>
      <c r="F13" s="108">
        <v>0</v>
      </c>
      <c r="G13" s="108">
        <v>0</v>
      </c>
      <c r="H13" s="108">
        <v>0</v>
      </c>
      <c r="I13" s="108">
        <v>0</v>
      </c>
      <c r="J13" s="108">
        <v>0</v>
      </c>
      <c r="K13" s="108">
        <v>0</v>
      </c>
      <c r="L13" s="108">
        <v>2.7666573460117756</v>
      </c>
      <c r="M13" s="108">
        <v>235.71920588020328</v>
      </c>
      <c r="N13" s="108">
        <v>2.5871179311846757</v>
      </c>
      <c r="O13" s="108">
        <v>220.42244773693437</v>
      </c>
      <c r="P13" s="108">
        <v>1.3893554215197497</v>
      </c>
      <c r="Q13" s="108">
        <v>118.37308191348268</v>
      </c>
      <c r="R13" s="108">
        <v>2.1527276131802267</v>
      </c>
      <c r="S13" s="108">
        <v>183.41239264295533</v>
      </c>
      <c r="T13" s="108">
        <v>0</v>
      </c>
      <c r="U13" s="108">
        <v>0</v>
      </c>
      <c r="V13" s="108">
        <v>13</v>
      </c>
      <c r="W13" s="108">
        <v>1107.6000000000001</v>
      </c>
      <c r="X13" s="108">
        <v>8.0808379008594109</v>
      </c>
      <c r="Y13" s="108">
        <v>688.48738915322178</v>
      </c>
      <c r="Z13" s="108">
        <v>7.0751097666844789</v>
      </c>
      <c r="AA13" s="108">
        <v>602.79935212151759</v>
      </c>
      <c r="AB13" s="108">
        <v>8.6565353868470305E-16</v>
      </c>
      <c r="AC13" s="108">
        <v>7.3753681495936708E-14</v>
      </c>
      <c r="AD13" s="108">
        <v>16.273802273495807</v>
      </c>
      <c r="AE13" s="108">
        <v>1386.5279537018428</v>
      </c>
      <c r="AF13" s="108">
        <v>18.308513979002292</v>
      </c>
      <c r="AG13" s="108">
        <v>1559.8853910109954</v>
      </c>
      <c r="AH13" s="108">
        <v>12.773973184222097</v>
      </c>
      <c r="AI13" s="108">
        <v>1088.3425152957227</v>
      </c>
      <c r="AJ13" s="108">
        <v>0</v>
      </c>
      <c r="AK13" s="108">
        <v>0</v>
      </c>
      <c r="AL13" s="108">
        <v>5.7986294941293997</v>
      </c>
      <c r="AM13" s="108">
        <v>494.04323289982489</v>
      </c>
      <c r="AN13" s="108">
        <v>2.4205473447308847</v>
      </c>
      <c r="AO13" s="108">
        <v>206.23063377107138</v>
      </c>
      <c r="AP13" s="108">
        <v>0</v>
      </c>
      <c r="AQ13" s="108">
        <v>0</v>
      </c>
      <c r="AR13" s="108">
        <v>10.177175260010962</v>
      </c>
      <c r="AS13" s="108">
        <v>867.09533215293402</v>
      </c>
      <c r="AT13" s="108">
        <v>0</v>
      </c>
      <c r="AU13" s="108">
        <v>0</v>
      </c>
      <c r="AV13" s="108">
        <v>11.900700906957422</v>
      </c>
      <c r="AW13" s="108">
        <v>1013.9397172727723</v>
      </c>
      <c r="AX13" s="108">
        <v>6.3763105910157281</v>
      </c>
      <c r="AY13" s="108">
        <v>543.26166235454002</v>
      </c>
      <c r="AZ13" s="108">
        <v>9.1118022592871348</v>
      </c>
      <c r="BA13" s="108">
        <v>776.32555249126392</v>
      </c>
      <c r="BB13" s="108">
        <v>0</v>
      </c>
      <c r="BC13" s="108">
        <v>0</v>
      </c>
      <c r="BD13" s="108">
        <v>11</v>
      </c>
      <c r="BE13" s="108">
        <v>937.2</v>
      </c>
      <c r="BF13" s="108">
        <v>4.5011614004818199</v>
      </c>
      <c r="BG13" s="108">
        <v>383.49895132105109</v>
      </c>
      <c r="BH13" s="108">
        <v>6.714479245144128</v>
      </c>
      <c r="BI13" s="108">
        <v>572.07363168627967</v>
      </c>
      <c r="BJ13" s="108">
        <v>5.5796855591254042</v>
      </c>
      <c r="BK13" s="108">
        <v>475.38920963748444</v>
      </c>
      <c r="BL13" s="108">
        <v>3.7907912070445811</v>
      </c>
      <c r="BM13" s="108">
        <v>322.97541084019832</v>
      </c>
      <c r="BN13" s="108">
        <v>5.0847753323004463</v>
      </c>
      <c r="BO13" s="108">
        <v>433.22285831199804</v>
      </c>
      <c r="BP13" s="108">
        <v>20.196031614561175</v>
      </c>
      <c r="BQ13" s="108">
        <v>1720.7018935606122</v>
      </c>
      <c r="BR13" s="108">
        <v>20.301098076411684</v>
      </c>
      <c r="BS13" s="108">
        <v>1729.6535561102755</v>
      </c>
      <c r="BT13" s="108">
        <v>21.424635712367007</v>
      </c>
      <c r="BU13" s="108">
        <v>1825.3789626936691</v>
      </c>
      <c r="BV13" s="108">
        <v>0</v>
      </c>
      <c r="BW13" s="108">
        <v>0</v>
      </c>
      <c r="BX13" s="108">
        <v>2.1436428534865168</v>
      </c>
      <c r="BY13" s="108">
        <v>182.63837111705124</v>
      </c>
      <c r="BZ13" s="108">
        <v>1.7681847942230497</v>
      </c>
      <c r="CA13" s="108">
        <v>150.64934446780384</v>
      </c>
      <c r="CB13" s="108">
        <v>0</v>
      </c>
      <c r="CC13" s="108">
        <v>0</v>
      </c>
      <c r="CD13" s="108">
        <v>3.2842128844494942</v>
      </c>
      <c r="CE13" s="108">
        <v>279.81493775509693</v>
      </c>
      <c r="CF13" s="108">
        <v>0</v>
      </c>
      <c r="CG13" s="108">
        <v>0</v>
      </c>
      <c r="CH13" s="108">
        <v>0</v>
      </c>
      <c r="CI13" s="108">
        <v>0</v>
      </c>
      <c r="CJ13" s="108">
        <v>31.516931879102728</v>
      </c>
      <c r="CK13" s="108">
        <v>2685.2425960995524</v>
      </c>
      <c r="CL13" s="108">
        <v>16.931625336945039</v>
      </c>
      <c r="CM13" s="108">
        <v>1442.5744787077174</v>
      </c>
      <c r="CN13" s="108">
        <v>7.3024325690944334</v>
      </c>
      <c r="CO13" s="108">
        <v>622.16725488684574</v>
      </c>
      <c r="CP13" s="108">
        <v>0</v>
      </c>
      <c r="CQ13" s="108">
        <v>0</v>
      </c>
      <c r="CR13" s="108">
        <v>0</v>
      </c>
      <c r="CS13" s="108">
        <v>0</v>
      </c>
      <c r="CT13" s="108">
        <v>11.00380484407783</v>
      </c>
      <c r="CU13" s="108">
        <v>937.52417271543118</v>
      </c>
    </row>
    <row r="14" spans="1:99" x14ac:dyDescent="0.2">
      <c r="C14" s="107" t="s">
        <v>179</v>
      </c>
      <c r="D14" s="108">
        <v>0</v>
      </c>
      <c r="E14" s="108">
        <v>0</v>
      </c>
      <c r="F14" s="108">
        <v>0</v>
      </c>
      <c r="G14" s="108">
        <v>0</v>
      </c>
      <c r="H14" s="108">
        <v>0</v>
      </c>
      <c r="I14" s="108">
        <v>0</v>
      </c>
      <c r="J14" s="108">
        <v>0</v>
      </c>
      <c r="K14" s="108">
        <v>0</v>
      </c>
      <c r="L14" s="108">
        <v>2.4208251777603036</v>
      </c>
      <c r="M14" s="108">
        <v>1182.3310168181322</v>
      </c>
      <c r="N14" s="108">
        <v>2.4327254516746759</v>
      </c>
      <c r="O14" s="108">
        <v>1188.1431105979116</v>
      </c>
      <c r="P14" s="108">
        <v>1.4790195596546178</v>
      </c>
      <c r="Q14" s="108">
        <v>722.35315293531528</v>
      </c>
      <c r="R14" s="108">
        <v>2.1258253133329634</v>
      </c>
      <c r="S14" s="108">
        <v>1038.2530830318192</v>
      </c>
      <c r="T14" s="108">
        <v>0</v>
      </c>
      <c r="U14" s="108">
        <v>0</v>
      </c>
      <c r="V14" s="108">
        <v>12</v>
      </c>
      <c r="W14" s="108">
        <v>5860.7999999999993</v>
      </c>
      <c r="X14" s="108">
        <v>7.9668549934479529</v>
      </c>
      <c r="Y14" s="108">
        <v>3891.0119787999802</v>
      </c>
      <c r="Z14" s="108">
        <v>7.4149288128232245</v>
      </c>
      <c r="AA14" s="108">
        <v>3621.4512321828624</v>
      </c>
      <c r="AB14" s="108">
        <v>7.3999415403692356E-16</v>
      </c>
      <c r="AC14" s="108">
        <v>3.6141314483163343E-13</v>
      </c>
      <c r="AD14" s="108">
        <v>14.930093828895235</v>
      </c>
      <c r="AE14" s="108">
        <v>7291.8578260324321</v>
      </c>
      <c r="AF14" s="108">
        <v>16.338226294539975</v>
      </c>
      <c r="AG14" s="108">
        <v>7979.5897222533231</v>
      </c>
      <c r="AH14" s="108">
        <v>10.645818328842207</v>
      </c>
      <c r="AI14" s="108">
        <v>5199.4176718065337</v>
      </c>
      <c r="AJ14" s="108">
        <v>0</v>
      </c>
      <c r="AK14" s="108">
        <v>0</v>
      </c>
      <c r="AL14" s="108">
        <v>5.7986294941293997</v>
      </c>
      <c r="AM14" s="108">
        <v>2832.0506449327986</v>
      </c>
      <c r="AN14" s="108">
        <v>2.6953886482464897</v>
      </c>
      <c r="AO14" s="108">
        <v>1316.4278158035854</v>
      </c>
      <c r="AP14" s="108">
        <v>0</v>
      </c>
      <c r="AQ14" s="108">
        <v>0</v>
      </c>
      <c r="AR14" s="108">
        <v>9.0867636250097874</v>
      </c>
      <c r="AS14" s="108">
        <v>4437.9753544547802</v>
      </c>
      <c r="AT14" s="108">
        <v>0</v>
      </c>
      <c r="AU14" s="108">
        <v>0</v>
      </c>
      <c r="AV14" s="108">
        <v>11.459934206699739</v>
      </c>
      <c r="AW14" s="108">
        <v>5597.0318665521518</v>
      </c>
      <c r="AX14" s="108">
        <v>6.1978988427340322</v>
      </c>
      <c r="AY14" s="108">
        <v>3027.0537947913012</v>
      </c>
      <c r="AZ14" s="108">
        <v>9.0810392469022378</v>
      </c>
      <c r="BA14" s="108">
        <v>4435.1795681870526</v>
      </c>
      <c r="BB14" s="108">
        <v>0</v>
      </c>
      <c r="BC14" s="108">
        <v>0</v>
      </c>
      <c r="BD14" s="108">
        <v>12</v>
      </c>
      <c r="BE14" s="108">
        <v>5860.7999999999993</v>
      </c>
      <c r="BF14" s="108">
        <v>4.1260646171083346</v>
      </c>
      <c r="BG14" s="108">
        <v>2015.1699589957104</v>
      </c>
      <c r="BH14" s="108">
        <v>6.9794158484874975</v>
      </c>
      <c r="BI14" s="108">
        <v>3408.7467004012938</v>
      </c>
      <c r="BJ14" s="108">
        <v>4.8751776606725512</v>
      </c>
      <c r="BK14" s="108">
        <v>2381.0367694724737</v>
      </c>
      <c r="BL14" s="108">
        <v>3.4223072322956094</v>
      </c>
      <c r="BM14" s="108">
        <v>1671.4548522531757</v>
      </c>
      <c r="BN14" s="108">
        <v>5.3527380016793966</v>
      </c>
      <c r="BO14" s="108">
        <v>2614.2772400202171</v>
      </c>
      <c r="BP14" s="108">
        <v>18.498453267875085</v>
      </c>
      <c r="BQ14" s="108">
        <v>9034.6445760301904</v>
      </c>
      <c r="BR14" s="108">
        <v>16.832336488191363</v>
      </c>
      <c r="BS14" s="108">
        <v>8220.9131408326612</v>
      </c>
      <c r="BT14" s="108">
        <v>16.867983747815408</v>
      </c>
      <c r="BU14" s="108">
        <v>8238.3232624330449</v>
      </c>
      <c r="BV14" s="108">
        <v>0</v>
      </c>
      <c r="BW14" s="108">
        <v>0</v>
      </c>
      <c r="BX14" s="108">
        <v>2.1436428534865168</v>
      </c>
      <c r="BY14" s="108">
        <v>1046.9551696428148</v>
      </c>
      <c r="BZ14" s="108">
        <v>1.9502790073310645</v>
      </c>
      <c r="CA14" s="108">
        <v>952.51626718049192</v>
      </c>
      <c r="CB14" s="108">
        <v>0</v>
      </c>
      <c r="CC14" s="108">
        <v>0</v>
      </c>
      <c r="CD14" s="108">
        <v>3.049626249845959</v>
      </c>
      <c r="CE14" s="108">
        <v>1489.4374604247662</v>
      </c>
      <c r="CF14" s="108">
        <v>0</v>
      </c>
      <c r="CG14" s="108">
        <v>0</v>
      </c>
      <c r="CH14" s="108">
        <v>0</v>
      </c>
      <c r="CI14" s="108">
        <v>0</v>
      </c>
      <c r="CJ14" s="108">
        <v>31.516931879102728</v>
      </c>
      <c r="CK14" s="108">
        <v>15392.869529753772</v>
      </c>
      <c r="CL14" s="108">
        <v>13.227504228201134</v>
      </c>
      <c r="CM14" s="108">
        <v>6460.313065053434</v>
      </c>
      <c r="CN14" s="108">
        <v>7.0263475803076982</v>
      </c>
      <c r="CO14" s="108">
        <v>3431.6681582222795</v>
      </c>
      <c r="CP14" s="108">
        <v>0</v>
      </c>
      <c r="CQ14" s="108">
        <v>0</v>
      </c>
      <c r="CR14" s="108">
        <v>0</v>
      </c>
      <c r="CS14" s="108">
        <v>0</v>
      </c>
      <c r="CT14" s="108">
        <v>10.503631896619748</v>
      </c>
      <c r="CU14" s="108">
        <v>5129.9738183090849</v>
      </c>
    </row>
    <row r="15" spans="1:99" x14ac:dyDescent="0.2">
      <c r="C15" s="107" t="s">
        <v>180</v>
      </c>
      <c r="D15" s="108">
        <v>0</v>
      </c>
      <c r="E15" s="108">
        <v>0</v>
      </c>
      <c r="F15" s="108">
        <v>0</v>
      </c>
      <c r="G15" s="108">
        <v>0</v>
      </c>
      <c r="H15" s="108">
        <v>0</v>
      </c>
      <c r="I15" s="108">
        <v>0</v>
      </c>
      <c r="J15" s="108">
        <v>0</v>
      </c>
      <c r="K15" s="108">
        <v>0</v>
      </c>
      <c r="L15" s="108">
        <v>2.7666573460117756</v>
      </c>
      <c r="M15" s="108">
        <v>2111.5128864761868</v>
      </c>
      <c r="N15" s="108">
        <v>2.2925125832979529</v>
      </c>
      <c r="O15" s="108">
        <v>1749.6456035729975</v>
      </c>
      <c r="P15" s="108">
        <v>1.3642167951180546</v>
      </c>
      <c r="Q15" s="108">
        <v>1041.1702580340991</v>
      </c>
      <c r="R15" s="108">
        <v>1.9492805014199333</v>
      </c>
      <c r="S15" s="108">
        <v>1487.690878683693</v>
      </c>
      <c r="T15" s="108">
        <v>0</v>
      </c>
      <c r="U15" s="108">
        <v>0</v>
      </c>
      <c r="V15" s="108">
        <v>11</v>
      </c>
      <c r="W15" s="108">
        <v>8395.1999999999989</v>
      </c>
      <c r="X15" s="108">
        <v>6.2839805031563776</v>
      </c>
      <c r="Y15" s="108">
        <v>4795.9339200089471</v>
      </c>
      <c r="Z15" s="108">
        <v>7.0237733458574807</v>
      </c>
      <c r="AA15" s="108">
        <v>5360.5438175584286</v>
      </c>
      <c r="AB15" s="108">
        <v>7.8188061558618339E-16</v>
      </c>
      <c r="AC15" s="108">
        <v>5.9673128581537515E-13</v>
      </c>
      <c r="AD15" s="108">
        <v>13.586385384294664</v>
      </c>
      <c r="AE15" s="108">
        <v>10369.129325293687</v>
      </c>
      <c r="AF15" s="108">
        <v>15.169932239036511</v>
      </c>
      <c r="AG15" s="108">
        <v>11577.692284832665</v>
      </c>
      <c r="AH15" s="108">
        <v>10.6447978600221</v>
      </c>
      <c r="AI15" s="108">
        <v>8124.1097267688665</v>
      </c>
      <c r="AJ15" s="108">
        <v>0</v>
      </c>
      <c r="AK15" s="108">
        <v>0</v>
      </c>
      <c r="AL15" s="108">
        <v>5.2714813582994537</v>
      </c>
      <c r="AM15" s="108">
        <v>4023.1945726541426</v>
      </c>
      <c r="AN15" s="108">
        <v>2.1951105927866621</v>
      </c>
      <c r="AO15" s="108">
        <v>1675.3084044147804</v>
      </c>
      <c r="AP15" s="108">
        <v>0</v>
      </c>
      <c r="AQ15" s="108">
        <v>0</v>
      </c>
      <c r="AR15" s="108">
        <v>8.7232930800093946</v>
      </c>
      <c r="AS15" s="108">
        <v>6657.6172786631696</v>
      </c>
      <c r="AT15" s="108">
        <v>0</v>
      </c>
      <c r="AU15" s="108">
        <v>0</v>
      </c>
      <c r="AV15" s="108">
        <v>11.019167506442058</v>
      </c>
      <c r="AW15" s="108">
        <v>8409.8286409165776</v>
      </c>
      <c r="AX15" s="108">
        <v>5.9267161334844598</v>
      </c>
      <c r="AY15" s="108">
        <v>4523.2697530753394</v>
      </c>
      <c r="AZ15" s="108">
        <v>9.0810392469022378</v>
      </c>
      <c r="BA15" s="108">
        <v>6930.6491532357877</v>
      </c>
      <c r="BB15" s="108">
        <v>0</v>
      </c>
      <c r="BC15" s="108">
        <v>0</v>
      </c>
      <c r="BD15" s="108">
        <v>10</v>
      </c>
      <c r="BE15" s="108">
        <v>7631.9999999999991</v>
      </c>
      <c r="BF15" s="108">
        <v>4.5011614004818199</v>
      </c>
      <c r="BG15" s="108">
        <v>3435.2863808477246</v>
      </c>
      <c r="BH15" s="108">
        <v>6.663496659776821</v>
      </c>
      <c r="BI15" s="108">
        <v>5085.5806507416692</v>
      </c>
      <c r="BJ15" s="108">
        <v>4.4419102818984593</v>
      </c>
      <c r="BK15" s="108">
        <v>3390.065927144904</v>
      </c>
      <c r="BL15" s="108">
        <v>3.3678477706613634</v>
      </c>
      <c r="BM15" s="108">
        <v>2570.3414185687525</v>
      </c>
      <c r="BN15" s="108">
        <v>4.5710175646538316</v>
      </c>
      <c r="BO15" s="108">
        <v>3488.6006053438041</v>
      </c>
      <c r="BP15" s="108">
        <v>17.710102784854673</v>
      </c>
      <c r="BQ15" s="108">
        <v>13516.350445401085</v>
      </c>
      <c r="BR15" s="108">
        <v>16.04875865607783</v>
      </c>
      <c r="BS15" s="108">
        <v>12248.412606318598</v>
      </c>
      <c r="BT15" s="108">
        <v>16.162958797451033</v>
      </c>
      <c r="BU15" s="108">
        <v>12335.570154214627</v>
      </c>
      <c r="BV15" s="108">
        <v>0</v>
      </c>
      <c r="BW15" s="108">
        <v>0</v>
      </c>
      <c r="BX15" s="108">
        <v>1.8756874968007022</v>
      </c>
      <c r="BY15" s="108">
        <v>1431.5246975582959</v>
      </c>
      <c r="BZ15" s="108">
        <v>1.7394432661672905</v>
      </c>
      <c r="CA15" s="108">
        <v>1327.5431007388761</v>
      </c>
      <c r="CB15" s="108">
        <v>0</v>
      </c>
      <c r="CC15" s="108">
        <v>0</v>
      </c>
      <c r="CD15" s="108">
        <v>3.049626249845959</v>
      </c>
      <c r="CE15" s="108">
        <v>2327.4747538824358</v>
      </c>
      <c r="CF15" s="108">
        <v>0</v>
      </c>
      <c r="CG15" s="108">
        <v>0</v>
      </c>
      <c r="CH15" s="108">
        <v>0</v>
      </c>
      <c r="CI15" s="108">
        <v>0</v>
      </c>
      <c r="CJ15" s="108">
        <v>29.191912314250885</v>
      </c>
      <c r="CK15" s="108">
        <v>22279.267478236274</v>
      </c>
      <c r="CL15" s="108">
        <v>12.477900440207213</v>
      </c>
      <c r="CM15" s="108">
        <v>9523.1336159661441</v>
      </c>
      <c r="CN15" s="108">
        <v>6.4334657639573551</v>
      </c>
      <c r="CO15" s="108">
        <v>4910.0210710522533</v>
      </c>
      <c r="CP15" s="108">
        <v>0</v>
      </c>
      <c r="CQ15" s="108">
        <v>0</v>
      </c>
      <c r="CR15" s="108">
        <v>0</v>
      </c>
      <c r="CS15" s="108">
        <v>0</v>
      </c>
      <c r="CT15" s="108">
        <v>12.004150738993998</v>
      </c>
      <c r="CU15" s="108">
        <v>9161.5678440002175</v>
      </c>
    </row>
    <row r="16" spans="1:99" x14ac:dyDescent="0.2">
      <c r="C16" s="107" t="s">
        <v>181</v>
      </c>
      <c r="D16" s="108">
        <v>0</v>
      </c>
      <c r="E16" s="108">
        <v>0</v>
      </c>
      <c r="F16" s="108">
        <v>0</v>
      </c>
      <c r="G16" s="108">
        <v>0</v>
      </c>
      <c r="H16" s="108">
        <v>0</v>
      </c>
      <c r="I16" s="108">
        <v>0</v>
      </c>
      <c r="J16" s="108">
        <v>0</v>
      </c>
      <c r="K16" s="108">
        <v>0</v>
      </c>
      <c r="L16" s="108">
        <v>2.7666573460117756</v>
      </c>
      <c r="M16" s="108">
        <v>942.8768235208131</v>
      </c>
      <c r="N16" s="108">
        <v>2.2037638747578963</v>
      </c>
      <c r="O16" s="108">
        <v>751.04272851749101</v>
      </c>
      <c r="P16" s="108">
        <v>1.5376763545919065</v>
      </c>
      <c r="Q16" s="108">
        <v>524.04010164492172</v>
      </c>
      <c r="R16" s="108">
        <v>2.230630658986624</v>
      </c>
      <c r="S16" s="108">
        <v>760.19892858264154</v>
      </c>
      <c r="T16" s="108">
        <v>0</v>
      </c>
      <c r="U16" s="108">
        <v>0</v>
      </c>
      <c r="V16" s="108">
        <v>13</v>
      </c>
      <c r="W16" s="108">
        <v>4430.4000000000005</v>
      </c>
      <c r="X16" s="108">
        <v>7.4153954056350493</v>
      </c>
      <c r="Y16" s="108">
        <v>2527.1667542404248</v>
      </c>
      <c r="Z16" s="108">
        <v>7.4638261875490182</v>
      </c>
      <c r="AA16" s="108">
        <v>2543.6719647167056</v>
      </c>
      <c r="AB16" s="108">
        <v>7.9584276943593667E-16</v>
      </c>
      <c r="AC16" s="108">
        <v>2.7122321582376722E-13</v>
      </c>
      <c r="AD16" s="108">
        <v>14.482191014028379</v>
      </c>
      <c r="AE16" s="108">
        <v>4935.5306975808717</v>
      </c>
      <c r="AF16" s="108">
        <v>19.077956693109243</v>
      </c>
      <c r="AG16" s="108">
        <v>6501.7676410116301</v>
      </c>
      <c r="AH16" s="108">
        <v>12.617959812603148</v>
      </c>
      <c r="AI16" s="108">
        <v>4300.2007041351535</v>
      </c>
      <c r="AJ16" s="108">
        <v>0</v>
      </c>
      <c r="AK16" s="108">
        <v>0</v>
      </c>
      <c r="AL16" s="108">
        <v>5.2714813582994537</v>
      </c>
      <c r="AM16" s="108">
        <v>1796.5208469084539</v>
      </c>
      <c r="AN16" s="108">
        <v>2.2059888310431313</v>
      </c>
      <c r="AO16" s="108">
        <v>751.8009936194992</v>
      </c>
      <c r="AP16" s="108">
        <v>0</v>
      </c>
      <c r="AQ16" s="108">
        <v>0</v>
      </c>
      <c r="AR16" s="108">
        <v>9.8137047150105694</v>
      </c>
      <c r="AS16" s="108">
        <v>3344.5105668756023</v>
      </c>
      <c r="AT16" s="108">
        <v>0</v>
      </c>
      <c r="AU16" s="108">
        <v>0</v>
      </c>
      <c r="AV16" s="108">
        <v>11.900700906957422</v>
      </c>
      <c r="AW16" s="108">
        <v>4055.7588690910893</v>
      </c>
      <c r="AX16" s="108">
        <v>6.4751981028331862</v>
      </c>
      <c r="AY16" s="108">
        <v>2206.7475134455499</v>
      </c>
      <c r="AZ16" s="108">
        <v>9.7868162161100649</v>
      </c>
      <c r="BA16" s="108">
        <v>3335.3469664503104</v>
      </c>
      <c r="BB16" s="108">
        <v>0</v>
      </c>
      <c r="BC16" s="108">
        <v>0</v>
      </c>
      <c r="BD16" s="108">
        <v>11</v>
      </c>
      <c r="BE16" s="108">
        <v>3748.8</v>
      </c>
      <c r="BF16" s="108">
        <v>4.1260646171083346</v>
      </c>
      <c r="BG16" s="108">
        <v>1406.1628215105204</v>
      </c>
      <c r="BH16" s="108">
        <v>6.3828731070896643</v>
      </c>
      <c r="BI16" s="108">
        <v>2175.2831548961576</v>
      </c>
      <c r="BJ16" s="108">
        <v>5.0704352946088695</v>
      </c>
      <c r="BK16" s="108">
        <v>1728.0043484027028</v>
      </c>
      <c r="BL16" s="108">
        <v>3.4821320503515505</v>
      </c>
      <c r="BM16" s="108">
        <v>1186.7106027598084</v>
      </c>
      <c r="BN16" s="108">
        <v>4.7905590376386344</v>
      </c>
      <c r="BO16" s="108">
        <v>1632.6225200272468</v>
      </c>
      <c r="BP16" s="108">
        <v>19.619266953081429</v>
      </c>
      <c r="BQ16" s="108">
        <v>6686.2461776101509</v>
      </c>
      <c r="BR16" s="108">
        <v>18.160012123621641</v>
      </c>
      <c r="BS16" s="108">
        <v>6188.9321317302556</v>
      </c>
      <c r="BT16" s="108">
        <v>20.963744469593074</v>
      </c>
      <c r="BU16" s="108">
        <v>7144.4441152373201</v>
      </c>
      <c r="BV16" s="108">
        <v>0</v>
      </c>
      <c r="BW16" s="108">
        <v>0</v>
      </c>
      <c r="BX16" s="108">
        <v>2.4115982101723312</v>
      </c>
      <c r="BY16" s="108">
        <v>821.87267002673048</v>
      </c>
      <c r="BZ16" s="108">
        <v>1.9574643893450043</v>
      </c>
      <c r="CA16" s="108">
        <v>667.10386388877748</v>
      </c>
      <c r="CB16" s="108">
        <v>0</v>
      </c>
      <c r="CC16" s="108">
        <v>0</v>
      </c>
      <c r="CD16" s="108">
        <v>3.7533861536565651</v>
      </c>
      <c r="CE16" s="108">
        <v>1279.1540011661575</v>
      </c>
      <c r="CF16" s="108">
        <v>0</v>
      </c>
      <c r="CG16" s="108">
        <v>0</v>
      </c>
      <c r="CH16" s="108">
        <v>0</v>
      </c>
      <c r="CI16" s="108">
        <v>0</v>
      </c>
      <c r="CJ16" s="108">
        <v>33.325280429543049</v>
      </c>
      <c r="CK16" s="108">
        <v>11357.255570388272</v>
      </c>
      <c r="CL16" s="108">
        <v>15.954579439851727</v>
      </c>
      <c r="CM16" s="108">
        <v>5437.3206731014689</v>
      </c>
      <c r="CN16" s="108">
        <v>7.6188721215062536</v>
      </c>
      <c r="CO16" s="108">
        <v>2596.5116190093313</v>
      </c>
      <c r="CP16" s="108">
        <v>0</v>
      </c>
      <c r="CQ16" s="108">
        <v>0</v>
      </c>
      <c r="CR16" s="108">
        <v>0</v>
      </c>
      <c r="CS16" s="108">
        <v>0</v>
      </c>
      <c r="CT16" s="108">
        <v>10.503631896619748</v>
      </c>
      <c r="CU16" s="108">
        <v>3579.6377503680101</v>
      </c>
    </row>
    <row r="17" spans="2:99" x14ac:dyDescent="0.2">
      <c r="C17" s="107" t="s">
        <v>182</v>
      </c>
      <c r="D17" s="108">
        <v>0</v>
      </c>
      <c r="E17" s="108">
        <v>0</v>
      </c>
      <c r="F17" s="108">
        <v>0</v>
      </c>
      <c r="G17" s="108">
        <v>0</v>
      </c>
      <c r="H17" s="108">
        <v>0</v>
      </c>
      <c r="I17" s="108">
        <v>0</v>
      </c>
      <c r="J17" s="108">
        <v>0</v>
      </c>
      <c r="K17" s="108">
        <v>0</v>
      </c>
      <c r="L17" s="108">
        <v>2.7666573460117756</v>
      </c>
      <c r="M17" s="108">
        <v>1168.636062955374</v>
      </c>
      <c r="N17" s="108">
        <v>2.4469050628079527</v>
      </c>
      <c r="O17" s="108">
        <v>1033.5726985300792</v>
      </c>
      <c r="P17" s="108">
        <v>1.3558372529841562</v>
      </c>
      <c r="Q17" s="108">
        <v>572.70565566050755</v>
      </c>
      <c r="R17" s="108">
        <v>2.016536251038092</v>
      </c>
      <c r="S17" s="108">
        <v>851.78491243848998</v>
      </c>
      <c r="T17" s="108">
        <v>0</v>
      </c>
      <c r="U17" s="108">
        <v>0</v>
      </c>
      <c r="V17" s="108">
        <v>13</v>
      </c>
      <c r="W17" s="108">
        <v>5491.2</v>
      </c>
      <c r="X17" s="108">
        <v>6.8924315446750111</v>
      </c>
      <c r="Y17" s="108">
        <v>2911.3630844707245</v>
      </c>
      <c r="Z17" s="108">
        <v>6.1600740442726032</v>
      </c>
      <c r="AA17" s="108">
        <v>2602.0152763007472</v>
      </c>
      <c r="AB17" s="108">
        <v>7.3999415403692356E-16</v>
      </c>
      <c r="AC17" s="108">
        <v>3.125735306651965E-13</v>
      </c>
      <c r="AD17" s="108">
        <v>14.183589137450475</v>
      </c>
      <c r="AE17" s="108">
        <v>5991.1480516590809</v>
      </c>
      <c r="AF17" s="108">
        <v>16.812364513947582</v>
      </c>
      <c r="AG17" s="108">
        <v>7101.5427706914579</v>
      </c>
      <c r="AH17" s="108">
        <v>12.150523369976876</v>
      </c>
      <c r="AI17" s="108">
        <v>5132.3810714782321</v>
      </c>
      <c r="AJ17" s="108">
        <v>0</v>
      </c>
      <c r="AK17" s="108">
        <v>0</v>
      </c>
      <c r="AL17" s="108">
        <v>5.2714813582994537</v>
      </c>
      <c r="AM17" s="108">
        <v>2226.6737257456894</v>
      </c>
      <c r="AN17" s="108">
        <v>2.2059888310431313</v>
      </c>
      <c r="AO17" s="108">
        <v>931.80968223261857</v>
      </c>
      <c r="AP17" s="108">
        <v>0</v>
      </c>
      <c r="AQ17" s="108">
        <v>0</v>
      </c>
      <c r="AR17" s="108">
        <v>10.177175260010962</v>
      </c>
      <c r="AS17" s="108">
        <v>4298.83882982863</v>
      </c>
      <c r="AT17" s="108">
        <v>0</v>
      </c>
      <c r="AU17" s="108">
        <v>0</v>
      </c>
      <c r="AV17" s="108">
        <v>11.900700906957422</v>
      </c>
      <c r="AW17" s="108">
        <v>5026.856063098815</v>
      </c>
      <c r="AX17" s="108">
        <v>6.2013201838602887</v>
      </c>
      <c r="AY17" s="108">
        <v>2619.437645662586</v>
      </c>
      <c r="AZ17" s="108">
        <v>9.1733282840569288</v>
      </c>
      <c r="BA17" s="108">
        <v>3874.8138671856464</v>
      </c>
      <c r="BB17" s="108">
        <v>0</v>
      </c>
      <c r="BC17" s="108">
        <v>0</v>
      </c>
      <c r="BD17" s="108">
        <v>12</v>
      </c>
      <c r="BE17" s="108">
        <v>5068.7999999999993</v>
      </c>
      <c r="BF17" s="108">
        <v>4.8762581838553043</v>
      </c>
      <c r="BG17" s="108">
        <v>2059.7314568604806</v>
      </c>
      <c r="BH17" s="108">
        <v>6.3671861577458788</v>
      </c>
      <c r="BI17" s="108">
        <v>2689.4994330318591</v>
      </c>
      <c r="BJ17" s="108">
        <v>5.1076265915763424</v>
      </c>
      <c r="BK17" s="108">
        <v>2157.4614722818469</v>
      </c>
      <c r="BL17" s="108">
        <v>3.170582846006305</v>
      </c>
      <c r="BM17" s="108">
        <v>1339.2541941530633</v>
      </c>
      <c r="BN17" s="108">
        <v>4.9366326727542127</v>
      </c>
      <c r="BO17" s="108">
        <v>2085.2336409713794</v>
      </c>
      <c r="BP17" s="108">
        <v>21.743903988722987</v>
      </c>
      <c r="BQ17" s="108">
        <v>9184.62504483659</v>
      </c>
      <c r="BR17" s="108">
        <v>16.409984879257919</v>
      </c>
      <c r="BS17" s="108">
        <v>6931.5776129985452</v>
      </c>
      <c r="BT17" s="108">
        <v>18.488256722903156</v>
      </c>
      <c r="BU17" s="108">
        <v>7809.4396397542923</v>
      </c>
      <c r="BV17" s="108">
        <v>0</v>
      </c>
      <c r="BW17" s="108">
        <v>0</v>
      </c>
      <c r="BX17" s="108">
        <v>2.4115982101723312</v>
      </c>
      <c r="BY17" s="108">
        <v>1018.6590839767927</v>
      </c>
      <c r="BZ17" s="108">
        <v>1.7609994122091102</v>
      </c>
      <c r="CA17" s="108">
        <v>743.84615171712812</v>
      </c>
      <c r="CB17" s="108">
        <v>0</v>
      </c>
      <c r="CC17" s="108">
        <v>0</v>
      </c>
      <c r="CD17" s="108">
        <v>3.2842128844494942</v>
      </c>
      <c r="CE17" s="108">
        <v>1387.2515223914663</v>
      </c>
      <c r="CF17" s="108">
        <v>0</v>
      </c>
      <c r="CG17" s="108">
        <v>0</v>
      </c>
      <c r="CH17" s="108">
        <v>0</v>
      </c>
      <c r="CI17" s="108">
        <v>0</v>
      </c>
      <c r="CJ17" s="108">
        <v>30.741925357485446</v>
      </c>
      <c r="CK17" s="108">
        <v>12985.389271001852</v>
      </c>
      <c r="CL17" s="108">
        <v>13.951859652572253</v>
      </c>
      <c r="CM17" s="108">
        <v>5893.2655172465193</v>
      </c>
      <c r="CN17" s="108">
        <v>6.7227640905179271</v>
      </c>
      <c r="CO17" s="108">
        <v>2839.6955518347722</v>
      </c>
      <c r="CP17" s="108">
        <v>0</v>
      </c>
      <c r="CQ17" s="108">
        <v>0</v>
      </c>
      <c r="CR17" s="108">
        <v>0</v>
      </c>
      <c r="CS17" s="108">
        <v>0</v>
      </c>
      <c r="CT17" s="108">
        <v>12.004150738993998</v>
      </c>
      <c r="CU17" s="108">
        <v>5070.5532721510644</v>
      </c>
    </row>
    <row r="18" spans="2:99" x14ac:dyDescent="0.2">
      <c r="C18" s="107" t="s">
        <v>183</v>
      </c>
      <c r="D18" s="108">
        <v>0</v>
      </c>
      <c r="E18" s="108">
        <v>0</v>
      </c>
      <c r="F18" s="108">
        <v>0</v>
      </c>
      <c r="G18" s="108">
        <v>0</v>
      </c>
      <c r="H18" s="108">
        <v>0</v>
      </c>
      <c r="I18" s="108">
        <v>0</v>
      </c>
      <c r="J18" s="108">
        <v>0</v>
      </c>
      <c r="K18" s="108">
        <v>0</v>
      </c>
      <c r="L18" s="108">
        <v>2.7666573460117756</v>
      </c>
      <c r="M18" s="108">
        <v>1806.0739154764869</v>
      </c>
      <c r="N18" s="108">
        <v>2.5099216914296756</v>
      </c>
      <c r="O18" s="108">
        <v>1638.4768801652922</v>
      </c>
      <c r="P18" s="108">
        <v>1.3516474819172071</v>
      </c>
      <c r="Q18" s="108">
        <v>882.35547619555268</v>
      </c>
      <c r="R18" s="108">
        <v>2.0585695637148049</v>
      </c>
      <c r="S18" s="108">
        <v>1343.8342111930247</v>
      </c>
      <c r="T18" s="108">
        <v>0</v>
      </c>
      <c r="U18" s="108">
        <v>0</v>
      </c>
      <c r="V18" s="108">
        <v>10</v>
      </c>
      <c r="W18" s="108">
        <v>6528</v>
      </c>
      <c r="X18" s="108">
        <v>7.4723868593407792</v>
      </c>
      <c r="Y18" s="108">
        <v>4877.9741417776604</v>
      </c>
      <c r="Z18" s="108">
        <v>6.8257448008531032</v>
      </c>
      <c r="AA18" s="108">
        <v>4455.8462059969052</v>
      </c>
      <c r="AB18" s="108">
        <v>7.8188061558618339E-16</v>
      </c>
      <c r="AC18" s="108">
        <v>5.1041166585466045E-13</v>
      </c>
      <c r="AD18" s="108">
        <v>13.138482569427806</v>
      </c>
      <c r="AE18" s="108">
        <v>8576.8014213224706</v>
      </c>
      <c r="AF18" s="108">
        <v>15.846197592623879</v>
      </c>
      <c r="AG18" s="108">
        <v>10344.397788464867</v>
      </c>
      <c r="AH18" s="108">
        <v>10.49745847337406</v>
      </c>
      <c r="AI18" s="108">
        <v>6852.7408914185862</v>
      </c>
      <c r="AJ18" s="108">
        <v>0</v>
      </c>
      <c r="AK18" s="108">
        <v>0</v>
      </c>
      <c r="AL18" s="108">
        <v>4.7443332224695087</v>
      </c>
      <c r="AM18" s="108">
        <v>3097.1007276280952</v>
      </c>
      <c r="AN18" s="108">
        <v>2.3987908682179464</v>
      </c>
      <c r="AO18" s="108">
        <v>1565.9306787726753</v>
      </c>
      <c r="AP18" s="108">
        <v>0</v>
      </c>
      <c r="AQ18" s="108">
        <v>0</v>
      </c>
      <c r="AR18" s="108">
        <v>9.4502341700101784</v>
      </c>
      <c r="AS18" s="108">
        <v>6169.1128661826442</v>
      </c>
      <c r="AT18" s="108">
        <v>0</v>
      </c>
      <c r="AU18" s="108">
        <v>0</v>
      </c>
      <c r="AV18" s="108">
        <v>11.459934206699739</v>
      </c>
      <c r="AW18" s="108">
        <v>7481.045050133589</v>
      </c>
      <c r="AX18" s="108">
        <v>5.8192752688513627</v>
      </c>
      <c r="AY18" s="108">
        <v>3798.8228955061695</v>
      </c>
      <c r="AZ18" s="108">
        <v>7.9002079013733155</v>
      </c>
      <c r="BA18" s="108">
        <v>5157.2557180165004</v>
      </c>
      <c r="BB18" s="108">
        <v>0</v>
      </c>
      <c r="BC18" s="108">
        <v>0</v>
      </c>
      <c r="BD18" s="108">
        <v>10</v>
      </c>
      <c r="BE18" s="108">
        <v>6528</v>
      </c>
      <c r="BF18" s="108">
        <v>4.5011614004818199</v>
      </c>
      <c r="BG18" s="108">
        <v>2938.3581622345318</v>
      </c>
      <c r="BH18" s="108">
        <v>6.3554209457380386</v>
      </c>
      <c r="BI18" s="108">
        <v>4148.8187933777917</v>
      </c>
      <c r="BJ18" s="108">
        <v>5.1672100597865915</v>
      </c>
      <c r="BK18" s="108">
        <v>3373.1547270286869</v>
      </c>
      <c r="BL18" s="108">
        <v>3.3893846844229092</v>
      </c>
      <c r="BM18" s="108">
        <v>2212.5903219912748</v>
      </c>
      <c r="BN18" s="108">
        <v>4.7243910372929729</v>
      </c>
      <c r="BO18" s="108">
        <v>3084.0824691448524</v>
      </c>
      <c r="BP18" s="108">
        <v>18.651016693706392</v>
      </c>
      <c r="BQ18" s="108">
        <v>12175.383697651532</v>
      </c>
      <c r="BR18" s="108">
        <v>16.784653360669189</v>
      </c>
      <c r="BS18" s="108">
        <v>10957.021713844846</v>
      </c>
      <c r="BT18" s="108">
        <v>18.123070524713203</v>
      </c>
      <c r="BU18" s="108">
        <v>11830.740438532777</v>
      </c>
      <c r="BV18" s="108">
        <v>0</v>
      </c>
      <c r="BW18" s="108">
        <v>0</v>
      </c>
      <c r="BX18" s="108">
        <v>2.1436428534865168</v>
      </c>
      <c r="BY18" s="108">
        <v>1399.3700547559981</v>
      </c>
      <c r="BZ18" s="108">
        <v>1.6076467271568549</v>
      </c>
      <c r="CA18" s="108">
        <v>1049.4717834879948</v>
      </c>
      <c r="CB18" s="108">
        <v>0</v>
      </c>
      <c r="CC18" s="108">
        <v>0</v>
      </c>
      <c r="CD18" s="108">
        <v>3.5187995190530295</v>
      </c>
      <c r="CE18" s="108">
        <v>2297.0723260378177</v>
      </c>
      <c r="CF18" s="108">
        <v>0</v>
      </c>
      <c r="CG18" s="108">
        <v>0</v>
      </c>
      <c r="CH18" s="108">
        <v>0</v>
      </c>
      <c r="CI18" s="108">
        <v>0</v>
      </c>
      <c r="CJ18" s="108">
        <v>31.258596371896964</v>
      </c>
      <c r="CK18" s="108">
        <v>20405.611711574336</v>
      </c>
      <c r="CL18" s="108">
        <v>14.076959066164846</v>
      </c>
      <c r="CM18" s="108">
        <v>9189.4388783924114</v>
      </c>
      <c r="CN18" s="108">
        <v>6.4066818132578947</v>
      </c>
      <c r="CO18" s="108">
        <v>4182.2818876947531</v>
      </c>
      <c r="CP18" s="108">
        <v>0</v>
      </c>
      <c r="CQ18" s="108">
        <v>0</v>
      </c>
      <c r="CR18" s="108">
        <v>0</v>
      </c>
      <c r="CS18" s="108">
        <v>0</v>
      </c>
      <c r="CT18" s="108">
        <v>11.503977791535915</v>
      </c>
      <c r="CU18" s="108">
        <v>7509.7967023146448</v>
      </c>
    </row>
    <row r="19" spans="2:99" x14ac:dyDescent="0.2">
      <c r="C19" s="107" t="s">
        <v>184</v>
      </c>
      <c r="D19" s="108">
        <v>0</v>
      </c>
      <c r="E19" s="108">
        <v>0</v>
      </c>
      <c r="F19" s="108">
        <v>0</v>
      </c>
      <c r="G19" s="108">
        <v>0</v>
      </c>
      <c r="H19" s="108">
        <v>0</v>
      </c>
      <c r="I19" s="108">
        <v>0</v>
      </c>
      <c r="J19" s="108">
        <v>0</v>
      </c>
      <c r="K19" s="108">
        <v>0</v>
      </c>
      <c r="L19" s="108">
        <v>2.4208251777603036</v>
      </c>
      <c r="M19" s="108">
        <v>798.87230866090022</v>
      </c>
      <c r="N19" s="108">
        <v>2.3053786232571194</v>
      </c>
      <c r="O19" s="108">
        <v>760.77494567484939</v>
      </c>
      <c r="P19" s="108">
        <v>1.5167274992571607</v>
      </c>
      <c r="Q19" s="108">
        <v>500.520074754863</v>
      </c>
      <c r="R19" s="108">
        <v>2.107890446768121</v>
      </c>
      <c r="S19" s="108">
        <v>695.60384743347993</v>
      </c>
      <c r="T19" s="108">
        <v>0</v>
      </c>
      <c r="U19" s="108">
        <v>0</v>
      </c>
      <c r="V19" s="108">
        <v>12</v>
      </c>
      <c r="W19" s="108">
        <v>3960</v>
      </c>
      <c r="X19" s="108">
        <v>6.8069443641164167</v>
      </c>
      <c r="Y19" s="108">
        <v>2246.2916401584175</v>
      </c>
      <c r="Z19" s="108">
        <v>6.6490242606899335</v>
      </c>
      <c r="AA19" s="108">
        <v>2194.1780060276778</v>
      </c>
      <c r="AB19" s="108">
        <v>8.2376707713544312E-16</v>
      </c>
      <c r="AC19" s="108">
        <v>2.7184313545469625E-13</v>
      </c>
      <c r="AD19" s="108">
        <v>12.989181631138855</v>
      </c>
      <c r="AE19" s="108">
        <v>4286.4299382758227</v>
      </c>
      <c r="AF19" s="108">
        <v>16.823378543957702</v>
      </c>
      <c r="AG19" s="108">
        <v>5551.714919506042</v>
      </c>
      <c r="AH19" s="108">
        <v>11.691157240090941</v>
      </c>
      <c r="AI19" s="108">
        <v>3858.0818892300108</v>
      </c>
      <c r="AJ19" s="108">
        <v>0</v>
      </c>
      <c r="AK19" s="108">
        <v>0</v>
      </c>
      <c r="AL19" s="108">
        <v>5.7986294941293997</v>
      </c>
      <c r="AM19" s="108">
        <v>1913.5477330627018</v>
      </c>
      <c r="AN19" s="108">
        <v>2.4571109875570043</v>
      </c>
      <c r="AO19" s="108">
        <v>810.84662589381139</v>
      </c>
      <c r="AP19" s="108">
        <v>0</v>
      </c>
      <c r="AQ19" s="108">
        <v>0</v>
      </c>
      <c r="AR19" s="108">
        <v>10.177175260010962</v>
      </c>
      <c r="AS19" s="108">
        <v>3358.4678358036176</v>
      </c>
      <c r="AT19" s="108">
        <v>0</v>
      </c>
      <c r="AU19" s="108">
        <v>0</v>
      </c>
      <c r="AV19" s="108">
        <v>12.782234307472786</v>
      </c>
      <c r="AW19" s="108">
        <v>4218.1373214660189</v>
      </c>
      <c r="AX19" s="108">
        <v>5.82526261582231</v>
      </c>
      <c r="AY19" s="108">
        <v>1922.3366632213622</v>
      </c>
      <c r="AZ19" s="108">
        <v>8.4983143272340005</v>
      </c>
      <c r="BA19" s="108">
        <v>2804.44372798722</v>
      </c>
      <c r="BB19" s="108">
        <v>0</v>
      </c>
      <c r="BC19" s="108">
        <v>0</v>
      </c>
      <c r="BD19" s="108">
        <v>10</v>
      </c>
      <c r="BE19" s="108">
        <v>3300</v>
      </c>
      <c r="BF19" s="108">
        <v>4.5011614004818199</v>
      </c>
      <c r="BG19" s="108">
        <v>1485.3832621590007</v>
      </c>
      <c r="BH19" s="108">
        <v>6.3358122590583061</v>
      </c>
      <c r="BI19" s="108">
        <v>2090.8180454892408</v>
      </c>
      <c r="BJ19" s="108">
        <v>5.083221844274993</v>
      </c>
      <c r="BK19" s="108">
        <v>1677.4632086107476</v>
      </c>
      <c r="BL19" s="108">
        <v>3.2423222331616102</v>
      </c>
      <c r="BM19" s="108">
        <v>1069.9663369433313</v>
      </c>
      <c r="BN19" s="108">
        <v>5.2828618653935724</v>
      </c>
      <c r="BO19" s="108">
        <v>1743.3444155798788</v>
      </c>
      <c r="BP19" s="108">
        <v>20.399380695564979</v>
      </c>
      <c r="BQ19" s="108">
        <v>6731.7956295364429</v>
      </c>
      <c r="BR19" s="108">
        <v>18.538674552689674</v>
      </c>
      <c r="BS19" s="108">
        <v>6117.7626023875928</v>
      </c>
      <c r="BT19" s="108">
        <v>19.472755147323422</v>
      </c>
      <c r="BU19" s="108">
        <v>6426.009198616729</v>
      </c>
      <c r="BV19" s="108">
        <v>0</v>
      </c>
      <c r="BW19" s="108">
        <v>0</v>
      </c>
      <c r="BX19" s="108">
        <v>2.1436428534865168</v>
      </c>
      <c r="BY19" s="108">
        <v>707.40214165055056</v>
      </c>
      <c r="BZ19" s="108">
        <v>1.9574643893450043</v>
      </c>
      <c r="CA19" s="108">
        <v>645.96324848385143</v>
      </c>
      <c r="CB19" s="108">
        <v>0</v>
      </c>
      <c r="CC19" s="108">
        <v>0</v>
      </c>
      <c r="CD19" s="108">
        <v>3.7533861536565651</v>
      </c>
      <c r="CE19" s="108">
        <v>1238.6174307066665</v>
      </c>
      <c r="CF19" s="108">
        <v>0</v>
      </c>
      <c r="CG19" s="108">
        <v>0</v>
      </c>
      <c r="CH19" s="108">
        <v>0</v>
      </c>
      <c r="CI19" s="108">
        <v>0</v>
      </c>
      <c r="CJ19" s="108">
        <v>33.583615936748807</v>
      </c>
      <c r="CK19" s="108">
        <v>11082.593259127107</v>
      </c>
      <c r="CL19" s="108">
        <v>13.918869988408121</v>
      </c>
      <c r="CM19" s="108">
        <v>4593.2270961746799</v>
      </c>
      <c r="CN19" s="108">
        <v>7.2752913432431852</v>
      </c>
      <c r="CO19" s="108">
        <v>2400.8461432702511</v>
      </c>
      <c r="CP19" s="108">
        <v>0</v>
      </c>
      <c r="CQ19" s="108">
        <v>0</v>
      </c>
      <c r="CR19" s="108">
        <v>0</v>
      </c>
      <c r="CS19" s="108">
        <v>0</v>
      </c>
      <c r="CT19" s="108">
        <v>11.00380484407783</v>
      </c>
      <c r="CU19" s="108">
        <v>3631.2555985456838</v>
      </c>
    </row>
    <row r="20" spans="2:99" x14ac:dyDescent="0.2">
      <c r="B20" s="107" t="s">
        <v>127</v>
      </c>
      <c r="C20" s="107" t="s">
        <v>185</v>
      </c>
      <c r="D20" s="108">
        <v>0</v>
      </c>
      <c r="E20" s="108">
        <v>0</v>
      </c>
      <c r="F20" s="108">
        <v>0</v>
      </c>
      <c r="G20" s="108">
        <v>0</v>
      </c>
      <c r="H20" s="108">
        <v>0</v>
      </c>
      <c r="I20" s="108">
        <v>0</v>
      </c>
      <c r="J20" s="108">
        <v>0</v>
      </c>
      <c r="K20" s="108">
        <v>0</v>
      </c>
      <c r="L20" s="108">
        <v>16.945776244322129</v>
      </c>
      <c r="M20" s="108">
        <v>4860.0486268715867</v>
      </c>
      <c r="N20" s="108">
        <v>9.9881364546444686</v>
      </c>
      <c r="O20" s="108">
        <v>2864.5975351920338</v>
      </c>
      <c r="P20" s="108">
        <v>5.2362658046917598</v>
      </c>
      <c r="Q20" s="108">
        <v>1501.7610327855969</v>
      </c>
      <c r="R20" s="108">
        <v>7.0196134818149032</v>
      </c>
      <c r="S20" s="108">
        <v>2013.2251465845143</v>
      </c>
      <c r="T20" s="108">
        <v>0</v>
      </c>
      <c r="U20" s="108">
        <v>0</v>
      </c>
      <c r="V20" s="108">
        <v>13</v>
      </c>
      <c r="W20" s="108">
        <v>3728.4</v>
      </c>
      <c r="X20" s="108">
        <v>8.8128555721651534</v>
      </c>
      <c r="Y20" s="108">
        <v>2527.5269780969661</v>
      </c>
      <c r="Z20" s="108">
        <v>8.062580540201818</v>
      </c>
      <c r="AA20" s="108">
        <v>2312.3480989298814</v>
      </c>
      <c r="AB20" s="108">
        <v>8.3772923098519648E-17</v>
      </c>
      <c r="AC20" s="108">
        <v>2.4026074344655437E-14</v>
      </c>
      <c r="AD20" s="108">
        <v>1.3437084446005712</v>
      </c>
      <c r="AE20" s="108">
        <v>385.37558191144382</v>
      </c>
      <c r="AF20" s="108">
        <v>2.0476451554136643</v>
      </c>
      <c r="AG20" s="108">
        <v>587.26463057263891</v>
      </c>
      <c r="AH20" s="108">
        <v>1.7483700466120053</v>
      </c>
      <c r="AI20" s="108">
        <v>501.43252936832317</v>
      </c>
      <c r="AJ20" s="108">
        <v>0</v>
      </c>
      <c r="AK20" s="108">
        <v>0</v>
      </c>
      <c r="AL20" s="108">
        <v>20.558777297367872</v>
      </c>
      <c r="AM20" s="108">
        <v>5896.2573288851063</v>
      </c>
      <c r="AN20" s="108">
        <v>7.798107382568773</v>
      </c>
      <c r="AO20" s="108">
        <v>2236.4971973207244</v>
      </c>
      <c r="AP20" s="108">
        <v>0</v>
      </c>
      <c r="AQ20" s="108">
        <v>0</v>
      </c>
      <c r="AR20" s="108">
        <v>29.804584690032101</v>
      </c>
      <c r="AS20" s="108">
        <v>8547.9548891012073</v>
      </c>
      <c r="AT20" s="108">
        <v>0</v>
      </c>
      <c r="AU20" s="108">
        <v>0</v>
      </c>
      <c r="AV20" s="108">
        <v>25.564468614945572</v>
      </c>
      <c r="AW20" s="108">
        <v>7331.88959876639</v>
      </c>
      <c r="AX20" s="108">
        <v>15.46956727656706</v>
      </c>
      <c r="AY20" s="108">
        <v>4436.6718949194328</v>
      </c>
      <c r="AZ20" s="108">
        <v>7.2676933585511563</v>
      </c>
      <c r="BA20" s="108">
        <v>2084.3744552324715</v>
      </c>
      <c r="BB20" s="108">
        <v>0</v>
      </c>
      <c r="BC20" s="108">
        <v>0</v>
      </c>
      <c r="BD20" s="108">
        <v>10</v>
      </c>
      <c r="BE20" s="108">
        <v>2868</v>
      </c>
      <c r="BF20" s="108">
        <v>2.2505807002409099</v>
      </c>
      <c r="BG20" s="108">
        <v>645.46654482909298</v>
      </c>
      <c r="BH20" s="108">
        <v>14.614639164745961</v>
      </c>
      <c r="BI20" s="108">
        <v>4191.4785124491418</v>
      </c>
      <c r="BJ20" s="108">
        <v>6.4637660999612612</v>
      </c>
      <c r="BK20" s="108">
        <v>1853.8081174688898</v>
      </c>
      <c r="BL20" s="108">
        <v>7.2650477401475371</v>
      </c>
      <c r="BM20" s="108">
        <v>2083.6156918743136</v>
      </c>
      <c r="BN20" s="108">
        <v>7.6722169943815013</v>
      </c>
      <c r="BO20" s="108">
        <v>2200.3918339886145</v>
      </c>
      <c r="BP20" s="108">
        <v>1.119659215484454</v>
      </c>
      <c r="BQ20" s="108">
        <v>321.1182630009414</v>
      </c>
      <c r="BR20" s="108">
        <v>1.9031114244877065</v>
      </c>
      <c r="BS20" s="108">
        <v>545.8123565430742</v>
      </c>
      <c r="BT20" s="108">
        <v>2.5452707163202755</v>
      </c>
      <c r="BU20" s="108">
        <v>729.98364144065499</v>
      </c>
      <c r="BV20" s="108">
        <v>0</v>
      </c>
      <c r="BW20" s="108">
        <v>0</v>
      </c>
      <c r="BX20" s="108">
        <v>15.809366044463061</v>
      </c>
      <c r="BY20" s="108">
        <v>4534.1261815520065</v>
      </c>
      <c r="BZ20" s="108">
        <v>9.1192601456859332</v>
      </c>
      <c r="CA20" s="108">
        <v>2615.4038097827256</v>
      </c>
      <c r="CB20" s="108">
        <v>0</v>
      </c>
      <c r="CC20" s="108">
        <v>0</v>
      </c>
      <c r="CD20" s="108">
        <v>16.421064422247472</v>
      </c>
      <c r="CE20" s="108">
        <v>4709.5612763005747</v>
      </c>
      <c r="CF20" s="108">
        <v>0</v>
      </c>
      <c r="CG20" s="108">
        <v>0</v>
      </c>
      <c r="CH20" s="108">
        <v>0</v>
      </c>
      <c r="CI20" s="108">
        <v>0</v>
      </c>
      <c r="CJ20" s="108">
        <v>23.250195648518407</v>
      </c>
      <c r="CK20" s="108">
        <v>6668.1561119950793</v>
      </c>
      <c r="CL20" s="108">
        <v>11.755553829077739</v>
      </c>
      <c r="CM20" s="108">
        <v>3371.4928381794957</v>
      </c>
      <c r="CN20" s="108">
        <v>18.790679847006491</v>
      </c>
      <c r="CO20" s="108">
        <v>5389.1669801214621</v>
      </c>
      <c r="CP20" s="108">
        <v>0</v>
      </c>
      <c r="CQ20" s="108">
        <v>0</v>
      </c>
      <c r="CR20" s="108">
        <v>0</v>
      </c>
      <c r="CS20" s="108">
        <v>0</v>
      </c>
      <c r="CT20" s="108">
        <v>38.013144006814329</v>
      </c>
      <c r="CU20" s="108">
        <v>10902.169701154349</v>
      </c>
    </row>
    <row r="21" spans="2:99" x14ac:dyDescent="0.2">
      <c r="C21" s="107" t="s">
        <v>186</v>
      </c>
      <c r="D21" s="108">
        <v>0</v>
      </c>
      <c r="E21" s="108">
        <v>0</v>
      </c>
      <c r="F21" s="108">
        <v>0</v>
      </c>
      <c r="G21" s="108">
        <v>0</v>
      </c>
      <c r="H21" s="108">
        <v>0</v>
      </c>
      <c r="I21" s="108">
        <v>0</v>
      </c>
      <c r="J21" s="108">
        <v>0</v>
      </c>
      <c r="K21" s="108">
        <v>0</v>
      </c>
      <c r="L21" s="108">
        <v>16.254111907819183</v>
      </c>
      <c r="M21" s="108">
        <v>1014.256583047917</v>
      </c>
      <c r="N21" s="108">
        <v>9.3514023125566865</v>
      </c>
      <c r="O21" s="108">
        <v>583.52750430353717</v>
      </c>
      <c r="P21" s="108">
        <v>5.2077624652996812</v>
      </c>
      <c r="Q21" s="108">
        <v>324.96437783470009</v>
      </c>
      <c r="R21" s="108">
        <v>7.9769066935752617</v>
      </c>
      <c r="S21" s="108">
        <v>497.75897767909635</v>
      </c>
      <c r="T21" s="108">
        <v>0</v>
      </c>
      <c r="U21" s="108">
        <v>0</v>
      </c>
      <c r="V21" s="108">
        <v>12</v>
      </c>
      <c r="W21" s="108">
        <v>748.8</v>
      </c>
      <c r="X21" s="108">
        <v>9.2265973569621327</v>
      </c>
      <c r="Y21" s="108">
        <v>575.73967507443706</v>
      </c>
      <c r="Z21" s="108">
        <v>7.8694300873998513</v>
      </c>
      <c r="AA21" s="108">
        <v>491.05243745375071</v>
      </c>
      <c r="AB21" s="108">
        <v>9.7735076948272924E-17</v>
      </c>
      <c r="AC21" s="108">
        <v>6.0986688015722301E-15</v>
      </c>
      <c r="AD21" s="108">
        <v>1.6423103211784758</v>
      </c>
      <c r="AE21" s="108">
        <v>102.48016404153688</v>
      </c>
      <c r="AF21" s="108">
        <v>2.2889166578493487</v>
      </c>
      <c r="AG21" s="108">
        <v>142.82839944979935</v>
      </c>
      <c r="AH21" s="108">
        <v>1.9615727174644291</v>
      </c>
      <c r="AI21" s="108">
        <v>122.40213756978036</v>
      </c>
      <c r="AJ21" s="108">
        <v>0</v>
      </c>
      <c r="AK21" s="108">
        <v>0</v>
      </c>
      <c r="AL21" s="108">
        <v>20.031629161537925</v>
      </c>
      <c r="AM21" s="108">
        <v>1249.9736596799664</v>
      </c>
      <c r="AN21" s="108">
        <v>8.5536140518372044</v>
      </c>
      <c r="AO21" s="108">
        <v>533.74551683464153</v>
      </c>
      <c r="AP21" s="108">
        <v>0</v>
      </c>
      <c r="AQ21" s="108">
        <v>0</v>
      </c>
      <c r="AR21" s="108">
        <v>28.714173055030926</v>
      </c>
      <c r="AS21" s="108">
        <v>1791.7643986339297</v>
      </c>
      <c r="AT21" s="108">
        <v>0</v>
      </c>
      <c r="AU21" s="108">
        <v>0</v>
      </c>
      <c r="AV21" s="108">
        <v>28.209068816491666</v>
      </c>
      <c r="AW21" s="108">
        <v>1760.24589414908</v>
      </c>
      <c r="AX21" s="108">
        <v>14.948068618560511</v>
      </c>
      <c r="AY21" s="108">
        <v>932.75948179817578</v>
      </c>
      <c r="AZ21" s="108">
        <v>8.4656227088620462</v>
      </c>
      <c r="BA21" s="108">
        <v>528.25485703299171</v>
      </c>
      <c r="BB21" s="108">
        <v>0</v>
      </c>
      <c r="BC21" s="108">
        <v>0</v>
      </c>
      <c r="BD21" s="108">
        <v>11</v>
      </c>
      <c r="BE21" s="108">
        <v>686.4</v>
      </c>
      <c r="BF21" s="108">
        <v>1.8754839168674247</v>
      </c>
      <c r="BG21" s="108">
        <v>117.0301964125273</v>
      </c>
      <c r="BH21" s="108">
        <v>16.186391633627444</v>
      </c>
      <c r="BI21" s="108">
        <v>1010.0308379383525</v>
      </c>
      <c r="BJ21" s="108">
        <v>7.2210062240288391</v>
      </c>
      <c r="BK21" s="108">
        <v>450.59078837939956</v>
      </c>
      <c r="BL21" s="108">
        <v>8.2281476482870808</v>
      </c>
      <c r="BM21" s="108">
        <v>513.43641325311387</v>
      </c>
      <c r="BN21" s="108">
        <v>8.4845078344702305</v>
      </c>
      <c r="BO21" s="108">
        <v>529.43328887094242</v>
      </c>
      <c r="BP21" s="108">
        <v>1.3145296571894403</v>
      </c>
      <c r="BQ21" s="108">
        <v>82.026650608621068</v>
      </c>
      <c r="BR21" s="108">
        <v>1.9031114244877065</v>
      </c>
      <c r="BS21" s="108">
        <v>118.75415288803289</v>
      </c>
      <c r="BT21" s="108">
        <v>2.7447187721069608</v>
      </c>
      <c r="BU21" s="108">
        <v>171.27045137947434</v>
      </c>
      <c r="BV21" s="108">
        <v>0</v>
      </c>
      <c r="BW21" s="108">
        <v>0</v>
      </c>
      <c r="BX21" s="108">
        <v>13.93367854766236</v>
      </c>
      <c r="BY21" s="108">
        <v>869.46154137413123</v>
      </c>
      <c r="BZ21" s="108">
        <v>10.953639871716026</v>
      </c>
      <c r="CA21" s="108">
        <v>683.50712799508005</v>
      </c>
      <c r="CB21" s="108">
        <v>0</v>
      </c>
      <c r="CC21" s="108">
        <v>0</v>
      </c>
      <c r="CD21" s="108">
        <v>17.593997595265147</v>
      </c>
      <c r="CE21" s="108">
        <v>1097.8654499445452</v>
      </c>
      <c r="CF21" s="108">
        <v>0</v>
      </c>
      <c r="CG21" s="108">
        <v>0</v>
      </c>
      <c r="CH21" s="108">
        <v>0</v>
      </c>
      <c r="CI21" s="108">
        <v>0</v>
      </c>
      <c r="CJ21" s="108">
        <v>25.316879706164485</v>
      </c>
      <c r="CK21" s="108">
        <v>1579.7732936646639</v>
      </c>
      <c r="CL21" s="108">
        <v>11.877799032793092</v>
      </c>
      <c r="CM21" s="108">
        <v>741.17465964628889</v>
      </c>
      <c r="CN21" s="108">
        <v>18.804250459932117</v>
      </c>
      <c r="CO21" s="108">
        <v>1173.3852286997642</v>
      </c>
      <c r="CP21" s="108">
        <v>0</v>
      </c>
      <c r="CQ21" s="108">
        <v>0</v>
      </c>
      <c r="CR21" s="108">
        <v>0</v>
      </c>
      <c r="CS21" s="108">
        <v>0</v>
      </c>
      <c r="CT21" s="108">
        <v>44.515392323769412</v>
      </c>
      <c r="CU21" s="108">
        <v>2777.7604810032112</v>
      </c>
    </row>
    <row r="22" spans="2:99" x14ac:dyDescent="0.2">
      <c r="C22" s="107" t="s">
        <v>187</v>
      </c>
      <c r="D22" s="108">
        <v>0</v>
      </c>
      <c r="E22" s="108">
        <v>0</v>
      </c>
      <c r="F22" s="108">
        <v>0</v>
      </c>
      <c r="G22" s="108">
        <v>0</v>
      </c>
      <c r="H22" s="108">
        <v>0</v>
      </c>
      <c r="I22" s="108">
        <v>0</v>
      </c>
      <c r="J22" s="108">
        <v>0</v>
      </c>
      <c r="K22" s="108">
        <v>0</v>
      </c>
      <c r="L22" s="108">
        <v>16.254111907819183</v>
      </c>
      <c r="M22" s="108">
        <v>3042.7697491437511</v>
      </c>
      <c r="N22" s="108">
        <v>7.9480897957324563</v>
      </c>
      <c r="O22" s="108">
        <v>1487.8824097611157</v>
      </c>
      <c r="P22" s="108">
        <v>5.2123647654049146</v>
      </c>
      <c r="Q22" s="108">
        <v>975.75468408379993</v>
      </c>
      <c r="R22" s="108">
        <v>6.887199116479584</v>
      </c>
      <c r="S22" s="108">
        <v>1289.2836746049782</v>
      </c>
      <c r="T22" s="108">
        <v>0</v>
      </c>
      <c r="U22" s="108">
        <v>0</v>
      </c>
      <c r="V22" s="108">
        <v>11</v>
      </c>
      <c r="W22" s="108">
        <v>2059.1999999999998</v>
      </c>
      <c r="X22" s="108">
        <v>8.788218749400162</v>
      </c>
      <c r="Y22" s="108">
        <v>1645.1545498877101</v>
      </c>
      <c r="Z22" s="108">
        <v>7.3315824962567291</v>
      </c>
      <c r="AA22" s="108">
        <v>1372.4722432992596</v>
      </c>
      <c r="AB22" s="108">
        <v>1.1169723079802619E-16</v>
      </c>
      <c r="AC22" s="108">
        <v>2.09097216053905E-14</v>
      </c>
      <c r="AD22" s="108">
        <v>1.4930093828895237</v>
      </c>
      <c r="AE22" s="108">
        <v>279.49135647691884</v>
      </c>
      <c r="AF22" s="108">
        <v>2.429097189480141</v>
      </c>
      <c r="AG22" s="108">
        <v>454.72699387068235</v>
      </c>
      <c r="AH22" s="108">
        <v>1.9605522486443223</v>
      </c>
      <c r="AI22" s="108">
        <v>367.01538094621714</v>
      </c>
      <c r="AJ22" s="108">
        <v>0</v>
      </c>
      <c r="AK22" s="108">
        <v>0</v>
      </c>
      <c r="AL22" s="108">
        <v>20.558777297367872</v>
      </c>
      <c r="AM22" s="108">
        <v>3848.6031100672653</v>
      </c>
      <c r="AN22" s="108">
        <v>8.592325068548389</v>
      </c>
      <c r="AO22" s="108">
        <v>1608.4832528322584</v>
      </c>
      <c r="AP22" s="108">
        <v>0</v>
      </c>
      <c r="AQ22" s="108">
        <v>0</v>
      </c>
      <c r="AR22" s="108">
        <v>32.34887850503484</v>
      </c>
      <c r="AS22" s="108">
        <v>6055.7100561425214</v>
      </c>
      <c r="AT22" s="108">
        <v>0</v>
      </c>
      <c r="AU22" s="108">
        <v>0</v>
      </c>
      <c r="AV22" s="108">
        <v>28.649835516749345</v>
      </c>
      <c r="AW22" s="108">
        <v>5363.2492087354767</v>
      </c>
      <c r="AX22" s="108">
        <v>14.601962424183425</v>
      </c>
      <c r="AY22" s="108">
        <v>2733.4873658071369</v>
      </c>
      <c r="AZ22" s="108">
        <v>7.383879413732676</v>
      </c>
      <c r="BA22" s="108">
        <v>1382.2622262507568</v>
      </c>
      <c r="BB22" s="108">
        <v>0</v>
      </c>
      <c r="BC22" s="108">
        <v>0</v>
      </c>
      <c r="BD22" s="108">
        <v>10</v>
      </c>
      <c r="BE22" s="108">
        <v>1872</v>
      </c>
      <c r="BF22" s="108">
        <v>2.2505807002409099</v>
      </c>
      <c r="BG22" s="108">
        <v>421.30870708509832</v>
      </c>
      <c r="BH22" s="108">
        <v>14.93055835345664</v>
      </c>
      <c r="BI22" s="108">
        <v>2795.0005237670825</v>
      </c>
      <c r="BJ22" s="108">
        <v>6.6003169983158019</v>
      </c>
      <c r="BK22" s="108">
        <v>1235.5793420847181</v>
      </c>
      <c r="BL22" s="108">
        <v>6.7850435470810364</v>
      </c>
      <c r="BM22" s="108">
        <v>1270.16015201357</v>
      </c>
      <c r="BN22" s="108">
        <v>8.1184357087135446</v>
      </c>
      <c r="BO22" s="108">
        <v>1519.7711646711755</v>
      </c>
      <c r="BP22" s="108">
        <v>1.2885819773752401</v>
      </c>
      <c r="BQ22" s="108">
        <v>241.22254616464491</v>
      </c>
      <c r="BR22" s="108">
        <v>2.108718701223816</v>
      </c>
      <c r="BS22" s="108">
        <v>394.75214086909835</v>
      </c>
      <c r="BT22" s="108">
        <v>2.3292290309471282</v>
      </c>
      <c r="BU22" s="108">
        <v>436.0316745933024</v>
      </c>
      <c r="BV22" s="108">
        <v>0</v>
      </c>
      <c r="BW22" s="108">
        <v>0</v>
      </c>
      <c r="BX22" s="108">
        <v>14.201633904348174</v>
      </c>
      <c r="BY22" s="108">
        <v>2658.5458668939782</v>
      </c>
      <c r="BZ22" s="108">
        <v>9.8525235063412833</v>
      </c>
      <c r="CA22" s="108">
        <v>1844.3924003870882</v>
      </c>
      <c r="CB22" s="108">
        <v>0</v>
      </c>
      <c r="CC22" s="108">
        <v>0</v>
      </c>
      <c r="CD22" s="108">
        <v>16.421064422247472</v>
      </c>
      <c r="CE22" s="108">
        <v>3074.0232598447265</v>
      </c>
      <c r="CF22" s="108">
        <v>0</v>
      </c>
      <c r="CG22" s="108">
        <v>0</v>
      </c>
      <c r="CH22" s="108">
        <v>0</v>
      </c>
      <c r="CI22" s="108">
        <v>0</v>
      </c>
      <c r="CJ22" s="108">
        <v>20.666840576460807</v>
      </c>
      <c r="CK22" s="108">
        <v>3868.8325559134628</v>
      </c>
      <c r="CL22" s="108">
        <v>12.856349898748059</v>
      </c>
      <c r="CM22" s="108">
        <v>2406.7087010456366</v>
      </c>
      <c r="CN22" s="108">
        <v>19.741070329697312</v>
      </c>
      <c r="CO22" s="108">
        <v>3695.5283657193368</v>
      </c>
      <c r="CP22" s="108">
        <v>0</v>
      </c>
      <c r="CQ22" s="108">
        <v>0</v>
      </c>
      <c r="CR22" s="108">
        <v>0</v>
      </c>
      <c r="CS22" s="108">
        <v>0</v>
      </c>
      <c r="CT22" s="108">
        <v>38.513316954272412</v>
      </c>
      <c r="CU22" s="108">
        <v>7209.6929338397949</v>
      </c>
    </row>
    <row r="23" spans="2:99" x14ac:dyDescent="0.2">
      <c r="C23" s="107" t="s">
        <v>188</v>
      </c>
      <c r="D23" s="108">
        <v>0</v>
      </c>
      <c r="E23" s="108">
        <v>0</v>
      </c>
      <c r="F23" s="108">
        <v>0</v>
      </c>
      <c r="G23" s="108">
        <v>0</v>
      </c>
      <c r="H23" s="108">
        <v>0</v>
      </c>
      <c r="I23" s="108">
        <v>0</v>
      </c>
      <c r="J23" s="108">
        <v>0</v>
      </c>
      <c r="K23" s="108">
        <v>0</v>
      </c>
      <c r="L23" s="108">
        <v>14.870783234813297</v>
      </c>
      <c r="M23" s="108">
        <v>4372.0102710351093</v>
      </c>
      <c r="N23" s="108">
        <v>9.8607896262269108</v>
      </c>
      <c r="O23" s="108">
        <v>2899.0721501107118</v>
      </c>
      <c r="P23" s="108">
        <v>5.4375055040522353</v>
      </c>
      <c r="Q23" s="108">
        <v>1598.6266181913572</v>
      </c>
      <c r="R23" s="108">
        <v>7.101646884345314</v>
      </c>
      <c r="S23" s="108">
        <v>2087.8841839975221</v>
      </c>
      <c r="T23" s="108">
        <v>0</v>
      </c>
      <c r="U23" s="108">
        <v>0</v>
      </c>
      <c r="V23" s="108">
        <v>11</v>
      </c>
      <c r="W23" s="108">
        <v>3234</v>
      </c>
      <c r="X23" s="108">
        <v>8.8727139726860571</v>
      </c>
      <c r="Y23" s="108">
        <v>2608.5779079697008</v>
      </c>
      <c r="Z23" s="108">
        <v>7.8058984360668235</v>
      </c>
      <c r="AA23" s="108">
        <v>2294.9341402036462</v>
      </c>
      <c r="AB23" s="108">
        <v>1.1169723079802619E-16</v>
      </c>
      <c r="AC23" s="108">
        <v>3.2838985854619702E-14</v>
      </c>
      <c r="AD23" s="108">
        <v>1.4930093828895237</v>
      </c>
      <c r="AE23" s="108">
        <v>438.94475856951993</v>
      </c>
      <c r="AF23" s="108">
        <v>2.2458428881657815</v>
      </c>
      <c r="AG23" s="108">
        <v>660.27780912073979</v>
      </c>
      <c r="AH23" s="108">
        <v>1.7959583298749793</v>
      </c>
      <c r="AI23" s="108">
        <v>528.01174898324393</v>
      </c>
      <c r="AJ23" s="108">
        <v>0</v>
      </c>
      <c r="AK23" s="108">
        <v>0</v>
      </c>
      <c r="AL23" s="108">
        <v>20.558777297367872</v>
      </c>
      <c r="AM23" s="108">
        <v>6044.2805254261539</v>
      </c>
      <c r="AN23" s="108">
        <v>8.7860037010603094</v>
      </c>
      <c r="AO23" s="108">
        <v>2583.0850881117308</v>
      </c>
      <c r="AP23" s="108">
        <v>0</v>
      </c>
      <c r="AQ23" s="108">
        <v>0</v>
      </c>
      <c r="AR23" s="108">
        <v>29.077643600031315</v>
      </c>
      <c r="AS23" s="108">
        <v>8548.8272184092075</v>
      </c>
      <c r="AT23" s="108">
        <v>0</v>
      </c>
      <c r="AU23" s="108">
        <v>0</v>
      </c>
      <c r="AV23" s="108">
        <v>29.090602217007028</v>
      </c>
      <c r="AW23" s="108">
        <v>8552.6370518000658</v>
      </c>
      <c r="AX23" s="108">
        <v>13.933143699838471</v>
      </c>
      <c r="AY23" s="108">
        <v>4096.3442477525105</v>
      </c>
      <c r="AZ23" s="108">
        <v>7.7940417492181533</v>
      </c>
      <c r="BA23" s="108">
        <v>2291.4482742701371</v>
      </c>
      <c r="BB23" s="108">
        <v>0</v>
      </c>
      <c r="BC23" s="108">
        <v>0</v>
      </c>
      <c r="BD23" s="108">
        <v>10</v>
      </c>
      <c r="BE23" s="108">
        <v>2940</v>
      </c>
      <c r="BF23" s="108">
        <v>2.2505807002409099</v>
      </c>
      <c r="BG23" s="108">
        <v>661.67072587082748</v>
      </c>
      <c r="BH23" s="108">
        <v>16.162861209611766</v>
      </c>
      <c r="BI23" s="108">
        <v>4751.8811956258587</v>
      </c>
      <c r="BJ23" s="108">
        <v>6.446577107893213</v>
      </c>
      <c r="BK23" s="108">
        <v>1895.2936697206046</v>
      </c>
      <c r="BL23" s="108">
        <v>6.542211096111374</v>
      </c>
      <c r="BM23" s="108">
        <v>1923.4100622567439</v>
      </c>
      <c r="BN23" s="108">
        <v>6.8149845850106372</v>
      </c>
      <c r="BO23" s="108">
        <v>2003.6054679931274</v>
      </c>
      <c r="BP23" s="108">
        <v>1.2885819773752401</v>
      </c>
      <c r="BQ23" s="108">
        <v>378.8431013483206</v>
      </c>
      <c r="BR23" s="108">
        <v>1.9189052046465231</v>
      </c>
      <c r="BS23" s="108">
        <v>564.15813016607785</v>
      </c>
      <c r="BT23" s="108">
        <v>2.6373171814308076</v>
      </c>
      <c r="BU23" s="108">
        <v>775.37125134065741</v>
      </c>
      <c r="BV23" s="108">
        <v>0</v>
      </c>
      <c r="BW23" s="108">
        <v>0</v>
      </c>
      <c r="BX23" s="108">
        <v>15.809366044463061</v>
      </c>
      <c r="BY23" s="108">
        <v>4647.9536170721403</v>
      </c>
      <c r="BZ23" s="108">
        <v>10.935953479010987</v>
      </c>
      <c r="CA23" s="108">
        <v>3215.1703228292304</v>
      </c>
      <c r="CB23" s="108">
        <v>0</v>
      </c>
      <c r="CC23" s="108">
        <v>0</v>
      </c>
      <c r="CD23" s="108">
        <v>15.951891153040402</v>
      </c>
      <c r="CE23" s="108">
        <v>4689.8559989938776</v>
      </c>
      <c r="CF23" s="108">
        <v>0</v>
      </c>
      <c r="CG23" s="108">
        <v>0</v>
      </c>
      <c r="CH23" s="108">
        <v>0</v>
      </c>
      <c r="CI23" s="108">
        <v>0</v>
      </c>
      <c r="CJ23" s="108">
        <v>19.633498547637767</v>
      </c>
      <c r="CK23" s="108">
        <v>5772.2485730055032</v>
      </c>
      <c r="CL23" s="108">
        <v>12.131060107300565</v>
      </c>
      <c r="CM23" s="108">
        <v>3566.5316715463659</v>
      </c>
      <c r="CN23" s="108">
        <v>17.147740527211702</v>
      </c>
      <c r="CO23" s="108">
        <v>5041.4357150002406</v>
      </c>
      <c r="CP23" s="108">
        <v>0</v>
      </c>
      <c r="CQ23" s="108">
        <v>0</v>
      </c>
      <c r="CR23" s="108">
        <v>0</v>
      </c>
      <c r="CS23" s="108">
        <v>0</v>
      </c>
      <c r="CT23" s="108">
        <v>43.515046428853246</v>
      </c>
      <c r="CU23" s="108">
        <v>12793.423650082854</v>
      </c>
    </row>
    <row r="24" spans="2:99" x14ac:dyDescent="0.2">
      <c r="C24" s="107" t="s">
        <v>189</v>
      </c>
      <c r="D24" s="108">
        <v>0</v>
      </c>
      <c r="E24" s="108">
        <v>0</v>
      </c>
      <c r="F24" s="108">
        <v>0</v>
      </c>
      <c r="G24" s="108">
        <v>0</v>
      </c>
      <c r="H24" s="108">
        <v>0</v>
      </c>
      <c r="I24" s="108">
        <v>0</v>
      </c>
      <c r="J24" s="108">
        <v>0</v>
      </c>
      <c r="K24" s="108">
        <v>0</v>
      </c>
      <c r="L24" s="108">
        <v>15.562447571316239</v>
      </c>
      <c r="M24" s="108">
        <v>5714.5307481873233</v>
      </c>
      <c r="N24" s="108">
        <v>8.6732775751318556</v>
      </c>
      <c r="O24" s="108">
        <v>3184.8275255884173</v>
      </c>
      <c r="P24" s="108">
        <v>5.4116793292534018</v>
      </c>
      <c r="Q24" s="108">
        <v>1987.1686497018491</v>
      </c>
      <c r="R24" s="108">
        <v>6.6751379313540671</v>
      </c>
      <c r="S24" s="108">
        <v>2451.1106483932135</v>
      </c>
      <c r="T24" s="108">
        <v>0</v>
      </c>
      <c r="U24" s="108">
        <v>0</v>
      </c>
      <c r="V24" s="108">
        <v>11</v>
      </c>
      <c r="W24" s="108">
        <v>4039.2</v>
      </c>
      <c r="X24" s="108">
        <v>8.6261113566588676</v>
      </c>
      <c r="Y24" s="108">
        <v>3167.5080901651363</v>
      </c>
      <c r="Z24" s="108">
        <v>7.7570010613410298</v>
      </c>
      <c r="AA24" s="108">
        <v>2848.3707897244262</v>
      </c>
      <c r="AB24" s="108">
        <v>9.7735076948272924E-17</v>
      </c>
      <c r="AC24" s="108">
        <v>3.5888320255405815E-14</v>
      </c>
      <c r="AD24" s="108">
        <v>1.4930093828895237</v>
      </c>
      <c r="AE24" s="108">
        <v>548.23304539703304</v>
      </c>
      <c r="AF24" s="108">
        <v>2.3955639242713289</v>
      </c>
      <c r="AG24" s="108">
        <v>879.65107299243198</v>
      </c>
      <c r="AH24" s="108">
        <v>1.9362478726027819</v>
      </c>
      <c r="AI24" s="108">
        <v>710.99021881974147</v>
      </c>
      <c r="AJ24" s="108">
        <v>0</v>
      </c>
      <c r="AK24" s="108">
        <v>0</v>
      </c>
      <c r="AL24" s="108">
        <v>20.558777297367872</v>
      </c>
      <c r="AM24" s="108">
        <v>7549.1830235934822</v>
      </c>
      <c r="AN24" s="108">
        <v>8.6952759490264917</v>
      </c>
      <c r="AO24" s="108">
        <v>3192.9053284825277</v>
      </c>
      <c r="AP24" s="108">
        <v>0</v>
      </c>
      <c r="AQ24" s="108">
        <v>0</v>
      </c>
      <c r="AR24" s="108">
        <v>29.804584690032101</v>
      </c>
      <c r="AS24" s="108">
        <v>10944.243498179787</v>
      </c>
      <c r="AT24" s="108">
        <v>0</v>
      </c>
      <c r="AU24" s="108">
        <v>0</v>
      </c>
      <c r="AV24" s="108">
        <v>26.446002015460934</v>
      </c>
      <c r="AW24" s="108">
        <v>9710.9719400772537</v>
      </c>
      <c r="AX24" s="108">
        <v>13.558965108170321</v>
      </c>
      <c r="AY24" s="108">
        <v>4978.8519877201416</v>
      </c>
      <c r="AZ24" s="108">
        <v>7.1805538171650181</v>
      </c>
      <c r="BA24" s="108">
        <v>2636.6993616629948</v>
      </c>
      <c r="BB24" s="108">
        <v>0</v>
      </c>
      <c r="BC24" s="108">
        <v>0</v>
      </c>
      <c r="BD24" s="108">
        <v>11</v>
      </c>
      <c r="BE24" s="108">
        <v>4039.2</v>
      </c>
      <c r="BF24" s="108">
        <v>2.2505807002409099</v>
      </c>
      <c r="BG24" s="108">
        <v>826.41323312846214</v>
      </c>
      <c r="BH24" s="108">
        <v>15.823411596885412</v>
      </c>
      <c r="BI24" s="108">
        <v>5810.3567383763229</v>
      </c>
      <c r="BJ24" s="108">
        <v>6.4523067719158957</v>
      </c>
      <c r="BK24" s="108">
        <v>2369.2870466475169</v>
      </c>
      <c r="BL24" s="108">
        <v>6.9007452655642831</v>
      </c>
      <c r="BM24" s="108">
        <v>2533.9536615152047</v>
      </c>
      <c r="BN24" s="108">
        <v>7.9543347661285653</v>
      </c>
      <c r="BO24" s="108">
        <v>2920.8317261224092</v>
      </c>
      <c r="BP24" s="108">
        <v>1.2937715133380798</v>
      </c>
      <c r="BQ24" s="108">
        <v>475.07289969774291</v>
      </c>
      <c r="BR24" s="108">
        <v>1.7132979279104137</v>
      </c>
      <c r="BS24" s="108">
        <v>629.1229991287039</v>
      </c>
      <c r="BT24" s="108">
        <v>2.5260638156813524</v>
      </c>
      <c r="BU24" s="108">
        <v>927.57063311819263</v>
      </c>
      <c r="BV24" s="108">
        <v>0</v>
      </c>
      <c r="BW24" s="108">
        <v>0</v>
      </c>
      <c r="BX24" s="108">
        <v>13.93367854766236</v>
      </c>
      <c r="BY24" s="108">
        <v>5116.4467627016184</v>
      </c>
      <c r="BZ24" s="108">
        <v>10.211882264534363</v>
      </c>
      <c r="CA24" s="108">
        <v>3749.803167537018</v>
      </c>
      <c r="CB24" s="108">
        <v>0</v>
      </c>
      <c r="CC24" s="108">
        <v>0</v>
      </c>
      <c r="CD24" s="108">
        <v>17.124824326058075</v>
      </c>
      <c r="CE24" s="108">
        <v>6288.2354925285254</v>
      </c>
      <c r="CF24" s="108">
        <v>0</v>
      </c>
      <c r="CG24" s="108">
        <v>0</v>
      </c>
      <c r="CH24" s="108">
        <v>0</v>
      </c>
      <c r="CI24" s="108">
        <v>0</v>
      </c>
      <c r="CJ24" s="108">
        <v>20.666840576460807</v>
      </c>
      <c r="CK24" s="108">
        <v>7588.8638596764076</v>
      </c>
      <c r="CL24" s="108">
        <v>12.025803674480382</v>
      </c>
      <c r="CM24" s="108">
        <v>4415.8751092691964</v>
      </c>
      <c r="CN24" s="108">
        <v>18.682114943601498</v>
      </c>
      <c r="CO24" s="108">
        <v>6860.0726072904699</v>
      </c>
      <c r="CP24" s="108">
        <v>0</v>
      </c>
      <c r="CQ24" s="108">
        <v>0</v>
      </c>
      <c r="CR24" s="108">
        <v>0</v>
      </c>
      <c r="CS24" s="108">
        <v>0</v>
      </c>
      <c r="CT24" s="108">
        <v>36.512625164440074</v>
      </c>
      <c r="CU24" s="108">
        <v>13407.435960382394</v>
      </c>
    </row>
    <row r="25" spans="2:99" x14ac:dyDescent="0.2">
      <c r="C25" s="107" t="s">
        <v>190</v>
      </c>
      <c r="D25" s="108">
        <v>0</v>
      </c>
      <c r="E25" s="108">
        <v>0</v>
      </c>
      <c r="F25" s="108">
        <v>0</v>
      </c>
      <c r="G25" s="108">
        <v>0</v>
      </c>
      <c r="H25" s="108">
        <v>0</v>
      </c>
      <c r="I25" s="108">
        <v>0</v>
      </c>
      <c r="J25" s="108">
        <v>0</v>
      </c>
      <c r="K25" s="108">
        <v>0</v>
      </c>
      <c r="L25" s="108">
        <v>14.179118898310353</v>
      </c>
      <c r="M25" s="108">
        <v>7520.6046636638112</v>
      </c>
      <c r="N25" s="108">
        <v>8.7385937111179821</v>
      </c>
      <c r="O25" s="108">
        <v>4634.9501043769778</v>
      </c>
      <c r="P25" s="108">
        <v>5.2108521589312096</v>
      </c>
      <c r="Q25" s="108">
        <v>2763.8359850971133</v>
      </c>
      <c r="R25" s="108">
        <v>7.1333862607509859</v>
      </c>
      <c r="S25" s="108">
        <v>3783.5480727023228</v>
      </c>
      <c r="T25" s="108">
        <v>0</v>
      </c>
      <c r="U25" s="108">
        <v>0</v>
      </c>
      <c r="V25" s="108">
        <v>11</v>
      </c>
      <c r="W25" s="108">
        <v>5834.4</v>
      </c>
      <c r="X25" s="108">
        <v>8.2795146077367932</v>
      </c>
      <c r="Y25" s="108">
        <v>4391.4545479435947</v>
      </c>
      <c r="Z25" s="108">
        <v>7.3315824962567291</v>
      </c>
      <c r="AA25" s="108">
        <v>3888.671356014569</v>
      </c>
      <c r="AB25" s="108">
        <v>9.7735076948272924E-17</v>
      </c>
      <c r="AC25" s="108">
        <v>5.1838684813363954E-14</v>
      </c>
      <c r="AD25" s="108">
        <v>1.4930093828895237</v>
      </c>
      <c r="AE25" s="108">
        <v>791.89217668460333</v>
      </c>
      <c r="AF25" s="108">
        <v>2.0361399502250901</v>
      </c>
      <c r="AG25" s="108">
        <v>1079.9686295993877</v>
      </c>
      <c r="AH25" s="108">
        <v>1.7458188745617378</v>
      </c>
      <c r="AI25" s="108">
        <v>925.98233106754572</v>
      </c>
      <c r="AJ25" s="108">
        <v>0</v>
      </c>
      <c r="AK25" s="108">
        <v>0</v>
      </c>
      <c r="AL25" s="108">
        <v>19.504481025707978</v>
      </c>
      <c r="AM25" s="108">
        <v>10345.176736035512</v>
      </c>
      <c r="AN25" s="108">
        <v>7.2882642460788105</v>
      </c>
      <c r="AO25" s="108">
        <v>3865.6953561202008</v>
      </c>
      <c r="AP25" s="108">
        <v>0</v>
      </c>
      <c r="AQ25" s="108">
        <v>0</v>
      </c>
      <c r="AR25" s="108">
        <v>27.987231965030144</v>
      </c>
      <c r="AS25" s="108">
        <v>14844.427834251988</v>
      </c>
      <c r="AT25" s="108">
        <v>0</v>
      </c>
      <c r="AU25" s="108">
        <v>0</v>
      </c>
      <c r="AV25" s="108">
        <v>28.209068816491666</v>
      </c>
      <c r="AW25" s="108">
        <v>14962.090100267178</v>
      </c>
      <c r="AX25" s="108">
        <v>13.250288776847986</v>
      </c>
      <c r="AY25" s="108">
        <v>7027.9531672401718</v>
      </c>
      <c r="AZ25" s="108">
        <v>7.1805538171650181</v>
      </c>
      <c r="BA25" s="108">
        <v>3808.5657446243254</v>
      </c>
      <c r="BB25" s="108">
        <v>0</v>
      </c>
      <c r="BC25" s="108">
        <v>0</v>
      </c>
      <c r="BD25" s="108">
        <v>10</v>
      </c>
      <c r="BE25" s="108">
        <v>5304</v>
      </c>
      <c r="BF25" s="108">
        <v>1.8754839168674247</v>
      </c>
      <c r="BG25" s="108">
        <v>994.75666950648201</v>
      </c>
      <c r="BH25" s="108">
        <v>15.191573219464059</v>
      </c>
      <c r="BI25" s="108">
        <v>8057.6104356037367</v>
      </c>
      <c r="BJ25" s="108">
        <v>6.3042965455159887</v>
      </c>
      <c r="BK25" s="108">
        <v>3343.7988877416801</v>
      </c>
      <c r="BL25" s="108">
        <v>6.5236968161295508</v>
      </c>
      <c r="BM25" s="108">
        <v>3460.1687912751136</v>
      </c>
      <c r="BN25" s="108">
        <v>6.4644261696136853</v>
      </c>
      <c r="BO25" s="108">
        <v>3428.7316403630984</v>
      </c>
      <c r="BP25" s="108">
        <v>1.1092801435587738</v>
      </c>
      <c r="BQ25" s="108">
        <v>588.36218814357358</v>
      </c>
      <c r="BR25" s="108">
        <v>1.9083760178739786</v>
      </c>
      <c r="BS25" s="108">
        <v>1012.2026398803582</v>
      </c>
      <c r="BT25" s="108">
        <v>2.3292290309471282</v>
      </c>
      <c r="BU25" s="108">
        <v>1235.4230780143566</v>
      </c>
      <c r="BV25" s="108">
        <v>0</v>
      </c>
      <c r="BW25" s="108">
        <v>0</v>
      </c>
      <c r="BX25" s="108">
        <v>13.397767834290731</v>
      </c>
      <c r="BY25" s="108">
        <v>7106.1760593078034</v>
      </c>
      <c r="BZ25" s="108">
        <v>10.109602356392392</v>
      </c>
      <c r="CA25" s="108">
        <v>5362.1330898305241</v>
      </c>
      <c r="CB25" s="108">
        <v>0</v>
      </c>
      <c r="CC25" s="108">
        <v>0</v>
      </c>
      <c r="CD25" s="108">
        <v>16.186477787643938</v>
      </c>
      <c r="CE25" s="108">
        <v>8585.3078185663435</v>
      </c>
      <c r="CF25" s="108">
        <v>0</v>
      </c>
      <c r="CG25" s="108">
        <v>0</v>
      </c>
      <c r="CH25" s="108">
        <v>0</v>
      </c>
      <c r="CI25" s="108">
        <v>0</v>
      </c>
      <c r="CJ25" s="108">
        <v>18.600156518814721</v>
      </c>
      <c r="CK25" s="108">
        <v>9865.5230175793276</v>
      </c>
      <c r="CL25" s="108">
        <v>11.038628249555824</v>
      </c>
      <c r="CM25" s="108">
        <v>5854.8884235644091</v>
      </c>
      <c r="CN25" s="108">
        <v>18.641403104824626</v>
      </c>
      <c r="CO25" s="108">
        <v>9887.4002067989804</v>
      </c>
      <c r="CP25" s="108">
        <v>0</v>
      </c>
      <c r="CQ25" s="108">
        <v>0</v>
      </c>
      <c r="CR25" s="108">
        <v>0</v>
      </c>
      <c r="CS25" s="108">
        <v>0</v>
      </c>
      <c r="CT25" s="108">
        <v>35.512279269523908</v>
      </c>
      <c r="CU25" s="108">
        <v>18835.712924555479</v>
      </c>
    </row>
    <row r="26" spans="2:99" x14ac:dyDescent="0.2">
      <c r="C26" s="107" t="s">
        <v>191</v>
      </c>
      <c r="D26" s="108">
        <v>0</v>
      </c>
      <c r="E26" s="108">
        <v>0</v>
      </c>
      <c r="F26" s="108">
        <v>0</v>
      </c>
      <c r="G26" s="108">
        <v>0</v>
      </c>
      <c r="H26" s="108">
        <v>0</v>
      </c>
      <c r="I26" s="108">
        <v>0</v>
      </c>
      <c r="J26" s="108">
        <v>0</v>
      </c>
      <c r="K26" s="108">
        <v>0</v>
      </c>
      <c r="L26" s="108">
        <v>14.524951066561822</v>
      </c>
      <c r="M26" s="108">
        <v>7059.1262183490453</v>
      </c>
      <c r="N26" s="108">
        <v>9.299445184624874</v>
      </c>
      <c r="O26" s="108">
        <v>4519.5303597276888</v>
      </c>
      <c r="P26" s="108">
        <v>5.1899033035964637</v>
      </c>
      <c r="Q26" s="108">
        <v>2522.2930055478814</v>
      </c>
      <c r="R26" s="108">
        <v>6.538946569211932</v>
      </c>
      <c r="S26" s="108">
        <v>3177.928032636999</v>
      </c>
      <c r="T26" s="108">
        <v>0</v>
      </c>
      <c r="U26" s="108">
        <v>0</v>
      </c>
      <c r="V26" s="108">
        <v>12</v>
      </c>
      <c r="W26" s="108">
        <v>5832</v>
      </c>
      <c r="X26" s="108">
        <v>8.5712847321664665</v>
      </c>
      <c r="Y26" s="108">
        <v>4165.6443798329028</v>
      </c>
      <c r="Z26" s="108">
        <v>6.8793344240591594</v>
      </c>
      <c r="AA26" s="108">
        <v>3343.3565300927517</v>
      </c>
      <c r="AB26" s="108">
        <v>9.7735076948272924E-17</v>
      </c>
      <c r="AC26" s="108">
        <v>4.7499247396860639E-14</v>
      </c>
      <c r="AD26" s="108">
        <v>1.3437084446005712</v>
      </c>
      <c r="AE26" s="108">
        <v>653.04230407587761</v>
      </c>
      <c r="AF26" s="108">
        <v>2.2299171063711141</v>
      </c>
      <c r="AG26" s="108">
        <v>1083.7397136963614</v>
      </c>
      <c r="AH26" s="108">
        <v>1.9615727174644291</v>
      </c>
      <c r="AI26" s="108">
        <v>953.32434068771249</v>
      </c>
      <c r="AJ26" s="108">
        <v>0</v>
      </c>
      <c r="AK26" s="108">
        <v>0</v>
      </c>
      <c r="AL26" s="108">
        <v>18.977332889878035</v>
      </c>
      <c r="AM26" s="108">
        <v>9222.9837844807244</v>
      </c>
      <c r="AN26" s="108">
        <v>8.2444024451380464</v>
      </c>
      <c r="AO26" s="108">
        <v>4006.7795883370904</v>
      </c>
      <c r="AP26" s="108">
        <v>0</v>
      </c>
      <c r="AQ26" s="108">
        <v>0</v>
      </c>
      <c r="AR26" s="108">
        <v>25.079467605027009</v>
      </c>
      <c r="AS26" s="108">
        <v>12188.621256043127</v>
      </c>
      <c r="AT26" s="108">
        <v>0</v>
      </c>
      <c r="AU26" s="108">
        <v>0</v>
      </c>
      <c r="AV26" s="108">
        <v>26.446002015460934</v>
      </c>
      <c r="AW26" s="108">
        <v>12852.756979514013</v>
      </c>
      <c r="AX26" s="108">
        <v>13.046823915927458</v>
      </c>
      <c r="AY26" s="108">
        <v>6340.756423140745</v>
      </c>
      <c r="AZ26" s="108">
        <v>7.2967398723465369</v>
      </c>
      <c r="BA26" s="108">
        <v>3546.2155779604168</v>
      </c>
      <c r="BB26" s="108">
        <v>0</v>
      </c>
      <c r="BC26" s="108">
        <v>0</v>
      </c>
      <c r="BD26" s="108">
        <v>11</v>
      </c>
      <c r="BE26" s="108">
        <v>5346</v>
      </c>
      <c r="BF26" s="108">
        <v>1.8754839168674247</v>
      </c>
      <c r="BG26" s="108">
        <v>911.48518359756838</v>
      </c>
      <c r="BH26" s="108">
        <v>13.971035575316771</v>
      </c>
      <c r="BI26" s="108">
        <v>6789.9232896039503</v>
      </c>
      <c r="BJ26" s="108">
        <v>6.9192561072063441</v>
      </c>
      <c r="BK26" s="108">
        <v>3362.7584681022831</v>
      </c>
      <c r="BL26" s="108">
        <v>6.8975461473002166</v>
      </c>
      <c r="BM26" s="108">
        <v>3352.2074275879054</v>
      </c>
      <c r="BN26" s="108">
        <v>7.299530557585709</v>
      </c>
      <c r="BO26" s="108">
        <v>3547.5718509866547</v>
      </c>
      <c r="BP26" s="108">
        <v>1.3145296571894403</v>
      </c>
      <c r="BQ26" s="108">
        <v>638.86141339406799</v>
      </c>
      <c r="BR26" s="108">
        <v>1.9083760178739786</v>
      </c>
      <c r="BS26" s="108">
        <v>927.47074468675362</v>
      </c>
      <c r="BT26" s="108">
        <v>2.3826684991799585</v>
      </c>
      <c r="BU26" s="108">
        <v>1157.9768906014599</v>
      </c>
      <c r="BV26" s="108">
        <v>0</v>
      </c>
      <c r="BW26" s="108">
        <v>0</v>
      </c>
      <c r="BX26" s="108">
        <v>13.93367854766236</v>
      </c>
      <c r="BY26" s="108">
        <v>6771.7677741639072</v>
      </c>
      <c r="BZ26" s="108">
        <v>9.1542839812698062</v>
      </c>
      <c r="CA26" s="108">
        <v>4448.9820148971257</v>
      </c>
      <c r="CB26" s="108">
        <v>0</v>
      </c>
      <c r="CC26" s="108">
        <v>0</v>
      </c>
      <c r="CD26" s="108">
        <v>14.778957980022724</v>
      </c>
      <c r="CE26" s="108">
        <v>7182.5735782910442</v>
      </c>
      <c r="CF26" s="108">
        <v>0</v>
      </c>
      <c r="CG26" s="108">
        <v>0</v>
      </c>
      <c r="CH26" s="108">
        <v>0</v>
      </c>
      <c r="CI26" s="108">
        <v>0</v>
      </c>
      <c r="CJ26" s="108">
        <v>20.150169562049285</v>
      </c>
      <c r="CK26" s="108">
        <v>9792.9824071559524</v>
      </c>
      <c r="CL26" s="108">
        <v>11.535281217783535</v>
      </c>
      <c r="CM26" s="108">
        <v>5606.1466718427982</v>
      </c>
      <c r="CN26" s="108">
        <v>17.509921923826436</v>
      </c>
      <c r="CO26" s="108">
        <v>8509.8220549796479</v>
      </c>
      <c r="CP26" s="108">
        <v>0</v>
      </c>
      <c r="CQ26" s="108">
        <v>0</v>
      </c>
      <c r="CR26" s="108">
        <v>0</v>
      </c>
      <c r="CS26" s="108">
        <v>0</v>
      </c>
      <c r="CT26" s="108">
        <v>37.012798111898164</v>
      </c>
      <c r="CU26" s="108">
        <v>17988.219882382509</v>
      </c>
    </row>
    <row r="27" spans="2:99" x14ac:dyDescent="0.2">
      <c r="C27" s="107" t="s">
        <v>192</v>
      </c>
      <c r="D27" s="108">
        <v>0</v>
      </c>
      <c r="E27" s="108">
        <v>0</v>
      </c>
      <c r="F27" s="108">
        <v>0</v>
      </c>
      <c r="G27" s="108">
        <v>0</v>
      </c>
      <c r="H27" s="108">
        <v>0</v>
      </c>
      <c r="I27" s="108">
        <v>0</v>
      </c>
      <c r="J27" s="108">
        <v>0</v>
      </c>
      <c r="K27" s="108">
        <v>0</v>
      </c>
      <c r="L27" s="108">
        <v>15.562447571316239</v>
      </c>
      <c r="M27" s="108">
        <v>6648.2776024662971</v>
      </c>
      <c r="N27" s="108">
        <v>8.8372506510463271</v>
      </c>
      <c r="O27" s="108">
        <v>3775.273478126991</v>
      </c>
      <c r="P27" s="108">
        <v>4.8711836751061792</v>
      </c>
      <c r="Q27" s="108">
        <v>2080.9696660053596</v>
      </c>
      <c r="R27" s="108">
        <v>7.2432053629216524</v>
      </c>
      <c r="S27" s="108">
        <v>3094.2973310401298</v>
      </c>
      <c r="T27" s="108">
        <v>0</v>
      </c>
      <c r="U27" s="108">
        <v>0</v>
      </c>
      <c r="V27" s="108">
        <v>12</v>
      </c>
      <c r="W27" s="108">
        <v>5126.3999999999996</v>
      </c>
      <c r="X27" s="108">
        <v>9.3224853527295242</v>
      </c>
      <c r="Y27" s="108">
        <v>3982.5657426860525</v>
      </c>
      <c r="Z27" s="108">
        <v>7.9452734219405832</v>
      </c>
      <c r="AA27" s="108">
        <v>3394.2208058530168</v>
      </c>
      <c r="AB27" s="108">
        <v>9.7735076948272924E-17</v>
      </c>
      <c r="AC27" s="108">
        <v>4.1752424872302192E-14</v>
      </c>
      <c r="AD27" s="108">
        <v>1.4930093828895237</v>
      </c>
      <c r="AE27" s="108">
        <v>637.81360837040449</v>
      </c>
      <c r="AF27" s="108">
        <v>2.3740270394295453</v>
      </c>
      <c r="AG27" s="108">
        <v>1014.1843512443018</v>
      </c>
      <c r="AH27" s="108">
        <v>2.0897100721714614</v>
      </c>
      <c r="AI27" s="108">
        <v>892.72414283164835</v>
      </c>
      <c r="AJ27" s="108">
        <v>0</v>
      </c>
      <c r="AK27" s="108">
        <v>0</v>
      </c>
      <c r="AL27" s="108">
        <v>19.504481025707978</v>
      </c>
      <c r="AM27" s="108">
        <v>8332.3142941824481</v>
      </c>
      <c r="AN27" s="108">
        <v>7.589848665818316</v>
      </c>
      <c r="AO27" s="108">
        <v>3242.3833500375845</v>
      </c>
      <c r="AP27" s="108">
        <v>0</v>
      </c>
      <c r="AQ27" s="108">
        <v>0</v>
      </c>
      <c r="AR27" s="108">
        <v>28.714173055030926</v>
      </c>
      <c r="AS27" s="108">
        <v>12266.694729109211</v>
      </c>
      <c r="AT27" s="108">
        <v>0</v>
      </c>
      <c r="AU27" s="108">
        <v>0</v>
      </c>
      <c r="AV27" s="108">
        <v>27.3275354159763</v>
      </c>
      <c r="AW27" s="108">
        <v>11674.323129705075</v>
      </c>
      <c r="AX27" s="108">
        <v>14.421891227672116</v>
      </c>
      <c r="AY27" s="108">
        <v>6161.0319324615275</v>
      </c>
      <c r="AZ27" s="108">
        <v>7.8521347768089127</v>
      </c>
      <c r="BA27" s="108">
        <v>3354.4319766527674</v>
      </c>
      <c r="BB27" s="108">
        <v>0</v>
      </c>
      <c r="BC27" s="108">
        <v>0</v>
      </c>
      <c r="BD27" s="108">
        <v>11</v>
      </c>
      <c r="BE27" s="108">
        <v>4699.2</v>
      </c>
      <c r="BF27" s="108">
        <v>2.2505807002409099</v>
      </c>
      <c r="BG27" s="108">
        <v>961.44807514291665</v>
      </c>
      <c r="BH27" s="108">
        <v>15.507492408174736</v>
      </c>
      <c r="BI27" s="108">
        <v>6624.800756772247</v>
      </c>
      <c r="BJ27" s="108">
        <v>5.8373472102255395</v>
      </c>
      <c r="BK27" s="108">
        <v>2493.7147282083506</v>
      </c>
      <c r="BL27" s="108">
        <v>7.6498292585159167</v>
      </c>
      <c r="BM27" s="108">
        <v>3268.0070592379993</v>
      </c>
      <c r="BN27" s="108">
        <v>7.7756341484964597</v>
      </c>
      <c r="BO27" s="108">
        <v>3321.7509082376873</v>
      </c>
      <c r="BP27" s="108">
        <v>1.1092801435587738</v>
      </c>
      <c r="BQ27" s="108">
        <v>473.88447732830815</v>
      </c>
      <c r="BR27" s="108">
        <v>1.9031114244877065</v>
      </c>
      <c r="BS27" s="108">
        <v>813.00920054114818</v>
      </c>
      <c r="BT27" s="108">
        <v>2.3094994760977134</v>
      </c>
      <c r="BU27" s="108">
        <v>986.61817618894315</v>
      </c>
      <c r="BV27" s="108">
        <v>0</v>
      </c>
      <c r="BW27" s="108">
        <v>0</v>
      </c>
      <c r="BX27" s="108">
        <v>15.005499974405618</v>
      </c>
      <c r="BY27" s="108">
        <v>6410.3495890660797</v>
      </c>
      <c r="BZ27" s="108">
        <v>9.9431877718246291</v>
      </c>
      <c r="CA27" s="108">
        <v>4247.7298161234812</v>
      </c>
      <c r="CB27" s="108">
        <v>0</v>
      </c>
      <c r="CC27" s="108">
        <v>0</v>
      </c>
      <c r="CD27" s="108">
        <v>15.248131249229793</v>
      </c>
      <c r="CE27" s="108">
        <v>6514.0016696709672</v>
      </c>
      <c r="CF27" s="108">
        <v>0</v>
      </c>
      <c r="CG27" s="108">
        <v>0</v>
      </c>
      <c r="CH27" s="108">
        <v>0</v>
      </c>
      <c r="CI27" s="108">
        <v>0</v>
      </c>
      <c r="CJ27" s="108">
        <v>22.216853619695367</v>
      </c>
      <c r="CK27" s="108">
        <v>9491.0398663338601</v>
      </c>
      <c r="CL27" s="108">
        <v>11.531128875538815</v>
      </c>
      <c r="CM27" s="108">
        <v>4926.0982556301815</v>
      </c>
      <c r="CN27" s="108">
        <v>16.419152581605115</v>
      </c>
      <c r="CO27" s="108">
        <v>7014.2619828617044</v>
      </c>
      <c r="CP27" s="108">
        <v>0</v>
      </c>
      <c r="CQ27" s="108">
        <v>0</v>
      </c>
      <c r="CR27" s="108">
        <v>0</v>
      </c>
      <c r="CS27" s="108">
        <v>0</v>
      </c>
      <c r="CT27" s="108">
        <v>39.013489901730495</v>
      </c>
      <c r="CU27" s="108">
        <v>16666.562886019266</v>
      </c>
    </row>
    <row r="28" spans="2:99" x14ac:dyDescent="0.2">
      <c r="C28" s="107" t="s">
        <v>193</v>
      </c>
      <c r="D28" s="108">
        <v>0</v>
      </c>
      <c r="E28" s="108">
        <v>0</v>
      </c>
      <c r="F28" s="108">
        <v>0</v>
      </c>
      <c r="G28" s="108">
        <v>0</v>
      </c>
      <c r="H28" s="108">
        <v>0</v>
      </c>
      <c r="I28" s="108">
        <v>0</v>
      </c>
      <c r="J28" s="108">
        <v>0</v>
      </c>
      <c r="K28" s="108">
        <v>0</v>
      </c>
      <c r="L28" s="108">
        <v>12.795790225304463</v>
      </c>
      <c r="M28" s="108">
        <v>9443.2931862746937</v>
      </c>
      <c r="N28" s="108">
        <v>8.9774635194230488</v>
      </c>
      <c r="O28" s="108">
        <v>6625.3680773342103</v>
      </c>
      <c r="P28" s="108">
        <v>4.6033201677127993</v>
      </c>
      <c r="Q28" s="108">
        <v>3397.2502837720458</v>
      </c>
      <c r="R28" s="108">
        <v>5.9981347974088077</v>
      </c>
      <c r="S28" s="108">
        <v>4426.6234804877004</v>
      </c>
      <c r="T28" s="108">
        <v>0</v>
      </c>
      <c r="U28" s="108">
        <v>0</v>
      </c>
      <c r="V28" s="108">
        <v>10</v>
      </c>
      <c r="W28" s="108">
        <v>7380</v>
      </c>
      <c r="X28" s="108">
        <v>7.8666984618408149</v>
      </c>
      <c r="Y28" s="108">
        <v>5805.6234648385216</v>
      </c>
      <c r="Z28" s="108">
        <v>7.0749003921217346</v>
      </c>
      <c r="AA28" s="108">
        <v>5221.2764893858403</v>
      </c>
      <c r="AB28" s="108">
        <v>8.3772923098519648E-17</v>
      </c>
      <c r="AC28" s="108">
        <v>6.1824417246707503E-14</v>
      </c>
      <c r="AD28" s="108">
        <v>1.3437084446005712</v>
      </c>
      <c r="AE28" s="108">
        <v>991.6568321152215</v>
      </c>
      <c r="AF28" s="108">
        <v>2.0241435698580612</v>
      </c>
      <c r="AG28" s="108">
        <v>1493.8179545552491</v>
      </c>
      <c r="AH28" s="108">
        <v>1.7858470794944226</v>
      </c>
      <c r="AI28" s="108">
        <v>1317.9551446668838</v>
      </c>
      <c r="AJ28" s="108">
        <v>0</v>
      </c>
      <c r="AK28" s="108">
        <v>0</v>
      </c>
      <c r="AL28" s="108">
        <v>17.923036618218141</v>
      </c>
      <c r="AM28" s="108">
        <v>13227.201024244989</v>
      </c>
      <c r="AN28" s="108">
        <v>7.4919445215100948</v>
      </c>
      <c r="AO28" s="108">
        <v>5529.0550568744502</v>
      </c>
      <c r="AP28" s="108">
        <v>0</v>
      </c>
      <c r="AQ28" s="108">
        <v>0</v>
      </c>
      <c r="AR28" s="108">
        <v>23.989055970025838</v>
      </c>
      <c r="AS28" s="108">
        <v>17703.923305879067</v>
      </c>
      <c r="AT28" s="108">
        <v>0</v>
      </c>
      <c r="AU28" s="108">
        <v>0</v>
      </c>
      <c r="AV28" s="108">
        <v>22.919868413399477</v>
      </c>
      <c r="AW28" s="108">
        <v>16914.862889088814</v>
      </c>
      <c r="AX28" s="108">
        <v>12.700717721550372</v>
      </c>
      <c r="AY28" s="108">
        <v>9373.1296785041741</v>
      </c>
      <c r="AZ28" s="108">
        <v>7.2967398723465369</v>
      </c>
      <c r="BA28" s="108">
        <v>5384.9940257917442</v>
      </c>
      <c r="BB28" s="108">
        <v>0</v>
      </c>
      <c r="BC28" s="108">
        <v>0</v>
      </c>
      <c r="BD28" s="108">
        <v>10</v>
      </c>
      <c r="BE28" s="108">
        <v>7380</v>
      </c>
      <c r="BF28" s="108">
        <v>1.8754839168674247</v>
      </c>
      <c r="BG28" s="108">
        <v>1384.1071306481595</v>
      </c>
      <c r="BH28" s="108">
        <v>12.418891793115018</v>
      </c>
      <c r="BI28" s="108">
        <v>9165.1421433188825</v>
      </c>
      <c r="BJ28" s="108">
        <v>6.1448269910707181</v>
      </c>
      <c r="BK28" s="108">
        <v>4534.8823194101897</v>
      </c>
      <c r="BL28" s="108">
        <v>7.1102522199525904</v>
      </c>
      <c r="BM28" s="108">
        <v>5247.3661383250119</v>
      </c>
      <c r="BN28" s="108">
        <v>6.6136989283233873</v>
      </c>
      <c r="BO28" s="108">
        <v>4880.9098091026599</v>
      </c>
      <c r="BP28" s="108">
        <v>1.2833924414123996</v>
      </c>
      <c r="BQ28" s="108">
        <v>947.1436217623509</v>
      </c>
      <c r="BR28" s="108">
        <v>1.692239554365325</v>
      </c>
      <c r="BS28" s="108">
        <v>1248.8727911216099</v>
      </c>
      <c r="BT28" s="108">
        <v>2.2550146994438984</v>
      </c>
      <c r="BU28" s="108">
        <v>1664.2008481895971</v>
      </c>
      <c r="BV28" s="108">
        <v>0</v>
      </c>
      <c r="BW28" s="108">
        <v>0</v>
      </c>
      <c r="BX28" s="108">
        <v>12.057991050861657</v>
      </c>
      <c r="BY28" s="108">
        <v>8898.797395535903</v>
      </c>
      <c r="BZ28" s="108">
        <v>9.4772231045741915</v>
      </c>
      <c r="CA28" s="108">
        <v>6994.1906511757534</v>
      </c>
      <c r="CB28" s="108">
        <v>0</v>
      </c>
      <c r="CC28" s="108">
        <v>0</v>
      </c>
      <c r="CD28" s="108">
        <v>15.717304518436865</v>
      </c>
      <c r="CE28" s="108">
        <v>11599.370734606407</v>
      </c>
      <c r="CF28" s="108">
        <v>0</v>
      </c>
      <c r="CG28" s="108">
        <v>0</v>
      </c>
      <c r="CH28" s="108">
        <v>0</v>
      </c>
      <c r="CI28" s="108">
        <v>0</v>
      </c>
      <c r="CJ28" s="108">
        <v>18.341821011608964</v>
      </c>
      <c r="CK28" s="108">
        <v>13536.263906567416</v>
      </c>
      <c r="CL28" s="108">
        <v>10.576001529864847</v>
      </c>
      <c r="CM28" s="108">
        <v>7805.0891290402569</v>
      </c>
      <c r="CN28" s="108">
        <v>17.233836935039701</v>
      </c>
      <c r="CO28" s="108">
        <v>12718.5716580593</v>
      </c>
      <c r="CP28" s="108">
        <v>0</v>
      </c>
      <c r="CQ28" s="108">
        <v>0</v>
      </c>
      <c r="CR28" s="108">
        <v>0</v>
      </c>
      <c r="CS28" s="108">
        <v>0</v>
      </c>
      <c r="CT28" s="108">
        <v>35.012106322065826</v>
      </c>
      <c r="CU28" s="108">
        <v>25838.934465684579</v>
      </c>
    </row>
    <row r="29" spans="2:99" x14ac:dyDescent="0.2">
      <c r="C29" s="107" t="s">
        <v>194</v>
      </c>
      <c r="D29" s="108">
        <v>0</v>
      </c>
      <c r="E29" s="108">
        <v>0</v>
      </c>
      <c r="F29" s="108">
        <v>0</v>
      </c>
      <c r="G29" s="108">
        <v>0</v>
      </c>
      <c r="H29" s="108">
        <v>0</v>
      </c>
      <c r="I29" s="108">
        <v>0</v>
      </c>
      <c r="J29" s="108">
        <v>0</v>
      </c>
      <c r="K29" s="108">
        <v>0</v>
      </c>
      <c r="L29" s="108">
        <v>16.599944076070656</v>
      </c>
      <c r="M29" s="108">
        <v>5617.4210753423095</v>
      </c>
      <c r="N29" s="108">
        <v>9.3985950926483657</v>
      </c>
      <c r="O29" s="108">
        <v>3180.4845793522068</v>
      </c>
      <c r="P29" s="108">
        <v>5.1016142622558718</v>
      </c>
      <c r="Q29" s="108">
        <v>1726.3862663473869</v>
      </c>
      <c r="R29" s="108">
        <v>7.1463073707988203</v>
      </c>
      <c r="S29" s="108">
        <v>2418.3104142783204</v>
      </c>
      <c r="T29" s="108">
        <v>0</v>
      </c>
      <c r="U29" s="108">
        <v>0</v>
      </c>
      <c r="V29" s="108">
        <v>12</v>
      </c>
      <c r="W29" s="108">
        <v>4060.7999999999997</v>
      </c>
      <c r="X29" s="108">
        <v>9.1430277725772378</v>
      </c>
      <c r="Y29" s="108">
        <v>3094.0005982401372</v>
      </c>
      <c r="Z29" s="108">
        <v>7.7594401074422361</v>
      </c>
      <c r="AA29" s="108">
        <v>2625.7945323584527</v>
      </c>
      <c r="AB29" s="108">
        <v>9.7735076948272924E-17</v>
      </c>
      <c r="AC29" s="108">
        <v>3.3073550039295556E-14</v>
      </c>
      <c r="AD29" s="108">
        <v>1.3437084446005712</v>
      </c>
      <c r="AE29" s="108">
        <v>454.71093765283325</v>
      </c>
      <c r="AF29" s="108">
        <v>2.4046132535676286</v>
      </c>
      <c r="AG29" s="108">
        <v>813.72112500728542</v>
      </c>
      <c r="AH29" s="108">
        <v>1.9271570910423321</v>
      </c>
      <c r="AI29" s="108">
        <v>652.14995960872511</v>
      </c>
      <c r="AJ29" s="108">
        <v>0</v>
      </c>
      <c r="AK29" s="108">
        <v>0</v>
      </c>
      <c r="AL29" s="108">
        <v>19.504481025707978</v>
      </c>
      <c r="AM29" s="108">
        <v>6600.3163790995795</v>
      </c>
      <c r="AN29" s="108">
        <v>8.7061541872829604</v>
      </c>
      <c r="AO29" s="108">
        <v>2946.1625769765537</v>
      </c>
      <c r="AP29" s="108">
        <v>0</v>
      </c>
      <c r="AQ29" s="108">
        <v>0</v>
      </c>
      <c r="AR29" s="108">
        <v>29.804584690032101</v>
      </c>
      <c r="AS29" s="108">
        <v>10085.871459106862</v>
      </c>
      <c r="AT29" s="108">
        <v>0</v>
      </c>
      <c r="AU29" s="108">
        <v>0</v>
      </c>
      <c r="AV29" s="108">
        <v>27.768302116233983</v>
      </c>
      <c r="AW29" s="108">
        <v>9396.7934361335792</v>
      </c>
      <c r="AX29" s="108">
        <v>14.071106300413184</v>
      </c>
      <c r="AY29" s="108">
        <v>4761.6623720598209</v>
      </c>
      <c r="AZ29" s="108">
        <v>7.9973673457858112</v>
      </c>
      <c r="BA29" s="108">
        <v>2706.3091098139184</v>
      </c>
      <c r="BB29" s="108">
        <v>0</v>
      </c>
      <c r="BC29" s="108">
        <v>0</v>
      </c>
      <c r="BD29" s="108">
        <v>10</v>
      </c>
      <c r="BE29" s="108">
        <v>3384</v>
      </c>
      <c r="BF29" s="108">
        <v>2.2505807002409099</v>
      </c>
      <c r="BG29" s="108">
        <v>761.59650896152391</v>
      </c>
      <c r="BH29" s="108">
        <v>13.95927036330893</v>
      </c>
      <c r="BI29" s="108">
        <v>4723.8170909437413</v>
      </c>
      <c r="BJ29" s="108">
        <v>6.1333676630253517</v>
      </c>
      <c r="BK29" s="108">
        <v>2075.5316171677787</v>
      </c>
      <c r="BL29" s="108">
        <v>7.6680915659386271</v>
      </c>
      <c r="BM29" s="108">
        <v>2594.882185913631</v>
      </c>
      <c r="BN29" s="108">
        <v>7.3296439429925684</v>
      </c>
      <c r="BO29" s="108">
        <v>2480.3515103086852</v>
      </c>
      <c r="BP29" s="108">
        <v>1.1144696795216138</v>
      </c>
      <c r="BQ29" s="108">
        <v>377.13653955011409</v>
      </c>
      <c r="BR29" s="108">
        <v>1.8978468311014347</v>
      </c>
      <c r="BS29" s="108">
        <v>642.23136764472542</v>
      </c>
      <c r="BT29" s="108">
        <v>2.5416121368468292</v>
      </c>
      <c r="BU29" s="108">
        <v>860.0815471089669</v>
      </c>
      <c r="BV29" s="108">
        <v>0</v>
      </c>
      <c r="BW29" s="108">
        <v>0</v>
      </c>
      <c r="BX29" s="108">
        <v>13.129812477604917</v>
      </c>
      <c r="BY29" s="108">
        <v>4443.1285424215039</v>
      </c>
      <c r="BZ29" s="108">
        <v>9.6354923924418436</v>
      </c>
      <c r="CA29" s="108">
        <v>3260.6506256023195</v>
      </c>
      <c r="CB29" s="108">
        <v>0</v>
      </c>
      <c r="CC29" s="108">
        <v>0</v>
      </c>
      <c r="CD29" s="108">
        <v>15.482717883833329</v>
      </c>
      <c r="CE29" s="108">
        <v>5239.3517318891982</v>
      </c>
      <c r="CF29" s="108">
        <v>0</v>
      </c>
      <c r="CG29" s="108">
        <v>0</v>
      </c>
      <c r="CH29" s="108">
        <v>0</v>
      </c>
      <c r="CI29" s="108">
        <v>0</v>
      </c>
      <c r="CJ29" s="108">
        <v>20.408505069255042</v>
      </c>
      <c r="CK29" s="108">
        <v>6906.2381154359064</v>
      </c>
      <c r="CL29" s="108">
        <v>10.570389310520284</v>
      </c>
      <c r="CM29" s="108">
        <v>3577.0197426800637</v>
      </c>
      <c r="CN29" s="108">
        <v>19.274996759951843</v>
      </c>
      <c r="CO29" s="108">
        <v>6522.6589035677034</v>
      </c>
      <c r="CP29" s="108">
        <v>0</v>
      </c>
      <c r="CQ29" s="108">
        <v>0</v>
      </c>
      <c r="CR29" s="108">
        <v>0</v>
      </c>
      <c r="CS29" s="108">
        <v>0</v>
      </c>
      <c r="CT29" s="108">
        <v>43.515046428853246</v>
      </c>
      <c r="CU29" s="108">
        <v>14725.491711523937</v>
      </c>
    </row>
    <row r="30" spans="2:99" x14ac:dyDescent="0.2">
      <c r="C30" s="107" t="s">
        <v>195</v>
      </c>
      <c r="D30" s="108">
        <v>0</v>
      </c>
      <c r="E30" s="108">
        <v>0</v>
      </c>
      <c r="F30" s="108">
        <v>0</v>
      </c>
      <c r="G30" s="108">
        <v>0</v>
      </c>
      <c r="H30" s="108">
        <v>0</v>
      </c>
      <c r="I30" s="108">
        <v>0</v>
      </c>
      <c r="J30" s="108">
        <v>0</v>
      </c>
      <c r="K30" s="108">
        <v>0</v>
      </c>
      <c r="L30" s="108">
        <v>14.870783234813297</v>
      </c>
      <c r="M30" s="108">
        <v>2070.0130262860107</v>
      </c>
      <c r="N30" s="108">
        <v>10.228485167234975</v>
      </c>
      <c r="O30" s="108">
        <v>1423.8051352791085</v>
      </c>
      <c r="P30" s="108">
        <v>5.5600002623255582</v>
      </c>
      <c r="Q30" s="108">
        <v>773.95203651571762</v>
      </c>
      <c r="R30" s="108">
        <v>7.9632788636930316</v>
      </c>
      <c r="S30" s="108">
        <v>1108.48841782607</v>
      </c>
      <c r="T30" s="108">
        <v>0</v>
      </c>
      <c r="U30" s="108">
        <v>0</v>
      </c>
      <c r="V30" s="108">
        <v>12</v>
      </c>
      <c r="W30" s="108">
        <v>1670.3999999999999</v>
      </c>
      <c r="X30" s="108">
        <v>8.8964251565500501</v>
      </c>
      <c r="Y30" s="108">
        <v>1238.3823817917669</v>
      </c>
      <c r="Z30" s="108">
        <v>7.9232055543280575</v>
      </c>
      <c r="AA30" s="108">
        <v>1102.9102131624654</v>
      </c>
      <c r="AB30" s="108">
        <v>9.7735076948272924E-17</v>
      </c>
      <c r="AC30" s="108">
        <v>1.3604722711199589E-14</v>
      </c>
      <c r="AD30" s="108">
        <v>1.3437084446005712</v>
      </c>
      <c r="AE30" s="108">
        <v>187.04421548839949</v>
      </c>
      <c r="AF30" s="108">
        <v>2.3850410694396649</v>
      </c>
      <c r="AG30" s="108">
        <v>331.99771686600133</v>
      </c>
      <c r="AH30" s="108">
        <v>2.0659159305399748</v>
      </c>
      <c r="AI30" s="108">
        <v>287.57549753116444</v>
      </c>
      <c r="AJ30" s="108">
        <v>0</v>
      </c>
      <c r="AK30" s="108">
        <v>0</v>
      </c>
      <c r="AL30" s="108">
        <v>21.085925433197815</v>
      </c>
      <c r="AM30" s="108">
        <v>2935.1608203011356</v>
      </c>
      <c r="AN30" s="108">
        <v>8.7879663715491017</v>
      </c>
      <c r="AO30" s="108">
        <v>1223.2849189196349</v>
      </c>
      <c r="AP30" s="108">
        <v>0</v>
      </c>
      <c r="AQ30" s="108">
        <v>0</v>
      </c>
      <c r="AR30" s="108">
        <v>33.075819595035625</v>
      </c>
      <c r="AS30" s="108">
        <v>4604.1540876289582</v>
      </c>
      <c r="AT30" s="108">
        <v>0</v>
      </c>
      <c r="AU30" s="108">
        <v>0</v>
      </c>
      <c r="AV30" s="108">
        <v>29.972135617522394</v>
      </c>
      <c r="AW30" s="108">
        <v>4172.1212779591169</v>
      </c>
      <c r="AX30" s="108">
        <v>16.493849661052785</v>
      </c>
      <c r="AY30" s="108">
        <v>2295.9438728185473</v>
      </c>
      <c r="AZ30" s="108">
        <v>7.9683208319904315</v>
      </c>
      <c r="BA30" s="108">
        <v>1109.190259813068</v>
      </c>
      <c r="BB30" s="108">
        <v>0</v>
      </c>
      <c r="BC30" s="108">
        <v>0</v>
      </c>
      <c r="BD30" s="108">
        <v>10</v>
      </c>
      <c r="BE30" s="108">
        <v>1392</v>
      </c>
      <c r="BF30" s="108">
        <v>2.2505807002409099</v>
      </c>
      <c r="BG30" s="108">
        <v>313.28083347353464</v>
      </c>
      <c r="BH30" s="108">
        <v>14.279111289355553</v>
      </c>
      <c r="BI30" s="108">
        <v>1987.6522914782929</v>
      </c>
      <c r="BJ30" s="108">
        <v>7.2381952160968881</v>
      </c>
      <c r="BK30" s="108">
        <v>1007.5567740806868</v>
      </c>
      <c r="BL30" s="108">
        <v>7.4428665011239081</v>
      </c>
      <c r="BM30" s="108">
        <v>1036.047016956448</v>
      </c>
      <c r="BN30" s="108">
        <v>8.141477765424991</v>
      </c>
      <c r="BO30" s="108">
        <v>1133.2937049471586</v>
      </c>
      <c r="BP30" s="108">
        <v>1.29896104930092</v>
      </c>
      <c r="BQ30" s="108">
        <v>180.81537806268807</v>
      </c>
      <c r="BR30" s="108">
        <v>1.9083760178739786</v>
      </c>
      <c r="BS30" s="108">
        <v>265.6459416880578</v>
      </c>
      <c r="BT30" s="108">
        <v>2.3281837225261439</v>
      </c>
      <c r="BU30" s="108">
        <v>324.08317417563921</v>
      </c>
      <c r="BV30" s="108">
        <v>0</v>
      </c>
      <c r="BW30" s="108">
        <v>0</v>
      </c>
      <c r="BX30" s="108">
        <v>15.809366044463061</v>
      </c>
      <c r="BY30" s="108">
        <v>2200.6637533892581</v>
      </c>
      <c r="BZ30" s="108">
        <v>9.6188528492154219</v>
      </c>
      <c r="CA30" s="108">
        <v>1338.9443166107867</v>
      </c>
      <c r="CB30" s="108">
        <v>0</v>
      </c>
      <c r="CC30" s="108">
        <v>0</v>
      </c>
      <c r="CD30" s="108">
        <v>19.00151740288636</v>
      </c>
      <c r="CE30" s="108">
        <v>2645.0112224817813</v>
      </c>
      <c r="CF30" s="108">
        <v>0</v>
      </c>
      <c r="CG30" s="108">
        <v>0</v>
      </c>
      <c r="CH30" s="108">
        <v>0</v>
      </c>
      <c r="CI30" s="108">
        <v>0</v>
      </c>
      <c r="CJ30" s="108">
        <v>20.925176083666564</v>
      </c>
      <c r="CK30" s="108">
        <v>2912.7845108463853</v>
      </c>
      <c r="CL30" s="108">
        <v>12.318343054430636</v>
      </c>
      <c r="CM30" s="108">
        <v>1714.7133531767445</v>
      </c>
      <c r="CN30" s="108">
        <v>19.713929103846063</v>
      </c>
      <c r="CO30" s="108">
        <v>2744.1789312553715</v>
      </c>
      <c r="CP30" s="108">
        <v>0</v>
      </c>
      <c r="CQ30" s="108">
        <v>0</v>
      </c>
      <c r="CR30" s="108">
        <v>0</v>
      </c>
      <c r="CS30" s="108">
        <v>0</v>
      </c>
      <c r="CT30" s="108">
        <v>38.513316954272412</v>
      </c>
      <c r="CU30" s="108">
        <v>5361.0537200347189</v>
      </c>
    </row>
    <row r="31" spans="2:99" x14ac:dyDescent="0.2">
      <c r="C31" s="107" t="s">
        <v>196</v>
      </c>
      <c r="D31" s="108">
        <v>0</v>
      </c>
      <c r="E31" s="108">
        <v>0</v>
      </c>
      <c r="F31" s="108">
        <v>0</v>
      </c>
      <c r="G31" s="108">
        <v>0</v>
      </c>
      <c r="H31" s="108">
        <v>0</v>
      </c>
      <c r="I31" s="108">
        <v>0</v>
      </c>
      <c r="J31" s="108">
        <v>0</v>
      </c>
      <c r="K31" s="108">
        <v>0</v>
      </c>
      <c r="L31" s="108">
        <v>16.945776244322129</v>
      </c>
      <c r="M31" s="108">
        <v>5775.1205440649819</v>
      </c>
      <c r="N31" s="108">
        <v>8.253131938096832</v>
      </c>
      <c r="O31" s="108">
        <v>2812.6673645034002</v>
      </c>
      <c r="P31" s="108">
        <v>4.7444991457659071</v>
      </c>
      <c r="Q31" s="108">
        <v>1616.9253088770213</v>
      </c>
      <c r="R31" s="108">
        <v>7.3919644751944258</v>
      </c>
      <c r="S31" s="108">
        <v>2519.1814931462604</v>
      </c>
      <c r="T31" s="108">
        <v>0</v>
      </c>
      <c r="U31" s="108">
        <v>0</v>
      </c>
      <c r="V31" s="108">
        <v>11</v>
      </c>
      <c r="W31" s="108">
        <v>3748.8</v>
      </c>
      <c r="X31" s="108">
        <v>8.9841008780624438</v>
      </c>
      <c r="Y31" s="108">
        <v>3061.7815792436809</v>
      </c>
      <c r="Z31" s="108">
        <v>7.8645519951974414</v>
      </c>
      <c r="AA31" s="108">
        <v>2680.2393199632879</v>
      </c>
      <c r="AB31" s="108">
        <v>9.7735076948272924E-17</v>
      </c>
      <c r="AC31" s="108">
        <v>3.3308114223971411E-14</v>
      </c>
      <c r="AD31" s="108">
        <v>1.3437084446005712</v>
      </c>
      <c r="AE31" s="108">
        <v>457.93583791987464</v>
      </c>
      <c r="AF31" s="108">
        <v>2.233355332620298</v>
      </c>
      <c r="AG31" s="108">
        <v>761.12749735699754</v>
      </c>
      <c r="AH31" s="108">
        <v>1.7584812969925616</v>
      </c>
      <c r="AI31" s="108">
        <v>599.29042601506501</v>
      </c>
      <c r="AJ31" s="108">
        <v>0</v>
      </c>
      <c r="AK31" s="108">
        <v>0</v>
      </c>
      <c r="AL31" s="108">
        <v>18.450184754048092</v>
      </c>
      <c r="AM31" s="108">
        <v>6287.8229641795897</v>
      </c>
      <c r="AN31" s="108">
        <v>8.793180093334712</v>
      </c>
      <c r="AO31" s="108">
        <v>2996.71577580847</v>
      </c>
      <c r="AP31" s="108">
        <v>0</v>
      </c>
      <c r="AQ31" s="108">
        <v>0</v>
      </c>
      <c r="AR31" s="108">
        <v>27.987231965030144</v>
      </c>
      <c r="AS31" s="108">
        <v>9538.0486536822737</v>
      </c>
      <c r="AT31" s="108">
        <v>0</v>
      </c>
      <c r="AU31" s="108">
        <v>0</v>
      </c>
      <c r="AV31" s="108">
        <v>28.649835516749345</v>
      </c>
      <c r="AW31" s="108">
        <v>9763.8639441081777</v>
      </c>
      <c r="AX31" s="108">
        <v>14.445284892081334</v>
      </c>
      <c r="AY31" s="108">
        <v>4922.9530912213186</v>
      </c>
      <c r="AZ31" s="108">
        <v>7.2967398723465369</v>
      </c>
      <c r="BA31" s="108">
        <v>2486.7289484957</v>
      </c>
      <c r="BB31" s="108">
        <v>0</v>
      </c>
      <c r="BC31" s="108">
        <v>0</v>
      </c>
      <c r="BD31" s="108">
        <v>10</v>
      </c>
      <c r="BE31" s="108">
        <v>3408</v>
      </c>
      <c r="BF31" s="108">
        <v>2.2505807002409099</v>
      </c>
      <c r="BG31" s="108">
        <v>766.99790264210219</v>
      </c>
      <c r="BH31" s="108">
        <v>15.242555804831369</v>
      </c>
      <c r="BI31" s="108">
        <v>5194.663018286531</v>
      </c>
      <c r="BJ31" s="108">
        <v>6.5945873342931192</v>
      </c>
      <c r="BK31" s="108">
        <v>2247.435363527095</v>
      </c>
      <c r="BL31" s="108">
        <v>6.5915066756782528</v>
      </c>
      <c r="BM31" s="108">
        <v>2246.3854750711484</v>
      </c>
      <c r="BN31" s="108">
        <v>7.657388810506224</v>
      </c>
      <c r="BO31" s="108">
        <v>2609.6381066205213</v>
      </c>
      <c r="BP31" s="108">
        <v>1.1144696795216138</v>
      </c>
      <c r="BQ31" s="108">
        <v>379.81126678096598</v>
      </c>
      <c r="BR31" s="108">
        <v>1.7080333345241416</v>
      </c>
      <c r="BS31" s="108">
        <v>582.09776040582744</v>
      </c>
      <c r="BT31" s="108">
        <v>2.4913085938769526</v>
      </c>
      <c r="BU31" s="108">
        <v>849.03796879326546</v>
      </c>
      <c r="BV31" s="108">
        <v>0</v>
      </c>
      <c r="BW31" s="108">
        <v>0</v>
      </c>
      <c r="BX31" s="108">
        <v>15.005499974405618</v>
      </c>
      <c r="BY31" s="108">
        <v>5113.8743912774344</v>
      </c>
      <c r="BZ31" s="108">
        <v>10.019635990561454</v>
      </c>
      <c r="CA31" s="108">
        <v>3414.6919455833436</v>
      </c>
      <c r="CB31" s="108">
        <v>0</v>
      </c>
      <c r="CC31" s="108">
        <v>0</v>
      </c>
      <c r="CD31" s="108">
        <v>18.532344133679288</v>
      </c>
      <c r="CE31" s="108">
        <v>6315.8228807579017</v>
      </c>
      <c r="CF31" s="108">
        <v>0</v>
      </c>
      <c r="CG31" s="108">
        <v>0</v>
      </c>
      <c r="CH31" s="108">
        <v>0</v>
      </c>
      <c r="CI31" s="108">
        <v>0</v>
      </c>
      <c r="CJ31" s="108">
        <v>23.250195648518407</v>
      </c>
      <c r="CK31" s="108">
        <v>7923.6666770150732</v>
      </c>
      <c r="CL31" s="108">
        <v>11.295945465898093</v>
      </c>
      <c r="CM31" s="108">
        <v>3849.6582147780705</v>
      </c>
      <c r="CN31" s="108">
        <v>18.043848558200029</v>
      </c>
      <c r="CO31" s="108">
        <v>6149.3435886345696</v>
      </c>
      <c r="CP31" s="108">
        <v>0</v>
      </c>
      <c r="CQ31" s="108">
        <v>0</v>
      </c>
      <c r="CR31" s="108">
        <v>0</v>
      </c>
      <c r="CS31" s="108">
        <v>0</v>
      </c>
      <c r="CT31" s="108">
        <v>39.013489901730495</v>
      </c>
      <c r="CU31" s="108">
        <v>13295.797358509753</v>
      </c>
    </row>
    <row r="32" spans="2:99" x14ac:dyDescent="0.2">
      <c r="C32" s="107" t="s">
        <v>197</v>
      </c>
      <c r="D32" s="108">
        <v>0</v>
      </c>
      <c r="E32" s="108">
        <v>0</v>
      </c>
      <c r="F32" s="108">
        <v>0</v>
      </c>
      <c r="G32" s="108">
        <v>0</v>
      </c>
      <c r="H32" s="108">
        <v>0</v>
      </c>
      <c r="I32" s="108">
        <v>0</v>
      </c>
      <c r="J32" s="108">
        <v>0</v>
      </c>
      <c r="K32" s="108">
        <v>0</v>
      </c>
      <c r="L32" s="108">
        <v>14.179118898310353</v>
      </c>
      <c r="M32" s="108">
        <v>11910.459874580696</v>
      </c>
      <c r="N32" s="108">
        <v>7.5167065526471655</v>
      </c>
      <c r="O32" s="108">
        <v>6314.0335042236193</v>
      </c>
      <c r="P32" s="108">
        <v>4.1657455132984325</v>
      </c>
      <c r="Q32" s="108">
        <v>3499.2262311706831</v>
      </c>
      <c r="R32" s="108">
        <v>6.1248286863927266</v>
      </c>
      <c r="S32" s="108">
        <v>5144.8560965698907</v>
      </c>
      <c r="T32" s="108">
        <v>0</v>
      </c>
      <c r="U32" s="108">
        <v>0</v>
      </c>
      <c r="V32" s="108">
        <v>10</v>
      </c>
      <c r="W32" s="108">
        <v>8400</v>
      </c>
      <c r="X32" s="108">
        <v>8.5343294980189768</v>
      </c>
      <c r="Y32" s="108">
        <v>7168.8367783359408</v>
      </c>
      <c r="Z32" s="108">
        <v>7.2191534701979068</v>
      </c>
      <c r="AA32" s="108">
        <v>6064.0889149662416</v>
      </c>
      <c r="AB32" s="108">
        <v>8.3772923098519648E-17</v>
      </c>
      <c r="AC32" s="108">
        <v>7.0369255402756503E-14</v>
      </c>
      <c r="AD32" s="108">
        <v>1.3437084446005712</v>
      </c>
      <c r="AE32" s="108">
        <v>1128.7150934644799</v>
      </c>
      <c r="AF32" s="108">
        <v>2.0466628050567546</v>
      </c>
      <c r="AG32" s="108">
        <v>1719.1967562476739</v>
      </c>
      <c r="AH32" s="108">
        <v>1.5943976126332722</v>
      </c>
      <c r="AI32" s="108">
        <v>1339.2939946119486</v>
      </c>
      <c r="AJ32" s="108">
        <v>0</v>
      </c>
      <c r="AK32" s="108">
        <v>0</v>
      </c>
      <c r="AL32" s="108">
        <v>18.450184754048092</v>
      </c>
      <c r="AM32" s="108">
        <v>15498.155193400396</v>
      </c>
      <c r="AN32" s="108">
        <v>7.0301927793651817</v>
      </c>
      <c r="AO32" s="108">
        <v>5905.3619346667529</v>
      </c>
      <c r="AP32" s="108">
        <v>0</v>
      </c>
      <c r="AQ32" s="108">
        <v>0</v>
      </c>
      <c r="AR32" s="108">
        <v>26.896820330028969</v>
      </c>
      <c r="AS32" s="108">
        <v>22593.329077224334</v>
      </c>
      <c r="AT32" s="108">
        <v>0</v>
      </c>
      <c r="AU32" s="108">
        <v>0</v>
      </c>
      <c r="AV32" s="108">
        <v>24.682935214430206</v>
      </c>
      <c r="AW32" s="108">
        <v>20733.665580121371</v>
      </c>
      <c r="AX32" s="108">
        <v>13.734357571799785</v>
      </c>
      <c r="AY32" s="108">
        <v>11536.860360311819</v>
      </c>
      <c r="AZ32" s="108">
        <v>7.2967398723465369</v>
      </c>
      <c r="BA32" s="108">
        <v>6129.2614927710911</v>
      </c>
      <c r="BB32" s="108">
        <v>0</v>
      </c>
      <c r="BC32" s="108">
        <v>0</v>
      </c>
      <c r="BD32" s="108">
        <v>10</v>
      </c>
      <c r="BE32" s="108">
        <v>8400</v>
      </c>
      <c r="BF32" s="108">
        <v>1.8754839168674247</v>
      </c>
      <c r="BG32" s="108">
        <v>1575.4064901686368</v>
      </c>
      <c r="BH32" s="108">
        <v>14.579343528722443</v>
      </c>
      <c r="BI32" s="108">
        <v>12246.648564126852</v>
      </c>
      <c r="BJ32" s="108">
        <v>5.5355970934030445</v>
      </c>
      <c r="BK32" s="108">
        <v>4649.9015584585577</v>
      </c>
      <c r="BL32" s="108">
        <v>6.7565039737283783</v>
      </c>
      <c r="BM32" s="108">
        <v>5675.4633379318375</v>
      </c>
      <c r="BN32" s="108">
        <v>6.7698145069003495</v>
      </c>
      <c r="BO32" s="108">
        <v>5686.6441857962936</v>
      </c>
      <c r="BP32" s="108">
        <v>1.29896104930092</v>
      </c>
      <c r="BQ32" s="108">
        <v>1091.1272814127728</v>
      </c>
      <c r="BR32" s="108">
        <v>1.8820530509426181</v>
      </c>
      <c r="BS32" s="108">
        <v>1580.9245627917992</v>
      </c>
      <c r="BT32" s="108">
        <v>2.3463453147440823</v>
      </c>
      <c r="BU32" s="108">
        <v>1970.930064385029</v>
      </c>
      <c r="BV32" s="108">
        <v>0</v>
      </c>
      <c r="BW32" s="108">
        <v>0</v>
      </c>
      <c r="BX32" s="108">
        <v>12.861857120919101</v>
      </c>
      <c r="BY32" s="108">
        <v>10803.959981572045</v>
      </c>
      <c r="BZ32" s="108">
        <v>9.425559725763895</v>
      </c>
      <c r="CA32" s="108">
        <v>7917.4701696416714</v>
      </c>
      <c r="CB32" s="108">
        <v>0</v>
      </c>
      <c r="CC32" s="108">
        <v>0</v>
      </c>
      <c r="CD32" s="108">
        <v>15.248131249229793</v>
      </c>
      <c r="CE32" s="108">
        <v>12808.430249353027</v>
      </c>
      <c r="CF32" s="108">
        <v>0</v>
      </c>
      <c r="CG32" s="108">
        <v>0</v>
      </c>
      <c r="CH32" s="108">
        <v>0</v>
      </c>
      <c r="CI32" s="108">
        <v>0</v>
      </c>
      <c r="CJ32" s="108">
        <v>18.083485504403203</v>
      </c>
      <c r="CK32" s="108">
        <v>15190.127823698691</v>
      </c>
      <c r="CL32" s="108">
        <v>10.531273950760731</v>
      </c>
      <c r="CM32" s="108">
        <v>8846.270118639015</v>
      </c>
      <c r="CN32" s="108">
        <v>17.288119386742196</v>
      </c>
      <c r="CO32" s="108">
        <v>14522.020284863444</v>
      </c>
      <c r="CP32" s="108">
        <v>0</v>
      </c>
      <c r="CQ32" s="108">
        <v>0</v>
      </c>
      <c r="CR32" s="108">
        <v>0</v>
      </c>
      <c r="CS32" s="108">
        <v>0</v>
      </c>
      <c r="CT32" s="108">
        <v>33.011414532233495</v>
      </c>
      <c r="CU32" s="108">
        <v>27729.588207076136</v>
      </c>
    </row>
    <row r="33" spans="2:99" x14ac:dyDescent="0.2">
      <c r="C33" s="107" t="s">
        <v>198</v>
      </c>
      <c r="D33" s="108">
        <v>0</v>
      </c>
      <c r="E33" s="108">
        <v>0</v>
      </c>
      <c r="F33" s="108">
        <v>0</v>
      </c>
      <c r="G33" s="108">
        <v>0</v>
      </c>
      <c r="H33" s="108">
        <v>0</v>
      </c>
      <c r="I33" s="108">
        <v>0</v>
      </c>
      <c r="J33" s="108">
        <v>0</v>
      </c>
      <c r="K33" s="108">
        <v>0</v>
      </c>
      <c r="L33" s="108">
        <v>13.833286730058878</v>
      </c>
      <c r="M33" s="108">
        <v>6556.9779100479082</v>
      </c>
      <c r="N33" s="108">
        <v>9.2855932084754151</v>
      </c>
      <c r="O33" s="108">
        <v>4401.3711808173466</v>
      </c>
      <c r="P33" s="108">
        <v>4.3737146386396732</v>
      </c>
      <c r="Q33" s="108">
        <v>2073.1407387152053</v>
      </c>
      <c r="R33" s="108">
        <v>6.8342779165780501</v>
      </c>
      <c r="S33" s="108">
        <v>3239.4477324579957</v>
      </c>
      <c r="T33" s="108">
        <v>0</v>
      </c>
      <c r="U33" s="108">
        <v>0</v>
      </c>
      <c r="V33" s="108">
        <v>11</v>
      </c>
      <c r="W33" s="108">
        <v>5214</v>
      </c>
      <c r="X33" s="108">
        <v>8.0461560419931004</v>
      </c>
      <c r="Y33" s="108">
        <v>3813.8779639047298</v>
      </c>
      <c r="Z33" s="108">
        <v>6.8353151415357791</v>
      </c>
      <c r="AA33" s="108">
        <v>3239.9393770879592</v>
      </c>
      <c r="AB33" s="108">
        <v>9.7735076948272924E-17</v>
      </c>
      <c r="AC33" s="108">
        <v>4.6326426473481367E-14</v>
      </c>
      <c r="AD33" s="108">
        <v>1.6423103211784758</v>
      </c>
      <c r="AE33" s="108">
        <v>778.45509223859756</v>
      </c>
      <c r="AF33" s="108">
        <v>2.1017329551073498</v>
      </c>
      <c r="AG33" s="108">
        <v>996.22142072088377</v>
      </c>
      <c r="AH33" s="108">
        <v>1.9230752157619049</v>
      </c>
      <c r="AI33" s="108">
        <v>911.53765227114286</v>
      </c>
      <c r="AJ33" s="108">
        <v>0</v>
      </c>
      <c r="AK33" s="108">
        <v>0</v>
      </c>
      <c r="AL33" s="108">
        <v>18.450184754048092</v>
      </c>
      <c r="AM33" s="108">
        <v>8745.387573418795</v>
      </c>
      <c r="AN33" s="108">
        <v>8.505089682682053</v>
      </c>
      <c r="AO33" s="108">
        <v>4031.4125095912932</v>
      </c>
      <c r="AP33" s="108">
        <v>0</v>
      </c>
      <c r="AQ33" s="108">
        <v>0</v>
      </c>
      <c r="AR33" s="108">
        <v>25.079467605027009</v>
      </c>
      <c r="AS33" s="108">
        <v>11887.667644782803</v>
      </c>
      <c r="AT33" s="108">
        <v>0</v>
      </c>
      <c r="AU33" s="108">
        <v>0</v>
      </c>
      <c r="AV33" s="108">
        <v>27.3275354159763</v>
      </c>
      <c r="AW33" s="108">
        <v>12953.251787172767</v>
      </c>
      <c r="AX33" s="108">
        <v>13.563643841052166</v>
      </c>
      <c r="AY33" s="108">
        <v>6429.1671806587265</v>
      </c>
      <c r="AZ33" s="108">
        <v>6.5380193713165031</v>
      </c>
      <c r="BA33" s="108">
        <v>3099.0211820040226</v>
      </c>
      <c r="BB33" s="108">
        <v>0</v>
      </c>
      <c r="BC33" s="108">
        <v>0</v>
      </c>
      <c r="BD33" s="108">
        <v>10</v>
      </c>
      <c r="BE33" s="108">
        <v>4740</v>
      </c>
      <c r="BF33" s="108">
        <v>2.2505807002409099</v>
      </c>
      <c r="BG33" s="108">
        <v>1066.7752519141914</v>
      </c>
      <c r="BH33" s="108">
        <v>13.951426888637037</v>
      </c>
      <c r="BI33" s="108">
        <v>6612.9763452139559</v>
      </c>
      <c r="BJ33" s="108">
        <v>6.1333676630253517</v>
      </c>
      <c r="BK33" s="108">
        <v>2907.2162722740168</v>
      </c>
      <c r="BL33" s="108">
        <v>7.0584124433894111</v>
      </c>
      <c r="BM33" s="108">
        <v>3345.687498166581</v>
      </c>
      <c r="BN33" s="108">
        <v>7.7986762052079071</v>
      </c>
      <c r="BO33" s="108">
        <v>3696.5725212685479</v>
      </c>
      <c r="BP33" s="108">
        <v>1.3093401212266</v>
      </c>
      <c r="BQ33" s="108">
        <v>620.62721746140846</v>
      </c>
      <c r="BR33" s="108">
        <v>2.0718665475199112</v>
      </c>
      <c r="BS33" s="108">
        <v>982.06474352443786</v>
      </c>
      <c r="BT33" s="108">
        <v>2.3089768218872209</v>
      </c>
      <c r="BU33" s="108">
        <v>1094.4550135745426</v>
      </c>
      <c r="BV33" s="108">
        <v>0</v>
      </c>
      <c r="BW33" s="108">
        <v>0</v>
      </c>
      <c r="BX33" s="108">
        <v>13.665723190976545</v>
      </c>
      <c r="BY33" s="108">
        <v>6477.5527925228826</v>
      </c>
      <c r="BZ33" s="108">
        <v>9.6354923924418436</v>
      </c>
      <c r="CA33" s="108">
        <v>4567.2233940174337</v>
      </c>
      <c r="CB33" s="108">
        <v>0</v>
      </c>
      <c r="CC33" s="108">
        <v>0</v>
      </c>
      <c r="CD33" s="108">
        <v>15.248131249229793</v>
      </c>
      <c r="CE33" s="108">
        <v>7227.6142121349221</v>
      </c>
      <c r="CF33" s="108">
        <v>0</v>
      </c>
      <c r="CG33" s="108">
        <v>0</v>
      </c>
      <c r="CH33" s="108">
        <v>0</v>
      </c>
      <c r="CI33" s="108">
        <v>0</v>
      </c>
      <c r="CJ33" s="108">
        <v>20.150169562049285</v>
      </c>
      <c r="CK33" s="108">
        <v>9551.1803724113615</v>
      </c>
      <c r="CL33" s="108">
        <v>10.508729760432566</v>
      </c>
      <c r="CM33" s="108">
        <v>4981.1379064450357</v>
      </c>
      <c r="CN33" s="108">
        <v>16.156638205744006</v>
      </c>
      <c r="CO33" s="108">
        <v>7658.2465095226589</v>
      </c>
      <c r="CP33" s="108">
        <v>0</v>
      </c>
      <c r="CQ33" s="108">
        <v>0</v>
      </c>
      <c r="CR33" s="108">
        <v>0</v>
      </c>
      <c r="CS33" s="108">
        <v>0</v>
      </c>
      <c r="CT33" s="108">
        <v>42.514700533937074</v>
      </c>
      <c r="CU33" s="108">
        <v>20151.968053086173</v>
      </c>
    </row>
    <row r="34" spans="2:99" x14ac:dyDescent="0.2">
      <c r="C34" s="107" t="s">
        <v>199</v>
      </c>
      <c r="D34" s="108">
        <v>0</v>
      </c>
      <c r="E34" s="108">
        <v>0</v>
      </c>
      <c r="F34" s="108">
        <v>0</v>
      </c>
      <c r="G34" s="108">
        <v>0</v>
      </c>
      <c r="H34" s="108">
        <v>0</v>
      </c>
      <c r="I34" s="108">
        <v>0</v>
      </c>
      <c r="J34" s="108">
        <v>0</v>
      </c>
      <c r="K34" s="108">
        <v>0</v>
      </c>
      <c r="L34" s="108">
        <v>14.524951066561822</v>
      </c>
      <c r="M34" s="108">
        <v>7965.4831649025027</v>
      </c>
      <c r="N34" s="108">
        <v>8.0756345210167186</v>
      </c>
      <c r="O34" s="108">
        <v>4428.6779713255683</v>
      </c>
      <c r="P34" s="108">
        <v>4.2885152909306106</v>
      </c>
      <c r="Q34" s="108">
        <v>2351.8217855463467</v>
      </c>
      <c r="R34" s="108">
        <v>6.8466689867500916</v>
      </c>
      <c r="S34" s="108">
        <v>3754.71327233375</v>
      </c>
      <c r="T34" s="108">
        <v>0</v>
      </c>
      <c r="U34" s="108">
        <v>0</v>
      </c>
      <c r="V34" s="108">
        <v>12</v>
      </c>
      <c r="W34" s="108">
        <v>6580.7999999999993</v>
      </c>
      <c r="X34" s="108">
        <v>8.1370122617319947</v>
      </c>
      <c r="Y34" s="108">
        <v>4462.337524333826</v>
      </c>
      <c r="Z34" s="108">
        <v>7.3560894099704601</v>
      </c>
      <c r="AA34" s="108">
        <v>4034.0794324278004</v>
      </c>
      <c r="AB34" s="108">
        <v>8.3772923098519648E-17</v>
      </c>
      <c r="AC34" s="108">
        <v>4.5941071027228172E-14</v>
      </c>
      <c r="AD34" s="108">
        <v>1.3437084446005712</v>
      </c>
      <c r="AE34" s="108">
        <v>736.88971101895322</v>
      </c>
      <c r="AF34" s="108">
        <v>2.0456804546998448</v>
      </c>
      <c r="AG34" s="108">
        <v>1121.8511613573949</v>
      </c>
      <c r="AH34" s="108">
        <v>1.7493905154321121</v>
      </c>
      <c r="AI34" s="108">
        <v>959.36575866297028</v>
      </c>
      <c r="AJ34" s="108">
        <v>0</v>
      </c>
      <c r="AK34" s="108">
        <v>0</v>
      </c>
      <c r="AL34" s="108">
        <v>18.977332889878035</v>
      </c>
      <c r="AM34" s="108">
        <v>10407.169356809114</v>
      </c>
      <c r="AN34" s="108">
        <v>8.2687746924813617</v>
      </c>
      <c r="AO34" s="108">
        <v>4534.5960413567782</v>
      </c>
      <c r="AP34" s="108">
        <v>0</v>
      </c>
      <c r="AQ34" s="108">
        <v>0</v>
      </c>
      <c r="AR34" s="108">
        <v>29.441114145031712</v>
      </c>
      <c r="AS34" s="108">
        <v>16145.50699713539</v>
      </c>
      <c r="AT34" s="108">
        <v>0</v>
      </c>
      <c r="AU34" s="108">
        <v>0</v>
      </c>
      <c r="AV34" s="108">
        <v>26.446002015460934</v>
      </c>
      <c r="AW34" s="108">
        <v>14502.987505278776</v>
      </c>
      <c r="AX34" s="108">
        <v>15.104746150662599</v>
      </c>
      <c r="AY34" s="108">
        <v>8283.4427890233692</v>
      </c>
      <c r="AZ34" s="108">
        <v>6.5961123989072634</v>
      </c>
      <c r="BA34" s="108">
        <v>3617.3080395607431</v>
      </c>
      <c r="BB34" s="108">
        <v>0</v>
      </c>
      <c r="BC34" s="108">
        <v>0</v>
      </c>
      <c r="BD34" s="108">
        <v>10</v>
      </c>
      <c r="BE34" s="108">
        <v>5484</v>
      </c>
      <c r="BF34" s="108">
        <v>1.8754839168674247</v>
      </c>
      <c r="BG34" s="108">
        <v>1028.5153800100957</v>
      </c>
      <c r="BH34" s="108">
        <v>13.643351174598257</v>
      </c>
      <c r="BI34" s="108">
        <v>7482.0137841496835</v>
      </c>
      <c r="BJ34" s="108">
        <v>6.2985668814933069</v>
      </c>
      <c r="BK34" s="108">
        <v>3454.1340778109293</v>
      </c>
      <c r="BL34" s="108">
        <v>6.9158084547229262</v>
      </c>
      <c r="BM34" s="108">
        <v>3792.6293565700526</v>
      </c>
      <c r="BN34" s="108">
        <v>7.1427294525242919</v>
      </c>
      <c r="BO34" s="108">
        <v>3917.0728317643216</v>
      </c>
      <c r="BP34" s="108">
        <v>1.2833924414123996</v>
      </c>
      <c r="BQ34" s="108">
        <v>703.81241487055991</v>
      </c>
      <c r="BR34" s="108">
        <v>1.9031114244877065</v>
      </c>
      <c r="BS34" s="108">
        <v>1043.6663051890582</v>
      </c>
      <c r="BT34" s="108">
        <v>2.5079022234634141</v>
      </c>
      <c r="BU34" s="108">
        <v>1375.3335793473361</v>
      </c>
      <c r="BV34" s="108">
        <v>0</v>
      </c>
      <c r="BW34" s="108">
        <v>0</v>
      </c>
      <c r="BX34" s="108">
        <v>14.737544617719804</v>
      </c>
      <c r="BY34" s="108">
        <v>8082.0694683575402</v>
      </c>
      <c r="BZ34" s="108">
        <v>10.360261506570879</v>
      </c>
      <c r="CA34" s="108">
        <v>5681.56741020347</v>
      </c>
      <c r="CB34" s="108">
        <v>0</v>
      </c>
      <c r="CC34" s="108">
        <v>0</v>
      </c>
      <c r="CD34" s="108">
        <v>15.951891153040402</v>
      </c>
      <c r="CE34" s="108">
        <v>8748.0171083273563</v>
      </c>
      <c r="CF34" s="108">
        <v>0</v>
      </c>
      <c r="CG34" s="108">
        <v>0</v>
      </c>
      <c r="CH34" s="108">
        <v>0</v>
      </c>
      <c r="CI34" s="108">
        <v>0</v>
      </c>
      <c r="CJ34" s="108">
        <v>20.408505069255042</v>
      </c>
      <c r="CK34" s="108">
        <v>11192.024179979464</v>
      </c>
      <c r="CL34" s="108">
        <v>10.239306373546617</v>
      </c>
      <c r="CM34" s="108">
        <v>5615.2356152529646</v>
      </c>
      <c r="CN34" s="108">
        <v>15.866982604031646</v>
      </c>
      <c r="CO34" s="108">
        <v>8701.4532600509538</v>
      </c>
      <c r="CP34" s="108">
        <v>0</v>
      </c>
      <c r="CQ34" s="108">
        <v>0</v>
      </c>
      <c r="CR34" s="108">
        <v>0</v>
      </c>
      <c r="CS34" s="108">
        <v>0</v>
      </c>
      <c r="CT34" s="108">
        <v>41.014181691562825</v>
      </c>
      <c r="CU34" s="108">
        <v>22492.177239653054</v>
      </c>
    </row>
    <row r="35" spans="2:99" x14ac:dyDescent="0.2">
      <c r="C35" s="107" t="s">
        <v>200</v>
      </c>
      <c r="D35" s="108">
        <v>0</v>
      </c>
      <c r="E35" s="108">
        <v>0</v>
      </c>
      <c r="F35" s="108">
        <v>0</v>
      </c>
      <c r="G35" s="108">
        <v>0</v>
      </c>
      <c r="H35" s="108">
        <v>0</v>
      </c>
      <c r="I35" s="108">
        <v>0</v>
      </c>
      <c r="J35" s="108">
        <v>0</v>
      </c>
      <c r="K35" s="108">
        <v>0</v>
      </c>
      <c r="L35" s="108">
        <v>16.254111907819183</v>
      </c>
      <c r="M35" s="108">
        <v>8172.5674672514833</v>
      </c>
      <c r="N35" s="108">
        <v>9.1597252843432972</v>
      </c>
      <c r="O35" s="108">
        <v>4605.5098729678093</v>
      </c>
      <c r="P35" s="108">
        <v>4.4207646881321088</v>
      </c>
      <c r="Q35" s="108">
        <v>2222.760485192824</v>
      </c>
      <c r="R35" s="108">
        <v>6.5706859456176039</v>
      </c>
      <c r="S35" s="108">
        <v>3303.7408934565306</v>
      </c>
      <c r="T35" s="108">
        <v>0</v>
      </c>
      <c r="U35" s="108">
        <v>0</v>
      </c>
      <c r="V35" s="108">
        <v>12</v>
      </c>
      <c r="W35" s="108">
        <v>6033.5999999999985</v>
      </c>
      <c r="X35" s="108">
        <v>9.0635643253198399</v>
      </c>
      <c r="Y35" s="108">
        <v>4557.1601427708147</v>
      </c>
      <c r="Z35" s="108">
        <v>7.5198548568562815</v>
      </c>
      <c r="AA35" s="108">
        <v>3780.9830220273375</v>
      </c>
      <c r="AB35" s="108">
        <v>8.3772923098519648E-17</v>
      </c>
      <c r="AC35" s="108">
        <v>4.2121025733935669E-14</v>
      </c>
      <c r="AD35" s="108">
        <v>1.4930093828895237</v>
      </c>
      <c r="AE35" s="108">
        <v>750.68511771685235</v>
      </c>
      <c r="AF35" s="108">
        <v>2.2453517129873264</v>
      </c>
      <c r="AG35" s="108">
        <v>1128.9628412900274</v>
      </c>
      <c r="AH35" s="108">
        <v>1.923585450171958</v>
      </c>
      <c r="AI35" s="108">
        <v>967.1787643464603</v>
      </c>
      <c r="AJ35" s="108">
        <v>0</v>
      </c>
      <c r="AK35" s="108">
        <v>0</v>
      </c>
      <c r="AL35" s="108">
        <v>17.923036618218141</v>
      </c>
      <c r="AM35" s="108">
        <v>9011.7028116400797</v>
      </c>
      <c r="AN35" s="108">
        <v>8.4992016712156726</v>
      </c>
      <c r="AO35" s="108">
        <v>4273.3986002872389</v>
      </c>
      <c r="AP35" s="108">
        <v>0</v>
      </c>
      <c r="AQ35" s="108">
        <v>0</v>
      </c>
      <c r="AR35" s="108">
        <v>27.260290875029359</v>
      </c>
      <c r="AS35" s="108">
        <v>13706.474251964759</v>
      </c>
      <c r="AT35" s="108">
        <v>0</v>
      </c>
      <c r="AU35" s="108">
        <v>0</v>
      </c>
      <c r="AV35" s="108">
        <v>24.242168514172526</v>
      </c>
      <c r="AW35" s="108">
        <v>12188.962328925943</v>
      </c>
      <c r="AX35" s="108">
        <v>14.459321090726865</v>
      </c>
      <c r="AY35" s="108">
        <v>7270.1466444174666</v>
      </c>
      <c r="AZ35" s="108">
        <v>6.5961123989072634</v>
      </c>
      <c r="BA35" s="108">
        <v>3316.5253141705712</v>
      </c>
      <c r="BB35" s="108">
        <v>0</v>
      </c>
      <c r="BC35" s="108">
        <v>0</v>
      </c>
      <c r="BD35" s="108">
        <v>9</v>
      </c>
      <c r="BE35" s="108">
        <v>4525.1999999999989</v>
      </c>
      <c r="BF35" s="108">
        <v>1.8754839168674247</v>
      </c>
      <c r="BG35" s="108">
        <v>942.99331340094091</v>
      </c>
      <c r="BH35" s="108">
        <v>15.503570670838787</v>
      </c>
      <c r="BI35" s="108">
        <v>7795.1953332977409</v>
      </c>
      <c r="BJ35" s="108">
        <v>6.2813778894252579</v>
      </c>
      <c r="BK35" s="108">
        <v>3158.2768028030191</v>
      </c>
      <c r="BL35" s="108">
        <v>6.5838490948193753</v>
      </c>
      <c r="BM35" s="108">
        <v>3310.3593248751813</v>
      </c>
      <c r="BN35" s="108">
        <v>6.7853282172600808</v>
      </c>
      <c r="BO35" s="108">
        <v>3411.663027638368</v>
      </c>
      <c r="BP35" s="108">
        <v>1.2885819773752401</v>
      </c>
      <c r="BQ35" s="108">
        <v>647.89901822427055</v>
      </c>
      <c r="BR35" s="108">
        <v>1.8925822377151624</v>
      </c>
      <c r="BS35" s="108">
        <v>951.5903491231835</v>
      </c>
      <c r="BT35" s="108">
        <v>2.2768348711352822</v>
      </c>
      <c r="BU35" s="108">
        <v>1144.7925732068197</v>
      </c>
      <c r="BV35" s="108">
        <v>0</v>
      </c>
      <c r="BW35" s="108">
        <v>0</v>
      </c>
      <c r="BX35" s="108">
        <v>14.201633904348174</v>
      </c>
      <c r="BY35" s="108">
        <v>7140.5815271062602</v>
      </c>
      <c r="BZ35" s="108">
        <v>9.8365818627672716</v>
      </c>
      <c r="CA35" s="108">
        <v>4945.833360599383</v>
      </c>
      <c r="CB35" s="108">
        <v>0</v>
      </c>
      <c r="CC35" s="108">
        <v>0</v>
      </c>
      <c r="CD35" s="108">
        <v>16.655651056851006</v>
      </c>
      <c r="CE35" s="108">
        <v>8374.4613513846834</v>
      </c>
      <c r="CF35" s="108">
        <v>0</v>
      </c>
      <c r="CG35" s="108">
        <v>0</v>
      </c>
      <c r="CH35" s="108">
        <v>0</v>
      </c>
      <c r="CI35" s="108">
        <v>0</v>
      </c>
      <c r="CJ35" s="108">
        <v>18.858492026020485</v>
      </c>
      <c r="CK35" s="108">
        <v>9482.0497906830988</v>
      </c>
      <c r="CL35" s="108">
        <v>11.56354793791767</v>
      </c>
      <c r="CM35" s="108">
        <v>5814.1519031850039</v>
      </c>
      <c r="CN35" s="108">
        <v>16.527717485010111</v>
      </c>
      <c r="CO35" s="108">
        <v>8310.136351463083</v>
      </c>
      <c r="CP35" s="108">
        <v>0</v>
      </c>
      <c r="CQ35" s="108">
        <v>0</v>
      </c>
      <c r="CR35" s="108">
        <v>0</v>
      </c>
      <c r="CS35" s="108">
        <v>0</v>
      </c>
      <c r="CT35" s="108">
        <v>41.014181691562825</v>
      </c>
      <c r="CU35" s="108">
        <v>20621.930554517785</v>
      </c>
    </row>
    <row r="36" spans="2:99" x14ac:dyDescent="0.2">
      <c r="C36" s="107" t="s">
        <v>201</v>
      </c>
      <c r="D36" s="108">
        <v>0</v>
      </c>
      <c r="E36" s="108">
        <v>0</v>
      </c>
      <c r="F36" s="108">
        <v>0</v>
      </c>
      <c r="G36" s="108">
        <v>0</v>
      </c>
      <c r="H36" s="108">
        <v>0</v>
      </c>
      <c r="I36" s="108">
        <v>0</v>
      </c>
      <c r="J36" s="108">
        <v>0</v>
      </c>
      <c r="K36" s="108">
        <v>0</v>
      </c>
      <c r="L36" s="108">
        <v>13.487454561807407</v>
      </c>
      <c r="M36" s="108">
        <v>10261.255430623074</v>
      </c>
      <c r="N36" s="108">
        <v>7.8315073967763702</v>
      </c>
      <c r="O36" s="108">
        <v>5958.210827467462</v>
      </c>
      <c r="P36" s="108">
        <v>4.480412880401194</v>
      </c>
      <c r="Q36" s="108">
        <v>3408.6981194092282</v>
      </c>
      <c r="R36" s="108">
        <v>6.8330411568678606</v>
      </c>
      <c r="S36" s="108">
        <v>5198.5777121450683</v>
      </c>
      <c r="T36" s="108">
        <v>0</v>
      </c>
      <c r="U36" s="108">
        <v>0</v>
      </c>
      <c r="V36" s="108">
        <v>11</v>
      </c>
      <c r="W36" s="108">
        <v>8368.7999999999993</v>
      </c>
      <c r="X36" s="108">
        <v>8.2082634347343948</v>
      </c>
      <c r="Y36" s="108">
        <v>6244.8468211459276</v>
      </c>
      <c r="Z36" s="108">
        <v>6.6372865965314016</v>
      </c>
      <c r="AA36" s="108">
        <v>5049.64764264109</v>
      </c>
      <c r="AB36" s="108">
        <v>8.3772923098519648E-17</v>
      </c>
      <c r="AC36" s="108">
        <v>6.3734439893353748E-14</v>
      </c>
      <c r="AD36" s="108">
        <v>1.4930093828895237</v>
      </c>
      <c r="AE36" s="108">
        <v>1135.8815385023495</v>
      </c>
      <c r="AF36" s="108">
        <v>2.0917012754541404</v>
      </c>
      <c r="AG36" s="108">
        <v>1591.3663303655098</v>
      </c>
      <c r="AH36" s="108">
        <v>1.7372383274113417</v>
      </c>
      <c r="AI36" s="108">
        <v>1321.6909194945486</v>
      </c>
      <c r="AJ36" s="108">
        <v>0</v>
      </c>
      <c r="AK36" s="108">
        <v>0</v>
      </c>
      <c r="AL36" s="108">
        <v>17.923036618218141</v>
      </c>
      <c r="AM36" s="108">
        <v>13635.84625914036</v>
      </c>
      <c r="AN36" s="108">
        <v>6.7938777891644895</v>
      </c>
      <c r="AO36" s="108">
        <v>5168.7822219963437</v>
      </c>
      <c r="AP36" s="108">
        <v>0</v>
      </c>
      <c r="AQ36" s="108">
        <v>0</v>
      </c>
      <c r="AR36" s="108">
        <v>24.352526515026231</v>
      </c>
      <c r="AS36" s="108">
        <v>18527.402172631955</v>
      </c>
      <c r="AT36" s="108">
        <v>0</v>
      </c>
      <c r="AU36" s="108">
        <v>0</v>
      </c>
      <c r="AV36" s="108">
        <v>26.446002015460934</v>
      </c>
      <c r="AW36" s="108">
        <v>20120.118333362676</v>
      </c>
      <c r="AX36" s="108">
        <v>13.065538847454834</v>
      </c>
      <c r="AY36" s="108">
        <v>9940.2619551436364</v>
      </c>
      <c r="AZ36" s="108">
        <v>7.7940417492181533</v>
      </c>
      <c r="BA36" s="108">
        <v>5929.7069628051704</v>
      </c>
      <c r="BB36" s="108">
        <v>0</v>
      </c>
      <c r="BC36" s="108">
        <v>0</v>
      </c>
      <c r="BD36" s="108">
        <v>9</v>
      </c>
      <c r="BE36" s="108">
        <v>6847.2</v>
      </c>
      <c r="BF36" s="108">
        <v>2.2505807002409099</v>
      </c>
      <c r="BG36" s="108">
        <v>1712.2417967432841</v>
      </c>
      <c r="BH36" s="108">
        <v>13.631585962590414</v>
      </c>
      <c r="BI36" s="108">
        <v>10370.910600338786</v>
      </c>
      <c r="BJ36" s="108">
        <v>6.1505566550933999</v>
      </c>
      <c r="BK36" s="108">
        <v>4679.3435031950585</v>
      </c>
      <c r="BL36" s="108">
        <v>6.3643923351350038</v>
      </c>
      <c r="BM36" s="108">
        <v>4842.0296885707103</v>
      </c>
      <c r="BN36" s="108">
        <v>7.2306328962795181</v>
      </c>
      <c r="BO36" s="108">
        <v>5501.0655074894566</v>
      </c>
      <c r="BP36" s="108">
        <v>1.2833924414123996</v>
      </c>
      <c r="BQ36" s="108">
        <v>976.40496942655352</v>
      </c>
      <c r="BR36" s="108">
        <v>1.8925822377151624</v>
      </c>
      <c r="BS36" s="108">
        <v>1439.8765664536954</v>
      </c>
      <c r="BT36" s="108">
        <v>2.5099928403053831</v>
      </c>
      <c r="BU36" s="108">
        <v>1909.6025529043354</v>
      </c>
      <c r="BV36" s="108">
        <v>0</v>
      </c>
      <c r="BW36" s="108">
        <v>0</v>
      </c>
      <c r="BX36" s="108">
        <v>12.325946407547473</v>
      </c>
      <c r="BY36" s="108">
        <v>9377.5800268621169</v>
      </c>
      <c r="BZ36" s="108">
        <v>8.1767620180050482</v>
      </c>
      <c r="CA36" s="108">
        <v>6220.8805432982399</v>
      </c>
      <c r="CB36" s="108">
        <v>0</v>
      </c>
      <c r="CC36" s="108">
        <v>0</v>
      </c>
      <c r="CD36" s="108">
        <v>13.840611441608582</v>
      </c>
      <c r="CE36" s="108">
        <v>10529.937184775808</v>
      </c>
      <c r="CF36" s="108">
        <v>0</v>
      </c>
      <c r="CG36" s="108">
        <v>0</v>
      </c>
      <c r="CH36" s="108">
        <v>0</v>
      </c>
      <c r="CI36" s="108">
        <v>0</v>
      </c>
      <c r="CJ36" s="108">
        <v>17.825149997197446</v>
      </c>
      <c r="CK36" s="108">
        <v>13561.374117867816</v>
      </c>
      <c r="CL36" s="108">
        <v>10.140759472830601</v>
      </c>
      <c r="CM36" s="108">
        <v>7715.0898069295208</v>
      </c>
      <c r="CN36" s="108">
        <v>16.640955118689355</v>
      </c>
      <c r="CO36" s="108">
        <v>12660.438654298861</v>
      </c>
      <c r="CP36" s="108">
        <v>0</v>
      </c>
      <c r="CQ36" s="108">
        <v>0</v>
      </c>
      <c r="CR36" s="108">
        <v>0</v>
      </c>
      <c r="CS36" s="108">
        <v>0</v>
      </c>
      <c r="CT36" s="108">
        <v>33.511587479691578</v>
      </c>
      <c r="CU36" s="108">
        <v>25495.615754549352</v>
      </c>
    </row>
    <row r="37" spans="2:99" x14ac:dyDescent="0.2">
      <c r="B37" s="107" t="s">
        <v>128</v>
      </c>
      <c r="C37" s="107" t="s">
        <v>202</v>
      </c>
      <c r="D37" s="108">
        <v>0</v>
      </c>
      <c r="E37" s="108">
        <v>0</v>
      </c>
      <c r="F37" s="108">
        <v>0</v>
      </c>
      <c r="G37" s="108">
        <v>0</v>
      </c>
      <c r="H37" s="108">
        <v>0</v>
      </c>
      <c r="I37" s="108">
        <v>0</v>
      </c>
      <c r="J37" s="108">
        <v>0</v>
      </c>
      <c r="K37" s="108">
        <v>0</v>
      </c>
      <c r="L37" s="108">
        <v>86.112209894616512</v>
      </c>
      <c r="M37" s="108">
        <v>74090.945393328046</v>
      </c>
      <c r="N37" s="108">
        <v>20.68059922312645</v>
      </c>
      <c r="O37" s="108">
        <v>17793.587571577998</v>
      </c>
      <c r="P37" s="108">
        <v>28.646348160217769</v>
      </c>
      <c r="Q37" s="108">
        <v>24647.317957051368</v>
      </c>
      <c r="R37" s="108">
        <v>18.448574476768176</v>
      </c>
      <c r="S37" s="108">
        <v>15873.153479811339</v>
      </c>
      <c r="T37" s="108">
        <v>0</v>
      </c>
      <c r="U37" s="108">
        <v>0</v>
      </c>
      <c r="V37" s="108">
        <v>18</v>
      </c>
      <c r="W37" s="108">
        <v>15487.199999999999</v>
      </c>
      <c r="X37" s="108">
        <v>12.810546281945969</v>
      </c>
      <c r="Y37" s="108">
        <v>11022.194020986311</v>
      </c>
      <c r="Z37" s="108">
        <v>6.7914581718939493</v>
      </c>
      <c r="AA37" s="108">
        <v>5843.3706110975536</v>
      </c>
      <c r="AB37" s="108">
        <v>2.2618689236600306E-15</v>
      </c>
      <c r="AC37" s="108">
        <v>1.9461120219170902E-12</v>
      </c>
      <c r="AD37" s="108">
        <v>33.891312991592187</v>
      </c>
      <c r="AE37" s="108">
        <v>29160.085697965918</v>
      </c>
      <c r="AF37" s="108">
        <v>30.315820632542565</v>
      </c>
      <c r="AG37" s="108">
        <v>26083.732072239622</v>
      </c>
      <c r="AH37" s="108">
        <v>36.120238223744607</v>
      </c>
      <c r="AI37" s="108">
        <v>31077.85296770986</v>
      </c>
      <c r="AJ37" s="108">
        <v>0</v>
      </c>
      <c r="AK37" s="108">
        <v>0</v>
      </c>
      <c r="AL37" s="108">
        <v>107.53821970930886</v>
      </c>
      <c r="AM37" s="108">
        <v>92525.884237889346</v>
      </c>
      <c r="AN37" s="108">
        <v>23.688896462793124</v>
      </c>
      <c r="AO37" s="108">
        <v>20381.926516587202</v>
      </c>
      <c r="AP37" s="108">
        <v>0</v>
      </c>
      <c r="AQ37" s="108">
        <v>0</v>
      </c>
      <c r="AR37" s="108">
        <v>26.169879240028184</v>
      </c>
      <c r="AS37" s="108">
        <v>22516.564098120249</v>
      </c>
      <c r="AT37" s="108">
        <v>0</v>
      </c>
      <c r="AU37" s="108">
        <v>0</v>
      </c>
      <c r="AV37" s="108">
        <v>19.8345015115957</v>
      </c>
      <c r="AW37" s="108">
        <v>17065.60510057694</v>
      </c>
      <c r="AX37" s="108">
        <v>10.466928827550074</v>
      </c>
      <c r="AY37" s="108">
        <v>9005.7455632240835</v>
      </c>
      <c r="AZ37" s="108">
        <v>11.146158127019174</v>
      </c>
      <c r="BA37" s="108">
        <v>9590.154452487297</v>
      </c>
      <c r="BB37" s="108">
        <v>0</v>
      </c>
      <c r="BC37" s="108">
        <v>0</v>
      </c>
      <c r="BD37" s="108">
        <v>15</v>
      </c>
      <c r="BE37" s="108">
        <v>12906</v>
      </c>
      <c r="BF37" s="108">
        <v>6.3766453173492446</v>
      </c>
      <c r="BG37" s="108">
        <v>5486.4656310472901</v>
      </c>
      <c r="BH37" s="108">
        <v>63.625968198673561</v>
      </c>
      <c r="BI37" s="108">
        <v>54743.783038138732</v>
      </c>
      <c r="BJ37" s="108">
        <v>33.010161205054835</v>
      </c>
      <c r="BK37" s="108">
        <v>28401.942700829179</v>
      </c>
      <c r="BL37" s="108">
        <v>28.609673870720535</v>
      </c>
      <c r="BM37" s="108">
        <v>24615.763398367948</v>
      </c>
      <c r="BN37" s="108">
        <v>28.120416375589357</v>
      </c>
      <c r="BO37" s="108">
        <v>24194.806249557081</v>
      </c>
      <c r="BP37" s="108">
        <v>12.588049220714352</v>
      </c>
      <c r="BQ37" s="108">
        <v>10830.757549502629</v>
      </c>
      <c r="BR37" s="108">
        <v>13.532263165928271</v>
      </c>
      <c r="BS37" s="108">
        <v>11643.159227964683</v>
      </c>
      <c r="BT37" s="108">
        <v>11.314832496964531</v>
      </c>
      <c r="BU37" s="108">
        <v>9735.2818803882819</v>
      </c>
      <c r="BV37" s="108">
        <v>0</v>
      </c>
      <c r="BW37" s="108">
        <v>0</v>
      </c>
      <c r="BX37" s="108">
        <v>5.8950178470879218</v>
      </c>
      <c r="BY37" s="108">
        <v>5072.0733556344476</v>
      </c>
      <c r="BZ37" s="108">
        <v>3.9923964750169829</v>
      </c>
      <c r="CA37" s="108">
        <v>3435.0579271046122</v>
      </c>
      <c r="CB37" s="108">
        <v>0</v>
      </c>
      <c r="CC37" s="108">
        <v>0</v>
      </c>
      <c r="CD37" s="108">
        <v>5.8646658650883827</v>
      </c>
      <c r="CE37" s="108">
        <v>5045.9585103220443</v>
      </c>
      <c r="CF37" s="108">
        <v>0</v>
      </c>
      <c r="CG37" s="108">
        <v>0</v>
      </c>
      <c r="CH37" s="108">
        <v>0</v>
      </c>
      <c r="CI37" s="108">
        <v>0</v>
      </c>
      <c r="CJ37" s="108">
        <v>3.1000260864691209</v>
      </c>
      <c r="CK37" s="108">
        <v>2667.2624447980315</v>
      </c>
      <c r="CL37" s="108">
        <v>2.6107428501501917</v>
      </c>
      <c r="CM37" s="108">
        <v>2246.283148269225</v>
      </c>
      <c r="CN37" s="108">
        <v>5.6373538755734227</v>
      </c>
      <c r="CO37" s="108">
        <v>4850.379274543373</v>
      </c>
      <c r="CP37" s="108">
        <v>0</v>
      </c>
      <c r="CQ37" s="108">
        <v>0</v>
      </c>
      <c r="CR37" s="108">
        <v>0</v>
      </c>
      <c r="CS37" s="108">
        <v>0</v>
      </c>
      <c r="CT37" s="108">
        <v>6.5022483169550815</v>
      </c>
      <c r="CU37" s="108">
        <v>5594.5344519081518</v>
      </c>
    </row>
    <row r="38" spans="2:99" x14ac:dyDescent="0.2">
      <c r="C38" s="107" t="s">
        <v>203</v>
      </c>
      <c r="D38" s="108">
        <v>0</v>
      </c>
      <c r="E38" s="108">
        <v>0</v>
      </c>
      <c r="F38" s="108">
        <v>0</v>
      </c>
      <c r="G38" s="108">
        <v>0</v>
      </c>
      <c r="H38" s="108">
        <v>0</v>
      </c>
      <c r="I38" s="108">
        <v>0</v>
      </c>
      <c r="J38" s="108">
        <v>0</v>
      </c>
      <c r="K38" s="108">
        <v>0</v>
      </c>
      <c r="L38" s="108">
        <v>66.745608472534087</v>
      </c>
      <c r="M38" s="108">
        <v>82898.045722887342</v>
      </c>
      <c r="N38" s="108">
        <v>18.992672483628208</v>
      </c>
      <c r="O38" s="108">
        <v>23588.899224666235</v>
      </c>
      <c r="P38" s="108">
        <v>26.484531882884113</v>
      </c>
      <c r="Q38" s="108">
        <v>32893.788598542065</v>
      </c>
      <c r="R38" s="108">
        <v>17.87620000851798</v>
      </c>
      <c r="S38" s="108">
        <v>22202.240410579332</v>
      </c>
      <c r="T38" s="108">
        <v>0</v>
      </c>
      <c r="U38" s="108">
        <v>0</v>
      </c>
      <c r="V38" s="108">
        <v>17</v>
      </c>
      <c r="W38" s="108">
        <v>21114</v>
      </c>
      <c r="X38" s="108">
        <v>12.310054414537598</v>
      </c>
      <c r="Y38" s="108">
        <v>15289.087582855696</v>
      </c>
      <c r="Z38" s="108">
        <v>6.7009805607459834</v>
      </c>
      <c r="AA38" s="108">
        <v>8322.6178564465117</v>
      </c>
      <c r="AB38" s="108">
        <v>1.9826258466649647E-15</v>
      </c>
      <c r="AC38" s="108">
        <v>2.4624213015578863E-12</v>
      </c>
      <c r="AD38" s="108">
        <v>29.71088671950152</v>
      </c>
      <c r="AE38" s="108">
        <v>36900.92130562089</v>
      </c>
      <c r="AF38" s="108">
        <v>23.764190191490883</v>
      </c>
      <c r="AG38" s="108">
        <v>29515.124217831675</v>
      </c>
      <c r="AH38" s="108">
        <v>33.959708679582839</v>
      </c>
      <c r="AI38" s="108">
        <v>42177.958180041889</v>
      </c>
      <c r="AJ38" s="108">
        <v>0</v>
      </c>
      <c r="AK38" s="108">
        <v>0</v>
      </c>
      <c r="AL38" s="108">
        <v>90.669479362750607</v>
      </c>
      <c r="AM38" s="108">
        <v>112611.49336853625</v>
      </c>
      <c r="AN38" s="108">
        <v>21.787498302931123</v>
      </c>
      <c r="AO38" s="108">
        <v>27060.072892240456</v>
      </c>
      <c r="AP38" s="108">
        <v>0</v>
      </c>
      <c r="AQ38" s="108">
        <v>0</v>
      </c>
      <c r="AR38" s="108">
        <v>23.989055970025838</v>
      </c>
      <c r="AS38" s="108">
        <v>29794.407514772091</v>
      </c>
      <c r="AT38" s="108">
        <v>0</v>
      </c>
      <c r="AU38" s="108">
        <v>0</v>
      </c>
      <c r="AV38" s="108">
        <v>18.071434710564972</v>
      </c>
      <c r="AW38" s="108">
        <v>22444.721910521694</v>
      </c>
      <c r="AX38" s="108">
        <v>9.002022033628899</v>
      </c>
      <c r="AY38" s="108">
        <v>11180.511365767092</v>
      </c>
      <c r="AZ38" s="108">
        <v>11.672506517686168</v>
      </c>
      <c r="BA38" s="108">
        <v>14497.253094966221</v>
      </c>
      <c r="BB38" s="108">
        <v>0</v>
      </c>
      <c r="BC38" s="108">
        <v>0</v>
      </c>
      <c r="BD38" s="108">
        <v>16</v>
      </c>
      <c r="BE38" s="108">
        <v>19872</v>
      </c>
      <c r="BF38" s="108">
        <v>5.6264517506022749</v>
      </c>
      <c r="BG38" s="108">
        <v>6988.053074248025</v>
      </c>
      <c r="BH38" s="108">
        <v>59.215637974297316</v>
      </c>
      <c r="BI38" s="108">
        <v>73545.822364077263</v>
      </c>
      <c r="BJ38" s="108">
        <v>29.19531226460353</v>
      </c>
      <c r="BK38" s="108">
        <v>36260.57783263758</v>
      </c>
      <c r="BL38" s="108">
        <v>25.17270446998829</v>
      </c>
      <c r="BM38" s="108">
        <v>31264.498951725454</v>
      </c>
      <c r="BN38" s="108">
        <v>29.481217518292159</v>
      </c>
      <c r="BO38" s="108">
        <v>36615.672157718858</v>
      </c>
      <c r="BP38" s="108">
        <v>12.232136713879243</v>
      </c>
      <c r="BQ38" s="108">
        <v>15192.313798638019</v>
      </c>
      <c r="BR38" s="108">
        <v>13.038427573104739</v>
      </c>
      <c r="BS38" s="108">
        <v>16193.727045796086</v>
      </c>
      <c r="BT38" s="108">
        <v>11.314832496964531</v>
      </c>
      <c r="BU38" s="108">
        <v>14053.021961229948</v>
      </c>
      <c r="BV38" s="108">
        <v>0</v>
      </c>
      <c r="BW38" s="108">
        <v>0</v>
      </c>
      <c r="BX38" s="108">
        <v>4.8231964203446624</v>
      </c>
      <c r="BY38" s="108">
        <v>5990.4099540680709</v>
      </c>
      <c r="BZ38" s="108">
        <v>3.292761150640684</v>
      </c>
      <c r="CA38" s="108">
        <v>4089.6093490957296</v>
      </c>
      <c r="CB38" s="108">
        <v>0</v>
      </c>
      <c r="CC38" s="108">
        <v>0</v>
      </c>
      <c r="CD38" s="108">
        <v>5.3954925958813122</v>
      </c>
      <c r="CE38" s="108">
        <v>6701.2018040845896</v>
      </c>
      <c r="CF38" s="108">
        <v>0</v>
      </c>
      <c r="CG38" s="108">
        <v>0</v>
      </c>
      <c r="CH38" s="108">
        <v>0</v>
      </c>
      <c r="CI38" s="108">
        <v>0</v>
      </c>
      <c r="CJ38" s="108">
        <v>2.8416905792633607</v>
      </c>
      <c r="CK38" s="108">
        <v>3529.379699445094</v>
      </c>
      <c r="CL38" s="108">
        <v>2.2815286473292757</v>
      </c>
      <c r="CM38" s="108">
        <v>2833.6585799829604</v>
      </c>
      <c r="CN38" s="108">
        <v>6.2141641529356288</v>
      </c>
      <c r="CO38" s="108">
        <v>7717.9918779460513</v>
      </c>
      <c r="CP38" s="108">
        <v>0</v>
      </c>
      <c r="CQ38" s="108">
        <v>0</v>
      </c>
      <c r="CR38" s="108">
        <v>0</v>
      </c>
      <c r="CS38" s="108">
        <v>0</v>
      </c>
      <c r="CT38" s="108">
        <v>7.0024212644131651</v>
      </c>
      <c r="CU38" s="108">
        <v>8697.0072104011506</v>
      </c>
    </row>
    <row r="39" spans="2:99" x14ac:dyDescent="0.2">
      <c r="C39" s="107" t="s">
        <v>204</v>
      </c>
      <c r="D39" s="108">
        <v>0</v>
      </c>
      <c r="E39" s="108">
        <v>0</v>
      </c>
      <c r="F39" s="108">
        <v>0</v>
      </c>
      <c r="G39" s="108">
        <v>0</v>
      </c>
      <c r="H39" s="108">
        <v>0</v>
      </c>
      <c r="I39" s="108">
        <v>0</v>
      </c>
      <c r="J39" s="108">
        <v>0</v>
      </c>
      <c r="K39" s="108">
        <v>0</v>
      </c>
      <c r="L39" s="108">
        <v>62.941454621767903</v>
      </c>
      <c r="M39" s="108">
        <v>89578.278217700077</v>
      </c>
      <c r="N39" s="108">
        <v>17.995065448058465</v>
      </c>
      <c r="O39" s="108">
        <v>25610.577145676809</v>
      </c>
      <c r="P39" s="108">
        <v>23.954131253295063</v>
      </c>
      <c r="Q39" s="108">
        <v>34091.519599689535</v>
      </c>
      <c r="R39" s="108">
        <v>16.18862910299363</v>
      </c>
      <c r="S39" s="108">
        <v>23039.656939380537</v>
      </c>
      <c r="T39" s="108">
        <v>0</v>
      </c>
      <c r="U39" s="108">
        <v>0</v>
      </c>
      <c r="V39" s="108">
        <v>15</v>
      </c>
      <c r="W39" s="108">
        <v>21348</v>
      </c>
      <c r="X39" s="108">
        <v>12.134702971512809</v>
      </c>
      <c r="Y39" s="108">
        <v>17270.109269057029</v>
      </c>
      <c r="Z39" s="108">
        <v>6.2584886729532387</v>
      </c>
      <c r="AA39" s="108">
        <v>8907.08107934705</v>
      </c>
      <c r="AB39" s="108">
        <v>1.9267772312659516E-15</v>
      </c>
      <c r="AC39" s="108">
        <v>2.7421893555377025E-12</v>
      </c>
      <c r="AD39" s="108">
        <v>25.082557632543995</v>
      </c>
      <c r="AE39" s="108">
        <v>35697.496022636617</v>
      </c>
      <c r="AF39" s="108">
        <v>21.839923327782863</v>
      </c>
      <c r="AG39" s="108">
        <v>31082.578880100573</v>
      </c>
      <c r="AH39" s="108">
        <v>30.010416805780924</v>
      </c>
      <c r="AI39" s="108">
        <v>42710.825197987411</v>
      </c>
      <c r="AJ39" s="108">
        <v>0</v>
      </c>
      <c r="AK39" s="108">
        <v>0</v>
      </c>
      <c r="AL39" s="108">
        <v>89.088034955260767</v>
      </c>
      <c r="AM39" s="108">
        <v>126790.09134832713</v>
      </c>
      <c r="AN39" s="108">
        <v>22.700123548964477</v>
      </c>
      <c r="AO39" s="108">
        <v>32306.815834886245</v>
      </c>
      <c r="AP39" s="108">
        <v>0</v>
      </c>
      <c r="AQ39" s="108">
        <v>0</v>
      </c>
      <c r="AR39" s="108">
        <v>23.262114880025056</v>
      </c>
      <c r="AS39" s="108">
        <v>33106.641897251662</v>
      </c>
      <c r="AT39" s="108">
        <v>0</v>
      </c>
      <c r="AU39" s="108">
        <v>0</v>
      </c>
      <c r="AV39" s="108">
        <v>18.071434710564972</v>
      </c>
      <c r="AW39" s="108">
        <v>25719.265880076069</v>
      </c>
      <c r="AX39" s="108">
        <v>9.0131413922892296</v>
      </c>
      <c r="AY39" s="108">
        <v>12827.502829506033</v>
      </c>
      <c r="AZ39" s="108">
        <v>10.386709365320153</v>
      </c>
      <c r="BA39" s="108">
        <v>14782.364768723641</v>
      </c>
      <c r="BB39" s="108">
        <v>0</v>
      </c>
      <c r="BC39" s="108">
        <v>0</v>
      </c>
      <c r="BD39" s="108">
        <v>14</v>
      </c>
      <c r="BE39" s="108">
        <v>19924.8</v>
      </c>
      <c r="BF39" s="108">
        <v>6.0015485339757602</v>
      </c>
      <c r="BG39" s="108">
        <v>8541.4038735543018</v>
      </c>
      <c r="BH39" s="108">
        <v>58.80128874940528</v>
      </c>
      <c r="BI39" s="108">
        <v>83685.994148153593</v>
      </c>
      <c r="BJ39" s="108">
        <v>28.244224601954581</v>
      </c>
      <c r="BK39" s="108">
        <v>40197.180453501758</v>
      </c>
      <c r="BL39" s="108">
        <v>27.723678706157994</v>
      </c>
      <c r="BM39" s="108">
        <v>39456.339534604056</v>
      </c>
      <c r="BN39" s="108">
        <v>26.915408365746785</v>
      </c>
      <c r="BO39" s="108">
        <v>38306.009186130825</v>
      </c>
      <c r="BP39" s="108">
        <v>9.9111264208093353</v>
      </c>
      <c r="BQ39" s="108">
        <v>14105.515122095847</v>
      </c>
      <c r="BR39" s="108">
        <v>12.989256892059572</v>
      </c>
      <c r="BS39" s="108">
        <v>18486.310408779183</v>
      </c>
      <c r="BT39" s="108">
        <v>10.638165484918954</v>
      </c>
      <c r="BU39" s="108">
        <v>15140.237118136656</v>
      </c>
      <c r="BV39" s="108">
        <v>0</v>
      </c>
      <c r="BW39" s="108">
        <v>0</v>
      </c>
      <c r="BX39" s="108">
        <v>5.3591071337162921</v>
      </c>
      <c r="BY39" s="108">
        <v>7627.081272705027</v>
      </c>
      <c r="BZ39" s="108">
        <v>3.2842669041143697</v>
      </c>
      <c r="CA39" s="108">
        <v>4674.168657935571</v>
      </c>
      <c r="CB39" s="108">
        <v>0</v>
      </c>
      <c r="CC39" s="108">
        <v>0</v>
      </c>
      <c r="CD39" s="108">
        <v>4.9263193266742409</v>
      </c>
      <c r="CE39" s="108">
        <v>7011.1376657227802</v>
      </c>
      <c r="CF39" s="108">
        <v>0</v>
      </c>
      <c r="CG39" s="108">
        <v>0</v>
      </c>
      <c r="CH39" s="108">
        <v>0</v>
      </c>
      <c r="CI39" s="108">
        <v>0</v>
      </c>
      <c r="CJ39" s="108">
        <v>2.5833550720576008</v>
      </c>
      <c r="CK39" s="108">
        <v>3676.6309385523778</v>
      </c>
      <c r="CL39" s="108">
        <v>2.4312535131604216</v>
      </c>
      <c r="CM39" s="108">
        <v>3460.1599999299119</v>
      </c>
      <c r="CN39" s="108">
        <v>5.6344956743591226</v>
      </c>
      <c r="CO39" s="108">
        <v>8019.0142437479035</v>
      </c>
      <c r="CP39" s="108">
        <v>0</v>
      </c>
      <c r="CQ39" s="108">
        <v>0</v>
      </c>
      <c r="CR39" s="108">
        <v>0</v>
      </c>
      <c r="CS39" s="108">
        <v>0</v>
      </c>
      <c r="CT39" s="108">
        <v>6.5022483169550815</v>
      </c>
      <c r="CU39" s="108">
        <v>9253.999804690473</v>
      </c>
    </row>
    <row r="40" spans="2:99" x14ac:dyDescent="0.2">
      <c r="C40" s="107" t="s">
        <v>205</v>
      </c>
      <c r="D40" s="108">
        <v>0</v>
      </c>
      <c r="E40" s="108">
        <v>0</v>
      </c>
      <c r="F40" s="108">
        <v>0</v>
      </c>
      <c r="G40" s="108">
        <v>0</v>
      </c>
      <c r="H40" s="108">
        <v>0</v>
      </c>
      <c r="I40" s="108">
        <v>0</v>
      </c>
      <c r="J40" s="108">
        <v>0</v>
      </c>
      <c r="K40" s="108">
        <v>0</v>
      </c>
      <c r="L40" s="108">
        <v>79.541398697838559</v>
      </c>
      <c r="M40" s="108">
        <v>57651.605776193384</v>
      </c>
      <c r="N40" s="108">
        <v>23.468739633728227</v>
      </c>
      <c r="O40" s="108">
        <v>17010.142486526216</v>
      </c>
      <c r="P40" s="108">
        <v>29.232106238024866</v>
      </c>
      <c r="Q40" s="108">
        <v>21187.430601320422</v>
      </c>
      <c r="R40" s="108">
        <v>18.608067821909358</v>
      </c>
      <c r="S40" s="108">
        <v>13487.127557319902</v>
      </c>
      <c r="T40" s="108">
        <v>0</v>
      </c>
      <c r="U40" s="108">
        <v>0</v>
      </c>
      <c r="V40" s="108">
        <v>18</v>
      </c>
      <c r="W40" s="108">
        <v>13046.4</v>
      </c>
      <c r="X40" s="108">
        <v>13.804243381408716</v>
      </c>
      <c r="Y40" s="108">
        <v>10005.315602845036</v>
      </c>
      <c r="Z40" s="108">
        <v>6.7498779354717753</v>
      </c>
      <c r="AA40" s="108">
        <v>4892.3115276299422</v>
      </c>
      <c r="AB40" s="108">
        <v>2.2199824621107707E-15</v>
      </c>
      <c r="AC40" s="108">
        <v>1.6090432885378866E-12</v>
      </c>
      <c r="AD40" s="108">
        <v>35.83222518934857</v>
      </c>
      <c r="AE40" s="108">
        <v>25971.196817239841</v>
      </c>
      <c r="AF40" s="108">
        <v>27.067927574178423</v>
      </c>
      <c r="AG40" s="108">
        <v>19618.833905764521</v>
      </c>
      <c r="AH40" s="108">
        <v>34.304110111602611</v>
      </c>
      <c r="AI40" s="108">
        <v>24863.619008889571</v>
      </c>
      <c r="AJ40" s="108">
        <v>0</v>
      </c>
      <c r="AK40" s="108">
        <v>0</v>
      </c>
      <c r="AL40" s="108">
        <v>96.995256992709955</v>
      </c>
      <c r="AM40" s="108">
        <v>70302.16226831617</v>
      </c>
      <c r="AN40" s="108">
        <v>29.553258264784532</v>
      </c>
      <c r="AO40" s="108">
        <v>21420.201590315828</v>
      </c>
      <c r="AP40" s="108">
        <v>0</v>
      </c>
      <c r="AQ40" s="108">
        <v>0</v>
      </c>
      <c r="AR40" s="108">
        <v>22.53517379002427</v>
      </c>
      <c r="AS40" s="108">
        <v>16333.493963009591</v>
      </c>
      <c r="AT40" s="108">
        <v>0</v>
      </c>
      <c r="AU40" s="108">
        <v>0</v>
      </c>
      <c r="AV40" s="108">
        <v>20.275268211853383</v>
      </c>
      <c r="AW40" s="108">
        <v>14695.514399951331</v>
      </c>
      <c r="AX40" s="108">
        <v>10.675694005966687</v>
      </c>
      <c r="AY40" s="108">
        <v>7737.7430155246539</v>
      </c>
      <c r="AZ40" s="108">
        <v>10.441161089565973</v>
      </c>
      <c r="BA40" s="108">
        <v>7567.7535577174167</v>
      </c>
      <c r="BB40" s="108">
        <v>0</v>
      </c>
      <c r="BC40" s="108">
        <v>0</v>
      </c>
      <c r="BD40" s="108">
        <v>16</v>
      </c>
      <c r="BE40" s="108">
        <v>11596.8</v>
      </c>
      <c r="BF40" s="108">
        <v>6.7517421007227298</v>
      </c>
      <c r="BG40" s="108">
        <v>4893.6626746038346</v>
      </c>
      <c r="BH40" s="108">
        <v>69.250925606438642</v>
      </c>
      <c r="BI40" s="108">
        <v>50193.070879546722</v>
      </c>
      <c r="BJ40" s="108">
        <v>34.280187976594334</v>
      </c>
      <c r="BK40" s="108">
        <v>24846.280245435573</v>
      </c>
      <c r="BL40" s="108">
        <v>33.923238437553138</v>
      </c>
      <c r="BM40" s="108">
        <v>24587.563219538511</v>
      </c>
      <c r="BN40" s="108">
        <v>30.037040251279933</v>
      </c>
      <c r="BO40" s="108">
        <v>21770.846774127695</v>
      </c>
      <c r="BP40" s="108">
        <v>13.198842584403618</v>
      </c>
      <c r="BQ40" s="108">
        <v>9566.5211051757415</v>
      </c>
      <c r="BR40" s="108">
        <v>15.254495606267303</v>
      </c>
      <c r="BS40" s="108">
        <v>11056.458415422541</v>
      </c>
      <c r="BT40" s="108">
        <v>12.43737257510632</v>
      </c>
      <c r="BU40" s="108">
        <v>9014.6076424370603</v>
      </c>
      <c r="BV40" s="108">
        <v>0</v>
      </c>
      <c r="BW40" s="108">
        <v>0</v>
      </c>
      <c r="BX40" s="108">
        <v>5.8950178470879218</v>
      </c>
      <c r="BY40" s="108">
        <v>4272.7089355693251</v>
      </c>
      <c r="BZ40" s="108">
        <v>3.6595673058814611</v>
      </c>
      <c r="CA40" s="108">
        <v>2652.4543833028829</v>
      </c>
      <c r="CB40" s="108">
        <v>0</v>
      </c>
      <c r="CC40" s="108">
        <v>0</v>
      </c>
      <c r="CD40" s="108">
        <v>5.3954925958813122</v>
      </c>
      <c r="CE40" s="108">
        <v>3910.6530334947747</v>
      </c>
      <c r="CF40" s="108">
        <v>0</v>
      </c>
      <c r="CG40" s="108">
        <v>0</v>
      </c>
      <c r="CH40" s="108">
        <v>0</v>
      </c>
      <c r="CI40" s="108">
        <v>0</v>
      </c>
      <c r="CJ40" s="108">
        <v>2.8416905792633607</v>
      </c>
      <c r="CK40" s="108">
        <v>2059.6573318500837</v>
      </c>
      <c r="CL40" s="108">
        <v>2.5957274326057229</v>
      </c>
      <c r="CM40" s="108">
        <v>1881.3832431526278</v>
      </c>
      <c r="CN40" s="108">
        <v>5.67735116404672</v>
      </c>
      <c r="CO40" s="108">
        <v>4114.9441237010624</v>
      </c>
      <c r="CP40" s="108">
        <v>0</v>
      </c>
      <c r="CQ40" s="108">
        <v>0</v>
      </c>
      <c r="CR40" s="108">
        <v>0</v>
      </c>
      <c r="CS40" s="108">
        <v>0</v>
      </c>
      <c r="CT40" s="108">
        <v>7.5025942118712488</v>
      </c>
      <c r="CU40" s="108">
        <v>5437.880284764281</v>
      </c>
    </row>
    <row r="41" spans="2:99" x14ac:dyDescent="0.2">
      <c r="C41" s="107" t="s">
        <v>206</v>
      </c>
      <c r="D41" s="108">
        <v>0</v>
      </c>
      <c r="E41" s="108">
        <v>0</v>
      </c>
      <c r="F41" s="108">
        <v>0</v>
      </c>
      <c r="G41" s="108">
        <v>0</v>
      </c>
      <c r="H41" s="108">
        <v>0</v>
      </c>
      <c r="I41" s="108">
        <v>0</v>
      </c>
      <c r="J41" s="108">
        <v>0</v>
      </c>
      <c r="K41" s="108">
        <v>0</v>
      </c>
      <c r="L41" s="108">
        <v>80.578895202592975</v>
      </c>
      <c r="M41" s="108">
        <v>53182.070833711361</v>
      </c>
      <c r="N41" s="108">
        <v>21.672833939718632</v>
      </c>
      <c r="O41" s="108">
        <v>14304.070400214297</v>
      </c>
      <c r="P41" s="108">
        <v>31.778715913164003</v>
      </c>
      <c r="Q41" s="108">
        <v>20973.952502688244</v>
      </c>
      <c r="R41" s="108">
        <v>21.166944859898237</v>
      </c>
      <c r="S41" s="108">
        <v>13970.183607532836</v>
      </c>
      <c r="T41" s="108">
        <v>0</v>
      </c>
      <c r="U41" s="108">
        <v>0</v>
      </c>
      <c r="V41" s="108">
        <v>18</v>
      </c>
      <c r="W41" s="108">
        <v>11880</v>
      </c>
      <c r="X41" s="108">
        <v>12.493618131817383</v>
      </c>
      <c r="Y41" s="108">
        <v>8245.7879669994727</v>
      </c>
      <c r="Z41" s="108">
        <v>7.2388281518891064</v>
      </c>
      <c r="AA41" s="108">
        <v>4777.6265802468106</v>
      </c>
      <c r="AB41" s="108">
        <v>2.4154526160073168E-15</v>
      </c>
      <c r="AC41" s="108">
        <v>1.5941987265648291E-12</v>
      </c>
      <c r="AD41" s="108">
        <v>35.83222518934857</v>
      </c>
      <c r="AE41" s="108">
        <v>23649.268624970056</v>
      </c>
      <c r="AF41" s="108">
        <v>27.531542938754367</v>
      </c>
      <c r="AG41" s="108">
        <v>18170.818339577883</v>
      </c>
      <c r="AH41" s="108">
        <v>35.52160301995098</v>
      </c>
      <c r="AI41" s="108">
        <v>23444.257993167648</v>
      </c>
      <c r="AJ41" s="108">
        <v>0</v>
      </c>
      <c r="AK41" s="108">
        <v>0</v>
      </c>
      <c r="AL41" s="108">
        <v>95.413812585220114</v>
      </c>
      <c r="AM41" s="108">
        <v>62973.116306245276</v>
      </c>
      <c r="AN41" s="108">
        <v>27.008184563859274</v>
      </c>
      <c r="AO41" s="108">
        <v>17825.40181214712</v>
      </c>
      <c r="AP41" s="108">
        <v>0</v>
      </c>
      <c r="AQ41" s="108">
        <v>0</v>
      </c>
      <c r="AR41" s="108">
        <v>23.262114880025056</v>
      </c>
      <c r="AS41" s="108">
        <v>15352.995820816537</v>
      </c>
      <c r="AT41" s="108">
        <v>0</v>
      </c>
      <c r="AU41" s="108">
        <v>0</v>
      </c>
      <c r="AV41" s="108">
        <v>22.479101713141795</v>
      </c>
      <c r="AW41" s="108">
        <v>14836.207130673585</v>
      </c>
      <c r="AX41" s="108">
        <v>9.9714557009371045</v>
      </c>
      <c r="AY41" s="108">
        <v>6581.1607626184887</v>
      </c>
      <c r="AZ41" s="108">
        <v>12.256947935943925</v>
      </c>
      <c r="BA41" s="108">
        <v>8089.5856377229911</v>
      </c>
      <c r="BB41" s="108">
        <v>0</v>
      </c>
      <c r="BC41" s="108">
        <v>0</v>
      </c>
      <c r="BD41" s="108">
        <v>16</v>
      </c>
      <c r="BE41" s="108">
        <v>10560</v>
      </c>
      <c r="BF41" s="108">
        <v>6.3766453173492446</v>
      </c>
      <c r="BG41" s="108">
        <v>4208.5859094505013</v>
      </c>
      <c r="BH41" s="108">
        <v>71.758863730835671</v>
      </c>
      <c r="BI41" s="108">
        <v>47360.850062351543</v>
      </c>
      <c r="BJ41" s="108">
        <v>30.282950825607017</v>
      </c>
      <c r="BK41" s="108">
        <v>19986.747544900631</v>
      </c>
      <c r="BL41" s="108">
        <v>31.799773696618992</v>
      </c>
      <c r="BM41" s="108">
        <v>20987.850639768534</v>
      </c>
      <c r="BN41" s="108">
        <v>31.044634735600116</v>
      </c>
      <c r="BO41" s="108">
        <v>20489.458925496077</v>
      </c>
      <c r="BP41" s="108">
        <v>13.183630020291295</v>
      </c>
      <c r="BQ41" s="108">
        <v>8701.1958133922544</v>
      </c>
      <c r="BR41" s="108">
        <v>16.048017600129587</v>
      </c>
      <c r="BS41" s="108">
        <v>10591.691616085527</v>
      </c>
      <c r="BT41" s="108">
        <v>11.823541132330829</v>
      </c>
      <c r="BU41" s="108">
        <v>7803.5371473383475</v>
      </c>
      <c r="BV41" s="108">
        <v>0</v>
      </c>
      <c r="BW41" s="108">
        <v>0</v>
      </c>
      <c r="BX41" s="108">
        <v>5.8950178470879218</v>
      </c>
      <c r="BY41" s="108">
        <v>3890.7117790780285</v>
      </c>
      <c r="BZ41" s="108">
        <v>3.4676699817347587</v>
      </c>
      <c r="CA41" s="108">
        <v>2288.6621879449408</v>
      </c>
      <c r="CB41" s="108">
        <v>0</v>
      </c>
      <c r="CC41" s="108">
        <v>0</v>
      </c>
      <c r="CD41" s="108">
        <v>5.6300792304848475</v>
      </c>
      <c r="CE41" s="108">
        <v>3715.8522921199992</v>
      </c>
      <c r="CF41" s="108">
        <v>0</v>
      </c>
      <c r="CG41" s="108">
        <v>0</v>
      </c>
      <c r="CH41" s="108">
        <v>0</v>
      </c>
      <c r="CI41" s="108">
        <v>0</v>
      </c>
      <c r="CJ41" s="108">
        <v>3.1000260864691209</v>
      </c>
      <c r="CK41" s="108">
        <v>2046.0172170696198</v>
      </c>
      <c r="CL41" s="108">
        <v>2.4608622564729825</v>
      </c>
      <c r="CM41" s="108">
        <v>1624.1690892721685</v>
      </c>
      <c r="CN41" s="108">
        <v>6.5334619065617483</v>
      </c>
      <c r="CO41" s="108">
        <v>4312.0848583307543</v>
      </c>
      <c r="CP41" s="108">
        <v>0</v>
      </c>
      <c r="CQ41" s="108">
        <v>0</v>
      </c>
      <c r="CR41" s="108">
        <v>0</v>
      </c>
      <c r="CS41" s="108">
        <v>0</v>
      </c>
      <c r="CT41" s="108">
        <v>8.0027671593293324</v>
      </c>
      <c r="CU41" s="108">
        <v>5281.826325157359</v>
      </c>
    </row>
    <row r="42" spans="2:99" x14ac:dyDescent="0.2">
      <c r="C42" s="107" t="s">
        <v>207</v>
      </c>
      <c r="D42" s="108">
        <v>0</v>
      </c>
      <c r="E42" s="108">
        <v>0</v>
      </c>
      <c r="F42" s="108">
        <v>0</v>
      </c>
      <c r="G42" s="108">
        <v>0</v>
      </c>
      <c r="H42" s="108">
        <v>0</v>
      </c>
      <c r="I42" s="108">
        <v>0</v>
      </c>
      <c r="J42" s="108">
        <v>0</v>
      </c>
      <c r="K42" s="108">
        <v>0</v>
      </c>
      <c r="L42" s="108">
        <v>78.158070024832668</v>
      </c>
      <c r="M42" s="108">
        <v>66121.727241008441</v>
      </c>
      <c r="N42" s="108">
        <v>20.961024959879893</v>
      </c>
      <c r="O42" s="108">
        <v>17733.027116058391</v>
      </c>
      <c r="P42" s="108">
        <v>29.692004844568256</v>
      </c>
      <c r="Q42" s="108">
        <v>25119.436098504746</v>
      </c>
      <c r="R42" s="108">
        <v>19.8039711587253</v>
      </c>
      <c r="S42" s="108">
        <v>16754.159600281604</v>
      </c>
      <c r="T42" s="108">
        <v>0</v>
      </c>
      <c r="U42" s="108">
        <v>0</v>
      </c>
      <c r="V42" s="108">
        <v>17</v>
      </c>
      <c r="W42" s="108">
        <v>14382</v>
      </c>
      <c r="X42" s="108">
        <v>11.901344405769118</v>
      </c>
      <c r="Y42" s="108">
        <v>10068.537367280675</v>
      </c>
      <c r="Z42" s="108">
        <v>6.7425607971681583</v>
      </c>
      <c r="AA42" s="108">
        <v>5704.2064344042619</v>
      </c>
      <c r="AB42" s="108">
        <v>2.2758310775097838E-15</v>
      </c>
      <c r="AC42" s="108">
        <v>1.9253530915732771E-12</v>
      </c>
      <c r="AD42" s="108">
        <v>30.308090472657327</v>
      </c>
      <c r="AE42" s="108">
        <v>25640.644539868099</v>
      </c>
      <c r="AF42" s="108">
        <v>26.412707930254385</v>
      </c>
      <c r="AG42" s="108">
        <v>22345.150908995209</v>
      </c>
      <c r="AH42" s="108">
        <v>33.083555796793924</v>
      </c>
      <c r="AI42" s="108">
        <v>27988.688204087659</v>
      </c>
      <c r="AJ42" s="108">
        <v>0</v>
      </c>
      <c r="AK42" s="108">
        <v>0</v>
      </c>
      <c r="AL42" s="108">
        <v>95.413812585220114</v>
      </c>
      <c r="AM42" s="108">
        <v>80720.085447096222</v>
      </c>
      <c r="AN42" s="108">
        <v>28.371683313781073</v>
      </c>
      <c r="AO42" s="108">
        <v>24002.444083458788</v>
      </c>
      <c r="AP42" s="108">
        <v>0</v>
      </c>
      <c r="AQ42" s="108">
        <v>0</v>
      </c>
      <c r="AR42" s="108">
        <v>23.989055970025838</v>
      </c>
      <c r="AS42" s="108">
        <v>20294.74135064186</v>
      </c>
      <c r="AT42" s="108">
        <v>0</v>
      </c>
      <c r="AU42" s="108">
        <v>0</v>
      </c>
      <c r="AV42" s="108">
        <v>17.630668010307289</v>
      </c>
      <c r="AW42" s="108">
        <v>14915.545136719968</v>
      </c>
      <c r="AX42" s="108">
        <v>9.470433867354572</v>
      </c>
      <c r="AY42" s="108">
        <v>8011.9870517819681</v>
      </c>
      <c r="AZ42" s="108">
        <v>10.44844369625585</v>
      </c>
      <c r="BA42" s="108">
        <v>8839.3833670324493</v>
      </c>
      <c r="BB42" s="108">
        <v>0</v>
      </c>
      <c r="BC42" s="108">
        <v>0</v>
      </c>
      <c r="BD42" s="108">
        <v>18</v>
      </c>
      <c r="BE42" s="108">
        <v>15228</v>
      </c>
      <c r="BF42" s="108">
        <v>5.6264517506022749</v>
      </c>
      <c r="BG42" s="108">
        <v>4759.9781810095246</v>
      </c>
      <c r="BH42" s="108">
        <v>63.329850998033955</v>
      </c>
      <c r="BI42" s="108">
        <v>53577.053944336723</v>
      </c>
      <c r="BJ42" s="108">
        <v>31.512869948987728</v>
      </c>
      <c r="BK42" s="108">
        <v>26659.887976843616</v>
      </c>
      <c r="BL42" s="108">
        <v>32.192867717114019</v>
      </c>
      <c r="BM42" s="108">
        <v>27235.166088678459</v>
      </c>
      <c r="BN42" s="108">
        <v>30.021432604031627</v>
      </c>
      <c r="BO42" s="108">
        <v>25398.131983010757</v>
      </c>
      <c r="BP42" s="108">
        <v>12.022095281189236</v>
      </c>
      <c r="BQ42" s="108">
        <v>10170.692607886094</v>
      </c>
      <c r="BR42" s="108">
        <v>13.58490480519376</v>
      </c>
      <c r="BS42" s="108">
        <v>11492.829465193921</v>
      </c>
      <c r="BT42" s="108">
        <v>12.115956337733172</v>
      </c>
      <c r="BU42" s="108">
        <v>10250.099061722263</v>
      </c>
      <c r="BV42" s="108">
        <v>0</v>
      </c>
      <c r="BW42" s="108">
        <v>0</v>
      </c>
      <c r="BX42" s="108">
        <v>4.8231964203446624</v>
      </c>
      <c r="BY42" s="108">
        <v>4080.4241716115844</v>
      </c>
      <c r="BZ42" s="108">
        <v>4.009384968069611</v>
      </c>
      <c r="CA42" s="108">
        <v>3391.9396829868911</v>
      </c>
      <c r="CB42" s="108">
        <v>0</v>
      </c>
      <c r="CC42" s="108">
        <v>0</v>
      </c>
      <c r="CD42" s="108">
        <v>5.3954925958813122</v>
      </c>
      <c r="CE42" s="108">
        <v>4564.5867361155906</v>
      </c>
      <c r="CF42" s="108">
        <v>0</v>
      </c>
      <c r="CG42" s="108">
        <v>0</v>
      </c>
      <c r="CH42" s="108">
        <v>0</v>
      </c>
      <c r="CI42" s="108">
        <v>0</v>
      </c>
      <c r="CJ42" s="108">
        <v>3.1000260864691209</v>
      </c>
      <c r="CK42" s="108">
        <v>2622.6220691528765</v>
      </c>
      <c r="CL42" s="108">
        <v>2.3002815331792519</v>
      </c>
      <c r="CM42" s="108">
        <v>1946.0381770696472</v>
      </c>
      <c r="CN42" s="108">
        <v>5.6777084391985078</v>
      </c>
      <c r="CO42" s="108">
        <v>4803.3413395619373</v>
      </c>
      <c r="CP42" s="108">
        <v>0</v>
      </c>
      <c r="CQ42" s="108">
        <v>0</v>
      </c>
      <c r="CR42" s="108">
        <v>0</v>
      </c>
      <c r="CS42" s="108">
        <v>0</v>
      </c>
      <c r="CT42" s="108">
        <v>7.0024212644131651</v>
      </c>
      <c r="CU42" s="108">
        <v>5924.0483896935375</v>
      </c>
    </row>
    <row r="43" spans="2:99" x14ac:dyDescent="0.2">
      <c r="C43" s="107" t="s">
        <v>208</v>
      </c>
      <c r="D43" s="108">
        <v>0</v>
      </c>
      <c r="E43" s="108">
        <v>0</v>
      </c>
      <c r="F43" s="108">
        <v>0</v>
      </c>
      <c r="G43" s="108">
        <v>0</v>
      </c>
      <c r="H43" s="108">
        <v>0</v>
      </c>
      <c r="I43" s="108">
        <v>0</v>
      </c>
      <c r="J43" s="108">
        <v>0</v>
      </c>
      <c r="K43" s="108">
        <v>0</v>
      </c>
      <c r="L43" s="108">
        <v>78.849734361335621</v>
      </c>
      <c r="M43" s="108">
        <v>80615.968411029535</v>
      </c>
      <c r="N43" s="108">
        <v>20.400173486373003</v>
      </c>
      <c r="O43" s="108">
        <v>20857.137372467758</v>
      </c>
      <c r="P43" s="108">
        <v>25.685652340912831</v>
      </c>
      <c r="Q43" s="108">
        <v>26261.01095334928</v>
      </c>
      <c r="R43" s="108">
        <v>17.046484085534534</v>
      </c>
      <c r="S43" s="108">
        <v>17428.325329050505</v>
      </c>
      <c r="T43" s="108">
        <v>0</v>
      </c>
      <c r="U43" s="108">
        <v>0</v>
      </c>
      <c r="V43" s="108">
        <v>17</v>
      </c>
      <c r="W43" s="108">
        <v>17380.8</v>
      </c>
      <c r="X43" s="108">
        <v>12.969473176460761</v>
      </c>
      <c r="Y43" s="108">
        <v>13259.989375613482</v>
      </c>
      <c r="Z43" s="108">
        <v>6.7938972179951564</v>
      </c>
      <c r="AA43" s="108">
        <v>6946.080515678248</v>
      </c>
      <c r="AB43" s="108">
        <v>2.1222473851624977E-15</v>
      </c>
      <c r="AC43" s="108">
        <v>2.1697857265901377E-12</v>
      </c>
      <c r="AD43" s="108">
        <v>27.32207170687828</v>
      </c>
      <c r="AE43" s="108">
        <v>27934.086113112353</v>
      </c>
      <c r="AF43" s="108">
        <v>28.520720270455218</v>
      </c>
      <c r="AG43" s="108">
        <v>29159.584404513414</v>
      </c>
      <c r="AH43" s="108">
        <v>35.471973799047795</v>
      </c>
      <c r="AI43" s="108">
        <v>36266.546012146464</v>
      </c>
      <c r="AJ43" s="108">
        <v>0</v>
      </c>
      <c r="AK43" s="108">
        <v>0</v>
      </c>
      <c r="AL43" s="108">
        <v>97.522405128539901</v>
      </c>
      <c r="AM43" s="108">
        <v>99706.907003419197</v>
      </c>
      <c r="AN43" s="108">
        <v>23.194510005878801</v>
      </c>
      <c r="AO43" s="108">
        <v>23714.067030010487</v>
      </c>
      <c r="AP43" s="108">
        <v>0</v>
      </c>
      <c r="AQ43" s="108">
        <v>0</v>
      </c>
      <c r="AR43" s="108">
        <v>23.262114880025056</v>
      </c>
      <c r="AS43" s="108">
        <v>23783.186253337615</v>
      </c>
      <c r="AT43" s="108">
        <v>0</v>
      </c>
      <c r="AU43" s="108">
        <v>0</v>
      </c>
      <c r="AV43" s="108">
        <v>19.8345015115957</v>
      </c>
      <c r="AW43" s="108">
        <v>20278.794345455444</v>
      </c>
      <c r="AX43" s="108">
        <v>8.9454626458882522</v>
      </c>
      <c r="AY43" s="108">
        <v>9145.8410091561491</v>
      </c>
      <c r="AZ43" s="108">
        <v>10.443345871572939</v>
      </c>
      <c r="BA43" s="108">
        <v>10677.276819096172</v>
      </c>
      <c r="BB43" s="108">
        <v>0</v>
      </c>
      <c r="BC43" s="108">
        <v>0</v>
      </c>
      <c r="BD43" s="108">
        <v>16</v>
      </c>
      <c r="BE43" s="108">
        <v>16358.4</v>
      </c>
      <c r="BF43" s="108">
        <v>6.0015485339757602</v>
      </c>
      <c r="BG43" s="108">
        <v>6135.9832211368166</v>
      </c>
      <c r="BH43" s="108">
        <v>62.909011408209452</v>
      </c>
      <c r="BI43" s="108">
        <v>64318.173263753342</v>
      </c>
      <c r="BJ43" s="108">
        <v>29.514251373494076</v>
      </c>
      <c r="BK43" s="108">
        <v>30175.370604260344</v>
      </c>
      <c r="BL43" s="108">
        <v>31.152335604763586</v>
      </c>
      <c r="BM43" s="108">
        <v>31850.147922310291</v>
      </c>
      <c r="BN43" s="108">
        <v>27.102416793103636</v>
      </c>
      <c r="BO43" s="108">
        <v>27709.510929269156</v>
      </c>
      <c r="BP43" s="108">
        <v>11.988066578979714</v>
      </c>
      <c r="BQ43" s="108">
        <v>12256.599270348859</v>
      </c>
      <c r="BR43" s="108">
        <v>14.559414801594739</v>
      </c>
      <c r="BS43" s="108">
        <v>14885.545693150461</v>
      </c>
      <c r="BT43" s="108">
        <v>11.804207111016957</v>
      </c>
      <c r="BU43" s="108">
        <v>12068.621350303736</v>
      </c>
      <c r="BV43" s="108">
        <v>0</v>
      </c>
      <c r="BW43" s="108">
        <v>0</v>
      </c>
      <c r="BX43" s="108">
        <v>5.0911517770304773</v>
      </c>
      <c r="BY43" s="108">
        <v>5205.1935768359599</v>
      </c>
      <c r="BZ43" s="108">
        <v>3.642578812828833</v>
      </c>
      <c r="CA43" s="108">
        <v>3724.1725782361987</v>
      </c>
      <c r="CB43" s="108">
        <v>0</v>
      </c>
      <c r="CC43" s="108">
        <v>0</v>
      </c>
      <c r="CD43" s="108">
        <v>5.3954925958813122</v>
      </c>
      <c r="CE43" s="108">
        <v>5516.3516300290539</v>
      </c>
      <c r="CF43" s="108">
        <v>0</v>
      </c>
      <c r="CG43" s="108">
        <v>0</v>
      </c>
      <c r="CH43" s="108">
        <v>0</v>
      </c>
      <c r="CI43" s="108">
        <v>0</v>
      </c>
      <c r="CJ43" s="108">
        <v>3.1000260864691209</v>
      </c>
      <c r="CK43" s="108">
        <v>3169.466670806029</v>
      </c>
      <c r="CL43" s="108">
        <v>2.5682988791380419</v>
      </c>
      <c r="CM43" s="108">
        <v>2625.8287740307342</v>
      </c>
      <c r="CN43" s="108">
        <v>6.5056061304069255</v>
      </c>
      <c r="CO43" s="108">
        <v>6651.3317077280408</v>
      </c>
      <c r="CP43" s="108">
        <v>0</v>
      </c>
      <c r="CQ43" s="108">
        <v>0</v>
      </c>
      <c r="CR43" s="108">
        <v>0</v>
      </c>
      <c r="CS43" s="108">
        <v>0</v>
      </c>
      <c r="CT43" s="108">
        <v>7.5025942118712488</v>
      </c>
      <c r="CU43" s="108">
        <v>7670.6523222171645</v>
      </c>
    </row>
    <row r="44" spans="2:99" x14ac:dyDescent="0.2">
      <c r="C44" s="107" t="s">
        <v>209</v>
      </c>
      <c r="D44" s="108">
        <v>0</v>
      </c>
      <c r="E44" s="108">
        <v>0</v>
      </c>
      <c r="F44" s="108">
        <v>0</v>
      </c>
      <c r="G44" s="108">
        <v>0</v>
      </c>
      <c r="H44" s="108">
        <v>0</v>
      </c>
      <c r="I44" s="108">
        <v>0</v>
      </c>
      <c r="J44" s="108">
        <v>0</v>
      </c>
      <c r="K44" s="108">
        <v>0</v>
      </c>
      <c r="L44" s="108">
        <v>73.316419669312069</v>
      </c>
      <c r="M44" s="108">
        <v>74958.707469904664</v>
      </c>
      <c r="N44" s="108">
        <v>18.545172283610242</v>
      </c>
      <c r="O44" s="108">
        <v>18960.584142763109</v>
      </c>
      <c r="P44" s="108">
        <v>27.846231031131641</v>
      </c>
      <c r="Q44" s="108">
        <v>28469.986606228988</v>
      </c>
      <c r="R44" s="108">
        <v>18.238433745585059</v>
      </c>
      <c r="S44" s="108">
        <v>18646.974661486165</v>
      </c>
      <c r="T44" s="108">
        <v>0</v>
      </c>
      <c r="U44" s="108">
        <v>0</v>
      </c>
      <c r="V44" s="108">
        <v>15</v>
      </c>
      <c r="W44" s="108">
        <v>15336</v>
      </c>
      <c r="X44" s="108">
        <v>13.061255035100654</v>
      </c>
      <c r="Y44" s="108">
        <v>13353.827147886908</v>
      </c>
      <c r="Z44" s="108">
        <v>6.840355546619743</v>
      </c>
      <c r="AA44" s="108">
        <v>6993.579510864025</v>
      </c>
      <c r="AB44" s="108">
        <v>2.2618689236600306E-15</v>
      </c>
      <c r="AC44" s="108">
        <v>2.3125347875500153E-12</v>
      </c>
      <c r="AD44" s="108">
        <v>27.471372645167236</v>
      </c>
      <c r="AE44" s="108">
        <v>28086.73139241898</v>
      </c>
      <c r="AF44" s="108">
        <v>27.029482557185059</v>
      </c>
      <c r="AG44" s="108">
        <v>27634.942966466002</v>
      </c>
      <c r="AH44" s="108">
        <v>35.20558783925317</v>
      </c>
      <c r="AI44" s="108">
        <v>35994.193006852438</v>
      </c>
      <c r="AJ44" s="108">
        <v>0</v>
      </c>
      <c r="AK44" s="108">
        <v>0</v>
      </c>
      <c r="AL44" s="108">
        <v>101.21244207934951</v>
      </c>
      <c r="AM44" s="108">
        <v>103479.60078192694</v>
      </c>
      <c r="AN44" s="108">
        <v>22.947316777421641</v>
      </c>
      <c r="AO44" s="108">
        <v>23461.336673235885</v>
      </c>
      <c r="AP44" s="108">
        <v>0</v>
      </c>
      <c r="AQ44" s="108">
        <v>0</v>
      </c>
      <c r="AR44" s="108">
        <v>22.53517379002427</v>
      </c>
      <c r="AS44" s="108">
        <v>23039.961682920813</v>
      </c>
      <c r="AT44" s="108">
        <v>0</v>
      </c>
      <c r="AU44" s="108">
        <v>0</v>
      </c>
      <c r="AV44" s="108">
        <v>19.8345015115957</v>
      </c>
      <c r="AW44" s="108">
        <v>20278.794345455444</v>
      </c>
      <c r="AX44" s="108">
        <v>10.00779647804297</v>
      </c>
      <c r="AY44" s="108">
        <v>10231.971119151132</v>
      </c>
      <c r="AZ44" s="108">
        <v>10.47239238536832</v>
      </c>
      <c r="BA44" s="108">
        <v>10706.97397480057</v>
      </c>
      <c r="BB44" s="108">
        <v>0</v>
      </c>
      <c r="BC44" s="108">
        <v>0</v>
      </c>
      <c r="BD44" s="108">
        <v>17</v>
      </c>
      <c r="BE44" s="108">
        <v>17380.8</v>
      </c>
      <c r="BF44" s="108">
        <v>6.3766453173492446</v>
      </c>
      <c r="BG44" s="108">
        <v>6519.4821724578678</v>
      </c>
      <c r="BH44" s="108">
        <v>63.895986347700948</v>
      </c>
      <c r="BI44" s="108">
        <v>65327.256441889447</v>
      </c>
      <c r="BJ44" s="108">
        <v>30.721251840784053</v>
      </c>
      <c r="BK44" s="108">
        <v>31409.407882017615</v>
      </c>
      <c r="BL44" s="108">
        <v>29.230209692392695</v>
      </c>
      <c r="BM44" s="108">
        <v>29884.96638950229</v>
      </c>
      <c r="BN44" s="108">
        <v>31.023824539269039</v>
      </c>
      <c r="BO44" s="108">
        <v>31718.758208948664</v>
      </c>
      <c r="BP44" s="108">
        <v>11.964102478046977</v>
      </c>
      <c r="BQ44" s="108">
        <v>12232.098373555229</v>
      </c>
      <c r="BR44" s="108">
        <v>12.979212903211447</v>
      </c>
      <c r="BS44" s="108">
        <v>13269.947272243384</v>
      </c>
      <c r="BT44" s="108">
        <v>11.804207111016957</v>
      </c>
      <c r="BU44" s="108">
        <v>12068.621350303736</v>
      </c>
      <c r="BV44" s="108">
        <v>0</v>
      </c>
      <c r="BW44" s="108">
        <v>0</v>
      </c>
      <c r="BX44" s="108">
        <v>5.6270624904021069</v>
      </c>
      <c r="BY44" s="108">
        <v>5753.108690187114</v>
      </c>
      <c r="BZ44" s="108">
        <v>3.825981890449222</v>
      </c>
      <c r="CA44" s="108">
        <v>3911.6838847952845</v>
      </c>
      <c r="CB44" s="108">
        <v>0</v>
      </c>
      <c r="CC44" s="108">
        <v>0</v>
      </c>
      <c r="CD44" s="108">
        <v>5.160905961277777</v>
      </c>
      <c r="CE44" s="108">
        <v>5276.5102548103987</v>
      </c>
      <c r="CF44" s="108">
        <v>0</v>
      </c>
      <c r="CG44" s="108">
        <v>0</v>
      </c>
      <c r="CH44" s="108">
        <v>0</v>
      </c>
      <c r="CI44" s="108">
        <v>0</v>
      </c>
      <c r="CJ44" s="108">
        <v>3.3583615936748807</v>
      </c>
      <c r="CK44" s="108">
        <v>3433.5888933731981</v>
      </c>
      <c r="CL44" s="108">
        <v>2.2576818343210387</v>
      </c>
      <c r="CM44" s="108">
        <v>2308.2539074098299</v>
      </c>
      <c r="CN44" s="108">
        <v>6.2441635800011772</v>
      </c>
      <c r="CO44" s="108">
        <v>6384.0328441932033</v>
      </c>
      <c r="CP44" s="108">
        <v>0</v>
      </c>
      <c r="CQ44" s="108">
        <v>0</v>
      </c>
      <c r="CR44" s="108">
        <v>0</v>
      </c>
      <c r="CS44" s="108">
        <v>0</v>
      </c>
      <c r="CT44" s="108">
        <v>7.0024212644131651</v>
      </c>
      <c r="CU44" s="108">
        <v>7159.2755007360201</v>
      </c>
    </row>
    <row r="45" spans="2:99" x14ac:dyDescent="0.2">
      <c r="C45" s="107" t="s">
        <v>210</v>
      </c>
      <c r="D45" s="108">
        <v>0</v>
      </c>
      <c r="E45" s="108">
        <v>0</v>
      </c>
      <c r="F45" s="108">
        <v>0</v>
      </c>
      <c r="G45" s="108">
        <v>0</v>
      </c>
      <c r="H45" s="108">
        <v>0</v>
      </c>
      <c r="I45" s="108">
        <v>0</v>
      </c>
      <c r="J45" s="108">
        <v>0</v>
      </c>
      <c r="K45" s="108">
        <v>0</v>
      </c>
      <c r="L45" s="108">
        <v>73.316419669312069</v>
      </c>
      <c r="M45" s="108">
        <v>91586.87145090464</v>
      </c>
      <c r="N45" s="108">
        <v>18.561289240542919</v>
      </c>
      <c r="O45" s="108">
        <v>23186.762519286214</v>
      </c>
      <c r="P45" s="108">
        <v>27.403504037894329</v>
      </c>
      <c r="Q45" s="108">
        <v>34232.4572441376</v>
      </c>
      <c r="R45" s="108">
        <v>16.355676441748443</v>
      </c>
      <c r="S45" s="108">
        <v>20431.511011032155</v>
      </c>
      <c r="T45" s="108">
        <v>0</v>
      </c>
      <c r="U45" s="108">
        <v>0</v>
      </c>
      <c r="V45" s="108">
        <v>17</v>
      </c>
      <c r="W45" s="108">
        <v>21236.400000000001</v>
      </c>
      <c r="X45" s="108">
        <v>13.144824619485549</v>
      </c>
      <c r="Y45" s="108">
        <v>16420.514914661348</v>
      </c>
      <c r="Z45" s="108">
        <v>7.3341838552394858</v>
      </c>
      <c r="AA45" s="108">
        <v>9161.8624719651652</v>
      </c>
      <c r="AB45" s="108">
        <v>2.0105501543644714E-15</v>
      </c>
      <c r="AC45" s="108">
        <v>2.5115792528320976E-12</v>
      </c>
      <c r="AD45" s="108">
        <v>29.71088671950152</v>
      </c>
      <c r="AE45" s="108">
        <v>37114.839690001303</v>
      </c>
      <c r="AF45" s="108">
        <v>27.192673499192999</v>
      </c>
      <c r="AG45" s="108">
        <v>33969.087735191897</v>
      </c>
      <c r="AH45" s="108">
        <v>33.36566558547969</v>
      </c>
      <c r="AI45" s="108">
        <v>41680.389449381233</v>
      </c>
      <c r="AJ45" s="108">
        <v>0</v>
      </c>
      <c r="AK45" s="108">
        <v>0</v>
      </c>
      <c r="AL45" s="108">
        <v>86.452294276111047</v>
      </c>
      <c r="AM45" s="108">
        <v>107996.20600971792</v>
      </c>
      <c r="AN45" s="108">
        <v>21.035040379303165</v>
      </c>
      <c r="AO45" s="108">
        <v>26276.972441825514</v>
      </c>
      <c r="AP45" s="108">
        <v>0</v>
      </c>
      <c r="AQ45" s="108">
        <v>0</v>
      </c>
      <c r="AR45" s="108">
        <v>21.808232700023488</v>
      </c>
      <c r="AS45" s="108">
        <v>27242.844288869343</v>
      </c>
      <c r="AT45" s="108">
        <v>0</v>
      </c>
      <c r="AU45" s="108">
        <v>0</v>
      </c>
      <c r="AV45" s="108">
        <v>17.189901310049606</v>
      </c>
      <c r="AW45" s="108">
        <v>21473.624716513968</v>
      </c>
      <c r="AX45" s="108">
        <v>9.9569150011505183</v>
      </c>
      <c r="AY45" s="108">
        <v>12438.178219437228</v>
      </c>
      <c r="AZ45" s="108">
        <v>10.415027618446548</v>
      </c>
      <c r="BA45" s="108">
        <v>13010.452500963427</v>
      </c>
      <c r="BB45" s="108">
        <v>0</v>
      </c>
      <c r="BC45" s="108">
        <v>0</v>
      </c>
      <c r="BD45" s="108">
        <v>17</v>
      </c>
      <c r="BE45" s="108">
        <v>21236.400000000001</v>
      </c>
      <c r="BF45" s="108">
        <v>6.7517421007227298</v>
      </c>
      <c r="BG45" s="108">
        <v>8434.2762322228336</v>
      </c>
      <c r="BH45" s="108">
        <v>55.464018384520017</v>
      </c>
      <c r="BI45" s="108">
        <v>69285.651765942413</v>
      </c>
      <c r="BJ45" s="108">
        <v>25.943855909638433</v>
      </c>
      <c r="BK45" s="108">
        <v>32409.064802320332</v>
      </c>
      <c r="BL45" s="108">
        <v>25.740745593829509</v>
      </c>
      <c r="BM45" s="108">
        <v>32155.339395811825</v>
      </c>
      <c r="BN45" s="108">
        <v>26.240210343478154</v>
      </c>
      <c r="BO45" s="108">
        <v>32779.270761072912</v>
      </c>
      <c r="BP45" s="108">
        <v>11.981374227293513</v>
      </c>
      <c r="BQ45" s="108">
        <v>14967.132684735057</v>
      </c>
      <c r="BR45" s="108">
        <v>12.04118111152177</v>
      </c>
      <c r="BS45" s="108">
        <v>15041.843444512995</v>
      </c>
      <c r="BT45" s="108">
        <v>11.458623347001467</v>
      </c>
      <c r="BU45" s="108">
        <v>14314.112285074232</v>
      </c>
      <c r="BV45" s="108">
        <v>0</v>
      </c>
      <c r="BW45" s="108">
        <v>0</v>
      </c>
      <c r="BX45" s="108">
        <v>4.5552410636588485</v>
      </c>
      <c r="BY45" s="108">
        <v>5690.4071367226334</v>
      </c>
      <c r="BZ45" s="108">
        <v>3.6340845663025196</v>
      </c>
      <c r="CA45" s="108">
        <v>4539.6984402251073</v>
      </c>
      <c r="CB45" s="108">
        <v>0</v>
      </c>
      <c r="CC45" s="108">
        <v>0</v>
      </c>
      <c r="CD45" s="108">
        <v>5.6300792304848475</v>
      </c>
      <c r="CE45" s="108">
        <v>7033.0949747216719</v>
      </c>
      <c r="CF45" s="108">
        <v>0</v>
      </c>
      <c r="CG45" s="108">
        <v>0</v>
      </c>
      <c r="CH45" s="108">
        <v>0</v>
      </c>
      <c r="CI45" s="108">
        <v>0</v>
      </c>
      <c r="CJ45" s="108">
        <v>2.8416905792633607</v>
      </c>
      <c r="CK45" s="108">
        <v>3549.8398716157903</v>
      </c>
      <c r="CL45" s="108">
        <v>2.4165495513080786</v>
      </c>
      <c r="CM45" s="108">
        <v>3018.7536994940519</v>
      </c>
      <c r="CN45" s="108">
        <v>6.1888093028433175</v>
      </c>
      <c r="CO45" s="108">
        <v>7731.0605811118721</v>
      </c>
      <c r="CP45" s="108">
        <v>0</v>
      </c>
      <c r="CQ45" s="108">
        <v>0</v>
      </c>
      <c r="CR45" s="108">
        <v>0</v>
      </c>
      <c r="CS45" s="108">
        <v>0</v>
      </c>
      <c r="CT45" s="108">
        <v>6.5022483169550815</v>
      </c>
      <c r="CU45" s="108">
        <v>8122.6085975402884</v>
      </c>
    </row>
    <row r="46" spans="2:99" x14ac:dyDescent="0.2">
      <c r="C46" s="107" t="s">
        <v>211</v>
      </c>
      <c r="D46" s="108">
        <v>0</v>
      </c>
      <c r="E46" s="108">
        <v>0</v>
      </c>
      <c r="F46" s="108">
        <v>0</v>
      </c>
      <c r="G46" s="108">
        <v>0</v>
      </c>
      <c r="H46" s="108">
        <v>0</v>
      </c>
      <c r="I46" s="108">
        <v>0</v>
      </c>
      <c r="J46" s="108">
        <v>0</v>
      </c>
      <c r="K46" s="108">
        <v>0</v>
      </c>
      <c r="L46" s="108">
        <v>67.091440640785578</v>
      </c>
      <c r="M46" s="108">
        <v>81314.826056632126</v>
      </c>
      <c r="N46" s="108">
        <v>19.968790243287714</v>
      </c>
      <c r="O46" s="108">
        <v>24202.17377486471</v>
      </c>
      <c r="P46" s="108">
        <v>26.131744047140526</v>
      </c>
      <c r="Q46" s="108">
        <v>31671.673785134317</v>
      </c>
      <c r="R46" s="108">
        <v>16.10677238042182</v>
      </c>
      <c r="S46" s="108">
        <v>19521.408125071244</v>
      </c>
      <c r="T46" s="108">
        <v>0</v>
      </c>
      <c r="U46" s="108">
        <v>0</v>
      </c>
      <c r="V46" s="108">
        <v>15</v>
      </c>
      <c r="W46" s="108">
        <v>18180</v>
      </c>
      <c r="X46" s="108">
        <v>13.14893075661305</v>
      </c>
      <c r="Y46" s="108">
        <v>15936.504077015015</v>
      </c>
      <c r="Z46" s="108">
        <v>6.7449998432693636</v>
      </c>
      <c r="AA46" s="108">
        <v>8174.9398100424687</v>
      </c>
      <c r="AB46" s="108">
        <v>2.0663987697634845E-15</v>
      </c>
      <c r="AC46" s="108">
        <v>2.5044753089533431E-12</v>
      </c>
      <c r="AD46" s="108">
        <v>27.172770768589327</v>
      </c>
      <c r="AE46" s="108">
        <v>32933.398171530265</v>
      </c>
      <c r="AF46" s="108">
        <v>22.820051330187418</v>
      </c>
      <c r="AG46" s="108">
        <v>27657.902212187149</v>
      </c>
      <c r="AH46" s="108">
        <v>30.290995891236527</v>
      </c>
      <c r="AI46" s="108">
        <v>36712.687020178673</v>
      </c>
      <c r="AJ46" s="108">
        <v>0</v>
      </c>
      <c r="AK46" s="108">
        <v>0</v>
      </c>
      <c r="AL46" s="108">
        <v>93.305220041900341</v>
      </c>
      <c r="AM46" s="108">
        <v>113085.92669078322</v>
      </c>
      <c r="AN46" s="108">
        <v>21.754863588161712</v>
      </c>
      <c r="AO46" s="108">
        <v>26366.894668851994</v>
      </c>
      <c r="AP46" s="108">
        <v>0</v>
      </c>
      <c r="AQ46" s="108">
        <v>0</v>
      </c>
      <c r="AR46" s="108">
        <v>23.989055970025838</v>
      </c>
      <c r="AS46" s="108">
        <v>29074.735835671316</v>
      </c>
      <c r="AT46" s="108">
        <v>0</v>
      </c>
      <c r="AU46" s="108">
        <v>0</v>
      </c>
      <c r="AV46" s="108">
        <v>18.952968111080338</v>
      </c>
      <c r="AW46" s="108">
        <v>22970.997350629368</v>
      </c>
      <c r="AX46" s="108">
        <v>8.528787624336589</v>
      </c>
      <c r="AY46" s="108">
        <v>10336.890600695946</v>
      </c>
      <c r="AZ46" s="108">
        <v>11.056833803626073</v>
      </c>
      <c r="BA46" s="108">
        <v>13400.882569994801</v>
      </c>
      <c r="BB46" s="108">
        <v>0</v>
      </c>
      <c r="BC46" s="108">
        <v>0</v>
      </c>
      <c r="BD46" s="108">
        <v>17</v>
      </c>
      <c r="BE46" s="108">
        <v>20604</v>
      </c>
      <c r="BF46" s="108">
        <v>5.6264517506022749</v>
      </c>
      <c r="BG46" s="108">
        <v>6819.2595217299568</v>
      </c>
      <c r="BH46" s="108">
        <v>56.083898248542184</v>
      </c>
      <c r="BI46" s="108">
        <v>67973.684677233134</v>
      </c>
      <c r="BJ46" s="108">
        <v>28.386505164331805</v>
      </c>
      <c r="BK46" s="108">
        <v>34404.444259170145</v>
      </c>
      <c r="BL46" s="108">
        <v>27.514826673037451</v>
      </c>
      <c r="BM46" s="108">
        <v>33347.969927721388</v>
      </c>
      <c r="BN46" s="108">
        <v>25.726008003152526</v>
      </c>
      <c r="BO46" s="108">
        <v>31179.921699820861</v>
      </c>
      <c r="BP46" s="108">
        <v>10.29357700999495</v>
      </c>
      <c r="BQ46" s="108">
        <v>12475.815336113879</v>
      </c>
      <c r="BR46" s="108">
        <v>13.09553187293921</v>
      </c>
      <c r="BS46" s="108">
        <v>15871.784630002323</v>
      </c>
      <c r="BT46" s="108">
        <v>11.482790873643808</v>
      </c>
      <c r="BU46" s="108">
        <v>13917.142538856295</v>
      </c>
      <c r="BV46" s="108">
        <v>0</v>
      </c>
      <c r="BW46" s="108">
        <v>0</v>
      </c>
      <c r="BX46" s="108">
        <v>5.0911517770304773</v>
      </c>
      <c r="BY46" s="108">
        <v>6170.4759537609389</v>
      </c>
      <c r="BZ46" s="108">
        <v>3.109358073020295</v>
      </c>
      <c r="CA46" s="108">
        <v>3768.5419845005977</v>
      </c>
      <c r="CB46" s="108">
        <v>0</v>
      </c>
      <c r="CC46" s="108">
        <v>0</v>
      </c>
      <c r="CD46" s="108">
        <v>4.9263193266742409</v>
      </c>
      <c r="CE46" s="108">
        <v>5970.6990239291799</v>
      </c>
      <c r="CF46" s="108">
        <v>0</v>
      </c>
      <c r="CG46" s="108">
        <v>0</v>
      </c>
      <c r="CH46" s="108">
        <v>0</v>
      </c>
      <c r="CI46" s="108">
        <v>0</v>
      </c>
      <c r="CJ46" s="108">
        <v>2.5833550720576008</v>
      </c>
      <c r="CK46" s="108">
        <v>3131.0263473338123</v>
      </c>
      <c r="CL46" s="108">
        <v>2.3764414979868707</v>
      </c>
      <c r="CM46" s="108">
        <v>2880.247095560087</v>
      </c>
      <c r="CN46" s="108">
        <v>6.1870229270843797</v>
      </c>
      <c r="CO46" s="108">
        <v>7498.6717876262683</v>
      </c>
      <c r="CP46" s="108">
        <v>0</v>
      </c>
      <c r="CQ46" s="108">
        <v>0</v>
      </c>
      <c r="CR46" s="108">
        <v>0</v>
      </c>
      <c r="CS46" s="108">
        <v>0</v>
      </c>
      <c r="CT46" s="108">
        <v>7.5025942118712488</v>
      </c>
      <c r="CU46" s="108">
        <v>9093.1441847879541</v>
      </c>
    </row>
    <row r="47" spans="2:99" x14ac:dyDescent="0.2">
      <c r="C47" s="107" t="s">
        <v>212</v>
      </c>
      <c r="D47" s="108">
        <v>0</v>
      </c>
      <c r="E47" s="108">
        <v>0</v>
      </c>
      <c r="F47" s="108">
        <v>0</v>
      </c>
      <c r="G47" s="108">
        <v>0</v>
      </c>
      <c r="H47" s="108">
        <v>0</v>
      </c>
      <c r="I47" s="108">
        <v>0</v>
      </c>
      <c r="J47" s="108">
        <v>0</v>
      </c>
      <c r="K47" s="108">
        <v>0</v>
      </c>
      <c r="L47" s="108">
        <v>66.399776304282625</v>
      </c>
      <c r="M47" s="108">
        <v>101432.29828242213</v>
      </c>
      <c r="N47" s="108">
        <v>16.738521951645524</v>
      </c>
      <c r="O47" s="108">
        <v>25569.766133333702</v>
      </c>
      <c r="P47" s="108">
        <v>25.664290956539805</v>
      </c>
      <c r="Q47" s="108">
        <v>39204.770865210201</v>
      </c>
      <c r="R47" s="108">
        <v>15.031665776279794</v>
      </c>
      <c r="S47" s="108">
        <v>22962.372639845013</v>
      </c>
      <c r="T47" s="108">
        <v>0</v>
      </c>
      <c r="U47" s="108">
        <v>0</v>
      </c>
      <c r="V47" s="108">
        <v>15</v>
      </c>
      <c r="W47" s="108">
        <v>22914</v>
      </c>
      <c r="X47" s="108">
        <v>11.158356059461058</v>
      </c>
      <c r="Y47" s="108">
        <v>17045.504716432712</v>
      </c>
      <c r="Z47" s="108">
        <v>5.6693046609831166</v>
      </c>
      <c r="AA47" s="108">
        <v>8660.4298001178086</v>
      </c>
      <c r="AB47" s="108">
        <v>1.6614963081206396E-15</v>
      </c>
      <c r="AC47" s="108">
        <v>2.5381017602850891E-12</v>
      </c>
      <c r="AD47" s="108">
        <v>23.888150126232379</v>
      </c>
      <c r="AE47" s="108">
        <v>36491.538132832582</v>
      </c>
      <c r="AF47" s="108">
        <v>21.830873998486563</v>
      </c>
      <c r="AG47" s="108">
        <v>33348.843120088073</v>
      </c>
      <c r="AH47" s="108">
        <v>30.017976884111214</v>
      </c>
      <c r="AI47" s="108">
        <v>45855.461488168286</v>
      </c>
      <c r="AJ47" s="108">
        <v>0</v>
      </c>
      <c r="AK47" s="108">
        <v>0</v>
      </c>
      <c r="AL47" s="108">
        <v>78.545072238661874</v>
      </c>
      <c r="AM47" s="108">
        <v>119985.45235177987</v>
      </c>
      <c r="AN47" s="108">
        <v>21.496792121448085</v>
      </c>
      <c r="AO47" s="108">
        <v>32838.499644724092</v>
      </c>
      <c r="AP47" s="108">
        <v>0</v>
      </c>
      <c r="AQ47" s="108">
        <v>0</v>
      </c>
      <c r="AR47" s="108">
        <v>19.26393888502075</v>
      </c>
      <c r="AS47" s="108">
        <v>29427.593040757696</v>
      </c>
      <c r="AT47" s="108">
        <v>0</v>
      </c>
      <c r="AU47" s="108">
        <v>0</v>
      </c>
      <c r="AV47" s="108">
        <v>15.42683450901888</v>
      </c>
      <c r="AW47" s="108">
        <v>23566.03239597724</v>
      </c>
      <c r="AX47" s="108">
        <v>8.7375528027532035</v>
      </c>
      <c r="AY47" s="108">
        <v>13347.485661485793</v>
      </c>
      <c r="AZ47" s="108">
        <v>11.080782492738541</v>
      </c>
      <c r="BA47" s="108">
        <v>16927.003335907393</v>
      </c>
      <c r="BB47" s="108">
        <v>0</v>
      </c>
      <c r="BC47" s="108">
        <v>0</v>
      </c>
      <c r="BD47" s="108">
        <v>15</v>
      </c>
      <c r="BE47" s="108">
        <v>22914</v>
      </c>
      <c r="BF47" s="108">
        <v>6.3766453173492446</v>
      </c>
      <c r="BG47" s="108">
        <v>9740.9633867827051</v>
      </c>
      <c r="BH47" s="108">
        <v>53.172796207086947</v>
      </c>
      <c r="BI47" s="108">
        <v>81226.763485946009</v>
      </c>
      <c r="BJ47" s="108">
        <v>24.992768246989488</v>
      </c>
      <c r="BK47" s="108">
        <v>38178.952774101141</v>
      </c>
      <c r="BL47" s="108">
        <v>23.006694836519269</v>
      </c>
      <c r="BM47" s="108">
        <v>35145.027032266837</v>
      </c>
      <c r="BN47" s="108">
        <v>23.144591203358846</v>
      </c>
      <c r="BO47" s="108">
        <v>35355.677522250975</v>
      </c>
      <c r="BP47" s="108">
        <v>10.689695774442226</v>
      </c>
      <c r="BQ47" s="108">
        <v>16329.579265037944</v>
      </c>
      <c r="BR47" s="108">
        <v>13.113905504651594</v>
      </c>
      <c r="BS47" s="108">
        <v>20032.802048905774</v>
      </c>
      <c r="BT47" s="108">
        <v>10.311915742217337</v>
      </c>
      <c r="BU47" s="108">
        <v>15752.482487811203</v>
      </c>
      <c r="BV47" s="108">
        <v>0</v>
      </c>
      <c r="BW47" s="108">
        <v>0</v>
      </c>
      <c r="BX47" s="108">
        <v>4.2872857069730337</v>
      </c>
      <c r="BY47" s="108">
        <v>6549.2576459720058</v>
      </c>
      <c r="BZ47" s="108">
        <v>3.1178523195466088</v>
      </c>
      <c r="CA47" s="108">
        <v>4762.8312033393995</v>
      </c>
      <c r="CB47" s="108">
        <v>0</v>
      </c>
      <c r="CC47" s="108">
        <v>0</v>
      </c>
      <c r="CD47" s="108">
        <v>4.9263193266742409</v>
      </c>
      <c r="CE47" s="108">
        <v>7525.4454034275695</v>
      </c>
      <c r="CF47" s="108">
        <v>0</v>
      </c>
      <c r="CG47" s="108">
        <v>0</v>
      </c>
      <c r="CH47" s="108">
        <v>0</v>
      </c>
      <c r="CI47" s="108">
        <v>0</v>
      </c>
      <c r="CJ47" s="108">
        <v>2.8416905792633607</v>
      </c>
      <c r="CK47" s="108">
        <v>4340.9665288827091</v>
      </c>
      <c r="CL47" s="108">
        <v>2.3662085519085374</v>
      </c>
      <c r="CM47" s="108">
        <v>3614.6201838954817</v>
      </c>
      <c r="CN47" s="108">
        <v>5.8977246005238086</v>
      </c>
      <c r="CO47" s="108">
        <v>9009.3640997601688</v>
      </c>
      <c r="CP47" s="108">
        <v>0</v>
      </c>
      <c r="CQ47" s="108">
        <v>0</v>
      </c>
      <c r="CR47" s="108">
        <v>0</v>
      </c>
      <c r="CS47" s="108">
        <v>0</v>
      </c>
      <c r="CT47" s="108">
        <v>6.5022483169550815</v>
      </c>
      <c r="CU47" s="108">
        <v>9932.834528980582</v>
      </c>
    </row>
    <row r="48" spans="2:99" x14ac:dyDescent="0.2">
      <c r="C48" s="107" t="s">
        <v>213</v>
      </c>
      <c r="D48" s="108">
        <v>0</v>
      </c>
      <c r="E48" s="108">
        <v>0</v>
      </c>
      <c r="F48" s="108">
        <v>0</v>
      </c>
      <c r="G48" s="108">
        <v>0</v>
      </c>
      <c r="H48" s="108">
        <v>0</v>
      </c>
      <c r="I48" s="108">
        <v>0</v>
      </c>
      <c r="J48" s="108">
        <v>0</v>
      </c>
      <c r="K48" s="108">
        <v>0</v>
      </c>
      <c r="L48" s="108">
        <v>79.887230866090022</v>
      </c>
      <c r="M48" s="108">
        <v>69310.161499419701</v>
      </c>
      <c r="N48" s="108">
        <v>22.778419929799735</v>
      </c>
      <c r="O48" s="108">
        <v>19762.557131094251</v>
      </c>
      <c r="P48" s="108">
        <v>30.145926054212143</v>
      </c>
      <c r="Q48" s="108">
        <v>26154.605444634457</v>
      </c>
      <c r="R48" s="108">
        <v>20.758017413554636</v>
      </c>
      <c r="S48" s="108">
        <v>18009.655908000004</v>
      </c>
      <c r="T48" s="108">
        <v>0</v>
      </c>
      <c r="U48" s="108">
        <v>0</v>
      </c>
      <c r="V48" s="108">
        <v>15</v>
      </c>
      <c r="W48" s="108">
        <v>13014</v>
      </c>
      <c r="X48" s="108">
        <v>11.813668684256724</v>
      </c>
      <c r="Y48" s="108">
        <v>10249.538950461134</v>
      </c>
      <c r="Z48" s="108">
        <v>7.3366229013406929</v>
      </c>
      <c r="AA48" s="108">
        <v>6365.2540292031854</v>
      </c>
      <c r="AB48" s="108">
        <v>2.2758310775097838E-15</v>
      </c>
      <c r="AC48" s="108">
        <v>1.9745110428474884E-12</v>
      </c>
      <c r="AD48" s="108">
        <v>31.50249797896895</v>
      </c>
      <c r="AE48" s="108">
        <v>27331.567246553463</v>
      </c>
      <c r="AF48" s="108">
        <v>30.623121507608939</v>
      </c>
      <c r="AG48" s="108">
        <v>26568.620220001518</v>
      </c>
      <c r="AH48" s="108">
        <v>34.151668380854041</v>
      </c>
      <c r="AI48" s="108">
        <v>29629.987487228966</v>
      </c>
      <c r="AJ48" s="108">
        <v>0</v>
      </c>
      <c r="AK48" s="108">
        <v>0</v>
      </c>
      <c r="AL48" s="108">
        <v>100.15814580768964</v>
      </c>
      <c r="AM48" s="108">
        <v>86897.207302751529</v>
      </c>
      <c r="AN48" s="108">
        <v>27.211864839290559</v>
      </c>
      <c r="AO48" s="108">
        <v>23609.013934568491</v>
      </c>
      <c r="AP48" s="108">
        <v>0</v>
      </c>
      <c r="AQ48" s="108">
        <v>0</v>
      </c>
      <c r="AR48" s="108">
        <v>25.806408695027795</v>
      </c>
      <c r="AS48" s="108">
        <v>22389.640183806114</v>
      </c>
      <c r="AT48" s="108">
        <v>0</v>
      </c>
      <c r="AU48" s="108">
        <v>0</v>
      </c>
      <c r="AV48" s="108">
        <v>19.8345015115957</v>
      </c>
      <c r="AW48" s="108">
        <v>17208.413511460429</v>
      </c>
      <c r="AX48" s="108">
        <v>9.923578869890731</v>
      </c>
      <c r="AY48" s="108">
        <v>8609.6970275171989</v>
      </c>
      <c r="AZ48" s="108">
        <v>10.413571097108571</v>
      </c>
      <c r="BA48" s="108">
        <v>9034.8142838513959</v>
      </c>
      <c r="BB48" s="108">
        <v>0</v>
      </c>
      <c r="BC48" s="108">
        <v>0</v>
      </c>
      <c r="BD48" s="108">
        <v>17</v>
      </c>
      <c r="BE48" s="108">
        <v>14749.2</v>
      </c>
      <c r="BF48" s="108">
        <v>6.3766453173492446</v>
      </c>
      <c r="BG48" s="108">
        <v>5532.3774773322048</v>
      </c>
      <c r="BH48" s="108">
        <v>63.294362060619093</v>
      </c>
      <c r="BI48" s="108">
        <v>54914.188523793127</v>
      </c>
      <c r="BJ48" s="108">
        <v>32.127829510678083</v>
      </c>
      <c r="BK48" s="108">
        <v>27874.104883464304</v>
      </c>
      <c r="BL48" s="108">
        <v>31.327427084411365</v>
      </c>
      <c r="BM48" s="108">
        <v>27179.6757384353</v>
      </c>
      <c r="BN48" s="108">
        <v>28.141226571920431</v>
      </c>
      <c r="BO48" s="108">
        <v>24415.328173798167</v>
      </c>
      <c r="BP48" s="108">
        <v>10.922156919214309</v>
      </c>
      <c r="BQ48" s="108">
        <v>9476.0633431103342</v>
      </c>
      <c r="BR48" s="108">
        <v>15.410536946465824</v>
      </c>
      <c r="BS48" s="108">
        <v>13370.18185475375</v>
      </c>
      <c r="BT48" s="108">
        <v>12.115956337733172</v>
      </c>
      <c r="BU48" s="108">
        <v>10511.803718617301</v>
      </c>
      <c r="BV48" s="108">
        <v>0</v>
      </c>
      <c r="BW48" s="108">
        <v>0</v>
      </c>
      <c r="BX48" s="108">
        <v>5.8950178470879218</v>
      </c>
      <c r="BY48" s="108">
        <v>5114.517484133481</v>
      </c>
      <c r="BZ48" s="108">
        <v>4.009384968069611</v>
      </c>
      <c r="CA48" s="108">
        <v>3478.5423982971947</v>
      </c>
      <c r="CB48" s="108">
        <v>0</v>
      </c>
      <c r="CC48" s="108">
        <v>0</v>
      </c>
      <c r="CD48" s="108">
        <v>5.3954925958813122</v>
      </c>
      <c r="CE48" s="108">
        <v>4681.1293761866264</v>
      </c>
      <c r="CF48" s="108">
        <v>0</v>
      </c>
      <c r="CG48" s="108">
        <v>0</v>
      </c>
      <c r="CH48" s="108">
        <v>0</v>
      </c>
      <c r="CI48" s="108">
        <v>0</v>
      </c>
      <c r="CJ48" s="108">
        <v>3.1000260864691209</v>
      </c>
      <c r="CK48" s="108">
        <v>2689.5826326206093</v>
      </c>
      <c r="CL48" s="108">
        <v>2.5518819109790076</v>
      </c>
      <c r="CM48" s="108">
        <v>2214.0127459653872</v>
      </c>
      <c r="CN48" s="108">
        <v>6.5041770297997763</v>
      </c>
      <c r="CO48" s="108">
        <v>5643.0239910542859</v>
      </c>
      <c r="CP48" s="108">
        <v>0</v>
      </c>
      <c r="CQ48" s="108">
        <v>0</v>
      </c>
      <c r="CR48" s="108">
        <v>0</v>
      </c>
      <c r="CS48" s="108">
        <v>0</v>
      </c>
      <c r="CT48" s="108">
        <v>7.5025942118712488</v>
      </c>
      <c r="CU48" s="108">
        <v>6509.2507382194954</v>
      </c>
    </row>
    <row r="49" spans="2:99" x14ac:dyDescent="0.2">
      <c r="B49" s="107" t="s">
        <v>129</v>
      </c>
      <c r="C49" s="107" t="s">
        <v>214</v>
      </c>
      <c r="D49" s="108">
        <v>0</v>
      </c>
      <c r="E49" s="108">
        <v>0</v>
      </c>
      <c r="F49" s="108">
        <v>0</v>
      </c>
      <c r="G49" s="108">
        <v>0</v>
      </c>
      <c r="H49" s="108">
        <v>8.6577117828645225</v>
      </c>
      <c r="I49" s="108">
        <v>8529.5776484781272</v>
      </c>
      <c r="J49" s="108">
        <v>0</v>
      </c>
      <c r="K49" s="108">
        <v>0</v>
      </c>
      <c r="L49" s="108">
        <v>69.435049226020737</v>
      </c>
      <c r="M49" s="108">
        <v>68407.410497475619</v>
      </c>
      <c r="N49" s="108">
        <v>24.734889967131501</v>
      </c>
      <c r="O49" s="108">
        <v>24368.813595617954</v>
      </c>
      <c r="P49" s="108">
        <v>0</v>
      </c>
      <c r="Q49" s="108">
        <v>0</v>
      </c>
      <c r="R49" s="108">
        <v>27.812485362755567</v>
      </c>
      <c r="S49" s="108">
        <v>27400.860579386783</v>
      </c>
      <c r="T49" s="108">
        <v>6.2513450713370684</v>
      </c>
      <c r="U49" s="108">
        <v>6158.8251642812793</v>
      </c>
      <c r="V49" s="108">
        <v>12.462531011530453</v>
      </c>
      <c r="W49" s="108">
        <v>12278.085552559802</v>
      </c>
      <c r="X49" s="108">
        <v>4.507953189266404</v>
      </c>
      <c r="Y49" s="108">
        <v>4441.2354820652608</v>
      </c>
      <c r="Z49" s="108">
        <v>0</v>
      </c>
      <c r="AA49" s="108">
        <v>0</v>
      </c>
      <c r="AB49" s="108">
        <v>25</v>
      </c>
      <c r="AC49" s="108">
        <v>24630</v>
      </c>
      <c r="AD49" s="108">
        <v>17.160469364528726</v>
      </c>
      <c r="AE49" s="108">
        <v>16906.4944179337</v>
      </c>
      <c r="AF49" s="108">
        <v>6.8041193173318321E-16</v>
      </c>
      <c r="AG49" s="108">
        <v>6.7034183514353207E-13</v>
      </c>
      <c r="AH49" s="108">
        <v>0</v>
      </c>
      <c r="AI49" s="108">
        <v>0</v>
      </c>
      <c r="AJ49" s="108">
        <v>6.9373841893305892</v>
      </c>
      <c r="AK49" s="108">
        <v>6834.710903328496</v>
      </c>
      <c r="AL49" s="108">
        <v>19.985190048769692</v>
      </c>
      <c r="AM49" s="108">
        <v>19689.409236047897</v>
      </c>
      <c r="AN49" s="108">
        <v>9.7257151674523747</v>
      </c>
      <c r="AO49" s="108">
        <v>9581.7745829740797</v>
      </c>
      <c r="AP49" s="108">
        <v>15.018214386091795</v>
      </c>
      <c r="AQ49" s="108">
        <v>14795.944813177635</v>
      </c>
      <c r="AR49" s="108">
        <v>3.3742774921972245</v>
      </c>
      <c r="AS49" s="108">
        <v>3324.3381853127053</v>
      </c>
      <c r="AT49" s="108">
        <v>4.043673509617129</v>
      </c>
      <c r="AU49" s="108">
        <v>3983.8271416747953</v>
      </c>
      <c r="AV49" s="108">
        <v>0</v>
      </c>
      <c r="AW49" s="108">
        <v>0</v>
      </c>
      <c r="AX49" s="108">
        <v>7.0878278015525726</v>
      </c>
      <c r="AY49" s="108">
        <v>6982.9279500895937</v>
      </c>
      <c r="AZ49" s="108">
        <v>0</v>
      </c>
      <c r="BA49" s="108">
        <v>0</v>
      </c>
      <c r="BB49" s="108">
        <v>3.0510124826629683</v>
      </c>
      <c r="BC49" s="108">
        <v>3005.857497919556</v>
      </c>
      <c r="BD49" s="108">
        <v>4.6635722001855342</v>
      </c>
      <c r="BE49" s="108">
        <v>4594.551331622788</v>
      </c>
      <c r="BF49" s="108">
        <v>0</v>
      </c>
      <c r="BG49" s="108">
        <v>0</v>
      </c>
      <c r="BH49" s="108">
        <v>12</v>
      </c>
      <c r="BI49" s="108">
        <v>11822.4</v>
      </c>
      <c r="BJ49" s="108">
        <v>11.600718401215262</v>
      </c>
      <c r="BK49" s="108">
        <v>11429.027768877275</v>
      </c>
      <c r="BL49" s="108">
        <v>14.138130607748993</v>
      </c>
      <c r="BM49" s="108">
        <v>13928.886274754306</v>
      </c>
      <c r="BN49" s="108">
        <v>9.1931888296935771</v>
      </c>
      <c r="BO49" s="108">
        <v>9057.129635014111</v>
      </c>
      <c r="BP49" s="108">
        <v>9.2181772105172772</v>
      </c>
      <c r="BQ49" s="108">
        <v>9081.7481878016206</v>
      </c>
      <c r="BR49" s="108">
        <v>0</v>
      </c>
      <c r="BS49" s="108">
        <v>0</v>
      </c>
      <c r="BT49" s="108">
        <v>0</v>
      </c>
      <c r="BU49" s="108">
        <v>0</v>
      </c>
      <c r="BV49" s="108">
        <v>7</v>
      </c>
      <c r="BW49" s="108">
        <v>6896.4</v>
      </c>
      <c r="BX49" s="108">
        <v>113.89241369078312</v>
      </c>
      <c r="BY49" s="108">
        <v>112206.80596815952</v>
      </c>
      <c r="BZ49" s="108">
        <v>45.207586463202809</v>
      </c>
      <c r="CA49" s="108">
        <v>44538.514183547406</v>
      </c>
      <c r="CB49" s="108">
        <v>90.938654117567509</v>
      </c>
      <c r="CC49" s="108">
        <v>89592.762036627508</v>
      </c>
      <c r="CD49" s="108">
        <v>65.515777756236346</v>
      </c>
      <c r="CE49" s="108">
        <v>64546.144245444048</v>
      </c>
      <c r="CF49" s="108">
        <v>0</v>
      </c>
      <c r="CG49" s="108">
        <v>0</v>
      </c>
      <c r="CH49" s="108">
        <v>23.600599016257757</v>
      </c>
      <c r="CI49" s="108">
        <v>23251.310150817142</v>
      </c>
      <c r="CJ49" s="108">
        <v>53.300063682697441</v>
      </c>
      <c r="CK49" s="108">
        <v>52511.222740193516</v>
      </c>
      <c r="CL49" s="108">
        <v>0</v>
      </c>
      <c r="CM49" s="108">
        <v>0</v>
      </c>
      <c r="CN49" s="108">
        <v>10</v>
      </c>
      <c r="CO49" s="108">
        <v>9852</v>
      </c>
      <c r="CP49" s="108">
        <v>11.624346366882154</v>
      </c>
      <c r="CQ49" s="108">
        <v>11452.306040652298</v>
      </c>
      <c r="CR49" s="108">
        <v>8.5245937266981695</v>
      </c>
      <c r="CS49" s="108">
        <v>8398.4297395430367</v>
      </c>
      <c r="CT49" s="108">
        <v>5.8926617942886592</v>
      </c>
      <c r="CU49" s="108">
        <v>5805.4503997331867</v>
      </c>
    </row>
    <row r="50" spans="2:99" x14ac:dyDescent="0.2">
      <c r="C50" s="107" t="s">
        <v>215</v>
      </c>
      <c r="D50" s="108">
        <v>0</v>
      </c>
      <c r="E50" s="108">
        <v>0</v>
      </c>
      <c r="F50" s="108">
        <v>0</v>
      </c>
      <c r="G50" s="108">
        <v>0</v>
      </c>
      <c r="H50" s="108">
        <v>0</v>
      </c>
      <c r="I50" s="108">
        <v>0</v>
      </c>
      <c r="J50" s="108">
        <v>0</v>
      </c>
      <c r="K50" s="108">
        <v>0</v>
      </c>
      <c r="L50" s="108">
        <v>33.199888152141313</v>
      </c>
      <c r="M50" s="108">
        <v>9362.3684589038494</v>
      </c>
      <c r="N50" s="108">
        <v>8.449845760486177</v>
      </c>
      <c r="O50" s="108">
        <v>2382.8565044571019</v>
      </c>
      <c r="P50" s="108">
        <v>9.0375086616868003</v>
      </c>
      <c r="Q50" s="108">
        <v>2548.5774425956779</v>
      </c>
      <c r="R50" s="108">
        <v>13.015877130551896</v>
      </c>
      <c r="S50" s="108">
        <v>3670.4773508156345</v>
      </c>
      <c r="T50" s="108">
        <v>0</v>
      </c>
      <c r="U50" s="108">
        <v>0</v>
      </c>
      <c r="V50" s="108">
        <v>11</v>
      </c>
      <c r="W50" s="108">
        <v>3102</v>
      </c>
      <c r="X50" s="108">
        <v>8.0808379008594109</v>
      </c>
      <c r="Y50" s="108">
        <v>2278.7962880423538</v>
      </c>
      <c r="Z50" s="108">
        <v>8.5663744077891284</v>
      </c>
      <c r="AA50" s="108">
        <v>2415.717582996534</v>
      </c>
      <c r="AB50" s="108">
        <v>4.0490246164284492E-16</v>
      </c>
      <c r="AC50" s="108">
        <v>1.1418249418328227E-13</v>
      </c>
      <c r="AD50" s="108">
        <v>3.7325234572238086</v>
      </c>
      <c r="AE50" s="108">
        <v>1052.571614937114</v>
      </c>
      <c r="AF50" s="108">
        <v>3.4347152163679455</v>
      </c>
      <c r="AG50" s="108">
        <v>968.58969101576065</v>
      </c>
      <c r="AH50" s="108">
        <v>3.3542458837100209</v>
      </c>
      <c r="AI50" s="108">
        <v>945.89733920622587</v>
      </c>
      <c r="AJ50" s="108">
        <v>0</v>
      </c>
      <c r="AK50" s="108">
        <v>0</v>
      </c>
      <c r="AL50" s="108">
        <v>13.178703395748634</v>
      </c>
      <c r="AM50" s="108">
        <v>3716.3943576011147</v>
      </c>
      <c r="AN50" s="108">
        <v>5.9523100380968099</v>
      </c>
      <c r="AO50" s="108">
        <v>1678.5514307433004</v>
      </c>
      <c r="AP50" s="108">
        <v>0</v>
      </c>
      <c r="AQ50" s="108">
        <v>0</v>
      </c>
      <c r="AR50" s="108">
        <v>3.6347054500039144</v>
      </c>
      <c r="AS50" s="108">
        <v>1024.9869369011039</v>
      </c>
      <c r="AT50" s="108">
        <v>0</v>
      </c>
      <c r="AU50" s="108">
        <v>0</v>
      </c>
      <c r="AV50" s="108">
        <v>4.4076670025768223</v>
      </c>
      <c r="AW50" s="108">
        <v>1242.962094726664</v>
      </c>
      <c r="AX50" s="108">
        <v>2.048564768971453</v>
      </c>
      <c r="AY50" s="108">
        <v>577.69526484994969</v>
      </c>
      <c r="AZ50" s="108">
        <v>17.623725777068774</v>
      </c>
      <c r="BA50" s="108">
        <v>4969.8906691333941</v>
      </c>
      <c r="BB50" s="108">
        <v>0</v>
      </c>
      <c r="BC50" s="108">
        <v>0</v>
      </c>
      <c r="BD50" s="108">
        <v>23</v>
      </c>
      <c r="BE50" s="108">
        <v>6486</v>
      </c>
      <c r="BF50" s="108">
        <v>9.3774195843371242</v>
      </c>
      <c r="BG50" s="108">
        <v>2644.4323227830691</v>
      </c>
      <c r="BH50" s="108">
        <v>4.7309443559882416</v>
      </c>
      <c r="BI50" s="108">
        <v>1334.126308388684</v>
      </c>
      <c r="BJ50" s="108">
        <v>2.1240167227456039</v>
      </c>
      <c r="BK50" s="108">
        <v>598.97271581426025</v>
      </c>
      <c r="BL50" s="108">
        <v>2.5030823772351565</v>
      </c>
      <c r="BM50" s="108">
        <v>705.86923038031409</v>
      </c>
      <c r="BN50" s="108">
        <v>1.6612573819336858</v>
      </c>
      <c r="BO50" s="108">
        <v>468.47458170529939</v>
      </c>
      <c r="BP50" s="108">
        <v>2.4890424714883284</v>
      </c>
      <c r="BQ50" s="108">
        <v>701.90997695970862</v>
      </c>
      <c r="BR50" s="108">
        <v>2.203021799006343</v>
      </c>
      <c r="BS50" s="108">
        <v>621.25214731978872</v>
      </c>
      <c r="BT50" s="108">
        <v>1.9803020458715093</v>
      </c>
      <c r="BU50" s="108">
        <v>558.44517693576563</v>
      </c>
      <c r="BV50" s="108">
        <v>0</v>
      </c>
      <c r="BW50" s="108">
        <v>0</v>
      </c>
      <c r="BX50" s="108">
        <v>59.218133827565026</v>
      </c>
      <c r="BY50" s="108">
        <v>16699.513739373338</v>
      </c>
      <c r="BZ50" s="108">
        <v>27.946412088378917</v>
      </c>
      <c r="CA50" s="108">
        <v>7880.8882089228546</v>
      </c>
      <c r="CB50" s="108">
        <v>0</v>
      </c>
      <c r="CC50" s="108">
        <v>0</v>
      </c>
      <c r="CD50" s="108">
        <v>55.831619035641403</v>
      </c>
      <c r="CE50" s="108">
        <v>15744.516568050876</v>
      </c>
      <c r="CF50" s="108">
        <v>0</v>
      </c>
      <c r="CG50" s="108">
        <v>0</v>
      </c>
      <c r="CH50" s="108">
        <v>0</v>
      </c>
      <c r="CI50" s="108">
        <v>0</v>
      </c>
      <c r="CJ50" s="108">
        <v>16.791807968374403</v>
      </c>
      <c r="CK50" s="108">
        <v>4735.2898470815817</v>
      </c>
      <c r="CL50" s="108">
        <v>7.5839357596868036</v>
      </c>
      <c r="CM50" s="108">
        <v>2138.6698842316787</v>
      </c>
      <c r="CN50" s="108">
        <v>4.0679500266920412</v>
      </c>
      <c r="CO50" s="108">
        <v>1147.1619075271556</v>
      </c>
      <c r="CP50" s="108">
        <v>0</v>
      </c>
      <c r="CQ50" s="108">
        <v>0</v>
      </c>
      <c r="CR50" s="108">
        <v>0</v>
      </c>
      <c r="CS50" s="108">
        <v>0</v>
      </c>
      <c r="CT50" s="108">
        <v>3.5012106322065826</v>
      </c>
      <c r="CU50" s="108">
        <v>987.34139828225625</v>
      </c>
    </row>
    <row r="51" spans="2:99" x14ac:dyDescent="0.2">
      <c r="C51" s="107" t="s">
        <v>216</v>
      </c>
      <c r="D51" s="108">
        <v>0</v>
      </c>
      <c r="E51" s="108">
        <v>0</v>
      </c>
      <c r="F51" s="108">
        <v>0</v>
      </c>
      <c r="G51" s="108">
        <v>0</v>
      </c>
      <c r="H51" s="108">
        <v>0</v>
      </c>
      <c r="I51" s="108">
        <v>0</v>
      </c>
      <c r="J51" s="108">
        <v>0</v>
      </c>
      <c r="K51" s="108">
        <v>0</v>
      </c>
      <c r="L51" s="108">
        <v>29.395734301375114</v>
      </c>
      <c r="M51" s="108">
        <v>25115.715387094897</v>
      </c>
      <c r="N51" s="108">
        <v>8.0345794743335688</v>
      </c>
      <c r="O51" s="108">
        <v>6864.744702870601</v>
      </c>
      <c r="P51" s="108">
        <v>7.3079314638351835</v>
      </c>
      <c r="Q51" s="108">
        <v>6243.8966427007808</v>
      </c>
      <c r="R51" s="108">
        <v>11.736173591619558</v>
      </c>
      <c r="S51" s="108">
        <v>10027.38671667975</v>
      </c>
      <c r="T51" s="108">
        <v>0</v>
      </c>
      <c r="U51" s="108">
        <v>0</v>
      </c>
      <c r="V51" s="108">
        <v>10</v>
      </c>
      <c r="W51" s="108">
        <v>8544</v>
      </c>
      <c r="X51" s="108">
        <v>7.5008825861936437</v>
      </c>
      <c r="Y51" s="108">
        <v>6408.7540816438486</v>
      </c>
      <c r="Z51" s="108">
        <v>7.336669963021885</v>
      </c>
      <c r="AA51" s="108">
        <v>6268.450816405898</v>
      </c>
      <c r="AB51" s="108">
        <v>3.909403077930917E-16</v>
      </c>
      <c r="AC51" s="108">
        <v>3.3401939897841754E-13</v>
      </c>
      <c r="AD51" s="108">
        <v>3.5832225189348565</v>
      </c>
      <c r="AE51" s="108">
        <v>3061.5053201779415</v>
      </c>
      <c r="AF51" s="108">
        <v>3.2720154495384599</v>
      </c>
      <c r="AG51" s="108">
        <v>2795.61000008566</v>
      </c>
      <c r="AH51" s="108">
        <v>2.7439687263056758</v>
      </c>
      <c r="AI51" s="108">
        <v>2344.4468797555692</v>
      </c>
      <c r="AJ51" s="108">
        <v>0</v>
      </c>
      <c r="AK51" s="108">
        <v>0</v>
      </c>
      <c r="AL51" s="108">
        <v>12.124407124088744</v>
      </c>
      <c r="AM51" s="108">
        <v>10359.093446821424</v>
      </c>
      <c r="AN51" s="108">
        <v>5.456128011829902</v>
      </c>
      <c r="AO51" s="108">
        <v>4661.7157733074682</v>
      </c>
      <c r="AP51" s="108">
        <v>0</v>
      </c>
      <c r="AQ51" s="108">
        <v>0</v>
      </c>
      <c r="AR51" s="108">
        <v>2.907764360003132</v>
      </c>
      <c r="AS51" s="108">
        <v>2484.3938691866761</v>
      </c>
      <c r="AT51" s="108">
        <v>0</v>
      </c>
      <c r="AU51" s="108">
        <v>0</v>
      </c>
      <c r="AV51" s="108">
        <v>3.9669003023191407</v>
      </c>
      <c r="AW51" s="108">
        <v>3389.3196183014738</v>
      </c>
      <c r="AX51" s="108">
        <v>2.4345002122838899</v>
      </c>
      <c r="AY51" s="108">
        <v>2080.0369813753555</v>
      </c>
      <c r="AZ51" s="108">
        <v>14.510141598225758</v>
      </c>
      <c r="BA51" s="108">
        <v>12397.464981524086</v>
      </c>
      <c r="BB51" s="108">
        <v>0</v>
      </c>
      <c r="BC51" s="108">
        <v>0</v>
      </c>
      <c r="BD51" s="108">
        <v>21</v>
      </c>
      <c r="BE51" s="108">
        <v>17942.399999999998</v>
      </c>
      <c r="BF51" s="108">
        <v>7.8770324508431848</v>
      </c>
      <c r="BG51" s="108">
        <v>6730.1365260004168</v>
      </c>
      <c r="BH51" s="108">
        <v>4.4111034299416199</v>
      </c>
      <c r="BI51" s="108">
        <v>3768.8467705421199</v>
      </c>
      <c r="BJ51" s="108">
        <v>1.8313360676251236</v>
      </c>
      <c r="BK51" s="108">
        <v>1564.6935361789056</v>
      </c>
      <c r="BL51" s="108">
        <v>2.6850321401724577</v>
      </c>
      <c r="BM51" s="108">
        <v>2294.0914605633479</v>
      </c>
      <c r="BN51" s="108">
        <v>1.473885873809107</v>
      </c>
      <c r="BO51" s="108">
        <v>1259.2880905825009</v>
      </c>
      <c r="BP51" s="108">
        <v>2.4707411296746833</v>
      </c>
      <c r="BQ51" s="108">
        <v>2111.0012211940493</v>
      </c>
      <c r="BR51" s="108">
        <v>2.0127124512547185</v>
      </c>
      <c r="BS51" s="108">
        <v>1719.6615183520314</v>
      </c>
      <c r="BT51" s="108">
        <v>1.814563903468239</v>
      </c>
      <c r="BU51" s="108">
        <v>1550.3633991232634</v>
      </c>
      <c r="BV51" s="108">
        <v>0</v>
      </c>
      <c r="BW51" s="108">
        <v>0</v>
      </c>
      <c r="BX51" s="108">
        <v>55.198803477277814</v>
      </c>
      <c r="BY51" s="108">
        <v>47161.857690986166</v>
      </c>
      <c r="BZ51" s="108">
        <v>21.982523338127749</v>
      </c>
      <c r="CA51" s="108">
        <v>18781.867940096348</v>
      </c>
      <c r="CB51" s="108">
        <v>0</v>
      </c>
      <c r="CC51" s="108">
        <v>0</v>
      </c>
      <c r="CD51" s="108">
        <v>45.744393747689386</v>
      </c>
      <c r="CE51" s="108">
        <v>39084.010018025809</v>
      </c>
      <c r="CF51" s="108">
        <v>0</v>
      </c>
      <c r="CG51" s="108">
        <v>0</v>
      </c>
      <c r="CH51" s="108">
        <v>0</v>
      </c>
      <c r="CI51" s="108">
        <v>0</v>
      </c>
      <c r="CJ51" s="108">
        <v>14.983459417934084</v>
      </c>
      <c r="CK51" s="108">
        <v>12801.86772668288</v>
      </c>
      <c r="CL51" s="108">
        <v>7.0103952960692713</v>
      </c>
      <c r="CM51" s="108">
        <v>5989.6817409615851</v>
      </c>
      <c r="CN51" s="108">
        <v>4.1672597722938738</v>
      </c>
      <c r="CO51" s="108">
        <v>3560.5067494478858</v>
      </c>
      <c r="CP51" s="108">
        <v>0</v>
      </c>
      <c r="CQ51" s="108">
        <v>0</v>
      </c>
      <c r="CR51" s="108">
        <v>0</v>
      </c>
      <c r="CS51" s="108">
        <v>0</v>
      </c>
      <c r="CT51" s="108">
        <v>3.5012106322065826</v>
      </c>
      <c r="CU51" s="108">
        <v>2991.4343641573041</v>
      </c>
    </row>
    <row r="52" spans="2:99" x14ac:dyDescent="0.2">
      <c r="C52" s="107" t="s">
        <v>217</v>
      </c>
      <c r="D52" s="108">
        <v>0</v>
      </c>
      <c r="E52" s="108">
        <v>0</v>
      </c>
      <c r="F52" s="108">
        <v>0</v>
      </c>
      <c r="G52" s="108">
        <v>0</v>
      </c>
      <c r="H52" s="108">
        <v>0</v>
      </c>
      <c r="I52" s="108">
        <v>0</v>
      </c>
      <c r="J52" s="108">
        <v>0</v>
      </c>
      <c r="K52" s="108">
        <v>0</v>
      </c>
      <c r="L52" s="108">
        <v>28.704069964872176</v>
      </c>
      <c r="M52" s="108">
        <v>15500.197781030975</v>
      </c>
      <c r="N52" s="108">
        <v>9.1562824213473544</v>
      </c>
      <c r="O52" s="108">
        <v>4944.3925075275711</v>
      </c>
      <c r="P52" s="108">
        <v>7.2006644291017903</v>
      </c>
      <c r="Q52" s="108">
        <v>3888.3587917149666</v>
      </c>
      <c r="R52" s="108">
        <v>11.332259901792963</v>
      </c>
      <c r="S52" s="108">
        <v>6119.4203469681997</v>
      </c>
      <c r="T52" s="108">
        <v>0</v>
      </c>
      <c r="U52" s="108">
        <v>0</v>
      </c>
      <c r="V52" s="108">
        <v>12</v>
      </c>
      <c r="W52" s="108">
        <v>6480</v>
      </c>
      <c r="X52" s="108">
        <v>6.9494229983807401</v>
      </c>
      <c r="Y52" s="108">
        <v>3752.6884191255995</v>
      </c>
      <c r="Z52" s="108">
        <v>8.3121548805959389</v>
      </c>
      <c r="AA52" s="108">
        <v>4488.5636355218066</v>
      </c>
      <c r="AB52" s="108">
        <v>4.0490246164284492E-16</v>
      </c>
      <c r="AC52" s="108">
        <v>2.1864732928713626E-13</v>
      </c>
      <c r="AD52" s="108">
        <v>4.1804262720906662</v>
      </c>
      <c r="AE52" s="108">
        <v>2257.4301869289598</v>
      </c>
      <c r="AF52" s="108">
        <v>3.2605102443498852</v>
      </c>
      <c r="AG52" s="108">
        <v>1760.675531948938</v>
      </c>
      <c r="AH52" s="108">
        <v>3.2134461065721651</v>
      </c>
      <c r="AI52" s="108">
        <v>1735.2608975489691</v>
      </c>
      <c r="AJ52" s="108">
        <v>0</v>
      </c>
      <c r="AK52" s="108">
        <v>0</v>
      </c>
      <c r="AL52" s="108">
        <v>11.070110852428854</v>
      </c>
      <c r="AM52" s="108">
        <v>5977.8598603115815</v>
      </c>
      <c r="AN52" s="108">
        <v>5.4233050065850996</v>
      </c>
      <c r="AO52" s="108">
        <v>2928.5847035559536</v>
      </c>
      <c r="AP52" s="108">
        <v>0</v>
      </c>
      <c r="AQ52" s="108">
        <v>0</v>
      </c>
      <c r="AR52" s="108">
        <v>3.6347054500039144</v>
      </c>
      <c r="AS52" s="108">
        <v>1962.7409430021137</v>
      </c>
      <c r="AT52" s="108">
        <v>0</v>
      </c>
      <c r="AU52" s="108">
        <v>0</v>
      </c>
      <c r="AV52" s="108">
        <v>3.9669003023191407</v>
      </c>
      <c r="AW52" s="108">
        <v>2142.126163252336</v>
      </c>
      <c r="AX52" s="108">
        <v>2.4485364109294214</v>
      </c>
      <c r="AY52" s="108">
        <v>1322.2096619018876</v>
      </c>
      <c r="AZ52" s="108">
        <v>15.200537061241134</v>
      </c>
      <c r="BA52" s="108">
        <v>8208.2900130702128</v>
      </c>
      <c r="BB52" s="108">
        <v>0</v>
      </c>
      <c r="BC52" s="108">
        <v>0</v>
      </c>
      <c r="BD52" s="108">
        <v>24</v>
      </c>
      <c r="BE52" s="108">
        <v>12960</v>
      </c>
      <c r="BF52" s="108">
        <v>8.2521292342166692</v>
      </c>
      <c r="BG52" s="108">
        <v>4456.1497864770017</v>
      </c>
      <c r="BH52" s="108">
        <v>4.1069494532387845</v>
      </c>
      <c r="BI52" s="108">
        <v>2217.7527047489434</v>
      </c>
      <c r="BJ52" s="108">
        <v>1.816536941900426</v>
      </c>
      <c r="BK52" s="108">
        <v>980.92994862623004</v>
      </c>
      <c r="BL52" s="108">
        <v>2.6763921774119281</v>
      </c>
      <c r="BM52" s="108">
        <v>1445.2517758024412</v>
      </c>
      <c r="BN52" s="108">
        <v>1.6441441097768912</v>
      </c>
      <c r="BO52" s="108">
        <v>887.83781927952123</v>
      </c>
      <c r="BP52" s="108">
        <v>2.678723377230475</v>
      </c>
      <c r="BQ52" s="108">
        <v>1446.5106237044565</v>
      </c>
      <c r="BR52" s="108">
        <v>2.4122006296446816</v>
      </c>
      <c r="BS52" s="108">
        <v>1302.5883400081282</v>
      </c>
      <c r="BT52" s="108">
        <v>2.0145346134654165</v>
      </c>
      <c r="BU52" s="108">
        <v>1087.8486912713249</v>
      </c>
      <c r="BV52" s="108">
        <v>0</v>
      </c>
      <c r="BW52" s="108">
        <v>0</v>
      </c>
      <c r="BX52" s="108">
        <v>56.270624904021069</v>
      </c>
      <c r="BY52" s="108">
        <v>30386.137448171379</v>
      </c>
      <c r="BZ52" s="108">
        <v>25.297296882388853</v>
      </c>
      <c r="CA52" s="108">
        <v>13660.54031648998</v>
      </c>
      <c r="CB52" s="108">
        <v>0</v>
      </c>
      <c r="CC52" s="108">
        <v>0</v>
      </c>
      <c r="CD52" s="108">
        <v>54.658685862623727</v>
      </c>
      <c r="CE52" s="108">
        <v>29515.690365816812</v>
      </c>
      <c r="CF52" s="108">
        <v>0</v>
      </c>
      <c r="CG52" s="108">
        <v>0</v>
      </c>
      <c r="CH52" s="108">
        <v>0</v>
      </c>
      <c r="CI52" s="108">
        <v>0</v>
      </c>
      <c r="CJ52" s="108">
        <v>16.275136953962882</v>
      </c>
      <c r="CK52" s="108">
        <v>8788.5739551399565</v>
      </c>
      <c r="CL52" s="108">
        <v>8.1633487896929093</v>
      </c>
      <c r="CM52" s="108">
        <v>4408.2083464341713</v>
      </c>
      <c r="CN52" s="108">
        <v>4.5915496778071141</v>
      </c>
      <c r="CO52" s="108">
        <v>2479.4368260158417</v>
      </c>
      <c r="CP52" s="108">
        <v>0</v>
      </c>
      <c r="CQ52" s="108">
        <v>0</v>
      </c>
      <c r="CR52" s="108">
        <v>0</v>
      </c>
      <c r="CS52" s="108">
        <v>0</v>
      </c>
      <c r="CT52" s="108">
        <v>3.0010376847484994</v>
      </c>
      <c r="CU52" s="108">
        <v>1620.5603497641896</v>
      </c>
    </row>
    <row r="53" spans="2:99" x14ac:dyDescent="0.2">
      <c r="C53" s="107" t="s">
        <v>218</v>
      </c>
      <c r="D53" s="108">
        <v>0</v>
      </c>
      <c r="E53" s="108">
        <v>0</v>
      </c>
      <c r="F53" s="108">
        <v>0</v>
      </c>
      <c r="G53" s="108">
        <v>0</v>
      </c>
      <c r="H53" s="108">
        <v>0</v>
      </c>
      <c r="I53" s="108">
        <v>0</v>
      </c>
      <c r="J53" s="108">
        <v>0</v>
      </c>
      <c r="K53" s="108">
        <v>0</v>
      </c>
      <c r="L53" s="108">
        <v>29.395734301375114</v>
      </c>
      <c r="M53" s="108">
        <v>11958.184713799397</v>
      </c>
      <c r="N53" s="108">
        <v>8.3203775300645759</v>
      </c>
      <c r="O53" s="108">
        <v>3384.7295792302698</v>
      </c>
      <c r="P53" s="108">
        <v>8.1228544102958828</v>
      </c>
      <c r="Q53" s="108">
        <v>3304.3771741083651</v>
      </c>
      <c r="R53" s="108">
        <v>12.031328259027079</v>
      </c>
      <c r="S53" s="108">
        <v>4894.3443357722163</v>
      </c>
      <c r="T53" s="108">
        <v>0</v>
      </c>
      <c r="U53" s="108">
        <v>0</v>
      </c>
      <c r="V53" s="108">
        <v>11</v>
      </c>
      <c r="W53" s="108">
        <v>4474.8</v>
      </c>
      <c r="X53" s="108">
        <v>7.5578740398993727</v>
      </c>
      <c r="Y53" s="108">
        <v>3074.5431594310649</v>
      </c>
      <c r="Z53" s="108">
        <v>8.0725460991693865</v>
      </c>
      <c r="AA53" s="108">
        <v>3283.9117531421066</v>
      </c>
      <c r="AB53" s="108">
        <v>4.3282676934235153E-16</v>
      </c>
      <c r="AC53" s="108">
        <v>1.7607392976846861E-13</v>
      </c>
      <c r="AD53" s="108">
        <v>4.3297272103796187</v>
      </c>
      <c r="AE53" s="108">
        <v>1761.3330291824288</v>
      </c>
      <c r="AF53" s="108">
        <v>3.586400953187312</v>
      </c>
      <c r="AG53" s="108">
        <v>1458.9479077565986</v>
      </c>
      <c r="AH53" s="108">
        <v>3.2144665753922714</v>
      </c>
      <c r="AI53" s="108">
        <v>1307.645002869576</v>
      </c>
      <c r="AJ53" s="108">
        <v>0</v>
      </c>
      <c r="AK53" s="108">
        <v>0</v>
      </c>
      <c r="AL53" s="108">
        <v>11.070110852428854</v>
      </c>
      <c r="AM53" s="108">
        <v>4503.3210947680582</v>
      </c>
      <c r="AN53" s="108">
        <v>5.6944056725193875</v>
      </c>
      <c r="AO53" s="108">
        <v>2316.4842275808869</v>
      </c>
      <c r="AP53" s="108">
        <v>0</v>
      </c>
      <c r="AQ53" s="108">
        <v>0</v>
      </c>
      <c r="AR53" s="108">
        <v>3.6347054500039144</v>
      </c>
      <c r="AS53" s="108">
        <v>1478.5981770615924</v>
      </c>
      <c r="AT53" s="108">
        <v>0</v>
      </c>
      <c r="AU53" s="108">
        <v>0</v>
      </c>
      <c r="AV53" s="108">
        <v>3.9669003023191407</v>
      </c>
      <c r="AW53" s="108">
        <v>1613.7350429834264</v>
      </c>
      <c r="AX53" s="108">
        <v>2.4298214794020461</v>
      </c>
      <c r="AY53" s="108">
        <v>988.45137782075233</v>
      </c>
      <c r="AZ53" s="108">
        <v>15.783261980909371</v>
      </c>
      <c r="BA53" s="108">
        <v>6420.6309738339323</v>
      </c>
      <c r="BB53" s="108">
        <v>0</v>
      </c>
      <c r="BC53" s="108">
        <v>0</v>
      </c>
      <c r="BD53" s="108">
        <v>20</v>
      </c>
      <c r="BE53" s="108">
        <v>8136</v>
      </c>
      <c r="BF53" s="108">
        <v>8.2521292342166692</v>
      </c>
      <c r="BG53" s="108">
        <v>3356.9661724793409</v>
      </c>
      <c r="BH53" s="108">
        <v>4.4150251672775669</v>
      </c>
      <c r="BI53" s="108">
        <v>1796.0322380485143</v>
      </c>
      <c r="BJ53" s="108">
        <v>1.980726677927344</v>
      </c>
      <c r="BK53" s="108">
        <v>805.75961258084362</v>
      </c>
      <c r="BL53" s="108">
        <v>2.686341982707992</v>
      </c>
      <c r="BM53" s="108">
        <v>1092.8039185656112</v>
      </c>
      <c r="BN53" s="108">
        <v>1.6601148377929276</v>
      </c>
      <c r="BO53" s="108">
        <v>675.33471601416295</v>
      </c>
      <c r="BP53" s="108">
        <v>2.6599072391332759</v>
      </c>
      <c r="BQ53" s="108">
        <v>1082.0502648794165</v>
      </c>
      <c r="BR53" s="108">
        <v>2.3759492173942487</v>
      </c>
      <c r="BS53" s="108">
        <v>966.53614163598036</v>
      </c>
      <c r="BT53" s="108">
        <v>2.1615885094402563</v>
      </c>
      <c r="BU53" s="108">
        <v>879.33420564029632</v>
      </c>
      <c r="BV53" s="108">
        <v>0</v>
      </c>
      <c r="BW53" s="108">
        <v>0</v>
      </c>
      <c r="BX53" s="108">
        <v>60.825865967679917</v>
      </c>
      <c r="BY53" s="108">
        <v>24743.962275652189</v>
      </c>
      <c r="BZ53" s="108">
        <v>26.013920699817781</v>
      </c>
      <c r="CA53" s="108">
        <v>10582.462940685873</v>
      </c>
      <c r="CB53" s="108">
        <v>0</v>
      </c>
      <c r="CC53" s="108">
        <v>0</v>
      </c>
      <c r="CD53" s="108">
        <v>62.634631439143924</v>
      </c>
      <c r="CE53" s="108">
        <v>25479.768069443748</v>
      </c>
      <c r="CF53" s="108">
        <v>0</v>
      </c>
      <c r="CG53" s="108">
        <v>0</v>
      </c>
      <c r="CH53" s="108">
        <v>0</v>
      </c>
      <c r="CI53" s="108">
        <v>0</v>
      </c>
      <c r="CJ53" s="108">
        <v>18.858492026020485</v>
      </c>
      <c r="CK53" s="108">
        <v>7671.634556185134</v>
      </c>
      <c r="CL53" s="108">
        <v>8.5925697703296802</v>
      </c>
      <c r="CM53" s="108">
        <v>3495.4573825701141</v>
      </c>
      <c r="CN53" s="108">
        <v>3.9722411859090969</v>
      </c>
      <c r="CO53" s="108">
        <v>1615.9077144278206</v>
      </c>
      <c r="CP53" s="108">
        <v>0</v>
      </c>
      <c r="CQ53" s="108">
        <v>0</v>
      </c>
      <c r="CR53" s="108">
        <v>0</v>
      </c>
      <c r="CS53" s="108">
        <v>0</v>
      </c>
      <c r="CT53" s="108">
        <v>3.5012106322065826</v>
      </c>
      <c r="CU53" s="108">
        <v>1424.2924851816379</v>
      </c>
    </row>
    <row r="54" spans="2:99" x14ac:dyDescent="0.2">
      <c r="C54" s="107" t="s">
        <v>219</v>
      </c>
      <c r="D54" s="108">
        <v>0</v>
      </c>
      <c r="E54" s="108">
        <v>0</v>
      </c>
      <c r="F54" s="108">
        <v>0</v>
      </c>
      <c r="G54" s="108">
        <v>0</v>
      </c>
      <c r="H54" s="108">
        <v>0</v>
      </c>
      <c r="I54" s="108">
        <v>0</v>
      </c>
      <c r="J54" s="108">
        <v>0</v>
      </c>
      <c r="K54" s="108">
        <v>0</v>
      </c>
      <c r="L54" s="108">
        <v>33.199888152141313</v>
      </c>
      <c r="M54" s="108">
        <v>11115.322553336911</v>
      </c>
      <c r="N54" s="108">
        <v>9.5608040695448402</v>
      </c>
      <c r="O54" s="108">
        <v>3200.9572024836125</v>
      </c>
      <c r="P54" s="108">
        <v>8.5707618737373785</v>
      </c>
      <c r="Q54" s="108">
        <v>2869.4910753272743</v>
      </c>
      <c r="R54" s="108">
        <v>11.754991857977394</v>
      </c>
      <c r="S54" s="108">
        <v>3935.5712740508316</v>
      </c>
      <c r="T54" s="108">
        <v>0</v>
      </c>
      <c r="U54" s="108">
        <v>0</v>
      </c>
      <c r="V54" s="108">
        <v>12</v>
      </c>
      <c r="W54" s="108">
        <v>4017.6000000000004</v>
      </c>
      <c r="X54" s="108">
        <v>8.1663250814180053</v>
      </c>
      <c r="Y54" s="108">
        <v>2734.0856372587482</v>
      </c>
      <c r="Z54" s="108">
        <v>9.050446532004047</v>
      </c>
      <c r="AA54" s="108">
        <v>3030.0894989149551</v>
      </c>
      <c r="AB54" s="108">
        <v>3.7697815394333842E-16</v>
      </c>
      <c r="AC54" s="108">
        <v>1.2621228594022972E-13</v>
      </c>
      <c r="AD54" s="108">
        <v>3.8818243955127616</v>
      </c>
      <c r="AE54" s="108">
        <v>1299.6348076176725</v>
      </c>
      <c r="AF54" s="108">
        <v>3.4352063915464006</v>
      </c>
      <c r="AG54" s="108">
        <v>1150.1070998897349</v>
      </c>
      <c r="AH54" s="108">
        <v>3.2149768098023248</v>
      </c>
      <c r="AI54" s="108">
        <v>1076.3742359218184</v>
      </c>
      <c r="AJ54" s="108">
        <v>0</v>
      </c>
      <c r="AK54" s="108">
        <v>0</v>
      </c>
      <c r="AL54" s="108">
        <v>12.124407124088744</v>
      </c>
      <c r="AM54" s="108">
        <v>4059.2515051449118</v>
      </c>
      <c r="AN54" s="108">
        <v>6.3646396264102787</v>
      </c>
      <c r="AO54" s="108">
        <v>2130.8813469221614</v>
      </c>
      <c r="AP54" s="108">
        <v>0</v>
      </c>
      <c r="AQ54" s="108">
        <v>0</v>
      </c>
      <c r="AR54" s="108">
        <v>3.271234905003523</v>
      </c>
      <c r="AS54" s="108">
        <v>1095.2094461951795</v>
      </c>
      <c r="AT54" s="108">
        <v>0</v>
      </c>
      <c r="AU54" s="108">
        <v>0</v>
      </c>
      <c r="AV54" s="108">
        <v>4.4076670025768223</v>
      </c>
      <c r="AW54" s="108">
        <v>1475.6869124627201</v>
      </c>
      <c r="AX54" s="108">
        <v>2.5958564772678234</v>
      </c>
      <c r="AY54" s="108">
        <v>869.09274858926733</v>
      </c>
      <c r="AZ54" s="108">
        <v>16.381368406770058</v>
      </c>
      <c r="BA54" s="108">
        <v>5484.4821425866157</v>
      </c>
      <c r="BB54" s="108">
        <v>0</v>
      </c>
      <c r="BC54" s="108">
        <v>0</v>
      </c>
      <c r="BD54" s="108">
        <v>21</v>
      </c>
      <c r="BE54" s="108">
        <v>7030.8</v>
      </c>
      <c r="BF54" s="108">
        <v>9.3774195843371242</v>
      </c>
      <c r="BG54" s="108">
        <v>3139.5600768360691</v>
      </c>
      <c r="BH54" s="108">
        <v>4.1069494532387845</v>
      </c>
      <c r="BI54" s="108">
        <v>1375.0066769443451</v>
      </c>
      <c r="BJ54" s="108">
        <v>1.8344516730408491</v>
      </c>
      <c r="BK54" s="108">
        <v>614.17442013407629</v>
      </c>
      <c r="BL54" s="108">
        <v>2.686341982707992</v>
      </c>
      <c r="BM54" s="108">
        <v>899.38729581063569</v>
      </c>
      <c r="BN54" s="108">
        <v>1.6683287106290972</v>
      </c>
      <c r="BO54" s="108">
        <v>558.55645231862172</v>
      </c>
      <c r="BP54" s="108">
        <v>2.2993615657461821</v>
      </c>
      <c r="BQ54" s="108">
        <v>769.82625221182184</v>
      </c>
      <c r="BR54" s="108">
        <v>2.2218912818930572</v>
      </c>
      <c r="BS54" s="108">
        <v>743.8892011777956</v>
      </c>
      <c r="BT54" s="108">
        <v>1.8358614209491311</v>
      </c>
      <c r="BU54" s="108">
        <v>614.64640373376915</v>
      </c>
      <c r="BV54" s="108">
        <v>0</v>
      </c>
      <c r="BW54" s="108">
        <v>0</v>
      </c>
      <c r="BX54" s="108">
        <v>62.701553464480618</v>
      </c>
      <c r="BY54" s="108">
        <v>20992.480099908113</v>
      </c>
      <c r="BZ54" s="108">
        <v>24.614650051065183</v>
      </c>
      <c r="CA54" s="108">
        <v>8240.9848370966229</v>
      </c>
      <c r="CB54" s="108">
        <v>0</v>
      </c>
      <c r="CC54" s="108">
        <v>0</v>
      </c>
      <c r="CD54" s="108">
        <v>56.066205670244933</v>
      </c>
      <c r="CE54" s="108">
        <v>18770.965658398003</v>
      </c>
      <c r="CF54" s="108">
        <v>0</v>
      </c>
      <c r="CG54" s="108">
        <v>0</v>
      </c>
      <c r="CH54" s="108">
        <v>0</v>
      </c>
      <c r="CI54" s="108">
        <v>0</v>
      </c>
      <c r="CJ54" s="108">
        <v>19.891834054843525</v>
      </c>
      <c r="CK54" s="108">
        <v>6659.7860415616124</v>
      </c>
      <c r="CL54" s="108">
        <v>8.0294179806365467</v>
      </c>
      <c r="CM54" s="108">
        <v>2688.2491399171158</v>
      </c>
      <c r="CN54" s="108">
        <v>3.9600996735906224</v>
      </c>
      <c r="CO54" s="108">
        <v>1325.8413707181405</v>
      </c>
      <c r="CP54" s="108">
        <v>0</v>
      </c>
      <c r="CQ54" s="108">
        <v>0</v>
      </c>
      <c r="CR54" s="108">
        <v>0</v>
      </c>
      <c r="CS54" s="108">
        <v>0</v>
      </c>
      <c r="CT54" s="108">
        <v>3.0010376847484994</v>
      </c>
      <c r="CU54" s="108">
        <v>1004.7474168537976</v>
      </c>
    </row>
    <row r="55" spans="2:99" x14ac:dyDescent="0.2">
      <c r="C55" s="107" t="s">
        <v>220</v>
      </c>
      <c r="D55" s="108">
        <v>0</v>
      </c>
      <c r="E55" s="108">
        <v>0</v>
      </c>
      <c r="F55" s="108">
        <v>0</v>
      </c>
      <c r="G55" s="108">
        <v>0</v>
      </c>
      <c r="H55" s="108">
        <v>0</v>
      </c>
      <c r="I55" s="108">
        <v>0</v>
      </c>
      <c r="J55" s="108">
        <v>0</v>
      </c>
      <c r="K55" s="108">
        <v>0</v>
      </c>
      <c r="L55" s="108">
        <v>27.666573460117757</v>
      </c>
      <c r="M55" s="108">
        <v>18359.538148134143</v>
      </c>
      <c r="N55" s="108">
        <v>8.7410161351947444</v>
      </c>
      <c r="O55" s="108">
        <v>5800.5383073152325</v>
      </c>
      <c r="P55" s="108">
        <v>6.9672910351270803</v>
      </c>
      <c r="Q55" s="108">
        <v>4623.494330910331</v>
      </c>
      <c r="R55" s="108">
        <v>11.895313576843542</v>
      </c>
      <c r="S55" s="108">
        <v>7893.7300895933749</v>
      </c>
      <c r="T55" s="108">
        <v>0</v>
      </c>
      <c r="U55" s="108">
        <v>0</v>
      </c>
      <c r="V55" s="108">
        <v>11</v>
      </c>
      <c r="W55" s="108">
        <v>7299.6</v>
      </c>
      <c r="X55" s="108">
        <v>7.5008825861936437</v>
      </c>
      <c r="Y55" s="108">
        <v>4977.5856841981022</v>
      </c>
      <c r="Z55" s="108">
        <v>7.52982041582385</v>
      </c>
      <c r="AA55" s="108">
        <v>4996.7888279407071</v>
      </c>
      <c r="AB55" s="108">
        <v>3.909403077930917E-16</v>
      </c>
      <c r="AC55" s="108">
        <v>2.5942798825149564E-13</v>
      </c>
      <c r="AD55" s="108">
        <v>3.7325234572238086</v>
      </c>
      <c r="AE55" s="108">
        <v>2476.9025662137196</v>
      </c>
      <c r="AF55" s="108">
        <v>3.411704805990798</v>
      </c>
      <c r="AG55" s="108">
        <v>2264.0073092554935</v>
      </c>
      <c r="AH55" s="108">
        <v>3.0488521878028214</v>
      </c>
      <c r="AI55" s="108">
        <v>2023.2183118259525</v>
      </c>
      <c r="AJ55" s="108">
        <v>0</v>
      </c>
      <c r="AK55" s="108">
        <v>0</v>
      </c>
      <c r="AL55" s="108">
        <v>12.124407124088744</v>
      </c>
      <c r="AM55" s="108">
        <v>8045.7565675452906</v>
      </c>
      <c r="AN55" s="108">
        <v>5.4580906823186952</v>
      </c>
      <c r="AO55" s="108">
        <v>3621.9889767866862</v>
      </c>
      <c r="AP55" s="108">
        <v>0</v>
      </c>
      <c r="AQ55" s="108">
        <v>0</v>
      </c>
      <c r="AR55" s="108">
        <v>3.6347054500039144</v>
      </c>
      <c r="AS55" s="108">
        <v>2411.9905366225976</v>
      </c>
      <c r="AT55" s="108">
        <v>0</v>
      </c>
      <c r="AU55" s="108">
        <v>0</v>
      </c>
      <c r="AV55" s="108">
        <v>3.9669003023191407</v>
      </c>
      <c r="AW55" s="108">
        <v>2632.4350406189819</v>
      </c>
      <c r="AX55" s="108">
        <v>2.2825014130636441</v>
      </c>
      <c r="AY55" s="108">
        <v>1514.6679377090343</v>
      </c>
      <c r="AZ55" s="108">
        <v>13.973561197134867</v>
      </c>
      <c r="BA55" s="108">
        <v>9272.8552104186983</v>
      </c>
      <c r="BB55" s="108">
        <v>0</v>
      </c>
      <c r="BC55" s="108">
        <v>0</v>
      </c>
      <c r="BD55" s="108">
        <v>22</v>
      </c>
      <c r="BE55" s="108">
        <v>14599.2</v>
      </c>
      <c r="BF55" s="108">
        <v>8.2521292342166692</v>
      </c>
      <c r="BG55" s="108">
        <v>5476.1129598261823</v>
      </c>
      <c r="BH55" s="108">
        <v>4.1030277159028374</v>
      </c>
      <c r="BI55" s="108">
        <v>2722.7691922731228</v>
      </c>
      <c r="BJ55" s="108">
        <v>1.6783750785564659</v>
      </c>
      <c r="BK55" s="108">
        <v>1113.7697021300708</v>
      </c>
      <c r="BL55" s="108">
        <v>2.3181854685929038</v>
      </c>
      <c r="BM55" s="108">
        <v>1538.3478769582509</v>
      </c>
      <c r="BN55" s="108">
        <v>1.6519009649567578</v>
      </c>
      <c r="BO55" s="108">
        <v>1096.2014803453044</v>
      </c>
      <c r="BP55" s="108">
        <v>2.2978171768955207</v>
      </c>
      <c r="BQ55" s="108">
        <v>1524.8314785878677</v>
      </c>
      <c r="BR55" s="108">
        <v>2.4300784101827322</v>
      </c>
      <c r="BS55" s="108">
        <v>1612.6000329972612</v>
      </c>
      <c r="BT55" s="108">
        <v>2.1439495714328105</v>
      </c>
      <c r="BU55" s="108">
        <v>1422.724935602813</v>
      </c>
      <c r="BV55" s="108">
        <v>0</v>
      </c>
      <c r="BW55" s="108">
        <v>0</v>
      </c>
      <c r="BX55" s="108">
        <v>51.179473126990594</v>
      </c>
      <c r="BY55" s="108">
        <v>33962.69836707096</v>
      </c>
      <c r="BZ55" s="108">
        <v>22.323846753789581</v>
      </c>
      <c r="CA55" s="108">
        <v>14814.104705814767</v>
      </c>
      <c r="CB55" s="108">
        <v>0</v>
      </c>
      <c r="CC55" s="108">
        <v>0</v>
      </c>
      <c r="CD55" s="108">
        <v>52.31281951658837</v>
      </c>
      <c r="CE55" s="108">
        <v>34714.787031208041</v>
      </c>
      <c r="CF55" s="108">
        <v>0</v>
      </c>
      <c r="CG55" s="108">
        <v>0</v>
      </c>
      <c r="CH55" s="108">
        <v>0</v>
      </c>
      <c r="CI55" s="108">
        <v>0</v>
      </c>
      <c r="CJ55" s="108">
        <v>18.083485504403203</v>
      </c>
      <c r="CK55" s="108">
        <v>12000.200980721966</v>
      </c>
      <c r="CL55" s="108">
        <v>7.5921442437663194</v>
      </c>
      <c r="CM55" s="108">
        <v>5038.1469201633299</v>
      </c>
      <c r="CN55" s="108">
        <v>4.2890380134727044</v>
      </c>
      <c r="CO55" s="108">
        <v>2846.2056257404865</v>
      </c>
      <c r="CP55" s="108">
        <v>0</v>
      </c>
      <c r="CQ55" s="108">
        <v>0</v>
      </c>
      <c r="CR55" s="108">
        <v>0</v>
      </c>
      <c r="CS55" s="108">
        <v>0</v>
      </c>
      <c r="CT55" s="108">
        <v>3.0010376847484994</v>
      </c>
      <c r="CU55" s="108">
        <v>1991.4886075991042</v>
      </c>
    </row>
    <row r="56" spans="2:99" x14ac:dyDescent="0.2">
      <c r="C56" s="107" t="s">
        <v>221</v>
      </c>
      <c r="D56" s="108">
        <v>0</v>
      </c>
      <c r="E56" s="108">
        <v>0</v>
      </c>
      <c r="F56" s="108">
        <v>0</v>
      </c>
      <c r="G56" s="108">
        <v>0</v>
      </c>
      <c r="H56" s="108">
        <v>8.1767277949276043</v>
      </c>
      <c r="I56" s="108">
        <v>9409.778346402687</v>
      </c>
      <c r="J56" s="108">
        <v>0</v>
      </c>
      <c r="K56" s="108">
        <v>0</v>
      </c>
      <c r="L56" s="108">
        <v>73.23970945758353</v>
      </c>
      <c r="M56" s="108">
        <v>84284.257643787118</v>
      </c>
      <c r="N56" s="108">
        <v>20.043790145778974</v>
      </c>
      <c r="O56" s="108">
        <v>23066.393699762444</v>
      </c>
      <c r="P56" s="108">
        <v>0</v>
      </c>
      <c r="Q56" s="108">
        <v>0</v>
      </c>
      <c r="R56" s="108">
        <v>30.762294416381156</v>
      </c>
      <c r="S56" s="108">
        <v>35401.248414371432</v>
      </c>
      <c r="T56" s="108">
        <v>7.0514450261400041</v>
      </c>
      <c r="U56" s="108">
        <v>8114.8029360819164</v>
      </c>
      <c r="V56" s="108">
        <v>12.354877623779352</v>
      </c>
      <c r="W56" s="108">
        <v>14217.993169445277</v>
      </c>
      <c r="X56" s="108">
        <v>4.507953189266404</v>
      </c>
      <c r="Y56" s="108">
        <v>5187.7525302077775</v>
      </c>
      <c r="Z56" s="108">
        <v>0</v>
      </c>
      <c r="AA56" s="108">
        <v>0</v>
      </c>
      <c r="AB56" s="108">
        <v>24</v>
      </c>
      <c r="AC56" s="108">
        <v>27619.199999999997</v>
      </c>
      <c r="AD56" s="108">
        <v>15.749057646100518</v>
      </c>
      <c r="AE56" s="108">
        <v>18124.015539132473</v>
      </c>
      <c r="AF56" s="108">
        <v>6.1554655177801561E-16</v>
      </c>
      <c r="AG56" s="108">
        <v>7.0837097178614038E-13</v>
      </c>
      <c r="AH56" s="108">
        <v>0</v>
      </c>
      <c r="AI56" s="108">
        <v>0</v>
      </c>
      <c r="AJ56" s="108">
        <v>6.9373841893305892</v>
      </c>
      <c r="AK56" s="108">
        <v>7983.5417250816417</v>
      </c>
      <c r="AL56" s="108">
        <v>19.985190048769692</v>
      </c>
      <c r="AM56" s="108">
        <v>22998.956708124158</v>
      </c>
      <c r="AN56" s="108">
        <v>8.5433468696768973</v>
      </c>
      <c r="AO56" s="108">
        <v>9831.6835776241733</v>
      </c>
      <c r="AP56" s="108">
        <v>16.287309637570701</v>
      </c>
      <c r="AQ56" s="108">
        <v>18743.435930916363</v>
      </c>
      <c r="AR56" s="108">
        <v>3.6063213815172936</v>
      </c>
      <c r="AS56" s="108">
        <v>4150.1546458501016</v>
      </c>
      <c r="AT56" s="108">
        <v>4.3484132316489612</v>
      </c>
      <c r="AU56" s="108">
        <v>5004.1539469816244</v>
      </c>
      <c r="AV56" s="108">
        <v>0</v>
      </c>
      <c r="AW56" s="108">
        <v>0</v>
      </c>
      <c r="AX56" s="108">
        <v>7.0878278015525726</v>
      </c>
      <c r="AY56" s="108">
        <v>8156.6722340267006</v>
      </c>
      <c r="AZ56" s="108">
        <v>0</v>
      </c>
      <c r="BA56" s="108">
        <v>0</v>
      </c>
      <c r="BB56" s="108">
        <v>3.1896948682385577</v>
      </c>
      <c r="BC56" s="108">
        <v>3670.7008543689321</v>
      </c>
      <c r="BD56" s="108">
        <v>4.1793054186877177</v>
      </c>
      <c r="BE56" s="108">
        <v>4809.5446758258249</v>
      </c>
      <c r="BF56" s="108">
        <v>0</v>
      </c>
      <c r="BG56" s="108">
        <v>0</v>
      </c>
      <c r="BH56" s="108">
        <v>13</v>
      </c>
      <c r="BI56" s="108">
        <v>14960.4</v>
      </c>
      <c r="BJ56" s="108">
        <v>12.600718401215262</v>
      </c>
      <c r="BK56" s="108">
        <v>14500.906736118523</v>
      </c>
      <c r="BL56" s="108">
        <v>15.12210734549479</v>
      </c>
      <c r="BM56" s="108">
        <v>17402.521133195405</v>
      </c>
      <c r="BN56" s="108">
        <v>8.127894832919333</v>
      </c>
      <c r="BO56" s="108">
        <v>9353.5813737235676</v>
      </c>
      <c r="BP56" s="108">
        <v>9.1977499465088446</v>
      </c>
      <c r="BQ56" s="108">
        <v>10584.770638442378</v>
      </c>
      <c r="BR56" s="108">
        <v>0</v>
      </c>
      <c r="BS56" s="108">
        <v>0</v>
      </c>
      <c r="BT56" s="108">
        <v>0</v>
      </c>
      <c r="BU56" s="108">
        <v>0</v>
      </c>
      <c r="BV56" s="108">
        <v>8</v>
      </c>
      <c r="BW56" s="108">
        <v>9206.4</v>
      </c>
      <c r="BX56" s="108">
        <v>105.75448110349997</v>
      </c>
      <c r="BY56" s="108">
        <v>121702.25685390776</v>
      </c>
      <c r="BZ56" s="108">
        <v>37.603684514867034</v>
      </c>
      <c r="CA56" s="108">
        <v>43274.32013970898</v>
      </c>
      <c r="CB56" s="108">
        <v>87.980778422220382</v>
      </c>
      <c r="CC56" s="108">
        <v>101248.2798082912</v>
      </c>
      <c r="CD56" s="108">
        <v>60.620557981075393</v>
      </c>
      <c r="CE56" s="108">
        <v>69762.138124621561</v>
      </c>
      <c r="CF56" s="108">
        <v>0</v>
      </c>
      <c r="CG56" s="108">
        <v>0</v>
      </c>
      <c r="CH56" s="108">
        <v>21.368109920125267</v>
      </c>
      <c r="CI56" s="108">
        <v>24590.420896080155</v>
      </c>
      <c r="CJ56" s="108">
        <v>47.570392178706534</v>
      </c>
      <c r="CK56" s="108">
        <v>54744.007319255477</v>
      </c>
      <c r="CL56" s="108">
        <v>0</v>
      </c>
      <c r="CM56" s="108">
        <v>0</v>
      </c>
      <c r="CN56" s="108">
        <v>11</v>
      </c>
      <c r="CO56" s="108">
        <v>12658.8</v>
      </c>
      <c r="CP56" s="108">
        <v>11.074586231196196</v>
      </c>
      <c r="CQ56" s="108">
        <v>12744.633834860582</v>
      </c>
      <c r="CR56" s="108">
        <v>8.6619478221278303</v>
      </c>
      <c r="CS56" s="108">
        <v>9968.1695537047071</v>
      </c>
      <c r="CT56" s="108">
        <v>5.8926617942886592</v>
      </c>
      <c r="CU56" s="108">
        <v>6781.2751928673888</v>
      </c>
    </row>
    <row r="57" spans="2:99" x14ac:dyDescent="0.2">
      <c r="C57" s="107" t="s">
        <v>222</v>
      </c>
      <c r="D57" s="108">
        <v>0</v>
      </c>
      <c r="E57" s="108">
        <v>0</v>
      </c>
      <c r="F57" s="108">
        <v>0</v>
      </c>
      <c r="G57" s="108">
        <v>0</v>
      </c>
      <c r="H57" s="108">
        <v>0</v>
      </c>
      <c r="I57" s="108">
        <v>0</v>
      </c>
      <c r="J57" s="108">
        <v>0</v>
      </c>
      <c r="K57" s="108">
        <v>0</v>
      </c>
      <c r="L57" s="108">
        <v>24.899916114105981</v>
      </c>
      <c r="M57" s="108">
        <v>35138.76162022636</v>
      </c>
      <c r="N57" s="108">
        <v>6.7404297450776944</v>
      </c>
      <c r="O57" s="108">
        <v>9512.0944562536424</v>
      </c>
      <c r="P57" s="108">
        <v>6.4701073171682841</v>
      </c>
      <c r="Q57" s="108">
        <v>9130.6154459878835</v>
      </c>
      <c r="R57" s="108">
        <v>9.3446972523026854</v>
      </c>
      <c r="S57" s="108">
        <v>13187.236762449551</v>
      </c>
      <c r="T57" s="108">
        <v>0</v>
      </c>
      <c r="U57" s="108">
        <v>0</v>
      </c>
      <c r="V57" s="108">
        <v>10</v>
      </c>
      <c r="W57" s="108">
        <v>14112</v>
      </c>
      <c r="X57" s="108">
        <v>6.9209272715278756</v>
      </c>
      <c r="Y57" s="108">
        <v>9766.8125655801377</v>
      </c>
      <c r="Z57" s="108">
        <v>7.4833620871992643</v>
      </c>
      <c r="AA57" s="108">
        <v>10560.520577455602</v>
      </c>
      <c r="AB57" s="108">
        <v>3.3509169239407859E-16</v>
      </c>
      <c r="AC57" s="108">
        <v>4.7288139630652376E-13</v>
      </c>
      <c r="AD57" s="108">
        <v>3.2846206423569515</v>
      </c>
      <c r="AE57" s="108">
        <v>4635.2566504941306</v>
      </c>
      <c r="AF57" s="108">
        <v>2.5827713652271558</v>
      </c>
      <c r="AG57" s="108">
        <v>3644.8069506085621</v>
      </c>
      <c r="AH57" s="108">
        <v>2.7566311487364996</v>
      </c>
      <c r="AI57" s="108">
        <v>3890.1578770969486</v>
      </c>
      <c r="AJ57" s="108">
        <v>0</v>
      </c>
      <c r="AK57" s="108">
        <v>0</v>
      </c>
      <c r="AL57" s="108">
        <v>8.9615183091090707</v>
      </c>
      <c r="AM57" s="108">
        <v>12646.494637814722</v>
      </c>
      <c r="AN57" s="108">
        <v>4.8962626455621834</v>
      </c>
      <c r="AO57" s="108">
        <v>6909.6058454173535</v>
      </c>
      <c r="AP57" s="108">
        <v>0</v>
      </c>
      <c r="AQ57" s="108">
        <v>0</v>
      </c>
      <c r="AR57" s="108">
        <v>3.271234905003523</v>
      </c>
      <c r="AS57" s="108">
        <v>4616.3666979409718</v>
      </c>
      <c r="AT57" s="108">
        <v>0</v>
      </c>
      <c r="AU57" s="108">
        <v>0</v>
      </c>
      <c r="AV57" s="108">
        <v>3.5261336020614582</v>
      </c>
      <c r="AW57" s="108">
        <v>4976.0797392291297</v>
      </c>
      <c r="AX57" s="108">
        <v>2.0837152850249603</v>
      </c>
      <c r="AY57" s="108">
        <v>2940.539010227224</v>
      </c>
      <c r="AZ57" s="108">
        <v>12.731203826836149</v>
      </c>
      <c r="BA57" s="108">
        <v>17966.274840431175</v>
      </c>
      <c r="BB57" s="108">
        <v>0</v>
      </c>
      <c r="BC57" s="108">
        <v>0</v>
      </c>
      <c r="BD57" s="108">
        <v>18</v>
      </c>
      <c r="BE57" s="108">
        <v>25401.600000000002</v>
      </c>
      <c r="BF57" s="108">
        <v>7.1268388840962142</v>
      </c>
      <c r="BG57" s="108">
        <v>10057.395033236578</v>
      </c>
      <c r="BH57" s="108">
        <v>4.0991059785668904</v>
      </c>
      <c r="BI57" s="108">
        <v>5784.658356953596</v>
      </c>
      <c r="BJ57" s="108">
        <v>1.8208862220207944</v>
      </c>
      <c r="BK57" s="108">
        <v>2569.6346365157451</v>
      </c>
      <c r="BL57" s="108">
        <v>2.3079082026629565</v>
      </c>
      <c r="BM57" s="108">
        <v>3256.9200555979642</v>
      </c>
      <c r="BN57" s="108">
        <v>1.4720578031838938</v>
      </c>
      <c r="BO57" s="108">
        <v>2077.3679718531112</v>
      </c>
      <c r="BP57" s="108">
        <v>2.2753974648134454</v>
      </c>
      <c r="BQ57" s="108">
        <v>3211.0409023447341</v>
      </c>
      <c r="BR57" s="108">
        <v>1.9759651878299536</v>
      </c>
      <c r="BS57" s="108">
        <v>2788.4820730656306</v>
      </c>
      <c r="BT57" s="108">
        <v>1.8337708041071619</v>
      </c>
      <c r="BU57" s="108">
        <v>2587.8173587560268</v>
      </c>
      <c r="BV57" s="108">
        <v>0</v>
      </c>
      <c r="BW57" s="108">
        <v>0</v>
      </c>
      <c r="BX57" s="108">
        <v>43.9446784964736</v>
      </c>
      <c r="BY57" s="108">
        <v>62014.730294223547</v>
      </c>
      <c r="BZ57" s="108">
        <v>19.708708533904776</v>
      </c>
      <c r="CA57" s="108">
        <v>27812.929483046421</v>
      </c>
      <c r="CB57" s="108">
        <v>0</v>
      </c>
      <c r="CC57" s="108">
        <v>0</v>
      </c>
      <c r="CD57" s="108">
        <v>40.114314517204534</v>
      </c>
      <c r="CE57" s="108">
        <v>56609.320646679036</v>
      </c>
      <c r="CF57" s="108">
        <v>0</v>
      </c>
      <c r="CG57" s="108">
        <v>0</v>
      </c>
      <c r="CH57" s="108">
        <v>0</v>
      </c>
      <c r="CI57" s="108">
        <v>0</v>
      </c>
      <c r="CJ57" s="108">
        <v>13.433446374699523</v>
      </c>
      <c r="CK57" s="108">
        <v>18957.279523975969</v>
      </c>
      <c r="CL57" s="108">
        <v>6.5726543756608562</v>
      </c>
      <c r="CM57" s="108">
        <v>9275.3298549326009</v>
      </c>
      <c r="CN57" s="108">
        <v>3.889745682899989</v>
      </c>
      <c r="CO57" s="108">
        <v>5489.2091077084642</v>
      </c>
      <c r="CP57" s="108">
        <v>0</v>
      </c>
      <c r="CQ57" s="108">
        <v>0</v>
      </c>
      <c r="CR57" s="108">
        <v>0</v>
      </c>
      <c r="CS57" s="108">
        <v>0</v>
      </c>
      <c r="CT57" s="108">
        <v>3.0010376847484994</v>
      </c>
      <c r="CU57" s="108">
        <v>4235.0643807170827</v>
      </c>
    </row>
    <row r="58" spans="2:99" x14ac:dyDescent="0.2">
      <c r="C58" s="107" t="s">
        <v>223</v>
      </c>
      <c r="D58" s="108">
        <v>0</v>
      </c>
      <c r="E58" s="108">
        <v>0</v>
      </c>
      <c r="F58" s="108">
        <v>0</v>
      </c>
      <c r="G58" s="108">
        <v>0</v>
      </c>
      <c r="H58" s="108">
        <v>8.6577117828645225</v>
      </c>
      <c r="I58" s="108">
        <v>10191.858310788117</v>
      </c>
      <c r="J58" s="108">
        <v>0</v>
      </c>
      <c r="K58" s="108">
        <v>0</v>
      </c>
      <c r="L58" s="108">
        <v>71.337379341802134</v>
      </c>
      <c r="M58" s="108">
        <v>83978.362961169478</v>
      </c>
      <c r="N58" s="108">
        <v>22.602571866516715</v>
      </c>
      <c r="O58" s="108">
        <v>26607.74760126348</v>
      </c>
      <c r="P58" s="108">
        <v>0</v>
      </c>
      <c r="Q58" s="108">
        <v>0</v>
      </c>
      <c r="R58" s="108">
        <v>31.605097003131327</v>
      </c>
      <c r="S58" s="108">
        <v>37205.520192086202</v>
      </c>
      <c r="T58" s="108">
        <v>7.0514450261400041</v>
      </c>
      <c r="U58" s="108">
        <v>8300.9610847720123</v>
      </c>
      <c r="V58" s="108">
        <v>12.788179827259135</v>
      </c>
      <c r="W58" s="108">
        <v>15054.245292649455</v>
      </c>
      <c r="X58" s="108">
        <v>4.1322904234942044</v>
      </c>
      <c r="Y58" s="108">
        <v>4864.5322865373773</v>
      </c>
      <c r="Z58" s="108">
        <v>0</v>
      </c>
      <c r="AA58" s="108">
        <v>0</v>
      </c>
      <c r="AB58" s="108">
        <v>25</v>
      </c>
      <c r="AC58" s="108">
        <v>29430</v>
      </c>
      <c r="AD58" s="108">
        <v>18.348352339566681</v>
      </c>
      <c r="AE58" s="108">
        <v>21599.680374137897</v>
      </c>
      <c r="AF58" s="108">
        <v>6.800015234487656E-16</v>
      </c>
      <c r="AG58" s="108">
        <v>8.0049779340388692E-13</v>
      </c>
      <c r="AH58" s="108">
        <v>0</v>
      </c>
      <c r="AI58" s="108">
        <v>0</v>
      </c>
      <c r="AJ58" s="108">
        <v>7.3454656122323883</v>
      </c>
      <c r="AK58" s="108">
        <v>8647.0821187199672</v>
      </c>
      <c r="AL58" s="108">
        <v>19.002661647709427</v>
      </c>
      <c r="AM58" s="108">
        <v>22369.933291683537</v>
      </c>
      <c r="AN58" s="108">
        <v>8.474616916865779</v>
      </c>
      <c r="AO58" s="108">
        <v>9976.3190345343955</v>
      </c>
      <c r="AP58" s="108">
        <v>16.018214386091795</v>
      </c>
      <c r="AQ58" s="108">
        <v>18856.641975307262</v>
      </c>
      <c r="AR58" s="108">
        <v>3.4123775680326509</v>
      </c>
      <c r="AS58" s="108">
        <v>4017.050873088037</v>
      </c>
      <c r="AT58" s="108">
        <v>3.8004766299877852</v>
      </c>
      <c r="AU58" s="108">
        <v>4473.9210888216212</v>
      </c>
      <c r="AV58" s="108">
        <v>0</v>
      </c>
      <c r="AW58" s="108">
        <v>0</v>
      </c>
      <c r="AX58" s="108">
        <v>6.4434798195932483</v>
      </c>
      <c r="AY58" s="108">
        <v>7585.2644436251721</v>
      </c>
      <c r="AZ58" s="108">
        <v>0</v>
      </c>
      <c r="BA58" s="108">
        <v>0</v>
      </c>
      <c r="BB58" s="108">
        <v>3.0510124826629683</v>
      </c>
      <c r="BC58" s="108">
        <v>3591.6518945908465</v>
      </c>
      <c r="BD58" s="108">
        <v>4.5138418677930181</v>
      </c>
      <c r="BE58" s="108">
        <v>5313.6946467659409</v>
      </c>
      <c r="BF58" s="108">
        <v>0</v>
      </c>
      <c r="BG58" s="108">
        <v>0</v>
      </c>
      <c r="BH58" s="108">
        <v>12</v>
      </c>
      <c r="BI58" s="108">
        <v>14126.400000000001</v>
      </c>
      <c r="BJ58" s="108">
        <v>11.746238255871194</v>
      </c>
      <c r="BK58" s="108">
        <v>13827.67167481157</v>
      </c>
      <c r="BL58" s="108">
        <v>14.052827358198259</v>
      </c>
      <c r="BM58" s="108">
        <v>16542.988366070993</v>
      </c>
      <c r="BN58" s="108">
        <v>10.124315455367896</v>
      </c>
      <c r="BO58" s="108">
        <v>11918.344154059087</v>
      </c>
      <c r="BP58" s="108">
        <v>9.1330711087569174</v>
      </c>
      <c r="BQ58" s="108">
        <v>10751.451309228643</v>
      </c>
      <c r="BR58" s="108">
        <v>0</v>
      </c>
      <c r="BS58" s="108">
        <v>0</v>
      </c>
      <c r="BT58" s="108">
        <v>0</v>
      </c>
      <c r="BU58" s="108">
        <v>0</v>
      </c>
      <c r="BV58" s="108">
        <v>7</v>
      </c>
      <c r="BW58" s="108">
        <v>8240.4</v>
      </c>
      <c r="BX58" s="108">
        <v>102.45411558678374</v>
      </c>
      <c r="BY58" s="108">
        <v>120608.98486876182</v>
      </c>
      <c r="BZ58" s="108">
        <v>42.808430827308548</v>
      </c>
      <c r="CA58" s="108">
        <v>50394.084769907626</v>
      </c>
      <c r="CB58" s="108">
        <v>84.185906180815337</v>
      </c>
      <c r="CC58" s="108">
        <v>99103.648756055816</v>
      </c>
      <c r="CD58" s="108">
        <v>61.10936902491661</v>
      </c>
      <c r="CE58" s="108">
        <v>71937.949216131834</v>
      </c>
      <c r="CF58" s="108">
        <v>0</v>
      </c>
      <c r="CG58" s="108">
        <v>0</v>
      </c>
      <c r="CH58" s="108">
        <v>22.324890961324908</v>
      </c>
      <c r="CI58" s="108">
        <v>26280.861639671682</v>
      </c>
      <c r="CJ58" s="108">
        <v>46.248437749707954</v>
      </c>
      <c r="CK58" s="108">
        <v>54443.660918956208</v>
      </c>
      <c r="CL58" s="108">
        <v>0</v>
      </c>
      <c r="CM58" s="108">
        <v>0</v>
      </c>
      <c r="CN58" s="108">
        <v>11</v>
      </c>
      <c r="CO58" s="108">
        <v>12949.2</v>
      </c>
      <c r="CP58" s="108">
        <v>10.964201003482808</v>
      </c>
      <c r="CQ58" s="108">
        <v>12907.057421299962</v>
      </c>
      <c r="CR58" s="108">
        <v>8.5205417442838325</v>
      </c>
      <c r="CS58" s="108">
        <v>10030.381741370928</v>
      </c>
      <c r="CT58" s="108">
        <v>6.0272908846683135</v>
      </c>
      <c r="CU58" s="108">
        <v>7095.3268294315394</v>
      </c>
    </row>
    <row r="59" spans="2:99" x14ac:dyDescent="0.2">
      <c r="C59" s="107" t="s">
        <v>224</v>
      </c>
      <c r="D59" s="108">
        <v>0</v>
      </c>
      <c r="E59" s="108">
        <v>0</v>
      </c>
      <c r="F59" s="108">
        <v>0</v>
      </c>
      <c r="G59" s="108">
        <v>0</v>
      </c>
      <c r="H59" s="108">
        <v>0</v>
      </c>
      <c r="I59" s="108">
        <v>0</v>
      </c>
      <c r="J59" s="108">
        <v>0</v>
      </c>
      <c r="K59" s="108">
        <v>0</v>
      </c>
      <c r="L59" s="108">
        <v>33.891552488644258</v>
      </c>
      <c r="M59" s="108">
        <v>10289.475335552395</v>
      </c>
      <c r="N59" s="108">
        <v>9.296495289724076</v>
      </c>
      <c r="O59" s="108">
        <v>2822.4159699602292</v>
      </c>
      <c r="P59" s="108">
        <v>8.5745297386389634</v>
      </c>
      <c r="Q59" s="108">
        <v>2603.2272286507891</v>
      </c>
      <c r="R59" s="108">
        <v>13.614977218690759</v>
      </c>
      <c r="S59" s="108">
        <v>4133.5070835945144</v>
      </c>
      <c r="T59" s="108">
        <v>0</v>
      </c>
      <c r="U59" s="108">
        <v>0</v>
      </c>
      <c r="V59" s="108">
        <v>11</v>
      </c>
      <c r="W59" s="108">
        <v>3339.5999999999995</v>
      </c>
      <c r="X59" s="108">
        <v>8.1378293545651399</v>
      </c>
      <c r="Y59" s="108">
        <v>2470.6449920459763</v>
      </c>
      <c r="Z59" s="108">
        <v>8.5614963155867176</v>
      </c>
      <c r="AA59" s="108">
        <v>2599.2702814121271</v>
      </c>
      <c r="AB59" s="108">
        <v>3.909403077930917E-16</v>
      </c>
      <c r="AC59" s="108">
        <v>1.1868947744598264E-13</v>
      </c>
      <c r="AD59" s="108">
        <v>4.1804262720906662</v>
      </c>
      <c r="AE59" s="108">
        <v>1269.1774162067261</v>
      </c>
      <c r="AF59" s="108">
        <v>3.5993796839112506</v>
      </c>
      <c r="AG59" s="108">
        <v>1092.7716720354556</v>
      </c>
      <c r="AH59" s="108">
        <v>3.0610043758235923</v>
      </c>
      <c r="AI59" s="108">
        <v>929.32092850004256</v>
      </c>
      <c r="AJ59" s="108">
        <v>0</v>
      </c>
      <c r="AK59" s="108">
        <v>0</v>
      </c>
      <c r="AL59" s="108">
        <v>11.070110852428854</v>
      </c>
      <c r="AM59" s="108">
        <v>3360.8856547973996</v>
      </c>
      <c r="AN59" s="108">
        <v>5.9057483394304517</v>
      </c>
      <c r="AO59" s="108">
        <v>1792.9851958510849</v>
      </c>
      <c r="AP59" s="108">
        <v>0</v>
      </c>
      <c r="AQ59" s="108">
        <v>0</v>
      </c>
      <c r="AR59" s="108">
        <v>3.9981759950043068</v>
      </c>
      <c r="AS59" s="108">
        <v>1213.8462320833073</v>
      </c>
      <c r="AT59" s="108">
        <v>0</v>
      </c>
      <c r="AU59" s="108">
        <v>0</v>
      </c>
      <c r="AV59" s="108">
        <v>4.4076670025768223</v>
      </c>
      <c r="AW59" s="108">
        <v>1338.167701982323</v>
      </c>
      <c r="AX59" s="108">
        <v>2.4578938766931091</v>
      </c>
      <c r="AY59" s="108">
        <v>746.2165809640278</v>
      </c>
      <c r="AZ59" s="108">
        <v>15.79864348710182</v>
      </c>
      <c r="BA59" s="108">
        <v>4796.468162684112</v>
      </c>
      <c r="BB59" s="108">
        <v>0</v>
      </c>
      <c r="BC59" s="108">
        <v>0</v>
      </c>
      <c r="BD59" s="108">
        <v>21</v>
      </c>
      <c r="BE59" s="108">
        <v>6375.5999999999995</v>
      </c>
      <c r="BF59" s="108">
        <v>8.2521292342166692</v>
      </c>
      <c r="BG59" s="108">
        <v>2505.3464355081805</v>
      </c>
      <c r="BH59" s="108">
        <v>4.418946904613513</v>
      </c>
      <c r="BI59" s="108">
        <v>1341.5922802406624</v>
      </c>
      <c r="BJ59" s="108">
        <v>1.9881915634634382</v>
      </c>
      <c r="BK59" s="108">
        <v>603.61495866749976</v>
      </c>
      <c r="BL59" s="108">
        <v>2.6860145220741085</v>
      </c>
      <c r="BM59" s="108">
        <v>815.47400890169922</v>
      </c>
      <c r="BN59" s="108">
        <v>1.6466577068865591</v>
      </c>
      <c r="BO59" s="108">
        <v>499.92527981075926</v>
      </c>
      <c r="BP59" s="108">
        <v>2.678723377230475</v>
      </c>
      <c r="BQ59" s="108">
        <v>813.26041732717215</v>
      </c>
      <c r="BR59" s="108">
        <v>2.3943228491066311</v>
      </c>
      <c r="BS59" s="108">
        <v>726.91641698877311</v>
      </c>
      <c r="BT59" s="108">
        <v>2.1781821390267178</v>
      </c>
      <c r="BU59" s="108">
        <v>661.2960974085114</v>
      </c>
      <c r="BV59" s="108">
        <v>0</v>
      </c>
      <c r="BW59" s="108">
        <v>0</v>
      </c>
      <c r="BX59" s="108">
        <v>61.361776681051545</v>
      </c>
      <c r="BY59" s="108">
        <v>18629.435400367245</v>
      </c>
      <c r="BZ59" s="108">
        <v>25.305791128915171</v>
      </c>
      <c r="CA59" s="108">
        <v>7682.8381867386452</v>
      </c>
      <c r="CB59" s="108">
        <v>0</v>
      </c>
      <c r="CC59" s="108">
        <v>0</v>
      </c>
      <c r="CD59" s="108">
        <v>60.054178458505042</v>
      </c>
      <c r="CE59" s="108">
        <v>18232.448580002128</v>
      </c>
      <c r="CF59" s="108">
        <v>0</v>
      </c>
      <c r="CG59" s="108">
        <v>0</v>
      </c>
      <c r="CH59" s="108">
        <v>0</v>
      </c>
      <c r="CI59" s="108">
        <v>0</v>
      </c>
      <c r="CJ59" s="108">
        <v>19.375163040432003</v>
      </c>
      <c r="CK59" s="108">
        <v>5882.2994990751558</v>
      </c>
      <c r="CL59" s="108">
        <v>9.1580574777137596</v>
      </c>
      <c r="CM59" s="108">
        <v>2780.386250233897</v>
      </c>
      <c r="CN59" s="108">
        <v>4.5797654406404273</v>
      </c>
      <c r="CO59" s="108">
        <v>1390.4167877784337</v>
      </c>
      <c r="CP59" s="108">
        <v>0</v>
      </c>
      <c r="CQ59" s="108">
        <v>0</v>
      </c>
      <c r="CR59" s="108">
        <v>0</v>
      </c>
      <c r="CS59" s="108">
        <v>0</v>
      </c>
      <c r="CT59" s="108">
        <v>3.5012106322065826</v>
      </c>
      <c r="CU59" s="108">
        <v>1062.9675479379184</v>
      </c>
    </row>
    <row r="60" spans="2:99" x14ac:dyDescent="0.2">
      <c r="C60" s="107" t="s">
        <v>225</v>
      </c>
      <c r="D60" s="108">
        <v>0</v>
      </c>
      <c r="E60" s="108">
        <v>0</v>
      </c>
      <c r="F60" s="108">
        <v>0</v>
      </c>
      <c r="G60" s="108">
        <v>0</v>
      </c>
      <c r="H60" s="108">
        <v>0</v>
      </c>
      <c r="I60" s="108">
        <v>0</v>
      </c>
      <c r="J60" s="108">
        <v>0</v>
      </c>
      <c r="K60" s="108">
        <v>0</v>
      </c>
      <c r="L60" s="108">
        <v>31.816559479135421</v>
      </c>
      <c r="M60" s="108">
        <v>20731.670156604639</v>
      </c>
      <c r="N60" s="108">
        <v>7.759526056557684</v>
      </c>
      <c r="O60" s="108">
        <v>5056.1071784529868</v>
      </c>
      <c r="P60" s="108">
        <v>6.9597553053239087</v>
      </c>
      <c r="Q60" s="108">
        <v>4534.9765569490592</v>
      </c>
      <c r="R60" s="108">
        <v>11.899620613526155</v>
      </c>
      <c r="S60" s="108">
        <v>7753.7927917736424</v>
      </c>
      <c r="T60" s="108">
        <v>0</v>
      </c>
      <c r="U60" s="108">
        <v>0</v>
      </c>
      <c r="V60" s="108">
        <v>11</v>
      </c>
      <c r="W60" s="108">
        <v>7167.6</v>
      </c>
      <c r="X60" s="108">
        <v>8.0808379008594109</v>
      </c>
      <c r="Y60" s="108">
        <v>5265.4739761999926</v>
      </c>
      <c r="Z60" s="108">
        <v>8.363467770582341</v>
      </c>
      <c r="AA60" s="108">
        <v>5449.6355993114539</v>
      </c>
      <c r="AB60" s="108">
        <v>3.7697815394333842E-16</v>
      </c>
      <c r="AC60" s="108">
        <v>2.4563896510947933E-13</v>
      </c>
      <c r="AD60" s="108">
        <v>4.1804262720906662</v>
      </c>
      <c r="AE60" s="108">
        <v>2723.9657588942782</v>
      </c>
      <c r="AF60" s="108">
        <v>3.0848317467964614</v>
      </c>
      <c r="AG60" s="108">
        <v>2010.0763662125744</v>
      </c>
      <c r="AH60" s="108">
        <v>3.0615146102336452</v>
      </c>
      <c r="AI60" s="108">
        <v>1994.8829200282432</v>
      </c>
      <c r="AJ60" s="108">
        <v>0</v>
      </c>
      <c r="AK60" s="108">
        <v>0</v>
      </c>
      <c r="AL60" s="108">
        <v>12.124407124088744</v>
      </c>
      <c r="AM60" s="108">
        <v>7900.2636820562257</v>
      </c>
      <c r="AN60" s="108">
        <v>5.8841589640537197</v>
      </c>
      <c r="AO60" s="108">
        <v>3834.1179809774039</v>
      </c>
      <c r="AP60" s="108">
        <v>0</v>
      </c>
      <c r="AQ60" s="108">
        <v>0</v>
      </c>
      <c r="AR60" s="108">
        <v>3.271234905003523</v>
      </c>
      <c r="AS60" s="108">
        <v>2131.5366641002956</v>
      </c>
      <c r="AT60" s="108">
        <v>0</v>
      </c>
      <c r="AU60" s="108">
        <v>0</v>
      </c>
      <c r="AV60" s="108">
        <v>3.9669003023191407</v>
      </c>
      <c r="AW60" s="108">
        <v>2584.8322369911521</v>
      </c>
      <c r="AX60" s="108">
        <v>2.2544290157725815</v>
      </c>
      <c r="AY60" s="108">
        <v>1468.9859466774142</v>
      </c>
      <c r="AZ60" s="108">
        <v>15.13901103647134</v>
      </c>
      <c r="BA60" s="108">
        <v>9864.5795913647253</v>
      </c>
      <c r="BB60" s="108">
        <v>0</v>
      </c>
      <c r="BC60" s="108">
        <v>0</v>
      </c>
      <c r="BD60" s="108">
        <v>21</v>
      </c>
      <c r="BE60" s="108">
        <v>13683.6</v>
      </c>
      <c r="BF60" s="108">
        <v>9.0023228009636398</v>
      </c>
      <c r="BG60" s="108">
        <v>5865.9135371079083</v>
      </c>
      <c r="BH60" s="108">
        <v>4.4111034299416199</v>
      </c>
      <c r="BI60" s="108">
        <v>2874.2749949499598</v>
      </c>
      <c r="BJ60" s="108">
        <v>1.9990308597447328</v>
      </c>
      <c r="BK60" s="108">
        <v>1302.5685082096679</v>
      </c>
      <c r="BL60" s="108">
        <v>2.5017725346996227</v>
      </c>
      <c r="BM60" s="108">
        <v>1630.1549836102743</v>
      </c>
      <c r="BN60" s="108">
        <v>1.6441441097768912</v>
      </c>
      <c r="BO60" s="108">
        <v>1071.3243019306224</v>
      </c>
      <c r="BP60" s="108">
        <v>2.2617292895517846</v>
      </c>
      <c r="BQ60" s="108">
        <v>1473.7428050719429</v>
      </c>
      <c r="BR60" s="108">
        <v>2.2382815089081127</v>
      </c>
      <c r="BS60" s="108">
        <v>1458.4642312045264</v>
      </c>
      <c r="BT60" s="108">
        <v>1.9818700085029857</v>
      </c>
      <c r="BU60" s="108">
        <v>1291.3864975405454</v>
      </c>
      <c r="BV60" s="108">
        <v>0</v>
      </c>
      <c r="BW60" s="108">
        <v>0</v>
      </c>
      <c r="BX60" s="108">
        <v>53.85902669384874</v>
      </c>
      <c r="BY60" s="108">
        <v>35094.54179371184</v>
      </c>
      <c r="BZ60" s="108">
        <v>22.848573247071808</v>
      </c>
      <c r="CA60" s="108">
        <v>14888.130327791991</v>
      </c>
      <c r="CB60" s="108">
        <v>0</v>
      </c>
      <c r="CC60" s="108">
        <v>0</v>
      </c>
      <c r="CD60" s="108">
        <v>56.76996557405554</v>
      </c>
      <c r="CE60" s="108">
        <v>36991.309568054588</v>
      </c>
      <c r="CF60" s="108">
        <v>0</v>
      </c>
      <c r="CG60" s="108">
        <v>0</v>
      </c>
      <c r="CH60" s="108">
        <v>0</v>
      </c>
      <c r="CI60" s="108">
        <v>0</v>
      </c>
      <c r="CJ60" s="108">
        <v>16.791807968374403</v>
      </c>
      <c r="CK60" s="108">
        <v>10941.542072192762</v>
      </c>
      <c r="CL60" s="108">
        <v>7.153157500589403</v>
      </c>
      <c r="CM60" s="108">
        <v>4660.9974273840553</v>
      </c>
      <c r="CN60" s="108">
        <v>4.2358273872255703</v>
      </c>
      <c r="CO60" s="108">
        <v>2760.0651255161815</v>
      </c>
      <c r="CP60" s="108">
        <v>0</v>
      </c>
      <c r="CQ60" s="108">
        <v>0</v>
      </c>
      <c r="CR60" s="108">
        <v>0</v>
      </c>
      <c r="CS60" s="108">
        <v>0</v>
      </c>
      <c r="CT60" s="108">
        <v>3.5012106322065826</v>
      </c>
      <c r="CU60" s="108">
        <v>2281.3888479458092</v>
      </c>
    </row>
    <row r="61" spans="2:99" x14ac:dyDescent="0.2">
      <c r="C61" s="107" t="s">
        <v>226</v>
      </c>
      <c r="D61" s="108">
        <v>0</v>
      </c>
      <c r="E61" s="108">
        <v>0</v>
      </c>
      <c r="F61" s="108">
        <v>0</v>
      </c>
      <c r="G61" s="108">
        <v>0</v>
      </c>
      <c r="H61" s="108">
        <v>0</v>
      </c>
      <c r="I61" s="108">
        <v>0</v>
      </c>
      <c r="J61" s="108">
        <v>0</v>
      </c>
      <c r="K61" s="108">
        <v>0</v>
      </c>
      <c r="L61" s="108">
        <v>29.741566469626594</v>
      </c>
      <c r="M61" s="108">
        <v>28302.074652496663</v>
      </c>
      <c r="N61" s="108">
        <v>8.455218079463739</v>
      </c>
      <c r="O61" s="108">
        <v>8045.9855244176933</v>
      </c>
      <c r="P61" s="108">
        <v>7.0745580698604709</v>
      </c>
      <c r="Q61" s="108">
        <v>6732.1494592792233</v>
      </c>
      <c r="R61" s="108">
        <v>11.477418697217519</v>
      </c>
      <c r="S61" s="108">
        <v>10921.911632272191</v>
      </c>
      <c r="T61" s="108">
        <v>0</v>
      </c>
      <c r="U61" s="108">
        <v>0</v>
      </c>
      <c r="V61" s="108">
        <v>10</v>
      </c>
      <c r="W61" s="108">
        <v>9516</v>
      </c>
      <c r="X61" s="108">
        <v>7.5008825861936437</v>
      </c>
      <c r="Y61" s="108">
        <v>7137.839869021871</v>
      </c>
      <c r="Z61" s="108">
        <v>7.5762787444484365</v>
      </c>
      <c r="AA61" s="108">
        <v>7209.5868532171316</v>
      </c>
      <c r="AB61" s="108">
        <v>3.6301600009358509E-16</v>
      </c>
      <c r="AC61" s="108">
        <v>3.4544602568905552E-13</v>
      </c>
      <c r="AD61" s="108">
        <v>3.7325234572238086</v>
      </c>
      <c r="AE61" s="108">
        <v>3551.8693218941758</v>
      </c>
      <c r="AF61" s="108">
        <v>2.9336371851555496</v>
      </c>
      <c r="AG61" s="108">
        <v>2791.6491453940207</v>
      </c>
      <c r="AH61" s="108">
        <v>2.7439687263056758</v>
      </c>
      <c r="AI61" s="108">
        <v>2611.1606399524808</v>
      </c>
      <c r="AJ61" s="108">
        <v>0</v>
      </c>
      <c r="AK61" s="108">
        <v>0</v>
      </c>
      <c r="AL61" s="108">
        <v>10.015814580768962</v>
      </c>
      <c r="AM61" s="108">
        <v>9531.0491550597435</v>
      </c>
      <c r="AN61" s="108">
        <v>5.3806686488963296</v>
      </c>
      <c r="AO61" s="108">
        <v>5120.2442862897469</v>
      </c>
      <c r="AP61" s="108">
        <v>0</v>
      </c>
      <c r="AQ61" s="108">
        <v>0</v>
      </c>
      <c r="AR61" s="108">
        <v>3.6347054500039144</v>
      </c>
      <c r="AS61" s="108">
        <v>3458.7857062237244</v>
      </c>
      <c r="AT61" s="108">
        <v>0</v>
      </c>
      <c r="AU61" s="108">
        <v>0</v>
      </c>
      <c r="AV61" s="108">
        <v>3.9669003023191407</v>
      </c>
      <c r="AW61" s="108">
        <v>3774.9023276868938</v>
      </c>
      <c r="AX61" s="108">
        <v>2.0837152850249603</v>
      </c>
      <c r="AY61" s="108">
        <v>1982.8634652297519</v>
      </c>
      <c r="AZ61" s="108">
        <v>13.958179690942416</v>
      </c>
      <c r="BA61" s="108">
        <v>13282.603793900802</v>
      </c>
      <c r="BB61" s="108">
        <v>0</v>
      </c>
      <c r="BC61" s="108">
        <v>0</v>
      </c>
      <c r="BD61" s="108">
        <v>19</v>
      </c>
      <c r="BE61" s="108">
        <v>18080.399999999998</v>
      </c>
      <c r="BF61" s="108">
        <v>7.5019356674696986</v>
      </c>
      <c r="BG61" s="108">
        <v>7138.8419811641643</v>
      </c>
      <c r="BH61" s="108">
        <v>4.1030277159028374</v>
      </c>
      <c r="BI61" s="108">
        <v>3904.4411744531399</v>
      </c>
      <c r="BJ61" s="108">
        <v>1.9702768323230149</v>
      </c>
      <c r="BK61" s="108">
        <v>1874.9154336385807</v>
      </c>
      <c r="BL61" s="108">
        <v>2.3168756260573695</v>
      </c>
      <c r="BM61" s="108">
        <v>2204.7388457561924</v>
      </c>
      <c r="BN61" s="108">
        <v>1.6450581450894979</v>
      </c>
      <c r="BO61" s="108">
        <v>1565.4373308671661</v>
      </c>
      <c r="BP61" s="108">
        <v>2.0877757442055143</v>
      </c>
      <c r="BQ61" s="108">
        <v>1986.7273981859671</v>
      </c>
      <c r="BR61" s="108">
        <v>2.2025259478320116</v>
      </c>
      <c r="BS61" s="108">
        <v>2095.9236919569421</v>
      </c>
      <c r="BT61" s="108">
        <v>1.9761208121875711</v>
      </c>
      <c r="BU61" s="108">
        <v>1880.4765648776925</v>
      </c>
      <c r="BV61" s="108">
        <v>0</v>
      </c>
      <c r="BW61" s="108">
        <v>0</v>
      </c>
      <c r="BX61" s="108">
        <v>49.839696343561521</v>
      </c>
      <c r="BY61" s="108">
        <v>47427.455040533139</v>
      </c>
      <c r="BZ61" s="108">
        <v>19.883617364998852</v>
      </c>
      <c r="CA61" s="108">
        <v>18921.250284532907</v>
      </c>
      <c r="CB61" s="108">
        <v>0</v>
      </c>
      <c r="CC61" s="108">
        <v>0</v>
      </c>
      <c r="CD61" s="108">
        <v>49.966953170553019</v>
      </c>
      <c r="CE61" s="108">
        <v>47548.552637098248</v>
      </c>
      <c r="CF61" s="108">
        <v>0</v>
      </c>
      <c r="CG61" s="108">
        <v>0</v>
      </c>
      <c r="CH61" s="108">
        <v>0</v>
      </c>
      <c r="CI61" s="108">
        <v>0</v>
      </c>
      <c r="CJ61" s="108">
        <v>16.791807968374403</v>
      </c>
      <c r="CK61" s="108">
        <v>15979.084462705081</v>
      </c>
      <c r="CL61" s="108">
        <v>6.7084539188699734</v>
      </c>
      <c r="CM61" s="108">
        <v>6383.7647491966663</v>
      </c>
      <c r="CN61" s="108">
        <v>3.6697295215746877</v>
      </c>
      <c r="CO61" s="108">
        <v>3492.1146127304723</v>
      </c>
      <c r="CP61" s="108">
        <v>0</v>
      </c>
      <c r="CQ61" s="108">
        <v>0</v>
      </c>
      <c r="CR61" s="108">
        <v>0</v>
      </c>
      <c r="CS61" s="108">
        <v>0</v>
      </c>
      <c r="CT61" s="108">
        <v>3.5012106322065826</v>
      </c>
      <c r="CU61" s="108">
        <v>3331.7520376077837</v>
      </c>
    </row>
    <row r="62" spans="2:99" x14ac:dyDescent="0.2">
      <c r="C62" s="107" t="s">
        <v>227</v>
      </c>
      <c r="D62" s="108">
        <v>0</v>
      </c>
      <c r="E62" s="108">
        <v>0</v>
      </c>
      <c r="F62" s="108">
        <v>0</v>
      </c>
      <c r="G62" s="108">
        <v>0</v>
      </c>
      <c r="H62" s="108">
        <v>0</v>
      </c>
      <c r="I62" s="108">
        <v>0</v>
      </c>
      <c r="J62" s="108">
        <v>0</v>
      </c>
      <c r="K62" s="108">
        <v>0</v>
      </c>
      <c r="L62" s="108">
        <v>23.516587441100093</v>
      </c>
      <c r="M62" s="108">
        <v>40100.484904563877</v>
      </c>
      <c r="N62" s="108">
        <v>6.3412804158577698</v>
      </c>
      <c r="O62" s="108">
        <v>10813.15136512067</v>
      </c>
      <c r="P62" s="108">
        <v>6.2279324748943097</v>
      </c>
      <c r="Q62" s="108">
        <v>10619.870456189778</v>
      </c>
      <c r="R62" s="108">
        <v>8.4601166498731217</v>
      </c>
      <c r="S62" s="108">
        <v>14426.190911363648</v>
      </c>
      <c r="T62" s="108">
        <v>0</v>
      </c>
      <c r="U62" s="108">
        <v>0</v>
      </c>
      <c r="V62" s="108">
        <v>10</v>
      </c>
      <c r="W62" s="108">
        <v>17052</v>
      </c>
      <c r="X62" s="108">
        <v>6.9209272715278756</v>
      </c>
      <c r="Y62" s="108">
        <v>11801.565183409333</v>
      </c>
      <c r="Z62" s="108">
        <v>6.6448131093977656</v>
      </c>
      <c r="AA62" s="108">
        <v>11330.735314145069</v>
      </c>
      <c r="AB62" s="108">
        <v>3.4905384624383187E-16</v>
      </c>
      <c r="AC62" s="108">
        <v>5.9520661861498216E-13</v>
      </c>
      <c r="AD62" s="108">
        <v>3.1353197040679994</v>
      </c>
      <c r="AE62" s="108">
        <v>5346.3471593767526</v>
      </c>
      <c r="AF62" s="108">
        <v>2.5842448907625202</v>
      </c>
      <c r="AG62" s="108">
        <v>4406.6543877282493</v>
      </c>
      <c r="AH62" s="108">
        <v>2.4385750303984768</v>
      </c>
      <c r="AI62" s="108">
        <v>4158.258141835483</v>
      </c>
      <c r="AJ62" s="108">
        <v>0</v>
      </c>
      <c r="AK62" s="108">
        <v>0</v>
      </c>
      <c r="AL62" s="108">
        <v>10.015814580768962</v>
      </c>
      <c r="AM62" s="108">
        <v>17078.967023127236</v>
      </c>
      <c r="AN62" s="108">
        <v>4.8555889583622074</v>
      </c>
      <c r="AO62" s="108">
        <v>8279.7502917992369</v>
      </c>
      <c r="AP62" s="108">
        <v>0</v>
      </c>
      <c r="AQ62" s="108">
        <v>0</v>
      </c>
      <c r="AR62" s="108">
        <v>2.907764360003132</v>
      </c>
      <c r="AS62" s="108">
        <v>4958.3197866773407</v>
      </c>
      <c r="AT62" s="108">
        <v>0</v>
      </c>
      <c r="AU62" s="108">
        <v>0</v>
      </c>
      <c r="AV62" s="108">
        <v>3.5261336020614582</v>
      </c>
      <c r="AW62" s="108">
        <v>6012.7630182351986</v>
      </c>
      <c r="AX62" s="108">
        <v>2.0603216206157411</v>
      </c>
      <c r="AY62" s="108">
        <v>3513.260427473962</v>
      </c>
      <c r="AZ62" s="108">
        <v>12.040808363820769</v>
      </c>
      <c r="BA62" s="108">
        <v>20531.986421987178</v>
      </c>
      <c r="BB62" s="108">
        <v>0</v>
      </c>
      <c r="BC62" s="108">
        <v>0</v>
      </c>
      <c r="BD62" s="108">
        <v>20</v>
      </c>
      <c r="BE62" s="108">
        <v>34104</v>
      </c>
      <c r="BF62" s="108">
        <v>7.5019356674696986</v>
      </c>
      <c r="BG62" s="108">
        <v>12792.300700169331</v>
      </c>
      <c r="BH62" s="108">
        <v>3.4711893384814863</v>
      </c>
      <c r="BI62" s="108">
        <v>5919.0720599786309</v>
      </c>
      <c r="BJ62" s="108">
        <v>1.6559175846399452</v>
      </c>
      <c r="BK62" s="108">
        <v>2823.6706653280348</v>
      </c>
      <c r="BL62" s="108">
        <v>2.2986133186346596</v>
      </c>
      <c r="BM62" s="108">
        <v>3919.5954309358217</v>
      </c>
      <c r="BN62" s="108">
        <v>1.4709152590431354</v>
      </c>
      <c r="BO62" s="108">
        <v>2508.2046997203543</v>
      </c>
      <c r="BP62" s="108">
        <v>2.2387947811861548</v>
      </c>
      <c r="BQ62" s="108">
        <v>3817.5928608786312</v>
      </c>
      <c r="BR62" s="108">
        <v>1.9749734854812904</v>
      </c>
      <c r="BS62" s="108">
        <v>3367.7247874426967</v>
      </c>
      <c r="BT62" s="108">
        <v>1.9610951452325864</v>
      </c>
      <c r="BU62" s="108">
        <v>3344.0594416506065</v>
      </c>
      <c r="BV62" s="108">
        <v>0</v>
      </c>
      <c r="BW62" s="108">
        <v>0</v>
      </c>
      <c r="BX62" s="108">
        <v>39.389437432814745</v>
      </c>
      <c r="BY62" s="108">
        <v>67166.868710435709</v>
      </c>
      <c r="BZ62" s="108">
        <v>16.709775665726561</v>
      </c>
      <c r="CA62" s="108">
        <v>28493.50946519693</v>
      </c>
      <c r="CB62" s="108">
        <v>0</v>
      </c>
      <c r="CC62" s="108">
        <v>0</v>
      </c>
      <c r="CD62" s="108">
        <v>34.484235286719688</v>
      </c>
      <c r="CE62" s="108">
        <v>58802.518010914413</v>
      </c>
      <c r="CF62" s="108">
        <v>0</v>
      </c>
      <c r="CG62" s="108">
        <v>0</v>
      </c>
      <c r="CH62" s="108">
        <v>0</v>
      </c>
      <c r="CI62" s="108">
        <v>0</v>
      </c>
      <c r="CJ62" s="108">
        <v>12.916775360288003</v>
      </c>
      <c r="CK62" s="108">
        <v>22025.685344363104</v>
      </c>
      <c r="CL62" s="108">
        <v>5.6974839905361527</v>
      </c>
      <c r="CM62" s="108">
        <v>9715.3497006622474</v>
      </c>
      <c r="CN62" s="108">
        <v>3.476882739401649</v>
      </c>
      <c r="CO62" s="108">
        <v>5928.7804472276921</v>
      </c>
      <c r="CP62" s="108">
        <v>0</v>
      </c>
      <c r="CQ62" s="108">
        <v>0</v>
      </c>
      <c r="CR62" s="108">
        <v>0</v>
      </c>
      <c r="CS62" s="108">
        <v>0</v>
      </c>
      <c r="CT62" s="108">
        <v>2.5008647372904158</v>
      </c>
      <c r="CU62" s="108">
        <v>4264.4745500276167</v>
      </c>
    </row>
    <row r="63" spans="2:99" x14ac:dyDescent="0.2">
      <c r="C63" s="107" t="s">
        <v>228</v>
      </c>
      <c r="D63" s="108">
        <v>0</v>
      </c>
      <c r="E63" s="108">
        <v>0</v>
      </c>
      <c r="F63" s="108">
        <v>0</v>
      </c>
      <c r="G63" s="108">
        <v>0</v>
      </c>
      <c r="H63" s="108">
        <v>0</v>
      </c>
      <c r="I63" s="108">
        <v>0</v>
      </c>
      <c r="J63" s="108">
        <v>0</v>
      </c>
      <c r="K63" s="108">
        <v>0</v>
      </c>
      <c r="L63" s="108">
        <v>31.124895142632479</v>
      </c>
      <c r="M63" s="108">
        <v>24762.9665754784</v>
      </c>
      <c r="N63" s="108">
        <v>8.5954309478404625</v>
      </c>
      <c r="O63" s="108">
        <v>6838.5248621018718</v>
      </c>
      <c r="P63" s="108">
        <v>6.8524882705905164</v>
      </c>
      <c r="Q63" s="108">
        <v>5451.839668081815</v>
      </c>
      <c r="R63" s="108">
        <v>11.767559608108034</v>
      </c>
      <c r="S63" s="108">
        <v>9362.270424210752</v>
      </c>
      <c r="T63" s="108">
        <v>0</v>
      </c>
      <c r="U63" s="108">
        <v>0</v>
      </c>
      <c r="V63" s="108">
        <v>12</v>
      </c>
      <c r="W63" s="108">
        <v>9547.2000000000007</v>
      </c>
      <c r="X63" s="108">
        <v>6.9779187252336046</v>
      </c>
      <c r="Y63" s="108">
        <v>5551.6321377958557</v>
      </c>
      <c r="Z63" s="108">
        <v>8.6103936903125096</v>
      </c>
      <c r="AA63" s="108">
        <v>6850.4292200126329</v>
      </c>
      <c r="AB63" s="108">
        <v>4.0490246164284492E-16</v>
      </c>
      <c r="AC63" s="108">
        <v>3.2214039848304745E-13</v>
      </c>
      <c r="AD63" s="108">
        <v>3.5832225189348565</v>
      </c>
      <c r="AE63" s="108">
        <v>2850.8118360645722</v>
      </c>
      <c r="AF63" s="108">
        <v>3.4342240411894904</v>
      </c>
      <c r="AG63" s="108">
        <v>2732.2686471703587</v>
      </c>
      <c r="AH63" s="108">
        <v>2.9095831138951258</v>
      </c>
      <c r="AI63" s="108">
        <v>2314.864325414962</v>
      </c>
      <c r="AJ63" s="108">
        <v>0</v>
      </c>
      <c r="AK63" s="108">
        <v>0</v>
      </c>
      <c r="AL63" s="108">
        <v>10.015814580768962</v>
      </c>
      <c r="AM63" s="108">
        <v>7968.582080459787</v>
      </c>
      <c r="AN63" s="108">
        <v>6.0876509490096096</v>
      </c>
      <c r="AO63" s="108">
        <v>4843.3350950320455</v>
      </c>
      <c r="AP63" s="108">
        <v>0</v>
      </c>
      <c r="AQ63" s="108">
        <v>0</v>
      </c>
      <c r="AR63" s="108">
        <v>3.6347054500039144</v>
      </c>
      <c r="AS63" s="108">
        <v>2891.7716560231142</v>
      </c>
      <c r="AT63" s="108">
        <v>0</v>
      </c>
      <c r="AU63" s="108">
        <v>0</v>
      </c>
      <c r="AV63" s="108">
        <v>3.9669003023191407</v>
      </c>
      <c r="AW63" s="108">
        <v>3156.0658805251082</v>
      </c>
      <c r="AX63" s="108">
        <v>2.2778226801818007</v>
      </c>
      <c r="AY63" s="108">
        <v>1812.2357243526408</v>
      </c>
      <c r="AZ63" s="108">
        <v>13.313928746504386</v>
      </c>
      <c r="BA63" s="108">
        <v>10592.56171071889</v>
      </c>
      <c r="BB63" s="108">
        <v>0</v>
      </c>
      <c r="BC63" s="108">
        <v>0</v>
      </c>
      <c r="BD63" s="108">
        <v>22</v>
      </c>
      <c r="BE63" s="108">
        <v>17503.2</v>
      </c>
      <c r="BF63" s="108">
        <v>8.6272260175901554</v>
      </c>
      <c r="BG63" s="108">
        <v>6863.8210195947277</v>
      </c>
      <c r="BH63" s="108">
        <v>4.0991059785668904</v>
      </c>
      <c r="BI63" s="108">
        <v>3261.2487165478183</v>
      </c>
      <c r="BJ63" s="108">
        <v>1.9866337607555753</v>
      </c>
      <c r="BK63" s="108">
        <v>1580.5658200571359</v>
      </c>
      <c r="BL63" s="108">
        <v>2.4921501900374423</v>
      </c>
      <c r="BM63" s="108">
        <v>1982.7546911937891</v>
      </c>
      <c r="BN63" s="108">
        <v>1.6528150002693642</v>
      </c>
      <c r="BO63" s="108">
        <v>1314.9796142143061</v>
      </c>
      <c r="BP63" s="108">
        <v>2.2967875843284133</v>
      </c>
      <c r="BQ63" s="108">
        <v>1827.3242020916857</v>
      </c>
      <c r="BR63" s="108">
        <v>2.220899579544394</v>
      </c>
      <c r="BS63" s="108">
        <v>1766.9477054855199</v>
      </c>
      <c r="BT63" s="108">
        <v>1.9813473542924935</v>
      </c>
      <c r="BU63" s="108">
        <v>1576.3599550751078</v>
      </c>
      <c r="BV63" s="108">
        <v>0</v>
      </c>
      <c r="BW63" s="108">
        <v>0</v>
      </c>
      <c r="BX63" s="108">
        <v>56.53858026070688</v>
      </c>
      <c r="BY63" s="108">
        <v>44982.094455418395</v>
      </c>
      <c r="BZ63" s="108">
        <v>23.02348207816588</v>
      </c>
      <c r="CA63" s="108">
        <v>18317.482341388775</v>
      </c>
      <c r="CB63" s="108">
        <v>0</v>
      </c>
      <c r="CC63" s="108">
        <v>0</v>
      </c>
      <c r="CD63" s="108">
        <v>48.090260093724737</v>
      </c>
      <c r="CE63" s="108">
        <v>38260.610930567404</v>
      </c>
      <c r="CF63" s="108">
        <v>0</v>
      </c>
      <c r="CG63" s="108">
        <v>0</v>
      </c>
      <c r="CH63" s="108">
        <v>0</v>
      </c>
      <c r="CI63" s="108">
        <v>0</v>
      </c>
      <c r="CJ63" s="108">
        <v>15.500130432345603</v>
      </c>
      <c r="CK63" s="108">
        <v>12331.903771974163</v>
      </c>
      <c r="CL63" s="108">
        <v>8.0210537687109653</v>
      </c>
      <c r="CM63" s="108">
        <v>6381.5503783864442</v>
      </c>
      <c r="CN63" s="108">
        <v>3.9318866222840119</v>
      </c>
      <c r="CO63" s="108">
        <v>3128.2089966891599</v>
      </c>
      <c r="CP63" s="108">
        <v>0</v>
      </c>
      <c r="CQ63" s="108">
        <v>0</v>
      </c>
      <c r="CR63" s="108">
        <v>0</v>
      </c>
      <c r="CS63" s="108">
        <v>0</v>
      </c>
      <c r="CT63" s="108">
        <v>3.0010376847484994</v>
      </c>
      <c r="CU63" s="108">
        <v>2387.6255819859061</v>
      </c>
    </row>
    <row r="64" spans="2:99" x14ac:dyDescent="0.2">
      <c r="C64" s="107" t="s">
        <v>229</v>
      </c>
      <c r="D64" s="108">
        <v>0</v>
      </c>
      <c r="E64" s="108">
        <v>0</v>
      </c>
      <c r="F64" s="108">
        <v>0</v>
      </c>
      <c r="G64" s="108">
        <v>0</v>
      </c>
      <c r="H64" s="108">
        <v>0</v>
      </c>
      <c r="I64" s="108">
        <v>0</v>
      </c>
      <c r="J64" s="108">
        <v>0</v>
      </c>
      <c r="K64" s="108">
        <v>0</v>
      </c>
      <c r="L64" s="108">
        <v>28.358237796620706</v>
      </c>
      <c r="M64" s="108">
        <v>28619.133584349613</v>
      </c>
      <c r="N64" s="108">
        <v>8.2881436161992088</v>
      </c>
      <c r="O64" s="108">
        <v>8364.3945374682407</v>
      </c>
      <c r="P64" s="108">
        <v>6.8357394854715734</v>
      </c>
      <c r="Q64" s="108">
        <v>6898.6282887379102</v>
      </c>
      <c r="R64" s="108">
        <v>10.062053836018842</v>
      </c>
      <c r="S64" s="108">
        <v>10154.624731310214</v>
      </c>
      <c r="T64" s="108">
        <v>0</v>
      </c>
      <c r="U64" s="108">
        <v>0</v>
      </c>
      <c r="V64" s="108">
        <v>10</v>
      </c>
      <c r="W64" s="108">
        <v>10091.999999999998</v>
      </c>
      <c r="X64" s="108">
        <v>7.4723868593407792</v>
      </c>
      <c r="Y64" s="108">
        <v>7541.1328184467129</v>
      </c>
      <c r="Z64" s="108">
        <v>8.463701566135132</v>
      </c>
      <c r="AA64" s="108">
        <v>8541.5676205435739</v>
      </c>
      <c r="AB64" s="108">
        <v>3.3509169239407859E-16</v>
      </c>
      <c r="AC64" s="108">
        <v>3.3817453596410403E-13</v>
      </c>
      <c r="AD64" s="108">
        <v>4.0311253338017137</v>
      </c>
      <c r="AE64" s="108">
        <v>4068.2116868726889</v>
      </c>
      <c r="AF64" s="108">
        <v>3.0843405716180068</v>
      </c>
      <c r="AG64" s="108">
        <v>3112.716504876892</v>
      </c>
      <c r="AH64" s="108">
        <v>2.8974309258743562</v>
      </c>
      <c r="AI64" s="108">
        <v>2924.0872903923996</v>
      </c>
      <c r="AJ64" s="108">
        <v>0</v>
      </c>
      <c r="AK64" s="108">
        <v>0</v>
      </c>
      <c r="AL64" s="108">
        <v>10.015814580768962</v>
      </c>
      <c r="AM64" s="108">
        <v>10107.960074912035</v>
      </c>
      <c r="AN64" s="108">
        <v>5.1384656472292569</v>
      </c>
      <c r="AO64" s="108">
        <v>5185.7395311837654</v>
      </c>
      <c r="AP64" s="108">
        <v>0</v>
      </c>
      <c r="AQ64" s="108">
        <v>0</v>
      </c>
      <c r="AR64" s="108">
        <v>2.907764360003132</v>
      </c>
      <c r="AS64" s="108">
        <v>2934.5157921151604</v>
      </c>
      <c r="AT64" s="108">
        <v>0</v>
      </c>
      <c r="AU64" s="108">
        <v>0</v>
      </c>
      <c r="AV64" s="108">
        <v>4.4076670025768223</v>
      </c>
      <c r="AW64" s="108">
        <v>4448.2175390005286</v>
      </c>
      <c r="AX64" s="108">
        <v>2.0696790863794283</v>
      </c>
      <c r="AY64" s="108">
        <v>2088.7201339741187</v>
      </c>
      <c r="AZ64" s="108">
        <v>13.329310252696834</v>
      </c>
      <c r="BA64" s="108">
        <v>13451.939907021642</v>
      </c>
      <c r="BB64" s="108">
        <v>0</v>
      </c>
      <c r="BC64" s="108">
        <v>0</v>
      </c>
      <c r="BD64" s="108">
        <v>19</v>
      </c>
      <c r="BE64" s="108">
        <v>19174.799999999996</v>
      </c>
      <c r="BF64" s="108">
        <v>7.5019356674696986</v>
      </c>
      <c r="BG64" s="108">
        <v>7570.9534756104185</v>
      </c>
      <c r="BH64" s="108">
        <v>3.7910302645281089</v>
      </c>
      <c r="BI64" s="108">
        <v>3825.9077429617669</v>
      </c>
      <c r="BJ64" s="108">
        <v>1.8216651233747259</v>
      </c>
      <c r="BK64" s="108">
        <v>1838.4244425097729</v>
      </c>
      <c r="BL64" s="108">
        <v>2.6847046795385743</v>
      </c>
      <c r="BM64" s="108">
        <v>2709.4039625903288</v>
      </c>
      <c r="BN64" s="108">
        <v>1.4807286936763666</v>
      </c>
      <c r="BO64" s="108">
        <v>1494.3513976581889</v>
      </c>
      <c r="BP64" s="108">
        <v>2.2800306313654293</v>
      </c>
      <c r="BQ64" s="108">
        <v>2301.0069131739906</v>
      </c>
      <c r="BR64" s="108">
        <v>2.0127124512547185</v>
      </c>
      <c r="BS64" s="108">
        <v>2031.2294058062616</v>
      </c>
      <c r="BT64" s="108">
        <v>1.9797793916610171</v>
      </c>
      <c r="BU64" s="108">
        <v>1997.993362064298</v>
      </c>
      <c r="BV64" s="108">
        <v>0</v>
      </c>
      <c r="BW64" s="108">
        <v>0</v>
      </c>
      <c r="BX64" s="108">
        <v>51.179473126990594</v>
      </c>
      <c r="BY64" s="108">
        <v>51650.324279758897</v>
      </c>
      <c r="BZ64" s="108">
        <v>22.323846753789581</v>
      </c>
      <c r="CA64" s="108">
        <v>22529.226143924443</v>
      </c>
      <c r="CB64" s="108">
        <v>0</v>
      </c>
      <c r="CC64" s="108">
        <v>0</v>
      </c>
      <c r="CD64" s="108">
        <v>46.448153651499993</v>
      </c>
      <c r="CE64" s="108">
        <v>46875.476665093782</v>
      </c>
      <c r="CF64" s="108">
        <v>0</v>
      </c>
      <c r="CG64" s="108">
        <v>0</v>
      </c>
      <c r="CH64" s="108">
        <v>0</v>
      </c>
      <c r="CI64" s="108">
        <v>0</v>
      </c>
      <c r="CJ64" s="108">
        <v>15.500130432345603</v>
      </c>
      <c r="CK64" s="108">
        <v>15642.731632323181</v>
      </c>
      <c r="CL64" s="108">
        <v>6.5893827995120153</v>
      </c>
      <c r="CM64" s="108">
        <v>6650.0051212675244</v>
      </c>
      <c r="CN64" s="108">
        <v>3.8640335576558904</v>
      </c>
      <c r="CO64" s="108">
        <v>3899.582666386324</v>
      </c>
      <c r="CP64" s="108">
        <v>0</v>
      </c>
      <c r="CQ64" s="108">
        <v>0</v>
      </c>
      <c r="CR64" s="108">
        <v>0</v>
      </c>
      <c r="CS64" s="108">
        <v>0</v>
      </c>
      <c r="CT64" s="108">
        <v>3.0010376847484994</v>
      </c>
      <c r="CU64" s="108">
        <v>3028.6472314481853</v>
      </c>
    </row>
    <row r="65" spans="2:99" x14ac:dyDescent="0.2">
      <c r="C65" s="107" t="s">
        <v>230</v>
      </c>
      <c r="D65" s="108">
        <v>0</v>
      </c>
      <c r="E65" s="108">
        <v>0</v>
      </c>
      <c r="F65" s="108">
        <v>0</v>
      </c>
      <c r="G65" s="108">
        <v>0</v>
      </c>
      <c r="H65" s="108">
        <v>0</v>
      </c>
      <c r="I65" s="108">
        <v>0</v>
      </c>
      <c r="J65" s="108">
        <v>0</v>
      </c>
      <c r="K65" s="108">
        <v>0</v>
      </c>
      <c r="L65" s="108">
        <v>26.629076955363342</v>
      </c>
      <c r="M65" s="108">
        <v>27321.432956202789</v>
      </c>
      <c r="N65" s="108">
        <v>7.8782496490241627</v>
      </c>
      <c r="O65" s="108">
        <v>8083.0841398987914</v>
      </c>
      <c r="P65" s="108">
        <v>6.3932772124442634</v>
      </c>
      <c r="Q65" s="108">
        <v>6559.5024199678146</v>
      </c>
      <c r="R65" s="108">
        <v>10.206682591567603</v>
      </c>
      <c r="S65" s="108">
        <v>10472.05633894836</v>
      </c>
      <c r="T65" s="108">
        <v>0</v>
      </c>
      <c r="U65" s="108">
        <v>0</v>
      </c>
      <c r="V65" s="108">
        <v>10</v>
      </c>
      <c r="W65" s="108">
        <v>10260</v>
      </c>
      <c r="X65" s="108">
        <v>6.369467683714972</v>
      </c>
      <c r="Y65" s="108">
        <v>6535.0738434915611</v>
      </c>
      <c r="Z65" s="108">
        <v>7.4344647124734706</v>
      </c>
      <c r="AA65" s="108">
        <v>7627.760794997781</v>
      </c>
      <c r="AB65" s="108">
        <v>3.6301600009358509E-16</v>
      </c>
      <c r="AC65" s="108">
        <v>3.7245441609601829E-13</v>
      </c>
      <c r="AD65" s="108">
        <v>3.7325234572238086</v>
      </c>
      <c r="AE65" s="108">
        <v>3829.5690671116276</v>
      </c>
      <c r="AF65" s="108">
        <v>2.9221319799669758</v>
      </c>
      <c r="AG65" s="108">
        <v>2998.1074114461171</v>
      </c>
      <c r="AH65" s="108">
        <v>2.9090728794850724</v>
      </c>
      <c r="AI65" s="108">
        <v>2984.7087743516845</v>
      </c>
      <c r="AJ65" s="108">
        <v>0</v>
      </c>
      <c r="AK65" s="108">
        <v>0</v>
      </c>
      <c r="AL65" s="108">
        <v>11.597258988258799</v>
      </c>
      <c r="AM65" s="108">
        <v>11898.787721953528</v>
      </c>
      <c r="AN65" s="108">
        <v>5.368892625963567</v>
      </c>
      <c r="AO65" s="108">
        <v>5508.4838342386201</v>
      </c>
      <c r="AP65" s="108">
        <v>0</v>
      </c>
      <c r="AQ65" s="108">
        <v>0</v>
      </c>
      <c r="AR65" s="108">
        <v>3.271234905003523</v>
      </c>
      <c r="AS65" s="108">
        <v>3356.2870125336144</v>
      </c>
      <c r="AT65" s="108">
        <v>0</v>
      </c>
      <c r="AU65" s="108">
        <v>0</v>
      </c>
      <c r="AV65" s="108">
        <v>3.5261336020614582</v>
      </c>
      <c r="AW65" s="108">
        <v>3617.8130757150561</v>
      </c>
      <c r="AX65" s="108">
        <v>2.0837152850249603</v>
      </c>
      <c r="AY65" s="108">
        <v>2137.8918824356092</v>
      </c>
      <c r="AZ65" s="108">
        <v>13.92741667855752</v>
      </c>
      <c r="BA65" s="108">
        <v>14289.529512200015</v>
      </c>
      <c r="BB65" s="108">
        <v>0</v>
      </c>
      <c r="BC65" s="108">
        <v>0</v>
      </c>
      <c r="BD65" s="108">
        <v>20</v>
      </c>
      <c r="BE65" s="108">
        <v>20520</v>
      </c>
      <c r="BF65" s="108">
        <v>8.2521292342166692</v>
      </c>
      <c r="BG65" s="108">
        <v>8466.6845943063017</v>
      </c>
      <c r="BH65" s="108">
        <v>3.7871085271921618</v>
      </c>
      <c r="BI65" s="108">
        <v>3885.5733488991582</v>
      </c>
      <c r="BJ65" s="108">
        <v>1.816536941900426</v>
      </c>
      <c r="BK65" s="108">
        <v>1863.766902389837</v>
      </c>
      <c r="BL65" s="108">
        <v>2.3261705100856669</v>
      </c>
      <c r="BM65" s="108">
        <v>2386.6509433478941</v>
      </c>
      <c r="BN65" s="108">
        <v>1.6525864914412125</v>
      </c>
      <c r="BO65" s="108">
        <v>1695.553740218684</v>
      </c>
      <c r="BP65" s="108">
        <v>2.281060223932537</v>
      </c>
      <c r="BQ65" s="108">
        <v>2340.3677897547832</v>
      </c>
      <c r="BR65" s="108">
        <v>2.2025259478320116</v>
      </c>
      <c r="BS65" s="108">
        <v>2259.7916224756441</v>
      </c>
      <c r="BT65" s="108">
        <v>1.8316801872651927</v>
      </c>
      <c r="BU65" s="108">
        <v>1879.3038721340877</v>
      </c>
      <c r="BV65" s="108">
        <v>0</v>
      </c>
      <c r="BW65" s="108">
        <v>0</v>
      </c>
      <c r="BX65" s="108">
        <v>43.408767783101972</v>
      </c>
      <c r="BY65" s="108">
        <v>44537.395745462622</v>
      </c>
      <c r="BZ65" s="108">
        <v>21.457796844845525</v>
      </c>
      <c r="CA65" s="108">
        <v>22015.699562811507</v>
      </c>
      <c r="CB65" s="108">
        <v>0</v>
      </c>
      <c r="CC65" s="108">
        <v>0</v>
      </c>
      <c r="CD65" s="108">
        <v>45.978980382292917</v>
      </c>
      <c r="CE65" s="108">
        <v>47174.433872232534</v>
      </c>
      <c r="CF65" s="108">
        <v>0</v>
      </c>
      <c r="CG65" s="108">
        <v>0</v>
      </c>
      <c r="CH65" s="108">
        <v>0</v>
      </c>
      <c r="CI65" s="108">
        <v>0</v>
      </c>
      <c r="CJ65" s="108">
        <v>15.241794925139844</v>
      </c>
      <c r="CK65" s="108">
        <v>15638.081593193479</v>
      </c>
      <c r="CL65" s="108">
        <v>7.5738585414545332</v>
      </c>
      <c r="CM65" s="108">
        <v>7770.7788635323514</v>
      </c>
      <c r="CN65" s="108">
        <v>4.2333264611630579</v>
      </c>
      <c r="CO65" s="108">
        <v>4343.3929491532972</v>
      </c>
      <c r="CP65" s="108">
        <v>0</v>
      </c>
      <c r="CQ65" s="108">
        <v>0</v>
      </c>
      <c r="CR65" s="108">
        <v>0</v>
      </c>
      <c r="CS65" s="108">
        <v>0</v>
      </c>
      <c r="CT65" s="108">
        <v>3.0010376847484994</v>
      </c>
      <c r="CU65" s="108">
        <v>3079.0646645519605</v>
      </c>
    </row>
    <row r="66" spans="2:99" x14ac:dyDescent="0.2">
      <c r="C66" s="107" t="s">
        <v>231</v>
      </c>
      <c r="D66" s="108">
        <v>0</v>
      </c>
      <c r="E66" s="108">
        <v>0</v>
      </c>
      <c r="F66" s="108">
        <v>0</v>
      </c>
      <c r="G66" s="108">
        <v>0</v>
      </c>
      <c r="H66" s="108">
        <v>0</v>
      </c>
      <c r="I66" s="108">
        <v>0</v>
      </c>
      <c r="J66" s="108">
        <v>0</v>
      </c>
      <c r="K66" s="108">
        <v>0</v>
      </c>
      <c r="L66" s="108">
        <v>26.629076955363342</v>
      </c>
      <c r="M66" s="108">
        <v>31699.253207664518</v>
      </c>
      <c r="N66" s="108">
        <v>7.3066535375621475</v>
      </c>
      <c r="O66" s="108">
        <v>8697.8403711139799</v>
      </c>
      <c r="P66" s="108">
        <v>6.5005442471776558</v>
      </c>
      <c r="Q66" s="108">
        <v>7738.2478718402808</v>
      </c>
      <c r="R66" s="108">
        <v>9.903090530753456</v>
      </c>
      <c r="S66" s="108">
        <v>11788.638967808913</v>
      </c>
      <c r="T66" s="108">
        <v>0</v>
      </c>
      <c r="U66" s="108">
        <v>0</v>
      </c>
      <c r="V66" s="108">
        <v>11</v>
      </c>
      <c r="W66" s="108">
        <v>13094.399999999998</v>
      </c>
      <c r="X66" s="108">
        <v>6.312476230009243</v>
      </c>
      <c r="Y66" s="108">
        <v>7514.3717042030021</v>
      </c>
      <c r="Z66" s="108">
        <v>6.69858857632597</v>
      </c>
      <c r="AA66" s="108">
        <v>7973.9998412584337</v>
      </c>
      <c r="AB66" s="108">
        <v>3.4905384624383187E-16</v>
      </c>
      <c r="AC66" s="108">
        <v>4.1551369856865743E-13</v>
      </c>
      <c r="AD66" s="108">
        <v>3.4339215806459045</v>
      </c>
      <c r="AE66" s="108">
        <v>4087.740249600884</v>
      </c>
      <c r="AF66" s="108">
        <v>3.2365174836158279</v>
      </c>
      <c r="AG66" s="108">
        <v>3852.7504124962811</v>
      </c>
      <c r="AH66" s="108">
        <v>2.896410457054249</v>
      </c>
      <c r="AI66" s="108">
        <v>3447.8870080773777</v>
      </c>
      <c r="AJ66" s="108">
        <v>0</v>
      </c>
      <c r="AK66" s="108">
        <v>0</v>
      </c>
      <c r="AL66" s="108">
        <v>9.4886664449390175</v>
      </c>
      <c r="AM66" s="108">
        <v>11295.308536055405</v>
      </c>
      <c r="AN66" s="108">
        <v>5.1791393344292329</v>
      </c>
      <c r="AO66" s="108">
        <v>6165.247463704558</v>
      </c>
      <c r="AP66" s="108">
        <v>0</v>
      </c>
      <c r="AQ66" s="108">
        <v>0</v>
      </c>
      <c r="AR66" s="108">
        <v>3.271234905003523</v>
      </c>
      <c r="AS66" s="108">
        <v>3894.0780309161933</v>
      </c>
      <c r="AT66" s="108">
        <v>0</v>
      </c>
      <c r="AU66" s="108">
        <v>0</v>
      </c>
      <c r="AV66" s="108">
        <v>3.9669003023191407</v>
      </c>
      <c r="AW66" s="108">
        <v>4722.1981198807043</v>
      </c>
      <c r="AX66" s="108">
        <v>2.2637864815362692</v>
      </c>
      <c r="AY66" s="108">
        <v>2694.8114276207743</v>
      </c>
      <c r="AZ66" s="108">
        <v>12.685059308258802</v>
      </c>
      <c r="BA66" s="108">
        <v>15100.294600551277</v>
      </c>
      <c r="BB66" s="108">
        <v>0</v>
      </c>
      <c r="BC66" s="108">
        <v>0</v>
      </c>
      <c r="BD66" s="108">
        <v>19</v>
      </c>
      <c r="BE66" s="108">
        <v>22617.599999999999</v>
      </c>
      <c r="BF66" s="108">
        <v>8.2521292342166692</v>
      </c>
      <c r="BG66" s="108">
        <v>9823.3346404115218</v>
      </c>
      <c r="BH66" s="108">
        <v>3.7910302645281089</v>
      </c>
      <c r="BI66" s="108">
        <v>4512.8424268942599</v>
      </c>
      <c r="BJ66" s="108">
        <v>1.6675357822751713</v>
      </c>
      <c r="BK66" s="108">
        <v>1985.0345952203636</v>
      </c>
      <c r="BL66" s="108">
        <v>2.4911678081357915</v>
      </c>
      <c r="BM66" s="108">
        <v>2965.4861588048457</v>
      </c>
      <c r="BN66" s="108">
        <v>1.4802716760200634</v>
      </c>
      <c r="BO66" s="108">
        <v>1762.1154031342833</v>
      </c>
      <c r="BP66" s="108">
        <v>2.0710187912425302</v>
      </c>
      <c r="BQ66" s="108">
        <v>2465.3407690951076</v>
      </c>
      <c r="BR66" s="108">
        <v>2.183160613770966</v>
      </c>
      <c r="BS66" s="108">
        <v>2598.8343946329578</v>
      </c>
      <c r="BT66" s="108">
        <v>1.9787340832400324</v>
      </c>
      <c r="BU66" s="108">
        <v>2355.4850526889345</v>
      </c>
      <c r="BV66" s="108">
        <v>0</v>
      </c>
      <c r="BW66" s="108">
        <v>0</v>
      </c>
      <c r="BX66" s="108">
        <v>47.428098133389184</v>
      </c>
      <c r="BY66" s="108">
        <v>56458.408017986476</v>
      </c>
      <c r="BZ66" s="108">
        <v>18.992084716475848</v>
      </c>
      <c r="CA66" s="108">
        <v>22608.177646492848</v>
      </c>
      <c r="CB66" s="108">
        <v>0</v>
      </c>
      <c r="CC66" s="108">
        <v>0</v>
      </c>
      <c r="CD66" s="108">
        <v>46.448153651499993</v>
      </c>
      <c r="CE66" s="108">
        <v>55291.882106745586</v>
      </c>
      <c r="CF66" s="108">
        <v>0</v>
      </c>
      <c r="CG66" s="108">
        <v>0</v>
      </c>
      <c r="CH66" s="108">
        <v>0</v>
      </c>
      <c r="CI66" s="108">
        <v>0</v>
      </c>
      <c r="CJ66" s="108">
        <v>13.433446374699523</v>
      </c>
      <c r="CK66" s="108">
        <v>15991.17456444231</v>
      </c>
      <c r="CL66" s="108">
        <v>6.8670101801648888</v>
      </c>
      <c r="CM66" s="108">
        <v>8174.4889184682825</v>
      </c>
      <c r="CN66" s="108">
        <v>4.1661879468385123</v>
      </c>
      <c r="CO66" s="108">
        <v>4959.4301319165643</v>
      </c>
      <c r="CP66" s="108">
        <v>0</v>
      </c>
      <c r="CQ66" s="108">
        <v>0</v>
      </c>
      <c r="CR66" s="108">
        <v>0</v>
      </c>
      <c r="CS66" s="108">
        <v>0</v>
      </c>
      <c r="CT66" s="108">
        <v>3.0010376847484994</v>
      </c>
      <c r="CU66" s="108">
        <v>3572.4352599246131</v>
      </c>
    </row>
    <row r="67" spans="2:99" x14ac:dyDescent="0.2">
      <c r="C67" s="107" t="s">
        <v>232</v>
      </c>
      <c r="D67" s="108">
        <v>0</v>
      </c>
      <c r="E67" s="108">
        <v>0</v>
      </c>
      <c r="F67" s="108">
        <v>0</v>
      </c>
      <c r="G67" s="108">
        <v>0</v>
      </c>
      <c r="H67" s="108">
        <v>0</v>
      </c>
      <c r="I67" s="108">
        <v>0</v>
      </c>
      <c r="J67" s="108">
        <v>0</v>
      </c>
      <c r="K67" s="108">
        <v>0</v>
      </c>
      <c r="L67" s="108">
        <v>28.704069964872176</v>
      </c>
      <c r="M67" s="108">
        <v>32240.41138454443</v>
      </c>
      <c r="N67" s="108">
        <v>7.3335151324499535</v>
      </c>
      <c r="O67" s="108">
        <v>8237.004196767788</v>
      </c>
      <c r="P67" s="108">
        <v>7.3079314638351835</v>
      </c>
      <c r="Q67" s="108">
        <v>8208.2686201796787</v>
      </c>
      <c r="R67" s="108">
        <v>10.311841297138457</v>
      </c>
      <c r="S67" s="108">
        <v>11582.260144945916</v>
      </c>
      <c r="T67" s="108">
        <v>0</v>
      </c>
      <c r="U67" s="108">
        <v>0</v>
      </c>
      <c r="V67" s="108">
        <v>11</v>
      </c>
      <c r="W67" s="108">
        <v>12355.2</v>
      </c>
      <c r="X67" s="108">
        <v>6.9494229983807401</v>
      </c>
      <c r="Y67" s="108">
        <v>7805.5919117812473</v>
      </c>
      <c r="Z67" s="108">
        <v>7.7718447125110108</v>
      </c>
      <c r="AA67" s="108">
        <v>8729.3359810923685</v>
      </c>
      <c r="AB67" s="108">
        <v>3.909403077930917E-16</v>
      </c>
      <c r="AC67" s="108">
        <v>4.3910415371320063E-13</v>
      </c>
      <c r="AD67" s="108">
        <v>3.8818243955127616</v>
      </c>
      <c r="AE67" s="108">
        <v>4360.0651610399336</v>
      </c>
      <c r="AF67" s="108">
        <v>3.2485138639828568</v>
      </c>
      <c r="AG67" s="108">
        <v>3648.7307720255449</v>
      </c>
      <c r="AH67" s="108">
        <v>2.896410457054249</v>
      </c>
      <c r="AI67" s="108">
        <v>3253.2482253633325</v>
      </c>
      <c r="AJ67" s="108">
        <v>0</v>
      </c>
      <c r="AK67" s="108">
        <v>0</v>
      </c>
      <c r="AL67" s="108">
        <v>11.597258988258799</v>
      </c>
      <c r="AM67" s="108">
        <v>13026.041295612284</v>
      </c>
      <c r="AN67" s="108">
        <v>5.1712886524740576</v>
      </c>
      <c r="AO67" s="108">
        <v>5808.3914144588616</v>
      </c>
      <c r="AP67" s="108">
        <v>0</v>
      </c>
      <c r="AQ67" s="108">
        <v>0</v>
      </c>
      <c r="AR67" s="108">
        <v>3.6347054500039144</v>
      </c>
      <c r="AS67" s="108">
        <v>4082.501161444397</v>
      </c>
      <c r="AT67" s="108">
        <v>0</v>
      </c>
      <c r="AU67" s="108">
        <v>0</v>
      </c>
      <c r="AV67" s="108">
        <v>3.9669003023191407</v>
      </c>
      <c r="AW67" s="108">
        <v>4455.6224195648592</v>
      </c>
      <c r="AX67" s="108">
        <v>1.9130015542773391</v>
      </c>
      <c r="AY67" s="108">
        <v>2148.6833457643074</v>
      </c>
      <c r="AZ67" s="108">
        <v>12.654296295873905</v>
      </c>
      <c r="BA67" s="108">
        <v>14213.305599525571</v>
      </c>
      <c r="BB67" s="108">
        <v>0</v>
      </c>
      <c r="BC67" s="108">
        <v>0</v>
      </c>
      <c r="BD67" s="108">
        <v>19</v>
      </c>
      <c r="BE67" s="108">
        <v>21340.799999999999</v>
      </c>
      <c r="BF67" s="108">
        <v>7.8770324508431848</v>
      </c>
      <c r="BG67" s="108">
        <v>8847.4828487870654</v>
      </c>
      <c r="BH67" s="108">
        <v>3.7910302645281089</v>
      </c>
      <c r="BI67" s="108">
        <v>4258.0851931179723</v>
      </c>
      <c r="BJ67" s="108">
        <v>1.7956372506917679</v>
      </c>
      <c r="BK67" s="108">
        <v>2016.8597599769939</v>
      </c>
      <c r="BL67" s="108">
        <v>2.6757372561441608</v>
      </c>
      <c r="BM67" s="108">
        <v>3005.3880861011216</v>
      </c>
      <c r="BN67" s="108">
        <v>1.3093279135678242</v>
      </c>
      <c r="BO67" s="108">
        <v>1470.6371125193803</v>
      </c>
      <c r="BP67" s="108">
        <v>2.2774566499476605</v>
      </c>
      <c r="BQ67" s="108">
        <v>2558.0393092212125</v>
      </c>
      <c r="BR67" s="108">
        <v>2.183160613770966</v>
      </c>
      <c r="BS67" s="108">
        <v>2452.126001387549</v>
      </c>
      <c r="BT67" s="108">
        <v>1.9942824044055094</v>
      </c>
      <c r="BU67" s="108">
        <v>2239.9779966282681</v>
      </c>
      <c r="BV67" s="108">
        <v>0</v>
      </c>
      <c r="BW67" s="108">
        <v>0</v>
      </c>
      <c r="BX67" s="108">
        <v>46.892187420017557</v>
      </c>
      <c r="BY67" s="108">
        <v>52669.304910163723</v>
      </c>
      <c r="BZ67" s="108">
        <v>21.090990689604745</v>
      </c>
      <c r="CA67" s="108">
        <v>23689.400742564048</v>
      </c>
      <c r="CB67" s="108">
        <v>0</v>
      </c>
      <c r="CC67" s="108">
        <v>0</v>
      </c>
      <c r="CD67" s="108">
        <v>42.225594228636361</v>
      </c>
      <c r="CE67" s="108">
        <v>47427.787437604362</v>
      </c>
      <c r="CF67" s="108">
        <v>0</v>
      </c>
      <c r="CG67" s="108">
        <v>0</v>
      </c>
      <c r="CH67" s="108">
        <v>0</v>
      </c>
      <c r="CI67" s="108">
        <v>0</v>
      </c>
      <c r="CJ67" s="108">
        <v>14.208452896316803</v>
      </c>
      <c r="CK67" s="108">
        <v>15958.934293143035</v>
      </c>
      <c r="CL67" s="108">
        <v>6.4466205949918844</v>
      </c>
      <c r="CM67" s="108">
        <v>7240.8442522948853</v>
      </c>
      <c r="CN67" s="108">
        <v>3.8893884077482017</v>
      </c>
      <c r="CO67" s="108">
        <v>4368.5610595827802</v>
      </c>
      <c r="CP67" s="108">
        <v>0</v>
      </c>
      <c r="CQ67" s="108">
        <v>0</v>
      </c>
      <c r="CR67" s="108">
        <v>0</v>
      </c>
      <c r="CS67" s="108">
        <v>0</v>
      </c>
      <c r="CT67" s="108">
        <v>3.0010376847484994</v>
      </c>
      <c r="CU67" s="108">
        <v>3370.7655275095149</v>
      </c>
    </row>
    <row r="68" spans="2:99" x14ac:dyDescent="0.2">
      <c r="C68" s="107" t="s">
        <v>233</v>
      </c>
      <c r="D68" s="108">
        <v>0</v>
      </c>
      <c r="E68" s="108">
        <v>0</v>
      </c>
      <c r="F68" s="108">
        <v>0</v>
      </c>
      <c r="G68" s="108">
        <v>0</v>
      </c>
      <c r="H68" s="108">
        <v>0</v>
      </c>
      <c r="I68" s="108">
        <v>0</v>
      </c>
      <c r="J68" s="108">
        <v>0</v>
      </c>
      <c r="K68" s="108">
        <v>0</v>
      </c>
      <c r="L68" s="108">
        <v>26.283244787111869</v>
      </c>
      <c r="M68" s="108">
        <v>27155.848514043984</v>
      </c>
      <c r="N68" s="108">
        <v>7.0530893956965075</v>
      </c>
      <c r="O68" s="108">
        <v>7287.2519636336319</v>
      </c>
      <c r="P68" s="108">
        <v>7.5245560726909533</v>
      </c>
      <c r="Q68" s="108">
        <v>7774.3713343042937</v>
      </c>
      <c r="R68" s="108">
        <v>10.479595355727666</v>
      </c>
      <c r="S68" s="108">
        <v>10827.517921537825</v>
      </c>
      <c r="T68" s="108">
        <v>0</v>
      </c>
      <c r="U68" s="108">
        <v>0</v>
      </c>
      <c r="V68" s="108">
        <v>11</v>
      </c>
      <c r="W68" s="108">
        <v>11365.2</v>
      </c>
      <c r="X68" s="108">
        <v>7.5293783130465082</v>
      </c>
      <c r="Y68" s="108">
        <v>7779.3536730396527</v>
      </c>
      <c r="Z68" s="108">
        <v>7.3904454299500895</v>
      </c>
      <c r="AA68" s="108">
        <v>7635.8082182244325</v>
      </c>
      <c r="AB68" s="108">
        <v>3.7697815394333842E-16</v>
      </c>
      <c r="AC68" s="108">
        <v>3.8949382865425729E-13</v>
      </c>
      <c r="AD68" s="108">
        <v>3.8818243955127616</v>
      </c>
      <c r="AE68" s="108">
        <v>4010.7009654437857</v>
      </c>
      <c r="AF68" s="108">
        <v>3.2475315136259471</v>
      </c>
      <c r="AG68" s="108">
        <v>3355.3495598783288</v>
      </c>
      <c r="AH68" s="108">
        <v>2.7566311487364996</v>
      </c>
      <c r="AI68" s="108">
        <v>2848.1513028745517</v>
      </c>
      <c r="AJ68" s="108">
        <v>0</v>
      </c>
      <c r="AK68" s="108">
        <v>0</v>
      </c>
      <c r="AL68" s="108">
        <v>10.542962716598907</v>
      </c>
      <c r="AM68" s="108">
        <v>10892.989078789991</v>
      </c>
      <c r="AN68" s="108">
        <v>5.4056409721859557</v>
      </c>
      <c r="AO68" s="108">
        <v>5585.1082524625299</v>
      </c>
      <c r="AP68" s="108">
        <v>0</v>
      </c>
      <c r="AQ68" s="108">
        <v>0</v>
      </c>
      <c r="AR68" s="108">
        <v>3.6347054500039144</v>
      </c>
      <c r="AS68" s="108">
        <v>3755.3776709440444</v>
      </c>
      <c r="AT68" s="108">
        <v>0</v>
      </c>
      <c r="AU68" s="108">
        <v>0</v>
      </c>
      <c r="AV68" s="108">
        <v>3.5261336020614582</v>
      </c>
      <c r="AW68" s="108">
        <v>3643.2012376498988</v>
      </c>
      <c r="AX68" s="108">
        <v>2.0790365521431164</v>
      </c>
      <c r="AY68" s="108">
        <v>2148.0605656742682</v>
      </c>
      <c r="AZ68" s="108">
        <v>15.13901103647134</v>
      </c>
      <c r="BA68" s="108">
        <v>15641.626202882189</v>
      </c>
      <c r="BB68" s="108">
        <v>0</v>
      </c>
      <c r="BC68" s="108">
        <v>0</v>
      </c>
      <c r="BD68" s="108">
        <v>19</v>
      </c>
      <c r="BE68" s="108">
        <v>19630.8</v>
      </c>
      <c r="BF68" s="108">
        <v>8.2521292342166692</v>
      </c>
      <c r="BG68" s="108">
        <v>8526.0999247926629</v>
      </c>
      <c r="BH68" s="108">
        <v>4.1030277159028374</v>
      </c>
      <c r="BI68" s="108">
        <v>4239.2482360708118</v>
      </c>
      <c r="BJ68" s="108">
        <v>1.8204967713438287</v>
      </c>
      <c r="BK68" s="108">
        <v>1880.937264152444</v>
      </c>
      <c r="BL68" s="108">
        <v>2.6750823348763939</v>
      </c>
      <c r="BM68" s="108">
        <v>2763.8950683942903</v>
      </c>
      <c r="BN68" s="108">
        <v>1.4868859870591717</v>
      </c>
      <c r="BO68" s="108">
        <v>1536.2506018295362</v>
      </c>
      <c r="BP68" s="108">
        <v>2.2596701044175691</v>
      </c>
      <c r="BQ68" s="108">
        <v>2334.6911518842326</v>
      </c>
      <c r="BR68" s="108">
        <v>2.1836564649452974</v>
      </c>
      <c r="BS68" s="108">
        <v>2256.1538595814814</v>
      </c>
      <c r="BT68" s="108">
        <v>1.8342934583176542</v>
      </c>
      <c r="BU68" s="108">
        <v>1895.1920011338004</v>
      </c>
      <c r="BV68" s="108">
        <v>0</v>
      </c>
      <c r="BW68" s="108">
        <v>0</v>
      </c>
      <c r="BX68" s="108">
        <v>46.624232063331746</v>
      </c>
      <c r="BY68" s="108">
        <v>48172.156567834361</v>
      </c>
      <c r="BZ68" s="108">
        <v>19.525305456284386</v>
      </c>
      <c r="CA68" s="108">
        <v>20173.545597433029</v>
      </c>
      <c r="CB68" s="108">
        <v>0</v>
      </c>
      <c r="CC68" s="108">
        <v>0</v>
      </c>
      <c r="CD68" s="108">
        <v>43.398527401654036</v>
      </c>
      <c r="CE68" s="108">
        <v>44839.358511388949</v>
      </c>
      <c r="CF68" s="108">
        <v>0</v>
      </c>
      <c r="CG68" s="108">
        <v>0</v>
      </c>
      <c r="CH68" s="108">
        <v>0</v>
      </c>
      <c r="CI68" s="108">
        <v>0</v>
      </c>
      <c r="CJ68" s="108">
        <v>15.500130432345603</v>
      </c>
      <c r="CK68" s="108">
        <v>16014.734762699478</v>
      </c>
      <c r="CL68" s="108">
        <v>7.2889570437985194</v>
      </c>
      <c r="CM68" s="108">
        <v>7530.9504176526307</v>
      </c>
      <c r="CN68" s="108">
        <v>3.9458145103614237</v>
      </c>
      <c r="CO68" s="108">
        <v>4076.8155521054232</v>
      </c>
      <c r="CP68" s="108">
        <v>0</v>
      </c>
      <c r="CQ68" s="108">
        <v>0</v>
      </c>
      <c r="CR68" s="108">
        <v>0</v>
      </c>
      <c r="CS68" s="108">
        <v>0</v>
      </c>
      <c r="CT68" s="108">
        <v>3.5012106322065826</v>
      </c>
      <c r="CU68" s="108">
        <v>3617.4508251958414</v>
      </c>
    </row>
    <row r="69" spans="2:99" x14ac:dyDescent="0.2">
      <c r="C69" s="107" t="s">
        <v>234</v>
      </c>
      <c r="D69" s="108">
        <v>0</v>
      </c>
      <c r="E69" s="108">
        <v>0</v>
      </c>
      <c r="F69" s="108">
        <v>0</v>
      </c>
      <c r="G69" s="108">
        <v>0</v>
      </c>
      <c r="H69" s="108">
        <v>0</v>
      </c>
      <c r="I69" s="108">
        <v>0</v>
      </c>
      <c r="J69" s="108">
        <v>0</v>
      </c>
      <c r="K69" s="108">
        <v>0</v>
      </c>
      <c r="L69" s="108">
        <v>30.779062974381002</v>
      </c>
      <c r="M69" s="108">
        <v>23342.841359770551</v>
      </c>
      <c r="N69" s="108">
        <v>7.5978239122707167</v>
      </c>
      <c r="O69" s="108">
        <v>5762.1896550661113</v>
      </c>
      <c r="P69" s="108">
        <v>8.115466489320994</v>
      </c>
      <c r="Q69" s="108">
        <v>6154.769785501042</v>
      </c>
      <c r="R69" s="108">
        <v>10.34358067354413</v>
      </c>
      <c r="S69" s="108">
        <v>7844.5715828158682</v>
      </c>
      <c r="T69" s="108">
        <v>0</v>
      </c>
      <c r="U69" s="108">
        <v>0</v>
      </c>
      <c r="V69" s="108">
        <v>12</v>
      </c>
      <c r="W69" s="108">
        <v>9100.7999999999993</v>
      </c>
      <c r="X69" s="108">
        <v>6.8924315446750111</v>
      </c>
      <c r="Y69" s="108">
        <v>5227.2200834815285</v>
      </c>
      <c r="Z69" s="108">
        <v>8.119004427793973</v>
      </c>
      <c r="AA69" s="108">
        <v>6157.452958038949</v>
      </c>
      <c r="AB69" s="108">
        <v>4.188646154925982E-16</v>
      </c>
      <c r="AC69" s="108">
        <v>3.1766692438958649E-13</v>
      </c>
      <c r="AD69" s="108">
        <v>3.5832225189348565</v>
      </c>
      <c r="AE69" s="108">
        <v>2717.5159583601953</v>
      </c>
      <c r="AF69" s="108">
        <v>2.9336371851555496</v>
      </c>
      <c r="AG69" s="108">
        <v>2224.8704412219686</v>
      </c>
      <c r="AH69" s="108">
        <v>3.0488521878028214</v>
      </c>
      <c r="AI69" s="108">
        <v>2312.2494992296597</v>
      </c>
      <c r="AJ69" s="108">
        <v>0</v>
      </c>
      <c r="AK69" s="108">
        <v>0</v>
      </c>
      <c r="AL69" s="108">
        <v>11.070110852428854</v>
      </c>
      <c r="AM69" s="108">
        <v>8395.5720704820433</v>
      </c>
      <c r="AN69" s="108">
        <v>6.161147641454388</v>
      </c>
      <c r="AO69" s="108">
        <v>4672.6143712790081</v>
      </c>
      <c r="AP69" s="108">
        <v>0</v>
      </c>
      <c r="AQ69" s="108">
        <v>0</v>
      </c>
      <c r="AR69" s="108">
        <v>3.271234905003523</v>
      </c>
      <c r="AS69" s="108">
        <v>2480.9045519546717</v>
      </c>
      <c r="AT69" s="108">
        <v>0</v>
      </c>
      <c r="AU69" s="108">
        <v>0</v>
      </c>
      <c r="AV69" s="108">
        <v>3.9669003023191407</v>
      </c>
      <c r="AW69" s="108">
        <v>3008.4971892788362</v>
      </c>
      <c r="AX69" s="108">
        <v>2.2591077486544249</v>
      </c>
      <c r="AY69" s="108">
        <v>1713.3073165795158</v>
      </c>
      <c r="AZ69" s="108">
        <v>15.79864348710182</v>
      </c>
      <c r="BA69" s="108">
        <v>11981.69122061802</v>
      </c>
      <c r="BB69" s="108">
        <v>0</v>
      </c>
      <c r="BC69" s="108">
        <v>0</v>
      </c>
      <c r="BD69" s="108">
        <v>22</v>
      </c>
      <c r="BE69" s="108">
        <v>16684.8</v>
      </c>
      <c r="BF69" s="108">
        <v>8.2521292342166692</v>
      </c>
      <c r="BG69" s="108">
        <v>6258.4148112299217</v>
      </c>
      <c r="BH69" s="108">
        <v>3.794952001864055</v>
      </c>
      <c r="BI69" s="108">
        <v>2878.0915982136994</v>
      </c>
      <c r="BJ69" s="108">
        <v>1.8240018274365202</v>
      </c>
      <c r="BK69" s="108">
        <v>1383.322985927857</v>
      </c>
      <c r="BL69" s="108">
        <v>2.3271528919873172</v>
      </c>
      <c r="BM69" s="108">
        <v>1764.9127532831812</v>
      </c>
      <c r="BN69" s="108">
        <v>1.4887140576843847</v>
      </c>
      <c r="BO69" s="108">
        <v>1129.0407413478374</v>
      </c>
      <c r="BP69" s="108">
        <v>2.4691967408240219</v>
      </c>
      <c r="BQ69" s="108">
        <v>1872.638808240938</v>
      </c>
      <c r="BR69" s="108">
        <v>2.0295985294441059</v>
      </c>
      <c r="BS69" s="108">
        <v>1539.2475247304099</v>
      </c>
      <c r="BT69" s="108">
        <v>1.9782114290295401</v>
      </c>
      <c r="BU69" s="108">
        <v>1500.2755477760031</v>
      </c>
      <c r="BV69" s="108">
        <v>0</v>
      </c>
      <c r="BW69" s="108">
        <v>0</v>
      </c>
      <c r="BX69" s="108">
        <v>52.519249910419667</v>
      </c>
      <c r="BY69" s="108">
        <v>39830.599132062278</v>
      </c>
      <c r="BZ69" s="108">
        <v>24.081429311256649</v>
      </c>
      <c r="CA69" s="108">
        <v>18263.35598965704</v>
      </c>
      <c r="CB69" s="108">
        <v>0</v>
      </c>
      <c r="CC69" s="108">
        <v>0</v>
      </c>
      <c r="CD69" s="108">
        <v>48.090260093724737</v>
      </c>
      <c r="CE69" s="108">
        <v>36471.653255080841</v>
      </c>
      <c r="CF69" s="108">
        <v>0</v>
      </c>
      <c r="CG69" s="108">
        <v>0</v>
      </c>
      <c r="CH69" s="108">
        <v>0</v>
      </c>
      <c r="CI69" s="108">
        <v>0</v>
      </c>
      <c r="CJ69" s="108">
        <v>16.533472461168643</v>
      </c>
      <c r="CK69" s="108">
        <v>12538.985514550299</v>
      </c>
      <c r="CL69" s="108">
        <v>7.5921442437663194</v>
      </c>
      <c r="CM69" s="108">
        <v>5757.8821944723768</v>
      </c>
      <c r="CN69" s="108">
        <v>3.9308147968286495</v>
      </c>
      <c r="CO69" s="108">
        <v>2981.1299419148477</v>
      </c>
      <c r="CP69" s="108">
        <v>0</v>
      </c>
      <c r="CQ69" s="108">
        <v>0</v>
      </c>
      <c r="CR69" s="108">
        <v>0</v>
      </c>
      <c r="CS69" s="108">
        <v>0</v>
      </c>
      <c r="CT69" s="108">
        <v>3.5012106322065826</v>
      </c>
      <c r="CU69" s="108">
        <v>2655.3181434654721</v>
      </c>
    </row>
    <row r="70" spans="2:99" x14ac:dyDescent="0.2">
      <c r="C70" s="107" t="s">
        <v>235</v>
      </c>
      <c r="D70" s="108">
        <v>0</v>
      </c>
      <c r="E70" s="108">
        <v>0</v>
      </c>
      <c r="F70" s="108">
        <v>0</v>
      </c>
      <c r="G70" s="108">
        <v>0</v>
      </c>
      <c r="H70" s="108">
        <v>0</v>
      </c>
      <c r="I70" s="108">
        <v>0</v>
      </c>
      <c r="J70" s="108">
        <v>0</v>
      </c>
      <c r="K70" s="108">
        <v>0</v>
      </c>
      <c r="L70" s="108">
        <v>33.545720320392789</v>
      </c>
      <c r="M70" s="108">
        <v>17953.669515474219</v>
      </c>
      <c r="N70" s="108">
        <v>8.8597397276612231</v>
      </c>
      <c r="O70" s="108">
        <v>4741.732702244286</v>
      </c>
      <c r="P70" s="108">
        <v>8.6855646382739415</v>
      </c>
      <c r="Q70" s="108">
        <v>4648.5141944042125</v>
      </c>
      <c r="R70" s="108">
        <v>11.191584823009617</v>
      </c>
      <c r="S70" s="108">
        <v>5989.7361972747458</v>
      </c>
      <c r="T70" s="108">
        <v>0</v>
      </c>
      <c r="U70" s="108">
        <v>0</v>
      </c>
      <c r="V70" s="108">
        <v>12</v>
      </c>
      <c r="W70" s="108">
        <v>6422.4</v>
      </c>
      <c r="X70" s="108">
        <v>8.1093336277122763</v>
      </c>
      <c r="Y70" s="108">
        <v>4340.11535755161</v>
      </c>
      <c r="Z70" s="108">
        <v>8.705749393662888</v>
      </c>
      <c r="AA70" s="108">
        <v>4659.3170754883768</v>
      </c>
      <c r="AB70" s="108">
        <v>4.188646154925982E-16</v>
      </c>
      <c r="AC70" s="108">
        <v>2.2417634221163853E-13</v>
      </c>
      <c r="AD70" s="108">
        <v>4.0311253338017137</v>
      </c>
      <c r="AE70" s="108">
        <v>2157.4582786506767</v>
      </c>
      <c r="AF70" s="108">
        <v>3.2490050391613114</v>
      </c>
      <c r="AG70" s="108">
        <v>1738.8674969591336</v>
      </c>
      <c r="AH70" s="108">
        <v>2.7687833367572701</v>
      </c>
      <c r="AI70" s="108">
        <v>1481.8528418324906</v>
      </c>
      <c r="AJ70" s="108">
        <v>0</v>
      </c>
      <c r="AK70" s="108">
        <v>0</v>
      </c>
      <c r="AL70" s="108">
        <v>10.542962716598907</v>
      </c>
      <c r="AM70" s="108">
        <v>5642.5936459237346</v>
      </c>
      <c r="AN70" s="108">
        <v>5.5066150514738474</v>
      </c>
      <c r="AO70" s="108">
        <v>2947.1403755488027</v>
      </c>
      <c r="AP70" s="108">
        <v>0</v>
      </c>
      <c r="AQ70" s="108">
        <v>0</v>
      </c>
      <c r="AR70" s="108">
        <v>3.6347054500039144</v>
      </c>
      <c r="AS70" s="108">
        <v>1945.2943568420947</v>
      </c>
      <c r="AT70" s="108">
        <v>0</v>
      </c>
      <c r="AU70" s="108">
        <v>0</v>
      </c>
      <c r="AV70" s="108">
        <v>4.4076670025768223</v>
      </c>
      <c r="AW70" s="108">
        <v>2358.9833797791148</v>
      </c>
      <c r="AX70" s="108">
        <v>2.4251427465202022</v>
      </c>
      <c r="AY70" s="108">
        <v>1297.9363979376121</v>
      </c>
      <c r="AZ70" s="108">
        <v>17.071763869785435</v>
      </c>
      <c r="BA70" s="108">
        <v>9136.8080231091644</v>
      </c>
      <c r="BB70" s="108">
        <v>0</v>
      </c>
      <c r="BC70" s="108">
        <v>0</v>
      </c>
      <c r="BD70" s="108">
        <v>21</v>
      </c>
      <c r="BE70" s="108">
        <v>11239.199999999999</v>
      </c>
      <c r="BF70" s="108">
        <v>8.6272260175901554</v>
      </c>
      <c r="BG70" s="108">
        <v>4617.2913646142506</v>
      </c>
      <c r="BH70" s="108">
        <v>4.1069494532387845</v>
      </c>
      <c r="BI70" s="108">
        <v>2198.039347373397</v>
      </c>
      <c r="BJ70" s="108">
        <v>1.816536941900426</v>
      </c>
      <c r="BK70" s="108">
        <v>972.21057130510792</v>
      </c>
      <c r="BL70" s="108">
        <v>2.5193799208545653</v>
      </c>
      <c r="BM70" s="108">
        <v>1348.3721336413632</v>
      </c>
      <c r="BN70" s="108">
        <v>1.6598863289647756</v>
      </c>
      <c r="BO70" s="108">
        <v>888.3711632619478</v>
      </c>
      <c r="BP70" s="108">
        <v>2.4676523519733604</v>
      </c>
      <c r="BQ70" s="108">
        <v>1320.6875387761422</v>
      </c>
      <c r="BR70" s="108">
        <v>2.4131923319933453</v>
      </c>
      <c r="BS70" s="108">
        <v>1291.5405360828381</v>
      </c>
      <c r="BT70" s="108">
        <v>1.9974183296684629</v>
      </c>
      <c r="BU70" s="108">
        <v>1069.0182900385612</v>
      </c>
      <c r="BV70" s="108">
        <v>0</v>
      </c>
      <c r="BW70" s="108">
        <v>0</v>
      </c>
      <c r="BX70" s="108">
        <v>52.519249910419667</v>
      </c>
      <c r="BY70" s="108">
        <v>28108.302552056601</v>
      </c>
      <c r="BZ70" s="108">
        <v>25.472205713482932</v>
      </c>
      <c r="CA70" s="108">
        <v>13632.724497856063</v>
      </c>
      <c r="CB70" s="108">
        <v>0</v>
      </c>
      <c r="CC70" s="108">
        <v>0</v>
      </c>
      <c r="CD70" s="108">
        <v>50.20153980515655</v>
      </c>
      <c r="CE70" s="108">
        <v>26867.864103719781</v>
      </c>
      <c r="CF70" s="108">
        <v>0</v>
      </c>
      <c r="CG70" s="108">
        <v>0</v>
      </c>
      <c r="CH70" s="108">
        <v>0</v>
      </c>
      <c r="CI70" s="108">
        <v>0</v>
      </c>
      <c r="CJ70" s="108">
        <v>18.341821011608964</v>
      </c>
      <c r="CK70" s="108">
        <v>9816.5426054131167</v>
      </c>
      <c r="CL70" s="108">
        <v>7.3061526511878672</v>
      </c>
      <c r="CM70" s="108">
        <v>3910.2528989157458</v>
      </c>
      <c r="CN70" s="108">
        <v>3.9993824117603451</v>
      </c>
      <c r="CO70" s="108">
        <v>2140.4694667741364</v>
      </c>
      <c r="CP70" s="108">
        <v>0</v>
      </c>
      <c r="CQ70" s="108">
        <v>0</v>
      </c>
      <c r="CR70" s="108">
        <v>0</v>
      </c>
      <c r="CS70" s="108">
        <v>0</v>
      </c>
      <c r="CT70" s="108">
        <v>3.5012106322065826</v>
      </c>
      <c r="CU70" s="108">
        <v>1873.8479303569627</v>
      </c>
    </row>
    <row r="71" spans="2:99" x14ac:dyDescent="0.2">
      <c r="B71" s="107" t="s">
        <v>130</v>
      </c>
      <c r="C71" s="107" t="s">
        <v>236</v>
      </c>
      <c r="D71" s="108">
        <v>0</v>
      </c>
      <c r="E71" s="108">
        <v>0</v>
      </c>
      <c r="F71" s="108">
        <v>0</v>
      </c>
      <c r="G71" s="108">
        <v>0</v>
      </c>
      <c r="H71" s="108">
        <v>21.163295469224391</v>
      </c>
      <c r="I71" s="108">
        <v>11936.098644642556</v>
      </c>
      <c r="J71" s="108">
        <v>0</v>
      </c>
      <c r="K71" s="108">
        <v>0</v>
      </c>
      <c r="L71" s="108">
        <v>43.753592662971975</v>
      </c>
      <c r="M71" s="108">
        <v>24677.026261916195</v>
      </c>
      <c r="N71" s="108">
        <v>24.181010126686154</v>
      </c>
      <c r="O71" s="108">
        <v>13638.08971145099</v>
      </c>
      <c r="P71" s="108">
        <v>0</v>
      </c>
      <c r="Q71" s="108">
        <v>0</v>
      </c>
      <c r="R71" s="108">
        <v>21.070064668754217</v>
      </c>
      <c r="S71" s="108">
        <v>11883.516473177378</v>
      </c>
      <c r="T71" s="108">
        <v>15.116517490405011</v>
      </c>
      <c r="U71" s="108">
        <v>8525.7158645884265</v>
      </c>
      <c r="V71" s="108">
        <v>24.44490840803525</v>
      </c>
      <c r="W71" s="108">
        <v>13786.928342131881</v>
      </c>
      <c r="X71" s="108">
        <v>4.507953189266404</v>
      </c>
      <c r="Y71" s="108">
        <v>2542.485598746252</v>
      </c>
      <c r="Z71" s="108">
        <v>0</v>
      </c>
      <c r="AA71" s="108">
        <v>0</v>
      </c>
      <c r="AB71" s="108">
        <v>28</v>
      </c>
      <c r="AC71" s="108">
        <v>15792</v>
      </c>
      <c r="AD71" s="108">
        <v>23.447988323934005</v>
      </c>
      <c r="AE71" s="108">
        <v>13224.665414698778</v>
      </c>
      <c r="AF71" s="108">
        <v>1.051181022074171E-15</v>
      </c>
      <c r="AG71" s="108">
        <v>5.9286609644983244E-13</v>
      </c>
      <c r="AH71" s="108">
        <v>0</v>
      </c>
      <c r="AI71" s="108">
        <v>0</v>
      </c>
      <c r="AJ71" s="108">
        <v>5.7131399206251912</v>
      </c>
      <c r="AK71" s="108">
        <v>3222.2109152326079</v>
      </c>
      <c r="AL71" s="108">
        <v>17.078839962325844</v>
      </c>
      <c r="AM71" s="108">
        <v>9632.4657387517764</v>
      </c>
      <c r="AN71" s="108">
        <v>6.7953201825798955</v>
      </c>
      <c r="AO71" s="108">
        <v>3832.5605829750612</v>
      </c>
      <c r="AP71" s="108">
        <v>14.319834693099622</v>
      </c>
      <c r="AQ71" s="108">
        <v>8076.3867669081874</v>
      </c>
      <c r="AR71" s="108">
        <v>30.991841625007869</v>
      </c>
      <c r="AS71" s="108">
        <v>17479.398676504439</v>
      </c>
      <c r="AT71" s="108">
        <v>26.132606129074503</v>
      </c>
      <c r="AU71" s="108">
        <v>14738.789856798019</v>
      </c>
      <c r="AV71" s="108">
        <v>0</v>
      </c>
      <c r="AW71" s="108">
        <v>0</v>
      </c>
      <c r="AX71" s="108">
        <v>49.614794610868017</v>
      </c>
      <c r="AY71" s="108">
        <v>27982.744160529561</v>
      </c>
      <c r="AZ71" s="108">
        <v>0</v>
      </c>
      <c r="BA71" s="108">
        <v>0</v>
      </c>
      <c r="BB71" s="108">
        <v>23.298640776699031</v>
      </c>
      <c r="BC71" s="108">
        <v>13140.433398058254</v>
      </c>
      <c r="BD71" s="108">
        <v>21.422934782509078</v>
      </c>
      <c r="BE71" s="108">
        <v>12082.53521733512</v>
      </c>
      <c r="BF71" s="108">
        <v>0</v>
      </c>
      <c r="BG71" s="108">
        <v>0</v>
      </c>
      <c r="BH71" s="108">
        <v>14</v>
      </c>
      <c r="BI71" s="108">
        <v>7896</v>
      </c>
      <c r="BJ71" s="108">
        <v>19.92903607571019</v>
      </c>
      <c r="BK71" s="108">
        <v>11239.976346700547</v>
      </c>
      <c r="BL71" s="108">
        <v>22.447792609429563</v>
      </c>
      <c r="BM71" s="108">
        <v>12660.555031718273</v>
      </c>
      <c r="BN71" s="108">
        <v>15.466875383289434</v>
      </c>
      <c r="BO71" s="108">
        <v>8723.317716175241</v>
      </c>
      <c r="BP71" s="108">
        <v>10.398086986934118</v>
      </c>
      <c r="BQ71" s="108">
        <v>5864.5210606308428</v>
      </c>
      <c r="BR71" s="108">
        <v>0</v>
      </c>
      <c r="BS71" s="108">
        <v>0</v>
      </c>
      <c r="BT71" s="108">
        <v>0</v>
      </c>
      <c r="BU71" s="108">
        <v>0</v>
      </c>
      <c r="BV71" s="108">
        <v>16</v>
      </c>
      <c r="BW71" s="108">
        <v>9024</v>
      </c>
      <c r="BX71" s="108">
        <v>8.0200711591309215</v>
      </c>
      <c r="BY71" s="108">
        <v>4523.3201337498394</v>
      </c>
      <c r="BZ71" s="108">
        <v>7.1189398768279997</v>
      </c>
      <c r="CA71" s="108">
        <v>4015.082090530992</v>
      </c>
      <c r="CB71" s="108">
        <v>11.065105560607821</v>
      </c>
      <c r="CC71" s="108">
        <v>6240.7195361828108</v>
      </c>
      <c r="CD71" s="108">
        <v>5.5162419830170384</v>
      </c>
      <c r="CE71" s="108">
        <v>3111.1604784216097</v>
      </c>
      <c r="CF71" s="108">
        <v>0</v>
      </c>
      <c r="CG71" s="108">
        <v>0</v>
      </c>
      <c r="CH71" s="108">
        <v>25.514161098657038</v>
      </c>
      <c r="CI71" s="108">
        <v>14389.986859642569</v>
      </c>
      <c r="CJ71" s="108">
        <v>39.244797389537965</v>
      </c>
      <c r="CK71" s="108">
        <v>22134.065727699413</v>
      </c>
      <c r="CL71" s="108">
        <v>0</v>
      </c>
      <c r="CM71" s="108">
        <v>0</v>
      </c>
      <c r="CN71" s="108">
        <v>9</v>
      </c>
      <c r="CO71" s="108">
        <v>5076</v>
      </c>
      <c r="CP71" s="108">
        <v>7.4393790550446868</v>
      </c>
      <c r="CQ71" s="108">
        <v>4195.8097870452029</v>
      </c>
      <c r="CR71" s="108">
        <v>7.7081438967996769</v>
      </c>
      <c r="CS71" s="108">
        <v>4347.3931577950179</v>
      </c>
      <c r="CT71" s="108">
        <v>8.4195963290859535</v>
      </c>
      <c r="CU71" s="108">
        <v>4748.6523296044779</v>
      </c>
    </row>
    <row r="72" spans="2:99" x14ac:dyDescent="0.2">
      <c r="C72" s="107" t="s">
        <v>237</v>
      </c>
      <c r="D72" s="108">
        <v>0</v>
      </c>
      <c r="E72" s="108">
        <v>0</v>
      </c>
      <c r="F72" s="108">
        <v>0</v>
      </c>
      <c r="G72" s="108">
        <v>0</v>
      </c>
      <c r="H72" s="108">
        <v>23.087231420972063</v>
      </c>
      <c r="I72" s="108">
        <v>1717.6900177203213</v>
      </c>
      <c r="J72" s="108">
        <v>0</v>
      </c>
      <c r="K72" s="108">
        <v>0</v>
      </c>
      <c r="L72" s="108">
        <v>45.655922778753364</v>
      </c>
      <c r="M72" s="108">
        <v>3396.8006547392497</v>
      </c>
      <c r="N72" s="108">
        <v>26.001459224876335</v>
      </c>
      <c r="O72" s="108">
        <v>1934.5085663307991</v>
      </c>
      <c r="P72" s="108">
        <v>0</v>
      </c>
      <c r="Q72" s="108">
        <v>0</v>
      </c>
      <c r="R72" s="108">
        <v>23.177071135629635</v>
      </c>
      <c r="S72" s="108">
        <v>1724.3740924908448</v>
      </c>
      <c r="T72" s="108">
        <v>16.272737283767491</v>
      </c>
      <c r="U72" s="108">
        <v>1210.6916539123013</v>
      </c>
      <c r="V72" s="108">
        <v>25.090828734541859</v>
      </c>
      <c r="W72" s="108">
        <v>1866.757657849914</v>
      </c>
      <c r="X72" s="108">
        <v>5.6349414865830054</v>
      </c>
      <c r="Y72" s="108">
        <v>419.23964660177558</v>
      </c>
      <c r="Z72" s="108">
        <v>0</v>
      </c>
      <c r="AA72" s="108">
        <v>0</v>
      </c>
      <c r="AB72" s="108">
        <v>30</v>
      </c>
      <c r="AC72" s="108">
        <v>2231.9999999999995</v>
      </c>
      <c r="AD72" s="108">
        <v>29.296401384232873</v>
      </c>
      <c r="AE72" s="108">
        <v>2179.6522629869255</v>
      </c>
      <c r="AF72" s="108">
        <v>1.0955441933715677E-15</v>
      </c>
      <c r="AG72" s="108">
        <v>8.1508487986844633E-14</v>
      </c>
      <c r="AH72" s="108">
        <v>0</v>
      </c>
      <c r="AI72" s="108">
        <v>0</v>
      </c>
      <c r="AJ72" s="108">
        <v>5.7131399206251912</v>
      </c>
      <c r="AK72" s="108">
        <v>425.05761009451419</v>
      </c>
      <c r="AL72" s="108">
        <v>17.51077754465641</v>
      </c>
      <c r="AM72" s="108">
        <v>1302.8018493224367</v>
      </c>
      <c r="AN72" s="108">
        <v>7.2071424627859573</v>
      </c>
      <c r="AO72" s="108">
        <v>536.21139923127521</v>
      </c>
      <c r="AP72" s="108">
        <v>16.450004133686825</v>
      </c>
      <c r="AQ72" s="108">
        <v>1223.8803075462997</v>
      </c>
      <c r="AR72" s="108">
        <v>37.752329895946247</v>
      </c>
      <c r="AS72" s="108">
        <v>2808.7733442584004</v>
      </c>
      <c r="AT72" s="108">
        <v>29.964853347275927</v>
      </c>
      <c r="AU72" s="108">
        <v>2229.3850890373287</v>
      </c>
      <c r="AV72" s="108">
        <v>0</v>
      </c>
      <c r="AW72" s="108">
        <v>0</v>
      </c>
      <c r="AX72" s="108">
        <v>58.635666358298558</v>
      </c>
      <c r="AY72" s="108">
        <v>4362.493577057412</v>
      </c>
      <c r="AZ72" s="108">
        <v>0</v>
      </c>
      <c r="BA72" s="108">
        <v>0</v>
      </c>
      <c r="BB72" s="108">
        <v>25.933606102635231</v>
      </c>
      <c r="BC72" s="108">
        <v>1929.460294036061</v>
      </c>
      <c r="BD72" s="108">
        <v>24.525033516315521</v>
      </c>
      <c r="BE72" s="108">
        <v>1824.6624936138746</v>
      </c>
      <c r="BF72" s="108">
        <v>0</v>
      </c>
      <c r="BG72" s="108">
        <v>0</v>
      </c>
      <c r="BH72" s="108">
        <v>13</v>
      </c>
      <c r="BI72" s="108">
        <v>967.19999999999993</v>
      </c>
      <c r="BJ72" s="108">
        <v>22.511115494333922</v>
      </c>
      <c r="BK72" s="108">
        <v>1674.8269927784436</v>
      </c>
      <c r="BL72" s="108">
        <v>27.303137342012171</v>
      </c>
      <c r="BM72" s="108">
        <v>2031.3534182457054</v>
      </c>
      <c r="BN72" s="108">
        <v>17.731630747937849</v>
      </c>
      <c r="BO72" s="108">
        <v>1319.2333276465758</v>
      </c>
      <c r="BP72" s="108">
        <v>9.6505018107723366</v>
      </c>
      <c r="BQ72" s="108">
        <v>717.99733472146181</v>
      </c>
      <c r="BR72" s="108">
        <v>0</v>
      </c>
      <c r="BS72" s="108">
        <v>0</v>
      </c>
      <c r="BT72" s="108">
        <v>0</v>
      </c>
      <c r="BU72" s="108">
        <v>0</v>
      </c>
      <c r="BV72" s="108">
        <v>15</v>
      </c>
      <c r="BW72" s="108">
        <v>1115.9999999999998</v>
      </c>
      <c r="BX72" s="108">
        <v>8.8993215078335446</v>
      </c>
      <c r="BY72" s="108">
        <v>662.10952018281569</v>
      </c>
      <c r="BZ72" s="108">
        <v>7.2836338342213178</v>
      </c>
      <c r="CA72" s="108">
        <v>541.90235726606602</v>
      </c>
      <c r="CB72" s="108">
        <v>13.595344718700185</v>
      </c>
      <c r="CC72" s="108">
        <v>1011.4936470712936</v>
      </c>
      <c r="CD72" s="108">
        <v>6.5116721293741682</v>
      </c>
      <c r="CE72" s="108">
        <v>484.46840642543805</v>
      </c>
      <c r="CF72" s="108">
        <v>0</v>
      </c>
      <c r="CG72" s="108">
        <v>0</v>
      </c>
      <c r="CH72" s="108">
        <v>29.979139290922021</v>
      </c>
      <c r="CI72" s="108">
        <v>2230.4479632445982</v>
      </c>
      <c r="CJ72" s="108">
        <v>50.437031398197597</v>
      </c>
      <c r="CK72" s="108">
        <v>3752.5151360259006</v>
      </c>
      <c r="CL72" s="108">
        <v>0</v>
      </c>
      <c r="CM72" s="108">
        <v>0</v>
      </c>
      <c r="CN72" s="108">
        <v>9</v>
      </c>
      <c r="CO72" s="108">
        <v>669.59999999999991</v>
      </c>
      <c r="CP72" s="108">
        <v>7.5129692068536116</v>
      </c>
      <c r="CQ72" s="108">
        <v>558.96490898990862</v>
      </c>
      <c r="CR72" s="108">
        <v>7.0636952749149993</v>
      </c>
      <c r="CS72" s="108">
        <v>525.53892845367591</v>
      </c>
      <c r="CT72" s="108">
        <v>9.8004242022036703</v>
      </c>
      <c r="CU72" s="108">
        <v>729.15156064395296</v>
      </c>
    </row>
    <row r="73" spans="2:99" x14ac:dyDescent="0.2">
      <c r="C73" s="107" t="s">
        <v>238</v>
      </c>
      <c r="D73" s="108">
        <v>0</v>
      </c>
      <c r="E73" s="108">
        <v>0</v>
      </c>
      <c r="F73" s="108">
        <v>0</v>
      </c>
      <c r="G73" s="108">
        <v>0</v>
      </c>
      <c r="H73" s="108">
        <v>17.796407553665965</v>
      </c>
      <c r="I73" s="108">
        <v>9951.7511040100071</v>
      </c>
      <c r="J73" s="108">
        <v>0</v>
      </c>
      <c r="K73" s="108">
        <v>0</v>
      </c>
      <c r="L73" s="108">
        <v>41.851262547190579</v>
      </c>
      <c r="M73" s="108">
        <v>23403.22601638897</v>
      </c>
      <c r="N73" s="108">
        <v>21.633771204517402</v>
      </c>
      <c r="O73" s="108">
        <v>12097.60485756613</v>
      </c>
      <c r="P73" s="108">
        <v>0</v>
      </c>
      <c r="Q73" s="108">
        <v>0</v>
      </c>
      <c r="R73" s="108">
        <v>20.648663375379133</v>
      </c>
      <c r="S73" s="108">
        <v>11546.732559512009</v>
      </c>
      <c r="T73" s="108">
        <v>14.476026097787983</v>
      </c>
      <c r="U73" s="108">
        <v>8094.993793883039</v>
      </c>
      <c r="V73" s="108">
        <v>23.4987351019108</v>
      </c>
      <c r="W73" s="108">
        <v>13140.492668988518</v>
      </c>
      <c r="X73" s="108">
        <v>5.2592787208108049</v>
      </c>
      <c r="Y73" s="108">
        <v>2940.9886606774016</v>
      </c>
      <c r="Z73" s="108">
        <v>0</v>
      </c>
      <c r="AA73" s="108">
        <v>0</v>
      </c>
      <c r="AB73" s="108">
        <v>27</v>
      </c>
      <c r="AC73" s="108">
        <v>15098.399999999998</v>
      </c>
      <c r="AD73" s="108">
        <v>18.844886527629679</v>
      </c>
      <c r="AE73" s="108">
        <v>10538.060546250515</v>
      </c>
      <c r="AF73" s="108">
        <v>9.8693125454562955E-16</v>
      </c>
      <c r="AG73" s="108">
        <v>5.5189195754191597E-13</v>
      </c>
      <c r="AH73" s="108">
        <v>0</v>
      </c>
      <c r="AI73" s="108">
        <v>0</v>
      </c>
      <c r="AJ73" s="108">
        <v>4.8969770748215922</v>
      </c>
      <c r="AK73" s="108">
        <v>2738.389580240234</v>
      </c>
      <c r="AL73" s="108">
        <v>15.73380860527516</v>
      </c>
      <c r="AM73" s="108">
        <v>8798.345772069868</v>
      </c>
      <c r="AN73" s="108">
        <v>6.0841285490493595</v>
      </c>
      <c r="AO73" s="108">
        <v>3402.2446846284015</v>
      </c>
      <c r="AP73" s="108">
        <v>15.463138689143578</v>
      </c>
      <c r="AQ73" s="108">
        <v>8646.9871549690888</v>
      </c>
      <c r="AR73" s="108">
        <v>32.527367419621413</v>
      </c>
      <c r="AS73" s="108">
        <v>18189.303861052293</v>
      </c>
      <c r="AT73" s="108">
        <v>28.133765910422937</v>
      </c>
      <c r="AU73" s="108">
        <v>15732.401897108504</v>
      </c>
      <c r="AV73" s="108">
        <v>0</v>
      </c>
      <c r="AW73" s="108">
        <v>0</v>
      </c>
      <c r="AX73" s="108">
        <v>52.192186538705315</v>
      </c>
      <c r="AY73" s="108">
        <v>29185.870712444008</v>
      </c>
      <c r="AZ73" s="108">
        <v>0</v>
      </c>
      <c r="BA73" s="108">
        <v>0</v>
      </c>
      <c r="BB73" s="108">
        <v>26.210970873786408</v>
      </c>
      <c r="BC73" s="108">
        <v>14657.174912621358</v>
      </c>
      <c r="BD73" s="108">
        <v>22.445940368580761</v>
      </c>
      <c r="BE73" s="108">
        <v>12551.76985411036</v>
      </c>
      <c r="BF73" s="108">
        <v>0</v>
      </c>
      <c r="BG73" s="108">
        <v>0</v>
      </c>
      <c r="BH73" s="108">
        <v>14</v>
      </c>
      <c r="BI73" s="108">
        <v>7828.7999999999993</v>
      </c>
      <c r="BJ73" s="108">
        <v>18.92903607571019</v>
      </c>
      <c r="BK73" s="108">
        <v>10585.116973537137</v>
      </c>
      <c r="BL73" s="108">
        <v>22.447792609429563</v>
      </c>
      <c r="BM73" s="108">
        <v>12552.805627193009</v>
      </c>
      <c r="BN73" s="108">
        <v>17.329128634638071</v>
      </c>
      <c r="BO73" s="108">
        <v>9690.4487324896072</v>
      </c>
      <c r="BP73" s="108">
        <v>10.398086986934118</v>
      </c>
      <c r="BQ73" s="108">
        <v>5814.610243093558</v>
      </c>
      <c r="BR73" s="108">
        <v>0</v>
      </c>
      <c r="BS73" s="108">
        <v>0</v>
      </c>
      <c r="BT73" s="108">
        <v>0</v>
      </c>
      <c r="BU73" s="108">
        <v>0</v>
      </c>
      <c r="BV73" s="108">
        <v>15</v>
      </c>
      <c r="BW73" s="108">
        <v>8387.9999999999982</v>
      </c>
      <c r="BX73" s="108">
        <v>8.0158237509158177</v>
      </c>
      <c r="BY73" s="108">
        <v>4482.4486415121246</v>
      </c>
      <c r="BZ73" s="108">
        <v>6.821462587483726</v>
      </c>
      <c r="CA73" s="108">
        <v>3814.5618789208993</v>
      </c>
      <c r="CB73" s="108">
        <v>11.260160805050107</v>
      </c>
      <c r="CC73" s="108">
        <v>6296.6819221840196</v>
      </c>
      <c r="CD73" s="108">
        <v>5.6110601890118863</v>
      </c>
      <c r="CE73" s="108">
        <v>3137.7048576954467</v>
      </c>
      <c r="CF73" s="108">
        <v>0</v>
      </c>
      <c r="CG73" s="108">
        <v>0</v>
      </c>
      <c r="CH73" s="108">
        <v>24.557380057457401</v>
      </c>
      <c r="CI73" s="108">
        <v>13732.486928130176</v>
      </c>
      <c r="CJ73" s="108">
        <v>39.481118318644221</v>
      </c>
      <c r="CK73" s="108">
        <v>22077.841363785847</v>
      </c>
      <c r="CL73" s="108">
        <v>0</v>
      </c>
      <c r="CM73" s="108">
        <v>0</v>
      </c>
      <c r="CN73" s="108">
        <v>8</v>
      </c>
      <c r="CO73" s="108">
        <v>4473.5999999999995</v>
      </c>
      <c r="CP73" s="108">
        <v>6.6152425163894311</v>
      </c>
      <c r="CQ73" s="108">
        <v>3699.2436151649695</v>
      </c>
      <c r="CR73" s="108">
        <v>7.7081438967996769</v>
      </c>
      <c r="CS73" s="108">
        <v>4310.3940670903785</v>
      </c>
      <c r="CT73" s="108">
        <v>9.8004242022036703</v>
      </c>
      <c r="CU73" s="108">
        <v>5480.397213872292</v>
      </c>
    </row>
    <row r="74" spans="2:99" x14ac:dyDescent="0.2">
      <c r="C74" s="107" t="s">
        <v>239</v>
      </c>
      <c r="D74" s="108">
        <v>0</v>
      </c>
      <c r="E74" s="108">
        <v>0</v>
      </c>
      <c r="F74" s="108">
        <v>0</v>
      </c>
      <c r="G74" s="108">
        <v>0</v>
      </c>
      <c r="H74" s="108">
        <v>20.682311481287471</v>
      </c>
      <c r="I74" s="108">
        <v>8339.1079892551079</v>
      </c>
      <c r="J74" s="108">
        <v>0</v>
      </c>
      <c r="K74" s="108">
        <v>0</v>
      </c>
      <c r="L74" s="108">
        <v>38.997767373518499</v>
      </c>
      <c r="M74" s="108">
        <v>15723.899805002658</v>
      </c>
      <c r="N74" s="108">
        <v>22.414427421817919</v>
      </c>
      <c r="O74" s="108">
        <v>9037.4971364769845</v>
      </c>
      <c r="P74" s="108">
        <v>0</v>
      </c>
      <c r="Q74" s="108">
        <v>0</v>
      </c>
      <c r="R74" s="108">
        <v>22.755669842254555</v>
      </c>
      <c r="S74" s="108">
        <v>9175.0860803970372</v>
      </c>
      <c r="T74" s="108">
        <v>14.9363257063865</v>
      </c>
      <c r="U74" s="108">
        <v>6022.3265248150365</v>
      </c>
      <c r="V74" s="108">
        <v>25.037002040666309</v>
      </c>
      <c r="W74" s="108">
        <v>10094.919222796656</v>
      </c>
      <c r="X74" s="108">
        <v>4.8836159550386045</v>
      </c>
      <c r="Y74" s="108">
        <v>1969.0739530715653</v>
      </c>
      <c r="Z74" s="108">
        <v>0</v>
      </c>
      <c r="AA74" s="108">
        <v>0</v>
      </c>
      <c r="AB74" s="108">
        <v>29</v>
      </c>
      <c r="AC74" s="108">
        <v>11692.8</v>
      </c>
      <c r="AD74" s="108">
        <v>27.123401620743</v>
      </c>
      <c r="AE74" s="108">
        <v>10936.155533483578</v>
      </c>
      <c r="AF74" s="108">
        <v>1.1496816757884697E-15</v>
      </c>
      <c r="AG74" s="108">
        <v>4.6355165167791095E-13</v>
      </c>
      <c r="AH74" s="108">
        <v>0</v>
      </c>
      <c r="AI74" s="108">
        <v>0</v>
      </c>
      <c r="AJ74" s="108">
        <v>4.8969770748215922</v>
      </c>
      <c r="AK74" s="108">
        <v>1974.4611565680659</v>
      </c>
      <c r="AL74" s="108">
        <v>16.739571113357094</v>
      </c>
      <c r="AM74" s="108">
        <v>6749.3950729055805</v>
      </c>
      <c r="AN74" s="108">
        <v>6.0841285490493595</v>
      </c>
      <c r="AO74" s="108">
        <v>2453.1206309767017</v>
      </c>
      <c r="AP74" s="108">
        <v>15.597686314883033</v>
      </c>
      <c r="AQ74" s="108">
        <v>6288.9871221608391</v>
      </c>
      <c r="AR74" s="108">
        <v>32.82156542076136</v>
      </c>
      <c r="AS74" s="108">
        <v>13233.65517765098</v>
      </c>
      <c r="AT74" s="108">
        <v>28.50209230298633</v>
      </c>
      <c r="AU74" s="108">
        <v>11492.043616564088</v>
      </c>
      <c r="AV74" s="108">
        <v>0</v>
      </c>
      <c r="AW74" s="108">
        <v>0</v>
      </c>
      <c r="AX74" s="108">
        <v>51.547838556745987</v>
      </c>
      <c r="AY74" s="108">
        <v>20784.088506079981</v>
      </c>
      <c r="AZ74" s="108">
        <v>0</v>
      </c>
      <c r="BA74" s="108">
        <v>0</v>
      </c>
      <c r="BB74" s="108">
        <v>28.01384188626907</v>
      </c>
      <c r="BC74" s="108">
        <v>11295.181048543689</v>
      </c>
      <c r="BD74" s="108">
        <v>23.383385764713854</v>
      </c>
      <c r="BE74" s="108">
        <v>9428.1811403326246</v>
      </c>
      <c r="BF74" s="108">
        <v>0</v>
      </c>
      <c r="BG74" s="108">
        <v>0</v>
      </c>
      <c r="BH74" s="108">
        <v>14</v>
      </c>
      <c r="BI74" s="108">
        <v>5644.8</v>
      </c>
      <c r="BJ74" s="108">
        <v>20.365595639677988</v>
      </c>
      <c r="BK74" s="108">
        <v>8211.4081619181652</v>
      </c>
      <c r="BL74" s="108">
        <v>23.276723662913042</v>
      </c>
      <c r="BM74" s="108">
        <v>9385.1749808865388</v>
      </c>
      <c r="BN74" s="108">
        <v>17.060793892438223</v>
      </c>
      <c r="BO74" s="108">
        <v>6878.9120974310918</v>
      </c>
      <c r="BP74" s="108">
        <v>8.7245335254864624</v>
      </c>
      <c r="BQ74" s="108">
        <v>3517.7319174761415</v>
      </c>
      <c r="BR74" s="108">
        <v>0</v>
      </c>
      <c r="BS74" s="108">
        <v>0</v>
      </c>
      <c r="BT74" s="108">
        <v>0</v>
      </c>
      <c r="BU74" s="108">
        <v>0</v>
      </c>
      <c r="BV74" s="108">
        <v>14</v>
      </c>
      <c r="BW74" s="108">
        <v>5644.8</v>
      </c>
      <c r="BX74" s="108">
        <v>8.1094836898326701</v>
      </c>
      <c r="BY74" s="108">
        <v>3269.7438237405327</v>
      </c>
      <c r="BZ74" s="108">
        <v>6.4150275468307267</v>
      </c>
      <c r="CA74" s="108">
        <v>2586.5391068821491</v>
      </c>
      <c r="CB74" s="108">
        <v>10.523900134533093</v>
      </c>
      <c r="CC74" s="108">
        <v>4243.2365342437433</v>
      </c>
      <c r="CD74" s="108">
        <v>5.5162419830170384</v>
      </c>
      <c r="CE74" s="108">
        <v>2224.14876755247</v>
      </c>
      <c r="CF74" s="108">
        <v>0</v>
      </c>
      <c r="CG74" s="108">
        <v>0</v>
      </c>
      <c r="CH74" s="108">
        <v>27.427723181056315</v>
      </c>
      <c r="CI74" s="108">
        <v>11058.857986601906</v>
      </c>
      <c r="CJ74" s="108">
        <v>45.950540680169844</v>
      </c>
      <c r="CK74" s="108">
        <v>18527.258002244482</v>
      </c>
      <c r="CL74" s="108">
        <v>0</v>
      </c>
      <c r="CM74" s="108">
        <v>0</v>
      </c>
      <c r="CN74" s="108">
        <v>9</v>
      </c>
      <c r="CO74" s="108">
        <v>3628.7999999999997</v>
      </c>
      <c r="CP74" s="108">
        <v>7.402583979140223</v>
      </c>
      <c r="CQ74" s="108">
        <v>2984.721860389338</v>
      </c>
      <c r="CR74" s="108">
        <v>7.0087536367431342</v>
      </c>
      <c r="CS74" s="108">
        <v>2825.9294663348314</v>
      </c>
      <c r="CT74" s="108">
        <v>8.453253601680867</v>
      </c>
      <c r="CU74" s="108">
        <v>3408.3518521977253</v>
      </c>
    </row>
    <row r="75" spans="2:99" x14ac:dyDescent="0.2">
      <c r="C75" s="107" t="s">
        <v>240</v>
      </c>
      <c r="D75" s="108">
        <v>0</v>
      </c>
      <c r="E75" s="108">
        <v>0</v>
      </c>
      <c r="F75" s="108">
        <v>0</v>
      </c>
      <c r="G75" s="108">
        <v>0</v>
      </c>
      <c r="H75" s="108">
        <v>19.720343505413634</v>
      </c>
      <c r="I75" s="108">
        <v>12684.124942682049</v>
      </c>
      <c r="J75" s="108">
        <v>0</v>
      </c>
      <c r="K75" s="108">
        <v>0</v>
      </c>
      <c r="L75" s="108">
        <v>38.997767373518499</v>
      </c>
      <c r="M75" s="108">
        <v>25083.363974647094</v>
      </c>
      <c r="N75" s="108">
        <v>22.147896245677735</v>
      </c>
      <c r="O75" s="108">
        <v>14245.526865219917</v>
      </c>
      <c r="P75" s="108">
        <v>0</v>
      </c>
      <c r="Q75" s="108">
        <v>0</v>
      </c>
      <c r="R75" s="108">
        <v>19.805860788628962</v>
      </c>
      <c r="S75" s="108">
        <v>12739.129659246148</v>
      </c>
      <c r="T75" s="108">
        <v>15.820070000534253</v>
      </c>
      <c r="U75" s="108">
        <v>10175.469024343631</v>
      </c>
      <c r="V75" s="108">
        <v>24.821695265164102</v>
      </c>
      <c r="W75" s="108">
        <v>15965.314394553548</v>
      </c>
      <c r="X75" s="108">
        <v>4.8836159550386045</v>
      </c>
      <c r="Y75" s="108">
        <v>3141.1417822808298</v>
      </c>
      <c r="Z75" s="108">
        <v>0</v>
      </c>
      <c r="AA75" s="108">
        <v>0</v>
      </c>
      <c r="AB75" s="108">
        <v>25</v>
      </c>
      <c r="AC75" s="108">
        <v>16079.999999999998</v>
      </c>
      <c r="AD75" s="108">
        <v>22.777402093763261</v>
      </c>
      <c r="AE75" s="108">
        <v>14650.425026708528</v>
      </c>
      <c r="AF75" s="108">
        <v>9.7681896943399028E-16</v>
      </c>
      <c r="AG75" s="108">
        <v>6.2828996113994253E-13</v>
      </c>
      <c r="AH75" s="108">
        <v>0</v>
      </c>
      <c r="AI75" s="108">
        <v>0</v>
      </c>
      <c r="AJ75" s="108">
        <v>5.3050584977233912</v>
      </c>
      <c r="AK75" s="108">
        <v>3412.2136257356847</v>
      </c>
      <c r="AL75" s="108">
        <v>15.752395890892497</v>
      </c>
      <c r="AM75" s="108">
        <v>10131.941037022054</v>
      </c>
      <c r="AN75" s="108">
        <v>6.7953201825798955</v>
      </c>
      <c r="AO75" s="108">
        <v>4370.7499414353879</v>
      </c>
      <c r="AP75" s="108">
        <v>14.454382318839075</v>
      </c>
      <c r="AQ75" s="108">
        <v>9297.058707477292</v>
      </c>
      <c r="AR75" s="108">
        <v>31.439782679028003</v>
      </c>
      <c r="AS75" s="108">
        <v>20222.068219150809</v>
      </c>
      <c r="AT75" s="108">
        <v>27.268826617955487</v>
      </c>
      <c r="AU75" s="108">
        <v>17539.309280668967</v>
      </c>
      <c r="AV75" s="108">
        <v>0</v>
      </c>
      <c r="AW75" s="108">
        <v>0</v>
      </c>
      <c r="AX75" s="108">
        <v>56.702622412420581</v>
      </c>
      <c r="AY75" s="108">
        <v>36471.126735668913</v>
      </c>
      <c r="AZ75" s="108">
        <v>0</v>
      </c>
      <c r="BA75" s="108">
        <v>0</v>
      </c>
      <c r="BB75" s="108">
        <v>22.189181692094312</v>
      </c>
      <c r="BC75" s="108">
        <v>14272.081664355061</v>
      </c>
      <c r="BD75" s="108">
        <v>22.726004794610017</v>
      </c>
      <c r="BE75" s="108">
        <v>14617.366283893161</v>
      </c>
      <c r="BF75" s="108">
        <v>0</v>
      </c>
      <c r="BG75" s="108">
        <v>0</v>
      </c>
      <c r="BH75" s="108">
        <v>13</v>
      </c>
      <c r="BI75" s="108">
        <v>8361.5999999999985</v>
      </c>
      <c r="BJ75" s="108">
        <v>19.07455593036612</v>
      </c>
      <c r="BK75" s="108">
        <v>12268.754374411486</v>
      </c>
      <c r="BL75" s="108">
        <v>22.618861555946083</v>
      </c>
      <c r="BM75" s="108">
        <v>14548.451752784518</v>
      </c>
      <c r="BN75" s="108">
        <v>17.194961263538147</v>
      </c>
      <c r="BO75" s="108">
        <v>11059.799084707734</v>
      </c>
      <c r="BP75" s="108">
        <v>8.8137250800485081</v>
      </c>
      <c r="BQ75" s="108">
        <v>5668.9879714871995</v>
      </c>
      <c r="BR75" s="108">
        <v>0</v>
      </c>
      <c r="BS75" s="108">
        <v>0</v>
      </c>
      <c r="BT75" s="108">
        <v>0</v>
      </c>
      <c r="BU75" s="108">
        <v>0</v>
      </c>
      <c r="BV75" s="108">
        <v>16</v>
      </c>
      <c r="BW75" s="108">
        <v>10291.199999999999</v>
      </c>
      <c r="BX75" s="108">
        <v>8.2073910369646246</v>
      </c>
      <c r="BY75" s="108">
        <v>5278.9939149756456</v>
      </c>
      <c r="BZ75" s="108">
        <v>6.5315292807208252</v>
      </c>
      <c r="CA75" s="108">
        <v>4201.0796333596345</v>
      </c>
      <c r="CB75" s="108">
        <v>11.17867444942779</v>
      </c>
      <c r="CC75" s="108">
        <v>7190.1234058719538</v>
      </c>
      <c r="CD75" s="108">
        <v>5.8576542383766874</v>
      </c>
      <c r="CE75" s="108">
        <v>3767.6432061238847</v>
      </c>
      <c r="CF75" s="108">
        <v>0</v>
      </c>
      <c r="CG75" s="108">
        <v>0</v>
      </c>
      <c r="CH75" s="108">
        <v>27.108796167323103</v>
      </c>
      <c r="CI75" s="108">
        <v>17436.377694822218</v>
      </c>
      <c r="CJ75" s="108">
        <v>44.471038965100426</v>
      </c>
      <c r="CK75" s="108">
        <v>28603.772262352591</v>
      </c>
      <c r="CL75" s="108">
        <v>0</v>
      </c>
      <c r="CM75" s="108">
        <v>0</v>
      </c>
      <c r="CN75" s="108">
        <v>7</v>
      </c>
      <c r="CO75" s="108">
        <v>4502.3999999999996</v>
      </c>
      <c r="CP75" s="108">
        <v>6.5048572886760425</v>
      </c>
      <c r="CQ75" s="108">
        <v>4183.9242080764297</v>
      </c>
      <c r="CR75" s="108">
        <v>6.9538119985712683</v>
      </c>
      <c r="CS75" s="108">
        <v>4472.6918774810392</v>
      </c>
      <c r="CT75" s="108">
        <v>9.7667669296087567</v>
      </c>
      <c r="CU75" s="108">
        <v>6281.984489124352</v>
      </c>
    </row>
    <row r="76" spans="2:99" x14ac:dyDescent="0.2">
      <c r="C76" s="107" t="s">
        <v>241</v>
      </c>
      <c r="D76" s="108">
        <v>0</v>
      </c>
      <c r="E76" s="108">
        <v>0</v>
      </c>
      <c r="F76" s="108">
        <v>0</v>
      </c>
      <c r="G76" s="108">
        <v>0</v>
      </c>
      <c r="H76" s="108">
        <v>20.201327493350554</v>
      </c>
      <c r="I76" s="108">
        <v>15732.79385182141</v>
      </c>
      <c r="J76" s="108">
        <v>0</v>
      </c>
      <c r="K76" s="108">
        <v>0</v>
      </c>
      <c r="L76" s="108">
        <v>39.94893243140919</v>
      </c>
      <c r="M76" s="108">
        <v>31112.228577581474</v>
      </c>
      <c r="N76" s="108">
        <v>20.677792145142117</v>
      </c>
      <c r="O76" s="108">
        <v>16103.864522636681</v>
      </c>
      <c r="P76" s="108">
        <v>0</v>
      </c>
      <c r="Q76" s="108">
        <v>0</v>
      </c>
      <c r="R76" s="108">
        <v>21.912867255504384</v>
      </c>
      <c r="S76" s="108">
        <v>17065.741018586814</v>
      </c>
      <c r="T76" s="108">
        <v>13.78235380515356</v>
      </c>
      <c r="U76" s="108">
        <v>10733.697143453592</v>
      </c>
      <c r="V76" s="108">
        <v>22.55256179578635</v>
      </c>
      <c r="W76" s="108">
        <v>17563.935126558408</v>
      </c>
      <c r="X76" s="108">
        <v>5.2592787208108049</v>
      </c>
      <c r="Y76" s="108">
        <v>4095.9262677674546</v>
      </c>
      <c r="Z76" s="108">
        <v>0</v>
      </c>
      <c r="AA76" s="108">
        <v>0</v>
      </c>
      <c r="AB76" s="108">
        <v>28</v>
      </c>
      <c r="AC76" s="108">
        <v>21806.399999999998</v>
      </c>
      <c r="AD76" s="108">
        <v>24.635871298971963</v>
      </c>
      <c r="AE76" s="108">
        <v>19186.416567639364</v>
      </c>
      <c r="AF76" s="108">
        <v>9.3963794311389984E-16</v>
      </c>
      <c r="AG76" s="108">
        <v>7.3179003009710518E-13</v>
      </c>
      <c r="AH76" s="108">
        <v>0</v>
      </c>
      <c r="AI76" s="108">
        <v>0</v>
      </c>
      <c r="AJ76" s="108">
        <v>4.8969770748215922</v>
      </c>
      <c r="AK76" s="108">
        <v>3813.765745871056</v>
      </c>
      <c r="AL76" s="108">
        <v>17.074193140921508</v>
      </c>
      <c r="AM76" s="108">
        <v>13297.38161814967</v>
      </c>
      <c r="AN76" s="108">
        <v>6.0091599311283019</v>
      </c>
      <c r="AO76" s="108">
        <v>4679.9337543627216</v>
      </c>
      <c r="AP76" s="108">
        <v>13.18966525251242</v>
      </c>
      <c r="AQ76" s="108">
        <v>10272.111298656671</v>
      </c>
      <c r="AR76" s="108">
        <v>26.883599241385895</v>
      </c>
      <c r="AS76" s="108">
        <v>20936.947089191333</v>
      </c>
      <c r="AT76" s="108">
        <v>24.420440721258242</v>
      </c>
      <c r="AU76" s="108">
        <v>19018.639233715916</v>
      </c>
      <c r="AV76" s="108">
        <v>0</v>
      </c>
      <c r="AW76" s="108">
        <v>0</v>
      </c>
      <c r="AX76" s="108">
        <v>54.769578466542612</v>
      </c>
      <c r="AY76" s="108">
        <v>42654.547709743383</v>
      </c>
      <c r="AZ76" s="108">
        <v>0</v>
      </c>
      <c r="BA76" s="108">
        <v>0</v>
      </c>
      <c r="BB76" s="108">
        <v>22.327864077669901</v>
      </c>
      <c r="BC76" s="108">
        <v>17388.940543689318</v>
      </c>
      <c r="BD76" s="108">
        <v>20.604131551905962</v>
      </c>
      <c r="BE76" s="108">
        <v>16046.497652624363</v>
      </c>
      <c r="BF76" s="108">
        <v>0</v>
      </c>
      <c r="BG76" s="108">
        <v>0</v>
      </c>
      <c r="BH76" s="108">
        <v>13</v>
      </c>
      <c r="BI76" s="108">
        <v>10124.4</v>
      </c>
      <c r="BJ76" s="108">
        <v>19.783516221054256</v>
      </c>
      <c r="BK76" s="108">
        <v>15407.402432957055</v>
      </c>
      <c r="BL76" s="108">
        <v>23.618861555946083</v>
      </c>
      <c r="BM76" s="108">
        <v>18394.369379770807</v>
      </c>
      <c r="BN76" s="108">
        <v>16.926626521338296</v>
      </c>
      <c r="BO76" s="108">
        <v>13182.456734818265</v>
      </c>
      <c r="BP76" s="108">
        <v>8.8137250800485081</v>
      </c>
      <c r="BQ76" s="108">
        <v>6864.1290923417773</v>
      </c>
      <c r="BR76" s="108">
        <v>0</v>
      </c>
      <c r="BS76" s="108">
        <v>0</v>
      </c>
      <c r="BT76" s="108">
        <v>0</v>
      </c>
      <c r="BU76" s="108">
        <v>0</v>
      </c>
      <c r="BV76" s="108">
        <v>15</v>
      </c>
      <c r="BW76" s="108">
        <v>11682</v>
      </c>
      <c r="BX76" s="108">
        <v>7.3451303211224159</v>
      </c>
      <c r="BY76" s="108">
        <v>5720.3874940901369</v>
      </c>
      <c r="BZ76" s="108">
        <v>6.4732784137757777</v>
      </c>
      <c r="CA76" s="108">
        <v>5041.3892286485752</v>
      </c>
      <c r="CB76" s="108">
        <v>10.335261396730335</v>
      </c>
      <c r="CC76" s="108">
        <v>8049.101575773584</v>
      </c>
      <c r="CD76" s="108">
        <v>5.2123904571559629</v>
      </c>
      <c r="CE76" s="108">
        <v>4059.4096880330635</v>
      </c>
      <c r="CF76" s="108">
        <v>0</v>
      </c>
      <c r="CG76" s="108">
        <v>0</v>
      </c>
      <c r="CH76" s="108">
        <v>23.919526029990969</v>
      </c>
      <c r="CI76" s="108">
        <v>18628.526872156966</v>
      </c>
      <c r="CJ76" s="108">
        <v>40.724299104607383</v>
      </c>
      <c r="CK76" s="108">
        <v>31716.084142668227</v>
      </c>
      <c r="CL76" s="108">
        <v>0</v>
      </c>
      <c r="CM76" s="108">
        <v>0</v>
      </c>
      <c r="CN76" s="108">
        <v>9</v>
      </c>
      <c r="CO76" s="108">
        <v>7009.2</v>
      </c>
      <c r="CP76" s="108">
        <v>7.402583979140223</v>
      </c>
      <c r="CQ76" s="108">
        <v>5765.1324029544057</v>
      </c>
      <c r="CR76" s="108">
        <v>6.2544217385147256</v>
      </c>
      <c r="CS76" s="108">
        <v>4870.9436499552676</v>
      </c>
      <c r="CT76" s="108">
        <v>8.3859390564910399</v>
      </c>
      <c r="CU76" s="108">
        <v>6530.9693371952217</v>
      </c>
    </row>
    <row r="77" spans="2:99" x14ac:dyDescent="0.2">
      <c r="C77" s="107" t="s">
        <v>242</v>
      </c>
      <c r="D77" s="108">
        <v>0</v>
      </c>
      <c r="E77" s="108">
        <v>0</v>
      </c>
      <c r="F77" s="108">
        <v>0</v>
      </c>
      <c r="G77" s="108">
        <v>0</v>
      </c>
      <c r="H77" s="108">
        <v>22.125263445098227</v>
      </c>
      <c r="I77" s="108">
        <v>6159.6733431153461</v>
      </c>
      <c r="J77" s="108">
        <v>0</v>
      </c>
      <c r="K77" s="108">
        <v>0</v>
      </c>
      <c r="L77" s="108">
        <v>39.94893243140919</v>
      </c>
      <c r="M77" s="108">
        <v>11121.782788904318</v>
      </c>
      <c r="N77" s="108">
        <v>22.056387225117358</v>
      </c>
      <c r="O77" s="108">
        <v>6140.4982034726718</v>
      </c>
      <c r="P77" s="108">
        <v>0</v>
      </c>
      <c r="Q77" s="108">
        <v>0</v>
      </c>
      <c r="R77" s="108">
        <v>26.126880189255228</v>
      </c>
      <c r="S77" s="108">
        <v>7273.723444688655</v>
      </c>
      <c r="T77" s="108">
        <v>14.945317274904655</v>
      </c>
      <c r="U77" s="108">
        <v>4160.7763293334556</v>
      </c>
      <c r="V77" s="108">
        <v>26.359962203919611</v>
      </c>
      <c r="W77" s="108">
        <v>7338.6134775712189</v>
      </c>
      <c r="X77" s="108">
        <v>5.2592787208108049</v>
      </c>
      <c r="Y77" s="108">
        <v>1464.183195873728</v>
      </c>
      <c r="Z77" s="108">
        <v>0</v>
      </c>
      <c r="AA77" s="108">
        <v>0</v>
      </c>
      <c r="AB77" s="108">
        <v>26</v>
      </c>
      <c r="AC77" s="108">
        <v>7238.4</v>
      </c>
      <c r="AD77" s="108">
        <v>20.794357547729302</v>
      </c>
      <c r="AE77" s="108">
        <v>5789.1491412878368</v>
      </c>
      <c r="AF77" s="108">
        <v>1.1448307373748586E-15</v>
      </c>
      <c r="AG77" s="108">
        <v>3.1872087728516064E-13</v>
      </c>
      <c r="AH77" s="108">
        <v>0</v>
      </c>
      <c r="AI77" s="108">
        <v>0</v>
      </c>
      <c r="AJ77" s="108">
        <v>5.3050584977233912</v>
      </c>
      <c r="AK77" s="108">
        <v>1476.9282857661919</v>
      </c>
      <c r="AL77" s="108">
        <v>16.626939896370118</v>
      </c>
      <c r="AM77" s="108">
        <v>4628.9400671494404</v>
      </c>
      <c r="AN77" s="108">
        <v>6.4397243658146275</v>
      </c>
      <c r="AO77" s="108">
        <v>1792.8192634427921</v>
      </c>
      <c r="AP77" s="108">
        <v>15.05949581192522</v>
      </c>
      <c r="AQ77" s="108">
        <v>4192.5636340399815</v>
      </c>
      <c r="AR77" s="108">
        <v>32.106683192014437</v>
      </c>
      <c r="AS77" s="108">
        <v>8938.5006006568183</v>
      </c>
      <c r="AT77" s="108">
        <v>28.794493056733629</v>
      </c>
      <c r="AU77" s="108">
        <v>8016.3868669946414</v>
      </c>
      <c r="AV77" s="108">
        <v>0</v>
      </c>
      <c r="AW77" s="108">
        <v>0</v>
      </c>
      <c r="AX77" s="108">
        <v>52.836534520664635</v>
      </c>
      <c r="AY77" s="108">
        <v>14709.691210553034</v>
      </c>
      <c r="AZ77" s="108">
        <v>0</v>
      </c>
      <c r="BA77" s="108">
        <v>0</v>
      </c>
      <c r="BB77" s="108">
        <v>25.101511789181693</v>
      </c>
      <c r="BC77" s="108">
        <v>6988.2608821081831</v>
      </c>
      <c r="BD77" s="108">
        <v>25.386616841887928</v>
      </c>
      <c r="BE77" s="108">
        <v>7067.6341287815985</v>
      </c>
      <c r="BF77" s="108">
        <v>0</v>
      </c>
      <c r="BG77" s="108">
        <v>0</v>
      </c>
      <c r="BH77" s="108">
        <v>14</v>
      </c>
      <c r="BI77" s="108">
        <v>3897.5999999999995</v>
      </c>
      <c r="BJ77" s="108">
        <v>22.07455593036612</v>
      </c>
      <c r="BK77" s="108">
        <v>6145.5563710139277</v>
      </c>
      <c r="BL77" s="108">
        <v>23.447792609429563</v>
      </c>
      <c r="BM77" s="108">
        <v>6527.8654624651899</v>
      </c>
      <c r="BN77" s="108">
        <v>17.329128634638071</v>
      </c>
      <c r="BO77" s="108">
        <v>4824.4294118832386</v>
      </c>
      <c r="BP77" s="108">
        <v>10.308895432372072</v>
      </c>
      <c r="BQ77" s="108">
        <v>2869.9964883723846</v>
      </c>
      <c r="BR77" s="108">
        <v>0</v>
      </c>
      <c r="BS77" s="108">
        <v>0</v>
      </c>
      <c r="BT77" s="108">
        <v>0</v>
      </c>
      <c r="BU77" s="108">
        <v>0</v>
      </c>
      <c r="BV77" s="108">
        <v>16</v>
      </c>
      <c r="BW77" s="108">
        <v>4454.3999999999996</v>
      </c>
      <c r="BX77" s="108">
        <v>8.0285659755611274</v>
      </c>
      <c r="BY77" s="108">
        <v>2235.1527675962175</v>
      </c>
      <c r="BZ77" s="108">
        <v>6.5264999589999118</v>
      </c>
      <c r="CA77" s="108">
        <v>1816.9775885855752</v>
      </c>
      <c r="CB77" s="108">
        <v>12.65761229710135</v>
      </c>
      <c r="CC77" s="108">
        <v>3523.8792635130158</v>
      </c>
      <c r="CD77" s="108">
        <v>6.1571287093493838</v>
      </c>
      <c r="CE77" s="108">
        <v>1714.1446326828684</v>
      </c>
      <c r="CF77" s="108">
        <v>0</v>
      </c>
      <c r="CG77" s="108">
        <v>0</v>
      </c>
      <c r="CH77" s="108">
        <v>25.514161098657038</v>
      </c>
      <c r="CI77" s="108">
        <v>7103.142449866119</v>
      </c>
      <c r="CJ77" s="108">
        <v>49.618506897627469</v>
      </c>
      <c r="CK77" s="108">
        <v>13813.792320299486</v>
      </c>
      <c r="CL77" s="108">
        <v>0</v>
      </c>
      <c r="CM77" s="108">
        <v>0</v>
      </c>
      <c r="CN77" s="108">
        <v>8</v>
      </c>
      <c r="CO77" s="108">
        <v>2227.1999999999998</v>
      </c>
      <c r="CP77" s="108">
        <v>7.3657889032357602</v>
      </c>
      <c r="CQ77" s="108">
        <v>2050.6356306608354</v>
      </c>
      <c r="CR77" s="108">
        <v>7.0362244558290667</v>
      </c>
      <c r="CS77" s="108">
        <v>1958.8848885028119</v>
      </c>
      <c r="CT77" s="108">
        <v>9.7667669296087567</v>
      </c>
      <c r="CU77" s="108">
        <v>2719.0679132030778</v>
      </c>
    </row>
    <row r="78" spans="2:99" x14ac:dyDescent="0.2">
      <c r="C78" s="107" t="s">
        <v>243</v>
      </c>
      <c r="D78" s="108">
        <v>0</v>
      </c>
      <c r="E78" s="108">
        <v>0</v>
      </c>
      <c r="F78" s="108">
        <v>0</v>
      </c>
      <c r="G78" s="108">
        <v>0</v>
      </c>
      <c r="H78" s="108">
        <v>21.163295469224391</v>
      </c>
      <c r="I78" s="108">
        <v>11682.139099011863</v>
      </c>
      <c r="J78" s="108">
        <v>0</v>
      </c>
      <c r="K78" s="108">
        <v>0</v>
      </c>
      <c r="L78" s="108">
        <v>38.997767373518499</v>
      </c>
      <c r="M78" s="108">
        <v>21526.767590182211</v>
      </c>
      <c r="N78" s="108">
        <v>24.27251914724653</v>
      </c>
      <c r="O78" s="108">
        <v>13398.430569280084</v>
      </c>
      <c r="P78" s="108">
        <v>0</v>
      </c>
      <c r="Q78" s="108">
        <v>0</v>
      </c>
      <c r="R78" s="108">
        <v>21.912867255504384</v>
      </c>
      <c r="S78" s="108">
        <v>12095.902725038421</v>
      </c>
      <c r="T78" s="108">
        <v>14.606644117071502</v>
      </c>
      <c r="U78" s="108">
        <v>8062.8675526234692</v>
      </c>
      <c r="V78" s="108">
        <v>23.660215183537453</v>
      </c>
      <c r="W78" s="108">
        <v>13060.438781312674</v>
      </c>
      <c r="X78" s="108">
        <v>5.2592787208108049</v>
      </c>
      <c r="Y78" s="108">
        <v>2903.1218538875642</v>
      </c>
      <c r="Z78" s="108">
        <v>0</v>
      </c>
      <c r="AA78" s="108">
        <v>0</v>
      </c>
      <c r="AB78" s="108">
        <v>24</v>
      </c>
      <c r="AC78" s="108">
        <v>13248</v>
      </c>
      <c r="AD78" s="108">
        <v>25.376696787229424</v>
      </c>
      <c r="AE78" s="108">
        <v>14007.936626550641</v>
      </c>
      <c r="AF78" s="108">
        <v>1.0139999957540805E-15</v>
      </c>
      <c r="AG78" s="108">
        <v>5.5972799765625243E-13</v>
      </c>
      <c r="AH78" s="108">
        <v>0</v>
      </c>
      <c r="AI78" s="108">
        <v>0</v>
      </c>
      <c r="AJ78" s="108">
        <v>4.8969770748215922</v>
      </c>
      <c r="AK78" s="108">
        <v>2703.1313453015191</v>
      </c>
      <c r="AL78" s="108">
        <v>15.8417930008578</v>
      </c>
      <c r="AM78" s="108">
        <v>8744.6697364735064</v>
      </c>
      <c r="AN78" s="108">
        <v>6.8702888005009539</v>
      </c>
      <c r="AO78" s="108">
        <v>3792.3994178765265</v>
      </c>
      <c r="AP78" s="108">
        <v>15.172152511903413</v>
      </c>
      <c r="AQ78" s="108">
        <v>8375.0281865706838</v>
      </c>
      <c r="AR78" s="108">
        <v>29.173686389147068</v>
      </c>
      <c r="AS78" s="108">
        <v>16103.874886809182</v>
      </c>
      <c r="AT78" s="108">
        <v>28.77261622384675</v>
      </c>
      <c r="AU78" s="108">
        <v>15882.484155563407</v>
      </c>
      <c r="AV78" s="108">
        <v>0</v>
      </c>
      <c r="AW78" s="108">
        <v>0</v>
      </c>
      <c r="AX78" s="108">
        <v>55.41392644850194</v>
      </c>
      <c r="AY78" s="108">
        <v>30588.48739957307</v>
      </c>
      <c r="AZ78" s="108">
        <v>0</v>
      </c>
      <c r="BA78" s="108">
        <v>0</v>
      </c>
      <c r="BB78" s="108">
        <v>22.605228848821081</v>
      </c>
      <c r="BC78" s="108">
        <v>12478.086324549236</v>
      </c>
      <c r="BD78" s="108">
        <v>23.006069220639265</v>
      </c>
      <c r="BE78" s="108">
        <v>12699.350209792874</v>
      </c>
      <c r="BF78" s="108">
        <v>0</v>
      </c>
      <c r="BG78" s="108">
        <v>0</v>
      </c>
      <c r="BH78" s="108">
        <v>13</v>
      </c>
      <c r="BI78" s="108">
        <v>7176</v>
      </c>
      <c r="BJ78" s="108">
        <v>19.220075785022054</v>
      </c>
      <c r="BK78" s="108">
        <v>10609.481833332175</v>
      </c>
      <c r="BL78" s="108">
        <v>21.789930502462607</v>
      </c>
      <c r="BM78" s="108">
        <v>12028.041637359358</v>
      </c>
      <c r="BN78" s="108">
        <v>15.601042754389361</v>
      </c>
      <c r="BO78" s="108">
        <v>8611.7756004229268</v>
      </c>
      <c r="BP78" s="108">
        <v>10.219703877810026</v>
      </c>
      <c r="BQ78" s="108">
        <v>5641.2765405511345</v>
      </c>
      <c r="BR78" s="108">
        <v>0</v>
      </c>
      <c r="BS78" s="108">
        <v>0</v>
      </c>
      <c r="BT78" s="108">
        <v>0</v>
      </c>
      <c r="BU78" s="108">
        <v>0</v>
      </c>
      <c r="BV78" s="108">
        <v>16</v>
      </c>
      <c r="BW78" s="108">
        <v>8832</v>
      </c>
      <c r="BX78" s="108">
        <v>7.5409450153863258</v>
      </c>
      <c r="BY78" s="108">
        <v>4162.6016484932516</v>
      </c>
      <c r="BZ78" s="108">
        <v>7.2203536455553543</v>
      </c>
      <c r="CA78" s="108">
        <v>3985.6352123465554</v>
      </c>
      <c r="CB78" s="108">
        <v>11.077938573886879</v>
      </c>
      <c r="CC78" s="108">
        <v>6115.0220927855571</v>
      </c>
      <c r="CD78" s="108">
        <v>5.8091508716571685</v>
      </c>
      <c r="CE78" s="108">
        <v>3206.6512811547568</v>
      </c>
      <c r="CF78" s="108">
        <v>0</v>
      </c>
      <c r="CG78" s="108">
        <v>0</v>
      </c>
      <c r="CH78" s="108">
        <v>27.746650194789527</v>
      </c>
      <c r="CI78" s="108">
        <v>15316.150907523819</v>
      </c>
      <c r="CJ78" s="108">
        <v>42.173012749460874</v>
      </c>
      <c r="CK78" s="108">
        <v>23279.503037702401</v>
      </c>
      <c r="CL78" s="108">
        <v>0</v>
      </c>
      <c r="CM78" s="108">
        <v>0</v>
      </c>
      <c r="CN78" s="108">
        <v>8</v>
      </c>
      <c r="CO78" s="108">
        <v>4416</v>
      </c>
      <c r="CP78" s="108">
        <v>6.5784474404849682</v>
      </c>
      <c r="CQ78" s="108">
        <v>3631.3029871477024</v>
      </c>
      <c r="CR78" s="108">
        <v>6.3093633766865906</v>
      </c>
      <c r="CS78" s="108">
        <v>3482.7685839309979</v>
      </c>
      <c r="CT78" s="108">
        <v>9.7331096570138431</v>
      </c>
      <c r="CU78" s="108">
        <v>5372.6765306716416</v>
      </c>
    </row>
    <row r="79" spans="2:99" x14ac:dyDescent="0.2">
      <c r="C79" s="107" t="s">
        <v>244</v>
      </c>
      <c r="D79" s="108">
        <v>0</v>
      </c>
      <c r="E79" s="108">
        <v>0</v>
      </c>
      <c r="F79" s="108">
        <v>0</v>
      </c>
      <c r="G79" s="108">
        <v>0</v>
      </c>
      <c r="H79" s="108">
        <v>20.201327493350554</v>
      </c>
      <c r="I79" s="108">
        <v>15296.445177965039</v>
      </c>
      <c r="J79" s="108">
        <v>0</v>
      </c>
      <c r="K79" s="108">
        <v>0</v>
      </c>
      <c r="L79" s="108">
        <v>40.900097489299888</v>
      </c>
      <c r="M79" s="108">
        <v>30969.553818897872</v>
      </c>
      <c r="N79" s="108">
        <v>19.390706085727256</v>
      </c>
      <c r="O79" s="108">
        <v>14682.642648112676</v>
      </c>
      <c r="P79" s="108">
        <v>0</v>
      </c>
      <c r="Q79" s="108">
        <v>0</v>
      </c>
      <c r="R79" s="108">
        <v>21.070064668754217</v>
      </c>
      <c r="S79" s="108">
        <v>15954.252967180691</v>
      </c>
      <c r="T79" s="108">
        <v>12.952679059999872</v>
      </c>
      <c r="U79" s="108">
        <v>9807.7685842319024</v>
      </c>
      <c r="V79" s="108">
        <v>23.778515892454081</v>
      </c>
      <c r="W79" s="108">
        <v>18005.092233766227</v>
      </c>
      <c r="X79" s="108">
        <v>4.8836159550386045</v>
      </c>
      <c r="Y79" s="108">
        <v>3697.8740011552309</v>
      </c>
      <c r="Z79" s="108">
        <v>0</v>
      </c>
      <c r="AA79" s="108">
        <v>0</v>
      </c>
      <c r="AB79" s="108">
        <v>28</v>
      </c>
      <c r="AC79" s="108">
        <v>21201.599999999999</v>
      </c>
      <c r="AD79" s="108">
        <v>23.538990138824925</v>
      </c>
      <c r="AE79" s="108">
        <v>17823.723333118232</v>
      </c>
      <c r="AF79" s="108">
        <v>1.0051928964950927E-15</v>
      </c>
      <c r="AG79" s="108">
        <v>7.6113206122608409E-13</v>
      </c>
      <c r="AH79" s="108">
        <v>0</v>
      </c>
      <c r="AI79" s="108">
        <v>0</v>
      </c>
      <c r="AJ79" s="108">
        <v>5.3050584977233912</v>
      </c>
      <c r="AK79" s="108">
        <v>4016.9902944761516</v>
      </c>
      <c r="AL79" s="108">
        <v>15.405208597122899</v>
      </c>
      <c r="AM79" s="108">
        <v>11664.823949741458</v>
      </c>
      <c r="AN79" s="108">
        <v>6.0091599311283019</v>
      </c>
      <c r="AO79" s="108">
        <v>4550.1358998503501</v>
      </c>
      <c r="AP79" s="108">
        <v>14.311078322795115</v>
      </c>
      <c r="AQ79" s="108">
        <v>10836.34850602046</v>
      </c>
      <c r="AR79" s="108">
        <v>31.061018756753228</v>
      </c>
      <c r="AS79" s="108">
        <v>23519.403402613541</v>
      </c>
      <c r="AT79" s="108">
        <v>26.680542730735681</v>
      </c>
      <c r="AU79" s="108">
        <v>20202.506955713056</v>
      </c>
      <c r="AV79" s="108">
        <v>0</v>
      </c>
      <c r="AW79" s="108">
        <v>0</v>
      </c>
      <c r="AX79" s="108">
        <v>50.259142592827338</v>
      </c>
      <c r="AY79" s="108">
        <v>38056.222771288856</v>
      </c>
      <c r="AZ79" s="108">
        <v>0</v>
      </c>
      <c r="BA79" s="108">
        <v>0</v>
      </c>
      <c r="BB79" s="108">
        <v>24.546782246879332</v>
      </c>
      <c r="BC79" s="108">
        <v>18586.823517337027</v>
      </c>
      <c r="BD79" s="108">
        <v>21.58435704300835</v>
      </c>
      <c r="BE79" s="108">
        <v>16343.675152965921</v>
      </c>
      <c r="BF79" s="108">
        <v>0</v>
      </c>
      <c r="BG79" s="108">
        <v>0</v>
      </c>
      <c r="BH79" s="108">
        <v>13</v>
      </c>
      <c r="BI79" s="108">
        <v>9843.5999999999985</v>
      </c>
      <c r="BJ79" s="108">
        <v>19.637996366398323</v>
      </c>
      <c r="BK79" s="108">
        <v>14869.890848636809</v>
      </c>
      <c r="BL79" s="108">
        <v>21.618861555946083</v>
      </c>
      <c r="BM79" s="108">
        <v>16369.801970162373</v>
      </c>
      <c r="BN79" s="108">
        <v>15.601042754389361</v>
      </c>
      <c r="BO79" s="108">
        <v>11813.109573623624</v>
      </c>
      <c r="BP79" s="108">
        <v>8.7245335254864624</v>
      </c>
      <c r="BQ79" s="108">
        <v>6606.2167854983491</v>
      </c>
      <c r="BR79" s="108">
        <v>0</v>
      </c>
      <c r="BS79" s="108">
        <v>0</v>
      </c>
      <c r="BT79" s="108">
        <v>0</v>
      </c>
      <c r="BU79" s="108">
        <v>0</v>
      </c>
      <c r="BV79" s="108">
        <v>15</v>
      </c>
      <c r="BW79" s="108">
        <v>11357.999999999998</v>
      </c>
      <c r="BX79" s="108">
        <v>7.5282027907410143</v>
      </c>
      <c r="BY79" s="108">
        <v>5700.3551531490957</v>
      </c>
      <c r="BZ79" s="108">
        <v>6.1808304461524184</v>
      </c>
      <c r="CA79" s="108">
        <v>4680.124813826611</v>
      </c>
      <c r="CB79" s="108">
        <v>11.810990991084131</v>
      </c>
      <c r="CC79" s="108">
        <v>8943.2823784489028</v>
      </c>
      <c r="CD79" s="108">
        <v>5.8620312932650656</v>
      </c>
      <c r="CE79" s="108">
        <v>4438.7300952603073</v>
      </c>
      <c r="CF79" s="108">
        <v>0</v>
      </c>
      <c r="CG79" s="108">
        <v>0</v>
      </c>
      <c r="CH79" s="108">
        <v>22.64381797505812</v>
      </c>
      <c r="CI79" s="108">
        <v>17145.898970714006</v>
      </c>
      <c r="CJ79" s="108">
        <v>38.505046532003249</v>
      </c>
      <c r="CK79" s="108">
        <v>29156.021234032858</v>
      </c>
      <c r="CL79" s="108">
        <v>0</v>
      </c>
      <c r="CM79" s="108">
        <v>0</v>
      </c>
      <c r="CN79" s="108">
        <v>9</v>
      </c>
      <c r="CO79" s="108">
        <v>6814.7999999999993</v>
      </c>
      <c r="CP79" s="108">
        <v>7.4393790550446868</v>
      </c>
      <c r="CQ79" s="108">
        <v>5633.0978204798366</v>
      </c>
      <c r="CR79" s="108">
        <v>7.763085534971542</v>
      </c>
      <c r="CS79" s="108">
        <v>5878.2083670804514</v>
      </c>
      <c r="CT79" s="108">
        <v>8.4195963290859535</v>
      </c>
      <c r="CU79" s="108">
        <v>6375.318340383883</v>
      </c>
    </row>
    <row r="80" spans="2:99" x14ac:dyDescent="0.2">
      <c r="C80" s="107" t="s">
        <v>245</v>
      </c>
      <c r="D80" s="108">
        <v>0</v>
      </c>
      <c r="E80" s="108">
        <v>0</v>
      </c>
      <c r="F80" s="108">
        <v>0</v>
      </c>
      <c r="G80" s="108">
        <v>0</v>
      </c>
      <c r="H80" s="108">
        <v>18.277391541602881</v>
      </c>
      <c r="I80" s="108">
        <v>14716.955669298639</v>
      </c>
      <c r="J80" s="108">
        <v>0</v>
      </c>
      <c r="K80" s="108">
        <v>0</v>
      </c>
      <c r="L80" s="108">
        <v>40.900097489299888</v>
      </c>
      <c r="M80" s="108">
        <v>32932.758498384268</v>
      </c>
      <c r="N80" s="108">
        <v>19.474519907241639</v>
      </c>
      <c r="O80" s="108">
        <v>15680.883429310967</v>
      </c>
      <c r="P80" s="108">
        <v>0</v>
      </c>
      <c r="Q80" s="108">
        <v>0</v>
      </c>
      <c r="R80" s="108">
        <v>22.755669842254555</v>
      </c>
      <c r="S80" s="108">
        <v>18322.865356983366</v>
      </c>
      <c r="T80" s="108">
        <v>13.45042432370902</v>
      </c>
      <c r="U80" s="108">
        <v>10830.281665450502</v>
      </c>
      <c r="V80" s="108">
        <v>23.714041877413003</v>
      </c>
      <c r="W80" s="108">
        <v>19094.546519692947</v>
      </c>
      <c r="X80" s="108">
        <v>4.507953189266404</v>
      </c>
      <c r="Y80" s="108">
        <v>3629.8039079973082</v>
      </c>
      <c r="Z80" s="108">
        <v>0</v>
      </c>
      <c r="AA80" s="108">
        <v>0</v>
      </c>
      <c r="AB80" s="108">
        <v>24</v>
      </c>
      <c r="AC80" s="108">
        <v>19324.8</v>
      </c>
      <c r="AD80" s="108">
        <v>24.838637485558003</v>
      </c>
      <c r="AE80" s="108">
        <v>20000.070903371303</v>
      </c>
      <c r="AF80" s="108">
        <v>1.0139999957540805E-15</v>
      </c>
      <c r="AG80" s="108">
        <v>8.1647279658118554E-13</v>
      </c>
      <c r="AH80" s="108">
        <v>0</v>
      </c>
      <c r="AI80" s="108">
        <v>0</v>
      </c>
      <c r="AJ80" s="108">
        <v>4.8969770748215922</v>
      </c>
      <c r="AK80" s="108">
        <v>3943.0459406463456</v>
      </c>
      <c r="AL80" s="108">
        <v>16.302986709622193</v>
      </c>
      <c r="AM80" s="108">
        <v>13127.164898587789</v>
      </c>
      <c r="AN80" s="108">
        <v>6.364755747893569</v>
      </c>
      <c r="AO80" s="108">
        <v>5124.9013282039014</v>
      </c>
      <c r="AP80" s="108">
        <v>15.037604886163958</v>
      </c>
      <c r="AQ80" s="108">
        <v>12108.279454339217</v>
      </c>
      <c r="AR80" s="108">
        <v>29.356723775105237</v>
      </c>
      <c r="AS80" s="108">
        <v>23638.033983714737</v>
      </c>
      <c r="AT80" s="108">
        <v>27.181319286407973</v>
      </c>
      <c r="AU80" s="108">
        <v>21886.398289415698</v>
      </c>
      <c r="AV80" s="108">
        <v>0</v>
      </c>
      <c r="AW80" s="108">
        <v>0</v>
      </c>
      <c r="AX80" s="108">
        <v>52.836534520664635</v>
      </c>
      <c r="AY80" s="108">
        <v>42543.977596039163</v>
      </c>
      <c r="AZ80" s="108">
        <v>0</v>
      </c>
      <c r="BA80" s="108">
        <v>0</v>
      </c>
      <c r="BB80" s="108">
        <v>23.437323162274616</v>
      </c>
      <c r="BC80" s="108">
        <v>18871.73261026352</v>
      </c>
      <c r="BD80" s="108">
        <v>19.763938273818198</v>
      </c>
      <c r="BE80" s="108">
        <v>15913.923098078412</v>
      </c>
      <c r="BF80" s="108">
        <v>0</v>
      </c>
      <c r="BG80" s="108">
        <v>0</v>
      </c>
      <c r="BH80" s="108">
        <v>13</v>
      </c>
      <c r="BI80" s="108">
        <v>10467.599999999999</v>
      </c>
      <c r="BJ80" s="108">
        <v>17.92903607571019</v>
      </c>
      <c r="BK80" s="108">
        <v>14436.459848161843</v>
      </c>
      <c r="BL80" s="108">
        <v>24.618861555946083</v>
      </c>
      <c r="BM80" s="108">
        <v>19823.107324847784</v>
      </c>
      <c r="BN80" s="108">
        <v>16.532169380063678</v>
      </c>
      <c r="BO80" s="108">
        <v>13311.702784827272</v>
      </c>
      <c r="BP80" s="108">
        <v>9.4721187016482453</v>
      </c>
      <c r="BQ80" s="108">
        <v>7626.9499785671669</v>
      </c>
      <c r="BR80" s="108">
        <v>0</v>
      </c>
      <c r="BS80" s="108">
        <v>0</v>
      </c>
      <c r="BT80" s="108">
        <v>0</v>
      </c>
      <c r="BU80" s="108">
        <v>0</v>
      </c>
      <c r="BV80" s="108">
        <v>14</v>
      </c>
      <c r="BW80" s="108">
        <v>11272.8</v>
      </c>
      <c r="BX80" s="108">
        <v>7.9306586284291747</v>
      </c>
      <c r="BY80" s="108">
        <v>6385.7663276111707</v>
      </c>
      <c r="BZ80" s="108">
        <v>6.760697059678221</v>
      </c>
      <c r="CA80" s="108">
        <v>5443.7132724529029</v>
      </c>
      <c r="CB80" s="108">
        <v>11.90531035998551</v>
      </c>
      <c r="CC80" s="108">
        <v>9586.1559018603311</v>
      </c>
      <c r="CD80" s="108">
        <v>5.214578984600152</v>
      </c>
      <c r="CE80" s="108">
        <v>4198.7789984000419</v>
      </c>
      <c r="CF80" s="108">
        <v>0</v>
      </c>
      <c r="CG80" s="108">
        <v>0</v>
      </c>
      <c r="CH80" s="108">
        <v>25.514161098657038</v>
      </c>
      <c r="CI80" s="108">
        <v>20544.002516638644</v>
      </c>
      <c r="CJ80" s="108">
        <v>43.258646249353184</v>
      </c>
      <c r="CK80" s="108">
        <v>34831.861959979178</v>
      </c>
      <c r="CL80" s="108">
        <v>0</v>
      </c>
      <c r="CM80" s="108">
        <v>0</v>
      </c>
      <c r="CN80" s="108">
        <v>9</v>
      </c>
      <c r="CO80" s="108">
        <v>7246.7999999999993</v>
      </c>
      <c r="CP80" s="108">
        <v>7.3657889032357602</v>
      </c>
      <c r="CQ80" s="108">
        <v>5930.9332248854334</v>
      </c>
      <c r="CR80" s="108">
        <v>6.2544217385147256</v>
      </c>
      <c r="CS80" s="108">
        <v>5036.0603838520565</v>
      </c>
      <c r="CT80" s="108">
        <v>9.093181629347356</v>
      </c>
      <c r="CU80" s="108">
        <v>7321.8298479504901</v>
      </c>
    </row>
    <row r="81" spans="2:99" x14ac:dyDescent="0.2">
      <c r="C81" s="107" t="s">
        <v>246</v>
      </c>
      <c r="D81" s="108">
        <v>0</v>
      </c>
      <c r="E81" s="108">
        <v>0</v>
      </c>
      <c r="F81" s="108">
        <v>0</v>
      </c>
      <c r="G81" s="108">
        <v>0</v>
      </c>
      <c r="H81" s="108">
        <v>20.201327493350554</v>
      </c>
      <c r="I81" s="108">
        <v>15223.720398988979</v>
      </c>
      <c r="J81" s="108">
        <v>0</v>
      </c>
      <c r="K81" s="108">
        <v>0</v>
      </c>
      <c r="L81" s="108">
        <v>36.144272199846412</v>
      </c>
      <c r="M81" s="108">
        <v>27238.323529804256</v>
      </c>
      <c r="N81" s="108">
        <v>19.390706085727256</v>
      </c>
      <c r="O81" s="108">
        <v>14612.83610620406</v>
      </c>
      <c r="P81" s="108">
        <v>0</v>
      </c>
      <c r="Q81" s="108">
        <v>0</v>
      </c>
      <c r="R81" s="108">
        <v>20.227262082004049</v>
      </c>
      <c r="S81" s="108">
        <v>15243.264704998252</v>
      </c>
      <c r="T81" s="108">
        <v>13.730532148289033</v>
      </c>
      <c r="U81" s="108">
        <v>10347.329026950616</v>
      </c>
      <c r="V81" s="108">
        <v>23.55256179578635</v>
      </c>
      <c r="W81" s="108">
        <v>17749.210569304592</v>
      </c>
      <c r="X81" s="108">
        <v>4.507953189266404</v>
      </c>
      <c r="Y81" s="108">
        <v>3397.1935234311622</v>
      </c>
      <c r="Z81" s="108">
        <v>0</v>
      </c>
      <c r="AA81" s="108">
        <v>0</v>
      </c>
      <c r="AB81" s="108">
        <v>27</v>
      </c>
      <c r="AC81" s="108">
        <v>20347.2</v>
      </c>
      <c r="AD81" s="108">
        <v>23.538990138824925</v>
      </c>
      <c r="AE81" s="108">
        <v>17738.982968618464</v>
      </c>
      <c r="AF81" s="108">
        <v>9.4469408566971947E-16</v>
      </c>
      <c r="AG81" s="108">
        <v>7.1192146296070062E-13</v>
      </c>
      <c r="AH81" s="108">
        <v>0</v>
      </c>
      <c r="AI81" s="108">
        <v>0</v>
      </c>
      <c r="AJ81" s="108">
        <v>4.8969770748215922</v>
      </c>
      <c r="AK81" s="108">
        <v>3690.3619235855522</v>
      </c>
      <c r="AL81" s="108">
        <v>16.505015036574473</v>
      </c>
      <c r="AM81" s="108">
        <v>12438.179331562524</v>
      </c>
      <c r="AN81" s="108">
        <v>6.3834979023738345</v>
      </c>
      <c r="AO81" s="108">
        <v>4810.604019228922</v>
      </c>
      <c r="AP81" s="108">
        <v>15.311078322795115</v>
      </c>
      <c r="AQ81" s="108">
        <v>11538.428624058399</v>
      </c>
      <c r="AR81" s="108">
        <v>30.559130379408671</v>
      </c>
      <c r="AS81" s="108">
        <v>23029.360653922377</v>
      </c>
      <c r="AT81" s="108">
        <v>26.590991571059089</v>
      </c>
      <c r="AU81" s="108">
        <v>20038.971247950129</v>
      </c>
      <c r="AV81" s="108">
        <v>0</v>
      </c>
      <c r="AW81" s="108">
        <v>0</v>
      </c>
      <c r="AX81" s="108">
        <v>48.326098646949362</v>
      </c>
      <c r="AY81" s="108">
        <v>36418.547940341043</v>
      </c>
      <c r="AZ81" s="108">
        <v>0</v>
      </c>
      <c r="BA81" s="108">
        <v>0</v>
      </c>
      <c r="BB81" s="108">
        <v>21.079722607489597</v>
      </c>
      <c r="BC81" s="108">
        <v>15885.67895700416</v>
      </c>
      <c r="BD81" s="108">
        <v>19.925360534317473</v>
      </c>
      <c r="BE81" s="108">
        <v>15015.751698661648</v>
      </c>
      <c r="BF81" s="108">
        <v>0</v>
      </c>
      <c r="BG81" s="108">
        <v>0</v>
      </c>
      <c r="BH81" s="108">
        <v>12</v>
      </c>
      <c r="BI81" s="108">
        <v>9043.2000000000007</v>
      </c>
      <c r="BJ81" s="108">
        <v>21.07455593036612</v>
      </c>
      <c r="BK81" s="108">
        <v>15881.785349123909</v>
      </c>
      <c r="BL81" s="108">
        <v>21.934585769879998</v>
      </c>
      <c r="BM81" s="108">
        <v>16529.903836181566</v>
      </c>
      <c r="BN81" s="108">
        <v>15.995499895663979</v>
      </c>
      <c r="BO81" s="108">
        <v>12054.208721372375</v>
      </c>
      <c r="BP81" s="108">
        <v>9.5613102562102892</v>
      </c>
      <c r="BQ81" s="108">
        <v>7205.4034090800742</v>
      </c>
      <c r="BR81" s="108">
        <v>0</v>
      </c>
      <c r="BS81" s="108">
        <v>0</v>
      </c>
      <c r="BT81" s="108">
        <v>0</v>
      </c>
      <c r="BU81" s="108">
        <v>0</v>
      </c>
      <c r="BV81" s="108">
        <v>16</v>
      </c>
      <c r="BW81" s="108">
        <v>12057.6</v>
      </c>
      <c r="BX81" s="108">
        <v>8.1137310980477739</v>
      </c>
      <c r="BY81" s="108">
        <v>6114.507755488803</v>
      </c>
      <c r="BZ81" s="108">
        <v>6.9354496605133678</v>
      </c>
      <c r="CA81" s="108">
        <v>5226.5548641628739</v>
      </c>
      <c r="CB81" s="108">
        <v>11.071522067247349</v>
      </c>
      <c r="CC81" s="108">
        <v>8343.4990298776029</v>
      </c>
      <c r="CD81" s="108">
        <v>5.8576542383766874</v>
      </c>
      <c r="CE81" s="108">
        <v>4414.3282340406722</v>
      </c>
      <c r="CF81" s="108">
        <v>0</v>
      </c>
      <c r="CG81" s="108">
        <v>0</v>
      </c>
      <c r="CH81" s="108">
        <v>27.108796167323103</v>
      </c>
      <c r="CI81" s="108">
        <v>20429.188791694691</v>
      </c>
      <c r="CJ81" s="108">
        <v>44.392265322065008</v>
      </c>
      <c r="CK81" s="108">
        <v>33454.011146708188</v>
      </c>
      <c r="CL81" s="108">
        <v>0</v>
      </c>
      <c r="CM81" s="108">
        <v>0</v>
      </c>
      <c r="CN81" s="108">
        <v>8</v>
      </c>
      <c r="CO81" s="108">
        <v>6028.8</v>
      </c>
      <c r="CP81" s="108">
        <v>7.4393790550446868</v>
      </c>
      <c r="CQ81" s="108">
        <v>5606.3160558816762</v>
      </c>
      <c r="CR81" s="108">
        <v>6.9538119985712683</v>
      </c>
      <c r="CS81" s="108">
        <v>5240.392722123308</v>
      </c>
      <c r="CT81" s="108">
        <v>9.093181629347356</v>
      </c>
      <c r="CU81" s="108">
        <v>6852.6216758761675</v>
      </c>
    </row>
    <row r="82" spans="2:99" x14ac:dyDescent="0.2">
      <c r="C82" s="107" t="s">
        <v>247</v>
      </c>
      <c r="D82" s="108">
        <v>0</v>
      </c>
      <c r="E82" s="108">
        <v>0</v>
      </c>
      <c r="F82" s="108">
        <v>0</v>
      </c>
      <c r="G82" s="108">
        <v>0</v>
      </c>
      <c r="H82" s="108">
        <v>18.758375529539801</v>
      </c>
      <c r="I82" s="108">
        <v>9544.2614694298481</v>
      </c>
      <c r="J82" s="108">
        <v>0</v>
      </c>
      <c r="K82" s="108">
        <v>0</v>
      </c>
      <c r="L82" s="108">
        <v>39.94893243140919</v>
      </c>
      <c r="M82" s="108">
        <v>20326.016821100991</v>
      </c>
      <c r="N82" s="108">
        <v>24.253281149631547</v>
      </c>
      <c r="O82" s="108">
        <v>12340.069448932529</v>
      </c>
      <c r="P82" s="108">
        <v>0</v>
      </c>
      <c r="Q82" s="108">
        <v>0</v>
      </c>
      <c r="R82" s="108">
        <v>22.334268548879471</v>
      </c>
      <c r="S82" s="108">
        <v>11363.675837669873</v>
      </c>
      <c r="T82" s="108">
        <v>14.417460764534841</v>
      </c>
      <c r="U82" s="108">
        <v>7335.6040369953253</v>
      </c>
      <c r="V82" s="108">
        <v>24.875521959039656</v>
      </c>
      <c r="W82" s="108">
        <v>12656.665572759373</v>
      </c>
      <c r="X82" s="108">
        <v>4.8836159550386045</v>
      </c>
      <c r="Y82" s="108">
        <v>2484.7837979236415</v>
      </c>
      <c r="Z82" s="108">
        <v>0</v>
      </c>
      <c r="AA82" s="108">
        <v>0</v>
      </c>
      <c r="AB82" s="108">
        <v>29</v>
      </c>
      <c r="AC82" s="108">
        <v>14755.199999999997</v>
      </c>
      <c r="AD82" s="108">
        <v>21.444181221095842</v>
      </c>
      <c r="AE82" s="108">
        <v>10910.799405293563</v>
      </c>
      <c r="AF82" s="108">
        <v>1.0461248795183511E-15</v>
      </c>
      <c r="AG82" s="108">
        <v>5.3226833869893697E-13</v>
      </c>
      <c r="AH82" s="108">
        <v>0</v>
      </c>
      <c r="AI82" s="108">
        <v>0</v>
      </c>
      <c r="AJ82" s="108">
        <v>5.7131399206251912</v>
      </c>
      <c r="AK82" s="108">
        <v>2906.8455916140965</v>
      </c>
      <c r="AL82" s="108">
        <v>17.482896616230402</v>
      </c>
      <c r="AM82" s="108">
        <v>8895.297798338026</v>
      </c>
      <c r="AN82" s="108">
        <v>6.3834979023738345</v>
      </c>
      <c r="AO82" s="108">
        <v>3247.9237327278065</v>
      </c>
      <c r="AP82" s="108">
        <v>15.920570001033514</v>
      </c>
      <c r="AQ82" s="108">
        <v>8100.3860165258502</v>
      </c>
      <c r="AR82" s="108">
        <v>32.665422205981137</v>
      </c>
      <c r="AS82" s="108">
        <v>16620.166818403199</v>
      </c>
      <c r="AT82" s="108">
        <v>29.485856237702187</v>
      </c>
      <c r="AU82" s="108">
        <v>15002.403653742869</v>
      </c>
      <c r="AV82" s="108">
        <v>0</v>
      </c>
      <c r="AW82" s="108">
        <v>0</v>
      </c>
      <c r="AX82" s="108">
        <v>55.41392644850194</v>
      </c>
      <c r="AY82" s="108">
        <v>28194.605776997782</v>
      </c>
      <c r="AZ82" s="108">
        <v>0</v>
      </c>
      <c r="BA82" s="108">
        <v>0</v>
      </c>
      <c r="BB82" s="108">
        <v>22.189181692094312</v>
      </c>
      <c r="BC82" s="108">
        <v>11289.855644937583</v>
      </c>
      <c r="BD82" s="108">
        <v>22.403160273611469</v>
      </c>
      <c r="BE82" s="108">
        <v>11398.727947213512</v>
      </c>
      <c r="BF82" s="108">
        <v>0</v>
      </c>
      <c r="BG82" s="108">
        <v>0</v>
      </c>
      <c r="BH82" s="108">
        <v>12</v>
      </c>
      <c r="BI82" s="108">
        <v>6105.5999999999985</v>
      </c>
      <c r="BJ82" s="108">
        <v>19.07455593036612</v>
      </c>
      <c r="BK82" s="108">
        <v>9705.1340573702801</v>
      </c>
      <c r="BL82" s="108">
        <v>22.447792609429563</v>
      </c>
      <c r="BM82" s="108">
        <v>11421.43687967776</v>
      </c>
      <c r="BN82" s="108">
        <v>15.735210125489287</v>
      </c>
      <c r="BO82" s="108">
        <v>8006.0749118489475</v>
      </c>
      <c r="BP82" s="108">
        <v>10.398086986934118</v>
      </c>
      <c r="BQ82" s="108">
        <v>5290.5466589520784</v>
      </c>
      <c r="BR82" s="108">
        <v>0</v>
      </c>
      <c r="BS82" s="108">
        <v>0</v>
      </c>
      <c r="BT82" s="108">
        <v>0</v>
      </c>
      <c r="BU82" s="108">
        <v>0</v>
      </c>
      <c r="BV82" s="108">
        <v>16</v>
      </c>
      <c r="BW82" s="108">
        <v>8140.7999999999984</v>
      </c>
      <c r="BX82" s="108">
        <v>8.0243185673460253</v>
      </c>
      <c r="BY82" s="108">
        <v>4082.7732870656569</v>
      </c>
      <c r="BZ82" s="108">
        <v>6.9329349996529102</v>
      </c>
      <c r="CA82" s="108">
        <v>3527.4773278234002</v>
      </c>
      <c r="CB82" s="108">
        <v>11.90531035998551</v>
      </c>
      <c r="CC82" s="108">
        <v>6057.4219111606262</v>
      </c>
      <c r="CD82" s="108">
        <v>5.8642198207092546</v>
      </c>
      <c r="CE82" s="108">
        <v>2983.7150447768681</v>
      </c>
      <c r="CF82" s="108">
        <v>0</v>
      </c>
      <c r="CG82" s="108">
        <v>0</v>
      </c>
      <c r="CH82" s="108">
        <v>24.557380057457401</v>
      </c>
      <c r="CI82" s="108">
        <v>12494.794973234322</v>
      </c>
      <c r="CJ82" s="108">
        <v>41.27571460585532</v>
      </c>
      <c r="CK82" s="108">
        <v>21001.083591459184</v>
      </c>
      <c r="CL82" s="108">
        <v>0</v>
      </c>
      <c r="CM82" s="108">
        <v>0</v>
      </c>
      <c r="CN82" s="108">
        <v>8</v>
      </c>
      <c r="CO82" s="108">
        <v>4070.3999999999992</v>
      </c>
      <c r="CP82" s="108">
        <v>8.3371057455088664</v>
      </c>
      <c r="CQ82" s="108">
        <v>4241.9194033149106</v>
      </c>
      <c r="CR82" s="108">
        <v>7.763085534971542</v>
      </c>
      <c r="CS82" s="108">
        <v>3949.8579201935199</v>
      </c>
      <c r="CT82" s="108">
        <v>9.093181629347356</v>
      </c>
      <c r="CU82" s="108">
        <v>4626.6108130119337</v>
      </c>
    </row>
    <row r="83" spans="2:99" x14ac:dyDescent="0.2">
      <c r="C83" s="107" t="s">
        <v>248</v>
      </c>
      <c r="D83" s="108">
        <v>0</v>
      </c>
      <c r="E83" s="108">
        <v>0</v>
      </c>
      <c r="F83" s="108">
        <v>0</v>
      </c>
      <c r="G83" s="108">
        <v>0</v>
      </c>
      <c r="H83" s="108">
        <v>17.796407553665965</v>
      </c>
      <c r="I83" s="108">
        <v>15312.029059174196</v>
      </c>
      <c r="J83" s="108">
        <v>0</v>
      </c>
      <c r="K83" s="108">
        <v>0</v>
      </c>
      <c r="L83" s="108">
        <v>39.94893243140919</v>
      </c>
      <c r="M83" s="108">
        <v>34372.061463984464</v>
      </c>
      <c r="N83" s="108">
        <v>19.417639282388233</v>
      </c>
      <c r="O83" s="108">
        <v>16706.936838566835</v>
      </c>
      <c r="P83" s="108">
        <v>0</v>
      </c>
      <c r="Q83" s="108">
        <v>0</v>
      </c>
      <c r="R83" s="108">
        <v>19.384459495253878</v>
      </c>
      <c r="S83" s="108">
        <v>16678.388949716438</v>
      </c>
      <c r="T83" s="108">
        <v>13.14635819679561</v>
      </c>
      <c r="U83" s="108">
        <v>11311.126592522944</v>
      </c>
      <c r="V83" s="108">
        <v>25.714041877413003</v>
      </c>
      <c r="W83" s="108">
        <v>22124.361631326148</v>
      </c>
      <c r="X83" s="108">
        <v>4.8836159550386045</v>
      </c>
      <c r="Y83" s="108">
        <v>4201.8631677152152</v>
      </c>
      <c r="Z83" s="108">
        <v>0</v>
      </c>
      <c r="AA83" s="108">
        <v>0</v>
      </c>
      <c r="AB83" s="108">
        <v>24</v>
      </c>
      <c r="AC83" s="108">
        <v>20649.599999999999</v>
      </c>
      <c r="AD83" s="108">
        <v>25.173930600643377</v>
      </c>
      <c r="AE83" s="108">
        <v>21659.64988879356</v>
      </c>
      <c r="AF83" s="108">
        <v>9.7681896943399028E-16</v>
      </c>
      <c r="AG83" s="108">
        <v>8.4045504130100518E-13</v>
      </c>
      <c r="AH83" s="108">
        <v>0</v>
      </c>
      <c r="AI83" s="108">
        <v>0</v>
      </c>
      <c r="AJ83" s="108">
        <v>4.8969770748215922</v>
      </c>
      <c r="AK83" s="108">
        <v>4213.3590751764978</v>
      </c>
      <c r="AL83" s="108">
        <v>17.069546319517173</v>
      </c>
      <c r="AM83" s="108">
        <v>14686.637653312575</v>
      </c>
      <c r="AN83" s="108">
        <v>6.0279020856085666</v>
      </c>
      <c r="AO83" s="108">
        <v>5186.4069544576105</v>
      </c>
      <c r="AP83" s="108">
        <v>13.176530697055664</v>
      </c>
      <c r="AQ83" s="108">
        <v>11337.087011746693</v>
      </c>
      <c r="AR83" s="108">
        <v>28.321869964506174</v>
      </c>
      <c r="AS83" s="108">
        <v>24368.13691746111</v>
      </c>
      <c r="AT83" s="108">
        <v>25.859962380574917</v>
      </c>
      <c r="AU83" s="108">
        <v>22249.911632246658</v>
      </c>
      <c r="AV83" s="108">
        <v>0</v>
      </c>
      <c r="AW83" s="108">
        <v>0</v>
      </c>
      <c r="AX83" s="108">
        <v>52.836534520664635</v>
      </c>
      <c r="AY83" s="108">
        <v>45460.554301579854</v>
      </c>
      <c r="AZ83" s="108">
        <v>0</v>
      </c>
      <c r="BA83" s="108">
        <v>0</v>
      </c>
      <c r="BB83" s="108">
        <v>22.189181692094312</v>
      </c>
      <c r="BC83" s="108">
        <v>19091.571927877947</v>
      </c>
      <c r="BD83" s="108">
        <v>21.185650451449114</v>
      </c>
      <c r="BE83" s="108">
        <v>18228.133648426818</v>
      </c>
      <c r="BF83" s="108">
        <v>0</v>
      </c>
      <c r="BG83" s="108">
        <v>0</v>
      </c>
      <c r="BH83" s="108">
        <v>14</v>
      </c>
      <c r="BI83" s="108">
        <v>12045.6</v>
      </c>
      <c r="BJ83" s="108">
        <v>18.637996366398323</v>
      </c>
      <c r="BK83" s="108">
        <v>16036.132073649116</v>
      </c>
      <c r="BL83" s="108">
        <v>24.447792609429563</v>
      </c>
      <c r="BM83" s="108">
        <v>21034.880761153196</v>
      </c>
      <c r="BN83" s="108">
        <v>14.535748757615119</v>
      </c>
      <c r="BO83" s="108">
        <v>12506.558231052048</v>
      </c>
      <c r="BP83" s="108">
        <v>9.5613102562102892</v>
      </c>
      <c r="BQ83" s="108">
        <v>8226.5513444433327</v>
      </c>
      <c r="BR83" s="108">
        <v>0</v>
      </c>
      <c r="BS83" s="108">
        <v>0</v>
      </c>
      <c r="BT83" s="108">
        <v>0</v>
      </c>
      <c r="BU83" s="108">
        <v>0</v>
      </c>
      <c r="BV83" s="108">
        <v>14</v>
      </c>
      <c r="BW83" s="108">
        <v>12045.6</v>
      </c>
      <c r="BX83" s="108">
        <v>7.3493777293375206</v>
      </c>
      <c r="BY83" s="108">
        <v>6323.404598322003</v>
      </c>
      <c r="BZ83" s="108">
        <v>5.7668514229180472</v>
      </c>
      <c r="CA83" s="108">
        <v>4961.7989642786879</v>
      </c>
      <c r="CB83" s="108">
        <v>11.162633182828964</v>
      </c>
      <c r="CC83" s="108">
        <v>9604.3295905060404</v>
      </c>
      <c r="CD83" s="108">
        <v>5.5074878732402821</v>
      </c>
      <c r="CE83" s="108">
        <v>4738.642566135939</v>
      </c>
      <c r="CF83" s="108">
        <v>0</v>
      </c>
      <c r="CG83" s="108">
        <v>0</v>
      </c>
      <c r="CH83" s="108">
        <v>24.876307071190613</v>
      </c>
      <c r="CI83" s="108">
        <v>21403.574604052403</v>
      </c>
      <c r="CJ83" s="108">
        <v>41.857918177319192</v>
      </c>
      <c r="CK83" s="108">
        <v>36014.552799765435</v>
      </c>
      <c r="CL83" s="108">
        <v>0</v>
      </c>
      <c r="CM83" s="108">
        <v>0</v>
      </c>
      <c r="CN83" s="108">
        <v>9</v>
      </c>
      <c r="CO83" s="108">
        <v>7743.5999999999995</v>
      </c>
      <c r="CP83" s="108">
        <v>6.5416523645805063</v>
      </c>
      <c r="CQ83" s="108">
        <v>5628.4376944850674</v>
      </c>
      <c r="CR83" s="108">
        <v>6.9812828176572008</v>
      </c>
      <c r="CS83" s="108">
        <v>6006.6957363122556</v>
      </c>
      <c r="CT83" s="108">
        <v>9.093181629347356</v>
      </c>
      <c r="CU83" s="108">
        <v>7823.7734738904646</v>
      </c>
    </row>
    <row r="84" spans="2:99" x14ac:dyDescent="0.2">
      <c r="C84" s="107" t="s">
        <v>249</v>
      </c>
      <c r="D84" s="108">
        <v>0</v>
      </c>
      <c r="E84" s="108">
        <v>0</v>
      </c>
      <c r="F84" s="108">
        <v>0</v>
      </c>
      <c r="G84" s="108">
        <v>0</v>
      </c>
      <c r="H84" s="108">
        <v>18.277391541602881</v>
      </c>
      <c r="I84" s="108">
        <v>14278.29827230017</v>
      </c>
      <c r="J84" s="108">
        <v>0</v>
      </c>
      <c r="K84" s="108">
        <v>0</v>
      </c>
      <c r="L84" s="108">
        <v>38.046602315627808</v>
      </c>
      <c r="M84" s="108">
        <v>29722.005728968441</v>
      </c>
      <c r="N84" s="108">
        <v>23.320387687394245</v>
      </c>
      <c r="O84" s="108">
        <v>18217.886861392384</v>
      </c>
      <c r="P84" s="108">
        <v>0</v>
      </c>
      <c r="Q84" s="108">
        <v>0</v>
      </c>
      <c r="R84" s="108">
        <v>20.227262082004049</v>
      </c>
      <c r="S84" s="108">
        <v>15801.537138461563</v>
      </c>
      <c r="T84" s="108">
        <v>14.920590461479732</v>
      </c>
      <c r="U84" s="108">
        <v>11655.965268507965</v>
      </c>
      <c r="V84" s="108">
        <v>22.606388489661903</v>
      </c>
      <c r="W84" s="108">
        <v>17660.110688123877</v>
      </c>
      <c r="X84" s="108">
        <v>4.507953189266404</v>
      </c>
      <c r="Y84" s="108">
        <v>3521.6130314549146</v>
      </c>
      <c r="Z84" s="108">
        <v>0</v>
      </c>
      <c r="AA84" s="108">
        <v>0</v>
      </c>
      <c r="AB84" s="108">
        <v>28</v>
      </c>
      <c r="AC84" s="108">
        <v>21873.599999999999</v>
      </c>
      <c r="AD84" s="108">
        <v>25.600225530619674</v>
      </c>
      <c r="AE84" s="108">
        <v>19998.896184520087</v>
      </c>
      <c r="AF84" s="108">
        <v>9.8187511198980991E-16</v>
      </c>
      <c r="AG84" s="108">
        <v>7.6704083748643948E-13</v>
      </c>
      <c r="AH84" s="108">
        <v>0</v>
      </c>
      <c r="AI84" s="108">
        <v>0</v>
      </c>
      <c r="AJ84" s="108">
        <v>5.3050584977233912</v>
      </c>
      <c r="AK84" s="108">
        <v>4144.311698421513</v>
      </c>
      <c r="AL84" s="108">
        <v>15.621177388288185</v>
      </c>
      <c r="AM84" s="108">
        <v>12203.263775730729</v>
      </c>
      <c r="AN84" s="108">
        <v>5.6910484233235623</v>
      </c>
      <c r="AO84" s="108">
        <v>4445.8470283003662</v>
      </c>
      <c r="AP84" s="108">
        <v>13.642718379250104</v>
      </c>
      <c r="AQ84" s="108">
        <v>10657.69159787018</v>
      </c>
      <c r="AR84" s="108">
        <v>29.972013948563063</v>
      </c>
      <c r="AS84" s="108">
        <v>23414.137296617464</v>
      </c>
      <c r="AT84" s="108">
        <v>24.115700999226409</v>
      </c>
      <c r="AU84" s="108">
        <v>18839.185620595668</v>
      </c>
      <c r="AV84" s="108">
        <v>0</v>
      </c>
      <c r="AW84" s="108">
        <v>0</v>
      </c>
      <c r="AX84" s="108">
        <v>54.125230484583284</v>
      </c>
      <c r="AY84" s="108">
        <v>42282.630054556459</v>
      </c>
      <c r="AZ84" s="108">
        <v>0</v>
      </c>
      <c r="BA84" s="108">
        <v>0</v>
      </c>
      <c r="BB84" s="108">
        <v>23.159958391123439</v>
      </c>
      <c r="BC84" s="108">
        <v>18092.55949514563</v>
      </c>
      <c r="BD84" s="108">
        <v>19.063777208745062</v>
      </c>
      <c r="BE84" s="108">
        <v>14892.622755471641</v>
      </c>
      <c r="BF84" s="108">
        <v>0</v>
      </c>
      <c r="BG84" s="108">
        <v>0</v>
      </c>
      <c r="BH84" s="108">
        <v>12</v>
      </c>
      <c r="BI84" s="108">
        <v>9374.4</v>
      </c>
      <c r="BJ84" s="108">
        <v>19.637996366398323</v>
      </c>
      <c r="BK84" s="108">
        <v>15341.202761430368</v>
      </c>
      <c r="BL84" s="108">
        <v>23.276723662913042</v>
      </c>
      <c r="BM84" s="108">
        <v>18183.776525467667</v>
      </c>
      <c r="BN84" s="108">
        <v>15.466875383289434</v>
      </c>
      <c r="BO84" s="108">
        <v>12082.723049425706</v>
      </c>
      <c r="BP84" s="108">
        <v>8.8137250800485081</v>
      </c>
      <c r="BQ84" s="108">
        <v>6885.2820325338935</v>
      </c>
      <c r="BR84" s="108">
        <v>0</v>
      </c>
      <c r="BS84" s="108">
        <v>0</v>
      </c>
      <c r="BT84" s="108">
        <v>0</v>
      </c>
      <c r="BU84" s="108">
        <v>0</v>
      </c>
      <c r="BV84" s="108">
        <v>14</v>
      </c>
      <c r="BW84" s="108">
        <v>10936.8</v>
      </c>
      <c r="BX84" s="108">
        <v>7.9179164037838632</v>
      </c>
      <c r="BY84" s="108">
        <v>6185.4762946359533</v>
      </c>
      <c r="BZ84" s="108">
        <v>6.8164332657628126</v>
      </c>
      <c r="CA84" s="108">
        <v>5324.9976672139092</v>
      </c>
      <c r="CB84" s="108">
        <v>11.703838608903688</v>
      </c>
      <c r="CC84" s="108">
        <v>9143.0387212755595</v>
      </c>
      <c r="CD84" s="108">
        <v>5.5096764006844712</v>
      </c>
      <c r="CE84" s="108">
        <v>4304.1592042147086</v>
      </c>
      <c r="CF84" s="108">
        <v>0</v>
      </c>
      <c r="CG84" s="108">
        <v>0</v>
      </c>
      <c r="CH84" s="108">
        <v>22.64381797505812</v>
      </c>
      <c r="CI84" s="108">
        <v>17689.350602115403</v>
      </c>
      <c r="CJ84" s="108">
        <v>37.528974745362277</v>
      </c>
      <c r="CK84" s="108">
        <v>29317.635071077009</v>
      </c>
      <c r="CL84" s="108">
        <v>0</v>
      </c>
      <c r="CM84" s="108">
        <v>0</v>
      </c>
      <c r="CN84" s="108">
        <v>8</v>
      </c>
      <c r="CO84" s="108">
        <v>6249.5999999999995</v>
      </c>
      <c r="CP84" s="108">
        <v>6.5784474404849682</v>
      </c>
      <c r="CQ84" s="108">
        <v>5139.0831405068566</v>
      </c>
      <c r="CR84" s="108">
        <v>6.3093633766865906</v>
      </c>
      <c r="CS84" s="108">
        <v>4928.8746698675641</v>
      </c>
      <c r="CT84" s="108">
        <v>9.093181629347356</v>
      </c>
      <c r="CU84" s="108">
        <v>7103.5934888461543</v>
      </c>
    </row>
    <row r="85" spans="2:99" x14ac:dyDescent="0.2">
      <c r="C85" s="107" t="s">
        <v>250</v>
      </c>
      <c r="D85" s="108">
        <v>0</v>
      </c>
      <c r="E85" s="108">
        <v>0</v>
      </c>
      <c r="F85" s="108">
        <v>0</v>
      </c>
      <c r="G85" s="108">
        <v>0</v>
      </c>
      <c r="H85" s="108">
        <v>23.087231420972063</v>
      </c>
      <c r="I85" s="108">
        <v>3463.0847131458095</v>
      </c>
      <c r="J85" s="108">
        <v>0</v>
      </c>
      <c r="K85" s="108">
        <v>0</v>
      </c>
      <c r="L85" s="108">
        <v>45.655922778753364</v>
      </c>
      <c r="M85" s="108">
        <v>6848.3884168130044</v>
      </c>
      <c r="N85" s="108">
        <v>25.14083678558443</v>
      </c>
      <c r="O85" s="108">
        <v>3771.1255178376646</v>
      </c>
      <c r="P85" s="108">
        <v>0</v>
      </c>
      <c r="Q85" s="108">
        <v>0</v>
      </c>
      <c r="R85" s="108">
        <v>23.598472429004723</v>
      </c>
      <c r="S85" s="108">
        <v>3539.7708643507085</v>
      </c>
      <c r="T85" s="108">
        <v>15.062447941410943</v>
      </c>
      <c r="U85" s="108">
        <v>2259.3671912116415</v>
      </c>
      <c r="V85" s="108">
        <v>24.701635645764579</v>
      </c>
      <c r="W85" s="108">
        <v>3705.2453468646868</v>
      </c>
      <c r="X85" s="108">
        <v>5.2592787208108049</v>
      </c>
      <c r="Y85" s="108">
        <v>788.89180812162078</v>
      </c>
      <c r="Z85" s="108">
        <v>0</v>
      </c>
      <c r="AA85" s="108">
        <v>0</v>
      </c>
      <c r="AB85" s="108">
        <v>27</v>
      </c>
      <c r="AC85" s="108">
        <v>4050</v>
      </c>
      <c r="AD85" s="108">
        <v>27.549696550719297</v>
      </c>
      <c r="AE85" s="108">
        <v>4132.4544826078945</v>
      </c>
      <c r="AF85" s="108">
        <v>1.0480456777976293E-15</v>
      </c>
      <c r="AG85" s="108">
        <v>1.5720685166964439E-13</v>
      </c>
      <c r="AH85" s="108">
        <v>0</v>
      </c>
      <c r="AI85" s="108">
        <v>0</v>
      </c>
      <c r="AJ85" s="108">
        <v>5.3050584977233912</v>
      </c>
      <c r="AK85" s="108">
        <v>795.75877465850863</v>
      </c>
      <c r="AL85" s="108">
        <v>17.628055583047722</v>
      </c>
      <c r="AM85" s="108">
        <v>2644.2083374571584</v>
      </c>
      <c r="AN85" s="108">
        <v>6.0653863945690949</v>
      </c>
      <c r="AO85" s="108">
        <v>909.80795918536421</v>
      </c>
      <c r="AP85" s="108">
        <v>16.055117626772969</v>
      </c>
      <c r="AQ85" s="108">
        <v>2408.2676440159453</v>
      </c>
      <c r="AR85" s="108">
        <v>37.10826702561419</v>
      </c>
      <c r="AS85" s="108">
        <v>5566.2400538421289</v>
      </c>
      <c r="AT85" s="108">
        <v>31.933993154602213</v>
      </c>
      <c r="AU85" s="108">
        <v>4790.0989731903319</v>
      </c>
      <c r="AV85" s="108">
        <v>0</v>
      </c>
      <c r="AW85" s="108">
        <v>0</v>
      </c>
      <c r="AX85" s="108">
        <v>56.702622412420581</v>
      </c>
      <c r="AY85" s="108">
        <v>8505.3933618630872</v>
      </c>
      <c r="AZ85" s="108">
        <v>0</v>
      </c>
      <c r="BA85" s="108">
        <v>0</v>
      </c>
      <c r="BB85" s="108">
        <v>26.904382801664354</v>
      </c>
      <c r="BC85" s="108">
        <v>4035.6574202496531</v>
      </c>
      <c r="BD85" s="108">
        <v>24.104936877271637</v>
      </c>
      <c r="BE85" s="108">
        <v>3615.7405315907454</v>
      </c>
      <c r="BF85" s="108">
        <v>0</v>
      </c>
      <c r="BG85" s="108">
        <v>0</v>
      </c>
      <c r="BH85" s="108">
        <v>13</v>
      </c>
      <c r="BI85" s="108">
        <v>1950</v>
      </c>
      <c r="BJ85" s="108">
        <v>21.07455593036612</v>
      </c>
      <c r="BK85" s="108">
        <v>3161.183389554918</v>
      </c>
      <c r="BL85" s="108">
        <v>25.618861555946083</v>
      </c>
      <c r="BM85" s="108">
        <v>3842.8292333919126</v>
      </c>
      <c r="BN85" s="108">
        <v>17.999965490137701</v>
      </c>
      <c r="BO85" s="108">
        <v>2699.9948235206552</v>
      </c>
      <c r="BP85" s="108">
        <v>10.398086986934118</v>
      </c>
      <c r="BQ85" s="108">
        <v>1559.7130480401177</v>
      </c>
      <c r="BR85" s="108">
        <v>0</v>
      </c>
      <c r="BS85" s="108">
        <v>0</v>
      </c>
      <c r="BT85" s="108">
        <v>0</v>
      </c>
      <c r="BU85" s="108">
        <v>0</v>
      </c>
      <c r="BV85" s="108">
        <v>17</v>
      </c>
      <c r="BW85" s="108">
        <v>2550</v>
      </c>
      <c r="BX85" s="108">
        <v>8.2073910369646246</v>
      </c>
      <c r="BY85" s="108">
        <v>1231.1086555446936</v>
      </c>
      <c r="BZ85" s="108">
        <v>6.4783077354966911</v>
      </c>
      <c r="CA85" s="108">
        <v>971.74616032450365</v>
      </c>
      <c r="CB85" s="108">
        <v>11.181882702747554</v>
      </c>
      <c r="CC85" s="108">
        <v>1677.2824054121331</v>
      </c>
      <c r="CD85" s="108">
        <v>6.4015342312699959</v>
      </c>
      <c r="CE85" s="108">
        <v>960.23013469049943</v>
      </c>
      <c r="CF85" s="108">
        <v>0</v>
      </c>
      <c r="CG85" s="108">
        <v>0</v>
      </c>
      <c r="CH85" s="108">
        <v>28.703431235989164</v>
      </c>
      <c r="CI85" s="108">
        <v>4305.5146853983742</v>
      </c>
      <c r="CJ85" s="108">
        <v>53.050152185978824</v>
      </c>
      <c r="CK85" s="108">
        <v>7957.5228278968234</v>
      </c>
      <c r="CL85" s="108">
        <v>0</v>
      </c>
      <c r="CM85" s="108">
        <v>0</v>
      </c>
      <c r="CN85" s="108">
        <v>9</v>
      </c>
      <c r="CO85" s="108">
        <v>1350</v>
      </c>
      <c r="CP85" s="108">
        <v>7.4393790550446868</v>
      </c>
      <c r="CQ85" s="108">
        <v>1115.9068582567031</v>
      </c>
      <c r="CR85" s="108">
        <v>7.7905563540574754</v>
      </c>
      <c r="CS85" s="108">
        <v>1168.5834531086214</v>
      </c>
      <c r="CT85" s="108">
        <v>9.1268389019422678</v>
      </c>
      <c r="CU85" s="108">
        <v>1369.0258352913402</v>
      </c>
    </row>
    <row r="86" spans="2:99" x14ac:dyDescent="0.2">
      <c r="C86" s="107" t="s">
        <v>251</v>
      </c>
      <c r="D86" s="108">
        <v>0</v>
      </c>
      <c r="E86" s="108">
        <v>0</v>
      </c>
      <c r="F86" s="108">
        <v>0</v>
      </c>
      <c r="G86" s="108">
        <v>0</v>
      </c>
      <c r="H86" s="108">
        <v>19.720343505413634</v>
      </c>
      <c r="I86" s="108">
        <v>10648.985492923362</v>
      </c>
      <c r="J86" s="108">
        <v>0</v>
      </c>
      <c r="K86" s="108">
        <v>0</v>
      </c>
      <c r="L86" s="108">
        <v>40.900097489299888</v>
      </c>
      <c r="M86" s="108">
        <v>22086.052644221938</v>
      </c>
      <c r="N86" s="108">
        <v>20.75391076761051</v>
      </c>
      <c r="O86" s="108">
        <v>11207.111814509675</v>
      </c>
      <c r="P86" s="108">
        <v>0</v>
      </c>
      <c r="Q86" s="108">
        <v>0</v>
      </c>
      <c r="R86" s="108">
        <v>21.912867255504384</v>
      </c>
      <c r="S86" s="108">
        <v>11832.948317972367</v>
      </c>
      <c r="T86" s="108">
        <v>14.990395255380568</v>
      </c>
      <c r="U86" s="108">
        <v>8094.8134379055064</v>
      </c>
      <c r="V86" s="108">
        <v>24.037002040666309</v>
      </c>
      <c r="W86" s="108">
        <v>12979.981101959807</v>
      </c>
      <c r="X86" s="108">
        <v>4.8836159550386045</v>
      </c>
      <c r="Y86" s="108">
        <v>2637.1526157208464</v>
      </c>
      <c r="Z86" s="108">
        <v>0</v>
      </c>
      <c r="AA86" s="108">
        <v>0</v>
      </c>
      <c r="AB86" s="108">
        <v>26</v>
      </c>
      <c r="AC86" s="108">
        <v>14040</v>
      </c>
      <c r="AD86" s="108">
        <v>26.564579762267378</v>
      </c>
      <c r="AE86" s="108">
        <v>14344.873071624384</v>
      </c>
      <c r="AF86" s="108">
        <v>1.1323872456995237E-15</v>
      </c>
      <c r="AG86" s="108">
        <v>6.114891126777428E-13</v>
      </c>
      <c r="AH86" s="108">
        <v>0</v>
      </c>
      <c r="AI86" s="108">
        <v>0</v>
      </c>
      <c r="AJ86" s="108">
        <v>5.7131399206251912</v>
      </c>
      <c r="AK86" s="108">
        <v>3085.095557137603</v>
      </c>
      <c r="AL86" s="108">
        <v>17.158943429482473</v>
      </c>
      <c r="AM86" s="108">
        <v>9265.8294519205356</v>
      </c>
      <c r="AN86" s="108">
        <v>6.0466442400888303</v>
      </c>
      <c r="AO86" s="108">
        <v>3265.1878896479684</v>
      </c>
      <c r="AP86" s="108">
        <v>13.786022375294062</v>
      </c>
      <c r="AQ86" s="108">
        <v>7444.4520826587932</v>
      </c>
      <c r="AR86" s="108">
        <v>27.651149222022962</v>
      </c>
      <c r="AS86" s="108">
        <v>14931.6205798924</v>
      </c>
      <c r="AT86" s="108">
        <v>29.828142141610464</v>
      </c>
      <c r="AU86" s="108">
        <v>16107.19675646965</v>
      </c>
      <c r="AV86" s="108">
        <v>0</v>
      </c>
      <c r="AW86" s="108">
        <v>0</v>
      </c>
      <c r="AX86" s="108">
        <v>54.769578466542612</v>
      </c>
      <c r="AY86" s="108">
        <v>29575.572371933009</v>
      </c>
      <c r="AZ86" s="108">
        <v>0</v>
      </c>
      <c r="BA86" s="108">
        <v>0</v>
      </c>
      <c r="BB86" s="108">
        <v>24.546782246879332</v>
      </c>
      <c r="BC86" s="108">
        <v>13255.262413314838</v>
      </c>
      <c r="BD86" s="108">
        <v>21.002838143465198</v>
      </c>
      <c r="BE86" s="108">
        <v>11341.532597471207</v>
      </c>
      <c r="BF86" s="108">
        <v>0</v>
      </c>
      <c r="BG86" s="108">
        <v>0</v>
      </c>
      <c r="BH86" s="108">
        <v>14</v>
      </c>
      <c r="BI86" s="108">
        <v>7560</v>
      </c>
      <c r="BJ86" s="108">
        <v>21.07455593036612</v>
      </c>
      <c r="BK86" s="108">
        <v>11380.260202397705</v>
      </c>
      <c r="BL86" s="108">
        <v>23.447792609429563</v>
      </c>
      <c r="BM86" s="108">
        <v>12661.808009091963</v>
      </c>
      <c r="BN86" s="108">
        <v>16.532169380063678</v>
      </c>
      <c r="BO86" s="108">
        <v>8927.3714652343861</v>
      </c>
      <c r="BP86" s="108">
        <v>10.398086986934118</v>
      </c>
      <c r="BQ86" s="108">
        <v>5614.9669729444231</v>
      </c>
      <c r="BR86" s="108">
        <v>0</v>
      </c>
      <c r="BS86" s="108">
        <v>0</v>
      </c>
      <c r="BT86" s="108">
        <v>0</v>
      </c>
      <c r="BU86" s="108">
        <v>0</v>
      </c>
      <c r="BV86" s="108">
        <v>15</v>
      </c>
      <c r="BW86" s="108">
        <v>8100</v>
      </c>
      <c r="BX86" s="108">
        <v>7.3366355046922092</v>
      </c>
      <c r="BY86" s="108">
        <v>3961.7831725337928</v>
      </c>
      <c r="BZ86" s="108">
        <v>6.7581823988177634</v>
      </c>
      <c r="CA86" s="108">
        <v>3649.4184953615922</v>
      </c>
      <c r="CB86" s="108">
        <v>11.081146827206647</v>
      </c>
      <c r="CC86" s="108">
        <v>5983.8192866915888</v>
      </c>
      <c r="CD86" s="108">
        <v>5.9149117148729626</v>
      </c>
      <c r="CE86" s="108">
        <v>3194.0523260313998</v>
      </c>
      <c r="CF86" s="108">
        <v>0</v>
      </c>
      <c r="CG86" s="108">
        <v>0</v>
      </c>
      <c r="CH86" s="108">
        <v>28.703431235989164</v>
      </c>
      <c r="CI86" s="108">
        <v>15499.852867434149</v>
      </c>
      <c r="CJ86" s="108">
        <v>44.155944392958745</v>
      </c>
      <c r="CK86" s="108">
        <v>23844.209972197721</v>
      </c>
      <c r="CL86" s="108">
        <v>0</v>
      </c>
      <c r="CM86" s="108">
        <v>0</v>
      </c>
      <c r="CN86" s="108">
        <v>8</v>
      </c>
      <c r="CO86" s="108">
        <v>4320</v>
      </c>
      <c r="CP86" s="108">
        <v>6.5416523645805063</v>
      </c>
      <c r="CQ86" s="108">
        <v>3532.4922768734732</v>
      </c>
      <c r="CR86" s="108">
        <v>6.9812828176572008</v>
      </c>
      <c r="CS86" s="108">
        <v>3769.8927215348886</v>
      </c>
      <c r="CT86" s="108">
        <v>9.7667669296087567</v>
      </c>
      <c r="CU86" s="108">
        <v>5274.0541419887286</v>
      </c>
    </row>
    <row r="87" spans="2:99" x14ac:dyDescent="0.2">
      <c r="B87" s="107" t="s">
        <v>131</v>
      </c>
      <c r="C87" s="107" t="s">
        <v>252</v>
      </c>
      <c r="D87" s="108">
        <v>0</v>
      </c>
      <c r="E87" s="108">
        <v>0</v>
      </c>
      <c r="F87" s="108">
        <v>0</v>
      </c>
      <c r="G87" s="108">
        <v>0</v>
      </c>
      <c r="H87" s="108">
        <v>6.2527918431799332</v>
      </c>
      <c r="I87" s="108">
        <v>12222.957495048133</v>
      </c>
      <c r="J87" s="108">
        <v>0</v>
      </c>
      <c r="K87" s="108">
        <v>0</v>
      </c>
      <c r="L87" s="108">
        <v>23.779126447267377</v>
      </c>
      <c r="M87" s="108">
        <v>46483.43637911827</v>
      </c>
      <c r="N87" s="108">
        <v>9.9153993779721095</v>
      </c>
      <c r="O87" s="108">
        <v>19382.622704059879</v>
      </c>
      <c r="P87" s="108">
        <v>0</v>
      </c>
      <c r="Q87" s="108">
        <v>0</v>
      </c>
      <c r="R87" s="108">
        <v>8.4280258675016864</v>
      </c>
      <c r="S87" s="108">
        <v>16475.104965792296</v>
      </c>
      <c r="T87" s="108">
        <v>22.288755914163211</v>
      </c>
      <c r="U87" s="108">
        <v>43570.060061006247</v>
      </c>
      <c r="V87" s="108">
        <v>24.121948244781944</v>
      </c>
      <c r="W87" s="108">
        <v>47153.58442889974</v>
      </c>
      <c r="X87" s="108">
        <v>9.3915691443050093</v>
      </c>
      <c r="Y87" s="108">
        <v>18358.639363287431</v>
      </c>
      <c r="Z87" s="108">
        <v>0</v>
      </c>
      <c r="AA87" s="108">
        <v>0</v>
      </c>
      <c r="AB87" s="108">
        <v>53</v>
      </c>
      <c r="AC87" s="108">
        <v>103604.4</v>
      </c>
      <c r="AD87" s="108">
        <v>28.898820598734872</v>
      </c>
      <c r="AE87" s="108">
        <v>56491.414506406923</v>
      </c>
      <c r="AF87" s="108">
        <v>1.3099681206176884E-15</v>
      </c>
      <c r="AG87" s="108">
        <v>2.560725682183457E-12</v>
      </c>
      <c r="AH87" s="108">
        <v>0</v>
      </c>
      <c r="AI87" s="108">
        <v>0</v>
      </c>
      <c r="AJ87" s="108">
        <v>2.8565699603125956</v>
      </c>
      <c r="AK87" s="108">
        <v>5584.022958419062</v>
      </c>
      <c r="AL87" s="108">
        <v>11.002443521195216</v>
      </c>
      <c r="AM87" s="108">
        <v>21507.576595232407</v>
      </c>
      <c r="AN87" s="108">
        <v>3.2118392406765994</v>
      </c>
      <c r="AO87" s="108">
        <v>6278.5033476746166</v>
      </c>
      <c r="AP87" s="108">
        <v>12.170976397923042</v>
      </c>
      <c r="AQ87" s="108">
        <v>23791.824662659961</v>
      </c>
      <c r="AR87" s="108">
        <v>18.439636681011166</v>
      </c>
      <c r="AS87" s="108">
        <v>36045.801784040625</v>
      </c>
      <c r="AT87" s="108">
        <v>16.852894094216918</v>
      </c>
      <c r="AU87" s="108">
        <v>32944.037375375228</v>
      </c>
      <c r="AV87" s="108">
        <v>0</v>
      </c>
      <c r="AW87" s="108">
        <v>0</v>
      </c>
      <c r="AX87" s="108">
        <v>41.882618827356119</v>
      </c>
      <c r="AY87" s="108">
        <v>81872.143283715734</v>
      </c>
      <c r="AZ87" s="108">
        <v>0</v>
      </c>
      <c r="BA87" s="108">
        <v>0</v>
      </c>
      <c r="BB87" s="108">
        <v>9.5690846047156715</v>
      </c>
      <c r="BC87" s="108">
        <v>18705.646585298193</v>
      </c>
      <c r="BD87" s="108">
        <v>11.081941066911318</v>
      </c>
      <c r="BE87" s="108">
        <v>21662.978397598243</v>
      </c>
      <c r="BF87" s="108">
        <v>0</v>
      </c>
      <c r="BG87" s="108">
        <v>0</v>
      </c>
      <c r="BH87" s="108">
        <v>10</v>
      </c>
      <c r="BI87" s="108">
        <v>19548</v>
      </c>
      <c r="BJ87" s="108">
        <v>17.92903607571019</v>
      </c>
      <c r="BK87" s="108">
        <v>35047.679720798282</v>
      </c>
      <c r="BL87" s="108">
        <v>17.960999448979127</v>
      </c>
      <c r="BM87" s="108">
        <v>35110.161722864395</v>
      </c>
      <c r="BN87" s="108">
        <v>16.642027367460766</v>
      </c>
      <c r="BO87" s="108">
        <v>32531.835097912306</v>
      </c>
      <c r="BP87" s="108">
        <v>44.960540945863002</v>
      </c>
      <c r="BQ87" s="108">
        <v>87888.865440972993</v>
      </c>
      <c r="BR87" s="108">
        <v>0</v>
      </c>
      <c r="BS87" s="108">
        <v>0</v>
      </c>
      <c r="BT87" s="108">
        <v>0</v>
      </c>
      <c r="BU87" s="108">
        <v>0</v>
      </c>
      <c r="BV87" s="108">
        <v>41</v>
      </c>
      <c r="BW87" s="108">
        <v>80146.8</v>
      </c>
      <c r="BX87" s="108">
        <v>12.363716300600339</v>
      </c>
      <c r="BY87" s="108">
        <v>24168.592624413544</v>
      </c>
      <c r="BZ87" s="108">
        <v>8.9072709269746557</v>
      </c>
      <c r="CA87" s="108">
        <v>17411.933208050057</v>
      </c>
      <c r="CB87" s="108">
        <v>22.217501279898972</v>
      </c>
      <c r="CC87" s="108">
        <v>43430.77150194651</v>
      </c>
      <c r="CD87" s="108">
        <v>5.6321292542091781</v>
      </c>
      <c r="CE87" s="108">
        <v>11009.686266128101</v>
      </c>
      <c r="CF87" s="108">
        <v>0</v>
      </c>
      <c r="CG87" s="108">
        <v>0</v>
      </c>
      <c r="CH87" s="108">
        <v>7.6542483295971113</v>
      </c>
      <c r="CI87" s="108">
        <v>14962.524634696432</v>
      </c>
      <c r="CJ87" s="108">
        <v>26.288755163883149</v>
      </c>
      <c r="CK87" s="108">
        <v>51389.258594358776</v>
      </c>
      <c r="CL87" s="108">
        <v>0</v>
      </c>
      <c r="CM87" s="108">
        <v>0</v>
      </c>
      <c r="CN87" s="108">
        <v>53</v>
      </c>
      <c r="CO87" s="108">
        <v>103604.4</v>
      </c>
      <c r="CP87" s="108">
        <v>41.126097250587073</v>
      </c>
      <c r="CQ87" s="108">
        <v>80393.294905447605</v>
      </c>
      <c r="CR87" s="108">
        <v>46.986112989579304</v>
      </c>
      <c r="CS87" s="108">
        <v>91848.453672029616</v>
      </c>
      <c r="CT87" s="108">
        <v>47.554858289437071</v>
      </c>
      <c r="CU87" s="108">
        <v>92960.236984191579</v>
      </c>
    </row>
    <row r="88" spans="2:99" x14ac:dyDescent="0.2">
      <c r="C88" s="107" t="s">
        <v>253</v>
      </c>
      <c r="D88" s="108">
        <v>0</v>
      </c>
      <c r="E88" s="108">
        <v>0</v>
      </c>
      <c r="F88" s="108">
        <v>0</v>
      </c>
      <c r="G88" s="108">
        <v>0</v>
      </c>
      <c r="H88" s="108">
        <v>6.7337758311168505</v>
      </c>
      <c r="I88" s="108">
        <v>12742.997382805526</v>
      </c>
      <c r="J88" s="108">
        <v>0</v>
      </c>
      <c r="K88" s="108">
        <v>0</v>
      </c>
      <c r="L88" s="108">
        <v>23.779126447267377</v>
      </c>
      <c r="M88" s="108">
        <v>44999.618888808778</v>
      </c>
      <c r="N88" s="108">
        <v>8.8225734717520297</v>
      </c>
      <c r="O88" s="108">
        <v>16695.83803794354</v>
      </c>
      <c r="P88" s="108">
        <v>0</v>
      </c>
      <c r="Q88" s="108">
        <v>0</v>
      </c>
      <c r="R88" s="108">
        <v>7.5852232807515181</v>
      </c>
      <c r="S88" s="108">
        <v>14354.276536494172</v>
      </c>
      <c r="T88" s="108">
        <v>23.685980716926881</v>
      </c>
      <c r="U88" s="108">
        <v>44823.349908712429</v>
      </c>
      <c r="V88" s="108">
        <v>23.906641469279741</v>
      </c>
      <c r="W88" s="108">
        <v>45240.928316464975</v>
      </c>
      <c r="X88" s="108">
        <v>9.3915691443050093</v>
      </c>
      <c r="Y88" s="108">
        <v>17772.6054486828</v>
      </c>
      <c r="Z88" s="108">
        <v>0</v>
      </c>
      <c r="AA88" s="108">
        <v>0</v>
      </c>
      <c r="AB88" s="108">
        <v>54</v>
      </c>
      <c r="AC88" s="108">
        <v>102189.59999999999</v>
      </c>
      <c r="AD88" s="108">
        <v>29.436879900406293</v>
      </c>
      <c r="AE88" s="108">
        <v>55706.351523528865</v>
      </c>
      <c r="AF88" s="108">
        <v>1.3691617455904096E-15</v>
      </c>
      <c r="AG88" s="108">
        <v>2.591001687355291E-12</v>
      </c>
      <c r="AH88" s="108">
        <v>0</v>
      </c>
      <c r="AI88" s="108">
        <v>0</v>
      </c>
      <c r="AJ88" s="108">
        <v>2.8565699603125956</v>
      </c>
      <c r="AK88" s="108">
        <v>5405.772992895555</v>
      </c>
      <c r="AL88" s="108">
        <v>10.235883911300235</v>
      </c>
      <c r="AM88" s="108">
        <v>19370.386713744563</v>
      </c>
      <c r="AN88" s="108">
        <v>3.2118392406765994</v>
      </c>
      <c r="AO88" s="108">
        <v>6078.0845790563963</v>
      </c>
      <c r="AP88" s="108">
        <v>12.170976397923042</v>
      </c>
      <c r="AQ88" s="108">
        <v>23032.355735429563</v>
      </c>
      <c r="AR88" s="108">
        <v>19.947905649211553</v>
      </c>
      <c r="AS88" s="108">
        <v>37749.416650567939</v>
      </c>
      <c r="AT88" s="108">
        <v>17.990477135183951</v>
      </c>
      <c r="AU88" s="108">
        <v>34045.178930622111</v>
      </c>
      <c r="AV88" s="108">
        <v>0</v>
      </c>
      <c r="AW88" s="108">
        <v>0</v>
      </c>
      <c r="AX88" s="108">
        <v>38.016530935600166</v>
      </c>
      <c r="AY88" s="108">
        <v>71942.483142529745</v>
      </c>
      <c r="AZ88" s="108">
        <v>0</v>
      </c>
      <c r="BA88" s="108">
        <v>0</v>
      </c>
      <c r="BB88" s="108">
        <v>8.182260748959779</v>
      </c>
      <c r="BC88" s="108">
        <v>15484.110241331484</v>
      </c>
      <c r="BD88" s="108">
        <v>10.801876640882064</v>
      </c>
      <c r="BE88" s="108">
        <v>20441.471355205216</v>
      </c>
      <c r="BF88" s="108">
        <v>0</v>
      </c>
      <c r="BG88" s="108">
        <v>0</v>
      </c>
      <c r="BH88" s="108">
        <v>10</v>
      </c>
      <c r="BI88" s="108">
        <v>18924</v>
      </c>
      <c r="BJ88" s="108">
        <v>19.220075785022054</v>
      </c>
      <c r="BK88" s="108">
        <v>36372.07141557573</v>
      </c>
      <c r="BL88" s="108">
        <v>20.474206288528691</v>
      </c>
      <c r="BM88" s="108">
        <v>38745.387980411695</v>
      </c>
      <c r="BN88" s="108">
        <v>16.77619473856069</v>
      </c>
      <c r="BO88" s="108">
        <v>31747.270923252247</v>
      </c>
      <c r="BP88" s="108">
        <v>40.509082628557728</v>
      </c>
      <c r="BQ88" s="108">
        <v>76659.387966282637</v>
      </c>
      <c r="BR88" s="108">
        <v>0</v>
      </c>
      <c r="BS88" s="108">
        <v>0</v>
      </c>
      <c r="BT88" s="108">
        <v>0</v>
      </c>
      <c r="BU88" s="108">
        <v>0</v>
      </c>
      <c r="BV88" s="108">
        <v>49</v>
      </c>
      <c r="BW88" s="108">
        <v>92727.599999999991</v>
      </c>
      <c r="BX88" s="108">
        <v>11.835156709992061</v>
      </c>
      <c r="BY88" s="108">
        <v>22396.850557988975</v>
      </c>
      <c r="BZ88" s="108">
        <v>9.6086685961114711</v>
      </c>
      <c r="CA88" s="108">
        <v>18183.444451281346</v>
      </c>
      <c r="CB88" s="108">
        <v>21.770615222725631</v>
      </c>
      <c r="CC88" s="108">
        <v>41198.712247485979</v>
      </c>
      <c r="CD88" s="108">
        <v>5.9540223557897933</v>
      </c>
      <c r="CE88" s="108">
        <v>11267.391906096604</v>
      </c>
      <c r="CF88" s="108">
        <v>0</v>
      </c>
      <c r="CG88" s="108">
        <v>0</v>
      </c>
      <c r="CH88" s="108">
        <v>9.2488833982631746</v>
      </c>
      <c r="CI88" s="108">
        <v>17502.586942873229</v>
      </c>
      <c r="CJ88" s="108">
        <v>23.014657161602631</v>
      </c>
      <c r="CK88" s="108">
        <v>43552.937212616816</v>
      </c>
      <c r="CL88" s="108">
        <v>0</v>
      </c>
      <c r="CM88" s="108">
        <v>0</v>
      </c>
      <c r="CN88" s="108">
        <v>61</v>
      </c>
      <c r="CO88" s="108">
        <v>115436.4</v>
      </c>
      <c r="CP88" s="108">
        <v>41.950233789242318</v>
      </c>
      <c r="CQ88" s="108">
        <v>79386.622422762157</v>
      </c>
      <c r="CR88" s="108">
        <v>48.412364328778317</v>
      </c>
      <c r="CS88" s="108">
        <v>91615.558255780081</v>
      </c>
      <c r="CT88" s="108">
        <v>50.990099335933898</v>
      </c>
      <c r="CU88" s="108">
        <v>96493.663983321298</v>
      </c>
    </row>
    <row r="89" spans="2:99" x14ac:dyDescent="0.2">
      <c r="C89" s="107" t="s">
        <v>254</v>
      </c>
      <c r="D89" s="108">
        <v>0</v>
      </c>
      <c r="E89" s="108">
        <v>0</v>
      </c>
      <c r="F89" s="108">
        <v>0</v>
      </c>
      <c r="G89" s="108">
        <v>0</v>
      </c>
      <c r="H89" s="108">
        <v>6.7337758311168505</v>
      </c>
      <c r="I89" s="108">
        <v>16144.900932685759</v>
      </c>
      <c r="J89" s="108">
        <v>0</v>
      </c>
      <c r="K89" s="108">
        <v>0</v>
      </c>
      <c r="L89" s="108">
        <v>19.974466215704595</v>
      </c>
      <c r="M89" s="108">
        <v>47890.780198773333</v>
      </c>
      <c r="N89" s="108">
        <v>8.2361774076462932</v>
      </c>
      <c r="O89" s="108">
        <v>19747.058952572752</v>
      </c>
      <c r="P89" s="108">
        <v>0</v>
      </c>
      <c r="Q89" s="108">
        <v>0</v>
      </c>
      <c r="R89" s="108">
        <v>7.1638219873764335</v>
      </c>
      <c r="S89" s="108">
        <v>17175.979596933736</v>
      </c>
      <c r="T89" s="108">
        <v>20.692467541368057</v>
      </c>
      <c r="U89" s="108">
        <v>49612.260177184049</v>
      </c>
      <c r="V89" s="108">
        <v>20.960468163155291</v>
      </c>
      <c r="W89" s="108">
        <v>50254.818467981124</v>
      </c>
      <c r="X89" s="108">
        <v>7.5132553154440069</v>
      </c>
      <c r="Y89" s="108">
        <v>18013.78094430855</v>
      </c>
      <c r="Z89" s="108">
        <v>0</v>
      </c>
      <c r="AA89" s="108">
        <v>0</v>
      </c>
      <c r="AB89" s="108">
        <v>51</v>
      </c>
      <c r="AC89" s="108">
        <v>122277.59999999999</v>
      </c>
      <c r="AD89" s="108">
        <v>26.390527720159628</v>
      </c>
      <c r="AE89" s="108">
        <v>63273.929261854726</v>
      </c>
      <c r="AF89" s="108">
        <v>1.2356060679775075E-15</v>
      </c>
      <c r="AG89" s="108">
        <v>2.9624891085828718E-12</v>
      </c>
      <c r="AH89" s="108">
        <v>0</v>
      </c>
      <c r="AI89" s="108">
        <v>0</v>
      </c>
      <c r="AJ89" s="108">
        <v>2.8565699603125956</v>
      </c>
      <c r="AK89" s="108">
        <v>6848.9121368454789</v>
      </c>
      <c r="AL89" s="108">
        <v>10.127899515717592</v>
      </c>
      <c r="AM89" s="108">
        <v>24282.651878884499</v>
      </c>
      <c r="AN89" s="108">
        <v>3.146237208463567</v>
      </c>
      <c r="AO89" s="108">
        <v>7543.418331012248</v>
      </c>
      <c r="AP89" s="108">
        <v>10.498238269225778</v>
      </c>
      <c r="AQ89" s="108">
        <v>25170.576074295725</v>
      </c>
      <c r="AR89" s="108">
        <v>19.285850153323317</v>
      </c>
      <c r="AS89" s="108">
        <v>46239.754327607981</v>
      </c>
      <c r="AT89" s="108">
        <v>15.450918616776688</v>
      </c>
      <c r="AU89" s="108">
        <v>37045.122475583783</v>
      </c>
      <c r="AV89" s="108">
        <v>0</v>
      </c>
      <c r="AW89" s="108">
        <v>0</v>
      </c>
      <c r="AX89" s="108">
        <v>33.506095061884892</v>
      </c>
      <c r="AY89" s="108">
        <v>80334.213520375211</v>
      </c>
      <c r="AZ89" s="108">
        <v>0</v>
      </c>
      <c r="BA89" s="108">
        <v>0</v>
      </c>
      <c r="BB89" s="108">
        <v>7.48884882108183</v>
      </c>
      <c r="BC89" s="108">
        <v>17955.263933425795</v>
      </c>
      <c r="BD89" s="108">
        <v>8.7227834931473023</v>
      </c>
      <c r="BE89" s="108">
        <v>20913.745703169971</v>
      </c>
      <c r="BF89" s="108">
        <v>0</v>
      </c>
      <c r="BG89" s="108">
        <v>0</v>
      </c>
      <c r="BH89" s="108">
        <v>8</v>
      </c>
      <c r="BI89" s="108">
        <v>19180.8</v>
      </c>
      <c r="BJ89" s="108">
        <v>18.07455593036612</v>
      </c>
      <c r="BK89" s="108">
        <v>43335.555298645806</v>
      </c>
      <c r="BL89" s="108">
        <v>19.303137342012171</v>
      </c>
      <c r="BM89" s="108">
        <v>46281.202091208383</v>
      </c>
      <c r="BN89" s="108">
        <v>13.811104970103665</v>
      </c>
      <c r="BO89" s="108">
        <v>33113.505276320546</v>
      </c>
      <c r="BP89" s="108">
        <v>42.271827644567423</v>
      </c>
      <c r="BQ89" s="108">
        <v>101350.93396061486</v>
      </c>
      <c r="BR89" s="108">
        <v>0</v>
      </c>
      <c r="BS89" s="108">
        <v>0</v>
      </c>
      <c r="BT89" s="108">
        <v>0</v>
      </c>
      <c r="BU89" s="108">
        <v>0</v>
      </c>
      <c r="BV89" s="108">
        <v>39</v>
      </c>
      <c r="BW89" s="108">
        <v>93506.4</v>
      </c>
      <c r="BX89" s="108">
        <v>11.253875810900407</v>
      </c>
      <c r="BY89" s="108">
        <v>26982.292644214816</v>
      </c>
      <c r="BZ89" s="108">
        <v>8.8756258368241454</v>
      </c>
      <c r="CA89" s="108">
        <v>21280.200506369569</v>
      </c>
      <c r="CB89" s="108">
        <v>19.78671797471933</v>
      </c>
      <c r="CC89" s="108">
        <v>47440.635016187065</v>
      </c>
      <c r="CD89" s="108">
        <v>5.322539731654615</v>
      </c>
      <c r="CE89" s="108">
        <v>12761.321260615105</v>
      </c>
      <c r="CF89" s="108">
        <v>0</v>
      </c>
      <c r="CG89" s="108">
        <v>0</v>
      </c>
      <c r="CH89" s="108">
        <v>7.9731753433303236</v>
      </c>
      <c r="CI89" s="108">
        <v>19116.485203168784</v>
      </c>
      <c r="CJ89" s="108">
        <v>24.415385233636631</v>
      </c>
      <c r="CK89" s="108">
        <v>58538.327636167181</v>
      </c>
      <c r="CL89" s="108">
        <v>0</v>
      </c>
      <c r="CM89" s="108">
        <v>0</v>
      </c>
      <c r="CN89" s="108">
        <v>55</v>
      </c>
      <c r="CO89" s="108">
        <v>131868</v>
      </c>
      <c r="CP89" s="108">
        <v>41.015712022873679</v>
      </c>
      <c r="CQ89" s="108">
        <v>98339.271146041923</v>
      </c>
      <c r="CR89" s="108">
        <v>45.559861650380284</v>
      </c>
      <c r="CS89" s="108">
        <v>109234.32429295177</v>
      </c>
      <c r="CT89" s="108">
        <v>42.907075732797082</v>
      </c>
      <c r="CU89" s="108">
        <v>102874.00477695429</v>
      </c>
    </row>
    <row r="90" spans="2:99" x14ac:dyDescent="0.2">
      <c r="C90" s="107" t="s">
        <v>255</v>
      </c>
      <c r="D90" s="108">
        <v>0</v>
      </c>
      <c r="E90" s="108">
        <v>0</v>
      </c>
      <c r="F90" s="108">
        <v>0</v>
      </c>
      <c r="G90" s="108">
        <v>0</v>
      </c>
      <c r="H90" s="108">
        <v>6.2527918431799332</v>
      </c>
      <c r="I90" s="108">
        <v>13738.634237834947</v>
      </c>
      <c r="J90" s="108">
        <v>0</v>
      </c>
      <c r="K90" s="108">
        <v>0</v>
      </c>
      <c r="L90" s="108">
        <v>24.730291505158071</v>
      </c>
      <c r="M90" s="108">
        <v>54337.396495133311</v>
      </c>
      <c r="N90" s="108">
        <v>9.2490370918749854</v>
      </c>
      <c r="O90" s="108">
        <v>20321.984298267715</v>
      </c>
      <c r="P90" s="108">
        <v>0</v>
      </c>
      <c r="Q90" s="108">
        <v>0</v>
      </c>
      <c r="R90" s="108">
        <v>8.4280258675016864</v>
      </c>
      <c r="S90" s="108">
        <v>18518.058436074705</v>
      </c>
      <c r="T90" s="108">
        <v>21.459081169009526</v>
      </c>
      <c r="U90" s="108">
        <v>47149.893144547728</v>
      </c>
      <c r="V90" s="108">
        <v>21.960468163155291</v>
      </c>
      <c r="W90" s="108">
        <v>48251.540648084803</v>
      </c>
      <c r="X90" s="108">
        <v>8.6402436127606084</v>
      </c>
      <c r="Y90" s="108">
        <v>18984.343265957606</v>
      </c>
      <c r="Z90" s="108">
        <v>0</v>
      </c>
      <c r="AA90" s="108">
        <v>0</v>
      </c>
      <c r="AB90" s="108">
        <v>46</v>
      </c>
      <c r="AC90" s="108">
        <v>101071.2</v>
      </c>
      <c r="AD90" s="108">
        <v>24.55282107175513</v>
      </c>
      <c r="AE90" s="108">
        <v>53947.458458860368</v>
      </c>
      <c r="AF90" s="108">
        <v>1.2186496118806959E-15</v>
      </c>
      <c r="AG90" s="108">
        <v>2.6776169272242647E-12</v>
      </c>
      <c r="AH90" s="108">
        <v>0</v>
      </c>
      <c r="AI90" s="108">
        <v>0</v>
      </c>
      <c r="AJ90" s="108">
        <v>2.8565699603125956</v>
      </c>
      <c r="AK90" s="108">
        <v>6276.4555167988347</v>
      </c>
      <c r="AL90" s="108">
        <v>10.343868306882877</v>
      </c>
      <c r="AM90" s="108">
        <v>22727.547443883057</v>
      </c>
      <c r="AN90" s="108">
        <v>3.146237208463567</v>
      </c>
      <c r="AO90" s="108">
        <v>6912.912394436149</v>
      </c>
      <c r="AP90" s="108">
        <v>11.498238269225778</v>
      </c>
      <c r="AQ90" s="108">
        <v>25263.929125142877</v>
      </c>
      <c r="AR90" s="108">
        <v>17.158929240267852</v>
      </c>
      <c r="AS90" s="108">
        <v>37701.599326716525</v>
      </c>
      <c r="AT90" s="108">
        <v>16.306320044641794</v>
      </c>
      <c r="AU90" s="108">
        <v>35828.246402086945</v>
      </c>
      <c r="AV90" s="108">
        <v>0</v>
      </c>
      <c r="AW90" s="108">
        <v>0</v>
      </c>
      <c r="AX90" s="108">
        <v>39.949574881478142</v>
      </c>
      <c r="AY90" s="108">
        <v>87777.205929583768</v>
      </c>
      <c r="AZ90" s="108">
        <v>0</v>
      </c>
      <c r="BA90" s="108">
        <v>0</v>
      </c>
      <c r="BB90" s="108">
        <v>7.7662135922330089</v>
      </c>
      <c r="BC90" s="108">
        <v>17063.924504854367</v>
      </c>
      <c r="BD90" s="108">
        <v>10.2631378363082</v>
      </c>
      <c r="BE90" s="108">
        <v>22550.166453936374</v>
      </c>
      <c r="BF90" s="108">
        <v>0</v>
      </c>
      <c r="BG90" s="108">
        <v>0</v>
      </c>
      <c r="BH90" s="108">
        <v>10</v>
      </c>
      <c r="BI90" s="108">
        <v>21972</v>
      </c>
      <c r="BJ90" s="108">
        <v>17.92903607571019</v>
      </c>
      <c r="BK90" s="108">
        <v>39393.678065550426</v>
      </c>
      <c r="BL90" s="108">
        <v>17.789930502462607</v>
      </c>
      <c r="BM90" s="108">
        <v>39088.035300010837</v>
      </c>
      <c r="BN90" s="108">
        <v>15.022365357301428</v>
      </c>
      <c r="BO90" s="108">
        <v>33007.141163062697</v>
      </c>
      <c r="BP90" s="108">
        <v>39.13715657046162</v>
      </c>
      <c r="BQ90" s="108">
        <v>85992.160416618266</v>
      </c>
      <c r="BR90" s="108">
        <v>0</v>
      </c>
      <c r="BS90" s="108">
        <v>0</v>
      </c>
      <c r="BT90" s="108">
        <v>0</v>
      </c>
      <c r="BU90" s="108">
        <v>0</v>
      </c>
      <c r="BV90" s="108">
        <v>46</v>
      </c>
      <c r="BW90" s="108">
        <v>101071.2</v>
      </c>
      <c r="BX90" s="108">
        <v>10.672594911808753</v>
      </c>
      <c r="BY90" s="108">
        <v>23449.825540226189</v>
      </c>
      <c r="BZ90" s="108">
        <v>9.592846051036215</v>
      </c>
      <c r="CA90" s="108">
        <v>21077.401343336769</v>
      </c>
      <c r="CB90" s="108">
        <v>20.502756133850749</v>
      </c>
      <c r="CC90" s="108">
        <v>45048.655777296859</v>
      </c>
      <c r="CD90" s="108">
        <v>5.2979325736025062</v>
      </c>
      <c r="CE90" s="108">
        <v>11640.617450719426</v>
      </c>
      <c r="CF90" s="108">
        <v>0</v>
      </c>
      <c r="CG90" s="108">
        <v>0</v>
      </c>
      <c r="CH90" s="108">
        <v>8.2921023570635359</v>
      </c>
      <c r="CI90" s="108">
        <v>18219.407298940001</v>
      </c>
      <c r="CJ90" s="108">
        <v>21.456381803497795</v>
      </c>
      <c r="CK90" s="108">
        <v>47143.962098645352</v>
      </c>
      <c r="CL90" s="108">
        <v>0</v>
      </c>
      <c r="CM90" s="108">
        <v>0</v>
      </c>
      <c r="CN90" s="108">
        <v>51</v>
      </c>
      <c r="CO90" s="108">
        <v>112057.2</v>
      </c>
      <c r="CP90" s="108">
        <v>41.876643637433396</v>
      </c>
      <c r="CQ90" s="108">
        <v>92011.361400168651</v>
      </c>
      <c r="CR90" s="108">
        <v>46.231781091350889</v>
      </c>
      <c r="CS90" s="108">
        <v>101580.46941391616</v>
      </c>
      <c r="CT90" s="108">
        <v>42.199833159940773</v>
      </c>
      <c r="CU90" s="108">
        <v>92721.473419021859</v>
      </c>
    </row>
    <row r="91" spans="2:99" x14ac:dyDescent="0.2">
      <c r="C91" s="107" t="s">
        <v>256</v>
      </c>
      <c r="D91" s="108">
        <v>0</v>
      </c>
      <c r="E91" s="108">
        <v>0</v>
      </c>
      <c r="F91" s="108">
        <v>0</v>
      </c>
      <c r="G91" s="108">
        <v>0</v>
      </c>
      <c r="H91" s="108">
        <v>6.7337758311168505</v>
      </c>
      <c r="I91" s="108">
        <v>15466.136328909181</v>
      </c>
      <c r="J91" s="108">
        <v>0</v>
      </c>
      <c r="K91" s="108">
        <v>0</v>
      </c>
      <c r="L91" s="108">
        <v>20.92563127359529</v>
      </c>
      <c r="M91" s="108">
        <v>48061.989909193653</v>
      </c>
      <c r="N91" s="108">
        <v>8.3161436296376809</v>
      </c>
      <c r="O91" s="108">
        <v>19100.518688551823</v>
      </c>
      <c r="P91" s="108">
        <v>0</v>
      </c>
      <c r="Q91" s="108">
        <v>0</v>
      </c>
      <c r="R91" s="108">
        <v>8.4280258675016864</v>
      </c>
      <c r="S91" s="108">
        <v>19357.48981247787</v>
      </c>
      <c r="T91" s="108">
        <v>21.837447874082848</v>
      </c>
      <c r="U91" s="108">
        <v>50156.250277193481</v>
      </c>
      <c r="V91" s="108">
        <v>20.960468163155291</v>
      </c>
      <c r="W91" s="108">
        <v>48142.003277135067</v>
      </c>
      <c r="X91" s="108">
        <v>7.5132553154440069</v>
      </c>
      <c r="Y91" s="108">
        <v>17256.444808511795</v>
      </c>
      <c r="Z91" s="108">
        <v>0</v>
      </c>
      <c r="AA91" s="108">
        <v>0</v>
      </c>
      <c r="AB91" s="108">
        <v>43</v>
      </c>
      <c r="AC91" s="108">
        <v>98762.4</v>
      </c>
      <c r="AD91" s="108">
        <v>24.664585443450253</v>
      </c>
      <c r="AE91" s="108">
        <v>56649.619846516536</v>
      </c>
      <c r="AF91" s="108">
        <v>1.3742178881462296E-15</v>
      </c>
      <c r="AG91" s="108">
        <v>3.1563036454942598E-12</v>
      </c>
      <c r="AH91" s="108">
        <v>0</v>
      </c>
      <c r="AI91" s="108">
        <v>0</v>
      </c>
      <c r="AJ91" s="108">
        <v>2.8565699603125956</v>
      </c>
      <c r="AK91" s="108">
        <v>6560.9698848459684</v>
      </c>
      <c r="AL91" s="108">
        <v>10.127899515717592</v>
      </c>
      <c r="AM91" s="108">
        <v>23261.759607700162</v>
      </c>
      <c r="AN91" s="108">
        <v>3.2774412728896314</v>
      </c>
      <c r="AO91" s="108">
        <v>7527.6271155729046</v>
      </c>
      <c r="AP91" s="108">
        <v>11.036428772183591</v>
      </c>
      <c r="AQ91" s="108">
        <v>25348.469603951267</v>
      </c>
      <c r="AR91" s="108">
        <v>17.160049830733602</v>
      </c>
      <c r="AS91" s="108">
        <v>39413.202451228935</v>
      </c>
      <c r="AT91" s="108">
        <v>15.716673605335933</v>
      </c>
      <c r="AU91" s="108">
        <v>36098.055936735567</v>
      </c>
      <c r="AV91" s="108">
        <v>0</v>
      </c>
      <c r="AW91" s="108">
        <v>0</v>
      </c>
      <c r="AX91" s="108">
        <v>36.083486989722189</v>
      </c>
      <c r="AY91" s="108">
        <v>82876.552917993919</v>
      </c>
      <c r="AZ91" s="108">
        <v>0</v>
      </c>
      <c r="BA91" s="108">
        <v>0</v>
      </c>
      <c r="BB91" s="108">
        <v>8.8756726768377252</v>
      </c>
      <c r="BC91" s="108">
        <v>20385.645004160884</v>
      </c>
      <c r="BD91" s="108">
        <v>10.101715575808928</v>
      </c>
      <c r="BE91" s="108">
        <v>23201.620334517942</v>
      </c>
      <c r="BF91" s="108">
        <v>0</v>
      </c>
      <c r="BG91" s="108">
        <v>0</v>
      </c>
      <c r="BH91" s="108">
        <v>9</v>
      </c>
      <c r="BI91" s="108">
        <v>20671.199999999997</v>
      </c>
      <c r="BJ91" s="108">
        <v>16.783516221054256</v>
      </c>
      <c r="BK91" s="108">
        <v>38548.38005651741</v>
      </c>
      <c r="BL91" s="108">
        <v>17.303137342012171</v>
      </c>
      <c r="BM91" s="108">
        <v>39741.845847133547</v>
      </c>
      <c r="BN91" s="108">
        <v>13.974769889512572</v>
      </c>
      <c r="BO91" s="108">
        <v>32097.251482232474</v>
      </c>
      <c r="BP91" s="108">
        <v>41.558295208071058</v>
      </c>
      <c r="BQ91" s="108">
        <v>95451.092433897589</v>
      </c>
      <c r="BR91" s="108">
        <v>0</v>
      </c>
      <c r="BS91" s="108">
        <v>0</v>
      </c>
      <c r="BT91" s="108">
        <v>0</v>
      </c>
      <c r="BU91" s="108">
        <v>0</v>
      </c>
      <c r="BV91" s="108">
        <v>44</v>
      </c>
      <c r="BW91" s="108">
        <v>101059.19999999998</v>
      </c>
      <c r="BX91" s="108">
        <v>11.280236465142094</v>
      </c>
      <c r="BY91" s="108">
        <v>25908.447113138358</v>
      </c>
      <c r="BZ91" s="108">
        <v>8.9389160171251625</v>
      </c>
      <c r="CA91" s="108">
        <v>20530.902308133071</v>
      </c>
      <c r="CB91" s="108">
        <v>20.348452943340838</v>
      </c>
      <c r="CC91" s="108">
        <v>46736.326720265235</v>
      </c>
      <c r="CD91" s="108">
        <v>5.5583077800528535</v>
      </c>
      <c r="CE91" s="108">
        <v>12766.321309225392</v>
      </c>
      <c r="CF91" s="108">
        <v>0</v>
      </c>
      <c r="CG91" s="108">
        <v>0</v>
      </c>
      <c r="CH91" s="108">
        <v>7.9731753433303236</v>
      </c>
      <c r="CI91" s="108">
        <v>18312.789128561086</v>
      </c>
      <c r="CJ91" s="108">
        <v>21.456381803497795</v>
      </c>
      <c r="CK91" s="108">
        <v>49281.017726273727</v>
      </c>
      <c r="CL91" s="108">
        <v>0</v>
      </c>
      <c r="CM91" s="108">
        <v>0</v>
      </c>
      <c r="CN91" s="108">
        <v>49</v>
      </c>
      <c r="CO91" s="108">
        <v>112543.19999999998</v>
      </c>
      <c r="CP91" s="108">
        <v>40.154780408313961</v>
      </c>
      <c r="CQ91" s="108">
        <v>92227.499641815491</v>
      </c>
      <c r="CR91" s="108">
        <v>40.444363277297022</v>
      </c>
      <c r="CS91" s="108">
        <v>92892.613575295793</v>
      </c>
      <c r="CT91" s="108">
        <v>46.241344961509178</v>
      </c>
      <c r="CU91" s="108">
        <v>106207.12110759427</v>
      </c>
    </row>
    <row r="92" spans="2:99" x14ac:dyDescent="0.2">
      <c r="C92" s="107" t="s">
        <v>257</v>
      </c>
      <c r="D92" s="108">
        <v>0</v>
      </c>
      <c r="E92" s="108">
        <v>0</v>
      </c>
      <c r="F92" s="108">
        <v>0</v>
      </c>
      <c r="G92" s="108">
        <v>0</v>
      </c>
      <c r="H92" s="108">
        <v>7.6957438069906869</v>
      </c>
      <c r="I92" s="108">
        <v>10934.112800972367</v>
      </c>
      <c r="J92" s="108">
        <v>0</v>
      </c>
      <c r="K92" s="108">
        <v>0</v>
      </c>
      <c r="L92" s="108">
        <v>25.681456563048769</v>
      </c>
      <c r="M92" s="108">
        <v>36488.213484779691</v>
      </c>
      <c r="N92" s="108">
        <v>9.8354331559807182</v>
      </c>
      <c r="O92" s="108">
        <v>13974.183428017404</v>
      </c>
      <c r="P92" s="108">
        <v>0</v>
      </c>
      <c r="Q92" s="108">
        <v>0</v>
      </c>
      <c r="R92" s="108">
        <v>8.4280258675016864</v>
      </c>
      <c r="S92" s="108">
        <v>11974.539152546397</v>
      </c>
      <c r="T92" s="108">
        <v>23.108550441822075</v>
      </c>
      <c r="U92" s="108">
        <v>32832.628467740804</v>
      </c>
      <c r="V92" s="108">
        <v>24.121948244781944</v>
      </c>
      <c r="W92" s="108">
        <v>34272.464066186185</v>
      </c>
      <c r="X92" s="108">
        <v>9.7672319100772089</v>
      </c>
      <c r="Y92" s="108">
        <v>13877.283097837699</v>
      </c>
      <c r="Z92" s="108">
        <v>0</v>
      </c>
      <c r="AA92" s="108">
        <v>0</v>
      </c>
      <c r="AB92" s="108">
        <v>53</v>
      </c>
      <c r="AC92" s="108">
        <v>75302.399999999994</v>
      </c>
      <c r="AD92" s="108">
        <v>29.010584970429999</v>
      </c>
      <c r="AE92" s="108">
        <v>41218.23912598694</v>
      </c>
      <c r="AF92" s="108">
        <v>1.4215111995779595E-15</v>
      </c>
      <c r="AG92" s="108">
        <v>2.0196831123603647E-12</v>
      </c>
      <c r="AH92" s="108">
        <v>0</v>
      </c>
      <c r="AI92" s="108">
        <v>0</v>
      </c>
      <c r="AJ92" s="108">
        <v>2.8565699603125956</v>
      </c>
      <c r="AK92" s="108">
        <v>4058.6145996121359</v>
      </c>
      <c r="AL92" s="108">
        <v>10.343868306882877</v>
      </c>
      <c r="AM92" s="108">
        <v>14696.56809041919</v>
      </c>
      <c r="AN92" s="108">
        <v>3.8017254630414929</v>
      </c>
      <c r="AO92" s="108">
        <v>5401.4915378893529</v>
      </c>
      <c r="AP92" s="108">
        <v>13.574619275141401</v>
      </c>
      <c r="AQ92" s="108">
        <v>19286.819066120901</v>
      </c>
      <c r="AR92" s="108">
        <v>25.220454561301537</v>
      </c>
      <c r="AS92" s="108">
        <v>35833.221840697224</v>
      </c>
      <c r="AT92" s="108">
        <v>21.140877649740929</v>
      </c>
      <c r="AU92" s="108">
        <v>30036.95896475191</v>
      </c>
      <c r="AV92" s="108">
        <v>0</v>
      </c>
      <c r="AW92" s="108">
        <v>0</v>
      </c>
      <c r="AX92" s="108">
        <v>50.259142592827338</v>
      </c>
      <c r="AY92" s="108">
        <v>71408.189795889077</v>
      </c>
      <c r="AZ92" s="108">
        <v>0</v>
      </c>
      <c r="BA92" s="108">
        <v>0</v>
      </c>
      <c r="BB92" s="108">
        <v>11.094590846047156</v>
      </c>
      <c r="BC92" s="108">
        <v>15763.1946740638</v>
      </c>
      <c r="BD92" s="108">
        <v>11.922134344999082</v>
      </c>
      <c r="BE92" s="108">
        <v>16938.968477374696</v>
      </c>
      <c r="BF92" s="108">
        <v>0</v>
      </c>
      <c r="BG92" s="108">
        <v>0</v>
      </c>
      <c r="BH92" s="108">
        <v>10</v>
      </c>
      <c r="BI92" s="108">
        <v>14208</v>
      </c>
      <c r="BJ92" s="108">
        <v>19.07455593036612</v>
      </c>
      <c r="BK92" s="108">
        <v>27101.129065864181</v>
      </c>
      <c r="BL92" s="108">
        <v>22.500619967627824</v>
      </c>
      <c r="BM92" s="108">
        <v>31968.880850005611</v>
      </c>
      <c r="BN92" s="108">
        <v>16.507859996360839</v>
      </c>
      <c r="BO92" s="108">
        <v>23454.367482829479</v>
      </c>
      <c r="BP92" s="108">
        <v>51.208797018843391</v>
      </c>
      <c r="BQ92" s="108">
        <v>72757.458804372684</v>
      </c>
      <c r="BR92" s="108">
        <v>0</v>
      </c>
      <c r="BS92" s="108">
        <v>0</v>
      </c>
      <c r="BT92" s="108">
        <v>0</v>
      </c>
      <c r="BU92" s="108">
        <v>0</v>
      </c>
      <c r="BV92" s="108">
        <v>48</v>
      </c>
      <c r="BW92" s="108">
        <v>68198.399999999994</v>
      </c>
      <c r="BX92" s="108">
        <v>13.552638753025333</v>
      </c>
      <c r="BY92" s="108">
        <v>19255.589140298391</v>
      </c>
      <c r="BZ92" s="108">
        <v>10.357533900474047</v>
      </c>
      <c r="CA92" s="108">
        <v>14715.984165793527</v>
      </c>
      <c r="CB92" s="108">
        <v>23.238648287811703</v>
      </c>
      <c r="CC92" s="108">
        <v>33017.471487322866</v>
      </c>
      <c r="CD92" s="108">
        <v>5.9540223557897933</v>
      </c>
      <c r="CE92" s="108">
        <v>8459.4749631061386</v>
      </c>
      <c r="CF92" s="108">
        <v>0</v>
      </c>
      <c r="CG92" s="108">
        <v>0</v>
      </c>
      <c r="CH92" s="108">
        <v>8.9299563845299623</v>
      </c>
      <c r="CI92" s="108">
        <v>12687.68203114017</v>
      </c>
      <c r="CJ92" s="108">
        <v>26.367528806918575</v>
      </c>
      <c r="CK92" s="108">
        <v>37462.984928869912</v>
      </c>
      <c r="CL92" s="108">
        <v>0</v>
      </c>
      <c r="CM92" s="108">
        <v>0</v>
      </c>
      <c r="CN92" s="108">
        <v>57</v>
      </c>
      <c r="CO92" s="108">
        <v>80985.599999999991</v>
      </c>
      <c r="CP92" s="108">
        <v>54.003276393078373</v>
      </c>
      <c r="CQ92" s="108">
        <v>76727.855099285749</v>
      </c>
      <c r="CR92" s="108">
        <v>52.074140543576632</v>
      </c>
      <c r="CS92" s="108">
        <v>73986.938884313684</v>
      </c>
      <c r="CT92" s="108">
        <v>49.676586008006019</v>
      </c>
      <c r="CU92" s="108">
        <v>70580.49340017495</v>
      </c>
    </row>
    <row r="93" spans="2:99" x14ac:dyDescent="0.2">
      <c r="C93" s="107" t="s">
        <v>258</v>
      </c>
      <c r="D93" s="108">
        <v>0</v>
      </c>
      <c r="E93" s="108">
        <v>0</v>
      </c>
      <c r="F93" s="108">
        <v>0</v>
      </c>
      <c r="G93" s="108">
        <v>0</v>
      </c>
      <c r="H93" s="108">
        <v>6.7337758311168505</v>
      </c>
      <c r="I93" s="108">
        <v>11934.944283071505</v>
      </c>
      <c r="J93" s="108">
        <v>0</v>
      </c>
      <c r="K93" s="108">
        <v>0</v>
      </c>
      <c r="L93" s="108">
        <v>26.63262162093946</v>
      </c>
      <c r="M93" s="108">
        <v>47203.658560953096</v>
      </c>
      <c r="N93" s="108">
        <v>9.0624721377261945</v>
      </c>
      <c r="O93" s="108">
        <v>16062.325616905906</v>
      </c>
      <c r="P93" s="108">
        <v>0</v>
      </c>
      <c r="Q93" s="108">
        <v>0</v>
      </c>
      <c r="R93" s="108">
        <v>8.4280258675016864</v>
      </c>
      <c r="S93" s="108">
        <v>14937.833047559987</v>
      </c>
      <c r="T93" s="108">
        <v>21.837447874082848</v>
      </c>
      <c r="U93" s="108">
        <v>38704.692612024439</v>
      </c>
      <c r="V93" s="108">
        <v>21.175774938657494</v>
      </c>
      <c r="W93" s="108">
        <v>37531.943501276539</v>
      </c>
      <c r="X93" s="108">
        <v>8.6402436127606084</v>
      </c>
      <c r="Y93" s="108">
        <v>15313.967779256902</v>
      </c>
      <c r="Z93" s="108">
        <v>0</v>
      </c>
      <c r="AA93" s="108">
        <v>0</v>
      </c>
      <c r="AB93" s="108">
        <v>54</v>
      </c>
      <c r="AC93" s="108">
        <v>95709.599999999991</v>
      </c>
      <c r="AD93" s="108">
        <v>27.375644508611547</v>
      </c>
      <c r="AE93" s="108">
        <v>48520.592327063103</v>
      </c>
      <c r="AF93" s="108">
        <v>1.4857609671065007E-15</v>
      </c>
      <c r="AG93" s="108">
        <v>2.6333627380995617E-12</v>
      </c>
      <c r="AH93" s="108">
        <v>0</v>
      </c>
      <c r="AI93" s="108">
        <v>0</v>
      </c>
      <c r="AJ93" s="108">
        <v>2.8565699603125956</v>
      </c>
      <c r="AK93" s="108">
        <v>5062.9845976580436</v>
      </c>
      <c r="AL93" s="108">
        <v>10.019915120134952</v>
      </c>
      <c r="AM93" s="108">
        <v>17759.297558927188</v>
      </c>
      <c r="AN93" s="108">
        <v>3.3430433051026638</v>
      </c>
      <c r="AO93" s="108">
        <v>5925.2099539639612</v>
      </c>
      <c r="AP93" s="108">
        <v>12.305524023662496</v>
      </c>
      <c r="AQ93" s="108">
        <v>21810.310779539406</v>
      </c>
      <c r="AR93" s="108">
        <v>19.641381152948387</v>
      </c>
      <c r="AS93" s="108">
        <v>34812.383955485719</v>
      </c>
      <c r="AT93" s="108">
        <v>19.676678053855188</v>
      </c>
      <c r="AU93" s="108">
        <v>34874.944182652929</v>
      </c>
      <c r="AV93" s="108">
        <v>0</v>
      </c>
      <c r="AW93" s="108">
        <v>0</v>
      </c>
      <c r="AX93" s="108">
        <v>45.104358737152737</v>
      </c>
      <c r="AY93" s="108">
        <v>79942.965425729504</v>
      </c>
      <c r="AZ93" s="108">
        <v>0</v>
      </c>
      <c r="BA93" s="108">
        <v>0</v>
      </c>
      <c r="BB93" s="108">
        <v>9.8464493758668521</v>
      </c>
      <c r="BC93" s="108">
        <v>17451.846873786406</v>
      </c>
      <c r="BD93" s="108">
        <v>10.2631378363082</v>
      </c>
      <c r="BE93" s="108">
        <v>18190.385501072651</v>
      </c>
      <c r="BF93" s="108">
        <v>0</v>
      </c>
      <c r="BG93" s="108">
        <v>0</v>
      </c>
      <c r="BH93" s="108">
        <v>10</v>
      </c>
      <c r="BI93" s="108">
        <v>17724</v>
      </c>
      <c r="BJ93" s="108">
        <v>18.365595639677988</v>
      </c>
      <c r="BK93" s="108">
        <v>32551.181711765264</v>
      </c>
      <c r="BL93" s="108">
        <v>20.303137342012171</v>
      </c>
      <c r="BM93" s="108">
        <v>35985.28062498237</v>
      </c>
      <c r="BN93" s="108">
        <v>14.663305273997588</v>
      </c>
      <c r="BO93" s="108">
        <v>25989.242267633323</v>
      </c>
      <c r="BP93" s="108">
        <v>48.486030977882407</v>
      </c>
      <c r="BQ93" s="108">
        <v>85936.641305198777</v>
      </c>
      <c r="BR93" s="108">
        <v>0</v>
      </c>
      <c r="BS93" s="108">
        <v>0</v>
      </c>
      <c r="BT93" s="108">
        <v>0</v>
      </c>
      <c r="BU93" s="108">
        <v>0</v>
      </c>
      <c r="BV93" s="108">
        <v>47</v>
      </c>
      <c r="BW93" s="108">
        <v>83302.799999999988</v>
      </c>
      <c r="BX93" s="108">
        <v>11.253875810900407</v>
      </c>
      <c r="BY93" s="108">
        <v>19946.369487239881</v>
      </c>
      <c r="BZ93" s="108">
        <v>10.629120009666183</v>
      </c>
      <c r="CA93" s="108">
        <v>18839.05230513234</v>
      </c>
      <c r="CB93" s="108">
        <v>23.501383883130249</v>
      </c>
      <c r="CC93" s="108">
        <v>41653.85279446005</v>
      </c>
      <c r="CD93" s="108">
        <v>6.2882190363964634</v>
      </c>
      <c r="CE93" s="108">
        <v>11145.23942010909</v>
      </c>
      <c r="CF93" s="108">
        <v>0</v>
      </c>
      <c r="CG93" s="108">
        <v>0</v>
      </c>
      <c r="CH93" s="108">
        <v>8.61102937079675</v>
      </c>
      <c r="CI93" s="108">
        <v>15262.188456800159</v>
      </c>
      <c r="CJ93" s="108">
        <v>24.888027091849153</v>
      </c>
      <c r="CK93" s="108">
        <v>44111.539217593439</v>
      </c>
      <c r="CL93" s="108">
        <v>0</v>
      </c>
      <c r="CM93" s="108">
        <v>0</v>
      </c>
      <c r="CN93" s="108">
        <v>62</v>
      </c>
      <c r="CO93" s="108">
        <v>109888.79999999999</v>
      </c>
      <c r="CP93" s="108">
        <v>49.735413396184242</v>
      </c>
      <c r="CQ93" s="108">
        <v>88151.046703396947</v>
      </c>
      <c r="CR93" s="108">
        <v>52.773530803633172</v>
      </c>
      <c r="CS93" s="108">
        <v>93535.805996359428</v>
      </c>
      <c r="CT93" s="108">
        <v>50.922784790744075</v>
      </c>
      <c r="CU93" s="108">
        <v>90255.543763114794</v>
      </c>
    </row>
    <row r="94" spans="2:99" x14ac:dyDescent="0.2">
      <c r="C94" s="107" t="s">
        <v>259</v>
      </c>
      <c r="D94" s="108">
        <v>0</v>
      </c>
      <c r="E94" s="108">
        <v>0</v>
      </c>
      <c r="F94" s="108">
        <v>0</v>
      </c>
      <c r="G94" s="108">
        <v>0</v>
      </c>
      <c r="H94" s="108">
        <v>6.7337758311168505</v>
      </c>
      <c r="I94" s="108">
        <v>16128.739870691079</v>
      </c>
      <c r="J94" s="108">
        <v>0</v>
      </c>
      <c r="K94" s="108">
        <v>0</v>
      </c>
      <c r="L94" s="108">
        <v>22.827961389376682</v>
      </c>
      <c r="M94" s="108">
        <v>54677.533119835025</v>
      </c>
      <c r="N94" s="108">
        <v>8.2361774076462932</v>
      </c>
      <c r="O94" s="108">
        <v>19727.2921267944</v>
      </c>
      <c r="P94" s="108">
        <v>0</v>
      </c>
      <c r="Q94" s="108">
        <v>0</v>
      </c>
      <c r="R94" s="108">
        <v>8.0066245741266027</v>
      </c>
      <c r="S94" s="108">
        <v>19177.467179948038</v>
      </c>
      <c r="T94" s="108">
        <v>20.178098383775474</v>
      </c>
      <c r="U94" s="108">
        <v>48330.581248819013</v>
      </c>
      <c r="V94" s="108">
        <v>21.529854612150885</v>
      </c>
      <c r="W94" s="108">
        <v>51568.307767023798</v>
      </c>
      <c r="X94" s="108">
        <v>8.2645808469884088</v>
      </c>
      <c r="Y94" s="108">
        <v>19795.324044706635</v>
      </c>
      <c r="Z94" s="108">
        <v>0</v>
      </c>
      <c r="AA94" s="108">
        <v>0</v>
      </c>
      <c r="AB94" s="108">
        <v>47</v>
      </c>
      <c r="AC94" s="108">
        <v>112574.39999999999</v>
      </c>
      <c r="AD94" s="108">
        <v>23.902997398388585</v>
      </c>
      <c r="AE94" s="108">
        <v>57252.459368620337</v>
      </c>
      <c r="AF94" s="108">
        <v>1.3471491469377786E-15</v>
      </c>
      <c r="AG94" s="108">
        <v>3.2266916367453669E-12</v>
      </c>
      <c r="AH94" s="108">
        <v>0</v>
      </c>
      <c r="AI94" s="108">
        <v>0</v>
      </c>
      <c r="AJ94" s="108">
        <v>2.4484885374107961</v>
      </c>
      <c r="AK94" s="108">
        <v>5864.6197448063385</v>
      </c>
      <c r="AL94" s="108">
        <v>9.6959619333870251</v>
      </c>
      <c r="AM94" s="108">
        <v>23223.768022848602</v>
      </c>
      <c r="AN94" s="108">
        <v>3.2774412728896314</v>
      </c>
      <c r="AO94" s="108">
        <v>7850.1273368252441</v>
      </c>
      <c r="AP94" s="108">
        <v>10.632785894965231</v>
      </c>
      <c r="AQ94" s="108">
        <v>25467.648775620721</v>
      </c>
      <c r="AR94" s="108">
        <v>18.398474310909499</v>
      </c>
      <c r="AS94" s="108">
        <v>44068.025669490431</v>
      </c>
      <c r="AT94" s="108">
        <v>16.285805763840962</v>
      </c>
      <c r="AU94" s="108">
        <v>39007.761965551872</v>
      </c>
      <c r="AV94" s="108">
        <v>0</v>
      </c>
      <c r="AW94" s="108">
        <v>0</v>
      </c>
      <c r="AX94" s="108">
        <v>33.506095061884892</v>
      </c>
      <c r="AY94" s="108">
        <v>80253.798892226681</v>
      </c>
      <c r="AZ94" s="108">
        <v>0</v>
      </c>
      <c r="BA94" s="108">
        <v>0</v>
      </c>
      <c r="BB94" s="108">
        <v>7.2114840499306512</v>
      </c>
      <c r="BC94" s="108">
        <v>17272.946596393893</v>
      </c>
      <c r="BD94" s="108">
        <v>10.2631378363082</v>
      </c>
      <c r="BE94" s="108">
        <v>24582.267745525398</v>
      </c>
      <c r="BF94" s="108">
        <v>0</v>
      </c>
      <c r="BG94" s="108">
        <v>0</v>
      </c>
      <c r="BH94" s="108">
        <v>9</v>
      </c>
      <c r="BI94" s="108">
        <v>21556.799999999999</v>
      </c>
      <c r="BJ94" s="108">
        <v>15.637996366398323</v>
      </c>
      <c r="BK94" s="108">
        <v>37456.128896797258</v>
      </c>
      <c r="BL94" s="108">
        <v>17.132068395495651</v>
      </c>
      <c r="BM94" s="108">
        <v>41034.730220891179</v>
      </c>
      <c r="BN94" s="108">
        <v>14.231305612388834</v>
      </c>
      <c r="BO94" s="108">
        <v>34086.823202793734</v>
      </c>
      <c r="BP94" s="108">
        <v>35.577613798776802</v>
      </c>
      <c r="BQ94" s="108">
        <v>85215.500570830191</v>
      </c>
      <c r="BR94" s="108">
        <v>0</v>
      </c>
      <c r="BS94" s="108">
        <v>0</v>
      </c>
      <c r="BT94" s="108">
        <v>0</v>
      </c>
      <c r="BU94" s="108">
        <v>0</v>
      </c>
      <c r="BV94" s="108">
        <v>45</v>
      </c>
      <c r="BW94" s="108">
        <v>107783.99999999999</v>
      </c>
      <c r="BX94" s="108">
        <v>11.122072539691967</v>
      </c>
      <c r="BY94" s="108">
        <v>26639.588147070197</v>
      </c>
      <c r="BZ94" s="108">
        <v>8.9230934720499082</v>
      </c>
      <c r="CA94" s="108">
        <v>21372.593484253939</v>
      </c>
      <c r="CB94" s="108">
        <v>19.763287210013971</v>
      </c>
      <c r="CC94" s="108">
        <v>47337.025525425459</v>
      </c>
      <c r="CD94" s="108">
        <v>5.3102361526285611</v>
      </c>
      <c r="CE94" s="108">
        <v>12719.077632775929</v>
      </c>
      <c r="CF94" s="108">
        <v>0</v>
      </c>
      <c r="CG94" s="108">
        <v>0</v>
      </c>
      <c r="CH94" s="108">
        <v>7.3353213158638972</v>
      </c>
      <c r="CI94" s="108">
        <v>17569.561615757204</v>
      </c>
      <c r="CJ94" s="108">
        <v>24.572932519707475</v>
      </c>
      <c r="CK94" s="108">
        <v>58857.087971203342</v>
      </c>
      <c r="CL94" s="108">
        <v>0</v>
      </c>
      <c r="CM94" s="108">
        <v>0</v>
      </c>
      <c r="CN94" s="108">
        <v>48</v>
      </c>
      <c r="CO94" s="108">
        <v>114969.59999999999</v>
      </c>
      <c r="CP94" s="108">
        <v>37.608780640539266</v>
      </c>
      <c r="CQ94" s="108">
        <v>90080.55139021964</v>
      </c>
      <c r="CR94" s="108">
        <v>42.597475695638515</v>
      </c>
      <c r="CS94" s="108">
        <v>102029.47378619337</v>
      </c>
      <c r="CT94" s="108">
        <v>38.158321358372362</v>
      </c>
      <c r="CU94" s="108">
        <v>91396.811317573476</v>
      </c>
    </row>
    <row r="95" spans="2:99" x14ac:dyDescent="0.2">
      <c r="B95" s="107" t="s">
        <v>132</v>
      </c>
      <c r="C95" s="107" t="s">
        <v>260</v>
      </c>
      <c r="D95" s="108">
        <v>0</v>
      </c>
      <c r="E95" s="108">
        <v>0</v>
      </c>
      <c r="F95" s="108">
        <v>0</v>
      </c>
      <c r="G95" s="108">
        <v>0</v>
      </c>
      <c r="H95" s="108">
        <v>6.7337758311168505</v>
      </c>
      <c r="I95" s="108">
        <v>11668.286760159279</v>
      </c>
      <c r="J95" s="108">
        <v>0</v>
      </c>
      <c r="K95" s="108">
        <v>0</v>
      </c>
      <c r="L95" s="108">
        <v>6.658155405234865</v>
      </c>
      <c r="M95" s="108">
        <v>11537.251686190973</v>
      </c>
      <c r="N95" s="108">
        <v>5.9195624618557074</v>
      </c>
      <c r="O95" s="108">
        <v>10257.41783390357</v>
      </c>
      <c r="P95" s="108">
        <v>0</v>
      </c>
      <c r="Q95" s="108">
        <v>0</v>
      </c>
      <c r="R95" s="108">
        <v>4.2140129337508432</v>
      </c>
      <c r="S95" s="108">
        <v>7302.0416116034612</v>
      </c>
      <c r="T95" s="108">
        <v>20.848230428876967</v>
      </c>
      <c r="U95" s="108">
        <v>36125.813687158006</v>
      </c>
      <c r="V95" s="108">
        <v>35.345667346888767</v>
      </c>
      <c r="W95" s="108">
        <v>61246.972378688857</v>
      </c>
      <c r="X95" s="108">
        <v>12.772534036254811</v>
      </c>
      <c r="Y95" s="108">
        <v>22132.246978022336</v>
      </c>
      <c r="Z95" s="108">
        <v>0</v>
      </c>
      <c r="AA95" s="108">
        <v>0</v>
      </c>
      <c r="AB95" s="108">
        <v>16</v>
      </c>
      <c r="AC95" s="108">
        <v>27724.799999999999</v>
      </c>
      <c r="AD95" s="108">
        <v>9.74735510049811</v>
      </c>
      <c r="AE95" s="108">
        <v>16890.216918143124</v>
      </c>
      <c r="AF95" s="108">
        <v>4.4974837269978904E-16</v>
      </c>
      <c r="AG95" s="108">
        <v>7.7932398021419441E-13</v>
      </c>
      <c r="AH95" s="108">
        <v>0</v>
      </c>
      <c r="AI95" s="108">
        <v>0</v>
      </c>
      <c r="AJ95" s="108">
        <v>42.44046798178713</v>
      </c>
      <c r="AK95" s="108">
        <v>73540.842918840732</v>
      </c>
      <c r="AL95" s="108">
        <v>68.841001119117394</v>
      </c>
      <c r="AM95" s="108">
        <v>119287.68673920662</v>
      </c>
      <c r="AN95" s="108">
        <v>39.047200646384795</v>
      </c>
      <c r="AO95" s="108">
        <v>67660.989280055568</v>
      </c>
      <c r="AP95" s="108">
        <v>67.825500140528519</v>
      </c>
      <c r="AQ95" s="108">
        <v>117528.02664350781</v>
      </c>
      <c r="AR95" s="108">
        <v>2.4790901412832906</v>
      </c>
      <c r="AS95" s="108">
        <v>4295.767396815686</v>
      </c>
      <c r="AT95" s="108">
        <v>3.8123745899102222</v>
      </c>
      <c r="AU95" s="108">
        <v>6606.0826893964331</v>
      </c>
      <c r="AV95" s="108">
        <v>0</v>
      </c>
      <c r="AW95" s="108">
        <v>0</v>
      </c>
      <c r="AX95" s="108">
        <v>7.0878278015525726</v>
      </c>
      <c r="AY95" s="108">
        <v>12281.788014530297</v>
      </c>
      <c r="AZ95" s="108">
        <v>0</v>
      </c>
      <c r="BA95" s="108">
        <v>0</v>
      </c>
      <c r="BB95" s="108">
        <v>3.1896948682385577</v>
      </c>
      <c r="BC95" s="108">
        <v>5527.1032676837731</v>
      </c>
      <c r="BD95" s="108">
        <v>5.0234863142332165</v>
      </c>
      <c r="BE95" s="108">
        <v>8704.6970853033181</v>
      </c>
      <c r="BF95" s="108">
        <v>0</v>
      </c>
      <c r="BG95" s="108">
        <v>0</v>
      </c>
      <c r="BH95" s="108">
        <v>21</v>
      </c>
      <c r="BI95" s="108">
        <v>36388.799999999996</v>
      </c>
      <c r="BJ95" s="108">
        <v>48.95126706437803</v>
      </c>
      <c r="BK95" s="108">
        <v>84822.755569154251</v>
      </c>
      <c r="BL95" s="108">
        <v>19</v>
      </c>
      <c r="BM95" s="108">
        <v>32923.199999999997</v>
      </c>
      <c r="BN95" s="108">
        <v>29.284911830156684</v>
      </c>
      <c r="BO95" s="108">
        <v>50744.895219295504</v>
      </c>
      <c r="BP95" s="108">
        <v>12.203004153406251</v>
      </c>
      <c r="BQ95" s="108">
        <v>21145.365597022352</v>
      </c>
      <c r="BR95" s="108">
        <v>0</v>
      </c>
      <c r="BS95" s="108">
        <v>0</v>
      </c>
      <c r="BT95" s="108">
        <v>0</v>
      </c>
      <c r="BU95" s="108">
        <v>0</v>
      </c>
      <c r="BV95" s="108">
        <v>9</v>
      </c>
      <c r="BW95" s="108">
        <v>15595.199999999999</v>
      </c>
      <c r="BX95" s="108">
        <v>20.225957485628722</v>
      </c>
      <c r="BY95" s="108">
        <v>35047.539131097452</v>
      </c>
      <c r="BZ95" s="108">
        <v>15.992503419501057</v>
      </c>
      <c r="CA95" s="108">
        <v>27711.809925311431</v>
      </c>
      <c r="CB95" s="108">
        <v>35.332886664518718</v>
      </c>
      <c r="CC95" s="108">
        <v>61224.826012278034</v>
      </c>
      <c r="CD95" s="108">
        <v>16.366276991692715</v>
      </c>
      <c r="CE95" s="108">
        <v>28359.484771205134</v>
      </c>
      <c r="CF95" s="108">
        <v>0</v>
      </c>
      <c r="CG95" s="108">
        <v>0</v>
      </c>
      <c r="CH95" s="108">
        <v>2.8703431235989165</v>
      </c>
      <c r="CI95" s="108">
        <v>4973.7305645722026</v>
      </c>
      <c r="CJ95" s="108">
        <v>12.439021729614005</v>
      </c>
      <c r="CK95" s="108">
        <v>21554.336853075147</v>
      </c>
      <c r="CL95" s="108">
        <v>0</v>
      </c>
      <c r="CM95" s="108">
        <v>0</v>
      </c>
      <c r="CN95" s="108">
        <v>9</v>
      </c>
      <c r="CO95" s="108">
        <v>15595.199999999999</v>
      </c>
      <c r="CP95" s="108">
        <v>17.874169935131519</v>
      </c>
      <c r="CQ95" s="108">
        <v>30972.361663595897</v>
      </c>
      <c r="CR95" s="108">
        <v>13.819285516784911</v>
      </c>
      <c r="CS95" s="108">
        <v>23946.057943484891</v>
      </c>
      <c r="CT95" s="108">
        <v>11.515185711091751</v>
      </c>
      <c r="CU95" s="108">
        <v>19953.513800179786</v>
      </c>
    </row>
    <row r="96" spans="2:99" x14ac:dyDescent="0.2">
      <c r="C96" s="107" t="s">
        <v>261</v>
      </c>
      <c r="D96" s="108">
        <v>0</v>
      </c>
      <c r="E96" s="108">
        <v>0</v>
      </c>
      <c r="F96" s="108">
        <v>0</v>
      </c>
      <c r="G96" s="108">
        <v>0</v>
      </c>
      <c r="H96" s="108">
        <v>7.6957438069906869</v>
      </c>
      <c r="I96" s="108">
        <v>6335.1363019147329</v>
      </c>
      <c r="J96" s="108">
        <v>0</v>
      </c>
      <c r="K96" s="108">
        <v>0</v>
      </c>
      <c r="L96" s="108">
        <v>6.658155405234865</v>
      </c>
      <c r="M96" s="108">
        <v>5480.9935295893401</v>
      </c>
      <c r="N96" s="108">
        <v>6.5370400086403722</v>
      </c>
      <c r="O96" s="108">
        <v>5381.2913351127536</v>
      </c>
      <c r="P96" s="108">
        <v>0</v>
      </c>
      <c r="Q96" s="108">
        <v>0</v>
      </c>
      <c r="R96" s="108">
        <v>5.478216813876096</v>
      </c>
      <c r="S96" s="108">
        <v>4509.6680811828019</v>
      </c>
      <c r="T96" s="108">
        <v>25.248848624694283</v>
      </c>
      <c r="U96" s="108">
        <v>20784.852187848333</v>
      </c>
      <c r="V96" s="108">
        <v>37.507147428515424</v>
      </c>
      <c r="W96" s="108">
        <v>30875.883763153895</v>
      </c>
      <c r="X96" s="108">
        <v>14.275185099343615</v>
      </c>
      <c r="Y96" s="108">
        <v>11751.332373779662</v>
      </c>
      <c r="Z96" s="108">
        <v>0</v>
      </c>
      <c r="AA96" s="108">
        <v>0</v>
      </c>
      <c r="AB96" s="108">
        <v>19</v>
      </c>
      <c r="AC96" s="108">
        <v>15640.8</v>
      </c>
      <c r="AD96" s="108">
        <v>11.047002447231192</v>
      </c>
      <c r="AE96" s="108">
        <v>9093.8924145607161</v>
      </c>
      <c r="AF96" s="108">
        <v>4.4974837269978904E-16</v>
      </c>
      <c r="AG96" s="108">
        <v>3.7023286040646632E-13</v>
      </c>
      <c r="AH96" s="108">
        <v>0</v>
      </c>
      <c r="AI96" s="108">
        <v>0</v>
      </c>
      <c r="AJ96" s="108">
        <v>53.866747823037514</v>
      </c>
      <c r="AK96" s="108">
        <v>44343.10680792448</v>
      </c>
      <c r="AL96" s="108">
        <v>78.460985179371221</v>
      </c>
      <c r="AM96" s="108">
        <v>64589.082999658385</v>
      </c>
      <c r="AN96" s="108">
        <v>50.119046198920145</v>
      </c>
      <c r="AO96" s="108">
        <v>41257.998830951059</v>
      </c>
      <c r="AP96" s="108">
        <v>77.690952514789061</v>
      </c>
      <c r="AQ96" s="108">
        <v>63955.19211017435</v>
      </c>
      <c r="AR96" s="108">
        <v>2.7889764089437019</v>
      </c>
      <c r="AS96" s="108">
        <v>2295.8853798424552</v>
      </c>
      <c r="AT96" s="108">
        <v>4.4248285239544947</v>
      </c>
      <c r="AU96" s="108">
        <v>3642.5188409193397</v>
      </c>
      <c r="AV96" s="108">
        <v>0</v>
      </c>
      <c r="AW96" s="108">
        <v>0</v>
      </c>
      <c r="AX96" s="108">
        <v>8.376523765471223</v>
      </c>
      <c r="AY96" s="108">
        <v>6895.5543637359106</v>
      </c>
      <c r="AZ96" s="108">
        <v>0</v>
      </c>
      <c r="BA96" s="108">
        <v>0</v>
      </c>
      <c r="BB96" s="108">
        <v>3.744424410540915</v>
      </c>
      <c r="BC96" s="108">
        <v>3082.4101747572809</v>
      </c>
      <c r="BD96" s="108">
        <v>5.5077530957310321</v>
      </c>
      <c r="BE96" s="108">
        <v>4533.9823484057852</v>
      </c>
      <c r="BF96" s="108">
        <v>0</v>
      </c>
      <c r="BG96" s="108">
        <v>0</v>
      </c>
      <c r="BH96" s="108">
        <v>26</v>
      </c>
      <c r="BI96" s="108">
        <v>21403.199999999997</v>
      </c>
      <c r="BJ96" s="108">
        <v>55.279584738872956</v>
      </c>
      <c r="BK96" s="108">
        <v>45506.154157040211</v>
      </c>
      <c r="BL96" s="108">
        <v>20</v>
      </c>
      <c r="BM96" s="108">
        <v>16464</v>
      </c>
      <c r="BN96" s="108">
        <v>35.362985424176102</v>
      </c>
      <c r="BO96" s="108">
        <v>29110.809601181765</v>
      </c>
      <c r="BP96" s="108">
        <v>14.411706942226179</v>
      </c>
      <c r="BQ96" s="108">
        <v>11863.71715484059</v>
      </c>
      <c r="BR96" s="108">
        <v>0</v>
      </c>
      <c r="BS96" s="108">
        <v>0</v>
      </c>
      <c r="BT96" s="108">
        <v>0</v>
      </c>
      <c r="BU96" s="108">
        <v>0</v>
      </c>
      <c r="BV96" s="108">
        <v>9</v>
      </c>
      <c r="BW96" s="108">
        <v>7408.7999999999993</v>
      </c>
      <c r="BX96" s="108">
        <v>22.118477529556298</v>
      </c>
      <c r="BY96" s="108">
        <v>18207.930702330745</v>
      </c>
      <c r="BZ96" s="108">
        <v>20.112590032115641</v>
      </c>
      <c r="CA96" s="108">
        <v>16556.684114437594</v>
      </c>
      <c r="CB96" s="108">
        <v>41.443693299655244</v>
      </c>
      <c r="CC96" s="108">
        <v>34116.448324276193</v>
      </c>
      <c r="CD96" s="108">
        <v>18.169989238982637</v>
      </c>
      <c r="CE96" s="108">
        <v>14957.535141530507</v>
      </c>
      <c r="CF96" s="108">
        <v>0</v>
      </c>
      <c r="CG96" s="108">
        <v>0</v>
      </c>
      <c r="CH96" s="108">
        <v>3.1892701373321297</v>
      </c>
      <c r="CI96" s="108">
        <v>2625.407177051809</v>
      </c>
      <c r="CJ96" s="108">
        <v>14.2816035896446</v>
      </c>
      <c r="CK96" s="108">
        <v>11756.616074995434</v>
      </c>
      <c r="CL96" s="108">
        <v>0</v>
      </c>
      <c r="CM96" s="108">
        <v>0</v>
      </c>
      <c r="CN96" s="108">
        <v>11</v>
      </c>
      <c r="CO96" s="108">
        <v>9055.1999999999989</v>
      </c>
      <c r="CP96" s="108">
        <v>23.054770299270476</v>
      </c>
      <c r="CQ96" s="108">
        <v>18978.686910359454</v>
      </c>
      <c r="CR96" s="108">
        <v>16.386691474684859</v>
      </c>
      <c r="CS96" s="108">
        <v>13489.524421960576</v>
      </c>
      <c r="CT96" s="108">
        <v>14.645751910781847</v>
      </c>
      <c r="CU96" s="108">
        <v>12056.382972955615</v>
      </c>
    </row>
    <row r="97" spans="2:99" x14ac:dyDescent="0.2">
      <c r="C97" s="107" t="s">
        <v>262</v>
      </c>
      <c r="D97" s="108">
        <v>0</v>
      </c>
      <c r="E97" s="108">
        <v>0</v>
      </c>
      <c r="F97" s="108">
        <v>0</v>
      </c>
      <c r="G97" s="108">
        <v>0</v>
      </c>
      <c r="H97" s="108">
        <v>6.2527918431799332</v>
      </c>
      <c r="I97" s="108">
        <v>11435.105722807462</v>
      </c>
      <c r="J97" s="108">
        <v>0</v>
      </c>
      <c r="K97" s="108">
        <v>0</v>
      </c>
      <c r="L97" s="108">
        <v>6.658155405234865</v>
      </c>
      <c r="M97" s="108">
        <v>12176.43460509352</v>
      </c>
      <c r="N97" s="108">
        <v>5.999528683847096</v>
      </c>
      <c r="O97" s="108">
        <v>10971.938057019568</v>
      </c>
      <c r="P97" s="108">
        <v>0</v>
      </c>
      <c r="Q97" s="108">
        <v>0</v>
      </c>
      <c r="R97" s="108">
        <v>4.6354142271259269</v>
      </c>
      <c r="S97" s="108">
        <v>8477.245538567895</v>
      </c>
      <c r="T97" s="108">
        <v>17.277286978213336</v>
      </c>
      <c r="U97" s="108">
        <v>31596.70242575655</v>
      </c>
      <c r="V97" s="108">
        <v>34.291840653013217</v>
      </c>
      <c r="W97" s="108">
        <v>62712.91818623057</v>
      </c>
      <c r="X97" s="108">
        <v>12.396871270482611</v>
      </c>
      <c r="Y97" s="108">
        <v>22671.3981794586</v>
      </c>
      <c r="Z97" s="108">
        <v>0</v>
      </c>
      <c r="AA97" s="108">
        <v>0</v>
      </c>
      <c r="AB97" s="108">
        <v>16</v>
      </c>
      <c r="AC97" s="108">
        <v>29260.799999999999</v>
      </c>
      <c r="AD97" s="108">
        <v>9.0975314271315693</v>
      </c>
      <c r="AE97" s="108">
        <v>16637.565473938212</v>
      </c>
      <c r="AF97" s="108">
        <v>4.1762348893551842E-16</v>
      </c>
      <c r="AG97" s="108">
        <v>7.6374983656527607E-13</v>
      </c>
      <c r="AH97" s="108">
        <v>0</v>
      </c>
      <c r="AI97" s="108">
        <v>0</v>
      </c>
      <c r="AJ97" s="108">
        <v>39.991979444376341</v>
      </c>
      <c r="AK97" s="108">
        <v>73137.332007875448</v>
      </c>
      <c r="AL97" s="108">
        <v>70.37412033890736</v>
      </c>
      <c r="AM97" s="108">
        <v>128700.19127579378</v>
      </c>
      <c r="AN97" s="108">
        <v>39.112802678597816</v>
      </c>
      <c r="AO97" s="108">
        <v>71529.493538619688</v>
      </c>
      <c r="AP97" s="108">
        <v>60.421857263310152</v>
      </c>
      <c r="AQ97" s="108">
        <v>110499.4925631416</v>
      </c>
      <c r="AR97" s="108">
        <v>2.1692038736228789</v>
      </c>
      <c r="AS97" s="108">
        <v>3967.040044081521</v>
      </c>
      <c r="AT97" s="108">
        <v>3.6307205526833668</v>
      </c>
      <c r="AU97" s="108">
        <v>6639.8617467473414</v>
      </c>
      <c r="AV97" s="108">
        <v>0</v>
      </c>
      <c r="AW97" s="108">
        <v>0</v>
      </c>
      <c r="AX97" s="108">
        <v>6.4434798195932483</v>
      </c>
      <c r="AY97" s="108">
        <v>11783.835894072132</v>
      </c>
      <c r="AZ97" s="108">
        <v>0</v>
      </c>
      <c r="BA97" s="108">
        <v>0</v>
      </c>
      <c r="BB97" s="108">
        <v>3.6057420249653256</v>
      </c>
      <c r="BC97" s="108">
        <v>6594.1810152565877</v>
      </c>
      <c r="BD97" s="108">
        <v>4.6033896751893346</v>
      </c>
      <c r="BE97" s="108">
        <v>8418.6790379862541</v>
      </c>
      <c r="BF97" s="108">
        <v>0</v>
      </c>
      <c r="BG97" s="108">
        <v>0</v>
      </c>
      <c r="BH97" s="108">
        <v>23</v>
      </c>
      <c r="BI97" s="108">
        <v>42062.400000000001</v>
      </c>
      <c r="BJ97" s="108">
        <v>32</v>
      </c>
      <c r="BK97" s="108">
        <v>58521.599999999999</v>
      </c>
      <c r="BL97" s="108">
        <v>19</v>
      </c>
      <c r="BM97" s="108">
        <v>34747.199999999997</v>
      </c>
      <c r="BN97" s="108">
        <v>29.448683110147854</v>
      </c>
      <c r="BO97" s="108">
        <v>53855.751671838392</v>
      </c>
      <c r="BP97" s="108">
        <v>13.039780884130076</v>
      </c>
      <c r="BQ97" s="108">
        <v>23847.151280897084</v>
      </c>
      <c r="BR97" s="108">
        <v>0</v>
      </c>
      <c r="BS97" s="108">
        <v>0</v>
      </c>
      <c r="BT97" s="108">
        <v>0</v>
      </c>
      <c r="BU97" s="108">
        <v>0</v>
      </c>
      <c r="BV97" s="108">
        <v>8</v>
      </c>
      <c r="BW97" s="108">
        <v>14630.4</v>
      </c>
      <c r="BX97" s="108">
        <v>19.082716953035963</v>
      </c>
      <c r="BY97" s="108">
        <v>34898.472763712169</v>
      </c>
      <c r="BZ97" s="108">
        <v>16.988863717121685</v>
      </c>
      <c r="CA97" s="108">
        <v>31069.233965872136</v>
      </c>
      <c r="CB97" s="108">
        <v>32.626841781902655</v>
      </c>
      <c r="CC97" s="108">
        <v>59667.968250743572</v>
      </c>
      <c r="CD97" s="108">
        <v>14.965611531147095</v>
      </c>
      <c r="CE97" s="108">
        <v>27369.110368161808</v>
      </c>
      <c r="CF97" s="108">
        <v>0</v>
      </c>
      <c r="CG97" s="108">
        <v>0</v>
      </c>
      <c r="CH97" s="108">
        <v>2.8703431235989165</v>
      </c>
      <c r="CI97" s="108">
        <v>5249.283504437698</v>
      </c>
      <c r="CJ97" s="108">
        <v>12.281474443543162</v>
      </c>
      <c r="CK97" s="108">
        <v>22460.360462351735</v>
      </c>
      <c r="CL97" s="108">
        <v>0</v>
      </c>
      <c r="CM97" s="108">
        <v>0</v>
      </c>
      <c r="CN97" s="108">
        <v>10</v>
      </c>
      <c r="CO97" s="108">
        <v>18288</v>
      </c>
      <c r="CP97" s="108">
        <v>19.485647936537568</v>
      </c>
      <c r="CQ97" s="108">
        <v>35635.352946339903</v>
      </c>
      <c r="CR97" s="108">
        <v>13.147366075814301</v>
      </c>
      <c r="CS97" s="108">
        <v>24043.903079449192</v>
      </c>
      <c r="CT97" s="108">
        <v>12.828259190656512</v>
      </c>
      <c r="CU97" s="108">
        <v>23460.32040787263</v>
      </c>
    </row>
    <row r="98" spans="2:99" x14ac:dyDescent="0.2">
      <c r="C98" s="107" t="s">
        <v>263</v>
      </c>
      <c r="D98" s="108">
        <v>0</v>
      </c>
      <c r="E98" s="108">
        <v>0</v>
      </c>
      <c r="F98" s="108">
        <v>0</v>
      </c>
      <c r="G98" s="108">
        <v>0</v>
      </c>
      <c r="H98" s="108">
        <v>6.7337758311168505</v>
      </c>
      <c r="I98" s="108">
        <v>8508.7991401992513</v>
      </c>
      <c r="J98" s="108">
        <v>0</v>
      </c>
      <c r="K98" s="108">
        <v>0</v>
      </c>
      <c r="L98" s="108">
        <v>6.658155405234865</v>
      </c>
      <c r="M98" s="108">
        <v>8413.2451700547754</v>
      </c>
      <c r="N98" s="108">
        <v>5.7714735029368791</v>
      </c>
      <c r="O98" s="108">
        <v>7292.8339183110402</v>
      </c>
      <c r="P98" s="108">
        <v>0</v>
      </c>
      <c r="Q98" s="108">
        <v>0</v>
      </c>
      <c r="R98" s="108">
        <v>5.0568155205010124</v>
      </c>
      <c r="S98" s="108">
        <v>6389.7920917050787</v>
      </c>
      <c r="T98" s="108">
        <v>20.081616801235498</v>
      </c>
      <c r="U98" s="108">
        <v>25375.130990041172</v>
      </c>
      <c r="V98" s="108">
        <v>37.560974122390974</v>
      </c>
      <c r="W98" s="108">
        <v>47462.046901053232</v>
      </c>
      <c r="X98" s="108">
        <v>12.021208504710412</v>
      </c>
      <c r="Y98" s="108">
        <v>15189.999066552075</v>
      </c>
      <c r="Z98" s="108">
        <v>0</v>
      </c>
      <c r="AA98" s="108">
        <v>0</v>
      </c>
      <c r="AB98" s="108">
        <v>16</v>
      </c>
      <c r="AC98" s="108">
        <v>20217.599999999999</v>
      </c>
      <c r="AD98" s="108">
        <v>9.74735510049811</v>
      </c>
      <c r="AE98" s="108">
        <v>12316.75790498941</v>
      </c>
      <c r="AF98" s="108">
        <v>4.1762348893551842E-16</v>
      </c>
      <c r="AG98" s="108">
        <v>5.2770904061892108E-13</v>
      </c>
      <c r="AH98" s="108">
        <v>0</v>
      </c>
      <c r="AI98" s="108">
        <v>0</v>
      </c>
      <c r="AJ98" s="108">
        <v>51.010177862724923</v>
      </c>
      <c r="AK98" s="108">
        <v>64456.46074733921</v>
      </c>
      <c r="AL98" s="108">
        <v>84.3668244265493</v>
      </c>
      <c r="AM98" s="108">
        <v>106605.91934538769</v>
      </c>
      <c r="AN98" s="108">
        <v>45.336482657997543</v>
      </c>
      <c r="AO98" s="108">
        <v>57287.179486645691</v>
      </c>
      <c r="AP98" s="108">
        <v>65.690952514789061</v>
      </c>
      <c r="AQ98" s="108">
        <v>83007.087597687452</v>
      </c>
      <c r="AR98" s="108">
        <v>2.7889764089437019</v>
      </c>
      <c r="AS98" s="108">
        <v>3524.1505903412617</v>
      </c>
      <c r="AT98" s="108">
        <v>3.8944317131135402</v>
      </c>
      <c r="AU98" s="108">
        <v>4921.0039126902693</v>
      </c>
      <c r="AV98" s="108">
        <v>0</v>
      </c>
      <c r="AW98" s="108">
        <v>0</v>
      </c>
      <c r="AX98" s="108">
        <v>8.376523765471223</v>
      </c>
      <c r="AY98" s="108">
        <v>10584.575430049437</v>
      </c>
      <c r="AZ98" s="108">
        <v>0</v>
      </c>
      <c r="BA98" s="108">
        <v>0</v>
      </c>
      <c r="BB98" s="108">
        <v>3.6057420249653256</v>
      </c>
      <c r="BC98" s="108">
        <v>4556.2156227461846</v>
      </c>
      <c r="BD98" s="108">
        <v>4.731729960097204</v>
      </c>
      <c r="BE98" s="108">
        <v>5979.0139775788266</v>
      </c>
      <c r="BF98" s="108">
        <v>0</v>
      </c>
      <c r="BG98" s="108">
        <v>0</v>
      </c>
      <c r="BH98" s="108">
        <v>23</v>
      </c>
      <c r="BI98" s="108">
        <v>29062.799999999999</v>
      </c>
      <c r="BJ98" s="108">
        <v>49.824386192313625</v>
      </c>
      <c r="BK98" s="108">
        <v>62958.094392607491</v>
      </c>
      <c r="BL98" s="108">
        <v>21</v>
      </c>
      <c r="BM98" s="108">
        <v>26535.599999999999</v>
      </c>
      <c r="BN98" s="108">
        <v>31.310936361496488</v>
      </c>
      <c r="BO98" s="108">
        <v>39564.499186386958</v>
      </c>
      <c r="BP98" s="108">
        <v>13.876557614853906</v>
      </c>
      <c r="BQ98" s="108">
        <v>17534.418202129396</v>
      </c>
      <c r="BR98" s="108">
        <v>0</v>
      </c>
      <c r="BS98" s="108">
        <v>0</v>
      </c>
      <c r="BT98" s="108">
        <v>0</v>
      </c>
      <c r="BU98" s="108">
        <v>0</v>
      </c>
      <c r="BV98" s="108">
        <v>9</v>
      </c>
      <c r="BW98" s="108">
        <v>11372.4</v>
      </c>
      <c r="BX98" s="108">
        <v>21.575839161645735</v>
      </c>
      <c r="BY98" s="108">
        <v>27263.230364655548</v>
      </c>
      <c r="BZ98" s="108">
        <v>19.355456156894235</v>
      </c>
      <c r="CA98" s="108">
        <v>24457.554399851553</v>
      </c>
      <c r="CB98" s="108">
        <v>37.453765813807912</v>
      </c>
      <c r="CC98" s="108">
        <v>47326.578482327677</v>
      </c>
      <c r="CD98" s="108">
        <v>16.472037834908512</v>
      </c>
      <c r="CE98" s="108">
        <v>20814.067008190395</v>
      </c>
      <c r="CF98" s="108">
        <v>0</v>
      </c>
      <c r="CG98" s="108">
        <v>0</v>
      </c>
      <c r="CH98" s="108">
        <v>3.1892701373321297</v>
      </c>
      <c r="CI98" s="108">
        <v>4029.9617455328789</v>
      </c>
      <c r="CJ98" s="108">
        <v>13.336319873219553</v>
      </c>
      <c r="CK98" s="108">
        <v>16851.773791800228</v>
      </c>
      <c r="CL98" s="108">
        <v>0</v>
      </c>
      <c r="CM98" s="108">
        <v>0</v>
      </c>
      <c r="CN98" s="108">
        <v>11</v>
      </c>
      <c r="CO98" s="108">
        <v>13899.599999999999</v>
      </c>
      <c r="CP98" s="108">
        <v>20.663090365480382</v>
      </c>
      <c r="CQ98" s="108">
        <v>26109.880985821008</v>
      </c>
      <c r="CR98" s="108">
        <v>16.496574751028589</v>
      </c>
      <c r="CS98" s="108">
        <v>20845.071855399725</v>
      </c>
      <c r="CT98" s="108">
        <v>13.568719187744611</v>
      </c>
      <c r="CU98" s="108">
        <v>17145.433565634088</v>
      </c>
    </row>
    <row r="99" spans="2:99" x14ac:dyDescent="0.2">
      <c r="C99" s="107" t="s">
        <v>264</v>
      </c>
      <c r="D99" s="108">
        <v>0</v>
      </c>
      <c r="E99" s="108">
        <v>0</v>
      </c>
      <c r="F99" s="108">
        <v>0</v>
      </c>
      <c r="G99" s="108">
        <v>0</v>
      </c>
      <c r="H99" s="108">
        <v>4.3288558914322612</v>
      </c>
      <c r="I99" s="108">
        <v>23729.056454475081</v>
      </c>
      <c r="J99" s="108">
        <v>0</v>
      </c>
      <c r="K99" s="108">
        <v>0</v>
      </c>
      <c r="L99" s="108">
        <v>4.755825289453476</v>
      </c>
      <c r="M99" s="108">
        <v>26069.531906668173</v>
      </c>
      <c r="N99" s="108">
        <v>2.4445539275575405</v>
      </c>
      <c r="O99" s="108">
        <v>13400.066809299413</v>
      </c>
      <c r="P99" s="108">
        <v>0</v>
      </c>
      <c r="Q99" s="108">
        <v>0</v>
      </c>
      <c r="R99" s="108">
        <v>2.9498090536255903</v>
      </c>
      <c r="S99" s="108">
        <v>16169.673308354035</v>
      </c>
      <c r="T99" s="108">
        <v>11.322850084291828</v>
      </c>
      <c r="U99" s="108">
        <v>62067.335022054074</v>
      </c>
      <c r="V99" s="108">
        <v>18.968880489759915</v>
      </c>
      <c r="W99" s="108">
        <v>103979.81529266793</v>
      </c>
      <c r="X99" s="108">
        <v>7.5132553154440069</v>
      </c>
      <c r="Y99" s="108">
        <v>41184.660337137866</v>
      </c>
      <c r="Z99" s="108">
        <v>0</v>
      </c>
      <c r="AA99" s="108">
        <v>0</v>
      </c>
      <c r="AB99" s="108">
        <v>10</v>
      </c>
      <c r="AC99" s="108">
        <v>54815.999999999993</v>
      </c>
      <c r="AD99" s="108">
        <v>5.8484130602988662</v>
      </c>
      <c r="AE99" s="108">
        <v>32058.661031334261</v>
      </c>
      <c r="AF99" s="108">
        <v>2.8912395387843585E-16</v>
      </c>
      <c r="AG99" s="108">
        <v>1.5848618655800339E-12</v>
      </c>
      <c r="AH99" s="108">
        <v>0</v>
      </c>
      <c r="AI99" s="108">
        <v>0</v>
      </c>
      <c r="AJ99" s="108">
        <v>19.179826876384571</v>
      </c>
      <c r="AK99" s="108">
        <v>105136.13900558965</v>
      </c>
      <c r="AL99" s="108">
        <v>29.605174109023537</v>
      </c>
      <c r="AM99" s="108">
        <v>162283.7223960234</v>
      </c>
      <c r="AN99" s="108">
        <v>16.444827383375248</v>
      </c>
      <c r="AO99" s="108">
        <v>90143.965784709755</v>
      </c>
      <c r="AP99" s="108">
        <v>30.883666760352341</v>
      </c>
      <c r="AQ99" s="108">
        <v>169291.90771354738</v>
      </c>
      <c r="AR99" s="108">
        <v>1.8593176059624679</v>
      </c>
      <c r="AS99" s="108">
        <v>10192.035388843862</v>
      </c>
      <c r="AT99" s="108">
        <v>2.2833322763227772</v>
      </c>
      <c r="AU99" s="108">
        <v>12516.314205890934</v>
      </c>
      <c r="AV99" s="108">
        <v>0</v>
      </c>
      <c r="AW99" s="108">
        <v>0</v>
      </c>
      <c r="AX99" s="108">
        <v>4.5104358737152737</v>
      </c>
      <c r="AY99" s="108">
        <v>24724.405285357643</v>
      </c>
      <c r="AZ99" s="108">
        <v>0</v>
      </c>
      <c r="BA99" s="108">
        <v>0</v>
      </c>
      <c r="BB99" s="108">
        <v>2.0802357836338419</v>
      </c>
      <c r="BC99" s="108">
        <v>11403.020471567266</v>
      </c>
      <c r="BD99" s="108">
        <v>2.8180466903194512</v>
      </c>
      <c r="BE99" s="108">
        <v>15447.404737655103</v>
      </c>
      <c r="BF99" s="108">
        <v>0</v>
      </c>
      <c r="BG99" s="108">
        <v>0</v>
      </c>
      <c r="BH99" s="108">
        <v>13</v>
      </c>
      <c r="BI99" s="108">
        <v>71260.799999999988</v>
      </c>
      <c r="BJ99" s="108">
        <v>25.275992732796645</v>
      </c>
      <c r="BK99" s="108">
        <v>138552.88176409807</v>
      </c>
      <c r="BL99" s="108">
        <v>11</v>
      </c>
      <c r="BM99" s="108">
        <v>60297.599999999991</v>
      </c>
      <c r="BN99" s="108">
        <v>19.605160193433374</v>
      </c>
      <c r="BO99" s="108">
        <v>107467.64611632437</v>
      </c>
      <c r="BP99" s="108">
        <v>7.9980344245558941</v>
      </c>
      <c r="BQ99" s="108">
        <v>43842.025501645585</v>
      </c>
      <c r="BR99" s="108">
        <v>0</v>
      </c>
      <c r="BS99" s="108">
        <v>0</v>
      </c>
      <c r="BT99" s="108">
        <v>0</v>
      </c>
      <c r="BU99" s="108">
        <v>0</v>
      </c>
      <c r="BV99" s="108">
        <v>6</v>
      </c>
      <c r="BW99" s="108">
        <v>32889.599999999999</v>
      </c>
      <c r="BX99" s="108">
        <v>11.209389305948697</v>
      </c>
      <c r="BY99" s="108">
        <v>61445.388419488372</v>
      </c>
      <c r="BZ99" s="108">
        <v>8.876444502122558</v>
      </c>
      <c r="CA99" s="108">
        <v>48657.118182835009</v>
      </c>
      <c r="CB99" s="108">
        <v>17.910262387812224</v>
      </c>
      <c r="CC99" s="108">
        <v>98176.894305031485</v>
      </c>
      <c r="CD99" s="108">
        <v>9.1971990873921872</v>
      </c>
      <c r="CE99" s="108">
        <v>50415.366517449009</v>
      </c>
      <c r="CF99" s="108">
        <v>0</v>
      </c>
      <c r="CG99" s="108">
        <v>0</v>
      </c>
      <c r="CH99" s="108">
        <v>2.2324890961324906</v>
      </c>
      <c r="CI99" s="108">
        <v>12237.612229359858</v>
      </c>
      <c r="CJ99" s="108">
        <v>7.2743562944833933</v>
      </c>
      <c r="CK99" s="108">
        <v>39875.111463840163</v>
      </c>
      <c r="CL99" s="108">
        <v>0</v>
      </c>
      <c r="CM99" s="108">
        <v>0</v>
      </c>
      <c r="CN99" s="108">
        <v>6</v>
      </c>
      <c r="CO99" s="108">
        <v>32889.599999999999</v>
      </c>
      <c r="CP99" s="108">
        <v>10.199009747879408</v>
      </c>
      <c r="CQ99" s="108">
        <v>55906.891833975758</v>
      </c>
      <c r="CR99" s="108">
        <v>7.9999343771061691</v>
      </c>
      <c r="CS99" s="108">
        <v>43852.440281545169</v>
      </c>
      <c r="CT99" s="108">
        <v>7.2057352738534188</v>
      </c>
      <c r="CU99" s="108">
        <v>39498.958477154898</v>
      </c>
    </row>
    <row r="100" spans="2:99" x14ac:dyDescent="0.2">
      <c r="C100" s="107" t="s">
        <v>265</v>
      </c>
      <c r="D100" s="108">
        <v>0</v>
      </c>
      <c r="E100" s="108">
        <v>0</v>
      </c>
      <c r="F100" s="108">
        <v>0</v>
      </c>
      <c r="G100" s="108">
        <v>0</v>
      </c>
      <c r="H100" s="108">
        <v>7.2147598190537687</v>
      </c>
      <c r="I100" s="108">
        <v>11705.226330432833</v>
      </c>
      <c r="J100" s="108">
        <v>0</v>
      </c>
      <c r="K100" s="108">
        <v>0</v>
      </c>
      <c r="L100" s="108">
        <v>6.658155405234865</v>
      </c>
      <c r="M100" s="108">
        <v>10802.191329453044</v>
      </c>
      <c r="N100" s="108">
        <v>5.9695812556546581</v>
      </c>
      <c r="O100" s="108">
        <v>9685.0486291741163</v>
      </c>
      <c r="P100" s="108">
        <v>0</v>
      </c>
      <c r="Q100" s="108">
        <v>0</v>
      </c>
      <c r="R100" s="108">
        <v>4.6354142271259269</v>
      </c>
      <c r="S100" s="108">
        <v>7520.496042089103</v>
      </c>
      <c r="T100" s="108">
        <v>19.955494566211058</v>
      </c>
      <c r="U100" s="108">
        <v>32375.794384220819</v>
      </c>
      <c r="V100" s="108">
        <v>31.45332073463987</v>
      </c>
      <c r="W100" s="108">
        <v>51029.86755987972</v>
      </c>
      <c r="X100" s="108">
        <v>11.64554573893821</v>
      </c>
      <c r="Y100" s="108">
        <v>18893.733406853353</v>
      </c>
      <c r="Z100" s="108">
        <v>0</v>
      </c>
      <c r="AA100" s="108">
        <v>0</v>
      </c>
      <c r="AB100" s="108">
        <v>16</v>
      </c>
      <c r="AC100" s="108">
        <v>25958.399999999998</v>
      </c>
      <c r="AD100" s="108">
        <v>9.0975314271315693</v>
      </c>
      <c r="AE100" s="108">
        <v>14759.834987378257</v>
      </c>
      <c r="AF100" s="108">
        <v>4.4974837269978904E-16</v>
      </c>
      <c r="AG100" s="108">
        <v>7.2967175986813764E-13</v>
      </c>
      <c r="AH100" s="108">
        <v>0</v>
      </c>
      <c r="AI100" s="108">
        <v>0</v>
      </c>
      <c r="AJ100" s="108">
        <v>42.44046798178713</v>
      </c>
      <c r="AK100" s="108">
        <v>68855.41525365143</v>
      </c>
      <c r="AL100" s="108">
        <v>75.837353162938371</v>
      </c>
      <c r="AM100" s="108">
        <v>123038.5217715512</v>
      </c>
      <c r="AN100" s="108">
        <v>38.654120520658992</v>
      </c>
      <c r="AO100" s="108">
        <v>62712.445132717141</v>
      </c>
      <c r="AP100" s="108">
        <v>67.556404889049603</v>
      </c>
      <c r="AQ100" s="108">
        <v>109603.51129199407</v>
      </c>
      <c r="AR100" s="108">
        <v>2.4790901412832906</v>
      </c>
      <c r="AS100" s="108">
        <v>4022.0758452180103</v>
      </c>
      <c r="AT100" s="108">
        <v>3.9149459939143694</v>
      </c>
      <c r="AU100" s="108">
        <v>6351.6083805266726</v>
      </c>
      <c r="AV100" s="108">
        <v>0</v>
      </c>
      <c r="AW100" s="108">
        <v>0</v>
      </c>
      <c r="AX100" s="108">
        <v>6.4434798195932483</v>
      </c>
      <c r="AY100" s="108">
        <v>10453.901659308085</v>
      </c>
      <c r="AZ100" s="108">
        <v>0</v>
      </c>
      <c r="BA100" s="108">
        <v>0</v>
      </c>
      <c r="BB100" s="108">
        <v>3.744424410540915</v>
      </c>
      <c r="BC100" s="108">
        <v>6074.9541636615804</v>
      </c>
      <c r="BD100" s="108">
        <v>4.5061375571439974</v>
      </c>
      <c r="BE100" s="108">
        <v>7310.7575727104204</v>
      </c>
      <c r="BF100" s="108">
        <v>0</v>
      </c>
      <c r="BG100" s="108">
        <v>0</v>
      </c>
      <c r="BH100" s="108">
        <v>20</v>
      </c>
      <c r="BI100" s="108">
        <v>32447.999999999996</v>
      </c>
      <c r="BJ100" s="108">
        <v>48.242306773689897</v>
      </c>
      <c r="BK100" s="108">
        <v>78268.318509634482</v>
      </c>
      <c r="BL100" s="108">
        <v>19</v>
      </c>
      <c r="BM100" s="108">
        <v>30825.599999999999</v>
      </c>
      <c r="BN100" s="108">
        <v>34.022430598523854</v>
      </c>
      <c r="BO100" s="108">
        <v>55197.991403045096</v>
      </c>
      <c r="BP100" s="108">
        <v>12.079759859178788</v>
      </c>
      <c r="BQ100" s="108">
        <v>19598.202395531665</v>
      </c>
      <c r="BR100" s="108">
        <v>0</v>
      </c>
      <c r="BS100" s="108">
        <v>0</v>
      </c>
      <c r="BT100" s="108">
        <v>0</v>
      </c>
      <c r="BU100" s="108">
        <v>0</v>
      </c>
      <c r="BV100" s="108">
        <v>10</v>
      </c>
      <c r="BW100" s="108">
        <v>16223.999999999998</v>
      </c>
      <c r="BX100" s="108">
        <v>19.063395687445418</v>
      </c>
      <c r="BY100" s="108">
        <v>30928.453163311442</v>
      </c>
      <c r="BZ100" s="108">
        <v>16.988863717121685</v>
      </c>
      <c r="CA100" s="108">
        <v>27562.732494658219</v>
      </c>
      <c r="CB100" s="108">
        <v>34.747720931191857</v>
      </c>
      <c r="CC100" s="108">
        <v>56374.702438765664</v>
      </c>
      <c r="CD100" s="108">
        <v>17.18525781455147</v>
      </c>
      <c r="CE100" s="108">
        <v>27881.362278328303</v>
      </c>
      <c r="CF100" s="108">
        <v>0</v>
      </c>
      <c r="CG100" s="108">
        <v>0</v>
      </c>
      <c r="CH100" s="108">
        <v>3.1892701373321297</v>
      </c>
      <c r="CI100" s="108">
        <v>5174.2718708076472</v>
      </c>
      <c r="CJ100" s="108">
        <v>12.202700800507744</v>
      </c>
      <c r="CK100" s="108">
        <v>19797.661778743761</v>
      </c>
      <c r="CL100" s="108">
        <v>0</v>
      </c>
      <c r="CM100" s="108">
        <v>0</v>
      </c>
      <c r="CN100" s="108">
        <v>10</v>
      </c>
      <c r="CO100" s="108">
        <v>16223.999999999998</v>
      </c>
      <c r="CP100" s="108">
        <v>20.111164226913438</v>
      </c>
      <c r="CQ100" s="108">
        <v>32628.352841744359</v>
      </c>
      <c r="CR100" s="108">
        <v>14.698351727534751</v>
      </c>
      <c r="CS100" s="108">
        <v>23846.605842752379</v>
      </c>
      <c r="CT100" s="108">
        <v>12.592218434128991</v>
      </c>
      <c r="CU100" s="108">
        <v>20429.615187530875</v>
      </c>
    </row>
    <row r="101" spans="2:99" x14ac:dyDescent="0.2">
      <c r="C101" s="107" t="s">
        <v>266</v>
      </c>
      <c r="D101" s="108">
        <v>0</v>
      </c>
      <c r="E101" s="108">
        <v>0</v>
      </c>
      <c r="F101" s="108">
        <v>0</v>
      </c>
      <c r="G101" s="108">
        <v>0</v>
      </c>
      <c r="H101" s="108">
        <v>7.2147598190537687</v>
      </c>
      <c r="I101" s="108">
        <v>8588.4500886016049</v>
      </c>
      <c r="J101" s="108">
        <v>0</v>
      </c>
      <c r="K101" s="108">
        <v>0</v>
      </c>
      <c r="L101" s="108">
        <v>7.6093204631255604</v>
      </c>
      <c r="M101" s="108">
        <v>9058.1350793046659</v>
      </c>
      <c r="N101" s="108">
        <v>6.0913383909024335</v>
      </c>
      <c r="O101" s="108">
        <v>7251.1292205302561</v>
      </c>
      <c r="P101" s="108">
        <v>0</v>
      </c>
      <c r="Q101" s="108">
        <v>0</v>
      </c>
      <c r="R101" s="108">
        <v>4.6354142271259269</v>
      </c>
      <c r="S101" s="108">
        <v>5517.9970959707025</v>
      </c>
      <c r="T101" s="108">
        <v>23.274193546825806</v>
      </c>
      <c r="U101" s="108">
        <v>27705.599998141435</v>
      </c>
      <c r="V101" s="108">
        <v>34.345667346888767</v>
      </c>
      <c r="W101" s="108">
        <v>40885.08240973638</v>
      </c>
      <c r="X101" s="108">
        <v>13.899522333571413</v>
      </c>
      <c r="Y101" s="108">
        <v>16545.991385883408</v>
      </c>
      <c r="Z101" s="108">
        <v>0</v>
      </c>
      <c r="AA101" s="108">
        <v>0</v>
      </c>
      <c r="AB101" s="108">
        <v>17</v>
      </c>
      <c r="AC101" s="108">
        <v>20236.8</v>
      </c>
      <c r="AD101" s="108">
        <v>9.74735510049811</v>
      </c>
      <c r="AE101" s="108">
        <v>11603.251511632949</v>
      </c>
      <c r="AF101" s="108">
        <v>4.8187325646405976E-16</v>
      </c>
      <c r="AG101" s="108">
        <v>5.7362192449481664E-13</v>
      </c>
      <c r="AH101" s="108">
        <v>0</v>
      </c>
      <c r="AI101" s="108">
        <v>0</v>
      </c>
      <c r="AJ101" s="108">
        <v>42.848549404688931</v>
      </c>
      <c r="AK101" s="108">
        <v>51006.9132113417</v>
      </c>
      <c r="AL101" s="108">
        <v>72.339177141027875</v>
      </c>
      <c r="AM101" s="108">
        <v>86112.55646867957</v>
      </c>
      <c r="AN101" s="108">
        <v>42.650523810129989</v>
      </c>
      <c r="AO101" s="108">
        <v>50771.183543578736</v>
      </c>
      <c r="AP101" s="108">
        <v>80.556404889049603</v>
      </c>
      <c r="AQ101" s="108">
        <v>95894.344379924631</v>
      </c>
      <c r="AR101" s="108">
        <v>2.7889764089437019</v>
      </c>
      <c r="AS101" s="108">
        <v>3319.9975172065824</v>
      </c>
      <c r="AT101" s="108">
        <v>4.0175173979185166</v>
      </c>
      <c r="AU101" s="108">
        <v>4782.4527104822018</v>
      </c>
      <c r="AV101" s="108">
        <v>0</v>
      </c>
      <c r="AW101" s="108">
        <v>0</v>
      </c>
      <c r="AX101" s="108">
        <v>8.376523765471223</v>
      </c>
      <c r="AY101" s="108">
        <v>9971.4138904169431</v>
      </c>
      <c r="AZ101" s="108">
        <v>0</v>
      </c>
      <c r="BA101" s="108">
        <v>0</v>
      </c>
      <c r="BB101" s="108">
        <v>3.6057420249653256</v>
      </c>
      <c r="BC101" s="108">
        <v>4292.2753065187235</v>
      </c>
      <c r="BD101" s="108">
        <v>4.7006417932346709</v>
      </c>
      <c r="BE101" s="108">
        <v>5595.6439906665519</v>
      </c>
      <c r="BF101" s="108">
        <v>0</v>
      </c>
      <c r="BG101" s="108">
        <v>0</v>
      </c>
      <c r="BH101" s="108">
        <v>22</v>
      </c>
      <c r="BI101" s="108">
        <v>26188.799999999996</v>
      </c>
      <c r="BJ101" s="108">
        <v>56.55198546559329</v>
      </c>
      <c r="BK101" s="108">
        <v>67319.483498242247</v>
      </c>
      <c r="BL101" s="108">
        <v>20</v>
      </c>
      <c r="BM101" s="108">
        <v>23807.999999999996</v>
      </c>
      <c r="BN101" s="108">
        <v>37.061467395533569</v>
      </c>
      <c r="BO101" s="108">
        <v>44117.970787643157</v>
      </c>
      <c r="BP101" s="108">
        <v>14.054940723977998</v>
      </c>
      <c r="BQ101" s="108">
        <v>16731.001437823408</v>
      </c>
      <c r="BR101" s="108">
        <v>0</v>
      </c>
      <c r="BS101" s="108">
        <v>0</v>
      </c>
      <c r="BT101" s="108">
        <v>0</v>
      </c>
      <c r="BU101" s="108">
        <v>0</v>
      </c>
      <c r="BV101" s="108">
        <v>9</v>
      </c>
      <c r="BW101" s="108">
        <v>10713.599999999999</v>
      </c>
      <c r="BX101" s="108">
        <v>23.093719449905901</v>
      </c>
      <c r="BY101" s="108">
        <v>27490.763633167982</v>
      </c>
      <c r="BZ101" s="108">
        <v>18.119869436874382</v>
      </c>
      <c r="CA101" s="108">
        <v>21569.892577655261</v>
      </c>
      <c r="CB101" s="108">
        <v>40.354865940866262</v>
      </c>
      <c r="CC101" s="108">
        <v>48038.432416007192</v>
      </c>
      <c r="CD101" s="108">
        <v>17.013729300357628</v>
      </c>
      <c r="CE101" s="108">
        <v>20253.143359145717</v>
      </c>
      <c r="CF101" s="108">
        <v>0</v>
      </c>
      <c r="CG101" s="108">
        <v>0</v>
      </c>
      <c r="CH101" s="108">
        <v>3.1892701373321297</v>
      </c>
      <c r="CI101" s="108">
        <v>3796.5071714801666</v>
      </c>
      <c r="CJ101" s="108">
        <v>13.099998944113295</v>
      </c>
      <c r="CK101" s="108">
        <v>15594.238743072465</v>
      </c>
      <c r="CL101" s="108">
        <v>0</v>
      </c>
      <c r="CM101" s="108">
        <v>0</v>
      </c>
      <c r="CN101" s="108">
        <v>10</v>
      </c>
      <c r="CO101" s="108">
        <v>11903.999999999998</v>
      </c>
      <c r="CP101" s="108">
        <v>20.722035648532241</v>
      </c>
      <c r="CQ101" s="108">
        <v>24667.511236012779</v>
      </c>
      <c r="CR101" s="108">
        <v>16.249337379255198</v>
      </c>
      <c r="CS101" s="108">
        <v>19343.211216265387</v>
      </c>
      <c r="CT101" s="108">
        <v>13.366775552175131</v>
      </c>
      <c r="CU101" s="108">
        <v>15911.809617309274</v>
      </c>
    </row>
    <row r="102" spans="2:99" x14ac:dyDescent="0.2">
      <c r="C102" s="107" t="s">
        <v>267</v>
      </c>
      <c r="D102" s="108">
        <v>0</v>
      </c>
      <c r="E102" s="108">
        <v>0</v>
      </c>
      <c r="F102" s="108">
        <v>0</v>
      </c>
      <c r="G102" s="108">
        <v>0</v>
      </c>
      <c r="H102" s="108">
        <v>5.7718078552430159</v>
      </c>
      <c r="I102" s="108">
        <v>11192.689792887255</v>
      </c>
      <c r="J102" s="108">
        <v>0</v>
      </c>
      <c r="K102" s="108">
        <v>0</v>
      </c>
      <c r="L102" s="108">
        <v>6.658155405234865</v>
      </c>
      <c r="M102" s="108">
        <v>12911.494961831449</v>
      </c>
      <c r="N102" s="108">
        <v>5.9044727502586829</v>
      </c>
      <c r="O102" s="108">
        <v>11449.953557301636</v>
      </c>
      <c r="P102" s="108">
        <v>0</v>
      </c>
      <c r="Q102" s="108">
        <v>0</v>
      </c>
      <c r="R102" s="108">
        <v>4.2140129337508432</v>
      </c>
      <c r="S102" s="108">
        <v>8171.813881129634</v>
      </c>
      <c r="T102" s="108">
        <v>19.766311213674399</v>
      </c>
      <c r="U102" s="108">
        <v>38330.83070555739</v>
      </c>
      <c r="V102" s="108">
        <v>32.238013959137668</v>
      </c>
      <c r="W102" s="108">
        <v>62515.95666955976</v>
      </c>
      <c r="X102" s="108">
        <v>12.396871270482611</v>
      </c>
      <c r="Y102" s="108">
        <v>24040.012767719876</v>
      </c>
      <c r="Z102" s="108">
        <v>0</v>
      </c>
      <c r="AA102" s="108">
        <v>0</v>
      </c>
      <c r="AB102" s="108">
        <v>14</v>
      </c>
      <c r="AC102" s="108">
        <v>27148.799999999996</v>
      </c>
      <c r="AD102" s="108">
        <v>8.4477077537650285</v>
      </c>
      <c r="AE102" s="108">
        <v>16381.794876101141</v>
      </c>
      <c r="AF102" s="108">
        <v>3.8549860517124776E-16</v>
      </c>
      <c r="AG102" s="108">
        <v>7.4755889514808353E-13</v>
      </c>
      <c r="AH102" s="108">
        <v>0</v>
      </c>
      <c r="AI102" s="108">
        <v>0</v>
      </c>
      <c r="AJ102" s="108">
        <v>35.503083792456543</v>
      </c>
      <c r="AK102" s="108">
        <v>68847.580090331729</v>
      </c>
      <c r="AL102" s="108">
        <v>66.217369102684529</v>
      </c>
      <c r="AM102" s="108">
        <v>128408.72216392582</v>
      </c>
      <c r="AN102" s="108">
        <v>41.078203307226808</v>
      </c>
      <c r="AO102" s="108">
        <v>79658.851853374217</v>
      </c>
      <c r="AP102" s="108">
        <v>62.55640488904961</v>
      </c>
      <c r="AQ102" s="108">
        <v>121309.380360845</v>
      </c>
      <c r="AR102" s="108">
        <v>2.1692038736228789</v>
      </c>
      <c r="AS102" s="108">
        <v>4206.5201517294863</v>
      </c>
      <c r="AT102" s="108">
        <v>3.7425044359712536</v>
      </c>
      <c r="AU102" s="108">
        <v>7257.4646022354545</v>
      </c>
      <c r="AV102" s="108">
        <v>0</v>
      </c>
      <c r="AW102" s="108">
        <v>0</v>
      </c>
      <c r="AX102" s="108">
        <v>7.7321757835118987</v>
      </c>
      <c r="AY102" s="108">
        <v>14994.235279386272</v>
      </c>
      <c r="AZ102" s="108">
        <v>0</v>
      </c>
      <c r="BA102" s="108">
        <v>0</v>
      </c>
      <c r="BB102" s="108">
        <v>3.3283772538141472</v>
      </c>
      <c r="BC102" s="108">
        <v>6454.3891705963933</v>
      </c>
      <c r="BD102" s="108">
        <v>4.8406740062492988</v>
      </c>
      <c r="BE102" s="108">
        <v>9387.0350329186385</v>
      </c>
      <c r="BF102" s="108">
        <v>0</v>
      </c>
      <c r="BG102" s="108">
        <v>0</v>
      </c>
      <c r="BH102" s="108">
        <v>22</v>
      </c>
      <c r="BI102" s="108">
        <v>42662.399999999994</v>
      </c>
      <c r="BJ102" s="108">
        <v>33</v>
      </c>
      <c r="BK102" s="108">
        <v>63993.599999999991</v>
      </c>
      <c r="BL102" s="108">
        <v>17</v>
      </c>
      <c r="BM102" s="108">
        <v>32966.399999999994</v>
      </c>
      <c r="BN102" s="108">
        <v>27.463601398805839</v>
      </c>
      <c r="BO102" s="108">
        <v>53257.415832564278</v>
      </c>
      <c r="BP102" s="108">
        <v>11.544610531806514</v>
      </c>
      <c r="BQ102" s="108">
        <v>22387.308743279191</v>
      </c>
      <c r="BR102" s="108">
        <v>0</v>
      </c>
      <c r="BS102" s="108">
        <v>0</v>
      </c>
      <c r="BT102" s="108">
        <v>0</v>
      </c>
      <c r="BU102" s="108">
        <v>0</v>
      </c>
      <c r="BV102" s="108">
        <v>8</v>
      </c>
      <c r="BW102" s="108">
        <v>15513.599999999999</v>
      </c>
      <c r="BX102" s="108">
        <v>20.019316342204473</v>
      </c>
      <c r="BY102" s="108">
        <v>38821.458250802913</v>
      </c>
      <c r="BZ102" s="108">
        <v>16.877391304952504</v>
      </c>
      <c r="CA102" s="108">
        <v>32728.63721856389</v>
      </c>
      <c r="CB102" s="108">
        <v>33.520613896249351</v>
      </c>
      <c r="CC102" s="108">
        <v>65003.174467606739</v>
      </c>
      <c r="CD102" s="108">
        <v>15.051375788244014</v>
      </c>
      <c r="CE102" s="108">
        <v>29187.62792856279</v>
      </c>
      <c r="CF102" s="108">
        <v>0</v>
      </c>
      <c r="CG102" s="108">
        <v>0</v>
      </c>
      <c r="CH102" s="108">
        <v>2.8703431235989165</v>
      </c>
      <c r="CI102" s="108">
        <v>5566.1693852830185</v>
      </c>
      <c r="CJ102" s="108">
        <v>11.620497229043876</v>
      </c>
      <c r="CK102" s="108">
        <v>22534.468226561883</v>
      </c>
      <c r="CL102" s="108">
        <v>0</v>
      </c>
      <c r="CM102" s="108">
        <v>0</v>
      </c>
      <c r="CN102" s="108">
        <v>9</v>
      </c>
      <c r="CO102" s="108">
        <v>17452.8</v>
      </c>
      <c r="CP102" s="108">
        <v>18.587921246073385</v>
      </c>
      <c r="CQ102" s="108">
        <v>36045.696880385505</v>
      </c>
      <c r="CR102" s="108">
        <v>12.173267624898431</v>
      </c>
      <c r="CS102" s="108">
        <v>23606.400578203036</v>
      </c>
      <c r="CT102" s="108">
        <v>11.986387527420542</v>
      </c>
      <c r="CU102" s="108">
        <v>23244.002693173912</v>
      </c>
    </row>
    <row r="103" spans="2:99" x14ac:dyDescent="0.2">
      <c r="C103" s="107" t="s">
        <v>268</v>
      </c>
      <c r="D103" s="108">
        <v>0</v>
      </c>
      <c r="E103" s="108">
        <v>0</v>
      </c>
      <c r="F103" s="108">
        <v>0</v>
      </c>
      <c r="G103" s="108">
        <v>0</v>
      </c>
      <c r="H103" s="108">
        <v>6.2527918431799332</v>
      </c>
      <c r="I103" s="108">
        <v>12680.661857968904</v>
      </c>
      <c r="J103" s="108">
        <v>0</v>
      </c>
      <c r="K103" s="108">
        <v>0</v>
      </c>
      <c r="L103" s="108">
        <v>6.658155405234865</v>
      </c>
      <c r="M103" s="108">
        <v>13502.739161816306</v>
      </c>
      <c r="N103" s="108">
        <v>5.4285230178333466</v>
      </c>
      <c r="O103" s="108">
        <v>11009.044680166027</v>
      </c>
      <c r="P103" s="108">
        <v>0</v>
      </c>
      <c r="Q103" s="108">
        <v>0</v>
      </c>
      <c r="R103" s="108">
        <v>5.0568155205010124</v>
      </c>
      <c r="S103" s="108">
        <v>10255.221875576053</v>
      </c>
      <c r="T103" s="108">
        <v>18.233083958391465</v>
      </c>
      <c r="U103" s="108">
        <v>36976.694267617888</v>
      </c>
      <c r="V103" s="108">
        <v>32.345667346888767</v>
      </c>
      <c r="W103" s="108">
        <v>65597.013379490425</v>
      </c>
      <c r="X103" s="108">
        <v>12.772534036254811</v>
      </c>
      <c r="Y103" s="108">
        <v>25902.699025524758</v>
      </c>
      <c r="Z103" s="108">
        <v>0</v>
      </c>
      <c r="AA103" s="108">
        <v>0</v>
      </c>
      <c r="AB103" s="108">
        <v>15</v>
      </c>
      <c r="AC103" s="108">
        <v>30420</v>
      </c>
      <c r="AD103" s="108">
        <v>9.0975314271315693</v>
      </c>
      <c r="AE103" s="108">
        <v>18449.793734222822</v>
      </c>
      <c r="AF103" s="108">
        <v>4.4974837269978904E-16</v>
      </c>
      <c r="AG103" s="108">
        <v>9.1208969983517218E-13</v>
      </c>
      <c r="AH103" s="108">
        <v>0</v>
      </c>
      <c r="AI103" s="108">
        <v>0</v>
      </c>
      <c r="AJ103" s="108">
        <v>34.686920946652947</v>
      </c>
      <c r="AK103" s="108">
        <v>70345.075679812173</v>
      </c>
      <c r="AL103" s="108">
        <v>65.018871910458969</v>
      </c>
      <c r="AM103" s="108">
        <v>131858.2722344108</v>
      </c>
      <c r="AN103" s="108">
        <v>40.160838991349145</v>
      </c>
      <c r="AO103" s="108">
        <v>81446.181474456069</v>
      </c>
      <c r="AP103" s="108">
        <v>62.690952514789061</v>
      </c>
      <c r="AQ103" s="108">
        <v>127137.25169999221</v>
      </c>
      <c r="AR103" s="108">
        <v>2.4790901412832906</v>
      </c>
      <c r="AS103" s="108">
        <v>5027.5948065225139</v>
      </c>
      <c r="AT103" s="108">
        <v>3.3640349022725853</v>
      </c>
      <c r="AU103" s="108">
        <v>6822.2627818088031</v>
      </c>
      <c r="AV103" s="108">
        <v>0</v>
      </c>
      <c r="AW103" s="108">
        <v>0</v>
      </c>
      <c r="AX103" s="108">
        <v>6.4434798195932483</v>
      </c>
      <c r="AY103" s="108">
        <v>13067.377074135107</v>
      </c>
      <c r="AZ103" s="108">
        <v>0</v>
      </c>
      <c r="BA103" s="108">
        <v>0</v>
      </c>
      <c r="BB103" s="108">
        <v>3.0510124826629683</v>
      </c>
      <c r="BC103" s="108">
        <v>6187.4533148404998</v>
      </c>
      <c r="BD103" s="108">
        <v>4.6247797226739786</v>
      </c>
      <c r="BE103" s="108">
        <v>9379.0532775828287</v>
      </c>
      <c r="BF103" s="108">
        <v>0</v>
      </c>
      <c r="BG103" s="108">
        <v>0</v>
      </c>
      <c r="BH103" s="108">
        <v>21</v>
      </c>
      <c r="BI103" s="108">
        <v>42588</v>
      </c>
      <c r="BJ103" s="108">
        <v>35</v>
      </c>
      <c r="BK103" s="108">
        <v>70980</v>
      </c>
      <c r="BL103" s="108">
        <v>19</v>
      </c>
      <c r="BM103" s="108">
        <v>38532</v>
      </c>
      <c r="BN103" s="108">
        <v>31.351879181494283</v>
      </c>
      <c r="BO103" s="108">
        <v>63581.610980070407</v>
      </c>
      <c r="BP103" s="108">
        <v>12.470578817092386</v>
      </c>
      <c r="BQ103" s="108">
        <v>25290.333841063359</v>
      </c>
      <c r="BR103" s="108">
        <v>0</v>
      </c>
      <c r="BS103" s="108">
        <v>0</v>
      </c>
      <c r="BT103" s="108">
        <v>0</v>
      </c>
      <c r="BU103" s="108">
        <v>0</v>
      </c>
      <c r="BV103" s="108">
        <v>9</v>
      </c>
      <c r="BW103" s="108">
        <v>18252</v>
      </c>
      <c r="BX103" s="108">
        <v>19.551016647620219</v>
      </c>
      <c r="BY103" s="108">
        <v>39649.461761373808</v>
      </c>
      <c r="BZ103" s="108">
        <v>16.542974068444952</v>
      </c>
      <c r="CA103" s="108">
        <v>33549.151410806364</v>
      </c>
      <c r="CB103" s="108">
        <v>33.715669140691638</v>
      </c>
      <c r="CC103" s="108">
        <v>68375.377017322637</v>
      </c>
      <c r="CD103" s="108">
        <v>15.262897474675603</v>
      </c>
      <c r="CE103" s="108">
        <v>30953.156078642121</v>
      </c>
      <c r="CF103" s="108">
        <v>0</v>
      </c>
      <c r="CG103" s="108">
        <v>0</v>
      </c>
      <c r="CH103" s="108">
        <v>2.8703431235989165</v>
      </c>
      <c r="CI103" s="108">
        <v>5821.0558546586026</v>
      </c>
      <c r="CJ103" s="108">
        <v>12.202700800507744</v>
      </c>
      <c r="CK103" s="108">
        <v>24747.077223429704</v>
      </c>
      <c r="CL103" s="108">
        <v>0</v>
      </c>
      <c r="CM103" s="108">
        <v>0</v>
      </c>
      <c r="CN103" s="108">
        <v>9</v>
      </c>
      <c r="CO103" s="108">
        <v>18252</v>
      </c>
      <c r="CP103" s="108">
        <v>16.314131878387006</v>
      </c>
      <c r="CQ103" s="108">
        <v>33085.059449368848</v>
      </c>
      <c r="CR103" s="108">
        <v>12.625420513181584</v>
      </c>
      <c r="CS103" s="108">
        <v>25604.352800732253</v>
      </c>
      <c r="CT103" s="108">
        <v>11.919512830593844</v>
      </c>
      <c r="CU103" s="108">
        <v>24172.772020444314</v>
      </c>
    </row>
    <row r="104" spans="2:99" x14ac:dyDescent="0.2">
      <c r="C104" s="107" t="s">
        <v>269</v>
      </c>
      <c r="D104" s="108">
        <v>0</v>
      </c>
      <c r="E104" s="108">
        <v>0</v>
      </c>
      <c r="F104" s="108">
        <v>0</v>
      </c>
      <c r="G104" s="108">
        <v>0</v>
      </c>
      <c r="H104" s="108">
        <v>6.2527918431799332</v>
      </c>
      <c r="I104" s="108">
        <v>12958.285815806094</v>
      </c>
      <c r="J104" s="108">
        <v>0</v>
      </c>
      <c r="K104" s="108">
        <v>0</v>
      </c>
      <c r="L104" s="108">
        <v>6.658155405234865</v>
      </c>
      <c r="M104" s="108">
        <v>13798.361261808735</v>
      </c>
      <c r="N104" s="108">
        <v>5.3257718851989404</v>
      </c>
      <c r="O104" s="108">
        <v>11037.129654886285</v>
      </c>
      <c r="P104" s="108">
        <v>0</v>
      </c>
      <c r="Q104" s="108">
        <v>0</v>
      </c>
      <c r="R104" s="108">
        <v>5.0568155205010124</v>
      </c>
      <c r="S104" s="108">
        <v>10479.744484686298</v>
      </c>
      <c r="T104" s="108">
        <v>17.403409213237776</v>
      </c>
      <c r="U104" s="108">
        <v>36066.825253513969</v>
      </c>
      <c r="V104" s="108">
        <v>30.184187265262118</v>
      </c>
      <c r="W104" s="108">
        <v>62553.709688529212</v>
      </c>
      <c r="X104" s="108">
        <v>12.021208504710412</v>
      </c>
      <c r="Y104" s="108">
        <v>24912.752505161858</v>
      </c>
      <c r="Z104" s="108">
        <v>0</v>
      </c>
      <c r="AA104" s="108">
        <v>0</v>
      </c>
      <c r="AB104" s="108">
        <v>15</v>
      </c>
      <c r="AC104" s="108">
        <v>31086</v>
      </c>
      <c r="AD104" s="108">
        <v>9.0975314271315693</v>
      </c>
      <c r="AE104" s="108">
        <v>18853.724129587466</v>
      </c>
      <c r="AF104" s="108">
        <v>3.5337372140697714E-16</v>
      </c>
      <c r="AG104" s="108">
        <v>7.3233170024381951E-13</v>
      </c>
      <c r="AH104" s="108">
        <v>0</v>
      </c>
      <c r="AI104" s="108">
        <v>0</v>
      </c>
      <c r="AJ104" s="108">
        <v>38.359653752769141</v>
      </c>
      <c r="AK104" s="108">
        <v>79496.546437238765</v>
      </c>
      <c r="AL104" s="108">
        <v>60.646151883070864</v>
      </c>
      <c r="AM104" s="108">
        <v>125683.08516247607</v>
      </c>
      <c r="AN104" s="108">
        <v>35.902559640578417</v>
      </c>
      <c r="AO104" s="108">
        <v>74404.464599134721</v>
      </c>
      <c r="AP104" s="108">
        <v>57.421857263310152</v>
      </c>
      <c r="AQ104" s="108">
        <v>119001.05699248397</v>
      </c>
      <c r="AR104" s="108">
        <v>2.4790901412832906</v>
      </c>
      <c r="AS104" s="108">
        <v>5137.6664087954914</v>
      </c>
      <c r="AT104" s="108">
        <v>3.668774624304417</v>
      </c>
      <c r="AU104" s="108">
        <v>7603.1685314084743</v>
      </c>
      <c r="AV104" s="108">
        <v>0</v>
      </c>
      <c r="AW104" s="108">
        <v>0</v>
      </c>
      <c r="AX104" s="108">
        <v>7.7321757835118987</v>
      </c>
      <c r="AY104" s="108">
        <v>16024.161093750059</v>
      </c>
      <c r="AZ104" s="108">
        <v>0</v>
      </c>
      <c r="BA104" s="108">
        <v>0</v>
      </c>
      <c r="BB104" s="108">
        <v>3.3283772538141472</v>
      </c>
      <c r="BC104" s="108">
        <v>6897.7290208044387</v>
      </c>
      <c r="BD104" s="108">
        <v>4.7220318407193167</v>
      </c>
      <c r="BE104" s="108">
        <v>9785.9387867067126</v>
      </c>
      <c r="BF104" s="108">
        <v>0</v>
      </c>
      <c r="BG104" s="108">
        <v>0</v>
      </c>
      <c r="BH104" s="108">
        <v>21</v>
      </c>
      <c r="BI104" s="108">
        <v>43520.4</v>
      </c>
      <c r="BJ104" s="108">
        <v>48.242306773689897</v>
      </c>
      <c r="BK104" s="108">
        <v>99977.356557794948</v>
      </c>
      <c r="BL104" s="108">
        <v>16</v>
      </c>
      <c r="BM104" s="108">
        <v>33158.400000000001</v>
      </c>
      <c r="BN104" s="108">
        <v>27.545487038801429</v>
      </c>
      <c r="BO104" s="108">
        <v>57085.267339212085</v>
      </c>
      <c r="BP104" s="108">
        <v>11.18784431355833</v>
      </c>
      <c r="BQ104" s="108">
        <v>23185.688555418285</v>
      </c>
      <c r="BR104" s="108">
        <v>0</v>
      </c>
      <c r="BS104" s="108">
        <v>0</v>
      </c>
      <c r="BT104" s="108">
        <v>0</v>
      </c>
      <c r="BU104" s="108">
        <v>0</v>
      </c>
      <c r="BV104" s="108">
        <v>8</v>
      </c>
      <c r="BW104" s="108">
        <v>16579.2</v>
      </c>
      <c r="BX104" s="108">
        <v>18.220456237193755</v>
      </c>
      <c r="BY104" s="108">
        <v>37760.073505960339</v>
      </c>
      <c r="BZ104" s="108">
        <v>15.435141358655137</v>
      </c>
      <c r="CA104" s="108">
        <v>31987.78695167691</v>
      </c>
      <c r="CB104" s="108">
        <v>30.855321067565665</v>
      </c>
      <c r="CC104" s="108">
        <v>63944.56738042309</v>
      </c>
      <c r="CD104" s="108">
        <v>14.27816605024443</v>
      </c>
      <c r="CE104" s="108">
        <v>29590.071322526557</v>
      </c>
      <c r="CF104" s="108">
        <v>0</v>
      </c>
      <c r="CG104" s="108">
        <v>0</v>
      </c>
      <c r="CH104" s="108">
        <v>2.8703431235989165</v>
      </c>
      <c r="CI104" s="108">
        <v>5948.4990893463946</v>
      </c>
      <c r="CJ104" s="108">
        <v>10.723199085438322</v>
      </c>
      <c r="CK104" s="108">
        <v>22222.757784662379</v>
      </c>
      <c r="CL104" s="108">
        <v>0</v>
      </c>
      <c r="CM104" s="108">
        <v>0</v>
      </c>
      <c r="CN104" s="108">
        <v>9</v>
      </c>
      <c r="CO104" s="108">
        <v>18651.600000000002</v>
      </c>
      <c r="CP104" s="108">
        <v>18.955872005118017</v>
      </c>
      <c r="CQ104" s="108">
        <v>39284.149143406583</v>
      </c>
      <c r="CR104" s="108">
        <v>12.59794969409565</v>
      </c>
      <c r="CS104" s="108">
        <v>26107.990946043825</v>
      </c>
      <c r="CT104" s="108">
        <v>11.919072982230716</v>
      </c>
      <c r="CU104" s="108">
        <v>24701.086848374936</v>
      </c>
    </row>
    <row r="105" spans="2:99" x14ac:dyDescent="0.2">
      <c r="C105" s="107" t="s">
        <v>270</v>
      </c>
      <c r="D105" s="108">
        <v>0</v>
      </c>
      <c r="E105" s="108">
        <v>0</v>
      </c>
      <c r="F105" s="108">
        <v>0</v>
      </c>
      <c r="G105" s="108">
        <v>0</v>
      </c>
      <c r="H105" s="108">
        <v>7.2147598190537687</v>
      </c>
      <c r="I105" s="108">
        <v>14415.09011846943</v>
      </c>
      <c r="J105" s="108">
        <v>0</v>
      </c>
      <c r="K105" s="108">
        <v>0</v>
      </c>
      <c r="L105" s="108">
        <v>5.7069903473441705</v>
      </c>
      <c r="M105" s="108">
        <v>11402.566713993652</v>
      </c>
      <c r="N105" s="108">
        <v>4.9789738005724118</v>
      </c>
      <c r="O105" s="108">
        <v>9947.9896535436783</v>
      </c>
      <c r="P105" s="108">
        <v>0</v>
      </c>
      <c r="Q105" s="108">
        <v>0</v>
      </c>
      <c r="R105" s="108">
        <v>4.6354142271259269</v>
      </c>
      <c r="S105" s="108">
        <v>9261.5576257976027</v>
      </c>
      <c r="T105" s="108">
        <v>19.892433448698839</v>
      </c>
      <c r="U105" s="108">
        <v>39745.082030500278</v>
      </c>
      <c r="V105" s="108">
        <v>28.238013959137668</v>
      </c>
      <c r="W105" s="108">
        <v>56419.551890357063</v>
      </c>
      <c r="X105" s="108">
        <v>12.021208504710412</v>
      </c>
      <c r="Y105" s="108">
        <v>24018.374592411405</v>
      </c>
      <c r="Z105" s="108">
        <v>0</v>
      </c>
      <c r="AA105" s="108">
        <v>0</v>
      </c>
      <c r="AB105" s="108">
        <v>15</v>
      </c>
      <c r="AC105" s="108">
        <v>29970</v>
      </c>
      <c r="AD105" s="108">
        <v>8.4477077537650285</v>
      </c>
      <c r="AE105" s="108">
        <v>16878.520092022525</v>
      </c>
      <c r="AF105" s="108">
        <v>4.1762348893551842E-16</v>
      </c>
      <c r="AG105" s="108">
        <v>8.3441173089316584E-13</v>
      </c>
      <c r="AH105" s="108">
        <v>0</v>
      </c>
      <c r="AI105" s="108">
        <v>0</v>
      </c>
      <c r="AJ105" s="108">
        <v>39.991979444376341</v>
      </c>
      <c r="AK105" s="108">
        <v>79903.974929863922</v>
      </c>
      <c r="AL105" s="108">
        <v>66.875944316996865</v>
      </c>
      <c r="AM105" s="108">
        <v>133618.13674535975</v>
      </c>
      <c r="AN105" s="108">
        <v>37.540482175694635</v>
      </c>
      <c r="AO105" s="108">
        <v>75005.883387037873</v>
      </c>
      <c r="AP105" s="108">
        <v>62.690952514789061</v>
      </c>
      <c r="AQ105" s="108">
        <v>125256.52312454855</v>
      </c>
      <c r="AR105" s="108">
        <v>2.1692038736228789</v>
      </c>
      <c r="AS105" s="108">
        <v>4334.0693394985119</v>
      </c>
      <c r="AT105" s="108">
        <v>3.5691777102808793</v>
      </c>
      <c r="AU105" s="108">
        <v>7131.2170651411971</v>
      </c>
      <c r="AV105" s="108">
        <v>0</v>
      </c>
      <c r="AW105" s="108">
        <v>0</v>
      </c>
      <c r="AX105" s="108">
        <v>6.4434798195932483</v>
      </c>
      <c r="AY105" s="108">
        <v>12874.072679547311</v>
      </c>
      <c r="AZ105" s="108">
        <v>0</v>
      </c>
      <c r="BA105" s="108">
        <v>0</v>
      </c>
      <c r="BB105" s="108">
        <v>3.6057420249653256</v>
      </c>
      <c r="BC105" s="108">
        <v>7204.2725658807203</v>
      </c>
      <c r="BD105" s="108">
        <v>4.5606095802200439</v>
      </c>
      <c r="BE105" s="108">
        <v>9112.0979412796478</v>
      </c>
      <c r="BF105" s="108">
        <v>0</v>
      </c>
      <c r="BG105" s="108">
        <v>0</v>
      </c>
      <c r="BH105" s="108">
        <v>18</v>
      </c>
      <c r="BI105" s="108">
        <v>35964</v>
      </c>
      <c r="BJ105" s="108">
        <v>36</v>
      </c>
      <c r="BK105" s="108">
        <v>71928</v>
      </c>
      <c r="BL105" s="108">
        <v>18</v>
      </c>
      <c r="BM105" s="108">
        <v>35964</v>
      </c>
      <c r="BN105" s="108">
        <v>28.558499304471333</v>
      </c>
      <c r="BO105" s="108">
        <v>57059.881610333723</v>
      </c>
      <c r="BP105" s="108">
        <v>13.128972438692122</v>
      </c>
      <c r="BQ105" s="108">
        <v>26231.686932506858</v>
      </c>
      <c r="BR105" s="108">
        <v>0</v>
      </c>
      <c r="BS105" s="108">
        <v>0</v>
      </c>
      <c r="BT105" s="108">
        <v>0</v>
      </c>
      <c r="BU105" s="108">
        <v>0</v>
      </c>
      <c r="BV105" s="108">
        <v>9</v>
      </c>
      <c r="BW105" s="108">
        <v>17982</v>
      </c>
      <c r="BX105" s="108">
        <v>19.551016647620219</v>
      </c>
      <c r="BY105" s="108">
        <v>39062.931261945196</v>
      </c>
      <c r="BZ105" s="108">
        <v>16.582428676468687</v>
      </c>
      <c r="CA105" s="108">
        <v>33131.692495584437</v>
      </c>
      <c r="CB105" s="108">
        <v>31.440486800892536</v>
      </c>
      <c r="CC105" s="108">
        <v>62818.092628183287</v>
      </c>
      <c r="CD105" s="108">
        <v>15.084259623733034</v>
      </c>
      <c r="CE105" s="108">
        <v>30138.350728218604</v>
      </c>
      <c r="CF105" s="108">
        <v>0</v>
      </c>
      <c r="CG105" s="108">
        <v>0</v>
      </c>
      <c r="CH105" s="108">
        <v>2.8703431235989165</v>
      </c>
      <c r="CI105" s="108">
        <v>5734.9455609506349</v>
      </c>
      <c r="CJ105" s="108">
        <v>11.384176299937614</v>
      </c>
      <c r="CK105" s="108">
        <v>22745.584247275354</v>
      </c>
      <c r="CL105" s="108">
        <v>0</v>
      </c>
      <c r="CM105" s="108">
        <v>0</v>
      </c>
      <c r="CN105" s="108">
        <v>9</v>
      </c>
      <c r="CO105" s="108">
        <v>17982</v>
      </c>
      <c r="CP105" s="108">
        <v>17.211858568851188</v>
      </c>
      <c r="CQ105" s="108">
        <v>34389.293420564674</v>
      </c>
      <c r="CR105" s="108">
        <v>14.313760260331696</v>
      </c>
      <c r="CS105" s="108">
        <v>28598.893000142729</v>
      </c>
      <c r="CT105" s="108">
        <v>11.683472074066319</v>
      </c>
      <c r="CU105" s="108">
        <v>23343.577203984507</v>
      </c>
    </row>
    <row r="107" spans="2:99" x14ac:dyDescent="0.2">
      <c r="B107" s="112" t="s">
        <v>275</v>
      </c>
    </row>
    <row r="108" spans="2:99" x14ac:dyDescent="0.2">
      <c r="C108" s="107" t="s">
        <v>276</v>
      </c>
      <c r="D108" s="107" t="s">
        <v>92</v>
      </c>
      <c r="E108" s="107" t="s">
        <v>93</v>
      </c>
      <c r="F108" s="107" t="s">
        <v>94</v>
      </c>
      <c r="G108" s="107" t="s">
        <v>95</v>
      </c>
      <c r="H108" s="107" t="s">
        <v>96</v>
      </c>
      <c r="I108" s="107" t="s">
        <v>97</v>
      </c>
      <c r="J108" s="107" t="s">
        <v>98</v>
      </c>
      <c r="K108" s="107" t="s">
        <v>99</v>
      </c>
      <c r="L108" s="107" t="s">
        <v>100</v>
      </c>
      <c r="M108" s="107" t="s">
        <v>101</v>
      </c>
      <c r="N108" s="107" t="s">
        <v>102</v>
      </c>
      <c r="O108" s="107" t="s">
        <v>103</v>
      </c>
    </row>
    <row r="109" spans="2:99" x14ac:dyDescent="0.2">
      <c r="C109" s="107" t="s">
        <v>126</v>
      </c>
      <c r="D109" s="108">
        <f>SUM(D$6:D$19)+SUM(F$6:F$19)+SUM(H$6:H$19)+SUM(J$6:J$19)</f>
        <v>0</v>
      </c>
      <c r="E109" s="108">
        <f>SUM(L$6:L$19)+SUM(N$6:N$19)+SUM(P$6:P$19)+SUM(R$6:R$19)</f>
        <v>119.54005460826366</v>
      </c>
      <c r="F109" s="108">
        <f>SUM(T$6:T$19)+SUM(V$6:V$19)+SUM(X$6:X$19)+SUM(Z$6:Z$19)</f>
        <v>367.89841549724304</v>
      </c>
      <c r="G109" s="108">
        <f>SUM(AB$6:AB$19)+SUM(AD$6:AD$19)+SUM(AF$6:AF$19)+SUM(AH$6:AH$19)</f>
        <v>591.62369890636523</v>
      </c>
      <c r="H109" s="108">
        <f>SUM(AJ$6:AJ$19)+SUM(AL$6:AL$19)+SUM(AN$6:AN$19)+SUM(AP$6:AP$19)</f>
        <v>107.64787293924613</v>
      </c>
      <c r="I109" s="108">
        <f>SUM(AR$6:AR$19)+SUM(AT$6:AT$19)+SUM(AV$6:AV$19)+SUM(AX$6:AX$19)</f>
        <v>379.06812346146518</v>
      </c>
      <c r="J109" s="108">
        <f>SUM(AZ$6:AZ$19)+SUM(BB$6:BB$19)+SUM(BD$6:BD$19)+SUM(BF$6:BF$19)</f>
        <v>335.70956155509867</v>
      </c>
      <c r="K109" s="108">
        <f>SUM(BH$6:BH$19)+SUM(BJ$6:BJ$19)+SUM(BL$6:BL$19)+SUM(BN$6:BN$19)</f>
        <v>278.32470425747658</v>
      </c>
      <c r="L109" s="108">
        <f>SUM(BP$6:BP$19)+SUM(BR$6:BR$19)+SUM(BT$6:BT$19)+SUM(BV$6:BV$19)</f>
        <v>769.31269353882067</v>
      </c>
      <c r="M109" s="108">
        <f>SUM(BX$6:BX$19)+SUM(BZ$6:BZ$19)+SUM(CB$6:CB$19)+SUM(CD$6:CD$19)</f>
        <v>103.31052392547903</v>
      </c>
      <c r="N109" s="108">
        <f>SUM(CF$6:CF$19)+SUM(CH$6:CH$19)+SUM(CJ$6:CJ$19)+SUM(CL$6:CL$19)</f>
        <v>621.19705186886051</v>
      </c>
      <c r="O109" s="108">
        <f>SUM(CN$6:CN$19)+SUM(CP$6:CP$19)+SUM(CR$6:CR$19)+SUM(CT$6:CT$19)</f>
        <v>258.22403551735351</v>
      </c>
    </row>
    <row r="110" spans="2:99" x14ac:dyDescent="0.2">
      <c r="C110" s="107" t="s">
        <v>127</v>
      </c>
      <c r="D110" s="108">
        <f>SUM(D$20:D$36)+SUM(F$20:F$36)+SUM(H$20:H$36)+SUM(J$20:J$36)</f>
        <v>0</v>
      </c>
      <c r="E110" s="108">
        <f>SUM(L$20:L$36)+SUM(N$20:N$36)+SUM(P$20:P$36)+SUM(R$20:R$36)</f>
        <v>610.87012769464343</v>
      </c>
      <c r="F110" s="108">
        <f>SUM(T$20:T$36)+SUM(V$20:V$36)+SUM(X$20:X$36)+SUM(Z$20:Z$36)</f>
        <v>468.55184001903802</v>
      </c>
      <c r="G110" s="108">
        <f>SUM(AB$20:AB$36)+SUM(AD$20:AD$36)+SUM(AF$20:AF$36)+SUM(AH$20:AH$36)</f>
        <v>93.775677618261312</v>
      </c>
      <c r="H110" s="108">
        <f>SUM(AJ$20:AJ$36)+SUM(AL$20:AL$36)+SUM(AN$20:AN$36)+SUM(AP$20:AP$36)</f>
        <v>467.3646600565479</v>
      </c>
      <c r="I110" s="108">
        <f>SUM(AR$20:AR$36)+SUM(AT$20:AT$36)+SUM(AV$20:AV$36)+SUM(AX$20:AX$36)</f>
        <v>1178.6842942480671</v>
      </c>
      <c r="J110" s="108">
        <f>SUM(AZ$20:AZ$36)+SUM(BB$20:BB$36)+SUM(BD$20:BD$36)+SUM(BF$20:BF$36)</f>
        <v>333.43560764749566</v>
      </c>
      <c r="K110" s="108">
        <f>SUM(BH$20:BH$36)+SUM(BJ$20:BJ$36)+SUM(BL$20:BL$36)+SUM(BN$20:BN$36)</f>
        <v>603.68979936271501</v>
      </c>
      <c r="L110" s="108">
        <f>SUM(BP$20:BP$36)+SUM(BR$20:BR$36)+SUM(BT$20:BT$36)+SUM(BV$20:BV$36)</f>
        <v>94.599042291731337</v>
      </c>
      <c r="M110" s="108">
        <f>SUM(BX$20:BX$36)+SUM(BZ$20:BZ$36)+SUM(CB$20:CB$36)+SUM(CD$20:CD$36)</f>
        <v>681.69094847747169</v>
      </c>
      <c r="N110" s="108">
        <f>SUM(CF$20:CF$36)+SUM(CH$20:CH$36)+SUM(CJ$20:CJ$36)+SUM(CL$20:CL$36)</f>
        <v>541.24883646925616</v>
      </c>
      <c r="O110" s="108">
        <f>SUM(CN$20:CN$36)+SUM(CP$20:CP$36)+SUM(CR$20:CR$36)+SUM(CT$20:CT$36)</f>
        <v>962.21147557217205</v>
      </c>
    </row>
    <row r="111" spans="2:99" x14ac:dyDescent="0.2">
      <c r="C111" s="107" t="s">
        <v>128</v>
      </c>
      <c r="D111" s="108">
        <f>SUM(D$37:D$48)+SUM(F$37:F$48)+SUM(H$37:H$48)+SUM(J$37:J$48)</f>
        <v>0</v>
      </c>
      <c r="E111" s="108">
        <f>SUM(L$37:L$48)+SUM(N$37:N$48)+SUM(P$37:P$48)+SUM(R$37:R$48)</f>
        <v>1681.996585280622</v>
      </c>
      <c r="F111" s="108">
        <f>SUM(T$37:T$48)+SUM(V$37:V$48)+SUM(X$37:X$48)+SUM(Z$37:Z$48)</f>
        <v>428.95257623393911</v>
      </c>
      <c r="G111" s="108">
        <f>SUM(AB$37:AB$48)+SUM(AD$37:AD$48)+SUM(AF$37:AF$48)+SUM(AH$37:AH$48)</f>
        <v>1074.1775849158878</v>
      </c>
      <c r="H111" s="108">
        <f>SUM(AJ$37:AJ$48)+SUM(AL$37:AL$48)+SUM(AN$37:AN$48)+SUM(AP$37:AP$48)</f>
        <v>1423.0642279313404</v>
      </c>
      <c r="I111" s="108">
        <f>SUM(AR$37:AR$48)+SUM(AT$37:AT$48)+SUM(AV$37:AV$48)+SUM(AX$37:AX$48)</f>
        <v>622.00770623305436</v>
      </c>
      <c r="J111" s="108">
        <f>SUM(AZ$37:AZ$48)+SUM(BB$37:BB$48)+SUM(BD$37:BD$48)+SUM(BF$37:BF$48)</f>
        <v>398.50304310860224</v>
      </c>
      <c r="K111" s="108">
        <f>SUM(BH$37:BH$48)+SUM(BJ$37:BJ$48)+SUM(BL$37:BL$48)+SUM(BN$37:BN$48)</f>
        <v>1783.4073804710106</v>
      </c>
      <c r="L111" s="108">
        <f>SUM(BP$37:BP$48)+SUM(BR$37:BR$48)+SUM(BT$37:BT$48)+SUM(BV$37:BV$48)</f>
        <v>445.24440305897457</v>
      </c>
      <c r="M111" s="108">
        <f>SUM(BX$37:BX$48)+SUM(BZ$37:BZ$48)+SUM(CB$37:CB$48)+SUM(CD$37:CD$48)</f>
        <v>170.32490284029234</v>
      </c>
      <c r="N111" s="108">
        <f>SUM(CF$37:CF$48)+SUM(CH$37:CH$48)+SUM(CJ$37:CJ$48)+SUM(CL$37:CL$48)</f>
        <v>64.609422945728554</v>
      </c>
      <c r="O111" s="108">
        <f>SUM(CN$37:CN$48)+SUM(CP$37:CP$48)+SUM(CR$37:CR$48)+SUM(CT$37:CT$48)</f>
        <v>157.93143985120867</v>
      </c>
    </row>
    <row r="112" spans="2:99" x14ac:dyDescent="0.2">
      <c r="C112" s="107" t="s">
        <v>129</v>
      </c>
      <c r="D112" s="108">
        <f>SUM(D$49:D$70)+SUM(F$49:F$70)+SUM(H$49:H$70)+SUM(J$49:J$70)</f>
        <v>25.492151360656649</v>
      </c>
      <c r="E112" s="108">
        <f>SUM(L$49:L$70)+SUM(N$49:N$70)+SUM(P$49:P$70)+SUM(R$49:R$70)</f>
        <v>1434.3814490295965</v>
      </c>
      <c r="F112" s="108">
        <f>SUM(T$49:T$70)+SUM(V$49:V$70)+SUM(X$49:X$70)+SUM(Z$49:Z$70)</f>
        <v>569.73008878272867</v>
      </c>
      <c r="G112" s="108">
        <f>SUM(AB$49:AB$70)+SUM(AD$49:AD$70)+SUM(AF$49:AF$70)+SUM(AH$49:AH$70)</f>
        <v>313.84637684265243</v>
      </c>
      <c r="H112" s="108">
        <f>SUM(AJ$49:AJ$70)+SUM(AL$49:AL$70)+SUM(AN$49:AN$70)+SUM(AP$49:AP$70)</f>
        <v>468.3015023568351</v>
      </c>
      <c r="I112" s="108">
        <f>SUM(AR$49:AR$70)+SUM(AT$49:AT$70)+SUM(AV$49:AV$70)+SUM(AX$49:AX$70)</f>
        <v>226.62892321485805</v>
      </c>
      <c r="J112" s="108">
        <f>SUM(AZ$49:AZ$70)+SUM(BB$49:BB$70)+SUM(BD$49:BD$70)+SUM(BF$49:BF$70)</f>
        <v>847.12367008874662</v>
      </c>
      <c r="K112" s="108">
        <f>SUM(BH$49:BH$70)+SUM(BJ$49:BJ$70)+SUM(BL$49:BL$70)+SUM(BN$49:BN$70)</f>
        <v>334.30432450101262</v>
      </c>
      <c r="L112" s="108">
        <f>SUM(BP$49:BP$70)+SUM(BR$49:BR$70)+SUM(BT$49:BT$70)+SUM(BV$49:BV$70)</f>
        <v>173.71829987362426</v>
      </c>
      <c r="M112" s="108">
        <f>SUM(BX$49:BX$70)+SUM(BZ$49:BZ$70)+SUM(CB$49:CB$70)+SUM(CD$49:CD$70)</f>
        <v>3257.0923935986684</v>
      </c>
      <c r="N112" s="108">
        <f>SUM(CF$49:CF$70)+SUM(CH$49:CH$70)+SUM(CJ$49:CJ$70)+SUM(CL$49:CL$70)</f>
        <v>662.81188803963607</v>
      </c>
      <c r="O112" s="108">
        <f>SUM(CN$49:CN$70)+SUM(CP$49:CP$70)+SUM(CR$49:CR$70)+SUM(CT$49:CT$70)</f>
        <v>247.06485479395059</v>
      </c>
    </row>
    <row r="113" spans="2:15" x14ac:dyDescent="0.2">
      <c r="C113" s="107" t="s">
        <v>130</v>
      </c>
      <c r="D113" s="108">
        <f>SUM(D$71:D$86)+SUM(F$71:F$86)+SUM(H$71:H$86)+SUM(J$71:J$86)</f>
        <v>322.25927191773496</v>
      </c>
      <c r="E113" s="108">
        <f>SUM(L$71:L$86)+SUM(N$71:N$86)+SUM(P$71:P$86)+SUM(R$71:R$86)</f>
        <v>1354.0444210041921</v>
      </c>
      <c r="F113" s="108">
        <f>SUM(T$71:T$86)+SUM(V$71:V$86)+SUM(X$71:X$86)+SUM(Z$71:Z$86)</f>
        <v>700.33734181730551</v>
      </c>
      <c r="G113" s="108">
        <f>SUM(AB$71:AB$86)+SUM(AD$71:AD$86)+SUM(AF$71:AF$86)+SUM(AH$71:AH$86)</f>
        <v>820.54623701278695</v>
      </c>
      <c r="H113" s="108">
        <f>SUM(AJ$71:AJ$86)+SUM(AL$71:AL$86)+SUM(AN$71:AN$86)+SUM(AP$71:AP$86)</f>
        <v>687.39302651741241</v>
      </c>
      <c r="I113" s="108">
        <f>SUM(AR$71:AR$86)+SUM(AT$71:AT$86)+SUM(AV$71:AV$86)+SUM(AX$71:AX$86)</f>
        <v>1801.0414699582418</v>
      </c>
      <c r="J113" s="108">
        <f>SUM(AZ$71:AZ$86)+SUM(BB$71:BB$86)+SUM(BD$71:BD$86)+SUM(BF$71:BF$86)</f>
        <v>736.268296534505</v>
      </c>
      <c r="K113" s="108">
        <f>SUM(BH$71:BH$86)+SUM(BJ$71:BJ$86)+SUM(BL$71:BL$86)+SUM(BN$71:BN$86)</f>
        <v>1168.4297694240188</v>
      </c>
      <c r="L113" s="108">
        <f>SUM(BP$71:BP$86)+SUM(BR$71:BR$86)+SUM(BT$71:BT$86)+SUM(BV$71:BV$86)</f>
        <v>398.65451756081228</v>
      </c>
      <c r="M113" s="108">
        <f>SUM(BX$71:BX$86)+SUM(BZ$71:BZ$86)+SUM(CB$71:CB$86)+SUM(CD$71:CD$86)</f>
        <v>509.4356445035026</v>
      </c>
      <c r="N113" s="108">
        <f>SUM(CF$71:CF$86)+SUM(CH$71:CH$86)+SUM(CJ$71:CJ$86)+SUM(CL$71:CL$86)</f>
        <v>1112.6436876498178</v>
      </c>
      <c r="O113" s="108">
        <f>SUM(CN$71:CN$86)+SUM(CP$71:CP$86)+SUM(CR$71:CR$86)+SUM(CT$71:CT$86)</f>
        <v>509.24947601570659</v>
      </c>
    </row>
    <row r="114" spans="2:15" x14ac:dyDescent="0.2">
      <c r="C114" s="107" t="s">
        <v>131</v>
      </c>
      <c r="D114" s="108">
        <f>SUM(D$87:D$94)+SUM(F$87:F$94)+SUM(H$87:H$94)+SUM(J$87:J$94)</f>
        <v>53.870206648934804</v>
      </c>
      <c r="E114" s="108">
        <f>SUM(L$87:L$94)+SUM(N$87:N$94)+SUM(P$87:P$94)+SUM(R$87:R$94)</f>
        <v>324.89989432235694</v>
      </c>
      <c r="F114" s="108">
        <f>SUM(T$87:T$94)+SUM(V$87:V$94)+SUM(X$87:X$94)+SUM(Z$87:Z$94)</f>
        <v>422.9473508164337</v>
      </c>
      <c r="G114" s="108">
        <f>SUM(AB$87:AB$94)+SUM(AD$87:AD$94)+SUM(AF$87:AF$94)+SUM(AH$87:AH$94)</f>
        <v>615.2328616119363</v>
      </c>
      <c r="H114" s="108">
        <f>SUM(AJ$87:AJ$94)+SUM(AL$87:AL$94)+SUM(AN$87:AN$94)+SUM(AP$87:AP$94)</f>
        <v>224.64580990327147</v>
      </c>
      <c r="I114" s="108">
        <f>SUM(AR$87:AR$94)+SUM(AT$87:AT$94)+SUM(AV$87:AV$94)+SUM(AX$87:AX$94)</f>
        <v>612.98122963120568</v>
      </c>
      <c r="J114" s="108">
        <f>SUM(AZ$87:AZ$94)+SUM(BB$87:BB$94)+SUM(BD$87:BD$94)+SUM(BF$87:BF$94)</f>
        <v>153.45446934634597</v>
      </c>
      <c r="K114" s="108">
        <f>SUM(BH$87:BH$94)+SUM(BJ$87:BJ$94)+SUM(BL$87:BL$94)+SUM(BN$87:BN$94)</f>
        <v>493.41053785912203</v>
      </c>
      <c r="L114" s="108">
        <f>SUM(BP$87:BP$94)+SUM(BR$87:BR$94)+SUM(BT$87:BT$94)+SUM(BV$87:BV$94)</f>
        <v>702.70934479302343</v>
      </c>
      <c r="M114" s="108">
        <f>SUM(BX$87:BX$94)+SUM(BZ$87:BZ$94)+SUM(CB$87:CB$94)+SUM(CD$87:CD$94)</f>
        <v>385.6140142879384</v>
      </c>
      <c r="N114" s="108">
        <f>SUM(CF$87:CF$94)+SUM(CH$87:CH$94)+SUM(CJ$87:CJ$94)+SUM(CL$87:CL$94)</f>
        <v>258.47794142736831</v>
      </c>
      <c r="O114" s="108">
        <f>SUM(CN$87:CN$94)+SUM(CP$87:CP$94)+SUM(CR$87:CR$94)+SUM(CT$87:CT$94)</f>
        <v>1527.2014715552268</v>
      </c>
    </row>
    <row r="115" spans="2:15" x14ac:dyDescent="0.2">
      <c r="C115" s="107" t="s">
        <v>132</v>
      </c>
      <c r="D115" s="108">
        <f>SUM(D$95:D$105)+SUM(F$95:F$105)+SUM(H$95:H$105)+SUM(J$95:J$105)</f>
        <v>71.666614202600769</v>
      </c>
      <c r="E115" s="108">
        <f>SUM(L$95:L$105)+SUM(N$95:N$105)+SUM(P$95:P$105)+SUM(R$95:R$105)</f>
        <v>182.27635423207033</v>
      </c>
      <c r="F115" s="108">
        <f>SUM(T$95:T$105)+SUM(V$95:V$105)+SUM(X$95:X$105)+SUM(Z$95:Z$105)</f>
        <v>699.51908413177773</v>
      </c>
      <c r="G115" s="108">
        <f>SUM(AB$95:AB$105)+SUM(AD$95:AD$105)+SUM(AF$95:AF$105)+SUM(AH$95:AH$105)</f>
        <v>268.42302202508074</v>
      </c>
      <c r="H115" s="108">
        <f>SUM(AJ$95:AJ$105)+SUM(AL$95:AL$105)+SUM(AN$95:AN$105)+SUM(AP$95:AP$105)</f>
        <v>2300.9358221659077</v>
      </c>
      <c r="I115" s="108">
        <f>SUM(AR$95:AR$105)+SUM(AT$95:AT$105)+SUM(AV$95:AV$105)+SUM(AX$95:AX$105)</f>
        <v>144.93896755652014</v>
      </c>
      <c r="J115" s="108">
        <f>SUM(AZ$95:AZ$105)+SUM(BB$95:BB$105)+SUM(BD$95:BD$105)+SUM(BF$95:BF$105)</f>
        <v>87.528794798918341</v>
      </c>
      <c r="K115" s="108">
        <f>SUM(BH$95:BH$105)+SUM(BJ$95:BJ$105)+SUM(BL$95:BL$105)+SUM(BN$95:BN$105)</f>
        <v>1228.3838715783752</v>
      </c>
      <c r="L115" s="108">
        <f>SUM(BP$95:BP$105)+SUM(BR$95:BR$105)+SUM(BT$95:BT$105)+SUM(BV$95:BV$105)</f>
        <v>229.99579070347843</v>
      </c>
      <c r="M115" s="108">
        <f>SUM(BX$95:BX$105)+SUM(BZ$95:BZ$105)+SUM(CB$95:CB$105)+SUM(CD$95:CD$105)</f>
        <v>934.03275629916129</v>
      </c>
      <c r="N115" s="108">
        <f>SUM(CF$95:CF$105)+SUM(CH$95:CH$105)+SUM(CJ$95:CJ$105)+SUM(CL$95:CL$105)</f>
        <v>163.0576774771078</v>
      </c>
      <c r="O115" s="108">
        <f>SUM(CN$95:CN$105)+SUM(CP$95:CP$105)+SUM(CR$95:CR$105)+SUM(CT$95:CT$105)</f>
        <v>589.9187019276344</v>
      </c>
    </row>
    <row r="116" spans="2:15" x14ac:dyDescent="0.2">
      <c r="C116" s="107" t="s">
        <v>277</v>
      </c>
      <c r="D116" s="108">
        <f t="shared" ref="D116:O116" si="0">SUM(D$109:D$115)</f>
        <v>473.28824412992719</v>
      </c>
      <c r="E116" s="108">
        <f t="shared" si="0"/>
        <v>5708.008886171745</v>
      </c>
      <c r="F116" s="108">
        <f t="shared" si="0"/>
        <v>3657.9366972984658</v>
      </c>
      <c r="G116" s="108">
        <f t="shared" si="0"/>
        <v>3777.6254589329706</v>
      </c>
      <c r="H116" s="108">
        <f t="shared" si="0"/>
        <v>5679.3529218705607</v>
      </c>
      <c r="I116" s="108">
        <f t="shared" si="0"/>
        <v>4965.3507143034121</v>
      </c>
      <c r="J116" s="108">
        <f t="shared" si="0"/>
        <v>2892.0234430797123</v>
      </c>
      <c r="K116" s="108">
        <f t="shared" si="0"/>
        <v>5889.9503874537304</v>
      </c>
      <c r="L116" s="108">
        <f t="shared" si="0"/>
        <v>2814.2340918204654</v>
      </c>
      <c r="M116" s="108">
        <f t="shared" si="0"/>
        <v>6041.5011839325143</v>
      </c>
      <c r="N116" s="108">
        <f t="shared" si="0"/>
        <v>3424.0465058777754</v>
      </c>
      <c r="O116" s="108">
        <f t="shared" si="0"/>
        <v>4251.8014552332525</v>
      </c>
    </row>
    <row r="118" spans="2:15" x14ac:dyDescent="0.2">
      <c r="B118" s="111" t="s">
        <v>278</v>
      </c>
    </row>
    <row r="119" spans="2:15" x14ac:dyDescent="0.2">
      <c r="C119" s="107" t="s">
        <v>276</v>
      </c>
      <c r="D119" s="107" t="s">
        <v>92</v>
      </c>
      <c r="E119" s="107" t="s">
        <v>93</v>
      </c>
      <c r="F119" s="107" t="s">
        <v>94</v>
      </c>
      <c r="G119" s="107" t="s">
        <v>95</v>
      </c>
      <c r="H119" s="107" t="s">
        <v>96</v>
      </c>
      <c r="I119" s="107" t="s">
        <v>97</v>
      </c>
      <c r="J119" s="107" t="s">
        <v>98</v>
      </c>
      <c r="K119" s="107" t="s">
        <v>99</v>
      </c>
      <c r="L119" s="107" t="s">
        <v>100</v>
      </c>
      <c r="M119" s="107" t="s">
        <v>101</v>
      </c>
      <c r="N119" s="107" t="s">
        <v>102</v>
      </c>
      <c r="O119" s="107" t="s">
        <v>103</v>
      </c>
    </row>
    <row r="120" spans="2:15" x14ac:dyDescent="0.2">
      <c r="C120" s="107" t="s">
        <v>126</v>
      </c>
      <c r="D120" s="108">
        <f>D109*pricing!D33*2000</f>
        <v>0</v>
      </c>
      <c r="E120" s="108">
        <f>E109*pricing!E33*2000</f>
        <v>540501.28930001997</v>
      </c>
      <c r="F120" s="108">
        <f>F109*pricing!F33*2000</f>
        <v>1264284.1631220947</v>
      </c>
      <c r="G120" s="108">
        <f>G109*pricing!G33*2000</f>
        <v>1120506.925955853</v>
      </c>
      <c r="H120" s="108">
        <f>H109*pricing!H33*2000</f>
        <v>458611.60793914081</v>
      </c>
      <c r="I120" s="108">
        <f>I109*pricing!I33*2000</f>
        <v>1021953.8291996896</v>
      </c>
      <c r="J120" s="108">
        <f>J109*pricing!J33*2000</f>
        <v>1286677.6033776817</v>
      </c>
      <c r="K120" s="108">
        <f>K109*pricing!K33*2000</f>
        <v>944307.66116534709</v>
      </c>
      <c r="L120" s="108">
        <f>L109*pricing!L33*2000</f>
        <v>1389904.072976439</v>
      </c>
      <c r="M120" s="108">
        <f>M109*pricing!M33*2000</f>
        <v>444271.93795548007</v>
      </c>
      <c r="N120" s="108">
        <f>N109*pricing!N33*2000</f>
        <v>1184479.9669752668</v>
      </c>
      <c r="O120" s="108">
        <f>O109*pricing!O33*2000</f>
        <v>811696.05859990581</v>
      </c>
    </row>
    <row r="121" spans="2:15" x14ac:dyDescent="0.2">
      <c r="C121" s="107" t="s">
        <v>127</v>
      </c>
      <c r="D121" s="108">
        <f>D110*pricing!D34*2000</f>
        <v>0</v>
      </c>
      <c r="E121" s="108">
        <f>E110*pricing!E34*2000</f>
        <v>1246972.4394881777</v>
      </c>
      <c r="F121" s="108">
        <f>F110*pricing!F34*2000</f>
        <v>1862602.0312719103</v>
      </c>
      <c r="G121" s="108">
        <f>G110*pricing!G34*2000</f>
        <v>389774.14269156958</v>
      </c>
      <c r="H121" s="108">
        <f>H110*pricing!H34*2000</f>
        <v>1192113.5183537954</v>
      </c>
      <c r="I121" s="108">
        <f>I110*pricing!I34*2000</f>
        <v>2065076.2952753447</v>
      </c>
      <c r="J121" s="108">
        <f>J110*pricing!J34*2000</f>
        <v>1451360.3021190758</v>
      </c>
      <c r="K121" s="108">
        <f>K110*pricing!K34*2000</f>
        <v>1494556.8116611473</v>
      </c>
      <c r="L121" s="108">
        <f>L110*pricing!L34*2000</f>
        <v>416785.77214936016</v>
      </c>
      <c r="M121" s="108">
        <f>M110*pricing!M34*2000</f>
        <v>1392719.1105640889</v>
      </c>
      <c r="N121" s="108">
        <f>N110*pricing!N34*2000</f>
        <v>1027240.4561387304</v>
      </c>
      <c r="O121" s="108">
        <f>O110*pricing!O34*2000</f>
        <v>1938693.5194709136</v>
      </c>
    </row>
    <row r="122" spans="2:15" x14ac:dyDescent="0.2">
      <c r="C122" s="107" t="s">
        <v>128</v>
      </c>
      <c r="D122" s="108">
        <f>D111*pricing!D35*2000</f>
        <v>0</v>
      </c>
      <c r="E122" s="108">
        <f>E111*pricing!E35*2000</f>
        <v>2409217.5989073329</v>
      </c>
      <c r="F122" s="108">
        <f>F111*pricing!F35*2000</f>
        <v>1865963.5921832514</v>
      </c>
      <c r="G122" s="108">
        <f>G111*pricing!G35*2000</f>
        <v>1575104.5422639896</v>
      </c>
      <c r="H122" s="108">
        <f>H111*pricing!H35*2000</f>
        <v>2256588.9157240414</v>
      </c>
      <c r="I122" s="108">
        <f>I111*pricing!I35*2000</f>
        <v>1453124.8245323314</v>
      </c>
      <c r="J122" s="108">
        <f>J111*pricing!J35*2000</f>
        <v>1601794.7955528074</v>
      </c>
      <c r="K122" s="108">
        <f>K111*pricing!K35*2000</f>
        <v>2904307.5323267318</v>
      </c>
      <c r="L122" s="108">
        <f>L111*pricing!L35*2000</f>
        <v>919740.22942401934</v>
      </c>
      <c r="M122" s="108">
        <f>M111*pricing!M35*2000</f>
        <v>579342.85321981297</v>
      </c>
      <c r="N122" s="108">
        <f>N111*pricing!N35*2000</f>
        <v>277112.02638992388</v>
      </c>
      <c r="O122" s="108">
        <f>O111*pricing!O35*2000</f>
        <v>627438.026187571</v>
      </c>
    </row>
    <row r="123" spans="2:15" x14ac:dyDescent="0.2">
      <c r="C123" s="107" t="s">
        <v>129</v>
      </c>
      <c r="D123" s="108">
        <f>D112*pricing!D36*2000</f>
        <v>88341.934699511694</v>
      </c>
      <c r="E123" s="108">
        <f>E112*pricing!E36*2000</f>
        <v>2550636.5689878385</v>
      </c>
      <c r="F123" s="108">
        <f>F112*pricing!F36*2000</f>
        <v>2353005.827604983</v>
      </c>
      <c r="G123" s="108">
        <f>G112*pricing!G36*2000</f>
        <v>969418.98568543606</v>
      </c>
      <c r="H123" s="108">
        <f>H112*pricing!H36*2000</f>
        <v>1522847.036191897</v>
      </c>
      <c r="I123" s="108">
        <f>I112*pricing!I36*2000</f>
        <v>912101.61296133441</v>
      </c>
      <c r="J123" s="108">
        <f>J112*pricing!J36*2000</f>
        <v>2731015.4029505476</v>
      </c>
      <c r="K123" s="108">
        <f>K112*pricing!K36*2000</f>
        <v>1296071.2394234696</v>
      </c>
      <c r="L123" s="108">
        <f>L112*pricing!L36*2000</f>
        <v>769195.67157862813</v>
      </c>
      <c r="M123" s="108">
        <f>M112*pricing!M36*2000</f>
        <v>4357503.9297395982</v>
      </c>
      <c r="N123" s="108">
        <f>N112*pricing!N36*2000</f>
        <v>1327379.4120191098</v>
      </c>
      <c r="O123" s="108">
        <f>O112*pricing!O36*2000</f>
        <v>1077807.316102315</v>
      </c>
    </row>
    <row r="124" spans="2:15" x14ac:dyDescent="0.2">
      <c r="C124" s="107" t="s">
        <v>130</v>
      </c>
      <c r="D124" s="108">
        <f>D113*pricing!D37*2000</f>
        <v>700431.44171515666</v>
      </c>
      <c r="E124" s="108">
        <f>E113*pricing!E37*2000</f>
        <v>2880406.5966097498</v>
      </c>
      <c r="F124" s="108">
        <f>F113*pricing!F37*2000</f>
        <v>2282817.9347333345</v>
      </c>
      <c r="G124" s="108">
        <f>G113*pricing!G37*2000</f>
        <v>2300899.7769462913</v>
      </c>
      <c r="H124" s="108">
        <f>H113*pricing!H37*2000</f>
        <v>2499319.3406795431</v>
      </c>
      <c r="I124" s="108">
        <f>I113*pricing!I37*2000</f>
        <v>2914726.74223676</v>
      </c>
      <c r="J124" s="108">
        <f>J113*pricing!J37*2000</f>
        <v>1000915.9076129147</v>
      </c>
      <c r="K124" s="108">
        <f>K113*pricing!K37*2000</f>
        <v>4125249.8459396567</v>
      </c>
      <c r="L124" s="108">
        <f>L113*pricing!L37*2000</f>
        <v>1506585.3687472462</v>
      </c>
      <c r="M124" s="108">
        <f>M113*pricing!M37*2000</f>
        <v>1853227.8544187152</v>
      </c>
      <c r="N124" s="108">
        <f>N113*pricing!N37*2000</f>
        <v>2095331.5050864452</v>
      </c>
      <c r="O124" s="108">
        <f>O113*pricing!O37*2000</f>
        <v>2068997.0709685485</v>
      </c>
    </row>
    <row r="125" spans="2:15" x14ac:dyDescent="0.2">
      <c r="C125" s="107" t="s">
        <v>131</v>
      </c>
      <c r="D125" s="108">
        <f>D114*pricing!D38*2000</f>
        <v>182924.68420288354</v>
      </c>
      <c r="E125" s="108">
        <f>E114*pricing!E38*2000</f>
        <v>950744.50786071946</v>
      </c>
      <c r="F125" s="108">
        <f>F114*pricing!F38*2000</f>
        <v>1251706.065781597</v>
      </c>
      <c r="G125" s="108">
        <f>G114*pricing!G38*2000</f>
        <v>1273892.2480986521</v>
      </c>
      <c r="H125" s="108">
        <f>H114*pricing!H38*2000</f>
        <v>1005241.3164279523</v>
      </c>
      <c r="I125" s="108">
        <f>I114*pricing!I38*2000</f>
        <v>963740.30402086047</v>
      </c>
      <c r="J125" s="108">
        <f>J114*pricing!J38*2000</f>
        <v>250735.08503764195</v>
      </c>
      <c r="K125" s="108">
        <f>K114*pricing!K38*2000</f>
        <v>1934145.6920594065</v>
      </c>
      <c r="L125" s="108">
        <f>L114*pricing!L38*2000</f>
        <v>1620046.0162272744</v>
      </c>
      <c r="M125" s="108">
        <f>M114*pricing!M38*2000</f>
        <v>1149651.8660603766</v>
      </c>
      <c r="N125" s="108">
        <f>N114*pricing!N38*2000</f>
        <v>748978.68960291776</v>
      </c>
      <c r="O125" s="108">
        <f>O114*pricing!O38*2000</f>
        <v>2908529.8067224356</v>
      </c>
    </row>
    <row r="126" spans="2:15" x14ac:dyDescent="0.2">
      <c r="C126" s="107" t="s">
        <v>132</v>
      </c>
      <c r="D126" s="108">
        <f>D115*pricing!D39*2000</f>
        <v>270865.01648143353</v>
      </c>
      <c r="E126" s="108">
        <f>E115*pricing!E39*2000</f>
        <v>839599.05045439035</v>
      </c>
      <c r="F126" s="108">
        <f>F115*pricing!F39*2000</f>
        <v>2052700.5692968951</v>
      </c>
      <c r="G126" s="108">
        <f>G115*pricing!G39*2000</f>
        <v>956181.70230709948</v>
      </c>
      <c r="H126" s="108">
        <f>H115*pricing!H39*2000</f>
        <v>3844289.6570958868</v>
      </c>
      <c r="I126" s="108">
        <f>I115*pricing!I39*2000</f>
        <v>665056.69984226313</v>
      </c>
      <c r="J126" s="108">
        <f>J115*pricing!J39*2000</f>
        <v>270165.12974186894</v>
      </c>
      <c r="K126" s="108">
        <f>K115*pricing!K39*2000</f>
        <v>3478011.0881549334</v>
      </c>
      <c r="L126" s="108">
        <f>L115*pricing!L39*2000</f>
        <v>922792.92751568719</v>
      </c>
      <c r="M126" s="108">
        <f>M115*pricing!M39*2000</f>
        <v>2473287.5462249941</v>
      </c>
      <c r="N126" s="108">
        <f>N115*pricing!N39*2000</f>
        <v>750186.83731639071</v>
      </c>
      <c r="O126" s="108">
        <f>O115*pricing!O39*2000</f>
        <v>2563868.8831790951</v>
      </c>
    </row>
    <row r="127" spans="2:15" x14ac:dyDescent="0.2">
      <c r="C127" s="107" t="s">
        <v>277</v>
      </c>
      <c r="D127" s="108">
        <f>SUM(D$120:D$126)</f>
        <v>1242563.0770989854</v>
      </c>
      <c r="E127" s="108">
        <f t="shared" ref="E127:O127" si="1">SUM(E$120:E$126)</f>
        <v>11418078.051608229</v>
      </c>
      <c r="F127" s="108">
        <f t="shared" si="1"/>
        <v>12933080.183994066</v>
      </c>
      <c r="G127" s="108">
        <f t="shared" si="1"/>
        <v>8585778.32394889</v>
      </c>
      <c r="H127" s="108">
        <f t="shared" si="1"/>
        <v>12779011.392412256</v>
      </c>
      <c r="I127" s="108">
        <f t="shared" si="1"/>
        <v>9995780.3080685847</v>
      </c>
      <c r="J127" s="108">
        <f t="shared" si="1"/>
        <v>8592664.2263925374</v>
      </c>
      <c r="K127" s="108">
        <f t="shared" si="1"/>
        <v>16176649.870730691</v>
      </c>
      <c r="L127" s="108">
        <f t="shared" si="1"/>
        <v>7545050.0586186545</v>
      </c>
      <c r="M127" s="108">
        <f t="shared" si="1"/>
        <v>12250005.098183066</v>
      </c>
      <c r="N127" s="108">
        <f t="shared" si="1"/>
        <v>7410708.8935287856</v>
      </c>
      <c r="O127" s="108">
        <f t="shared" si="1"/>
        <v>11997030.681230783</v>
      </c>
    </row>
    <row r="129" spans="2:15" x14ac:dyDescent="0.2">
      <c r="B129" s="111" t="s">
        <v>279</v>
      </c>
    </row>
    <row r="130" spans="2:15" x14ac:dyDescent="0.2">
      <c r="C130" s="113" t="s">
        <v>276</v>
      </c>
      <c r="D130" s="113" t="s">
        <v>92</v>
      </c>
      <c r="E130" s="113" t="s">
        <v>93</v>
      </c>
      <c r="F130" s="113" t="s">
        <v>94</v>
      </c>
      <c r="G130" s="113" t="s">
        <v>95</v>
      </c>
      <c r="H130" s="113" t="s">
        <v>96</v>
      </c>
      <c r="I130" s="113" t="s">
        <v>97</v>
      </c>
      <c r="J130" s="113" t="s">
        <v>98</v>
      </c>
      <c r="K130" s="113" t="s">
        <v>99</v>
      </c>
      <c r="L130" s="113" t="s">
        <v>100</v>
      </c>
      <c r="M130" s="113" t="s">
        <v>101</v>
      </c>
      <c r="N130" s="113" t="s">
        <v>102</v>
      </c>
      <c r="O130" s="113" t="s">
        <v>103</v>
      </c>
    </row>
    <row r="131" spans="2:15" x14ac:dyDescent="0.2">
      <c r="C131" s="113" t="s">
        <v>126</v>
      </c>
      <c r="D131" s="114">
        <f>SUM(E$6:E$19)+SUM(G$6:G$19)+SUM(I$6:I$19)+SUM(K$6:K$19)</f>
        <v>0</v>
      </c>
      <c r="E131" s="114">
        <f>SUM(M$6:M$19)+SUM(O$6:O$19)+SUM(Q$6:Q$19)+SUM(S$6:S$19)</f>
        <v>60296.822029297531</v>
      </c>
      <c r="F131" s="114">
        <f>SUM(U$6:U$19)+SUM(W$6:W$19)+SUM(Y$6:Y$19)+SUM(AA$6:AA$19)</f>
        <v>184890.41897567827</v>
      </c>
      <c r="G131" s="114">
        <f>SUM(AC$6:AC$19)+SUM(AE$6:AE$19)+SUM(AG$6:AG$19)+SUM(AI$6:AI$19)</f>
        <v>295260.15248904936</v>
      </c>
      <c r="H131" s="114">
        <f>SUM(AK$6:AK$19)+SUM(AM$6:AM$19)+SUM(AO$6:AO$19)+SUM(AQ$6:AQ$19)</f>
        <v>54126.068754763466</v>
      </c>
      <c r="I131" s="114">
        <f>SUM(AS$6:AS$19)+SUM(AU$6:AU$19)+SUM(AW$6:AW$19)+SUM(AY$6:AY$19)</f>
        <v>189373.19694238278</v>
      </c>
      <c r="J131" s="114">
        <f>SUM(BA$6:BA$19)+SUM(BC$6:BC$19)+SUM(BE$6:BE$19)+SUM(BG$6:BG$19)</f>
        <v>168880.96223939091</v>
      </c>
      <c r="K131" s="114">
        <f>SUM(BI$6:BI$19)+SUM(BK$6:BK$19)+SUM(BM$6:BM$19)+SUM(BO$6:BO$19)</f>
        <v>139981.66720537387</v>
      </c>
      <c r="L131" s="114">
        <f>SUM(BQ$6:BQ$19)+SUM(BS$6:BS$19)+SUM(BU$6:BU$19)+SUM(BW$6:BW$19)</f>
        <v>381042.98119088542</v>
      </c>
      <c r="M131" s="114">
        <f>SUM(BY$6:BY$19)+SUM(CA$6:CA$19)+SUM(CC$6:CC$19)+SUM(CE$6:CE$19)</f>
        <v>51947.685552085648</v>
      </c>
      <c r="N131" s="114">
        <f>SUM(CG$6:CG$19)+SUM(CI$6:CI$19)+SUM(CK$6:CK$19)+SUM(CM$6:CM$19)</f>
        <v>309454.5718824839</v>
      </c>
      <c r="O131" s="114">
        <f>SUM(CO$6:CO$19)+SUM(CQ$6:CQ$19)+SUM(CS$6:CS$19)+SUM(CU$6:CU$19)</f>
        <v>130113.84767775267</v>
      </c>
    </row>
    <row r="132" spans="2:15" x14ac:dyDescent="0.2">
      <c r="C132" s="113" t="s">
        <v>127</v>
      </c>
      <c r="D132" s="114">
        <f>SUM(E$20:E$36)+SUM(G$20:G$36)+SUM(I$20:I$36)+SUM(K$20:K$36)</f>
        <v>0</v>
      </c>
      <c r="E132" s="114">
        <f>SUM(M$20:M$36)+SUM(O$20:O$36)+SUM(Q$20:Q$36)+SUM(S$20:S$36)</f>
        <v>256038.51657773118</v>
      </c>
      <c r="F132" s="114">
        <f>SUM(U$20:U$36)+SUM(W$20:W$36)+SUM(Y$20:Y$36)+SUM(AA$20:AA$36)</f>
        <v>198315.00447185364</v>
      </c>
      <c r="G132" s="114">
        <f>SUM(AC$20:AC$36)+SUM(AE$20:AE$36)+SUM(AG$20:AG$36)+SUM(AI$20:AI$36)</f>
        <v>39678.072723441386</v>
      </c>
      <c r="H132" s="114">
        <f>SUM(AK$20:AK$36)+SUM(AM$20:AM$36)+SUM(AO$20:AO$36)+SUM(AQ$20:AQ$36)</f>
        <v>196715.87915913895</v>
      </c>
      <c r="I132" s="114">
        <f>SUM(AS$20:AS$36)+SUM(AU$20:AU$36)+SUM(AW$20:AW$36)+SUM(AY$20:AY$36)</f>
        <v>494456.83696007193</v>
      </c>
      <c r="J132" s="114">
        <f>SUM(BA$20:BA$36)+SUM(BC$20:BC$36)+SUM(BE$20:BE$36)+SUM(BG$20:BG$36)</f>
        <v>141817.99175244832</v>
      </c>
      <c r="K132" s="114">
        <f>SUM(BI$20:BI$36)+SUM(BK$20:BK$36)+SUM(BM$20:BM$36)+SUM(BO$20:BO$36)</f>
        <v>254614.31916593621</v>
      </c>
      <c r="L132" s="114">
        <f>SUM(BQ$20:BQ$36)+SUM(BS$20:BS$36)+SUM(BU$20:BU$36)+SUM(BW$20:BW$36)</f>
        <v>40479.185118246125</v>
      </c>
      <c r="M132" s="114">
        <f>SUM(BY$20:BY$36)+SUM(CA$20:CA$36)+SUM(CC$20:CC$36)+SUM(CE$20:CE$36)</f>
        <v>286791.050657143</v>
      </c>
      <c r="N132" s="114">
        <f>SUM(CG$20:CG$36)+SUM(CI$20:CI$36)+SUM(CK$20:CK$36)+SUM(CM$20:CM$36)</f>
        <v>225690.41130068048</v>
      </c>
      <c r="O132" s="114">
        <f>SUM(CO$20:CO$36)+SUM(CQ$20:CQ$36)+SUM(CS$20:CS$36)+SUM(CU$20:CU$36)</f>
        <v>403851.65676724294</v>
      </c>
    </row>
    <row r="133" spans="2:15" x14ac:dyDescent="0.2">
      <c r="C133" s="113" t="s">
        <v>128</v>
      </c>
      <c r="D133" s="114">
        <f>SUM(E$37:E$48)+SUM(G$37:G$48)+SUM(I$37:I$48)+SUM(K$37:K$48)</f>
        <v>0</v>
      </c>
      <c r="E133" s="114">
        <f>SUM(M$37:M$48)+SUM(O$37:O$48)+SUM(Q$37:Q$48)+SUM(S$37:S$48)</f>
        <v>1738555.5108995531</v>
      </c>
      <c r="F133" s="114">
        <f>SUM(U$37:U$48)+SUM(W$37:W$48)+SUM(Y$37:Y$48)+SUM(AA$37:AA$48)</f>
        <v>448235.07121913787</v>
      </c>
      <c r="G133" s="114">
        <f>SUM(AC$37:AC$48)+SUM(AE$37:AE$48)+SUM(AG$37:AG$48)+SUM(AI$37:AI$48)</f>
        <v>1110469.4587535481</v>
      </c>
      <c r="H133" s="114">
        <f>SUM(AK$37:AK$48)+SUM(AM$37:AM$48)+SUM(AO$37:AO$48)+SUM(AQ$37:AQ$48)</f>
        <v>1476337.780239641</v>
      </c>
      <c r="I133" s="114">
        <f>SUM(AS$37:AS$48)+SUM(AU$37:AU$48)+SUM(AW$37:AW$48)+SUM(AY$37:AY$48)</f>
        <v>647265.03637985222</v>
      </c>
      <c r="J133" s="114">
        <f>SUM(BA$37:BA$48)+SUM(BC$37:BC$48)+SUM(BE$37:BE$48)+SUM(BG$37:BG$48)</f>
        <v>418514.78971883963</v>
      </c>
      <c r="K133" s="114">
        <f>SUM(BI$37:BI$48)+SUM(BK$37:BK$48)+SUM(BM$37:BM$48)+SUM(BO$37:BO$48)</f>
        <v>1844599.955364577</v>
      </c>
      <c r="L133" s="114">
        <f>SUM(BQ$37:BQ$48)+SUM(BS$37:BS$48)+SUM(BU$37:BU$48)+SUM(BW$37:BW$48)</f>
        <v>462870.13393462158</v>
      </c>
      <c r="M133" s="114">
        <f>SUM(BY$37:BY$48)+SUM(CA$37:CA$48)+SUM(CC$37:CC$48)+SUM(CE$37:CE$48)</f>
        <v>177086.3533390073</v>
      </c>
      <c r="N133" s="114">
        <f>SUM(CG$37:CG$48)+SUM(CI$37:CI$48)+SUM(CK$37:CK$48)+SUM(CM$37:CM$48)</f>
        <v>67569.449289532349</v>
      </c>
      <c r="O133" s="114">
        <f>SUM(CO$37:CO$48)+SUM(CQ$37:CQ$48)+SUM(CS$37:CS$48)+SUM(CU$37:CU$48)</f>
        <v>165412.30306840138</v>
      </c>
    </row>
    <row r="134" spans="2:15" x14ac:dyDescent="0.2">
      <c r="C134" s="113" t="s">
        <v>129</v>
      </c>
      <c r="D134" s="114">
        <f>SUM(E$49:E$70)+SUM(G$49:G$70)+SUM(I$49:I$70)+SUM(K$49:K$70)</f>
        <v>28131.214305668931</v>
      </c>
      <c r="E134" s="114">
        <f>SUM(M$49:M$70)+SUM(O$49:O$70)+SUM(Q$49:Q$70)+SUM(S$49:S$70)</f>
        <v>1246148.3841121946</v>
      </c>
      <c r="F134" s="114">
        <f>SUM(U$49:U$70)+SUM(W$49:W$70)+SUM(Y$49:Y$70)+SUM(AA$49:AA$70)</f>
        <v>477733.05733446829</v>
      </c>
      <c r="G134" s="114">
        <f>SUM(AC$49:AC$70)+SUM(AE$49:AE$70)+SUM(AG$49:AG$70)+SUM(AI$49:AI$70)</f>
        <v>288418.68711635575</v>
      </c>
      <c r="H134" s="114">
        <f>SUM(AK$49:AK$70)+SUM(AM$49:AM$70)+SUM(AO$49:AO$70)+SUM(AQ$49:AQ$70)</f>
        <v>420707.57578389562</v>
      </c>
      <c r="I134" s="114">
        <f>SUM(AS$49:AS$70)+SUM(AU$49:AU$70)+SUM(AW$49:AW$70)+SUM(AY$49:AY$70)</f>
        <v>194495.09067326042</v>
      </c>
      <c r="J134" s="114">
        <f>SUM(BA$49:BA$70)+SUM(BC$49:BC$70)+SUM(BE$49:BE$70)+SUM(BG$49:BG$70)</f>
        <v>681237.32268959074</v>
      </c>
      <c r="K134" s="114">
        <f>SUM(BI$49:BI$70)+SUM(BK$49:BK$70)+SUM(BM$49:BM$70)+SUM(BO$49:BO$70)</f>
        <v>312030.44414243987</v>
      </c>
      <c r="L134" s="114">
        <f>SUM(BQ$49:BQ$70)+SUM(BS$49:BS$70)+SUM(BU$49:BU$70)+SUM(BW$49:BW$70)</f>
        <v>154711.67530146841</v>
      </c>
      <c r="M134" s="114">
        <f>SUM(BY$49:BY$70)+SUM(CA$49:CA$70)+SUM(CC$49:CC$70)+SUM(CE$49:CE$70)</f>
        <v>2817296.2287470079</v>
      </c>
      <c r="N134" s="114">
        <f>SUM(CG$49:CG$70)+SUM(CI$49:CI$70)+SUM(CK$49:CK$70)+SUM(CM$49:CM$70)</f>
        <v>586188.81085407618</v>
      </c>
      <c r="O134" s="114">
        <f>SUM(CO$49:CO$70)+SUM(CQ$49:CQ$70)+SUM(CS$49:CS$70)+SUM(CU$49:CU$70)</f>
        <v>231356.93494333775</v>
      </c>
    </row>
    <row r="135" spans="2:15" x14ac:dyDescent="0.2">
      <c r="C135" s="113" t="s">
        <v>130</v>
      </c>
      <c r="D135" s="114">
        <f>SUM(E$71:E$86)+SUM(G$71:G$86)+SUM(I$71:I$86)+SUM(K$71:K$86)</f>
        <v>176687.15924548468</v>
      </c>
      <c r="E135" s="114">
        <f>SUM(M$71:M$86)+SUM(O$71:O$86)+SUM(Q$71:Q$86)+SUM(S$71:S$86)</f>
        <v>746596.67987930891</v>
      </c>
      <c r="F135" s="114">
        <f>SUM(U$71:U$86)+SUM(W$71:W$86)+SUM(Y$71:Y$86)+SUM(AA$71:AA$86)</f>
        <v>389256.7438387163</v>
      </c>
      <c r="G135" s="114">
        <f>SUM(AC$71:AC$86)+SUM(AE$71:AE$86)+SUM(AG$71:AG$86)+SUM(AI$71:AI$86)</f>
        <v>456551.91135755368</v>
      </c>
      <c r="H135" s="114">
        <f>SUM(AK$71:AK$86)+SUM(AM$71:AM$86)+SUM(AO$71:AO$86)+SUM(AQ$71:AQ$86)</f>
        <v>381978.071811117</v>
      </c>
      <c r="I135" s="114">
        <f>SUM(AS$71:AS$86)+SUM(AU$71:AU$86)+SUM(AW$71:AW$86)+SUM(AY$71:AY$86)</f>
        <v>994542.28887376469</v>
      </c>
      <c r="J135" s="114">
        <f>SUM(BA$71:BA$86)+SUM(BC$71:BC$86)+SUM(BE$71:BE$86)+SUM(BG$71:BG$86)</f>
        <v>404326.86546445539</v>
      </c>
      <c r="K135" s="114">
        <f>SUM(BI$71:BI$86)+SUM(BK$71:BK$86)+SUM(BM$71:BM$86)+SUM(BO$71:BO$86)</f>
        <v>648929.25011385116</v>
      </c>
      <c r="L135" s="114">
        <f>SUM(BQ$71:BQ$86)+SUM(BS$71:BS$86)+SUM(BU$71:BU$86)+SUM(BW$71:BW$86)</f>
        <v>221868.88087873394</v>
      </c>
      <c r="M135" s="114">
        <f>SUM(BY$71:BY$86)+SUM(CA$71:CA$86)+SUM(CC$71:CC$86)+SUM(CE$71:CE$86)</f>
        <v>283055.98697517539</v>
      </c>
      <c r="N135" s="114">
        <f>SUM(CG$71:CG$86)+SUM(CI$71:CI$86)+SUM(CK$71:CK$86)+SUM(CM$71:CM$86)</f>
        <v>608889.88626916509</v>
      </c>
      <c r="O135" s="114">
        <f>SUM(CO$71:CO$86)+SUM(CQ$71:CQ$86)+SUM(CS$71:CS$86)+SUM(CU$71:CU$86)</f>
        <v>284515.91131248139</v>
      </c>
    </row>
    <row r="136" spans="2:15" x14ac:dyDescent="0.2">
      <c r="C136" s="113" t="s">
        <v>131</v>
      </c>
      <c r="D136" s="114">
        <f>SUM(E$87:E$94)+SUM(G$87:G$94)+SUM(I$87:I$94)+SUM(K$87:K$94)</f>
        <v>109313.4233320185</v>
      </c>
      <c r="E136" s="114">
        <f>SUM(M$87:M$94)+SUM(O$87:O$94)+SUM(Q$87:Q$94)+SUM(S$87:S$94)</f>
        <v>657125.19961753569</v>
      </c>
      <c r="F136" s="114">
        <f>SUM(U$87:U$94)+SUM(W$87:W$94)+SUM(Y$87:Y$94)+SUM(AA$87:AA$94)</f>
        <v>856967.69512282987</v>
      </c>
      <c r="G136" s="114">
        <f>SUM(AC$87:AC$94)+SUM(AE$87:AE$94)+SUM(AG$87:AG$94)+SUM(AI$87:AI$94)</f>
        <v>1244551.6644188378</v>
      </c>
      <c r="H136" s="114">
        <f>SUM(AK$87:AK$94)+SUM(AM$87:AM$94)+SUM(AO$87:AO$94)+SUM(AQ$87:AQ$94)</f>
        <v>455181.2167627124</v>
      </c>
      <c r="I136" s="114">
        <f>SUM(AS$87:AS$94)+SUM(AU$87:AU$94)+SUM(AW$87:AW$94)+SUM(AY$87:AY$94)</f>
        <v>1228151.2651472394</v>
      </c>
      <c r="J136" s="114">
        <f>SUM(BA$87:BA$94)+SUM(BC$87:BC$94)+SUM(BE$87:BE$94)+SUM(BG$87:BG$94)</f>
        <v>308564.18238171528</v>
      </c>
      <c r="K136" s="114">
        <f>SUM(BI$87:BI$94)+SUM(BK$87:BK$94)+SUM(BM$87:BM$94)+SUM(BO$87:BO$94)</f>
        <v>997573.56576505932</v>
      </c>
      <c r="L136" s="114">
        <f>SUM(BQ$87:BQ$94)+SUM(BS$87:BS$94)+SUM(BU$87:BU$94)+SUM(BW$87:BW$94)</f>
        <v>1419048.4408987879</v>
      </c>
      <c r="M136" s="114">
        <f>SUM(BY$87:BY$94)+SUM(CA$87:CA$94)+SUM(CC$87:CC$94)+SUM(CE$87:CE$94)</f>
        <v>779791.6483061068</v>
      </c>
      <c r="N136" s="114">
        <f>SUM(CG$87:CG$94)+SUM(CI$87:CI$94)+SUM(CK$87:CK$94)+SUM(CM$87:CM$94)</f>
        <v>523970.34069766558</v>
      </c>
      <c r="O136" s="114">
        <f>SUM(CO$87:CO$94)+SUM(CQ$87:CQ$94)+SUM(CS$87:CS$94)+SUM(CU$87:CU$94)</f>
        <v>3078883.6893379241</v>
      </c>
    </row>
    <row r="137" spans="2:15" x14ac:dyDescent="0.2">
      <c r="C137" s="113" t="s">
        <v>132</v>
      </c>
      <c r="D137" s="114">
        <f>SUM(E$95:E$105)+SUM(G$95:G$105)+SUM(I$95:I$105)+SUM(K$95:K$105)</f>
        <v>133216.78838372193</v>
      </c>
      <c r="E137" s="114">
        <f>SUM(M$95:M$105)+SUM(O$95:O$105)+SUM(Q$95:Q$105)+SUM(S$95:S$105)</f>
        <v>336892.04039171565</v>
      </c>
      <c r="F137" s="114">
        <f>SUM(U$95:U$105)+SUM(W$95:W$105)+SUM(Y$95:Y$105)+SUM(AA$95:AA$105)</f>
        <v>1279672.6796902623</v>
      </c>
      <c r="G137" s="114">
        <f>SUM(AC$95:AC$105)+SUM(AE$95:AE$105)+SUM(AG$95:AG$105)+SUM(AI$95:AI$105)</f>
        <v>496404.01307391084</v>
      </c>
      <c r="H137" s="114">
        <f>SUM(AK$95:AK$105)+SUM(AM$95:AM$105)+SUM(AO$95:AO$105)+SUM(AQ$95:AQ$105)</f>
        <v>4083617.6957814097</v>
      </c>
      <c r="I137" s="114">
        <f>SUM(AS$95:AS$105)+SUM(AU$95:AU$105)+SUM(AW$95:AW$105)+SUM(AY$95:AY$105)</f>
        <v>268252.0790004317</v>
      </c>
      <c r="J137" s="114">
        <f>SUM(BA$95:BA$105)+SUM(BC$95:BC$105)+SUM(BE$95:BE$105)+SUM(BG$95:BG$105)</f>
        <v>161928.30788310754</v>
      </c>
      <c r="K137" s="114">
        <f>SUM(BI$95:BI$105)+SUM(BK$95:BK$105)+SUM(BM$95:BM$105)+SUM(BO$95:BO$105)</f>
        <v>2243643.5841964674</v>
      </c>
      <c r="L137" s="114">
        <f>SUM(BQ$95:BQ$105)+SUM(BS$95:BS$105)+SUM(BU$95:BU$105)+SUM(BW$95:BW$105)</f>
        <v>428817.69964215776</v>
      </c>
      <c r="M137" s="114">
        <f>SUM(BY$95:BY$105)+SUM(CA$95:CA$105)+SUM(CC$95:CC$105)+SUM(CE$95:CE$105)</f>
        <v>1694544.3339200253</v>
      </c>
      <c r="N137" s="114">
        <f>SUM(CG$95:CG$105)+SUM(CI$95:CI$105)+SUM(CK$95:CK$105)+SUM(CM$95:CM$105)</f>
        <v>301297.43080328917</v>
      </c>
      <c r="O137" s="114">
        <f>SUM(CO$95:CO$105)+SUM(CQ$95:CQ$105)+SUM(CS$95:CS$105)+SUM(CU$95:CU$105)</f>
        <v>1075099.1620721687</v>
      </c>
    </row>
    <row r="138" spans="2:15" x14ac:dyDescent="0.2">
      <c r="C138" s="113" t="s">
        <v>277</v>
      </c>
      <c r="D138" s="108">
        <f t="shared" ref="D138:O138" si="2">SUM(D$131:D$137)</f>
        <v>447348.58526689408</v>
      </c>
      <c r="E138" s="108">
        <f t="shared" si="2"/>
        <v>5041653.153507336</v>
      </c>
      <c r="F138" s="108">
        <f t="shared" si="2"/>
        <v>3835070.6706529465</v>
      </c>
      <c r="G138" s="108">
        <f t="shared" si="2"/>
        <v>3931333.959932697</v>
      </c>
      <c r="H138" s="108">
        <f t="shared" si="2"/>
        <v>7068664.2882926781</v>
      </c>
      <c r="I138" s="108">
        <f t="shared" si="2"/>
        <v>4016535.7939770031</v>
      </c>
      <c r="J138" s="108">
        <f t="shared" si="2"/>
        <v>2285270.4221295477</v>
      </c>
      <c r="K138" s="108">
        <f t="shared" si="2"/>
        <v>6441372.7859537043</v>
      </c>
      <c r="L138" s="108">
        <f t="shared" si="2"/>
        <v>3108838.9969649012</v>
      </c>
      <c r="M138" s="108">
        <f t="shared" si="2"/>
        <v>6090513.2874965509</v>
      </c>
      <c r="N138" s="108">
        <f t="shared" si="2"/>
        <v>2623060.901096893</v>
      </c>
      <c r="O138" s="108">
        <f t="shared" si="2"/>
        <v>5369233.5051793093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defaultRowHeight="12.75" x14ac:dyDescent="0.2"/>
  <cols>
    <col min="1" max="2" width="9.140625" style="108"/>
    <col min="3" max="3" width="14.5703125" style="108" bestFit="1" customWidth="1"/>
    <col min="4" max="4" width="16.85546875" style="108" bestFit="1" customWidth="1"/>
    <col min="5" max="5" width="22.85546875" style="108" bestFit="1" customWidth="1"/>
    <col min="6" max="16384" width="9.140625" style="108"/>
  </cols>
  <sheetData>
    <row r="1" spans="1:5" x14ac:dyDescent="0.2">
      <c r="A1" s="107" t="s">
        <v>166</v>
      </c>
      <c r="B1" s="107" t="s">
        <v>167</v>
      </c>
      <c r="C1" s="107" t="s">
        <v>168</v>
      </c>
      <c r="D1" s="107" t="s">
        <v>169</v>
      </c>
      <c r="E1" s="107" t="s">
        <v>170</v>
      </c>
    </row>
    <row r="2" spans="1:5" x14ac:dyDescent="0.2">
      <c r="A2" s="107" t="s">
        <v>126</v>
      </c>
      <c r="B2" s="107" t="s">
        <v>171</v>
      </c>
      <c r="C2" s="108" t="s">
        <v>59</v>
      </c>
      <c r="D2" s="108">
        <v>482</v>
      </c>
      <c r="E2" s="108">
        <v>578.4</v>
      </c>
    </row>
    <row r="3" spans="1:5" x14ac:dyDescent="0.2">
      <c r="B3" s="107" t="s">
        <v>172</v>
      </c>
      <c r="C3" s="108" t="s">
        <v>59</v>
      </c>
      <c r="D3" s="108">
        <v>657</v>
      </c>
      <c r="E3" s="108">
        <v>788.4</v>
      </c>
    </row>
    <row r="4" spans="1:5" x14ac:dyDescent="0.2">
      <c r="B4" s="107" t="s">
        <v>173</v>
      </c>
      <c r="C4" s="108" t="s">
        <v>59</v>
      </c>
      <c r="D4" s="108">
        <v>258</v>
      </c>
      <c r="E4" s="108">
        <v>309.59999999999997</v>
      </c>
    </row>
    <row r="5" spans="1:5" x14ac:dyDescent="0.2">
      <c r="B5" s="107" t="s">
        <v>174</v>
      </c>
      <c r="C5" s="108" t="s">
        <v>59</v>
      </c>
      <c r="D5" s="108">
        <v>585</v>
      </c>
      <c r="E5" s="108">
        <v>702</v>
      </c>
    </row>
    <row r="6" spans="1:5" x14ac:dyDescent="0.2">
      <c r="B6" s="107" t="s">
        <v>175</v>
      </c>
      <c r="C6" s="108" t="s">
        <v>59</v>
      </c>
      <c r="D6" s="108">
        <v>454</v>
      </c>
      <c r="E6" s="108">
        <v>544.79999999999995</v>
      </c>
    </row>
    <row r="7" spans="1:5" x14ac:dyDescent="0.2">
      <c r="B7" s="107" t="s">
        <v>176</v>
      </c>
      <c r="C7" s="108" t="s">
        <v>59</v>
      </c>
      <c r="D7" s="108">
        <v>444</v>
      </c>
      <c r="E7" s="108">
        <v>532.79999999999995</v>
      </c>
    </row>
    <row r="8" spans="1:5" x14ac:dyDescent="0.2">
      <c r="B8" s="107" t="s">
        <v>177</v>
      </c>
      <c r="C8" s="108" t="s">
        <v>59</v>
      </c>
      <c r="D8" s="108">
        <v>469</v>
      </c>
      <c r="E8" s="108">
        <v>562.79999999999995</v>
      </c>
    </row>
    <row r="9" spans="1:5" x14ac:dyDescent="0.2">
      <c r="B9" s="107" t="s">
        <v>178</v>
      </c>
      <c r="C9" s="108" t="s">
        <v>59</v>
      </c>
      <c r="D9" s="108">
        <v>71</v>
      </c>
      <c r="E9" s="108">
        <v>85.2</v>
      </c>
    </row>
    <row r="10" spans="1:5" x14ac:dyDescent="0.2">
      <c r="B10" s="107" t="s">
        <v>179</v>
      </c>
      <c r="C10" s="108" t="s">
        <v>59</v>
      </c>
      <c r="D10" s="108">
        <v>407</v>
      </c>
      <c r="E10" s="108">
        <v>488.4</v>
      </c>
    </row>
    <row r="11" spans="1:5" x14ac:dyDescent="0.2">
      <c r="B11" s="107" t="s">
        <v>180</v>
      </c>
      <c r="C11" s="108" t="s">
        <v>59</v>
      </c>
      <c r="D11" s="108">
        <v>636</v>
      </c>
      <c r="E11" s="108">
        <v>763.19999999999993</v>
      </c>
    </row>
    <row r="12" spans="1:5" x14ac:dyDescent="0.2">
      <c r="B12" s="107" t="s">
        <v>181</v>
      </c>
      <c r="C12" s="108" t="s">
        <v>59</v>
      </c>
      <c r="D12" s="108">
        <v>284</v>
      </c>
      <c r="E12" s="108">
        <v>340.8</v>
      </c>
    </row>
    <row r="13" spans="1:5" x14ac:dyDescent="0.2">
      <c r="B13" s="107" t="s">
        <v>182</v>
      </c>
      <c r="C13" s="108" t="s">
        <v>59</v>
      </c>
      <c r="D13" s="108">
        <v>352</v>
      </c>
      <c r="E13" s="108">
        <v>422.4</v>
      </c>
    </row>
    <row r="14" spans="1:5" x14ac:dyDescent="0.2">
      <c r="B14" s="107" t="s">
        <v>183</v>
      </c>
      <c r="C14" s="108" t="s">
        <v>59</v>
      </c>
      <c r="D14" s="108">
        <v>544</v>
      </c>
      <c r="E14" s="108">
        <v>652.79999999999995</v>
      </c>
    </row>
    <row r="15" spans="1:5" x14ac:dyDescent="0.2">
      <c r="B15" s="107" t="s">
        <v>184</v>
      </c>
      <c r="C15" s="108" t="s">
        <v>59</v>
      </c>
      <c r="D15" s="108">
        <v>275</v>
      </c>
      <c r="E15" s="108">
        <v>330</v>
      </c>
    </row>
    <row r="16" spans="1:5" x14ac:dyDescent="0.2">
      <c r="A16" s="107" t="s">
        <v>127</v>
      </c>
      <c r="B16" s="107" t="s">
        <v>185</v>
      </c>
      <c r="C16" s="108" t="s">
        <v>59</v>
      </c>
      <c r="D16" s="108">
        <v>239</v>
      </c>
      <c r="E16" s="108">
        <v>286.8</v>
      </c>
    </row>
    <row r="17" spans="2:5" x14ac:dyDescent="0.2">
      <c r="B17" s="107" t="s">
        <v>186</v>
      </c>
      <c r="C17" s="108" t="s">
        <v>59</v>
      </c>
      <c r="D17" s="108">
        <v>52</v>
      </c>
      <c r="E17" s="108">
        <v>62.4</v>
      </c>
    </row>
    <row r="18" spans="2:5" x14ac:dyDescent="0.2">
      <c r="B18" s="107" t="s">
        <v>187</v>
      </c>
      <c r="C18" s="108" t="s">
        <v>59</v>
      </c>
      <c r="D18" s="108">
        <v>156</v>
      </c>
      <c r="E18" s="108">
        <v>187.2</v>
      </c>
    </row>
    <row r="19" spans="2:5" x14ac:dyDescent="0.2">
      <c r="B19" s="107" t="s">
        <v>188</v>
      </c>
      <c r="C19" s="108" t="s">
        <v>59</v>
      </c>
      <c r="D19" s="108">
        <v>245</v>
      </c>
      <c r="E19" s="108">
        <v>294</v>
      </c>
    </row>
    <row r="20" spans="2:5" x14ac:dyDescent="0.2">
      <c r="B20" s="107" t="s">
        <v>189</v>
      </c>
      <c r="C20" s="108" t="s">
        <v>59</v>
      </c>
      <c r="D20" s="108">
        <v>306</v>
      </c>
      <c r="E20" s="108">
        <v>367.2</v>
      </c>
    </row>
    <row r="21" spans="2:5" x14ac:dyDescent="0.2">
      <c r="B21" s="107" t="s">
        <v>190</v>
      </c>
      <c r="C21" s="108" t="s">
        <v>59</v>
      </c>
      <c r="D21" s="108">
        <v>442</v>
      </c>
      <c r="E21" s="108">
        <v>530.4</v>
      </c>
    </row>
    <row r="22" spans="2:5" x14ac:dyDescent="0.2">
      <c r="B22" s="107" t="s">
        <v>191</v>
      </c>
      <c r="C22" s="108" t="s">
        <v>59</v>
      </c>
      <c r="D22" s="108">
        <v>405</v>
      </c>
      <c r="E22" s="108">
        <v>486</v>
      </c>
    </row>
    <row r="23" spans="2:5" x14ac:dyDescent="0.2">
      <c r="B23" s="107" t="s">
        <v>192</v>
      </c>
      <c r="C23" s="108" t="s">
        <v>59</v>
      </c>
      <c r="D23" s="108">
        <v>356</v>
      </c>
      <c r="E23" s="108">
        <v>427.2</v>
      </c>
    </row>
    <row r="24" spans="2:5" x14ac:dyDescent="0.2">
      <c r="B24" s="107" t="s">
        <v>193</v>
      </c>
      <c r="C24" s="108" t="s">
        <v>59</v>
      </c>
      <c r="D24" s="108">
        <v>615</v>
      </c>
      <c r="E24" s="108">
        <v>738</v>
      </c>
    </row>
    <row r="25" spans="2:5" x14ac:dyDescent="0.2">
      <c r="B25" s="107" t="s">
        <v>194</v>
      </c>
      <c r="C25" s="108" t="s">
        <v>59</v>
      </c>
      <c r="D25" s="108">
        <v>282</v>
      </c>
      <c r="E25" s="108">
        <v>338.4</v>
      </c>
    </row>
    <row r="26" spans="2:5" x14ac:dyDescent="0.2">
      <c r="B26" s="107" t="s">
        <v>195</v>
      </c>
      <c r="C26" s="108" t="s">
        <v>59</v>
      </c>
      <c r="D26" s="108">
        <v>116</v>
      </c>
      <c r="E26" s="108">
        <v>139.19999999999999</v>
      </c>
    </row>
    <row r="27" spans="2:5" x14ac:dyDescent="0.2">
      <c r="B27" s="107" t="s">
        <v>196</v>
      </c>
      <c r="C27" s="108" t="s">
        <v>59</v>
      </c>
      <c r="D27" s="108">
        <v>284</v>
      </c>
      <c r="E27" s="108">
        <v>340.8</v>
      </c>
    </row>
    <row r="28" spans="2:5" x14ac:dyDescent="0.2">
      <c r="B28" s="107" t="s">
        <v>197</v>
      </c>
      <c r="C28" s="108" t="s">
        <v>59</v>
      </c>
      <c r="D28" s="108">
        <v>700</v>
      </c>
      <c r="E28" s="108">
        <v>840</v>
      </c>
    </row>
    <row r="29" spans="2:5" x14ac:dyDescent="0.2">
      <c r="B29" s="107" t="s">
        <v>198</v>
      </c>
      <c r="C29" s="108" t="s">
        <v>59</v>
      </c>
      <c r="D29" s="108">
        <v>395</v>
      </c>
      <c r="E29" s="108">
        <v>474</v>
      </c>
    </row>
    <row r="30" spans="2:5" x14ac:dyDescent="0.2">
      <c r="B30" s="107" t="s">
        <v>199</v>
      </c>
      <c r="C30" s="108" t="s">
        <v>59</v>
      </c>
      <c r="D30" s="108">
        <v>457</v>
      </c>
      <c r="E30" s="108">
        <v>548.4</v>
      </c>
    </row>
    <row r="31" spans="2:5" x14ac:dyDescent="0.2">
      <c r="B31" s="107" t="s">
        <v>200</v>
      </c>
      <c r="C31" s="108" t="s">
        <v>59</v>
      </c>
      <c r="D31" s="108">
        <v>419</v>
      </c>
      <c r="E31" s="108">
        <v>502.7999999999999</v>
      </c>
    </row>
    <row r="32" spans="2:5" x14ac:dyDescent="0.2">
      <c r="B32" s="107" t="s">
        <v>201</v>
      </c>
      <c r="C32" s="108" t="s">
        <v>59</v>
      </c>
      <c r="D32" s="108">
        <v>634</v>
      </c>
      <c r="E32" s="108">
        <v>760.8</v>
      </c>
    </row>
    <row r="33" spans="1:5" x14ac:dyDescent="0.2">
      <c r="A33" s="107" t="s">
        <v>128</v>
      </c>
      <c r="B33" s="107" t="s">
        <v>202</v>
      </c>
      <c r="C33" s="108" t="s">
        <v>59</v>
      </c>
      <c r="D33" s="108">
        <v>717</v>
      </c>
      <c r="E33" s="108">
        <v>860.4</v>
      </c>
    </row>
    <row r="34" spans="1:5" x14ac:dyDescent="0.2">
      <c r="B34" s="107" t="s">
        <v>203</v>
      </c>
      <c r="C34" s="108" t="s">
        <v>59</v>
      </c>
      <c r="D34" s="108">
        <v>1035</v>
      </c>
      <c r="E34" s="108">
        <v>1242</v>
      </c>
    </row>
    <row r="35" spans="1:5" x14ac:dyDescent="0.2">
      <c r="B35" s="107" t="s">
        <v>204</v>
      </c>
      <c r="C35" s="108" t="s">
        <v>59</v>
      </c>
      <c r="D35" s="108">
        <v>1186</v>
      </c>
      <c r="E35" s="108">
        <v>1423.2</v>
      </c>
    </row>
    <row r="36" spans="1:5" x14ac:dyDescent="0.2">
      <c r="B36" s="107" t="s">
        <v>205</v>
      </c>
      <c r="C36" s="108" t="s">
        <v>59</v>
      </c>
      <c r="D36" s="108">
        <v>604</v>
      </c>
      <c r="E36" s="108">
        <v>724.8</v>
      </c>
    </row>
    <row r="37" spans="1:5" x14ac:dyDescent="0.2">
      <c r="B37" s="107" t="s">
        <v>206</v>
      </c>
      <c r="C37" s="108" t="s">
        <v>59</v>
      </c>
      <c r="D37" s="108">
        <v>550</v>
      </c>
      <c r="E37" s="108">
        <v>660</v>
      </c>
    </row>
    <row r="38" spans="1:5" x14ac:dyDescent="0.2">
      <c r="B38" s="107" t="s">
        <v>207</v>
      </c>
      <c r="C38" s="108" t="s">
        <v>59</v>
      </c>
      <c r="D38" s="108">
        <v>705</v>
      </c>
      <c r="E38" s="108">
        <v>846</v>
      </c>
    </row>
    <row r="39" spans="1:5" x14ac:dyDescent="0.2">
      <c r="B39" s="107" t="s">
        <v>208</v>
      </c>
      <c r="C39" s="108" t="s">
        <v>59</v>
      </c>
      <c r="D39" s="108">
        <v>852</v>
      </c>
      <c r="E39" s="108">
        <v>1022.4</v>
      </c>
    </row>
    <row r="40" spans="1:5" x14ac:dyDescent="0.2">
      <c r="B40" s="107" t="s">
        <v>209</v>
      </c>
      <c r="C40" s="108" t="s">
        <v>59</v>
      </c>
      <c r="D40" s="108">
        <v>852</v>
      </c>
      <c r="E40" s="108">
        <v>1022.4</v>
      </c>
    </row>
    <row r="41" spans="1:5" x14ac:dyDescent="0.2">
      <c r="B41" s="107" t="s">
        <v>210</v>
      </c>
      <c r="C41" s="108" t="s">
        <v>59</v>
      </c>
      <c r="D41" s="108">
        <v>1041</v>
      </c>
      <c r="E41" s="108">
        <v>1249.2</v>
      </c>
    </row>
    <row r="42" spans="1:5" x14ac:dyDescent="0.2">
      <c r="B42" s="107" t="s">
        <v>211</v>
      </c>
      <c r="C42" s="108" t="s">
        <v>59</v>
      </c>
      <c r="D42" s="108">
        <v>1010</v>
      </c>
      <c r="E42" s="108">
        <v>1212</v>
      </c>
    </row>
    <row r="43" spans="1:5" x14ac:dyDescent="0.2">
      <c r="B43" s="107" t="s">
        <v>212</v>
      </c>
      <c r="C43" s="108" t="s">
        <v>59</v>
      </c>
      <c r="D43" s="108">
        <v>1273</v>
      </c>
      <c r="E43" s="108">
        <v>1527.6</v>
      </c>
    </row>
    <row r="44" spans="1:5" x14ac:dyDescent="0.2">
      <c r="B44" s="107" t="s">
        <v>213</v>
      </c>
      <c r="C44" s="108" t="s">
        <v>59</v>
      </c>
      <c r="D44" s="108">
        <v>723</v>
      </c>
      <c r="E44" s="108">
        <v>867.6</v>
      </c>
    </row>
    <row r="45" spans="1:5" x14ac:dyDescent="0.2">
      <c r="A45" s="107" t="s">
        <v>129</v>
      </c>
      <c r="B45" s="107" t="s">
        <v>214</v>
      </c>
      <c r="C45" s="108" t="s">
        <v>22</v>
      </c>
      <c r="D45" s="108">
        <v>821</v>
      </c>
      <c r="E45" s="108">
        <v>985.19999999999993</v>
      </c>
    </row>
    <row r="46" spans="1:5" x14ac:dyDescent="0.2">
      <c r="B46" s="107" t="s">
        <v>215</v>
      </c>
      <c r="C46" s="108" t="s">
        <v>59</v>
      </c>
      <c r="D46" s="108">
        <v>235</v>
      </c>
      <c r="E46" s="108">
        <v>282</v>
      </c>
    </row>
    <row r="47" spans="1:5" x14ac:dyDescent="0.2">
      <c r="B47" s="107" t="s">
        <v>216</v>
      </c>
      <c r="C47" s="108" t="s">
        <v>59</v>
      </c>
      <c r="D47" s="108">
        <v>712</v>
      </c>
      <c r="E47" s="108">
        <v>854.4</v>
      </c>
    </row>
    <row r="48" spans="1:5" x14ac:dyDescent="0.2">
      <c r="B48" s="107" t="s">
        <v>217</v>
      </c>
      <c r="C48" s="108" t="s">
        <v>59</v>
      </c>
      <c r="D48" s="108">
        <v>450</v>
      </c>
      <c r="E48" s="108">
        <v>540</v>
      </c>
    </row>
    <row r="49" spans="2:5" x14ac:dyDescent="0.2">
      <c r="B49" s="107" t="s">
        <v>218</v>
      </c>
      <c r="C49" s="108" t="s">
        <v>59</v>
      </c>
      <c r="D49" s="108">
        <v>339</v>
      </c>
      <c r="E49" s="108">
        <v>406.8</v>
      </c>
    </row>
    <row r="50" spans="2:5" x14ac:dyDescent="0.2">
      <c r="B50" s="107" t="s">
        <v>219</v>
      </c>
      <c r="C50" s="108" t="s">
        <v>59</v>
      </c>
      <c r="D50" s="108">
        <v>279</v>
      </c>
      <c r="E50" s="108">
        <v>334.8</v>
      </c>
    </row>
    <row r="51" spans="2:5" x14ac:dyDescent="0.2">
      <c r="B51" s="107" t="s">
        <v>220</v>
      </c>
      <c r="C51" s="108" t="s">
        <v>59</v>
      </c>
      <c r="D51" s="108">
        <v>553</v>
      </c>
      <c r="E51" s="108">
        <v>663.6</v>
      </c>
    </row>
    <row r="52" spans="2:5" x14ac:dyDescent="0.2">
      <c r="B52" s="107" t="s">
        <v>221</v>
      </c>
      <c r="C52" s="108" t="s">
        <v>22</v>
      </c>
      <c r="D52" s="108">
        <v>959</v>
      </c>
      <c r="E52" s="108">
        <v>1150.8</v>
      </c>
    </row>
    <row r="53" spans="2:5" x14ac:dyDescent="0.2">
      <c r="B53" s="107" t="s">
        <v>222</v>
      </c>
      <c r="C53" s="108" t="s">
        <v>59</v>
      </c>
      <c r="D53" s="108">
        <v>1176</v>
      </c>
      <c r="E53" s="108">
        <v>1411.2</v>
      </c>
    </row>
    <row r="54" spans="2:5" x14ac:dyDescent="0.2">
      <c r="B54" s="107" t="s">
        <v>223</v>
      </c>
      <c r="C54" s="108" t="s">
        <v>22</v>
      </c>
      <c r="D54" s="108">
        <v>981</v>
      </c>
      <c r="E54" s="108">
        <v>1177.2</v>
      </c>
    </row>
    <row r="55" spans="2:5" x14ac:dyDescent="0.2">
      <c r="B55" s="107" t="s">
        <v>224</v>
      </c>
      <c r="C55" s="108" t="s">
        <v>59</v>
      </c>
      <c r="D55" s="108">
        <v>253</v>
      </c>
      <c r="E55" s="108">
        <v>303.59999999999997</v>
      </c>
    </row>
    <row r="56" spans="2:5" x14ac:dyDescent="0.2">
      <c r="B56" s="107" t="s">
        <v>225</v>
      </c>
      <c r="C56" s="108" t="s">
        <v>59</v>
      </c>
      <c r="D56" s="108">
        <v>543</v>
      </c>
      <c r="E56" s="108">
        <v>651.6</v>
      </c>
    </row>
    <row r="57" spans="2:5" x14ac:dyDescent="0.2">
      <c r="B57" s="107" t="s">
        <v>226</v>
      </c>
      <c r="C57" s="108" t="s">
        <v>59</v>
      </c>
      <c r="D57" s="108">
        <v>793</v>
      </c>
      <c r="E57" s="108">
        <v>951.59999999999991</v>
      </c>
    </row>
    <row r="58" spans="2:5" x14ac:dyDescent="0.2">
      <c r="B58" s="107" t="s">
        <v>227</v>
      </c>
      <c r="C58" s="108" t="s">
        <v>59</v>
      </c>
      <c r="D58" s="108">
        <v>1421</v>
      </c>
      <c r="E58" s="108">
        <v>1705.2</v>
      </c>
    </row>
    <row r="59" spans="2:5" x14ac:dyDescent="0.2">
      <c r="B59" s="107" t="s">
        <v>228</v>
      </c>
      <c r="C59" s="108" t="s">
        <v>59</v>
      </c>
      <c r="D59" s="108">
        <v>663</v>
      </c>
      <c r="E59" s="108">
        <v>795.6</v>
      </c>
    </row>
    <row r="60" spans="2:5" x14ac:dyDescent="0.2">
      <c r="B60" s="107" t="s">
        <v>229</v>
      </c>
      <c r="C60" s="108" t="s">
        <v>59</v>
      </c>
      <c r="D60" s="108">
        <v>841</v>
      </c>
      <c r="E60" s="108">
        <v>1009.1999999999998</v>
      </c>
    </row>
    <row r="61" spans="2:5" x14ac:dyDescent="0.2">
      <c r="B61" s="107" t="s">
        <v>230</v>
      </c>
      <c r="C61" s="108" t="s">
        <v>59</v>
      </c>
      <c r="D61" s="108">
        <v>855</v>
      </c>
      <c r="E61" s="108">
        <v>1026</v>
      </c>
    </row>
    <row r="62" spans="2:5" x14ac:dyDescent="0.2">
      <c r="B62" s="107" t="s">
        <v>231</v>
      </c>
      <c r="C62" s="108" t="s">
        <v>59</v>
      </c>
      <c r="D62" s="108">
        <v>992</v>
      </c>
      <c r="E62" s="108">
        <v>1190.3999999999999</v>
      </c>
    </row>
    <row r="63" spans="2:5" x14ac:dyDescent="0.2">
      <c r="B63" s="107" t="s">
        <v>232</v>
      </c>
      <c r="C63" s="108" t="s">
        <v>59</v>
      </c>
      <c r="D63" s="108">
        <v>936</v>
      </c>
      <c r="E63" s="108">
        <v>1123.2</v>
      </c>
    </row>
    <row r="64" spans="2:5" x14ac:dyDescent="0.2">
      <c r="B64" s="107" t="s">
        <v>233</v>
      </c>
      <c r="C64" s="108" t="s">
        <v>59</v>
      </c>
      <c r="D64" s="108">
        <v>861</v>
      </c>
      <c r="E64" s="108">
        <v>1033.2</v>
      </c>
    </row>
    <row r="65" spans="1:5" x14ac:dyDescent="0.2">
      <c r="B65" s="107" t="s">
        <v>234</v>
      </c>
      <c r="C65" s="108" t="s">
        <v>59</v>
      </c>
      <c r="D65" s="108">
        <v>632</v>
      </c>
      <c r="E65" s="108">
        <v>758.4</v>
      </c>
    </row>
    <row r="66" spans="1:5" x14ac:dyDescent="0.2">
      <c r="B66" s="107" t="s">
        <v>235</v>
      </c>
      <c r="C66" s="108" t="s">
        <v>59</v>
      </c>
      <c r="D66" s="108">
        <v>446</v>
      </c>
      <c r="E66" s="108">
        <v>535.19999999999993</v>
      </c>
    </row>
    <row r="67" spans="1:5" x14ac:dyDescent="0.2">
      <c r="A67" s="107" t="s">
        <v>130</v>
      </c>
      <c r="B67" s="107" t="s">
        <v>236</v>
      </c>
      <c r="C67" s="108" t="s">
        <v>22</v>
      </c>
      <c r="D67" s="108">
        <v>470</v>
      </c>
      <c r="E67" s="108">
        <v>564</v>
      </c>
    </row>
    <row r="68" spans="1:5" x14ac:dyDescent="0.2">
      <c r="B68" s="107" t="s">
        <v>237</v>
      </c>
      <c r="C68" s="108" t="s">
        <v>22</v>
      </c>
      <c r="D68" s="108">
        <v>62</v>
      </c>
      <c r="E68" s="108">
        <v>74.399999999999991</v>
      </c>
    </row>
    <row r="69" spans="1:5" x14ac:dyDescent="0.2">
      <c r="B69" s="107" t="s">
        <v>238</v>
      </c>
      <c r="C69" s="108" t="s">
        <v>22</v>
      </c>
      <c r="D69" s="108">
        <v>466</v>
      </c>
      <c r="E69" s="108">
        <v>559.19999999999993</v>
      </c>
    </row>
    <row r="70" spans="1:5" x14ac:dyDescent="0.2">
      <c r="B70" s="107" t="s">
        <v>239</v>
      </c>
      <c r="C70" s="108" t="s">
        <v>22</v>
      </c>
      <c r="D70" s="108">
        <v>336</v>
      </c>
      <c r="E70" s="108">
        <v>403.2</v>
      </c>
    </row>
    <row r="71" spans="1:5" x14ac:dyDescent="0.2">
      <c r="B71" s="107" t="s">
        <v>240</v>
      </c>
      <c r="C71" s="108" t="s">
        <v>22</v>
      </c>
      <c r="D71" s="108">
        <v>536</v>
      </c>
      <c r="E71" s="108">
        <v>643.19999999999993</v>
      </c>
    </row>
    <row r="72" spans="1:5" x14ac:dyDescent="0.2">
      <c r="B72" s="107" t="s">
        <v>241</v>
      </c>
      <c r="C72" s="108" t="s">
        <v>22</v>
      </c>
      <c r="D72" s="108">
        <v>649</v>
      </c>
      <c r="E72" s="108">
        <v>778.8</v>
      </c>
    </row>
    <row r="73" spans="1:5" x14ac:dyDescent="0.2">
      <c r="B73" s="107" t="s">
        <v>242</v>
      </c>
      <c r="C73" s="108" t="s">
        <v>22</v>
      </c>
      <c r="D73" s="108">
        <v>232</v>
      </c>
      <c r="E73" s="108">
        <v>278.39999999999998</v>
      </c>
    </row>
    <row r="74" spans="1:5" x14ac:dyDescent="0.2">
      <c r="B74" s="107" t="s">
        <v>243</v>
      </c>
      <c r="C74" s="108" t="s">
        <v>22</v>
      </c>
      <c r="D74" s="108">
        <v>460</v>
      </c>
      <c r="E74" s="108">
        <v>552</v>
      </c>
    </row>
    <row r="75" spans="1:5" x14ac:dyDescent="0.2">
      <c r="B75" s="107" t="s">
        <v>244</v>
      </c>
      <c r="C75" s="108" t="s">
        <v>22</v>
      </c>
      <c r="D75" s="108">
        <v>631</v>
      </c>
      <c r="E75" s="108">
        <v>757.19999999999993</v>
      </c>
    </row>
    <row r="76" spans="1:5" x14ac:dyDescent="0.2">
      <c r="B76" s="107" t="s">
        <v>245</v>
      </c>
      <c r="C76" s="108" t="s">
        <v>22</v>
      </c>
      <c r="D76" s="108">
        <v>671</v>
      </c>
      <c r="E76" s="108">
        <v>805.19999999999993</v>
      </c>
    </row>
    <row r="77" spans="1:5" x14ac:dyDescent="0.2">
      <c r="B77" s="107" t="s">
        <v>246</v>
      </c>
      <c r="C77" s="108" t="s">
        <v>22</v>
      </c>
      <c r="D77" s="108">
        <v>628</v>
      </c>
      <c r="E77" s="108">
        <v>753.6</v>
      </c>
    </row>
    <row r="78" spans="1:5" x14ac:dyDescent="0.2">
      <c r="B78" s="107" t="s">
        <v>247</v>
      </c>
      <c r="C78" s="108" t="s">
        <v>22</v>
      </c>
      <c r="D78" s="108">
        <v>424</v>
      </c>
      <c r="E78" s="108">
        <v>508.7999999999999</v>
      </c>
    </row>
    <row r="79" spans="1:5" x14ac:dyDescent="0.2">
      <c r="B79" s="107" t="s">
        <v>248</v>
      </c>
      <c r="C79" s="108" t="s">
        <v>22</v>
      </c>
      <c r="D79" s="108">
        <v>717</v>
      </c>
      <c r="E79" s="108">
        <v>860.4</v>
      </c>
    </row>
    <row r="80" spans="1:5" x14ac:dyDescent="0.2">
      <c r="B80" s="107" t="s">
        <v>249</v>
      </c>
      <c r="C80" s="108" t="s">
        <v>22</v>
      </c>
      <c r="D80" s="108">
        <v>651</v>
      </c>
      <c r="E80" s="108">
        <v>781.19999999999993</v>
      </c>
    </row>
    <row r="81" spans="1:5" x14ac:dyDescent="0.2">
      <c r="B81" s="107" t="s">
        <v>250</v>
      </c>
      <c r="C81" s="108" t="s">
        <v>22</v>
      </c>
      <c r="D81" s="108">
        <v>125</v>
      </c>
      <c r="E81" s="108">
        <v>150</v>
      </c>
    </row>
    <row r="82" spans="1:5" x14ac:dyDescent="0.2">
      <c r="B82" s="107" t="s">
        <v>251</v>
      </c>
      <c r="C82" s="108" t="s">
        <v>22</v>
      </c>
      <c r="D82" s="108">
        <v>450</v>
      </c>
      <c r="E82" s="108">
        <v>540</v>
      </c>
    </row>
    <row r="83" spans="1:5" x14ac:dyDescent="0.2">
      <c r="A83" s="107" t="s">
        <v>131</v>
      </c>
      <c r="B83" s="107" t="s">
        <v>252</v>
      </c>
      <c r="C83" s="108" t="s">
        <v>22</v>
      </c>
      <c r="D83" s="108">
        <v>1629</v>
      </c>
      <c r="E83" s="108">
        <v>1954.8</v>
      </c>
    </row>
    <row r="84" spans="1:5" x14ac:dyDescent="0.2">
      <c r="B84" s="107" t="s">
        <v>253</v>
      </c>
      <c r="C84" s="108" t="s">
        <v>22</v>
      </c>
      <c r="D84" s="108">
        <v>1577</v>
      </c>
      <c r="E84" s="108">
        <v>1892.3999999999999</v>
      </c>
    </row>
    <row r="85" spans="1:5" x14ac:dyDescent="0.2">
      <c r="B85" s="107" t="s">
        <v>254</v>
      </c>
      <c r="C85" s="108" t="s">
        <v>22</v>
      </c>
      <c r="D85" s="108">
        <v>1998</v>
      </c>
      <c r="E85" s="108">
        <v>2397.6</v>
      </c>
    </row>
    <row r="86" spans="1:5" x14ac:dyDescent="0.2">
      <c r="B86" s="107" t="s">
        <v>255</v>
      </c>
      <c r="C86" s="108" t="s">
        <v>22</v>
      </c>
      <c r="D86" s="108">
        <v>1831</v>
      </c>
      <c r="E86" s="108">
        <v>2197.1999999999998</v>
      </c>
    </row>
    <row r="87" spans="1:5" x14ac:dyDescent="0.2">
      <c r="B87" s="107" t="s">
        <v>256</v>
      </c>
      <c r="C87" s="108" t="s">
        <v>22</v>
      </c>
      <c r="D87" s="108">
        <v>1914</v>
      </c>
      <c r="E87" s="108">
        <v>2296.7999999999997</v>
      </c>
    </row>
    <row r="88" spans="1:5" x14ac:dyDescent="0.2">
      <c r="B88" s="107" t="s">
        <v>257</v>
      </c>
      <c r="C88" s="108" t="s">
        <v>22</v>
      </c>
      <c r="D88" s="108">
        <v>1184</v>
      </c>
      <c r="E88" s="108">
        <v>1420.8</v>
      </c>
    </row>
    <row r="89" spans="1:5" x14ac:dyDescent="0.2">
      <c r="B89" s="107" t="s">
        <v>258</v>
      </c>
      <c r="C89" s="108" t="s">
        <v>22</v>
      </c>
      <c r="D89" s="108">
        <v>1477</v>
      </c>
      <c r="E89" s="108">
        <v>1772.3999999999999</v>
      </c>
    </row>
    <row r="90" spans="1:5" x14ac:dyDescent="0.2">
      <c r="B90" s="107" t="s">
        <v>259</v>
      </c>
      <c r="C90" s="108" t="s">
        <v>22</v>
      </c>
      <c r="D90" s="108">
        <v>1996</v>
      </c>
      <c r="E90" s="108">
        <v>2395.1999999999998</v>
      </c>
    </row>
    <row r="91" spans="1:5" x14ac:dyDescent="0.2">
      <c r="A91" s="107" t="s">
        <v>132</v>
      </c>
      <c r="B91" s="107" t="s">
        <v>260</v>
      </c>
      <c r="C91" s="108" t="s">
        <v>22</v>
      </c>
      <c r="D91" s="108">
        <v>1444</v>
      </c>
      <c r="E91" s="108">
        <v>1732.8</v>
      </c>
    </row>
    <row r="92" spans="1:5" x14ac:dyDescent="0.2">
      <c r="B92" s="107" t="s">
        <v>261</v>
      </c>
      <c r="C92" s="108" t="s">
        <v>22</v>
      </c>
      <c r="D92" s="108">
        <v>686</v>
      </c>
      <c r="E92" s="108">
        <v>823.19999999999993</v>
      </c>
    </row>
    <row r="93" spans="1:5" x14ac:dyDescent="0.2">
      <c r="B93" s="107" t="s">
        <v>262</v>
      </c>
      <c r="C93" s="108" t="s">
        <v>22</v>
      </c>
      <c r="D93" s="108">
        <v>1524</v>
      </c>
      <c r="E93" s="108">
        <v>1828.8</v>
      </c>
    </row>
    <row r="94" spans="1:5" x14ac:dyDescent="0.2">
      <c r="B94" s="107" t="s">
        <v>263</v>
      </c>
      <c r="C94" s="108" t="s">
        <v>22</v>
      </c>
      <c r="D94" s="108">
        <v>1053</v>
      </c>
      <c r="E94" s="108">
        <v>1263.5999999999999</v>
      </c>
    </row>
    <row r="95" spans="1:5" x14ac:dyDescent="0.2">
      <c r="B95" s="107" t="s">
        <v>264</v>
      </c>
      <c r="C95" s="108" t="s">
        <v>22</v>
      </c>
      <c r="D95" s="108">
        <v>4568</v>
      </c>
      <c r="E95" s="108">
        <v>5481.5999999999995</v>
      </c>
    </row>
    <row r="96" spans="1:5" x14ac:dyDescent="0.2">
      <c r="B96" s="107" t="s">
        <v>265</v>
      </c>
      <c r="C96" s="108" t="s">
        <v>22</v>
      </c>
      <c r="D96" s="108">
        <v>1352</v>
      </c>
      <c r="E96" s="108">
        <v>1622.3999999999999</v>
      </c>
    </row>
    <row r="97" spans="2:5" x14ac:dyDescent="0.2">
      <c r="B97" s="107" t="s">
        <v>266</v>
      </c>
      <c r="C97" s="108" t="s">
        <v>22</v>
      </c>
      <c r="D97" s="108">
        <v>992</v>
      </c>
      <c r="E97" s="108">
        <v>1190.3999999999999</v>
      </c>
    </row>
    <row r="98" spans="2:5" x14ac:dyDescent="0.2">
      <c r="B98" s="107" t="s">
        <v>267</v>
      </c>
      <c r="C98" s="108" t="s">
        <v>22</v>
      </c>
      <c r="D98" s="108">
        <v>1616</v>
      </c>
      <c r="E98" s="108">
        <v>1939.1999999999998</v>
      </c>
    </row>
    <row r="99" spans="2:5" x14ac:dyDescent="0.2">
      <c r="B99" s="107" t="s">
        <v>268</v>
      </c>
      <c r="C99" s="108" t="s">
        <v>22</v>
      </c>
      <c r="D99" s="108">
        <v>1690</v>
      </c>
      <c r="E99" s="108">
        <v>2028</v>
      </c>
    </row>
    <row r="100" spans="2:5" x14ac:dyDescent="0.2">
      <c r="B100" s="107" t="s">
        <v>269</v>
      </c>
      <c r="C100" s="108" t="s">
        <v>22</v>
      </c>
      <c r="D100" s="108">
        <v>1727</v>
      </c>
      <c r="E100" s="108">
        <v>2072.4</v>
      </c>
    </row>
    <row r="101" spans="2:5" x14ac:dyDescent="0.2">
      <c r="B101" s="107" t="s">
        <v>270</v>
      </c>
      <c r="C101" s="108" t="s">
        <v>22</v>
      </c>
      <c r="D101" s="108">
        <v>1665</v>
      </c>
      <c r="E101" s="108">
        <v>1998</v>
      </c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9</vt:i4>
      </vt:variant>
    </vt:vector>
  </HeadingPairs>
  <TitlesOfParts>
    <vt:vector size="24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P07</vt:lpstr>
      <vt:lpstr>S15</vt:lpstr>
      <vt:lpstr>S61</vt:lpstr>
      <vt:lpstr>ORA</vt:lpstr>
      <vt:lpstr>POJ</vt:lpstr>
      <vt:lpstr>ROJ</vt:lpstr>
      <vt:lpstr>FCOJ</vt:lpstr>
      <vt:lpstr>market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hpsimao</cp:lastModifiedBy>
  <dcterms:created xsi:type="dcterms:W3CDTF">2003-07-09T21:14:27Z</dcterms:created>
  <dcterms:modified xsi:type="dcterms:W3CDTF">2016-11-17T16:59:14Z</dcterms:modified>
</cp:coreProperties>
</file>